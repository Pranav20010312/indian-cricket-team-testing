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gnacioRios/Dropbox/UTD/OPRE 6332/Fall 2023/Homeworks/Homework 1/"/>
    </mc:Choice>
  </mc:AlternateContent>
  <xr:revisionPtr revIDLastSave="0" documentId="13_ncr:1_{0DA8185A-8D8B-9940-9135-D78DD546411C}" xr6:coauthVersionLast="47" xr6:coauthVersionMax="47" xr10:uidLastSave="{00000000-0000-0000-0000-000000000000}"/>
  <bookViews>
    <workbookView xWindow="0" yWindow="500" windowWidth="28800" windowHeight="16080" activeTab="3" xr2:uid="{4DAA80F6-F834-6844-ABC8-422B7C51B97A}"/>
  </bookViews>
  <sheets>
    <sheet name="Majors" sheetId="1" r:id="rId1"/>
    <sheet name="Applications" sheetId="3" r:id="rId2"/>
    <sheet name="Scores" sheetId="2" r:id="rId3"/>
    <sheet name="Demographics" sheetId="4" r:id="rId4"/>
    <sheet name="Income" sheetId="5" r:id="rId5"/>
    <sheet name="Q6" sheetId="6" r:id="rId6"/>
    <sheet name="Q7" sheetId="7" r:id="rId7"/>
    <sheet name="Q8" sheetId="8" r:id="rId8"/>
    <sheet name="Q9" sheetId="9" r:id="rId9"/>
    <sheet name="Q10" sheetId="10" r:id="rId10"/>
  </sheets>
  <calcPr calcId="191029"/>
  <pivotCaches>
    <pivotCache cacheId="0" r:id="rId11"/>
    <pivotCache cacheId="1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2" i="2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H2" i="4"/>
  <c r="I2" i="4" s="1"/>
  <c r="H3" i="4"/>
  <c r="I3" i="4" s="1"/>
  <c r="H4" i="4"/>
  <c r="I4" i="4" s="1"/>
  <c r="H5" i="4"/>
  <c r="I5" i="4" s="1"/>
  <c r="H6" i="4"/>
  <c r="I6" i="4" s="1"/>
  <c r="H7" i="4"/>
  <c r="I7" i="4" s="1"/>
  <c r="H8" i="4"/>
  <c r="I8" i="4" s="1"/>
  <c r="H9" i="4"/>
  <c r="I9" i="4" s="1"/>
  <c r="H10" i="4"/>
  <c r="I10" i="4" s="1"/>
  <c r="H11" i="4"/>
  <c r="I11" i="4" s="1"/>
  <c r="H12" i="4"/>
  <c r="I12" i="4" s="1"/>
  <c r="H13" i="4"/>
  <c r="I13" i="4" s="1"/>
  <c r="H14" i="4"/>
  <c r="I14" i="4" s="1"/>
  <c r="H15" i="4"/>
  <c r="I15" i="4" s="1"/>
  <c r="H16" i="4"/>
  <c r="I16" i="4" s="1"/>
  <c r="H17" i="4"/>
  <c r="I17" i="4" s="1"/>
  <c r="H18" i="4"/>
  <c r="I18" i="4" s="1"/>
  <c r="H19" i="4"/>
  <c r="I19" i="4" s="1"/>
  <c r="H20" i="4"/>
  <c r="I20" i="4" s="1"/>
  <c r="H21" i="4"/>
  <c r="I21" i="4" s="1"/>
  <c r="H22" i="4"/>
  <c r="I22" i="4" s="1"/>
  <c r="H23" i="4"/>
  <c r="I23" i="4" s="1"/>
  <c r="H24" i="4"/>
  <c r="I24" i="4" s="1"/>
  <c r="H25" i="4"/>
  <c r="I25" i="4" s="1"/>
  <c r="H26" i="4"/>
  <c r="I26" i="4" s="1"/>
  <c r="H27" i="4"/>
  <c r="I27" i="4" s="1"/>
  <c r="H28" i="4"/>
  <c r="I28" i="4" s="1"/>
  <c r="H29" i="4"/>
  <c r="I29" i="4" s="1"/>
  <c r="H30" i="4"/>
  <c r="I30" i="4" s="1"/>
  <c r="H31" i="4"/>
  <c r="I31" i="4" s="1"/>
  <c r="H32" i="4"/>
  <c r="I32" i="4" s="1"/>
  <c r="H33" i="4"/>
  <c r="I33" i="4" s="1"/>
  <c r="H34" i="4"/>
  <c r="I34" i="4" s="1"/>
  <c r="H35" i="4"/>
  <c r="I35" i="4" s="1"/>
  <c r="H36" i="4"/>
  <c r="I36" i="4" s="1"/>
  <c r="H37" i="4"/>
  <c r="I37" i="4" s="1"/>
  <c r="H38" i="4"/>
  <c r="I38" i="4" s="1"/>
  <c r="H39" i="4"/>
  <c r="I39" i="4" s="1"/>
  <c r="H40" i="4"/>
  <c r="I40" i="4" s="1"/>
  <c r="H41" i="4"/>
  <c r="I41" i="4" s="1"/>
  <c r="H42" i="4"/>
  <c r="I42" i="4" s="1"/>
  <c r="H43" i="4"/>
  <c r="I43" i="4" s="1"/>
  <c r="H44" i="4"/>
  <c r="I44" i="4" s="1"/>
  <c r="H45" i="4"/>
  <c r="I45" i="4" s="1"/>
  <c r="H46" i="4"/>
  <c r="I46" i="4" s="1"/>
  <c r="H47" i="4"/>
  <c r="I47" i="4" s="1"/>
  <c r="H48" i="4"/>
  <c r="I48" i="4" s="1"/>
  <c r="H49" i="4"/>
  <c r="I49" i="4" s="1"/>
  <c r="H50" i="4"/>
  <c r="I50" i="4" s="1"/>
  <c r="H51" i="4"/>
  <c r="I51" i="4" s="1"/>
  <c r="H52" i="4"/>
  <c r="I52" i="4" s="1"/>
  <c r="H53" i="4"/>
  <c r="I53" i="4" s="1"/>
  <c r="H54" i="4"/>
  <c r="I54" i="4" s="1"/>
  <c r="H55" i="4"/>
  <c r="I55" i="4" s="1"/>
  <c r="H56" i="4"/>
  <c r="I56" i="4" s="1"/>
  <c r="H57" i="4"/>
  <c r="I57" i="4" s="1"/>
  <c r="H58" i="4"/>
  <c r="I58" i="4" s="1"/>
  <c r="H59" i="4"/>
  <c r="I59" i="4" s="1"/>
  <c r="H60" i="4"/>
  <c r="I60" i="4" s="1"/>
  <c r="H61" i="4"/>
  <c r="I61" i="4" s="1"/>
  <c r="H62" i="4"/>
  <c r="I62" i="4" s="1"/>
  <c r="H63" i="4"/>
  <c r="I63" i="4" s="1"/>
  <c r="H64" i="4"/>
  <c r="I64" i="4" s="1"/>
  <c r="H65" i="4"/>
  <c r="I65" i="4" s="1"/>
  <c r="H66" i="4"/>
  <c r="I66" i="4" s="1"/>
  <c r="H67" i="4"/>
  <c r="I67" i="4" s="1"/>
  <c r="H68" i="4"/>
  <c r="I68" i="4" s="1"/>
  <c r="H69" i="4"/>
  <c r="I69" i="4" s="1"/>
  <c r="H70" i="4"/>
  <c r="I70" i="4" s="1"/>
  <c r="H71" i="4"/>
  <c r="I71" i="4" s="1"/>
  <c r="H72" i="4"/>
  <c r="I72" i="4" s="1"/>
  <c r="H73" i="4"/>
  <c r="I73" i="4" s="1"/>
  <c r="H74" i="4"/>
  <c r="I74" i="4" s="1"/>
  <c r="H75" i="4"/>
  <c r="I75" i="4" s="1"/>
  <c r="H76" i="4"/>
  <c r="I76" i="4" s="1"/>
  <c r="H77" i="4"/>
  <c r="I77" i="4" s="1"/>
  <c r="H78" i="4"/>
  <c r="I78" i="4" s="1"/>
  <c r="H79" i="4"/>
  <c r="I79" i="4" s="1"/>
  <c r="H80" i="4"/>
  <c r="I80" i="4" s="1"/>
  <c r="H81" i="4"/>
  <c r="I81" i="4" s="1"/>
  <c r="H82" i="4"/>
  <c r="I82" i="4" s="1"/>
  <c r="H83" i="4"/>
  <c r="I83" i="4" s="1"/>
  <c r="H84" i="4"/>
  <c r="I84" i="4" s="1"/>
  <c r="H85" i="4"/>
  <c r="I85" i="4" s="1"/>
  <c r="H86" i="4"/>
  <c r="I86" i="4" s="1"/>
  <c r="H87" i="4"/>
  <c r="I87" i="4" s="1"/>
  <c r="H88" i="4"/>
  <c r="I88" i="4" s="1"/>
  <c r="H89" i="4"/>
  <c r="I89" i="4" s="1"/>
  <c r="H90" i="4"/>
  <c r="I90" i="4" s="1"/>
  <c r="H91" i="4"/>
  <c r="I91" i="4" s="1"/>
  <c r="H92" i="4"/>
  <c r="I92" i="4" s="1"/>
  <c r="H93" i="4"/>
  <c r="I93" i="4" s="1"/>
  <c r="H94" i="4"/>
  <c r="I94" i="4" s="1"/>
  <c r="H95" i="4"/>
  <c r="I95" i="4" s="1"/>
  <c r="H96" i="4"/>
  <c r="I96" i="4" s="1"/>
  <c r="H97" i="4"/>
  <c r="I97" i="4" s="1"/>
  <c r="H98" i="4"/>
  <c r="I98" i="4" s="1"/>
  <c r="H99" i="4"/>
  <c r="I99" i="4" s="1"/>
  <c r="H100" i="4"/>
  <c r="I100" i="4" s="1"/>
  <c r="H101" i="4"/>
  <c r="I101" i="4" s="1"/>
  <c r="H102" i="4"/>
  <c r="I102" i="4" s="1"/>
  <c r="H103" i="4"/>
  <c r="I103" i="4" s="1"/>
  <c r="H104" i="4"/>
  <c r="I104" i="4" s="1"/>
  <c r="H105" i="4"/>
  <c r="I105" i="4" s="1"/>
  <c r="H106" i="4"/>
  <c r="I106" i="4" s="1"/>
  <c r="H107" i="4"/>
  <c r="I107" i="4" s="1"/>
  <c r="H108" i="4"/>
  <c r="I108" i="4" s="1"/>
  <c r="H109" i="4"/>
  <c r="I109" i="4" s="1"/>
  <c r="H110" i="4"/>
  <c r="I110" i="4" s="1"/>
  <c r="H111" i="4"/>
  <c r="I111" i="4" s="1"/>
  <c r="H112" i="4"/>
  <c r="I112" i="4" s="1"/>
  <c r="H113" i="4"/>
  <c r="I113" i="4" s="1"/>
  <c r="H114" i="4"/>
  <c r="I114" i="4" s="1"/>
  <c r="H115" i="4"/>
  <c r="I115" i="4" s="1"/>
  <c r="H116" i="4"/>
  <c r="I116" i="4" s="1"/>
  <c r="H117" i="4"/>
  <c r="I117" i="4" s="1"/>
  <c r="H118" i="4"/>
  <c r="I118" i="4" s="1"/>
  <c r="H119" i="4"/>
  <c r="I119" i="4" s="1"/>
  <c r="H120" i="4"/>
  <c r="I120" i="4" s="1"/>
  <c r="H121" i="4"/>
  <c r="I121" i="4" s="1"/>
  <c r="H122" i="4"/>
  <c r="I122" i="4" s="1"/>
  <c r="H123" i="4"/>
  <c r="I123" i="4" s="1"/>
  <c r="H124" i="4"/>
  <c r="I124" i="4" s="1"/>
  <c r="H125" i="4"/>
  <c r="I125" i="4" s="1"/>
  <c r="H126" i="4"/>
  <c r="I126" i="4" s="1"/>
  <c r="H127" i="4"/>
  <c r="I127" i="4" s="1"/>
  <c r="H128" i="4"/>
  <c r="I128" i="4" s="1"/>
  <c r="H129" i="4"/>
  <c r="I129" i="4" s="1"/>
  <c r="H130" i="4"/>
  <c r="I130" i="4" s="1"/>
  <c r="H131" i="4"/>
  <c r="I131" i="4" s="1"/>
  <c r="H132" i="4"/>
  <c r="I132" i="4" s="1"/>
  <c r="H133" i="4"/>
  <c r="I133" i="4" s="1"/>
  <c r="H134" i="4"/>
  <c r="I134" i="4" s="1"/>
  <c r="H135" i="4"/>
  <c r="I135" i="4" s="1"/>
  <c r="H136" i="4"/>
  <c r="I136" i="4" s="1"/>
  <c r="H137" i="4"/>
  <c r="I137" i="4" s="1"/>
  <c r="H138" i="4"/>
  <c r="I138" i="4" s="1"/>
  <c r="H139" i="4"/>
  <c r="I139" i="4" s="1"/>
  <c r="H140" i="4"/>
  <c r="I140" i="4" s="1"/>
  <c r="H141" i="4"/>
  <c r="I141" i="4" s="1"/>
  <c r="H142" i="4"/>
  <c r="I142" i="4" s="1"/>
  <c r="H143" i="4"/>
  <c r="I143" i="4" s="1"/>
  <c r="H144" i="4"/>
  <c r="I144" i="4" s="1"/>
  <c r="H145" i="4"/>
  <c r="I145" i="4" s="1"/>
  <c r="H146" i="4"/>
  <c r="I146" i="4" s="1"/>
  <c r="H147" i="4"/>
  <c r="I147" i="4" s="1"/>
  <c r="H148" i="4"/>
  <c r="I148" i="4" s="1"/>
  <c r="H149" i="4"/>
  <c r="I149" i="4" s="1"/>
  <c r="H150" i="4"/>
  <c r="I150" i="4" s="1"/>
  <c r="H151" i="4"/>
  <c r="I151" i="4" s="1"/>
  <c r="H152" i="4"/>
  <c r="I152" i="4" s="1"/>
  <c r="H153" i="4"/>
  <c r="I153" i="4" s="1"/>
  <c r="H154" i="4"/>
  <c r="I154" i="4" s="1"/>
  <c r="H155" i="4"/>
  <c r="I155" i="4" s="1"/>
  <c r="H156" i="4"/>
  <c r="I156" i="4" s="1"/>
  <c r="H157" i="4"/>
  <c r="I157" i="4" s="1"/>
  <c r="H158" i="4"/>
  <c r="I158" i="4" s="1"/>
  <c r="H159" i="4"/>
  <c r="I159" i="4" s="1"/>
  <c r="H160" i="4"/>
  <c r="I160" i="4" s="1"/>
  <c r="H161" i="4"/>
  <c r="I161" i="4" s="1"/>
  <c r="H162" i="4"/>
  <c r="I162" i="4" s="1"/>
  <c r="H163" i="4"/>
  <c r="I163" i="4" s="1"/>
  <c r="H164" i="4"/>
  <c r="I164" i="4" s="1"/>
  <c r="H165" i="4"/>
  <c r="I165" i="4" s="1"/>
  <c r="H166" i="4"/>
  <c r="I166" i="4" s="1"/>
  <c r="H167" i="4"/>
  <c r="I167" i="4" s="1"/>
  <c r="H168" i="4"/>
  <c r="I168" i="4" s="1"/>
  <c r="H169" i="4"/>
  <c r="I169" i="4" s="1"/>
  <c r="H170" i="4"/>
  <c r="I170" i="4" s="1"/>
  <c r="H171" i="4"/>
  <c r="I171" i="4" s="1"/>
  <c r="H172" i="4"/>
  <c r="I172" i="4" s="1"/>
  <c r="H173" i="4"/>
  <c r="I173" i="4" s="1"/>
  <c r="H174" i="4"/>
  <c r="I174" i="4" s="1"/>
  <c r="H175" i="4"/>
  <c r="I175" i="4" s="1"/>
  <c r="H176" i="4"/>
  <c r="I176" i="4" s="1"/>
  <c r="H177" i="4"/>
  <c r="I177" i="4" s="1"/>
  <c r="H178" i="4"/>
  <c r="I178" i="4" s="1"/>
  <c r="H179" i="4"/>
  <c r="I179" i="4" s="1"/>
  <c r="H180" i="4"/>
  <c r="I180" i="4" s="1"/>
  <c r="H181" i="4"/>
  <c r="I181" i="4" s="1"/>
  <c r="H182" i="4"/>
  <c r="I182" i="4" s="1"/>
  <c r="H183" i="4"/>
  <c r="I183" i="4" s="1"/>
  <c r="H184" i="4"/>
  <c r="I184" i="4" s="1"/>
  <c r="H185" i="4"/>
  <c r="I185" i="4" s="1"/>
  <c r="H186" i="4"/>
  <c r="I186" i="4" s="1"/>
  <c r="H187" i="4"/>
  <c r="I187" i="4" s="1"/>
  <c r="H188" i="4"/>
  <c r="I188" i="4" s="1"/>
  <c r="H189" i="4"/>
  <c r="I189" i="4" s="1"/>
  <c r="H190" i="4"/>
  <c r="I190" i="4" s="1"/>
  <c r="H191" i="4"/>
  <c r="I191" i="4" s="1"/>
  <c r="H192" i="4"/>
  <c r="I192" i="4" s="1"/>
  <c r="H193" i="4"/>
  <c r="I193" i="4" s="1"/>
  <c r="H194" i="4"/>
  <c r="I194" i="4" s="1"/>
  <c r="H195" i="4"/>
  <c r="I195" i="4" s="1"/>
  <c r="H196" i="4"/>
  <c r="I196" i="4" s="1"/>
  <c r="H197" i="4"/>
  <c r="I197" i="4" s="1"/>
  <c r="H198" i="4"/>
  <c r="I198" i="4" s="1"/>
  <c r="H199" i="4"/>
  <c r="I199" i="4" s="1"/>
  <c r="H200" i="4"/>
  <c r="I200" i="4" s="1"/>
  <c r="H201" i="4"/>
  <c r="I201" i="4" s="1"/>
  <c r="H202" i="4"/>
  <c r="I202" i="4" s="1"/>
  <c r="H203" i="4"/>
  <c r="I203" i="4" s="1"/>
  <c r="H204" i="4"/>
  <c r="I204" i="4" s="1"/>
  <c r="H205" i="4"/>
  <c r="I205" i="4" s="1"/>
  <c r="H206" i="4"/>
  <c r="I206" i="4" s="1"/>
  <c r="H207" i="4"/>
  <c r="I207" i="4" s="1"/>
  <c r="H208" i="4"/>
  <c r="I208" i="4" s="1"/>
  <c r="H209" i="4"/>
  <c r="I209" i="4" s="1"/>
  <c r="H210" i="4"/>
  <c r="I210" i="4" s="1"/>
  <c r="H211" i="4"/>
  <c r="I211" i="4" s="1"/>
  <c r="H212" i="4"/>
  <c r="I212" i="4" s="1"/>
  <c r="H213" i="4"/>
  <c r="I213" i="4" s="1"/>
  <c r="H214" i="4"/>
  <c r="I214" i="4" s="1"/>
  <c r="H215" i="4"/>
  <c r="I215" i="4" s="1"/>
  <c r="H216" i="4"/>
  <c r="I216" i="4" s="1"/>
  <c r="H217" i="4"/>
  <c r="I217" i="4" s="1"/>
  <c r="H218" i="4"/>
  <c r="I218" i="4" s="1"/>
  <c r="H219" i="4"/>
  <c r="I219" i="4" s="1"/>
  <c r="H220" i="4"/>
  <c r="I220" i="4" s="1"/>
  <c r="H221" i="4"/>
  <c r="I221" i="4" s="1"/>
  <c r="H222" i="4"/>
  <c r="I222" i="4" s="1"/>
  <c r="H223" i="4"/>
  <c r="I223" i="4" s="1"/>
  <c r="H224" i="4"/>
  <c r="I224" i="4" s="1"/>
  <c r="H225" i="4"/>
  <c r="I225" i="4" s="1"/>
  <c r="H226" i="4"/>
  <c r="I226" i="4" s="1"/>
  <c r="H227" i="4"/>
  <c r="I227" i="4" s="1"/>
  <c r="H228" i="4"/>
  <c r="I228" i="4" s="1"/>
  <c r="H229" i="4"/>
  <c r="I229" i="4" s="1"/>
  <c r="H230" i="4"/>
  <c r="I230" i="4" s="1"/>
  <c r="H231" i="4"/>
  <c r="I231" i="4" s="1"/>
  <c r="H232" i="4"/>
  <c r="I232" i="4" s="1"/>
  <c r="H233" i="4"/>
  <c r="I233" i="4" s="1"/>
  <c r="H234" i="4"/>
  <c r="I234" i="4" s="1"/>
  <c r="H235" i="4"/>
  <c r="I235" i="4" s="1"/>
  <c r="H236" i="4"/>
  <c r="I236" i="4" s="1"/>
  <c r="H237" i="4"/>
  <c r="I237" i="4" s="1"/>
  <c r="H238" i="4"/>
  <c r="I238" i="4" s="1"/>
  <c r="H239" i="4"/>
  <c r="I239" i="4" s="1"/>
  <c r="H240" i="4"/>
  <c r="I240" i="4" s="1"/>
  <c r="H241" i="4"/>
  <c r="I241" i="4" s="1"/>
  <c r="H242" i="4"/>
  <c r="I242" i="4" s="1"/>
  <c r="H243" i="4"/>
  <c r="I243" i="4" s="1"/>
  <c r="H244" i="4"/>
  <c r="I244" i="4" s="1"/>
  <c r="H245" i="4"/>
  <c r="I245" i="4" s="1"/>
  <c r="H246" i="4"/>
  <c r="I246" i="4" s="1"/>
  <c r="H247" i="4"/>
  <c r="I247" i="4" s="1"/>
  <c r="H248" i="4"/>
  <c r="I248" i="4" s="1"/>
  <c r="H249" i="4"/>
  <c r="I249" i="4" s="1"/>
  <c r="H250" i="4"/>
  <c r="I250" i="4" s="1"/>
  <c r="H251" i="4"/>
  <c r="I251" i="4" s="1"/>
  <c r="H252" i="4"/>
  <c r="I252" i="4" s="1"/>
  <c r="H253" i="4"/>
  <c r="I253" i="4" s="1"/>
  <c r="H254" i="4"/>
  <c r="I254" i="4" s="1"/>
  <c r="H255" i="4"/>
  <c r="I255" i="4" s="1"/>
  <c r="H256" i="4"/>
  <c r="I256" i="4" s="1"/>
  <c r="H257" i="4"/>
  <c r="I257" i="4" s="1"/>
  <c r="H258" i="4"/>
  <c r="I258" i="4" s="1"/>
  <c r="H259" i="4"/>
  <c r="I259" i="4" s="1"/>
  <c r="H260" i="4"/>
  <c r="I260" i="4" s="1"/>
  <c r="H261" i="4"/>
  <c r="I261" i="4" s="1"/>
  <c r="H262" i="4"/>
  <c r="I262" i="4" s="1"/>
  <c r="H263" i="4"/>
  <c r="I263" i="4" s="1"/>
  <c r="H264" i="4"/>
  <c r="I264" i="4" s="1"/>
  <c r="H265" i="4"/>
  <c r="I265" i="4" s="1"/>
  <c r="H266" i="4"/>
  <c r="I266" i="4" s="1"/>
  <c r="H267" i="4"/>
  <c r="I267" i="4" s="1"/>
  <c r="H268" i="4"/>
  <c r="I268" i="4" s="1"/>
  <c r="H269" i="4"/>
  <c r="I269" i="4" s="1"/>
  <c r="H270" i="4"/>
  <c r="I270" i="4" s="1"/>
  <c r="H271" i="4"/>
  <c r="I271" i="4" s="1"/>
  <c r="H272" i="4"/>
  <c r="I272" i="4" s="1"/>
  <c r="H273" i="4"/>
  <c r="I273" i="4" s="1"/>
  <c r="H274" i="4"/>
  <c r="I274" i="4" s="1"/>
  <c r="H275" i="4"/>
  <c r="I275" i="4" s="1"/>
  <c r="H276" i="4"/>
  <c r="I276" i="4" s="1"/>
  <c r="H277" i="4"/>
  <c r="I277" i="4" s="1"/>
  <c r="H278" i="4"/>
  <c r="I278" i="4" s="1"/>
  <c r="H279" i="4"/>
  <c r="I279" i="4" s="1"/>
  <c r="H280" i="4"/>
  <c r="I280" i="4" s="1"/>
  <c r="H281" i="4"/>
  <c r="I281" i="4" s="1"/>
  <c r="H282" i="4"/>
  <c r="I282" i="4" s="1"/>
  <c r="H283" i="4"/>
  <c r="I283" i="4" s="1"/>
  <c r="H284" i="4"/>
  <c r="I284" i="4" s="1"/>
  <c r="H285" i="4"/>
  <c r="I285" i="4" s="1"/>
  <c r="H286" i="4"/>
  <c r="I286" i="4" s="1"/>
  <c r="H287" i="4"/>
  <c r="I287" i="4" s="1"/>
  <c r="H288" i="4"/>
  <c r="I288" i="4" s="1"/>
  <c r="H289" i="4"/>
  <c r="I289" i="4" s="1"/>
  <c r="H290" i="4"/>
  <c r="I290" i="4" s="1"/>
  <c r="H291" i="4"/>
  <c r="I291" i="4" s="1"/>
  <c r="H292" i="4"/>
  <c r="I292" i="4" s="1"/>
  <c r="H293" i="4"/>
  <c r="I293" i="4" s="1"/>
  <c r="H294" i="4"/>
  <c r="I294" i="4" s="1"/>
  <c r="H295" i="4"/>
  <c r="I295" i="4" s="1"/>
  <c r="H296" i="4"/>
  <c r="I296" i="4" s="1"/>
  <c r="H297" i="4"/>
  <c r="I297" i="4" s="1"/>
  <c r="H298" i="4"/>
  <c r="I298" i="4" s="1"/>
  <c r="H299" i="4"/>
  <c r="I299" i="4" s="1"/>
  <c r="H300" i="4"/>
  <c r="I300" i="4" s="1"/>
  <c r="H301" i="4"/>
  <c r="I301" i="4" s="1"/>
  <c r="H302" i="4"/>
  <c r="I302" i="4" s="1"/>
  <c r="H303" i="4"/>
  <c r="I303" i="4" s="1"/>
  <c r="H304" i="4"/>
  <c r="I304" i="4" s="1"/>
  <c r="H305" i="4"/>
  <c r="I305" i="4" s="1"/>
  <c r="H306" i="4"/>
  <c r="I306" i="4" s="1"/>
  <c r="H307" i="4"/>
  <c r="I307" i="4" s="1"/>
  <c r="H308" i="4"/>
  <c r="I308" i="4" s="1"/>
  <c r="H309" i="4"/>
  <c r="I309" i="4" s="1"/>
  <c r="H310" i="4"/>
  <c r="I310" i="4" s="1"/>
  <c r="H311" i="4"/>
  <c r="I311" i="4" s="1"/>
  <c r="H312" i="4"/>
  <c r="I312" i="4" s="1"/>
  <c r="H313" i="4"/>
  <c r="I313" i="4" s="1"/>
  <c r="H314" i="4"/>
  <c r="I314" i="4" s="1"/>
  <c r="H315" i="4"/>
  <c r="I315" i="4" s="1"/>
  <c r="H316" i="4"/>
  <c r="I316" i="4" s="1"/>
  <c r="H317" i="4"/>
  <c r="I317" i="4" s="1"/>
  <c r="H318" i="4"/>
  <c r="I318" i="4" s="1"/>
  <c r="H319" i="4"/>
  <c r="I319" i="4" s="1"/>
  <c r="H320" i="4"/>
  <c r="I320" i="4" s="1"/>
  <c r="H321" i="4"/>
  <c r="I321" i="4" s="1"/>
  <c r="H322" i="4"/>
  <c r="I322" i="4" s="1"/>
  <c r="H323" i="4"/>
  <c r="I323" i="4" s="1"/>
  <c r="H324" i="4"/>
  <c r="I324" i="4" s="1"/>
  <c r="H325" i="4"/>
  <c r="I325" i="4" s="1"/>
  <c r="H326" i="4"/>
  <c r="I326" i="4" s="1"/>
  <c r="H327" i="4"/>
  <c r="I327" i="4" s="1"/>
  <c r="H328" i="4"/>
  <c r="I328" i="4" s="1"/>
  <c r="H329" i="4"/>
  <c r="I329" i="4" s="1"/>
  <c r="H330" i="4"/>
  <c r="I330" i="4" s="1"/>
  <c r="H331" i="4"/>
  <c r="I331" i="4" s="1"/>
  <c r="H332" i="4"/>
  <c r="I332" i="4" s="1"/>
  <c r="H333" i="4"/>
  <c r="I333" i="4" s="1"/>
  <c r="H334" i="4"/>
  <c r="I334" i="4" s="1"/>
  <c r="H335" i="4"/>
  <c r="I335" i="4" s="1"/>
  <c r="H336" i="4"/>
  <c r="I336" i="4" s="1"/>
  <c r="H337" i="4"/>
  <c r="I337" i="4" s="1"/>
  <c r="H338" i="4"/>
  <c r="I338" i="4" s="1"/>
  <c r="H339" i="4"/>
  <c r="I339" i="4" s="1"/>
  <c r="H340" i="4"/>
  <c r="I340" i="4" s="1"/>
  <c r="H341" i="4"/>
  <c r="I341" i="4" s="1"/>
  <c r="H342" i="4"/>
  <c r="I342" i="4" s="1"/>
  <c r="H343" i="4"/>
  <c r="I343" i="4" s="1"/>
  <c r="H344" i="4"/>
  <c r="I344" i="4" s="1"/>
  <c r="H345" i="4"/>
  <c r="I345" i="4" s="1"/>
  <c r="H346" i="4"/>
  <c r="I346" i="4" s="1"/>
  <c r="H347" i="4"/>
  <c r="I347" i="4" s="1"/>
  <c r="H348" i="4"/>
  <c r="I348" i="4" s="1"/>
  <c r="H349" i="4"/>
  <c r="I349" i="4" s="1"/>
  <c r="H350" i="4"/>
  <c r="I350" i="4" s="1"/>
  <c r="H351" i="4"/>
  <c r="I351" i="4" s="1"/>
  <c r="H352" i="4"/>
  <c r="I352" i="4" s="1"/>
  <c r="H353" i="4"/>
  <c r="I353" i="4" s="1"/>
  <c r="H354" i="4"/>
  <c r="I354" i="4" s="1"/>
  <c r="H355" i="4"/>
  <c r="I355" i="4" s="1"/>
  <c r="H356" i="4"/>
  <c r="I356" i="4" s="1"/>
  <c r="H357" i="4"/>
  <c r="I357" i="4" s="1"/>
  <c r="H358" i="4"/>
  <c r="I358" i="4" s="1"/>
  <c r="H359" i="4"/>
  <c r="I359" i="4" s="1"/>
  <c r="H360" i="4"/>
  <c r="I360" i="4" s="1"/>
  <c r="H361" i="4"/>
  <c r="I361" i="4" s="1"/>
  <c r="H362" i="4"/>
  <c r="I362" i="4" s="1"/>
  <c r="H363" i="4"/>
  <c r="I363" i="4" s="1"/>
  <c r="H364" i="4"/>
  <c r="I364" i="4" s="1"/>
  <c r="H365" i="4"/>
  <c r="I365" i="4" s="1"/>
  <c r="H366" i="4"/>
  <c r="I366" i="4" s="1"/>
  <c r="H367" i="4"/>
  <c r="I367" i="4" s="1"/>
  <c r="H368" i="4"/>
  <c r="I368" i="4" s="1"/>
  <c r="H369" i="4"/>
  <c r="I369" i="4" s="1"/>
  <c r="H370" i="4"/>
  <c r="I370" i="4" s="1"/>
  <c r="H371" i="4"/>
  <c r="I371" i="4" s="1"/>
  <c r="H372" i="4"/>
  <c r="I372" i="4" s="1"/>
  <c r="H373" i="4"/>
  <c r="I373" i="4" s="1"/>
  <c r="H374" i="4"/>
  <c r="I374" i="4" s="1"/>
  <c r="H375" i="4"/>
  <c r="I375" i="4" s="1"/>
  <c r="H376" i="4"/>
  <c r="I376" i="4" s="1"/>
  <c r="H377" i="4"/>
  <c r="I377" i="4" s="1"/>
  <c r="H378" i="4"/>
  <c r="I378" i="4" s="1"/>
  <c r="H379" i="4"/>
  <c r="I379" i="4" s="1"/>
  <c r="H380" i="4"/>
  <c r="I380" i="4" s="1"/>
  <c r="H381" i="4"/>
  <c r="I381" i="4" s="1"/>
  <c r="H382" i="4"/>
  <c r="I382" i="4" s="1"/>
  <c r="H383" i="4"/>
  <c r="I383" i="4" s="1"/>
  <c r="H384" i="4"/>
  <c r="I384" i="4" s="1"/>
  <c r="H385" i="4"/>
  <c r="I385" i="4" s="1"/>
  <c r="H386" i="4"/>
  <c r="I386" i="4" s="1"/>
  <c r="H387" i="4"/>
  <c r="I387" i="4" s="1"/>
  <c r="H388" i="4"/>
  <c r="I388" i="4" s="1"/>
  <c r="H389" i="4"/>
  <c r="I389" i="4" s="1"/>
  <c r="H390" i="4"/>
  <c r="I390" i="4" s="1"/>
  <c r="H391" i="4"/>
  <c r="I391" i="4" s="1"/>
  <c r="H392" i="4"/>
  <c r="I392" i="4" s="1"/>
  <c r="H393" i="4"/>
  <c r="I393" i="4" s="1"/>
  <c r="H394" i="4"/>
  <c r="I394" i="4" s="1"/>
  <c r="H395" i="4"/>
  <c r="I395" i="4" s="1"/>
  <c r="H396" i="4"/>
  <c r="I396" i="4" s="1"/>
  <c r="H397" i="4"/>
  <c r="I397" i="4" s="1"/>
  <c r="H398" i="4"/>
  <c r="I398" i="4" s="1"/>
  <c r="H399" i="4"/>
  <c r="I399" i="4" s="1"/>
  <c r="H400" i="4"/>
  <c r="I400" i="4" s="1"/>
  <c r="H401" i="4"/>
  <c r="I401" i="4" s="1"/>
  <c r="H402" i="4"/>
  <c r="I402" i="4" s="1"/>
  <c r="H403" i="4"/>
  <c r="I403" i="4" s="1"/>
  <c r="H404" i="4"/>
  <c r="I404" i="4" s="1"/>
  <c r="H405" i="4"/>
  <c r="I405" i="4" s="1"/>
  <c r="H406" i="4"/>
  <c r="I406" i="4" s="1"/>
  <c r="H407" i="4"/>
  <c r="I407" i="4" s="1"/>
  <c r="H408" i="4"/>
  <c r="I408" i="4" s="1"/>
  <c r="H409" i="4"/>
  <c r="I409" i="4" s="1"/>
  <c r="H410" i="4"/>
  <c r="I410" i="4" s="1"/>
  <c r="H411" i="4"/>
  <c r="I411" i="4" s="1"/>
  <c r="H412" i="4"/>
  <c r="I412" i="4" s="1"/>
  <c r="H413" i="4"/>
  <c r="I413" i="4" s="1"/>
  <c r="H414" i="4"/>
  <c r="I414" i="4" s="1"/>
  <c r="H415" i="4"/>
  <c r="I415" i="4" s="1"/>
  <c r="H416" i="4"/>
  <c r="I416" i="4" s="1"/>
  <c r="H417" i="4"/>
  <c r="I417" i="4" s="1"/>
  <c r="H418" i="4"/>
  <c r="I418" i="4" s="1"/>
  <c r="H419" i="4"/>
  <c r="I419" i="4" s="1"/>
  <c r="H420" i="4"/>
  <c r="I420" i="4" s="1"/>
  <c r="H421" i="4"/>
  <c r="I421" i="4" s="1"/>
  <c r="H422" i="4"/>
  <c r="I422" i="4" s="1"/>
  <c r="H423" i="4"/>
  <c r="I423" i="4" s="1"/>
  <c r="H424" i="4"/>
  <c r="I424" i="4" s="1"/>
  <c r="H425" i="4"/>
  <c r="I425" i="4" s="1"/>
  <c r="H426" i="4"/>
  <c r="I426" i="4" s="1"/>
  <c r="H427" i="4"/>
  <c r="I427" i="4" s="1"/>
  <c r="H428" i="4"/>
  <c r="I428" i="4" s="1"/>
  <c r="H429" i="4"/>
  <c r="I429" i="4" s="1"/>
  <c r="H430" i="4"/>
  <c r="I430" i="4" s="1"/>
  <c r="H431" i="4"/>
  <c r="I431" i="4" s="1"/>
  <c r="H432" i="4"/>
  <c r="I432" i="4" s="1"/>
  <c r="H433" i="4"/>
  <c r="I433" i="4" s="1"/>
  <c r="H434" i="4"/>
  <c r="I434" i="4" s="1"/>
  <c r="H435" i="4"/>
  <c r="I435" i="4" s="1"/>
  <c r="H436" i="4"/>
  <c r="I436" i="4" s="1"/>
  <c r="H437" i="4"/>
  <c r="I437" i="4" s="1"/>
  <c r="H438" i="4"/>
  <c r="I438" i="4" s="1"/>
  <c r="H439" i="4"/>
  <c r="I439" i="4" s="1"/>
  <c r="H440" i="4"/>
  <c r="I440" i="4" s="1"/>
  <c r="H441" i="4"/>
  <c r="I441" i="4" s="1"/>
  <c r="H442" i="4"/>
  <c r="I442" i="4" s="1"/>
  <c r="H443" i="4"/>
  <c r="I443" i="4" s="1"/>
  <c r="H444" i="4"/>
  <c r="I444" i="4" s="1"/>
  <c r="H445" i="4"/>
  <c r="I445" i="4" s="1"/>
  <c r="H446" i="4"/>
  <c r="I446" i="4" s="1"/>
  <c r="H447" i="4"/>
  <c r="I447" i="4" s="1"/>
  <c r="H448" i="4"/>
  <c r="I448" i="4" s="1"/>
  <c r="H449" i="4"/>
  <c r="I449" i="4" s="1"/>
  <c r="H450" i="4"/>
  <c r="I450" i="4" s="1"/>
  <c r="H451" i="4"/>
  <c r="I451" i="4" s="1"/>
  <c r="H452" i="4"/>
  <c r="I452" i="4" s="1"/>
  <c r="H453" i="4"/>
  <c r="I453" i="4" s="1"/>
  <c r="H454" i="4"/>
  <c r="I454" i="4" s="1"/>
  <c r="H455" i="4"/>
  <c r="I455" i="4" s="1"/>
  <c r="H456" i="4"/>
  <c r="I456" i="4" s="1"/>
  <c r="H457" i="4"/>
  <c r="I457" i="4" s="1"/>
  <c r="H458" i="4"/>
  <c r="I458" i="4" s="1"/>
  <c r="H459" i="4"/>
  <c r="I459" i="4" s="1"/>
  <c r="H460" i="4"/>
  <c r="I460" i="4" s="1"/>
  <c r="H461" i="4"/>
  <c r="I461" i="4" s="1"/>
  <c r="H462" i="4"/>
  <c r="I462" i="4" s="1"/>
  <c r="H463" i="4"/>
  <c r="I463" i="4" s="1"/>
  <c r="H464" i="4"/>
  <c r="I464" i="4" s="1"/>
  <c r="H465" i="4"/>
  <c r="I465" i="4" s="1"/>
  <c r="H466" i="4"/>
  <c r="I466" i="4" s="1"/>
  <c r="H467" i="4"/>
  <c r="I467" i="4" s="1"/>
  <c r="H468" i="4"/>
  <c r="I468" i="4" s="1"/>
  <c r="H469" i="4"/>
  <c r="I469" i="4" s="1"/>
  <c r="H470" i="4"/>
  <c r="I470" i="4" s="1"/>
  <c r="H471" i="4"/>
  <c r="I471" i="4" s="1"/>
  <c r="H472" i="4"/>
  <c r="I472" i="4" s="1"/>
  <c r="H473" i="4"/>
  <c r="I473" i="4" s="1"/>
  <c r="H474" i="4"/>
  <c r="I474" i="4" s="1"/>
  <c r="H475" i="4"/>
  <c r="I475" i="4" s="1"/>
  <c r="H476" i="4"/>
  <c r="I476" i="4" s="1"/>
  <c r="H477" i="4"/>
  <c r="I477" i="4" s="1"/>
  <c r="H478" i="4"/>
  <c r="I478" i="4" s="1"/>
  <c r="H479" i="4"/>
  <c r="I479" i="4" s="1"/>
  <c r="H480" i="4"/>
  <c r="I480" i="4" s="1"/>
  <c r="H481" i="4"/>
  <c r="I481" i="4" s="1"/>
  <c r="H482" i="4"/>
  <c r="I482" i="4" s="1"/>
  <c r="H483" i="4"/>
  <c r="I483" i="4" s="1"/>
  <c r="H484" i="4"/>
  <c r="I484" i="4" s="1"/>
  <c r="H485" i="4"/>
  <c r="I485" i="4" s="1"/>
  <c r="H486" i="4"/>
  <c r="I486" i="4" s="1"/>
  <c r="H487" i="4"/>
  <c r="I487" i="4" s="1"/>
  <c r="H488" i="4"/>
  <c r="I488" i="4" s="1"/>
  <c r="H489" i="4"/>
  <c r="I489" i="4" s="1"/>
  <c r="H490" i="4"/>
  <c r="I490" i="4" s="1"/>
  <c r="H491" i="4"/>
  <c r="I491" i="4" s="1"/>
  <c r="H492" i="4"/>
  <c r="I492" i="4" s="1"/>
  <c r="H493" i="4"/>
  <c r="I493" i="4" s="1"/>
  <c r="H494" i="4"/>
  <c r="I494" i="4" s="1"/>
  <c r="H495" i="4"/>
  <c r="I495" i="4" s="1"/>
  <c r="H496" i="4"/>
  <c r="I496" i="4" s="1"/>
  <c r="H497" i="4"/>
  <c r="I497" i="4" s="1"/>
  <c r="H498" i="4"/>
  <c r="I498" i="4" s="1"/>
  <c r="H499" i="4"/>
  <c r="I499" i="4" s="1"/>
  <c r="H500" i="4"/>
  <c r="I500" i="4" s="1"/>
  <c r="H501" i="4"/>
  <c r="I501" i="4" s="1"/>
  <c r="H502" i="4"/>
  <c r="I502" i="4" s="1"/>
  <c r="H503" i="4"/>
  <c r="I503" i="4" s="1"/>
  <c r="H504" i="4"/>
  <c r="I504" i="4" s="1"/>
  <c r="H505" i="4"/>
  <c r="I505" i="4" s="1"/>
  <c r="H506" i="4"/>
  <c r="I506" i="4" s="1"/>
  <c r="H507" i="4"/>
  <c r="I507" i="4" s="1"/>
  <c r="H508" i="4"/>
  <c r="I508" i="4" s="1"/>
  <c r="H509" i="4"/>
  <c r="I509" i="4" s="1"/>
  <c r="H510" i="4"/>
  <c r="I510" i="4" s="1"/>
  <c r="H511" i="4"/>
  <c r="I511" i="4" s="1"/>
  <c r="H512" i="4"/>
  <c r="I512" i="4" s="1"/>
  <c r="H513" i="4"/>
  <c r="I513" i="4" s="1"/>
  <c r="H514" i="4"/>
  <c r="I514" i="4" s="1"/>
  <c r="H515" i="4"/>
  <c r="I515" i="4" s="1"/>
  <c r="H516" i="4"/>
  <c r="I516" i="4" s="1"/>
  <c r="H517" i="4"/>
  <c r="I517" i="4" s="1"/>
  <c r="H518" i="4"/>
  <c r="I518" i="4" s="1"/>
  <c r="H519" i="4"/>
  <c r="I519" i="4" s="1"/>
  <c r="H520" i="4"/>
  <c r="I520" i="4" s="1"/>
  <c r="H521" i="4"/>
  <c r="I521" i="4" s="1"/>
  <c r="H522" i="4"/>
  <c r="I522" i="4" s="1"/>
  <c r="H523" i="4"/>
  <c r="I523" i="4" s="1"/>
  <c r="H524" i="4"/>
  <c r="I524" i="4" s="1"/>
  <c r="H525" i="4"/>
  <c r="I525" i="4" s="1"/>
  <c r="H526" i="4"/>
  <c r="I526" i="4" s="1"/>
  <c r="H527" i="4"/>
  <c r="I527" i="4" s="1"/>
  <c r="H528" i="4"/>
  <c r="I528" i="4" s="1"/>
  <c r="H529" i="4"/>
  <c r="I529" i="4" s="1"/>
  <c r="H530" i="4"/>
  <c r="I530" i="4" s="1"/>
  <c r="H531" i="4"/>
  <c r="I531" i="4" s="1"/>
  <c r="H532" i="4"/>
  <c r="I532" i="4" s="1"/>
  <c r="H533" i="4"/>
  <c r="I533" i="4" s="1"/>
  <c r="H534" i="4"/>
  <c r="I534" i="4" s="1"/>
  <c r="H535" i="4"/>
  <c r="I535" i="4" s="1"/>
  <c r="H536" i="4"/>
  <c r="I536" i="4" s="1"/>
  <c r="H537" i="4"/>
  <c r="I537" i="4" s="1"/>
  <c r="H538" i="4"/>
  <c r="I538" i="4" s="1"/>
  <c r="H539" i="4"/>
  <c r="I539" i="4" s="1"/>
  <c r="H540" i="4"/>
  <c r="I540" i="4" s="1"/>
  <c r="H541" i="4"/>
  <c r="I541" i="4" s="1"/>
  <c r="H542" i="4"/>
  <c r="I542" i="4" s="1"/>
  <c r="H543" i="4"/>
  <c r="I543" i="4" s="1"/>
  <c r="H544" i="4"/>
  <c r="I544" i="4" s="1"/>
  <c r="H545" i="4"/>
  <c r="I545" i="4" s="1"/>
  <c r="H546" i="4"/>
  <c r="I546" i="4" s="1"/>
  <c r="H547" i="4"/>
  <c r="I547" i="4" s="1"/>
  <c r="H548" i="4"/>
  <c r="I548" i="4" s="1"/>
  <c r="H549" i="4"/>
  <c r="I549" i="4" s="1"/>
  <c r="H550" i="4"/>
  <c r="I550" i="4" s="1"/>
  <c r="H551" i="4"/>
  <c r="I551" i="4" s="1"/>
  <c r="H552" i="4"/>
  <c r="I552" i="4" s="1"/>
  <c r="H553" i="4"/>
  <c r="I553" i="4" s="1"/>
  <c r="H554" i="4"/>
  <c r="I554" i="4" s="1"/>
  <c r="H555" i="4"/>
  <c r="I555" i="4" s="1"/>
  <c r="H556" i="4"/>
  <c r="I556" i="4" s="1"/>
  <c r="H557" i="4"/>
  <c r="I557" i="4" s="1"/>
  <c r="H558" i="4"/>
  <c r="I558" i="4" s="1"/>
  <c r="H559" i="4"/>
  <c r="I559" i="4" s="1"/>
  <c r="H560" i="4"/>
  <c r="I560" i="4" s="1"/>
  <c r="H561" i="4"/>
  <c r="I561" i="4" s="1"/>
  <c r="H562" i="4"/>
  <c r="I562" i="4" s="1"/>
  <c r="H563" i="4"/>
  <c r="I563" i="4" s="1"/>
  <c r="H564" i="4"/>
  <c r="I564" i="4" s="1"/>
  <c r="H565" i="4"/>
  <c r="I565" i="4" s="1"/>
  <c r="H566" i="4"/>
  <c r="I566" i="4" s="1"/>
  <c r="H567" i="4"/>
  <c r="I567" i="4" s="1"/>
  <c r="H568" i="4"/>
  <c r="I568" i="4" s="1"/>
  <c r="H569" i="4"/>
  <c r="I569" i="4" s="1"/>
  <c r="H570" i="4"/>
  <c r="I570" i="4" s="1"/>
  <c r="H571" i="4"/>
  <c r="I571" i="4" s="1"/>
  <c r="H572" i="4"/>
  <c r="I572" i="4" s="1"/>
  <c r="H573" i="4"/>
  <c r="I573" i="4" s="1"/>
  <c r="H574" i="4"/>
  <c r="I574" i="4" s="1"/>
  <c r="H575" i="4"/>
  <c r="I575" i="4" s="1"/>
  <c r="H576" i="4"/>
  <c r="I576" i="4" s="1"/>
  <c r="H577" i="4"/>
  <c r="I577" i="4" s="1"/>
  <c r="H578" i="4"/>
  <c r="I578" i="4" s="1"/>
  <c r="H579" i="4"/>
  <c r="I579" i="4" s="1"/>
  <c r="H580" i="4"/>
  <c r="I580" i="4" s="1"/>
  <c r="H581" i="4"/>
  <c r="I581" i="4" s="1"/>
  <c r="H582" i="4"/>
  <c r="I582" i="4" s="1"/>
  <c r="H583" i="4"/>
  <c r="I583" i="4" s="1"/>
  <c r="H584" i="4"/>
  <c r="I584" i="4" s="1"/>
  <c r="H585" i="4"/>
  <c r="I585" i="4" s="1"/>
  <c r="H586" i="4"/>
  <c r="I586" i="4" s="1"/>
  <c r="H587" i="4"/>
  <c r="I587" i="4" s="1"/>
  <c r="H588" i="4"/>
  <c r="I588" i="4" s="1"/>
  <c r="H589" i="4"/>
  <c r="I589" i="4" s="1"/>
  <c r="H590" i="4"/>
  <c r="I590" i="4" s="1"/>
  <c r="H591" i="4"/>
  <c r="I591" i="4" s="1"/>
  <c r="H592" i="4"/>
  <c r="I592" i="4" s="1"/>
  <c r="H593" i="4"/>
  <c r="I593" i="4" s="1"/>
  <c r="H594" i="4"/>
  <c r="I594" i="4" s="1"/>
  <c r="H595" i="4"/>
  <c r="I595" i="4" s="1"/>
  <c r="H596" i="4"/>
  <c r="I596" i="4" s="1"/>
  <c r="H597" i="4"/>
  <c r="I597" i="4" s="1"/>
  <c r="H598" i="4"/>
  <c r="I598" i="4" s="1"/>
  <c r="H599" i="4"/>
  <c r="I599" i="4" s="1"/>
  <c r="H600" i="4"/>
  <c r="I600" i="4" s="1"/>
  <c r="H601" i="4"/>
  <c r="I601" i="4" s="1"/>
  <c r="H602" i="4"/>
  <c r="I602" i="4" s="1"/>
  <c r="H603" i="4"/>
  <c r="I603" i="4" s="1"/>
  <c r="H604" i="4"/>
  <c r="I604" i="4" s="1"/>
  <c r="H605" i="4"/>
  <c r="I605" i="4" s="1"/>
  <c r="H606" i="4"/>
  <c r="I606" i="4" s="1"/>
  <c r="H607" i="4"/>
  <c r="I607" i="4" s="1"/>
  <c r="H608" i="4"/>
  <c r="I608" i="4" s="1"/>
  <c r="H609" i="4"/>
  <c r="I609" i="4" s="1"/>
  <c r="H610" i="4"/>
  <c r="I610" i="4" s="1"/>
  <c r="H611" i="4"/>
  <c r="I611" i="4" s="1"/>
  <c r="H612" i="4"/>
  <c r="I612" i="4" s="1"/>
  <c r="H613" i="4"/>
  <c r="I613" i="4" s="1"/>
  <c r="H614" i="4"/>
  <c r="I614" i="4" s="1"/>
  <c r="H615" i="4"/>
  <c r="I615" i="4" s="1"/>
  <c r="H616" i="4"/>
  <c r="I616" i="4" s="1"/>
  <c r="H617" i="4"/>
  <c r="I617" i="4" s="1"/>
  <c r="H618" i="4"/>
  <c r="I618" i="4" s="1"/>
  <c r="H619" i="4"/>
  <c r="I619" i="4" s="1"/>
  <c r="H620" i="4"/>
  <c r="I620" i="4" s="1"/>
  <c r="H621" i="4"/>
  <c r="I621" i="4" s="1"/>
  <c r="H622" i="4"/>
  <c r="I622" i="4" s="1"/>
  <c r="H623" i="4"/>
  <c r="I623" i="4" s="1"/>
  <c r="H624" i="4"/>
  <c r="I624" i="4" s="1"/>
  <c r="H625" i="4"/>
  <c r="I625" i="4" s="1"/>
  <c r="H626" i="4"/>
  <c r="I626" i="4" s="1"/>
  <c r="H627" i="4"/>
  <c r="I627" i="4" s="1"/>
  <c r="H628" i="4"/>
  <c r="I628" i="4" s="1"/>
  <c r="H629" i="4"/>
  <c r="I629" i="4" s="1"/>
  <c r="H630" i="4"/>
  <c r="I630" i="4" s="1"/>
  <c r="H631" i="4"/>
  <c r="I631" i="4" s="1"/>
  <c r="H632" i="4"/>
  <c r="I632" i="4" s="1"/>
  <c r="H633" i="4"/>
  <c r="I633" i="4" s="1"/>
  <c r="H634" i="4"/>
  <c r="I634" i="4" s="1"/>
  <c r="H635" i="4"/>
  <c r="I635" i="4" s="1"/>
  <c r="H636" i="4"/>
  <c r="I636" i="4" s="1"/>
  <c r="H637" i="4"/>
  <c r="I637" i="4" s="1"/>
  <c r="H638" i="4"/>
  <c r="I638" i="4" s="1"/>
  <c r="H639" i="4"/>
  <c r="I639" i="4" s="1"/>
  <c r="H640" i="4"/>
  <c r="I640" i="4" s="1"/>
  <c r="H641" i="4"/>
  <c r="I641" i="4" s="1"/>
  <c r="H642" i="4"/>
  <c r="I642" i="4" s="1"/>
  <c r="H643" i="4"/>
  <c r="I643" i="4" s="1"/>
  <c r="H644" i="4"/>
  <c r="I644" i="4" s="1"/>
  <c r="H645" i="4"/>
  <c r="I645" i="4" s="1"/>
  <c r="H646" i="4"/>
  <c r="I646" i="4" s="1"/>
  <c r="H647" i="4"/>
  <c r="I647" i="4" s="1"/>
  <c r="H648" i="4"/>
  <c r="I648" i="4" s="1"/>
  <c r="H649" i="4"/>
  <c r="I649" i="4" s="1"/>
  <c r="H650" i="4"/>
  <c r="I650" i="4" s="1"/>
  <c r="H651" i="4"/>
  <c r="I651" i="4" s="1"/>
  <c r="H652" i="4"/>
  <c r="I652" i="4" s="1"/>
  <c r="H653" i="4"/>
  <c r="I653" i="4" s="1"/>
  <c r="H654" i="4"/>
  <c r="I654" i="4" s="1"/>
  <c r="H655" i="4"/>
  <c r="I655" i="4" s="1"/>
  <c r="H656" i="4"/>
  <c r="I656" i="4" s="1"/>
  <c r="H657" i="4"/>
  <c r="I657" i="4" s="1"/>
  <c r="H658" i="4"/>
  <c r="I658" i="4" s="1"/>
  <c r="H659" i="4"/>
  <c r="I659" i="4" s="1"/>
  <c r="H660" i="4"/>
  <c r="I660" i="4" s="1"/>
  <c r="H661" i="4"/>
  <c r="I661" i="4" s="1"/>
  <c r="H662" i="4"/>
  <c r="I662" i="4" s="1"/>
  <c r="H663" i="4"/>
  <c r="I663" i="4" s="1"/>
  <c r="H664" i="4"/>
  <c r="I664" i="4" s="1"/>
  <c r="H665" i="4"/>
  <c r="I665" i="4" s="1"/>
  <c r="H666" i="4"/>
  <c r="I666" i="4" s="1"/>
  <c r="H667" i="4"/>
  <c r="I667" i="4" s="1"/>
  <c r="H668" i="4"/>
  <c r="I668" i="4" s="1"/>
  <c r="H669" i="4"/>
  <c r="I669" i="4" s="1"/>
  <c r="H670" i="4"/>
  <c r="I670" i="4" s="1"/>
  <c r="H671" i="4"/>
  <c r="I671" i="4" s="1"/>
  <c r="H672" i="4"/>
  <c r="I672" i="4" s="1"/>
  <c r="H673" i="4"/>
  <c r="I673" i="4" s="1"/>
  <c r="H674" i="4"/>
  <c r="I674" i="4" s="1"/>
  <c r="H675" i="4"/>
  <c r="I675" i="4" s="1"/>
  <c r="H676" i="4"/>
  <c r="I676" i="4" s="1"/>
  <c r="H677" i="4"/>
  <c r="I677" i="4" s="1"/>
  <c r="H678" i="4"/>
  <c r="I678" i="4" s="1"/>
  <c r="H679" i="4"/>
  <c r="I679" i="4" s="1"/>
  <c r="H680" i="4"/>
  <c r="I680" i="4" s="1"/>
  <c r="H681" i="4"/>
  <c r="I681" i="4" s="1"/>
  <c r="H682" i="4"/>
  <c r="I682" i="4" s="1"/>
  <c r="H683" i="4"/>
  <c r="I683" i="4" s="1"/>
  <c r="H684" i="4"/>
  <c r="I684" i="4" s="1"/>
  <c r="H685" i="4"/>
  <c r="I685" i="4" s="1"/>
  <c r="H686" i="4"/>
  <c r="I686" i="4" s="1"/>
  <c r="H687" i="4"/>
  <c r="I687" i="4" s="1"/>
  <c r="H688" i="4"/>
  <c r="I688" i="4" s="1"/>
  <c r="H689" i="4"/>
  <c r="I689" i="4" s="1"/>
  <c r="H690" i="4"/>
  <c r="I690" i="4" s="1"/>
  <c r="H691" i="4"/>
  <c r="I691" i="4" s="1"/>
  <c r="H692" i="4"/>
  <c r="I692" i="4" s="1"/>
  <c r="H693" i="4"/>
  <c r="I693" i="4" s="1"/>
  <c r="H694" i="4"/>
  <c r="I694" i="4" s="1"/>
  <c r="H695" i="4"/>
  <c r="I695" i="4" s="1"/>
  <c r="H696" i="4"/>
  <c r="I696" i="4" s="1"/>
  <c r="H697" i="4"/>
  <c r="I697" i="4" s="1"/>
  <c r="H698" i="4"/>
  <c r="I698" i="4" s="1"/>
  <c r="H699" i="4"/>
  <c r="I699" i="4" s="1"/>
  <c r="H700" i="4"/>
  <c r="I700" i="4" s="1"/>
  <c r="H701" i="4"/>
  <c r="I701" i="4" s="1"/>
  <c r="H702" i="4"/>
  <c r="I702" i="4" s="1"/>
  <c r="H703" i="4"/>
  <c r="I703" i="4" s="1"/>
  <c r="H704" i="4"/>
  <c r="I704" i="4" s="1"/>
  <c r="H705" i="4"/>
  <c r="I705" i="4" s="1"/>
  <c r="H706" i="4"/>
  <c r="I706" i="4" s="1"/>
  <c r="H707" i="4"/>
  <c r="I707" i="4" s="1"/>
  <c r="H708" i="4"/>
  <c r="I708" i="4" s="1"/>
  <c r="H709" i="4"/>
  <c r="I709" i="4" s="1"/>
  <c r="H710" i="4"/>
  <c r="I710" i="4" s="1"/>
  <c r="H711" i="4"/>
  <c r="I711" i="4" s="1"/>
  <c r="H712" i="4"/>
  <c r="I712" i="4" s="1"/>
  <c r="H713" i="4"/>
  <c r="I713" i="4" s="1"/>
  <c r="H714" i="4"/>
  <c r="I714" i="4" s="1"/>
  <c r="H715" i="4"/>
  <c r="I715" i="4" s="1"/>
  <c r="H716" i="4"/>
  <c r="I716" i="4" s="1"/>
  <c r="H717" i="4"/>
  <c r="I717" i="4" s="1"/>
  <c r="H718" i="4"/>
  <c r="I718" i="4" s="1"/>
  <c r="H719" i="4"/>
  <c r="I719" i="4" s="1"/>
  <c r="H720" i="4"/>
  <c r="I720" i="4" s="1"/>
  <c r="H721" i="4"/>
  <c r="I721" i="4" s="1"/>
  <c r="H722" i="4"/>
  <c r="I722" i="4" s="1"/>
  <c r="H723" i="4"/>
  <c r="I723" i="4" s="1"/>
  <c r="H724" i="4"/>
  <c r="I724" i="4" s="1"/>
  <c r="H725" i="4"/>
  <c r="I725" i="4" s="1"/>
  <c r="H726" i="4"/>
  <c r="I726" i="4" s="1"/>
  <c r="H727" i="4"/>
  <c r="I727" i="4" s="1"/>
  <c r="H728" i="4"/>
  <c r="I728" i="4" s="1"/>
  <c r="H729" i="4"/>
  <c r="I729" i="4" s="1"/>
  <c r="H730" i="4"/>
  <c r="I730" i="4" s="1"/>
  <c r="H731" i="4"/>
  <c r="I731" i="4" s="1"/>
  <c r="H732" i="4"/>
  <c r="I732" i="4" s="1"/>
  <c r="H733" i="4"/>
  <c r="I733" i="4" s="1"/>
  <c r="H734" i="4"/>
  <c r="I734" i="4" s="1"/>
  <c r="H735" i="4"/>
  <c r="I735" i="4" s="1"/>
  <c r="H736" i="4"/>
  <c r="I736" i="4" s="1"/>
  <c r="H737" i="4"/>
  <c r="I737" i="4" s="1"/>
  <c r="H738" i="4"/>
  <c r="I738" i="4" s="1"/>
  <c r="H739" i="4"/>
  <c r="I739" i="4" s="1"/>
  <c r="H740" i="4"/>
  <c r="I740" i="4" s="1"/>
  <c r="H741" i="4"/>
  <c r="I741" i="4" s="1"/>
  <c r="H742" i="4"/>
  <c r="I742" i="4" s="1"/>
  <c r="H743" i="4"/>
  <c r="I743" i="4" s="1"/>
  <c r="H744" i="4"/>
  <c r="I744" i="4" s="1"/>
  <c r="H745" i="4"/>
  <c r="I745" i="4" s="1"/>
  <c r="H746" i="4"/>
  <c r="I746" i="4" s="1"/>
  <c r="H747" i="4"/>
  <c r="I747" i="4" s="1"/>
  <c r="H748" i="4"/>
  <c r="I748" i="4" s="1"/>
  <c r="H749" i="4"/>
  <c r="I749" i="4" s="1"/>
  <c r="H750" i="4"/>
  <c r="I750" i="4" s="1"/>
  <c r="H751" i="4"/>
  <c r="I751" i="4" s="1"/>
  <c r="H752" i="4"/>
  <c r="I752" i="4" s="1"/>
  <c r="H753" i="4"/>
  <c r="I753" i="4" s="1"/>
  <c r="H754" i="4"/>
  <c r="I754" i="4" s="1"/>
  <c r="H755" i="4"/>
  <c r="I755" i="4" s="1"/>
  <c r="H756" i="4"/>
  <c r="I756" i="4" s="1"/>
  <c r="H757" i="4"/>
  <c r="I757" i="4" s="1"/>
  <c r="H758" i="4"/>
  <c r="I758" i="4" s="1"/>
  <c r="H759" i="4"/>
  <c r="I759" i="4" s="1"/>
  <c r="H760" i="4"/>
  <c r="I760" i="4" s="1"/>
  <c r="H761" i="4"/>
  <c r="I761" i="4" s="1"/>
  <c r="H762" i="4"/>
  <c r="I762" i="4" s="1"/>
  <c r="H763" i="4"/>
  <c r="I763" i="4" s="1"/>
  <c r="H764" i="4"/>
  <c r="I764" i="4" s="1"/>
  <c r="H765" i="4"/>
  <c r="I765" i="4" s="1"/>
  <c r="H766" i="4"/>
  <c r="I766" i="4" s="1"/>
  <c r="H767" i="4"/>
  <c r="I767" i="4" s="1"/>
  <c r="H768" i="4"/>
  <c r="I768" i="4" s="1"/>
  <c r="H769" i="4"/>
  <c r="I769" i="4" s="1"/>
  <c r="H770" i="4"/>
  <c r="I770" i="4" s="1"/>
  <c r="H771" i="4"/>
  <c r="I771" i="4" s="1"/>
  <c r="H772" i="4"/>
  <c r="I772" i="4" s="1"/>
  <c r="H773" i="4"/>
  <c r="I773" i="4" s="1"/>
  <c r="H774" i="4"/>
  <c r="I774" i="4" s="1"/>
  <c r="H775" i="4"/>
  <c r="I775" i="4" s="1"/>
  <c r="H776" i="4"/>
  <c r="I776" i="4" s="1"/>
  <c r="H777" i="4"/>
  <c r="I777" i="4" s="1"/>
  <c r="H778" i="4"/>
  <c r="I778" i="4" s="1"/>
  <c r="H779" i="4"/>
  <c r="I779" i="4" s="1"/>
  <c r="H780" i="4"/>
  <c r="I780" i="4" s="1"/>
  <c r="H781" i="4"/>
  <c r="I781" i="4" s="1"/>
  <c r="H782" i="4"/>
  <c r="I782" i="4" s="1"/>
  <c r="H783" i="4"/>
  <c r="I783" i="4" s="1"/>
  <c r="H784" i="4"/>
  <c r="I784" i="4" s="1"/>
  <c r="H785" i="4"/>
  <c r="I785" i="4" s="1"/>
  <c r="H786" i="4"/>
  <c r="I786" i="4" s="1"/>
  <c r="H787" i="4"/>
  <c r="I787" i="4" s="1"/>
  <c r="H788" i="4"/>
  <c r="I788" i="4" s="1"/>
  <c r="H789" i="4"/>
  <c r="I789" i="4" s="1"/>
  <c r="H790" i="4"/>
  <c r="I790" i="4" s="1"/>
  <c r="H791" i="4"/>
  <c r="I791" i="4" s="1"/>
  <c r="H792" i="4"/>
  <c r="I792" i="4" s="1"/>
  <c r="H793" i="4"/>
  <c r="I793" i="4" s="1"/>
  <c r="H794" i="4"/>
  <c r="I794" i="4" s="1"/>
  <c r="H795" i="4"/>
  <c r="I795" i="4" s="1"/>
  <c r="H796" i="4"/>
  <c r="I796" i="4" s="1"/>
  <c r="H797" i="4"/>
  <c r="I797" i="4" s="1"/>
  <c r="H798" i="4"/>
  <c r="I798" i="4" s="1"/>
  <c r="H799" i="4"/>
  <c r="I799" i="4" s="1"/>
  <c r="H800" i="4"/>
  <c r="I800" i="4" s="1"/>
  <c r="H801" i="4"/>
  <c r="I801" i="4" s="1"/>
  <c r="H802" i="4"/>
  <c r="I802" i="4" s="1"/>
  <c r="H803" i="4"/>
  <c r="I803" i="4" s="1"/>
  <c r="H804" i="4"/>
  <c r="I804" i="4" s="1"/>
  <c r="H805" i="4"/>
  <c r="I805" i="4" s="1"/>
  <c r="H806" i="4"/>
  <c r="I806" i="4" s="1"/>
  <c r="H807" i="4"/>
  <c r="I807" i="4" s="1"/>
  <c r="H808" i="4"/>
  <c r="I808" i="4" s="1"/>
  <c r="H809" i="4"/>
  <c r="I809" i="4" s="1"/>
  <c r="H810" i="4"/>
  <c r="I810" i="4" s="1"/>
  <c r="H811" i="4"/>
  <c r="I811" i="4" s="1"/>
  <c r="H812" i="4"/>
  <c r="I812" i="4" s="1"/>
  <c r="H813" i="4"/>
  <c r="I813" i="4" s="1"/>
  <c r="H814" i="4"/>
  <c r="I814" i="4" s="1"/>
  <c r="H815" i="4"/>
  <c r="I815" i="4" s="1"/>
  <c r="H816" i="4"/>
  <c r="I816" i="4" s="1"/>
  <c r="H817" i="4"/>
  <c r="I817" i="4" s="1"/>
  <c r="H818" i="4"/>
  <c r="I818" i="4" s="1"/>
  <c r="H819" i="4"/>
  <c r="I819" i="4" s="1"/>
  <c r="H820" i="4"/>
  <c r="I820" i="4" s="1"/>
  <c r="H821" i="4"/>
  <c r="I821" i="4" s="1"/>
  <c r="H822" i="4"/>
  <c r="I822" i="4" s="1"/>
  <c r="H823" i="4"/>
  <c r="I823" i="4" s="1"/>
  <c r="H824" i="4"/>
  <c r="I824" i="4" s="1"/>
  <c r="H825" i="4"/>
  <c r="I825" i="4" s="1"/>
  <c r="H826" i="4"/>
  <c r="I826" i="4" s="1"/>
  <c r="H827" i="4"/>
  <c r="I827" i="4" s="1"/>
  <c r="H828" i="4"/>
  <c r="I828" i="4" s="1"/>
  <c r="H829" i="4"/>
  <c r="I829" i="4" s="1"/>
  <c r="H830" i="4"/>
  <c r="I830" i="4" s="1"/>
  <c r="H831" i="4"/>
  <c r="I831" i="4" s="1"/>
  <c r="H832" i="4"/>
  <c r="I832" i="4" s="1"/>
  <c r="H833" i="4"/>
  <c r="I833" i="4" s="1"/>
  <c r="H834" i="4"/>
  <c r="I834" i="4" s="1"/>
  <c r="H835" i="4"/>
  <c r="I835" i="4" s="1"/>
  <c r="H836" i="4"/>
  <c r="I836" i="4" s="1"/>
  <c r="H837" i="4"/>
  <c r="I837" i="4" s="1"/>
  <c r="H838" i="4"/>
  <c r="I838" i="4" s="1"/>
  <c r="H839" i="4"/>
  <c r="I839" i="4" s="1"/>
  <c r="H840" i="4"/>
  <c r="I840" i="4" s="1"/>
  <c r="H841" i="4"/>
  <c r="I841" i="4" s="1"/>
  <c r="H842" i="4"/>
  <c r="I842" i="4" s="1"/>
  <c r="H843" i="4"/>
  <c r="I843" i="4" s="1"/>
  <c r="H844" i="4"/>
  <c r="I844" i="4" s="1"/>
  <c r="H845" i="4"/>
  <c r="I845" i="4" s="1"/>
  <c r="H846" i="4"/>
  <c r="I846" i="4" s="1"/>
  <c r="H847" i="4"/>
  <c r="I847" i="4" s="1"/>
  <c r="H848" i="4"/>
  <c r="I848" i="4" s="1"/>
  <c r="H849" i="4"/>
  <c r="I849" i="4" s="1"/>
  <c r="H850" i="4"/>
  <c r="I850" i="4" s="1"/>
  <c r="H851" i="4"/>
  <c r="I851" i="4" s="1"/>
  <c r="H852" i="4"/>
  <c r="I852" i="4" s="1"/>
  <c r="H853" i="4"/>
  <c r="I853" i="4" s="1"/>
  <c r="H854" i="4"/>
  <c r="I854" i="4" s="1"/>
  <c r="H855" i="4"/>
  <c r="I855" i="4" s="1"/>
  <c r="H856" i="4"/>
  <c r="I856" i="4" s="1"/>
  <c r="H857" i="4"/>
  <c r="I857" i="4" s="1"/>
  <c r="H858" i="4"/>
  <c r="I858" i="4" s="1"/>
  <c r="H859" i="4"/>
  <c r="I859" i="4" s="1"/>
  <c r="H860" i="4"/>
  <c r="I860" i="4" s="1"/>
  <c r="H861" i="4"/>
  <c r="I861" i="4" s="1"/>
  <c r="H862" i="4"/>
  <c r="I862" i="4" s="1"/>
  <c r="H863" i="4"/>
  <c r="I863" i="4" s="1"/>
  <c r="H864" i="4"/>
  <c r="I864" i="4" s="1"/>
  <c r="H865" i="4"/>
  <c r="I865" i="4" s="1"/>
  <c r="H866" i="4"/>
  <c r="I866" i="4" s="1"/>
  <c r="H867" i="4"/>
  <c r="I867" i="4" s="1"/>
  <c r="H868" i="4"/>
  <c r="I868" i="4" s="1"/>
  <c r="H869" i="4"/>
  <c r="I869" i="4" s="1"/>
  <c r="H870" i="4"/>
  <c r="I870" i="4" s="1"/>
  <c r="H871" i="4"/>
  <c r="I871" i="4" s="1"/>
  <c r="H872" i="4"/>
  <c r="I872" i="4" s="1"/>
  <c r="H873" i="4"/>
  <c r="I873" i="4" s="1"/>
  <c r="H874" i="4"/>
  <c r="I874" i="4" s="1"/>
  <c r="H875" i="4"/>
  <c r="I875" i="4" s="1"/>
  <c r="H876" i="4"/>
  <c r="I876" i="4" s="1"/>
  <c r="H877" i="4"/>
  <c r="I877" i="4" s="1"/>
  <c r="H878" i="4"/>
  <c r="I878" i="4" s="1"/>
  <c r="H879" i="4"/>
  <c r="I879" i="4" s="1"/>
  <c r="H880" i="4"/>
  <c r="I880" i="4" s="1"/>
  <c r="H881" i="4"/>
  <c r="I881" i="4" s="1"/>
  <c r="H882" i="4"/>
  <c r="I882" i="4" s="1"/>
  <c r="H883" i="4"/>
  <c r="I883" i="4" s="1"/>
  <c r="H884" i="4"/>
  <c r="I884" i="4" s="1"/>
  <c r="H885" i="4"/>
  <c r="I885" i="4" s="1"/>
  <c r="H886" i="4"/>
  <c r="I886" i="4" s="1"/>
  <c r="H887" i="4"/>
  <c r="I887" i="4" s="1"/>
  <c r="H888" i="4"/>
  <c r="I888" i="4" s="1"/>
  <c r="H889" i="4"/>
  <c r="I889" i="4" s="1"/>
  <c r="H890" i="4"/>
  <c r="I890" i="4" s="1"/>
  <c r="H891" i="4"/>
  <c r="I891" i="4" s="1"/>
  <c r="H892" i="4"/>
  <c r="I892" i="4" s="1"/>
  <c r="H893" i="4"/>
  <c r="I893" i="4" s="1"/>
  <c r="H894" i="4"/>
  <c r="I894" i="4" s="1"/>
  <c r="H895" i="4"/>
  <c r="I895" i="4" s="1"/>
  <c r="H896" i="4"/>
  <c r="I896" i="4" s="1"/>
  <c r="H897" i="4"/>
  <c r="I897" i="4" s="1"/>
  <c r="H898" i="4"/>
  <c r="I898" i="4" s="1"/>
  <c r="H899" i="4"/>
  <c r="I899" i="4" s="1"/>
  <c r="H900" i="4"/>
  <c r="I900" i="4" s="1"/>
  <c r="H901" i="4"/>
  <c r="I901" i="4" s="1"/>
  <c r="H902" i="4"/>
  <c r="I902" i="4" s="1"/>
  <c r="H903" i="4"/>
  <c r="I903" i="4" s="1"/>
  <c r="H904" i="4"/>
  <c r="I904" i="4" s="1"/>
  <c r="H905" i="4"/>
  <c r="I905" i="4" s="1"/>
  <c r="H906" i="4"/>
  <c r="I906" i="4" s="1"/>
  <c r="H907" i="4"/>
  <c r="I907" i="4" s="1"/>
  <c r="H908" i="4"/>
  <c r="I908" i="4" s="1"/>
  <c r="H909" i="4"/>
  <c r="I909" i="4" s="1"/>
  <c r="H910" i="4"/>
  <c r="I910" i="4" s="1"/>
  <c r="H911" i="4"/>
  <c r="I911" i="4" s="1"/>
  <c r="H912" i="4"/>
  <c r="I912" i="4" s="1"/>
  <c r="H913" i="4"/>
  <c r="I913" i="4" s="1"/>
  <c r="H914" i="4"/>
  <c r="I914" i="4" s="1"/>
  <c r="H915" i="4"/>
  <c r="I915" i="4" s="1"/>
  <c r="H916" i="4"/>
  <c r="I916" i="4" s="1"/>
  <c r="H917" i="4"/>
  <c r="I917" i="4" s="1"/>
  <c r="H918" i="4"/>
  <c r="I918" i="4" s="1"/>
  <c r="H919" i="4"/>
  <c r="I919" i="4" s="1"/>
  <c r="H920" i="4"/>
  <c r="I920" i="4" s="1"/>
  <c r="H921" i="4"/>
  <c r="I921" i="4" s="1"/>
  <c r="H922" i="4"/>
  <c r="I922" i="4" s="1"/>
  <c r="H923" i="4"/>
  <c r="I923" i="4" s="1"/>
  <c r="H924" i="4"/>
  <c r="I924" i="4" s="1"/>
  <c r="H925" i="4"/>
  <c r="I925" i="4" s="1"/>
  <c r="H926" i="4"/>
  <c r="I926" i="4" s="1"/>
  <c r="H927" i="4"/>
  <c r="I927" i="4" s="1"/>
  <c r="H928" i="4"/>
  <c r="I928" i="4" s="1"/>
  <c r="H929" i="4"/>
  <c r="I929" i="4" s="1"/>
  <c r="H930" i="4"/>
  <c r="I930" i="4" s="1"/>
  <c r="H931" i="4"/>
  <c r="I931" i="4" s="1"/>
  <c r="H932" i="4"/>
  <c r="I932" i="4" s="1"/>
  <c r="H933" i="4"/>
  <c r="I933" i="4" s="1"/>
  <c r="H934" i="4"/>
  <c r="I934" i="4" s="1"/>
  <c r="H935" i="4"/>
  <c r="I935" i="4" s="1"/>
  <c r="H936" i="4"/>
  <c r="I936" i="4" s="1"/>
  <c r="H937" i="4"/>
  <c r="I937" i="4" s="1"/>
  <c r="H938" i="4"/>
  <c r="I938" i="4" s="1"/>
  <c r="H939" i="4"/>
  <c r="I939" i="4" s="1"/>
  <c r="H940" i="4"/>
  <c r="I940" i="4" s="1"/>
  <c r="H941" i="4"/>
  <c r="I941" i="4" s="1"/>
  <c r="H942" i="4"/>
  <c r="I942" i="4" s="1"/>
  <c r="H943" i="4"/>
  <c r="I943" i="4" s="1"/>
  <c r="H944" i="4"/>
  <c r="I944" i="4" s="1"/>
  <c r="H945" i="4"/>
  <c r="I945" i="4" s="1"/>
  <c r="H946" i="4"/>
  <c r="I946" i="4" s="1"/>
  <c r="H947" i="4"/>
  <c r="I947" i="4" s="1"/>
  <c r="H948" i="4"/>
  <c r="I948" i="4" s="1"/>
  <c r="H949" i="4"/>
  <c r="I949" i="4" s="1"/>
  <c r="H950" i="4"/>
  <c r="I950" i="4" s="1"/>
  <c r="H951" i="4"/>
  <c r="I951" i="4" s="1"/>
  <c r="H952" i="4"/>
  <c r="I952" i="4" s="1"/>
  <c r="H953" i="4"/>
  <c r="I953" i="4" s="1"/>
  <c r="H954" i="4"/>
  <c r="I954" i="4" s="1"/>
  <c r="H955" i="4"/>
  <c r="I955" i="4" s="1"/>
  <c r="H956" i="4"/>
  <c r="I956" i="4" s="1"/>
  <c r="H957" i="4"/>
  <c r="I957" i="4" s="1"/>
  <c r="H958" i="4"/>
  <c r="I958" i="4" s="1"/>
  <c r="H959" i="4"/>
  <c r="I959" i="4" s="1"/>
  <c r="H960" i="4"/>
  <c r="I960" i="4" s="1"/>
  <c r="H961" i="4"/>
  <c r="I961" i="4" s="1"/>
  <c r="H962" i="4"/>
  <c r="I962" i="4" s="1"/>
  <c r="H963" i="4"/>
  <c r="I963" i="4" s="1"/>
  <c r="H964" i="4"/>
  <c r="I964" i="4" s="1"/>
  <c r="H965" i="4"/>
  <c r="I965" i="4" s="1"/>
  <c r="H966" i="4"/>
  <c r="I966" i="4" s="1"/>
  <c r="H967" i="4"/>
  <c r="I967" i="4" s="1"/>
  <c r="H968" i="4"/>
  <c r="I968" i="4" s="1"/>
  <c r="H969" i="4"/>
  <c r="I969" i="4" s="1"/>
  <c r="H970" i="4"/>
  <c r="I970" i="4" s="1"/>
  <c r="H971" i="4"/>
  <c r="I971" i="4" s="1"/>
  <c r="H972" i="4"/>
  <c r="I972" i="4" s="1"/>
  <c r="H973" i="4"/>
  <c r="I973" i="4" s="1"/>
  <c r="H974" i="4"/>
  <c r="I974" i="4" s="1"/>
  <c r="H975" i="4"/>
  <c r="I975" i="4" s="1"/>
  <c r="H976" i="4"/>
  <c r="I976" i="4" s="1"/>
  <c r="H977" i="4"/>
  <c r="I977" i="4" s="1"/>
  <c r="H978" i="4"/>
  <c r="I978" i="4" s="1"/>
  <c r="H979" i="4"/>
  <c r="I979" i="4" s="1"/>
  <c r="H980" i="4"/>
  <c r="I980" i="4" s="1"/>
  <c r="H981" i="4"/>
  <c r="I981" i="4" s="1"/>
  <c r="H982" i="4"/>
  <c r="I982" i="4" s="1"/>
  <c r="H983" i="4"/>
  <c r="I983" i="4" s="1"/>
  <c r="H984" i="4"/>
  <c r="I984" i="4" s="1"/>
  <c r="H985" i="4"/>
  <c r="I985" i="4" s="1"/>
  <c r="H986" i="4"/>
  <c r="I986" i="4" s="1"/>
  <c r="H987" i="4"/>
  <c r="I987" i="4" s="1"/>
  <c r="H988" i="4"/>
  <c r="I988" i="4" s="1"/>
  <c r="H989" i="4"/>
  <c r="I989" i="4" s="1"/>
  <c r="H990" i="4"/>
  <c r="I990" i="4" s="1"/>
  <c r="H991" i="4"/>
  <c r="I991" i="4" s="1"/>
  <c r="H992" i="4"/>
  <c r="I992" i="4" s="1"/>
  <c r="H993" i="4"/>
  <c r="I993" i="4" s="1"/>
  <c r="H994" i="4"/>
  <c r="I994" i="4" s="1"/>
  <c r="H995" i="4"/>
  <c r="I995" i="4" s="1"/>
  <c r="H996" i="4"/>
  <c r="I996" i="4" s="1"/>
  <c r="H997" i="4"/>
  <c r="I997" i="4" s="1"/>
  <c r="H998" i="4"/>
  <c r="I998" i="4" s="1"/>
  <c r="H999" i="4"/>
  <c r="I999" i="4" s="1"/>
  <c r="H1000" i="4"/>
  <c r="I1000" i="4" s="1"/>
  <c r="H1001" i="4"/>
  <c r="I1001" i="4" s="1"/>
  <c r="H1002" i="4"/>
  <c r="I1002" i="4" s="1"/>
  <c r="H1003" i="4"/>
  <c r="I1003" i="4" s="1"/>
  <c r="H1004" i="4"/>
  <c r="I1004" i="4" s="1"/>
  <c r="H1005" i="4"/>
  <c r="I1005" i="4" s="1"/>
  <c r="H1006" i="4"/>
  <c r="I1006" i="4" s="1"/>
  <c r="H1007" i="4"/>
  <c r="I1007" i="4" s="1"/>
  <c r="H1008" i="4"/>
  <c r="I1008" i="4" s="1"/>
  <c r="H1009" i="4"/>
  <c r="I1009" i="4" s="1"/>
  <c r="H1010" i="4"/>
  <c r="I1010" i="4" s="1"/>
  <c r="H1011" i="4"/>
  <c r="I1011" i="4" s="1"/>
  <c r="H1012" i="4"/>
  <c r="I1012" i="4" s="1"/>
  <c r="H1013" i="4"/>
  <c r="I1013" i="4" s="1"/>
  <c r="H1014" i="4"/>
  <c r="I1014" i="4" s="1"/>
  <c r="H1015" i="4"/>
  <c r="I1015" i="4" s="1"/>
  <c r="H1016" i="4"/>
  <c r="I1016" i="4" s="1"/>
  <c r="H1017" i="4"/>
  <c r="I1017" i="4" s="1"/>
  <c r="H1018" i="4"/>
  <c r="I1018" i="4" s="1"/>
  <c r="H1019" i="4"/>
  <c r="I1019" i="4" s="1"/>
  <c r="H1020" i="4"/>
  <c r="I1020" i="4" s="1"/>
  <c r="H1021" i="4"/>
  <c r="I1021" i="4" s="1"/>
  <c r="H1022" i="4"/>
  <c r="I1022" i="4" s="1"/>
  <c r="H1023" i="4"/>
  <c r="I1023" i="4" s="1"/>
  <c r="H1024" i="4"/>
  <c r="I1024" i="4" s="1"/>
  <c r="H1025" i="4"/>
  <c r="I1025" i="4" s="1"/>
  <c r="H1026" i="4"/>
  <c r="I1026" i="4" s="1"/>
  <c r="H1027" i="4"/>
  <c r="I1027" i="4" s="1"/>
  <c r="H1028" i="4"/>
  <c r="I1028" i="4" s="1"/>
  <c r="H1029" i="4"/>
  <c r="I1029" i="4" s="1"/>
  <c r="H1030" i="4"/>
  <c r="I1030" i="4" s="1"/>
  <c r="H1031" i="4"/>
  <c r="I1031" i="4" s="1"/>
  <c r="H1032" i="4"/>
  <c r="I1032" i="4" s="1"/>
  <c r="H1033" i="4"/>
  <c r="I1033" i="4" s="1"/>
  <c r="H1034" i="4"/>
  <c r="I1034" i="4" s="1"/>
  <c r="H1035" i="4"/>
  <c r="I1035" i="4" s="1"/>
  <c r="H1036" i="4"/>
  <c r="I1036" i="4" s="1"/>
  <c r="H1037" i="4"/>
  <c r="I1037" i="4" s="1"/>
  <c r="H1038" i="4"/>
  <c r="I1038" i="4" s="1"/>
  <c r="H1039" i="4"/>
  <c r="I1039" i="4" s="1"/>
  <c r="H1040" i="4"/>
  <c r="I1040" i="4" s="1"/>
  <c r="H1041" i="4"/>
  <c r="I1041" i="4" s="1"/>
  <c r="H1042" i="4"/>
  <c r="I1042" i="4" s="1"/>
  <c r="H1043" i="4"/>
  <c r="I1043" i="4" s="1"/>
  <c r="H1044" i="4"/>
  <c r="I1044" i="4" s="1"/>
  <c r="H1045" i="4"/>
  <c r="I1045" i="4" s="1"/>
  <c r="H1046" i="4"/>
  <c r="I1046" i="4" s="1"/>
  <c r="H1047" i="4"/>
  <c r="I1047" i="4" s="1"/>
  <c r="H1048" i="4"/>
  <c r="I1048" i="4" s="1"/>
  <c r="H1049" i="4"/>
  <c r="I1049" i="4" s="1"/>
  <c r="H1050" i="4"/>
  <c r="I1050" i="4" s="1"/>
  <c r="H1051" i="4"/>
  <c r="I1051" i="4" s="1"/>
  <c r="H1052" i="4"/>
  <c r="I1052" i="4" s="1"/>
  <c r="H1053" i="4"/>
  <c r="I1053" i="4" s="1"/>
  <c r="H1054" i="4"/>
  <c r="I1054" i="4" s="1"/>
  <c r="H1055" i="4"/>
  <c r="I1055" i="4" s="1"/>
  <c r="H1056" i="4"/>
  <c r="I1056" i="4" s="1"/>
  <c r="H1057" i="4"/>
  <c r="I1057" i="4" s="1"/>
  <c r="H1058" i="4"/>
  <c r="I1058" i="4" s="1"/>
  <c r="H1059" i="4"/>
  <c r="I1059" i="4" s="1"/>
  <c r="H1060" i="4"/>
  <c r="I1060" i="4" s="1"/>
  <c r="H1061" i="4"/>
  <c r="I1061" i="4" s="1"/>
  <c r="H1062" i="4"/>
  <c r="I1062" i="4" s="1"/>
  <c r="H1063" i="4"/>
  <c r="I1063" i="4" s="1"/>
  <c r="H1064" i="4"/>
  <c r="I1064" i="4" s="1"/>
  <c r="H1065" i="4"/>
  <c r="I1065" i="4" s="1"/>
  <c r="H1066" i="4"/>
  <c r="I1066" i="4" s="1"/>
  <c r="H1067" i="4"/>
  <c r="I1067" i="4" s="1"/>
  <c r="H1068" i="4"/>
  <c r="I1068" i="4" s="1"/>
  <c r="H1069" i="4"/>
  <c r="I1069" i="4" s="1"/>
  <c r="H1070" i="4"/>
  <c r="I1070" i="4" s="1"/>
  <c r="H1071" i="4"/>
  <c r="I1071" i="4" s="1"/>
  <c r="H1072" i="4"/>
  <c r="I1072" i="4" s="1"/>
  <c r="H1073" i="4"/>
  <c r="I1073" i="4" s="1"/>
  <c r="H1074" i="4"/>
  <c r="I1074" i="4" s="1"/>
  <c r="H1075" i="4"/>
  <c r="I1075" i="4" s="1"/>
  <c r="H1076" i="4"/>
  <c r="I1076" i="4" s="1"/>
  <c r="H1077" i="4"/>
  <c r="I1077" i="4" s="1"/>
  <c r="H1078" i="4"/>
  <c r="I1078" i="4" s="1"/>
  <c r="H1079" i="4"/>
  <c r="I1079" i="4" s="1"/>
  <c r="H1080" i="4"/>
  <c r="I1080" i="4" s="1"/>
  <c r="H1081" i="4"/>
  <c r="I1081" i="4" s="1"/>
  <c r="H1082" i="4"/>
  <c r="I1082" i="4" s="1"/>
  <c r="H1083" i="4"/>
  <c r="I1083" i="4" s="1"/>
  <c r="H1084" i="4"/>
  <c r="I1084" i="4" s="1"/>
  <c r="H1085" i="4"/>
  <c r="I1085" i="4" s="1"/>
  <c r="H1086" i="4"/>
  <c r="I1086" i="4" s="1"/>
  <c r="H1087" i="4"/>
  <c r="I1087" i="4" s="1"/>
  <c r="H1088" i="4"/>
  <c r="I1088" i="4" s="1"/>
  <c r="H1089" i="4"/>
  <c r="I1089" i="4" s="1"/>
  <c r="H1090" i="4"/>
  <c r="I1090" i="4" s="1"/>
  <c r="H1091" i="4"/>
  <c r="I1091" i="4" s="1"/>
  <c r="H1092" i="4"/>
  <c r="I1092" i="4" s="1"/>
  <c r="H1093" i="4"/>
  <c r="I1093" i="4" s="1"/>
  <c r="H1094" i="4"/>
  <c r="I1094" i="4" s="1"/>
  <c r="H1095" i="4"/>
  <c r="I1095" i="4" s="1"/>
  <c r="H1096" i="4"/>
  <c r="I1096" i="4" s="1"/>
  <c r="H1097" i="4"/>
  <c r="I1097" i="4" s="1"/>
  <c r="H1098" i="4"/>
  <c r="I1098" i="4" s="1"/>
  <c r="H1099" i="4"/>
  <c r="I1099" i="4" s="1"/>
  <c r="H1100" i="4"/>
  <c r="I1100" i="4" s="1"/>
  <c r="H1101" i="4"/>
  <c r="I1101" i="4" s="1"/>
  <c r="H1102" i="4"/>
  <c r="I1102" i="4" s="1"/>
  <c r="H1103" i="4"/>
  <c r="I1103" i="4" s="1"/>
  <c r="H1104" i="4"/>
  <c r="I1104" i="4" s="1"/>
  <c r="H1105" i="4"/>
  <c r="I1105" i="4" s="1"/>
  <c r="H1106" i="4"/>
  <c r="I1106" i="4" s="1"/>
  <c r="H1107" i="4"/>
  <c r="I1107" i="4" s="1"/>
  <c r="H1108" i="4"/>
  <c r="I1108" i="4" s="1"/>
  <c r="H1109" i="4"/>
  <c r="I1109" i="4" s="1"/>
  <c r="H1110" i="4"/>
  <c r="I1110" i="4" s="1"/>
  <c r="H1111" i="4"/>
  <c r="I1111" i="4" s="1"/>
  <c r="H1112" i="4"/>
  <c r="I1112" i="4" s="1"/>
  <c r="H1113" i="4"/>
  <c r="I1113" i="4" s="1"/>
  <c r="H1114" i="4"/>
  <c r="I1114" i="4" s="1"/>
  <c r="H1115" i="4"/>
  <c r="I1115" i="4" s="1"/>
  <c r="H1116" i="4"/>
  <c r="I1116" i="4" s="1"/>
  <c r="H1117" i="4"/>
  <c r="I1117" i="4" s="1"/>
  <c r="H1118" i="4"/>
  <c r="I1118" i="4" s="1"/>
  <c r="H1119" i="4"/>
  <c r="I1119" i="4" s="1"/>
  <c r="H1120" i="4"/>
  <c r="I1120" i="4" s="1"/>
  <c r="H1121" i="4"/>
  <c r="I1121" i="4" s="1"/>
  <c r="H1122" i="4"/>
  <c r="I1122" i="4" s="1"/>
  <c r="H1123" i="4"/>
  <c r="I1123" i="4" s="1"/>
  <c r="H1124" i="4"/>
  <c r="I1124" i="4" s="1"/>
  <c r="H1125" i="4"/>
  <c r="I1125" i="4" s="1"/>
  <c r="H1126" i="4"/>
  <c r="I1126" i="4" s="1"/>
  <c r="H1127" i="4"/>
  <c r="I1127" i="4" s="1"/>
  <c r="H1128" i="4"/>
  <c r="I1128" i="4" s="1"/>
  <c r="H1129" i="4"/>
  <c r="I1129" i="4" s="1"/>
  <c r="H1130" i="4"/>
  <c r="I1130" i="4" s="1"/>
  <c r="H1131" i="4"/>
  <c r="I1131" i="4" s="1"/>
  <c r="H1132" i="4"/>
  <c r="I1132" i="4" s="1"/>
  <c r="H1133" i="4"/>
  <c r="I1133" i="4" s="1"/>
  <c r="H1134" i="4"/>
  <c r="I1134" i="4" s="1"/>
  <c r="H1135" i="4"/>
  <c r="I1135" i="4" s="1"/>
  <c r="H1136" i="4"/>
  <c r="I1136" i="4" s="1"/>
  <c r="H1137" i="4"/>
  <c r="I1137" i="4" s="1"/>
  <c r="H1138" i="4"/>
  <c r="I1138" i="4" s="1"/>
  <c r="H1139" i="4"/>
  <c r="I1139" i="4" s="1"/>
  <c r="H1140" i="4"/>
  <c r="I1140" i="4" s="1"/>
  <c r="H1141" i="4"/>
  <c r="I1141" i="4" s="1"/>
  <c r="H1142" i="4"/>
  <c r="I1142" i="4" s="1"/>
  <c r="H1143" i="4"/>
  <c r="I1143" i="4" s="1"/>
  <c r="H1144" i="4"/>
  <c r="I1144" i="4" s="1"/>
  <c r="H1145" i="4"/>
  <c r="I1145" i="4" s="1"/>
  <c r="H1146" i="4"/>
  <c r="I1146" i="4" s="1"/>
  <c r="H1147" i="4"/>
  <c r="I1147" i="4" s="1"/>
  <c r="H1148" i="4"/>
  <c r="I1148" i="4" s="1"/>
  <c r="H1149" i="4"/>
  <c r="I1149" i="4" s="1"/>
  <c r="H1150" i="4"/>
  <c r="I1150" i="4" s="1"/>
  <c r="H1151" i="4"/>
  <c r="I1151" i="4" s="1"/>
  <c r="H1152" i="4"/>
  <c r="I1152" i="4" s="1"/>
  <c r="H1153" i="4"/>
  <c r="I1153" i="4" s="1"/>
  <c r="H1154" i="4"/>
  <c r="I1154" i="4" s="1"/>
  <c r="H1155" i="4"/>
  <c r="I1155" i="4" s="1"/>
  <c r="H1156" i="4"/>
  <c r="I1156" i="4" s="1"/>
  <c r="H1157" i="4"/>
  <c r="I1157" i="4" s="1"/>
  <c r="H1158" i="4"/>
  <c r="I1158" i="4" s="1"/>
  <c r="H1159" i="4"/>
  <c r="I1159" i="4" s="1"/>
  <c r="H1160" i="4"/>
  <c r="I1160" i="4" s="1"/>
  <c r="H1161" i="4"/>
  <c r="I1161" i="4" s="1"/>
  <c r="H1162" i="4"/>
  <c r="I1162" i="4" s="1"/>
  <c r="H1163" i="4"/>
  <c r="I1163" i="4" s="1"/>
  <c r="H1164" i="4"/>
  <c r="I1164" i="4" s="1"/>
  <c r="H1165" i="4"/>
  <c r="I1165" i="4" s="1"/>
  <c r="H1166" i="4"/>
  <c r="I1166" i="4" s="1"/>
  <c r="H1167" i="4"/>
  <c r="I1167" i="4" s="1"/>
  <c r="H1168" i="4"/>
  <c r="I1168" i="4" s="1"/>
  <c r="H1169" i="4"/>
  <c r="I1169" i="4" s="1"/>
  <c r="H1170" i="4"/>
  <c r="I1170" i="4" s="1"/>
  <c r="H1171" i="4"/>
  <c r="I1171" i="4" s="1"/>
  <c r="H1172" i="4"/>
  <c r="I1172" i="4" s="1"/>
  <c r="H1173" i="4"/>
  <c r="I1173" i="4" s="1"/>
  <c r="H1174" i="4"/>
  <c r="I1174" i="4" s="1"/>
  <c r="H1175" i="4"/>
  <c r="I1175" i="4" s="1"/>
  <c r="H1176" i="4"/>
  <c r="I1176" i="4" s="1"/>
  <c r="H1177" i="4"/>
  <c r="I1177" i="4" s="1"/>
  <c r="H1178" i="4"/>
  <c r="I1178" i="4" s="1"/>
  <c r="H1179" i="4"/>
  <c r="I1179" i="4" s="1"/>
  <c r="H1180" i="4"/>
  <c r="I1180" i="4" s="1"/>
  <c r="H1181" i="4"/>
  <c r="I1181" i="4" s="1"/>
  <c r="H1182" i="4"/>
  <c r="I1182" i="4" s="1"/>
  <c r="H1183" i="4"/>
  <c r="I1183" i="4" s="1"/>
  <c r="H1184" i="4"/>
  <c r="I1184" i="4" s="1"/>
  <c r="H1185" i="4"/>
  <c r="I1185" i="4" s="1"/>
  <c r="H1186" i="4"/>
  <c r="I1186" i="4" s="1"/>
  <c r="H1187" i="4"/>
  <c r="I1187" i="4" s="1"/>
  <c r="H1188" i="4"/>
  <c r="I1188" i="4" s="1"/>
  <c r="H1189" i="4"/>
  <c r="I1189" i="4" s="1"/>
  <c r="H1190" i="4"/>
  <c r="I1190" i="4" s="1"/>
  <c r="H1191" i="4"/>
  <c r="I1191" i="4" s="1"/>
  <c r="H1192" i="4"/>
  <c r="I1192" i="4" s="1"/>
  <c r="H1193" i="4"/>
  <c r="I1193" i="4" s="1"/>
  <c r="H1194" i="4"/>
  <c r="I1194" i="4" s="1"/>
  <c r="H1195" i="4"/>
  <c r="I1195" i="4" s="1"/>
  <c r="H1196" i="4"/>
  <c r="I1196" i="4" s="1"/>
  <c r="H1197" i="4"/>
  <c r="I1197" i="4" s="1"/>
  <c r="H1198" i="4"/>
  <c r="I1198" i="4" s="1"/>
  <c r="H1199" i="4"/>
  <c r="I1199" i="4" s="1"/>
  <c r="H1200" i="4"/>
  <c r="I1200" i="4" s="1"/>
  <c r="H1201" i="4"/>
  <c r="I1201" i="4" s="1"/>
  <c r="H1202" i="4"/>
  <c r="I1202" i="4" s="1"/>
  <c r="H1203" i="4"/>
  <c r="I1203" i="4" s="1"/>
  <c r="H1204" i="4"/>
  <c r="I1204" i="4" s="1"/>
  <c r="H1205" i="4"/>
  <c r="I1205" i="4" s="1"/>
  <c r="H1206" i="4"/>
  <c r="I1206" i="4" s="1"/>
  <c r="H1207" i="4"/>
  <c r="I1207" i="4" s="1"/>
  <c r="H1208" i="4"/>
  <c r="I1208" i="4" s="1"/>
  <c r="H1209" i="4"/>
  <c r="I1209" i="4" s="1"/>
  <c r="H1210" i="4"/>
  <c r="I1210" i="4" s="1"/>
  <c r="H1211" i="4"/>
  <c r="I1211" i="4" s="1"/>
  <c r="H1212" i="4"/>
  <c r="I1212" i="4" s="1"/>
  <c r="H1213" i="4"/>
  <c r="I1213" i="4" s="1"/>
  <c r="H1214" i="4"/>
  <c r="I1214" i="4" s="1"/>
  <c r="H1215" i="4"/>
  <c r="I1215" i="4" s="1"/>
  <c r="H1216" i="4"/>
  <c r="I1216" i="4" s="1"/>
  <c r="H1217" i="4"/>
  <c r="I1217" i="4" s="1"/>
  <c r="H1218" i="4"/>
  <c r="I1218" i="4" s="1"/>
  <c r="H1219" i="4"/>
  <c r="I1219" i="4" s="1"/>
  <c r="H1220" i="4"/>
  <c r="I1220" i="4" s="1"/>
  <c r="H1221" i="4"/>
  <c r="I1221" i="4" s="1"/>
  <c r="H1222" i="4"/>
  <c r="I1222" i="4" s="1"/>
  <c r="H1223" i="4"/>
  <c r="I1223" i="4" s="1"/>
  <c r="H1224" i="4"/>
  <c r="I1224" i="4" s="1"/>
  <c r="H1225" i="4"/>
  <c r="I1225" i="4" s="1"/>
  <c r="H1226" i="4"/>
  <c r="I1226" i="4" s="1"/>
  <c r="H1227" i="4"/>
  <c r="I1227" i="4" s="1"/>
  <c r="H1228" i="4"/>
  <c r="I1228" i="4" s="1"/>
  <c r="H1229" i="4"/>
  <c r="I1229" i="4" s="1"/>
  <c r="H1230" i="4"/>
  <c r="I1230" i="4" s="1"/>
  <c r="H1231" i="4"/>
  <c r="I1231" i="4" s="1"/>
  <c r="H1232" i="4"/>
  <c r="I1232" i="4" s="1"/>
  <c r="H1233" i="4"/>
  <c r="I1233" i="4" s="1"/>
  <c r="H1234" i="4"/>
  <c r="I1234" i="4" s="1"/>
  <c r="H1235" i="4"/>
  <c r="I1235" i="4" s="1"/>
  <c r="H1236" i="4"/>
  <c r="I1236" i="4" s="1"/>
  <c r="H1237" i="4"/>
  <c r="I1237" i="4" s="1"/>
  <c r="H1238" i="4"/>
  <c r="I1238" i="4" s="1"/>
  <c r="H1239" i="4"/>
  <c r="I1239" i="4" s="1"/>
  <c r="H1240" i="4"/>
  <c r="I1240" i="4" s="1"/>
  <c r="H1241" i="4"/>
  <c r="I1241" i="4" s="1"/>
  <c r="H1242" i="4"/>
  <c r="I1242" i="4" s="1"/>
  <c r="H1243" i="4"/>
  <c r="I1243" i="4" s="1"/>
  <c r="H1244" i="4"/>
  <c r="I1244" i="4" s="1"/>
  <c r="H1245" i="4"/>
  <c r="I1245" i="4" s="1"/>
  <c r="H1246" i="4"/>
  <c r="I1246" i="4" s="1"/>
  <c r="H1247" i="4"/>
  <c r="I1247" i="4" s="1"/>
  <c r="H1248" i="4"/>
  <c r="I1248" i="4" s="1"/>
  <c r="H1249" i="4"/>
  <c r="I1249" i="4" s="1"/>
  <c r="H1250" i="4"/>
  <c r="I1250" i="4" s="1"/>
  <c r="H1251" i="4"/>
  <c r="I1251" i="4" s="1"/>
  <c r="H1252" i="4"/>
  <c r="I1252" i="4" s="1"/>
  <c r="H1253" i="4"/>
  <c r="I1253" i="4" s="1"/>
  <c r="H1254" i="4"/>
  <c r="I1254" i="4" s="1"/>
  <c r="H1255" i="4"/>
  <c r="I1255" i="4" s="1"/>
  <c r="H1256" i="4"/>
  <c r="I1256" i="4" s="1"/>
  <c r="H1257" i="4"/>
  <c r="I1257" i="4" s="1"/>
  <c r="H1258" i="4"/>
  <c r="I1258" i="4" s="1"/>
  <c r="H1259" i="4"/>
  <c r="I1259" i="4" s="1"/>
  <c r="H1260" i="4"/>
  <c r="I1260" i="4" s="1"/>
  <c r="H1261" i="4"/>
  <c r="I1261" i="4" s="1"/>
  <c r="H1262" i="4"/>
  <c r="I1262" i="4" s="1"/>
  <c r="H1263" i="4"/>
  <c r="I1263" i="4" s="1"/>
  <c r="H1264" i="4"/>
  <c r="I1264" i="4" s="1"/>
  <c r="H1265" i="4"/>
  <c r="I1265" i="4" s="1"/>
  <c r="H1266" i="4"/>
  <c r="I1266" i="4" s="1"/>
  <c r="H1267" i="4"/>
  <c r="I1267" i="4" s="1"/>
  <c r="H1268" i="4"/>
  <c r="I1268" i="4" s="1"/>
  <c r="H1269" i="4"/>
  <c r="I1269" i="4" s="1"/>
  <c r="H1270" i="4"/>
  <c r="I1270" i="4" s="1"/>
  <c r="H1271" i="4"/>
  <c r="I1271" i="4" s="1"/>
  <c r="H1272" i="4"/>
  <c r="I1272" i="4" s="1"/>
  <c r="H1273" i="4"/>
  <c r="I1273" i="4" s="1"/>
  <c r="H1274" i="4"/>
  <c r="I1274" i="4" s="1"/>
  <c r="H1275" i="4"/>
  <c r="I1275" i="4" s="1"/>
  <c r="H1276" i="4"/>
  <c r="I1276" i="4" s="1"/>
  <c r="H1277" i="4"/>
  <c r="I1277" i="4" s="1"/>
  <c r="H1278" i="4"/>
  <c r="I1278" i="4" s="1"/>
  <c r="H1279" i="4"/>
  <c r="I1279" i="4" s="1"/>
  <c r="H1280" i="4"/>
  <c r="I1280" i="4" s="1"/>
  <c r="H1281" i="4"/>
  <c r="I1281" i="4" s="1"/>
  <c r="H1282" i="4"/>
  <c r="I1282" i="4" s="1"/>
  <c r="H1283" i="4"/>
  <c r="I1283" i="4" s="1"/>
  <c r="H1284" i="4"/>
  <c r="I1284" i="4" s="1"/>
  <c r="H1285" i="4"/>
  <c r="I1285" i="4" s="1"/>
  <c r="H1286" i="4"/>
  <c r="I1286" i="4" s="1"/>
  <c r="H1287" i="4"/>
  <c r="I1287" i="4" s="1"/>
  <c r="H1288" i="4"/>
  <c r="I1288" i="4" s="1"/>
  <c r="H1289" i="4"/>
  <c r="I1289" i="4" s="1"/>
  <c r="H1290" i="4"/>
  <c r="I1290" i="4" s="1"/>
  <c r="H1291" i="4"/>
  <c r="I1291" i="4" s="1"/>
  <c r="H1292" i="4"/>
  <c r="I1292" i="4" s="1"/>
  <c r="H1293" i="4"/>
  <c r="I1293" i="4" s="1"/>
  <c r="H1294" i="4"/>
  <c r="I1294" i="4" s="1"/>
  <c r="H1295" i="4"/>
  <c r="I1295" i="4" s="1"/>
  <c r="H1296" i="4"/>
  <c r="I1296" i="4" s="1"/>
  <c r="H1297" i="4"/>
  <c r="I1297" i="4" s="1"/>
  <c r="H1298" i="4"/>
  <c r="I1298" i="4" s="1"/>
  <c r="H1299" i="4"/>
  <c r="I1299" i="4" s="1"/>
  <c r="H1300" i="4"/>
  <c r="I1300" i="4" s="1"/>
  <c r="H1301" i="4"/>
  <c r="I1301" i="4" s="1"/>
  <c r="H1302" i="4"/>
  <c r="I1302" i="4" s="1"/>
  <c r="H1303" i="4"/>
  <c r="I1303" i="4" s="1"/>
  <c r="H1304" i="4"/>
  <c r="I1304" i="4" s="1"/>
  <c r="H1305" i="4"/>
  <c r="I1305" i="4" s="1"/>
  <c r="H1306" i="4"/>
  <c r="I1306" i="4" s="1"/>
  <c r="H1307" i="4"/>
  <c r="I1307" i="4" s="1"/>
  <c r="H1308" i="4"/>
  <c r="I1308" i="4" s="1"/>
  <c r="H1309" i="4"/>
  <c r="I1309" i="4" s="1"/>
  <c r="H1310" i="4"/>
  <c r="I1310" i="4" s="1"/>
  <c r="H1311" i="4"/>
  <c r="I1311" i="4" s="1"/>
  <c r="H1312" i="4"/>
  <c r="I1312" i="4" s="1"/>
  <c r="H1313" i="4"/>
  <c r="I1313" i="4" s="1"/>
  <c r="H1314" i="4"/>
  <c r="I1314" i="4" s="1"/>
  <c r="H1315" i="4"/>
  <c r="I1315" i="4" s="1"/>
  <c r="H1316" i="4"/>
  <c r="I1316" i="4" s="1"/>
  <c r="H1317" i="4"/>
  <c r="I1317" i="4" s="1"/>
  <c r="H1318" i="4"/>
  <c r="I1318" i="4" s="1"/>
  <c r="H1319" i="4"/>
  <c r="I1319" i="4" s="1"/>
  <c r="H1320" i="4"/>
  <c r="I1320" i="4" s="1"/>
  <c r="H1321" i="4"/>
  <c r="I1321" i="4" s="1"/>
  <c r="H1322" i="4"/>
  <c r="I1322" i="4" s="1"/>
  <c r="H1323" i="4"/>
  <c r="I1323" i="4" s="1"/>
  <c r="H1324" i="4"/>
  <c r="I1324" i="4" s="1"/>
  <c r="H1325" i="4"/>
  <c r="I1325" i="4" s="1"/>
  <c r="H1326" i="4"/>
  <c r="I1326" i="4" s="1"/>
  <c r="H1327" i="4"/>
  <c r="I1327" i="4" s="1"/>
  <c r="H1328" i="4"/>
  <c r="I1328" i="4" s="1"/>
  <c r="H1329" i="4"/>
  <c r="I1329" i="4" s="1"/>
  <c r="H1330" i="4"/>
  <c r="I1330" i="4" s="1"/>
  <c r="H1331" i="4"/>
  <c r="I1331" i="4" s="1"/>
  <c r="H1332" i="4"/>
  <c r="I1332" i="4" s="1"/>
  <c r="H1333" i="4"/>
  <c r="I1333" i="4" s="1"/>
  <c r="H1334" i="4"/>
  <c r="I1334" i="4" s="1"/>
  <c r="H1335" i="4"/>
  <c r="I1335" i="4" s="1"/>
  <c r="H1336" i="4"/>
  <c r="I1336" i="4" s="1"/>
  <c r="H1337" i="4"/>
  <c r="I1337" i="4" s="1"/>
  <c r="H1338" i="4"/>
  <c r="I1338" i="4" s="1"/>
  <c r="H1339" i="4"/>
  <c r="I1339" i="4" s="1"/>
  <c r="H1340" i="4"/>
  <c r="I1340" i="4" s="1"/>
  <c r="H1341" i="4"/>
  <c r="I1341" i="4" s="1"/>
  <c r="H1342" i="4"/>
  <c r="I1342" i="4" s="1"/>
  <c r="H1343" i="4"/>
  <c r="I1343" i="4" s="1"/>
  <c r="H1344" i="4"/>
  <c r="I1344" i="4" s="1"/>
  <c r="H1345" i="4"/>
  <c r="I1345" i="4" s="1"/>
  <c r="H1346" i="4"/>
  <c r="I1346" i="4" s="1"/>
  <c r="H1347" i="4"/>
  <c r="I1347" i="4" s="1"/>
  <c r="H1348" i="4"/>
  <c r="I1348" i="4" s="1"/>
  <c r="H1349" i="4"/>
  <c r="I1349" i="4" s="1"/>
  <c r="H1350" i="4"/>
  <c r="I1350" i="4" s="1"/>
  <c r="H1351" i="4"/>
  <c r="I1351" i="4" s="1"/>
  <c r="H1352" i="4"/>
  <c r="I1352" i="4" s="1"/>
  <c r="H1353" i="4"/>
  <c r="I1353" i="4" s="1"/>
  <c r="H1354" i="4"/>
  <c r="I1354" i="4" s="1"/>
  <c r="H1355" i="4"/>
  <c r="I1355" i="4" s="1"/>
  <c r="H1356" i="4"/>
  <c r="I1356" i="4" s="1"/>
  <c r="H1357" i="4"/>
  <c r="I1357" i="4" s="1"/>
  <c r="H1358" i="4"/>
  <c r="I1358" i="4" s="1"/>
  <c r="H1359" i="4"/>
  <c r="I1359" i="4" s="1"/>
  <c r="H1360" i="4"/>
  <c r="I1360" i="4" s="1"/>
  <c r="H1361" i="4"/>
  <c r="I1361" i="4" s="1"/>
  <c r="H1362" i="4"/>
  <c r="I1362" i="4" s="1"/>
  <c r="H1363" i="4"/>
  <c r="I1363" i="4" s="1"/>
  <c r="H1364" i="4"/>
  <c r="I1364" i="4" s="1"/>
  <c r="H1365" i="4"/>
  <c r="I1365" i="4" s="1"/>
  <c r="H1366" i="4"/>
  <c r="I1366" i="4" s="1"/>
  <c r="H1367" i="4"/>
  <c r="I1367" i="4" s="1"/>
  <c r="H1368" i="4"/>
  <c r="I1368" i="4" s="1"/>
  <c r="H1369" i="4"/>
  <c r="I1369" i="4" s="1"/>
  <c r="H1370" i="4"/>
  <c r="I1370" i="4" s="1"/>
  <c r="H1371" i="4"/>
  <c r="I1371" i="4" s="1"/>
  <c r="H1372" i="4"/>
  <c r="I1372" i="4" s="1"/>
  <c r="H1373" i="4"/>
  <c r="I1373" i="4" s="1"/>
  <c r="H1374" i="4"/>
  <c r="I1374" i="4" s="1"/>
  <c r="H1375" i="4"/>
  <c r="I1375" i="4" s="1"/>
  <c r="H1376" i="4"/>
  <c r="I1376" i="4" s="1"/>
  <c r="H1377" i="4"/>
  <c r="I1377" i="4" s="1"/>
  <c r="H1378" i="4"/>
  <c r="I1378" i="4" s="1"/>
  <c r="H1379" i="4"/>
  <c r="I1379" i="4" s="1"/>
  <c r="H1380" i="4"/>
  <c r="I1380" i="4" s="1"/>
  <c r="H1381" i="4"/>
  <c r="I1381" i="4" s="1"/>
  <c r="H1382" i="4"/>
  <c r="I1382" i="4" s="1"/>
  <c r="H1383" i="4"/>
  <c r="I1383" i="4" s="1"/>
  <c r="H1384" i="4"/>
  <c r="I1384" i="4" s="1"/>
  <c r="H1385" i="4"/>
  <c r="I1385" i="4" s="1"/>
  <c r="H1386" i="4"/>
  <c r="I1386" i="4" s="1"/>
  <c r="H1387" i="4"/>
  <c r="I1387" i="4" s="1"/>
  <c r="H1388" i="4"/>
  <c r="I1388" i="4" s="1"/>
  <c r="H1389" i="4"/>
  <c r="I1389" i="4" s="1"/>
  <c r="H1390" i="4"/>
  <c r="I1390" i="4" s="1"/>
  <c r="H1391" i="4"/>
  <c r="I1391" i="4" s="1"/>
  <c r="H1392" i="4"/>
  <c r="I1392" i="4" s="1"/>
  <c r="H1393" i="4"/>
  <c r="I1393" i="4" s="1"/>
  <c r="H1394" i="4"/>
  <c r="I1394" i="4" s="1"/>
  <c r="H1395" i="4"/>
  <c r="I1395" i="4" s="1"/>
  <c r="H1396" i="4"/>
  <c r="I1396" i="4" s="1"/>
  <c r="H1397" i="4"/>
  <c r="I1397" i="4" s="1"/>
  <c r="H1398" i="4"/>
  <c r="I1398" i="4" s="1"/>
  <c r="H1399" i="4"/>
  <c r="I1399" i="4" s="1"/>
  <c r="H1400" i="4"/>
  <c r="I1400" i="4" s="1"/>
  <c r="H1401" i="4"/>
  <c r="I1401" i="4" s="1"/>
  <c r="H1402" i="4"/>
  <c r="I1402" i="4" s="1"/>
  <c r="H1403" i="4"/>
  <c r="I1403" i="4" s="1"/>
  <c r="H1404" i="4"/>
  <c r="I1404" i="4" s="1"/>
  <c r="H1405" i="4"/>
  <c r="I1405" i="4" s="1"/>
  <c r="H1406" i="4"/>
  <c r="I1406" i="4" s="1"/>
  <c r="H1407" i="4"/>
  <c r="I1407" i="4" s="1"/>
  <c r="H1408" i="4"/>
  <c r="I1408" i="4" s="1"/>
  <c r="H1409" i="4"/>
  <c r="I1409" i="4" s="1"/>
  <c r="H1410" i="4"/>
  <c r="I1410" i="4" s="1"/>
  <c r="H1411" i="4"/>
  <c r="I1411" i="4" s="1"/>
  <c r="H1412" i="4"/>
  <c r="I1412" i="4" s="1"/>
  <c r="H1413" i="4"/>
  <c r="I1413" i="4" s="1"/>
  <c r="H1414" i="4"/>
  <c r="I1414" i="4" s="1"/>
  <c r="H1415" i="4"/>
  <c r="I1415" i="4" s="1"/>
  <c r="H1416" i="4"/>
  <c r="I1416" i="4" s="1"/>
  <c r="H1417" i="4"/>
  <c r="I1417" i="4" s="1"/>
  <c r="H1418" i="4"/>
  <c r="I1418" i="4" s="1"/>
  <c r="H1419" i="4"/>
  <c r="I1419" i="4" s="1"/>
  <c r="H1420" i="4"/>
  <c r="I1420" i="4" s="1"/>
  <c r="H1421" i="4"/>
  <c r="I1421" i="4" s="1"/>
  <c r="H1422" i="4"/>
  <c r="I1422" i="4" s="1"/>
  <c r="H1423" i="4"/>
  <c r="I1423" i="4" s="1"/>
  <c r="H1424" i="4"/>
  <c r="I1424" i="4" s="1"/>
  <c r="H1425" i="4"/>
  <c r="I1425" i="4" s="1"/>
  <c r="H1426" i="4"/>
  <c r="I1426" i="4" s="1"/>
  <c r="H1427" i="4"/>
  <c r="I1427" i="4" s="1"/>
  <c r="H1428" i="4"/>
  <c r="I1428" i="4" s="1"/>
  <c r="H1429" i="4"/>
  <c r="I1429" i="4" s="1"/>
  <c r="H1430" i="4"/>
  <c r="I1430" i="4" s="1"/>
  <c r="H1431" i="4"/>
  <c r="I1431" i="4" s="1"/>
  <c r="H1432" i="4"/>
  <c r="I1432" i="4" s="1"/>
  <c r="H1433" i="4"/>
  <c r="I1433" i="4" s="1"/>
  <c r="H1434" i="4"/>
  <c r="I1434" i="4" s="1"/>
  <c r="H1435" i="4"/>
  <c r="I1435" i="4" s="1"/>
  <c r="H1436" i="4"/>
  <c r="I1436" i="4" s="1"/>
  <c r="H1437" i="4"/>
  <c r="I1437" i="4" s="1"/>
  <c r="H1438" i="4"/>
  <c r="I1438" i="4" s="1"/>
  <c r="H1439" i="4"/>
  <c r="I1439" i="4" s="1"/>
  <c r="H1440" i="4"/>
  <c r="I1440" i="4" s="1"/>
  <c r="H1441" i="4"/>
  <c r="I1441" i="4" s="1"/>
  <c r="H1442" i="4"/>
  <c r="I1442" i="4" s="1"/>
  <c r="H1443" i="4"/>
  <c r="I1443" i="4" s="1"/>
  <c r="H1444" i="4"/>
  <c r="I1444" i="4" s="1"/>
  <c r="H1445" i="4"/>
  <c r="I1445" i="4" s="1"/>
  <c r="H1446" i="4"/>
  <c r="I1446" i="4" s="1"/>
  <c r="H1447" i="4"/>
  <c r="I1447" i="4" s="1"/>
  <c r="H1448" i="4"/>
  <c r="I1448" i="4" s="1"/>
  <c r="H1449" i="4"/>
  <c r="I1449" i="4" s="1"/>
  <c r="H1450" i="4"/>
  <c r="I1450" i="4" s="1"/>
  <c r="H1451" i="4"/>
  <c r="I1451" i="4" s="1"/>
  <c r="H1452" i="4"/>
  <c r="I1452" i="4" s="1"/>
  <c r="H1453" i="4"/>
  <c r="I1453" i="4" s="1"/>
  <c r="H1454" i="4"/>
  <c r="I1454" i="4" s="1"/>
  <c r="H1455" i="4"/>
  <c r="I1455" i="4" s="1"/>
  <c r="H1456" i="4"/>
  <c r="I1456" i="4" s="1"/>
  <c r="H1457" i="4"/>
  <c r="I1457" i="4" s="1"/>
  <c r="H1458" i="4"/>
  <c r="I1458" i="4" s="1"/>
  <c r="H1459" i="4"/>
  <c r="I1459" i="4" s="1"/>
  <c r="H1460" i="4"/>
  <c r="I1460" i="4" s="1"/>
  <c r="H1461" i="4"/>
  <c r="I1461" i="4" s="1"/>
  <c r="H1462" i="4"/>
  <c r="I1462" i="4" s="1"/>
  <c r="H1463" i="4"/>
  <c r="I1463" i="4" s="1"/>
  <c r="H1464" i="4"/>
  <c r="I1464" i="4" s="1"/>
  <c r="H1465" i="4"/>
  <c r="I1465" i="4" s="1"/>
  <c r="H1466" i="4"/>
  <c r="I1466" i="4" s="1"/>
  <c r="H1467" i="4"/>
  <c r="I1467" i="4" s="1"/>
  <c r="H1468" i="4"/>
  <c r="I1468" i="4" s="1"/>
  <c r="H1469" i="4"/>
  <c r="I1469" i="4" s="1"/>
  <c r="H1470" i="4"/>
  <c r="I1470" i="4" s="1"/>
  <c r="H1471" i="4"/>
  <c r="I1471" i="4" s="1"/>
  <c r="H1472" i="4"/>
  <c r="I1472" i="4" s="1"/>
  <c r="H1473" i="4"/>
  <c r="I1473" i="4" s="1"/>
  <c r="H1474" i="4"/>
  <c r="I1474" i="4" s="1"/>
  <c r="H1475" i="4"/>
  <c r="I1475" i="4" s="1"/>
  <c r="H1476" i="4"/>
  <c r="I1476" i="4" s="1"/>
  <c r="H1477" i="4"/>
  <c r="I1477" i="4" s="1"/>
  <c r="H1478" i="4"/>
  <c r="I1478" i="4" s="1"/>
  <c r="H1479" i="4"/>
  <c r="I1479" i="4" s="1"/>
  <c r="H1480" i="4"/>
  <c r="I1480" i="4" s="1"/>
  <c r="H1481" i="4"/>
  <c r="I1481" i="4" s="1"/>
  <c r="H1482" i="4"/>
  <c r="I1482" i="4" s="1"/>
  <c r="H1483" i="4"/>
  <c r="I1483" i="4" s="1"/>
  <c r="H1484" i="4"/>
  <c r="I1484" i="4" s="1"/>
  <c r="H1485" i="4"/>
  <c r="I1485" i="4" s="1"/>
  <c r="H1486" i="4"/>
  <c r="I1486" i="4" s="1"/>
  <c r="H1487" i="4"/>
  <c r="I1487" i="4" s="1"/>
  <c r="H1488" i="4"/>
  <c r="I1488" i="4" s="1"/>
  <c r="H1489" i="4"/>
  <c r="I1489" i="4" s="1"/>
  <c r="H1490" i="4"/>
  <c r="I1490" i="4" s="1"/>
  <c r="H1491" i="4"/>
  <c r="I1491" i="4" s="1"/>
  <c r="H1492" i="4"/>
  <c r="I1492" i="4" s="1"/>
  <c r="H1493" i="4"/>
  <c r="I1493" i="4" s="1"/>
  <c r="H1494" i="4"/>
  <c r="I1494" i="4" s="1"/>
  <c r="H1495" i="4"/>
  <c r="I1495" i="4" s="1"/>
  <c r="H1496" i="4"/>
  <c r="I1496" i="4" s="1"/>
  <c r="H1497" i="4"/>
  <c r="I1497" i="4" s="1"/>
  <c r="H1498" i="4"/>
  <c r="I1498" i="4" s="1"/>
  <c r="H1499" i="4"/>
  <c r="I1499" i="4" s="1"/>
  <c r="H1500" i="4"/>
  <c r="I1500" i="4" s="1"/>
  <c r="H1501" i="4"/>
  <c r="I1501" i="4" s="1"/>
  <c r="H1502" i="4"/>
  <c r="I1502" i="4" s="1"/>
  <c r="H1503" i="4"/>
  <c r="I1503" i="4" s="1"/>
  <c r="H1504" i="4"/>
  <c r="I1504" i="4" s="1"/>
  <c r="H1505" i="4"/>
  <c r="I1505" i="4" s="1"/>
  <c r="H1506" i="4"/>
  <c r="I1506" i="4" s="1"/>
  <c r="H1507" i="4"/>
  <c r="I1507" i="4" s="1"/>
  <c r="H1508" i="4"/>
  <c r="I1508" i="4" s="1"/>
  <c r="H1509" i="4"/>
  <c r="I1509" i="4" s="1"/>
  <c r="H1510" i="4"/>
  <c r="I1510" i="4" s="1"/>
  <c r="H1511" i="4"/>
  <c r="I1511" i="4" s="1"/>
  <c r="H1512" i="4"/>
  <c r="I1512" i="4" s="1"/>
  <c r="H1513" i="4"/>
  <c r="I1513" i="4" s="1"/>
  <c r="H1514" i="4"/>
  <c r="I1514" i="4" s="1"/>
  <c r="H1515" i="4"/>
  <c r="I1515" i="4" s="1"/>
  <c r="H1516" i="4"/>
  <c r="I1516" i="4" s="1"/>
  <c r="H1517" i="4"/>
  <c r="I1517" i="4" s="1"/>
  <c r="H1518" i="4"/>
  <c r="I1518" i="4" s="1"/>
  <c r="H1519" i="4"/>
  <c r="I1519" i="4" s="1"/>
  <c r="H1520" i="4"/>
  <c r="I1520" i="4" s="1"/>
  <c r="H1521" i="4"/>
  <c r="I1521" i="4" s="1"/>
  <c r="H1522" i="4"/>
  <c r="I1522" i="4" s="1"/>
  <c r="H1523" i="4"/>
  <c r="I1523" i="4" s="1"/>
  <c r="H1524" i="4"/>
  <c r="I1524" i="4" s="1"/>
  <c r="H1525" i="4"/>
  <c r="I1525" i="4" s="1"/>
  <c r="H1526" i="4"/>
  <c r="I1526" i="4" s="1"/>
  <c r="H1527" i="4"/>
  <c r="I1527" i="4" s="1"/>
  <c r="H1528" i="4"/>
  <c r="I1528" i="4" s="1"/>
  <c r="H1529" i="4"/>
  <c r="I1529" i="4" s="1"/>
  <c r="H1530" i="4"/>
  <c r="I1530" i="4" s="1"/>
  <c r="H1531" i="4"/>
  <c r="I1531" i="4" s="1"/>
  <c r="H1532" i="4"/>
  <c r="I1532" i="4" s="1"/>
  <c r="H1533" i="4"/>
  <c r="I1533" i="4" s="1"/>
  <c r="H1534" i="4"/>
  <c r="I1534" i="4" s="1"/>
  <c r="H1535" i="4"/>
  <c r="I1535" i="4" s="1"/>
  <c r="H1536" i="4"/>
  <c r="I1536" i="4" s="1"/>
  <c r="H1537" i="4"/>
  <c r="I1537" i="4" s="1"/>
  <c r="H1538" i="4"/>
  <c r="I1538" i="4" s="1"/>
  <c r="H1539" i="4"/>
  <c r="I1539" i="4" s="1"/>
  <c r="H1540" i="4"/>
  <c r="I1540" i="4" s="1"/>
  <c r="H1541" i="4"/>
  <c r="I1541" i="4" s="1"/>
  <c r="H1542" i="4"/>
  <c r="I1542" i="4" s="1"/>
  <c r="H1543" i="4"/>
  <c r="I1543" i="4" s="1"/>
  <c r="H1544" i="4"/>
  <c r="I1544" i="4" s="1"/>
  <c r="H1545" i="4"/>
  <c r="I1545" i="4" s="1"/>
  <c r="H1546" i="4"/>
  <c r="I1546" i="4" s="1"/>
  <c r="H1547" i="4"/>
  <c r="I1547" i="4" s="1"/>
  <c r="H1548" i="4"/>
  <c r="I1548" i="4" s="1"/>
  <c r="H1549" i="4"/>
  <c r="I1549" i="4" s="1"/>
  <c r="H1550" i="4"/>
  <c r="I1550" i="4" s="1"/>
  <c r="H1551" i="4"/>
  <c r="I1551" i="4" s="1"/>
  <c r="H1552" i="4"/>
  <c r="I1552" i="4" s="1"/>
  <c r="H1553" i="4"/>
  <c r="I1553" i="4" s="1"/>
  <c r="H1554" i="4"/>
  <c r="I1554" i="4" s="1"/>
  <c r="H1555" i="4"/>
  <c r="I1555" i="4" s="1"/>
  <c r="H1556" i="4"/>
  <c r="I1556" i="4" s="1"/>
  <c r="H1557" i="4"/>
  <c r="I1557" i="4" s="1"/>
  <c r="H1558" i="4"/>
  <c r="I1558" i="4" s="1"/>
  <c r="H1559" i="4"/>
  <c r="I1559" i="4" s="1"/>
  <c r="H1560" i="4"/>
  <c r="I1560" i="4" s="1"/>
  <c r="H1561" i="4"/>
  <c r="I1561" i="4" s="1"/>
  <c r="H1562" i="4"/>
  <c r="I1562" i="4" s="1"/>
  <c r="H1563" i="4"/>
  <c r="I1563" i="4" s="1"/>
  <c r="H1564" i="4"/>
  <c r="I1564" i="4" s="1"/>
  <c r="H1565" i="4"/>
  <c r="I1565" i="4" s="1"/>
  <c r="H1566" i="4"/>
  <c r="I1566" i="4" s="1"/>
  <c r="H1567" i="4"/>
  <c r="I1567" i="4" s="1"/>
  <c r="H1568" i="4"/>
  <c r="I1568" i="4" s="1"/>
  <c r="H1569" i="4"/>
  <c r="I1569" i="4" s="1"/>
  <c r="H1570" i="4"/>
  <c r="I1570" i="4" s="1"/>
  <c r="H1571" i="4"/>
  <c r="I1571" i="4" s="1"/>
  <c r="H1572" i="4"/>
  <c r="I1572" i="4" s="1"/>
  <c r="H1573" i="4"/>
  <c r="I1573" i="4" s="1"/>
  <c r="H1574" i="4"/>
  <c r="I1574" i="4" s="1"/>
  <c r="H1575" i="4"/>
  <c r="I1575" i="4" s="1"/>
  <c r="H1576" i="4"/>
  <c r="I1576" i="4" s="1"/>
  <c r="H1577" i="4"/>
  <c r="I1577" i="4" s="1"/>
  <c r="H1578" i="4"/>
  <c r="I1578" i="4" s="1"/>
  <c r="H1579" i="4"/>
  <c r="I1579" i="4" s="1"/>
  <c r="H1580" i="4"/>
  <c r="I1580" i="4" s="1"/>
  <c r="H1581" i="4"/>
  <c r="I1581" i="4" s="1"/>
  <c r="H1582" i="4"/>
  <c r="I1582" i="4" s="1"/>
  <c r="H1583" i="4"/>
  <c r="I1583" i="4" s="1"/>
  <c r="H1584" i="4"/>
  <c r="I1584" i="4" s="1"/>
  <c r="H1585" i="4"/>
  <c r="I1585" i="4" s="1"/>
  <c r="H1586" i="4"/>
  <c r="I1586" i="4" s="1"/>
  <c r="H1587" i="4"/>
  <c r="I1587" i="4" s="1"/>
  <c r="H1588" i="4"/>
  <c r="I1588" i="4" s="1"/>
  <c r="H1589" i="4"/>
  <c r="I1589" i="4" s="1"/>
  <c r="H1590" i="4"/>
  <c r="I1590" i="4" s="1"/>
  <c r="H1591" i="4"/>
  <c r="I1591" i="4" s="1"/>
  <c r="H1592" i="4"/>
  <c r="I1592" i="4" s="1"/>
  <c r="H1593" i="4"/>
  <c r="I1593" i="4" s="1"/>
  <c r="H1594" i="4"/>
  <c r="I1594" i="4" s="1"/>
  <c r="H1595" i="4"/>
  <c r="I1595" i="4" s="1"/>
  <c r="H1596" i="4"/>
  <c r="I1596" i="4" s="1"/>
  <c r="H1597" i="4"/>
  <c r="I1597" i="4" s="1"/>
  <c r="H1598" i="4"/>
  <c r="I1598" i="4" s="1"/>
  <c r="H1599" i="4"/>
  <c r="I1599" i="4" s="1"/>
  <c r="H1600" i="4"/>
  <c r="I1600" i="4" s="1"/>
  <c r="H1601" i="4"/>
  <c r="I1601" i="4" s="1"/>
  <c r="H1602" i="4"/>
  <c r="I1602" i="4" s="1"/>
  <c r="H1603" i="4"/>
  <c r="I1603" i="4" s="1"/>
  <c r="H1604" i="4"/>
  <c r="I1604" i="4" s="1"/>
  <c r="H1605" i="4"/>
  <c r="I1605" i="4" s="1"/>
  <c r="H1606" i="4"/>
  <c r="I1606" i="4" s="1"/>
  <c r="H1607" i="4"/>
  <c r="I1607" i="4" s="1"/>
  <c r="H1608" i="4"/>
  <c r="I1608" i="4" s="1"/>
  <c r="H1609" i="4"/>
  <c r="I1609" i="4" s="1"/>
  <c r="H1610" i="4"/>
  <c r="I1610" i="4" s="1"/>
  <c r="H1611" i="4"/>
  <c r="I1611" i="4" s="1"/>
  <c r="H1612" i="4"/>
  <c r="I1612" i="4" s="1"/>
  <c r="H1613" i="4"/>
  <c r="I1613" i="4" s="1"/>
  <c r="H1614" i="4"/>
  <c r="I1614" i="4" s="1"/>
  <c r="H1615" i="4"/>
  <c r="I1615" i="4" s="1"/>
  <c r="H1616" i="4"/>
  <c r="I1616" i="4" s="1"/>
  <c r="H1617" i="4"/>
  <c r="I1617" i="4" s="1"/>
  <c r="H1618" i="4"/>
  <c r="I1618" i="4" s="1"/>
  <c r="H1619" i="4"/>
  <c r="I1619" i="4" s="1"/>
  <c r="H1620" i="4"/>
  <c r="I1620" i="4" s="1"/>
  <c r="H1621" i="4"/>
  <c r="I1621" i="4" s="1"/>
  <c r="H1622" i="4"/>
  <c r="I1622" i="4" s="1"/>
  <c r="H1623" i="4"/>
  <c r="I1623" i="4" s="1"/>
  <c r="H1624" i="4"/>
  <c r="I1624" i="4" s="1"/>
  <c r="H1625" i="4"/>
  <c r="I1625" i="4" s="1"/>
  <c r="H1626" i="4"/>
  <c r="I1626" i="4" s="1"/>
  <c r="H1627" i="4"/>
  <c r="I1627" i="4" s="1"/>
  <c r="H1628" i="4"/>
  <c r="I1628" i="4" s="1"/>
  <c r="H1629" i="4"/>
  <c r="I1629" i="4" s="1"/>
  <c r="H1630" i="4"/>
  <c r="I1630" i="4" s="1"/>
  <c r="H1631" i="4"/>
  <c r="I1631" i="4" s="1"/>
  <c r="H1632" i="4"/>
  <c r="I1632" i="4" s="1"/>
  <c r="H1633" i="4"/>
  <c r="I1633" i="4" s="1"/>
  <c r="H1634" i="4"/>
  <c r="I1634" i="4" s="1"/>
  <c r="H1635" i="4"/>
  <c r="I1635" i="4" s="1"/>
  <c r="H1636" i="4"/>
  <c r="I1636" i="4" s="1"/>
  <c r="H1637" i="4"/>
  <c r="I1637" i="4" s="1"/>
  <c r="H1638" i="4"/>
  <c r="I1638" i="4" s="1"/>
  <c r="H1639" i="4"/>
  <c r="I1639" i="4" s="1"/>
  <c r="H1640" i="4"/>
  <c r="I1640" i="4" s="1"/>
  <c r="H1641" i="4"/>
  <c r="I1641" i="4" s="1"/>
  <c r="H1642" i="4"/>
  <c r="I1642" i="4" s="1"/>
  <c r="H1643" i="4"/>
  <c r="I1643" i="4" s="1"/>
  <c r="H1644" i="4"/>
  <c r="I1644" i="4" s="1"/>
  <c r="H1645" i="4"/>
  <c r="I1645" i="4" s="1"/>
  <c r="H1646" i="4"/>
  <c r="I1646" i="4" s="1"/>
  <c r="H1647" i="4"/>
  <c r="I1647" i="4" s="1"/>
  <c r="H1648" i="4"/>
  <c r="I1648" i="4" s="1"/>
  <c r="H1649" i="4"/>
  <c r="I1649" i="4" s="1"/>
  <c r="H1650" i="4"/>
  <c r="I1650" i="4" s="1"/>
  <c r="H1651" i="4"/>
  <c r="I1651" i="4" s="1"/>
  <c r="H1652" i="4"/>
  <c r="I1652" i="4" s="1"/>
  <c r="H1653" i="4"/>
  <c r="I1653" i="4" s="1"/>
  <c r="H1654" i="4"/>
  <c r="I1654" i="4" s="1"/>
  <c r="H1655" i="4"/>
  <c r="I1655" i="4" s="1"/>
  <c r="H1656" i="4"/>
  <c r="I1656" i="4" s="1"/>
  <c r="H1657" i="4"/>
  <c r="I1657" i="4" s="1"/>
  <c r="H1658" i="4"/>
  <c r="I1658" i="4" s="1"/>
  <c r="H1659" i="4"/>
  <c r="I1659" i="4" s="1"/>
  <c r="H1660" i="4"/>
  <c r="I1660" i="4" s="1"/>
  <c r="H1661" i="4"/>
  <c r="I1661" i="4" s="1"/>
  <c r="H1662" i="4"/>
  <c r="I1662" i="4" s="1"/>
  <c r="H1663" i="4"/>
  <c r="I1663" i="4" s="1"/>
  <c r="H1664" i="4"/>
  <c r="I1664" i="4" s="1"/>
  <c r="H1665" i="4"/>
  <c r="I1665" i="4" s="1"/>
  <c r="H1666" i="4"/>
  <c r="I1666" i="4" s="1"/>
  <c r="H1667" i="4"/>
  <c r="I1667" i="4" s="1"/>
  <c r="H1668" i="4"/>
  <c r="I1668" i="4" s="1"/>
  <c r="H1669" i="4"/>
  <c r="I1669" i="4" s="1"/>
  <c r="H1670" i="4"/>
  <c r="I1670" i="4" s="1"/>
  <c r="H1671" i="4"/>
  <c r="I1671" i="4" s="1"/>
  <c r="H1672" i="4"/>
  <c r="I1672" i="4" s="1"/>
  <c r="H1673" i="4"/>
  <c r="I1673" i="4" s="1"/>
  <c r="H1674" i="4"/>
  <c r="I1674" i="4" s="1"/>
  <c r="H1675" i="4"/>
  <c r="I1675" i="4" s="1"/>
  <c r="H1676" i="4"/>
  <c r="I1676" i="4" s="1"/>
  <c r="H1677" i="4"/>
  <c r="I1677" i="4" s="1"/>
  <c r="H1678" i="4"/>
  <c r="I1678" i="4" s="1"/>
  <c r="H1679" i="4"/>
  <c r="I1679" i="4" s="1"/>
  <c r="H1680" i="4"/>
  <c r="I1680" i="4" s="1"/>
  <c r="H1681" i="4"/>
  <c r="I1681" i="4" s="1"/>
  <c r="H1682" i="4"/>
  <c r="I1682" i="4" s="1"/>
  <c r="H1683" i="4"/>
  <c r="I1683" i="4" s="1"/>
  <c r="H1684" i="4"/>
  <c r="I1684" i="4" s="1"/>
  <c r="H1685" i="4"/>
  <c r="I1685" i="4" s="1"/>
  <c r="H1686" i="4"/>
  <c r="I1686" i="4" s="1"/>
  <c r="H1687" i="4"/>
  <c r="I1687" i="4" s="1"/>
  <c r="H1688" i="4"/>
  <c r="I1688" i="4" s="1"/>
  <c r="H1689" i="4"/>
  <c r="I1689" i="4" s="1"/>
  <c r="H1690" i="4"/>
  <c r="I1690" i="4" s="1"/>
  <c r="H1691" i="4"/>
  <c r="I1691" i="4" s="1"/>
  <c r="H1692" i="4"/>
  <c r="I1692" i="4" s="1"/>
  <c r="H1693" i="4"/>
  <c r="I1693" i="4" s="1"/>
  <c r="H1694" i="4"/>
  <c r="I1694" i="4" s="1"/>
  <c r="H1695" i="4"/>
  <c r="I1695" i="4" s="1"/>
  <c r="H1696" i="4"/>
  <c r="I1696" i="4" s="1"/>
  <c r="H1697" i="4"/>
  <c r="I1697" i="4" s="1"/>
  <c r="H1698" i="4"/>
  <c r="I1698" i="4" s="1"/>
  <c r="H1699" i="4"/>
  <c r="I1699" i="4" s="1"/>
  <c r="H1700" i="4"/>
  <c r="I1700" i="4" s="1"/>
  <c r="H1701" i="4"/>
  <c r="I1701" i="4" s="1"/>
  <c r="H1702" i="4"/>
  <c r="I1702" i="4" s="1"/>
  <c r="H1703" i="4"/>
  <c r="I1703" i="4" s="1"/>
  <c r="H1704" i="4"/>
  <c r="I1704" i="4" s="1"/>
  <c r="H1705" i="4"/>
  <c r="I1705" i="4" s="1"/>
  <c r="H1706" i="4"/>
  <c r="I1706" i="4" s="1"/>
  <c r="H1707" i="4"/>
  <c r="I1707" i="4" s="1"/>
  <c r="H1708" i="4"/>
  <c r="I1708" i="4" s="1"/>
  <c r="H1709" i="4"/>
  <c r="I1709" i="4" s="1"/>
  <c r="H1710" i="4"/>
  <c r="I1710" i="4" s="1"/>
  <c r="H1711" i="4"/>
  <c r="I1711" i="4" s="1"/>
  <c r="H1712" i="4"/>
  <c r="I1712" i="4" s="1"/>
  <c r="H1713" i="4"/>
  <c r="I1713" i="4" s="1"/>
  <c r="H1714" i="4"/>
  <c r="I1714" i="4" s="1"/>
  <c r="H1715" i="4"/>
  <c r="I1715" i="4" s="1"/>
  <c r="H1716" i="4"/>
  <c r="I1716" i="4" s="1"/>
  <c r="H1717" i="4"/>
  <c r="I1717" i="4" s="1"/>
  <c r="H1718" i="4"/>
  <c r="I1718" i="4" s="1"/>
  <c r="H1719" i="4"/>
  <c r="I1719" i="4" s="1"/>
  <c r="H1720" i="4"/>
  <c r="I1720" i="4" s="1"/>
  <c r="H1721" i="4"/>
  <c r="I1721" i="4" s="1"/>
  <c r="H1722" i="4"/>
  <c r="I1722" i="4" s="1"/>
  <c r="H1723" i="4"/>
  <c r="I1723" i="4" s="1"/>
  <c r="H1724" i="4"/>
  <c r="I1724" i="4" s="1"/>
  <c r="H1725" i="4"/>
  <c r="I1725" i="4" s="1"/>
  <c r="H1726" i="4"/>
  <c r="I1726" i="4" s="1"/>
  <c r="H1727" i="4"/>
  <c r="I1727" i="4" s="1"/>
  <c r="H1728" i="4"/>
  <c r="I1728" i="4" s="1"/>
  <c r="H1729" i="4"/>
  <c r="I1729" i="4" s="1"/>
  <c r="H1730" i="4"/>
  <c r="I1730" i="4" s="1"/>
  <c r="H1731" i="4"/>
  <c r="I1731" i="4" s="1"/>
  <c r="H1732" i="4"/>
  <c r="I1732" i="4" s="1"/>
  <c r="H1733" i="4"/>
  <c r="I1733" i="4" s="1"/>
  <c r="H1734" i="4"/>
  <c r="I1734" i="4" s="1"/>
  <c r="H1735" i="4"/>
  <c r="I1735" i="4" s="1"/>
  <c r="H1736" i="4"/>
  <c r="I1736" i="4" s="1"/>
  <c r="H1737" i="4"/>
  <c r="I1737" i="4" s="1"/>
  <c r="H1738" i="4"/>
  <c r="I1738" i="4" s="1"/>
  <c r="H1739" i="4"/>
  <c r="I1739" i="4" s="1"/>
  <c r="H1740" i="4"/>
  <c r="I1740" i="4" s="1"/>
  <c r="H1741" i="4"/>
  <c r="I1741" i="4" s="1"/>
  <c r="H1742" i="4"/>
  <c r="I1742" i="4" s="1"/>
  <c r="H1743" i="4"/>
  <c r="I1743" i="4" s="1"/>
  <c r="H1744" i="4"/>
  <c r="I1744" i="4" s="1"/>
  <c r="H1745" i="4"/>
  <c r="I1745" i="4" s="1"/>
  <c r="H1746" i="4"/>
  <c r="I1746" i="4" s="1"/>
  <c r="H1747" i="4"/>
  <c r="I1747" i="4" s="1"/>
  <c r="H1748" i="4"/>
  <c r="I1748" i="4" s="1"/>
  <c r="H1749" i="4"/>
  <c r="I1749" i="4" s="1"/>
  <c r="H1750" i="4"/>
  <c r="I1750" i="4" s="1"/>
  <c r="H1751" i="4"/>
  <c r="I1751" i="4" s="1"/>
  <c r="H1752" i="4"/>
  <c r="I1752" i="4" s="1"/>
  <c r="H1753" i="4"/>
  <c r="I1753" i="4" s="1"/>
  <c r="H1754" i="4"/>
  <c r="I1754" i="4" s="1"/>
  <c r="H1755" i="4"/>
  <c r="I1755" i="4" s="1"/>
  <c r="H1756" i="4"/>
  <c r="I1756" i="4" s="1"/>
  <c r="H1757" i="4"/>
  <c r="I1757" i="4" s="1"/>
  <c r="H1758" i="4"/>
  <c r="I1758" i="4" s="1"/>
  <c r="H1759" i="4"/>
  <c r="I1759" i="4" s="1"/>
  <c r="H1760" i="4"/>
  <c r="I1760" i="4" s="1"/>
  <c r="H1761" i="4"/>
  <c r="I1761" i="4" s="1"/>
  <c r="H1762" i="4"/>
  <c r="I1762" i="4" s="1"/>
  <c r="H1763" i="4"/>
  <c r="I1763" i="4" s="1"/>
  <c r="H1764" i="4"/>
  <c r="I1764" i="4" s="1"/>
  <c r="H1765" i="4"/>
  <c r="I1765" i="4" s="1"/>
  <c r="H1766" i="4"/>
  <c r="I1766" i="4" s="1"/>
  <c r="H1767" i="4"/>
  <c r="I1767" i="4" s="1"/>
  <c r="H1768" i="4"/>
  <c r="I1768" i="4" s="1"/>
  <c r="H1769" i="4"/>
  <c r="I1769" i="4" s="1"/>
  <c r="H1770" i="4"/>
  <c r="I1770" i="4" s="1"/>
  <c r="H1771" i="4"/>
  <c r="I1771" i="4" s="1"/>
  <c r="H1772" i="4"/>
  <c r="I1772" i="4" s="1"/>
  <c r="H1773" i="4"/>
  <c r="I1773" i="4" s="1"/>
  <c r="H1774" i="4"/>
  <c r="I1774" i="4" s="1"/>
  <c r="H1775" i="4"/>
  <c r="I1775" i="4" s="1"/>
  <c r="H1776" i="4"/>
  <c r="I1776" i="4" s="1"/>
  <c r="H1777" i="4"/>
  <c r="I1777" i="4" s="1"/>
  <c r="H1778" i="4"/>
  <c r="I1778" i="4" s="1"/>
  <c r="H1779" i="4"/>
  <c r="I1779" i="4" s="1"/>
  <c r="H1780" i="4"/>
  <c r="I1780" i="4" s="1"/>
  <c r="H1781" i="4"/>
  <c r="I1781" i="4" s="1"/>
  <c r="H1782" i="4"/>
  <c r="I1782" i="4" s="1"/>
  <c r="H1783" i="4"/>
  <c r="I1783" i="4" s="1"/>
  <c r="H1784" i="4"/>
  <c r="I1784" i="4" s="1"/>
  <c r="H1785" i="4"/>
  <c r="I1785" i="4" s="1"/>
  <c r="H1786" i="4"/>
  <c r="I1786" i="4" s="1"/>
  <c r="H1787" i="4"/>
  <c r="I1787" i="4" s="1"/>
  <c r="H1788" i="4"/>
  <c r="I1788" i="4" s="1"/>
  <c r="H1789" i="4"/>
  <c r="I1789" i="4" s="1"/>
  <c r="H1790" i="4"/>
  <c r="I1790" i="4" s="1"/>
  <c r="H1791" i="4"/>
  <c r="I1791" i="4" s="1"/>
  <c r="H1792" i="4"/>
  <c r="I1792" i="4" s="1"/>
  <c r="H1793" i="4"/>
  <c r="I1793" i="4" s="1"/>
  <c r="H1794" i="4"/>
  <c r="I1794" i="4" s="1"/>
  <c r="H1795" i="4"/>
  <c r="I1795" i="4" s="1"/>
  <c r="H1796" i="4"/>
  <c r="I1796" i="4" s="1"/>
  <c r="H1797" i="4"/>
  <c r="I1797" i="4" s="1"/>
  <c r="H1798" i="4"/>
  <c r="I1798" i="4" s="1"/>
  <c r="H1799" i="4"/>
  <c r="I1799" i="4" s="1"/>
  <c r="H1800" i="4"/>
  <c r="I1800" i="4" s="1"/>
  <c r="H1801" i="4"/>
  <c r="I1801" i="4" s="1"/>
  <c r="H1802" i="4"/>
  <c r="I1802" i="4" s="1"/>
  <c r="H1803" i="4"/>
  <c r="I1803" i="4" s="1"/>
  <c r="H1804" i="4"/>
  <c r="I1804" i="4" s="1"/>
  <c r="H1805" i="4"/>
  <c r="I1805" i="4" s="1"/>
  <c r="H1806" i="4"/>
  <c r="I1806" i="4" s="1"/>
  <c r="H1807" i="4"/>
  <c r="I1807" i="4" s="1"/>
  <c r="H1808" i="4"/>
  <c r="I1808" i="4" s="1"/>
  <c r="H1809" i="4"/>
  <c r="I1809" i="4" s="1"/>
  <c r="H1810" i="4"/>
  <c r="I1810" i="4" s="1"/>
  <c r="H1811" i="4"/>
  <c r="I1811" i="4" s="1"/>
  <c r="H1812" i="4"/>
  <c r="I1812" i="4" s="1"/>
  <c r="H1813" i="4"/>
  <c r="I1813" i="4" s="1"/>
  <c r="H1814" i="4"/>
  <c r="I1814" i="4" s="1"/>
  <c r="H1815" i="4"/>
  <c r="I1815" i="4" s="1"/>
  <c r="H1816" i="4"/>
  <c r="I1816" i="4" s="1"/>
  <c r="H1817" i="4"/>
  <c r="I1817" i="4" s="1"/>
  <c r="H1818" i="4"/>
  <c r="I1818" i="4" s="1"/>
  <c r="H1819" i="4"/>
  <c r="I1819" i="4" s="1"/>
  <c r="H1820" i="4"/>
  <c r="I1820" i="4" s="1"/>
  <c r="H1821" i="4"/>
  <c r="I1821" i="4" s="1"/>
  <c r="H1822" i="4"/>
  <c r="I1822" i="4" s="1"/>
  <c r="H1823" i="4"/>
  <c r="I1823" i="4" s="1"/>
  <c r="H1824" i="4"/>
  <c r="I1824" i="4" s="1"/>
  <c r="H1825" i="4"/>
  <c r="I1825" i="4" s="1"/>
  <c r="H1826" i="4"/>
  <c r="I1826" i="4" s="1"/>
  <c r="H1827" i="4"/>
  <c r="I1827" i="4" s="1"/>
  <c r="H1828" i="4"/>
  <c r="I1828" i="4" s="1"/>
  <c r="H1829" i="4"/>
  <c r="I1829" i="4" s="1"/>
  <c r="H1830" i="4"/>
  <c r="I1830" i="4" s="1"/>
  <c r="H1831" i="4"/>
  <c r="I1831" i="4" s="1"/>
  <c r="H1832" i="4"/>
  <c r="I1832" i="4" s="1"/>
  <c r="H1833" i="4"/>
  <c r="I1833" i="4" s="1"/>
  <c r="H1834" i="4"/>
  <c r="I1834" i="4" s="1"/>
  <c r="H1835" i="4"/>
  <c r="I1835" i="4" s="1"/>
  <c r="H1836" i="4"/>
  <c r="I1836" i="4" s="1"/>
  <c r="H1837" i="4"/>
  <c r="I1837" i="4" s="1"/>
  <c r="H1838" i="4"/>
  <c r="I1838" i="4" s="1"/>
  <c r="H1839" i="4"/>
  <c r="I1839" i="4" s="1"/>
  <c r="H1840" i="4"/>
  <c r="I1840" i="4" s="1"/>
  <c r="H1841" i="4"/>
  <c r="I1841" i="4" s="1"/>
  <c r="H1842" i="4"/>
  <c r="I1842" i="4" s="1"/>
  <c r="H1843" i="4"/>
  <c r="I1843" i="4" s="1"/>
  <c r="H1844" i="4"/>
  <c r="I1844" i="4" s="1"/>
  <c r="H1845" i="4"/>
  <c r="I1845" i="4" s="1"/>
  <c r="H1846" i="4"/>
  <c r="I1846" i="4" s="1"/>
  <c r="H1847" i="4"/>
  <c r="I1847" i="4" s="1"/>
  <c r="H1848" i="4"/>
  <c r="I1848" i="4" s="1"/>
  <c r="H1849" i="4"/>
  <c r="I1849" i="4" s="1"/>
  <c r="H1850" i="4"/>
  <c r="I1850" i="4" s="1"/>
  <c r="H1851" i="4"/>
  <c r="I1851" i="4" s="1"/>
  <c r="H1852" i="4"/>
  <c r="I1852" i="4" s="1"/>
  <c r="H1853" i="4"/>
  <c r="I1853" i="4" s="1"/>
  <c r="H1854" i="4"/>
  <c r="I1854" i="4" s="1"/>
  <c r="H1855" i="4"/>
  <c r="I1855" i="4" s="1"/>
  <c r="H1856" i="4"/>
  <c r="I1856" i="4" s="1"/>
  <c r="H1857" i="4"/>
  <c r="I1857" i="4" s="1"/>
  <c r="H1858" i="4"/>
  <c r="I1858" i="4" s="1"/>
  <c r="H1859" i="4"/>
  <c r="I1859" i="4" s="1"/>
  <c r="H1860" i="4"/>
  <c r="I1860" i="4" s="1"/>
  <c r="H1861" i="4"/>
  <c r="I1861" i="4" s="1"/>
  <c r="H1862" i="4"/>
  <c r="I1862" i="4" s="1"/>
  <c r="H1863" i="4"/>
  <c r="I1863" i="4" s="1"/>
  <c r="H1864" i="4"/>
  <c r="I1864" i="4" s="1"/>
  <c r="H1865" i="4"/>
  <c r="I1865" i="4" s="1"/>
  <c r="H1866" i="4"/>
  <c r="I1866" i="4" s="1"/>
  <c r="H1867" i="4"/>
  <c r="I1867" i="4" s="1"/>
  <c r="H1868" i="4"/>
  <c r="I1868" i="4" s="1"/>
  <c r="H1869" i="4"/>
  <c r="I1869" i="4" s="1"/>
  <c r="H1870" i="4"/>
  <c r="I1870" i="4" s="1"/>
  <c r="H1871" i="4"/>
  <c r="I1871" i="4" s="1"/>
  <c r="H1872" i="4"/>
  <c r="I1872" i="4" s="1"/>
  <c r="H1873" i="4"/>
  <c r="I1873" i="4" s="1"/>
  <c r="H1874" i="4"/>
  <c r="I1874" i="4" s="1"/>
  <c r="H1875" i="4"/>
  <c r="I1875" i="4" s="1"/>
  <c r="H1876" i="4"/>
  <c r="I1876" i="4" s="1"/>
  <c r="H1877" i="4"/>
  <c r="I1877" i="4" s="1"/>
  <c r="H1878" i="4"/>
  <c r="I1878" i="4" s="1"/>
  <c r="H1879" i="4"/>
  <c r="I1879" i="4" s="1"/>
  <c r="H1880" i="4"/>
  <c r="I1880" i="4" s="1"/>
  <c r="H1881" i="4"/>
  <c r="I1881" i="4" s="1"/>
  <c r="H1882" i="4"/>
  <c r="I1882" i="4" s="1"/>
  <c r="H1883" i="4"/>
  <c r="I1883" i="4" s="1"/>
  <c r="H1884" i="4"/>
  <c r="I1884" i="4" s="1"/>
  <c r="H1885" i="4"/>
  <c r="I1885" i="4" s="1"/>
  <c r="H1886" i="4"/>
  <c r="I1886" i="4" s="1"/>
  <c r="H1887" i="4"/>
  <c r="I1887" i="4" s="1"/>
  <c r="H1888" i="4"/>
  <c r="I1888" i="4" s="1"/>
  <c r="H1889" i="4"/>
  <c r="I1889" i="4" s="1"/>
  <c r="H1890" i="4"/>
  <c r="I1890" i="4" s="1"/>
  <c r="H1891" i="4"/>
  <c r="I1891" i="4" s="1"/>
  <c r="H1892" i="4"/>
  <c r="I1892" i="4" s="1"/>
  <c r="H1893" i="4"/>
  <c r="I1893" i="4" s="1"/>
  <c r="H1894" i="4"/>
  <c r="I1894" i="4" s="1"/>
  <c r="H1895" i="4"/>
  <c r="I1895" i="4" s="1"/>
  <c r="H1896" i="4"/>
  <c r="I1896" i="4" s="1"/>
  <c r="H1897" i="4"/>
  <c r="I1897" i="4" s="1"/>
  <c r="H1898" i="4"/>
  <c r="I1898" i="4" s="1"/>
  <c r="H1899" i="4"/>
  <c r="I1899" i="4" s="1"/>
  <c r="H1900" i="4"/>
  <c r="I1900" i="4" s="1"/>
  <c r="H1901" i="4"/>
  <c r="I1901" i="4" s="1"/>
  <c r="H1902" i="4"/>
  <c r="I1902" i="4" s="1"/>
  <c r="H1903" i="4"/>
  <c r="I1903" i="4" s="1"/>
  <c r="H1904" i="4"/>
  <c r="I1904" i="4" s="1"/>
  <c r="H1905" i="4"/>
  <c r="I1905" i="4" s="1"/>
  <c r="H1906" i="4"/>
  <c r="I1906" i="4" s="1"/>
  <c r="H1907" i="4"/>
  <c r="I1907" i="4" s="1"/>
  <c r="H1908" i="4"/>
  <c r="I1908" i="4" s="1"/>
  <c r="H1909" i="4"/>
  <c r="I1909" i="4" s="1"/>
  <c r="H1910" i="4"/>
  <c r="I1910" i="4" s="1"/>
  <c r="H1911" i="4"/>
  <c r="I1911" i="4" s="1"/>
  <c r="H1912" i="4"/>
  <c r="I1912" i="4" s="1"/>
  <c r="H1913" i="4"/>
  <c r="I1913" i="4" s="1"/>
  <c r="H1914" i="4"/>
  <c r="I1914" i="4" s="1"/>
  <c r="H1915" i="4"/>
  <c r="I1915" i="4" s="1"/>
  <c r="H1916" i="4"/>
  <c r="I1916" i="4" s="1"/>
  <c r="H1917" i="4"/>
  <c r="I1917" i="4" s="1"/>
  <c r="H1918" i="4"/>
  <c r="I1918" i="4" s="1"/>
  <c r="H1919" i="4"/>
  <c r="I1919" i="4" s="1"/>
  <c r="H1920" i="4"/>
  <c r="I1920" i="4" s="1"/>
  <c r="H1921" i="4"/>
  <c r="I1921" i="4" s="1"/>
  <c r="H1922" i="4"/>
  <c r="I1922" i="4" s="1"/>
  <c r="H1923" i="4"/>
  <c r="I1923" i="4" s="1"/>
  <c r="H1924" i="4"/>
  <c r="I1924" i="4" s="1"/>
  <c r="H1925" i="4"/>
  <c r="I1925" i="4" s="1"/>
  <c r="H1926" i="4"/>
  <c r="I1926" i="4" s="1"/>
  <c r="H1927" i="4"/>
  <c r="I1927" i="4" s="1"/>
  <c r="H1928" i="4"/>
  <c r="I1928" i="4" s="1"/>
  <c r="H1929" i="4"/>
  <c r="I1929" i="4" s="1"/>
  <c r="H1930" i="4"/>
  <c r="I1930" i="4" s="1"/>
  <c r="H1931" i="4"/>
  <c r="I1931" i="4" s="1"/>
  <c r="H1932" i="4"/>
  <c r="I1932" i="4" s="1"/>
  <c r="H1933" i="4"/>
  <c r="I1933" i="4" s="1"/>
  <c r="H1934" i="4"/>
  <c r="I1934" i="4" s="1"/>
  <c r="H1935" i="4"/>
  <c r="I1935" i="4" s="1"/>
  <c r="H1936" i="4"/>
  <c r="I1936" i="4" s="1"/>
  <c r="H1937" i="4"/>
  <c r="I1937" i="4" s="1"/>
  <c r="H1938" i="4"/>
  <c r="I1938" i="4" s="1"/>
  <c r="H1939" i="4"/>
  <c r="I1939" i="4" s="1"/>
  <c r="H1940" i="4"/>
  <c r="I1940" i="4" s="1"/>
  <c r="H1941" i="4"/>
  <c r="I1941" i="4" s="1"/>
  <c r="H1942" i="4"/>
  <c r="I1942" i="4" s="1"/>
  <c r="H1943" i="4"/>
  <c r="I1943" i="4" s="1"/>
  <c r="H1944" i="4"/>
  <c r="I1944" i="4" s="1"/>
  <c r="H1945" i="4"/>
  <c r="I1945" i="4" s="1"/>
  <c r="H1946" i="4"/>
  <c r="I1946" i="4" s="1"/>
  <c r="H1947" i="4"/>
  <c r="I1947" i="4" s="1"/>
  <c r="H1948" i="4"/>
  <c r="I1948" i="4" s="1"/>
  <c r="H1949" i="4"/>
  <c r="I1949" i="4" s="1"/>
  <c r="H1950" i="4"/>
  <c r="I1950" i="4" s="1"/>
  <c r="H1951" i="4"/>
  <c r="I1951" i="4" s="1"/>
  <c r="H1952" i="4"/>
  <c r="I1952" i="4" s="1"/>
  <c r="H1953" i="4"/>
  <c r="I1953" i="4" s="1"/>
  <c r="H1954" i="4"/>
  <c r="I1954" i="4" s="1"/>
  <c r="H1955" i="4"/>
  <c r="I1955" i="4" s="1"/>
  <c r="H1956" i="4"/>
  <c r="I1956" i="4" s="1"/>
  <c r="H1957" i="4"/>
  <c r="I1957" i="4" s="1"/>
  <c r="H1958" i="4"/>
  <c r="I1958" i="4" s="1"/>
  <c r="H1959" i="4"/>
  <c r="I1959" i="4" s="1"/>
  <c r="H1960" i="4"/>
  <c r="I1960" i="4" s="1"/>
  <c r="H1961" i="4"/>
  <c r="I1961" i="4" s="1"/>
  <c r="H1962" i="4"/>
  <c r="I1962" i="4" s="1"/>
  <c r="H1963" i="4"/>
  <c r="I1963" i="4" s="1"/>
  <c r="H1964" i="4"/>
  <c r="I1964" i="4" s="1"/>
  <c r="H1965" i="4"/>
  <c r="I1965" i="4" s="1"/>
  <c r="H1966" i="4"/>
  <c r="I1966" i="4" s="1"/>
  <c r="H1967" i="4"/>
  <c r="I1967" i="4" s="1"/>
  <c r="H1968" i="4"/>
  <c r="I1968" i="4" s="1"/>
  <c r="H1969" i="4"/>
  <c r="I1969" i="4" s="1"/>
  <c r="H1970" i="4"/>
  <c r="I1970" i="4" s="1"/>
  <c r="H1971" i="4"/>
  <c r="I1971" i="4" s="1"/>
  <c r="H1972" i="4"/>
  <c r="I1972" i="4" s="1"/>
  <c r="H1973" i="4"/>
  <c r="I1973" i="4" s="1"/>
  <c r="H1974" i="4"/>
  <c r="I1974" i="4" s="1"/>
  <c r="H1975" i="4"/>
  <c r="I1975" i="4" s="1"/>
  <c r="H1976" i="4"/>
  <c r="I1976" i="4" s="1"/>
  <c r="H1977" i="4"/>
  <c r="I1977" i="4" s="1"/>
  <c r="H1978" i="4"/>
  <c r="I1978" i="4" s="1"/>
  <c r="H1979" i="4"/>
  <c r="I1979" i="4" s="1"/>
  <c r="H1980" i="4"/>
  <c r="I1980" i="4" s="1"/>
  <c r="H1981" i="4"/>
  <c r="I1981" i="4" s="1"/>
  <c r="H1982" i="4"/>
  <c r="I1982" i="4" s="1"/>
  <c r="H1983" i="4"/>
  <c r="I1983" i="4" s="1"/>
  <c r="H1984" i="4"/>
  <c r="I1984" i="4" s="1"/>
  <c r="H1985" i="4"/>
  <c r="I1985" i="4" s="1"/>
  <c r="H1986" i="4"/>
  <c r="I1986" i="4" s="1"/>
  <c r="H1987" i="4"/>
  <c r="I1987" i="4" s="1"/>
  <c r="H1988" i="4"/>
  <c r="I1988" i="4" s="1"/>
  <c r="H1989" i="4"/>
  <c r="I1989" i="4" s="1"/>
  <c r="H1990" i="4"/>
  <c r="I1990" i="4" s="1"/>
  <c r="H1991" i="4"/>
  <c r="I1991" i="4" s="1"/>
  <c r="H1992" i="4"/>
  <c r="I1992" i="4" s="1"/>
  <c r="H1993" i="4"/>
  <c r="I1993" i="4" s="1"/>
  <c r="H1994" i="4"/>
  <c r="I1994" i="4" s="1"/>
  <c r="H1995" i="4"/>
  <c r="I1995" i="4" s="1"/>
  <c r="H1996" i="4"/>
  <c r="I1996" i="4" s="1"/>
  <c r="H1997" i="4"/>
  <c r="I1997" i="4" s="1"/>
  <c r="H1998" i="4"/>
  <c r="I1998" i="4" s="1"/>
  <c r="H1999" i="4"/>
  <c r="I1999" i="4" s="1"/>
  <c r="H2000" i="4"/>
  <c r="I2000" i="4" s="1"/>
  <c r="H2001" i="4"/>
  <c r="I2001" i="4" s="1"/>
  <c r="H2002" i="4"/>
  <c r="I2002" i="4" s="1"/>
  <c r="H2003" i="4"/>
  <c r="I2003" i="4" s="1"/>
  <c r="H2004" i="4"/>
  <c r="I2004" i="4" s="1"/>
  <c r="H2005" i="4"/>
  <c r="I2005" i="4" s="1"/>
  <c r="H2006" i="4"/>
  <c r="I2006" i="4" s="1"/>
  <c r="H2007" i="4"/>
  <c r="I2007" i="4" s="1"/>
  <c r="H2008" i="4"/>
  <c r="I2008" i="4" s="1"/>
  <c r="H2009" i="4"/>
  <c r="I2009" i="4" s="1"/>
  <c r="H2010" i="4"/>
  <c r="I2010" i="4" s="1"/>
  <c r="H2011" i="4"/>
  <c r="I2011" i="4" s="1"/>
  <c r="H2012" i="4"/>
  <c r="I2012" i="4" s="1"/>
  <c r="H2013" i="4"/>
  <c r="I2013" i="4" s="1"/>
  <c r="H2014" i="4"/>
  <c r="I2014" i="4" s="1"/>
  <c r="H2015" i="4"/>
  <c r="I2015" i="4" s="1"/>
  <c r="H2016" i="4"/>
  <c r="I2016" i="4" s="1"/>
  <c r="H2017" i="4"/>
  <c r="I2017" i="4" s="1"/>
  <c r="H2018" i="4"/>
  <c r="I2018" i="4" s="1"/>
  <c r="H2019" i="4"/>
  <c r="I2019" i="4" s="1"/>
  <c r="H2020" i="4"/>
  <c r="I2020" i="4" s="1"/>
  <c r="H2021" i="4"/>
  <c r="I2021" i="4" s="1"/>
  <c r="H2022" i="4"/>
  <c r="I2022" i="4" s="1"/>
  <c r="H2023" i="4"/>
  <c r="I2023" i="4" s="1"/>
  <c r="H2024" i="4"/>
  <c r="I2024" i="4" s="1"/>
  <c r="H2025" i="4"/>
  <c r="I2025" i="4" s="1"/>
  <c r="H2026" i="4"/>
  <c r="I2026" i="4" s="1"/>
  <c r="H2027" i="4"/>
  <c r="I2027" i="4" s="1"/>
  <c r="H2028" i="4"/>
  <c r="I2028" i="4" s="1"/>
  <c r="H2029" i="4"/>
  <c r="I2029" i="4" s="1"/>
  <c r="H2030" i="4"/>
  <c r="I2030" i="4" s="1"/>
  <c r="H2031" i="4"/>
  <c r="I2031" i="4" s="1"/>
  <c r="H2032" i="4"/>
  <c r="I2032" i="4" s="1"/>
  <c r="H2033" i="4"/>
  <c r="I2033" i="4" s="1"/>
  <c r="H2034" i="4"/>
  <c r="I2034" i="4" s="1"/>
  <c r="H2035" i="4"/>
  <c r="I2035" i="4" s="1"/>
  <c r="H2036" i="4"/>
  <c r="I2036" i="4" s="1"/>
  <c r="H2037" i="4"/>
  <c r="I2037" i="4" s="1"/>
  <c r="H2038" i="4"/>
  <c r="I2038" i="4" s="1"/>
  <c r="H2039" i="4"/>
  <c r="I2039" i="4" s="1"/>
  <c r="H2040" i="4"/>
  <c r="I2040" i="4" s="1"/>
  <c r="H2041" i="4"/>
  <c r="I2041" i="4" s="1"/>
  <c r="H2042" i="4"/>
  <c r="I2042" i="4" s="1"/>
  <c r="H2043" i="4"/>
  <c r="I2043" i="4" s="1"/>
  <c r="H2044" i="4"/>
  <c r="I2044" i="4" s="1"/>
  <c r="H2045" i="4"/>
  <c r="I2045" i="4" s="1"/>
  <c r="H2046" i="4"/>
  <c r="I2046" i="4" s="1"/>
  <c r="H2047" i="4"/>
  <c r="I2047" i="4" s="1"/>
  <c r="H2048" i="4"/>
  <c r="I2048" i="4" s="1"/>
  <c r="H2049" i="4"/>
  <c r="I2049" i="4" s="1"/>
  <c r="H2050" i="4"/>
  <c r="I2050" i="4" s="1"/>
  <c r="H2051" i="4"/>
  <c r="I2051" i="4" s="1"/>
  <c r="H2052" i="4"/>
  <c r="I2052" i="4" s="1"/>
  <c r="H2053" i="4"/>
  <c r="I2053" i="4" s="1"/>
  <c r="H2054" i="4"/>
  <c r="I2054" i="4" s="1"/>
  <c r="H2055" i="4"/>
  <c r="I2055" i="4" s="1"/>
  <c r="H2056" i="4"/>
  <c r="I2056" i="4" s="1"/>
  <c r="H2057" i="4"/>
  <c r="I2057" i="4" s="1"/>
  <c r="H2058" i="4"/>
  <c r="I2058" i="4" s="1"/>
  <c r="H2059" i="4"/>
  <c r="I2059" i="4" s="1"/>
  <c r="H2060" i="4"/>
  <c r="I2060" i="4" s="1"/>
  <c r="H2061" i="4"/>
  <c r="I2061" i="4" s="1"/>
  <c r="H2062" i="4"/>
  <c r="I2062" i="4" s="1"/>
  <c r="H2063" i="4"/>
  <c r="I2063" i="4" s="1"/>
  <c r="H2064" i="4"/>
  <c r="I2064" i="4" s="1"/>
  <c r="H2065" i="4"/>
  <c r="I2065" i="4" s="1"/>
  <c r="H2066" i="4"/>
  <c r="I2066" i="4" s="1"/>
  <c r="H2067" i="4"/>
  <c r="I2067" i="4" s="1"/>
  <c r="H2068" i="4"/>
  <c r="I2068" i="4" s="1"/>
  <c r="H2069" i="4"/>
  <c r="I2069" i="4" s="1"/>
  <c r="H2070" i="4"/>
  <c r="I2070" i="4" s="1"/>
  <c r="H2071" i="4"/>
  <c r="I2071" i="4" s="1"/>
  <c r="H2072" i="4"/>
  <c r="I2072" i="4" s="1"/>
  <c r="H2073" i="4"/>
  <c r="I2073" i="4" s="1"/>
  <c r="H2074" i="4"/>
  <c r="I2074" i="4" s="1"/>
  <c r="H2075" i="4"/>
  <c r="I2075" i="4" s="1"/>
  <c r="H2076" i="4"/>
  <c r="I2076" i="4" s="1"/>
  <c r="H2077" i="4"/>
  <c r="I2077" i="4" s="1"/>
  <c r="H2078" i="4"/>
  <c r="I2078" i="4" s="1"/>
  <c r="H2079" i="4"/>
  <c r="I2079" i="4" s="1"/>
  <c r="H2080" i="4"/>
  <c r="I2080" i="4" s="1"/>
  <c r="H2081" i="4"/>
  <c r="I2081" i="4" s="1"/>
  <c r="H2082" i="4"/>
  <c r="I2082" i="4" s="1"/>
  <c r="H2083" i="4"/>
  <c r="I2083" i="4" s="1"/>
  <c r="H2084" i="4"/>
  <c r="I2084" i="4" s="1"/>
  <c r="H2085" i="4"/>
  <c r="I2085" i="4" s="1"/>
  <c r="H2086" i="4"/>
  <c r="I2086" i="4" s="1"/>
  <c r="H2087" i="4"/>
  <c r="I2087" i="4" s="1"/>
  <c r="H2088" i="4"/>
  <c r="I2088" i="4" s="1"/>
  <c r="H2089" i="4"/>
  <c r="I2089" i="4" s="1"/>
  <c r="J2" i="4"/>
  <c r="K2" i="4" s="1"/>
  <c r="J3" i="4"/>
  <c r="K3" i="4" s="1"/>
  <c r="J4" i="4"/>
  <c r="K4" i="4" s="1"/>
  <c r="J5" i="4"/>
  <c r="K5" i="4" s="1"/>
  <c r="J6" i="4"/>
  <c r="K6" i="4" s="1"/>
  <c r="J7" i="4"/>
  <c r="K7" i="4" s="1"/>
  <c r="J8" i="4"/>
  <c r="K8" i="4" s="1"/>
  <c r="J9" i="4"/>
  <c r="K9" i="4" s="1"/>
  <c r="J10" i="4"/>
  <c r="K10" i="4" s="1"/>
  <c r="J11" i="4"/>
  <c r="K11" i="4" s="1"/>
  <c r="J12" i="4"/>
  <c r="K12" i="4" s="1"/>
  <c r="J13" i="4"/>
  <c r="K13" i="4" s="1"/>
  <c r="J14" i="4"/>
  <c r="K14" i="4" s="1"/>
  <c r="J15" i="4"/>
  <c r="K15" i="4" s="1"/>
  <c r="J16" i="4"/>
  <c r="K16" i="4" s="1"/>
  <c r="J17" i="4"/>
  <c r="K17" i="4" s="1"/>
  <c r="J18" i="4"/>
  <c r="K18" i="4" s="1"/>
  <c r="J19" i="4"/>
  <c r="K19" i="4" s="1"/>
  <c r="J20" i="4"/>
  <c r="K20" i="4" s="1"/>
  <c r="J21" i="4"/>
  <c r="K21" i="4" s="1"/>
  <c r="J22" i="4"/>
  <c r="K22" i="4" s="1"/>
  <c r="J23" i="4"/>
  <c r="K23" i="4" s="1"/>
  <c r="J24" i="4"/>
  <c r="K24" i="4" s="1"/>
  <c r="J25" i="4"/>
  <c r="K25" i="4" s="1"/>
  <c r="J26" i="4"/>
  <c r="K26" i="4" s="1"/>
  <c r="J27" i="4"/>
  <c r="K27" i="4" s="1"/>
  <c r="J28" i="4"/>
  <c r="K28" i="4" s="1"/>
  <c r="J29" i="4"/>
  <c r="K29" i="4" s="1"/>
  <c r="J30" i="4"/>
  <c r="K30" i="4" s="1"/>
  <c r="J31" i="4"/>
  <c r="K31" i="4" s="1"/>
  <c r="J32" i="4"/>
  <c r="K32" i="4" s="1"/>
  <c r="J33" i="4"/>
  <c r="K33" i="4" s="1"/>
  <c r="J34" i="4"/>
  <c r="K34" i="4" s="1"/>
  <c r="J35" i="4"/>
  <c r="K35" i="4" s="1"/>
  <c r="J36" i="4"/>
  <c r="K36" i="4" s="1"/>
  <c r="J37" i="4"/>
  <c r="K37" i="4" s="1"/>
  <c r="J38" i="4"/>
  <c r="K38" i="4" s="1"/>
  <c r="J39" i="4"/>
  <c r="K39" i="4" s="1"/>
  <c r="J40" i="4"/>
  <c r="K40" i="4" s="1"/>
  <c r="J41" i="4"/>
  <c r="K41" i="4" s="1"/>
  <c r="J42" i="4"/>
  <c r="K42" i="4" s="1"/>
  <c r="J43" i="4"/>
  <c r="K43" i="4" s="1"/>
  <c r="J44" i="4"/>
  <c r="K44" i="4" s="1"/>
  <c r="J45" i="4"/>
  <c r="K45" i="4" s="1"/>
  <c r="J46" i="4"/>
  <c r="K46" i="4" s="1"/>
  <c r="J47" i="4"/>
  <c r="K47" i="4" s="1"/>
  <c r="J48" i="4"/>
  <c r="K48" i="4" s="1"/>
  <c r="J49" i="4"/>
  <c r="K49" i="4" s="1"/>
  <c r="J50" i="4"/>
  <c r="K50" i="4" s="1"/>
  <c r="J51" i="4"/>
  <c r="K51" i="4" s="1"/>
  <c r="J52" i="4"/>
  <c r="K52" i="4" s="1"/>
  <c r="J53" i="4"/>
  <c r="K53" i="4" s="1"/>
  <c r="J54" i="4"/>
  <c r="K54" i="4" s="1"/>
  <c r="J55" i="4"/>
  <c r="K55" i="4" s="1"/>
  <c r="J56" i="4"/>
  <c r="K56" i="4" s="1"/>
  <c r="J57" i="4"/>
  <c r="K57" i="4" s="1"/>
  <c r="J58" i="4"/>
  <c r="K58" i="4" s="1"/>
  <c r="J59" i="4"/>
  <c r="K59" i="4" s="1"/>
  <c r="J60" i="4"/>
  <c r="K60" i="4" s="1"/>
  <c r="J61" i="4"/>
  <c r="K61" i="4" s="1"/>
  <c r="J62" i="4"/>
  <c r="K62" i="4" s="1"/>
  <c r="J63" i="4"/>
  <c r="K63" i="4" s="1"/>
  <c r="J64" i="4"/>
  <c r="K64" i="4" s="1"/>
  <c r="J65" i="4"/>
  <c r="K65" i="4" s="1"/>
  <c r="J66" i="4"/>
  <c r="K66" i="4" s="1"/>
  <c r="J67" i="4"/>
  <c r="K67" i="4" s="1"/>
  <c r="J68" i="4"/>
  <c r="K68" i="4" s="1"/>
  <c r="J69" i="4"/>
  <c r="K69" i="4" s="1"/>
  <c r="J70" i="4"/>
  <c r="K70" i="4" s="1"/>
  <c r="J71" i="4"/>
  <c r="K71" i="4" s="1"/>
  <c r="J72" i="4"/>
  <c r="K72" i="4" s="1"/>
  <c r="J73" i="4"/>
  <c r="K73" i="4" s="1"/>
  <c r="J74" i="4"/>
  <c r="K74" i="4" s="1"/>
  <c r="J75" i="4"/>
  <c r="K75" i="4" s="1"/>
  <c r="J76" i="4"/>
  <c r="K76" i="4" s="1"/>
  <c r="J77" i="4"/>
  <c r="K77" i="4" s="1"/>
  <c r="J78" i="4"/>
  <c r="K78" i="4" s="1"/>
  <c r="J79" i="4"/>
  <c r="K79" i="4" s="1"/>
  <c r="J80" i="4"/>
  <c r="K80" i="4" s="1"/>
  <c r="J81" i="4"/>
  <c r="K81" i="4" s="1"/>
  <c r="J82" i="4"/>
  <c r="K82" i="4" s="1"/>
  <c r="J83" i="4"/>
  <c r="K83" i="4" s="1"/>
  <c r="J84" i="4"/>
  <c r="K84" i="4" s="1"/>
  <c r="J85" i="4"/>
  <c r="K85" i="4" s="1"/>
  <c r="J86" i="4"/>
  <c r="K86" i="4" s="1"/>
  <c r="J87" i="4"/>
  <c r="K87" i="4" s="1"/>
  <c r="J88" i="4"/>
  <c r="K88" i="4" s="1"/>
  <c r="J89" i="4"/>
  <c r="K89" i="4" s="1"/>
  <c r="J90" i="4"/>
  <c r="K90" i="4" s="1"/>
  <c r="J91" i="4"/>
  <c r="K91" i="4" s="1"/>
  <c r="J92" i="4"/>
  <c r="K92" i="4" s="1"/>
  <c r="J93" i="4"/>
  <c r="K93" i="4" s="1"/>
  <c r="J94" i="4"/>
  <c r="K94" i="4" s="1"/>
  <c r="J95" i="4"/>
  <c r="K95" i="4" s="1"/>
  <c r="J96" i="4"/>
  <c r="K96" i="4" s="1"/>
  <c r="J97" i="4"/>
  <c r="K97" i="4" s="1"/>
  <c r="J98" i="4"/>
  <c r="K98" i="4" s="1"/>
  <c r="J99" i="4"/>
  <c r="K99" i="4" s="1"/>
  <c r="J100" i="4"/>
  <c r="K100" i="4" s="1"/>
  <c r="J101" i="4"/>
  <c r="K101" i="4" s="1"/>
  <c r="J102" i="4"/>
  <c r="K102" i="4" s="1"/>
  <c r="J103" i="4"/>
  <c r="K103" i="4" s="1"/>
  <c r="J104" i="4"/>
  <c r="K104" i="4" s="1"/>
  <c r="J105" i="4"/>
  <c r="K105" i="4" s="1"/>
  <c r="J106" i="4"/>
  <c r="K106" i="4" s="1"/>
  <c r="J107" i="4"/>
  <c r="K107" i="4" s="1"/>
  <c r="J108" i="4"/>
  <c r="K108" i="4" s="1"/>
  <c r="J109" i="4"/>
  <c r="K109" i="4" s="1"/>
  <c r="J110" i="4"/>
  <c r="K110" i="4" s="1"/>
  <c r="J111" i="4"/>
  <c r="K111" i="4" s="1"/>
  <c r="J112" i="4"/>
  <c r="K112" i="4" s="1"/>
  <c r="J113" i="4"/>
  <c r="K113" i="4" s="1"/>
  <c r="J114" i="4"/>
  <c r="K114" i="4" s="1"/>
  <c r="J115" i="4"/>
  <c r="K115" i="4" s="1"/>
  <c r="J116" i="4"/>
  <c r="K116" i="4" s="1"/>
  <c r="J117" i="4"/>
  <c r="K117" i="4" s="1"/>
  <c r="J118" i="4"/>
  <c r="K118" i="4" s="1"/>
  <c r="J119" i="4"/>
  <c r="K119" i="4" s="1"/>
  <c r="J120" i="4"/>
  <c r="K120" i="4" s="1"/>
  <c r="J121" i="4"/>
  <c r="K121" i="4" s="1"/>
  <c r="J122" i="4"/>
  <c r="K122" i="4" s="1"/>
  <c r="J123" i="4"/>
  <c r="K123" i="4" s="1"/>
  <c r="J124" i="4"/>
  <c r="K124" i="4" s="1"/>
  <c r="J125" i="4"/>
  <c r="K125" i="4" s="1"/>
  <c r="J126" i="4"/>
  <c r="K126" i="4" s="1"/>
  <c r="J127" i="4"/>
  <c r="K127" i="4" s="1"/>
  <c r="J128" i="4"/>
  <c r="K128" i="4" s="1"/>
  <c r="J129" i="4"/>
  <c r="K129" i="4" s="1"/>
  <c r="J130" i="4"/>
  <c r="K130" i="4" s="1"/>
  <c r="J131" i="4"/>
  <c r="K131" i="4" s="1"/>
  <c r="J132" i="4"/>
  <c r="K132" i="4" s="1"/>
  <c r="J133" i="4"/>
  <c r="K133" i="4" s="1"/>
  <c r="J134" i="4"/>
  <c r="K134" i="4" s="1"/>
  <c r="J135" i="4"/>
  <c r="K135" i="4" s="1"/>
  <c r="J136" i="4"/>
  <c r="K136" i="4" s="1"/>
  <c r="J137" i="4"/>
  <c r="K137" i="4" s="1"/>
  <c r="J138" i="4"/>
  <c r="K138" i="4" s="1"/>
  <c r="J139" i="4"/>
  <c r="K139" i="4" s="1"/>
  <c r="J140" i="4"/>
  <c r="K140" i="4" s="1"/>
  <c r="J141" i="4"/>
  <c r="K141" i="4" s="1"/>
  <c r="J142" i="4"/>
  <c r="K142" i="4" s="1"/>
  <c r="J143" i="4"/>
  <c r="K143" i="4" s="1"/>
  <c r="J144" i="4"/>
  <c r="K144" i="4" s="1"/>
  <c r="J145" i="4"/>
  <c r="K145" i="4" s="1"/>
  <c r="J146" i="4"/>
  <c r="K146" i="4" s="1"/>
  <c r="J147" i="4"/>
  <c r="K147" i="4" s="1"/>
  <c r="J148" i="4"/>
  <c r="K148" i="4" s="1"/>
  <c r="J149" i="4"/>
  <c r="K149" i="4" s="1"/>
  <c r="J150" i="4"/>
  <c r="K150" i="4" s="1"/>
  <c r="J151" i="4"/>
  <c r="K151" i="4" s="1"/>
  <c r="J152" i="4"/>
  <c r="K152" i="4" s="1"/>
  <c r="J153" i="4"/>
  <c r="K153" i="4" s="1"/>
  <c r="J154" i="4"/>
  <c r="K154" i="4" s="1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J185" i="4"/>
  <c r="K185" i="4" s="1"/>
  <c r="J186" i="4"/>
  <c r="K186" i="4" s="1"/>
  <c r="J187" i="4"/>
  <c r="K187" i="4" s="1"/>
  <c r="J188" i="4"/>
  <c r="K188" i="4" s="1"/>
  <c r="J189" i="4"/>
  <c r="K189" i="4" s="1"/>
  <c r="J190" i="4"/>
  <c r="K190" i="4" s="1"/>
  <c r="J191" i="4"/>
  <c r="K191" i="4" s="1"/>
  <c r="J192" i="4"/>
  <c r="K192" i="4" s="1"/>
  <c r="J193" i="4"/>
  <c r="K193" i="4" s="1"/>
  <c r="J194" i="4"/>
  <c r="K194" i="4" s="1"/>
  <c r="J195" i="4"/>
  <c r="K195" i="4" s="1"/>
  <c r="J196" i="4"/>
  <c r="K196" i="4" s="1"/>
  <c r="J197" i="4"/>
  <c r="K197" i="4" s="1"/>
  <c r="J198" i="4"/>
  <c r="K198" i="4" s="1"/>
  <c r="J199" i="4"/>
  <c r="K199" i="4" s="1"/>
  <c r="J200" i="4"/>
  <c r="K200" i="4" s="1"/>
  <c r="J201" i="4"/>
  <c r="K201" i="4" s="1"/>
  <c r="J202" i="4"/>
  <c r="K202" i="4" s="1"/>
  <c r="J203" i="4"/>
  <c r="K203" i="4" s="1"/>
  <c r="J204" i="4"/>
  <c r="K204" i="4" s="1"/>
  <c r="J205" i="4"/>
  <c r="K205" i="4" s="1"/>
  <c r="J206" i="4"/>
  <c r="K206" i="4" s="1"/>
  <c r="J207" i="4"/>
  <c r="K207" i="4" s="1"/>
  <c r="J208" i="4"/>
  <c r="K208" i="4" s="1"/>
  <c r="J209" i="4"/>
  <c r="K209" i="4" s="1"/>
  <c r="J210" i="4"/>
  <c r="K210" i="4" s="1"/>
  <c r="J211" i="4"/>
  <c r="K211" i="4" s="1"/>
  <c r="J212" i="4"/>
  <c r="K212" i="4" s="1"/>
  <c r="J213" i="4"/>
  <c r="K213" i="4" s="1"/>
  <c r="J214" i="4"/>
  <c r="K214" i="4" s="1"/>
  <c r="J215" i="4"/>
  <c r="K215" i="4" s="1"/>
  <c r="J216" i="4"/>
  <c r="K216" i="4" s="1"/>
  <c r="J217" i="4"/>
  <c r="K217" i="4" s="1"/>
  <c r="J218" i="4"/>
  <c r="K218" i="4" s="1"/>
  <c r="J219" i="4"/>
  <c r="K219" i="4" s="1"/>
  <c r="J220" i="4"/>
  <c r="K220" i="4" s="1"/>
  <c r="J221" i="4"/>
  <c r="K221" i="4" s="1"/>
  <c r="J222" i="4"/>
  <c r="K222" i="4" s="1"/>
  <c r="J223" i="4"/>
  <c r="K223" i="4" s="1"/>
  <c r="J224" i="4"/>
  <c r="K224" i="4" s="1"/>
  <c r="J225" i="4"/>
  <c r="K225" i="4" s="1"/>
  <c r="J226" i="4"/>
  <c r="K226" i="4" s="1"/>
  <c r="J227" i="4"/>
  <c r="K227" i="4" s="1"/>
  <c r="J228" i="4"/>
  <c r="K228" i="4" s="1"/>
  <c r="J229" i="4"/>
  <c r="K229" i="4" s="1"/>
  <c r="J230" i="4"/>
  <c r="K230" i="4" s="1"/>
  <c r="J231" i="4"/>
  <c r="K231" i="4" s="1"/>
  <c r="J232" i="4"/>
  <c r="K232" i="4" s="1"/>
  <c r="J233" i="4"/>
  <c r="K233" i="4" s="1"/>
  <c r="J234" i="4"/>
  <c r="K234" i="4" s="1"/>
  <c r="J235" i="4"/>
  <c r="K235" i="4" s="1"/>
  <c r="J236" i="4"/>
  <c r="K236" i="4" s="1"/>
  <c r="J237" i="4"/>
  <c r="K237" i="4" s="1"/>
  <c r="J238" i="4"/>
  <c r="K238" i="4" s="1"/>
  <c r="J239" i="4"/>
  <c r="K239" i="4" s="1"/>
  <c r="J240" i="4"/>
  <c r="K240" i="4" s="1"/>
  <c r="J241" i="4"/>
  <c r="K241" i="4" s="1"/>
  <c r="J242" i="4"/>
  <c r="K242" i="4" s="1"/>
  <c r="J243" i="4"/>
  <c r="K243" i="4" s="1"/>
  <c r="J244" i="4"/>
  <c r="K244" i="4" s="1"/>
  <c r="J245" i="4"/>
  <c r="K245" i="4" s="1"/>
  <c r="J246" i="4"/>
  <c r="K246" i="4" s="1"/>
  <c r="J247" i="4"/>
  <c r="K247" i="4" s="1"/>
  <c r="J248" i="4"/>
  <c r="K248" i="4" s="1"/>
  <c r="J249" i="4"/>
  <c r="K249" i="4" s="1"/>
  <c r="J250" i="4"/>
  <c r="K250" i="4" s="1"/>
  <c r="J251" i="4"/>
  <c r="K251" i="4" s="1"/>
  <c r="J252" i="4"/>
  <c r="K252" i="4" s="1"/>
  <c r="J253" i="4"/>
  <c r="K253" i="4" s="1"/>
  <c r="J254" i="4"/>
  <c r="K254" i="4" s="1"/>
  <c r="J255" i="4"/>
  <c r="K255" i="4" s="1"/>
  <c r="J256" i="4"/>
  <c r="K256" i="4" s="1"/>
  <c r="J257" i="4"/>
  <c r="K257" i="4" s="1"/>
  <c r="J258" i="4"/>
  <c r="K258" i="4" s="1"/>
  <c r="J259" i="4"/>
  <c r="K259" i="4" s="1"/>
  <c r="J260" i="4"/>
  <c r="K260" i="4" s="1"/>
  <c r="J261" i="4"/>
  <c r="K261" i="4" s="1"/>
  <c r="J262" i="4"/>
  <c r="K262" i="4" s="1"/>
  <c r="J263" i="4"/>
  <c r="K263" i="4" s="1"/>
  <c r="J264" i="4"/>
  <c r="K264" i="4" s="1"/>
  <c r="J265" i="4"/>
  <c r="K265" i="4" s="1"/>
  <c r="J266" i="4"/>
  <c r="K266" i="4" s="1"/>
  <c r="J267" i="4"/>
  <c r="K267" i="4" s="1"/>
  <c r="J268" i="4"/>
  <c r="K268" i="4" s="1"/>
  <c r="J269" i="4"/>
  <c r="K269" i="4" s="1"/>
  <c r="J270" i="4"/>
  <c r="K270" i="4" s="1"/>
  <c r="J271" i="4"/>
  <c r="K271" i="4" s="1"/>
  <c r="J272" i="4"/>
  <c r="K272" i="4" s="1"/>
  <c r="J273" i="4"/>
  <c r="K273" i="4" s="1"/>
  <c r="J274" i="4"/>
  <c r="K274" i="4" s="1"/>
  <c r="J275" i="4"/>
  <c r="K275" i="4" s="1"/>
  <c r="J276" i="4"/>
  <c r="K276" i="4" s="1"/>
  <c r="J277" i="4"/>
  <c r="K277" i="4" s="1"/>
  <c r="J278" i="4"/>
  <c r="K278" i="4" s="1"/>
  <c r="J279" i="4"/>
  <c r="K279" i="4" s="1"/>
  <c r="J280" i="4"/>
  <c r="K280" i="4" s="1"/>
  <c r="J281" i="4"/>
  <c r="K281" i="4" s="1"/>
  <c r="J282" i="4"/>
  <c r="K282" i="4" s="1"/>
  <c r="J283" i="4"/>
  <c r="K283" i="4" s="1"/>
  <c r="J284" i="4"/>
  <c r="K284" i="4" s="1"/>
  <c r="J285" i="4"/>
  <c r="K285" i="4" s="1"/>
  <c r="J286" i="4"/>
  <c r="K286" i="4" s="1"/>
  <c r="J287" i="4"/>
  <c r="K287" i="4" s="1"/>
  <c r="J288" i="4"/>
  <c r="K288" i="4" s="1"/>
  <c r="J289" i="4"/>
  <c r="K289" i="4" s="1"/>
  <c r="J290" i="4"/>
  <c r="K290" i="4" s="1"/>
  <c r="J291" i="4"/>
  <c r="K291" i="4" s="1"/>
  <c r="J292" i="4"/>
  <c r="K292" i="4" s="1"/>
  <c r="J293" i="4"/>
  <c r="K293" i="4" s="1"/>
  <c r="J294" i="4"/>
  <c r="K294" i="4" s="1"/>
  <c r="J295" i="4"/>
  <c r="K295" i="4" s="1"/>
  <c r="J296" i="4"/>
  <c r="K296" i="4" s="1"/>
  <c r="J297" i="4"/>
  <c r="K297" i="4" s="1"/>
  <c r="J298" i="4"/>
  <c r="K298" i="4" s="1"/>
  <c r="J299" i="4"/>
  <c r="K299" i="4" s="1"/>
  <c r="J300" i="4"/>
  <c r="K300" i="4" s="1"/>
  <c r="J301" i="4"/>
  <c r="K301" i="4" s="1"/>
  <c r="J302" i="4"/>
  <c r="K302" i="4" s="1"/>
  <c r="J303" i="4"/>
  <c r="K303" i="4" s="1"/>
  <c r="J304" i="4"/>
  <c r="K304" i="4" s="1"/>
  <c r="J305" i="4"/>
  <c r="K305" i="4" s="1"/>
  <c r="J306" i="4"/>
  <c r="K306" i="4" s="1"/>
  <c r="J307" i="4"/>
  <c r="K307" i="4" s="1"/>
  <c r="J308" i="4"/>
  <c r="K308" i="4" s="1"/>
  <c r="J309" i="4"/>
  <c r="K309" i="4" s="1"/>
  <c r="J310" i="4"/>
  <c r="K310" i="4" s="1"/>
  <c r="J311" i="4"/>
  <c r="K311" i="4" s="1"/>
  <c r="J312" i="4"/>
  <c r="K312" i="4" s="1"/>
  <c r="J313" i="4"/>
  <c r="K313" i="4" s="1"/>
  <c r="J314" i="4"/>
  <c r="K314" i="4" s="1"/>
  <c r="J315" i="4"/>
  <c r="K315" i="4" s="1"/>
  <c r="J316" i="4"/>
  <c r="K316" i="4" s="1"/>
  <c r="J317" i="4"/>
  <c r="K317" i="4" s="1"/>
  <c r="J318" i="4"/>
  <c r="K318" i="4" s="1"/>
  <c r="J319" i="4"/>
  <c r="K319" i="4" s="1"/>
  <c r="J320" i="4"/>
  <c r="K320" i="4" s="1"/>
  <c r="J321" i="4"/>
  <c r="K321" i="4" s="1"/>
  <c r="J322" i="4"/>
  <c r="K322" i="4" s="1"/>
  <c r="J323" i="4"/>
  <c r="K323" i="4" s="1"/>
  <c r="J324" i="4"/>
  <c r="K324" i="4" s="1"/>
  <c r="J325" i="4"/>
  <c r="K325" i="4" s="1"/>
  <c r="J326" i="4"/>
  <c r="K326" i="4" s="1"/>
  <c r="J327" i="4"/>
  <c r="K327" i="4" s="1"/>
  <c r="J328" i="4"/>
  <c r="K328" i="4" s="1"/>
  <c r="J329" i="4"/>
  <c r="K329" i="4" s="1"/>
  <c r="J330" i="4"/>
  <c r="K330" i="4" s="1"/>
  <c r="J331" i="4"/>
  <c r="K331" i="4" s="1"/>
  <c r="J332" i="4"/>
  <c r="K332" i="4" s="1"/>
  <c r="J333" i="4"/>
  <c r="K333" i="4" s="1"/>
  <c r="J334" i="4"/>
  <c r="K334" i="4" s="1"/>
  <c r="J335" i="4"/>
  <c r="K335" i="4" s="1"/>
  <c r="J336" i="4"/>
  <c r="K336" i="4" s="1"/>
  <c r="J337" i="4"/>
  <c r="K337" i="4" s="1"/>
  <c r="J338" i="4"/>
  <c r="K338" i="4" s="1"/>
  <c r="J339" i="4"/>
  <c r="K339" i="4" s="1"/>
  <c r="J340" i="4"/>
  <c r="K340" i="4" s="1"/>
  <c r="J341" i="4"/>
  <c r="K341" i="4" s="1"/>
  <c r="J342" i="4"/>
  <c r="K342" i="4" s="1"/>
  <c r="J343" i="4"/>
  <c r="K343" i="4" s="1"/>
  <c r="J344" i="4"/>
  <c r="K344" i="4" s="1"/>
  <c r="J345" i="4"/>
  <c r="K345" i="4" s="1"/>
  <c r="J346" i="4"/>
  <c r="K346" i="4" s="1"/>
  <c r="J347" i="4"/>
  <c r="K347" i="4" s="1"/>
  <c r="J348" i="4"/>
  <c r="K348" i="4" s="1"/>
  <c r="J349" i="4"/>
  <c r="K349" i="4" s="1"/>
  <c r="J350" i="4"/>
  <c r="K350" i="4" s="1"/>
  <c r="J351" i="4"/>
  <c r="K351" i="4" s="1"/>
  <c r="J352" i="4"/>
  <c r="K352" i="4" s="1"/>
  <c r="J353" i="4"/>
  <c r="K353" i="4" s="1"/>
  <c r="J354" i="4"/>
  <c r="K354" i="4" s="1"/>
  <c r="J355" i="4"/>
  <c r="K355" i="4" s="1"/>
  <c r="J356" i="4"/>
  <c r="K356" i="4" s="1"/>
  <c r="J357" i="4"/>
  <c r="K357" i="4" s="1"/>
  <c r="J358" i="4"/>
  <c r="K358" i="4" s="1"/>
  <c r="J359" i="4"/>
  <c r="K359" i="4" s="1"/>
  <c r="J360" i="4"/>
  <c r="K360" i="4" s="1"/>
  <c r="J361" i="4"/>
  <c r="K361" i="4" s="1"/>
  <c r="J362" i="4"/>
  <c r="K362" i="4" s="1"/>
  <c r="J363" i="4"/>
  <c r="K363" i="4" s="1"/>
  <c r="J364" i="4"/>
  <c r="K364" i="4" s="1"/>
  <c r="J365" i="4"/>
  <c r="K365" i="4" s="1"/>
  <c r="J366" i="4"/>
  <c r="K366" i="4" s="1"/>
  <c r="J367" i="4"/>
  <c r="K367" i="4" s="1"/>
  <c r="J368" i="4"/>
  <c r="K368" i="4" s="1"/>
  <c r="J369" i="4"/>
  <c r="K369" i="4" s="1"/>
  <c r="J370" i="4"/>
  <c r="K370" i="4" s="1"/>
  <c r="J371" i="4"/>
  <c r="K371" i="4" s="1"/>
  <c r="J372" i="4"/>
  <c r="K372" i="4" s="1"/>
  <c r="J373" i="4"/>
  <c r="K373" i="4" s="1"/>
  <c r="J374" i="4"/>
  <c r="K374" i="4" s="1"/>
  <c r="J375" i="4"/>
  <c r="K375" i="4" s="1"/>
  <c r="J376" i="4"/>
  <c r="K376" i="4" s="1"/>
  <c r="J377" i="4"/>
  <c r="K377" i="4" s="1"/>
  <c r="J378" i="4"/>
  <c r="K378" i="4" s="1"/>
  <c r="J379" i="4"/>
  <c r="K379" i="4" s="1"/>
  <c r="J380" i="4"/>
  <c r="K380" i="4" s="1"/>
  <c r="J381" i="4"/>
  <c r="K381" i="4" s="1"/>
  <c r="J382" i="4"/>
  <c r="K382" i="4" s="1"/>
  <c r="J383" i="4"/>
  <c r="K383" i="4" s="1"/>
  <c r="J384" i="4"/>
  <c r="K384" i="4" s="1"/>
  <c r="J385" i="4"/>
  <c r="K385" i="4" s="1"/>
  <c r="J386" i="4"/>
  <c r="K386" i="4" s="1"/>
  <c r="J387" i="4"/>
  <c r="K387" i="4" s="1"/>
  <c r="J388" i="4"/>
  <c r="K388" i="4" s="1"/>
  <c r="J389" i="4"/>
  <c r="K389" i="4" s="1"/>
  <c r="J390" i="4"/>
  <c r="K390" i="4" s="1"/>
  <c r="J391" i="4"/>
  <c r="K391" i="4" s="1"/>
  <c r="J392" i="4"/>
  <c r="K392" i="4" s="1"/>
  <c r="J393" i="4"/>
  <c r="K393" i="4" s="1"/>
  <c r="J394" i="4"/>
  <c r="K394" i="4" s="1"/>
  <c r="J395" i="4"/>
  <c r="K395" i="4" s="1"/>
  <c r="J396" i="4"/>
  <c r="K396" i="4" s="1"/>
  <c r="J397" i="4"/>
  <c r="K397" i="4" s="1"/>
  <c r="J398" i="4"/>
  <c r="K398" i="4" s="1"/>
  <c r="J399" i="4"/>
  <c r="K399" i="4" s="1"/>
  <c r="J400" i="4"/>
  <c r="K400" i="4" s="1"/>
  <c r="J401" i="4"/>
  <c r="K401" i="4" s="1"/>
  <c r="J402" i="4"/>
  <c r="K402" i="4" s="1"/>
  <c r="J403" i="4"/>
  <c r="K403" i="4" s="1"/>
  <c r="J404" i="4"/>
  <c r="K404" i="4" s="1"/>
  <c r="J405" i="4"/>
  <c r="K405" i="4" s="1"/>
  <c r="J406" i="4"/>
  <c r="K406" i="4" s="1"/>
  <c r="J407" i="4"/>
  <c r="K407" i="4" s="1"/>
  <c r="J408" i="4"/>
  <c r="K408" i="4" s="1"/>
  <c r="J409" i="4"/>
  <c r="K409" i="4" s="1"/>
  <c r="J410" i="4"/>
  <c r="K410" i="4" s="1"/>
  <c r="J411" i="4"/>
  <c r="K411" i="4" s="1"/>
  <c r="J412" i="4"/>
  <c r="K412" i="4" s="1"/>
  <c r="J413" i="4"/>
  <c r="K413" i="4" s="1"/>
  <c r="J414" i="4"/>
  <c r="K414" i="4" s="1"/>
  <c r="J415" i="4"/>
  <c r="K415" i="4" s="1"/>
  <c r="J416" i="4"/>
  <c r="K416" i="4" s="1"/>
  <c r="J417" i="4"/>
  <c r="K417" i="4" s="1"/>
  <c r="J418" i="4"/>
  <c r="K418" i="4" s="1"/>
  <c r="J419" i="4"/>
  <c r="K419" i="4" s="1"/>
  <c r="J420" i="4"/>
  <c r="K420" i="4" s="1"/>
  <c r="J421" i="4"/>
  <c r="K421" i="4" s="1"/>
  <c r="J422" i="4"/>
  <c r="K422" i="4" s="1"/>
  <c r="J423" i="4"/>
  <c r="K423" i="4" s="1"/>
  <c r="J424" i="4"/>
  <c r="K424" i="4" s="1"/>
  <c r="J425" i="4"/>
  <c r="K425" i="4" s="1"/>
  <c r="J426" i="4"/>
  <c r="K426" i="4" s="1"/>
  <c r="J427" i="4"/>
  <c r="K427" i="4" s="1"/>
  <c r="J428" i="4"/>
  <c r="K428" i="4" s="1"/>
  <c r="J429" i="4"/>
  <c r="K429" i="4" s="1"/>
  <c r="J430" i="4"/>
  <c r="K430" i="4" s="1"/>
  <c r="J431" i="4"/>
  <c r="K431" i="4" s="1"/>
  <c r="J432" i="4"/>
  <c r="K432" i="4" s="1"/>
  <c r="J433" i="4"/>
  <c r="K433" i="4" s="1"/>
  <c r="J434" i="4"/>
  <c r="K434" i="4" s="1"/>
  <c r="J435" i="4"/>
  <c r="K435" i="4" s="1"/>
  <c r="J436" i="4"/>
  <c r="K436" i="4" s="1"/>
  <c r="J437" i="4"/>
  <c r="K437" i="4" s="1"/>
  <c r="J438" i="4"/>
  <c r="K438" i="4" s="1"/>
  <c r="J439" i="4"/>
  <c r="K439" i="4" s="1"/>
  <c r="J440" i="4"/>
  <c r="K440" i="4" s="1"/>
  <c r="J441" i="4"/>
  <c r="K441" i="4" s="1"/>
  <c r="J442" i="4"/>
  <c r="K442" i="4" s="1"/>
  <c r="J443" i="4"/>
  <c r="K443" i="4" s="1"/>
  <c r="J444" i="4"/>
  <c r="K444" i="4" s="1"/>
  <c r="J445" i="4"/>
  <c r="K445" i="4" s="1"/>
  <c r="J446" i="4"/>
  <c r="K446" i="4" s="1"/>
  <c r="J447" i="4"/>
  <c r="K447" i="4" s="1"/>
  <c r="J448" i="4"/>
  <c r="K448" i="4" s="1"/>
  <c r="J449" i="4"/>
  <c r="K449" i="4" s="1"/>
  <c r="J450" i="4"/>
  <c r="K450" i="4" s="1"/>
  <c r="J451" i="4"/>
  <c r="K451" i="4" s="1"/>
  <c r="J452" i="4"/>
  <c r="K452" i="4" s="1"/>
  <c r="J453" i="4"/>
  <c r="K453" i="4" s="1"/>
  <c r="J454" i="4"/>
  <c r="K454" i="4" s="1"/>
  <c r="J455" i="4"/>
  <c r="K455" i="4" s="1"/>
  <c r="J456" i="4"/>
  <c r="K456" i="4" s="1"/>
  <c r="J457" i="4"/>
  <c r="K457" i="4" s="1"/>
  <c r="J458" i="4"/>
  <c r="K458" i="4" s="1"/>
  <c r="J459" i="4"/>
  <c r="K459" i="4" s="1"/>
  <c r="J460" i="4"/>
  <c r="K460" i="4" s="1"/>
  <c r="J461" i="4"/>
  <c r="K461" i="4" s="1"/>
  <c r="J462" i="4"/>
  <c r="K462" i="4" s="1"/>
  <c r="J463" i="4"/>
  <c r="K463" i="4" s="1"/>
  <c r="J464" i="4"/>
  <c r="K464" i="4" s="1"/>
  <c r="J465" i="4"/>
  <c r="K465" i="4" s="1"/>
  <c r="J466" i="4"/>
  <c r="K466" i="4" s="1"/>
  <c r="J467" i="4"/>
  <c r="K467" i="4" s="1"/>
  <c r="J468" i="4"/>
  <c r="K468" i="4" s="1"/>
  <c r="J469" i="4"/>
  <c r="K469" i="4" s="1"/>
  <c r="J470" i="4"/>
  <c r="K470" i="4" s="1"/>
  <c r="J471" i="4"/>
  <c r="K471" i="4" s="1"/>
  <c r="J472" i="4"/>
  <c r="K472" i="4" s="1"/>
  <c r="J473" i="4"/>
  <c r="K473" i="4" s="1"/>
  <c r="J474" i="4"/>
  <c r="K474" i="4" s="1"/>
  <c r="J475" i="4"/>
  <c r="K475" i="4" s="1"/>
  <c r="J476" i="4"/>
  <c r="K476" i="4" s="1"/>
  <c r="J477" i="4"/>
  <c r="K477" i="4" s="1"/>
  <c r="J478" i="4"/>
  <c r="K478" i="4" s="1"/>
  <c r="J479" i="4"/>
  <c r="K479" i="4" s="1"/>
  <c r="J480" i="4"/>
  <c r="K480" i="4" s="1"/>
  <c r="J481" i="4"/>
  <c r="K481" i="4" s="1"/>
  <c r="J482" i="4"/>
  <c r="K482" i="4" s="1"/>
  <c r="J483" i="4"/>
  <c r="K483" i="4" s="1"/>
  <c r="J484" i="4"/>
  <c r="K484" i="4" s="1"/>
  <c r="J485" i="4"/>
  <c r="K485" i="4" s="1"/>
  <c r="J486" i="4"/>
  <c r="K486" i="4" s="1"/>
  <c r="J487" i="4"/>
  <c r="K487" i="4" s="1"/>
  <c r="J488" i="4"/>
  <c r="K488" i="4" s="1"/>
  <c r="J489" i="4"/>
  <c r="K489" i="4" s="1"/>
  <c r="J490" i="4"/>
  <c r="K490" i="4" s="1"/>
  <c r="J491" i="4"/>
  <c r="K491" i="4" s="1"/>
  <c r="J492" i="4"/>
  <c r="K492" i="4" s="1"/>
  <c r="J493" i="4"/>
  <c r="K493" i="4" s="1"/>
  <c r="J494" i="4"/>
  <c r="K494" i="4" s="1"/>
  <c r="J495" i="4"/>
  <c r="K495" i="4" s="1"/>
  <c r="J496" i="4"/>
  <c r="K496" i="4" s="1"/>
  <c r="J497" i="4"/>
  <c r="K497" i="4" s="1"/>
  <c r="J498" i="4"/>
  <c r="K498" i="4" s="1"/>
  <c r="J499" i="4"/>
  <c r="K499" i="4" s="1"/>
  <c r="J500" i="4"/>
  <c r="K500" i="4" s="1"/>
  <c r="J501" i="4"/>
  <c r="K501" i="4" s="1"/>
  <c r="J502" i="4"/>
  <c r="K502" i="4" s="1"/>
  <c r="J503" i="4"/>
  <c r="K503" i="4" s="1"/>
  <c r="J504" i="4"/>
  <c r="K504" i="4" s="1"/>
  <c r="J505" i="4"/>
  <c r="K505" i="4" s="1"/>
  <c r="J506" i="4"/>
  <c r="K506" i="4" s="1"/>
  <c r="J507" i="4"/>
  <c r="K507" i="4" s="1"/>
  <c r="J508" i="4"/>
  <c r="K508" i="4" s="1"/>
  <c r="J509" i="4"/>
  <c r="K509" i="4" s="1"/>
  <c r="J510" i="4"/>
  <c r="K510" i="4" s="1"/>
  <c r="J511" i="4"/>
  <c r="K511" i="4" s="1"/>
  <c r="J512" i="4"/>
  <c r="K512" i="4" s="1"/>
  <c r="J513" i="4"/>
  <c r="K513" i="4" s="1"/>
  <c r="J514" i="4"/>
  <c r="K514" i="4" s="1"/>
  <c r="J515" i="4"/>
  <c r="K515" i="4" s="1"/>
  <c r="J516" i="4"/>
  <c r="K516" i="4" s="1"/>
  <c r="J517" i="4"/>
  <c r="K517" i="4" s="1"/>
  <c r="J518" i="4"/>
  <c r="K518" i="4" s="1"/>
  <c r="J519" i="4"/>
  <c r="K519" i="4" s="1"/>
  <c r="J520" i="4"/>
  <c r="K520" i="4" s="1"/>
  <c r="J521" i="4"/>
  <c r="K521" i="4" s="1"/>
  <c r="J522" i="4"/>
  <c r="K522" i="4" s="1"/>
  <c r="J523" i="4"/>
  <c r="K523" i="4" s="1"/>
  <c r="J524" i="4"/>
  <c r="K524" i="4" s="1"/>
  <c r="J525" i="4"/>
  <c r="K525" i="4" s="1"/>
  <c r="J526" i="4"/>
  <c r="K526" i="4" s="1"/>
  <c r="J527" i="4"/>
  <c r="K527" i="4" s="1"/>
  <c r="J528" i="4"/>
  <c r="K528" i="4" s="1"/>
  <c r="J529" i="4"/>
  <c r="K529" i="4" s="1"/>
  <c r="J530" i="4"/>
  <c r="K530" i="4" s="1"/>
  <c r="J531" i="4"/>
  <c r="K531" i="4" s="1"/>
  <c r="J532" i="4"/>
  <c r="K532" i="4" s="1"/>
  <c r="J533" i="4"/>
  <c r="K533" i="4" s="1"/>
  <c r="J534" i="4"/>
  <c r="K534" i="4" s="1"/>
  <c r="J535" i="4"/>
  <c r="K535" i="4" s="1"/>
  <c r="J536" i="4"/>
  <c r="K536" i="4" s="1"/>
  <c r="J537" i="4"/>
  <c r="K537" i="4" s="1"/>
  <c r="J538" i="4"/>
  <c r="K538" i="4" s="1"/>
  <c r="J539" i="4"/>
  <c r="K539" i="4" s="1"/>
  <c r="J540" i="4"/>
  <c r="K540" i="4" s="1"/>
  <c r="J541" i="4"/>
  <c r="K541" i="4" s="1"/>
  <c r="J542" i="4"/>
  <c r="K542" i="4" s="1"/>
  <c r="J543" i="4"/>
  <c r="K543" i="4" s="1"/>
  <c r="J544" i="4"/>
  <c r="K544" i="4" s="1"/>
  <c r="J545" i="4"/>
  <c r="K545" i="4" s="1"/>
  <c r="J546" i="4"/>
  <c r="K546" i="4" s="1"/>
  <c r="J547" i="4"/>
  <c r="K547" i="4" s="1"/>
  <c r="J548" i="4"/>
  <c r="K548" i="4" s="1"/>
  <c r="J549" i="4"/>
  <c r="K549" i="4" s="1"/>
  <c r="J550" i="4"/>
  <c r="K550" i="4" s="1"/>
  <c r="J551" i="4"/>
  <c r="K551" i="4" s="1"/>
  <c r="J552" i="4"/>
  <c r="K552" i="4" s="1"/>
  <c r="J553" i="4"/>
  <c r="K553" i="4" s="1"/>
  <c r="J554" i="4"/>
  <c r="K554" i="4" s="1"/>
  <c r="J555" i="4"/>
  <c r="K555" i="4" s="1"/>
  <c r="J556" i="4"/>
  <c r="K556" i="4" s="1"/>
  <c r="J557" i="4"/>
  <c r="K557" i="4" s="1"/>
  <c r="J558" i="4"/>
  <c r="K558" i="4" s="1"/>
  <c r="J559" i="4"/>
  <c r="K559" i="4" s="1"/>
  <c r="J560" i="4"/>
  <c r="K560" i="4" s="1"/>
  <c r="J561" i="4"/>
  <c r="K561" i="4" s="1"/>
  <c r="J562" i="4"/>
  <c r="K562" i="4" s="1"/>
  <c r="J563" i="4"/>
  <c r="K563" i="4" s="1"/>
  <c r="J564" i="4"/>
  <c r="K564" i="4" s="1"/>
  <c r="J565" i="4"/>
  <c r="K565" i="4" s="1"/>
  <c r="J566" i="4"/>
  <c r="K566" i="4" s="1"/>
  <c r="J567" i="4"/>
  <c r="K567" i="4" s="1"/>
  <c r="J568" i="4"/>
  <c r="K568" i="4" s="1"/>
  <c r="J569" i="4"/>
  <c r="K569" i="4" s="1"/>
  <c r="J570" i="4"/>
  <c r="K570" i="4" s="1"/>
  <c r="J571" i="4"/>
  <c r="K571" i="4" s="1"/>
  <c r="J572" i="4"/>
  <c r="K572" i="4" s="1"/>
  <c r="J573" i="4"/>
  <c r="K573" i="4" s="1"/>
  <c r="J574" i="4"/>
  <c r="K574" i="4" s="1"/>
  <c r="J575" i="4"/>
  <c r="K575" i="4" s="1"/>
  <c r="J576" i="4"/>
  <c r="K576" i="4" s="1"/>
  <c r="J577" i="4"/>
  <c r="K577" i="4" s="1"/>
  <c r="J578" i="4"/>
  <c r="K578" i="4" s="1"/>
  <c r="J579" i="4"/>
  <c r="K579" i="4" s="1"/>
  <c r="J580" i="4"/>
  <c r="K580" i="4" s="1"/>
  <c r="J581" i="4"/>
  <c r="K581" i="4" s="1"/>
  <c r="J582" i="4"/>
  <c r="K582" i="4" s="1"/>
  <c r="J583" i="4"/>
  <c r="K583" i="4" s="1"/>
  <c r="J584" i="4"/>
  <c r="K584" i="4" s="1"/>
  <c r="J585" i="4"/>
  <c r="K585" i="4" s="1"/>
  <c r="J586" i="4"/>
  <c r="K586" i="4" s="1"/>
  <c r="J587" i="4"/>
  <c r="K587" i="4" s="1"/>
  <c r="J588" i="4"/>
  <c r="K588" i="4" s="1"/>
  <c r="J589" i="4"/>
  <c r="K589" i="4" s="1"/>
  <c r="J590" i="4"/>
  <c r="K590" i="4" s="1"/>
  <c r="J591" i="4"/>
  <c r="K591" i="4" s="1"/>
  <c r="J592" i="4"/>
  <c r="K592" i="4" s="1"/>
  <c r="J593" i="4"/>
  <c r="K593" i="4" s="1"/>
  <c r="J594" i="4"/>
  <c r="K594" i="4" s="1"/>
  <c r="J595" i="4"/>
  <c r="K595" i="4" s="1"/>
  <c r="J596" i="4"/>
  <c r="K596" i="4" s="1"/>
  <c r="J597" i="4"/>
  <c r="K597" i="4" s="1"/>
  <c r="J598" i="4"/>
  <c r="K598" i="4" s="1"/>
  <c r="J599" i="4"/>
  <c r="K599" i="4" s="1"/>
  <c r="J600" i="4"/>
  <c r="K600" i="4" s="1"/>
  <c r="J601" i="4"/>
  <c r="K601" i="4" s="1"/>
  <c r="J602" i="4"/>
  <c r="K602" i="4" s="1"/>
  <c r="J603" i="4"/>
  <c r="K603" i="4" s="1"/>
  <c r="J604" i="4"/>
  <c r="K604" i="4" s="1"/>
  <c r="J605" i="4"/>
  <c r="K605" i="4" s="1"/>
  <c r="J606" i="4"/>
  <c r="K606" i="4" s="1"/>
  <c r="J607" i="4"/>
  <c r="K607" i="4" s="1"/>
  <c r="J608" i="4"/>
  <c r="K608" i="4" s="1"/>
  <c r="J609" i="4"/>
  <c r="K609" i="4" s="1"/>
  <c r="J610" i="4"/>
  <c r="K610" i="4" s="1"/>
  <c r="J611" i="4"/>
  <c r="K611" i="4" s="1"/>
  <c r="J612" i="4"/>
  <c r="K612" i="4" s="1"/>
  <c r="J613" i="4"/>
  <c r="K613" i="4" s="1"/>
  <c r="J614" i="4"/>
  <c r="K614" i="4" s="1"/>
  <c r="J615" i="4"/>
  <c r="K615" i="4" s="1"/>
  <c r="J616" i="4"/>
  <c r="K616" i="4" s="1"/>
  <c r="J617" i="4"/>
  <c r="K617" i="4" s="1"/>
  <c r="J618" i="4"/>
  <c r="K618" i="4" s="1"/>
  <c r="J619" i="4"/>
  <c r="K619" i="4" s="1"/>
  <c r="J620" i="4"/>
  <c r="K620" i="4" s="1"/>
  <c r="J621" i="4"/>
  <c r="K621" i="4" s="1"/>
  <c r="J622" i="4"/>
  <c r="K622" i="4" s="1"/>
  <c r="J623" i="4"/>
  <c r="K623" i="4" s="1"/>
  <c r="J624" i="4"/>
  <c r="K624" i="4" s="1"/>
  <c r="J625" i="4"/>
  <c r="K625" i="4" s="1"/>
  <c r="J626" i="4"/>
  <c r="K626" i="4" s="1"/>
  <c r="J627" i="4"/>
  <c r="K627" i="4" s="1"/>
  <c r="J628" i="4"/>
  <c r="K628" i="4" s="1"/>
  <c r="J629" i="4"/>
  <c r="K629" i="4" s="1"/>
  <c r="J630" i="4"/>
  <c r="K630" i="4" s="1"/>
  <c r="J631" i="4"/>
  <c r="K631" i="4" s="1"/>
  <c r="J632" i="4"/>
  <c r="K632" i="4" s="1"/>
  <c r="J633" i="4"/>
  <c r="K633" i="4" s="1"/>
  <c r="J634" i="4"/>
  <c r="K634" i="4" s="1"/>
  <c r="J635" i="4"/>
  <c r="K635" i="4" s="1"/>
  <c r="J636" i="4"/>
  <c r="K636" i="4" s="1"/>
  <c r="J637" i="4"/>
  <c r="K637" i="4" s="1"/>
  <c r="J638" i="4"/>
  <c r="K638" i="4" s="1"/>
  <c r="J639" i="4"/>
  <c r="K639" i="4" s="1"/>
  <c r="J640" i="4"/>
  <c r="K640" i="4" s="1"/>
  <c r="J641" i="4"/>
  <c r="K641" i="4" s="1"/>
  <c r="J642" i="4"/>
  <c r="K642" i="4" s="1"/>
  <c r="J643" i="4"/>
  <c r="K643" i="4" s="1"/>
  <c r="J644" i="4"/>
  <c r="K644" i="4" s="1"/>
  <c r="J645" i="4"/>
  <c r="K645" i="4" s="1"/>
  <c r="J646" i="4"/>
  <c r="K646" i="4" s="1"/>
  <c r="J647" i="4"/>
  <c r="K647" i="4" s="1"/>
  <c r="J648" i="4"/>
  <c r="K648" i="4" s="1"/>
  <c r="J649" i="4"/>
  <c r="K649" i="4" s="1"/>
  <c r="J650" i="4"/>
  <c r="K650" i="4" s="1"/>
  <c r="J651" i="4"/>
  <c r="K651" i="4" s="1"/>
  <c r="J652" i="4"/>
  <c r="K652" i="4" s="1"/>
  <c r="J653" i="4"/>
  <c r="K653" i="4" s="1"/>
  <c r="J654" i="4"/>
  <c r="K654" i="4" s="1"/>
  <c r="J655" i="4"/>
  <c r="K655" i="4" s="1"/>
  <c r="J656" i="4"/>
  <c r="K656" i="4" s="1"/>
  <c r="J657" i="4"/>
  <c r="K657" i="4" s="1"/>
  <c r="J658" i="4"/>
  <c r="K658" i="4" s="1"/>
  <c r="J659" i="4"/>
  <c r="K659" i="4" s="1"/>
  <c r="J660" i="4"/>
  <c r="K660" i="4" s="1"/>
  <c r="J661" i="4"/>
  <c r="K661" i="4" s="1"/>
  <c r="J662" i="4"/>
  <c r="K662" i="4" s="1"/>
  <c r="J663" i="4"/>
  <c r="K663" i="4" s="1"/>
  <c r="J664" i="4"/>
  <c r="K664" i="4" s="1"/>
  <c r="J665" i="4"/>
  <c r="K665" i="4" s="1"/>
  <c r="J666" i="4"/>
  <c r="K666" i="4" s="1"/>
  <c r="J667" i="4"/>
  <c r="K667" i="4" s="1"/>
  <c r="J668" i="4"/>
  <c r="K668" i="4" s="1"/>
  <c r="J669" i="4"/>
  <c r="K669" i="4" s="1"/>
  <c r="J670" i="4"/>
  <c r="K670" i="4" s="1"/>
  <c r="J671" i="4"/>
  <c r="K671" i="4" s="1"/>
  <c r="J672" i="4"/>
  <c r="K672" i="4" s="1"/>
  <c r="J673" i="4"/>
  <c r="K673" i="4" s="1"/>
  <c r="J674" i="4"/>
  <c r="K674" i="4" s="1"/>
  <c r="J675" i="4"/>
  <c r="K675" i="4" s="1"/>
  <c r="J676" i="4"/>
  <c r="K676" i="4" s="1"/>
  <c r="J677" i="4"/>
  <c r="K677" i="4" s="1"/>
  <c r="J678" i="4"/>
  <c r="K678" i="4" s="1"/>
  <c r="J679" i="4"/>
  <c r="K679" i="4" s="1"/>
  <c r="J680" i="4"/>
  <c r="K680" i="4" s="1"/>
  <c r="J681" i="4"/>
  <c r="K681" i="4" s="1"/>
  <c r="J682" i="4"/>
  <c r="K682" i="4" s="1"/>
  <c r="J683" i="4"/>
  <c r="K683" i="4" s="1"/>
  <c r="J684" i="4"/>
  <c r="K684" i="4" s="1"/>
  <c r="J685" i="4"/>
  <c r="K685" i="4" s="1"/>
  <c r="J686" i="4"/>
  <c r="K686" i="4" s="1"/>
  <c r="J687" i="4"/>
  <c r="K687" i="4" s="1"/>
  <c r="J688" i="4"/>
  <c r="K688" i="4" s="1"/>
  <c r="J689" i="4"/>
  <c r="K689" i="4" s="1"/>
  <c r="J690" i="4"/>
  <c r="K690" i="4" s="1"/>
  <c r="J691" i="4"/>
  <c r="K691" i="4" s="1"/>
  <c r="J692" i="4"/>
  <c r="K692" i="4" s="1"/>
  <c r="J693" i="4"/>
  <c r="K693" i="4" s="1"/>
  <c r="J694" i="4"/>
  <c r="K694" i="4" s="1"/>
  <c r="J695" i="4"/>
  <c r="K695" i="4" s="1"/>
  <c r="J696" i="4"/>
  <c r="K696" i="4" s="1"/>
  <c r="J697" i="4"/>
  <c r="K697" i="4" s="1"/>
  <c r="J698" i="4"/>
  <c r="K698" i="4" s="1"/>
  <c r="J699" i="4"/>
  <c r="K699" i="4" s="1"/>
  <c r="J700" i="4"/>
  <c r="K700" i="4" s="1"/>
  <c r="J701" i="4"/>
  <c r="K701" i="4" s="1"/>
  <c r="J702" i="4"/>
  <c r="K702" i="4" s="1"/>
  <c r="J703" i="4"/>
  <c r="K703" i="4" s="1"/>
  <c r="J704" i="4"/>
  <c r="K704" i="4" s="1"/>
  <c r="J705" i="4"/>
  <c r="K705" i="4" s="1"/>
  <c r="J706" i="4"/>
  <c r="K706" i="4" s="1"/>
  <c r="J707" i="4"/>
  <c r="K707" i="4" s="1"/>
  <c r="J708" i="4"/>
  <c r="K708" i="4" s="1"/>
  <c r="J709" i="4"/>
  <c r="K709" i="4" s="1"/>
  <c r="J710" i="4"/>
  <c r="K710" i="4" s="1"/>
  <c r="J711" i="4"/>
  <c r="K711" i="4" s="1"/>
  <c r="J712" i="4"/>
  <c r="K712" i="4" s="1"/>
  <c r="J713" i="4"/>
  <c r="K713" i="4" s="1"/>
  <c r="J714" i="4"/>
  <c r="K714" i="4" s="1"/>
  <c r="J715" i="4"/>
  <c r="K715" i="4" s="1"/>
  <c r="J716" i="4"/>
  <c r="K716" i="4" s="1"/>
  <c r="J717" i="4"/>
  <c r="K717" i="4" s="1"/>
  <c r="J718" i="4"/>
  <c r="K718" i="4" s="1"/>
  <c r="J719" i="4"/>
  <c r="K719" i="4" s="1"/>
  <c r="J720" i="4"/>
  <c r="K720" i="4" s="1"/>
  <c r="J721" i="4"/>
  <c r="K721" i="4" s="1"/>
  <c r="J722" i="4"/>
  <c r="K722" i="4" s="1"/>
  <c r="J723" i="4"/>
  <c r="K723" i="4" s="1"/>
  <c r="J724" i="4"/>
  <c r="K724" i="4" s="1"/>
  <c r="J725" i="4"/>
  <c r="K725" i="4" s="1"/>
  <c r="J726" i="4"/>
  <c r="K726" i="4" s="1"/>
  <c r="J727" i="4"/>
  <c r="K727" i="4" s="1"/>
  <c r="J728" i="4"/>
  <c r="K728" i="4" s="1"/>
  <c r="J729" i="4"/>
  <c r="K729" i="4" s="1"/>
  <c r="J730" i="4"/>
  <c r="K730" i="4" s="1"/>
  <c r="J731" i="4"/>
  <c r="K731" i="4" s="1"/>
  <c r="J732" i="4"/>
  <c r="K732" i="4" s="1"/>
  <c r="J733" i="4"/>
  <c r="K733" i="4" s="1"/>
  <c r="J734" i="4"/>
  <c r="K734" i="4" s="1"/>
  <c r="J735" i="4"/>
  <c r="K735" i="4" s="1"/>
  <c r="J736" i="4"/>
  <c r="K736" i="4" s="1"/>
  <c r="J737" i="4"/>
  <c r="K737" i="4" s="1"/>
  <c r="J738" i="4"/>
  <c r="K738" i="4" s="1"/>
  <c r="J739" i="4"/>
  <c r="K739" i="4" s="1"/>
  <c r="J740" i="4"/>
  <c r="K740" i="4" s="1"/>
  <c r="J741" i="4"/>
  <c r="K741" i="4" s="1"/>
  <c r="J742" i="4"/>
  <c r="K742" i="4" s="1"/>
  <c r="J743" i="4"/>
  <c r="K743" i="4" s="1"/>
  <c r="J744" i="4"/>
  <c r="K744" i="4" s="1"/>
  <c r="J745" i="4"/>
  <c r="K745" i="4" s="1"/>
  <c r="J746" i="4"/>
  <c r="K746" i="4" s="1"/>
  <c r="J747" i="4"/>
  <c r="K747" i="4" s="1"/>
  <c r="J748" i="4"/>
  <c r="K748" i="4" s="1"/>
  <c r="J749" i="4"/>
  <c r="K749" i="4" s="1"/>
  <c r="J750" i="4"/>
  <c r="K750" i="4" s="1"/>
  <c r="J751" i="4"/>
  <c r="K751" i="4" s="1"/>
  <c r="J752" i="4"/>
  <c r="K752" i="4" s="1"/>
  <c r="J753" i="4"/>
  <c r="K753" i="4" s="1"/>
  <c r="J754" i="4"/>
  <c r="K754" i="4" s="1"/>
  <c r="J755" i="4"/>
  <c r="K755" i="4" s="1"/>
  <c r="J756" i="4"/>
  <c r="K756" i="4" s="1"/>
  <c r="J757" i="4"/>
  <c r="K757" i="4" s="1"/>
  <c r="J758" i="4"/>
  <c r="K758" i="4" s="1"/>
  <c r="J759" i="4"/>
  <c r="K759" i="4" s="1"/>
  <c r="J760" i="4"/>
  <c r="K760" i="4" s="1"/>
  <c r="J761" i="4"/>
  <c r="K761" i="4" s="1"/>
  <c r="J762" i="4"/>
  <c r="K762" i="4" s="1"/>
  <c r="J763" i="4"/>
  <c r="K763" i="4" s="1"/>
  <c r="J764" i="4"/>
  <c r="K764" i="4" s="1"/>
  <c r="J765" i="4"/>
  <c r="K765" i="4" s="1"/>
  <c r="J766" i="4"/>
  <c r="K766" i="4" s="1"/>
  <c r="J767" i="4"/>
  <c r="K767" i="4" s="1"/>
  <c r="J768" i="4"/>
  <c r="K768" i="4" s="1"/>
  <c r="J769" i="4"/>
  <c r="K769" i="4" s="1"/>
  <c r="J770" i="4"/>
  <c r="K770" i="4" s="1"/>
  <c r="J771" i="4"/>
  <c r="K771" i="4" s="1"/>
  <c r="J772" i="4"/>
  <c r="K772" i="4" s="1"/>
  <c r="J773" i="4"/>
  <c r="K773" i="4" s="1"/>
  <c r="J774" i="4"/>
  <c r="K774" i="4" s="1"/>
  <c r="J775" i="4"/>
  <c r="K775" i="4" s="1"/>
  <c r="J776" i="4"/>
  <c r="K776" i="4" s="1"/>
  <c r="J777" i="4"/>
  <c r="K777" i="4" s="1"/>
  <c r="J778" i="4"/>
  <c r="K778" i="4" s="1"/>
  <c r="J779" i="4"/>
  <c r="K779" i="4" s="1"/>
  <c r="J780" i="4"/>
  <c r="K780" i="4" s="1"/>
  <c r="J781" i="4"/>
  <c r="K781" i="4" s="1"/>
  <c r="J782" i="4"/>
  <c r="K782" i="4" s="1"/>
  <c r="J783" i="4"/>
  <c r="K783" i="4" s="1"/>
  <c r="J784" i="4"/>
  <c r="K784" i="4" s="1"/>
  <c r="J785" i="4"/>
  <c r="K785" i="4" s="1"/>
  <c r="J786" i="4"/>
  <c r="K786" i="4" s="1"/>
  <c r="J787" i="4"/>
  <c r="K787" i="4" s="1"/>
  <c r="J788" i="4"/>
  <c r="K788" i="4" s="1"/>
  <c r="J789" i="4"/>
  <c r="K789" i="4" s="1"/>
  <c r="J790" i="4"/>
  <c r="K790" i="4" s="1"/>
  <c r="J791" i="4"/>
  <c r="K791" i="4" s="1"/>
  <c r="J792" i="4"/>
  <c r="K792" i="4" s="1"/>
  <c r="J793" i="4"/>
  <c r="K793" i="4" s="1"/>
  <c r="J794" i="4"/>
  <c r="K794" i="4" s="1"/>
  <c r="J795" i="4"/>
  <c r="K795" i="4" s="1"/>
  <c r="J796" i="4"/>
  <c r="K796" i="4" s="1"/>
  <c r="J797" i="4"/>
  <c r="K797" i="4" s="1"/>
  <c r="J798" i="4"/>
  <c r="K798" i="4" s="1"/>
  <c r="J799" i="4"/>
  <c r="K799" i="4" s="1"/>
  <c r="J800" i="4"/>
  <c r="K800" i="4" s="1"/>
  <c r="J801" i="4"/>
  <c r="K801" i="4" s="1"/>
  <c r="J802" i="4"/>
  <c r="K802" i="4" s="1"/>
  <c r="J803" i="4"/>
  <c r="K803" i="4" s="1"/>
  <c r="J804" i="4"/>
  <c r="K804" i="4" s="1"/>
  <c r="J805" i="4"/>
  <c r="K805" i="4" s="1"/>
  <c r="J806" i="4"/>
  <c r="K806" i="4" s="1"/>
  <c r="J807" i="4"/>
  <c r="K807" i="4" s="1"/>
  <c r="J808" i="4"/>
  <c r="K808" i="4" s="1"/>
  <c r="J809" i="4"/>
  <c r="K809" i="4" s="1"/>
  <c r="J810" i="4"/>
  <c r="K810" i="4" s="1"/>
  <c r="J811" i="4"/>
  <c r="K811" i="4" s="1"/>
  <c r="J812" i="4"/>
  <c r="K812" i="4" s="1"/>
  <c r="J813" i="4"/>
  <c r="K813" i="4" s="1"/>
  <c r="J814" i="4"/>
  <c r="K814" i="4" s="1"/>
  <c r="J815" i="4"/>
  <c r="K815" i="4" s="1"/>
  <c r="J816" i="4"/>
  <c r="K816" i="4" s="1"/>
  <c r="J817" i="4"/>
  <c r="K817" i="4" s="1"/>
  <c r="J818" i="4"/>
  <c r="K818" i="4" s="1"/>
  <c r="J819" i="4"/>
  <c r="K819" i="4" s="1"/>
  <c r="J820" i="4"/>
  <c r="K820" i="4" s="1"/>
  <c r="J821" i="4"/>
  <c r="K821" i="4" s="1"/>
  <c r="J822" i="4"/>
  <c r="K822" i="4" s="1"/>
  <c r="J823" i="4"/>
  <c r="K823" i="4" s="1"/>
  <c r="J824" i="4"/>
  <c r="K824" i="4" s="1"/>
  <c r="J825" i="4"/>
  <c r="K825" i="4" s="1"/>
  <c r="J826" i="4"/>
  <c r="K826" i="4" s="1"/>
  <c r="J827" i="4"/>
  <c r="K827" i="4" s="1"/>
  <c r="J828" i="4"/>
  <c r="K828" i="4" s="1"/>
  <c r="J829" i="4"/>
  <c r="K829" i="4" s="1"/>
  <c r="J830" i="4"/>
  <c r="K830" i="4" s="1"/>
  <c r="J831" i="4"/>
  <c r="K831" i="4" s="1"/>
  <c r="J832" i="4"/>
  <c r="K832" i="4" s="1"/>
  <c r="J833" i="4"/>
  <c r="K833" i="4" s="1"/>
  <c r="J834" i="4"/>
  <c r="K834" i="4" s="1"/>
  <c r="J835" i="4"/>
  <c r="K835" i="4" s="1"/>
  <c r="J836" i="4"/>
  <c r="K836" i="4" s="1"/>
  <c r="J837" i="4"/>
  <c r="K837" i="4" s="1"/>
  <c r="J838" i="4"/>
  <c r="K838" i="4" s="1"/>
  <c r="J839" i="4"/>
  <c r="K839" i="4" s="1"/>
  <c r="J840" i="4"/>
  <c r="K840" i="4" s="1"/>
  <c r="J841" i="4"/>
  <c r="K841" i="4" s="1"/>
  <c r="J842" i="4"/>
  <c r="K842" i="4" s="1"/>
  <c r="J843" i="4"/>
  <c r="K843" i="4" s="1"/>
  <c r="J844" i="4"/>
  <c r="K844" i="4" s="1"/>
  <c r="J845" i="4"/>
  <c r="K845" i="4" s="1"/>
  <c r="J846" i="4"/>
  <c r="K846" i="4" s="1"/>
  <c r="J847" i="4"/>
  <c r="K847" i="4" s="1"/>
  <c r="J848" i="4"/>
  <c r="K848" i="4" s="1"/>
  <c r="J849" i="4"/>
  <c r="K849" i="4" s="1"/>
  <c r="J850" i="4"/>
  <c r="K850" i="4" s="1"/>
  <c r="J851" i="4"/>
  <c r="K851" i="4" s="1"/>
  <c r="J852" i="4"/>
  <c r="K852" i="4" s="1"/>
  <c r="J853" i="4"/>
  <c r="K853" i="4" s="1"/>
  <c r="J854" i="4"/>
  <c r="K854" i="4" s="1"/>
  <c r="J855" i="4"/>
  <c r="K855" i="4" s="1"/>
  <c r="J856" i="4"/>
  <c r="K856" i="4" s="1"/>
  <c r="J857" i="4"/>
  <c r="K857" i="4" s="1"/>
  <c r="J858" i="4"/>
  <c r="K858" i="4" s="1"/>
  <c r="J859" i="4"/>
  <c r="K859" i="4" s="1"/>
  <c r="J860" i="4"/>
  <c r="K860" i="4" s="1"/>
  <c r="J861" i="4"/>
  <c r="K861" i="4" s="1"/>
  <c r="J862" i="4"/>
  <c r="K862" i="4" s="1"/>
  <c r="J863" i="4"/>
  <c r="K863" i="4" s="1"/>
  <c r="J864" i="4"/>
  <c r="K864" i="4" s="1"/>
  <c r="J865" i="4"/>
  <c r="K865" i="4" s="1"/>
  <c r="J866" i="4"/>
  <c r="K866" i="4" s="1"/>
  <c r="J867" i="4"/>
  <c r="K867" i="4" s="1"/>
  <c r="J868" i="4"/>
  <c r="K868" i="4" s="1"/>
  <c r="J869" i="4"/>
  <c r="K869" i="4" s="1"/>
  <c r="J870" i="4"/>
  <c r="K870" i="4" s="1"/>
  <c r="J871" i="4"/>
  <c r="K871" i="4" s="1"/>
  <c r="J872" i="4"/>
  <c r="K872" i="4" s="1"/>
  <c r="J873" i="4"/>
  <c r="K873" i="4" s="1"/>
  <c r="J874" i="4"/>
  <c r="K874" i="4" s="1"/>
  <c r="J875" i="4"/>
  <c r="K875" i="4" s="1"/>
  <c r="J876" i="4"/>
  <c r="K876" i="4" s="1"/>
  <c r="J877" i="4"/>
  <c r="K877" i="4" s="1"/>
  <c r="J878" i="4"/>
  <c r="K878" i="4" s="1"/>
  <c r="J879" i="4"/>
  <c r="K879" i="4" s="1"/>
  <c r="J880" i="4"/>
  <c r="K880" i="4" s="1"/>
  <c r="J881" i="4"/>
  <c r="K881" i="4" s="1"/>
  <c r="J882" i="4"/>
  <c r="K882" i="4" s="1"/>
  <c r="J883" i="4"/>
  <c r="K883" i="4" s="1"/>
  <c r="J884" i="4"/>
  <c r="K884" i="4" s="1"/>
  <c r="J885" i="4"/>
  <c r="K885" i="4" s="1"/>
  <c r="J886" i="4"/>
  <c r="K886" i="4" s="1"/>
  <c r="J887" i="4"/>
  <c r="K887" i="4" s="1"/>
  <c r="J888" i="4"/>
  <c r="K888" i="4" s="1"/>
  <c r="J889" i="4"/>
  <c r="K889" i="4" s="1"/>
  <c r="J890" i="4"/>
  <c r="K890" i="4" s="1"/>
  <c r="J891" i="4"/>
  <c r="K891" i="4" s="1"/>
  <c r="J892" i="4"/>
  <c r="K892" i="4" s="1"/>
  <c r="J893" i="4"/>
  <c r="K893" i="4" s="1"/>
  <c r="J894" i="4"/>
  <c r="K894" i="4" s="1"/>
  <c r="J895" i="4"/>
  <c r="K895" i="4" s="1"/>
  <c r="J896" i="4"/>
  <c r="K896" i="4" s="1"/>
  <c r="J897" i="4"/>
  <c r="K897" i="4" s="1"/>
  <c r="J898" i="4"/>
  <c r="K898" i="4" s="1"/>
  <c r="J899" i="4"/>
  <c r="K899" i="4" s="1"/>
  <c r="J900" i="4"/>
  <c r="K900" i="4" s="1"/>
  <c r="J901" i="4"/>
  <c r="K901" i="4" s="1"/>
  <c r="J902" i="4"/>
  <c r="K902" i="4" s="1"/>
  <c r="J903" i="4"/>
  <c r="K903" i="4" s="1"/>
  <c r="J904" i="4"/>
  <c r="K904" i="4" s="1"/>
  <c r="J905" i="4"/>
  <c r="K905" i="4" s="1"/>
  <c r="J906" i="4"/>
  <c r="K906" i="4" s="1"/>
  <c r="J907" i="4"/>
  <c r="K907" i="4" s="1"/>
  <c r="J908" i="4"/>
  <c r="K908" i="4" s="1"/>
  <c r="J909" i="4"/>
  <c r="K909" i="4" s="1"/>
  <c r="J910" i="4"/>
  <c r="K910" i="4" s="1"/>
  <c r="J911" i="4"/>
  <c r="K911" i="4" s="1"/>
  <c r="J912" i="4"/>
  <c r="K912" i="4" s="1"/>
  <c r="J913" i="4"/>
  <c r="K913" i="4" s="1"/>
  <c r="J914" i="4"/>
  <c r="K914" i="4" s="1"/>
  <c r="J915" i="4"/>
  <c r="K915" i="4" s="1"/>
  <c r="J916" i="4"/>
  <c r="K916" i="4" s="1"/>
  <c r="J917" i="4"/>
  <c r="K917" i="4" s="1"/>
  <c r="J918" i="4"/>
  <c r="K918" i="4" s="1"/>
  <c r="J919" i="4"/>
  <c r="K919" i="4" s="1"/>
  <c r="J920" i="4"/>
  <c r="K920" i="4" s="1"/>
  <c r="J921" i="4"/>
  <c r="K921" i="4" s="1"/>
  <c r="J922" i="4"/>
  <c r="K922" i="4" s="1"/>
  <c r="J923" i="4"/>
  <c r="K923" i="4" s="1"/>
  <c r="J924" i="4"/>
  <c r="K924" i="4" s="1"/>
  <c r="J925" i="4"/>
  <c r="K925" i="4" s="1"/>
  <c r="J926" i="4"/>
  <c r="K926" i="4" s="1"/>
  <c r="J927" i="4"/>
  <c r="K927" i="4" s="1"/>
  <c r="J928" i="4"/>
  <c r="K928" i="4" s="1"/>
  <c r="J929" i="4"/>
  <c r="K929" i="4" s="1"/>
  <c r="J930" i="4"/>
  <c r="K930" i="4" s="1"/>
  <c r="J931" i="4"/>
  <c r="K931" i="4" s="1"/>
  <c r="J932" i="4"/>
  <c r="K932" i="4" s="1"/>
  <c r="J933" i="4"/>
  <c r="K933" i="4" s="1"/>
  <c r="J934" i="4"/>
  <c r="K934" i="4" s="1"/>
  <c r="J935" i="4"/>
  <c r="K935" i="4" s="1"/>
  <c r="J936" i="4"/>
  <c r="K936" i="4" s="1"/>
  <c r="J937" i="4"/>
  <c r="K937" i="4" s="1"/>
  <c r="J938" i="4"/>
  <c r="K938" i="4" s="1"/>
  <c r="J939" i="4"/>
  <c r="K939" i="4" s="1"/>
  <c r="J940" i="4"/>
  <c r="K940" i="4" s="1"/>
  <c r="J941" i="4"/>
  <c r="K941" i="4" s="1"/>
  <c r="J942" i="4"/>
  <c r="K942" i="4" s="1"/>
  <c r="J943" i="4"/>
  <c r="K943" i="4" s="1"/>
  <c r="J944" i="4"/>
  <c r="K944" i="4" s="1"/>
  <c r="J945" i="4"/>
  <c r="K945" i="4" s="1"/>
  <c r="J946" i="4"/>
  <c r="K946" i="4" s="1"/>
  <c r="J947" i="4"/>
  <c r="K947" i="4" s="1"/>
  <c r="J948" i="4"/>
  <c r="K948" i="4" s="1"/>
  <c r="J949" i="4"/>
  <c r="K949" i="4" s="1"/>
  <c r="J950" i="4"/>
  <c r="K950" i="4" s="1"/>
  <c r="J951" i="4"/>
  <c r="K951" i="4" s="1"/>
  <c r="J952" i="4"/>
  <c r="K952" i="4" s="1"/>
  <c r="J953" i="4"/>
  <c r="K953" i="4" s="1"/>
  <c r="J954" i="4"/>
  <c r="K954" i="4" s="1"/>
  <c r="J955" i="4"/>
  <c r="K955" i="4" s="1"/>
  <c r="J956" i="4"/>
  <c r="K956" i="4" s="1"/>
  <c r="J957" i="4"/>
  <c r="K957" i="4" s="1"/>
  <c r="J958" i="4"/>
  <c r="K958" i="4" s="1"/>
  <c r="J959" i="4"/>
  <c r="K959" i="4" s="1"/>
  <c r="J960" i="4"/>
  <c r="K960" i="4" s="1"/>
  <c r="J961" i="4"/>
  <c r="K961" i="4" s="1"/>
  <c r="J962" i="4"/>
  <c r="K962" i="4" s="1"/>
  <c r="J963" i="4"/>
  <c r="K963" i="4" s="1"/>
  <c r="J964" i="4"/>
  <c r="K964" i="4" s="1"/>
  <c r="J965" i="4"/>
  <c r="K965" i="4" s="1"/>
  <c r="J966" i="4"/>
  <c r="K966" i="4" s="1"/>
  <c r="J967" i="4"/>
  <c r="K967" i="4" s="1"/>
  <c r="J968" i="4"/>
  <c r="K968" i="4" s="1"/>
  <c r="J969" i="4"/>
  <c r="K969" i="4" s="1"/>
  <c r="J970" i="4"/>
  <c r="K970" i="4" s="1"/>
  <c r="J971" i="4"/>
  <c r="K971" i="4" s="1"/>
  <c r="J972" i="4"/>
  <c r="K972" i="4" s="1"/>
  <c r="J973" i="4"/>
  <c r="K973" i="4" s="1"/>
  <c r="J974" i="4"/>
  <c r="K974" i="4" s="1"/>
  <c r="J975" i="4"/>
  <c r="K975" i="4" s="1"/>
  <c r="J976" i="4"/>
  <c r="K976" i="4" s="1"/>
  <c r="J977" i="4"/>
  <c r="K977" i="4" s="1"/>
  <c r="J978" i="4"/>
  <c r="K978" i="4" s="1"/>
  <c r="J979" i="4"/>
  <c r="K979" i="4" s="1"/>
  <c r="J980" i="4"/>
  <c r="K980" i="4" s="1"/>
  <c r="J981" i="4"/>
  <c r="K981" i="4" s="1"/>
  <c r="J982" i="4"/>
  <c r="K982" i="4" s="1"/>
  <c r="J983" i="4"/>
  <c r="K983" i="4" s="1"/>
  <c r="J984" i="4"/>
  <c r="K984" i="4" s="1"/>
  <c r="J985" i="4"/>
  <c r="K985" i="4" s="1"/>
  <c r="J986" i="4"/>
  <c r="K986" i="4" s="1"/>
  <c r="J987" i="4"/>
  <c r="K987" i="4" s="1"/>
  <c r="J988" i="4"/>
  <c r="K988" i="4" s="1"/>
  <c r="J989" i="4"/>
  <c r="K989" i="4" s="1"/>
  <c r="J990" i="4"/>
  <c r="K990" i="4" s="1"/>
  <c r="J991" i="4"/>
  <c r="K991" i="4" s="1"/>
  <c r="J992" i="4"/>
  <c r="K992" i="4" s="1"/>
  <c r="J993" i="4"/>
  <c r="K993" i="4" s="1"/>
  <c r="J994" i="4"/>
  <c r="K994" i="4" s="1"/>
  <c r="J995" i="4"/>
  <c r="K995" i="4" s="1"/>
  <c r="J996" i="4"/>
  <c r="K996" i="4" s="1"/>
  <c r="J997" i="4"/>
  <c r="K997" i="4" s="1"/>
  <c r="J998" i="4"/>
  <c r="K998" i="4" s="1"/>
  <c r="J999" i="4"/>
  <c r="K999" i="4" s="1"/>
  <c r="J1000" i="4"/>
  <c r="K1000" i="4" s="1"/>
  <c r="J1001" i="4"/>
  <c r="K1001" i="4" s="1"/>
  <c r="J1002" i="4"/>
  <c r="K1002" i="4" s="1"/>
  <c r="J1003" i="4"/>
  <c r="K1003" i="4" s="1"/>
  <c r="J1004" i="4"/>
  <c r="K1004" i="4" s="1"/>
  <c r="J1005" i="4"/>
  <c r="K1005" i="4" s="1"/>
  <c r="J1006" i="4"/>
  <c r="K1006" i="4" s="1"/>
  <c r="J1007" i="4"/>
  <c r="K1007" i="4" s="1"/>
  <c r="J1008" i="4"/>
  <c r="K1008" i="4" s="1"/>
  <c r="J1009" i="4"/>
  <c r="K1009" i="4" s="1"/>
  <c r="J1010" i="4"/>
  <c r="K1010" i="4" s="1"/>
  <c r="J1011" i="4"/>
  <c r="K1011" i="4" s="1"/>
  <c r="J1012" i="4"/>
  <c r="K1012" i="4" s="1"/>
  <c r="J1013" i="4"/>
  <c r="K1013" i="4" s="1"/>
  <c r="J1014" i="4"/>
  <c r="K1014" i="4" s="1"/>
  <c r="J1015" i="4"/>
  <c r="K1015" i="4" s="1"/>
  <c r="J1016" i="4"/>
  <c r="K1016" i="4" s="1"/>
  <c r="J1017" i="4"/>
  <c r="K1017" i="4" s="1"/>
  <c r="J1018" i="4"/>
  <c r="K1018" i="4" s="1"/>
  <c r="J1019" i="4"/>
  <c r="K1019" i="4" s="1"/>
  <c r="J1020" i="4"/>
  <c r="K1020" i="4" s="1"/>
  <c r="J1021" i="4"/>
  <c r="K1021" i="4" s="1"/>
  <c r="J1022" i="4"/>
  <c r="K1022" i="4" s="1"/>
  <c r="J1023" i="4"/>
  <c r="K1023" i="4" s="1"/>
  <c r="J1024" i="4"/>
  <c r="K1024" i="4" s="1"/>
  <c r="J1025" i="4"/>
  <c r="K1025" i="4" s="1"/>
  <c r="J1026" i="4"/>
  <c r="K1026" i="4" s="1"/>
  <c r="J1027" i="4"/>
  <c r="K1027" i="4" s="1"/>
  <c r="J1028" i="4"/>
  <c r="K1028" i="4" s="1"/>
  <c r="J1029" i="4"/>
  <c r="K1029" i="4" s="1"/>
  <c r="J1030" i="4"/>
  <c r="K1030" i="4" s="1"/>
  <c r="J1031" i="4"/>
  <c r="K1031" i="4" s="1"/>
  <c r="J1032" i="4"/>
  <c r="K1032" i="4" s="1"/>
  <c r="J1033" i="4"/>
  <c r="K1033" i="4" s="1"/>
  <c r="J1034" i="4"/>
  <c r="K1034" i="4" s="1"/>
  <c r="J1035" i="4"/>
  <c r="K1035" i="4" s="1"/>
  <c r="J1036" i="4"/>
  <c r="K1036" i="4" s="1"/>
  <c r="J1037" i="4"/>
  <c r="K1037" i="4" s="1"/>
  <c r="J1038" i="4"/>
  <c r="K1038" i="4" s="1"/>
  <c r="J1039" i="4"/>
  <c r="K1039" i="4" s="1"/>
  <c r="J1040" i="4"/>
  <c r="K1040" i="4" s="1"/>
  <c r="J1041" i="4"/>
  <c r="K1041" i="4" s="1"/>
  <c r="J1042" i="4"/>
  <c r="K1042" i="4" s="1"/>
  <c r="J1043" i="4"/>
  <c r="K1043" i="4" s="1"/>
  <c r="J1044" i="4"/>
  <c r="K1044" i="4" s="1"/>
  <c r="J1045" i="4"/>
  <c r="K1045" i="4" s="1"/>
  <c r="J1046" i="4"/>
  <c r="K1046" i="4" s="1"/>
  <c r="J1047" i="4"/>
  <c r="K1047" i="4" s="1"/>
  <c r="J1048" i="4"/>
  <c r="K1048" i="4" s="1"/>
  <c r="J1049" i="4"/>
  <c r="K1049" i="4" s="1"/>
  <c r="J1050" i="4"/>
  <c r="K1050" i="4" s="1"/>
  <c r="J1051" i="4"/>
  <c r="K1051" i="4" s="1"/>
  <c r="J1052" i="4"/>
  <c r="K1052" i="4" s="1"/>
  <c r="J1053" i="4"/>
  <c r="K1053" i="4" s="1"/>
  <c r="J1054" i="4"/>
  <c r="K1054" i="4" s="1"/>
  <c r="J1055" i="4"/>
  <c r="K1055" i="4" s="1"/>
  <c r="J1056" i="4"/>
  <c r="K1056" i="4" s="1"/>
  <c r="J1057" i="4"/>
  <c r="K1057" i="4" s="1"/>
  <c r="J1058" i="4"/>
  <c r="K1058" i="4" s="1"/>
  <c r="J1059" i="4"/>
  <c r="K1059" i="4" s="1"/>
  <c r="J1060" i="4"/>
  <c r="K1060" i="4" s="1"/>
  <c r="J1061" i="4"/>
  <c r="K1061" i="4" s="1"/>
  <c r="J1062" i="4"/>
  <c r="K1062" i="4" s="1"/>
  <c r="J1063" i="4"/>
  <c r="K1063" i="4" s="1"/>
  <c r="J1064" i="4"/>
  <c r="K1064" i="4" s="1"/>
  <c r="J1065" i="4"/>
  <c r="K1065" i="4" s="1"/>
  <c r="J1066" i="4"/>
  <c r="K1066" i="4" s="1"/>
  <c r="J1067" i="4"/>
  <c r="K1067" i="4" s="1"/>
  <c r="J1068" i="4"/>
  <c r="K1068" i="4" s="1"/>
  <c r="J1069" i="4"/>
  <c r="K1069" i="4" s="1"/>
  <c r="J1070" i="4"/>
  <c r="K1070" i="4" s="1"/>
  <c r="J1071" i="4"/>
  <c r="K1071" i="4" s="1"/>
  <c r="J1072" i="4"/>
  <c r="K1072" i="4" s="1"/>
  <c r="J1073" i="4"/>
  <c r="K1073" i="4" s="1"/>
  <c r="J1074" i="4"/>
  <c r="K1074" i="4" s="1"/>
  <c r="J1075" i="4"/>
  <c r="K1075" i="4" s="1"/>
  <c r="J1076" i="4"/>
  <c r="K1076" i="4" s="1"/>
  <c r="J1077" i="4"/>
  <c r="K1077" i="4" s="1"/>
  <c r="J1078" i="4"/>
  <c r="K1078" i="4" s="1"/>
  <c r="J1079" i="4"/>
  <c r="K1079" i="4" s="1"/>
  <c r="J1080" i="4"/>
  <c r="K1080" i="4" s="1"/>
  <c r="J1081" i="4"/>
  <c r="K1081" i="4" s="1"/>
  <c r="J1082" i="4"/>
  <c r="K1082" i="4" s="1"/>
  <c r="J1083" i="4"/>
  <c r="K1083" i="4" s="1"/>
  <c r="J1084" i="4"/>
  <c r="K1084" i="4" s="1"/>
  <c r="J1085" i="4"/>
  <c r="K1085" i="4" s="1"/>
  <c r="J1086" i="4"/>
  <c r="K1086" i="4" s="1"/>
  <c r="J1087" i="4"/>
  <c r="K1087" i="4" s="1"/>
  <c r="J1088" i="4"/>
  <c r="K1088" i="4" s="1"/>
  <c r="J1089" i="4"/>
  <c r="K1089" i="4" s="1"/>
  <c r="J1090" i="4"/>
  <c r="K1090" i="4" s="1"/>
  <c r="J1091" i="4"/>
  <c r="K1091" i="4" s="1"/>
  <c r="J1092" i="4"/>
  <c r="K1092" i="4" s="1"/>
  <c r="J1093" i="4"/>
  <c r="K1093" i="4" s="1"/>
  <c r="J1094" i="4"/>
  <c r="K1094" i="4" s="1"/>
  <c r="J1095" i="4"/>
  <c r="K1095" i="4" s="1"/>
  <c r="J1096" i="4"/>
  <c r="K1096" i="4" s="1"/>
  <c r="J1097" i="4"/>
  <c r="K1097" i="4" s="1"/>
  <c r="J1098" i="4"/>
  <c r="K1098" i="4" s="1"/>
  <c r="J1099" i="4"/>
  <c r="K1099" i="4" s="1"/>
  <c r="J1100" i="4"/>
  <c r="K1100" i="4" s="1"/>
  <c r="J1101" i="4"/>
  <c r="K1101" i="4" s="1"/>
  <c r="J1102" i="4"/>
  <c r="K1102" i="4" s="1"/>
  <c r="J1103" i="4"/>
  <c r="K1103" i="4" s="1"/>
  <c r="J1104" i="4"/>
  <c r="K1104" i="4" s="1"/>
  <c r="J1105" i="4"/>
  <c r="K1105" i="4" s="1"/>
  <c r="J1106" i="4"/>
  <c r="K1106" i="4" s="1"/>
  <c r="J1107" i="4"/>
  <c r="K1107" i="4" s="1"/>
  <c r="J1108" i="4"/>
  <c r="K1108" i="4" s="1"/>
  <c r="J1109" i="4"/>
  <c r="K1109" i="4" s="1"/>
  <c r="J1110" i="4"/>
  <c r="K1110" i="4" s="1"/>
  <c r="J1111" i="4"/>
  <c r="K1111" i="4" s="1"/>
  <c r="J1112" i="4"/>
  <c r="K1112" i="4" s="1"/>
  <c r="J1113" i="4"/>
  <c r="K1113" i="4" s="1"/>
  <c r="J1114" i="4"/>
  <c r="K1114" i="4" s="1"/>
  <c r="J1115" i="4"/>
  <c r="K1115" i="4" s="1"/>
  <c r="J1116" i="4"/>
  <c r="K1116" i="4" s="1"/>
  <c r="J1117" i="4"/>
  <c r="K1117" i="4" s="1"/>
  <c r="J1118" i="4"/>
  <c r="K1118" i="4" s="1"/>
  <c r="J1119" i="4"/>
  <c r="K1119" i="4" s="1"/>
  <c r="J1120" i="4"/>
  <c r="K1120" i="4" s="1"/>
  <c r="J1121" i="4"/>
  <c r="K1121" i="4" s="1"/>
  <c r="J1122" i="4"/>
  <c r="K1122" i="4" s="1"/>
  <c r="J1123" i="4"/>
  <c r="K1123" i="4" s="1"/>
  <c r="J1124" i="4"/>
  <c r="K1124" i="4" s="1"/>
  <c r="J1125" i="4"/>
  <c r="K1125" i="4" s="1"/>
  <c r="J1126" i="4"/>
  <c r="K1126" i="4" s="1"/>
  <c r="J1127" i="4"/>
  <c r="K1127" i="4" s="1"/>
  <c r="J1128" i="4"/>
  <c r="K1128" i="4" s="1"/>
  <c r="J1129" i="4"/>
  <c r="K1129" i="4" s="1"/>
  <c r="J1130" i="4"/>
  <c r="K1130" i="4" s="1"/>
  <c r="J1131" i="4"/>
  <c r="K1131" i="4" s="1"/>
  <c r="J1132" i="4"/>
  <c r="K1132" i="4" s="1"/>
  <c r="J1133" i="4"/>
  <c r="K1133" i="4" s="1"/>
  <c r="J1134" i="4"/>
  <c r="K1134" i="4" s="1"/>
  <c r="J1135" i="4"/>
  <c r="K1135" i="4" s="1"/>
  <c r="J1136" i="4"/>
  <c r="K1136" i="4" s="1"/>
  <c r="J1137" i="4"/>
  <c r="K1137" i="4" s="1"/>
  <c r="J1138" i="4"/>
  <c r="K1138" i="4" s="1"/>
  <c r="J1139" i="4"/>
  <c r="K1139" i="4" s="1"/>
  <c r="J1140" i="4"/>
  <c r="K1140" i="4" s="1"/>
  <c r="J1141" i="4"/>
  <c r="K1141" i="4" s="1"/>
  <c r="J1142" i="4"/>
  <c r="K1142" i="4" s="1"/>
  <c r="J1143" i="4"/>
  <c r="K1143" i="4" s="1"/>
  <c r="J1144" i="4"/>
  <c r="K1144" i="4" s="1"/>
  <c r="J1145" i="4"/>
  <c r="K1145" i="4" s="1"/>
  <c r="J1146" i="4"/>
  <c r="K1146" i="4" s="1"/>
  <c r="J1147" i="4"/>
  <c r="K1147" i="4" s="1"/>
  <c r="J1148" i="4"/>
  <c r="K1148" i="4" s="1"/>
  <c r="J1149" i="4"/>
  <c r="K1149" i="4" s="1"/>
  <c r="J1150" i="4"/>
  <c r="K1150" i="4" s="1"/>
  <c r="J1151" i="4"/>
  <c r="K1151" i="4" s="1"/>
  <c r="J1152" i="4"/>
  <c r="K1152" i="4" s="1"/>
  <c r="J1153" i="4"/>
  <c r="K1153" i="4" s="1"/>
  <c r="J1154" i="4"/>
  <c r="K1154" i="4" s="1"/>
  <c r="J1155" i="4"/>
  <c r="K1155" i="4" s="1"/>
  <c r="J1156" i="4"/>
  <c r="K1156" i="4" s="1"/>
  <c r="J1157" i="4"/>
  <c r="K1157" i="4" s="1"/>
  <c r="J1158" i="4"/>
  <c r="K1158" i="4" s="1"/>
  <c r="J1159" i="4"/>
  <c r="K1159" i="4" s="1"/>
  <c r="J1160" i="4"/>
  <c r="K1160" i="4" s="1"/>
  <c r="J1161" i="4"/>
  <c r="K1161" i="4" s="1"/>
  <c r="J1162" i="4"/>
  <c r="K1162" i="4" s="1"/>
  <c r="J1163" i="4"/>
  <c r="K1163" i="4" s="1"/>
  <c r="J1164" i="4"/>
  <c r="K1164" i="4" s="1"/>
  <c r="J1165" i="4"/>
  <c r="K1165" i="4" s="1"/>
  <c r="J1166" i="4"/>
  <c r="K1166" i="4" s="1"/>
  <c r="J1167" i="4"/>
  <c r="K1167" i="4" s="1"/>
  <c r="J1168" i="4"/>
  <c r="K1168" i="4" s="1"/>
  <c r="J1169" i="4"/>
  <c r="K1169" i="4" s="1"/>
  <c r="J1170" i="4"/>
  <c r="K1170" i="4" s="1"/>
  <c r="J1171" i="4"/>
  <c r="K1171" i="4" s="1"/>
  <c r="J1172" i="4"/>
  <c r="K1172" i="4" s="1"/>
  <c r="J1173" i="4"/>
  <c r="K1173" i="4" s="1"/>
  <c r="J1174" i="4"/>
  <c r="K1174" i="4" s="1"/>
  <c r="J1175" i="4"/>
  <c r="K1175" i="4" s="1"/>
  <c r="J1176" i="4"/>
  <c r="K1176" i="4" s="1"/>
  <c r="J1177" i="4"/>
  <c r="K1177" i="4" s="1"/>
  <c r="J1178" i="4"/>
  <c r="K1178" i="4" s="1"/>
  <c r="J1179" i="4"/>
  <c r="K1179" i="4" s="1"/>
  <c r="J1180" i="4"/>
  <c r="K1180" i="4" s="1"/>
  <c r="J1181" i="4"/>
  <c r="K1181" i="4" s="1"/>
  <c r="J1182" i="4"/>
  <c r="K1182" i="4" s="1"/>
  <c r="J1183" i="4"/>
  <c r="K1183" i="4" s="1"/>
  <c r="J1184" i="4"/>
  <c r="K1184" i="4" s="1"/>
  <c r="J1185" i="4"/>
  <c r="K1185" i="4" s="1"/>
  <c r="J1186" i="4"/>
  <c r="K1186" i="4" s="1"/>
  <c r="J1187" i="4"/>
  <c r="K1187" i="4" s="1"/>
  <c r="J1188" i="4"/>
  <c r="K1188" i="4" s="1"/>
  <c r="J1189" i="4"/>
  <c r="K1189" i="4" s="1"/>
  <c r="J1190" i="4"/>
  <c r="K1190" i="4" s="1"/>
  <c r="J1191" i="4"/>
  <c r="K1191" i="4" s="1"/>
  <c r="J1192" i="4"/>
  <c r="K1192" i="4" s="1"/>
  <c r="J1193" i="4"/>
  <c r="K1193" i="4" s="1"/>
  <c r="J1194" i="4"/>
  <c r="K1194" i="4" s="1"/>
  <c r="J1195" i="4"/>
  <c r="K1195" i="4" s="1"/>
  <c r="J1196" i="4"/>
  <c r="K1196" i="4" s="1"/>
  <c r="J1197" i="4"/>
  <c r="K1197" i="4" s="1"/>
  <c r="J1198" i="4"/>
  <c r="K1198" i="4" s="1"/>
  <c r="J1199" i="4"/>
  <c r="K1199" i="4" s="1"/>
  <c r="J1200" i="4"/>
  <c r="K1200" i="4" s="1"/>
  <c r="J1201" i="4"/>
  <c r="K1201" i="4" s="1"/>
  <c r="J1202" i="4"/>
  <c r="K1202" i="4" s="1"/>
  <c r="J1203" i="4"/>
  <c r="K1203" i="4" s="1"/>
  <c r="J1204" i="4"/>
  <c r="K1204" i="4" s="1"/>
  <c r="J1205" i="4"/>
  <c r="K1205" i="4" s="1"/>
  <c r="J1206" i="4"/>
  <c r="K1206" i="4" s="1"/>
  <c r="J1207" i="4"/>
  <c r="K1207" i="4" s="1"/>
  <c r="J1208" i="4"/>
  <c r="K1208" i="4" s="1"/>
  <c r="J1209" i="4"/>
  <c r="K1209" i="4" s="1"/>
  <c r="J1210" i="4"/>
  <c r="K1210" i="4" s="1"/>
  <c r="J1211" i="4"/>
  <c r="K1211" i="4" s="1"/>
  <c r="J1212" i="4"/>
  <c r="K1212" i="4" s="1"/>
  <c r="J1213" i="4"/>
  <c r="K1213" i="4" s="1"/>
  <c r="J1214" i="4"/>
  <c r="K1214" i="4" s="1"/>
  <c r="J1215" i="4"/>
  <c r="K1215" i="4" s="1"/>
  <c r="J1216" i="4"/>
  <c r="K1216" i="4" s="1"/>
  <c r="J1217" i="4"/>
  <c r="K1217" i="4" s="1"/>
  <c r="J1218" i="4"/>
  <c r="K1218" i="4" s="1"/>
  <c r="J1219" i="4"/>
  <c r="K1219" i="4" s="1"/>
  <c r="J1220" i="4"/>
  <c r="K1220" i="4" s="1"/>
  <c r="J1221" i="4"/>
  <c r="K1221" i="4" s="1"/>
  <c r="J1222" i="4"/>
  <c r="K1222" i="4" s="1"/>
  <c r="J1223" i="4"/>
  <c r="K1223" i="4" s="1"/>
  <c r="J1224" i="4"/>
  <c r="K1224" i="4" s="1"/>
  <c r="J1225" i="4"/>
  <c r="K1225" i="4" s="1"/>
  <c r="J1226" i="4"/>
  <c r="K1226" i="4" s="1"/>
  <c r="J1227" i="4"/>
  <c r="K1227" i="4" s="1"/>
  <c r="J1228" i="4"/>
  <c r="K1228" i="4" s="1"/>
  <c r="J1229" i="4"/>
  <c r="K1229" i="4" s="1"/>
  <c r="J1230" i="4"/>
  <c r="K1230" i="4" s="1"/>
  <c r="J1231" i="4"/>
  <c r="K1231" i="4" s="1"/>
  <c r="J1232" i="4"/>
  <c r="K1232" i="4" s="1"/>
  <c r="J1233" i="4"/>
  <c r="K1233" i="4" s="1"/>
  <c r="J1234" i="4"/>
  <c r="K1234" i="4" s="1"/>
  <c r="J1235" i="4"/>
  <c r="K1235" i="4" s="1"/>
  <c r="J1236" i="4"/>
  <c r="K1236" i="4" s="1"/>
  <c r="J1237" i="4"/>
  <c r="K1237" i="4" s="1"/>
  <c r="J1238" i="4"/>
  <c r="K1238" i="4" s="1"/>
  <c r="J1239" i="4"/>
  <c r="K1239" i="4" s="1"/>
  <c r="J1240" i="4"/>
  <c r="K1240" i="4" s="1"/>
  <c r="J1241" i="4"/>
  <c r="K1241" i="4" s="1"/>
  <c r="J1242" i="4"/>
  <c r="K1242" i="4" s="1"/>
  <c r="J1243" i="4"/>
  <c r="K1243" i="4" s="1"/>
  <c r="J1244" i="4"/>
  <c r="K1244" i="4" s="1"/>
  <c r="J1245" i="4"/>
  <c r="K1245" i="4" s="1"/>
  <c r="J1246" i="4"/>
  <c r="K1246" i="4" s="1"/>
  <c r="J1247" i="4"/>
  <c r="K1247" i="4" s="1"/>
  <c r="J1248" i="4"/>
  <c r="K1248" i="4" s="1"/>
  <c r="J1249" i="4"/>
  <c r="K1249" i="4" s="1"/>
  <c r="J1250" i="4"/>
  <c r="K1250" i="4" s="1"/>
  <c r="J1251" i="4"/>
  <c r="K1251" i="4" s="1"/>
  <c r="J1252" i="4"/>
  <c r="K1252" i="4" s="1"/>
  <c r="J1253" i="4"/>
  <c r="K1253" i="4" s="1"/>
  <c r="J1254" i="4"/>
  <c r="K1254" i="4" s="1"/>
  <c r="J1255" i="4"/>
  <c r="K1255" i="4" s="1"/>
  <c r="J1256" i="4"/>
  <c r="K1256" i="4" s="1"/>
  <c r="J1257" i="4"/>
  <c r="K1257" i="4" s="1"/>
  <c r="J1258" i="4"/>
  <c r="K1258" i="4" s="1"/>
  <c r="J1259" i="4"/>
  <c r="K1259" i="4" s="1"/>
  <c r="J1260" i="4"/>
  <c r="K1260" i="4" s="1"/>
  <c r="J1261" i="4"/>
  <c r="K1261" i="4" s="1"/>
  <c r="J1262" i="4"/>
  <c r="K1262" i="4" s="1"/>
  <c r="J1263" i="4"/>
  <c r="K1263" i="4" s="1"/>
  <c r="J1264" i="4"/>
  <c r="K1264" i="4" s="1"/>
  <c r="J1265" i="4"/>
  <c r="K1265" i="4" s="1"/>
  <c r="J1266" i="4"/>
  <c r="K1266" i="4" s="1"/>
  <c r="J1267" i="4"/>
  <c r="K1267" i="4" s="1"/>
  <c r="J1268" i="4"/>
  <c r="K1268" i="4" s="1"/>
  <c r="J1269" i="4"/>
  <c r="K1269" i="4" s="1"/>
  <c r="J1270" i="4"/>
  <c r="K1270" i="4" s="1"/>
  <c r="J1271" i="4"/>
  <c r="K1271" i="4" s="1"/>
  <c r="J1272" i="4"/>
  <c r="K1272" i="4" s="1"/>
  <c r="J1273" i="4"/>
  <c r="K1273" i="4" s="1"/>
  <c r="J1274" i="4"/>
  <c r="K1274" i="4" s="1"/>
  <c r="J1275" i="4"/>
  <c r="K1275" i="4" s="1"/>
  <c r="J1276" i="4"/>
  <c r="K1276" i="4" s="1"/>
  <c r="J1277" i="4"/>
  <c r="K1277" i="4" s="1"/>
  <c r="J1278" i="4"/>
  <c r="K1278" i="4" s="1"/>
  <c r="J1279" i="4"/>
  <c r="K1279" i="4" s="1"/>
  <c r="J1280" i="4"/>
  <c r="K1280" i="4" s="1"/>
  <c r="J1281" i="4"/>
  <c r="K1281" i="4" s="1"/>
  <c r="J1282" i="4"/>
  <c r="K1282" i="4" s="1"/>
  <c r="J1283" i="4"/>
  <c r="K1283" i="4" s="1"/>
  <c r="J1284" i="4"/>
  <c r="K1284" i="4" s="1"/>
  <c r="J1285" i="4"/>
  <c r="K1285" i="4" s="1"/>
  <c r="J1286" i="4"/>
  <c r="K1286" i="4" s="1"/>
  <c r="J1287" i="4"/>
  <c r="K1287" i="4" s="1"/>
  <c r="J1288" i="4"/>
  <c r="K1288" i="4" s="1"/>
  <c r="J1289" i="4"/>
  <c r="K1289" i="4" s="1"/>
  <c r="J1290" i="4"/>
  <c r="K1290" i="4" s="1"/>
  <c r="J1291" i="4"/>
  <c r="K1291" i="4" s="1"/>
  <c r="J1292" i="4"/>
  <c r="K1292" i="4" s="1"/>
  <c r="J1293" i="4"/>
  <c r="K1293" i="4" s="1"/>
  <c r="J1294" i="4"/>
  <c r="K1294" i="4" s="1"/>
  <c r="J1295" i="4"/>
  <c r="K1295" i="4" s="1"/>
  <c r="J1296" i="4"/>
  <c r="K1296" i="4" s="1"/>
  <c r="J1297" i="4"/>
  <c r="K1297" i="4" s="1"/>
  <c r="J1298" i="4"/>
  <c r="K1298" i="4" s="1"/>
  <c r="J1299" i="4"/>
  <c r="K1299" i="4" s="1"/>
  <c r="J1300" i="4"/>
  <c r="K1300" i="4" s="1"/>
  <c r="J1301" i="4"/>
  <c r="K1301" i="4" s="1"/>
  <c r="J1302" i="4"/>
  <c r="K1302" i="4" s="1"/>
  <c r="J1303" i="4"/>
  <c r="K1303" i="4" s="1"/>
  <c r="J1304" i="4"/>
  <c r="K1304" i="4" s="1"/>
  <c r="J1305" i="4"/>
  <c r="K1305" i="4" s="1"/>
  <c r="J1306" i="4"/>
  <c r="K1306" i="4" s="1"/>
  <c r="J1307" i="4"/>
  <c r="K1307" i="4" s="1"/>
  <c r="J1308" i="4"/>
  <c r="K1308" i="4" s="1"/>
  <c r="J1309" i="4"/>
  <c r="K1309" i="4" s="1"/>
  <c r="J1310" i="4"/>
  <c r="K1310" i="4" s="1"/>
  <c r="J1311" i="4"/>
  <c r="K1311" i="4" s="1"/>
  <c r="J1312" i="4"/>
  <c r="K1312" i="4" s="1"/>
  <c r="J1313" i="4"/>
  <c r="K1313" i="4" s="1"/>
  <c r="J1314" i="4"/>
  <c r="K1314" i="4" s="1"/>
  <c r="J1315" i="4"/>
  <c r="K1315" i="4" s="1"/>
  <c r="J1316" i="4"/>
  <c r="K1316" i="4" s="1"/>
  <c r="J1317" i="4"/>
  <c r="K1317" i="4" s="1"/>
  <c r="J1318" i="4"/>
  <c r="K1318" i="4" s="1"/>
  <c r="J1319" i="4"/>
  <c r="K1319" i="4" s="1"/>
  <c r="J1320" i="4"/>
  <c r="K1320" i="4" s="1"/>
  <c r="J1321" i="4"/>
  <c r="K1321" i="4" s="1"/>
  <c r="J1322" i="4"/>
  <c r="K1322" i="4" s="1"/>
  <c r="J1323" i="4"/>
  <c r="K1323" i="4" s="1"/>
  <c r="J1324" i="4"/>
  <c r="K1324" i="4" s="1"/>
  <c r="J1325" i="4"/>
  <c r="K1325" i="4" s="1"/>
  <c r="J1326" i="4"/>
  <c r="K1326" i="4" s="1"/>
  <c r="J1327" i="4"/>
  <c r="K1327" i="4" s="1"/>
  <c r="J1328" i="4"/>
  <c r="K1328" i="4" s="1"/>
  <c r="J1329" i="4"/>
  <c r="K1329" i="4" s="1"/>
  <c r="J1330" i="4"/>
  <c r="K1330" i="4" s="1"/>
  <c r="J1331" i="4"/>
  <c r="K1331" i="4" s="1"/>
  <c r="J1332" i="4"/>
  <c r="K1332" i="4" s="1"/>
  <c r="J1333" i="4"/>
  <c r="K1333" i="4" s="1"/>
  <c r="J1334" i="4"/>
  <c r="K1334" i="4" s="1"/>
  <c r="J1335" i="4"/>
  <c r="K1335" i="4" s="1"/>
  <c r="J1336" i="4"/>
  <c r="K1336" i="4" s="1"/>
  <c r="J1337" i="4"/>
  <c r="K1337" i="4" s="1"/>
  <c r="J1338" i="4"/>
  <c r="K1338" i="4" s="1"/>
  <c r="J1339" i="4"/>
  <c r="K1339" i="4" s="1"/>
  <c r="J1340" i="4"/>
  <c r="K1340" i="4" s="1"/>
  <c r="J1341" i="4"/>
  <c r="K1341" i="4" s="1"/>
  <c r="J1342" i="4"/>
  <c r="K1342" i="4" s="1"/>
  <c r="J1343" i="4"/>
  <c r="K1343" i="4" s="1"/>
  <c r="J1344" i="4"/>
  <c r="K1344" i="4" s="1"/>
  <c r="J1345" i="4"/>
  <c r="K1345" i="4" s="1"/>
  <c r="J1346" i="4"/>
  <c r="K1346" i="4" s="1"/>
  <c r="J1347" i="4"/>
  <c r="K1347" i="4" s="1"/>
  <c r="J1348" i="4"/>
  <c r="K1348" i="4" s="1"/>
  <c r="J1349" i="4"/>
  <c r="K1349" i="4" s="1"/>
  <c r="J1350" i="4"/>
  <c r="K1350" i="4" s="1"/>
  <c r="J1351" i="4"/>
  <c r="K1351" i="4" s="1"/>
  <c r="J1352" i="4"/>
  <c r="K1352" i="4" s="1"/>
  <c r="J1353" i="4"/>
  <c r="K1353" i="4" s="1"/>
  <c r="J1354" i="4"/>
  <c r="K1354" i="4" s="1"/>
  <c r="J1355" i="4"/>
  <c r="K1355" i="4" s="1"/>
  <c r="J1356" i="4"/>
  <c r="K1356" i="4" s="1"/>
  <c r="J1357" i="4"/>
  <c r="K1357" i="4" s="1"/>
  <c r="J1358" i="4"/>
  <c r="K1358" i="4" s="1"/>
  <c r="J1359" i="4"/>
  <c r="K1359" i="4" s="1"/>
  <c r="J1360" i="4"/>
  <c r="K1360" i="4" s="1"/>
  <c r="J1361" i="4"/>
  <c r="K1361" i="4" s="1"/>
  <c r="J1362" i="4"/>
  <c r="K1362" i="4" s="1"/>
  <c r="J1363" i="4"/>
  <c r="K1363" i="4" s="1"/>
  <c r="J1364" i="4"/>
  <c r="K1364" i="4" s="1"/>
  <c r="J1365" i="4"/>
  <c r="K1365" i="4" s="1"/>
  <c r="J1366" i="4"/>
  <c r="K1366" i="4" s="1"/>
  <c r="J1367" i="4"/>
  <c r="K1367" i="4" s="1"/>
  <c r="J1368" i="4"/>
  <c r="K1368" i="4" s="1"/>
  <c r="J1369" i="4"/>
  <c r="K1369" i="4" s="1"/>
  <c r="J1370" i="4"/>
  <c r="K1370" i="4" s="1"/>
  <c r="J1371" i="4"/>
  <c r="K1371" i="4" s="1"/>
  <c r="J1372" i="4"/>
  <c r="K1372" i="4" s="1"/>
  <c r="J1373" i="4"/>
  <c r="K1373" i="4" s="1"/>
  <c r="J1374" i="4"/>
  <c r="K1374" i="4" s="1"/>
  <c r="J1375" i="4"/>
  <c r="K1375" i="4" s="1"/>
  <c r="J1376" i="4"/>
  <c r="K1376" i="4" s="1"/>
  <c r="J1377" i="4"/>
  <c r="K1377" i="4" s="1"/>
  <c r="J1378" i="4"/>
  <c r="K1378" i="4" s="1"/>
  <c r="J1379" i="4"/>
  <c r="K1379" i="4" s="1"/>
  <c r="J1380" i="4"/>
  <c r="K1380" i="4" s="1"/>
  <c r="J1381" i="4"/>
  <c r="K1381" i="4" s="1"/>
  <c r="J1382" i="4"/>
  <c r="K1382" i="4" s="1"/>
  <c r="J1383" i="4"/>
  <c r="K1383" i="4" s="1"/>
  <c r="J1384" i="4"/>
  <c r="K1384" i="4" s="1"/>
  <c r="J1385" i="4"/>
  <c r="K1385" i="4" s="1"/>
  <c r="J1386" i="4"/>
  <c r="K1386" i="4" s="1"/>
  <c r="J1387" i="4"/>
  <c r="K1387" i="4" s="1"/>
  <c r="J1388" i="4"/>
  <c r="K1388" i="4" s="1"/>
  <c r="J1389" i="4"/>
  <c r="K1389" i="4" s="1"/>
  <c r="J1390" i="4"/>
  <c r="K1390" i="4" s="1"/>
  <c r="J1391" i="4"/>
  <c r="K1391" i="4" s="1"/>
  <c r="J1392" i="4"/>
  <c r="K1392" i="4" s="1"/>
  <c r="J1393" i="4"/>
  <c r="K1393" i="4" s="1"/>
  <c r="J1394" i="4"/>
  <c r="K1394" i="4" s="1"/>
  <c r="J1395" i="4"/>
  <c r="K1395" i="4" s="1"/>
  <c r="J1396" i="4"/>
  <c r="K1396" i="4" s="1"/>
  <c r="J1397" i="4"/>
  <c r="K1397" i="4" s="1"/>
  <c r="J1398" i="4"/>
  <c r="K1398" i="4" s="1"/>
  <c r="J1399" i="4"/>
  <c r="K1399" i="4" s="1"/>
  <c r="J1400" i="4"/>
  <c r="K1400" i="4" s="1"/>
  <c r="J1401" i="4"/>
  <c r="K1401" i="4" s="1"/>
  <c r="J1402" i="4"/>
  <c r="K1402" i="4" s="1"/>
  <c r="J1403" i="4"/>
  <c r="K1403" i="4" s="1"/>
  <c r="J1404" i="4"/>
  <c r="K1404" i="4" s="1"/>
  <c r="J1405" i="4"/>
  <c r="K1405" i="4" s="1"/>
  <c r="J1406" i="4"/>
  <c r="K1406" i="4" s="1"/>
  <c r="J1407" i="4"/>
  <c r="K1407" i="4" s="1"/>
  <c r="J1408" i="4"/>
  <c r="K1408" i="4" s="1"/>
  <c r="J1409" i="4"/>
  <c r="K1409" i="4" s="1"/>
  <c r="J1410" i="4"/>
  <c r="K1410" i="4" s="1"/>
  <c r="J1411" i="4"/>
  <c r="K1411" i="4" s="1"/>
  <c r="J1412" i="4"/>
  <c r="K1412" i="4" s="1"/>
  <c r="J1413" i="4"/>
  <c r="K1413" i="4" s="1"/>
  <c r="J1414" i="4"/>
  <c r="K1414" i="4" s="1"/>
  <c r="J1415" i="4"/>
  <c r="K1415" i="4" s="1"/>
  <c r="J1416" i="4"/>
  <c r="K1416" i="4" s="1"/>
  <c r="J1417" i="4"/>
  <c r="K1417" i="4" s="1"/>
  <c r="J1418" i="4"/>
  <c r="K1418" i="4" s="1"/>
  <c r="J1419" i="4"/>
  <c r="K1419" i="4" s="1"/>
  <c r="J1420" i="4"/>
  <c r="K1420" i="4" s="1"/>
  <c r="J1421" i="4"/>
  <c r="K1421" i="4" s="1"/>
  <c r="J1422" i="4"/>
  <c r="K1422" i="4" s="1"/>
  <c r="J1423" i="4"/>
  <c r="K1423" i="4" s="1"/>
  <c r="J1424" i="4"/>
  <c r="K1424" i="4" s="1"/>
  <c r="J1425" i="4"/>
  <c r="K1425" i="4" s="1"/>
  <c r="J1426" i="4"/>
  <c r="K1426" i="4" s="1"/>
  <c r="J1427" i="4"/>
  <c r="K1427" i="4" s="1"/>
  <c r="J1428" i="4"/>
  <c r="K1428" i="4" s="1"/>
  <c r="J1429" i="4"/>
  <c r="K1429" i="4" s="1"/>
  <c r="J1430" i="4"/>
  <c r="K1430" i="4" s="1"/>
  <c r="J1431" i="4"/>
  <c r="K1431" i="4" s="1"/>
  <c r="J1432" i="4"/>
  <c r="K1432" i="4" s="1"/>
  <c r="J1433" i="4"/>
  <c r="K1433" i="4" s="1"/>
  <c r="J1434" i="4"/>
  <c r="K1434" i="4" s="1"/>
  <c r="J1435" i="4"/>
  <c r="K1435" i="4" s="1"/>
  <c r="J1436" i="4"/>
  <c r="K1436" i="4" s="1"/>
  <c r="J1437" i="4"/>
  <c r="K1437" i="4" s="1"/>
  <c r="J1438" i="4"/>
  <c r="K1438" i="4" s="1"/>
  <c r="J1439" i="4"/>
  <c r="K1439" i="4" s="1"/>
  <c r="J1440" i="4"/>
  <c r="K1440" i="4" s="1"/>
  <c r="J1441" i="4"/>
  <c r="K1441" i="4" s="1"/>
  <c r="J1442" i="4"/>
  <c r="K1442" i="4" s="1"/>
  <c r="J1443" i="4"/>
  <c r="K1443" i="4" s="1"/>
  <c r="J1444" i="4"/>
  <c r="K1444" i="4" s="1"/>
  <c r="J1445" i="4"/>
  <c r="K1445" i="4" s="1"/>
  <c r="J1446" i="4"/>
  <c r="K1446" i="4" s="1"/>
  <c r="J1447" i="4"/>
  <c r="K1447" i="4" s="1"/>
  <c r="J1448" i="4"/>
  <c r="K1448" i="4" s="1"/>
  <c r="J1449" i="4"/>
  <c r="K1449" i="4" s="1"/>
  <c r="J1450" i="4"/>
  <c r="K1450" i="4" s="1"/>
  <c r="J1451" i="4"/>
  <c r="K1451" i="4" s="1"/>
  <c r="J1452" i="4"/>
  <c r="K1452" i="4" s="1"/>
  <c r="J1453" i="4"/>
  <c r="K1453" i="4" s="1"/>
  <c r="J1454" i="4"/>
  <c r="K1454" i="4" s="1"/>
  <c r="J1455" i="4"/>
  <c r="K1455" i="4" s="1"/>
  <c r="J1456" i="4"/>
  <c r="K1456" i="4" s="1"/>
  <c r="J1457" i="4"/>
  <c r="K1457" i="4" s="1"/>
  <c r="J1458" i="4"/>
  <c r="K1458" i="4" s="1"/>
  <c r="J1459" i="4"/>
  <c r="K1459" i="4" s="1"/>
  <c r="J1460" i="4"/>
  <c r="K1460" i="4" s="1"/>
  <c r="J1461" i="4"/>
  <c r="K1461" i="4" s="1"/>
  <c r="J1462" i="4"/>
  <c r="K1462" i="4" s="1"/>
  <c r="J1463" i="4"/>
  <c r="K1463" i="4" s="1"/>
  <c r="J1464" i="4"/>
  <c r="K1464" i="4" s="1"/>
  <c r="J1465" i="4"/>
  <c r="K1465" i="4" s="1"/>
  <c r="J1466" i="4"/>
  <c r="K1466" i="4" s="1"/>
  <c r="J1467" i="4"/>
  <c r="K1467" i="4" s="1"/>
  <c r="J1468" i="4"/>
  <c r="K1468" i="4" s="1"/>
  <c r="J1469" i="4"/>
  <c r="K1469" i="4" s="1"/>
  <c r="J1470" i="4"/>
  <c r="K1470" i="4" s="1"/>
  <c r="J1471" i="4"/>
  <c r="K1471" i="4" s="1"/>
  <c r="J1472" i="4"/>
  <c r="K1472" i="4" s="1"/>
  <c r="J1473" i="4"/>
  <c r="K1473" i="4" s="1"/>
  <c r="J1474" i="4"/>
  <c r="K1474" i="4" s="1"/>
  <c r="J1475" i="4"/>
  <c r="K1475" i="4" s="1"/>
  <c r="J1476" i="4"/>
  <c r="K1476" i="4" s="1"/>
  <c r="J1477" i="4"/>
  <c r="K1477" i="4" s="1"/>
  <c r="J1478" i="4"/>
  <c r="K1478" i="4" s="1"/>
  <c r="J1479" i="4"/>
  <c r="K1479" i="4" s="1"/>
  <c r="J1480" i="4"/>
  <c r="K1480" i="4" s="1"/>
  <c r="J1481" i="4"/>
  <c r="K1481" i="4" s="1"/>
  <c r="J1482" i="4"/>
  <c r="K1482" i="4" s="1"/>
  <c r="J1483" i="4"/>
  <c r="K1483" i="4" s="1"/>
  <c r="J1484" i="4"/>
  <c r="K1484" i="4" s="1"/>
  <c r="J1485" i="4"/>
  <c r="K1485" i="4" s="1"/>
  <c r="J1486" i="4"/>
  <c r="K1486" i="4" s="1"/>
  <c r="J1487" i="4"/>
  <c r="K1487" i="4" s="1"/>
  <c r="J1488" i="4"/>
  <c r="K1488" i="4" s="1"/>
  <c r="J1489" i="4"/>
  <c r="K1489" i="4" s="1"/>
  <c r="J1490" i="4"/>
  <c r="K1490" i="4" s="1"/>
  <c r="J1491" i="4"/>
  <c r="K1491" i="4" s="1"/>
  <c r="J1492" i="4"/>
  <c r="K1492" i="4" s="1"/>
  <c r="J1493" i="4"/>
  <c r="K1493" i="4" s="1"/>
  <c r="J1494" i="4"/>
  <c r="K1494" i="4" s="1"/>
  <c r="J1495" i="4"/>
  <c r="K1495" i="4" s="1"/>
  <c r="J1496" i="4"/>
  <c r="K1496" i="4" s="1"/>
  <c r="J1497" i="4"/>
  <c r="K1497" i="4" s="1"/>
  <c r="J1498" i="4"/>
  <c r="K1498" i="4" s="1"/>
  <c r="J1499" i="4"/>
  <c r="K1499" i="4" s="1"/>
  <c r="J1500" i="4"/>
  <c r="K1500" i="4" s="1"/>
  <c r="J1501" i="4"/>
  <c r="K1501" i="4" s="1"/>
  <c r="J1502" i="4"/>
  <c r="K1502" i="4" s="1"/>
  <c r="J1503" i="4"/>
  <c r="K1503" i="4" s="1"/>
  <c r="J1504" i="4"/>
  <c r="K1504" i="4" s="1"/>
  <c r="J1505" i="4"/>
  <c r="K1505" i="4" s="1"/>
  <c r="J1506" i="4"/>
  <c r="K1506" i="4" s="1"/>
  <c r="J1507" i="4"/>
  <c r="K1507" i="4" s="1"/>
  <c r="J1508" i="4"/>
  <c r="K1508" i="4" s="1"/>
  <c r="J1509" i="4"/>
  <c r="K1509" i="4" s="1"/>
  <c r="J1510" i="4"/>
  <c r="K1510" i="4" s="1"/>
  <c r="J1511" i="4"/>
  <c r="K1511" i="4" s="1"/>
  <c r="J1512" i="4"/>
  <c r="K1512" i="4" s="1"/>
  <c r="J1513" i="4"/>
  <c r="K1513" i="4" s="1"/>
  <c r="J1514" i="4"/>
  <c r="K1514" i="4" s="1"/>
  <c r="J1515" i="4"/>
  <c r="K1515" i="4" s="1"/>
  <c r="J1516" i="4"/>
  <c r="K1516" i="4" s="1"/>
  <c r="J1517" i="4"/>
  <c r="K1517" i="4" s="1"/>
  <c r="J1518" i="4"/>
  <c r="K1518" i="4" s="1"/>
  <c r="J1519" i="4"/>
  <c r="K1519" i="4" s="1"/>
  <c r="J1520" i="4"/>
  <c r="K1520" i="4" s="1"/>
  <c r="J1521" i="4"/>
  <c r="K1521" i="4" s="1"/>
  <c r="J1522" i="4"/>
  <c r="K1522" i="4" s="1"/>
  <c r="J1523" i="4"/>
  <c r="K1523" i="4" s="1"/>
  <c r="J1524" i="4"/>
  <c r="K1524" i="4" s="1"/>
  <c r="J1525" i="4"/>
  <c r="K1525" i="4" s="1"/>
  <c r="J1526" i="4"/>
  <c r="K1526" i="4" s="1"/>
  <c r="J1527" i="4"/>
  <c r="K1527" i="4" s="1"/>
  <c r="J1528" i="4"/>
  <c r="K1528" i="4" s="1"/>
  <c r="J1529" i="4"/>
  <c r="K1529" i="4" s="1"/>
  <c r="J1530" i="4"/>
  <c r="K1530" i="4" s="1"/>
  <c r="J1531" i="4"/>
  <c r="K1531" i="4" s="1"/>
  <c r="J1532" i="4"/>
  <c r="K1532" i="4" s="1"/>
  <c r="J1533" i="4"/>
  <c r="K1533" i="4" s="1"/>
  <c r="J1534" i="4"/>
  <c r="K1534" i="4" s="1"/>
  <c r="J1535" i="4"/>
  <c r="K1535" i="4" s="1"/>
  <c r="J1536" i="4"/>
  <c r="K1536" i="4" s="1"/>
  <c r="J1537" i="4"/>
  <c r="K1537" i="4" s="1"/>
  <c r="J1538" i="4"/>
  <c r="K1538" i="4" s="1"/>
  <c r="J1539" i="4"/>
  <c r="K1539" i="4" s="1"/>
  <c r="J1540" i="4"/>
  <c r="K1540" i="4" s="1"/>
  <c r="J1541" i="4"/>
  <c r="K1541" i="4" s="1"/>
  <c r="J1542" i="4"/>
  <c r="K1542" i="4" s="1"/>
  <c r="J1543" i="4"/>
  <c r="K1543" i="4" s="1"/>
  <c r="J1544" i="4"/>
  <c r="K1544" i="4" s="1"/>
  <c r="J1545" i="4"/>
  <c r="K1545" i="4" s="1"/>
  <c r="J1546" i="4"/>
  <c r="K1546" i="4" s="1"/>
  <c r="J1547" i="4"/>
  <c r="K1547" i="4" s="1"/>
  <c r="J1548" i="4"/>
  <c r="K1548" i="4" s="1"/>
  <c r="J1549" i="4"/>
  <c r="K1549" i="4" s="1"/>
  <c r="J1550" i="4"/>
  <c r="K1550" i="4" s="1"/>
  <c r="J1551" i="4"/>
  <c r="K1551" i="4" s="1"/>
  <c r="J1552" i="4"/>
  <c r="K1552" i="4" s="1"/>
  <c r="J1553" i="4"/>
  <c r="K1553" i="4" s="1"/>
  <c r="J1554" i="4"/>
  <c r="K1554" i="4" s="1"/>
  <c r="J1555" i="4"/>
  <c r="K1555" i="4" s="1"/>
  <c r="J1556" i="4"/>
  <c r="K1556" i="4" s="1"/>
  <c r="J1557" i="4"/>
  <c r="K1557" i="4" s="1"/>
  <c r="J1558" i="4"/>
  <c r="K1558" i="4" s="1"/>
  <c r="J1559" i="4"/>
  <c r="K1559" i="4" s="1"/>
  <c r="J1560" i="4"/>
  <c r="K1560" i="4" s="1"/>
  <c r="J1561" i="4"/>
  <c r="K1561" i="4" s="1"/>
  <c r="J1562" i="4"/>
  <c r="K1562" i="4" s="1"/>
  <c r="J1563" i="4"/>
  <c r="K1563" i="4" s="1"/>
  <c r="J1564" i="4"/>
  <c r="K1564" i="4" s="1"/>
  <c r="J1565" i="4"/>
  <c r="K1565" i="4" s="1"/>
  <c r="J1566" i="4"/>
  <c r="K1566" i="4" s="1"/>
  <c r="J1567" i="4"/>
  <c r="K1567" i="4" s="1"/>
  <c r="J1568" i="4"/>
  <c r="K1568" i="4" s="1"/>
  <c r="J1569" i="4"/>
  <c r="K1569" i="4" s="1"/>
  <c r="J1570" i="4"/>
  <c r="K1570" i="4" s="1"/>
  <c r="J1571" i="4"/>
  <c r="K1571" i="4" s="1"/>
  <c r="J1572" i="4"/>
  <c r="K1572" i="4" s="1"/>
  <c r="J1573" i="4"/>
  <c r="K1573" i="4" s="1"/>
  <c r="J1574" i="4"/>
  <c r="K1574" i="4" s="1"/>
  <c r="J1575" i="4"/>
  <c r="K1575" i="4" s="1"/>
  <c r="J1576" i="4"/>
  <c r="K1576" i="4" s="1"/>
  <c r="J1577" i="4"/>
  <c r="K1577" i="4" s="1"/>
  <c r="J1578" i="4"/>
  <c r="K1578" i="4" s="1"/>
  <c r="J1579" i="4"/>
  <c r="K1579" i="4" s="1"/>
  <c r="J1580" i="4"/>
  <c r="K1580" i="4" s="1"/>
  <c r="J1581" i="4"/>
  <c r="K1581" i="4" s="1"/>
  <c r="J1582" i="4"/>
  <c r="K1582" i="4" s="1"/>
  <c r="J1583" i="4"/>
  <c r="K1583" i="4" s="1"/>
  <c r="J1584" i="4"/>
  <c r="K1584" i="4" s="1"/>
  <c r="J1585" i="4"/>
  <c r="K1585" i="4" s="1"/>
  <c r="J1586" i="4"/>
  <c r="K1586" i="4" s="1"/>
  <c r="J1587" i="4"/>
  <c r="K1587" i="4" s="1"/>
  <c r="J1588" i="4"/>
  <c r="K1588" i="4" s="1"/>
  <c r="J1589" i="4"/>
  <c r="K1589" i="4" s="1"/>
  <c r="J1590" i="4"/>
  <c r="K1590" i="4" s="1"/>
  <c r="J1591" i="4"/>
  <c r="K1591" i="4" s="1"/>
  <c r="J1592" i="4"/>
  <c r="K1592" i="4" s="1"/>
  <c r="J1593" i="4"/>
  <c r="K1593" i="4" s="1"/>
  <c r="J1594" i="4"/>
  <c r="K1594" i="4" s="1"/>
  <c r="J1595" i="4"/>
  <c r="K1595" i="4" s="1"/>
  <c r="J1596" i="4"/>
  <c r="K1596" i="4" s="1"/>
  <c r="J1597" i="4"/>
  <c r="K1597" i="4" s="1"/>
  <c r="J1598" i="4"/>
  <c r="K1598" i="4" s="1"/>
  <c r="J1599" i="4"/>
  <c r="K1599" i="4" s="1"/>
  <c r="J1600" i="4"/>
  <c r="K1600" i="4" s="1"/>
  <c r="J1601" i="4"/>
  <c r="K1601" i="4" s="1"/>
  <c r="J1602" i="4"/>
  <c r="K1602" i="4" s="1"/>
  <c r="J1603" i="4"/>
  <c r="K1603" i="4" s="1"/>
  <c r="J1604" i="4"/>
  <c r="K1604" i="4" s="1"/>
  <c r="J1605" i="4"/>
  <c r="K1605" i="4" s="1"/>
  <c r="J1606" i="4"/>
  <c r="K1606" i="4" s="1"/>
  <c r="J1607" i="4"/>
  <c r="K1607" i="4" s="1"/>
  <c r="J1608" i="4"/>
  <c r="K1608" i="4" s="1"/>
  <c r="J1609" i="4"/>
  <c r="K1609" i="4" s="1"/>
  <c r="J1610" i="4"/>
  <c r="K1610" i="4" s="1"/>
  <c r="J1611" i="4"/>
  <c r="K1611" i="4" s="1"/>
  <c r="J1612" i="4"/>
  <c r="K1612" i="4" s="1"/>
  <c r="J1613" i="4"/>
  <c r="K1613" i="4" s="1"/>
  <c r="J1614" i="4"/>
  <c r="K1614" i="4" s="1"/>
  <c r="J1615" i="4"/>
  <c r="K1615" i="4" s="1"/>
  <c r="J1616" i="4"/>
  <c r="K1616" i="4" s="1"/>
  <c r="J1617" i="4"/>
  <c r="K1617" i="4" s="1"/>
  <c r="J1618" i="4"/>
  <c r="K1618" i="4" s="1"/>
  <c r="J1619" i="4"/>
  <c r="K1619" i="4" s="1"/>
  <c r="J1620" i="4"/>
  <c r="K1620" i="4" s="1"/>
  <c r="J1621" i="4"/>
  <c r="K1621" i="4" s="1"/>
  <c r="J1622" i="4"/>
  <c r="K1622" i="4" s="1"/>
  <c r="J1623" i="4"/>
  <c r="K1623" i="4" s="1"/>
  <c r="J1624" i="4"/>
  <c r="K1624" i="4" s="1"/>
  <c r="J1625" i="4"/>
  <c r="K1625" i="4" s="1"/>
  <c r="J1626" i="4"/>
  <c r="K1626" i="4" s="1"/>
  <c r="J1627" i="4"/>
  <c r="K1627" i="4" s="1"/>
  <c r="J1628" i="4"/>
  <c r="K1628" i="4" s="1"/>
  <c r="J1629" i="4"/>
  <c r="K1629" i="4" s="1"/>
  <c r="J1630" i="4"/>
  <c r="K1630" i="4" s="1"/>
  <c r="J1631" i="4"/>
  <c r="K1631" i="4" s="1"/>
  <c r="J1632" i="4"/>
  <c r="K1632" i="4" s="1"/>
  <c r="J1633" i="4"/>
  <c r="K1633" i="4" s="1"/>
  <c r="J1634" i="4"/>
  <c r="K1634" i="4" s="1"/>
  <c r="J1635" i="4"/>
  <c r="K1635" i="4" s="1"/>
  <c r="J1636" i="4"/>
  <c r="K1636" i="4" s="1"/>
  <c r="J1637" i="4"/>
  <c r="K1637" i="4" s="1"/>
  <c r="J1638" i="4"/>
  <c r="K1638" i="4" s="1"/>
  <c r="J1639" i="4"/>
  <c r="K1639" i="4" s="1"/>
  <c r="J1640" i="4"/>
  <c r="K1640" i="4" s="1"/>
  <c r="J1641" i="4"/>
  <c r="K1641" i="4" s="1"/>
  <c r="J1642" i="4"/>
  <c r="K1642" i="4" s="1"/>
  <c r="J1643" i="4"/>
  <c r="K1643" i="4" s="1"/>
  <c r="J1644" i="4"/>
  <c r="K1644" i="4" s="1"/>
  <c r="J1645" i="4"/>
  <c r="K1645" i="4" s="1"/>
  <c r="J1646" i="4"/>
  <c r="K1646" i="4" s="1"/>
  <c r="J1647" i="4"/>
  <c r="K1647" i="4" s="1"/>
  <c r="J1648" i="4"/>
  <c r="K1648" i="4" s="1"/>
  <c r="J1649" i="4"/>
  <c r="K1649" i="4" s="1"/>
  <c r="J1650" i="4"/>
  <c r="K1650" i="4" s="1"/>
  <c r="J1651" i="4"/>
  <c r="K1651" i="4" s="1"/>
  <c r="J1652" i="4"/>
  <c r="K1652" i="4" s="1"/>
  <c r="J1653" i="4"/>
  <c r="K1653" i="4" s="1"/>
  <c r="J1654" i="4"/>
  <c r="K1654" i="4" s="1"/>
  <c r="J1655" i="4"/>
  <c r="K1655" i="4" s="1"/>
  <c r="J1656" i="4"/>
  <c r="K1656" i="4" s="1"/>
  <c r="J1657" i="4"/>
  <c r="K1657" i="4" s="1"/>
  <c r="J1658" i="4"/>
  <c r="K1658" i="4" s="1"/>
  <c r="J1659" i="4"/>
  <c r="K1659" i="4" s="1"/>
  <c r="J1660" i="4"/>
  <c r="K1660" i="4" s="1"/>
  <c r="J1661" i="4"/>
  <c r="K1661" i="4" s="1"/>
  <c r="J1662" i="4"/>
  <c r="K1662" i="4" s="1"/>
  <c r="J1663" i="4"/>
  <c r="K1663" i="4" s="1"/>
  <c r="J1664" i="4"/>
  <c r="K1664" i="4" s="1"/>
  <c r="J1665" i="4"/>
  <c r="K1665" i="4" s="1"/>
  <c r="J1666" i="4"/>
  <c r="K1666" i="4" s="1"/>
  <c r="J1667" i="4"/>
  <c r="K1667" i="4" s="1"/>
  <c r="J1668" i="4"/>
  <c r="K1668" i="4" s="1"/>
  <c r="J1669" i="4"/>
  <c r="K1669" i="4" s="1"/>
  <c r="J1670" i="4"/>
  <c r="K1670" i="4" s="1"/>
  <c r="J1671" i="4"/>
  <c r="K1671" i="4" s="1"/>
  <c r="J1672" i="4"/>
  <c r="K1672" i="4" s="1"/>
  <c r="J1673" i="4"/>
  <c r="K1673" i="4" s="1"/>
  <c r="J1674" i="4"/>
  <c r="K1674" i="4" s="1"/>
  <c r="J1675" i="4"/>
  <c r="K1675" i="4" s="1"/>
  <c r="J1676" i="4"/>
  <c r="K1676" i="4" s="1"/>
  <c r="J1677" i="4"/>
  <c r="K1677" i="4" s="1"/>
  <c r="J1678" i="4"/>
  <c r="K1678" i="4" s="1"/>
  <c r="J1679" i="4"/>
  <c r="K1679" i="4" s="1"/>
  <c r="J1680" i="4"/>
  <c r="K1680" i="4" s="1"/>
  <c r="J1681" i="4"/>
  <c r="K1681" i="4" s="1"/>
  <c r="J1682" i="4"/>
  <c r="K1682" i="4" s="1"/>
  <c r="J1683" i="4"/>
  <c r="K1683" i="4" s="1"/>
  <c r="J1684" i="4"/>
  <c r="K1684" i="4" s="1"/>
  <c r="J1685" i="4"/>
  <c r="K1685" i="4" s="1"/>
  <c r="J1686" i="4"/>
  <c r="K1686" i="4" s="1"/>
  <c r="J1687" i="4"/>
  <c r="K1687" i="4" s="1"/>
  <c r="J1688" i="4"/>
  <c r="K1688" i="4" s="1"/>
  <c r="J1689" i="4"/>
  <c r="K1689" i="4" s="1"/>
  <c r="J1690" i="4"/>
  <c r="K1690" i="4" s="1"/>
  <c r="J1691" i="4"/>
  <c r="K1691" i="4" s="1"/>
  <c r="J1692" i="4"/>
  <c r="K1692" i="4" s="1"/>
  <c r="J1693" i="4"/>
  <c r="K1693" i="4" s="1"/>
  <c r="J1694" i="4"/>
  <c r="K1694" i="4" s="1"/>
  <c r="J1695" i="4"/>
  <c r="K1695" i="4" s="1"/>
  <c r="J1696" i="4"/>
  <c r="K1696" i="4" s="1"/>
  <c r="J1697" i="4"/>
  <c r="K1697" i="4" s="1"/>
  <c r="J1698" i="4"/>
  <c r="K1698" i="4" s="1"/>
  <c r="J1699" i="4"/>
  <c r="K1699" i="4" s="1"/>
  <c r="J1700" i="4"/>
  <c r="K1700" i="4" s="1"/>
  <c r="J1701" i="4"/>
  <c r="K1701" i="4" s="1"/>
  <c r="J1702" i="4"/>
  <c r="K1702" i="4" s="1"/>
  <c r="J1703" i="4"/>
  <c r="K1703" i="4" s="1"/>
  <c r="J1704" i="4"/>
  <c r="K1704" i="4" s="1"/>
  <c r="J1705" i="4"/>
  <c r="K1705" i="4" s="1"/>
  <c r="J1706" i="4"/>
  <c r="K1706" i="4" s="1"/>
  <c r="J1707" i="4"/>
  <c r="K1707" i="4" s="1"/>
  <c r="J1708" i="4"/>
  <c r="K1708" i="4" s="1"/>
  <c r="J1709" i="4"/>
  <c r="K1709" i="4" s="1"/>
  <c r="J1710" i="4"/>
  <c r="K1710" i="4" s="1"/>
  <c r="J1711" i="4"/>
  <c r="K1711" i="4" s="1"/>
  <c r="J1712" i="4"/>
  <c r="K1712" i="4" s="1"/>
  <c r="J1713" i="4"/>
  <c r="K1713" i="4" s="1"/>
  <c r="J1714" i="4"/>
  <c r="K1714" i="4" s="1"/>
  <c r="J1715" i="4"/>
  <c r="K1715" i="4" s="1"/>
  <c r="J1716" i="4"/>
  <c r="K1716" i="4" s="1"/>
  <c r="J1717" i="4"/>
  <c r="K1717" i="4" s="1"/>
  <c r="J1718" i="4"/>
  <c r="K1718" i="4" s="1"/>
  <c r="J1719" i="4"/>
  <c r="K1719" i="4" s="1"/>
  <c r="J1720" i="4"/>
  <c r="K1720" i="4" s="1"/>
  <c r="J1721" i="4"/>
  <c r="K1721" i="4" s="1"/>
  <c r="J1722" i="4"/>
  <c r="K1722" i="4" s="1"/>
  <c r="J1723" i="4"/>
  <c r="K1723" i="4" s="1"/>
  <c r="J1724" i="4"/>
  <c r="K1724" i="4" s="1"/>
  <c r="J1725" i="4"/>
  <c r="K1725" i="4" s="1"/>
  <c r="J1726" i="4"/>
  <c r="K1726" i="4" s="1"/>
  <c r="J1727" i="4"/>
  <c r="K1727" i="4" s="1"/>
  <c r="J1728" i="4"/>
  <c r="K1728" i="4" s="1"/>
  <c r="J1729" i="4"/>
  <c r="K1729" i="4" s="1"/>
  <c r="J1730" i="4"/>
  <c r="K1730" i="4" s="1"/>
  <c r="J1731" i="4"/>
  <c r="K1731" i="4" s="1"/>
  <c r="J1732" i="4"/>
  <c r="K1732" i="4" s="1"/>
  <c r="J1733" i="4"/>
  <c r="K1733" i="4" s="1"/>
  <c r="J1734" i="4"/>
  <c r="K1734" i="4" s="1"/>
  <c r="J1735" i="4"/>
  <c r="K1735" i="4" s="1"/>
  <c r="J1736" i="4"/>
  <c r="K1736" i="4" s="1"/>
  <c r="J1737" i="4"/>
  <c r="K1737" i="4" s="1"/>
  <c r="J1738" i="4"/>
  <c r="K1738" i="4" s="1"/>
  <c r="J1739" i="4"/>
  <c r="K1739" i="4" s="1"/>
  <c r="J1740" i="4"/>
  <c r="K1740" i="4" s="1"/>
  <c r="J1741" i="4"/>
  <c r="K1741" i="4" s="1"/>
  <c r="J1742" i="4"/>
  <c r="K1742" i="4" s="1"/>
  <c r="J1743" i="4"/>
  <c r="K1743" i="4" s="1"/>
  <c r="J1744" i="4"/>
  <c r="K1744" i="4" s="1"/>
  <c r="J1745" i="4"/>
  <c r="K1745" i="4" s="1"/>
  <c r="J1746" i="4"/>
  <c r="K1746" i="4" s="1"/>
  <c r="J1747" i="4"/>
  <c r="K1747" i="4" s="1"/>
  <c r="J1748" i="4"/>
  <c r="K1748" i="4" s="1"/>
  <c r="J1749" i="4"/>
  <c r="K1749" i="4" s="1"/>
  <c r="J1750" i="4"/>
  <c r="K1750" i="4" s="1"/>
  <c r="J1751" i="4"/>
  <c r="K1751" i="4" s="1"/>
  <c r="J1752" i="4"/>
  <c r="K1752" i="4" s="1"/>
  <c r="J1753" i="4"/>
  <c r="K1753" i="4" s="1"/>
  <c r="J1754" i="4"/>
  <c r="K1754" i="4" s="1"/>
  <c r="J1755" i="4"/>
  <c r="K1755" i="4" s="1"/>
  <c r="J1756" i="4"/>
  <c r="K1756" i="4" s="1"/>
  <c r="J1757" i="4"/>
  <c r="K1757" i="4" s="1"/>
  <c r="J1758" i="4"/>
  <c r="K1758" i="4" s="1"/>
  <c r="J1759" i="4"/>
  <c r="K1759" i="4" s="1"/>
  <c r="J1760" i="4"/>
  <c r="K1760" i="4" s="1"/>
  <c r="J1761" i="4"/>
  <c r="K1761" i="4" s="1"/>
  <c r="J1762" i="4"/>
  <c r="K1762" i="4" s="1"/>
  <c r="J1763" i="4"/>
  <c r="K1763" i="4" s="1"/>
  <c r="J1764" i="4"/>
  <c r="K1764" i="4" s="1"/>
  <c r="J1765" i="4"/>
  <c r="K1765" i="4" s="1"/>
  <c r="J1766" i="4"/>
  <c r="K1766" i="4" s="1"/>
  <c r="J1767" i="4"/>
  <c r="K1767" i="4" s="1"/>
  <c r="J1768" i="4"/>
  <c r="K1768" i="4" s="1"/>
  <c r="J1769" i="4"/>
  <c r="K1769" i="4" s="1"/>
  <c r="J1770" i="4"/>
  <c r="K1770" i="4" s="1"/>
  <c r="J1771" i="4"/>
  <c r="K1771" i="4" s="1"/>
  <c r="J1772" i="4"/>
  <c r="K1772" i="4" s="1"/>
  <c r="J1773" i="4"/>
  <c r="K1773" i="4" s="1"/>
  <c r="J1774" i="4"/>
  <c r="K1774" i="4" s="1"/>
  <c r="J1775" i="4"/>
  <c r="K1775" i="4" s="1"/>
  <c r="J1776" i="4"/>
  <c r="K1776" i="4" s="1"/>
  <c r="J1777" i="4"/>
  <c r="K1777" i="4" s="1"/>
  <c r="J1778" i="4"/>
  <c r="K1778" i="4" s="1"/>
  <c r="J1779" i="4"/>
  <c r="K1779" i="4" s="1"/>
  <c r="J1780" i="4"/>
  <c r="K1780" i="4" s="1"/>
  <c r="J1781" i="4"/>
  <c r="K1781" i="4" s="1"/>
  <c r="J1782" i="4"/>
  <c r="K1782" i="4" s="1"/>
  <c r="J1783" i="4"/>
  <c r="K1783" i="4" s="1"/>
  <c r="J1784" i="4"/>
  <c r="K1784" i="4" s="1"/>
  <c r="J1785" i="4"/>
  <c r="K1785" i="4" s="1"/>
  <c r="J1786" i="4"/>
  <c r="K1786" i="4" s="1"/>
  <c r="J1787" i="4"/>
  <c r="K1787" i="4" s="1"/>
  <c r="J1788" i="4"/>
  <c r="K1788" i="4" s="1"/>
  <c r="J1789" i="4"/>
  <c r="K1789" i="4" s="1"/>
  <c r="J1790" i="4"/>
  <c r="K1790" i="4" s="1"/>
  <c r="J1791" i="4"/>
  <c r="K1791" i="4" s="1"/>
  <c r="J1792" i="4"/>
  <c r="K1792" i="4" s="1"/>
  <c r="J1793" i="4"/>
  <c r="K1793" i="4" s="1"/>
  <c r="J1794" i="4"/>
  <c r="K1794" i="4" s="1"/>
  <c r="J1795" i="4"/>
  <c r="K1795" i="4" s="1"/>
  <c r="J1796" i="4"/>
  <c r="K1796" i="4" s="1"/>
  <c r="J1797" i="4"/>
  <c r="K1797" i="4" s="1"/>
  <c r="J1798" i="4"/>
  <c r="K1798" i="4" s="1"/>
  <c r="J1799" i="4"/>
  <c r="K1799" i="4" s="1"/>
  <c r="J1800" i="4"/>
  <c r="K1800" i="4" s="1"/>
  <c r="J1801" i="4"/>
  <c r="K1801" i="4" s="1"/>
  <c r="J1802" i="4"/>
  <c r="K1802" i="4" s="1"/>
  <c r="J1803" i="4"/>
  <c r="K1803" i="4" s="1"/>
  <c r="J1804" i="4"/>
  <c r="K1804" i="4" s="1"/>
  <c r="J1805" i="4"/>
  <c r="K1805" i="4" s="1"/>
  <c r="J1806" i="4"/>
  <c r="K1806" i="4" s="1"/>
  <c r="J1807" i="4"/>
  <c r="K1807" i="4" s="1"/>
  <c r="J1808" i="4"/>
  <c r="K1808" i="4" s="1"/>
  <c r="J1809" i="4"/>
  <c r="K1809" i="4" s="1"/>
  <c r="J1810" i="4"/>
  <c r="K1810" i="4" s="1"/>
  <c r="J1811" i="4"/>
  <c r="K1811" i="4" s="1"/>
  <c r="J1812" i="4"/>
  <c r="K1812" i="4" s="1"/>
  <c r="J1813" i="4"/>
  <c r="K1813" i="4" s="1"/>
  <c r="J1814" i="4"/>
  <c r="K1814" i="4" s="1"/>
  <c r="J1815" i="4"/>
  <c r="K1815" i="4" s="1"/>
  <c r="J1816" i="4"/>
  <c r="K1816" i="4" s="1"/>
  <c r="J1817" i="4"/>
  <c r="K1817" i="4" s="1"/>
  <c r="J1818" i="4"/>
  <c r="K1818" i="4" s="1"/>
  <c r="J1819" i="4"/>
  <c r="K1819" i="4" s="1"/>
  <c r="J1820" i="4"/>
  <c r="K1820" i="4" s="1"/>
  <c r="J1821" i="4"/>
  <c r="K1821" i="4" s="1"/>
  <c r="J1822" i="4"/>
  <c r="K1822" i="4" s="1"/>
  <c r="J1823" i="4"/>
  <c r="K1823" i="4" s="1"/>
  <c r="J1824" i="4"/>
  <c r="K1824" i="4" s="1"/>
  <c r="J1825" i="4"/>
  <c r="K1825" i="4" s="1"/>
  <c r="J1826" i="4"/>
  <c r="K1826" i="4" s="1"/>
  <c r="J1827" i="4"/>
  <c r="K1827" i="4" s="1"/>
  <c r="J1828" i="4"/>
  <c r="K1828" i="4" s="1"/>
  <c r="J1829" i="4"/>
  <c r="K1829" i="4" s="1"/>
  <c r="J1830" i="4"/>
  <c r="K1830" i="4" s="1"/>
  <c r="J1831" i="4"/>
  <c r="K1831" i="4" s="1"/>
  <c r="J1832" i="4"/>
  <c r="K1832" i="4" s="1"/>
  <c r="J1833" i="4"/>
  <c r="K1833" i="4" s="1"/>
  <c r="J1834" i="4"/>
  <c r="K1834" i="4" s="1"/>
  <c r="J1835" i="4"/>
  <c r="K1835" i="4" s="1"/>
  <c r="J1836" i="4"/>
  <c r="K1836" i="4" s="1"/>
  <c r="J1837" i="4"/>
  <c r="K1837" i="4" s="1"/>
  <c r="J1838" i="4"/>
  <c r="K1838" i="4" s="1"/>
  <c r="J1839" i="4"/>
  <c r="K1839" i="4" s="1"/>
  <c r="J1840" i="4"/>
  <c r="K1840" i="4" s="1"/>
  <c r="J1841" i="4"/>
  <c r="K1841" i="4" s="1"/>
  <c r="J1842" i="4"/>
  <c r="K1842" i="4" s="1"/>
  <c r="J1843" i="4"/>
  <c r="K1843" i="4" s="1"/>
  <c r="J1844" i="4"/>
  <c r="K1844" i="4" s="1"/>
  <c r="J1845" i="4"/>
  <c r="K1845" i="4" s="1"/>
  <c r="J1846" i="4"/>
  <c r="K1846" i="4" s="1"/>
  <c r="J1847" i="4"/>
  <c r="K1847" i="4" s="1"/>
  <c r="J1848" i="4"/>
  <c r="K1848" i="4" s="1"/>
  <c r="J1849" i="4"/>
  <c r="K1849" i="4" s="1"/>
  <c r="J1850" i="4"/>
  <c r="K1850" i="4" s="1"/>
  <c r="J1851" i="4"/>
  <c r="K1851" i="4" s="1"/>
  <c r="J1852" i="4"/>
  <c r="K1852" i="4" s="1"/>
  <c r="J1853" i="4"/>
  <c r="K1853" i="4" s="1"/>
  <c r="J1854" i="4"/>
  <c r="K1854" i="4" s="1"/>
  <c r="J1855" i="4"/>
  <c r="K1855" i="4" s="1"/>
  <c r="J1856" i="4"/>
  <c r="K1856" i="4" s="1"/>
  <c r="J1857" i="4"/>
  <c r="K1857" i="4" s="1"/>
  <c r="J1858" i="4"/>
  <c r="K1858" i="4" s="1"/>
  <c r="J1859" i="4"/>
  <c r="K1859" i="4" s="1"/>
  <c r="J1860" i="4"/>
  <c r="K1860" i="4" s="1"/>
  <c r="J1861" i="4"/>
  <c r="K1861" i="4" s="1"/>
  <c r="J1862" i="4"/>
  <c r="K1862" i="4" s="1"/>
  <c r="J1863" i="4"/>
  <c r="K1863" i="4" s="1"/>
  <c r="J1864" i="4"/>
  <c r="K1864" i="4" s="1"/>
  <c r="J1865" i="4"/>
  <c r="K1865" i="4" s="1"/>
  <c r="J1866" i="4"/>
  <c r="K1866" i="4" s="1"/>
  <c r="J1867" i="4"/>
  <c r="K1867" i="4" s="1"/>
  <c r="J1868" i="4"/>
  <c r="K1868" i="4" s="1"/>
  <c r="J1869" i="4"/>
  <c r="K1869" i="4" s="1"/>
  <c r="J1870" i="4"/>
  <c r="K1870" i="4" s="1"/>
  <c r="J1871" i="4"/>
  <c r="K1871" i="4" s="1"/>
  <c r="J1872" i="4"/>
  <c r="K1872" i="4" s="1"/>
  <c r="J1873" i="4"/>
  <c r="K1873" i="4" s="1"/>
  <c r="J1874" i="4"/>
  <c r="K1874" i="4" s="1"/>
  <c r="J1875" i="4"/>
  <c r="K1875" i="4" s="1"/>
  <c r="J1876" i="4"/>
  <c r="K1876" i="4" s="1"/>
  <c r="J1877" i="4"/>
  <c r="K1877" i="4" s="1"/>
  <c r="J1878" i="4"/>
  <c r="K1878" i="4" s="1"/>
  <c r="J1879" i="4"/>
  <c r="K1879" i="4" s="1"/>
  <c r="J1880" i="4"/>
  <c r="K1880" i="4" s="1"/>
  <c r="J1881" i="4"/>
  <c r="K1881" i="4" s="1"/>
  <c r="J1882" i="4"/>
  <c r="K1882" i="4" s="1"/>
  <c r="J1883" i="4"/>
  <c r="K1883" i="4" s="1"/>
  <c r="J1884" i="4"/>
  <c r="K1884" i="4" s="1"/>
  <c r="J1885" i="4"/>
  <c r="K1885" i="4" s="1"/>
  <c r="J1886" i="4"/>
  <c r="K1886" i="4" s="1"/>
  <c r="J1887" i="4"/>
  <c r="K1887" i="4" s="1"/>
  <c r="J1888" i="4"/>
  <c r="K1888" i="4" s="1"/>
  <c r="J1889" i="4"/>
  <c r="K1889" i="4" s="1"/>
  <c r="J1890" i="4"/>
  <c r="K1890" i="4" s="1"/>
  <c r="J1891" i="4"/>
  <c r="K1891" i="4" s="1"/>
  <c r="J1892" i="4"/>
  <c r="K1892" i="4" s="1"/>
  <c r="J1893" i="4"/>
  <c r="K1893" i="4" s="1"/>
  <c r="J1894" i="4"/>
  <c r="K1894" i="4" s="1"/>
  <c r="J1895" i="4"/>
  <c r="K1895" i="4" s="1"/>
  <c r="J1896" i="4"/>
  <c r="K1896" i="4" s="1"/>
  <c r="J1897" i="4"/>
  <c r="K1897" i="4" s="1"/>
  <c r="J1898" i="4"/>
  <c r="K1898" i="4" s="1"/>
  <c r="J1899" i="4"/>
  <c r="K1899" i="4" s="1"/>
  <c r="J1900" i="4"/>
  <c r="K1900" i="4" s="1"/>
  <c r="J1901" i="4"/>
  <c r="K1901" i="4" s="1"/>
  <c r="J1902" i="4"/>
  <c r="K1902" i="4" s="1"/>
  <c r="J1903" i="4"/>
  <c r="K1903" i="4" s="1"/>
  <c r="J1904" i="4"/>
  <c r="K1904" i="4" s="1"/>
  <c r="J1905" i="4"/>
  <c r="K1905" i="4" s="1"/>
  <c r="J1906" i="4"/>
  <c r="K1906" i="4" s="1"/>
  <c r="J1907" i="4"/>
  <c r="K1907" i="4" s="1"/>
  <c r="J1908" i="4"/>
  <c r="K1908" i="4" s="1"/>
  <c r="J1909" i="4"/>
  <c r="K1909" i="4" s="1"/>
  <c r="J1910" i="4"/>
  <c r="K1910" i="4" s="1"/>
  <c r="J1911" i="4"/>
  <c r="K1911" i="4" s="1"/>
  <c r="J1912" i="4"/>
  <c r="K1912" i="4" s="1"/>
  <c r="J1913" i="4"/>
  <c r="K1913" i="4" s="1"/>
  <c r="J1914" i="4"/>
  <c r="K1914" i="4" s="1"/>
  <c r="J1915" i="4"/>
  <c r="K1915" i="4" s="1"/>
  <c r="J1916" i="4"/>
  <c r="K1916" i="4" s="1"/>
  <c r="J1917" i="4"/>
  <c r="K1917" i="4" s="1"/>
  <c r="J1918" i="4"/>
  <c r="K1918" i="4" s="1"/>
  <c r="J1919" i="4"/>
  <c r="K1919" i="4" s="1"/>
  <c r="J1920" i="4"/>
  <c r="K1920" i="4" s="1"/>
  <c r="J1921" i="4"/>
  <c r="K1921" i="4" s="1"/>
  <c r="J1922" i="4"/>
  <c r="K1922" i="4" s="1"/>
  <c r="J1923" i="4"/>
  <c r="K1923" i="4" s="1"/>
  <c r="J1924" i="4"/>
  <c r="K1924" i="4" s="1"/>
  <c r="J1925" i="4"/>
  <c r="K1925" i="4" s="1"/>
  <c r="J1926" i="4"/>
  <c r="K1926" i="4" s="1"/>
  <c r="J1927" i="4"/>
  <c r="K1927" i="4" s="1"/>
  <c r="J1928" i="4"/>
  <c r="K1928" i="4" s="1"/>
  <c r="J1929" i="4"/>
  <c r="K1929" i="4" s="1"/>
  <c r="J1930" i="4"/>
  <c r="K1930" i="4" s="1"/>
  <c r="J1931" i="4"/>
  <c r="K1931" i="4" s="1"/>
  <c r="J1932" i="4"/>
  <c r="K1932" i="4" s="1"/>
  <c r="J1933" i="4"/>
  <c r="K1933" i="4" s="1"/>
  <c r="J1934" i="4"/>
  <c r="K1934" i="4" s="1"/>
  <c r="J1935" i="4"/>
  <c r="K1935" i="4" s="1"/>
  <c r="J1936" i="4"/>
  <c r="K1936" i="4" s="1"/>
  <c r="J1937" i="4"/>
  <c r="K1937" i="4" s="1"/>
  <c r="J1938" i="4"/>
  <c r="K1938" i="4" s="1"/>
  <c r="J1939" i="4"/>
  <c r="K1939" i="4" s="1"/>
  <c r="J1940" i="4"/>
  <c r="K1940" i="4" s="1"/>
  <c r="J1941" i="4"/>
  <c r="K1941" i="4" s="1"/>
  <c r="J1942" i="4"/>
  <c r="K1942" i="4" s="1"/>
  <c r="J1943" i="4"/>
  <c r="K1943" i="4" s="1"/>
  <c r="J1944" i="4"/>
  <c r="K1944" i="4" s="1"/>
  <c r="J1945" i="4"/>
  <c r="K1945" i="4" s="1"/>
  <c r="J1946" i="4"/>
  <c r="K1946" i="4" s="1"/>
  <c r="J1947" i="4"/>
  <c r="K1947" i="4" s="1"/>
  <c r="J1948" i="4"/>
  <c r="K1948" i="4" s="1"/>
  <c r="J1949" i="4"/>
  <c r="K1949" i="4" s="1"/>
  <c r="J1950" i="4"/>
  <c r="K1950" i="4" s="1"/>
  <c r="J1951" i="4"/>
  <c r="K1951" i="4" s="1"/>
  <c r="J1952" i="4"/>
  <c r="K1952" i="4" s="1"/>
  <c r="J1953" i="4"/>
  <c r="K1953" i="4" s="1"/>
  <c r="J1954" i="4"/>
  <c r="K1954" i="4" s="1"/>
  <c r="J1955" i="4"/>
  <c r="K1955" i="4" s="1"/>
  <c r="J1956" i="4"/>
  <c r="K1956" i="4" s="1"/>
  <c r="J1957" i="4"/>
  <c r="K1957" i="4" s="1"/>
  <c r="J1958" i="4"/>
  <c r="K1958" i="4" s="1"/>
  <c r="J1959" i="4"/>
  <c r="K1959" i="4" s="1"/>
  <c r="J1960" i="4"/>
  <c r="K1960" i="4" s="1"/>
  <c r="J1961" i="4"/>
  <c r="K1961" i="4" s="1"/>
  <c r="J1962" i="4"/>
  <c r="K1962" i="4" s="1"/>
  <c r="J1963" i="4"/>
  <c r="K1963" i="4" s="1"/>
  <c r="J1964" i="4"/>
  <c r="K1964" i="4" s="1"/>
  <c r="J1965" i="4"/>
  <c r="K1965" i="4" s="1"/>
  <c r="J1966" i="4"/>
  <c r="K1966" i="4" s="1"/>
  <c r="J1967" i="4"/>
  <c r="K1967" i="4" s="1"/>
  <c r="J1968" i="4"/>
  <c r="K1968" i="4" s="1"/>
  <c r="J1969" i="4"/>
  <c r="K1969" i="4" s="1"/>
  <c r="J1970" i="4"/>
  <c r="K1970" i="4" s="1"/>
  <c r="J1971" i="4"/>
  <c r="K1971" i="4" s="1"/>
  <c r="J1972" i="4"/>
  <c r="K1972" i="4" s="1"/>
  <c r="J1973" i="4"/>
  <c r="K1973" i="4" s="1"/>
  <c r="J1974" i="4"/>
  <c r="K1974" i="4" s="1"/>
  <c r="J1975" i="4"/>
  <c r="K1975" i="4" s="1"/>
  <c r="J1976" i="4"/>
  <c r="K1976" i="4" s="1"/>
  <c r="J1977" i="4"/>
  <c r="K1977" i="4" s="1"/>
  <c r="J1978" i="4"/>
  <c r="K1978" i="4" s="1"/>
  <c r="J1979" i="4"/>
  <c r="K1979" i="4" s="1"/>
  <c r="J1980" i="4"/>
  <c r="K1980" i="4" s="1"/>
  <c r="J1981" i="4"/>
  <c r="K1981" i="4" s="1"/>
  <c r="J1982" i="4"/>
  <c r="K1982" i="4" s="1"/>
  <c r="J1983" i="4"/>
  <c r="K1983" i="4" s="1"/>
  <c r="J1984" i="4"/>
  <c r="K1984" i="4" s="1"/>
  <c r="J1985" i="4"/>
  <c r="K1985" i="4" s="1"/>
  <c r="J1986" i="4"/>
  <c r="K1986" i="4" s="1"/>
  <c r="J1987" i="4"/>
  <c r="K1987" i="4" s="1"/>
  <c r="J1988" i="4"/>
  <c r="K1988" i="4" s="1"/>
  <c r="J1989" i="4"/>
  <c r="K1989" i="4" s="1"/>
  <c r="J1990" i="4"/>
  <c r="K1990" i="4" s="1"/>
  <c r="J1991" i="4"/>
  <c r="K1991" i="4" s="1"/>
  <c r="J1992" i="4"/>
  <c r="K1992" i="4" s="1"/>
  <c r="J1993" i="4"/>
  <c r="K1993" i="4" s="1"/>
  <c r="J1994" i="4"/>
  <c r="K1994" i="4" s="1"/>
  <c r="J1995" i="4"/>
  <c r="K1995" i="4" s="1"/>
  <c r="J1996" i="4"/>
  <c r="K1996" i="4" s="1"/>
  <c r="J1997" i="4"/>
  <c r="K1997" i="4" s="1"/>
  <c r="J1998" i="4"/>
  <c r="K1998" i="4" s="1"/>
  <c r="J1999" i="4"/>
  <c r="K1999" i="4" s="1"/>
  <c r="J2000" i="4"/>
  <c r="K2000" i="4" s="1"/>
  <c r="J2001" i="4"/>
  <c r="K2001" i="4" s="1"/>
  <c r="J2002" i="4"/>
  <c r="K2002" i="4" s="1"/>
  <c r="J2003" i="4"/>
  <c r="K2003" i="4" s="1"/>
  <c r="J2004" i="4"/>
  <c r="K2004" i="4" s="1"/>
  <c r="J2005" i="4"/>
  <c r="K2005" i="4" s="1"/>
  <c r="J2006" i="4"/>
  <c r="K2006" i="4" s="1"/>
  <c r="J2007" i="4"/>
  <c r="K2007" i="4" s="1"/>
  <c r="J2008" i="4"/>
  <c r="K2008" i="4" s="1"/>
  <c r="J2009" i="4"/>
  <c r="K2009" i="4" s="1"/>
  <c r="J2010" i="4"/>
  <c r="K2010" i="4" s="1"/>
  <c r="J2011" i="4"/>
  <c r="K2011" i="4" s="1"/>
  <c r="J2012" i="4"/>
  <c r="K2012" i="4" s="1"/>
  <c r="J2013" i="4"/>
  <c r="K2013" i="4" s="1"/>
  <c r="J2014" i="4"/>
  <c r="K2014" i="4" s="1"/>
  <c r="J2015" i="4"/>
  <c r="K2015" i="4" s="1"/>
  <c r="J2016" i="4"/>
  <c r="K2016" i="4" s="1"/>
  <c r="J2017" i="4"/>
  <c r="K2017" i="4" s="1"/>
  <c r="J2018" i="4"/>
  <c r="K2018" i="4" s="1"/>
  <c r="J2019" i="4"/>
  <c r="K2019" i="4" s="1"/>
  <c r="J2020" i="4"/>
  <c r="K2020" i="4" s="1"/>
  <c r="J2021" i="4"/>
  <c r="K2021" i="4" s="1"/>
  <c r="J2022" i="4"/>
  <c r="K2022" i="4" s="1"/>
  <c r="J2023" i="4"/>
  <c r="K2023" i="4" s="1"/>
  <c r="J2024" i="4"/>
  <c r="K2024" i="4" s="1"/>
  <c r="J2025" i="4"/>
  <c r="K2025" i="4" s="1"/>
  <c r="J2026" i="4"/>
  <c r="K2026" i="4" s="1"/>
  <c r="J2027" i="4"/>
  <c r="K2027" i="4" s="1"/>
  <c r="J2028" i="4"/>
  <c r="K2028" i="4" s="1"/>
  <c r="J2029" i="4"/>
  <c r="K2029" i="4" s="1"/>
  <c r="J2030" i="4"/>
  <c r="K2030" i="4" s="1"/>
  <c r="J2031" i="4"/>
  <c r="K2031" i="4" s="1"/>
  <c r="J2032" i="4"/>
  <c r="K2032" i="4" s="1"/>
  <c r="J2033" i="4"/>
  <c r="K2033" i="4" s="1"/>
  <c r="J2034" i="4"/>
  <c r="K2034" i="4" s="1"/>
  <c r="J2035" i="4"/>
  <c r="K2035" i="4" s="1"/>
  <c r="J2036" i="4"/>
  <c r="K2036" i="4" s="1"/>
  <c r="J2037" i="4"/>
  <c r="K2037" i="4" s="1"/>
  <c r="J2038" i="4"/>
  <c r="K2038" i="4" s="1"/>
  <c r="J2039" i="4"/>
  <c r="K2039" i="4" s="1"/>
  <c r="J2040" i="4"/>
  <c r="K2040" i="4" s="1"/>
  <c r="J2041" i="4"/>
  <c r="K2041" i="4" s="1"/>
  <c r="J2042" i="4"/>
  <c r="K2042" i="4" s="1"/>
  <c r="J2043" i="4"/>
  <c r="K2043" i="4" s="1"/>
  <c r="J2044" i="4"/>
  <c r="K2044" i="4" s="1"/>
  <c r="J2045" i="4"/>
  <c r="K2045" i="4" s="1"/>
  <c r="J2046" i="4"/>
  <c r="K2046" i="4" s="1"/>
  <c r="J2047" i="4"/>
  <c r="K2047" i="4" s="1"/>
  <c r="J2048" i="4"/>
  <c r="K2048" i="4" s="1"/>
  <c r="J2049" i="4"/>
  <c r="K2049" i="4" s="1"/>
  <c r="J2050" i="4"/>
  <c r="K2050" i="4" s="1"/>
  <c r="J2051" i="4"/>
  <c r="K2051" i="4" s="1"/>
  <c r="J2052" i="4"/>
  <c r="K2052" i="4" s="1"/>
  <c r="J2053" i="4"/>
  <c r="K2053" i="4" s="1"/>
  <c r="J2054" i="4"/>
  <c r="K2054" i="4" s="1"/>
  <c r="J2055" i="4"/>
  <c r="K2055" i="4" s="1"/>
  <c r="J2056" i="4"/>
  <c r="K2056" i="4" s="1"/>
  <c r="J2057" i="4"/>
  <c r="K2057" i="4" s="1"/>
  <c r="J2058" i="4"/>
  <c r="K2058" i="4" s="1"/>
  <c r="J2059" i="4"/>
  <c r="K2059" i="4" s="1"/>
  <c r="J2060" i="4"/>
  <c r="K2060" i="4" s="1"/>
  <c r="J2061" i="4"/>
  <c r="K2061" i="4" s="1"/>
  <c r="J2062" i="4"/>
  <c r="K2062" i="4" s="1"/>
  <c r="J2063" i="4"/>
  <c r="K2063" i="4" s="1"/>
  <c r="J2064" i="4"/>
  <c r="K2064" i="4" s="1"/>
  <c r="J2065" i="4"/>
  <c r="K2065" i="4" s="1"/>
  <c r="J2066" i="4"/>
  <c r="K2066" i="4" s="1"/>
  <c r="J2067" i="4"/>
  <c r="K2067" i="4" s="1"/>
  <c r="J2068" i="4"/>
  <c r="K2068" i="4" s="1"/>
  <c r="J2069" i="4"/>
  <c r="K2069" i="4" s="1"/>
  <c r="J2070" i="4"/>
  <c r="K2070" i="4" s="1"/>
  <c r="J2071" i="4"/>
  <c r="K2071" i="4" s="1"/>
  <c r="J2072" i="4"/>
  <c r="K2072" i="4" s="1"/>
  <c r="J2073" i="4"/>
  <c r="K2073" i="4" s="1"/>
  <c r="J2074" i="4"/>
  <c r="K2074" i="4" s="1"/>
  <c r="J2075" i="4"/>
  <c r="K2075" i="4" s="1"/>
  <c r="J2076" i="4"/>
  <c r="K2076" i="4" s="1"/>
  <c r="J2077" i="4"/>
  <c r="K2077" i="4" s="1"/>
  <c r="J2078" i="4"/>
  <c r="K2078" i="4" s="1"/>
  <c r="J2079" i="4"/>
  <c r="K2079" i="4" s="1"/>
  <c r="J2080" i="4"/>
  <c r="K2080" i="4" s="1"/>
  <c r="J2081" i="4"/>
  <c r="K2081" i="4" s="1"/>
  <c r="J2082" i="4"/>
  <c r="K2082" i="4" s="1"/>
  <c r="J2083" i="4"/>
  <c r="K2083" i="4" s="1"/>
  <c r="J2084" i="4"/>
  <c r="K2084" i="4" s="1"/>
  <c r="J2085" i="4"/>
  <c r="K2085" i="4" s="1"/>
  <c r="J2086" i="4"/>
  <c r="K2086" i="4" s="1"/>
  <c r="J2087" i="4"/>
  <c r="K2087" i="4" s="1"/>
  <c r="J2088" i="4"/>
  <c r="K2088" i="4" s="1"/>
  <c r="J2089" i="4"/>
  <c r="K2089" i="4" s="1"/>
  <c r="D3" i="5"/>
  <c r="D4" i="5"/>
  <c r="D5" i="5"/>
  <c r="D6" i="5"/>
  <c r="D2" i="5"/>
</calcChain>
</file>

<file path=xl/sharedStrings.xml><?xml version="1.0" encoding="utf-8"?>
<sst xmlns="http://schemas.openxmlformats.org/spreadsheetml/2006/main" count="16352" uniqueCount="500">
  <si>
    <t>CODIGO_CARRERA</t>
  </si>
  <si>
    <t>CUTOFF</t>
  </si>
  <si>
    <t>NEM</t>
  </si>
  <si>
    <t>LYC</t>
  </si>
  <si>
    <t>MATE</t>
  </si>
  <si>
    <t>HYCS</t>
  </si>
  <si>
    <t>CIEN</t>
  </si>
  <si>
    <t>SEATS</t>
  </si>
  <si>
    <t>MRUN</t>
  </si>
  <si>
    <t>PREF</t>
  </si>
  <si>
    <t>MAJOR</t>
  </si>
  <si>
    <t>LOCATION</t>
  </si>
  <si>
    <t>UNIVERSITY</t>
  </si>
  <si>
    <t>STATUS</t>
  </si>
  <si>
    <t>SCORE</t>
  </si>
  <si>
    <t>ARQUITECTURA, LICENCIATURA EN ARQUITECTURA</t>
  </si>
  <si>
    <t>SANTIAGO</t>
  </si>
  <si>
    <t>UCH</t>
  </si>
  <si>
    <t>ARQUITECTURA</t>
  </si>
  <si>
    <t>UC</t>
  </si>
  <si>
    <t>CONCEPCION</t>
  </si>
  <si>
    <t>UDEC</t>
  </si>
  <si>
    <t>PSICOLOGÕA</t>
  </si>
  <si>
    <t>ARTE</t>
  </si>
  <si>
    <t>VALPARAISO</t>
  </si>
  <si>
    <t>PUCV</t>
  </si>
  <si>
    <t>AGRONOMÕA</t>
  </si>
  <si>
    <t>QUILLOTA</t>
  </si>
  <si>
    <t>PEDAGOGÕA EN FÕSICA Y/O LICENCIATURA EN FÕSICA</t>
  </si>
  <si>
    <t>PEDAGOGÕA EN M⁄SICA Y/O LICENCIATURA EN CS. Y ARTE</t>
  </si>
  <si>
    <t>CINE</t>
  </si>
  <si>
    <t>CASA CENTRAL</t>
  </si>
  <si>
    <t>UV</t>
  </si>
  <si>
    <t>BIOINGENIERIA</t>
  </si>
  <si>
    <t>INGENIERIA EN BIOINFORMATICA</t>
  </si>
  <si>
    <t>TALCA</t>
  </si>
  <si>
    <t>UTAL</t>
  </si>
  <si>
    <t>BIOLOGIA</t>
  </si>
  <si>
    <t>IQUIQUE</t>
  </si>
  <si>
    <t>UNAP</t>
  </si>
  <si>
    <t>BIOTECNOLOGIA</t>
  </si>
  <si>
    <t>ANTOFAGASTA</t>
  </si>
  <si>
    <t>UANT</t>
  </si>
  <si>
    <t>FACULTAD CIENCIAS AGROPECUARIAS Y FORESTALES</t>
  </si>
  <si>
    <t>UFRO</t>
  </si>
  <si>
    <t>EDUCACION GENERAL BASICA</t>
  </si>
  <si>
    <t>SEDE OSORNO</t>
  </si>
  <si>
    <t>ULAG</t>
  </si>
  <si>
    <t>EDUCACION PARVULARIA</t>
  </si>
  <si>
    <t>FONOAUDIOLOGIA</t>
  </si>
  <si>
    <t>FACULTAD DE MEDICINA</t>
  </si>
  <si>
    <t>PED. EN CIENCIAS M. BIOLOGÕA, QUIMICA O FÕSICA</t>
  </si>
  <si>
    <t>FACULTAD DE EDUCACI”N Y HUMANIDADES</t>
  </si>
  <si>
    <t>PEDAGOGÕA  MATEM¡TICA</t>
  </si>
  <si>
    <t>INGENIERIA EN CONSTRUCCION</t>
  </si>
  <si>
    <t>FACULTAD DE INGENIERÕA, CIENCIAS Y ADMINISTRACI”N</t>
  </si>
  <si>
    <t>CAMPUS PUERTO MONTT - PUERTO MONTT</t>
  </si>
  <si>
    <t>UACH</t>
  </si>
  <si>
    <t>AGRONOMIA</t>
  </si>
  <si>
    <t>FACULTAD DE CIENCIAS AGROPECUARIAS Y FORESTALES</t>
  </si>
  <si>
    <t>PLAN COMUN INGENIERIA CIVIL</t>
  </si>
  <si>
    <t>TEMUCO</t>
  </si>
  <si>
    <t>DERECHO, LICENCIATURA EN CS JURÕDICAS Y SOCIALES</t>
  </si>
  <si>
    <t>DERECHO</t>
  </si>
  <si>
    <t>HISTORIA, LICENCIATURA EN</t>
  </si>
  <si>
    <t>CIENCIA POLÕTICA</t>
  </si>
  <si>
    <t>INGENIERIA CIVIL INDUSTRIAL</t>
  </si>
  <si>
    <t>INGENIERÕA CIVIL INDUSTRIAL</t>
  </si>
  <si>
    <t>LICENCIATURA EN ARTES VISUALES</t>
  </si>
  <si>
    <t>CAMPUS ISLA TEJA - VALDIVIA</t>
  </si>
  <si>
    <t>LICENCIATURA EN ARTE</t>
  </si>
  <si>
    <t>UPA</t>
  </si>
  <si>
    <t>ANTROPOLOGIA</t>
  </si>
  <si>
    <t>PEDAGOGÕAEN EDUCACI”N MEDIA EN ARTES MENCION:-CINE</t>
  </si>
  <si>
    <t>SEDE PUERTO MONTT</t>
  </si>
  <si>
    <t>PEDAGOGÕA EN EDUCACI”N MEDIA M/LENGUA CASTELLANA Y</t>
  </si>
  <si>
    <t>PEDAGOGÕA EN EDUCACI”N MEDIA M/HISTORÕA Y GEOGRAFÕ</t>
  </si>
  <si>
    <t>MEDICINA VETERINARIA, LIC.  EN CS. VET. Y PECUARIA</t>
  </si>
  <si>
    <t>INGENIERIA CIVIL ELECTRONICA</t>
  </si>
  <si>
    <t>CAMPUS MIRAFLORES - VALDIVIA</t>
  </si>
  <si>
    <t>INGENIERIA CIVIL EN INFORMATICA</t>
  </si>
  <si>
    <t>QUIMICA Y FARMACIA</t>
  </si>
  <si>
    <t>INGENIERIA CIVIL EN OBRAS CIVILES</t>
  </si>
  <si>
    <t>INGENIERIA CIVIL ACUSTICA</t>
  </si>
  <si>
    <t>INGENIERIA COMERCIAL</t>
  </si>
  <si>
    <t>ADMINISTRACION DE EMPRESAS DE TURISMO</t>
  </si>
  <si>
    <t>PEDAGOGIA EN COMUNICACION EN LENGUA INGLESA</t>
  </si>
  <si>
    <t>PEDAGOGIA EN LENGUAJE Y COMUNICACI”N</t>
  </si>
  <si>
    <t>PEDAGOGIA EN HISTORIA Y CIENCIAS SOCIALES</t>
  </si>
  <si>
    <t>PERIODISMO</t>
  </si>
  <si>
    <t>PEDAGOGÕA EN EDUCACI”N MEDIA M/INGL…S Y TRADUCCI”N</t>
  </si>
  <si>
    <t>EDUCACION GENERAL BASICA MENCION INGLES</t>
  </si>
  <si>
    <t>EDUCACION DIFERENCIAL CON ESPECIALIDAD EN PROBLEMA</t>
  </si>
  <si>
    <t>TRABAJO SOCIAL</t>
  </si>
  <si>
    <t>INGENIERIA EN CONSERVACION DE RECURSOS NATURALES</t>
  </si>
  <si>
    <t>MEDICINA VETERINARIA</t>
  </si>
  <si>
    <t>BIOLOGIA MARINA</t>
  </si>
  <si>
    <t>PSICOLOGIA</t>
  </si>
  <si>
    <t>CIENCIAS POLITICAS Y ADMINISTRATIVAS</t>
  </si>
  <si>
    <t>CONTADOR PUBLICO Y AUDITOR</t>
  </si>
  <si>
    <t>DISENO</t>
  </si>
  <si>
    <t>NUTRICION Y ALIMENTACION</t>
  </si>
  <si>
    <t>ENFERMERIA</t>
  </si>
  <si>
    <t>TECNOLOGIA MEDICA</t>
  </si>
  <si>
    <t>TERAPIA OCUPACIONAL</t>
  </si>
  <si>
    <t>INGENIERIA EN ALIMENTOS</t>
  </si>
  <si>
    <t>INGENIERIA EN ACUICULTURA</t>
  </si>
  <si>
    <t>PEDAGOGÕA EN EDUCACI”N MEDIA M/EDUCACI”N FÕSICA</t>
  </si>
  <si>
    <t>UCSC</t>
  </si>
  <si>
    <t>CONTADOR AUDITOR</t>
  </si>
  <si>
    <t>AUDITORIA</t>
  </si>
  <si>
    <t>CAMPUS - SANTIAGO</t>
  </si>
  <si>
    <t>INGENIERÕA COMERCIAL</t>
  </si>
  <si>
    <t>CAMPUS SANTIAGO</t>
  </si>
  <si>
    <t>INGENIERÕA COMERCIAL, LIC. EN CS. ECONOM. O EN ADM</t>
  </si>
  <si>
    <t>INGENIERIA  EN INFORMACION Y CONTROL DE GESTI”N Y/</t>
  </si>
  <si>
    <t>UCT</t>
  </si>
  <si>
    <t>LICENCIATURA EN ANTROPOLOGIA</t>
  </si>
  <si>
    <t>ING DE EJEC EN ELECTRICIDAD</t>
  </si>
  <si>
    <t>UBB</t>
  </si>
  <si>
    <t>INGENIERIA CIVIL ELECTRICA</t>
  </si>
  <si>
    <t>INGENIERIA CIVIL</t>
  </si>
  <si>
    <t>ODONTOLOGIA</t>
  </si>
  <si>
    <t>PEDAGOGÕA EN EDUCACI”N B¡SICA, LICENCIATURA EN EDU</t>
  </si>
  <si>
    <t>KINESIOLOGIA</t>
  </si>
  <si>
    <t xml:space="preserve"> -</t>
  </si>
  <si>
    <t>LICENCIATURA EN EDUCACION EN MATEMATICA Y COMPUTAC</t>
  </si>
  <si>
    <t>REGION METROPOLITANA</t>
  </si>
  <si>
    <t>USACH</t>
  </si>
  <si>
    <t>LICENCIATURA  EN CIENCIA DE LA COMPUTACION</t>
  </si>
  <si>
    <t>LIC EN ED. MAT Y PED EN MATEMATICA Y (PLAN OPTATIV</t>
  </si>
  <si>
    <t>FACULTAD DE CIENCIAS BASICAS</t>
  </si>
  <si>
    <t>UMCE</t>
  </si>
  <si>
    <t>TECN”LOGO EN TELECOMUNICACIONES</t>
  </si>
  <si>
    <t>EDUCACION DE PARVULOS</t>
  </si>
  <si>
    <t>PEDAGOGIA EN EDUC PARVULARIA</t>
  </si>
  <si>
    <t>CHILLAN</t>
  </si>
  <si>
    <t>EDUCACI”N  PARVULARIA, LICENCIATURA EN EDUCACI”N</t>
  </si>
  <si>
    <t>EDUCACI”N PARVULARIA, LICENCIATURA  EN EDUCACI”N</t>
  </si>
  <si>
    <t>SAN FELIPE</t>
  </si>
  <si>
    <t>INGENIERIA CIVIL, PRIMER A—O COMUN</t>
  </si>
  <si>
    <t>DISE—O GR¡FICO O DISE—O INDUSTRIAL</t>
  </si>
  <si>
    <t>UTFSM</t>
  </si>
  <si>
    <t>CONSTRUCCION CIVIL</t>
  </si>
  <si>
    <t>INGENIERÕA EN CONSTRUCCI”N</t>
  </si>
  <si>
    <t>DISE—O - DIURNO</t>
  </si>
  <si>
    <t>DISENO INDUSTRIAL</t>
  </si>
  <si>
    <t>ING.CIVIL INDUSTRIAL M. INFORMATICA</t>
  </si>
  <si>
    <t>ING. CIVIL INDUSTRIAL M. MECANICA</t>
  </si>
  <si>
    <t>INGENIERIA CIVIL MATEMATICA</t>
  </si>
  <si>
    <t>INGENIERÕA  INFORM¡TICA</t>
  </si>
  <si>
    <t>OBSTETRICIA Y PUERICULTURA</t>
  </si>
  <si>
    <t>INGENIERIA CIVIL TELEMATICA</t>
  </si>
  <si>
    <t>ING. DE EJEC. EN MINAS</t>
  </si>
  <si>
    <t>INGENIERIA EN COMPUTACION</t>
  </si>
  <si>
    <t>AGRONOMÕA E INGENIERÕA FORESTAL</t>
  </si>
  <si>
    <t>CONSTRUCCI”N CIVIL</t>
  </si>
  <si>
    <t>PEDAGOGIA EN EDUCACION MEDIA MENCION EDUCACION FIS</t>
  </si>
  <si>
    <t>INGENIERIA EN ADMINISTRACI”N DE NEGOCIOS</t>
  </si>
  <si>
    <t>INGENIERÕA Y CIENCIAS, PLAN COM⁄N</t>
  </si>
  <si>
    <t>INGENIERÕA</t>
  </si>
  <si>
    <t>PLAN COMUN INGENIERIAS  Y LIC. EN CIENCIAS</t>
  </si>
  <si>
    <t>INGENIERIA CIVIL MECANICA</t>
  </si>
  <si>
    <t>INGENIERIA CIVIL QUIMICA</t>
  </si>
  <si>
    <t>BIOQUIMICA</t>
  </si>
  <si>
    <t>ING. CIVIL EN INFORMATICA</t>
  </si>
  <si>
    <t>ING. CIVIL EN MECANICA</t>
  </si>
  <si>
    <t>ING. DE EJEC. EN COMPUTACION E INFORMATICA</t>
  </si>
  <si>
    <t>CONTADOR PUBLICO Y AUDITOR-DIURNO</t>
  </si>
  <si>
    <t>INGENIERIA FORESTAL</t>
  </si>
  <si>
    <t>MEDICINA</t>
  </si>
  <si>
    <t>MEDICINA, LIC. EN MEDICINA</t>
  </si>
  <si>
    <t>MEDICINA (A PARTIR DEL 6∫ SEM EN OSORNO)</t>
  </si>
  <si>
    <t>INGENIERIA CIVIL AGRICOLA</t>
  </si>
  <si>
    <t>COQUIMBO</t>
  </si>
  <si>
    <t>ULS</t>
  </si>
  <si>
    <t>VICTORIA</t>
  </si>
  <si>
    <t>UTA</t>
  </si>
  <si>
    <t>PEDAGOGÕA EN HISTORIA, GEOGRAFÕA Y CS. SOCIALES Y/</t>
  </si>
  <si>
    <t>HISTORIA</t>
  </si>
  <si>
    <t>TECNICO UNIVERSITARIO EN ACUICULTURA</t>
  </si>
  <si>
    <t>PEDAGOGÕA EN EDUCACI”N MEDIA M/MATEM¡TICA Y COMPUT</t>
  </si>
  <si>
    <t>PED. EN CIENCIAS NATURALES M/ BIOL. M/FIS M/ QUI</t>
  </si>
  <si>
    <t>PEDAGOGIA EN EDUCACION MATEMATICA</t>
  </si>
  <si>
    <t>PEDAGOGÕA EN EDUCACI”N  MUSICAL, LICENCIATURA EN E</t>
  </si>
  <si>
    <t>PEDAGOGIA EN EDUCACION MUSICAL</t>
  </si>
  <si>
    <t>ACTUACI”N TEATRAL</t>
  </si>
  <si>
    <t>TRADUCCION INGLES-ESPA—OL</t>
  </si>
  <si>
    <t>PED. EN  HISTORIA, GEOGRAFIA. Y EDUCACION CIVICA</t>
  </si>
  <si>
    <t>PEDAGOGÕA EN HISTORIA Y GEOGRAFÕA, LIC. EN HISTORI</t>
  </si>
  <si>
    <t>TECN. UNIVERSITARIO EN MANTENIMIENTO AERONAUTICO</t>
  </si>
  <si>
    <t>INGENIERIA EN MECANICA</t>
  </si>
  <si>
    <t>SEDE MACUL</t>
  </si>
  <si>
    <t>UTEM</t>
  </si>
  <si>
    <t>ING. DE EJEC. EN MECANICA</t>
  </si>
  <si>
    <t>ING. DE EJEC. EN METALURGIA</t>
  </si>
  <si>
    <t>TECNOLOGO EN AUTOMATIZACION INDUSTRIAL</t>
  </si>
  <si>
    <t>ING DE EJEC EN ELECTRONICA</t>
  </si>
  <si>
    <t>PEDAGOGIA EN EDUCACION BASICA CON ESPECIALIZACI”N</t>
  </si>
  <si>
    <t>ENFERMERÕA</t>
  </si>
  <si>
    <t>PEDAGOGÕA EN EDUCACI”N FÕSICA, DEPORTES Y REC.</t>
  </si>
  <si>
    <t>LICENCIATURA EN CIENCIAS BIOLOGICAS</t>
  </si>
  <si>
    <t>PED.  EN EDUCACION BASICA INTERCULTURAL EN CONTEXT</t>
  </si>
  <si>
    <t>ENFERMERÕA, LIC. EN ENFERMERÕA</t>
  </si>
  <si>
    <t>BIOLOGÕA</t>
  </si>
  <si>
    <t>INGENIERÕA EN MEDIO AMBIENTE Y MANEJO COSTERO</t>
  </si>
  <si>
    <t>FACULTAD DE HUMANIDADES, CS. SOCIALES Y DE LA SALU</t>
  </si>
  <si>
    <t>UMAG</t>
  </si>
  <si>
    <t>TERAPIA OCUPACIONAL, LICENCIATURA EN CIENCIAS DE L</t>
  </si>
  <si>
    <t>INGENIERIA NAVAL</t>
  </si>
  <si>
    <t>TRADUCCION/INTERPRETACION EN IDIOMAS EXTRANJEROS</t>
  </si>
  <si>
    <t>MUSICA</t>
  </si>
  <si>
    <t>LICENCIATURA EN MUSICA</t>
  </si>
  <si>
    <t>LA SERENA</t>
  </si>
  <si>
    <t>LICENCIATURA EN HISTORIA</t>
  </si>
  <si>
    <t>DISE—O INDUSTRIAL</t>
  </si>
  <si>
    <t>SEDE CENTRAL - DIECIOCHO</t>
  </si>
  <si>
    <t>M⁄SICA</t>
  </si>
  <si>
    <t>ING CIVIL EN COMPUTACION E INFORM</t>
  </si>
  <si>
    <t>ADMINISTRACI”N DE EMPRESAS MENCI”N RECURSOS HUMANO</t>
  </si>
  <si>
    <t>CAMPUS COLOSO</t>
  </si>
  <si>
    <t>ADM .DE NEGOCIOS INTERNACIONALES</t>
  </si>
  <si>
    <t>CAMPUS RENGO</t>
  </si>
  <si>
    <t>UCN</t>
  </si>
  <si>
    <t>INGENIERIA COMERCIAL.</t>
  </si>
  <si>
    <t>TECNOLOGO EN DISE—O INDUSTRIAL</t>
  </si>
  <si>
    <t>TEORÕA E HISTORIA DEL ARTE, LICENCIATURA EN ARTES</t>
  </si>
  <si>
    <t>LICENCIATURA EN LING.  APLIC. A LA TRAD. M/INGLES</t>
  </si>
  <si>
    <t>ADM.DE NEGOCIOS INTERNACIONALES</t>
  </si>
  <si>
    <t>INGENIERIA EN AVIACION COMERCIAL</t>
  </si>
  <si>
    <t>INGENIERIA EN GESTION TURISTICA</t>
  </si>
  <si>
    <t>SEDE PROVIDENCIA</t>
  </si>
  <si>
    <t>GESTI”N EN TURISMO Y CULTURA</t>
  </si>
  <si>
    <t>KINESIOLOGÕA</t>
  </si>
  <si>
    <t>UCM</t>
  </si>
  <si>
    <t>DISE—O DE PRODUCTO</t>
  </si>
  <si>
    <t>BIOQUÕMICA</t>
  </si>
  <si>
    <t>BIOQUÕMICA, LICENCIATURA EN BIOQUÕMICA</t>
  </si>
  <si>
    <t>BACHILLERATO - INGRESO COM⁄N</t>
  </si>
  <si>
    <t>CAMPUS SAN FELIPE</t>
  </si>
  <si>
    <t>TECN. UNIVERSITARIO EN CONSTRUCCION</t>
  </si>
  <si>
    <t>SEDE VI—A DEL MAR</t>
  </si>
  <si>
    <t>QUIMICO ANALISTA</t>
  </si>
  <si>
    <t>CIENCIAS FISICAS Y ASTRONOMICAS</t>
  </si>
  <si>
    <t>BACHILLERATO EN CIENCIAS SOCIALES Y HUMANIDADES</t>
  </si>
  <si>
    <t>PERIODISMO Y DIRECCI”N AUDIOVISUAL</t>
  </si>
  <si>
    <t>PERIODISMO, LIC. EN COMUNICACI”N SOCIAL</t>
  </si>
  <si>
    <t>NUTRICION Y DIETETICA</t>
  </si>
  <si>
    <t>BACHILLERATO EN CIENCIAS</t>
  </si>
  <si>
    <t>INGENIERIA CIVIL INFORMATICA</t>
  </si>
  <si>
    <t>PED. EN CASTELLANO Y COMUNICACION</t>
  </si>
  <si>
    <t>SOCIOLOGIA</t>
  </si>
  <si>
    <t>SERVICIO SOCIAL</t>
  </si>
  <si>
    <t>ARTES VISUALES</t>
  </si>
  <si>
    <t>ING. CIVIL EN INDUSTRIA</t>
  </si>
  <si>
    <t>EDUCACION DIFERENCIAL</t>
  </si>
  <si>
    <t>PEDAGOGIA EN HISTORIA Y GEOGRAFIA</t>
  </si>
  <si>
    <t>PILOTO COMERCIAL</t>
  </si>
  <si>
    <t>NUTRICI”N Y DIET…TICA, LICENCIATURA EN NUTRICI”N</t>
  </si>
  <si>
    <t>DIBUJANTE PROYECTISTA</t>
  </si>
  <si>
    <t>DISE—O GR¡FICO, LICENCIATURA  EN DISE—O GR¡FICO</t>
  </si>
  <si>
    <t>AGRONOMÕA,   LIC. EN CS. AGROPECUARIAS</t>
  </si>
  <si>
    <t>NUTRICI”N Y DIETETICA, LIC. EN NUTRICI”N Y D.</t>
  </si>
  <si>
    <t>INGENIERIA  CIVIL INDUSTRIAL</t>
  </si>
  <si>
    <t>PLAN COMUN INGENIERIAS Y LIC. EN CIENCIAS</t>
  </si>
  <si>
    <t>INGENIERÕA CIVIL MEC¡NICA</t>
  </si>
  <si>
    <t>INGENIERIA CIVIL EL…CTRICA</t>
  </si>
  <si>
    <t>INGENIERIA CIVIL LOGISTICA</t>
  </si>
  <si>
    <t>INGENIERIA CIVIL BIOMEDICA</t>
  </si>
  <si>
    <t>BIOQUIMICO</t>
  </si>
  <si>
    <t>LIC. EN CS. EXACTAS-PROFESOR DE ED.MEDIA EN MATEM.</t>
  </si>
  <si>
    <t>LICENCIATURA EN MATEMATICA</t>
  </si>
  <si>
    <t>PEDAGOGÕA EN MATEM¡TICA Y COMPUTACI”N, LICENCIATUR</t>
  </si>
  <si>
    <t>PEDAGOGIA MEDIA EN MATEMATICA</t>
  </si>
  <si>
    <t>ADMINISTRACION PUBLICA - DIURNO</t>
  </si>
  <si>
    <t>ADMINISTRACI”N P⁄BLICA - DIURNO</t>
  </si>
  <si>
    <t>INGENIERIA CIVIL AMBIENTAL</t>
  </si>
  <si>
    <t>PEDAGOGÕA GENERAL B¡SICA</t>
  </si>
  <si>
    <t>VILLARRICA</t>
  </si>
  <si>
    <t>BACHILLERATO EN HUMANIDADES</t>
  </si>
  <si>
    <t>TRADUCCI”N E INTERPRETACI”N INGL…S-ESPA—OL</t>
  </si>
  <si>
    <t>VALPARAÕSO</t>
  </si>
  <si>
    <t>TECN. UNIVERSITARIO EN MECANICA AUTOMOTRIZ</t>
  </si>
  <si>
    <t>PEDAGOGIA EN EDUCACION MEDIA  LENGUAJE Y COMUNICAC</t>
  </si>
  <si>
    <t>PEDAGOGÕA EN CASTELLANO Y COMUNICACI”N Y/O LICENCI</t>
  </si>
  <si>
    <t>PEDAGOGÕA EN INGLES Y/O LICENCIATURA EN LENGUA Y L</t>
  </si>
  <si>
    <t>PEDAGOGIA EN CASTELLANO Y FILOSOFIA</t>
  </si>
  <si>
    <t>PEDAGOGIA  EN INGLES</t>
  </si>
  <si>
    <t>LICENCIATURA EN EDUCACION EN FISICA Y MATEMATICA</t>
  </si>
  <si>
    <t>ASTRONOMIA</t>
  </si>
  <si>
    <t>LIC EN ED. EN FÕSICA Y PED EN FÕSICA Y  (PLAN OPTA</t>
  </si>
  <si>
    <t>QUÕMICA Y FARMACIA, LICENCIATURA EN FARMACIA</t>
  </si>
  <si>
    <t>QUÕMICA Y FARMACIA</t>
  </si>
  <si>
    <t>ING. CIVIL EN QUIMICA</t>
  </si>
  <si>
    <t>INGENIERIA CIVIL QUÕMICA</t>
  </si>
  <si>
    <t>PSICOLOGÕA, LIC. EN PSICOLOGÕA</t>
  </si>
  <si>
    <t>PEDAGOGIA EN EDUCACION FISICA, DEPORTES Y RECREACI</t>
  </si>
  <si>
    <t>EDUCACI”N DE P¡RVULOS</t>
  </si>
  <si>
    <t>EDUCACI”N PARVULARIA Y B¡SICA INICIAL</t>
  </si>
  <si>
    <t>LIC. EN EDUC. Y PED. EN ED. PARVULARIA  C/ M (SANT</t>
  </si>
  <si>
    <t>FACULTAD DE FILOSOFIA Y EDUCACION</t>
  </si>
  <si>
    <t>LETRAS  MENCI”N EN LINGUÕSTICA Y LITERATURA HISP¡N</t>
  </si>
  <si>
    <t>LENGUA Y LITERATURA HISPANICAS CON M/  LIC. EN</t>
  </si>
  <si>
    <t>PUBLICIDAD</t>
  </si>
  <si>
    <t>GEOLOGIA</t>
  </si>
  <si>
    <t>PERIODISMO, LICENCIATURA EN COMUNICACI”N SOCIAL</t>
  </si>
  <si>
    <t>INGENIERIA AMBIENTAL</t>
  </si>
  <si>
    <t>CAMPUS  COLOSO</t>
  </si>
  <si>
    <t>INGENIERÕA CIVIL, PLAN COMUN</t>
  </si>
  <si>
    <t>TEORÕA DE LA M⁄SICA, LICENCIATURA EN ARTES MEN/</t>
  </si>
  <si>
    <t>LIC  EN EDUCACION  Y  PED. EN EDUC. MUSICAL</t>
  </si>
  <si>
    <t>FACULTAD DE ARTES Y EDUCACION FISICA</t>
  </si>
  <si>
    <t>PEDAGOGIA EN MATEMATICAS Y FISICA</t>
  </si>
  <si>
    <t>PEDAGOGIA EN MATEMATICA</t>
  </si>
  <si>
    <t>PEDAGOGIA EN MATEMATICAS Y COMPUTACI”N</t>
  </si>
  <si>
    <t>PEDAGOGIA EN MATEMATICAS Y COMPUTACION</t>
  </si>
  <si>
    <t>QUÕMICA AMBIENTAL, LIC. CS. AMBIENTALES M/QUÕMICA</t>
  </si>
  <si>
    <t>QUÕMICA</t>
  </si>
  <si>
    <t>PED ED DIFERENCIAL CON ESP. EN  N.E.E.T.  Y DEF. M</t>
  </si>
  <si>
    <t>PEDAGOGÕA EN EDUCACION DIFERENCIAL</t>
  </si>
  <si>
    <t>PEDAGOGIA EN EDUCACI”N DIFERENCIAL CON M/RETARDO M</t>
  </si>
  <si>
    <t>LIC  EN EDUC. C/M EN CAST. Y PED. EN CASTELLANO</t>
  </si>
  <si>
    <t>FACULTAD DE HISTORIA, GEOGRAFIA Y LETRAS</t>
  </si>
  <si>
    <t>INGENIERIA CIVIL METALURGICA</t>
  </si>
  <si>
    <t>FÕSICA, LICENCIATURA EN CIENCIAS MENCI”N</t>
  </si>
  <si>
    <t>PEDAGOGIA EDUC.MEDIA EN BIOLOGIA Y CIENCIAS NATURA</t>
  </si>
  <si>
    <t>PEDAGOGIA EN CS. NATURALES Y BIOLOGIA</t>
  </si>
  <si>
    <t>INGENIERÕA MEC¡NICA</t>
  </si>
  <si>
    <t>ING DE EJEC EN PREVENCION DE RIESGOS</t>
  </si>
  <si>
    <t>SEDE CONCEPCION</t>
  </si>
  <si>
    <t>INGENIERÕA DE TRANSPORTE</t>
  </si>
  <si>
    <t>OCEAN”GRAFO</t>
  </si>
  <si>
    <t>ING. DE EJEC. EN PREVENCION DE RIESGOS</t>
  </si>
  <si>
    <t>INGENIERIA FISICA</t>
  </si>
  <si>
    <t>PEDAGOGÕA EN MATEM¡TICAS Y/O LICENCIATURA EN MATEM</t>
  </si>
  <si>
    <t>MATEMATICA</t>
  </si>
  <si>
    <t>DISENO GRAFICO</t>
  </si>
  <si>
    <t>INGENIERIA MECANICA</t>
  </si>
  <si>
    <t>LIC. EN ED. Y PED. EN EDUC. DIF. ESPEC. PROBL. DE</t>
  </si>
  <si>
    <t>INGENIERIA CIVIL INFORM¡TICA</t>
  </si>
  <si>
    <t>PEDAGOGIA EN CS. NATURALES Y QUIMICA</t>
  </si>
  <si>
    <t>ING. DE EJEC. MECANICA DE PROCESOS Y MANTEN. INDUS</t>
  </si>
  <si>
    <t>PEDAGOGIA EN ARTES PLASTICAS</t>
  </si>
  <si>
    <t>INGENIERIA EN BIOTECNOLOGIA VEGETAL</t>
  </si>
  <si>
    <t>INGENIERIA EN BIOTECNOLOGIA MARINA Y ACUICULTURA</t>
  </si>
  <si>
    <t>ADM. DE NEGOCIOS INTERNACIONALES</t>
  </si>
  <si>
    <t>INGENIERÕA CIVIL BIOQUÕMICA</t>
  </si>
  <si>
    <t>SOCIOLOGÕA</t>
  </si>
  <si>
    <t>LICENCIATURA EN CIENCIAS SOCIO-ECONOMICAS</t>
  </si>
  <si>
    <t>FONOAUDIOLOGÕA, LIC. EN FONOAUDIOLOGÕA</t>
  </si>
  <si>
    <t>TRADUCCI”N FRANC…S ESPA—OL Y T.U. TURISMO O COMERC</t>
  </si>
  <si>
    <t>PEDAGOGIA EN FILOSOFIA</t>
  </si>
  <si>
    <t>INGENIERÕA CIVIL ELECTR”NICA</t>
  </si>
  <si>
    <t>ODONTOLOGÕA, LIC. EN ODONTOLOGÕA</t>
  </si>
  <si>
    <t>DISE—O VESPERTINO</t>
  </si>
  <si>
    <t>ANTROPOLOGÕA SOCIAL O FÕSICA - ARQUEOLOGÕA, LIC</t>
  </si>
  <si>
    <t>ING.CIVIL INDUSTRIAL M. BIOPROCESOS</t>
  </si>
  <si>
    <t>ING. CIVIL EN OBRAS CIVILES</t>
  </si>
  <si>
    <t>DISE—O DIURNO</t>
  </si>
  <si>
    <t>PEDAGOGIA EN EDUCACION GRAL. BASICA</t>
  </si>
  <si>
    <t>ING. DE EJEC. EN INDUSTRIA</t>
  </si>
  <si>
    <t>ING. CIVIL EN GEOGRAFIA</t>
  </si>
  <si>
    <t>ING. DE EJEC. EN GEOMENSURA</t>
  </si>
  <si>
    <t>ADMINISTRACI”N P⁄BLICA LIC EN CS POLÕTICAS Y GUBER</t>
  </si>
  <si>
    <t>CINE Y TELEVISI”N</t>
  </si>
  <si>
    <t>INGENIERIA EN COMERCIO INTERNACIONAL</t>
  </si>
  <si>
    <t>LENGUA Y LITERATURA INGLESAS, LIC. EN</t>
  </si>
  <si>
    <t>LETRAS  MENCI”N EN LINGUÕSTICA  Y LITERATURA INGLE</t>
  </si>
  <si>
    <t>INTERPRETACI”N O TRADUCCI”N (INGLES-ESPA—OL)</t>
  </si>
  <si>
    <t>PEDAGOGÕA EN MATEM¡TICA PARA E. MEDIA</t>
  </si>
  <si>
    <t>DISE—O</t>
  </si>
  <si>
    <t>ARICA</t>
  </si>
  <si>
    <t>HISTORIA Y GEOGRAFÕA INGRESO COMUN</t>
  </si>
  <si>
    <t>ADMINISTRACION PUBLICA</t>
  </si>
  <si>
    <t>PED. EN EDUCACION FISICA</t>
  </si>
  <si>
    <t>PEDAGOGIA EN BIOLOGIA Y CS NATURALES</t>
  </si>
  <si>
    <t>PEDAGOGÕA EN BIOLOGÕA Y CIENCIAS,  LICENCIATURA EN</t>
  </si>
  <si>
    <t>QUIMICO LABORATORISTA</t>
  </si>
  <si>
    <t>DISE—O EN COMUNICACI”N VISUAL</t>
  </si>
  <si>
    <t>OBSTETRICIA Y PUERICULTURA, LIC. EN</t>
  </si>
  <si>
    <t>PEDAGOGIA EN INGLES</t>
  </si>
  <si>
    <t>TECN. UNIVERSITARIO EN ELECTRICIDAD</t>
  </si>
  <si>
    <t>TECN. UNIVERSITARIO EN MECANICA INDUSTRIAL</t>
  </si>
  <si>
    <t>PEDAGOGÕA EN INGL…S, LICENCIATURA EN EDUCACI”N</t>
  </si>
  <si>
    <t>ING DE EJEC EN COMP. E INFORM</t>
  </si>
  <si>
    <t>INGENIERÕA CIVIL  EN INFORM¡TICA</t>
  </si>
  <si>
    <t>INGENIERIA CIVIL EN TELECOMUNICACIONES</t>
  </si>
  <si>
    <t>CURICO</t>
  </si>
  <si>
    <t>FILOSOFIA, LICENCIATURA EN</t>
  </si>
  <si>
    <t>PEDAGOGIA EN MATEMATICA Y COMPUTACION</t>
  </si>
  <si>
    <t>DISE—O TEATRAL, LICENCIATURA EN ARTES MEN/</t>
  </si>
  <si>
    <t>BIOTECNOLOGÕA MOLECULAR,  INGENIERÕA EN BIOTECNOLO</t>
  </si>
  <si>
    <t>SOCIOLOGÕA, LIC. EN SOCIOLOGÕA</t>
  </si>
  <si>
    <t>INGENIERÕA DE EJECUCI”N EN INFORM¡TICA</t>
  </si>
  <si>
    <t>PEDAGOGIA MEDIA CC.NN. Y BIOLOGIA</t>
  </si>
  <si>
    <t>INGENIERIA AGROINDUSTRIAL</t>
  </si>
  <si>
    <t>PEDAGOGIA EN EDUCACION FISICA (VARONES)</t>
  </si>
  <si>
    <t>PEDAGOGÕA EN INGL…S PARA ENSE—ANZA B¡SICA Y MEDIA</t>
  </si>
  <si>
    <t>BACHILLERATO EN CIENCIAS Y HUMANIDADES</t>
  </si>
  <si>
    <t>BACHILLERATO INGRESO COM⁄N</t>
  </si>
  <si>
    <t>GEOFISICA</t>
  </si>
  <si>
    <t>TECNOLOGO EN ALIMENTOS (VESP)</t>
  </si>
  <si>
    <t>ADMINISTRADOR TURISTICO</t>
  </si>
  <si>
    <t>INGENIERÕA DE LA MADERA, LIC. EN CS DE MADERA</t>
  </si>
  <si>
    <t>INGENIERIA DE ALIMENTOS</t>
  </si>
  <si>
    <t>KINESIOLOGÕA, LIC. EN KINESIOLOGÕA</t>
  </si>
  <si>
    <t>PEDAGOGIA EN EDUC FISICA - DAMAS</t>
  </si>
  <si>
    <t>PEDAGOGÕA EN EDUCACI”N FÕSICA (DAMAS), LICENCIATUR</t>
  </si>
  <si>
    <t>LIC. EN EDUC. Y PED. EN EDUC. FÕSICA , DEP. Y REC.</t>
  </si>
  <si>
    <t>LICENCIATURA EN CIENCIAS DE LA ACTIVIDAD FISICA</t>
  </si>
  <si>
    <t>INGENIERIA EN DISENO DE PRODUCTOS</t>
  </si>
  <si>
    <t>BI”LOGO</t>
  </si>
  <si>
    <t>ING. CIVIL EN ELECTRICIDAD</t>
  </si>
  <si>
    <t>PEDAGOGIA EDUCACI”N GENERAL B¡SICA  M/ CASTELLANO</t>
  </si>
  <si>
    <t>PEDAGOGÕA EN FILOSOFÕA Y/O LICENCIATURA EN FILOSOF</t>
  </si>
  <si>
    <t>ASTRONOMÕA</t>
  </si>
  <si>
    <t>LIC EN ED C/M EN HIST. O  GEO Y PED EN HIST, GEO.Y</t>
  </si>
  <si>
    <t>LICENCIATURA EN EDUCACION EN HISTORIA Y CIENCIAS S</t>
  </si>
  <si>
    <t>LIC.  EN  EDUC. Y PED. EN ED. GRAL. BASICA (SANTIA</t>
  </si>
  <si>
    <t>KINESIOLOGÕA, LICENCIATURA EN KINESIOLOGÕA</t>
  </si>
  <si>
    <t>PEDAGOGÕA EN EDUCACI”N FÕSICA</t>
  </si>
  <si>
    <t>FACULTAD DE CIENCIAS ECONOMICAS Y JURIDICAS</t>
  </si>
  <si>
    <t>EDUCACION BASICA</t>
  </si>
  <si>
    <t>QUÕMICO INDUSTRIAL</t>
  </si>
  <si>
    <t>INGENIERÕA CIVIL INDUSTRIAL M/ SISTEMAS DE GESTION</t>
  </si>
  <si>
    <t>MATEM¡TICA Y ESTADÕSTICA</t>
  </si>
  <si>
    <t>BIOLOGIA EN GESTION REC NATURALES</t>
  </si>
  <si>
    <t>LIC. EN ED. Y PED. EN ED. DIF. ESPEC. RET. MENTAL</t>
  </si>
  <si>
    <t>EDUC PARV Y PSICOPEDAGOGIA</t>
  </si>
  <si>
    <t>ARTES PL¡STICAS, LICENCIATURA EN ARTES MEN/</t>
  </si>
  <si>
    <t>PEDAGOGÕA EN BIOLOGÕA Y CIENCIAS NATURALES</t>
  </si>
  <si>
    <t>PEDAGOGIA EN ESPA—OL</t>
  </si>
  <si>
    <t>INGENIERIA ESTADISTICA</t>
  </si>
  <si>
    <t>INGENIERIA BIOMEDICA</t>
  </si>
  <si>
    <t>SOCIOLOGÕA, LICENCIATURA EN SOCIOLOGÕA</t>
  </si>
  <si>
    <t>”PTICO</t>
  </si>
  <si>
    <t>INGENIERIA CIVIL AEROESPACIAL</t>
  </si>
  <si>
    <t>DISE—O, LICENCIATURA EN DISE—O CON MENCIONES</t>
  </si>
  <si>
    <t>PEDAG. EN MATEMATICA Y EDUCACION TECNOLOGICA</t>
  </si>
  <si>
    <t>LOS ANGELES</t>
  </si>
  <si>
    <t>ING. CIVIL EN MINAS</t>
  </si>
  <si>
    <t>ING.CIVIL EN INFORMATICA</t>
  </si>
  <si>
    <t>LICENCIATURA EN QUIMICA - QUIMICO</t>
  </si>
  <si>
    <t>CONT PUBL Y AUD M/TECN INF M/CONT DE GEST M/GES TR</t>
  </si>
  <si>
    <t>TECNOLOGÕA MEDICA CON MENCI”N - LIC.</t>
  </si>
  <si>
    <t>BIOQUIMICA Y LIC.  EN BIOQUIMICA</t>
  </si>
  <si>
    <t>ING. CIVIL EN METALURGIA</t>
  </si>
  <si>
    <t>REGION</t>
  </si>
  <si>
    <t>RM</t>
  </si>
  <si>
    <t>Legend</t>
  </si>
  <si>
    <t>Identifier of each student</t>
  </si>
  <si>
    <t>Preference in which the student applied to that major.</t>
  </si>
  <si>
    <t>Identifier of each major</t>
  </si>
  <si>
    <t>Weigthed score of the student for that major</t>
  </si>
  <si>
    <t>Name of the university</t>
  </si>
  <si>
    <t>Location of the university</t>
  </si>
  <si>
    <t xml:space="preserve">Identifier of each region. </t>
  </si>
  <si>
    <t>Important: regions go from 1 to 12, with 1 the northest and 12 the southest. There is an additional region, RM, that refers to the capital (Santiago), which is in the middle of the country.</t>
  </si>
  <si>
    <t>Score of the last applicant admitted to that major</t>
  </si>
  <si>
    <t>Score related to high-school grades</t>
  </si>
  <si>
    <t>Score in Verbal</t>
  </si>
  <si>
    <t>Score in Math</t>
  </si>
  <si>
    <t>Score in History</t>
  </si>
  <si>
    <t>Score in Science</t>
  </si>
  <si>
    <t>Seats available</t>
  </si>
  <si>
    <t>Status of application; =24 if the student is admitted, =25 if application is valid, and other numbers otherwise.</t>
  </si>
  <si>
    <t>GENDER</t>
  </si>
  <si>
    <t>HST</t>
  </si>
  <si>
    <t>DOB</t>
  </si>
  <si>
    <t>FAMILY SIZE</t>
  </si>
  <si>
    <t>HOW MANY WORK IN YOUR FAMILY</t>
  </si>
  <si>
    <t>INCOME LEVEL</t>
  </si>
  <si>
    <t>LEVEL EDUCATION FATHER</t>
  </si>
  <si>
    <t>LEVEL EDUCATION MOTHER</t>
  </si>
  <si>
    <t>Total monthly income</t>
  </si>
  <si>
    <t>Catefgory</t>
  </si>
  <si>
    <t>Lower value</t>
  </si>
  <si>
    <t>Upper Value</t>
  </si>
  <si>
    <t>Median</t>
  </si>
  <si>
    <t>more</t>
  </si>
  <si>
    <t>Monthly income per family member</t>
  </si>
  <si>
    <t>DOB - Fixed</t>
  </si>
  <si>
    <t>AGE</t>
  </si>
  <si>
    <t>Column Labels</t>
  </si>
  <si>
    <t>Grand Total</t>
  </si>
  <si>
    <t>Row Labels</t>
  </si>
  <si>
    <t>Average of Monthly income per family member</t>
  </si>
  <si>
    <t>Average of NEM</t>
  </si>
  <si>
    <t>AVG MATH-LYC</t>
  </si>
  <si>
    <t>Average of AVG MATH-LYC</t>
  </si>
  <si>
    <t>EDUCATION MOTHER</t>
  </si>
  <si>
    <t>EDUCATION  FATHER</t>
  </si>
  <si>
    <t>MOTHER</t>
  </si>
  <si>
    <t>FATHER</t>
  </si>
  <si>
    <t>INCOME</t>
  </si>
  <si>
    <t>Average of LYC</t>
  </si>
  <si>
    <t>Average of MATE</t>
  </si>
  <si>
    <t>Average of HYCS</t>
  </si>
  <si>
    <t>Average of CIEN</t>
  </si>
  <si>
    <t>Count of MRUN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</si>
</sst>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0" applyFon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5</xdr:row>
      <xdr:rowOff>38100</xdr:rowOff>
    </xdr:from>
    <xdr:to>
      <xdr:col>10</xdr:col>
      <xdr:colOff>406400</xdr:colOff>
      <xdr:row>19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D2DFD9-BB73-F489-882A-F3686DAD5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34200" y="1054100"/>
          <a:ext cx="2882900" cy="2819400"/>
        </a:xfrm>
        <a:prstGeom prst="rect">
          <a:avLst/>
        </a:prstGeom>
      </xdr:spPr>
    </xdr:pic>
    <xdr:clientData/>
  </xdr:twoCellAnchor>
  <xdr:twoCellAnchor editAs="oneCell">
    <xdr:from>
      <xdr:col>6</xdr:col>
      <xdr:colOff>800100</xdr:colOff>
      <xdr:row>21</xdr:row>
      <xdr:rowOff>177800</xdr:rowOff>
    </xdr:from>
    <xdr:to>
      <xdr:col>10</xdr:col>
      <xdr:colOff>393700</xdr:colOff>
      <xdr:row>35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2C71B4-EFE6-7D4C-90DC-1D208945C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08800" y="4445000"/>
          <a:ext cx="2895600" cy="27051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972.747144675923" createdVersion="8" refreshedVersion="8" minRefreshableVersion="3" recordCount="2088" xr:uid="{AA74B128-2899-064E-9C6B-D278889D861F}">
  <cacheSource type="worksheet">
    <worksheetSource name="Demographics"/>
  </cacheSource>
  <cacheFields count="11">
    <cacheField name="MRUN" numFmtId="0">
      <sharedItems containsSemiMixedTypes="0" containsString="0" containsNumber="1" containsInteger="1" minValue="17271" maxValue="24970245"/>
    </cacheField>
    <cacheField name="DOB" numFmtId="0">
      <sharedItems containsSemiMixedTypes="0" containsString="0" containsNumber="1" containsInteger="1" minValue="0" maxValue="31121988"/>
    </cacheField>
    <cacheField name="FAMILY SIZE" numFmtId="0">
      <sharedItems containsSemiMixedTypes="0" containsString="0" containsNumber="1" containsInteger="1" minValue="0" maxValue="13"/>
    </cacheField>
    <cacheField name="HOW MANY WORK IN YOUR FAMILY" numFmtId="0">
      <sharedItems containsSemiMixedTypes="0" containsString="0" containsNumber="1" containsInteger="1" minValue="0" maxValue="6"/>
    </cacheField>
    <cacheField name="INCOME LEVEL" numFmtId="0">
      <sharedItems containsSemiMixedTypes="0" containsString="0" containsNumber="1" containsInteger="1" minValue="0" maxValue="6"/>
    </cacheField>
    <cacheField name="LEVEL EDUCATION FATHER" numFmtId="0">
      <sharedItems containsSemiMixedTypes="0" containsString="0" containsNumber="1" containsInteger="1" minValue="0" maxValue="10" count="11">
        <n v="3"/>
        <n v="2"/>
        <n v="9"/>
        <n v="1"/>
        <n v="0"/>
        <n v="4"/>
        <n v="10"/>
        <n v="5"/>
        <n v="7"/>
        <n v="8"/>
        <n v="6"/>
      </sharedItems>
    </cacheField>
    <cacheField name="LEVEL EDUCATION MOTHER" numFmtId="0">
      <sharedItems containsSemiMixedTypes="0" containsString="0" containsNumber="1" containsInteger="1" minValue="0" maxValue="10" count="11">
        <n v="3"/>
        <n v="4"/>
        <n v="2"/>
        <n v="5"/>
        <n v="1"/>
        <n v="0"/>
        <n v="10"/>
        <n v="9"/>
        <n v="6"/>
        <n v="8"/>
        <n v="7"/>
      </sharedItems>
    </cacheField>
    <cacheField name="DOB - Fixed" numFmtId="0">
      <sharedItems/>
    </cacheField>
    <cacheField name="AGE" numFmtId="2">
      <sharedItems containsSemiMixedTypes="0" containsString="0" containsNumber="1" minValue="0" maxValue="62.317808219178083"/>
    </cacheField>
    <cacheField name="Total monthly income" numFmtId="0">
      <sharedItems containsMixedTypes="1" containsNumber="1" minValue="175" maxValue="4000"/>
    </cacheField>
    <cacheField name="Monthly income per family member" numFmtId="0">
      <sharedItems containsSemiMixedTypes="0" containsString="0" containsNumber="1" minValue="0" maxValue="10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972.754898611114" createdVersion="8" refreshedVersion="8" minRefreshableVersion="3" recordCount="2088" xr:uid="{AA4ABCAC-92FE-494C-9B27-8AA3BFFE29A2}">
  <cacheSource type="worksheet">
    <worksheetSource name="Scores"/>
  </cacheSource>
  <cacheFields count="13">
    <cacheField name="MRUN" numFmtId="0">
      <sharedItems containsSemiMixedTypes="0" containsString="0" containsNumber="1" containsInteger="1" minValue="17271" maxValue="24970245" count="2088">
        <n v="6359918"/>
        <n v="19942312"/>
        <n v="2329184"/>
        <n v="11339507"/>
        <n v="14990773"/>
        <n v="6997586"/>
        <n v="18732301"/>
        <n v="13328516"/>
        <n v="1297686"/>
        <n v="20711393"/>
        <n v="6669917"/>
        <n v="13390415"/>
        <n v="5099564"/>
        <n v="22722846"/>
        <n v="14076904"/>
        <n v="14944702"/>
        <n v="1430656"/>
        <n v="14879454"/>
        <n v="21174269"/>
        <n v="2065956"/>
        <n v="4720393"/>
        <n v="15616310"/>
        <n v="3687329"/>
        <n v="6718065"/>
        <n v="5450980"/>
        <n v="16716758"/>
        <n v="23807658"/>
        <n v="7312986"/>
        <n v="8077404"/>
        <n v="12386605"/>
        <n v="11419632"/>
        <n v="12475183"/>
        <n v="21980852"/>
        <n v="18679782"/>
        <n v="8157767"/>
        <n v="9144043"/>
        <n v="63805"/>
        <n v="23029485"/>
        <n v="12804712"/>
        <n v="7425182"/>
        <n v="11129989"/>
        <n v="2399438"/>
        <n v="2892668"/>
        <n v="19346989"/>
        <n v="575075"/>
        <n v="23196334"/>
        <n v="23896044"/>
        <n v="20332402"/>
        <n v="948797"/>
        <n v="16582019"/>
        <n v="16760001"/>
        <n v="15339515"/>
        <n v="4074944"/>
        <n v="18006089"/>
        <n v="7859595"/>
        <n v="2708923"/>
        <n v="7127111"/>
        <n v="13030210"/>
        <n v="11428426"/>
        <n v="19337736"/>
        <n v="22456752"/>
        <n v="14979665"/>
        <n v="19251867"/>
        <n v="1656022"/>
        <n v="13118274"/>
        <n v="21160358"/>
        <n v="17855163"/>
        <n v="10204448"/>
        <n v="13510261"/>
        <n v="17146984"/>
        <n v="2294820"/>
        <n v="708274"/>
        <n v="24553936"/>
        <n v="6857774"/>
        <n v="1258248"/>
        <n v="14176730"/>
        <n v="19577128"/>
        <n v="4652099"/>
        <n v="20057776"/>
        <n v="22528932"/>
        <n v="16580423"/>
        <n v="19699552"/>
        <n v="17044660"/>
        <n v="21374481"/>
        <n v="19890446"/>
        <n v="18375696"/>
        <n v="8653894"/>
        <n v="4278352"/>
        <n v="17271"/>
        <n v="10989095"/>
        <n v="10084270"/>
        <n v="16581673"/>
        <n v="3438133"/>
        <n v="2766647"/>
        <n v="9232487"/>
        <n v="11902970"/>
        <n v="22925996"/>
        <n v="11409904"/>
        <n v="3686004"/>
        <n v="19135863"/>
        <n v="6370953"/>
        <n v="15550542"/>
        <n v="2214889"/>
        <n v="16201928"/>
        <n v="24645692"/>
        <n v="11930167"/>
        <n v="1146554"/>
        <n v="4541506"/>
        <n v="5508773"/>
        <n v="6576932"/>
        <n v="195961"/>
        <n v="6418505"/>
        <n v="7648323"/>
        <n v="19495326"/>
        <n v="3626946"/>
        <n v="7315945"/>
        <n v="8934054"/>
        <n v="7764957"/>
        <n v="22775546"/>
        <n v="7057293"/>
        <n v="113800"/>
        <n v="9888750"/>
        <n v="19501809"/>
        <n v="8046346"/>
        <n v="18529126"/>
        <n v="22059075"/>
        <n v="19200896"/>
        <n v="24832343"/>
        <n v="7227082"/>
        <n v="21434767"/>
        <n v="16987198"/>
        <n v="15632579"/>
        <n v="15833735"/>
        <n v="3652937"/>
        <n v="17869894"/>
        <n v="15215327"/>
        <n v="6513067"/>
        <n v="7494989"/>
        <n v="6759394"/>
        <n v="22809216"/>
        <n v="13729791"/>
        <n v="15344500"/>
        <n v="22369018"/>
        <n v="2543888"/>
        <n v="14883448"/>
        <n v="5372237"/>
        <n v="7940938"/>
        <n v="10304598"/>
        <n v="15908255"/>
        <n v="9238949"/>
        <n v="8488131"/>
        <n v="8482121"/>
        <n v="13907007"/>
        <n v="23043294"/>
        <n v="2850425"/>
        <n v="12580130"/>
        <n v="14716081"/>
        <n v="23405829"/>
        <n v="21371049"/>
        <n v="20735790"/>
        <n v="5248480"/>
        <n v="1711896"/>
        <n v="5075078"/>
        <n v="2404829"/>
        <n v="5609400"/>
        <n v="13518835"/>
        <n v="8295038"/>
        <n v="3099476"/>
        <n v="21265253"/>
        <n v="10078446"/>
        <n v="17469613"/>
        <n v="5420511"/>
        <n v="6462211"/>
        <n v="11370228"/>
        <n v="18210590"/>
        <n v="3273665"/>
        <n v="1063700"/>
        <n v="22758666"/>
        <n v="10143125"/>
        <n v="19019407"/>
        <n v="16551557"/>
        <n v="19902743"/>
        <n v="8168789"/>
        <n v="9669667"/>
        <n v="10737679"/>
        <n v="17477129"/>
        <n v="12165691"/>
        <n v="6494043"/>
        <n v="16886595"/>
        <n v="8775596"/>
        <n v="7908865"/>
        <n v="3536619"/>
        <n v="15212167"/>
        <n v="20653791"/>
        <n v="9770938"/>
        <n v="15486019"/>
        <n v="14316974"/>
        <n v="1701842"/>
        <n v="24148776"/>
        <n v="5889598"/>
        <n v="12933634"/>
        <n v="17536652"/>
        <n v="548130"/>
        <n v="14968262"/>
        <n v="11865835"/>
        <n v="19876989"/>
        <n v="10797503"/>
        <n v="20549603"/>
        <n v="1424007"/>
        <n v="18415640"/>
        <n v="2193773"/>
        <n v="11925562"/>
        <n v="8953072"/>
        <n v="12337459"/>
        <n v="20486454"/>
        <n v="11542365"/>
        <n v="2112157"/>
        <n v="474805"/>
        <n v="6328040"/>
        <n v="16575627"/>
        <n v="5582344"/>
        <n v="4262906"/>
        <n v="4039068"/>
        <n v="4496875"/>
        <n v="21918367"/>
        <n v="8380322"/>
        <n v="10718885"/>
        <n v="7678589"/>
        <n v="11808641"/>
        <n v="4432769"/>
        <n v="3899161"/>
        <n v="396348"/>
        <n v="7023654"/>
        <n v="13648500"/>
        <n v="13745379"/>
        <n v="12105560"/>
        <n v="21598174"/>
        <n v="3557563"/>
        <n v="4568255"/>
        <n v="7042176"/>
        <n v="17520052"/>
        <n v="10577647"/>
        <n v="21996391"/>
        <n v="20219440"/>
        <n v="12411841"/>
        <n v="24491280"/>
        <n v="11674541"/>
        <n v="8470086"/>
        <n v="1008803"/>
        <n v="16828767"/>
        <n v="8631916"/>
        <n v="13005559"/>
        <n v="9700075"/>
        <n v="4488949"/>
        <n v="10695009"/>
        <n v="12831243"/>
        <n v="6091641"/>
        <n v="22877088"/>
        <n v="10363644"/>
        <n v="22546353"/>
        <n v="2498249"/>
        <n v="8906478"/>
        <n v="9440674"/>
        <n v="5702616"/>
        <n v="17350274"/>
        <n v="10941980"/>
        <n v="28995"/>
        <n v="19081125"/>
        <n v="1991921"/>
        <n v="15242158"/>
        <n v="490431"/>
        <n v="17479024"/>
        <n v="24855459"/>
        <n v="21032574"/>
        <n v="11318560"/>
        <n v="18895672"/>
        <n v="24135316"/>
        <n v="6714030"/>
        <n v="2238661"/>
        <n v="5278107"/>
        <n v="16824975"/>
        <n v="20564007"/>
        <n v="3041251"/>
        <n v="16391335"/>
        <n v="23435479"/>
        <n v="18961054"/>
        <n v="12119798"/>
        <n v="19162825"/>
        <n v="22166231"/>
        <n v="12277899"/>
        <n v="14947730"/>
        <n v="18685483"/>
        <n v="6937006"/>
        <n v="8539121"/>
        <n v="15684214"/>
        <n v="7038421"/>
        <n v="9607423"/>
        <n v="12496434"/>
        <n v="2883290"/>
        <n v="11327296"/>
        <n v="23711248"/>
        <n v="1381764"/>
        <n v="20406265"/>
        <n v="22889171"/>
        <n v="3764676"/>
        <n v="8469548"/>
        <n v="23524355"/>
        <n v="16047127"/>
        <n v="8902603"/>
        <n v="19048986"/>
        <n v="14344017"/>
        <n v="24490759"/>
        <n v="22456654"/>
        <n v="3230629"/>
        <n v="22383581"/>
        <n v="4674318"/>
        <n v="9727870"/>
        <n v="10261856"/>
        <n v="22545785"/>
        <n v="8558253"/>
        <n v="3881964"/>
        <n v="17996716"/>
        <n v="3060221"/>
        <n v="1558105"/>
        <n v="18879309"/>
        <n v="10463680"/>
        <n v="20756236"/>
        <n v="6972024"/>
        <n v="14982907"/>
        <n v="3986374"/>
        <n v="17871290"/>
        <n v="20441293"/>
        <n v="19372710"/>
        <n v="11896191"/>
        <n v="7724273"/>
        <n v="7190306"/>
        <n v="14824368"/>
        <n v="12255832"/>
        <n v="404913"/>
        <n v="24235941"/>
        <n v="7982963"/>
        <n v="1573930"/>
        <n v="9051361"/>
        <n v="10451190"/>
        <n v="9585400"/>
        <n v="8416044"/>
        <n v="21560498"/>
        <n v="24561535"/>
        <n v="15685252"/>
        <n v="20492714"/>
        <n v="17720601"/>
        <n v="14083682"/>
        <n v="19857415"/>
        <n v="14099415"/>
        <n v="19439895"/>
        <n v="9826774"/>
        <n v="11862148"/>
        <n v="3519809"/>
        <n v="2350022"/>
        <n v="8224713"/>
        <n v="9652857"/>
        <n v="3576511"/>
        <n v="17460538"/>
        <n v="14256652"/>
        <n v="20131530"/>
        <n v="17561584"/>
        <n v="4845782"/>
        <n v="20232565"/>
        <n v="21733379"/>
        <n v="14373512"/>
        <n v="6778744"/>
        <n v="24798351"/>
        <n v="8173311"/>
        <n v="16502131"/>
        <n v="11028389"/>
        <n v="18131096"/>
        <n v="7017942"/>
        <n v="13672790"/>
        <n v="11476182"/>
        <n v="19965055"/>
        <n v="8681573"/>
        <n v="10298890"/>
        <n v="1534573"/>
        <n v="17889597"/>
        <n v="17085189"/>
        <n v="17482758"/>
        <n v="18117862"/>
        <n v="19838513"/>
        <n v="1578160"/>
        <n v="23347301"/>
        <n v="22733736"/>
        <n v="87383"/>
        <n v="14991864"/>
        <n v="22932070"/>
        <n v="1929648"/>
        <n v="3411838"/>
        <n v="12396664"/>
        <n v="2061889"/>
        <n v="18534395"/>
        <n v="2728766"/>
        <n v="19774372"/>
        <n v="3898078"/>
        <n v="24191890"/>
        <n v="12154705"/>
        <n v="23268918"/>
        <n v="6697708"/>
        <n v="9667801"/>
        <n v="23654518"/>
        <n v="13940207"/>
        <n v="2826423"/>
        <n v="20984642"/>
        <n v="23120773"/>
        <n v="18414329"/>
        <n v="10938244"/>
        <n v="10837293"/>
        <n v="13940206"/>
        <n v="16638796"/>
        <n v="8094033"/>
        <n v="8830299"/>
        <n v="15671778"/>
        <n v="21445667"/>
        <n v="12034820"/>
        <n v="5092164"/>
        <n v="5771331"/>
        <n v="22962178"/>
        <n v="12079013"/>
        <n v="20825930"/>
        <n v="1700581"/>
        <n v="2769406"/>
        <n v="23827691"/>
        <n v="632544"/>
        <n v="3736360"/>
        <n v="16884793"/>
        <n v="4905339"/>
        <n v="11155476"/>
        <n v="21302151"/>
        <n v="5815079"/>
        <n v="20768354"/>
        <n v="12122609"/>
        <n v="10086897"/>
        <n v="19165695"/>
        <n v="5280960"/>
        <n v="4111958"/>
        <n v="21735177"/>
        <n v="14359473"/>
        <n v="14258463"/>
        <n v="15859832"/>
        <n v="17029329"/>
        <n v="23236837"/>
        <n v="1441219"/>
        <n v="6984147"/>
        <n v="13825231"/>
        <n v="9553289"/>
        <n v="17563422"/>
        <n v="6450531"/>
        <n v="24766346"/>
        <n v="20494543"/>
        <n v="1700025"/>
        <n v="9177839"/>
        <n v="24563328"/>
        <n v="20291421"/>
        <n v="733576"/>
        <n v="15687081"/>
        <n v="24131058"/>
        <n v="23698352"/>
        <n v="13017198"/>
        <n v="2768843"/>
        <n v="6507548"/>
        <n v="12483560"/>
        <n v="21995492"/>
        <n v="2870353"/>
        <n v="20393286"/>
        <n v="1165986"/>
        <n v="9278998"/>
        <n v="10779793"/>
        <n v="9379818"/>
        <n v="8210724"/>
        <n v="8643546"/>
        <n v="10346838"/>
        <n v="18256147"/>
        <n v="19222784"/>
        <n v="1267611"/>
        <n v="16654238"/>
        <n v="8845583"/>
        <n v="8109435"/>
        <n v="3319062"/>
        <n v="15269494"/>
        <n v="16337601"/>
        <n v="749447"/>
        <n v="23180259"/>
        <n v="20510293"/>
        <n v="12499342"/>
        <n v="1817513"/>
        <n v="23079148"/>
        <n v="18272016"/>
        <n v="19340520"/>
        <n v="16236963"/>
        <n v="20943070"/>
        <n v="5455224"/>
        <n v="2784775"/>
        <n v="16337600"/>
        <n v="5022106"/>
        <n v="9828646"/>
        <n v="7793186"/>
        <n v="16771283"/>
        <n v="19976205"/>
        <n v="8226577"/>
        <n v="4386656"/>
        <n v="7158261"/>
        <n v="18272017"/>
        <n v="1731941"/>
        <n v="2266328"/>
        <n v="1197931"/>
        <n v="20120829"/>
        <n v="2598038"/>
        <n v="23324817"/>
        <n v="7073039"/>
        <n v="10175920"/>
        <n v="3767574"/>
        <n v="7060411"/>
        <n v="5227390"/>
        <n v="15001562"/>
        <n v="12534149"/>
        <n v="3455649"/>
        <n v="250308"/>
        <n v="21612966"/>
        <n v="7523946"/>
        <n v="11465521"/>
        <n v="9126719"/>
        <n v="24731336"/>
        <n v="8333367"/>
        <n v="14207749"/>
        <n v="4932811"/>
        <n v="2176575"/>
        <n v="23539344"/>
        <n v="18834158"/>
        <n v="20004027"/>
        <n v="17525049"/>
        <n v="511371"/>
        <n v="5217612"/>
        <n v="12059356"/>
        <n v="21138170"/>
        <n v="15263016"/>
        <n v="21339985"/>
        <n v="18567681"/>
        <n v="5031459"/>
        <n v="3963624"/>
        <n v="20418494"/>
        <n v="23622229"/>
        <n v="878415"/>
        <n v="10399630"/>
        <n v="4167382"/>
        <n v="8862940"/>
        <n v="16254368"/>
        <n v="7109619"/>
        <n v="22129413"/>
        <n v="18987693"/>
        <n v="11081520"/>
        <n v="17145855"/>
        <n v="21961882"/>
        <n v="9119038"/>
        <n v="23787431"/>
        <n v="18651451"/>
        <n v="17656279"/>
        <n v="7824638"/>
        <n v="20314408"/>
        <n v="23724430"/>
        <n v="3329433"/>
        <n v="9582165"/>
        <n v="7000538"/>
        <n v="1501418"/>
        <n v="24842556"/>
        <n v="10818080"/>
        <n v="916889"/>
        <n v="23943663"/>
        <n v="546257"/>
        <n v="14311837"/>
        <n v="13101366"/>
        <n v="18084157"/>
        <n v="10522603"/>
        <n v="9224217"/>
        <n v="9021191"/>
        <n v="3899609"/>
        <n v="9240104"/>
        <n v="24872461"/>
        <n v="8957662"/>
        <n v="15558793"/>
        <n v="4668757"/>
        <n v="21641541"/>
        <n v="5871701"/>
        <n v="3126076"/>
        <n v="22150271"/>
        <n v="5502662"/>
        <n v="12590396"/>
        <n v="309028"/>
        <n v="13976836"/>
        <n v="24369440"/>
        <n v="8060721"/>
        <n v="15997992"/>
        <n v="19450167"/>
        <n v="7760164"/>
        <n v="12152305"/>
        <n v="13816743"/>
        <n v="10675668"/>
        <n v="9898566"/>
        <n v="16756345"/>
        <n v="20292229"/>
        <n v="5007103"/>
        <n v="21894375"/>
        <n v="24665890"/>
        <n v="1268386"/>
        <n v="23165283"/>
        <n v="19223586"/>
        <n v="18689156"/>
        <n v="16018912"/>
        <n v="10347634"/>
        <n v="20927973"/>
        <n v="1700820"/>
        <n v="1369636"/>
        <n v="17087370"/>
        <n v="21029111"/>
        <n v="3405488"/>
        <n v="10881934"/>
        <n v="15052997"/>
        <n v="11315092"/>
        <n v="2336791"/>
        <n v="2438113"/>
        <n v="18892216"/>
        <n v="7677181"/>
        <n v="16018913"/>
        <n v="14086301"/>
        <n v="4040346"/>
        <n v="835598"/>
        <n v="6536800"/>
        <n v="22024746"/>
        <n v="2798180"/>
        <n v="7705599"/>
        <n v="5901236"/>
        <n v="19989573"/>
        <n v="4501454"/>
        <n v="21922953"/>
        <n v="22457028"/>
        <n v="4832546"/>
        <n v="14114604"/>
        <n v="15081516"/>
        <n v="6104097"/>
        <n v="12945241"/>
        <n v="4501453"/>
        <n v="4400045"/>
        <n v="20854690"/>
        <n v="2365334"/>
        <n v="21057431"/>
        <n v="8037141"/>
        <n v="13911838"/>
        <n v="6810717"/>
        <n v="20695830"/>
        <n v="21763880"/>
        <n v="18458053"/>
        <n v="5208587"/>
        <n v="10115646"/>
        <n v="15787833"/>
        <n v="11516392"/>
        <n v="22731662"/>
        <n v="23899868"/>
        <n v="24766603"/>
        <n v="17390334"/>
        <n v="2538233"/>
        <n v="2104689"/>
        <n v="300815"/>
        <n v="14820966"/>
        <n v="22197505"/>
        <n v="1369103"/>
        <n v="6276977"/>
        <n v="21129190"/>
        <n v="23899867"/>
        <n v="8311872"/>
        <n v="21562583"/>
        <n v="12296938"/>
        <n v="9193888"/>
        <n v="14966675"/>
        <n v="19875380"/>
        <n v="10362918"/>
        <n v="1817765"/>
        <n v="22545624"/>
        <n v="16136082"/>
        <n v="3521901"/>
        <n v="19976460"/>
        <n v="21375379"/>
        <n v="19442006"/>
        <n v="23613152"/>
        <n v="14966674"/>
        <n v="13567305"/>
        <n v="16136083"/>
        <n v="13466110"/>
        <n v="14432861"/>
        <n v="18373262"/>
        <n v="17636767"/>
        <n v="7057347"/>
        <n v="7186958"/>
        <n v="17131247"/>
        <n v="6119420"/>
        <n v="21505786"/>
        <n v="22574197"/>
        <n v="14995258"/>
        <n v="1744785"/>
        <n v="6450773"/>
        <n v="142513"/>
        <n v="6653389"/>
        <n v="21404000"/>
        <n v="23006367"/>
        <n v="11358810"/>
        <n v="17767171"/>
        <n v="17665344"/>
        <n v="5916596"/>
        <n v="14129791"/>
        <n v="9323502"/>
        <n v="3246330"/>
        <n v="778202"/>
        <n v="11993799"/>
        <n v="4516735"/>
        <n v="11257333"/>
        <n v="18300819"/>
        <n v="8688144"/>
        <n v="20971850"/>
        <n v="7518187"/>
        <n v="6653390"/>
        <n v="8789260"/>
        <n v="17665345"/>
        <n v="7720929"/>
        <n v="14562958"/>
        <n v="20336193"/>
        <n v="20437955"/>
        <n v="3262197"/>
        <n v="21852588"/>
        <n v="19716297"/>
        <n v="24955482"/>
        <n v="15875787"/>
        <n v="4863844"/>
        <n v="10637109"/>
        <n v="16410076"/>
        <n v="21318280"/>
        <n v="2092089"/>
        <n v="10102967"/>
        <n v="23353380"/>
        <n v="18546016"/>
        <n v="1557926"/>
        <n v="16944233"/>
        <n v="9468302"/>
        <n v="17911859"/>
        <n v="15977046"/>
        <n v="2727858"/>
        <n v="3262196"/>
        <n v="1125017"/>
        <n v="21852589"/>
        <n v="8934102"/>
        <n v="23887247"/>
        <n v="11604494"/>
        <n v="9035183"/>
        <n v="5296953"/>
        <n v="4762432"/>
        <n v="2092090"/>
        <n v="7865847"/>
        <n v="19514290"/>
        <n v="24320525"/>
        <n v="1557927"/>
        <n v="23252721"/>
        <n v="13206066"/>
        <n v="3160919"/>
        <n v="10001898"/>
        <n v="10535958"/>
        <n v="13740222"/>
        <n v="590990"/>
        <n v="24522325"/>
        <n v="16511436"/>
        <n v="5195961"/>
        <n v="11070305"/>
        <n v="2642440"/>
        <n v="5211856"/>
        <n v="16629102"/>
        <n v="7016231"/>
        <n v="5312856"/>
        <n v="4879759"/>
        <n v="9051192"/>
        <n v="1039737"/>
        <n v="21767122"/>
        <n v="6482536"/>
        <n v="24538190"/>
        <n v="5414355"/>
        <n v="12255666"/>
        <n v="13221916"/>
        <n v="3710914"/>
        <n v="7448552"/>
        <n v="20165197"/>
        <n v="5948444"/>
        <n v="19630849"/>
        <n v="22301438"/>
        <n v="3610138"/>
        <n v="19834077"/>
        <n v="7982794"/>
        <n v="6813961"/>
        <n v="12688174"/>
        <n v="15560793"/>
        <n v="2541492"/>
        <n v="24437007"/>
        <n v="19096300"/>
        <n v="4879760"/>
        <n v="606862"/>
        <n v="21334175"/>
        <n v="6482535"/>
        <n v="5414354"/>
        <n v="18028184"/>
        <n v="20266389"/>
        <n v="16960107"/>
        <n v="8949938"/>
        <n v="9484158"/>
        <n v="8618529"/>
        <n v="20699062"/>
        <n v="18231041"/>
        <n v="18561930"/>
        <n v="10220593"/>
        <n v="16425967"/>
        <n v="5847010"/>
        <n v="4778313"/>
        <n v="19732221"/>
        <n v="10754756"/>
        <n v="10017777"/>
        <n v="16527339"/>
        <n v="22402619"/>
        <n v="3610139"/>
        <n v="11086196"/>
        <n v="6813962"/>
        <n v="12688175"/>
        <n v="12890932"/>
        <n v="8343410"/>
        <n v="4071425"/>
        <n v="1934706"/>
        <n v="24798265"/>
        <n v="7275189"/>
        <n v="20959286"/>
        <n v="9844777"/>
        <n v="12948005"/>
        <n v="23629126"/>
        <n v="22027512"/>
        <n v="14217833"/>
        <n v="5139343"/>
        <n v="14651360"/>
        <n v="14550429"/>
        <n v="1198161"/>
        <n v="2800967"/>
        <n v="23527554"/>
        <n v="14751867"/>
        <n v="12615919"/>
        <n v="8776775"/>
        <n v="13583136"/>
        <n v="6207812"/>
        <n v="4071424"/>
        <n v="24061501"/>
        <n v="7275188"/>
        <n v="3970506"/>
        <n v="20959285"/>
        <n v="3003510"/>
        <n v="8877352"/>
        <n v="15718862"/>
        <n v="10378755"/>
        <n v="8141441"/>
        <n v="12948006"/>
        <n v="3869206"/>
        <n v="1833741"/>
        <n v="17855433"/>
        <n v="23629127"/>
        <n v="3537779"/>
        <n v="3989596"/>
        <n v="14218310"/>
        <n v="3158145"/>
        <n v="24238446"/>
        <n v="18828347"/>
        <n v="4594711"/>
        <n v="10801449"/>
        <n v="21583751"/>
        <n v="1393624"/>
        <n v="21184548"/>
        <n v="18570568"/>
        <n v="8854492"/>
        <n v="20983200"/>
        <n v="2306610"/>
        <n v="12092859"/>
        <n v="3390702"/>
        <n v="1253583"/>
        <n v="8730710"/>
        <n v="21446986"/>
        <n v="4559222"/>
        <n v="17606455"/>
        <n v="2957586"/>
        <n v="20811313"/>
        <n v="719532"/>
        <n v="5425361"/>
        <n v="14936466"/>
        <n v="4025506"/>
        <n v="286547"/>
        <n v="14402547"/>
        <n v="820771"/>
        <n v="4992314"/>
        <n v="5959429"/>
        <n v="21446987"/>
        <n v="2220207"/>
        <n v="2957587"/>
        <n v="15139350"/>
        <n v="21345115"/>
        <n v="22963451"/>
        <n v="5441175"/>
        <n v="20496344"/>
        <n v="18792062"/>
        <n v="24565150"/>
        <n v="20395081"/>
        <n v="16121769"/>
        <n v="7144307"/>
        <n v="3838991"/>
        <n v="1803436"/>
        <n v="19427793"/>
        <n v="13985999"/>
        <n v="9713445"/>
        <n v="1167797"/>
        <n v="8212542"/>
        <n v="18792063"/>
        <n v="18359104"/>
        <n v="15155103"/>
        <n v="4906616"/>
        <n v="20929005"/>
        <n v="19861037"/>
        <n v="18893252"/>
        <n v="10348661"/>
        <n v="3838990"/>
        <n v="1803435"/>
        <n v="8645355"/>
        <n v="5109324"/>
        <n v="13710296"/>
        <n v="23857285"/>
        <n v="21822391"/>
        <n v="19484426"/>
        <n v="18617230"/>
        <n v="4299753"/>
        <n v="6768217"/>
        <n v="19686130"/>
        <n v="9640647"/>
        <n v="7301763"/>
        <n v="9539256"/>
        <n v="5266917"/>
        <n v="18949937"/>
        <n v="23756804"/>
        <n v="3766110"/>
        <n v="7835892"/>
        <n v="13176187"/>
        <n v="26573"/>
        <n v="24290677"/>
        <n v="20552918"/>
        <n v="13710295"/>
        <n v="19484425"/>
        <n v="5902287"/>
        <n v="19151606"/>
        <n v="22356601"/>
        <n v="12743278"/>
        <n v="15845857"/>
        <n v="13811192"/>
        <n v="23222919"/>
        <n v="3665136"/>
        <n v="2596577"/>
        <n v="14345451"/>
        <n v="13176186"/>
        <n v="24132317"/>
        <n v="23064547"/>
        <n v="11416733"/>
        <n v="20928469"/>
        <n v="18257420"/>
        <n v="20394547"/>
        <n v="6076152"/>
        <n v="11950747"/>
        <n v="18155721"/>
        <n v="16019397"/>
        <n v="3304447"/>
        <n v="21360455"/>
        <n v="2235698"/>
        <n v="8212013"/>
        <n v="8644821"/>
        <n v="10145298"/>
        <n v="7042515"/>
        <n v="16553738"/>
        <n v="7576304"/>
        <n v="23496643"/>
        <n v="16655495"/>
        <n v="10679406"/>
        <n v="14620808"/>
        <n v="4372037"/>
        <n v="24233541"/>
        <n v="4906080"/>
        <n v="11950748"/>
        <n v="16756852"/>
        <n v="16019398"/>
        <n v="24148221"/>
        <n v="7058380"/>
        <n v="11966579"/>
        <n v="23080464"/>
        <n v="14102580"/>
        <n v="22546680"/>
        <n v="20842532"/>
        <n v="2988722"/>
        <n v="9930593"/>
        <n v="23614204"/>
        <n v="14001378"/>
        <n v="9728752"/>
        <n v="7592209"/>
        <n v="5456538"/>
        <n v="10898261"/>
        <n v="24046545"/>
        <n v="21910782"/>
        <n v="23181542"/>
        <n v="21478238"/>
        <n v="10262723"/>
        <n v="216508"/>
        <n v="11966578"/>
        <n v="12933060"/>
        <n v="19977517"/>
        <n v="22647846"/>
        <n v="7159574"/>
        <n v="2887505"/>
        <n v="9728751"/>
        <n v="10796953"/>
        <n v="7693522"/>
        <n v="17840695"/>
        <n v="19065660"/>
        <n v="24940761"/>
        <n v="23439621"/>
        <n v="1976549"/>
        <n v="4113205"/>
        <n v="13191405"/>
        <n v="4848901"/>
        <n v="22704488"/>
        <n v="3781438"/>
        <n v="17897202"/>
        <n v="1644275"/>
        <n v="22371916"/>
        <n v="20235705"/>
        <n v="5181273"/>
        <n v="21202412"/>
        <n v="10088194"/>
        <n v="18430812"/>
        <n v="1543168"/>
        <n v="3146201"/>
        <n v="24305861"/>
        <n v="2077342"/>
        <n v="22804940"/>
        <n v="4646930"/>
        <n v="9987182"/>
        <n v="18648452"/>
        <n v="16079940"/>
        <n v="12342505"/>
        <n v="13944281"/>
        <n v="10002950"/>
        <n v="23787677"/>
        <n v="7535175"/>
        <n v="5832164"/>
        <n v="3797339"/>
        <n v="11274375"/>
        <n v="10205779"/>
        <n v="19717376"/>
        <n v="17046625"/>
        <n v="18013353"/>
        <n v="17580654"/>
        <n v="57779"/>
        <n v="13207120"/>
        <n v="3162002"/>
        <n v="4763519"/>
        <n v="12240785"/>
        <n v="8069513"/>
        <n v="490773"/>
        <n v="7967901"/>
        <n v="21218206"/>
        <n v="3696120"/>
        <n v="19081461"/>
        <n v="6467706"/>
        <n v="12673412"/>
        <n v="20150373"/>
        <n v="1024957"/>
        <n v="12774489"/>
        <n v="22921833"/>
        <n v="2526723"/>
        <n v="11605555"/>
        <n v="24855794"/>
        <n v="13944280"/>
        <n v="3061086"/>
        <n v="8935147"/>
        <n v="9137965"/>
        <n v="14910615"/>
        <n v="23787678"/>
        <n v="5832163"/>
        <n v="12876124"/>
        <n v="11274374"/>
        <n v="57780"/>
        <n v="3595296"/>
        <n v="8502123"/>
        <n v="9469344"/>
        <n v="24956551"/>
        <n v="924241"/>
        <n v="8069512"/>
        <n v="21218207"/>
        <n v="10739894"/>
        <n v="16945282"/>
        <n v="2194347"/>
        <n v="15876835"/>
        <n v="5933567"/>
        <n v="18547067"/>
        <n v="24236811"/>
        <n v="24135630"/>
        <n v="1806217"/>
        <n v="3611203"/>
        <n v="940023"/>
        <n v="15691656"/>
        <n v="1474049"/>
        <n v="22101242"/>
        <n v="12054675"/>
        <n v="3076954"/>
        <n v="21133518"/>
        <n v="9817387"/>
        <n v="16860551"/>
        <n v="2976188"/>
        <n v="305114"/>
        <n v="8416929"/>
        <n v="19964991"/>
        <n v="21566881"/>
        <n v="10986389"/>
        <n v="11420011"/>
        <n v="2441888"/>
        <n v="10885710"/>
        <n v="18996670"/>
        <n v="23803475"/>
        <n v="22735980"/>
        <n v="23067872"/>
        <n v="4577889"/>
        <n v="19329212"/>
        <n v="10351418"/>
        <n v="18794864"/>
        <n v="16124549"/>
        <n v="10452055"/>
        <n v="15258331"/>
        <n v="14190580"/>
        <n v="7882740"/>
        <n v="4144800"/>
        <n v="738180"/>
        <n v="3611204"/>
        <n v="6714352"/>
        <n v="12488127"/>
        <n v="22101241"/>
        <n v="14624064"/>
        <n v="16860552"/>
        <n v="13555855"/>
        <n v="2976187"/>
        <n v="6079426"/>
        <n v="5212915"/>
        <n v="21566880"/>
        <n v="17727003"/>
        <n v="15157873"/>
        <n v="1373419"/>
        <n v="10885709"/>
        <n v="2542544"/>
        <n v="2874937"/>
        <n v="4476709"/>
        <n v="2340594"/>
        <n v="18996671"/>
        <n v="7781918"/>
        <n v="7074302"/>
        <n v="21161670"/>
        <n v="16888761"/>
        <n v="15186165"/>
        <n v="3870236"/>
        <n v="766666"/>
        <n v="8878399"/>
        <n v="5674630"/>
        <n v="6641904"/>
        <n v="6208870"/>
        <n v="17221481"/>
        <n v="1935753"/>
        <n v="9412633"/>
        <n v="5140399"/>
        <n v="18823397"/>
        <n v="21695706"/>
        <n v="10278664"/>
        <n v="24265169"/>
        <n v="13150647"/>
        <n v="5573791"/>
        <n v="10812923"/>
        <n v="9744693"/>
        <n v="9946404"/>
        <n v="24698186"/>
        <n v="8777812"/>
        <n v="14652412"/>
        <n v="11548972"/>
        <n v="7175492"/>
        <n v="20960329"/>
        <n v="11347369"/>
        <n v="9210868"/>
        <n v="16687334"/>
        <n v="22562651"/>
        <n v="4403857"/>
        <n v="4937934"/>
        <n v="12415482"/>
        <n v="9312065"/>
        <n v="15186166"/>
        <n v="3971528"/>
        <n v="14752906"/>
        <n v="19993359"/>
        <n v="3870235"/>
        <n v="8878400"/>
        <n v="17956806"/>
        <n v="6641905"/>
        <n v="11448363"/>
        <n v="13684744"/>
        <n v="2369132"/>
        <n v="1935754"/>
        <n v="16354614"/>
        <n v="22663743"/>
        <n v="2903436"/>
        <n v="17322386"/>
        <n v="6006608"/>
        <n v="5573790"/>
        <n v="10812924"/>
        <n v="9744694"/>
        <n v="24698185"/>
        <n v="15719917"/>
        <n v="21494192"/>
        <n v="15820390"/>
        <n v="22028550"/>
        <n v="19559382"/>
        <n v="7175493"/>
        <n v="15619062"/>
        <n v="21061240"/>
        <n v="13483103"/>
        <n v="15431611"/>
        <n v="14364057"/>
        <n v="21205706"/>
        <n v="21739743"/>
        <n v="19271842"/>
        <n v="11261617"/>
        <n v="9226591"/>
        <n v="6887537"/>
        <n v="24944056"/>
        <n v="5819647"/>
        <n v="11795547"/>
        <n v="2283395"/>
        <n v="23442882"/>
        <n v="23010606"/>
        <n v="5488200"/>
        <n v="20874333"/>
        <n v="19253149"/>
        <n v="2109483"/>
        <n v="5342811"/>
        <n v="6398589"/>
        <n v="17803059"/>
        <n v="10736540"/>
        <n v="19916921"/>
        <n v="12749689"/>
        <n v="8022115"/>
        <n v="7487801"/>
        <n v="9871183"/>
        <n v="7131009"/>
        <n v="23357585"/>
        <n v="15021457"/>
        <n v="22239141"/>
        <n v="1511425"/>
        <n v="1527242"/>
        <n v="16913638"/>
        <n v="4731769"/>
        <n v="5872526"/>
        <n v="1166596"/>
        <n v="11416059"/>
        <n v="16018734"/>
        <n v="3230820"/>
        <n v="4399863"/>
        <n v="18964511"/>
        <n v="9582327"/>
        <n v="401848"/>
        <n v="6726135"/>
        <n v="9728085"/>
        <n v="8040281"/>
        <n v="3234118"/>
        <n v="18720885"/>
        <n v="21852950"/>
        <n v="12817701"/>
        <n v="8402566"/>
        <n v="1424916"/>
        <n v="18856034"/>
        <n v="5593794"/>
        <n v="17215842"/>
        <n v="8670982"/>
        <n v="19699102"/>
        <n v="11587512"/>
        <n v="573763"/>
        <n v="662802"/>
        <n v="3608859"/>
        <n v="22728113"/>
        <n v="5537402"/>
        <n v="10703406"/>
        <n v="6431312"/>
        <n v="17061222"/>
        <n v="10393585"/>
        <n v="2812730"/>
        <n v="24724766"/>
        <n v="17524493"/>
        <n v="6825096"/>
        <n v="24787065"/>
        <n v="16342448"/>
        <n v="3095825"/>
        <n v="1109934"/>
        <n v="2915807"/>
        <n v="2712788"/>
        <n v="15097595"/>
        <n v="20337065"/>
        <n v="22905703"/>
        <n v="18546887"/>
        <n v="17580471"/>
        <n v="11071179"/>
        <n v="13308184"/>
        <n v="21752105"/>
        <n v="2526544"/>
        <n v="7433517"/>
        <n v="14174579"/>
        <n v="22820531"/>
        <n v="2092978"/>
        <n v="17046442"/>
        <n v="3595118"/>
        <n v="23455343"/>
        <n v="5297842"/>
        <n v="1992082"/>
        <n v="24956363"/>
        <n v="13858235"/>
        <n v="21576929"/>
        <n v="2792987"/>
        <n v="22799315"/>
        <n v="6878597"/>
        <n v="5001888"/>
        <n v="24208725"/>
        <n v="1259383"/>
        <n v="671533"/>
        <n v="17097493"/>
        <n v="18699270"/>
        <n v="1006213"/>
        <n v="14588977"/>
        <n v="11918911"/>
        <n v="8790021"/>
        <n v="4346577"/>
        <n v="6473504"/>
        <n v="11542229"/>
        <n v="18599961"/>
        <n v="22428236"/>
        <n v="9092745"/>
        <n v="20222362"/>
        <n v="9317252"/>
        <n v="10714362"/>
        <n v="15018577"/>
        <n v="24921919"/>
        <n v="22295613"/>
        <n v="19961438"/>
        <n v="3695847"/>
        <n v="21767924"/>
        <n v="24236545"/>
        <n v="12588430"/>
        <n v="11014412"/>
        <n v="10963768"/>
        <n v="10707243"/>
        <n v="17217388"/>
        <n v="12944944"/>
        <n v="20854389"/>
        <n v="8255471"/>
        <n v="7721139"/>
        <n v="7619934"/>
        <n v="13595813"/>
        <n v="142739"/>
        <n v="24074320"/>
        <n v="10290421"/>
        <n v="8789463"/>
        <n v="20972056"/>
        <n v="21505984"/>
        <n v="13652380"/>
        <n v="11083193"/>
        <n v="10548827"/>
        <n v="14720584"/>
        <n v="7243918"/>
        <n v="19093263"/>
        <n v="13753090"/>
        <n v="7029169"/>
        <n v="20020800"/>
        <n v="24725787"/>
        <n v="15385849"/>
        <n v="22955601"/>
        <n v="2704461"/>
        <n v="23795037"/>
        <n v="1582186"/>
        <n v="16536842"/>
        <n v="15894587"/>
        <n v="13427857"/>
        <n v="6414710"/>
        <n v="18627374"/>
        <n v="11600410"/>
        <n v="21696508"/>
        <n v="984864"/>
        <n v="11665795"/>
        <n v="656089"/>
        <n v="3889696"/>
        <n v="21759130"/>
        <n v="11354146"/>
        <n v="20331507"/>
        <n v="19509633"/>
        <n v="18918019"/>
        <n v="820493"/>
        <n v="8199647"/>
        <n v="24338210"/>
        <n v="9865579"/>
        <n v="11982610"/>
        <n v="14493941"/>
        <n v="12651997"/>
        <n v="165859"/>
        <n v="24104006"/>
        <n v="339125"/>
        <n v="15554933"/>
        <n v="14935530"/>
        <n v="22327242"/>
        <n v="24131955"/>
        <n v="24608266"/>
        <n v="474038"/>
        <n v="16632588"/>
        <n v="24436641"/>
        <n v="18489136"/>
        <n v="10725767"/>
        <n v="23574961"/>
        <n v="12115935"/>
        <n v="17307263"/>
        <n v="217172"/>
        <n v="16873687"/>
        <n v="5558521"/>
        <n v="17740265"/>
        <n v="3854993"/>
        <n v="16238918"/>
        <n v="10797599"/>
        <n v="1339114"/>
        <n v="12638817"/>
        <n v="10518183"/>
        <n v="6044537"/>
        <n v="20564991"/>
        <n v="13896457"/>
        <n v="9522956"/>
        <n v="21821930"/>
        <n v="19787301"/>
        <n v="20681029"/>
        <n v="23683859"/>
        <n v="15672633"/>
        <n v="5901297"/>
        <n v="20870658"/>
        <n v="20235246"/>
        <n v="10347687"/>
        <n v="22680020"/>
        <n v="14633814"/>
        <n v="10781149"/>
        <n v="22428531"/>
        <n v="16759662"/>
        <n v="16225348"/>
        <n v="14970613"/>
        <n v="20845411"/>
        <n v="22116569"/>
        <n v="17396829"/>
        <n v="17308339"/>
        <n v="11188100"/>
        <n v="17175408"/>
        <n v="8987469"/>
        <n v="11657877"/>
        <n v="12411093"/>
        <n v="11170946"/>
        <n v="13809009"/>
        <n v="9002832"/>
        <n v="13708114"/>
        <n v="17563059"/>
        <n v="13824863"/>
        <n v="15426650"/>
        <n v="3779763"/>
        <n v="11155111"/>
        <n v="14359101"/>
        <n v="20234042"/>
        <n v="21734821"/>
        <n v="19064060"/>
        <n v="17664741"/>
        <n v="14893019"/>
        <n v="23005765"/>
        <n v="7085240"/>
        <n v="6348921"/>
        <n v="16494860"/>
        <n v="16062243"/>
        <n v="11256722"/>
        <n v="12223220"/>
        <n v="17028960"/>
        <n v="19266970"/>
        <n v="3678757"/>
        <n v="13392461"/>
        <n v="12324827"/>
        <n v="24939134"/>
        <n v="15426649"/>
        <n v="4847236"/>
        <n v="4746065"/>
        <n v="6983772"/>
        <n v="21734820"/>
        <n v="23336986"/>
        <n v="17664740"/>
        <n v="6551539"/>
        <n v="4212284"/>
        <n v="3144549"/>
        <n v="14893018"/>
        <n v="23005764"/>
        <n v="19801508"/>
        <n v="20767985"/>
        <n v="6348920"/>
        <n v="16494861"/>
        <n v="4414814"/>
        <n v="12223221"/>
        <n v="1007522"/>
        <n v="22803329"/>
        <n v="7950435"/>
        <n v="14994651"/>
        <n v="8484633"/>
        <n v="10722269"/>
        <n v="7416245"/>
        <n v="21836091"/>
        <n v="20133002"/>
        <n v="22096326"/>
        <n v="12483206"/>
        <n v="4139847"/>
        <n v="24765994"/>
        <n v="5107150"/>
        <n v="1902510"/>
        <n v="13983882"/>
        <n v="13016837"/>
        <n v="15585571"/>
        <n v="2003202"/>
        <n v="14719750"/>
        <n v="15686725"/>
        <n v="15253426"/>
        <n v="7142127"/>
        <n v="14185682"/>
        <n v="2870001"/>
        <n v="16855683"/>
        <n v="300203"/>
        <n v="5742096"/>
        <n v="16755206"/>
        <n v="22196880"/>
        <n v="8210371"/>
        <n v="3606252"/>
        <n v="1801294"/>
        <n v="16220879"/>
        <n v="9278642"/>
        <n v="20392939"/>
        <n v="1902511"/>
        <n v="13449673"/>
        <n v="21561977"/>
        <n v="1469113"/>
        <n v="935124"/>
        <n v="23798553"/>
        <n v="12915595"/>
        <n v="19960097"/>
        <n v="19526250"/>
        <n v="15585572"/>
        <n v="2003203"/>
        <n v="14517997"/>
        <n v="15686726"/>
        <n v="24332486"/>
        <n v="23596755"/>
        <n v="17289168"/>
        <n v="8311257"/>
        <n v="7243076"/>
        <n v="22196881"/>
        <n v="3953920"/>
        <n v="22646179"/>
        <n v="4155620"/>
        <n v="9928955"/>
        <n v="2987071"/>
        <n v="23814261"/>
        <n v="14100916"/>
        <n v="1384298"/>
        <n v="1484884"/>
        <n v="6292126"/>
        <n v="5556179"/>
        <n v="1817149"/>
        <n v="10896586"/>
        <n v="1283084"/>
        <n v="17939477"/>
        <n v="21678315"/>
        <n v="9294492"/>
        <n v="23179885"/>
        <n v="23078798"/>
        <n v="19975836"/>
        <n v="5122880"/>
        <n v="7893606"/>
        <n v="21577731"/>
        <n v="6090295"/>
        <n v="21043758"/>
        <n v="13032647"/>
        <n v="10997192"/>
        <n v="2018984"/>
        <n v="8760200"/>
        <n v="8327007"/>
        <n v="13566688"/>
        <n v="12700119"/>
        <n v="18473161"/>
        <n v="5021740"/>
        <n v="22646180"/>
        <n v="15702465"/>
        <n v="10029704"/>
        <n v="23814260"/>
        <n v="16236600"/>
        <n v="14836159"/>
        <n v="23713793"/>
        <n v="15168728"/>
        <n v="1283085"/>
        <n v="23612540"/>
        <n v="17939476"/>
        <n v="13667234"/>
        <n v="14201398"/>
        <n v="14634887"/>
        <n v="416597"/>
        <n v="23280423"/>
        <n v="21577730"/>
        <n v="6090294"/>
        <n v="12498981"/>
        <n v="23987218"/>
        <n v="20884923"/>
        <n v="10635934"/>
        <n v="15543761"/>
        <n v="2090933"/>
        <n v="6897783"/>
        <n v="4964354"/>
        <n v="1022725"/>
        <n v="19079253"/>
        <n v="19816967"/>
        <n v="21418889"/>
        <n v="19282372"/>
        <n v="24623013"/>
        <n v="2293959"/>
        <n v="22818493"/>
        <n v="8601508"/>
        <n v="2726693"/>
        <n v="18747968"/>
        <n v="24521172"/>
        <n v="4227432"/>
        <n v="19180647"/>
        <n v="15975863"/>
        <n v="589832"/>
        <n v="15543762"/>
        <n v="2090934"/>
        <n v="3693890"/>
        <n v="17044382"/>
        <n v="1556763"/>
        <n v="6897784"/>
        <n v="13942088"/>
        <n v="23453288"/>
        <n v="15874638"/>
        <n v="14476177"/>
        <n v="3362769"/>
        <n v="1123862"/>
        <n v="14908373"/>
        <n v="14807154"/>
        <n v="16611997"/>
        <n v="22385577"/>
        <n v="15010090"/>
        <n v="3159758"/>
        <n v="8067297"/>
        <n v="13840232"/>
        <n v="16077734"/>
        <n v="11806066"/>
        <n v="488537"/>
        <n v="7634457"/>
        <n v="19180646"/>
        <n v="10203576"/>
        <n v="6926309"/>
        <n v="517041"/>
        <n v="3722336"/>
        <n v="18776678"/>
        <n v="19107691"/>
        <n v="618414"/>
        <n v="5324284"/>
        <n v="12165711"/>
        <n v="6494070"/>
        <n v="22846919"/>
        <n v="21778560"/>
        <n v="22948115"/>
        <n v="11631696"/>
        <n v="16640673"/>
        <n v="13436455"/>
        <n v="14403103"/>
        <n v="8095918"/>
        <n v="9698226"/>
        <n v="3289661"/>
        <n v="11097594"/>
        <n v="16004525"/>
        <n v="20811869"/>
        <n v="23380597"/>
        <n v="15038678"/>
        <n v="19845675"/>
        <n v="18776677"/>
        <n v="5324283"/>
        <n v="14835583"/>
        <n v="10232105"/>
        <n v="10563206"/>
        <n v="8427200"/>
        <n v="4155043"/>
        <n v="18674785"/>
        <n v="14301674"/>
        <n v="13233290"/>
        <n v="13970676"/>
        <n v="9698227"/>
        <n v="5757311"/>
        <n v="16437366"/>
        <n v="21345668"/>
        <n v="22312881"/>
        <n v="4357288"/>
        <n v="17607016"/>
        <n v="5959996"/>
        <n v="22414190"/>
        <n v="21593055"/>
        <n v="11113461"/>
        <n v="15184016"/>
        <n v="13047960"/>
        <n v="3969360"/>
        <n v="11980241"/>
        <n v="19022711"/>
        <n v="23627990"/>
        <n v="19557214"/>
        <n v="8443063"/>
        <n v="5037210"/>
        <n v="1500119"/>
        <n v="22560467"/>
        <n v="16352461"/>
        <n v="6307375"/>
        <n v="15818231"/>
        <n v="24696029"/>
        <n v="9843640"/>
        <n v="5571618"/>
        <n v="3002384"/>
        <n v="1298536"/>
        <n v="24263012"/>
        <n v="21059065"/>
        <n v="19456678"/>
        <n v="966093"/>
        <n v="20625583"/>
        <n v="11647535"/>
        <n v="23195210"/>
        <n v="16251887"/>
        <n v="2366963"/>
        <n v="8876232"/>
        <n v="23094218"/>
        <n v="14750752"/>
        <n v="6105763"/>
        <n v="5239067"/>
        <n v="1933578"/>
        <n v="21492010"/>
        <n v="7808108"/>
        <n v="22026381"/>
        <n v="3997764"/>
        <n v="10405844"/>
        <n v="16380731"/>
        <n v="16814448"/>
        <n v="6768794"/>
        <n v="23223488"/>
        <n v="16914908"/>
        <n v="5065676"/>
        <n v="10839236"/>
        <n v="15745969"/>
        <n v="4632271"/>
        <n v="2395429"/>
        <n v="16179432"/>
        <n v="5166550"/>
        <n v="18416218"/>
        <n v="10304913"/>
        <n v="14043636"/>
        <n v="14245045"/>
        <n v="11575181"/>
        <n v="359656"/>
        <n v="15312683"/>
        <n v="16814449"/>
        <n v="23757376"/>
        <n v="9972561"/>
        <n v="15745970"/>
        <n v="9438846"/>
        <n v="23122676"/>
        <n v="23656428"/>
        <n v="15661129"/>
        <n v="15127344"/>
        <n v="24970245"/>
        <n v="23037134"/>
        <n v="22935468"/>
        <n v="14390494"/>
        <n v="13423811"/>
        <n v="24638959"/>
        <n v="6137415"/>
        <n v="24310232"/>
        <n v="20572476"/>
        <n v="18334643"/>
        <n v="2571944"/>
        <n v="14491601"/>
        <n v="12731075"/>
        <n v="17238359"/>
        <n v="15785555"/>
        <n v="16190888"/>
        <n v="14733212"/>
        <n v="13307199"/>
        <n v="18234278"/>
        <n v="20819559"/>
        <n v="12910089"/>
        <n v="2781669"/>
        <n v="10443837"/>
        <n v="7616779"/>
        <n v="10519595"/>
        <n v="21734736"/>
        <n v="11689010"/>
        <n v="4111534"/>
        <n v="23236421"/>
        <n v="14258027"/>
        <n v="7315313"/>
        <n v="14691472"/>
        <n v="5713731"/>
        <n v="14157361"/>
        <n v="19497946"/>
        <n v="9884890"/>
        <n v="2942846"/>
        <n v="19699714"/>
        <n v="12555449"/>
        <n v="13290681"/>
        <n v="5078683"/>
        <n v="2610115"/>
        <n v="23870805"/>
        <n v="21634341"/>
        <n v="15325620"/>
        <n v="17895520"/>
        <n v="4544520"/>
        <n v="9351132"/>
        <n v="11588110"/>
        <n v="24838372"/>
        <n v="20032424"/>
        <n v="19598499"/>
        <n v="9884891"/>
        <n v="11503084"/>
        <n v="23482318"/>
        <n v="4357765"/>
        <n v="21015300"/>
        <n v="1788637"/>
        <n v="4026474"/>
        <n v="19412980"/>
        <n v="15674050"/>
        <n v="3925477"/>
        <n v="4459067"/>
        <n v="2322999"/>
        <n v="23584053"/>
        <n v="186354"/>
        <n v="13538253"/>
        <n v="23050216"/>
        <n v="1152907"/>
        <n v="3391705"/>
        <n v="11835101"/>
        <n v="9900561"/>
        <n v="6494553"/>
        <n v="8096405"/>
        <n v="21448014"/>
        <n v="5960475"/>
        <n v="22617707"/>
        <n v="24550247"/>
        <n v="20278395"/>
        <n v="11503083"/>
        <n v="9799806"/>
        <n v="7764281"/>
        <n v="19209751"/>
        <n v="2958548"/>
        <n v="21982420"/>
        <n v="10766753"/>
        <n v="19412981"/>
        <n v="15140330"/>
        <n v="13004184"/>
        <n v="10868137"/>
        <n v="12037056"/>
        <n v="9698710"/>
        <n v="618891"/>
        <n v="13538254"/>
        <n v="15039167"/>
        <n v="24118044"/>
        <n v="4993298"/>
        <n v="12369348"/>
        <n v="22516438"/>
        <n v="15572838"/>
        <n v="22948597"/>
        <n v="24550248"/>
        <n v="17636083"/>
        <n v="18372554"/>
        <n v="9091777"/>
        <n v="3953827"/>
        <n v="3420043"/>
        <n v="11430759"/>
        <n v="20942615"/>
        <n v="14432188"/>
        <n v="19238255"/>
        <n v="16567910"/>
        <n v="15702371"/>
        <n v="14634794"/>
        <n v="14965987"/>
        <n v="6624179"/>
        <n v="1181487"/>
        <n v="21043659"/>
        <n v="20509827"/>
        <n v="4386209"/>
        <n v="21577638"/>
        <n v="15067599"/>
        <n v="13999643"/>
        <n v="749000"/>
        <n v="12296251"/>
        <n v="17737855"/>
        <n v="214754"/>
        <n v="21909050"/>
        <n v="2885732"/>
        <n v="8658982"/>
        <n v="13566593"/>
        <n v="19441289"/>
        <n v="5021645"/>
        <n v="15168633"/>
        <n v="20306880"/>
        <n v="24825894"/>
        <n v="14880372"/>
        <n v="10507068"/>
        <n v="24392204"/>
        <n v="15414047"/>
        <n v="3767141"/>
        <n v="15846906"/>
        <n v="12643596"/>
        <n v="13711330"/>
        <n v="5167022"/>
        <n v="5369191"/>
        <n v="17983404"/>
        <n v="15846905"/>
        <n v="23324403"/>
        <n v="9540323"/>
        <n v="994961"/>
        <n v="2698690"/>
        <n v="9123553"/>
        <n v="12125403"/>
        <n v="13294009"/>
        <n v="20237254"/>
        <n v="12760165"/>
        <n v="1111677"/>
        <n v="23066173"/>
        <n v="7577899"/>
        <n v="2338890"/>
        <n v="17292382"/>
        <n v="18360139"/>
        <n v="16052867"/>
        <n v="9401099"/>
        <n v="22246811"/>
        <n v="4189905"/>
        <n v="22246812"/>
        <n v="14914960"/>
        <n v="6036611"/>
        <n v="17123955"/>
        <n v="18516503"/>
        <n v="14593399"/>
        <n v="9388024"/>
        <n v="20454750"/>
        <n v="24349167"/>
        <n v="19008454"/>
        <n v="7341789"/>
        <n v="10894152"/>
        <n v="16918490"/>
        <n v="4405265"/>
        <n v="2269014"/>
        <n v="11796992"/>
        <n v="8693858"/>
        <n v="6023845"/>
        <n v="1362263"/>
        <n v="859913"/>
        <n v="8703721"/>
        <n v="14816786"/>
        <n v="13113918"/>
        <n v="4224558"/>
        <n v="13060675"/>
        <n v="926732"/>
        <n v="21808340"/>
        <n v="15487436"/>
        <n v="6671585"/>
        <n v="24035262"/>
        <n v="24259361"/>
        <n v="24113870"/>
        <n v="614724"/>
        <n v="17069281"/>
        <n v="14399422"/>
        <n v="23681188"/>
        <n v="1351714"/>
        <n v="10474593"/>
        <n v="906004"/>
        <n v="11385790"/>
        <n v="17174440"/>
        <n v="7561160"/>
        <n v="10692785"/>
        <n v="24476470"/>
        <n v="24577945"/>
        <n v="16914536"/>
        <n v="10421249"/>
        <n v="23010804"/>
        <n v="11467916"/>
        <n v="689774"/>
        <n v="19941390"/>
        <n v="23504764"/>
        <n v="3414120"/>
        <n v="15407917"/>
        <n v="17459203"/>
        <n v="17719244"/>
        <n v="5919195"/>
        <n v="4519220"/>
        <n v="24746756"/>
        <n v="2518529"/>
        <n v="3867763"/>
        <n v="11667985"/>
        <n v="7181647"/>
        <n v="11353505"/>
        <n v="24544986"/>
        <n v="23477080"/>
        <n v="13330045"/>
        <n v="24905469"/>
        <n v="18803816"/>
        <n v="17808754"/>
        <n v="16306945"/>
        <n v="8008764"/>
        <n v="12815346"/>
        <n v="23944667"/>
        <n v="2239185"/>
        <n v="8956049"/>
        <n v="13171375"/>
        <n v="4339267"/>
        <n v="22772424"/>
        <n v="9826128"/>
        <n v="16798627"/>
        <n v="14128633"/>
        <n v="11928144"/>
        <n v="16002591"/>
        <n v="4574254"/>
        <n v="13278983"/>
        <n v="5125104"/>
        <n v="21578841"/>
        <n v="18272768"/>
        <n v="20812787"/>
        <n v="23441018"/>
        <n v="21770603"/>
        <n v="9575588"/>
        <n v="10369140"/>
        <n v="6882298"/>
        <n v="2719087"/>
        <n v="14379620"/>
        <n v="3384678"/>
        <n v="3384677"/>
        <n v="4727473"/>
        <n v="4257916"/>
        <n v="22624471"/>
        <n v="9923111"/>
        <n v="2769077"/>
        <n v="21044362"/>
        <n v="23912769"/>
        <n v="1150694"/>
        <n v="14833835"/>
        <n v="9060967"/>
        <n v="2432425"/>
        <n v="2322837"/>
        <n v="12413594"/>
        <n v="9167892"/>
        <n v="8317492"/>
        <n v="21571091"/>
        <n v="17096114"/>
        <n v="354176"/>
        <n v="8669103"/>
        <n v="3069430"/>
        <n v="13924049"/>
        <n v="20723789"/>
        <n v="2237539"/>
        <n v="19111683"/>
        <n v="16706742"/>
        <n v="24444619"/>
        <n v="9226903"/>
        <n v="7139023"/>
        <n v="9758496"/>
        <n v="22063463"/>
        <n v="15208158"/>
        <n v="9630386"/>
      </sharedItems>
    </cacheField>
    <cacheField name="GENDER" numFmtId="0">
      <sharedItems containsSemiMixedTypes="0" containsString="0" containsNumber="1" containsInteger="1" minValue="1" maxValue="2"/>
    </cacheField>
    <cacheField name="HST" numFmtId="0">
      <sharedItems containsSemiMixedTypes="0" containsString="0" containsNumber="1" containsInteger="1" minValue="2" maxValue="4" count="3">
        <n v="2"/>
        <n v="3"/>
        <n v="4"/>
      </sharedItems>
    </cacheField>
    <cacheField name="NEM" numFmtId="0">
      <sharedItems containsSemiMixedTypes="0" containsString="0" containsNumber="1" containsInteger="1" minValue="0" maxValue="805"/>
    </cacheField>
    <cacheField name="LYC" numFmtId="0">
      <sharedItems containsSemiMixedTypes="0" containsString="0" containsNumber="1" containsInteger="1" minValue="0" maxValue="803" count="80">
        <n v="458"/>
        <n v="618"/>
        <n v="581"/>
        <n v="464"/>
        <n v="0"/>
        <n v="488"/>
        <n v="613"/>
        <n v="499"/>
        <n v="244"/>
        <n v="494"/>
        <n v="505"/>
        <n v="471"/>
        <n v="367"/>
        <n v="596"/>
        <n v="476"/>
        <n v="757"/>
        <n v="737"/>
        <n v="415"/>
        <n v="521"/>
        <n v="551"/>
        <n v="683"/>
        <n v="531"/>
        <n v="655"/>
        <n v="571"/>
        <n v="516"/>
        <n v="567"/>
        <n v="526"/>
        <n v="586"/>
        <n v="262"/>
        <n v="787"/>
        <n v="547"/>
        <n v="406"/>
        <n v="648"/>
        <n v="557"/>
        <n v="451"/>
        <n v="345"/>
        <n v="397"/>
        <n v="333"/>
        <n v="378"/>
        <n v="675"/>
        <n v="561"/>
        <n v="430"/>
        <n v="438"/>
        <n v="444"/>
        <n v="510"/>
        <n v="388"/>
        <n v="483"/>
        <n v="576"/>
        <n v="541"/>
        <n v="624"/>
        <n v="320"/>
        <n v="422"/>
        <n v="727"/>
        <n v="636"/>
        <n v="602"/>
        <n v="537"/>
        <n v="290"/>
        <n v="607"/>
        <n v="276"/>
        <n v="592"/>
        <n v="717"/>
        <n v="158"/>
        <n v="747"/>
        <n v="707"/>
        <n v="306"/>
        <n v="661"/>
        <n v="356"/>
        <n v="629"/>
        <n v="771"/>
        <n v="668"/>
        <n v="691"/>
        <n v="218"/>
        <n v="779"/>
        <n v="226"/>
        <n v="641"/>
        <n v="203"/>
        <n v="699"/>
        <n v="795"/>
        <n v="803"/>
        <n v="180"/>
      </sharedItems>
    </cacheField>
    <cacheField name="MATE" numFmtId="0">
      <sharedItems containsSemiMixedTypes="0" containsString="0" containsNumber="1" containsInteger="1" minValue="0" maxValue="850" count="79">
        <n v="441"/>
        <n v="828"/>
        <n v="527"/>
        <n v="472"/>
        <n v="0"/>
        <n v="428"/>
        <n v="585"/>
        <n v="549"/>
        <n v="395"/>
        <n v="211"/>
        <n v="603"/>
        <n v="463"/>
        <n v="376"/>
        <n v="552"/>
        <n v="624"/>
        <n v="719"/>
        <n v="540"/>
        <n v="274"/>
        <n v="452"/>
        <n v="494"/>
        <n v="614"/>
        <n v="617"/>
        <n v="517"/>
        <n v="560"/>
        <n v="501"/>
        <n v="512"/>
        <n v="487"/>
        <n v="536"/>
        <n v="545"/>
        <n v="328"/>
        <n v="681"/>
        <n v="413"/>
        <n v="628"/>
        <n v="480"/>
        <n v="582"/>
        <n v="353"/>
        <n v="648"/>
        <n v="506"/>
        <n v="571"/>
        <n v="523"/>
        <n v="300"/>
        <n v="763"/>
        <n v="636"/>
        <n v="574"/>
        <n v="631"/>
        <n v="640"/>
        <n v="686"/>
        <n v="609"/>
        <n v="564"/>
        <n v="661"/>
        <n v="204"/>
        <n v="692"/>
        <n v="596"/>
        <n v="644"/>
        <n v="738"/>
        <n v="248"/>
        <n v="589"/>
        <n v="196"/>
        <n v="557"/>
        <n v="666"/>
        <n v="606"/>
        <n v="579"/>
        <n v="593"/>
        <n v="675"/>
        <n v="806"/>
        <n v="699"/>
        <n v="671"/>
        <n v="705"/>
        <n v="620"/>
        <n v="713"/>
        <n v="600"/>
        <n v="728"/>
        <n v="657"/>
        <n v="531"/>
        <n v="568"/>
        <n v="750"/>
        <n v="652"/>
        <n v="850"/>
        <n v="219"/>
      </sharedItems>
    </cacheField>
    <cacheField name="HYCS" numFmtId="0">
      <sharedItems containsSemiMixedTypes="0" containsString="0" containsNumber="1" containsInteger="1" minValue="0" maxValue="826" count="80">
        <n v="397"/>
        <n v="657"/>
        <n v="692"/>
        <n v="0"/>
        <n v="461"/>
        <n v="651"/>
        <n v="370"/>
        <n v="484"/>
        <n v="454"/>
        <n v="501"/>
        <n v="557"/>
        <n v="479"/>
        <n v="724"/>
        <n v="746"/>
        <n v="684"/>
        <n v="421"/>
        <n v="541"/>
        <n v="572"/>
        <n v="449"/>
        <n v="699"/>
        <n v="442"/>
        <n v="562"/>
        <n v="414"/>
        <n v="521"/>
        <n v="552"/>
        <n v="490"/>
        <n v="202"/>
        <n v="516"/>
        <n v="320"/>
        <n v="436"/>
        <n v="495"/>
        <n v="428"/>
        <n v="537"/>
        <n v="527"/>
        <n v="406"/>
        <n v="289"/>
        <n v="473"/>
        <n v="613"/>
        <n v="512"/>
        <n v="388"/>
        <n v="586"/>
        <n v="466"/>
        <n v="646"/>
        <n v="628"/>
        <n v="578"/>
        <n v="617"/>
        <n v="623"/>
        <n v="597"/>
        <n v="567"/>
        <n v="756"/>
        <n v="359"/>
        <n v="592"/>
        <n v="348"/>
        <n v="271"/>
        <n v="607"/>
        <n v="634"/>
        <n v="380"/>
        <n v="803"/>
        <n v="670"/>
        <n v="677"/>
        <n v="706"/>
        <n v="506"/>
        <n v="334"/>
        <n v="582"/>
        <n v="531"/>
        <n v="639"/>
        <n v="215"/>
        <n v="602"/>
        <n v="252"/>
        <n v="547"/>
        <n v="663"/>
        <n v="209"/>
        <n v="306"/>
        <n v="735"/>
        <n v="714"/>
        <n v="779"/>
        <n v="791"/>
        <n v="826"/>
        <n v="767"/>
        <n v="233"/>
      </sharedItems>
    </cacheField>
    <cacheField name="CIEN" numFmtId="0">
      <sharedItems containsSemiMixedTypes="0" containsString="0" containsNumber="1" containsInteger="1" minValue="0" maxValue="850" count="80">
        <n v="428"/>
        <n v="0"/>
        <n v="404"/>
        <n v="594"/>
        <n v="376"/>
        <n v="288"/>
        <n v="497"/>
        <n v="245"/>
        <n v="602"/>
        <n v="326"/>
        <n v="642"/>
        <n v="516"/>
        <n v="639"/>
        <n v="663"/>
        <n v="523"/>
        <n v="539"/>
        <n v="534"/>
        <n v="598"/>
        <n v="504"/>
        <n v="475"/>
        <n v="697"/>
        <n v="459"/>
        <n v="468"/>
        <n v="307"/>
        <n v="562"/>
        <n v="267"/>
        <n v="571"/>
        <n v="449"/>
        <n v="491"/>
        <n v="391"/>
        <n v="655"/>
        <n v="223"/>
        <n v="483"/>
        <n v="549"/>
        <n v="543"/>
        <n v="417"/>
        <n v="682"/>
        <n v="587"/>
        <n v="591"/>
        <n v="617"/>
        <n v="439"/>
        <n v="738"/>
        <n v="361"/>
        <n v="631"/>
        <n v="528"/>
        <n v="510"/>
        <n v="729"/>
        <n v="708"/>
        <n v="344"/>
        <n v="650"/>
        <n v="609"/>
        <n v="659"/>
        <n v="567"/>
        <n v="579"/>
        <n v="553"/>
        <n v="777"/>
        <n v="746"/>
        <n v="798"/>
        <n v="583"/>
        <n v="606"/>
        <n v="575"/>
        <n v="628"/>
        <n v="686"/>
        <n v="703"/>
        <n v="636"/>
        <n v="756"/>
        <n v="829"/>
        <n v="613"/>
        <n v="558"/>
        <n v="647"/>
        <n v="672"/>
        <n v="620"/>
        <n v="668"/>
        <n v="767"/>
        <n v="677"/>
        <n v="715"/>
        <n v="850"/>
        <n v="624"/>
        <n v="692"/>
        <n v="722"/>
      </sharedItems>
    </cacheField>
    <cacheField name="FAMILY SIZE" numFmtId="0">
      <sharedItems containsSemiMixedTypes="0" containsString="0" containsNumber="1" containsInteger="1" minValue="0" maxValue="13" count="13">
        <n v="0"/>
        <n v="4"/>
        <n v="1"/>
        <n v="6"/>
        <n v="5"/>
        <n v="2"/>
        <n v="3"/>
        <n v="7"/>
        <n v="10"/>
        <n v="9"/>
        <n v="8"/>
        <n v="13"/>
        <n v="11"/>
      </sharedItems>
    </cacheField>
    <cacheField name="AVG MATH-LYC" numFmtId="0">
      <sharedItems containsSemiMixedTypes="0" containsString="0" containsNumber="1" minValue="0" maxValue="803.5"/>
    </cacheField>
    <cacheField name="EDUCATION  FATHER" numFmtId="0">
      <sharedItems containsSemiMixedTypes="0" containsString="0" containsNumber="1" containsInteger="1" minValue="0" maxValue="10"/>
    </cacheField>
    <cacheField name="EDUCATION MOTHER" numFmtId="0">
      <sharedItems containsSemiMixedTypes="0" containsString="0" containsNumber="1" containsInteger="1" minValue="0" maxValue="10" count="11">
        <n v="3"/>
        <n v="4"/>
        <n v="2"/>
        <n v="5"/>
        <n v="1"/>
        <n v="0"/>
        <n v="10"/>
        <n v="9"/>
        <n v="6"/>
        <n v="8"/>
        <n v="7"/>
      </sharedItems>
    </cacheField>
    <cacheField name="INCOME" numFmtId="0">
      <sharedItems containsSemiMixedTypes="0" containsString="0" containsNumber="1" containsInteger="1" minValue="0" maxValue="6" count="7">
        <n v="1"/>
        <n v="2"/>
        <n v="4"/>
        <n v="3"/>
        <n v="6"/>
        <n v="5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88">
  <r>
    <n v="6359918"/>
    <n v="27051965"/>
    <n v="0"/>
    <n v="0"/>
    <n v="1"/>
    <x v="0"/>
    <x v="0"/>
    <s v="27051965"/>
    <n v="57.761643835616439"/>
    <n v="175"/>
    <n v="0"/>
  </r>
  <r>
    <n v="19942312"/>
    <n v="6111960"/>
    <n v="4"/>
    <n v="2"/>
    <n v="2"/>
    <x v="1"/>
    <x v="1"/>
    <s v="06111960"/>
    <n v="62.317808219178083"/>
    <n v="697.5"/>
    <n v="174.375"/>
  </r>
  <r>
    <n v="2329184"/>
    <n v="23041969"/>
    <n v="1"/>
    <n v="1"/>
    <n v="1"/>
    <x v="1"/>
    <x v="0"/>
    <s v="23041969"/>
    <n v="53.852054794520548"/>
    <n v="175"/>
    <n v="175"/>
  </r>
  <r>
    <n v="11339507"/>
    <n v="22101978"/>
    <n v="4"/>
    <n v="3"/>
    <n v="2"/>
    <x v="1"/>
    <x v="2"/>
    <s v="22101978"/>
    <n v="44.347945205479455"/>
    <n v="697.5"/>
    <n v="174.375"/>
  </r>
  <r>
    <n v="14990773"/>
    <n v="14061981"/>
    <n v="6"/>
    <n v="1"/>
    <n v="1"/>
    <x v="2"/>
    <x v="3"/>
    <s v="14061981"/>
    <n v="41.701369863013696"/>
    <n v="175"/>
    <n v="29.166666666666668"/>
  </r>
  <r>
    <n v="6997586"/>
    <n v="19081967"/>
    <n v="0"/>
    <n v="0"/>
    <n v="1"/>
    <x v="0"/>
    <x v="0"/>
    <s v="19081967"/>
    <n v="55.531506849315072"/>
    <n v="175"/>
    <n v="0"/>
  </r>
  <r>
    <n v="18732301"/>
    <n v="21121970"/>
    <n v="1"/>
    <n v="1"/>
    <n v="1"/>
    <x v="3"/>
    <x v="4"/>
    <s v="21121970"/>
    <n v="52.18904109589041"/>
    <n v="175"/>
    <n v="175"/>
  </r>
  <r>
    <n v="13328516"/>
    <n v="19101974"/>
    <n v="0"/>
    <n v="0"/>
    <n v="1"/>
    <x v="4"/>
    <x v="5"/>
    <s v="19101974"/>
    <n v="48.358904109589041"/>
    <n v="175"/>
    <n v="0"/>
  </r>
  <r>
    <n v="1297686"/>
    <n v="27021977"/>
    <n v="5"/>
    <n v="3"/>
    <n v="1"/>
    <x v="5"/>
    <x v="2"/>
    <s v="27021977"/>
    <n v="45.9972602739726"/>
    <n v="175"/>
    <n v="35"/>
  </r>
  <r>
    <n v="20711393"/>
    <n v="26081967"/>
    <n v="5"/>
    <n v="0"/>
    <n v="1"/>
    <x v="5"/>
    <x v="0"/>
    <s v="26081967"/>
    <n v="55.512328767123286"/>
    <n v="175"/>
    <n v="35"/>
  </r>
  <r>
    <n v="6669917"/>
    <n v="30041976"/>
    <n v="6"/>
    <n v="1"/>
    <n v="1"/>
    <x v="1"/>
    <x v="2"/>
    <s v="30041976"/>
    <n v="46.827397260273976"/>
    <n v="175"/>
    <n v="29.166666666666668"/>
  </r>
  <r>
    <n v="13390415"/>
    <n v="0"/>
    <n v="5"/>
    <n v="1"/>
    <n v="1"/>
    <x v="4"/>
    <x v="5"/>
    <s v="00"/>
    <n v="0"/>
    <n v="175"/>
    <n v="35"/>
  </r>
  <r>
    <n v="5099564"/>
    <n v="7081973"/>
    <n v="2"/>
    <n v="1"/>
    <n v="2"/>
    <x v="5"/>
    <x v="1"/>
    <s v="07081973"/>
    <n v="49.558904109589044"/>
    <n v="697.5"/>
    <n v="348.75"/>
  </r>
  <r>
    <n v="22722846"/>
    <n v="28071974"/>
    <n v="3"/>
    <n v="2"/>
    <n v="1"/>
    <x v="6"/>
    <x v="6"/>
    <s v="28071974"/>
    <n v="48.586301369863016"/>
    <n v="175"/>
    <n v="58.333333333333336"/>
  </r>
  <r>
    <n v="14076904"/>
    <n v="6051973"/>
    <n v="0"/>
    <n v="0"/>
    <n v="1"/>
    <x v="4"/>
    <x v="5"/>
    <s v="06051973"/>
    <n v="49.813698630136983"/>
    <n v="175"/>
    <n v="0"/>
  </r>
  <r>
    <n v="14944702"/>
    <n v="1091974"/>
    <n v="5"/>
    <n v="1"/>
    <n v="1"/>
    <x v="6"/>
    <x v="1"/>
    <s v="01091974"/>
    <n v="48.490410958904107"/>
    <n v="175"/>
    <n v="35"/>
  </r>
  <r>
    <n v="1430656"/>
    <n v="27091976"/>
    <n v="5"/>
    <n v="1"/>
    <n v="1"/>
    <x v="4"/>
    <x v="2"/>
    <s v="27091976"/>
    <n v="46.416438356164385"/>
    <n v="175"/>
    <n v="35"/>
  </r>
  <r>
    <n v="14879454"/>
    <n v="18011976"/>
    <n v="0"/>
    <n v="0"/>
    <n v="1"/>
    <x v="5"/>
    <x v="0"/>
    <s v="18011976"/>
    <n v="47.109589041095887"/>
    <n v="175"/>
    <n v="0"/>
  </r>
  <r>
    <n v="21174269"/>
    <n v="26111976"/>
    <n v="1"/>
    <n v="1"/>
    <n v="2"/>
    <x v="1"/>
    <x v="2"/>
    <s v="26111976"/>
    <n v="46.252054794520546"/>
    <n v="697.5"/>
    <n v="697.5"/>
  </r>
  <r>
    <n v="2065956"/>
    <n v="13051977"/>
    <n v="3"/>
    <n v="1"/>
    <n v="1"/>
    <x v="7"/>
    <x v="1"/>
    <s v="13051977"/>
    <n v="45.791780821917811"/>
    <n v="175"/>
    <n v="58.333333333333336"/>
  </r>
  <r>
    <n v="4720393"/>
    <n v="23081976"/>
    <n v="2"/>
    <n v="0"/>
    <n v="1"/>
    <x v="1"/>
    <x v="2"/>
    <s v="23081976"/>
    <n v="46.512328767123286"/>
    <n v="175"/>
    <n v="87.5"/>
  </r>
  <r>
    <n v="15616310"/>
    <n v="27021977"/>
    <n v="5"/>
    <n v="2"/>
    <n v="1"/>
    <x v="1"/>
    <x v="2"/>
    <s v="27021977"/>
    <n v="45.9972602739726"/>
    <n v="175"/>
    <n v="35"/>
  </r>
  <r>
    <n v="3687329"/>
    <n v="25121977"/>
    <n v="2"/>
    <n v="2"/>
    <n v="4"/>
    <x v="0"/>
    <x v="0"/>
    <s v="25121977"/>
    <n v="45.172602739726024"/>
    <n v="2100"/>
    <n v="1050"/>
  </r>
  <r>
    <n v="6718065"/>
    <n v="13111978"/>
    <n v="3"/>
    <n v="1"/>
    <n v="1"/>
    <x v="1"/>
    <x v="7"/>
    <s v="13111978"/>
    <n v="44.287671232876711"/>
    <n v="175"/>
    <n v="58.333333333333336"/>
  </r>
  <r>
    <n v="5450980"/>
    <n v="10031978"/>
    <n v="3"/>
    <n v="1"/>
    <n v="2"/>
    <x v="1"/>
    <x v="7"/>
    <s v="10031978"/>
    <n v="44.967123287671235"/>
    <n v="697.5"/>
    <n v="232.5"/>
  </r>
  <r>
    <n v="16716758"/>
    <n v="7011979"/>
    <n v="7"/>
    <n v="2"/>
    <n v="1"/>
    <x v="1"/>
    <x v="0"/>
    <s v="07011979"/>
    <n v="44.136986301369866"/>
    <n v="175"/>
    <n v="25"/>
  </r>
  <r>
    <n v="23807658"/>
    <n v="22121978"/>
    <n v="4"/>
    <n v="1"/>
    <n v="2"/>
    <x v="1"/>
    <x v="2"/>
    <s v="22121978"/>
    <n v="44.180821917808217"/>
    <n v="697.5"/>
    <n v="174.375"/>
  </r>
  <r>
    <n v="7312986"/>
    <n v="19041979"/>
    <n v="4"/>
    <n v="1"/>
    <n v="1"/>
    <x v="4"/>
    <x v="0"/>
    <s v="19041979"/>
    <n v="43.857534246575341"/>
    <n v="175"/>
    <n v="43.75"/>
  </r>
  <r>
    <n v="8077404"/>
    <n v="22111979"/>
    <n v="5"/>
    <n v="2"/>
    <n v="2"/>
    <x v="7"/>
    <x v="7"/>
    <s v="22111979"/>
    <n v="43.263013698630139"/>
    <n v="697.5"/>
    <n v="139.5"/>
  </r>
  <r>
    <n v="12386605"/>
    <n v="1081979"/>
    <n v="1"/>
    <n v="1"/>
    <n v="1"/>
    <x v="5"/>
    <x v="2"/>
    <s v="01081979"/>
    <n v="43.57260273972603"/>
    <n v="175"/>
    <n v="175"/>
  </r>
  <r>
    <n v="11419632"/>
    <n v="1091979"/>
    <n v="5"/>
    <n v="2"/>
    <n v="2"/>
    <x v="7"/>
    <x v="7"/>
    <s v="01091979"/>
    <n v="43.487671232876714"/>
    <n v="697.5"/>
    <n v="139.5"/>
  </r>
  <r>
    <n v="12475183"/>
    <n v="29031979"/>
    <n v="4"/>
    <n v="4"/>
    <n v="1"/>
    <x v="5"/>
    <x v="1"/>
    <s v="29031979"/>
    <n v="43.915068493150685"/>
    <n v="175"/>
    <n v="43.75"/>
  </r>
  <r>
    <n v="21980852"/>
    <n v="16041980"/>
    <n v="5"/>
    <n v="2"/>
    <n v="1"/>
    <x v="1"/>
    <x v="2"/>
    <s v="16041980"/>
    <n v="42.863013698630134"/>
    <n v="175"/>
    <n v="35"/>
  </r>
  <r>
    <n v="18679782"/>
    <n v="27121979"/>
    <n v="4"/>
    <n v="1"/>
    <n v="1"/>
    <x v="5"/>
    <x v="0"/>
    <s v="27121979"/>
    <n v="43.167123287671231"/>
    <n v="175"/>
    <n v="43.75"/>
  </r>
  <r>
    <n v="8157767"/>
    <n v="17041980"/>
    <n v="0"/>
    <n v="0"/>
    <n v="1"/>
    <x v="4"/>
    <x v="5"/>
    <s v="17041980"/>
    <n v="42.860273972602741"/>
    <n v="175"/>
    <n v="0"/>
  </r>
  <r>
    <n v="9144043"/>
    <n v="4111980"/>
    <n v="5"/>
    <n v="3"/>
    <n v="1"/>
    <x v="1"/>
    <x v="2"/>
    <s v="04111980"/>
    <n v="42.30958904109589"/>
    <n v="175"/>
    <n v="35"/>
  </r>
  <r>
    <n v="63805"/>
    <n v="28111980"/>
    <n v="2"/>
    <n v="1"/>
    <n v="1"/>
    <x v="0"/>
    <x v="0"/>
    <s v="28111980"/>
    <n v="42.243835616438353"/>
    <n v="175"/>
    <n v="87.5"/>
  </r>
  <r>
    <n v="23029485"/>
    <n v="18111980"/>
    <n v="3"/>
    <n v="1"/>
    <n v="1"/>
    <x v="5"/>
    <x v="2"/>
    <s v="18111980"/>
    <n v="42.271232876712325"/>
    <n v="175"/>
    <n v="58.333333333333336"/>
  </r>
  <r>
    <n v="12804712"/>
    <n v="26071980"/>
    <n v="5"/>
    <n v="1"/>
    <n v="1"/>
    <x v="7"/>
    <x v="3"/>
    <s v="26071980"/>
    <n v="42.586301369863016"/>
    <n v="175"/>
    <n v="35"/>
  </r>
  <r>
    <n v="7425182"/>
    <n v="3041981"/>
    <n v="6"/>
    <n v="2"/>
    <n v="1"/>
    <x v="5"/>
    <x v="3"/>
    <s v="03041981"/>
    <n v="41.898630136986299"/>
    <n v="175"/>
    <n v="29.166666666666668"/>
  </r>
  <r>
    <n v="11129989"/>
    <n v="16121977"/>
    <n v="0"/>
    <n v="0"/>
    <n v="1"/>
    <x v="1"/>
    <x v="0"/>
    <s v="16121977"/>
    <n v="45.197260273972603"/>
    <n v="175"/>
    <n v="0"/>
  </r>
  <r>
    <n v="2399438"/>
    <n v="26101981"/>
    <n v="4"/>
    <n v="1"/>
    <n v="2"/>
    <x v="7"/>
    <x v="7"/>
    <s v="26101981"/>
    <n v="41.334246575342469"/>
    <n v="697.5"/>
    <n v="174.375"/>
  </r>
  <r>
    <n v="2892668"/>
    <n v="6111981"/>
    <n v="4"/>
    <n v="0"/>
    <n v="1"/>
    <x v="1"/>
    <x v="2"/>
    <s v="06111981"/>
    <n v="41.304109589041097"/>
    <n v="175"/>
    <n v="43.75"/>
  </r>
  <r>
    <n v="19346989"/>
    <n v="30081978"/>
    <n v="0"/>
    <n v="0"/>
    <n v="1"/>
    <x v="1"/>
    <x v="2"/>
    <s v="30081978"/>
    <n v="44.493150684931507"/>
    <n v="175"/>
    <n v="0"/>
  </r>
  <r>
    <n v="575075"/>
    <n v="24091978"/>
    <n v="4"/>
    <n v="1"/>
    <n v="1"/>
    <x v="4"/>
    <x v="5"/>
    <s v="24091978"/>
    <n v="44.424657534246577"/>
    <n v="175"/>
    <n v="43.75"/>
  </r>
  <r>
    <n v="23196334"/>
    <n v="10121981"/>
    <n v="2"/>
    <n v="1"/>
    <n v="1"/>
    <x v="0"/>
    <x v="1"/>
    <s v="10121981"/>
    <n v="41.210958904109589"/>
    <n v="175"/>
    <n v="87.5"/>
  </r>
  <r>
    <n v="23896044"/>
    <n v="27081980"/>
    <n v="0"/>
    <n v="0"/>
    <n v="1"/>
    <x v="4"/>
    <x v="5"/>
    <s v="27081980"/>
    <n v="42.4986301369863"/>
    <n v="175"/>
    <n v="0"/>
  </r>
  <r>
    <n v="20332402"/>
    <n v="13091981"/>
    <n v="1"/>
    <n v="1"/>
    <n v="1"/>
    <x v="5"/>
    <x v="2"/>
    <s v="13091981"/>
    <n v="41.452054794520549"/>
    <n v="175"/>
    <n v="175"/>
  </r>
  <r>
    <n v="948797"/>
    <n v="8041981"/>
    <n v="0"/>
    <n v="0"/>
    <n v="1"/>
    <x v="0"/>
    <x v="0"/>
    <s v="08041981"/>
    <n v="41.884931506849313"/>
    <n v="175"/>
    <n v="0"/>
  </r>
  <r>
    <n v="16582019"/>
    <n v="9021987"/>
    <n v="6"/>
    <n v="3"/>
    <n v="3"/>
    <x v="6"/>
    <x v="6"/>
    <s v="09021987"/>
    <n v="36.041095890410958"/>
    <n v="1397.5"/>
    <n v="232.91666666666666"/>
  </r>
  <r>
    <n v="16760001"/>
    <n v="7051982"/>
    <n v="7"/>
    <n v="1"/>
    <n v="1"/>
    <x v="1"/>
    <x v="3"/>
    <s v="07051982"/>
    <n v="40.805479452054797"/>
    <n v="175"/>
    <n v="25"/>
  </r>
  <r>
    <n v="15339515"/>
    <n v="27081982"/>
    <n v="5"/>
    <n v="2"/>
    <n v="1"/>
    <x v="1"/>
    <x v="1"/>
    <s v="27081982"/>
    <n v="40.4986301369863"/>
    <n v="175"/>
    <n v="35"/>
  </r>
  <r>
    <n v="4074944"/>
    <n v="1041982"/>
    <n v="10"/>
    <n v="2"/>
    <n v="1"/>
    <x v="1"/>
    <x v="2"/>
    <s v="01041982"/>
    <n v="40.904109589041099"/>
    <n v="175"/>
    <n v="17.5"/>
  </r>
  <r>
    <n v="18006089"/>
    <n v="13011982"/>
    <n v="5"/>
    <n v="2"/>
    <n v="2"/>
    <x v="8"/>
    <x v="2"/>
    <s v="13011982"/>
    <n v="41.11780821917808"/>
    <n v="697.5"/>
    <n v="139.5"/>
  </r>
  <r>
    <n v="7859595"/>
    <n v="27091981"/>
    <n v="0"/>
    <n v="0"/>
    <n v="1"/>
    <x v="4"/>
    <x v="5"/>
    <s v="27091981"/>
    <n v="41.413698630136984"/>
    <n v="175"/>
    <n v="0"/>
  </r>
  <r>
    <n v="2708923"/>
    <n v="13071982"/>
    <n v="4"/>
    <n v="2"/>
    <n v="1"/>
    <x v="9"/>
    <x v="1"/>
    <s v="13071982"/>
    <n v="40.62191780821918"/>
    <n v="175"/>
    <n v="43.75"/>
  </r>
  <r>
    <n v="7127111"/>
    <n v="5111982"/>
    <n v="4"/>
    <n v="2"/>
    <n v="6"/>
    <x v="9"/>
    <x v="8"/>
    <s v="05111982"/>
    <n v="40.30684931506849"/>
    <n v="4000"/>
    <n v="1000"/>
  </r>
  <r>
    <n v="13030210"/>
    <n v="13031977"/>
    <n v="2"/>
    <n v="2"/>
    <n v="3"/>
    <x v="7"/>
    <x v="2"/>
    <s v="13031977"/>
    <n v="45.958904109589042"/>
    <n v="1397.5"/>
    <n v="698.75"/>
  </r>
  <r>
    <n v="11428426"/>
    <n v="27011983"/>
    <n v="5"/>
    <n v="3"/>
    <n v="2"/>
    <x v="7"/>
    <x v="7"/>
    <s v="27011983"/>
    <n v="40.079452054794523"/>
    <n v="697.5"/>
    <n v="139.5"/>
  </r>
  <r>
    <n v="19337736"/>
    <n v="29121982"/>
    <n v="5"/>
    <n v="1"/>
    <n v="1"/>
    <x v="0"/>
    <x v="9"/>
    <s v="29121982"/>
    <n v="40.158904109589038"/>
    <n v="175"/>
    <n v="35"/>
  </r>
  <r>
    <n v="22456752"/>
    <n v="9021982"/>
    <n v="3"/>
    <n v="2"/>
    <n v="1"/>
    <x v="0"/>
    <x v="0"/>
    <s v="09021982"/>
    <n v="41.043835616438358"/>
    <n v="175"/>
    <n v="58.333333333333336"/>
  </r>
  <r>
    <n v="14979665"/>
    <n v="8031983"/>
    <n v="2"/>
    <n v="2"/>
    <n v="1"/>
    <x v="7"/>
    <x v="2"/>
    <s v="08031983"/>
    <n v="39.969863013698628"/>
    <n v="175"/>
    <n v="87.5"/>
  </r>
  <r>
    <n v="19251867"/>
    <n v="1021982"/>
    <n v="9"/>
    <n v="2"/>
    <n v="1"/>
    <x v="1"/>
    <x v="0"/>
    <s v="01021982"/>
    <n v="41.065753424657537"/>
    <n v="175"/>
    <n v="19.444444444444443"/>
  </r>
  <r>
    <n v="1656022"/>
    <n v="23051983"/>
    <n v="4"/>
    <n v="1"/>
    <n v="2"/>
    <x v="7"/>
    <x v="7"/>
    <s v="23051983"/>
    <n v="39.761643835616439"/>
    <n v="697.5"/>
    <n v="174.375"/>
  </r>
  <r>
    <n v="13118274"/>
    <n v="17061983"/>
    <n v="8"/>
    <n v="2"/>
    <n v="1"/>
    <x v="1"/>
    <x v="2"/>
    <s v="17061983"/>
    <n v="39.69315068493151"/>
    <n v="175"/>
    <n v="21.875"/>
  </r>
  <r>
    <n v="21160358"/>
    <n v="1101987"/>
    <n v="3"/>
    <n v="1"/>
    <n v="1"/>
    <x v="4"/>
    <x v="5"/>
    <s v="01101987"/>
    <n v="35.4"/>
    <n v="175"/>
    <n v="58.333333333333336"/>
  </r>
  <r>
    <n v="17855163"/>
    <n v="25051988"/>
    <n v="5"/>
    <n v="0"/>
    <n v="1"/>
    <x v="7"/>
    <x v="3"/>
    <s v="25051988"/>
    <n v="34.750684931506846"/>
    <n v="175"/>
    <n v="35"/>
  </r>
  <r>
    <n v="10204448"/>
    <n v="10101987"/>
    <n v="6"/>
    <n v="1"/>
    <n v="1"/>
    <x v="5"/>
    <x v="4"/>
    <s v="10101987"/>
    <n v="35.375342465753427"/>
    <n v="175"/>
    <n v="29.166666666666668"/>
  </r>
  <r>
    <n v="13510261"/>
    <n v="22031988"/>
    <n v="5"/>
    <n v="3"/>
    <n v="1"/>
    <x v="1"/>
    <x v="2"/>
    <s v="22031988"/>
    <n v="34.926027397260277"/>
    <n v="175"/>
    <n v="35"/>
  </r>
  <r>
    <n v="17146984"/>
    <n v="24041989"/>
    <n v="3"/>
    <n v="1"/>
    <n v="1"/>
    <x v="1"/>
    <x v="2"/>
    <s v="24041989"/>
    <n v="33.835616438356162"/>
    <n v="175"/>
    <n v="58.333333333333336"/>
  </r>
  <r>
    <n v="2294820"/>
    <n v="18081986"/>
    <n v="3"/>
    <n v="2"/>
    <n v="2"/>
    <x v="7"/>
    <x v="3"/>
    <s v="18081986"/>
    <n v="36.520547945205479"/>
    <n v="697.5"/>
    <n v="232.5"/>
  </r>
  <r>
    <n v="708274"/>
    <n v="18111982"/>
    <n v="6"/>
    <n v="3"/>
    <n v="1"/>
    <x v="7"/>
    <x v="2"/>
    <s v="18111982"/>
    <n v="40.271232876712325"/>
    <n v="175"/>
    <n v="29.166666666666668"/>
  </r>
  <r>
    <n v="24553936"/>
    <n v="30121982"/>
    <n v="4"/>
    <n v="1"/>
    <n v="1"/>
    <x v="3"/>
    <x v="2"/>
    <s v="30121982"/>
    <n v="40.156164383561645"/>
    <n v="175"/>
    <n v="43.75"/>
  </r>
  <r>
    <n v="6857774"/>
    <n v="24011983"/>
    <n v="4"/>
    <n v="2"/>
    <n v="2"/>
    <x v="9"/>
    <x v="3"/>
    <s v="24011983"/>
    <n v="40.087671232876716"/>
    <n v="697.5"/>
    <n v="174.375"/>
  </r>
  <r>
    <n v="1258248"/>
    <n v="29061985"/>
    <n v="5"/>
    <n v="2"/>
    <n v="1"/>
    <x v="5"/>
    <x v="2"/>
    <s v="29061985"/>
    <n v="37.657534246575345"/>
    <n v="175"/>
    <n v="35"/>
  </r>
  <r>
    <n v="14176730"/>
    <n v="6101985"/>
    <n v="6"/>
    <n v="0"/>
    <n v="1"/>
    <x v="0"/>
    <x v="3"/>
    <s v="06101985"/>
    <n v="37.386301369863013"/>
    <n v="175"/>
    <n v="29.166666666666668"/>
  </r>
  <r>
    <n v="19577128"/>
    <n v="26101982"/>
    <n v="4"/>
    <n v="1"/>
    <n v="1"/>
    <x v="1"/>
    <x v="2"/>
    <s v="26101982"/>
    <n v="40.334246575342469"/>
    <n v="175"/>
    <n v="43.75"/>
  </r>
  <r>
    <n v="4652099"/>
    <n v="9051983"/>
    <n v="2"/>
    <n v="1"/>
    <n v="1"/>
    <x v="7"/>
    <x v="3"/>
    <s v="09051983"/>
    <n v="39.799999999999997"/>
    <n v="175"/>
    <n v="87.5"/>
  </r>
  <r>
    <n v="20057776"/>
    <n v="11061983"/>
    <n v="7"/>
    <n v="2"/>
    <n v="1"/>
    <x v="7"/>
    <x v="1"/>
    <s v="11061983"/>
    <n v="39.709589041095889"/>
    <n v="175"/>
    <n v="25"/>
  </r>
  <r>
    <n v="22528932"/>
    <n v="16031982"/>
    <n v="3"/>
    <n v="1"/>
    <n v="1"/>
    <x v="7"/>
    <x v="3"/>
    <s v="16031982"/>
    <n v="40.947945205479449"/>
    <n v="175"/>
    <n v="58.333333333333336"/>
  </r>
  <r>
    <n v="16580423"/>
    <n v="3051982"/>
    <n v="4"/>
    <n v="2"/>
    <n v="1"/>
    <x v="0"/>
    <x v="2"/>
    <s v="03051982"/>
    <n v="40.816438356164383"/>
    <n v="175"/>
    <n v="43.75"/>
  </r>
  <r>
    <n v="19699552"/>
    <n v="17031982"/>
    <n v="4"/>
    <n v="1"/>
    <n v="1"/>
    <x v="1"/>
    <x v="3"/>
    <s v="17031982"/>
    <n v="40.945205479452056"/>
    <n v="175"/>
    <n v="43.75"/>
  </r>
  <r>
    <n v="17044660"/>
    <n v="30061982"/>
    <n v="5"/>
    <n v="3"/>
    <n v="1"/>
    <x v="1"/>
    <x v="2"/>
    <s v="30061982"/>
    <n v="40.657534246575345"/>
    <n v="175"/>
    <n v="35"/>
  </r>
  <r>
    <n v="21374481"/>
    <n v="13091977"/>
    <n v="0"/>
    <n v="0"/>
    <n v="1"/>
    <x v="0"/>
    <x v="0"/>
    <s v="13091977"/>
    <n v="45.454794520547942"/>
    <n v="175"/>
    <n v="0"/>
  </r>
  <r>
    <n v="19890446"/>
    <n v="23071982"/>
    <n v="4"/>
    <n v="1"/>
    <n v="1"/>
    <x v="7"/>
    <x v="3"/>
    <s v="23071982"/>
    <n v="40.594520547945208"/>
    <n v="175"/>
    <n v="43.75"/>
  </r>
  <r>
    <n v="18375696"/>
    <n v="29011982"/>
    <n v="4"/>
    <n v="1"/>
    <n v="1"/>
    <x v="4"/>
    <x v="9"/>
    <s v="29011982"/>
    <n v="41.073972602739723"/>
    <n v="175"/>
    <n v="43.75"/>
  </r>
  <r>
    <n v="8653894"/>
    <n v="29091982"/>
    <n v="6"/>
    <n v="1"/>
    <n v="1"/>
    <x v="5"/>
    <x v="1"/>
    <s v="29091982"/>
    <n v="40.408219178082192"/>
    <n v="175"/>
    <n v="29.166666666666668"/>
  </r>
  <r>
    <n v="4278352"/>
    <n v="11031982"/>
    <n v="4"/>
    <n v="2"/>
    <n v="3"/>
    <x v="2"/>
    <x v="7"/>
    <s v="11031982"/>
    <n v="40.961643835616435"/>
    <n v="1397.5"/>
    <n v="349.375"/>
  </r>
  <r>
    <n v="17271"/>
    <n v="29081979"/>
    <n v="3"/>
    <n v="1"/>
    <n v="1"/>
    <x v="4"/>
    <x v="2"/>
    <s v="29081979"/>
    <n v="43.495890410958907"/>
    <n v="175"/>
    <n v="58.333333333333336"/>
  </r>
  <r>
    <n v="10989095"/>
    <n v="19051986"/>
    <n v="4"/>
    <n v="0"/>
    <n v="1"/>
    <x v="5"/>
    <x v="3"/>
    <s v="19051986"/>
    <n v="36.769863013698632"/>
    <n v="175"/>
    <n v="43.75"/>
  </r>
  <r>
    <n v="10084270"/>
    <n v="18111983"/>
    <n v="3"/>
    <n v="2"/>
    <n v="1"/>
    <x v="1"/>
    <x v="2"/>
    <s v="18111983"/>
    <n v="39.271232876712325"/>
    <n v="175"/>
    <n v="58.333333333333336"/>
  </r>
  <r>
    <n v="16581673"/>
    <n v="24011983"/>
    <n v="7"/>
    <n v="1"/>
    <n v="3"/>
    <x v="7"/>
    <x v="9"/>
    <s v="24011983"/>
    <n v="40.087671232876716"/>
    <n v="1397.5"/>
    <n v="199.64285714285714"/>
  </r>
  <r>
    <n v="3438133"/>
    <n v="11021986"/>
    <n v="2"/>
    <n v="1"/>
    <n v="3"/>
    <x v="6"/>
    <x v="7"/>
    <s v="11021986"/>
    <n v="37.035616438356165"/>
    <n v="1397.5"/>
    <n v="698.75"/>
  </r>
  <r>
    <n v="2766647"/>
    <n v="1051980"/>
    <n v="7"/>
    <n v="3"/>
    <n v="2"/>
    <x v="1"/>
    <x v="2"/>
    <s v="01051980"/>
    <n v="42.821917808219176"/>
    <n v="697.5"/>
    <n v="99.642857142857139"/>
  </r>
  <r>
    <n v="9232487"/>
    <n v="27051983"/>
    <n v="4"/>
    <n v="2"/>
    <n v="1"/>
    <x v="7"/>
    <x v="9"/>
    <s v="27051983"/>
    <n v="39.750684931506846"/>
    <n v="175"/>
    <n v="43.75"/>
  </r>
  <r>
    <n v="11902970"/>
    <n v="14051983"/>
    <n v="6"/>
    <n v="2"/>
    <n v="1"/>
    <x v="7"/>
    <x v="1"/>
    <s v="14051983"/>
    <n v="39.786301369863011"/>
    <n v="175"/>
    <n v="29.166666666666668"/>
  </r>
  <r>
    <n v="22925996"/>
    <n v="23071984"/>
    <n v="5"/>
    <n v="2"/>
    <n v="1"/>
    <x v="1"/>
    <x v="1"/>
    <s v="23071984"/>
    <n v="38.591780821917808"/>
    <n v="175"/>
    <n v="35"/>
  </r>
  <r>
    <n v="11409904"/>
    <n v="15091983"/>
    <n v="5"/>
    <n v="2"/>
    <n v="4"/>
    <x v="2"/>
    <x v="7"/>
    <s v="15091983"/>
    <n v="39.446575342465756"/>
    <n v="2100"/>
    <n v="420"/>
  </r>
  <r>
    <n v="3686004"/>
    <n v="23071983"/>
    <n v="8"/>
    <n v="1"/>
    <n v="1"/>
    <x v="0"/>
    <x v="0"/>
    <s v="23071983"/>
    <n v="39.594520547945208"/>
    <n v="175"/>
    <n v="21.875"/>
  </r>
  <r>
    <n v="19135863"/>
    <n v="27061983"/>
    <n v="4"/>
    <n v="1"/>
    <n v="1"/>
    <x v="1"/>
    <x v="2"/>
    <s v="27061983"/>
    <n v="39.665753424657531"/>
    <n v="175"/>
    <n v="43.75"/>
  </r>
  <r>
    <n v="6370953"/>
    <n v="20081983"/>
    <n v="5"/>
    <n v="1"/>
    <n v="2"/>
    <x v="2"/>
    <x v="3"/>
    <s v="20081983"/>
    <n v="39.517808219178079"/>
    <n v="697.5"/>
    <n v="139.5"/>
  </r>
  <r>
    <n v="15550542"/>
    <n v="17091983"/>
    <n v="6"/>
    <n v="1"/>
    <n v="1"/>
    <x v="4"/>
    <x v="5"/>
    <s v="17091983"/>
    <n v="39.441095890410956"/>
    <n v="175"/>
    <n v="29.166666666666668"/>
  </r>
  <r>
    <n v="2214889"/>
    <n v="31071983"/>
    <n v="1"/>
    <n v="1"/>
    <n v="1"/>
    <x v="1"/>
    <x v="0"/>
    <s v="31071983"/>
    <n v="39.57260273972603"/>
    <n v="175"/>
    <n v="175"/>
  </r>
  <r>
    <n v="16201928"/>
    <n v="13101983"/>
    <n v="4"/>
    <n v="1"/>
    <n v="1"/>
    <x v="7"/>
    <x v="0"/>
    <s v="13101983"/>
    <n v="39.369863013698627"/>
    <n v="175"/>
    <n v="43.75"/>
  </r>
  <r>
    <n v="24645692"/>
    <n v="10101983"/>
    <n v="4"/>
    <n v="2"/>
    <n v="1"/>
    <x v="4"/>
    <x v="2"/>
    <s v="10101983"/>
    <n v="39.37808219178082"/>
    <n v="175"/>
    <n v="43.75"/>
  </r>
  <r>
    <n v="11930167"/>
    <n v="26011983"/>
    <n v="4"/>
    <n v="1"/>
    <n v="1"/>
    <x v="9"/>
    <x v="2"/>
    <s v="26011983"/>
    <n v="40.082191780821915"/>
    <n v="175"/>
    <n v="43.75"/>
  </r>
  <r>
    <n v="1146554"/>
    <n v="21101983"/>
    <n v="5"/>
    <n v="1"/>
    <n v="1"/>
    <x v="5"/>
    <x v="1"/>
    <s v="21101983"/>
    <n v="39.347945205479455"/>
    <n v="175"/>
    <n v="35"/>
  </r>
  <r>
    <n v="4541506"/>
    <n v="31081983"/>
    <n v="5"/>
    <n v="1"/>
    <n v="1"/>
    <x v="4"/>
    <x v="0"/>
    <s v="31081983"/>
    <n v="39.487671232876714"/>
    <n v="175"/>
    <n v="35"/>
  </r>
  <r>
    <n v="5508773"/>
    <n v="15011984"/>
    <n v="5"/>
    <n v="1"/>
    <n v="1"/>
    <x v="5"/>
    <x v="0"/>
    <s v="15011984"/>
    <n v="39.112328767123287"/>
    <n v="175"/>
    <n v="35"/>
  </r>
  <r>
    <n v="6576932"/>
    <n v="20011984"/>
    <n v="7"/>
    <n v="0"/>
    <n v="1"/>
    <x v="4"/>
    <x v="3"/>
    <s v="20011984"/>
    <n v="39.098630136986301"/>
    <n v="175"/>
    <n v="25"/>
  </r>
  <r>
    <n v="195961"/>
    <n v="7021984"/>
    <n v="8"/>
    <n v="2"/>
    <n v="1"/>
    <x v="7"/>
    <x v="1"/>
    <s v="07021984"/>
    <n v="39.049315068493151"/>
    <n v="175"/>
    <n v="21.875"/>
  </r>
  <r>
    <n v="6418505"/>
    <n v="15041984"/>
    <n v="3"/>
    <n v="1"/>
    <n v="1"/>
    <x v="5"/>
    <x v="1"/>
    <s v="15041984"/>
    <n v="38.863013698630134"/>
    <n v="175"/>
    <n v="58.333333333333336"/>
  </r>
  <r>
    <n v="7648323"/>
    <n v="5021989"/>
    <n v="5"/>
    <n v="1"/>
    <n v="1"/>
    <x v="1"/>
    <x v="2"/>
    <s v="05021989"/>
    <n v="34.049315068493151"/>
    <n v="175"/>
    <n v="35"/>
  </r>
  <r>
    <n v="19495326"/>
    <n v="19121983"/>
    <n v="6"/>
    <n v="1"/>
    <n v="1"/>
    <x v="0"/>
    <x v="1"/>
    <s v="19121983"/>
    <n v="39.186301369863017"/>
    <n v="175"/>
    <n v="29.166666666666668"/>
  </r>
  <r>
    <n v="3626946"/>
    <n v="21081984"/>
    <n v="3"/>
    <n v="2"/>
    <n v="1"/>
    <x v="0"/>
    <x v="3"/>
    <s v="21081984"/>
    <n v="38.512328767123286"/>
    <n v="175"/>
    <n v="58.333333333333336"/>
  </r>
  <r>
    <n v="7315945"/>
    <n v="10121985"/>
    <n v="5"/>
    <n v="2"/>
    <n v="2"/>
    <x v="7"/>
    <x v="3"/>
    <s v="10121985"/>
    <n v="37.208219178082189"/>
    <n v="697.5"/>
    <n v="139.5"/>
  </r>
  <r>
    <n v="8934054"/>
    <n v="2021984"/>
    <n v="5"/>
    <n v="3"/>
    <n v="1"/>
    <x v="4"/>
    <x v="0"/>
    <s v="02021984"/>
    <n v="39.063013698630137"/>
    <n v="175"/>
    <n v="35"/>
  </r>
  <r>
    <n v="7764957"/>
    <n v="17021984"/>
    <n v="6"/>
    <n v="2"/>
    <n v="3"/>
    <x v="2"/>
    <x v="7"/>
    <s v="17021984"/>
    <n v="39.021917808219179"/>
    <n v="1397.5"/>
    <n v="232.91666666666666"/>
  </r>
  <r>
    <n v="22775546"/>
    <n v="13041984"/>
    <n v="3"/>
    <n v="2"/>
    <n v="2"/>
    <x v="5"/>
    <x v="3"/>
    <s v="13041984"/>
    <n v="38.868493150684934"/>
    <n v="697.5"/>
    <n v="232.5"/>
  </r>
  <r>
    <n v="7057293"/>
    <n v="12041984"/>
    <n v="3"/>
    <n v="0"/>
    <n v="2"/>
    <x v="9"/>
    <x v="7"/>
    <s v="12041984"/>
    <n v="38.871232876712327"/>
    <n v="697.5"/>
    <n v="232.5"/>
  </r>
  <r>
    <n v="113800"/>
    <n v="30031984"/>
    <n v="4"/>
    <n v="1"/>
    <n v="2"/>
    <x v="7"/>
    <x v="1"/>
    <s v="30031984"/>
    <n v="38.906849315068492"/>
    <n v="697.5"/>
    <n v="174.375"/>
  </r>
  <r>
    <n v="9888750"/>
    <n v="20081984"/>
    <n v="5"/>
    <n v="3"/>
    <n v="4"/>
    <x v="6"/>
    <x v="7"/>
    <s v="20081984"/>
    <n v="38.515068493150686"/>
    <n v="2100"/>
    <n v="420"/>
  </r>
  <r>
    <n v="19501809"/>
    <n v="27081984"/>
    <n v="3"/>
    <n v="1"/>
    <n v="2"/>
    <x v="4"/>
    <x v="7"/>
    <s v="27081984"/>
    <n v="38.495890410958907"/>
    <n v="697.5"/>
    <n v="232.5"/>
  </r>
  <r>
    <n v="8046346"/>
    <n v="27071984"/>
    <n v="5"/>
    <n v="1"/>
    <n v="2"/>
    <x v="2"/>
    <x v="1"/>
    <s v="27071984"/>
    <n v="38.580821917808223"/>
    <n v="697.5"/>
    <n v="139.5"/>
  </r>
  <r>
    <n v="18529126"/>
    <n v="12091984"/>
    <n v="6"/>
    <n v="0"/>
    <n v="1"/>
    <x v="7"/>
    <x v="1"/>
    <s v="12091984"/>
    <n v="38.452054794520549"/>
    <n v="175"/>
    <n v="29.166666666666668"/>
  </r>
  <r>
    <n v="22059075"/>
    <n v="19011985"/>
    <n v="3"/>
    <n v="2"/>
    <n v="1"/>
    <x v="9"/>
    <x v="6"/>
    <s v="19011985"/>
    <n v="38.098630136986301"/>
    <n v="175"/>
    <n v="58.333333333333336"/>
  </r>
  <r>
    <n v="19200896"/>
    <n v="13081985"/>
    <n v="3"/>
    <n v="2"/>
    <n v="1"/>
    <x v="7"/>
    <x v="3"/>
    <s v="13081985"/>
    <n v="37.534246575342465"/>
    <n v="175"/>
    <n v="58.333333333333336"/>
  </r>
  <r>
    <n v="24832343"/>
    <n v="10121984"/>
    <n v="5"/>
    <n v="1"/>
    <n v="1"/>
    <x v="7"/>
    <x v="3"/>
    <s v="10121984"/>
    <n v="38.208219178082189"/>
    <n v="175"/>
    <n v="35"/>
  </r>
  <r>
    <n v="7227082"/>
    <n v="24121984"/>
    <n v="6"/>
    <n v="1"/>
    <n v="1"/>
    <x v="1"/>
    <x v="4"/>
    <s v="24121984"/>
    <n v="38.169863013698631"/>
    <n v="175"/>
    <n v="29.166666666666668"/>
  </r>
  <r>
    <n v="21434767"/>
    <n v="3051984"/>
    <n v="6"/>
    <n v="1"/>
    <n v="1"/>
    <x v="7"/>
    <x v="1"/>
    <s v="03051984"/>
    <n v="38.813698630136983"/>
    <n v="175"/>
    <n v="29.166666666666668"/>
  </r>
  <r>
    <n v="16987198"/>
    <n v="21061984"/>
    <n v="6"/>
    <n v="1"/>
    <n v="1"/>
    <x v="7"/>
    <x v="10"/>
    <s v="21061984"/>
    <n v="38.679452054794524"/>
    <n v="175"/>
    <n v="29.166666666666668"/>
  </r>
  <r>
    <n v="15632579"/>
    <n v="22061984"/>
    <n v="5"/>
    <n v="0"/>
    <n v="1"/>
    <x v="0"/>
    <x v="2"/>
    <s v="22061984"/>
    <n v="38.676712328767124"/>
    <n v="175"/>
    <n v="35"/>
  </r>
  <r>
    <n v="15833735"/>
    <n v="9041984"/>
    <n v="5"/>
    <n v="1"/>
    <n v="1"/>
    <x v="0"/>
    <x v="1"/>
    <s v="09041984"/>
    <n v="38.87945205479452"/>
    <n v="175"/>
    <n v="35"/>
  </r>
  <r>
    <n v="3652937"/>
    <n v="25061984"/>
    <n v="3"/>
    <n v="1"/>
    <n v="1"/>
    <x v="8"/>
    <x v="10"/>
    <s v="25061984"/>
    <n v="38.668493150684931"/>
    <n v="175"/>
    <n v="58.333333333333336"/>
  </r>
  <r>
    <n v="17869894"/>
    <n v="22051984"/>
    <n v="4"/>
    <n v="1"/>
    <n v="1"/>
    <x v="5"/>
    <x v="0"/>
    <s v="22051984"/>
    <n v="38.761643835616439"/>
    <n v="175"/>
    <n v="43.75"/>
  </r>
  <r>
    <n v="15215327"/>
    <n v="31081984"/>
    <n v="3"/>
    <n v="1"/>
    <n v="1"/>
    <x v="8"/>
    <x v="0"/>
    <s v="31081984"/>
    <n v="38.484931506849314"/>
    <n v="175"/>
    <n v="58.333333333333336"/>
  </r>
  <r>
    <n v="6513067"/>
    <n v="8111984"/>
    <n v="5"/>
    <n v="2"/>
    <n v="1"/>
    <x v="0"/>
    <x v="0"/>
    <s v="08111984"/>
    <n v="38.295890410958904"/>
    <n v="175"/>
    <n v="35"/>
  </r>
  <r>
    <n v="7494989"/>
    <n v="13111984"/>
    <n v="0"/>
    <n v="0"/>
    <n v="1"/>
    <x v="4"/>
    <x v="5"/>
    <s v="13111984"/>
    <n v="38.282191780821918"/>
    <n v="175"/>
    <n v="0"/>
  </r>
  <r>
    <n v="6759394"/>
    <n v="23071984"/>
    <n v="1"/>
    <n v="0"/>
    <n v="1"/>
    <x v="4"/>
    <x v="2"/>
    <s v="23071984"/>
    <n v="38.591780821917808"/>
    <n v="175"/>
    <n v="175"/>
  </r>
  <r>
    <n v="22809216"/>
    <n v="9121984"/>
    <n v="4"/>
    <n v="1"/>
    <n v="1"/>
    <x v="5"/>
    <x v="3"/>
    <s v="09121984"/>
    <n v="38.210958904109589"/>
    <n v="175"/>
    <n v="43.75"/>
  </r>
  <r>
    <n v="13729791"/>
    <n v="19121984"/>
    <n v="6"/>
    <n v="3"/>
    <n v="2"/>
    <x v="1"/>
    <x v="2"/>
    <s v="19121984"/>
    <n v="38.183561643835617"/>
    <n v="697.5"/>
    <n v="116.25"/>
  </r>
  <r>
    <n v="15344500"/>
    <n v="13091984"/>
    <n v="4"/>
    <n v="1"/>
    <n v="1"/>
    <x v="7"/>
    <x v="3"/>
    <s v="13091984"/>
    <n v="38.449315068493149"/>
    <n v="175"/>
    <n v="43.75"/>
  </r>
  <r>
    <n v="22369018"/>
    <n v="27051985"/>
    <n v="5"/>
    <n v="2"/>
    <n v="1"/>
    <x v="1"/>
    <x v="0"/>
    <s v="27051985"/>
    <n v="37.747945205479454"/>
    <n v="175"/>
    <n v="35"/>
  </r>
  <r>
    <n v="2543888"/>
    <n v="21091984"/>
    <n v="4"/>
    <n v="1"/>
    <n v="1"/>
    <x v="7"/>
    <x v="3"/>
    <s v="21091984"/>
    <n v="38.42739726027397"/>
    <n v="175"/>
    <n v="43.75"/>
  </r>
  <r>
    <n v="14883448"/>
    <n v="10071984"/>
    <n v="8"/>
    <n v="1"/>
    <n v="1"/>
    <x v="7"/>
    <x v="1"/>
    <s v="10071984"/>
    <n v="38.627397260273973"/>
    <n v="175"/>
    <n v="21.875"/>
  </r>
  <r>
    <n v="5372237"/>
    <n v="10121984"/>
    <n v="4"/>
    <n v="1"/>
    <n v="2"/>
    <x v="2"/>
    <x v="3"/>
    <s v="10121984"/>
    <n v="38.208219178082189"/>
    <n v="697.5"/>
    <n v="174.375"/>
  </r>
  <r>
    <n v="7940938"/>
    <n v="3121984"/>
    <n v="6"/>
    <n v="1"/>
    <n v="6"/>
    <x v="2"/>
    <x v="3"/>
    <s v="03121984"/>
    <n v="38.227397260273975"/>
    <n v="4000"/>
    <n v="666.66666666666663"/>
  </r>
  <r>
    <n v="10304598"/>
    <n v="20021985"/>
    <n v="3"/>
    <n v="1"/>
    <n v="1"/>
    <x v="4"/>
    <x v="0"/>
    <s v="20021985"/>
    <n v="38.010958904109586"/>
    <n v="175"/>
    <n v="58.333333333333336"/>
  </r>
  <r>
    <n v="15908255"/>
    <n v="18061985"/>
    <n v="4"/>
    <n v="1"/>
    <n v="1"/>
    <x v="1"/>
    <x v="1"/>
    <s v="18061985"/>
    <n v="37.68767123287671"/>
    <n v="175"/>
    <n v="43.75"/>
  </r>
  <r>
    <n v="9238949"/>
    <n v="19081988"/>
    <n v="2"/>
    <n v="1"/>
    <n v="1"/>
    <x v="8"/>
    <x v="7"/>
    <s v="19081988"/>
    <n v="34.515068493150686"/>
    <n v="175"/>
    <n v="87.5"/>
  </r>
  <r>
    <n v="8488131"/>
    <n v="22111985"/>
    <n v="4"/>
    <n v="1"/>
    <n v="3"/>
    <x v="0"/>
    <x v="0"/>
    <s v="22111985"/>
    <n v="37.257534246575339"/>
    <n v="1397.5"/>
    <n v="349.375"/>
  </r>
  <r>
    <n v="8482121"/>
    <n v="24101985"/>
    <n v="6"/>
    <n v="1"/>
    <n v="2"/>
    <x v="7"/>
    <x v="3"/>
    <s v="24101985"/>
    <n v="37.336986301369862"/>
    <n v="697.5"/>
    <n v="116.25"/>
  </r>
  <r>
    <n v="13907007"/>
    <n v="13011985"/>
    <n v="4"/>
    <n v="0"/>
    <n v="1"/>
    <x v="1"/>
    <x v="2"/>
    <s v="13011985"/>
    <n v="38.115068493150687"/>
    <n v="175"/>
    <n v="43.75"/>
  </r>
  <r>
    <n v="23043294"/>
    <n v="5021985"/>
    <n v="4"/>
    <n v="1"/>
    <n v="1"/>
    <x v="0"/>
    <x v="0"/>
    <s v="05021985"/>
    <n v="38.052054794520551"/>
    <n v="175"/>
    <n v="43.75"/>
  </r>
  <r>
    <n v="2850425"/>
    <n v="2041985"/>
    <n v="3"/>
    <n v="1"/>
    <n v="2"/>
    <x v="0"/>
    <x v="1"/>
    <s v="02041985"/>
    <n v="37.898630136986299"/>
    <n v="697.5"/>
    <n v="232.5"/>
  </r>
  <r>
    <n v="12580130"/>
    <n v="17071985"/>
    <n v="5"/>
    <n v="2"/>
    <n v="2"/>
    <x v="2"/>
    <x v="7"/>
    <s v="17071985"/>
    <n v="37.608219178082194"/>
    <n v="697.5"/>
    <n v="139.5"/>
  </r>
  <r>
    <n v="14716081"/>
    <n v="17071985"/>
    <n v="3"/>
    <n v="2"/>
    <n v="1"/>
    <x v="2"/>
    <x v="7"/>
    <s v="17071985"/>
    <n v="37.608219178082194"/>
    <n v="175"/>
    <n v="58.333333333333336"/>
  </r>
  <r>
    <n v="23405829"/>
    <n v="1081985"/>
    <n v="4"/>
    <n v="0"/>
    <n v="5"/>
    <x v="9"/>
    <x v="7"/>
    <s v="01081985"/>
    <n v="37.56712328767123"/>
    <n v="2787.5"/>
    <n v="696.875"/>
  </r>
  <r>
    <n v="21371049"/>
    <n v="12091985"/>
    <n v="5"/>
    <n v="2"/>
    <n v="3"/>
    <x v="7"/>
    <x v="7"/>
    <s v="12091985"/>
    <n v="37.452054794520549"/>
    <n v="1397.5"/>
    <n v="279.5"/>
  </r>
  <r>
    <n v="20735790"/>
    <n v="28091985"/>
    <n v="5"/>
    <n v="1"/>
    <n v="1"/>
    <x v="7"/>
    <x v="3"/>
    <s v="28091985"/>
    <n v="37.408219178082192"/>
    <n v="175"/>
    <n v="35"/>
  </r>
  <r>
    <n v="5248480"/>
    <n v="1101985"/>
    <n v="0"/>
    <n v="0"/>
    <n v="1"/>
    <x v="4"/>
    <x v="5"/>
    <s v="01101985"/>
    <n v="37.4"/>
    <n v="175"/>
    <n v="0"/>
  </r>
  <r>
    <n v="1711896"/>
    <n v="11101985"/>
    <n v="5"/>
    <n v="1"/>
    <n v="1"/>
    <x v="7"/>
    <x v="3"/>
    <s v="11101985"/>
    <n v="37.372602739726027"/>
    <n v="175"/>
    <n v="35"/>
  </r>
  <r>
    <n v="5075078"/>
    <n v="18101985"/>
    <n v="5"/>
    <n v="1"/>
    <n v="1"/>
    <x v="5"/>
    <x v="2"/>
    <s v="18101985"/>
    <n v="37.353424657534248"/>
    <n v="175"/>
    <n v="35"/>
  </r>
  <r>
    <n v="2404829"/>
    <n v="2111985"/>
    <n v="3"/>
    <n v="1"/>
    <n v="1"/>
    <x v="1"/>
    <x v="2"/>
    <s v="02111985"/>
    <n v="37.31232876712329"/>
    <n v="175"/>
    <n v="58.333333333333336"/>
  </r>
  <r>
    <n v="5609400"/>
    <n v="29101985"/>
    <n v="0"/>
    <n v="0"/>
    <n v="1"/>
    <x v="4"/>
    <x v="5"/>
    <s v="29101985"/>
    <n v="37.323287671232876"/>
    <n v="175"/>
    <n v="0"/>
  </r>
  <r>
    <n v="13518835"/>
    <n v="10111985"/>
    <n v="4"/>
    <n v="2"/>
    <n v="1"/>
    <x v="0"/>
    <x v="3"/>
    <s v="10111985"/>
    <n v="37.290410958904111"/>
    <n v="175"/>
    <n v="43.75"/>
  </r>
  <r>
    <n v="8295038"/>
    <n v="18121985"/>
    <n v="2"/>
    <n v="1"/>
    <n v="1"/>
    <x v="7"/>
    <x v="3"/>
    <s v="18121985"/>
    <n v="37.186301369863017"/>
    <n v="175"/>
    <n v="87.5"/>
  </r>
  <r>
    <n v="3099476"/>
    <n v="5061985"/>
    <n v="6"/>
    <n v="3"/>
    <n v="6"/>
    <x v="2"/>
    <x v="7"/>
    <s v="05061985"/>
    <n v="37.723287671232875"/>
    <n v="4000"/>
    <n v="666.66666666666663"/>
  </r>
  <r>
    <n v="21265253"/>
    <n v="23061985"/>
    <n v="6"/>
    <n v="1"/>
    <n v="1"/>
    <x v="1"/>
    <x v="0"/>
    <s v="23061985"/>
    <n v="37.673972602739724"/>
    <n v="175"/>
    <n v="29.166666666666668"/>
  </r>
  <r>
    <n v="10078446"/>
    <n v="29041986"/>
    <n v="0"/>
    <n v="0"/>
    <n v="1"/>
    <x v="4"/>
    <x v="5"/>
    <s v="29041986"/>
    <n v="36.824657534246576"/>
    <n v="175"/>
    <n v="0"/>
  </r>
  <r>
    <n v="17469613"/>
    <n v="21041986"/>
    <n v="5"/>
    <n v="2"/>
    <n v="1"/>
    <x v="5"/>
    <x v="1"/>
    <s v="21041986"/>
    <n v="36.846575342465755"/>
    <n v="175"/>
    <n v="35"/>
  </r>
  <r>
    <n v="5420511"/>
    <n v="28061985"/>
    <n v="6"/>
    <n v="1"/>
    <n v="4"/>
    <x v="2"/>
    <x v="7"/>
    <s v="28061985"/>
    <n v="37.660273972602738"/>
    <n v="2100"/>
    <n v="350"/>
  </r>
  <r>
    <n v="6462211"/>
    <n v="16021985"/>
    <n v="6"/>
    <n v="1"/>
    <n v="1"/>
    <x v="9"/>
    <x v="3"/>
    <s v="16021985"/>
    <n v="38.021917808219179"/>
    <n v="175"/>
    <n v="29.166666666666668"/>
  </r>
  <r>
    <n v="11370228"/>
    <n v="17021985"/>
    <n v="6"/>
    <n v="2"/>
    <n v="2"/>
    <x v="1"/>
    <x v="2"/>
    <s v="17021985"/>
    <n v="38.019178082191779"/>
    <n v="697.5"/>
    <n v="116.25"/>
  </r>
  <r>
    <n v="18210590"/>
    <n v="19021985"/>
    <n v="3"/>
    <n v="0"/>
    <n v="1"/>
    <x v="8"/>
    <x v="1"/>
    <s v="19021985"/>
    <n v="38.013698630136986"/>
    <n v="175"/>
    <n v="58.333333333333336"/>
  </r>
  <r>
    <n v="3273665"/>
    <n v="10041985"/>
    <n v="3"/>
    <n v="1"/>
    <n v="1"/>
    <x v="4"/>
    <x v="2"/>
    <s v="10041985"/>
    <n v="37.876712328767127"/>
    <n v="175"/>
    <n v="58.333333333333336"/>
  </r>
  <r>
    <n v="1063700"/>
    <n v="27041985"/>
    <n v="4"/>
    <n v="2"/>
    <n v="1"/>
    <x v="5"/>
    <x v="1"/>
    <s v="27041985"/>
    <n v="37.830136986301369"/>
    <n v="175"/>
    <n v="43.75"/>
  </r>
  <r>
    <n v="22758666"/>
    <n v="15041985"/>
    <n v="5"/>
    <n v="1"/>
    <n v="1"/>
    <x v="1"/>
    <x v="2"/>
    <s v="15041985"/>
    <n v="37.863013698630134"/>
    <n v="175"/>
    <n v="35"/>
  </r>
  <r>
    <n v="10143125"/>
    <n v="13041985"/>
    <n v="4"/>
    <n v="0"/>
    <n v="1"/>
    <x v="1"/>
    <x v="2"/>
    <s v="13041985"/>
    <n v="37.868493150684934"/>
    <n v="175"/>
    <n v="43.75"/>
  </r>
  <r>
    <n v="19019407"/>
    <n v="11051985"/>
    <n v="5"/>
    <n v="2"/>
    <n v="1"/>
    <x v="4"/>
    <x v="2"/>
    <s v="11051985"/>
    <n v="37.791780821917811"/>
    <n v="175"/>
    <n v="35"/>
  </r>
  <r>
    <n v="16551557"/>
    <n v="10051985"/>
    <n v="7"/>
    <n v="1"/>
    <n v="1"/>
    <x v="5"/>
    <x v="2"/>
    <s v="10051985"/>
    <n v="37.794520547945204"/>
    <n v="175"/>
    <n v="25"/>
  </r>
  <r>
    <n v="19902743"/>
    <n v="28061985"/>
    <n v="3"/>
    <n v="1"/>
    <n v="1"/>
    <x v="5"/>
    <x v="1"/>
    <s v="28061985"/>
    <n v="37.660273972602738"/>
    <n v="175"/>
    <n v="58.333333333333336"/>
  </r>
  <r>
    <n v="8168789"/>
    <n v="22071985"/>
    <n v="2"/>
    <n v="0"/>
    <n v="1"/>
    <x v="7"/>
    <x v="3"/>
    <s v="22071985"/>
    <n v="37.594520547945208"/>
    <n v="175"/>
    <n v="87.5"/>
  </r>
  <r>
    <n v="9669667"/>
    <n v="2081985"/>
    <n v="6"/>
    <n v="2"/>
    <n v="2"/>
    <x v="5"/>
    <x v="9"/>
    <s v="02081985"/>
    <n v="37.564383561643837"/>
    <n v="697.5"/>
    <n v="116.25"/>
  </r>
  <r>
    <n v="10737679"/>
    <n v="4081985"/>
    <n v="4"/>
    <n v="1"/>
    <n v="3"/>
    <x v="1"/>
    <x v="2"/>
    <s v="04081985"/>
    <n v="37.558904109589044"/>
    <n v="1397.5"/>
    <n v="349.375"/>
  </r>
  <r>
    <n v="17477129"/>
    <n v="28081985"/>
    <n v="6"/>
    <n v="2"/>
    <n v="1"/>
    <x v="5"/>
    <x v="0"/>
    <s v="28081985"/>
    <n v="37.493150684931507"/>
    <n v="175"/>
    <n v="29.166666666666668"/>
  </r>
  <r>
    <n v="12165691"/>
    <n v="6091985"/>
    <n v="6"/>
    <n v="1"/>
    <n v="1"/>
    <x v="7"/>
    <x v="0"/>
    <s v="06091985"/>
    <n v="37.468493150684928"/>
    <n v="175"/>
    <n v="29.166666666666668"/>
  </r>
  <r>
    <n v="6494043"/>
    <n v="19091985"/>
    <n v="4"/>
    <n v="1"/>
    <n v="1"/>
    <x v="7"/>
    <x v="3"/>
    <s v="19091985"/>
    <n v="37.43287671232877"/>
    <n v="175"/>
    <n v="43.75"/>
  </r>
  <r>
    <n v="16886595"/>
    <n v="12101985"/>
    <n v="4"/>
    <n v="1"/>
    <n v="1"/>
    <x v="0"/>
    <x v="0"/>
    <s v="12101985"/>
    <n v="37.369863013698627"/>
    <n v="175"/>
    <n v="43.75"/>
  </r>
  <r>
    <n v="8775596"/>
    <n v="15101985"/>
    <n v="4"/>
    <n v="1"/>
    <n v="1"/>
    <x v="1"/>
    <x v="1"/>
    <s v="15101985"/>
    <n v="37.361643835616441"/>
    <n v="175"/>
    <n v="43.75"/>
  </r>
  <r>
    <n v="7908865"/>
    <n v="26121985"/>
    <n v="5"/>
    <n v="1"/>
    <n v="3"/>
    <x v="9"/>
    <x v="9"/>
    <s v="26121985"/>
    <n v="37.164383561643838"/>
    <n v="1397.5"/>
    <n v="279.5"/>
  </r>
  <r>
    <n v="3536619"/>
    <n v="9011986"/>
    <n v="2"/>
    <n v="1"/>
    <n v="1"/>
    <x v="7"/>
    <x v="3"/>
    <s v="09011986"/>
    <n v="37.126027397260273"/>
    <n v="175"/>
    <n v="87.5"/>
  </r>
  <r>
    <n v="15212167"/>
    <n v="28021986"/>
    <n v="4"/>
    <n v="1"/>
    <n v="1"/>
    <x v="1"/>
    <x v="2"/>
    <s v="28021986"/>
    <n v="36.989041095890414"/>
    <n v="175"/>
    <n v="43.75"/>
  </r>
  <r>
    <n v="20653791"/>
    <n v="18101985"/>
    <n v="4"/>
    <n v="0"/>
    <n v="1"/>
    <x v="5"/>
    <x v="1"/>
    <s v="18101985"/>
    <n v="37.353424657534248"/>
    <n v="175"/>
    <n v="43.75"/>
  </r>
  <r>
    <n v="9770938"/>
    <n v="23031986"/>
    <n v="4"/>
    <n v="2"/>
    <n v="1"/>
    <x v="4"/>
    <x v="3"/>
    <s v="23031986"/>
    <n v="36.926027397260277"/>
    <n v="175"/>
    <n v="43.75"/>
  </r>
  <r>
    <n v="15486019"/>
    <n v="16041986"/>
    <n v="4"/>
    <n v="1"/>
    <n v="1"/>
    <x v="5"/>
    <x v="0"/>
    <s v="16041986"/>
    <n v="36.860273972602741"/>
    <n v="175"/>
    <n v="43.75"/>
  </r>
  <r>
    <n v="14316974"/>
    <n v="16041986"/>
    <n v="3"/>
    <n v="1"/>
    <n v="1"/>
    <x v="1"/>
    <x v="1"/>
    <s v="16041986"/>
    <n v="36.860273972602741"/>
    <n v="175"/>
    <n v="58.333333333333336"/>
  </r>
  <r>
    <n v="1701842"/>
    <n v="12051986"/>
    <n v="5"/>
    <n v="2"/>
    <n v="2"/>
    <x v="2"/>
    <x v="10"/>
    <s v="12051986"/>
    <n v="36.789041095890411"/>
    <n v="697.5"/>
    <n v="139.5"/>
  </r>
  <r>
    <n v="24148776"/>
    <n v="16051986"/>
    <n v="4"/>
    <n v="1"/>
    <n v="1"/>
    <x v="9"/>
    <x v="2"/>
    <s v="16051986"/>
    <n v="36.778082191780825"/>
    <n v="175"/>
    <n v="43.75"/>
  </r>
  <r>
    <n v="5889598"/>
    <n v="12051986"/>
    <n v="5"/>
    <n v="1"/>
    <n v="1"/>
    <x v="8"/>
    <x v="1"/>
    <s v="12051986"/>
    <n v="36.789041095890411"/>
    <n v="175"/>
    <n v="35"/>
  </r>
  <r>
    <n v="12933634"/>
    <n v="21051986"/>
    <n v="4"/>
    <n v="3"/>
    <n v="1"/>
    <x v="5"/>
    <x v="1"/>
    <s v="21051986"/>
    <n v="36.764383561643832"/>
    <n v="175"/>
    <n v="43.75"/>
  </r>
  <r>
    <n v="17536652"/>
    <n v="26051986"/>
    <n v="3"/>
    <n v="1"/>
    <n v="1"/>
    <x v="5"/>
    <x v="2"/>
    <s v="26051986"/>
    <n v="36.750684931506846"/>
    <n v="175"/>
    <n v="58.333333333333336"/>
  </r>
  <r>
    <n v="548130"/>
    <n v="28051986"/>
    <n v="3"/>
    <n v="0"/>
    <n v="1"/>
    <x v="7"/>
    <x v="2"/>
    <s v="28051986"/>
    <n v="36.745205479452054"/>
    <n v="175"/>
    <n v="58.333333333333336"/>
  </r>
  <r>
    <n v="14968262"/>
    <n v="28051986"/>
    <n v="3"/>
    <n v="0"/>
    <n v="1"/>
    <x v="7"/>
    <x v="0"/>
    <s v="28051986"/>
    <n v="36.745205479452054"/>
    <n v="175"/>
    <n v="58.333333333333336"/>
  </r>
  <r>
    <n v="11865835"/>
    <n v="27051986"/>
    <n v="4"/>
    <n v="0"/>
    <n v="1"/>
    <x v="5"/>
    <x v="2"/>
    <s v="27051986"/>
    <n v="36.747945205479454"/>
    <n v="175"/>
    <n v="43.75"/>
  </r>
  <r>
    <n v="19876989"/>
    <n v="13021986"/>
    <n v="5"/>
    <n v="1"/>
    <n v="1"/>
    <x v="7"/>
    <x v="0"/>
    <s v="13021986"/>
    <n v="37.030136986301372"/>
    <n v="175"/>
    <n v="35"/>
  </r>
  <r>
    <n v="10797503"/>
    <n v="16061986"/>
    <n v="5"/>
    <n v="1"/>
    <n v="1"/>
    <x v="7"/>
    <x v="3"/>
    <s v="16061986"/>
    <n v="36.69315068493151"/>
    <n v="175"/>
    <n v="35"/>
  </r>
  <r>
    <n v="20549603"/>
    <n v="17101985"/>
    <n v="3"/>
    <n v="1"/>
    <n v="1"/>
    <x v="6"/>
    <x v="1"/>
    <s v="17101985"/>
    <n v="37.356164383561641"/>
    <n v="175"/>
    <n v="58.333333333333336"/>
  </r>
  <r>
    <n v="1424007"/>
    <n v="17101985"/>
    <n v="6"/>
    <n v="1"/>
    <n v="1"/>
    <x v="7"/>
    <x v="0"/>
    <s v="17101985"/>
    <n v="37.356164383561641"/>
    <n v="175"/>
    <n v="29.166666666666668"/>
  </r>
  <r>
    <n v="18415640"/>
    <n v="5011986"/>
    <n v="6"/>
    <n v="2"/>
    <n v="1"/>
    <x v="0"/>
    <x v="0"/>
    <s v="05011986"/>
    <n v="37.136986301369866"/>
    <n v="175"/>
    <n v="29.166666666666668"/>
  </r>
  <r>
    <n v="2193773"/>
    <n v="17101985"/>
    <n v="4"/>
    <n v="1"/>
    <n v="1"/>
    <x v="5"/>
    <x v="3"/>
    <s v="17101985"/>
    <n v="37.356164383561641"/>
    <n v="175"/>
    <n v="43.75"/>
  </r>
  <r>
    <n v="11925562"/>
    <n v="19111985"/>
    <n v="6"/>
    <n v="1"/>
    <n v="1"/>
    <x v="7"/>
    <x v="3"/>
    <s v="19111985"/>
    <n v="37.265753424657532"/>
    <n v="175"/>
    <n v="29.166666666666668"/>
  </r>
  <r>
    <n v="8953072"/>
    <n v="6011986"/>
    <n v="4"/>
    <n v="1"/>
    <n v="1"/>
    <x v="7"/>
    <x v="3"/>
    <s v="06011986"/>
    <n v="37.134246575342466"/>
    <n v="175"/>
    <n v="43.75"/>
  </r>
  <r>
    <n v="12337459"/>
    <n v="10091983"/>
    <n v="2"/>
    <n v="1"/>
    <n v="1"/>
    <x v="9"/>
    <x v="7"/>
    <s v="10091983"/>
    <n v="39.460273972602742"/>
    <n v="175"/>
    <n v="87.5"/>
  </r>
  <r>
    <n v="20486454"/>
    <n v="19031986"/>
    <n v="6"/>
    <n v="1"/>
    <n v="1"/>
    <x v="7"/>
    <x v="3"/>
    <s v="19031986"/>
    <n v="36.936986301369863"/>
    <n v="175"/>
    <n v="29.166666666666668"/>
  </r>
  <r>
    <n v="11542365"/>
    <n v="5041984"/>
    <n v="5"/>
    <n v="1"/>
    <n v="1"/>
    <x v="5"/>
    <x v="1"/>
    <s v="05041984"/>
    <n v="38.890410958904113"/>
    <n v="175"/>
    <n v="35"/>
  </r>
  <r>
    <n v="2112157"/>
    <n v="13061986"/>
    <n v="5"/>
    <n v="1"/>
    <n v="6"/>
    <x v="2"/>
    <x v="3"/>
    <s v="13061986"/>
    <n v="36.701369863013696"/>
    <n v="4000"/>
    <n v="800"/>
  </r>
  <r>
    <n v="474805"/>
    <n v="24111986"/>
    <n v="5"/>
    <n v="1"/>
    <n v="3"/>
    <x v="2"/>
    <x v="10"/>
    <s v="24111986"/>
    <n v="36.252054794520546"/>
    <n v="1397.5"/>
    <n v="279.5"/>
  </r>
  <r>
    <n v="6328040"/>
    <n v="31071986"/>
    <n v="8"/>
    <n v="2"/>
    <n v="1"/>
    <x v="1"/>
    <x v="2"/>
    <s v="31071986"/>
    <n v="36.56986301369863"/>
    <n v="175"/>
    <n v="21.875"/>
  </r>
  <r>
    <n v="16575627"/>
    <n v="19041988"/>
    <n v="5"/>
    <n v="0"/>
    <n v="1"/>
    <x v="1"/>
    <x v="2"/>
    <s v="19041988"/>
    <n v="34.849315068493148"/>
    <n v="175"/>
    <n v="35"/>
  </r>
  <r>
    <n v="5582344"/>
    <n v="25071986"/>
    <n v="5"/>
    <n v="2"/>
    <n v="2"/>
    <x v="8"/>
    <x v="1"/>
    <s v="25071986"/>
    <n v="36.586301369863016"/>
    <n v="697.5"/>
    <n v="139.5"/>
  </r>
  <r>
    <n v="4262906"/>
    <n v="15041986"/>
    <n v="3"/>
    <n v="1"/>
    <n v="2"/>
    <x v="8"/>
    <x v="7"/>
    <s v="15041986"/>
    <n v="36.863013698630134"/>
    <n v="697.5"/>
    <n v="232.5"/>
  </r>
  <r>
    <n v="4039068"/>
    <n v="10091986"/>
    <n v="5"/>
    <n v="2"/>
    <n v="2"/>
    <x v="7"/>
    <x v="7"/>
    <s v="10091986"/>
    <n v="36.457534246575342"/>
    <n v="697.5"/>
    <n v="139.5"/>
  </r>
  <r>
    <n v="4496875"/>
    <n v="5101985"/>
    <n v="5"/>
    <n v="2"/>
    <n v="1"/>
    <x v="0"/>
    <x v="2"/>
    <s v="05101985"/>
    <n v="37.389041095890413"/>
    <n v="175"/>
    <n v="35"/>
  </r>
  <r>
    <n v="21918367"/>
    <n v="28121985"/>
    <n v="3"/>
    <n v="1"/>
    <n v="1"/>
    <x v="5"/>
    <x v="1"/>
    <s v="28121985"/>
    <n v="37.158904109589038"/>
    <n v="175"/>
    <n v="58.333333333333336"/>
  </r>
  <r>
    <n v="8380322"/>
    <n v="30101986"/>
    <n v="4"/>
    <n v="1"/>
    <n v="1"/>
    <x v="7"/>
    <x v="0"/>
    <s v="30101986"/>
    <n v="36.320547945205476"/>
    <n v="175"/>
    <n v="43.75"/>
  </r>
  <r>
    <n v="10718885"/>
    <n v="3091985"/>
    <n v="6"/>
    <n v="2"/>
    <n v="1"/>
    <x v="1"/>
    <x v="2"/>
    <s v="03091985"/>
    <n v="37.476712328767121"/>
    <n v="175"/>
    <n v="29.166666666666668"/>
  </r>
  <r>
    <n v="7678589"/>
    <n v="26081985"/>
    <n v="4"/>
    <n v="2"/>
    <n v="1"/>
    <x v="4"/>
    <x v="3"/>
    <s v="26081985"/>
    <n v="37.4986301369863"/>
    <n v="175"/>
    <n v="43.75"/>
  </r>
  <r>
    <n v="11808641"/>
    <n v="9091986"/>
    <n v="2"/>
    <n v="2"/>
    <n v="1"/>
    <x v="3"/>
    <x v="10"/>
    <s v="09091986"/>
    <n v="36.460273972602742"/>
    <n v="175"/>
    <n v="87.5"/>
  </r>
  <r>
    <n v="4432769"/>
    <n v="20111985"/>
    <n v="5"/>
    <n v="1"/>
    <n v="1"/>
    <x v="6"/>
    <x v="2"/>
    <s v="20111985"/>
    <n v="37.263013698630139"/>
    <n v="175"/>
    <n v="35"/>
  </r>
  <r>
    <n v="3899161"/>
    <n v="28081987"/>
    <n v="4"/>
    <n v="1"/>
    <n v="1"/>
    <x v="1"/>
    <x v="2"/>
    <s v="28081987"/>
    <n v="35.493150684931507"/>
    <n v="175"/>
    <n v="43.75"/>
  </r>
  <r>
    <n v="396348"/>
    <n v="31071986"/>
    <n v="5"/>
    <n v="2"/>
    <n v="1"/>
    <x v="1"/>
    <x v="3"/>
    <s v="31071986"/>
    <n v="36.56986301369863"/>
    <n v="175"/>
    <n v="35"/>
  </r>
  <r>
    <n v="7023654"/>
    <n v="24071986"/>
    <n v="4"/>
    <n v="2"/>
    <n v="2"/>
    <x v="5"/>
    <x v="2"/>
    <s v="24071986"/>
    <n v="36.589041095890408"/>
    <n v="697.5"/>
    <n v="174.375"/>
  </r>
  <r>
    <n v="13648500"/>
    <n v="24091985"/>
    <n v="5"/>
    <n v="2"/>
    <n v="2"/>
    <x v="8"/>
    <x v="3"/>
    <s v="24091985"/>
    <n v="37.419178082191777"/>
    <n v="697.5"/>
    <n v="139.5"/>
  </r>
  <r>
    <n v="13745379"/>
    <n v="20061986"/>
    <n v="5"/>
    <n v="1"/>
    <n v="1"/>
    <x v="4"/>
    <x v="2"/>
    <s v="20061986"/>
    <n v="36.682191780821917"/>
    <n v="175"/>
    <n v="35"/>
  </r>
  <r>
    <n v="12105560"/>
    <n v="23021986"/>
    <n v="7"/>
    <n v="1"/>
    <n v="2"/>
    <x v="2"/>
    <x v="1"/>
    <s v="23021986"/>
    <n v="37.0027397260274"/>
    <n v="697.5"/>
    <n v="99.642857142857139"/>
  </r>
  <r>
    <n v="21598174"/>
    <n v="7061986"/>
    <n v="9"/>
    <n v="0"/>
    <n v="1"/>
    <x v="1"/>
    <x v="4"/>
    <s v="07061986"/>
    <n v="36.717808219178082"/>
    <n v="175"/>
    <n v="19.444444444444443"/>
  </r>
  <r>
    <n v="3557563"/>
    <n v="19051986"/>
    <n v="5"/>
    <n v="1"/>
    <n v="1"/>
    <x v="7"/>
    <x v="0"/>
    <s v="19051986"/>
    <n v="36.769863013698632"/>
    <n v="175"/>
    <n v="35"/>
  </r>
  <r>
    <n v="4568255"/>
    <n v="14081986"/>
    <n v="6"/>
    <n v="2"/>
    <n v="3"/>
    <x v="9"/>
    <x v="7"/>
    <s v="14081986"/>
    <n v="36.531506849315072"/>
    <n v="1397.5"/>
    <n v="232.91666666666666"/>
  </r>
  <r>
    <n v="7042176"/>
    <n v="14111985"/>
    <n v="4"/>
    <n v="2"/>
    <n v="1"/>
    <x v="1"/>
    <x v="2"/>
    <s v="14111985"/>
    <n v="37.279452054794518"/>
    <n v="175"/>
    <n v="43.75"/>
  </r>
  <r>
    <n v="17520052"/>
    <n v="11011986"/>
    <n v="4"/>
    <n v="2"/>
    <n v="1"/>
    <x v="1"/>
    <x v="2"/>
    <s v="11011986"/>
    <n v="37.12054794520548"/>
    <n v="175"/>
    <n v="43.75"/>
  </r>
  <r>
    <n v="10577647"/>
    <n v="21011986"/>
    <n v="5"/>
    <n v="1"/>
    <n v="1"/>
    <x v="1"/>
    <x v="2"/>
    <s v="21011986"/>
    <n v="37.093150684931508"/>
    <n v="175"/>
    <n v="35"/>
  </r>
  <r>
    <n v="21996391"/>
    <n v="1021986"/>
    <n v="3"/>
    <n v="0"/>
    <n v="1"/>
    <x v="1"/>
    <x v="1"/>
    <s v="01021986"/>
    <n v="37.063013698630137"/>
    <n v="175"/>
    <n v="58.333333333333336"/>
  </r>
  <r>
    <n v="20219440"/>
    <n v="6021986"/>
    <n v="5"/>
    <n v="4"/>
    <n v="1"/>
    <x v="4"/>
    <x v="2"/>
    <s v="06021986"/>
    <n v="37.049315068493151"/>
    <n v="175"/>
    <n v="35"/>
  </r>
  <r>
    <n v="12411841"/>
    <n v="7021986"/>
    <n v="6"/>
    <n v="0"/>
    <n v="1"/>
    <x v="5"/>
    <x v="2"/>
    <s v="07021986"/>
    <n v="37.046575342465751"/>
    <n v="175"/>
    <n v="29.166666666666668"/>
  </r>
  <r>
    <n v="24491280"/>
    <n v="8121985"/>
    <n v="5"/>
    <n v="1"/>
    <n v="1"/>
    <x v="5"/>
    <x v="3"/>
    <s v="08121985"/>
    <n v="37.213698630136989"/>
    <n v="175"/>
    <n v="35"/>
  </r>
  <r>
    <n v="11674541"/>
    <n v="16021986"/>
    <n v="6"/>
    <n v="2"/>
    <n v="1"/>
    <x v="4"/>
    <x v="5"/>
    <s v="16021986"/>
    <n v="37.021917808219179"/>
    <n v="175"/>
    <n v="29.166666666666668"/>
  </r>
  <r>
    <n v="8470086"/>
    <n v="24021986"/>
    <n v="4"/>
    <n v="1"/>
    <n v="1"/>
    <x v="0"/>
    <x v="1"/>
    <s v="24021986"/>
    <n v="37"/>
    <n v="175"/>
    <n v="43.75"/>
  </r>
  <r>
    <n v="1008803"/>
    <n v="17031986"/>
    <n v="2"/>
    <n v="0"/>
    <n v="1"/>
    <x v="7"/>
    <x v="2"/>
    <s v="17031986"/>
    <n v="36.942465753424656"/>
    <n v="175"/>
    <n v="87.5"/>
  </r>
  <r>
    <n v="16828767"/>
    <n v="23041986"/>
    <n v="4"/>
    <n v="0"/>
    <n v="1"/>
    <x v="7"/>
    <x v="3"/>
    <s v="23041986"/>
    <n v="36.841095890410962"/>
    <n v="175"/>
    <n v="43.75"/>
  </r>
  <r>
    <n v="8631916"/>
    <n v="20051986"/>
    <n v="6"/>
    <n v="1"/>
    <n v="1"/>
    <x v="7"/>
    <x v="1"/>
    <s v="20051986"/>
    <n v="36.767123287671232"/>
    <n v="175"/>
    <n v="29.166666666666668"/>
  </r>
  <r>
    <n v="13005559"/>
    <n v="16011986"/>
    <n v="7"/>
    <n v="2"/>
    <n v="2"/>
    <x v="7"/>
    <x v="10"/>
    <s v="16011986"/>
    <n v="37.106849315068494"/>
    <n v="697.5"/>
    <n v="99.642857142857139"/>
  </r>
  <r>
    <n v="9700075"/>
    <n v="13061986"/>
    <n v="6"/>
    <n v="1"/>
    <n v="2"/>
    <x v="7"/>
    <x v="1"/>
    <s v="13061986"/>
    <n v="36.701369863013696"/>
    <n v="697.5"/>
    <n v="116.25"/>
  </r>
  <r>
    <n v="4488949"/>
    <n v="4071986"/>
    <n v="3"/>
    <n v="1"/>
    <n v="1"/>
    <x v="4"/>
    <x v="3"/>
    <s v="04071986"/>
    <n v="36.643835616438359"/>
    <n v="175"/>
    <n v="58.333333333333336"/>
  </r>
  <r>
    <n v="10695009"/>
    <n v="8071986"/>
    <n v="5"/>
    <n v="1"/>
    <n v="2"/>
    <x v="8"/>
    <x v="10"/>
    <s v="08071986"/>
    <n v="36.632876712328766"/>
    <n v="697.5"/>
    <n v="139.5"/>
  </r>
  <r>
    <n v="12831243"/>
    <n v="27051986"/>
    <n v="0"/>
    <n v="0"/>
    <n v="1"/>
    <x v="1"/>
    <x v="2"/>
    <s v="27051986"/>
    <n v="36.747945205479454"/>
    <n v="175"/>
    <n v="0"/>
  </r>
  <r>
    <n v="6091641"/>
    <n v="26071986"/>
    <n v="5"/>
    <n v="2"/>
    <n v="3"/>
    <x v="2"/>
    <x v="10"/>
    <s v="26071986"/>
    <n v="36.583561643835615"/>
    <n v="1397.5"/>
    <n v="279.5"/>
  </r>
  <r>
    <n v="22877088"/>
    <n v="8071986"/>
    <n v="4"/>
    <n v="2"/>
    <n v="2"/>
    <x v="8"/>
    <x v="10"/>
    <s v="08071986"/>
    <n v="36.632876712328766"/>
    <n v="697.5"/>
    <n v="174.375"/>
  </r>
  <r>
    <n v="10363644"/>
    <n v="3121985"/>
    <n v="3"/>
    <n v="1"/>
    <n v="1"/>
    <x v="0"/>
    <x v="2"/>
    <s v="03121985"/>
    <n v="37.227397260273975"/>
    <n v="175"/>
    <n v="58.333333333333336"/>
  </r>
  <r>
    <n v="22546353"/>
    <n v="14081986"/>
    <n v="5"/>
    <n v="2"/>
    <n v="2"/>
    <x v="7"/>
    <x v="1"/>
    <s v="14081986"/>
    <n v="36.531506849315072"/>
    <n v="697.5"/>
    <n v="139.5"/>
  </r>
  <r>
    <n v="2498249"/>
    <n v="24081986"/>
    <n v="4"/>
    <n v="2"/>
    <n v="1"/>
    <x v="7"/>
    <x v="3"/>
    <s v="24081986"/>
    <n v="36.504109589041093"/>
    <n v="175"/>
    <n v="43.75"/>
  </r>
  <r>
    <n v="8906478"/>
    <n v="25041986"/>
    <n v="5"/>
    <n v="1"/>
    <n v="1"/>
    <x v="5"/>
    <x v="1"/>
    <s v="25041986"/>
    <n v="36.835616438356162"/>
    <n v="175"/>
    <n v="35"/>
  </r>
  <r>
    <n v="9440674"/>
    <n v="4091986"/>
    <n v="7"/>
    <n v="2"/>
    <n v="3"/>
    <x v="6"/>
    <x v="7"/>
    <s v="04091986"/>
    <n v="36.473972602739728"/>
    <n v="1397.5"/>
    <n v="199.64285714285714"/>
  </r>
  <r>
    <n v="5702616"/>
    <n v="30081986"/>
    <n v="4"/>
    <n v="1"/>
    <n v="2"/>
    <x v="4"/>
    <x v="0"/>
    <s v="30081986"/>
    <n v="36.487671232876714"/>
    <n v="697.5"/>
    <n v="174.375"/>
  </r>
  <r>
    <n v="17350274"/>
    <n v="24081986"/>
    <n v="0"/>
    <n v="0"/>
    <n v="1"/>
    <x v="1"/>
    <x v="5"/>
    <s v="24081986"/>
    <n v="36.504109589041093"/>
    <n v="175"/>
    <n v="0"/>
  </r>
  <r>
    <n v="10941980"/>
    <n v="14091986"/>
    <n v="4"/>
    <n v="2"/>
    <n v="2"/>
    <x v="9"/>
    <x v="3"/>
    <s v="14091986"/>
    <n v="36.446575342465756"/>
    <n v="697.5"/>
    <n v="174.375"/>
  </r>
  <r>
    <n v="28995"/>
    <n v="29071985"/>
    <n v="4"/>
    <n v="2"/>
    <n v="2"/>
    <x v="5"/>
    <x v="3"/>
    <s v="29071985"/>
    <n v="37.575342465753423"/>
    <n v="697.5"/>
    <n v="174.375"/>
  </r>
  <r>
    <n v="19081125"/>
    <n v="2081986"/>
    <n v="4"/>
    <n v="1"/>
    <n v="1"/>
    <x v="0"/>
    <x v="0"/>
    <s v="02081986"/>
    <n v="36.564383561643837"/>
    <n v="175"/>
    <n v="43.75"/>
  </r>
  <r>
    <n v="1991921"/>
    <n v="13091986"/>
    <n v="4"/>
    <n v="2"/>
    <n v="1"/>
    <x v="7"/>
    <x v="3"/>
    <s v="13091986"/>
    <n v="36.449315068493149"/>
    <n v="175"/>
    <n v="43.75"/>
  </r>
  <r>
    <n v="15242158"/>
    <n v="11091986"/>
    <n v="3"/>
    <n v="0"/>
    <n v="1"/>
    <x v="7"/>
    <x v="3"/>
    <s v="11091986"/>
    <n v="36.454794520547942"/>
    <n v="175"/>
    <n v="58.333333333333336"/>
  </r>
  <r>
    <n v="490431"/>
    <n v="13041986"/>
    <n v="8"/>
    <n v="1"/>
    <n v="1"/>
    <x v="4"/>
    <x v="2"/>
    <s v="13041986"/>
    <n v="36.868493150684934"/>
    <n v="175"/>
    <n v="21.875"/>
  </r>
  <r>
    <n v="17479024"/>
    <n v="24091986"/>
    <n v="5"/>
    <n v="1"/>
    <n v="1"/>
    <x v="0"/>
    <x v="0"/>
    <s v="24091986"/>
    <n v="36.419178082191777"/>
    <n v="175"/>
    <n v="35"/>
  </r>
  <r>
    <n v="24855459"/>
    <n v="29091986"/>
    <n v="5"/>
    <n v="2"/>
    <n v="5"/>
    <x v="8"/>
    <x v="1"/>
    <s v="29091986"/>
    <n v="36.405479452054792"/>
    <n v="2787.5"/>
    <n v="557.5"/>
  </r>
  <r>
    <n v="21032574"/>
    <n v="29051986"/>
    <n v="0"/>
    <n v="0"/>
    <n v="1"/>
    <x v="0"/>
    <x v="1"/>
    <s v="29051986"/>
    <n v="36.742465753424661"/>
    <n v="175"/>
    <n v="0"/>
  </r>
  <r>
    <n v="11318560"/>
    <n v="20061986"/>
    <n v="9"/>
    <n v="2"/>
    <n v="1"/>
    <x v="1"/>
    <x v="2"/>
    <s v="20061986"/>
    <n v="36.682191780821917"/>
    <n v="175"/>
    <n v="19.444444444444443"/>
  </r>
  <r>
    <n v="18895672"/>
    <n v="4111986"/>
    <n v="4"/>
    <n v="1"/>
    <n v="3"/>
    <x v="7"/>
    <x v="3"/>
    <s v="04111986"/>
    <n v="36.30684931506849"/>
    <n v="1397.5"/>
    <n v="349.375"/>
  </r>
  <r>
    <n v="24135316"/>
    <n v="4061984"/>
    <n v="4"/>
    <n v="1"/>
    <n v="1"/>
    <x v="7"/>
    <x v="3"/>
    <s v="04061984"/>
    <n v="38.726027397260275"/>
    <n v="175"/>
    <n v="43.75"/>
  </r>
  <r>
    <n v="6714030"/>
    <n v="17111986"/>
    <n v="4"/>
    <n v="1"/>
    <n v="2"/>
    <x v="7"/>
    <x v="1"/>
    <s v="17111986"/>
    <n v="36.271232876712325"/>
    <n v="697.5"/>
    <n v="174.375"/>
  </r>
  <r>
    <n v="2238661"/>
    <n v="7101986"/>
    <n v="3"/>
    <n v="1"/>
    <n v="1"/>
    <x v="1"/>
    <x v="2"/>
    <s v="07101986"/>
    <n v="36.38356164383562"/>
    <n v="175"/>
    <n v="58.333333333333336"/>
  </r>
  <r>
    <n v="5278107"/>
    <n v="31071986"/>
    <n v="4"/>
    <n v="1"/>
    <n v="1"/>
    <x v="5"/>
    <x v="3"/>
    <s v="31071986"/>
    <n v="36.56986301369863"/>
    <n v="175"/>
    <n v="43.75"/>
  </r>
  <r>
    <n v="16824975"/>
    <n v="31071986"/>
    <n v="5"/>
    <n v="1"/>
    <n v="1"/>
    <x v="7"/>
    <x v="3"/>
    <s v="31071986"/>
    <n v="36.56986301369863"/>
    <n v="175"/>
    <n v="35"/>
  </r>
  <r>
    <n v="20564007"/>
    <n v="26091986"/>
    <n v="5"/>
    <n v="1"/>
    <n v="1"/>
    <x v="7"/>
    <x v="0"/>
    <s v="26091986"/>
    <n v="36.413698630136984"/>
    <n v="175"/>
    <n v="35"/>
  </r>
  <r>
    <n v="3041251"/>
    <n v="14081986"/>
    <n v="7"/>
    <n v="0"/>
    <n v="1"/>
    <x v="4"/>
    <x v="2"/>
    <s v="14081986"/>
    <n v="36.531506849315072"/>
    <n v="175"/>
    <n v="25"/>
  </r>
  <r>
    <n v="16391335"/>
    <n v="30071986"/>
    <n v="4"/>
    <n v="1"/>
    <n v="1"/>
    <x v="7"/>
    <x v="3"/>
    <s v="30071986"/>
    <n v="36.57260273972603"/>
    <n v="175"/>
    <n v="43.75"/>
  </r>
  <r>
    <n v="23435479"/>
    <n v="29091986"/>
    <n v="0"/>
    <n v="0"/>
    <n v="1"/>
    <x v="4"/>
    <x v="5"/>
    <s v="29091986"/>
    <n v="36.405479452054792"/>
    <n v="175"/>
    <n v="0"/>
  </r>
  <r>
    <n v="18961054"/>
    <n v="13101986"/>
    <n v="8"/>
    <n v="3"/>
    <n v="3"/>
    <x v="2"/>
    <x v="7"/>
    <s v="13101986"/>
    <n v="36.367123287671234"/>
    <n v="1397.5"/>
    <n v="174.6875"/>
  </r>
  <r>
    <n v="12119798"/>
    <n v="14101986"/>
    <n v="0"/>
    <n v="0"/>
    <n v="1"/>
    <x v="4"/>
    <x v="5"/>
    <s v="14101986"/>
    <n v="36.364383561643834"/>
    <n v="175"/>
    <n v="0"/>
  </r>
  <r>
    <n v="19162825"/>
    <n v="26101986"/>
    <n v="4"/>
    <n v="2"/>
    <n v="3"/>
    <x v="2"/>
    <x v="7"/>
    <s v="26101986"/>
    <n v="36.331506849315069"/>
    <n v="1397.5"/>
    <n v="349.375"/>
  </r>
  <r>
    <n v="22166231"/>
    <n v="25101986"/>
    <n v="7"/>
    <n v="2"/>
    <n v="1"/>
    <x v="1"/>
    <x v="2"/>
    <s v="25101986"/>
    <n v="36.334246575342469"/>
    <n v="175"/>
    <n v="25"/>
  </r>
  <r>
    <n v="12277899"/>
    <n v="31101986"/>
    <n v="5"/>
    <n v="1"/>
    <n v="1"/>
    <x v="1"/>
    <x v="2"/>
    <s v="31101986"/>
    <n v="36.317808219178083"/>
    <n v="175"/>
    <n v="35"/>
  </r>
  <r>
    <n v="14947730"/>
    <n v="14111986"/>
    <n v="0"/>
    <n v="0"/>
    <n v="1"/>
    <x v="4"/>
    <x v="5"/>
    <s v="14111986"/>
    <n v="36.279452054794518"/>
    <n v="175"/>
    <n v="0"/>
  </r>
  <r>
    <n v="18685483"/>
    <n v="30101986"/>
    <n v="4"/>
    <n v="0"/>
    <n v="1"/>
    <x v="0"/>
    <x v="2"/>
    <s v="30101986"/>
    <n v="36.320547945205476"/>
    <n v="175"/>
    <n v="43.75"/>
  </r>
  <r>
    <n v="6937006"/>
    <n v="23071986"/>
    <n v="4"/>
    <n v="1"/>
    <n v="1"/>
    <x v="0"/>
    <x v="3"/>
    <s v="23071986"/>
    <n v="36.591780821917808"/>
    <n v="175"/>
    <n v="43.75"/>
  </r>
  <r>
    <n v="8539121"/>
    <n v="27101986"/>
    <n v="7"/>
    <n v="2"/>
    <n v="1"/>
    <x v="1"/>
    <x v="2"/>
    <s v="27101986"/>
    <n v="36.328767123287669"/>
    <n v="175"/>
    <n v="25"/>
  </r>
  <r>
    <n v="15684214"/>
    <n v="17071986"/>
    <n v="5"/>
    <n v="2"/>
    <n v="1"/>
    <x v="1"/>
    <x v="1"/>
    <s v="17071986"/>
    <n v="36.608219178082194"/>
    <n v="175"/>
    <n v="35"/>
  </r>
  <r>
    <n v="7038421"/>
    <n v="3121986"/>
    <n v="5"/>
    <n v="2"/>
    <n v="1"/>
    <x v="4"/>
    <x v="2"/>
    <s v="03121986"/>
    <n v="36.227397260273975"/>
    <n v="175"/>
    <n v="35"/>
  </r>
  <r>
    <n v="9607423"/>
    <n v="1101986"/>
    <n v="5"/>
    <n v="1"/>
    <n v="1"/>
    <x v="5"/>
    <x v="2"/>
    <s v="01101986"/>
    <n v="36.4"/>
    <n v="175"/>
    <n v="35"/>
  </r>
  <r>
    <n v="12496434"/>
    <n v="5101986"/>
    <n v="2"/>
    <n v="1"/>
    <n v="1"/>
    <x v="1"/>
    <x v="0"/>
    <s v="05101986"/>
    <n v="36.389041095890413"/>
    <n v="175"/>
    <n v="87.5"/>
  </r>
  <r>
    <n v="2883290"/>
    <n v="30121986"/>
    <n v="5"/>
    <n v="2"/>
    <n v="2"/>
    <x v="0"/>
    <x v="7"/>
    <s v="30121986"/>
    <n v="36.153424657534245"/>
    <n v="697.5"/>
    <n v="139.5"/>
  </r>
  <r>
    <n v="11327296"/>
    <n v="31121986"/>
    <n v="6"/>
    <n v="1"/>
    <n v="1"/>
    <x v="1"/>
    <x v="3"/>
    <s v="31121986"/>
    <n v="36.150684931506852"/>
    <n v="175"/>
    <n v="29.166666666666668"/>
  </r>
  <r>
    <n v="23711248"/>
    <n v="22121986"/>
    <n v="5"/>
    <n v="1"/>
    <n v="1"/>
    <x v="5"/>
    <x v="3"/>
    <s v="22121986"/>
    <n v="36.175342465753424"/>
    <n v="175"/>
    <n v="35"/>
  </r>
  <r>
    <n v="1381764"/>
    <n v="18091986"/>
    <n v="0"/>
    <n v="0"/>
    <n v="1"/>
    <x v="3"/>
    <x v="4"/>
    <s v="18091986"/>
    <n v="36.435616438356163"/>
    <n v="175"/>
    <n v="0"/>
  </r>
  <r>
    <n v="20406265"/>
    <n v="24121986"/>
    <n v="3"/>
    <n v="0"/>
    <n v="1"/>
    <x v="1"/>
    <x v="1"/>
    <s v="24121986"/>
    <n v="36.169863013698631"/>
    <n v="175"/>
    <n v="58.333333333333336"/>
  </r>
  <r>
    <n v="22889171"/>
    <n v="2021987"/>
    <n v="0"/>
    <n v="0"/>
    <n v="1"/>
    <x v="4"/>
    <x v="5"/>
    <s v="02021987"/>
    <n v="36.060273972602737"/>
    <n v="175"/>
    <n v="0"/>
  </r>
  <r>
    <n v="3764676"/>
    <n v="10021987"/>
    <n v="3"/>
    <n v="2"/>
    <n v="1"/>
    <x v="2"/>
    <x v="9"/>
    <s v="10021987"/>
    <n v="36.038356164383565"/>
    <n v="175"/>
    <n v="58.333333333333336"/>
  </r>
  <r>
    <n v="8469548"/>
    <n v="22021987"/>
    <n v="3"/>
    <n v="0"/>
    <n v="1"/>
    <x v="7"/>
    <x v="3"/>
    <s v="22021987"/>
    <n v="36.005479452054793"/>
    <n v="175"/>
    <n v="58.333333333333336"/>
  </r>
  <r>
    <n v="23524355"/>
    <n v="14021987"/>
    <n v="5"/>
    <n v="1"/>
    <n v="1"/>
    <x v="7"/>
    <x v="10"/>
    <s v="14021987"/>
    <n v="36.027397260273972"/>
    <n v="175"/>
    <n v="35"/>
  </r>
  <r>
    <n v="16047127"/>
    <n v="19021987"/>
    <n v="4"/>
    <n v="1"/>
    <n v="1"/>
    <x v="0"/>
    <x v="0"/>
    <s v="19021987"/>
    <n v="36.013698630136986"/>
    <n v="175"/>
    <n v="43.75"/>
  </r>
  <r>
    <n v="8902603"/>
    <n v="21011987"/>
    <n v="4"/>
    <n v="1"/>
    <n v="1"/>
    <x v="1"/>
    <x v="0"/>
    <s v="21011987"/>
    <n v="36.093150684931508"/>
    <n v="175"/>
    <n v="43.75"/>
  </r>
  <r>
    <n v="19048986"/>
    <n v="6031987"/>
    <n v="4"/>
    <n v="1"/>
    <n v="1"/>
    <x v="7"/>
    <x v="3"/>
    <s v="06031987"/>
    <n v="35.972602739726028"/>
    <n v="175"/>
    <n v="43.75"/>
  </r>
  <r>
    <n v="14344017"/>
    <n v="11031987"/>
    <n v="6"/>
    <n v="2"/>
    <n v="1"/>
    <x v="5"/>
    <x v="3"/>
    <s v="11031987"/>
    <n v="35.958904109589042"/>
    <n v="175"/>
    <n v="29.166666666666668"/>
  </r>
  <r>
    <n v="24490759"/>
    <n v="12031987"/>
    <n v="5"/>
    <n v="3"/>
    <n v="1"/>
    <x v="1"/>
    <x v="3"/>
    <s v="12031987"/>
    <n v="35.956164383561642"/>
    <n v="175"/>
    <n v="35"/>
  </r>
  <r>
    <n v="22456654"/>
    <n v="19111986"/>
    <n v="7"/>
    <n v="2"/>
    <n v="1"/>
    <x v="5"/>
    <x v="2"/>
    <s v="19111986"/>
    <n v="36.265753424657532"/>
    <n v="175"/>
    <n v="25"/>
  </r>
  <r>
    <n v="3230629"/>
    <n v="8031987"/>
    <n v="4"/>
    <n v="1"/>
    <n v="1"/>
    <x v="1"/>
    <x v="1"/>
    <s v="08031987"/>
    <n v="35.967123287671235"/>
    <n v="175"/>
    <n v="43.75"/>
  </r>
  <r>
    <n v="22383581"/>
    <n v="22031987"/>
    <n v="5"/>
    <n v="1"/>
    <n v="1"/>
    <x v="1"/>
    <x v="2"/>
    <s v="22031987"/>
    <n v="35.92876712328767"/>
    <n v="175"/>
    <n v="35"/>
  </r>
  <r>
    <n v="4674318"/>
    <n v="29031987"/>
    <n v="5"/>
    <n v="2"/>
    <n v="1"/>
    <x v="5"/>
    <x v="3"/>
    <s v="29031987"/>
    <n v="35.909589041095892"/>
    <n v="175"/>
    <n v="35"/>
  </r>
  <r>
    <n v="9727870"/>
    <n v="15031987"/>
    <n v="3"/>
    <n v="1"/>
    <n v="1"/>
    <x v="5"/>
    <x v="1"/>
    <s v="15031987"/>
    <n v="35.947945205479449"/>
    <n v="175"/>
    <n v="58.333333333333336"/>
  </r>
  <r>
    <n v="10261856"/>
    <n v="15041987"/>
    <n v="5"/>
    <n v="1"/>
    <n v="1"/>
    <x v="7"/>
    <x v="3"/>
    <s v="15041987"/>
    <n v="35.863013698630134"/>
    <n v="175"/>
    <n v="35"/>
  </r>
  <r>
    <n v="22545785"/>
    <n v="2031987"/>
    <n v="3"/>
    <n v="1"/>
    <n v="1"/>
    <x v="5"/>
    <x v="1"/>
    <s v="02031987"/>
    <n v="35.983561643835614"/>
    <n v="175"/>
    <n v="58.333333333333336"/>
  </r>
  <r>
    <n v="8558253"/>
    <n v="16041987"/>
    <n v="4"/>
    <n v="2"/>
    <n v="1"/>
    <x v="7"/>
    <x v="1"/>
    <s v="16041987"/>
    <n v="35.860273972602741"/>
    <n v="175"/>
    <n v="43.75"/>
  </r>
  <r>
    <n v="3881964"/>
    <n v="30041987"/>
    <n v="4"/>
    <n v="1"/>
    <n v="1"/>
    <x v="7"/>
    <x v="3"/>
    <s v="30041987"/>
    <n v="35.821917808219176"/>
    <n v="175"/>
    <n v="43.75"/>
  </r>
  <r>
    <n v="17996716"/>
    <n v="1051987"/>
    <n v="4"/>
    <n v="1"/>
    <n v="1"/>
    <x v="7"/>
    <x v="3"/>
    <s v="01051987"/>
    <n v="35.819178082191783"/>
    <n v="175"/>
    <n v="43.75"/>
  </r>
  <r>
    <n v="3060221"/>
    <n v="7051987"/>
    <n v="4"/>
    <n v="1"/>
    <n v="1"/>
    <x v="1"/>
    <x v="1"/>
    <s v="07051987"/>
    <n v="35.802739726027397"/>
    <n v="175"/>
    <n v="43.75"/>
  </r>
  <r>
    <n v="1558105"/>
    <n v="17051987"/>
    <n v="3"/>
    <n v="1"/>
    <n v="1"/>
    <x v="7"/>
    <x v="3"/>
    <s v="17051987"/>
    <n v="35.775342465753425"/>
    <n v="175"/>
    <n v="58.333333333333336"/>
  </r>
  <r>
    <n v="18879309"/>
    <n v="18051987"/>
    <n v="4"/>
    <n v="1"/>
    <n v="1"/>
    <x v="1"/>
    <x v="1"/>
    <s v="18051987"/>
    <n v="35.772602739726025"/>
    <n v="175"/>
    <n v="43.75"/>
  </r>
  <r>
    <n v="10463680"/>
    <n v="25051987"/>
    <n v="4"/>
    <n v="2"/>
    <n v="2"/>
    <x v="7"/>
    <x v="3"/>
    <s v="25051987"/>
    <n v="35.753424657534246"/>
    <n v="697.5"/>
    <n v="174.375"/>
  </r>
  <r>
    <n v="20756236"/>
    <n v="29051987"/>
    <n v="5"/>
    <n v="1"/>
    <n v="1"/>
    <x v="0"/>
    <x v="0"/>
    <s v="29051987"/>
    <n v="35.742465753424661"/>
    <n v="175"/>
    <n v="35"/>
  </r>
  <r>
    <n v="6972024"/>
    <n v="6061987"/>
    <n v="5"/>
    <n v="1"/>
    <n v="1"/>
    <x v="7"/>
    <x v="3"/>
    <s v="06061987"/>
    <n v="35.720547945205482"/>
    <n v="175"/>
    <n v="35"/>
  </r>
  <r>
    <n v="14982907"/>
    <n v="18061987"/>
    <n v="4"/>
    <n v="2"/>
    <n v="1"/>
    <x v="9"/>
    <x v="3"/>
    <s v="18061987"/>
    <n v="35.68767123287671"/>
    <n v="175"/>
    <n v="43.75"/>
  </r>
  <r>
    <n v="3986374"/>
    <n v="2061987"/>
    <n v="8"/>
    <n v="0"/>
    <n v="1"/>
    <x v="4"/>
    <x v="5"/>
    <s v="02061987"/>
    <n v="35.731506849315068"/>
    <n v="175"/>
    <n v="21.875"/>
  </r>
  <r>
    <n v="17871290"/>
    <n v="2071987"/>
    <n v="5"/>
    <n v="1"/>
    <n v="2"/>
    <x v="2"/>
    <x v="3"/>
    <s v="02071987"/>
    <n v="35.649315068493152"/>
    <n v="697.5"/>
    <n v="139.5"/>
  </r>
  <r>
    <n v="20441293"/>
    <n v="2071987"/>
    <n v="5"/>
    <n v="1"/>
    <n v="1"/>
    <x v="7"/>
    <x v="2"/>
    <s v="02071987"/>
    <n v="35.649315068493152"/>
    <n v="175"/>
    <n v="35"/>
  </r>
  <r>
    <n v="19372710"/>
    <n v="2071987"/>
    <n v="4"/>
    <n v="2"/>
    <n v="3"/>
    <x v="7"/>
    <x v="10"/>
    <s v="02071987"/>
    <n v="35.649315068493152"/>
    <n v="1397.5"/>
    <n v="349.375"/>
  </r>
  <r>
    <n v="11896191"/>
    <n v="26031987"/>
    <n v="5"/>
    <n v="1"/>
    <n v="1"/>
    <x v="5"/>
    <x v="1"/>
    <s v="26031987"/>
    <n v="35.917808219178085"/>
    <n v="175"/>
    <n v="35"/>
  </r>
  <r>
    <n v="7724273"/>
    <n v="6071987"/>
    <n v="4"/>
    <n v="2"/>
    <n v="2"/>
    <x v="0"/>
    <x v="0"/>
    <s v="06071987"/>
    <n v="35.638356164383559"/>
    <n v="697.5"/>
    <n v="174.375"/>
  </r>
  <r>
    <n v="7190306"/>
    <n v="9071987"/>
    <n v="4"/>
    <n v="2"/>
    <n v="1"/>
    <x v="9"/>
    <x v="8"/>
    <s v="09071987"/>
    <n v="35.630136986301373"/>
    <n v="175"/>
    <n v="43.75"/>
  </r>
  <r>
    <n v="14824368"/>
    <n v="12071987"/>
    <n v="0"/>
    <n v="0"/>
    <n v="1"/>
    <x v="4"/>
    <x v="5"/>
    <s v="12071987"/>
    <n v="35.62191780821918"/>
    <n v="175"/>
    <n v="0"/>
  </r>
  <r>
    <n v="12255832"/>
    <n v="12071987"/>
    <n v="0"/>
    <n v="0"/>
    <n v="1"/>
    <x v="4"/>
    <x v="5"/>
    <s v="12071987"/>
    <n v="35.62191780821918"/>
    <n v="175"/>
    <n v="0"/>
  </r>
  <r>
    <n v="404913"/>
    <n v="3061987"/>
    <n v="4"/>
    <n v="1"/>
    <n v="2"/>
    <x v="7"/>
    <x v="3"/>
    <s v="03061987"/>
    <n v="35.728767123287675"/>
    <n v="697.5"/>
    <n v="174.375"/>
  </r>
  <r>
    <n v="24235941"/>
    <n v="10101986"/>
    <n v="0"/>
    <n v="0"/>
    <n v="1"/>
    <x v="4"/>
    <x v="5"/>
    <s v="10101986"/>
    <n v="36.375342465753427"/>
    <n v="175"/>
    <n v="0"/>
  </r>
  <r>
    <n v="7982963"/>
    <n v="10071987"/>
    <n v="5"/>
    <n v="1"/>
    <n v="1"/>
    <x v="9"/>
    <x v="3"/>
    <s v="10071987"/>
    <n v="35.627397260273973"/>
    <n v="175"/>
    <n v="35"/>
  </r>
  <r>
    <n v="1573930"/>
    <n v="11071987"/>
    <n v="9"/>
    <n v="3"/>
    <n v="1"/>
    <x v="8"/>
    <x v="3"/>
    <s v="11071987"/>
    <n v="35.624657534246573"/>
    <n v="175"/>
    <n v="19.444444444444443"/>
  </r>
  <r>
    <n v="9051361"/>
    <n v="20071987"/>
    <n v="5"/>
    <n v="1"/>
    <n v="2"/>
    <x v="2"/>
    <x v="3"/>
    <s v="20071987"/>
    <n v="35.6"/>
    <n v="697.5"/>
    <n v="139.5"/>
  </r>
  <r>
    <n v="10451190"/>
    <n v="29071987"/>
    <n v="0"/>
    <n v="0"/>
    <n v="2"/>
    <x v="2"/>
    <x v="7"/>
    <s v="29071987"/>
    <n v="35.575342465753423"/>
    <n v="697.5"/>
    <n v="0"/>
  </r>
  <r>
    <n v="9585400"/>
    <n v="26051987"/>
    <n v="5"/>
    <n v="1"/>
    <n v="1"/>
    <x v="5"/>
    <x v="1"/>
    <s v="26051987"/>
    <n v="35.750684931506846"/>
    <n v="175"/>
    <n v="35"/>
  </r>
  <r>
    <n v="8416044"/>
    <n v="22071987"/>
    <n v="5"/>
    <n v="1"/>
    <n v="2"/>
    <x v="2"/>
    <x v="0"/>
    <s v="22071987"/>
    <n v="35.594520547945208"/>
    <n v="697.5"/>
    <n v="139.5"/>
  </r>
  <r>
    <n v="21560498"/>
    <n v="31071987"/>
    <n v="4"/>
    <n v="2"/>
    <n v="2"/>
    <x v="2"/>
    <x v="7"/>
    <s v="31071987"/>
    <n v="35.56986301369863"/>
    <n v="697.5"/>
    <n v="174.375"/>
  </r>
  <r>
    <n v="24561535"/>
    <n v="30071987"/>
    <n v="4"/>
    <n v="1"/>
    <n v="2"/>
    <x v="7"/>
    <x v="3"/>
    <s v="30071987"/>
    <n v="35.57260273972603"/>
    <n v="697.5"/>
    <n v="174.375"/>
  </r>
  <r>
    <n v="15685252"/>
    <n v="28061987"/>
    <n v="3"/>
    <n v="1"/>
    <n v="1"/>
    <x v="5"/>
    <x v="3"/>
    <s v="28061987"/>
    <n v="35.660273972602738"/>
    <n v="175"/>
    <n v="58.333333333333336"/>
  </r>
  <r>
    <n v="20492714"/>
    <n v="19071987"/>
    <n v="3"/>
    <n v="0"/>
    <n v="1"/>
    <x v="0"/>
    <x v="0"/>
    <s v="19071987"/>
    <n v="35.602739726027394"/>
    <n v="175"/>
    <n v="58.333333333333336"/>
  </r>
  <r>
    <n v="17720601"/>
    <n v="17071987"/>
    <n v="5"/>
    <n v="2"/>
    <n v="1"/>
    <x v="1"/>
    <x v="0"/>
    <s v="17071987"/>
    <n v="35.608219178082194"/>
    <n v="175"/>
    <n v="35"/>
  </r>
  <r>
    <n v="14083682"/>
    <n v="29071987"/>
    <n v="7"/>
    <n v="1"/>
    <n v="1"/>
    <x v="1"/>
    <x v="2"/>
    <s v="29071987"/>
    <n v="35.575342465753423"/>
    <n v="175"/>
    <n v="25"/>
  </r>
  <r>
    <n v="19857415"/>
    <n v="27071987"/>
    <n v="5"/>
    <n v="2"/>
    <n v="1"/>
    <x v="5"/>
    <x v="1"/>
    <s v="27071987"/>
    <n v="35.580821917808223"/>
    <n v="175"/>
    <n v="35"/>
  </r>
  <r>
    <n v="14099415"/>
    <n v="7081987"/>
    <n v="4"/>
    <n v="0"/>
    <n v="1"/>
    <x v="0"/>
    <x v="3"/>
    <s v="07081987"/>
    <n v="35.550684931506851"/>
    <n v="175"/>
    <n v="43.75"/>
  </r>
  <r>
    <n v="19439895"/>
    <n v="24071987"/>
    <n v="8"/>
    <n v="0"/>
    <n v="1"/>
    <x v="3"/>
    <x v="1"/>
    <s v="24071987"/>
    <n v="35.589041095890408"/>
    <n v="175"/>
    <n v="21.875"/>
  </r>
  <r>
    <n v="9826774"/>
    <n v="14081987"/>
    <n v="3"/>
    <n v="2"/>
    <n v="2"/>
    <x v="1"/>
    <x v="2"/>
    <s v="14081987"/>
    <n v="35.531506849315072"/>
    <n v="697.5"/>
    <n v="232.5"/>
  </r>
  <r>
    <n v="11862148"/>
    <n v="17081987"/>
    <n v="5"/>
    <n v="1"/>
    <n v="1"/>
    <x v="5"/>
    <x v="0"/>
    <s v="17081987"/>
    <n v="35.523287671232879"/>
    <n v="175"/>
    <n v="35"/>
  </r>
  <r>
    <n v="3519809"/>
    <n v="12081987"/>
    <n v="4"/>
    <n v="2"/>
    <n v="1"/>
    <x v="4"/>
    <x v="5"/>
    <s v="12081987"/>
    <n v="35.536986301369865"/>
    <n v="175"/>
    <n v="43.75"/>
  </r>
  <r>
    <n v="2350022"/>
    <n v="8061987"/>
    <n v="4"/>
    <n v="1"/>
    <n v="1"/>
    <x v="2"/>
    <x v="1"/>
    <s v="08061987"/>
    <n v="35.715068493150682"/>
    <n v="175"/>
    <n v="43.75"/>
  </r>
  <r>
    <n v="8224713"/>
    <n v="15081987"/>
    <n v="3"/>
    <n v="1"/>
    <n v="1"/>
    <x v="0"/>
    <x v="1"/>
    <s v="15081987"/>
    <n v="35.528767123287672"/>
    <n v="175"/>
    <n v="58.333333333333336"/>
  </r>
  <r>
    <n v="9652857"/>
    <n v="19051987"/>
    <n v="6"/>
    <n v="0"/>
    <n v="1"/>
    <x v="5"/>
    <x v="2"/>
    <s v="19051987"/>
    <n v="35.769863013698632"/>
    <n v="175"/>
    <n v="29.166666666666668"/>
  </r>
  <r>
    <n v="3576511"/>
    <n v="27081987"/>
    <n v="5"/>
    <n v="1"/>
    <n v="1"/>
    <x v="5"/>
    <x v="1"/>
    <s v="27081987"/>
    <n v="35.495890410958907"/>
    <n v="175"/>
    <n v="35"/>
  </r>
  <r>
    <n v="17460538"/>
    <n v="4081987"/>
    <n v="3"/>
    <n v="1"/>
    <n v="1"/>
    <x v="1"/>
    <x v="2"/>
    <s v="04081987"/>
    <n v="35.558904109589044"/>
    <n v="175"/>
    <n v="58.333333333333336"/>
  </r>
  <r>
    <n v="14256652"/>
    <n v="30081987"/>
    <n v="6"/>
    <n v="1"/>
    <n v="1"/>
    <x v="5"/>
    <x v="2"/>
    <s v="30081987"/>
    <n v="35.487671232876714"/>
    <n v="175"/>
    <n v="29.166666666666668"/>
  </r>
  <r>
    <n v="20131530"/>
    <n v="18081987"/>
    <n v="5"/>
    <n v="2"/>
    <n v="2"/>
    <x v="8"/>
    <x v="8"/>
    <s v="18081987"/>
    <n v="35.520547945205479"/>
    <n v="697.5"/>
    <n v="139.5"/>
  </r>
  <r>
    <n v="17561584"/>
    <n v="3091987"/>
    <n v="5"/>
    <n v="1"/>
    <n v="1"/>
    <x v="7"/>
    <x v="1"/>
    <s v="03091987"/>
    <n v="35.476712328767121"/>
    <n v="175"/>
    <n v="35"/>
  </r>
  <r>
    <n v="4845782"/>
    <n v="23091987"/>
    <n v="5"/>
    <n v="1"/>
    <n v="1"/>
    <x v="7"/>
    <x v="1"/>
    <s v="23091987"/>
    <n v="35.421917808219177"/>
    <n v="175"/>
    <n v="35"/>
  </r>
  <r>
    <n v="20232565"/>
    <n v="7091987"/>
    <n v="5"/>
    <n v="1"/>
    <n v="1"/>
    <x v="5"/>
    <x v="1"/>
    <s v="07091987"/>
    <n v="35.465753424657535"/>
    <n v="175"/>
    <n v="35"/>
  </r>
  <r>
    <n v="21733379"/>
    <n v="24091987"/>
    <n v="5"/>
    <n v="1"/>
    <n v="2"/>
    <x v="2"/>
    <x v="10"/>
    <s v="24091987"/>
    <n v="35.419178082191777"/>
    <n v="697.5"/>
    <n v="139.5"/>
  </r>
  <r>
    <n v="14373512"/>
    <n v="31081987"/>
    <n v="4"/>
    <n v="1"/>
    <n v="1"/>
    <x v="0"/>
    <x v="1"/>
    <s v="31081987"/>
    <n v="35.484931506849314"/>
    <n v="175"/>
    <n v="43.75"/>
  </r>
  <r>
    <n v="6778744"/>
    <n v="21061986"/>
    <n v="0"/>
    <n v="0"/>
    <n v="2"/>
    <x v="4"/>
    <x v="5"/>
    <s v="21061986"/>
    <n v="36.679452054794524"/>
    <n v="697.5"/>
    <n v="0"/>
  </r>
  <r>
    <n v="24798351"/>
    <n v="6051987"/>
    <n v="4"/>
    <n v="1"/>
    <n v="3"/>
    <x v="2"/>
    <x v="7"/>
    <s v="06051987"/>
    <n v="35.805479452054797"/>
    <n v="1397.5"/>
    <n v="349.375"/>
  </r>
  <r>
    <n v="8173311"/>
    <n v="12071987"/>
    <n v="3"/>
    <n v="1"/>
    <n v="2"/>
    <x v="2"/>
    <x v="10"/>
    <s v="12071987"/>
    <n v="35.62191780821918"/>
    <n v="697.5"/>
    <n v="232.5"/>
  </r>
  <r>
    <n v="16502131"/>
    <n v="12081987"/>
    <n v="6"/>
    <n v="1"/>
    <n v="5"/>
    <x v="2"/>
    <x v="9"/>
    <s v="12081987"/>
    <n v="35.536986301369865"/>
    <n v="2787.5"/>
    <n v="464.58333333333331"/>
  </r>
  <r>
    <n v="11028389"/>
    <n v="7061986"/>
    <n v="4"/>
    <n v="1"/>
    <n v="1"/>
    <x v="5"/>
    <x v="1"/>
    <s v="07061986"/>
    <n v="36.717808219178082"/>
    <n v="175"/>
    <n v="43.75"/>
  </r>
  <r>
    <n v="18131096"/>
    <n v="12091986"/>
    <n v="4"/>
    <n v="0"/>
    <n v="1"/>
    <x v="7"/>
    <x v="2"/>
    <s v="12091986"/>
    <n v="36.452054794520549"/>
    <n v="175"/>
    <n v="43.75"/>
  </r>
  <r>
    <n v="7017942"/>
    <n v="30101986"/>
    <n v="2"/>
    <n v="0"/>
    <n v="1"/>
    <x v="7"/>
    <x v="1"/>
    <s v="30101986"/>
    <n v="36.320547945205476"/>
    <n v="175"/>
    <n v="87.5"/>
  </r>
  <r>
    <n v="13672790"/>
    <n v="4011987"/>
    <n v="6"/>
    <n v="1"/>
    <n v="1"/>
    <x v="1"/>
    <x v="0"/>
    <s v="04011987"/>
    <n v="36.139726027397259"/>
    <n v="175"/>
    <n v="29.166666666666668"/>
  </r>
  <r>
    <n v="11476182"/>
    <n v="8081986"/>
    <n v="5"/>
    <n v="1"/>
    <n v="1"/>
    <x v="7"/>
    <x v="1"/>
    <s v="08081986"/>
    <n v="36.547945205479451"/>
    <n v="175"/>
    <n v="35"/>
  </r>
  <r>
    <n v="19965055"/>
    <n v="29011987"/>
    <n v="8"/>
    <n v="2"/>
    <n v="1"/>
    <x v="3"/>
    <x v="1"/>
    <s v="29011987"/>
    <n v="36.07123287671233"/>
    <n v="175"/>
    <n v="21.875"/>
  </r>
  <r>
    <n v="8681573"/>
    <n v="9051987"/>
    <n v="4"/>
    <n v="2"/>
    <n v="2"/>
    <x v="8"/>
    <x v="7"/>
    <s v="09051987"/>
    <n v="35.797260273972604"/>
    <n v="697.5"/>
    <n v="174.375"/>
  </r>
  <r>
    <n v="10298890"/>
    <n v="18011987"/>
    <n v="7"/>
    <n v="1"/>
    <n v="1"/>
    <x v="7"/>
    <x v="1"/>
    <s v="18011987"/>
    <n v="36.101369863013701"/>
    <n v="175"/>
    <n v="25"/>
  </r>
  <r>
    <n v="1534573"/>
    <n v="4071987"/>
    <n v="6"/>
    <n v="1"/>
    <n v="2"/>
    <x v="2"/>
    <x v="3"/>
    <s v="04071987"/>
    <n v="35.643835616438359"/>
    <n v="697.5"/>
    <n v="116.25"/>
  </r>
  <r>
    <n v="17889597"/>
    <n v="9071987"/>
    <n v="5"/>
    <n v="1"/>
    <n v="4"/>
    <x v="2"/>
    <x v="7"/>
    <s v="09071987"/>
    <n v="35.630136986301373"/>
    <n v="2100"/>
    <n v="420"/>
  </r>
  <r>
    <n v="17085189"/>
    <n v="20031987"/>
    <n v="5"/>
    <n v="2"/>
    <n v="1"/>
    <x v="2"/>
    <x v="10"/>
    <s v="20031987"/>
    <n v="35.934246575342463"/>
    <n v="175"/>
    <n v="35"/>
  </r>
  <r>
    <n v="17482758"/>
    <n v="21111986"/>
    <n v="3"/>
    <n v="1"/>
    <n v="1"/>
    <x v="2"/>
    <x v="7"/>
    <s v="21111986"/>
    <n v="36.260273972602739"/>
    <n v="175"/>
    <n v="58.333333333333336"/>
  </r>
  <r>
    <n v="18117862"/>
    <n v="28061987"/>
    <n v="8"/>
    <n v="0"/>
    <n v="1"/>
    <x v="1"/>
    <x v="2"/>
    <s v="28061987"/>
    <n v="35.660273972602738"/>
    <n v="175"/>
    <n v="21.875"/>
  </r>
  <r>
    <n v="19838513"/>
    <n v="26091987"/>
    <n v="3"/>
    <n v="0"/>
    <n v="1"/>
    <x v="3"/>
    <x v="3"/>
    <s v="26091987"/>
    <n v="35.413698630136984"/>
    <n v="175"/>
    <n v="58.333333333333336"/>
  </r>
  <r>
    <n v="1578160"/>
    <n v="4041988"/>
    <n v="6"/>
    <n v="1"/>
    <n v="1"/>
    <x v="0"/>
    <x v="0"/>
    <s v="04041988"/>
    <n v="34.890410958904113"/>
    <n v="175"/>
    <n v="29.166666666666668"/>
  </r>
  <r>
    <n v="23347301"/>
    <n v="12051987"/>
    <n v="4"/>
    <n v="2"/>
    <n v="2"/>
    <x v="7"/>
    <x v="3"/>
    <s v="12051987"/>
    <n v="35.789041095890411"/>
    <n v="697.5"/>
    <n v="174.375"/>
  </r>
  <r>
    <n v="22733736"/>
    <n v="15111986"/>
    <n v="10"/>
    <n v="2"/>
    <n v="1"/>
    <x v="7"/>
    <x v="5"/>
    <s v="15111986"/>
    <n v="36.276712328767125"/>
    <n v="175"/>
    <n v="17.5"/>
  </r>
  <r>
    <n v="87383"/>
    <n v="7031987"/>
    <n v="7"/>
    <n v="1"/>
    <n v="1"/>
    <x v="3"/>
    <x v="2"/>
    <s v="07031987"/>
    <n v="35.969863013698628"/>
    <n v="175"/>
    <n v="25"/>
  </r>
  <r>
    <n v="14991864"/>
    <n v="3051987"/>
    <n v="4"/>
    <n v="1"/>
    <n v="1"/>
    <x v="7"/>
    <x v="3"/>
    <s v="03051987"/>
    <n v="35.813698630136983"/>
    <n v="175"/>
    <n v="43.75"/>
  </r>
  <r>
    <n v="22932070"/>
    <n v="15101988"/>
    <n v="5"/>
    <n v="0"/>
    <n v="1"/>
    <x v="5"/>
    <x v="1"/>
    <s v="15101988"/>
    <n v="34.358904109589041"/>
    <n v="175"/>
    <n v="35"/>
  </r>
  <r>
    <n v="1929648"/>
    <n v="30121986"/>
    <n v="4"/>
    <n v="2"/>
    <n v="4"/>
    <x v="9"/>
    <x v="7"/>
    <s v="30121986"/>
    <n v="36.153424657534245"/>
    <n v="2100"/>
    <n v="525"/>
  </r>
  <r>
    <n v="3411838"/>
    <n v="17011987"/>
    <n v="5"/>
    <n v="0"/>
    <n v="1"/>
    <x v="5"/>
    <x v="2"/>
    <s v="17011987"/>
    <n v="36.104109589041094"/>
    <n v="175"/>
    <n v="35"/>
  </r>
  <r>
    <n v="12396664"/>
    <n v="17061987"/>
    <n v="5"/>
    <n v="1"/>
    <n v="1"/>
    <x v="1"/>
    <x v="1"/>
    <s v="17061987"/>
    <n v="35.69041095890411"/>
    <n v="175"/>
    <n v="35"/>
  </r>
  <r>
    <n v="2061889"/>
    <n v="5071988"/>
    <n v="5"/>
    <n v="1"/>
    <n v="1"/>
    <x v="7"/>
    <x v="2"/>
    <s v="05071988"/>
    <n v="34.638356164383559"/>
    <n v="175"/>
    <n v="35"/>
  </r>
  <r>
    <n v="18534395"/>
    <n v="11081987"/>
    <n v="2"/>
    <n v="0"/>
    <n v="2"/>
    <x v="2"/>
    <x v="9"/>
    <s v="11081987"/>
    <n v="35.539726027397258"/>
    <n v="697.5"/>
    <n v="348.75"/>
  </r>
  <r>
    <n v="2728766"/>
    <n v="21021987"/>
    <n v="4"/>
    <n v="1"/>
    <n v="1"/>
    <x v="1"/>
    <x v="2"/>
    <s v="21021987"/>
    <n v="36.008219178082193"/>
    <n v="175"/>
    <n v="43.75"/>
  </r>
  <r>
    <n v="19774372"/>
    <n v="16051987"/>
    <n v="4"/>
    <n v="1"/>
    <n v="1"/>
    <x v="2"/>
    <x v="7"/>
    <s v="16051987"/>
    <n v="35.778082191780825"/>
    <n v="175"/>
    <n v="43.75"/>
  </r>
  <r>
    <n v="3898078"/>
    <n v="20061987"/>
    <n v="5"/>
    <n v="2"/>
    <n v="3"/>
    <x v="9"/>
    <x v="3"/>
    <s v="20061987"/>
    <n v="35.682191780821917"/>
    <n v="1397.5"/>
    <n v="279.5"/>
  </r>
  <r>
    <n v="24191890"/>
    <n v="4091987"/>
    <n v="6"/>
    <n v="3"/>
    <n v="3"/>
    <x v="2"/>
    <x v="7"/>
    <s v="04091987"/>
    <n v="35.473972602739728"/>
    <n v="1397.5"/>
    <n v="232.91666666666666"/>
  </r>
  <r>
    <n v="12154705"/>
    <n v="18091987"/>
    <n v="4"/>
    <n v="1"/>
    <n v="1"/>
    <x v="0"/>
    <x v="1"/>
    <s v="18091987"/>
    <n v="35.435616438356163"/>
    <n v="175"/>
    <n v="43.75"/>
  </r>
  <r>
    <n v="23268918"/>
    <n v="20101987"/>
    <n v="5"/>
    <n v="1"/>
    <n v="1"/>
    <x v="8"/>
    <x v="7"/>
    <s v="20101987"/>
    <n v="35.347945205479455"/>
    <n v="175"/>
    <n v="35"/>
  </r>
  <r>
    <n v="6697708"/>
    <n v="11061987"/>
    <n v="5"/>
    <n v="1"/>
    <n v="1"/>
    <x v="8"/>
    <x v="10"/>
    <s v="11061987"/>
    <n v="35.706849315068496"/>
    <n v="175"/>
    <n v="35"/>
  </r>
  <r>
    <n v="9667801"/>
    <n v="10111986"/>
    <n v="7"/>
    <n v="1"/>
    <n v="1"/>
    <x v="7"/>
    <x v="3"/>
    <s v="10111986"/>
    <n v="36.290410958904111"/>
    <n v="175"/>
    <n v="25"/>
  </r>
  <r>
    <n v="23654518"/>
    <n v="22041986"/>
    <n v="4"/>
    <n v="1"/>
    <n v="1"/>
    <x v="4"/>
    <x v="3"/>
    <s v="22041986"/>
    <n v="36.843835616438355"/>
    <n v="175"/>
    <n v="43.75"/>
  </r>
  <r>
    <n v="13940207"/>
    <n v="29111986"/>
    <n v="3"/>
    <n v="2"/>
    <n v="1"/>
    <x v="7"/>
    <x v="3"/>
    <s v="29111986"/>
    <n v="36.238356164383561"/>
    <n v="175"/>
    <n v="58.333333333333336"/>
  </r>
  <r>
    <n v="2826423"/>
    <n v="3121986"/>
    <n v="6"/>
    <n v="1"/>
    <n v="2"/>
    <x v="2"/>
    <x v="7"/>
    <s v="03121986"/>
    <n v="36.227397260273975"/>
    <n v="697.5"/>
    <n v="116.25"/>
  </r>
  <r>
    <n v="20984642"/>
    <n v="14121986"/>
    <n v="5"/>
    <n v="1"/>
    <n v="2"/>
    <x v="8"/>
    <x v="3"/>
    <s v="14121986"/>
    <n v="36.197260273972603"/>
    <n v="697.5"/>
    <n v="139.5"/>
  </r>
  <r>
    <n v="23120773"/>
    <n v="20121986"/>
    <n v="4"/>
    <n v="1"/>
    <n v="2"/>
    <x v="2"/>
    <x v="3"/>
    <s v="20121986"/>
    <n v="36.180821917808217"/>
    <n v="697.5"/>
    <n v="174.375"/>
  </r>
  <r>
    <n v="18414329"/>
    <n v="23121986"/>
    <n v="5"/>
    <n v="1"/>
    <n v="1"/>
    <x v="7"/>
    <x v="7"/>
    <s v="23121986"/>
    <n v="36.172602739726024"/>
    <n v="175"/>
    <n v="35"/>
  </r>
  <r>
    <n v="10938244"/>
    <n v="16121986"/>
    <n v="4"/>
    <n v="1"/>
    <n v="1"/>
    <x v="9"/>
    <x v="1"/>
    <s v="16121986"/>
    <n v="36.19178082191781"/>
    <n v="175"/>
    <n v="43.75"/>
  </r>
  <r>
    <n v="10837293"/>
    <n v="26121986"/>
    <n v="6"/>
    <n v="0"/>
    <n v="1"/>
    <x v="0"/>
    <x v="2"/>
    <s v="26121986"/>
    <n v="36.164383561643838"/>
    <n v="175"/>
    <n v="29.166666666666668"/>
  </r>
  <r>
    <n v="13940206"/>
    <n v="29121986"/>
    <n v="3"/>
    <n v="1"/>
    <n v="3"/>
    <x v="2"/>
    <x v="7"/>
    <s v="29121986"/>
    <n v="36.156164383561645"/>
    <n v="1397.5"/>
    <n v="465.83333333333331"/>
  </r>
  <r>
    <n v="16638796"/>
    <n v="29071986"/>
    <n v="5"/>
    <n v="1"/>
    <n v="1"/>
    <x v="7"/>
    <x v="1"/>
    <s v="29071986"/>
    <n v="36.575342465753423"/>
    <n v="175"/>
    <n v="35"/>
  </r>
  <r>
    <n v="8094033"/>
    <n v="10011987"/>
    <n v="0"/>
    <n v="0"/>
    <n v="1"/>
    <x v="4"/>
    <x v="5"/>
    <s v="10011987"/>
    <n v="36.123287671232873"/>
    <n v="175"/>
    <n v="0"/>
  </r>
  <r>
    <n v="8830299"/>
    <n v="11011987"/>
    <n v="2"/>
    <n v="1"/>
    <n v="2"/>
    <x v="9"/>
    <x v="5"/>
    <s v="11011987"/>
    <n v="36.12054794520548"/>
    <n v="697.5"/>
    <n v="348.75"/>
  </r>
  <r>
    <n v="15671778"/>
    <n v="25121986"/>
    <n v="7"/>
    <n v="0"/>
    <n v="1"/>
    <x v="1"/>
    <x v="2"/>
    <s v="25121986"/>
    <n v="36.167123287671231"/>
    <n v="175"/>
    <n v="25"/>
  </r>
  <r>
    <n v="21445667"/>
    <n v="19011987"/>
    <n v="2"/>
    <n v="0"/>
    <n v="1"/>
    <x v="5"/>
    <x v="3"/>
    <s v="19011987"/>
    <n v="36.098630136986301"/>
    <n v="175"/>
    <n v="87.5"/>
  </r>
  <r>
    <n v="12034820"/>
    <n v="22011987"/>
    <n v="4"/>
    <n v="1"/>
    <n v="1"/>
    <x v="4"/>
    <x v="5"/>
    <s v="22011987"/>
    <n v="36.090410958904108"/>
    <n v="175"/>
    <n v="43.75"/>
  </r>
  <r>
    <n v="5092164"/>
    <n v="1111986"/>
    <n v="3"/>
    <n v="1"/>
    <n v="1"/>
    <x v="0"/>
    <x v="3"/>
    <s v="01111986"/>
    <n v="36.315068493150683"/>
    <n v="175"/>
    <n v="58.333333333333336"/>
  </r>
  <r>
    <n v="5771331"/>
    <n v="6031987"/>
    <n v="2"/>
    <n v="1"/>
    <n v="1"/>
    <x v="8"/>
    <x v="10"/>
    <s v="06031987"/>
    <n v="35.972602739726028"/>
    <n v="175"/>
    <n v="87.5"/>
  </r>
  <r>
    <n v="22962178"/>
    <n v="8031987"/>
    <n v="4"/>
    <n v="2"/>
    <n v="1"/>
    <x v="7"/>
    <x v="1"/>
    <s v="08031987"/>
    <n v="35.967123287671235"/>
    <n v="175"/>
    <n v="43.75"/>
  </r>
  <r>
    <n v="12079013"/>
    <n v="27011987"/>
    <n v="3"/>
    <n v="0"/>
    <n v="1"/>
    <x v="7"/>
    <x v="3"/>
    <s v="27011987"/>
    <n v="36.076712328767123"/>
    <n v="175"/>
    <n v="58.333333333333336"/>
  </r>
  <r>
    <n v="20825930"/>
    <n v="25021987"/>
    <n v="9"/>
    <n v="2"/>
    <n v="1"/>
    <x v="7"/>
    <x v="3"/>
    <s v="25021987"/>
    <n v="35.9972602739726"/>
    <n v="175"/>
    <n v="19.444444444444443"/>
  </r>
  <r>
    <n v="1700581"/>
    <n v="31031987"/>
    <n v="4"/>
    <n v="1"/>
    <n v="3"/>
    <x v="2"/>
    <x v="3"/>
    <s v="31031987"/>
    <n v="35.904109589041099"/>
    <n v="1397.5"/>
    <n v="349.375"/>
  </r>
  <r>
    <n v="2769406"/>
    <n v="8041987"/>
    <n v="7"/>
    <n v="1"/>
    <n v="2"/>
    <x v="7"/>
    <x v="7"/>
    <s v="08041987"/>
    <n v="35.88219178082192"/>
    <n v="697.5"/>
    <n v="99.642857142857139"/>
  </r>
  <r>
    <n v="23827691"/>
    <n v="14041987"/>
    <n v="4"/>
    <n v="1"/>
    <n v="5"/>
    <x v="2"/>
    <x v="7"/>
    <s v="14041987"/>
    <n v="35.865753424657534"/>
    <n v="2787.5"/>
    <n v="696.875"/>
  </r>
  <r>
    <n v="632544"/>
    <n v="13041987"/>
    <n v="3"/>
    <n v="1"/>
    <n v="4"/>
    <x v="4"/>
    <x v="5"/>
    <s v="13041987"/>
    <n v="35.868493150684934"/>
    <n v="2100"/>
    <n v="700"/>
  </r>
  <r>
    <n v="3736360"/>
    <n v="6051987"/>
    <n v="8"/>
    <n v="2"/>
    <n v="3"/>
    <x v="6"/>
    <x v="6"/>
    <s v="06051987"/>
    <n v="35.805479452054797"/>
    <n v="1397.5"/>
    <n v="174.6875"/>
  </r>
  <r>
    <n v="16884793"/>
    <n v="30041987"/>
    <n v="5"/>
    <n v="2"/>
    <n v="5"/>
    <x v="2"/>
    <x v="9"/>
    <s v="30041987"/>
    <n v="35.821917808219176"/>
    <n v="2787.5"/>
    <n v="557.5"/>
  </r>
  <r>
    <n v="4905339"/>
    <n v="13051987"/>
    <n v="5"/>
    <n v="1"/>
    <n v="2"/>
    <x v="10"/>
    <x v="1"/>
    <s v="13051987"/>
    <n v="35.786301369863011"/>
    <n v="697.5"/>
    <n v="139.5"/>
  </r>
  <r>
    <n v="11155476"/>
    <n v="11051987"/>
    <n v="3"/>
    <n v="1"/>
    <n v="1"/>
    <x v="1"/>
    <x v="10"/>
    <s v="11051987"/>
    <n v="35.791780821917811"/>
    <n v="175"/>
    <n v="58.333333333333336"/>
  </r>
  <r>
    <n v="21302151"/>
    <n v="28051987"/>
    <n v="4"/>
    <n v="3"/>
    <n v="2"/>
    <x v="2"/>
    <x v="7"/>
    <s v="28051987"/>
    <n v="35.745205479452054"/>
    <n v="697.5"/>
    <n v="174.375"/>
  </r>
  <r>
    <n v="5815079"/>
    <n v="1061987"/>
    <n v="5"/>
    <n v="1"/>
    <n v="2"/>
    <x v="8"/>
    <x v="10"/>
    <s v="01061987"/>
    <n v="35.734246575342468"/>
    <n v="697.5"/>
    <n v="139.5"/>
  </r>
  <r>
    <n v="20768354"/>
    <n v="2061987"/>
    <n v="6"/>
    <n v="1"/>
    <n v="1"/>
    <x v="2"/>
    <x v="3"/>
    <s v="02061987"/>
    <n v="35.731506849315068"/>
    <n v="175"/>
    <n v="29.166666666666668"/>
  </r>
  <r>
    <n v="12122609"/>
    <n v="2061987"/>
    <n v="5"/>
    <n v="1"/>
    <n v="4"/>
    <x v="2"/>
    <x v="7"/>
    <s v="02061987"/>
    <n v="35.731506849315068"/>
    <n v="2100"/>
    <n v="420"/>
  </r>
  <r>
    <n v="10086897"/>
    <n v="13061987"/>
    <n v="5"/>
    <n v="2"/>
    <n v="1"/>
    <x v="2"/>
    <x v="7"/>
    <s v="13061987"/>
    <n v="35.701369863013696"/>
    <n v="175"/>
    <n v="35"/>
  </r>
  <r>
    <n v="19165695"/>
    <n v="26051987"/>
    <n v="6"/>
    <n v="2"/>
    <n v="6"/>
    <x v="2"/>
    <x v="7"/>
    <s v="26051987"/>
    <n v="35.750684931506846"/>
    <n v="4000"/>
    <n v="666.66666666666663"/>
  </r>
  <r>
    <n v="5280960"/>
    <n v="12061987"/>
    <n v="5"/>
    <n v="2"/>
    <n v="2"/>
    <x v="9"/>
    <x v="7"/>
    <s v="12061987"/>
    <n v="35.704109589041096"/>
    <n v="697.5"/>
    <n v="139.5"/>
  </r>
  <r>
    <n v="4111958"/>
    <n v="23051987"/>
    <n v="5"/>
    <n v="1"/>
    <n v="1"/>
    <x v="7"/>
    <x v="1"/>
    <s v="23051987"/>
    <n v="35.758904109589039"/>
    <n v="175"/>
    <n v="35"/>
  </r>
  <r>
    <n v="21735177"/>
    <n v="13041987"/>
    <n v="5"/>
    <n v="2"/>
    <n v="2"/>
    <x v="5"/>
    <x v="3"/>
    <s v="13041987"/>
    <n v="35.868493150684934"/>
    <n v="697.5"/>
    <n v="139.5"/>
  </r>
  <r>
    <n v="14359473"/>
    <n v="27041987"/>
    <n v="8"/>
    <n v="2"/>
    <n v="1"/>
    <x v="7"/>
    <x v="3"/>
    <s v="27041987"/>
    <n v="35.830136986301369"/>
    <n v="175"/>
    <n v="21.875"/>
  </r>
  <r>
    <n v="14258463"/>
    <n v="22061987"/>
    <n v="6"/>
    <n v="1"/>
    <n v="3"/>
    <x v="2"/>
    <x v="7"/>
    <s v="22061987"/>
    <n v="35.676712328767124"/>
    <n v="1397.5"/>
    <n v="232.91666666666666"/>
  </r>
  <r>
    <n v="15859832"/>
    <n v="25061987"/>
    <n v="4"/>
    <n v="2"/>
    <n v="2"/>
    <x v="5"/>
    <x v="3"/>
    <s v="25061987"/>
    <n v="35.668493150684931"/>
    <n v="697.5"/>
    <n v="174.375"/>
  </r>
  <r>
    <n v="17029329"/>
    <n v="27031987"/>
    <n v="6"/>
    <n v="2"/>
    <n v="2"/>
    <x v="7"/>
    <x v="6"/>
    <s v="27031987"/>
    <n v="35.915068493150685"/>
    <n v="697.5"/>
    <n v="116.25"/>
  </r>
  <r>
    <n v="23236837"/>
    <n v="25061987"/>
    <n v="4"/>
    <n v="2"/>
    <n v="1"/>
    <x v="5"/>
    <x v="3"/>
    <s v="25061987"/>
    <n v="35.668493150684931"/>
    <n v="175"/>
    <n v="43.75"/>
  </r>
  <r>
    <n v="1441219"/>
    <n v="29061987"/>
    <n v="3"/>
    <n v="0"/>
    <n v="1"/>
    <x v="7"/>
    <x v="3"/>
    <s v="29061987"/>
    <n v="35.657534246575345"/>
    <n v="175"/>
    <n v="58.333333333333336"/>
  </r>
  <r>
    <n v="6984147"/>
    <n v="29061987"/>
    <n v="5"/>
    <n v="1"/>
    <n v="2"/>
    <x v="7"/>
    <x v="3"/>
    <s v="29061987"/>
    <n v="35.657534246575345"/>
    <n v="697.5"/>
    <n v="139.5"/>
  </r>
  <r>
    <n v="13825231"/>
    <n v="7071987"/>
    <n v="3"/>
    <n v="1"/>
    <n v="1"/>
    <x v="6"/>
    <x v="3"/>
    <s v="07071987"/>
    <n v="35.635616438356166"/>
    <n v="175"/>
    <n v="58.333333333333336"/>
  </r>
  <r>
    <n v="9553289"/>
    <n v="23061987"/>
    <n v="7"/>
    <n v="1"/>
    <n v="1"/>
    <x v="8"/>
    <x v="10"/>
    <s v="23061987"/>
    <n v="35.673972602739724"/>
    <n v="175"/>
    <n v="25"/>
  </r>
  <r>
    <n v="17563422"/>
    <n v="9071987"/>
    <n v="2"/>
    <n v="1"/>
    <n v="1"/>
    <x v="2"/>
    <x v="7"/>
    <s v="09071987"/>
    <n v="35.630136986301373"/>
    <n v="175"/>
    <n v="87.5"/>
  </r>
  <r>
    <n v="6450531"/>
    <n v="12071987"/>
    <n v="4"/>
    <n v="1"/>
    <n v="1"/>
    <x v="5"/>
    <x v="3"/>
    <s v="12071987"/>
    <n v="35.62191780821918"/>
    <n v="175"/>
    <n v="43.75"/>
  </r>
  <r>
    <n v="24766346"/>
    <n v="16071987"/>
    <n v="4"/>
    <n v="1"/>
    <n v="1"/>
    <x v="7"/>
    <x v="3"/>
    <s v="16071987"/>
    <n v="35.610958904109587"/>
    <n v="175"/>
    <n v="43.75"/>
  </r>
  <r>
    <n v="20494543"/>
    <n v="17071987"/>
    <n v="6"/>
    <n v="1"/>
    <n v="1"/>
    <x v="7"/>
    <x v="3"/>
    <s v="17071987"/>
    <n v="35.608219178082194"/>
    <n v="175"/>
    <n v="29.166666666666668"/>
  </r>
  <r>
    <n v="1700025"/>
    <n v="14071987"/>
    <n v="6"/>
    <n v="3"/>
    <n v="3"/>
    <x v="9"/>
    <x v="9"/>
    <s v="14071987"/>
    <n v="35.61643835616438"/>
    <n v="1397.5"/>
    <n v="232.91666666666666"/>
  </r>
  <r>
    <n v="9177839"/>
    <n v="24041987"/>
    <n v="5"/>
    <n v="0"/>
    <n v="1"/>
    <x v="1"/>
    <x v="0"/>
    <s v="24041987"/>
    <n v="35.838356164383562"/>
    <n v="175"/>
    <n v="35"/>
  </r>
  <r>
    <n v="24563328"/>
    <n v="12071987"/>
    <n v="4"/>
    <n v="1"/>
    <n v="1"/>
    <x v="7"/>
    <x v="0"/>
    <s v="12071987"/>
    <n v="35.62191780821918"/>
    <n v="175"/>
    <n v="43.75"/>
  </r>
  <r>
    <n v="20291421"/>
    <n v="10071987"/>
    <n v="5"/>
    <n v="1"/>
    <n v="1"/>
    <x v="0"/>
    <x v="0"/>
    <s v="10071987"/>
    <n v="35.627397260273973"/>
    <n v="175"/>
    <n v="35"/>
  </r>
  <r>
    <n v="733576"/>
    <n v="16071987"/>
    <n v="6"/>
    <n v="1"/>
    <n v="2"/>
    <x v="2"/>
    <x v="1"/>
    <s v="16071987"/>
    <n v="35.610958904109587"/>
    <n v="697.5"/>
    <n v="116.25"/>
  </r>
  <r>
    <n v="15687081"/>
    <n v="17071987"/>
    <n v="5"/>
    <n v="2"/>
    <n v="1"/>
    <x v="1"/>
    <x v="0"/>
    <s v="17071987"/>
    <n v="35.608219178082194"/>
    <n v="175"/>
    <n v="35"/>
  </r>
  <r>
    <n v="24131058"/>
    <n v="20071987"/>
    <n v="2"/>
    <n v="2"/>
    <n v="1"/>
    <x v="6"/>
    <x v="2"/>
    <s v="20071987"/>
    <n v="35.6"/>
    <n v="175"/>
    <n v="87.5"/>
  </r>
  <r>
    <n v="23698352"/>
    <n v="24071987"/>
    <n v="4"/>
    <n v="2"/>
    <n v="1"/>
    <x v="7"/>
    <x v="10"/>
    <s v="24071987"/>
    <n v="35.589041095890408"/>
    <n v="175"/>
    <n v="43.75"/>
  </r>
  <r>
    <n v="13017198"/>
    <n v="25071987"/>
    <n v="6"/>
    <n v="2"/>
    <n v="2"/>
    <x v="10"/>
    <x v="7"/>
    <s v="25071987"/>
    <n v="35.586301369863016"/>
    <n v="697.5"/>
    <n v="116.25"/>
  </r>
  <r>
    <n v="2768843"/>
    <n v="4081987"/>
    <n v="4"/>
    <n v="1"/>
    <n v="2"/>
    <x v="7"/>
    <x v="8"/>
    <s v="04081987"/>
    <n v="35.558904109589044"/>
    <n v="697.5"/>
    <n v="174.375"/>
  </r>
  <r>
    <n v="6507548"/>
    <n v="13071987"/>
    <n v="5"/>
    <n v="1"/>
    <n v="1"/>
    <x v="4"/>
    <x v="3"/>
    <s v="13071987"/>
    <n v="35.61917808219178"/>
    <n v="175"/>
    <n v="35"/>
  </r>
  <r>
    <n v="12483560"/>
    <n v="16051987"/>
    <n v="5"/>
    <n v="2"/>
    <n v="1"/>
    <x v="4"/>
    <x v="5"/>
    <s v="16051987"/>
    <n v="35.778082191780825"/>
    <n v="175"/>
    <n v="35"/>
  </r>
  <r>
    <n v="21995492"/>
    <n v="11081987"/>
    <n v="4"/>
    <n v="3"/>
    <n v="3"/>
    <x v="7"/>
    <x v="7"/>
    <s v="11081987"/>
    <n v="35.539726027397258"/>
    <n v="1397.5"/>
    <n v="349.375"/>
  </r>
  <r>
    <n v="2870353"/>
    <n v="21071987"/>
    <n v="4"/>
    <n v="1"/>
    <n v="1"/>
    <x v="10"/>
    <x v="2"/>
    <s v="21071987"/>
    <n v="35.597260273972601"/>
    <n v="175"/>
    <n v="43.75"/>
  </r>
  <r>
    <n v="20393286"/>
    <n v="8081987"/>
    <n v="4"/>
    <n v="2"/>
    <n v="2"/>
    <x v="6"/>
    <x v="3"/>
    <s v="08081987"/>
    <n v="35.547945205479451"/>
    <n v="697.5"/>
    <n v="174.375"/>
  </r>
  <r>
    <n v="1165986"/>
    <n v="8081987"/>
    <n v="3"/>
    <n v="1"/>
    <n v="1"/>
    <x v="5"/>
    <x v="3"/>
    <s v="08081987"/>
    <n v="35.547945205479451"/>
    <n v="175"/>
    <n v="58.333333333333336"/>
  </r>
  <r>
    <n v="9278998"/>
    <n v="2081987"/>
    <n v="6"/>
    <n v="2"/>
    <n v="2"/>
    <x v="2"/>
    <x v="7"/>
    <s v="02081987"/>
    <n v="35.564383561643837"/>
    <n v="697.5"/>
    <n v="116.25"/>
  </r>
  <r>
    <n v="10779793"/>
    <n v="29071987"/>
    <n v="3"/>
    <n v="0"/>
    <n v="2"/>
    <x v="4"/>
    <x v="10"/>
    <s v="29071987"/>
    <n v="35.575342465753423"/>
    <n v="697.5"/>
    <n v="232.5"/>
  </r>
  <r>
    <n v="9379818"/>
    <n v="7041987"/>
    <n v="5"/>
    <n v="1"/>
    <n v="3"/>
    <x v="10"/>
    <x v="3"/>
    <s v="07041987"/>
    <n v="35.884931506849313"/>
    <n v="1397.5"/>
    <n v="279.5"/>
  </r>
  <r>
    <n v="8210724"/>
    <n v="14081987"/>
    <n v="4"/>
    <n v="1"/>
    <n v="2"/>
    <x v="8"/>
    <x v="3"/>
    <s v="14081987"/>
    <n v="35.531506849315072"/>
    <n v="697.5"/>
    <n v="174.375"/>
  </r>
  <r>
    <n v="8643546"/>
    <n v="25071987"/>
    <n v="5"/>
    <n v="2"/>
    <n v="1"/>
    <x v="7"/>
    <x v="0"/>
    <s v="25071987"/>
    <n v="35.586301369863016"/>
    <n v="175"/>
    <n v="35"/>
  </r>
  <r>
    <n v="10346838"/>
    <n v="24081987"/>
    <n v="8"/>
    <n v="2"/>
    <n v="3"/>
    <x v="2"/>
    <x v="7"/>
    <s v="24081987"/>
    <n v="35.504109589041093"/>
    <n v="1397.5"/>
    <n v="174.6875"/>
  </r>
  <r>
    <n v="18256147"/>
    <n v="30071987"/>
    <n v="3"/>
    <n v="1"/>
    <n v="1"/>
    <x v="5"/>
    <x v="0"/>
    <s v="30071987"/>
    <n v="35.57260273972603"/>
    <n v="175"/>
    <n v="58.333333333333336"/>
  </r>
  <r>
    <n v="19222784"/>
    <n v="30081987"/>
    <n v="5"/>
    <n v="1"/>
    <n v="3"/>
    <x v="9"/>
    <x v="7"/>
    <s v="30081987"/>
    <n v="35.487671232876714"/>
    <n v="1397.5"/>
    <n v="279.5"/>
  </r>
  <r>
    <n v="1267611"/>
    <n v="30081987"/>
    <n v="6"/>
    <n v="1"/>
    <n v="2"/>
    <x v="7"/>
    <x v="3"/>
    <s v="30081987"/>
    <n v="35.487671232876714"/>
    <n v="697.5"/>
    <n v="116.25"/>
  </r>
  <r>
    <n v="16654238"/>
    <n v="29081987"/>
    <n v="5"/>
    <n v="1"/>
    <n v="2"/>
    <x v="2"/>
    <x v="10"/>
    <s v="29081987"/>
    <n v="35.490410958904107"/>
    <n v="697.5"/>
    <n v="139.5"/>
  </r>
  <r>
    <n v="8845583"/>
    <n v="1091987"/>
    <n v="4"/>
    <n v="1"/>
    <n v="3"/>
    <x v="6"/>
    <x v="6"/>
    <s v="01091987"/>
    <n v="35.482191780821921"/>
    <n v="1397.5"/>
    <n v="349.375"/>
  </r>
  <r>
    <n v="8109435"/>
    <n v="3091987"/>
    <n v="4"/>
    <n v="1"/>
    <n v="1"/>
    <x v="5"/>
    <x v="1"/>
    <s v="03091987"/>
    <n v="35.476712328767121"/>
    <n v="175"/>
    <n v="43.75"/>
  </r>
  <r>
    <n v="3319062"/>
    <n v="5091987"/>
    <n v="5"/>
    <n v="2"/>
    <n v="1"/>
    <x v="7"/>
    <x v="1"/>
    <s v="05091987"/>
    <n v="35.471232876712328"/>
    <n v="175"/>
    <n v="35"/>
  </r>
  <r>
    <n v="15269494"/>
    <n v="8091987"/>
    <n v="6"/>
    <n v="1"/>
    <n v="2"/>
    <x v="7"/>
    <x v="3"/>
    <s v="08091987"/>
    <n v="35.463013698630135"/>
    <n v="697.5"/>
    <n v="116.25"/>
  </r>
  <r>
    <n v="16337601"/>
    <n v="8091987"/>
    <n v="3"/>
    <n v="1"/>
    <n v="2"/>
    <x v="7"/>
    <x v="7"/>
    <s v="08091987"/>
    <n v="35.463013698630135"/>
    <n v="697.5"/>
    <n v="232.5"/>
  </r>
  <r>
    <n v="749447"/>
    <n v="8091987"/>
    <n v="4"/>
    <n v="2"/>
    <n v="5"/>
    <x v="9"/>
    <x v="10"/>
    <s v="08091987"/>
    <n v="35.463013698630135"/>
    <n v="2787.5"/>
    <n v="696.875"/>
  </r>
  <r>
    <n v="23180259"/>
    <n v="9091987"/>
    <n v="4"/>
    <n v="1"/>
    <n v="2"/>
    <x v="4"/>
    <x v="3"/>
    <s v="09091987"/>
    <n v="35.460273972602742"/>
    <n v="697.5"/>
    <n v="174.375"/>
  </r>
  <r>
    <n v="20510293"/>
    <n v="3091987"/>
    <n v="5"/>
    <n v="1"/>
    <n v="2"/>
    <x v="9"/>
    <x v="1"/>
    <s v="03091987"/>
    <n v="35.476712328767121"/>
    <n v="697.5"/>
    <n v="139.5"/>
  </r>
  <r>
    <n v="12499342"/>
    <n v="17081987"/>
    <n v="6"/>
    <n v="1"/>
    <n v="1"/>
    <x v="5"/>
    <x v="3"/>
    <s v="17081987"/>
    <n v="35.523287671232879"/>
    <n v="175"/>
    <n v="29.166666666666668"/>
  </r>
  <r>
    <n v="1817513"/>
    <n v="17091987"/>
    <n v="4"/>
    <n v="1"/>
    <n v="2"/>
    <x v="2"/>
    <x v="1"/>
    <s v="17091987"/>
    <n v="35.438356164383563"/>
    <n v="697.5"/>
    <n v="174.375"/>
  </r>
  <r>
    <n v="23079148"/>
    <n v="16091987"/>
    <n v="5"/>
    <n v="2"/>
    <n v="3"/>
    <x v="2"/>
    <x v="7"/>
    <s v="16091987"/>
    <n v="35.441095890410956"/>
    <n v="1397.5"/>
    <n v="279.5"/>
  </r>
  <r>
    <n v="18272016"/>
    <n v="14091987"/>
    <n v="3"/>
    <n v="1"/>
    <n v="2"/>
    <x v="8"/>
    <x v="7"/>
    <s v="14091987"/>
    <n v="35.446575342465756"/>
    <n v="697.5"/>
    <n v="232.5"/>
  </r>
  <r>
    <n v="19340520"/>
    <n v="20091987"/>
    <n v="4"/>
    <n v="1"/>
    <n v="1"/>
    <x v="4"/>
    <x v="5"/>
    <s v="20091987"/>
    <n v="35.43013698630137"/>
    <n v="175"/>
    <n v="43.75"/>
  </r>
  <r>
    <n v="16236963"/>
    <n v="25051987"/>
    <n v="3"/>
    <n v="1"/>
    <n v="1"/>
    <x v="7"/>
    <x v="2"/>
    <s v="25051987"/>
    <n v="35.753424657534246"/>
    <n v="175"/>
    <n v="58.333333333333336"/>
  </r>
  <r>
    <n v="20943070"/>
    <n v="27091987"/>
    <n v="6"/>
    <n v="1"/>
    <n v="5"/>
    <x v="2"/>
    <x v="10"/>
    <s v="27091987"/>
    <n v="35.410958904109592"/>
    <n v="2787.5"/>
    <n v="464.58333333333331"/>
  </r>
  <r>
    <n v="5455224"/>
    <n v="26091987"/>
    <n v="6"/>
    <n v="2"/>
    <n v="4"/>
    <x v="9"/>
    <x v="7"/>
    <s v="26091987"/>
    <n v="35.413698630136984"/>
    <n v="2100"/>
    <n v="350"/>
  </r>
  <r>
    <n v="2784775"/>
    <n v="2091987"/>
    <n v="4"/>
    <n v="1"/>
    <n v="1"/>
    <x v="0"/>
    <x v="2"/>
    <s v="02091987"/>
    <n v="35.479452054794521"/>
    <n v="175"/>
    <n v="43.75"/>
  </r>
  <r>
    <n v="16337600"/>
    <n v="22091987"/>
    <n v="5"/>
    <n v="2"/>
    <n v="1"/>
    <x v="7"/>
    <x v="0"/>
    <s v="22091987"/>
    <n v="35.424657534246577"/>
    <n v="175"/>
    <n v="35"/>
  </r>
  <r>
    <n v="5022106"/>
    <n v="28091987"/>
    <n v="5"/>
    <n v="2"/>
    <n v="3"/>
    <x v="5"/>
    <x v="7"/>
    <s v="28091987"/>
    <n v="35.408219178082192"/>
    <n v="1397.5"/>
    <n v="279.5"/>
  </r>
  <r>
    <n v="9828646"/>
    <n v="6091987"/>
    <n v="4"/>
    <n v="1"/>
    <n v="4"/>
    <x v="2"/>
    <x v="3"/>
    <s v="06091987"/>
    <n v="35.468493150684928"/>
    <n v="2100"/>
    <n v="525"/>
  </r>
  <r>
    <n v="7793186"/>
    <n v="1101987"/>
    <n v="4"/>
    <n v="2"/>
    <n v="2"/>
    <x v="2"/>
    <x v="10"/>
    <s v="01101987"/>
    <n v="35.4"/>
    <n v="697.5"/>
    <n v="174.375"/>
  </r>
  <r>
    <n v="16771283"/>
    <n v="14091987"/>
    <n v="6"/>
    <n v="1"/>
    <n v="2"/>
    <x v="7"/>
    <x v="3"/>
    <s v="14091987"/>
    <n v="35.446575342465756"/>
    <n v="697.5"/>
    <n v="116.25"/>
  </r>
  <r>
    <n v="19976205"/>
    <n v="5101987"/>
    <n v="4"/>
    <n v="1"/>
    <n v="1"/>
    <x v="9"/>
    <x v="7"/>
    <s v="05101987"/>
    <n v="35.389041095890413"/>
    <n v="175"/>
    <n v="43.75"/>
  </r>
  <r>
    <n v="8226577"/>
    <n v="3081987"/>
    <n v="0"/>
    <n v="0"/>
    <n v="6"/>
    <x v="4"/>
    <x v="5"/>
    <s v="03081987"/>
    <n v="35.561643835616437"/>
    <n v="4000"/>
    <n v="0"/>
  </r>
  <r>
    <n v="4386656"/>
    <n v="2101987"/>
    <n v="5"/>
    <n v="2"/>
    <n v="1"/>
    <x v="7"/>
    <x v="3"/>
    <s v="02101987"/>
    <n v="35.397260273972606"/>
    <n v="175"/>
    <n v="35"/>
  </r>
  <r>
    <n v="7158261"/>
    <n v="22071987"/>
    <n v="8"/>
    <n v="0"/>
    <n v="2"/>
    <x v="4"/>
    <x v="5"/>
    <s v="22071987"/>
    <n v="35.594520547945208"/>
    <n v="697.5"/>
    <n v="87.1875"/>
  </r>
  <r>
    <n v="18272017"/>
    <n v="8101987"/>
    <n v="5"/>
    <n v="2"/>
    <n v="1"/>
    <x v="7"/>
    <x v="1"/>
    <s v="08101987"/>
    <n v="35.38082191780822"/>
    <n v="175"/>
    <n v="35"/>
  </r>
  <r>
    <n v="1731941"/>
    <n v="7101987"/>
    <n v="4"/>
    <n v="1"/>
    <n v="4"/>
    <x v="7"/>
    <x v="0"/>
    <s v="07101987"/>
    <n v="35.38356164383562"/>
    <n v="2100"/>
    <n v="525"/>
  </r>
  <r>
    <n v="2266328"/>
    <n v="30091987"/>
    <n v="3"/>
    <n v="3"/>
    <n v="2"/>
    <x v="7"/>
    <x v="0"/>
    <s v="30091987"/>
    <n v="35.402739726027399"/>
    <n v="697.5"/>
    <n v="232.5"/>
  </r>
  <r>
    <n v="1197931"/>
    <n v="14101987"/>
    <n v="4"/>
    <n v="1"/>
    <n v="3"/>
    <x v="6"/>
    <x v="9"/>
    <s v="14101987"/>
    <n v="35.364383561643834"/>
    <n v="1397.5"/>
    <n v="349.375"/>
  </r>
  <r>
    <n v="20120829"/>
    <n v="17101987"/>
    <n v="5"/>
    <n v="2"/>
    <n v="2"/>
    <x v="2"/>
    <x v="10"/>
    <s v="17101987"/>
    <n v="35.356164383561641"/>
    <n v="697.5"/>
    <n v="139.5"/>
  </r>
  <r>
    <n v="2598038"/>
    <n v="21091987"/>
    <n v="3"/>
    <n v="1"/>
    <n v="2"/>
    <x v="7"/>
    <x v="7"/>
    <s v="21091987"/>
    <n v="35.42739726027397"/>
    <n v="697.5"/>
    <n v="232.5"/>
  </r>
  <r>
    <n v="23324817"/>
    <n v="23091987"/>
    <n v="5"/>
    <n v="1"/>
    <n v="2"/>
    <x v="5"/>
    <x v="8"/>
    <s v="23091987"/>
    <n v="35.421917808219177"/>
    <n v="697.5"/>
    <n v="139.5"/>
  </r>
  <r>
    <n v="7073039"/>
    <n v="15101987"/>
    <n v="4"/>
    <n v="1"/>
    <n v="3"/>
    <x v="7"/>
    <x v="3"/>
    <s v="15101987"/>
    <n v="35.361643835616441"/>
    <n v="1397.5"/>
    <n v="349.375"/>
  </r>
  <r>
    <n v="10175920"/>
    <n v="13101987"/>
    <n v="7"/>
    <n v="1"/>
    <n v="5"/>
    <x v="2"/>
    <x v="10"/>
    <s v="13101987"/>
    <n v="35.367123287671234"/>
    <n v="2787.5"/>
    <n v="398.21428571428572"/>
  </r>
  <r>
    <n v="3767574"/>
    <n v="16101987"/>
    <n v="4"/>
    <n v="2"/>
    <n v="1"/>
    <x v="7"/>
    <x v="3"/>
    <s v="16101987"/>
    <n v="35.358904109589041"/>
    <n v="175"/>
    <n v="43.75"/>
  </r>
  <r>
    <n v="7060411"/>
    <n v="3041987"/>
    <n v="5"/>
    <n v="2"/>
    <n v="3"/>
    <x v="2"/>
    <x v="3"/>
    <s v="03041987"/>
    <n v="35.895890410958906"/>
    <n v="1397.5"/>
    <n v="279.5"/>
  </r>
  <r>
    <n v="5227390"/>
    <n v="5061987"/>
    <n v="3"/>
    <n v="2"/>
    <n v="2"/>
    <x v="7"/>
    <x v="1"/>
    <s v="05061987"/>
    <n v="35.723287671232875"/>
    <n v="697.5"/>
    <n v="232.5"/>
  </r>
  <r>
    <n v="15001562"/>
    <n v="8081988"/>
    <n v="4"/>
    <n v="1"/>
    <n v="2"/>
    <x v="10"/>
    <x v="1"/>
    <s v="08081988"/>
    <n v="34.545205479452058"/>
    <n v="697.5"/>
    <n v="174.375"/>
  </r>
  <r>
    <n v="12534149"/>
    <n v="18081988"/>
    <n v="0"/>
    <n v="0"/>
    <n v="3"/>
    <x v="4"/>
    <x v="5"/>
    <s v="18081988"/>
    <n v="34.517808219178079"/>
    <n v="1397.5"/>
    <n v="0"/>
  </r>
  <r>
    <n v="3455649"/>
    <n v="9081988"/>
    <n v="5"/>
    <n v="1"/>
    <n v="2"/>
    <x v="2"/>
    <x v="10"/>
    <s v="09081988"/>
    <n v="34.542465753424658"/>
    <n v="697.5"/>
    <n v="139.5"/>
  </r>
  <r>
    <n v="250308"/>
    <n v="24081988"/>
    <n v="4"/>
    <n v="2"/>
    <n v="1"/>
    <x v="8"/>
    <x v="10"/>
    <s v="24081988"/>
    <n v="34.5013698630137"/>
    <n v="175"/>
    <n v="43.75"/>
  </r>
  <r>
    <n v="21612966"/>
    <n v="8081988"/>
    <n v="5"/>
    <n v="0"/>
    <n v="1"/>
    <x v="10"/>
    <x v="1"/>
    <s v="08081988"/>
    <n v="34.545205479452058"/>
    <n v="175"/>
    <n v="35"/>
  </r>
  <r>
    <n v="7523946"/>
    <n v="28031986"/>
    <n v="6"/>
    <n v="2"/>
    <n v="1"/>
    <x v="5"/>
    <x v="2"/>
    <s v="28031986"/>
    <n v="36.912328767123284"/>
    <n v="175"/>
    <n v="29.166666666666668"/>
  </r>
  <r>
    <n v="11465521"/>
    <n v="16121986"/>
    <n v="10"/>
    <n v="1"/>
    <n v="1"/>
    <x v="7"/>
    <x v="10"/>
    <s v="16121986"/>
    <n v="36.19178082191781"/>
    <n v="175"/>
    <n v="17.5"/>
  </r>
  <r>
    <n v="9126719"/>
    <n v="3031987"/>
    <n v="5"/>
    <n v="2"/>
    <n v="2"/>
    <x v="2"/>
    <x v="3"/>
    <s v="03031987"/>
    <n v="35.980821917808221"/>
    <n v="697.5"/>
    <n v="139.5"/>
  </r>
  <r>
    <n v="24731336"/>
    <n v="18051987"/>
    <n v="3"/>
    <n v="1"/>
    <n v="1"/>
    <x v="0"/>
    <x v="0"/>
    <s v="18051987"/>
    <n v="35.772602739726025"/>
    <n v="175"/>
    <n v="58.333333333333336"/>
  </r>
  <r>
    <n v="8333367"/>
    <n v="17081987"/>
    <n v="6"/>
    <n v="2"/>
    <n v="4"/>
    <x v="9"/>
    <x v="9"/>
    <s v="17081987"/>
    <n v="35.523287671232879"/>
    <n v="2100"/>
    <n v="350"/>
  </r>
  <r>
    <n v="14207749"/>
    <n v="2081987"/>
    <n v="4"/>
    <n v="2"/>
    <n v="2"/>
    <x v="2"/>
    <x v="7"/>
    <s v="02081987"/>
    <n v="35.564383561643837"/>
    <n v="697.5"/>
    <n v="174.375"/>
  </r>
  <r>
    <n v="4932811"/>
    <n v="3011988"/>
    <n v="6"/>
    <n v="1"/>
    <n v="1"/>
    <x v="7"/>
    <x v="3"/>
    <s v="03011988"/>
    <n v="35.142465753424659"/>
    <n v="175"/>
    <n v="29.166666666666668"/>
  </r>
  <r>
    <n v="2176575"/>
    <n v="16061988"/>
    <n v="5"/>
    <n v="2"/>
    <n v="1"/>
    <x v="0"/>
    <x v="3"/>
    <s v="16061988"/>
    <n v="34.69041095890411"/>
    <n v="175"/>
    <n v="35"/>
  </r>
  <r>
    <n v="23539344"/>
    <n v="3081988"/>
    <n v="4"/>
    <n v="1"/>
    <n v="1"/>
    <x v="1"/>
    <x v="2"/>
    <s v="03081988"/>
    <n v="34.558904109589044"/>
    <n v="175"/>
    <n v="43.75"/>
  </r>
  <r>
    <n v="18834158"/>
    <n v="7011989"/>
    <n v="4"/>
    <n v="1"/>
    <n v="1"/>
    <x v="1"/>
    <x v="2"/>
    <s v="07011989"/>
    <n v="34.128767123287673"/>
    <n v="175"/>
    <n v="43.75"/>
  </r>
  <r>
    <n v="20004027"/>
    <n v="28121988"/>
    <n v="4"/>
    <n v="1"/>
    <n v="1"/>
    <x v="1"/>
    <x v="2"/>
    <s v="28121988"/>
    <n v="34.156164383561645"/>
    <n v="175"/>
    <n v="43.75"/>
  </r>
  <r>
    <n v="17525049"/>
    <n v="14101987"/>
    <n v="5"/>
    <n v="1"/>
    <n v="2"/>
    <x v="2"/>
    <x v="9"/>
    <s v="14101987"/>
    <n v="35.364383561643834"/>
    <n v="697.5"/>
    <n v="139.5"/>
  </r>
  <r>
    <n v="511371"/>
    <n v="10021987"/>
    <n v="5"/>
    <n v="1"/>
    <n v="1"/>
    <x v="5"/>
    <x v="1"/>
    <s v="10021987"/>
    <n v="36.038356164383565"/>
    <n v="175"/>
    <n v="35"/>
  </r>
  <r>
    <n v="5217612"/>
    <n v="29121986"/>
    <n v="5"/>
    <n v="1"/>
    <n v="1"/>
    <x v="7"/>
    <x v="0"/>
    <s v="29121986"/>
    <n v="36.156164383561645"/>
    <n v="175"/>
    <n v="35"/>
  </r>
  <r>
    <n v="12059356"/>
    <n v="23061987"/>
    <n v="4"/>
    <n v="1"/>
    <n v="1"/>
    <x v="7"/>
    <x v="3"/>
    <s v="23061987"/>
    <n v="35.673972602739724"/>
    <n v="175"/>
    <n v="43.75"/>
  </r>
  <r>
    <n v="21138170"/>
    <n v="27081987"/>
    <n v="6"/>
    <n v="3"/>
    <n v="1"/>
    <x v="7"/>
    <x v="0"/>
    <s v="27081987"/>
    <n v="35.495890410958907"/>
    <n v="175"/>
    <n v="29.166666666666668"/>
  </r>
  <r>
    <n v="15263016"/>
    <n v="4101987"/>
    <n v="5"/>
    <n v="1"/>
    <n v="1"/>
    <x v="7"/>
    <x v="1"/>
    <s v="04101987"/>
    <n v="35.391780821917806"/>
    <n v="175"/>
    <n v="35"/>
  </r>
  <r>
    <n v="21339985"/>
    <n v="27111987"/>
    <n v="5"/>
    <n v="1"/>
    <n v="2"/>
    <x v="4"/>
    <x v="2"/>
    <s v="27111987"/>
    <n v="35.243835616438353"/>
    <n v="697.5"/>
    <n v="139.5"/>
  </r>
  <r>
    <n v="18567681"/>
    <n v="18061987"/>
    <n v="0"/>
    <n v="0"/>
    <n v="1"/>
    <x v="4"/>
    <x v="5"/>
    <s v="18061987"/>
    <n v="35.68767123287671"/>
    <n v="175"/>
    <n v="0"/>
  </r>
  <r>
    <n v="5031459"/>
    <n v="21011988"/>
    <n v="4"/>
    <n v="0"/>
    <n v="1"/>
    <x v="7"/>
    <x v="3"/>
    <s v="21011988"/>
    <n v="35.093150684931508"/>
    <n v="175"/>
    <n v="43.75"/>
  </r>
  <r>
    <n v="3963624"/>
    <n v="11091987"/>
    <n v="7"/>
    <n v="1"/>
    <n v="1"/>
    <x v="0"/>
    <x v="2"/>
    <s v="11091987"/>
    <n v="35.454794520547942"/>
    <n v="175"/>
    <n v="25"/>
  </r>
  <r>
    <n v="20418494"/>
    <n v="1041988"/>
    <n v="6"/>
    <n v="1"/>
    <n v="1"/>
    <x v="0"/>
    <x v="3"/>
    <s v="01041988"/>
    <n v="34.898630136986299"/>
    <n v="175"/>
    <n v="29.166666666666668"/>
  </r>
  <r>
    <n v="23622229"/>
    <n v="3101986"/>
    <n v="5"/>
    <n v="1"/>
    <n v="1"/>
    <x v="1"/>
    <x v="10"/>
    <s v="03101986"/>
    <n v="36.394520547945206"/>
    <n v="175"/>
    <n v="35"/>
  </r>
  <r>
    <n v="878415"/>
    <n v="23111987"/>
    <n v="4"/>
    <n v="2"/>
    <n v="3"/>
    <x v="2"/>
    <x v="9"/>
    <s v="23111987"/>
    <n v="35.254794520547946"/>
    <n v="1397.5"/>
    <n v="349.375"/>
  </r>
  <r>
    <n v="10399630"/>
    <n v="10061988"/>
    <n v="6"/>
    <n v="3"/>
    <n v="4"/>
    <x v="2"/>
    <x v="7"/>
    <s v="10061988"/>
    <n v="34.706849315068496"/>
    <n v="2100"/>
    <n v="350"/>
  </r>
  <r>
    <n v="4167382"/>
    <n v="10091988"/>
    <n v="0"/>
    <n v="0"/>
    <n v="4"/>
    <x v="4"/>
    <x v="5"/>
    <s v="10091988"/>
    <n v="34.454794520547942"/>
    <n v="2100"/>
    <n v="0"/>
  </r>
  <r>
    <n v="8862940"/>
    <n v="3071986"/>
    <n v="4"/>
    <n v="1"/>
    <n v="1"/>
    <x v="1"/>
    <x v="2"/>
    <s v="03071986"/>
    <n v="36.646575342465752"/>
    <n v="175"/>
    <n v="43.75"/>
  </r>
  <r>
    <n v="16254368"/>
    <n v="29101988"/>
    <n v="5"/>
    <n v="1"/>
    <n v="1"/>
    <x v="1"/>
    <x v="2"/>
    <s v="29101988"/>
    <n v="34.320547945205476"/>
    <n v="175"/>
    <n v="35"/>
  </r>
  <r>
    <n v="7109619"/>
    <n v="7031987"/>
    <n v="4"/>
    <n v="1"/>
    <n v="1"/>
    <x v="7"/>
    <x v="0"/>
    <s v="07031987"/>
    <n v="35.969863013698628"/>
    <n v="175"/>
    <n v="43.75"/>
  </r>
  <r>
    <n v="22129413"/>
    <n v="1091987"/>
    <n v="4"/>
    <n v="1"/>
    <n v="2"/>
    <x v="8"/>
    <x v="3"/>
    <s v="01091987"/>
    <n v="35.482191780821921"/>
    <n v="697.5"/>
    <n v="174.375"/>
  </r>
  <r>
    <n v="18987693"/>
    <n v="9091987"/>
    <n v="3"/>
    <n v="1"/>
    <n v="1"/>
    <x v="8"/>
    <x v="10"/>
    <s v="09091987"/>
    <n v="35.460273972602742"/>
    <n v="175"/>
    <n v="58.333333333333336"/>
  </r>
  <r>
    <n v="11081520"/>
    <n v="23101987"/>
    <n v="7"/>
    <n v="1"/>
    <n v="1"/>
    <x v="7"/>
    <x v="3"/>
    <s v="23101987"/>
    <n v="35.339726027397262"/>
    <n v="175"/>
    <n v="25"/>
  </r>
  <r>
    <n v="17145855"/>
    <n v="19111987"/>
    <n v="4"/>
    <n v="2"/>
    <n v="2"/>
    <x v="7"/>
    <x v="10"/>
    <s v="19111987"/>
    <n v="35.265753424657532"/>
    <n v="697.5"/>
    <n v="174.375"/>
  </r>
  <r>
    <n v="21961882"/>
    <n v="4091986"/>
    <n v="5"/>
    <n v="1"/>
    <n v="1"/>
    <x v="2"/>
    <x v="7"/>
    <s v="04091986"/>
    <n v="36.473972602739728"/>
    <n v="175"/>
    <n v="35"/>
  </r>
  <r>
    <n v="9119038"/>
    <n v="16081987"/>
    <n v="5"/>
    <n v="1"/>
    <n v="1"/>
    <x v="7"/>
    <x v="3"/>
    <s v="16081987"/>
    <n v="35.526027397260272"/>
    <n v="175"/>
    <n v="35"/>
  </r>
  <r>
    <n v="23787431"/>
    <n v="6121987"/>
    <n v="4"/>
    <n v="1"/>
    <n v="1"/>
    <x v="8"/>
    <x v="10"/>
    <s v="06121987"/>
    <n v="35.219178082191782"/>
    <n v="175"/>
    <n v="43.75"/>
  </r>
  <r>
    <n v="18651451"/>
    <n v="1121987"/>
    <n v="3"/>
    <n v="2"/>
    <n v="3"/>
    <x v="6"/>
    <x v="7"/>
    <s v="01121987"/>
    <n v="35.232876712328768"/>
    <n v="1397.5"/>
    <n v="465.83333333333331"/>
  </r>
  <r>
    <n v="17656279"/>
    <n v="19061987"/>
    <n v="3"/>
    <n v="1"/>
    <n v="1"/>
    <x v="5"/>
    <x v="0"/>
    <s v="19061987"/>
    <n v="35.684931506849317"/>
    <n v="175"/>
    <n v="58.333333333333336"/>
  </r>
  <r>
    <n v="7824638"/>
    <n v="8121987"/>
    <n v="5"/>
    <n v="1"/>
    <n v="2"/>
    <x v="7"/>
    <x v="2"/>
    <s v="08121987"/>
    <n v="35.213698630136989"/>
    <n v="697.5"/>
    <n v="139.5"/>
  </r>
  <r>
    <n v="20314408"/>
    <n v="11121987"/>
    <n v="4"/>
    <n v="1"/>
    <n v="2"/>
    <x v="7"/>
    <x v="3"/>
    <s v="11121987"/>
    <n v="35.205479452054796"/>
    <n v="697.5"/>
    <n v="174.375"/>
  </r>
  <r>
    <n v="23724430"/>
    <n v="7111987"/>
    <n v="5"/>
    <n v="1"/>
    <n v="3"/>
    <x v="2"/>
    <x v="7"/>
    <s v="07111987"/>
    <n v="35.298630136986304"/>
    <n v="1397.5"/>
    <n v="279.5"/>
  </r>
  <r>
    <n v="3329433"/>
    <n v="9011988"/>
    <n v="3"/>
    <n v="1"/>
    <n v="2"/>
    <x v="7"/>
    <x v="7"/>
    <s v="09011988"/>
    <n v="35.126027397260273"/>
    <n v="697.5"/>
    <n v="232.5"/>
  </r>
  <r>
    <n v="9582165"/>
    <n v="29081986"/>
    <n v="5"/>
    <n v="1"/>
    <n v="1"/>
    <x v="7"/>
    <x v="1"/>
    <s v="29081986"/>
    <n v="36.490410958904107"/>
    <n v="175"/>
    <n v="35"/>
  </r>
  <r>
    <n v="7000538"/>
    <n v="4021987"/>
    <n v="6"/>
    <n v="2"/>
    <n v="2"/>
    <x v="9"/>
    <x v="7"/>
    <s v="04021987"/>
    <n v="36.054794520547944"/>
    <n v="697.5"/>
    <n v="116.25"/>
  </r>
  <r>
    <n v="1501418"/>
    <n v="5031987"/>
    <n v="5"/>
    <n v="1"/>
    <n v="3"/>
    <x v="2"/>
    <x v="10"/>
    <s v="05031987"/>
    <n v="35.975342465753428"/>
    <n v="1397.5"/>
    <n v="279.5"/>
  </r>
  <r>
    <n v="24842556"/>
    <n v="20031987"/>
    <n v="7"/>
    <n v="3"/>
    <n v="4"/>
    <x v="2"/>
    <x v="7"/>
    <s v="20031987"/>
    <n v="35.934246575342463"/>
    <n v="2100"/>
    <n v="300"/>
  </r>
  <r>
    <n v="10818080"/>
    <n v="23061987"/>
    <n v="4"/>
    <n v="1"/>
    <n v="2"/>
    <x v="2"/>
    <x v="3"/>
    <s v="23061987"/>
    <n v="35.673972602739724"/>
    <n v="697.5"/>
    <n v="174.375"/>
  </r>
  <r>
    <n v="916889"/>
    <n v="11071987"/>
    <n v="0"/>
    <n v="0"/>
    <n v="3"/>
    <x v="4"/>
    <x v="5"/>
    <s v="11071987"/>
    <n v="35.624657534246573"/>
    <n v="1397.5"/>
    <n v="0"/>
  </r>
  <r>
    <n v="23943663"/>
    <n v="29121987"/>
    <n v="5"/>
    <n v="2"/>
    <n v="2"/>
    <x v="2"/>
    <x v="9"/>
    <s v="29121987"/>
    <n v="35.156164383561645"/>
    <n v="697.5"/>
    <n v="139.5"/>
  </r>
  <r>
    <n v="546257"/>
    <n v="29121987"/>
    <n v="5"/>
    <n v="2"/>
    <n v="2"/>
    <x v="2"/>
    <x v="9"/>
    <s v="29121987"/>
    <n v="35.156164383561645"/>
    <n v="697.5"/>
    <n v="139.5"/>
  </r>
  <r>
    <n v="14311837"/>
    <n v="11111987"/>
    <n v="10"/>
    <n v="1"/>
    <n v="1"/>
    <x v="1"/>
    <x v="2"/>
    <s v="11111987"/>
    <n v="35.287671232876711"/>
    <n v="175"/>
    <n v="17.5"/>
  </r>
  <r>
    <n v="13101366"/>
    <n v="31121987"/>
    <n v="2"/>
    <n v="1"/>
    <n v="1"/>
    <x v="1"/>
    <x v="3"/>
    <s v="31121987"/>
    <n v="35.150684931506852"/>
    <n v="175"/>
    <n v="87.5"/>
  </r>
  <r>
    <n v="18084157"/>
    <n v="2111987"/>
    <n v="3"/>
    <n v="1"/>
    <n v="1"/>
    <x v="7"/>
    <x v="3"/>
    <s v="02111987"/>
    <n v="35.31232876712329"/>
    <n v="175"/>
    <n v="58.333333333333336"/>
  </r>
  <r>
    <n v="10522603"/>
    <n v="15011988"/>
    <n v="4"/>
    <n v="1"/>
    <n v="1"/>
    <x v="7"/>
    <x v="1"/>
    <s v="15011988"/>
    <n v="35.109589041095887"/>
    <n v="175"/>
    <n v="43.75"/>
  </r>
  <r>
    <n v="9224217"/>
    <n v="3061987"/>
    <n v="4"/>
    <n v="1"/>
    <n v="1"/>
    <x v="5"/>
    <x v="1"/>
    <s v="03061987"/>
    <n v="35.728767123287675"/>
    <n v="175"/>
    <n v="43.75"/>
  </r>
  <r>
    <n v="9021191"/>
    <n v="27061987"/>
    <n v="8"/>
    <n v="2"/>
    <n v="1"/>
    <x v="5"/>
    <x v="3"/>
    <s v="27061987"/>
    <n v="35.663013698630138"/>
    <n v="175"/>
    <n v="21.875"/>
  </r>
  <r>
    <n v="3899609"/>
    <n v="18081987"/>
    <n v="0"/>
    <n v="0"/>
    <n v="1"/>
    <x v="4"/>
    <x v="5"/>
    <s v="18081987"/>
    <n v="35.520547945205479"/>
    <n v="175"/>
    <n v="0"/>
  </r>
  <r>
    <n v="9240104"/>
    <n v="6091987"/>
    <n v="5"/>
    <n v="0"/>
    <n v="1"/>
    <x v="3"/>
    <x v="5"/>
    <s v="06091987"/>
    <n v="35.468493150684928"/>
    <n v="175"/>
    <n v="35"/>
  </r>
  <r>
    <n v="24872461"/>
    <n v="22011988"/>
    <n v="4"/>
    <n v="0"/>
    <n v="1"/>
    <x v="7"/>
    <x v="2"/>
    <s v="22011988"/>
    <n v="35.090410958904108"/>
    <n v="175"/>
    <n v="43.75"/>
  </r>
  <r>
    <n v="8957662"/>
    <n v="12051987"/>
    <n v="3"/>
    <n v="1"/>
    <n v="1"/>
    <x v="7"/>
    <x v="0"/>
    <s v="12051987"/>
    <n v="35.789041095890411"/>
    <n v="175"/>
    <n v="58.333333333333336"/>
  </r>
  <r>
    <n v="15558793"/>
    <n v="2021988"/>
    <n v="4"/>
    <n v="1"/>
    <n v="1"/>
    <x v="7"/>
    <x v="3"/>
    <s v="02021988"/>
    <n v="35.060273972602737"/>
    <n v="175"/>
    <n v="43.75"/>
  </r>
  <r>
    <n v="4668757"/>
    <n v="27111987"/>
    <n v="3"/>
    <n v="1"/>
    <n v="1"/>
    <x v="4"/>
    <x v="1"/>
    <s v="27111987"/>
    <n v="35.243835616438353"/>
    <n v="175"/>
    <n v="58.333333333333336"/>
  </r>
  <r>
    <n v="21641541"/>
    <n v="18041988"/>
    <n v="7"/>
    <n v="2"/>
    <n v="1"/>
    <x v="0"/>
    <x v="3"/>
    <s v="18041988"/>
    <n v="34.852054794520548"/>
    <n v="175"/>
    <n v="25"/>
  </r>
  <r>
    <n v="5871701"/>
    <n v="26101987"/>
    <n v="4"/>
    <n v="1"/>
    <n v="3"/>
    <x v="2"/>
    <x v="7"/>
    <s v="26101987"/>
    <n v="35.331506849315069"/>
    <n v="1397.5"/>
    <n v="349.375"/>
  </r>
  <r>
    <n v="3126076"/>
    <n v="7111987"/>
    <n v="5"/>
    <n v="1"/>
    <n v="2"/>
    <x v="9"/>
    <x v="10"/>
    <s v="07111987"/>
    <n v="35.298630136986304"/>
    <n v="697.5"/>
    <n v="139.5"/>
  </r>
  <r>
    <n v="22150271"/>
    <n v="18091987"/>
    <n v="4"/>
    <n v="1"/>
    <n v="2"/>
    <x v="7"/>
    <x v="1"/>
    <s v="18091987"/>
    <n v="35.435616438356163"/>
    <n v="697.5"/>
    <n v="174.375"/>
  </r>
  <r>
    <n v="5502662"/>
    <n v="7041988"/>
    <n v="5"/>
    <n v="0"/>
    <n v="1"/>
    <x v="2"/>
    <x v="10"/>
    <s v="07041988"/>
    <n v="34.88219178082192"/>
    <n v="175"/>
    <n v="35"/>
  </r>
  <r>
    <n v="12590396"/>
    <n v="17121987"/>
    <n v="5"/>
    <n v="1"/>
    <n v="3"/>
    <x v="9"/>
    <x v="9"/>
    <s v="17121987"/>
    <n v="35.18904109589041"/>
    <n v="1397.5"/>
    <n v="279.5"/>
  </r>
  <r>
    <n v="309028"/>
    <n v="19101987"/>
    <n v="6"/>
    <n v="1"/>
    <n v="2"/>
    <x v="2"/>
    <x v="9"/>
    <s v="19101987"/>
    <n v="35.350684931506848"/>
    <n v="697.5"/>
    <n v="116.25"/>
  </r>
  <r>
    <n v="13976836"/>
    <n v="8031988"/>
    <n v="7"/>
    <n v="0"/>
    <n v="2"/>
    <x v="4"/>
    <x v="5"/>
    <s v="08031988"/>
    <n v="34.964383561643835"/>
    <n v="697.5"/>
    <n v="99.642857142857139"/>
  </r>
  <r>
    <n v="24369440"/>
    <n v="5041988"/>
    <n v="3"/>
    <n v="1"/>
    <n v="2"/>
    <x v="7"/>
    <x v="1"/>
    <s v="05041988"/>
    <n v="34.887671232876713"/>
    <n v="697.5"/>
    <n v="232.5"/>
  </r>
  <r>
    <n v="8060721"/>
    <n v="20031988"/>
    <n v="4"/>
    <n v="0"/>
    <n v="1"/>
    <x v="5"/>
    <x v="10"/>
    <s v="20031988"/>
    <n v="34.93150684931507"/>
    <n v="175"/>
    <n v="43.75"/>
  </r>
  <r>
    <n v="15997992"/>
    <n v="14041988"/>
    <n v="4"/>
    <n v="2"/>
    <n v="4"/>
    <x v="2"/>
    <x v="7"/>
    <s v="14041988"/>
    <n v="34.863013698630134"/>
    <n v="2100"/>
    <n v="525"/>
  </r>
  <r>
    <n v="19450167"/>
    <n v="30031988"/>
    <n v="4"/>
    <n v="1"/>
    <n v="1"/>
    <x v="2"/>
    <x v="7"/>
    <s v="30031988"/>
    <n v="34.904109589041099"/>
    <n v="175"/>
    <n v="43.75"/>
  </r>
  <r>
    <n v="7760164"/>
    <n v="30011988"/>
    <n v="3"/>
    <n v="2"/>
    <n v="2"/>
    <x v="9"/>
    <x v="9"/>
    <s v="30011988"/>
    <n v="35.06849315068493"/>
    <n v="697.5"/>
    <n v="232.5"/>
  </r>
  <r>
    <n v="12152305"/>
    <n v="18071988"/>
    <n v="4"/>
    <n v="1"/>
    <n v="2"/>
    <x v="7"/>
    <x v="1"/>
    <s v="18071988"/>
    <n v="34.602739726027394"/>
    <n v="697.5"/>
    <n v="174.375"/>
  </r>
  <r>
    <n v="13816743"/>
    <n v="9091987"/>
    <n v="2"/>
    <n v="0"/>
    <n v="1"/>
    <x v="3"/>
    <x v="2"/>
    <s v="09091987"/>
    <n v="35.460273972602742"/>
    <n v="175"/>
    <n v="87.5"/>
  </r>
  <r>
    <n v="10675668"/>
    <n v="17121987"/>
    <n v="3"/>
    <n v="1"/>
    <n v="2"/>
    <x v="4"/>
    <x v="7"/>
    <s v="17121987"/>
    <n v="35.18904109589041"/>
    <n v="697.5"/>
    <n v="232.5"/>
  </r>
  <r>
    <n v="9898566"/>
    <n v="21091987"/>
    <n v="6"/>
    <n v="1"/>
    <n v="1"/>
    <x v="5"/>
    <x v="3"/>
    <s v="21091987"/>
    <n v="35.42739726027397"/>
    <n v="175"/>
    <n v="29.166666666666668"/>
  </r>
  <r>
    <n v="16756345"/>
    <n v="29091987"/>
    <n v="4"/>
    <n v="1"/>
    <n v="2"/>
    <x v="7"/>
    <x v="3"/>
    <s v="29091987"/>
    <n v="35.405479452054792"/>
    <n v="697.5"/>
    <n v="174.375"/>
  </r>
  <r>
    <n v="20292229"/>
    <n v="29091987"/>
    <n v="2"/>
    <n v="1"/>
    <n v="1"/>
    <x v="1"/>
    <x v="0"/>
    <s v="29091987"/>
    <n v="35.405479452054792"/>
    <n v="175"/>
    <n v="87.5"/>
  </r>
  <r>
    <n v="5007103"/>
    <n v="28091987"/>
    <n v="4"/>
    <n v="1"/>
    <n v="1"/>
    <x v="7"/>
    <x v="1"/>
    <s v="28091987"/>
    <n v="35.408219178082192"/>
    <n v="175"/>
    <n v="43.75"/>
  </r>
  <r>
    <n v="21894375"/>
    <n v="28091987"/>
    <n v="4"/>
    <n v="1"/>
    <n v="1"/>
    <x v="7"/>
    <x v="3"/>
    <s v="28091987"/>
    <n v="35.408219178082192"/>
    <n v="175"/>
    <n v="43.75"/>
  </r>
  <r>
    <n v="24665890"/>
    <n v="10101987"/>
    <n v="6"/>
    <n v="1"/>
    <n v="1"/>
    <x v="1"/>
    <x v="1"/>
    <s v="10101987"/>
    <n v="35.375342465753427"/>
    <n v="175"/>
    <n v="29.166666666666668"/>
  </r>
  <r>
    <n v="1268386"/>
    <n v="11101987"/>
    <n v="3"/>
    <n v="1"/>
    <n v="1"/>
    <x v="1"/>
    <x v="0"/>
    <s v="11101987"/>
    <n v="35.372602739726027"/>
    <n v="175"/>
    <n v="58.333333333333336"/>
  </r>
  <r>
    <n v="23165283"/>
    <n v="18111987"/>
    <n v="4"/>
    <n v="1"/>
    <n v="1"/>
    <x v="0"/>
    <x v="3"/>
    <s v="18111987"/>
    <n v="35.268493150684932"/>
    <n v="175"/>
    <n v="43.75"/>
  </r>
  <r>
    <n v="19223586"/>
    <n v="28101987"/>
    <n v="6"/>
    <n v="1"/>
    <n v="1"/>
    <x v="5"/>
    <x v="3"/>
    <s v="28101987"/>
    <n v="35.326027397260276"/>
    <n v="175"/>
    <n v="29.166666666666668"/>
  </r>
  <r>
    <n v="18689156"/>
    <n v="23111987"/>
    <n v="7"/>
    <n v="1"/>
    <n v="1"/>
    <x v="5"/>
    <x v="3"/>
    <s v="23111987"/>
    <n v="35.254794520547946"/>
    <n v="175"/>
    <n v="25"/>
  </r>
  <r>
    <n v="16018912"/>
    <n v="16101987"/>
    <n v="4"/>
    <n v="1"/>
    <n v="1"/>
    <x v="7"/>
    <x v="1"/>
    <s v="16101987"/>
    <n v="35.358904109589041"/>
    <n v="175"/>
    <n v="43.75"/>
  </r>
  <r>
    <n v="10347634"/>
    <n v="18081987"/>
    <n v="6"/>
    <n v="1"/>
    <n v="1"/>
    <x v="1"/>
    <x v="3"/>
    <s v="18081987"/>
    <n v="35.520547945205479"/>
    <n v="175"/>
    <n v="29.166666666666668"/>
  </r>
  <r>
    <n v="20927973"/>
    <n v="16111987"/>
    <n v="4"/>
    <n v="1"/>
    <n v="1"/>
    <x v="4"/>
    <x v="2"/>
    <s v="16111987"/>
    <n v="35.273972602739725"/>
    <n v="175"/>
    <n v="43.75"/>
  </r>
  <r>
    <n v="1700820"/>
    <n v="25111987"/>
    <n v="3"/>
    <n v="1"/>
    <n v="2"/>
    <x v="9"/>
    <x v="3"/>
    <s v="25111987"/>
    <n v="35.249315068493154"/>
    <n v="697.5"/>
    <n v="232.5"/>
  </r>
  <r>
    <n v="1369636"/>
    <n v="17111987"/>
    <n v="2"/>
    <n v="0"/>
    <n v="1"/>
    <x v="7"/>
    <x v="1"/>
    <s v="17111987"/>
    <n v="35.271232876712325"/>
    <n v="175"/>
    <n v="87.5"/>
  </r>
  <r>
    <n v="17087370"/>
    <n v="21111987"/>
    <n v="4"/>
    <n v="2"/>
    <n v="1"/>
    <x v="5"/>
    <x v="2"/>
    <s v="21111987"/>
    <n v="35.260273972602739"/>
    <n v="175"/>
    <n v="43.75"/>
  </r>
  <r>
    <n v="21029111"/>
    <n v="11081986"/>
    <n v="0"/>
    <n v="0"/>
    <n v="1"/>
    <x v="4"/>
    <x v="5"/>
    <s v="11081986"/>
    <n v="36.539726027397258"/>
    <n v="175"/>
    <n v="0"/>
  </r>
  <r>
    <n v="3405488"/>
    <n v="11121987"/>
    <n v="6"/>
    <n v="1"/>
    <n v="1"/>
    <x v="7"/>
    <x v="1"/>
    <s v="11121987"/>
    <n v="35.205479452054796"/>
    <n v="175"/>
    <n v="29.166666666666668"/>
  </r>
  <r>
    <n v="10881934"/>
    <n v="11101987"/>
    <n v="6"/>
    <n v="1"/>
    <n v="1"/>
    <x v="7"/>
    <x v="3"/>
    <s v="11101987"/>
    <n v="35.372602739726027"/>
    <n v="175"/>
    <n v="29.166666666666668"/>
  </r>
  <r>
    <n v="15052997"/>
    <n v="14121987"/>
    <n v="4"/>
    <n v="1"/>
    <n v="2"/>
    <x v="6"/>
    <x v="10"/>
    <s v="14121987"/>
    <n v="35.197260273972603"/>
    <n v="697.5"/>
    <n v="174.375"/>
  </r>
  <r>
    <n v="11315092"/>
    <n v="29111987"/>
    <n v="4"/>
    <n v="1"/>
    <n v="1"/>
    <x v="5"/>
    <x v="1"/>
    <s v="29111987"/>
    <n v="35.238356164383561"/>
    <n v="175"/>
    <n v="43.75"/>
  </r>
  <r>
    <n v="2336791"/>
    <n v="27111987"/>
    <n v="3"/>
    <n v="1"/>
    <n v="1"/>
    <x v="4"/>
    <x v="1"/>
    <s v="27111987"/>
    <n v="35.243835616438353"/>
    <n v="175"/>
    <n v="58.333333333333336"/>
  </r>
  <r>
    <n v="2438113"/>
    <n v="14121987"/>
    <n v="4"/>
    <n v="1"/>
    <n v="1"/>
    <x v="0"/>
    <x v="0"/>
    <s v="14121987"/>
    <n v="35.197260273972603"/>
    <n v="175"/>
    <n v="43.75"/>
  </r>
  <r>
    <n v="18892216"/>
    <n v="19091987"/>
    <n v="4"/>
    <n v="1"/>
    <n v="1"/>
    <x v="1"/>
    <x v="1"/>
    <s v="19091987"/>
    <n v="35.43287671232877"/>
    <n v="175"/>
    <n v="43.75"/>
  </r>
  <r>
    <n v="7677181"/>
    <n v="12121987"/>
    <n v="2"/>
    <n v="0"/>
    <n v="1"/>
    <x v="1"/>
    <x v="2"/>
    <s v="12121987"/>
    <n v="35.202739726027396"/>
    <n v="175"/>
    <n v="87.5"/>
  </r>
  <r>
    <n v="16018913"/>
    <n v="30121987"/>
    <n v="0"/>
    <n v="0"/>
    <n v="1"/>
    <x v="4"/>
    <x v="5"/>
    <s v="30121987"/>
    <n v="35.153424657534245"/>
    <n v="175"/>
    <n v="0"/>
  </r>
  <r>
    <n v="14086301"/>
    <n v="21121987"/>
    <n v="2"/>
    <n v="1"/>
    <n v="1"/>
    <x v="6"/>
    <x v="3"/>
    <s v="21121987"/>
    <n v="35.178082191780824"/>
    <n v="175"/>
    <n v="87.5"/>
  </r>
  <r>
    <n v="4040346"/>
    <n v="5121987"/>
    <n v="5"/>
    <n v="1"/>
    <n v="2"/>
    <x v="7"/>
    <x v="0"/>
    <s v="05121987"/>
    <n v="35.221917808219175"/>
    <n v="697.5"/>
    <n v="139.5"/>
  </r>
  <r>
    <n v="835598"/>
    <n v="30121987"/>
    <n v="5"/>
    <n v="1"/>
    <n v="1"/>
    <x v="0"/>
    <x v="2"/>
    <s v="30121987"/>
    <n v="35.153424657534245"/>
    <n v="175"/>
    <n v="35"/>
  </r>
  <r>
    <n v="6536800"/>
    <n v="20111987"/>
    <n v="10"/>
    <n v="6"/>
    <n v="2"/>
    <x v="7"/>
    <x v="7"/>
    <s v="20111987"/>
    <n v="35.263013698630139"/>
    <n v="697.5"/>
    <n v="69.75"/>
  </r>
  <r>
    <n v="22024746"/>
    <n v="15121987"/>
    <n v="5"/>
    <n v="1"/>
    <n v="2"/>
    <x v="9"/>
    <x v="10"/>
    <s v="15121987"/>
    <n v="35.194520547945203"/>
    <n v="697.5"/>
    <n v="139.5"/>
  </r>
  <r>
    <n v="2798180"/>
    <n v="5011988"/>
    <n v="0"/>
    <n v="0"/>
    <n v="1"/>
    <x v="0"/>
    <x v="2"/>
    <s v="05011988"/>
    <n v="35.136986301369866"/>
    <n v="175"/>
    <n v="0"/>
  </r>
  <r>
    <n v="7705599"/>
    <n v="29121987"/>
    <n v="3"/>
    <n v="1"/>
    <n v="1"/>
    <x v="0"/>
    <x v="3"/>
    <s v="29121987"/>
    <n v="35.156164383561645"/>
    <n v="175"/>
    <n v="58.333333333333336"/>
  </r>
  <r>
    <n v="5901236"/>
    <n v="6011988"/>
    <n v="6"/>
    <n v="2"/>
    <n v="2"/>
    <x v="2"/>
    <x v="7"/>
    <s v="06011988"/>
    <n v="35.134246575342466"/>
    <n v="697.5"/>
    <n v="116.25"/>
  </r>
  <r>
    <n v="19989573"/>
    <n v="10011988"/>
    <n v="4"/>
    <n v="1"/>
    <n v="1"/>
    <x v="7"/>
    <x v="0"/>
    <s v="10011988"/>
    <n v="35.123287671232873"/>
    <n v="175"/>
    <n v="43.75"/>
  </r>
  <r>
    <n v="4501454"/>
    <n v="8011988"/>
    <n v="4"/>
    <n v="1"/>
    <n v="1"/>
    <x v="1"/>
    <x v="2"/>
    <s v="08011988"/>
    <n v="35.128767123287673"/>
    <n v="175"/>
    <n v="43.75"/>
  </r>
  <r>
    <n v="21922953"/>
    <n v="13011988"/>
    <n v="6"/>
    <n v="5"/>
    <n v="2"/>
    <x v="1"/>
    <x v="2"/>
    <s v="13011988"/>
    <n v="35.115068493150687"/>
    <n v="697.5"/>
    <n v="116.25"/>
  </r>
  <r>
    <n v="22457028"/>
    <n v="13011988"/>
    <n v="5"/>
    <n v="1"/>
    <n v="1"/>
    <x v="7"/>
    <x v="0"/>
    <s v="13011988"/>
    <n v="35.115068493150687"/>
    <n v="175"/>
    <n v="35"/>
  </r>
  <r>
    <n v="4832546"/>
    <n v="19011988"/>
    <n v="8"/>
    <n v="1"/>
    <n v="2"/>
    <x v="5"/>
    <x v="3"/>
    <s v="19011988"/>
    <n v="35.098630136986301"/>
    <n v="697.5"/>
    <n v="87.1875"/>
  </r>
  <r>
    <n v="14114604"/>
    <n v="14011988"/>
    <n v="5"/>
    <n v="1"/>
    <n v="2"/>
    <x v="7"/>
    <x v="3"/>
    <s v="14011988"/>
    <n v="35.112328767123287"/>
    <n v="697.5"/>
    <n v="139.5"/>
  </r>
  <r>
    <n v="15081516"/>
    <n v="10011988"/>
    <n v="0"/>
    <n v="0"/>
    <n v="2"/>
    <x v="4"/>
    <x v="5"/>
    <s v="10011988"/>
    <n v="35.123287671232873"/>
    <n v="697.5"/>
    <n v="0"/>
  </r>
  <r>
    <n v="6104097"/>
    <n v="21111987"/>
    <n v="5"/>
    <n v="3"/>
    <n v="2"/>
    <x v="0"/>
    <x v="1"/>
    <s v="21111987"/>
    <n v="35.260273972602739"/>
    <n v="697.5"/>
    <n v="139.5"/>
  </r>
  <r>
    <n v="12945241"/>
    <n v="1021988"/>
    <n v="0"/>
    <n v="0"/>
    <n v="1"/>
    <x v="4"/>
    <x v="5"/>
    <s v="01021988"/>
    <n v="35.063013698630137"/>
    <n v="175"/>
    <n v="0"/>
  </r>
  <r>
    <n v="4501453"/>
    <n v="5021988"/>
    <n v="4"/>
    <n v="1"/>
    <n v="1"/>
    <x v="7"/>
    <x v="1"/>
    <s v="05021988"/>
    <n v="35.052054794520551"/>
    <n v="175"/>
    <n v="43.75"/>
  </r>
  <r>
    <n v="4400045"/>
    <n v="1021988"/>
    <n v="4"/>
    <n v="2"/>
    <n v="2"/>
    <x v="7"/>
    <x v="3"/>
    <s v="01021988"/>
    <n v="35.063013698630137"/>
    <n v="697.5"/>
    <n v="174.375"/>
  </r>
  <r>
    <n v="20854690"/>
    <n v="22011988"/>
    <n v="4"/>
    <n v="2"/>
    <n v="1"/>
    <x v="1"/>
    <x v="1"/>
    <s v="22011988"/>
    <n v="35.090410958904108"/>
    <n v="175"/>
    <n v="43.75"/>
  </r>
  <r>
    <n v="2365334"/>
    <n v="12021988"/>
    <n v="5"/>
    <n v="2"/>
    <n v="1"/>
    <x v="5"/>
    <x v="3"/>
    <s v="12021988"/>
    <n v="35.032876712328765"/>
    <n v="175"/>
    <n v="35"/>
  </r>
  <r>
    <n v="21057431"/>
    <n v="15021988"/>
    <n v="0"/>
    <n v="0"/>
    <n v="1"/>
    <x v="6"/>
    <x v="5"/>
    <s v="15021988"/>
    <n v="35.024657534246572"/>
    <n v="175"/>
    <n v="0"/>
  </r>
  <r>
    <n v="8037141"/>
    <n v="5021988"/>
    <n v="2"/>
    <n v="1"/>
    <n v="1"/>
    <x v="7"/>
    <x v="7"/>
    <s v="05021988"/>
    <n v="35.052054794520551"/>
    <n v="175"/>
    <n v="87.5"/>
  </r>
  <r>
    <n v="13911838"/>
    <n v="15021988"/>
    <n v="3"/>
    <n v="1"/>
    <n v="2"/>
    <x v="4"/>
    <x v="7"/>
    <s v="15021988"/>
    <n v="35.024657534246572"/>
    <n v="697.5"/>
    <n v="232.5"/>
  </r>
  <r>
    <n v="6810717"/>
    <n v="9021988"/>
    <n v="0"/>
    <n v="0"/>
    <n v="1"/>
    <x v="4"/>
    <x v="5"/>
    <s v="09021988"/>
    <n v="35.041095890410958"/>
    <n v="175"/>
    <n v="0"/>
  </r>
  <r>
    <n v="20695830"/>
    <n v="21021988"/>
    <n v="3"/>
    <n v="1"/>
    <n v="1"/>
    <x v="1"/>
    <x v="2"/>
    <s v="21021988"/>
    <n v="35.008219178082193"/>
    <n v="175"/>
    <n v="58.333333333333336"/>
  </r>
  <r>
    <n v="21763880"/>
    <n v="24021988"/>
    <n v="4"/>
    <n v="2"/>
    <n v="2"/>
    <x v="7"/>
    <x v="3"/>
    <s v="24021988"/>
    <n v="35"/>
    <n v="697.5"/>
    <n v="174.375"/>
  </r>
  <r>
    <n v="18458053"/>
    <n v="3041987"/>
    <n v="3"/>
    <n v="1"/>
    <n v="1"/>
    <x v="7"/>
    <x v="3"/>
    <s v="03041987"/>
    <n v="35.895890410958906"/>
    <n v="175"/>
    <n v="58.333333333333336"/>
  </r>
  <r>
    <n v="5208587"/>
    <n v="24021988"/>
    <n v="4"/>
    <n v="1"/>
    <n v="1"/>
    <x v="5"/>
    <x v="3"/>
    <s v="24021988"/>
    <n v="35"/>
    <n v="175"/>
    <n v="43.75"/>
  </r>
  <r>
    <n v="10115646"/>
    <n v="27021988"/>
    <n v="4"/>
    <n v="1"/>
    <n v="1"/>
    <x v="7"/>
    <x v="0"/>
    <s v="27021988"/>
    <n v="34.991780821917807"/>
    <n v="175"/>
    <n v="43.75"/>
  </r>
  <r>
    <n v="15787833"/>
    <n v="6031988"/>
    <n v="5"/>
    <n v="1"/>
    <n v="1"/>
    <x v="7"/>
    <x v="2"/>
    <s v="06031988"/>
    <n v="34.969863013698628"/>
    <n v="175"/>
    <n v="35"/>
  </r>
  <r>
    <n v="11516392"/>
    <n v="12011988"/>
    <n v="0"/>
    <n v="0"/>
    <n v="1"/>
    <x v="4"/>
    <x v="5"/>
    <s v="12011988"/>
    <n v="35.11780821917808"/>
    <n v="175"/>
    <n v="0"/>
  </r>
  <r>
    <n v="22731662"/>
    <n v="3031988"/>
    <n v="5"/>
    <n v="0"/>
    <n v="1"/>
    <x v="7"/>
    <x v="3"/>
    <s v="03031988"/>
    <n v="34.978082191780821"/>
    <n v="175"/>
    <n v="35"/>
  </r>
  <r>
    <n v="23899868"/>
    <n v="20121987"/>
    <n v="7"/>
    <n v="2"/>
    <n v="1"/>
    <x v="1"/>
    <x v="5"/>
    <s v="20121987"/>
    <n v="35.180821917808217"/>
    <n v="175"/>
    <n v="25"/>
  </r>
  <r>
    <n v="24766603"/>
    <n v="27021988"/>
    <n v="4"/>
    <n v="1"/>
    <n v="1"/>
    <x v="9"/>
    <x v="3"/>
    <s v="27021988"/>
    <n v="34.991780821917807"/>
    <n v="175"/>
    <n v="43.75"/>
  </r>
  <r>
    <n v="17390334"/>
    <n v="3031988"/>
    <n v="4"/>
    <n v="3"/>
    <n v="1"/>
    <x v="1"/>
    <x v="0"/>
    <s v="03031988"/>
    <n v="34.978082191780821"/>
    <n v="175"/>
    <n v="43.75"/>
  </r>
  <r>
    <n v="2538233"/>
    <n v="21021988"/>
    <n v="0"/>
    <n v="0"/>
    <n v="1"/>
    <x v="4"/>
    <x v="5"/>
    <s v="21021988"/>
    <n v="35.008219178082193"/>
    <n v="175"/>
    <n v="0"/>
  </r>
  <r>
    <n v="2104689"/>
    <n v="14031988"/>
    <n v="6"/>
    <n v="1"/>
    <n v="1"/>
    <x v="4"/>
    <x v="3"/>
    <s v="14031988"/>
    <n v="34.947945205479449"/>
    <n v="175"/>
    <n v="29.166666666666668"/>
  </r>
  <r>
    <n v="300815"/>
    <n v="10121987"/>
    <n v="4"/>
    <n v="1"/>
    <n v="1"/>
    <x v="0"/>
    <x v="3"/>
    <s v="10121987"/>
    <n v="35.208219178082189"/>
    <n v="175"/>
    <n v="43.75"/>
  </r>
  <r>
    <n v="14820966"/>
    <n v="28021988"/>
    <n v="3"/>
    <n v="0"/>
    <n v="1"/>
    <x v="0"/>
    <x v="2"/>
    <s v="28021988"/>
    <n v="34.989041095890414"/>
    <n v="175"/>
    <n v="58.333333333333336"/>
  </r>
  <r>
    <n v="22197505"/>
    <n v="14031988"/>
    <n v="4"/>
    <n v="1"/>
    <n v="2"/>
    <x v="7"/>
    <x v="0"/>
    <s v="14031988"/>
    <n v="34.947945205479449"/>
    <n v="697.5"/>
    <n v="174.375"/>
  </r>
  <r>
    <n v="1369103"/>
    <n v="20031988"/>
    <n v="5"/>
    <n v="2"/>
    <n v="3"/>
    <x v="2"/>
    <x v="7"/>
    <s v="20031988"/>
    <n v="34.93150684931507"/>
    <n v="1397.5"/>
    <n v="279.5"/>
  </r>
  <r>
    <n v="6276977"/>
    <n v="23031988"/>
    <n v="5"/>
    <n v="2"/>
    <n v="2"/>
    <x v="7"/>
    <x v="1"/>
    <s v="23031988"/>
    <n v="34.923287671232877"/>
    <n v="697.5"/>
    <n v="139.5"/>
  </r>
  <r>
    <n v="21129190"/>
    <n v="4031988"/>
    <n v="7"/>
    <n v="2"/>
    <n v="1"/>
    <x v="1"/>
    <x v="0"/>
    <s v="04031988"/>
    <n v="34.975342465753428"/>
    <n v="175"/>
    <n v="25"/>
  </r>
  <r>
    <n v="23899867"/>
    <n v="4041988"/>
    <n v="4"/>
    <n v="1"/>
    <n v="1"/>
    <x v="8"/>
    <x v="3"/>
    <s v="04041988"/>
    <n v="34.890410958904113"/>
    <n v="175"/>
    <n v="43.75"/>
  </r>
  <r>
    <n v="8311872"/>
    <n v="6041988"/>
    <n v="4"/>
    <n v="1"/>
    <n v="1"/>
    <x v="1"/>
    <x v="2"/>
    <s v="06041988"/>
    <n v="34.884931506849313"/>
    <n v="175"/>
    <n v="43.75"/>
  </r>
  <r>
    <n v="21562583"/>
    <n v="3041988"/>
    <n v="3"/>
    <n v="2"/>
    <n v="2"/>
    <x v="7"/>
    <x v="7"/>
    <s v="03041988"/>
    <n v="34.893150684931506"/>
    <n v="697.5"/>
    <n v="232.5"/>
  </r>
  <r>
    <n v="12296938"/>
    <n v="25031988"/>
    <n v="6"/>
    <n v="1"/>
    <n v="1"/>
    <x v="1"/>
    <x v="1"/>
    <s v="25031988"/>
    <n v="34.917808219178085"/>
    <n v="175"/>
    <n v="29.166666666666668"/>
  </r>
  <r>
    <n v="9193888"/>
    <n v="6041988"/>
    <n v="3"/>
    <n v="0"/>
    <n v="1"/>
    <x v="1"/>
    <x v="2"/>
    <s v="06041988"/>
    <n v="34.884931506849313"/>
    <n v="175"/>
    <n v="58.333333333333336"/>
  </r>
  <r>
    <n v="14966675"/>
    <n v="4041988"/>
    <n v="5"/>
    <n v="2"/>
    <n v="1"/>
    <x v="1"/>
    <x v="0"/>
    <s v="04041988"/>
    <n v="34.890410958904113"/>
    <n v="175"/>
    <n v="35"/>
  </r>
  <r>
    <n v="19875380"/>
    <n v="13041988"/>
    <n v="4"/>
    <n v="2"/>
    <n v="1"/>
    <x v="5"/>
    <x v="0"/>
    <s v="13041988"/>
    <n v="34.865753424657534"/>
    <n v="175"/>
    <n v="43.75"/>
  </r>
  <r>
    <n v="10362918"/>
    <n v="12041988"/>
    <n v="3"/>
    <n v="2"/>
    <n v="2"/>
    <x v="2"/>
    <x v="7"/>
    <s v="12041988"/>
    <n v="34.868493150684934"/>
    <n v="697.5"/>
    <n v="232.5"/>
  </r>
  <r>
    <n v="1817765"/>
    <n v="16041988"/>
    <n v="5"/>
    <n v="0"/>
    <n v="1"/>
    <x v="7"/>
    <x v="3"/>
    <s v="16041988"/>
    <n v="34.857534246575341"/>
    <n v="175"/>
    <n v="35"/>
  </r>
  <r>
    <n v="22545624"/>
    <n v="23031988"/>
    <n v="2"/>
    <n v="1"/>
    <n v="1"/>
    <x v="7"/>
    <x v="10"/>
    <s v="23031988"/>
    <n v="34.923287671232877"/>
    <n v="175"/>
    <n v="87.5"/>
  </r>
  <r>
    <n v="16136082"/>
    <n v="7041988"/>
    <n v="6"/>
    <n v="2"/>
    <n v="1"/>
    <x v="1"/>
    <x v="2"/>
    <s v="07041988"/>
    <n v="34.88219178082192"/>
    <n v="175"/>
    <n v="29.166666666666668"/>
  </r>
  <r>
    <n v="3521901"/>
    <n v="4041988"/>
    <n v="8"/>
    <n v="2"/>
    <n v="1"/>
    <x v="1"/>
    <x v="2"/>
    <s v="04041988"/>
    <n v="34.890410958904113"/>
    <n v="175"/>
    <n v="21.875"/>
  </r>
  <r>
    <n v="19976460"/>
    <n v="23071987"/>
    <n v="4"/>
    <n v="1"/>
    <n v="1"/>
    <x v="5"/>
    <x v="2"/>
    <s v="23071987"/>
    <n v="35.591780821917808"/>
    <n v="175"/>
    <n v="43.75"/>
  </r>
  <r>
    <n v="21375379"/>
    <n v="25041988"/>
    <n v="4"/>
    <n v="2"/>
    <n v="2"/>
    <x v="0"/>
    <x v="0"/>
    <s v="25041988"/>
    <n v="34.832876712328769"/>
    <n v="697.5"/>
    <n v="174.375"/>
  </r>
  <r>
    <n v="19442006"/>
    <n v="25041988"/>
    <n v="6"/>
    <n v="1"/>
    <n v="1"/>
    <x v="0"/>
    <x v="1"/>
    <s v="25041988"/>
    <n v="34.832876712328769"/>
    <n v="175"/>
    <n v="29.166666666666668"/>
  </r>
  <r>
    <n v="23613152"/>
    <n v="4051988"/>
    <n v="6"/>
    <n v="1"/>
    <n v="1"/>
    <x v="0"/>
    <x v="3"/>
    <s v="04051988"/>
    <n v="34.80821917808219"/>
    <n v="175"/>
    <n v="29.166666666666668"/>
  </r>
  <r>
    <n v="14966674"/>
    <n v="25031988"/>
    <n v="3"/>
    <n v="0"/>
    <n v="1"/>
    <x v="7"/>
    <x v="7"/>
    <s v="25031988"/>
    <n v="34.917808219178085"/>
    <n v="175"/>
    <n v="58.333333333333336"/>
  </r>
  <r>
    <n v="13567305"/>
    <n v="4051988"/>
    <n v="6"/>
    <n v="1"/>
    <n v="1"/>
    <x v="0"/>
    <x v="2"/>
    <s v="04051988"/>
    <n v="34.80821917808219"/>
    <n v="175"/>
    <n v="29.166666666666668"/>
  </r>
  <r>
    <n v="16136083"/>
    <n v="14051988"/>
    <n v="4"/>
    <n v="1"/>
    <n v="2"/>
    <x v="1"/>
    <x v="3"/>
    <s v="14051988"/>
    <n v="34.780821917808218"/>
    <n v="697.5"/>
    <n v="174.375"/>
  </r>
  <r>
    <n v="13466110"/>
    <n v="13051988"/>
    <n v="6"/>
    <n v="2"/>
    <n v="2"/>
    <x v="2"/>
    <x v="7"/>
    <s v="13051988"/>
    <n v="34.783561643835618"/>
    <n v="697.5"/>
    <n v="116.25"/>
  </r>
  <r>
    <n v="14432861"/>
    <n v="13051988"/>
    <n v="3"/>
    <n v="0"/>
    <n v="1"/>
    <x v="5"/>
    <x v="1"/>
    <s v="13051988"/>
    <n v="34.783561643835618"/>
    <n v="175"/>
    <n v="58.333333333333336"/>
  </r>
  <r>
    <n v="18373262"/>
    <n v="12051988"/>
    <n v="7"/>
    <n v="0"/>
    <n v="1"/>
    <x v="0"/>
    <x v="1"/>
    <s v="12051988"/>
    <n v="34.786301369863011"/>
    <n v="175"/>
    <n v="25"/>
  </r>
  <r>
    <n v="17636767"/>
    <n v="18051988"/>
    <n v="2"/>
    <n v="1"/>
    <n v="1"/>
    <x v="3"/>
    <x v="2"/>
    <s v="18051988"/>
    <n v="34.769863013698632"/>
    <n v="175"/>
    <n v="87.5"/>
  </r>
  <r>
    <n v="7057347"/>
    <n v="16031988"/>
    <n v="3"/>
    <n v="1"/>
    <n v="1"/>
    <x v="5"/>
    <x v="2"/>
    <s v="16031988"/>
    <n v="34.942465753424656"/>
    <n v="175"/>
    <n v="58.333333333333336"/>
  </r>
  <r>
    <n v="7186958"/>
    <n v="27051988"/>
    <n v="2"/>
    <n v="1"/>
    <n v="1"/>
    <x v="5"/>
    <x v="3"/>
    <s v="27051988"/>
    <n v="34.745205479452054"/>
    <n v="175"/>
    <n v="87.5"/>
  </r>
  <r>
    <n v="17131247"/>
    <n v="3061988"/>
    <n v="4"/>
    <n v="0"/>
    <n v="1"/>
    <x v="1"/>
    <x v="1"/>
    <s v="03061988"/>
    <n v="34.726027397260275"/>
    <n v="175"/>
    <n v="43.75"/>
  </r>
  <r>
    <n v="6119420"/>
    <n v="3061988"/>
    <n v="8"/>
    <n v="1"/>
    <n v="1"/>
    <x v="7"/>
    <x v="0"/>
    <s v="03061988"/>
    <n v="34.726027397260275"/>
    <n v="175"/>
    <n v="21.875"/>
  </r>
  <r>
    <n v="21505786"/>
    <n v="7061988"/>
    <n v="4"/>
    <n v="1"/>
    <n v="1"/>
    <x v="8"/>
    <x v="8"/>
    <s v="07061988"/>
    <n v="34.715068493150682"/>
    <n v="175"/>
    <n v="43.75"/>
  </r>
  <r>
    <n v="22574197"/>
    <n v="2121987"/>
    <n v="4"/>
    <n v="0"/>
    <n v="1"/>
    <x v="7"/>
    <x v="0"/>
    <s v="02121987"/>
    <n v="35.230136986301368"/>
    <n v="175"/>
    <n v="43.75"/>
  </r>
  <r>
    <n v="14995258"/>
    <n v="16051988"/>
    <n v="6"/>
    <n v="0"/>
    <n v="1"/>
    <x v="7"/>
    <x v="3"/>
    <s v="16051988"/>
    <n v="34.775342465753425"/>
    <n v="175"/>
    <n v="29.166666666666668"/>
  </r>
  <r>
    <n v="1744785"/>
    <n v="16061988"/>
    <n v="5"/>
    <n v="1"/>
    <n v="1"/>
    <x v="1"/>
    <x v="2"/>
    <s v="16061988"/>
    <n v="34.69041095890411"/>
    <n v="175"/>
    <n v="35"/>
  </r>
  <r>
    <n v="6450773"/>
    <n v="21021988"/>
    <n v="0"/>
    <n v="0"/>
    <n v="1"/>
    <x v="4"/>
    <x v="5"/>
    <s v="21021988"/>
    <n v="35.008219178082193"/>
    <n v="175"/>
    <n v="0"/>
  </r>
  <r>
    <n v="142513"/>
    <n v="22051988"/>
    <n v="0"/>
    <n v="0"/>
    <n v="1"/>
    <x v="5"/>
    <x v="2"/>
    <s v="22051988"/>
    <n v="34.758904109589039"/>
    <n v="175"/>
    <n v="0"/>
  </r>
  <r>
    <n v="6653389"/>
    <n v="25051988"/>
    <n v="5"/>
    <n v="2"/>
    <n v="1"/>
    <x v="7"/>
    <x v="0"/>
    <s v="25051988"/>
    <n v="34.750684931506846"/>
    <n v="175"/>
    <n v="35"/>
  </r>
  <r>
    <n v="21404000"/>
    <n v="18061988"/>
    <n v="5"/>
    <n v="1"/>
    <n v="1"/>
    <x v="1"/>
    <x v="0"/>
    <s v="18061988"/>
    <n v="34.684931506849317"/>
    <n v="175"/>
    <n v="35"/>
  </r>
  <r>
    <n v="23006367"/>
    <n v="7061988"/>
    <n v="4"/>
    <n v="1"/>
    <n v="1"/>
    <x v="4"/>
    <x v="7"/>
    <s v="07061988"/>
    <n v="34.715068493150682"/>
    <n v="175"/>
    <n v="43.75"/>
  </r>
  <r>
    <n v="11358810"/>
    <n v="17061988"/>
    <n v="8"/>
    <n v="0"/>
    <n v="1"/>
    <x v="0"/>
    <x v="0"/>
    <s v="17061988"/>
    <n v="34.68767123287671"/>
    <n v="175"/>
    <n v="21.875"/>
  </r>
  <r>
    <n v="17767171"/>
    <n v="11061988"/>
    <n v="4"/>
    <n v="1"/>
    <n v="1"/>
    <x v="1"/>
    <x v="1"/>
    <s v="11061988"/>
    <n v="34.704109589041096"/>
    <n v="175"/>
    <n v="43.75"/>
  </r>
  <r>
    <n v="17665344"/>
    <n v="11061988"/>
    <n v="3"/>
    <n v="1"/>
    <n v="2"/>
    <x v="7"/>
    <x v="3"/>
    <s v="11061988"/>
    <n v="34.704109589041096"/>
    <n v="697.5"/>
    <n v="232.5"/>
  </r>
  <r>
    <n v="5916596"/>
    <n v="7061988"/>
    <n v="6"/>
    <n v="1"/>
    <n v="1"/>
    <x v="9"/>
    <x v="3"/>
    <s v="07061988"/>
    <n v="34.715068493150682"/>
    <n v="175"/>
    <n v="29.166666666666668"/>
  </r>
  <r>
    <n v="14129791"/>
    <n v="26061988"/>
    <n v="4"/>
    <n v="1"/>
    <n v="1"/>
    <x v="5"/>
    <x v="3"/>
    <s v="26061988"/>
    <n v="34.663013698630138"/>
    <n v="175"/>
    <n v="43.75"/>
  </r>
  <r>
    <n v="9323502"/>
    <n v="29061988"/>
    <n v="5"/>
    <n v="1"/>
    <n v="2"/>
    <x v="6"/>
    <x v="1"/>
    <s v="29061988"/>
    <n v="34.654794520547945"/>
    <n v="697.5"/>
    <n v="139.5"/>
  </r>
  <r>
    <n v="3246330"/>
    <n v="29061988"/>
    <n v="0"/>
    <n v="0"/>
    <n v="1"/>
    <x v="4"/>
    <x v="0"/>
    <s v="29061988"/>
    <n v="34.654794520547945"/>
    <n v="175"/>
    <n v="0"/>
  </r>
  <r>
    <n v="778202"/>
    <n v="1071988"/>
    <n v="4"/>
    <n v="1"/>
    <n v="1"/>
    <x v="5"/>
    <x v="1"/>
    <s v="01071988"/>
    <n v="34.649315068493152"/>
    <n v="175"/>
    <n v="43.75"/>
  </r>
  <r>
    <n v="11993799"/>
    <n v="6071988"/>
    <n v="5"/>
    <n v="2"/>
    <n v="2"/>
    <x v="7"/>
    <x v="3"/>
    <s v="06071988"/>
    <n v="34.635616438356166"/>
    <n v="697.5"/>
    <n v="139.5"/>
  </r>
  <r>
    <n v="4516735"/>
    <n v="12051988"/>
    <n v="5"/>
    <n v="1"/>
    <n v="1"/>
    <x v="5"/>
    <x v="3"/>
    <s v="12051988"/>
    <n v="34.786301369863011"/>
    <n v="175"/>
    <n v="35"/>
  </r>
  <r>
    <n v="11257333"/>
    <n v="10061988"/>
    <n v="4"/>
    <n v="1"/>
    <n v="1"/>
    <x v="5"/>
    <x v="10"/>
    <s v="10061988"/>
    <n v="34.706849315068496"/>
    <n v="175"/>
    <n v="43.75"/>
  </r>
  <r>
    <n v="18300819"/>
    <n v="8071988"/>
    <n v="2"/>
    <n v="1"/>
    <n v="1"/>
    <x v="3"/>
    <x v="1"/>
    <s v="08071988"/>
    <n v="34.630136986301373"/>
    <n v="175"/>
    <n v="87.5"/>
  </r>
  <r>
    <n v="8688144"/>
    <n v="7071988"/>
    <n v="3"/>
    <n v="1"/>
    <n v="1"/>
    <x v="7"/>
    <x v="1"/>
    <s v="07071988"/>
    <n v="34.632876712328766"/>
    <n v="175"/>
    <n v="58.333333333333336"/>
  </r>
  <r>
    <n v="20971850"/>
    <n v="1071988"/>
    <n v="0"/>
    <n v="0"/>
    <n v="1"/>
    <x v="4"/>
    <x v="5"/>
    <s v="01071988"/>
    <n v="34.649315068493152"/>
    <n v="175"/>
    <n v="0"/>
  </r>
  <r>
    <n v="7518187"/>
    <n v="10081987"/>
    <n v="2"/>
    <n v="0"/>
    <n v="1"/>
    <x v="1"/>
    <x v="1"/>
    <s v="10081987"/>
    <n v="35.542465753424658"/>
    <n v="175"/>
    <n v="87.5"/>
  </r>
  <r>
    <n v="6653390"/>
    <n v="14071988"/>
    <n v="5"/>
    <n v="1"/>
    <n v="1"/>
    <x v="7"/>
    <x v="3"/>
    <s v="14071988"/>
    <n v="34.613698630136987"/>
    <n v="175"/>
    <n v="35"/>
  </r>
  <r>
    <n v="8789260"/>
    <n v="18071988"/>
    <n v="3"/>
    <n v="1"/>
    <n v="1"/>
    <x v="0"/>
    <x v="3"/>
    <s v="18071988"/>
    <n v="34.602739726027394"/>
    <n v="175"/>
    <n v="58.333333333333336"/>
  </r>
  <r>
    <n v="17665345"/>
    <n v="20071988"/>
    <n v="7"/>
    <n v="2"/>
    <n v="1"/>
    <x v="1"/>
    <x v="2"/>
    <s v="20071988"/>
    <n v="34.597260273972601"/>
    <n v="175"/>
    <n v="25"/>
  </r>
  <r>
    <n v="7720929"/>
    <n v="20071988"/>
    <n v="4"/>
    <n v="1"/>
    <n v="1"/>
    <x v="0"/>
    <x v="1"/>
    <s v="20071988"/>
    <n v="34.597260273972601"/>
    <n v="175"/>
    <n v="43.75"/>
  </r>
  <r>
    <n v="14562958"/>
    <n v="13071988"/>
    <n v="5"/>
    <n v="2"/>
    <n v="2"/>
    <x v="5"/>
    <x v="7"/>
    <s v="13071988"/>
    <n v="34.61643835616438"/>
    <n v="697.5"/>
    <n v="139.5"/>
  </r>
  <r>
    <n v="20336193"/>
    <n v="23071988"/>
    <n v="7"/>
    <n v="1"/>
    <n v="1"/>
    <x v="2"/>
    <x v="3"/>
    <s v="23071988"/>
    <n v="34.589041095890408"/>
    <n v="175"/>
    <n v="25"/>
  </r>
  <r>
    <n v="20437955"/>
    <n v="25071988"/>
    <n v="4"/>
    <n v="2"/>
    <n v="3"/>
    <x v="9"/>
    <x v="7"/>
    <s v="25071988"/>
    <n v="34.583561643835615"/>
    <n v="1397.5"/>
    <n v="349.375"/>
  </r>
  <r>
    <n v="3262197"/>
    <n v="1081988"/>
    <n v="6"/>
    <n v="1"/>
    <n v="1"/>
    <x v="5"/>
    <x v="1"/>
    <s v="01081988"/>
    <n v="34.564383561643837"/>
    <n v="175"/>
    <n v="29.166666666666668"/>
  </r>
  <r>
    <n v="21852588"/>
    <n v="2081988"/>
    <n v="5"/>
    <n v="1"/>
    <n v="1"/>
    <x v="7"/>
    <x v="1"/>
    <s v="02081988"/>
    <n v="34.561643835616437"/>
    <n v="175"/>
    <n v="35"/>
  </r>
  <r>
    <n v="19716297"/>
    <n v="3081988"/>
    <n v="8"/>
    <n v="1"/>
    <n v="1"/>
    <x v="1"/>
    <x v="0"/>
    <s v="03081988"/>
    <n v="34.558904109589044"/>
    <n v="175"/>
    <n v="21.875"/>
  </r>
  <r>
    <n v="24955482"/>
    <n v="22071988"/>
    <n v="0"/>
    <n v="0"/>
    <n v="1"/>
    <x v="4"/>
    <x v="5"/>
    <s v="22071988"/>
    <n v="34.591780821917808"/>
    <n v="175"/>
    <n v="0"/>
  </r>
  <r>
    <n v="15875787"/>
    <n v="1081988"/>
    <n v="4"/>
    <n v="1"/>
    <n v="1"/>
    <x v="7"/>
    <x v="10"/>
    <s v="01081988"/>
    <n v="34.564383561643837"/>
    <n v="175"/>
    <n v="43.75"/>
  </r>
  <r>
    <n v="4863844"/>
    <n v="27071988"/>
    <n v="3"/>
    <n v="1"/>
    <n v="1"/>
    <x v="1"/>
    <x v="2"/>
    <s v="27071988"/>
    <n v="34.578082191780823"/>
    <n v="175"/>
    <n v="58.333333333333336"/>
  </r>
  <r>
    <n v="10637109"/>
    <n v="7081988"/>
    <n v="5"/>
    <n v="2"/>
    <n v="2"/>
    <x v="7"/>
    <x v="3"/>
    <s v="07081988"/>
    <n v="34.547945205479451"/>
    <n v="697.5"/>
    <n v="139.5"/>
  </r>
  <r>
    <n v="16410076"/>
    <n v="2081988"/>
    <n v="2"/>
    <n v="1"/>
    <n v="1"/>
    <x v="4"/>
    <x v="3"/>
    <s v="02081988"/>
    <n v="34.561643835616437"/>
    <n v="175"/>
    <n v="87.5"/>
  </r>
  <r>
    <n v="21318280"/>
    <n v="9081988"/>
    <n v="4"/>
    <n v="1"/>
    <n v="1"/>
    <x v="7"/>
    <x v="2"/>
    <s v="09081988"/>
    <n v="34.542465753424658"/>
    <n v="175"/>
    <n v="43.75"/>
  </r>
  <r>
    <n v="2092089"/>
    <n v="10081988"/>
    <n v="6"/>
    <n v="2"/>
    <n v="1"/>
    <x v="7"/>
    <x v="1"/>
    <s v="10081988"/>
    <n v="34.539726027397258"/>
    <n v="175"/>
    <n v="29.166666666666668"/>
  </r>
  <r>
    <n v="10102967"/>
    <n v="7071988"/>
    <n v="5"/>
    <n v="1"/>
    <n v="1"/>
    <x v="5"/>
    <x v="0"/>
    <s v="07071988"/>
    <n v="34.632876712328766"/>
    <n v="175"/>
    <n v="35"/>
  </r>
  <r>
    <n v="23353380"/>
    <n v="5081988"/>
    <n v="4"/>
    <n v="1"/>
    <n v="1"/>
    <x v="7"/>
    <x v="3"/>
    <s v="05081988"/>
    <n v="34.553424657534244"/>
    <n v="175"/>
    <n v="43.75"/>
  </r>
  <r>
    <n v="18546016"/>
    <n v="14081988"/>
    <n v="4"/>
    <n v="1"/>
    <n v="1"/>
    <x v="5"/>
    <x v="1"/>
    <s v="14081988"/>
    <n v="34.528767123287672"/>
    <n v="175"/>
    <n v="43.75"/>
  </r>
  <r>
    <n v="1557926"/>
    <n v="14081988"/>
    <n v="2"/>
    <n v="1"/>
    <n v="1"/>
    <x v="1"/>
    <x v="1"/>
    <s v="14081988"/>
    <n v="34.528767123287672"/>
    <n v="175"/>
    <n v="87.5"/>
  </r>
  <r>
    <n v="16944233"/>
    <n v="1081988"/>
    <n v="3"/>
    <n v="0"/>
    <n v="1"/>
    <x v="4"/>
    <x v="1"/>
    <s v="01081988"/>
    <n v="34.564383561643837"/>
    <n v="175"/>
    <n v="58.333333333333336"/>
  </r>
  <r>
    <n v="9468302"/>
    <n v="25081988"/>
    <n v="0"/>
    <n v="0"/>
    <n v="1"/>
    <x v="4"/>
    <x v="5"/>
    <s v="25081988"/>
    <n v="34.4986301369863"/>
    <n v="175"/>
    <n v="0"/>
  </r>
  <r>
    <n v="17911859"/>
    <n v="7091988"/>
    <n v="4"/>
    <n v="1"/>
    <n v="1"/>
    <x v="3"/>
    <x v="0"/>
    <s v="07091988"/>
    <n v="34.463013698630135"/>
    <n v="175"/>
    <n v="43.75"/>
  </r>
  <r>
    <n v="15977046"/>
    <n v="6091988"/>
    <n v="4"/>
    <n v="1"/>
    <n v="1"/>
    <x v="0"/>
    <x v="2"/>
    <s v="06091988"/>
    <n v="34.465753424657535"/>
    <n v="175"/>
    <n v="43.75"/>
  </r>
  <r>
    <n v="2727858"/>
    <n v="28081988"/>
    <n v="5"/>
    <n v="1"/>
    <n v="1"/>
    <x v="4"/>
    <x v="3"/>
    <s v="28081988"/>
    <n v="34.490410958904107"/>
    <n v="175"/>
    <n v="35"/>
  </r>
  <r>
    <n v="3262196"/>
    <n v="8091988"/>
    <n v="4"/>
    <n v="1"/>
    <n v="2"/>
    <x v="9"/>
    <x v="7"/>
    <s v="08091988"/>
    <n v="34.460273972602742"/>
    <n v="697.5"/>
    <n v="174.375"/>
  </r>
  <r>
    <n v="1125017"/>
    <n v="4091988"/>
    <n v="4"/>
    <n v="2"/>
    <n v="2"/>
    <x v="7"/>
    <x v="9"/>
    <s v="04091988"/>
    <n v="34.471232876712328"/>
    <n v="697.5"/>
    <n v="174.375"/>
  </r>
  <r>
    <n v="21852589"/>
    <n v="31031988"/>
    <n v="2"/>
    <n v="1"/>
    <n v="1"/>
    <x v="5"/>
    <x v="10"/>
    <s v="31031988"/>
    <n v="34.901369863013699"/>
    <n v="175"/>
    <n v="87.5"/>
  </r>
  <r>
    <n v="8934102"/>
    <n v="27081988"/>
    <n v="4"/>
    <n v="1"/>
    <n v="1"/>
    <x v="4"/>
    <x v="5"/>
    <s v="27081988"/>
    <n v="34.493150684931507"/>
    <n v="175"/>
    <n v="43.75"/>
  </r>
  <r>
    <n v="23887247"/>
    <n v="7091988"/>
    <n v="5"/>
    <n v="1"/>
    <n v="1"/>
    <x v="7"/>
    <x v="1"/>
    <s v="07091988"/>
    <n v="34.463013698630135"/>
    <n v="175"/>
    <n v="35"/>
  </r>
  <r>
    <n v="11604494"/>
    <n v="1091988"/>
    <n v="5"/>
    <n v="1"/>
    <n v="1"/>
    <x v="8"/>
    <x v="3"/>
    <s v="01091988"/>
    <n v="34.479452054794521"/>
    <n v="175"/>
    <n v="35"/>
  </r>
  <r>
    <n v="9035183"/>
    <n v="9091988"/>
    <n v="5"/>
    <n v="1"/>
    <n v="1"/>
    <x v="7"/>
    <x v="3"/>
    <s v="09091988"/>
    <n v="34.457534246575342"/>
    <n v="175"/>
    <n v="35"/>
  </r>
  <r>
    <n v="5296953"/>
    <n v="16091988"/>
    <n v="4"/>
    <n v="2"/>
    <n v="2"/>
    <x v="7"/>
    <x v="10"/>
    <s v="16091988"/>
    <n v="34.438356164383563"/>
    <n v="697.5"/>
    <n v="174.375"/>
  </r>
  <r>
    <n v="4762432"/>
    <n v="13091988"/>
    <n v="3"/>
    <n v="1"/>
    <n v="1"/>
    <x v="5"/>
    <x v="1"/>
    <s v="13091988"/>
    <n v="34.446575342465756"/>
    <n v="175"/>
    <n v="58.333333333333336"/>
  </r>
  <r>
    <n v="2092090"/>
    <n v="15091988"/>
    <n v="4"/>
    <n v="1"/>
    <n v="1"/>
    <x v="7"/>
    <x v="3"/>
    <s v="15091988"/>
    <n v="34.441095890410956"/>
    <n v="175"/>
    <n v="43.75"/>
  </r>
  <r>
    <n v="7865847"/>
    <n v="29081988"/>
    <n v="3"/>
    <n v="1"/>
    <n v="1"/>
    <x v="7"/>
    <x v="2"/>
    <s v="29081988"/>
    <n v="34.487671232876714"/>
    <n v="175"/>
    <n v="58.333333333333336"/>
  </r>
  <r>
    <n v="19514290"/>
    <n v="9091988"/>
    <n v="3"/>
    <n v="0"/>
    <n v="1"/>
    <x v="1"/>
    <x v="2"/>
    <s v="09091988"/>
    <n v="34.457534246575342"/>
    <n v="175"/>
    <n v="58.333333333333336"/>
  </r>
  <r>
    <n v="24320525"/>
    <n v="30081988"/>
    <n v="6"/>
    <n v="1"/>
    <n v="1"/>
    <x v="1"/>
    <x v="2"/>
    <s v="30081988"/>
    <n v="34.484931506849314"/>
    <n v="175"/>
    <n v="29.166666666666668"/>
  </r>
  <r>
    <n v="1557927"/>
    <n v="21091988"/>
    <n v="5"/>
    <n v="1"/>
    <n v="2"/>
    <x v="7"/>
    <x v="3"/>
    <s v="21091988"/>
    <n v="34.424657534246577"/>
    <n v="697.5"/>
    <n v="139.5"/>
  </r>
  <r>
    <n v="23252721"/>
    <n v="10091988"/>
    <n v="3"/>
    <n v="1"/>
    <n v="1"/>
    <x v="5"/>
    <x v="2"/>
    <s v="10091988"/>
    <n v="34.454794520547942"/>
    <n v="175"/>
    <n v="58.333333333333336"/>
  </r>
  <r>
    <n v="13206066"/>
    <n v="8091988"/>
    <n v="5"/>
    <n v="2"/>
    <n v="1"/>
    <x v="5"/>
    <x v="2"/>
    <s v="08091988"/>
    <n v="34.460273972602742"/>
    <n v="175"/>
    <n v="35"/>
  </r>
  <r>
    <n v="3160919"/>
    <n v="22091988"/>
    <n v="5"/>
    <n v="1"/>
    <n v="1"/>
    <x v="0"/>
    <x v="0"/>
    <s v="22091988"/>
    <n v="34.421917808219177"/>
    <n v="175"/>
    <n v="35"/>
  </r>
  <r>
    <n v="10001898"/>
    <n v="19091988"/>
    <n v="5"/>
    <n v="1"/>
    <n v="1"/>
    <x v="9"/>
    <x v="3"/>
    <s v="19091988"/>
    <n v="34.43013698630137"/>
    <n v="175"/>
    <n v="35"/>
  </r>
  <r>
    <n v="10535958"/>
    <n v="29081988"/>
    <n v="5"/>
    <n v="1"/>
    <n v="1"/>
    <x v="7"/>
    <x v="1"/>
    <s v="29081988"/>
    <n v="34.487671232876714"/>
    <n v="175"/>
    <n v="35"/>
  </r>
  <r>
    <n v="13740222"/>
    <n v="14091988"/>
    <n v="5"/>
    <n v="1"/>
    <n v="1"/>
    <x v="7"/>
    <x v="3"/>
    <s v="14091988"/>
    <n v="34.443835616438356"/>
    <n v="175"/>
    <n v="35"/>
  </r>
  <r>
    <n v="590990"/>
    <n v="26091988"/>
    <n v="3"/>
    <n v="1"/>
    <n v="1"/>
    <x v="5"/>
    <x v="0"/>
    <s v="26091988"/>
    <n v="34.410958904109592"/>
    <n v="175"/>
    <n v="58.333333333333336"/>
  </r>
  <r>
    <n v="24522325"/>
    <n v="27091988"/>
    <n v="4"/>
    <n v="1"/>
    <n v="2"/>
    <x v="2"/>
    <x v="1"/>
    <s v="27091988"/>
    <n v="34.408219178082192"/>
    <n v="697.5"/>
    <n v="174.375"/>
  </r>
  <r>
    <n v="16511436"/>
    <n v="7091988"/>
    <n v="6"/>
    <n v="1"/>
    <n v="1"/>
    <x v="0"/>
    <x v="10"/>
    <s v="07091988"/>
    <n v="34.463013698630135"/>
    <n v="175"/>
    <n v="29.166666666666668"/>
  </r>
  <r>
    <n v="5195961"/>
    <n v="29091988"/>
    <n v="4"/>
    <n v="1"/>
    <n v="1"/>
    <x v="0"/>
    <x v="2"/>
    <s v="29091988"/>
    <n v="34.402739726027399"/>
    <n v="175"/>
    <n v="43.75"/>
  </r>
  <r>
    <n v="11070305"/>
    <n v="28091988"/>
    <n v="4"/>
    <n v="1"/>
    <n v="1"/>
    <x v="7"/>
    <x v="3"/>
    <s v="28091988"/>
    <n v="34.405479452054792"/>
    <n v="175"/>
    <n v="43.75"/>
  </r>
  <r>
    <n v="2642440"/>
    <n v="6091988"/>
    <n v="4"/>
    <n v="1"/>
    <n v="1"/>
    <x v="0"/>
    <x v="3"/>
    <s v="06091988"/>
    <n v="34.465753424657535"/>
    <n v="175"/>
    <n v="43.75"/>
  </r>
  <r>
    <n v="5211856"/>
    <n v="4101988"/>
    <n v="3"/>
    <n v="0"/>
    <n v="1"/>
    <x v="1"/>
    <x v="2"/>
    <s v="04101988"/>
    <n v="34.389041095890413"/>
    <n v="175"/>
    <n v="58.333333333333336"/>
  </r>
  <r>
    <n v="16629102"/>
    <n v="2101988"/>
    <n v="3"/>
    <n v="1"/>
    <n v="1"/>
    <x v="7"/>
    <x v="1"/>
    <s v="02101988"/>
    <n v="34.394520547945206"/>
    <n v="175"/>
    <n v="58.333333333333336"/>
  </r>
  <r>
    <n v="7016231"/>
    <n v="2101988"/>
    <n v="5"/>
    <n v="2"/>
    <n v="1"/>
    <x v="7"/>
    <x v="3"/>
    <s v="02101988"/>
    <n v="34.394520547945206"/>
    <n v="175"/>
    <n v="35"/>
  </r>
  <r>
    <n v="5312856"/>
    <n v="27091988"/>
    <n v="6"/>
    <n v="2"/>
    <n v="2"/>
    <x v="2"/>
    <x v="7"/>
    <s v="27091988"/>
    <n v="34.408219178082192"/>
    <n v="697.5"/>
    <n v="116.25"/>
  </r>
  <r>
    <n v="4879759"/>
    <n v="1101988"/>
    <n v="0"/>
    <n v="0"/>
    <n v="1"/>
    <x v="4"/>
    <x v="5"/>
    <s v="01101988"/>
    <n v="34.397260273972606"/>
    <n v="175"/>
    <n v="0"/>
  </r>
  <r>
    <n v="9051192"/>
    <n v="23091988"/>
    <n v="3"/>
    <n v="1"/>
    <n v="1"/>
    <x v="7"/>
    <x v="2"/>
    <s v="23091988"/>
    <n v="34.419178082191777"/>
    <n v="175"/>
    <n v="58.333333333333336"/>
  </r>
  <r>
    <n v="1039737"/>
    <n v="1101988"/>
    <n v="4"/>
    <n v="1"/>
    <n v="1"/>
    <x v="7"/>
    <x v="3"/>
    <s v="01101988"/>
    <n v="34.397260273972606"/>
    <n v="175"/>
    <n v="43.75"/>
  </r>
  <r>
    <n v="21767122"/>
    <n v="17091988"/>
    <n v="4"/>
    <n v="1"/>
    <n v="1"/>
    <x v="7"/>
    <x v="0"/>
    <s v="17091988"/>
    <n v="34.435616438356163"/>
    <n v="175"/>
    <n v="43.75"/>
  </r>
  <r>
    <n v="6482536"/>
    <n v="10081988"/>
    <n v="4"/>
    <n v="1"/>
    <n v="1"/>
    <x v="5"/>
    <x v="1"/>
    <s v="10081988"/>
    <n v="34.539726027397258"/>
    <n v="175"/>
    <n v="43.75"/>
  </r>
  <r>
    <n v="24538190"/>
    <n v="8101988"/>
    <n v="10"/>
    <n v="1"/>
    <n v="1"/>
    <x v="7"/>
    <x v="3"/>
    <s v="08101988"/>
    <n v="34.37808219178082"/>
    <n v="175"/>
    <n v="17.5"/>
  </r>
  <r>
    <n v="5414355"/>
    <n v="7101988"/>
    <n v="3"/>
    <n v="1"/>
    <n v="1"/>
    <x v="1"/>
    <x v="2"/>
    <s v="07101988"/>
    <n v="34.38082191780822"/>
    <n v="175"/>
    <n v="58.333333333333336"/>
  </r>
  <r>
    <n v="12255666"/>
    <n v="6101988"/>
    <n v="4"/>
    <n v="2"/>
    <n v="1"/>
    <x v="5"/>
    <x v="3"/>
    <s v="06101988"/>
    <n v="34.38356164383562"/>
    <n v="175"/>
    <n v="43.75"/>
  </r>
  <r>
    <n v="13221916"/>
    <n v="13101988"/>
    <n v="2"/>
    <n v="1"/>
    <n v="1"/>
    <x v="7"/>
    <x v="3"/>
    <s v="13101988"/>
    <n v="34.364383561643834"/>
    <n v="175"/>
    <n v="87.5"/>
  </r>
  <r>
    <n v="3710914"/>
    <n v="3101988"/>
    <n v="2"/>
    <n v="0"/>
    <n v="1"/>
    <x v="4"/>
    <x v="3"/>
    <s v="03101988"/>
    <n v="34.391780821917806"/>
    <n v="175"/>
    <n v="87.5"/>
  </r>
  <r>
    <n v="7448552"/>
    <n v="7101988"/>
    <n v="5"/>
    <n v="1"/>
    <n v="2"/>
    <x v="7"/>
    <x v="1"/>
    <s v="07101988"/>
    <n v="34.38082191780822"/>
    <n v="697.5"/>
    <n v="139.5"/>
  </r>
  <r>
    <n v="20165197"/>
    <n v="6101988"/>
    <n v="4"/>
    <n v="1"/>
    <n v="2"/>
    <x v="2"/>
    <x v="7"/>
    <s v="06101988"/>
    <n v="34.38356164383562"/>
    <n v="697.5"/>
    <n v="174.375"/>
  </r>
  <r>
    <n v="5948444"/>
    <n v="23061988"/>
    <n v="4"/>
    <n v="1"/>
    <n v="1"/>
    <x v="7"/>
    <x v="1"/>
    <s v="23061988"/>
    <n v="34.671232876712331"/>
    <n v="175"/>
    <n v="43.75"/>
  </r>
  <r>
    <n v="19630849"/>
    <n v="30091988"/>
    <n v="13"/>
    <n v="3"/>
    <n v="1"/>
    <x v="7"/>
    <x v="3"/>
    <s v="30091988"/>
    <n v="34.4"/>
    <n v="175"/>
    <n v="13.461538461538462"/>
  </r>
  <r>
    <n v="22301438"/>
    <n v="21101988"/>
    <n v="5"/>
    <n v="1"/>
    <n v="2"/>
    <x v="7"/>
    <x v="3"/>
    <s v="21101988"/>
    <n v="34.342465753424655"/>
    <n v="697.5"/>
    <n v="139.5"/>
  </r>
  <r>
    <n v="3610138"/>
    <n v="26091988"/>
    <n v="2"/>
    <n v="1"/>
    <n v="1"/>
    <x v="7"/>
    <x v="3"/>
    <s v="26091988"/>
    <n v="34.410958904109592"/>
    <n v="175"/>
    <n v="87.5"/>
  </r>
  <r>
    <n v="19834077"/>
    <n v="13101988"/>
    <n v="4"/>
    <n v="1"/>
    <n v="1"/>
    <x v="0"/>
    <x v="2"/>
    <s v="13101988"/>
    <n v="34.364383561643834"/>
    <n v="175"/>
    <n v="43.75"/>
  </r>
  <r>
    <n v="7982794"/>
    <n v="28091988"/>
    <n v="3"/>
    <n v="1"/>
    <n v="1"/>
    <x v="0"/>
    <x v="0"/>
    <s v="28091988"/>
    <n v="34.405479452054792"/>
    <n v="175"/>
    <n v="58.333333333333336"/>
  </r>
  <r>
    <n v="6813961"/>
    <n v="26101988"/>
    <n v="4"/>
    <n v="1"/>
    <n v="1"/>
    <x v="5"/>
    <x v="3"/>
    <s v="26101988"/>
    <n v="34.328767123287669"/>
    <n v="175"/>
    <n v="43.75"/>
  </r>
  <r>
    <n v="12688174"/>
    <n v="26101988"/>
    <n v="5"/>
    <n v="1"/>
    <n v="1"/>
    <x v="7"/>
    <x v="3"/>
    <s v="26101988"/>
    <n v="34.328767123287669"/>
    <n v="175"/>
    <n v="35"/>
  </r>
  <r>
    <n v="15560793"/>
    <n v="24101988"/>
    <n v="6"/>
    <n v="1"/>
    <n v="1"/>
    <x v="7"/>
    <x v="10"/>
    <s v="24101988"/>
    <n v="34.334246575342469"/>
    <n v="175"/>
    <n v="29.166666666666668"/>
  </r>
  <r>
    <n v="2541492"/>
    <n v="6071988"/>
    <n v="5"/>
    <n v="1"/>
    <n v="1"/>
    <x v="5"/>
    <x v="2"/>
    <s v="06071988"/>
    <n v="34.635616438356166"/>
    <n v="175"/>
    <n v="35"/>
  </r>
  <r>
    <n v="24437007"/>
    <n v="16101988"/>
    <n v="5"/>
    <n v="1"/>
    <n v="1"/>
    <x v="0"/>
    <x v="2"/>
    <s v="16101988"/>
    <n v="34.356164383561641"/>
    <n v="175"/>
    <n v="35"/>
  </r>
  <r>
    <n v="19096300"/>
    <n v="10101988"/>
    <n v="8"/>
    <n v="2"/>
    <n v="1"/>
    <x v="1"/>
    <x v="3"/>
    <s v="10101988"/>
    <n v="34.372602739726027"/>
    <n v="175"/>
    <n v="21.875"/>
  </r>
  <r>
    <n v="4879760"/>
    <n v="13101988"/>
    <n v="2"/>
    <n v="1"/>
    <n v="1"/>
    <x v="1"/>
    <x v="1"/>
    <s v="13101988"/>
    <n v="34.364383561643834"/>
    <n v="175"/>
    <n v="87.5"/>
  </r>
  <r>
    <n v="606862"/>
    <n v="31101988"/>
    <n v="3"/>
    <n v="1"/>
    <n v="1"/>
    <x v="4"/>
    <x v="3"/>
    <s v="31101988"/>
    <n v="34.315068493150683"/>
    <n v="175"/>
    <n v="58.333333333333336"/>
  </r>
  <r>
    <n v="21334175"/>
    <n v="2111988"/>
    <n v="7"/>
    <n v="1"/>
    <n v="6"/>
    <x v="2"/>
    <x v="7"/>
    <s v="02111988"/>
    <n v="34.30958904109589"/>
    <n v="4000"/>
    <n v="571.42857142857144"/>
  </r>
  <r>
    <n v="6482535"/>
    <n v="24091988"/>
    <n v="4"/>
    <n v="1"/>
    <n v="1"/>
    <x v="5"/>
    <x v="0"/>
    <s v="24091988"/>
    <n v="34.416438356164385"/>
    <n v="175"/>
    <n v="43.75"/>
  </r>
  <r>
    <n v="5414354"/>
    <n v="21101988"/>
    <n v="5"/>
    <n v="1"/>
    <n v="1"/>
    <x v="1"/>
    <x v="2"/>
    <s v="21101988"/>
    <n v="34.342465753424655"/>
    <n v="175"/>
    <n v="35"/>
  </r>
  <r>
    <n v="18028184"/>
    <n v="13111988"/>
    <n v="4"/>
    <n v="1"/>
    <n v="1"/>
    <x v="8"/>
    <x v="1"/>
    <s v="13111988"/>
    <n v="34.279452054794518"/>
    <n v="175"/>
    <n v="43.75"/>
  </r>
  <r>
    <n v="20266389"/>
    <n v="10091988"/>
    <n v="4"/>
    <n v="2"/>
    <n v="2"/>
    <x v="1"/>
    <x v="7"/>
    <s v="10091988"/>
    <n v="34.454794520547942"/>
    <n v="697.5"/>
    <n v="174.375"/>
  </r>
  <r>
    <n v="16960107"/>
    <n v="30101988"/>
    <n v="4"/>
    <n v="1"/>
    <n v="2"/>
    <x v="2"/>
    <x v="10"/>
    <s v="30101988"/>
    <n v="34.317808219178083"/>
    <n v="697.5"/>
    <n v="174.375"/>
  </r>
  <r>
    <n v="8949938"/>
    <n v="8111988"/>
    <n v="3"/>
    <n v="2"/>
    <n v="1"/>
    <x v="5"/>
    <x v="3"/>
    <s v="08111988"/>
    <n v="34.293150684931504"/>
    <n v="175"/>
    <n v="58.333333333333336"/>
  </r>
  <r>
    <n v="9484158"/>
    <n v="1111988"/>
    <n v="8"/>
    <n v="2"/>
    <n v="1"/>
    <x v="5"/>
    <x v="2"/>
    <s v="01111988"/>
    <n v="34.31232876712329"/>
    <n v="175"/>
    <n v="21.875"/>
  </r>
  <r>
    <n v="8618529"/>
    <n v="6111988"/>
    <n v="4"/>
    <n v="2"/>
    <n v="2"/>
    <x v="9"/>
    <x v="3"/>
    <s v="06111988"/>
    <n v="34.298630136986304"/>
    <n v="697.5"/>
    <n v="174.375"/>
  </r>
  <r>
    <n v="20699062"/>
    <n v="10111988"/>
    <n v="5"/>
    <n v="2"/>
    <n v="1"/>
    <x v="5"/>
    <x v="1"/>
    <s v="10111988"/>
    <n v="34.287671232876711"/>
    <n v="175"/>
    <n v="35"/>
  </r>
  <r>
    <n v="18231041"/>
    <n v="4111988"/>
    <n v="4"/>
    <n v="1"/>
    <n v="1"/>
    <x v="7"/>
    <x v="0"/>
    <s v="04111988"/>
    <n v="34.304109589041097"/>
    <n v="175"/>
    <n v="43.75"/>
  </r>
  <r>
    <n v="18561930"/>
    <n v="4111988"/>
    <n v="7"/>
    <n v="4"/>
    <n v="1"/>
    <x v="7"/>
    <x v="2"/>
    <s v="04111988"/>
    <n v="34.304109589041097"/>
    <n v="175"/>
    <n v="25"/>
  </r>
  <r>
    <n v="10220593"/>
    <n v="7111988"/>
    <n v="4"/>
    <n v="2"/>
    <n v="1"/>
    <x v="7"/>
    <x v="2"/>
    <s v="07111988"/>
    <n v="34.295890410958904"/>
    <n v="175"/>
    <n v="43.75"/>
  </r>
  <r>
    <n v="16425967"/>
    <n v="4111988"/>
    <n v="5"/>
    <n v="1"/>
    <n v="2"/>
    <x v="7"/>
    <x v="3"/>
    <s v="04111988"/>
    <n v="34.304109589041097"/>
    <n v="697.5"/>
    <n v="139.5"/>
  </r>
  <r>
    <n v="5847010"/>
    <n v="4111988"/>
    <n v="5"/>
    <n v="2"/>
    <n v="2"/>
    <x v="7"/>
    <x v="3"/>
    <s v="04111988"/>
    <n v="34.304109589041097"/>
    <n v="697.5"/>
    <n v="139.5"/>
  </r>
  <r>
    <n v="4778313"/>
    <n v="13111988"/>
    <n v="5"/>
    <n v="1"/>
    <n v="1"/>
    <x v="5"/>
    <x v="3"/>
    <s v="13111988"/>
    <n v="34.279452054794518"/>
    <n v="175"/>
    <n v="35"/>
  </r>
  <r>
    <n v="19732221"/>
    <n v="29091988"/>
    <n v="2"/>
    <n v="0"/>
    <n v="1"/>
    <x v="10"/>
    <x v="7"/>
    <s v="29091988"/>
    <n v="34.402739726027399"/>
    <n v="175"/>
    <n v="87.5"/>
  </r>
  <r>
    <n v="10754756"/>
    <n v="11111988"/>
    <n v="3"/>
    <n v="2"/>
    <n v="2"/>
    <x v="7"/>
    <x v="3"/>
    <s v="11111988"/>
    <n v="34.284931506849318"/>
    <n v="697.5"/>
    <n v="232.5"/>
  </r>
  <r>
    <n v="10017777"/>
    <n v="27101988"/>
    <n v="5"/>
    <n v="1"/>
    <n v="1"/>
    <x v="5"/>
    <x v="0"/>
    <s v="27101988"/>
    <n v="34.326027397260276"/>
    <n v="175"/>
    <n v="35"/>
  </r>
  <r>
    <n v="16527339"/>
    <n v="8111988"/>
    <n v="0"/>
    <n v="0"/>
    <n v="1"/>
    <x v="4"/>
    <x v="5"/>
    <s v="08111988"/>
    <n v="34.293150684931504"/>
    <n v="175"/>
    <n v="0"/>
  </r>
  <r>
    <n v="22402619"/>
    <n v="13111988"/>
    <n v="4"/>
    <n v="1"/>
    <n v="1"/>
    <x v="5"/>
    <x v="3"/>
    <s v="13111988"/>
    <n v="34.279452054794518"/>
    <n v="175"/>
    <n v="43.75"/>
  </r>
  <r>
    <n v="3610139"/>
    <n v="3111988"/>
    <n v="5"/>
    <n v="1"/>
    <n v="1"/>
    <x v="0"/>
    <x v="0"/>
    <s v="03111988"/>
    <n v="34.30684931506849"/>
    <n v="175"/>
    <n v="35"/>
  </r>
  <r>
    <n v="11086196"/>
    <n v="11111988"/>
    <n v="3"/>
    <n v="1"/>
    <n v="1"/>
    <x v="7"/>
    <x v="3"/>
    <s v="11111988"/>
    <n v="34.284931506849318"/>
    <n v="175"/>
    <n v="58.333333333333336"/>
  </r>
  <r>
    <n v="6813962"/>
    <n v="20111988"/>
    <n v="0"/>
    <n v="0"/>
    <n v="3"/>
    <x v="4"/>
    <x v="5"/>
    <s v="20111988"/>
    <n v="34.260273972602739"/>
    <n v="1397.5"/>
    <n v="0"/>
  </r>
  <r>
    <n v="12688175"/>
    <n v="20111988"/>
    <n v="5"/>
    <n v="1"/>
    <n v="1"/>
    <x v="5"/>
    <x v="1"/>
    <s v="20111988"/>
    <n v="34.260273972602739"/>
    <n v="175"/>
    <n v="35"/>
  </r>
  <r>
    <n v="12890932"/>
    <n v="3111988"/>
    <n v="4"/>
    <n v="1"/>
    <n v="1"/>
    <x v="0"/>
    <x v="3"/>
    <s v="03111988"/>
    <n v="34.30684931506849"/>
    <n v="175"/>
    <n v="43.75"/>
  </r>
  <r>
    <n v="8343410"/>
    <n v="19111988"/>
    <n v="9"/>
    <n v="3"/>
    <n v="2"/>
    <x v="7"/>
    <x v="9"/>
    <s v="19111988"/>
    <n v="34.263013698630139"/>
    <n v="697.5"/>
    <n v="77.5"/>
  </r>
  <r>
    <n v="4071425"/>
    <n v="9111988"/>
    <n v="6"/>
    <n v="1"/>
    <n v="1"/>
    <x v="5"/>
    <x v="4"/>
    <s v="09111988"/>
    <n v="34.290410958904111"/>
    <n v="175"/>
    <n v="29.166666666666668"/>
  </r>
  <r>
    <n v="1934706"/>
    <n v="23111988"/>
    <n v="3"/>
    <n v="1"/>
    <n v="1"/>
    <x v="5"/>
    <x v="0"/>
    <s v="23111988"/>
    <n v="34.252054794520546"/>
    <n v="175"/>
    <n v="58.333333333333336"/>
  </r>
  <r>
    <n v="24798265"/>
    <n v="18111988"/>
    <n v="4"/>
    <n v="1"/>
    <n v="1"/>
    <x v="5"/>
    <x v="1"/>
    <s v="18111988"/>
    <n v="34.265753424657532"/>
    <n v="175"/>
    <n v="43.75"/>
  </r>
  <r>
    <n v="7275189"/>
    <n v="13111988"/>
    <n v="7"/>
    <n v="2"/>
    <n v="1"/>
    <x v="7"/>
    <x v="3"/>
    <s v="13111988"/>
    <n v="34.279452054794518"/>
    <n v="175"/>
    <n v="25"/>
  </r>
  <r>
    <n v="20959286"/>
    <n v="23111988"/>
    <n v="4"/>
    <n v="1"/>
    <n v="1"/>
    <x v="0"/>
    <x v="3"/>
    <s v="23111988"/>
    <n v="34.252054794520546"/>
    <n v="175"/>
    <n v="43.75"/>
  </r>
  <r>
    <n v="9844777"/>
    <n v="26111988"/>
    <n v="4"/>
    <n v="1"/>
    <n v="1"/>
    <x v="7"/>
    <x v="3"/>
    <s v="26111988"/>
    <n v="34.243835616438353"/>
    <n v="175"/>
    <n v="43.75"/>
  </r>
  <r>
    <n v="12948005"/>
    <n v="26111988"/>
    <n v="5"/>
    <n v="1"/>
    <n v="1"/>
    <x v="1"/>
    <x v="3"/>
    <s v="26111988"/>
    <n v="34.243835616438353"/>
    <n v="175"/>
    <n v="35"/>
  </r>
  <r>
    <n v="23629126"/>
    <n v="2111988"/>
    <n v="4"/>
    <n v="0"/>
    <n v="1"/>
    <x v="7"/>
    <x v="1"/>
    <s v="02111988"/>
    <n v="34.30958904109589"/>
    <n v="175"/>
    <n v="43.75"/>
  </r>
  <r>
    <n v="22027512"/>
    <n v="27111988"/>
    <n v="0"/>
    <n v="0"/>
    <n v="1"/>
    <x v="4"/>
    <x v="5"/>
    <s v="27111988"/>
    <n v="34.241095890410961"/>
    <n v="175"/>
    <n v="0"/>
  </r>
  <r>
    <n v="14217833"/>
    <n v="30111988"/>
    <n v="4"/>
    <n v="1"/>
    <n v="1"/>
    <x v="5"/>
    <x v="3"/>
    <s v="30111988"/>
    <n v="34.232876712328768"/>
    <n v="175"/>
    <n v="43.75"/>
  </r>
  <r>
    <n v="5139343"/>
    <n v="1121988"/>
    <n v="6"/>
    <n v="1"/>
    <n v="1"/>
    <x v="7"/>
    <x v="3"/>
    <s v="01121988"/>
    <n v="34.230136986301368"/>
    <n v="175"/>
    <n v="29.166666666666668"/>
  </r>
  <r>
    <n v="14651360"/>
    <n v="2121988"/>
    <n v="4"/>
    <n v="1"/>
    <n v="1"/>
    <x v="5"/>
    <x v="0"/>
    <s v="02121988"/>
    <n v="34.227397260273975"/>
    <n v="175"/>
    <n v="43.75"/>
  </r>
  <r>
    <n v="14550429"/>
    <n v="3121988"/>
    <n v="4"/>
    <n v="1"/>
    <n v="1"/>
    <x v="7"/>
    <x v="3"/>
    <s v="03121988"/>
    <n v="34.224657534246575"/>
    <n v="175"/>
    <n v="43.75"/>
  </r>
  <r>
    <n v="1198161"/>
    <n v="3121988"/>
    <n v="5"/>
    <n v="2"/>
    <n v="1"/>
    <x v="5"/>
    <x v="0"/>
    <s v="03121988"/>
    <n v="34.224657534246575"/>
    <n v="175"/>
    <n v="35"/>
  </r>
  <r>
    <n v="2800967"/>
    <n v="21111988"/>
    <n v="3"/>
    <n v="2"/>
    <n v="1"/>
    <x v="4"/>
    <x v="7"/>
    <s v="21111988"/>
    <n v="34.257534246575339"/>
    <n v="175"/>
    <n v="58.333333333333336"/>
  </r>
  <r>
    <n v="23527554"/>
    <n v="5121988"/>
    <n v="3"/>
    <n v="1"/>
    <n v="1"/>
    <x v="7"/>
    <x v="3"/>
    <s v="05121988"/>
    <n v="34.219178082191782"/>
    <n v="175"/>
    <n v="58.333333333333336"/>
  </r>
  <r>
    <n v="14751867"/>
    <n v="5121988"/>
    <n v="4"/>
    <n v="1"/>
    <n v="1"/>
    <x v="1"/>
    <x v="2"/>
    <s v="05121988"/>
    <n v="34.219178082191782"/>
    <n v="175"/>
    <n v="43.75"/>
  </r>
  <r>
    <n v="12615919"/>
    <n v="13121988"/>
    <n v="5"/>
    <n v="1"/>
    <n v="1"/>
    <x v="0"/>
    <x v="0"/>
    <s v="13121988"/>
    <n v="34.197260273972603"/>
    <n v="175"/>
    <n v="35"/>
  </r>
  <r>
    <n v="8776775"/>
    <n v="26121988"/>
    <n v="6"/>
    <n v="2"/>
    <n v="2"/>
    <x v="7"/>
    <x v="3"/>
    <s v="26121988"/>
    <n v="34.161643835616438"/>
    <n v="697.5"/>
    <n v="116.25"/>
  </r>
  <r>
    <n v="13583136"/>
    <n v="26121988"/>
    <n v="3"/>
    <n v="1"/>
    <n v="1"/>
    <x v="1"/>
    <x v="3"/>
    <s v="26121988"/>
    <n v="34.161643835616438"/>
    <n v="175"/>
    <n v="58.333333333333336"/>
  </r>
  <r>
    <n v="6207812"/>
    <n v="28121988"/>
    <n v="3"/>
    <n v="2"/>
    <n v="2"/>
    <x v="5"/>
    <x v="7"/>
    <s v="28121988"/>
    <n v="34.156164383561645"/>
    <n v="697.5"/>
    <n v="232.5"/>
  </r>
  <r>
    <n v="4071424"/>
    <n v="30121988"/>
    <n v="5"/>
    <n v="1"/>
    <n v="1"/>
    <x v="5"/>
    <x v="2"/>
    <s v="30121988"/>
    <n v="34.150684931506852"/>
    <n v="175"/>
    <n v="35"/>
  </r>
  <r>
    <n v="24061501"/>
    <n v="2011989"/>
    <n v="0"/>
    <n v="0"/>
    <n v="1"/>
    <x v="7"/>
    <x v="3"/>
    <s v="02011989"/>
    <n v="34.142465753424659"/>
    <n v="175"/>
    <n v="0"/>
  </r>
  <r>
    <n v="7275188"/>
    <n v="3011989"/>
    <n v="2"/>
    <n v="1"/>
    <n v="1"/>
    <x v="4"/>
    <x v="2"/>
    <s v="03011989"/>
    <n v="34.139726027397259"/>
    <n v="175"/>
    <n v="87.5"/>
  </r>
  <r>
    <n v="3970506"/>
    <n v="3011989"/>
    <n v="4"/>
    <n v="1"/>
    <n v="2"/>
    <x v="7"/>
    <x v="3"/>
    <s v="03011989"/>
    <n v="34.139726027397259"/>
    <n v="697.5"/>
    <n v="174.375"/>
  </r>
  <r>
    <n v="20959285"/>
    <n v="25121988"/>
    <n v="5"/>
    <n v="1"/>
    <n v="1"/>
    <x v="1"/>
    <x v="3"/>
    <s v="25121988"/>
    <n v="34.164383561643838"/>
    <n v="175"/>
    <n v="35"/>
  </r>
  <r>
    <n v="3003510"/>
    <n v="25081987"/>
    <n v="5"/>
    <n v="1"/>
    <n v="1"/>
    <x v="5"/>
    <x v="5"/>
    <s v="25081987"/>
    <n v="35.5013698630137"/>
    <n v="175"/>
    <n v="35"/>
  </r>
  <r>
    <n v="8877352"/>
    <n v="25061988"/>
    <n v="3"/>
    <n v="0"/>
    <n v="1"/>
    <x v="4"/>
    <x v="10"/>
    <s v="25061988"/>
    <n v="34.665753424657531"/>
    <n v="175"/>
    <n v="58.333333333333336"/>
  </r>
  <r>
    <n v="15718862"/>
    <n v="13121988"/>
    <n v="6"/>
    <n v="1"/>
    <n v="2"/>
    <x v="2"/>
    <x v="3"/>
    <s v="13121988"/>
    <n v="34.197260273972603"/>
    <n v="697.5"/>
    <n v="116.25"/>
  </r>
  <r>
    <n v="10378755"/>
    <n v="3011989"/>
    <n v="2"/>
    <n v="1"/>
    <n v="1"/>
    <x v="0"/>
    <x v="5"/>
    <s v="03011989"/>
    <n v="34.139726027397259"/>
    <n v="175"/>
    <n v="87.5"/>
  </r>
  <r>
    <n v="8141441"/>
    <n v="5011989"/>
    <n v="5"/>
    <n v="2"/>
    <n v="2"/>
    <x v="7"/>
    <x v="3"/>
    <s v="05011989"/>
    <n v="34.134246575342466"/>
    <n v="697.5"/>
    <n v="139.5"/>
  </r>
  <r>
    <n v="12948006"/>
    <n v="9011989"/>
    <n v="4"/>
    <n v="1"/>
    <n v="1"/>
    <x v="0"/>
    <x v="2"/>
    <s v="09011989"/>
    <n v="34.123287671232873"/>
    <n v="175"/>
    <n v="43.75"/>
  </r>
  <r>
    <n v="3869206"/>
    <n v="5011989"/>
    <n v="5"/>
    <n v="0"/>
    <n v="1"/>
    <x v="0"/>
    <x v="3"/>
    <s v="05011989"/>
    <n v="34.134246575342466"/>
    <n v="175"/>
    <n v="35"/>
  </r>
  <r>
    <n v="1833741"/>
    <n v="19041988"/>
    <n v="4"/>
    <n v="1"/>
    <n v="1"/>
    <x v="4"/>
    <x v="2"/>
    <s v="19041988"/>
    <n v="34.849315068493148"/>
    <n v="175"/>
    <n v="43.75"/>
  </r>
  <r>
    <n v="17855433"/>
    <n v="10011989"/>
    <n v="3"/>
    <n v="0"/>
    <n v="1"/>
    <x v="4"/>
    <x v="3"/>
    <s v="10011989"/>
    <n v="34.12054794520548"/>
    <n v="175"/>
    <n v="58.333333333333336"/>
  </r>
  <r>
    <n v="23629127"/>
    <n v="2011989"/>
    <n v="4"/>
    <n v="0"/>
    <n v="1"/>
    <x v="1"/>
    <x v="2"/>
    <s v="02011989"/>
    <n v="34.142465753424659"/>
    <n v="175"/>
    <n v="43.75"/>
  </r>
  <r>
    <n v="3537779"/>
    <n v="11011989"/>
    <n v="3"/>
    <n v="1"/>
    <n v="2"/>
    <x v="7"/>
    <x v="3"/>
    <s v="11011989"/>
    <n v="34.11780821917808"/>
    <n v="697.5"/>
    <n v="232.5"/>
  </r>
  <r>
    <n v="3989596"/>
    <n v="4011988"/>
    <n v="0"/>
    <n v="0"/>
    <n v="2"/>
    <x v="4"/>
    <x v="5"/>
    <s v="04011988"/>
    <n v="35.139726027397259"/>
    <n v="697.5"/>
    <n v="0"/>
  </r>
  <r>
    <n v="14218310"/>
    <n v="6071988"/>
    <n v="5"/>
    <n v="1"/>
    <n v="1"/>
    <x v="5"/>
    <x v="2"/>
    <s v="06071988"/>
    <n v="34.635616438356166"/>
    <n v="175"/>
    <n v="35"/>
  </r>
  <r>
    <n v="3158145"/>
    <n v="29111987"/>
    <n v="4"/>
    <n v="2"/>
    <n v="4"/>
    <x v="2"/>
    <x v="7"/>
    <s v="29111987"/>
    <n v="35.238356164383561"/>
    <n v="2100"/>
    <n v="525"/>
  </r>
  <r>
    <n v="24238446"/>
    <n v="18121987"/>
    <n v="3"/>
    <n v="0"/>
    <n v="1"/>
    <x v="0"/>
    <x v="0"/>
    <s v="18121987"/>
    <n v="35.186301369863017"/>
    <n v="175"/>
    <n v="58.333333333333336"/>
  </r>
  <r>
    <n v="18828347"/>
    <n v="26021988"/>
    <n v="6"/>
    <n v="1"/>
    <n v="1"/>
    <x v="5"/>
    <x v="2"/>
    <s v="26021988"/>
    <n v="34.994520547945207"/>
    <n v="175"/>
    <n v="29.166666666666668"/>
  </r>
  <r>
    <n v="4594711"/>
    <n v="30071987"/>
    <n v="6"/>
    <n v="1"/>
    <n v="2"/>
    <x v="7"/>
    <x v="3"/>
    <s v="30071987"/>
    <n v="35.57260273972603"/>
    <n v="697.5"/>
    <n v="116.25"/>
  </r>
  <r>
    <n v="10801449"/>
    <n v="2071987"/>
    <n v="5"/>
    <n v="1"/>
    <n v="1"/>
    <x v="7"/>
    <x v="3"/>
    <s v="02071987"/>
    <n v="35.649315068493152"/>
    <n v="175"/>
    <n v="35"/>
  </r>
  <r>
    <n v="21583751"/>
    <n v="12081987"/>
    <n v="6"/>
    <n v="1"/>
    <n v="1"/>
    <x v="5"/>
    <x v="3"/>
    <s v="12081987"/>
    <n v="35.536986301369865"/>
    <n v="175"/>
    <n v="29.166666666666668"/>
  </r>
  <r>
    <n v="1393624"/>
    <n v="24061988"/>
    <n v="5"/>
    <n v="1"/>
    <n v="2"/>
    <x v="10"/>
    <x v="3"/>
    <s v="24061988"/>
    <n v="34.668493150684931"/>
    <n v="697.5"/>
    <n v="139.5"/>
  </r>
  <r>
    <n v="21184548"/>
    <n v="1081988"/>
    <n v="3"/>
    <n v="1"/>
    <n v="1"/>
    <x v="2"/>
    <x v="3"/>
    <s v="01081988"/>
    <n v="34.564383561643837"/>
    <n v="175"/>
    <n v="58.333333333333336"/>
  </r>
  <r>
    <n v="18570568"/>
    <n v="16081988"/>
    <n v="4"/>
    <n v="1"/>
    <n v="1"/>
    <x v="5"/>
    <x v="2"/>
    <s v="16081988"/>
    <n v="34.523287671232879"/>
    <n v="175"/>
    <n v="43.75"/>
  </r>
  <r>
    <n v="8854492"/>
    <n v="9091988"/>
    <n v="5"/>
    <n v="2"/>
    <n v="1"/>
    <x v="7"/>
    <x v="3"/>
    <s v="09091988"/>
    <n v="34.457534246575342"/>
    <n v="175"/>
    <n v="35"/>
  </r>
  <r>
    <n v="20983200"/>
    <n v="13041987"/>
    <n v="0"/>
    <n v="0"/>
    <n v="1"/>
    <x v="9"/>
    <x v="3"/>
    <s v="13041987"/>
    <n v="35.868493150684934"/>
    <n v="175"/>
    <n v="0"/>
  </r>
  <r>
    <n v="2306610"/>
    <n v="1111987"/>
    <n v="4"/>
    <n v="1"/>
    <n v="1"/>
    <x v="5"/>
    <x v="2"/>
    <s v="01111987"/>
    <n v="35.315068493150683"/>
    <n v="175"/>
    <n v="43.75"/>
  </r>
  <r>
    <n v="12092859"/>
    <n v="22101988"/>
    <n v="5"/>
    <n v="1"/>
    <n v="2"/>
    <x v="9"/>
    <x v="3"/>
    <s v="22101988"/>
    <n v="34.339726027397262"/>
    <n v="697.5"/>
    <n v="139.5"/>
  </r>
  <r>
    <n v="3390702"/>
    <n v="9101987"/>
    <n v="9"/>
    <n v="2"/>
    <n v="3"/>
    <x v="8"/>
    <x v="3"/>
    <s v="09101987"/>
    <n v="35.37808219178082"/>
    <n v="1397.5"/>
    <n v="155.27777777777777"/>
  </r>
  <r>
    <n v="1253583"/>
    <n v="28081987"/>
    <n v="4"/>
    <n v="1"/>
    <n v="1"/>
    <x v="7"/>
    <x v="3"/>
    <s v="28081987"/>
    <n v="35.493150684931507"/>
    <n v="175"/>
    <n v="43.75"/>
  </r>
  <r>
    <n v="8730710"/>
    <n v="13081987"/>
    <n v="5"/>
    <n v="2"/>
    <n v="1"/>
    <x v="5"/>
    <x v="0"/>
    <s v="13081987"/>
    <n v="35.534246575342465"/>
    <n v="175"/>
    <n v="35"/>
  </r>
  <r>
    <n v="21446986"/>
    <n v="10101987"/>
    <n v="4"/>
    <n v="2"/>
    <n v="2"/>
    <x v="6"/>
    <x v="10"/>
    <s v="10101987"/>
    <n v="35.375342465753427"/>
    <n v="697.5"/>
    <n v="174.375"/>
  </r>
  <r>
    <n v="4559222"/>
    <n v="21101987"/>
    <n v="4"/>
    <n v="1"/>
    <n v="1"/>
    <x v="8"/>
    <x v="3"/>
    <s v="21101987"/>
    <n v="35.345205479452055"/>
    <n v="175"/>
    <n v="43.75"/>
  </r>
  <r>
    <n v="17606455"/>
    <n v="11101987"/>
    <n v="6"/>
    <n v="1"/>
    <n v="1"/>
    <x v="7"/>
    <x v="3"/>
    <s v="11101987"/>
    <n v="35.372602739726027"/>
    <n v="175"/>
    <n v="29.166666666666668"/>
  </r>
  <r>
    <n v="2957586"/>
    <n v="19091987"/>
    <n v="4"/>
    <n v="1"/>
    <n v="1"/>
    <x v="7"/>
    <x v="1"/>
    <s v="19091987"/>
    <n v="35.43287671232877"/>
    <n v="175"/>
    <n v="43.75"/>
  </r>
  <r>
    <n v="20811313"/>
    <n v="16101987"/>
    <n v="0"/>
    <n v="0"/>
    <n v="1"/>
    <x v="4"/>
    <x v="5"/>
    <s v="16101987"/>
    <n v="35.358904109589041"/>
    <n v="175"/>
    <n v="0"/>
  </r>
  <r>
    <n v="719532"/>
    <n v="27101987"/>
    <n v="4"/>
    <n v="2"/>
    <n v="1"/>
    <x v="7"/>
    <x v="3"/>
    <s v="27101987"/>
    <n v="35.328767123287669"/>
    <n v="175"/>
    <n v="43.75"/>
  </r>
  <r>
    <n v="5425361"/>
    <n v="30101987"/>
    <n v="4"/>
    <n v="0"/>
    <n v="1"/>
    <x v="5"/>
    <x v="3"/>
    <s v="30101987"/>
    <n v="35.320547945205476"/>
    <n v="175"/>
    <n v="43.75"/>
  </r>
  <r>
    <n v="14936466"/>
    <n v="28101987"/>
    <n v="6"/>
    <n v="1"/>
    <n v="2"/>
    <x v="2"/>
    <x v="3"/>
    <s v="28101987"/>
    <n v="35.326027397260276"/>
    <n v="697.5"/>
    <n v="116.25"/>
  </r>
  <r>
    <n v="4025506"/>
    <n v="28101987"/>
    <n v="3"/>
    <n v="2"/>
    <n v="1"/>
    <x v="1"/>
    <x v="2"/>
    <s v="28101987"/>
    <n v="35.326027397260276"/>
    <n v="175"/>
    <n v="58.333333333333336"/>
  </r>
  <r>
    <n v="286547"/>
    <n v="24101987"/>
    <n v="4"/>
    <n v="1"/>
    <n v="1"/>
    <x v="7"/>
    <x v="1"/>
    <s v="24101987"/>
    <n v="35.336986301369862"/>
    <n v="175"/>
    <n v="43.75"/>
  </r>
  <r>
    <n v="14402547"/>
    <n v="4101987"/>
    <n v="3"/>
    <n v="2"/>
    <n v="1"/>
    <x v="7"/>
    <x v="3"/>
    <s v="04101987"/>
    <n v="35.391780821917806"/>
    <n v="175"/>
    <n v="58.333333333333336"/>
  </r>
  <r>
    <n v="820771"/>
    <n v="29101987"/>
    <n v="4"/>
    <n v="2"/>
    <n v="2"/>
    <x v="7"/>
    <x v="3"/>
    <s v="29101987"/>
    <n v="35.323287671232876"/>
    <n v="697.5"/>
    <n v="174.375"/>
  </r>
  <r>
    <n v="4992314"/>
    <n v="26101987"/>
    <n v="5"/>
    <n v="1"/>
    <n v="1"/>
    <x v="7"/>
    <x v="3"/>
    <s v="26101987"/>
    <n v="35.331506849315069"/>
    <n v="175"/>
    <n v="35"/>
  </r>
  <r>
    <n v="5959429"/>
    <n v="30101987"/>
    <n v="5"/>
    <n v="3"/>
    <n v="2"/>
    <x v="0"/>
    <x v="3"/>
    <s v="30101987"/>
    <n v="35.320547945205476"/>
    <n v="697.5"/>
    <n v="139.5"/>
  </r>
  <r>
    <n v="21446987"/>
    <n v="29101987"/>
    <n v="9"/>
    <n v="2"/>
    <n v="2"/>
    <x v="5"/>
    <x v="1"/>
    <s v="29101987"/>
    <n v="35.323287671232876"/>
    <n v="697.5"/>
    <n v="77.5"/>
  </r>
  <r>
    <n v="2220207"/>
    <n v="21101987"/>
    <n v="4"/>
    <n v="2"/>
    <n v="2"/>
    <x v="2"/>
    <x v="3"/>
    <s v="21101987"/>
    <n v="35.345205479452055"/>
    <n v="697.5"/>
    <n v="174.375"/>
  </r>
  <r>
    <n v="2957587"/>
    <n v="15101987"/>
    <n v="5"/>
    <n v="1"/>
    <n v="1"/>
    <x v="0"/>
    <x v="0"/>
    <s v="15101987"/>
    <n v="35.361643835616441"/>
    <n v="175"/>
    <n v="35"/>
  </r>
  <r>
    <n v="15139350"/>
    <n v="12081987"/>
    <n v="4"/>
    <n v="2"/>
    <n v="4"/>
    <x v="2"/>
    <x v="9"/>
    <s v="12081987"/>
    <n v="35.536986301369865"/>
    <n v="2100"/>
    <n v="525"/>
  </r>
  <r>
    <n v="21345115"/>
    <n v="12101987"/>
    <n v="3"/>
    <n v="1"/>
    <n v="1"/>
    <x v="5"/>
    <x v="1"/>
    <s v="12101987"/>
    <n v="35.369863013698627"/>
    <n v="175"/>
    <n v="58.333333333333336"/>
  </r>
  <r>
    <n v="22963451"/>
    <n v="28101987"/>
    <n v="4"/>
    <n v="1"/>
    <n v="1"/>
    <x v="1"/>
    <x v="10"/>
    <s v="28101987"/>
    <n v="35.326027397260276"/>
    <n v="175"/>
    <n v="43.75"/>
  </r>
  <r>
    <n v="5441175"/>
    <n v="28091987"/>
    <n v="5"/>
    <n v="1"/>
    <n v="2"/>
    <x v="6"/>
    <x v="3"/>
    <s v="28091987"/>
    <n v="35.408219178082192"/>
    <n v="697.5"/>
    <n v="139.5"/>
  </r>
  <r>
    <n v="20496344"/>
    <n v="6041986"/>
    <n v="2"/>
    <n v="1"/>
    <n v="1"/>
    <x v="7"/>
    <x v="0"/>
    <s v="06041986"/>
    <n v="36.887671232876713"/>
    <n v="175"/>
    <n v="87.5"/>
  </r>
  <r>
    <n v="18792062"/>
    <n v="14111987"/>
    <n v="5"/>
    <n v="1"/>
    <n v="1"/>
    <x v="2"/>
    <x v="7"/>
    <s v="14111987"/>
    <n v="35.279452054794518"/>
    <n v="175"/>
    <n v="35"/>
  </r>
  <r>
    <n v="24565150"/>
    <n v="9111987"/>
    <n v="5"/>
    <n v="2"/>
    <n v="4"/>
    <x v="2"/>
    <x v="7"/>
    <s v="09111987"/>
    <n v="35.293150684931504"/>
    <n v="2100"/>
    <n v="420"/>
  </r>
  <r>
    <n v="20395081"/>
    <n v="1111987"/>
    <n v="4"/>
    <n v="2"/>
    <n v="1"/>
    <x v="1"/>
    <x v="2"/>
    <s v="01111987"/>
    <n v="35.315068493150683"/>
    <n v="175"/>
    <n v="43.75"/>
  </r>
  <r>
    <n v="16121769"/>
    <n v="15111987"/>
    <n v="2"/>
    <n v="1"/>
    <n v="1"/>
    <x v="7"/>
    <x v="3"/>
    <s v="15111987"/>
    <n v="35.276712328767125"/>
    <n v="175"/>
    <n v="87.5"/>
  </r>
  <r>
    <n v="7144307"/>
    <n v="14111987"/>
    <n v="4"/>
    <n v="1"/>
    <n v="2"/>
    <x v="7"/>
    <x v="0"/>
    <s v="14111987"/>
    <n v="35.279452054794518"/>
    <n v="697.5"/>
    <n v="174.375"/>
  </r>
  <r>
    <n v="3838991"/>
    <n v="20091987"/>
    <n v="0"/>
    <n v="0"/>
    <n v="1"/>
    <x v="4"/>
    <x v="5"/>
    <s v="20091987"/>
    <n v="35.43013698630137"/>
    <n v="175"/>
    <n v="0"/>
  </r>
  <r>
    <n v="1803436"/>
    <n v="11111987"/>
    <n v="5"/>
    <n v="1"/>
    <n v="1"/>
    <x v="0"/>
    <x v="1"/>
    <s v="11111987"/>
    <n v="35.287671232876711"/>
    <n v="175"/>
    <n v="35"/>
  </r>
  <r>
    <n v="19427793"/>
    <n v="19111987"/>
    <n v="4"/>
    <n v="1"/>
    <n v="1"/>
    <x v="7"/>
    <x v="3"/>
    <s v="19111987"/>
    <n v="35.265753424657532"/>
    <n v="175"/>
    <n v="43.75"/>
  </r>
  <r>
    <n v="13985999"/>
    <n v="19111987"/>
    <n v="4"/>
    <n v="1"/>
    <n v="1"/>
    <x v="7"/>
    <x v="1"/>
    <s v="19111987"/>
    <n v="35.265753424657532"/>
    <n v="175"/>
    <n v="43.75"/>
  </r>
  <r>
    <n v="9713445"/>
    <n v="16111987"/>
    <n v="4"/>
    <n v="1"/>
    <n v="1"/>
    <x v="7"/>
    <x v="3"/>
    <s v="16111987"/>
    <n v="35.273972602739725"/>
    <n v="175"/>
    <n v="43.75"/>
  </r>
  <r>
    <n v="1167797"/>
    <n v="8111987"/>
    <n v="3"/>
    <n v="1"/>
    <n v="1"/>
    <x v="7"/>
    <x v="2"/>
    <s v="08111987"/>
    <n v="35.295890410958904"/>
    <n v="175"/>
    <n v="58.333333333333336"/>
  </r>
  <r>
    <n v="8212542"/>
    <n v="10091987"/>
    <n v="7"/>
    <n v="1"/>
    <n v="1"/>
    <x v="7"/>
    <x v="1"/>
    <s v="10091987"/>
    <n v="35.457534246575342"/>
    <n v="175"/>
    <n v="25"/>
  </r>
  <r>
    <n v="18792063"/>
    <n v="6111987"/>
    <n v="6"/>
    <n v="1"/>
    <n v="1"/>
    <x v="0"/>
    <x v="3"/>
    <s v="06111987"/>
    <n v="35.301369863013697"/>
    <n v="175"/>
    <n v="29.166666666666668"/>
  </r>
  <r>
    <n v="18359104"/>
    <n v="26111987"/>
    <n v="5"/>
    <n v="1"/>
    <n v="4"/>
    <x v="9"/>
    <x v="10"/>
    <s v="26111987"/>
    <n v="35.246575342465754"/>
    <n v="2100"/>
    <n v="420"/>
  </r>
  <r>
    <n v="15155103"/>
    <n v="21101987"/>
    <n v="5"/>
    <n v="2"/>
    <n v="1"/>
    <x v="8"/>
    <x v="1"/>
    <s v="21101987"/>
    <n v="35.345205479452055"/>
    <n v="175"/>
    <n v="35"/>
  </r>
  <r>
    <n v="4906616"/>
    <n v="4111987"/>
    <n v="6"/>
    <n v="1"/>
    <n v="1"/>
    <x v="0"/>
    <x v="2"/>
    <s v="04111987"/>
    <n v="35.30684931506849"/>
    <n v="175"/>
    <n v="29.166666666666668"/>
  </r>
  <r>
    <n v="20929005"/>
    <n v="26101987"/>
    <n v="0"/>
    <n v="0"/>
    <n v="1"/>
    <x v="4"/>
    <x v="5"/>
    <s v="26101987"/>
    <n v="35.331506849315069"/>
    <n v="175"/>
    <n v="0"/>
  </r>
  <r>
    <n v="19861037"/>
    <n v="31101987"/>
    <n v="5"/>
    <n v="1"/>
    <n v="1"/>
    <x v="5"/>
    <x v="2"/>
    <s v="31101987"/>
    <n v="35.317808219178083"/>
    <n v="175"/>
    <n v="35"/>
  </r>
  <r>
    <n v="18893252"/>
    <n v="19111987"/>
    <n v="3"/>
    <n v="2"/>
    <n v="3"/>
    <x v="8"/>
    <x v="10"/>
    <s v="19111987"/>
    <n v="35.265753424657532"/>
    <n v="1397.5"/>
    <n v="465.83333333333331"/>
  </r>
  <r>
    <n v="10348661"/>
    <n v="9101987"/>
    <n v="5"/>
    <n v="2"/>
    <n v="2"/>
    <x v="2"/>
    <x v="7"/>
    <s v="09101987"/>
    <n v="35.37808219178082"/>
    <n v="697.5"/>
    <n v="139.5"/>
  </r>
  <r>
    <n v="3838990"/>
    <n v="2121987"/>
    <n v="4"/>
    <n v="2"/>
    <n v="2"/>
    <x v="8"/>
    <x v="3"/>
    <s v="02121987"/>
    <n v="35.230136986301368"/>
    <n v="697.5"/>
    <n v="174.375"/>
  </r>
  <r>
    <n v="1803435"/>
    <n v="28111987"/>
    <n v="6"/>
    <n v="1"/>
    <n v="2"/>
    <x v="7"/>
    <x v="1"/>
    <s v="28111987"/>
    <n v="35.241095890410961"/>
    <n v="697.5"/>
    <n v="116.25"/>
  </r>
  <r>
    <n v="8645355"/>
    <n v="14071987"/>
    <n v="5"/>
    <n v="2"/>
    <n v="2"/>
    <x v="2"/>
    <x v="7"/>
    <s v="14071987"/>
    <n v="35.61643835616438"/>
    <n v="697.5"/>
    <n v="139.5"/>
  </r>
  <r>
    <n v="5109324"/>
    <n v="23101987"/>
    <n v="8"/>
    <n v="1"/>
    <n v="1"/>
    <x v="5"/>
    <x v="9"/>
    <s v="23101987"/>
    <n v="35.339726027397262"/>
    <n v="175"/>
    <n v="21.875"/>
  </r>
  <r>
    <n v="13710296"/>
    <n v="14121987"/>
    <n v="10"/>
    <n v="3"/>
    <n v="6"/>
    <x v="2"/>
    <x v="7"/>
    <s v="14121987"/>
    <n v="35.197260273972603"/>
    <n v="4000"/>
    <n v="400"/>
  </r>
  <r>
    <n v="23857285"/>
    <n v="9121987"/>
    <n v="4"/>
    <n v="0"/>
    <n v="1"/>
    <x v="5"/>
    <x v="3"/>
    <s v="09121987"/>
    <n v="35.210958904109589"/>
    <n v="175"/>
    <n v="43.75"/>
  </r>
  <r>
    <n v="21822391"/>
    <n v="16121987"/>
    <n v="6"/>
    <n v="2"/>
    <n v="5"/>
    <x v="2"/>
    <x v="7"/>
    <s v="16121987"/>
    <n v="35.19178082191781"/>
    <n v="2787.5"/>
    <n v="464.58333333333331"/>
  </r>
  <r>
    <n v="19484426"/>
    <n v="8121987"/>
    <n v="5"/>
    <n v="1"/>
    <n v="1"/>
    <x v="0"/>
    <x v="0"/>
    <s v="08121987"/>
    <n v="35.213698630136989"/>
    <n v="175"/>
    <n v="35"/>
  </r>
  <r>
    <n v="18617230"/>
    <n v="21061987"/>
    <n v="4"/>
    <n v="2"/>
    <n v="2"/>
    <x v="2"/>
    <x v="7"/>
    <s v="21061987"/>
    <n v="35.679452054794524"/>
    <n v="697.5"/>
    <n v="174.375"/>
  </r>
  <r>
    <n v="4299753"/>
    <n v="14121987"/>
    <n v="5"/>
    <n v="2"/>
    <n v="3"/>
    <x v="9"/>
    <x v="10"/>
    <s v="14121987"/>
    <n v="35.197260273972603"/>
    <n v="1397.5"/>
    <n v="279.5"/>
  </r>
  <r>
    <n v="6768217"/>
    <n v="16121987"/>
    <n v="4"/>
    <n v="1"/>
    <n v="1"/>
    <x v="0"/>
    <x v="0"/>
    <s v="16121987"/>
    <n v="35.19178082191781"/>
    <n v="175"/>
    <n v="43.75"/>
  </r>
  <r>
    <n v="19686130"/>
    <n v="21121987"/>
    <n v="4"/>
    <n v="2"/>
    <n v="3"/>
    <x v="2"/>
    <x v="7"/>
    <s v="21121987"/>
    <n v="35.178082191780824"/>
    <n v="1397.5"/>
    <n v="349.375"/>
  </r>
  <r>
    <n v="9640647"/>
    <n v="24121987"/>
    <n v="4"/>
    <n v="2"/>
    <n v="2"/>
    <x v="7"/>
    <x v="3"/>
    <s v="24121987"/>
    <n v="35.169863013698631"/>
    <n v="697.5"/>
    <n v="174.375"/>
  </r>
  <r>
    <n v="7301763"/>
    <n v="23121987"/>
    <n v="6"/>
    <n v="2"/>
    <n v="1"/>
    <x v="7"/>
    <x v="3"/>
    <s v="23121987"/>
    <n v="35.172602739726024"/>
    <n v="175"/>
    <n v="29.166666666666668"/>
  </r>
  <r>
    <n v="9539256"/>
    <n v="30121986"/>
    <n v="5"/>
    <n v="2"/>
    <n v="1"/>
    <x v="5"/>
    <x v="5"/>
    <s v="30121986"/>
    <n v="36.153424657534245"/>
    <n v="175"/>
    <n v="35"/>
  </r>
  <r>
    <n v="5266917"/>
    <n v="21121987"/>
    <n v="0"/>
    <n v="0"/>
    <n v="1"/>
    <x v="0"/>
    <x v="3"/>
    <s v="21121987"/>
    <n v="35.178082191780824"/>
    <n v="175"/>
    <n v="0"/>
  </r>
  <r>
    <n v="18949937"/>
    <n v="22121987"/>
    <n v="4"/>
    <n v="1"/>
    <n v="1"/>
    <x v="9"/>
    <x v="2"/>
    <s v="22121987"/>
    <n v="35.175342465753424"/>
    <n v="175"/>
    <n v="43.75"/>
  </r>
  <r>
    <n v="23756804"/>
    <n v="30111987"/>
    <n v="5"/>
    <n v="1"/>
    <n v="1"/>
    <x v="7"/>
    <x v="0"/>
    <s v="30111987"/>
    <n v="35.235616438356168"/>
    <n v="175"/>
    <n v="35"/>
  </r>
  <r>
    <n v="3766110"/>
    <n v="29121987"/>
    <n v="3"/>
    <n v="2"/>
    <n v="3"/>
    <x v="9"/>
    <x v="9"/>
    <s v="29121987"/>
    <n v="35.156164383561645"/>
    <n v="1397.5"/>
    <n v="465.83333333333331"/>
  </r>
  <r>
    <n v="7835892"/>
    <n v="2121987"/>
    <n v="3"/>
    <n v="1"/>
    <n v="1"/>
    <x v="0"/>
    <x v="0"/>
    <s v="02121987"/>
    <n v="35.230136986301368"/>
    <n v="175"/>
    <n v="58.333333333333336"/>
  </r>
  <r>
    <n v="13176187"/>
    <n v="26121987"/>
    <n v="4"/>
    <n v="1"/>
    <n v="1"/>
    <x v="9"/>
    <x v="3"/>
    <s v="26121987"/>
    <n v="35.164383561643838"/>
    <n v="175"/>
    <n v="43.75"/>
  </r>
  <r>
    <n v="26573"/>
    <n v="31121987"/>
    <n v="3"/>
    <n v="2"/>
    <n v="2"/>
    <x v="2"/>
    <x v="7"/>
    <s v="31121987"/>
    <n v="35.150684931506852"/>
    <n v="697.5"/>
    <n v="232.5"/>
  </r>
  <r>
    <n v="24290677"/>
    <n v="18121987"/>
    <n v="4"/>
    <n v="2"/>
    <n v="2"/>
    <x v="8"/>
    <x v="10"/>
    <s v="18121987"/>
    <n v="35.186301369863017"/>
    <n v="697.5"/>
    <n v="174.375"/>
  </r>
  <r>
    <n v="20552918"/>
    <n v="20121987"/>
    <n v="5"/>
    <n v="1"/>
    <n v="2"/>
    <x v="8"/>
    <x v="10"/>
    <s v="20121987"/>
    <n v="35.180821917808217"/>
    <n v="697.5"/>
    <n v="139.5"/>
  </r>
  <r>
    <n v="13710295"/>
    <n v="8121987"/>
    <n v="3"/>
    <n v="1"/>
    <n v="1"/>
    <x v="7"/>
    <x v="10"/>
    <s v="08121987"/>
    <n v="35.213698630136989"/>
    <n v="175"/>
    <n v="58.333333333333336"/>
  </r>
  <r>
    <n v="19484425"/>
    <n v="5011988"/>
    <n v="6"/>
    <n v="1"/>
    <n v="5"/>
    <x v="2"/>
    <x v="7"/>
    <s v="05011988"/>
    <n v="35.136986301369866"/>
    <n v="2787.5"/>
    <n v="464.58333333333331"/>
  </r>
  <r>
    <n v="5902287"/>
    <n v="8011988"/>
    <n v="3"/>
    <n v="1"/>
    <n v="1"/>
    <x v="7"/>
    <x v="1"/>
    <s v="08011988"/>
    <n v="35.128767123287673"/>
    <n v="175"/>
    <n v="58.333333333333336"/>
  </r>
  <r>
    <n v="19151606"/>
    <n v="18121987"/>
    <n v="4"/>
    <n v="1"/>
    <n v="1"/>
    <x v="9"/>
    <x v="3"/>
    <s v="18121987"/>
    <n v="35.186301369863017"/>
    <n v="175"/>
    <n v="43.75"/>
  </r>
  <r>
    <n v="22356601"/>
    <n v="7121987"/>
    <n v="4"/>
    <n v="0"/>
    <n v="1"/>
    <x v="4"/>
    <x v="0"/>
    <s v="07121987"/>
    <n v="35.216438356164382"/>
    <n v="175"/>
    <n v="43.75"/>
  </r>
  <r>
    <n v="12743278"/>
    <n v="10011988"/>
    <n v="3"/>
    <n v="1"/>
    <n v="1"/>
    <x v="7"/>
    <x v="6"/>
    <s v="10011988"/>
    <n v="35.123287671232873"/>
    <n v="175"/>
    <n v="58.333333333333336"/>
  </r>
  <r>
    <n v="15845857"/>
    <n v="14011988"/>
    <n v="4"/>
    <n v="1"/>
    <n v="1"/>
    <x v="8"/>
    <x v="3"/>
    <s v="14011988"/>
    <n v="35.112328767123287"/>
    <n v="175"/>
    <n v="43.75"/>
  </r>
  <r>
    <n v="13811192"/>
    <n v="14011988"/>
    <n v="4"/>
    <n v="0"/>
    <n v="1"/>
    <x v="7"/>
    <x v="3"/>
    <s v="14011988"/>
    <n v="35.112328767123287"/>
    <n v="175"/>
    <n v="43.75"/>
  </r>
  <r>
    <n v="23222919"/>
    <n v="17011988"/>
    <n v="3"/>
    <n v="1"/>
    <n v="1"/>
    <x v="4"/>
    <x v="7"/>
    <s v="17011988"/>
    <n v="35.104109589041094"/>
    <n v="175"/>
    <n v="58.333333333333336"/>
  </r>
  <r>
    <n v="3665136"/>
    <n v="16011988"/>
    <n v="6"/>
    <n v="2"/>
    <n v="1"/>
    <x v="5"/>
    <x v="9"/>
    <s v="16011988"/>
    <n v="35.106849315068494"/>
    <n v="175"/>
    <n v="29.166666666666668"/>
  </r>
  <r>
    <n v="2596577"/>
    <n v="24111987"/>
    <n v="6"/>
    <n v="1"/>
    <n v="1"/>
    <x v="7"/>
    <x v="0"/>
    <s v="24111987"/>
    <n v="35.252054794520546"/>
    <n v="175"/>
    <n v="29.166666666666668"/>
  </r>
  <r>
    <n v="14345451"/>
    <n v="21011988"/>
    <n v="4"/>
    <n v="2"/>
    <n v="2"/>
    <x v="2"/>
    <x v="9"/>
    <s v="21011988"/>
    <n v="35.093150684931508"/>
    <n v="697.5"/>
    <n v="174.375"/>
  </r>
  <r>
    <n v="13176186"/>
    <n v="21011988"/>
    <n v="4"/>
    <n v="1"/>
    <n v="2"/>
    <x v="1"/>
    <x v="1"/>
    <s v="21011988"/>
    <n v="35.093150684931508"/>
    <n v="697.5"/>
    <n v="174.375"/>
  </r>
  <r>
    <n v="24132317"/>
    <n v="27011988"/>
    <n v="3"/>
    <n v="1"/>
    <n v="1"/>
    <x v="4"/>
    <x v="3"/>
    <s v="27011988"/>
    <n v="35.076712328767123"/>
    <n v="175"/>
    <n v="58.333333333333336"/>
  </r>
  <r>
    <n v="23064547"/>
    <n v="13011988"/>
    <n v="0"/>
    <n v="0"/>
    <n v="3"/>
    <x v="0"/>
    <x v="3"/>
    <s v="13011988"/>
    <n v="35.115068493150687"/>
    <n v="1397.5"/>
    <n v="0"/>
  </r>
  <r>
    <n v="11416733"/>
    <n v="1021988"/>
    <n v="5"/>
    <n v="1"/>
    <n v="1"/>
    <x v="4"/>
    <x v="5"/>
    <s v="01021988"/>
    <n v="35.063013698630137"/>
    <n v="175"/>
    <n v="35"/>
  </r>
  <r>
    <n v="20928469"/>
    <n v="8021988"/>
    <n v="4"/>
    <n v="1"/>
    <n v="2"/>
    <x v="7"/>
    <x v="3"/>
    <s v="08021988"/>
    <n v="35.043835616438358"/>
    <n v="697.5"/>
    <n v="174.375"/>
  </r>
  <r>
    <n v="18257420"/>
    <n v="25011988"/>
    <n v="5"/>
    <n v="3"/>
    <n v="2"/>
    <x v="6"/>
    <x v="3"/>
    <s v="25011988"/>
    <n v="35.082191780821915"/>
    <n v="697.5"/>
    <n v="139.5"/>
  </r>
  <r>
    <n v="20394547"/>
    <n v="12021988"/>
    <n v="0"/>
    <n v="0"/>
    <n v="3"/>
    <x v="4"/>
    <x v="5"/>
    <s v="12021988"/>
    <n v="35.032876712328765"/>
    <n v="1397.5"/>
    <n v="0"/>
  </r>
  <r>
    <n v="6076152"/>
    <n v="17021988"/>
    <n v="5"/>
    <n v="1"/>
    <n v="2"/>
    <x v="8"/>
    <x v="9"/>
    <s v="17021988"/>
    <n v="35.019178082191779"/>
    <n v="697.5"/>
    <n v="139.5"/>
  </r>
  <r>
    <n v="11950747"/>
    <n v="19021988"/>
    <n v="4"/>
    <n v="1"/>
    <n v="1"/>
    <x v="8"/>
    <x v="5"/>
    <s v="19021988"/>
    <n v="35.013698630136986"/>
    <n v="175"/>
    <n v="43.75"/>
  </r>
  <r>
    <n v="18155721"/>
    <n v="4021988"/>
    <n v="3"/>
    <n v="1"/>
    <n v="0"/>
    <x v="7"/>
    <x v="1"/>
    <s v="04021988"/>
    <n v="35.054794520547944"/>
    <e v="#N/A"/>
    <n v="0"/>
  </r>
  <r>
    <n v="16019397"/>
    <n v="17021988"/>
    <n v="7"/>
    <n v="2"/>
    <n v="1"/>
    <x v="7"/>
    <x v="3"/>
    <s v="17021988"/>
    <n v="35.019178082191779"/>
    <n v="175"/>
    <n v="25"/>
  </r>
  <r>
    <n v="3304447"/>
    <n v="20021988"/>
    <n v="7"/>
    <n v="1"/>
    <n v="2"/>
    <x v="7"/>
    <x v="3"/>
    <s v="20021988"/>
    <n v="35.010958904109586"/>
    <n v="697.5"/>
    <n v="99.642857142857139"/>
  </r>
  <r>
    <n v="21360455"/>
    <n v="19021988"/>
    <n v="4"/>
    <n v="3"/>
    <n v="2"/>
    <x v="6"/>
    <x v="7"/>
    <s v="19021988"/>
    <n v="35.013698630136986"/>
    <n v="697.5"/>
    <n v="174.375"/>
  </r>
  <r>
    <n v="2235698"/>
    <n v="9021988"/>
    <n v="3"/>
    <n v="1"/>
    <n v="1"/>
    <x v="7"/>
    <x v="6"/>
    <s v="09021988"/>
    <n v="35.041095890410958"/>
    <n v="175"/>
    <n v="58.333333333333336"/>
  </r>
  <r>
    <n v="8212013"/>
    <n v="1021988"/>
    <n v="5"/>
    <n v="1"/>
    <n v="1"/>
    <x v="1"/>
    <x v="7"/>
    <s v="01021988"/>
    <n v="35.063013698630137"/>
    <n v="175"/>
    <n v="35"/>
  </r>
  <r>
    <n v="8644821"/>
    <n v="30101987"/>
    <n v="4"/>
    <n v="2"/>
    <n v="1"/>
    <x v="5"/>
    <x v="9"/>
    <s v="30101987"/>
    <n v="35.320547945205476"/>
    <n v="175"/>
    <n v="43.75"/>
  </r>
  <r>
    <n v="10145298"/>
    <n v="18021988"/>
    <n v="5"/>
    <n v="1"/>
    <n v="1"/>
    <x v="1"/>
    <x v="2"/>
    <s v="18021988"/>
    <n v="35.016438356164386"/>
    <n v="175"/>
    <n v="35"/>
  </r>
  <r>
    <n v="7042515"/>
    <n v="28021988"/>
    <n v="6"/>
    <n v="2"/>
    <n v="5"/>
    <x v="2"/>
    <x v="7"/>
    <s v="28021988"/>
    <n v="34.989041095890414"/>
    <n v="2787.5"/>
    <n v="464.58333333333331"/>
  </r>
  <r>
    <n v="16553738"/>
    <n v="29021988"/>
    <n v="5"/>
    <n v="1"/>
    <n v="3"/>
    <x v="2"/>
    <x v="9"/>
    <s v="29021988"/>
    <n v="34.986301369863014"/>
    <n v="1397.5"/>
    <n v="279.5"/>
  </r>
  <r>
    <n v="7576304"/>
    <n v="2031988"/>
    <n v="5"/>
    <n v="0"/>
    <n v="2"/>
    <x v="8"/>
    <x v="3"/>
    <s v="02031988"/>
    <n v="34.980821917808221"/>
    <n v="697.5"/>
    <n v="139.5"/>
  </r>
  <r>
    <n v="23496643"/>
    <n v="20021988"/>
    <n v="4"/>
    <n v="1"/>
    <n v="1"/>
    <x v="7"/>
    <x v="3"/>
    <s v="20021988"/>
    <n v="35.010958904109586"/>
    <n v="175"/>
    <n v="43.75"/>
  </r>
  <r>
    <n v="16655495"/>
    <n v="7031988"/>
    <n v="5"/>
    <n v="2"/>
    <n v="1"/>
    <x v="5"/>
    <x v="3"/>
    <s v="07031988"/>
    <n v="34.967123287671235"/>
    <n v="175"/>
    <n v="35"/>
  </r>
  <r>
    <n v="10679406"/>
    <n v="14021988"/>
    <n v="0"/>
    <n v="0"/>
    <n v="1"/>
    <x v="4"/>
    <x v="5"/>
    <s v="14021988"/>
    <n v="35.027397260273972"/>
    <n v="175"/>
    <n v="0"/>
  </r>
  <r>
    <n v="14620808"/>
    <n v="28021988"/>
    <n v="6"/>
    <n v="1"/>
    <n v="1"/>
    <x v="4"/>
    <x v="5"/>
    <s v="28021988"/>
    <n v="34.989041095890414"/>
    <n v="175"/>
    <n v="29.166666666666668"/>
  </r>
  <r>
    <n v="4372037"/>
    <n v="12121987"/>
    <n v="6"/>
    <n v="2"/>
    <n v="2"/>
    <x v="7"/>
    <x v="3"/>
    <s v="12121987"/>
    <n v="35.202739726027396"/>
    <n v="697.5"/>
    <n v="116.25"/>
  </r>
  <r>
    <n v="24233541"/>
    <n v="4031988"/>
    <n v="4"/>
    <n v="1"/>
    <n v="1"/>
    <x v="7"/>
    <x v="3"/>
    <s v="04031988"/>
    <n v="34.975342465753428"/>
    <n v="175"/>
    <n v="43.75"/>
  </r>
  <r>
    <n v="4906080"/>
    <n v="9031988"/>
    <n v="4"/>
    <n v="1"/>
    <n v="1"/>
    <x v="0"/>
    <x v="1"/>
    <s v="09031988"/>
    <n v="34.961643835616435"/>
    <n v="175"/>
    <n v="43.75"/>
  </r>
  <r>
    <n v="11950748"/>
    <n v="1031988"/>
    <n v="6"/>
    <n v="2"/>
    <n v="4"/>
    <x v="2"/>
    <x v="7"/>
    <s v="01031988"/>
    <n v="34.983561643835614"/>
    <n v="2100"/>
    <n v="350"/>
  </r>
  <r>
    <n v="16756852"/>
    <n v="13031988"/>
    <n v="5"/>
    <n v="2"/>
    <n v="2"/>
    <x v="7"/>
    <x v="3"/>
    <s v="13031988"/>
    <n v="34.950684931506849"/>
    <n v="697.5"/>
    <n v="139.5"/>
  </r>
  <r>
    <n v="16019398"/>
    <n v="5031988"/>
    <n v="5"/>
    <n v="1"/>
    <n v="1"/>
    <x v="5"/>
    <x v="1"/>
    <s v="05031988"/>
    <n v="34.972602739726028"/>
    <n v="175"/>
    <n v="35"/>
  </r>
  <r>
    <n v="24148221"/>
    <n v="17031988"/>
    <n v="5"/>
    <n v="1"/>
    <n v="3"/>
    <x v="9"/>
    <x v="7"/>
    <s v="17031988"/>
    <n v="34.939726027397263"/>
    <n v="1397.5"/>
    <n v="279.5"/>
  </r>
  <r>
    <n v="7058380"/>
    <n v="14031988"/>
    <n v="4"/>
    <n v="1"/>
    <n v="1"/>
    <x v="7"/>
    <x v="3"/>
    <s v="14031988"/>
    <n v="34.947945205479449"/>
    <n v="175"/>
    <n v="43.75"/>
  </r>
  <r>
    <n v="11966579"/>
    <n v="19031988"/>
    <n v="0"/>
    <n v="0"/>
    <n v="1"/>
    <x v="5"/>
    <x v="1"/>
    <s v="19031988"/>
    <n v="34.934246575342463"/>
    <n v="175"/>
    <n v="0"/>
  </r>
  <r>
    <n v="23080464"/>
    <n v="21031988"/>
    <n v="4"/>
    <n v="1"/>
    <n v="1"/>
    <x v="10"/>
    <x v="0"/>
    <s v="21031988"/>
    <n v="34.92876712328767"/>
    <n v="175"/>
    <n v="43.75"/>
  </r>
  <r>
    <n v="14102580"/>
    <n v="12061986"/>
    <n v="10"/>
    <n v="1"/>
    <n v="1"/>
    <x v="3"/>
    <x v="2"/>
    <s v="12061986"/>
    <n v="36.704109589041096"/>
    <n v="175"/>
    <n v="17.5"/>
  </r>
  <r>
    <n v="22546680"/>
    <n v="23031988"/>
    <n v="6"/>
    <n v="0"/>
    <n v="1"/>
    <x v="5"/>
    <x v="1"/>
    <s v="23031988"/>
    <n v="34.923287671232877"/>
    <n v="175"/>
    <n v="29.166666666666668"/>
  </r>
  <r>
    <n v="20842532"/>
    <n v="4031988"/>
    <n v="3"/>
    <n v="1"/>
    <n v="1"/>
    <x v="0"/>
    <x v="8"/>
    <s v="04031988"/>
    <n v="34.975342465753428"/>
    <n v="175"/>
    <n v="58.333333333333336"/>
  </r>
  <r>
    <n v="2988722"/>
    <n v="28031988"/>
    <n v="5"/>
    <n v="1"/>
    <n v="2"/>
    <x v="2"/>
    <x v="3"/>
    <s v="28031988"/>
    <n v="34.909589041095892"/>
    <n v="697.5"/>
    <n v="139.5"/>
  </r>
  <r>
    <n v="9930593"/>
    <n v="15091987"/>
    <n v="4"/>
    <n v="1"/>
    <n v="1"/>
    <x v="1"/>
    <x v="2"/>
    <s v="15091987"/>
    <n v="35.443835616438356"/>
    <n v="175"/>
    <n v="43.75"/>
  </r>
  <r>
    <n v="23614204"/>
    <n v="28031988"/>
    <n v="4"/>
    <n v="1"/>
    <n v="1"/>
    <x v="0"/>
    <x v="0"/>
    <s v="28031988"/>
    <n v="34.909589041095892"/>
    <n v="175"/>
    <n v="43.75"/>
  </r>
  <r>
    <n v="14001378"/>
    <n v="9031988"/>
    <n v="3"/>
    <n v="1"/>
    <n v="1"/>
    <x v="1"/>
    <x v="2"/>
    <s v="09031988"/>
    <n v="34.961643835616435"/>
    <n v="175"/>
    <n v="58.333333333333336"/>
  </r>
  <r>
    <n v="9728752"/>
    <n v="25031988"/>
    <n v="4"/>
    <n v="2"/>
    <n v="3"/>
    <x v="2"/>
    <x v="3"/>
    <s v="25031988"/>
    <n v="34.917808219178085"/>
    <n v="1397.5"/>
    <n v="349.375"/>
  </r>
  <r>
    <n v="7592209"/>
    <n v="31031988"/>
    <n v="5"/>
    <n v="2"/>
    <n v="3"/>
    <x v="2"/>
    <x v="7"/>
    <s v="31031988"/>
    <n v="34.901369863013699"/>
    <n v="1397.5"/>
    <n v="279.5"/>
  </r>
  <r>
    <n v="5456538"/>
    <n v="4111987"/>
    <n v="4"/>
    <n v="1"/>
    <n v="1"/>
    <x v="7"/>
    <x v="1"/>
    <s v="04111987"/>
    <n v="35.30684931506849"/>
    <n v="175"/>
    <n v="43.75"/>
  </r>
  <r>
    <n v="10898261"/>
    <n v="18031988"/>
    <n v="3"/>
    <n v="1"/>
    <n v="2"/>
    <x v="5"/>
    <x v="3"/>
    <s v="18031988"/>
    <n v="34.936986301369863"/>
    <n v="697.5"/>
    <n v="232.5"/>
  </r>
  <r>
    <n v="24046545"/>
    <n v="2041988"/>
    <n v="4"/>
    <n v="2"/>
    <n v="1"/>
    <x v="7"/>
    <x v="1"/>
    <s v="02041988"/>
    <n v="34.895890410958906"/>
    <n v="175"/>
    <n v="43.75"/>
  </r>
  <r>
    <n v="21910782"/>
    <n v="31031988"/>
    <n v="5"/>
    <n v="2"/>
    <n v="3"/>
    <x v="8"/>
    <x v="7"/>
    <s v="31031988"/>
    <n v="34.901369863013699"/>
    <n v="1397.5"/>
    <n v="279.5"/>
  </r>
  <r>
    <n v="23181542"/>
    <n v="7041988"/>
    <n v="4"/>
    <n v="2"/>
    <n v="2"/>
    <x v="2"/>
    <x v="7"/>
    <s v="07041988"/>
    <n v="34.88219178082192"/>
    <n v="697.5"/>
    <n v="174.375"/>
  </r>
  <r>
    <n v="21478238"/>
    <n v="7041988"/>
    <n v="5"/>
    <n v="1"/>
    <n v="4"/>
    <x v="7"/>
    <x v="3"/>
    <s v="07041988"/>
    <n v="34.88219178082192"/>
    <n v="2100"/>
    <n v="420"/>
  </r>
  <r>
    <n v="10262723"/>
    <n v="8041988"/>
    <n v="4"/>
    <n v="2"/>
    <n v="2"/>
    <x v="6"/>
    <x v="7"/>
    <s v="08041988"/>
    <n v="34.87945205479452"/>
    <n v="697.5"/>
    <n v="174.375"/>
  </r>
  <r>
    <n v="216508"/>
    <n v="10041988"/>
    <n v="5"/>
    <n v="1"/>
    <n v="1"/>
    <x v="8"/>
    <x v="3"/>
    <s v="10041988"/>
    <n v="34.873972602739727"/>
    <n v="175"/>
    <n v="35"/>
  </r>
  <r>
    <n v="11966578"/>
    <n v="11041988"/>
    <n v="4"/>
    <n v="1"/>
    <n v="2"/>
    <x v="9"/>
    <x v="6"/>
    <s v="11041988"/>
    <n v="34.871232876712327"/>
    <n v="697.5"/>
    <n v="174.375"/>
  </r>
  <r>
    <n v="12933060"/>
    <n v="9041988"/>
    <n v="5"/>
    <n v="2"/>
    <n v="4"/>
    <x v="2"/>
    <x v="7"/>
    <s v="09041988"/>
    <n v="34.876712328767127"/>
    <n v="2100"/>
    <n v="420"/>
  </r>
  <r>
    <n v="19977517"/>
    <n v="8041988"/>
    <n v="3"/>
    <n v="1"/>
    <n v="2"/>
    <x v="2"/>
    <x v="7"/>
    <s v="08041988"/>
    <n v="34.87945205479452"/>
    <n v="697.5"/>
    <n v="232.5"/>
  </r>
  <r>
    <n v="22647846"/>
    <n v="23031988"/>
    <n v="3"/>
    <n v="1"/>
    <n v="2"/>
    <x v="5"/>
    <x v="1"/>
    <s v="23031988"/>
    <n v="34.923287671232877"/>
    <n v="697.5"/>
    <n v="232.5"/>
  </r>
  <r>
    <n v="7159574"/>
    <n v="4021988"/>
    <n v="5"/>
    <n v="1"/>
    <n v="1"/>
    <x v="4"/>
    <x v="5"/>
    <s v="04021988"/>
    <n v="35.054794520547944"/>
    <n v="175"/>
    <n v="35"/>
  </r>
  <r>
    <n v="2887505"/>
    <n v="11041988"/>
    <n v="0"/>
    <n v="0"/>
    <n v="1"/>
    <x v="4"/>
    <x v="5"/>
    <s v="11041988"/>
    <n v="34.871232876712327"/>
    <n v="175"/>
    <n v="0"/>
  </r>
  <r>
    <n v="9728751"/>
    <n v="20041988"/>
    <n v="6"/>
    <n v="2"/>
    <n v="2"/>
    <x v="2"/>
    <x v="7"/>
    <s v="20041988"/>
    <n v="34.846575342465755"/>
    <n v="697.5"/>
    <n v="116.25"/>
  </r>
  <r>
    <n v="10796953"/>
    <n v="18041988"/>
    <n v="4"/>
    <n v="2"/>
    <n v="2"/>
    <x v="8"/>
    <x v="7"/>
    <s v="18041988"/>
    <n v="34.852054794520548"/>
    <n v="697.5"/>
    <n v="174.375"/>
  </r>
  <r>
    <n v="7693522"/>
    <n v="22041988"/>
    <n v="4"/>
    <n v="2"/>
    <n v="4"/>
    <x v="2"/>
    <x v="3"/>
    <s v="22041988"/>
    <n v="34.841095890410962"/>
    <n v="2100"/>
    <n v="525"/>
  </r>
  <r>
    <n v="17840695"/>
    <n v="20041988"/>
    <n v="6"/>
    <n v="1"/>
    <n v="3"/>
    <x v="2"/>
    <x v="7"/>
    <s v="20041988"/>
    <n v="34.846575342465755"/>
    <n v="1397.5"/>
    <n v="232.91666666666666"/>
  </r>
  <r>
    <n v="19065660"/>
    <n v="18041988"/>
    <n v="2"/>
    <n v="1"/>
    <n v="3"/>
    <x v="2"/>
    <x v="7"/>
    <s v="18041988"/>
    <n v="34.852054794520548"/>
    <n v="1397.5"/>
    <n v="698.75"/>
  </r>
  <r>
    <n v="24940761"/>
    <n v="28041988"/>
    <n v="0"/>
    <n v="0"/>
    <n v="5"/>
    <x v="2"/>
    <x v="6"/>
    <s v="28041988"/>
    <n v="34.824657534246576"/>
    <n v="2787.5"/>
    <n v="0"/>
  </r>
  <r>
    <n v="23439621"/>
    <n v="27041988"/>
    <n v="3"/>
    <n v="1"/>
    <n v="1"/>
    <x v="5"/>
    <x v="1"/>
    <s v="27041988"/>
    <n v="34.827397260273976"/>
    <n v="175"/>
    <n v="58.333333333333336"/>
  </r>
  <r>
    <n v="1976549"/>
    <n v="14011988"/>
    <n v="3"/>
    <n v="1"/>
    <n v="1"/>
    <x v="5"/>
    <x v="1"/>
    <s v="14011988"/>
    <n v="35.112328767123287"/>
    <n v="175"/>
    <n v="58.333333333333336"/>
  </r>
  <r>
    <n v="4113205"/>
    <n v="3051988"/>
    <n v="7"/>
    <n v="1"/>
    <n v="1"/>
    <x v="1"/>
    <x v="1"/>
    <s v="03051988"/>
    <n v="34.81095890410959"/>
    <n v="175"/>
    <n v="25"/>
  </r>
  <r>
    <n v="13191405"/>
    <n v="28041988"/>
    <n v="6"/>
    <n v="1"/>
    <n v="4"/>
    <x v="2"/>
    <x v="7"/>
    <s v="28041988"/>
    <n v="34.824657534246576"/>
    <n v="2100"/>
    <n v="350"/>
  </r>
  <r>
    <n v="4848901"/>
    <n v="9051988"/>
    <n v="4"/>
    <n v="1"/>
    <n v="1"/>
    <x v="10"/>
    <x v="3"/>
    <s v="09051988"/>
    <n v="34.794520547945204"/>
    <n v="175"/>
    <n v="43.75"/>
  </r>
  <r>
    <n v="22704488"/>
    <n v="3051988"/>
    <n v="6"/>
    <n v="2"/>
    <n v="3"/>
    <x v="7"/>
    <x v="3"/>
    <s v="03051988"/>
    <n v="34.81095890410959"/>
    <n v="1397.5"/>
    <n v="232.91666666666666"/>
  </r>
  <r>
    <n v="3781438"/>
    <n v="21051988"/>
    <n v="4"/>
    <n v="1"/>
    <n v="2"/>
    <x v="2"/>
    <x v="7"/>
    <s v="21051988"/>
    <n v="34.761643835616439"/>
    <n v="697.5"/>
    <n v="174.375"/>
  </r>
  <r>
    <n v="17897202"/>
    <n v="13051988"/>
    <n v="7"/>
    <n v="0"/>
    <n v="1"/>
    <x v="7"/>
    <x v="2"/>
    <s v="13051988"/>
    <n v="34.783561643835618"/>
    <n v="175"/>
    <n v="25"/>
  </r>
  <r>
    <n v="1644275"/>
    <n v="15051988"/>
    <n v="3"/>
    <n v="2"/>
    <n v="2"/>
    <x v="8"/>
    <x v="7"/>
    <s v="15051988"/>
    <n v="34.778082191780825"/>
    <n v="697.5"/>
    <n v="232.5"/>
  </r>
  <r>
    <n v="22371916"/>
    <n v="23051988"/>
    <n v="0"/>
    <n v="0"/>
    <n v="4"/>
    <x v="2"/>
    <x v="7"/>
    <s v="23051988"/>
    <n v="34.756164383561647"/>
    <n v="2100"/>
    <n v="0"/>
  </r>
  <r>
    <n v="20235705"/>
    <n v="25051988"/>
    <n v="0"/>
    <n v="0"/>
    <n v="2"/>
    <x v="4"/>
    <x v="5"/>
    <s v="25051988"/>
    <n v="34.750684931506846"/>
    <n v="697.5"/>
    <n v="0"/>
  </r>
  <r>
    <n v="5181273"/>
    <n v="22041988"/>
    <n v="0"/>
    <n v="0"/>
    <n v="6"/>
    <x v="4"/>
    <x v="5"/>
    <s v="22041988"/>
    <n v="34.841095890410962"/>
    <n v="4000"/>
    <n v="0"/>
  </r>
  <r>
    <n v="21202412"/>
    <n v="14071987"/>
    <n v="2"/>
    <n v="0"/>
    <n v="1"/>
    <x v="4"/>
    <x v="3"/>
    <s v="14071987"/>
    <n v="35.61643835616438"/>
    <n v="175"/>
    <n v="87.5"/>
  </r>
  <r>
    <n v="10088194"/>
    <n v="27051988"/>
    <n v="4"/>
    <n v="2"/>
    <n v="4"/>
    <x v="2"/>
    <x v="7"/>
    <s v="27051988"/>
    <n v="34.745205479452054"/>
    <n v="2100"/>
    <n v="525"/>
  </r>
  <r>
    <n v="18430812"/>
    <n v="27051988"/>
    <n v="5"/>
    <n v="1"/>
    <n v="1"/>
    <x v="7"/>
    <x v="6"/>
    <s v="27051988"/>
    <n v="34.745205479452054"/>
    <n v="175"/>
    <n v="35"/>
  </r>
  <r>
    <n v="1543168"/>
    <n v="8051988"/>
    <n v="3"/>
    <n v="1"/>
    <n v="1"/>
    <x v="5"/>
    <x v="0"/>
    <s v="08051988"/>
    <n v="34.797260273972604"/>
    <n v="175"/>
    <n v="58.333333333333336"/>
  </r>
  <r>
    <n v="3146201"/>
    <n v="26051988"/>
    <n v="4"/>
    <n v="1"/>
    <n v="1"/>
    <x v="4"/>
    <x v="5"/>
    <s v="26051988"/>
    <n v="34.747945205479454"/>
    <n v="175"/>
    <n v="43.75"/>
  </r>
  <r>
    <n v="24305861"/>
    <n v="8031988"/>
    <n v="3"/>
    <n v="1"/>
    <n v="1"/>
    <x v="5"/>
    <x v="1"/>
    <s v="08031988"/>
    <n v="34.964383561643835"/>
    <n v="175"/>
    <n v="58.333333333333336"/>
  </r>
  <r>
    <n v="2077342"/>
    <n v="1061988"/>
    <n v="4"/>
    <n v="1"/>
    <n v="1"/>
    <x v="7"/>
    <x v="1"/>
    <s v="01061988"/>
    <n v="34.731506849315068"/>
    <n v="175"/>
    <n v="43.75"/>
  </r>
  <r>
    <n v="22804940"/>
    <n v="8061988"/>
    <n v="7"/>
    <n v="5"/>
    <n v="4"/>
    <x v="2"/>
    <x v="7"/>
    <s v="08061988"/>
    <n v="34.712328767123289"/>
    <n v="2100"/>
    <n v="300"/>
  </r>
  <r>
    <n v="4646930"/>
    <n v="31051988"/>
    <n v="5"/>
    <n v="2"/>
    <n v="5"/>
    <x v="2"/>
    <x v="7"/>
    <s v="31051988"/>
    <n v="34.734246575342468"/>
    <n v="2787.5"/>
    <n v="557.5"/>
  </r>
  <r>
    <n v="9987182"/>
    <n v="30051988"/>
    <n v="2"/>
    <n v="1"/>
    <n v="2"/>
    <x v="2"/>
    <x v="7"/>
    <s v="30051988"/>
    <n v="34.736986301369861"/>
    <n v="697.5"/>
    <n v="348.75"/>
  </r>
  <r>
    <n v="18648452"/>
    <n v="17061988"/>
    <n v="4"/>
    <n v="2"/>
    <n v="2"/>
    <x v="2"/>
    <x v="9"/>
    <s v="17061988"/>
    <n v="34.68767123287671"/>
    <n v="697.5"/>
    <n v="174.375"/>
  </r>
  <r>
    <n v="16079940"/>
    <n v="17061988"/>
    <n v="4"/>
    <n v="1"/>
    <n v="1"/>
    <x v="7"/>
    <x v="2"/>
    <s v="17061988"/>
    <n v="34.68767123287671"/>
    <n v="175"/>
    <n v="43.75"/>
  </r>
  <r>
    <n v="12342505"/>
    <n v="14061988"/>
    <n v="3"/>
    <n v="1"/>
    <n v="5"/>
    <x v="2"/>
    <x v="10"/>
    <s v="14061988"/>
    <n v="34.695890410958903"/>
    <n v="2787.5"/>
    <n v="929.16666666666663"/>
  </r>
  <r>
    <n v="13944281"/>
    <n v="6051988"/>
    <n v="6"/>
    <n v="1"/>
    <n v="2"/>
    <x v="7"/>
    <x v="1"/>
    <s v="06051988"/>
    <n v="34.802739726027397"/>
    <n v="697.5"/>
    <n v="116.25"/>
  </r>
  <r>
    <n v="10002950"/>
    <n v="16061988"/>
    <n v="5"/>
    <n v="3"/>
    <n v="4"/>
    <x v="2"/>
    <x v="9"/>
    <s v="16061988"/>
    <n v="34.69041095890411"/>
    <n v="2100"/>
    <n v="420"/>
  </r>
  <r>
    <n v="23787677"/>
    <n v="15061988"/>
    <n v="5"/>
    <n v="2"/>
    <n v="1"/>
    <x v="7"/>
    <x v="1"/>
    <s v="15061988"/>
    <n v="34.69315068493151"/>
    <n v="175"/>
    <n v="35"/>
  </r>
  <r>
    <n v="7535175"/>
    <n v="20061988"/>
    <n v="6"/>
    <n v="2"/>
    <n v="3"/>
    <x v="2"/>
    <x v="7"/>
    <s v="20061988"/>
    <n v="34.679452054794524"/>
    <n v="1397.5"/>
    <n v="232.91666666666666"/>
  </r>
  <r>
    <n v="5832164"/>
    <n v="22061988"/>
    <n v="5"/>
    <n v="2"/>
    <n v="3"/>
    <x v="2"/>
    <x v="3"/>
    <s v="22061988"/>
    <n v="34.673972602739724"/>
    <n v="1397.5"/>
    <n v="279.5"/>
  </r>
  <r>
    <n v="3797339"/>
    <n v="20061988"/>
    <n v="4"/>
    <n v="1"/>
    <n v="1"/>
    <x v="0"/>
    <x v="3"/>
    <s v="20061988"/>
    <n v="34.679452054794524"/>
    <n v="175"/>
    <n v="43.75"/>
  </r>
  <r>
    <n v="11274375"/>
    <n v="24061988"/>
    <n v="2"/>
    <n v="1"/>
    <n v="2"/>
    <x v="2"/>
    <x v="7"/>
    <s v="24061988"/>
    <n v="34.668493150684931"/>
    <n v="697.5"/>
    <n v="348.75"/>
  </r>
  <r>
    <n v="10205779"/>
    <n v="23061988"/>
    <n v="6"/>
    <n v="1"/>
    <n v="5"/>
    <x v="6"/>
    <x v="3"/>
    <s v="23061988"/>
    <n v="34.671232876712331"/>
    <n v="2787.5"/>
    <n v="464.58333333333331"/>
  </r>
  <r>
    <n v="19717376"/>
    <n v="23061988"/>
    <n v="5"/>
    <n v="1"/>
    <n v="1"/>
    <x v="7"/>
    <x v="1"/>
    <s v="23061988"/>
    <n v="34.671232876712331"/>
    <n v="175"/>
    <n v="35"/>
  </r>
  <r>
    <n v="17046625"/>
    <n v="28061988"/>
    <n v="5"/>
    <n v="1"/>
    <n v="3"/>
    <x v="8"/>
    <x v="10"/>
    <s v="28061988"/>
    <n v="34.657534246575345"/>
    <n v="1397.5"/>
    <n v="279.5"/>
  </r>
  <r>
    <n v="18013353"/>
    <n v="17061988"/>
    <n v="6"/>
    <n v="1"/>
    <n v="2"/>
    <x v="2"/>
    <x v="7"/>
    <s v="17061988"/>
    <n v="34.68767123287671"/>
    <n v="697.5"/>
    <n v="116.25"/>
  </r>
  <r>
    <n v="17580654"/>
    <n v="6051988"/>
    <n v="4"/>
    <n v="1"/>
    <n v="1"/>
    <x v="0"/>
    <x v="0"/>
    <s v="06051988"/>
    <n v="34.802739726027397"/>
    <n v="175"/>
    <n v="43.75"/>
  </r>
  <r>
    <n v="57779"/>
    <n v="26061988"/>
    <n v="4"/>
    <n v="1"/>
    <n v="1"/>
    <x v="7"/>
    <x v="3"/>
    <s v="26061988"/>
    <n v="34.663013698630138"/>
    <n v="175"/>
    <n v="43.75"/>
  </r>
  <r>
    <n v="13207120"/>
    <n v="24061988"/>
    <n v="4"/>
    <n v="0"/>
    <n v="1"/>
    <x v="5"/>
    <x v="0"/>
    <s v="24061988"/>
    <n v="34.668493150684931"/>
    <n v="175"/>
    <n v="43.75"/>
  </r>
  <r>
    <n v="3162002"/>
    <n v="24061988"/>
    <n v="5"/>
    <n v="2"/>
    <n v="1"/>
    <x v="8"/>
    <x v="10"/>
    <s v="24061988"/>
    <n v="34.668493150684931"/>
    <n v="175"/>
    <n v="35"/>
  </r>
  <r>
    <n v="4763519"/>
    <n v="26061988"/>
    <n v="3"/>
    <n v="2"/>
    <n v="2"/>
    <x v="9"/>
    <x v="1"/>
    <s v="26061988"/>
    <n v="34.663013698630138"/>
    <n v="697.5"/>
    <n v="232.5"/>
  </r>
  <r>
    <n v="12240785"/>
    <n v="26061988"/>
    <n v="2"/>
    <n v="1"/>
    <n v="2"/>
    <x v="5"/>
    <x v="7"/>
    <s v="26061988"/>
    <n v="34.663013698630138"/>
    <n v="697.5"/>
    <n v="348.75"/>
  </r>
  <r>
    <n v="8069513"/>
    <n v="2071988"/>
    <n v="6"/>
    <n v="2"/>
    <n v="4"/>
    <x v="2"/>
    <x v="7"/>
    <s v="02071988"/>
    <n v="34.646575342465752"/>
    <n v="2100"/>
    <n v="350"/>
  </r>
  <r>
    <n v="490773"/>
    <n v="1071988"/>
    <n v="5"/>
    <n v="0"/>
    <n v="1"/>
    <x v="5"/>
    <x v="1"/>
    <s v="01071988"/>
    <n v="34.649315068493152"/>
    <n v="175"/>
    <n v="35"/>
  </r>
  <r>
    <n v="7967901"/>
    <n v="2071988"/>
    <n v="4"/>
    <n v="1"/>
    <n v="2"/>
    <x v="7"/>
    <x v="3"/>
    <s v="02071988"/>
    <n v="34.646575342465752"/>
    <n v="697.5"/>
    <n v="174.375"/>
  </r>
  <r>
    <n v="21218206"/>
    <n v="5071988"/>
    <n v="5"/>
    <n v="2"/>
    <n v="2"/>
    <x v="7"/>
    <x v="2"/>
    <s v="05071988"/>
    <n v="34.638356164383559"/>
    <n v="697.5"/>
    <n v="139.5"/>
  </r>
  <r>
    <n v="3696120"/>
    <n v="27041988"/>
    <n v="4"/>
    <n v="2"/>
    <n v="1"/>
    <x v="0"/>
    <x v="0"/>
    <s v="27041988"/>
    <n v="34.827397260273976"/>
    <n v="175"/>
    <n v="43.75"/>
  </r>
  <r>
    <n v="19081461"/>
    <n v="4071988"/>
    <n v="0"/>
    <n v="0"/>
    <n v="2"/>
    <x v="4"/>
    <x v="5"/>
    <s v="04071988"/>
    <n v="34.641095890410959"/>
    <n v="697.5"/>
    <n v="0"/>
  </r>
  <r>
    <n v="6467706"/>
    <n v="23061988"/>
    <n v="3"/>
    <n v="1"/>
    <n v="1"/>
    <x v="1"/>
    <x v="3"/>
    <s v="23061988"/>
    <n v="34.671232876712331"/>
    <n v="175"/>
    <n v="58.333333333333336"/>
  </r>
  <r>
    <n v="12673412"/>
    <n v="7071988"/>
    <n v="4"/>
    <n v="1"/>
    <n v="1"/>
    <x v="2"/>
    <x v="6"/>
    <s v="07071988"/>
    <n v="34.632876712328766"/>
    <n v="175"/>
    <n v="43.75"/>
  </r>
  <r>
    <n v="20150373"/>
    <n v="7071988"/>
    <n v="5"/>
    <n v="2"/>
    <n v="4"/>
    <x v="2"/>
    <x v="3"/>
    <s v="07071988"/>
    <n v="34.632876712328766"/>
    <n v="2100"/>
    <n v="420"/>
  </r>
  <r>
    <n v="1024957"/>
    <n v="4071988"/>
    <n v="5"/>
    <n v="1"/>
    <n v="3"/>
    <x v="9"/>
    <x v="7"/>
    <s v="04071988"/>
    <n v="34.641095890410959"/>
    <n v="1397.5"/>
    <n v="279.5"/>
  </r>
  <r>
    <n v="12774489"/>
    <n v="7071988"/>
    <n v="5"/>
    <n v="1"/>
    <n v="1"/>
    <x v="7"/>
    <x v="7"/>
    <s v="07071988"/>
    <n v="34.632876712328766"/>
    <n v="175"/>
    <n v="35"/>
  </r>
  <r>
    <n v="22921833"/>
    <n v="4071988"/>
    <n v="5"/>
    <n v="1"/>
    <n v="1"/>
    <x v="7"/>
    <x v="3"/>
    <s v="04071988"/>
    <n v="34.641095890410959"/>
    <n v="175"/>
    <n v="35"/>
  </r>
  <r>
    <n v="2526723"/>
    <n v="10061988"/>
    <n v="4"/>
    <n v="0"/>
    <n v="1"/>
    <x v="4"/>
    <x v="2"/>
    <s v="10061988"/>
    <n v="34.706849315068496"/>
    <n v="175"/>
    <n v="43.75"/>
  </r>
  <r>
    <n v="11605555"/>
    <n v="6071988"/>
    <n v="2"/>
    <n v="1"/>
    <n v="1"/>
    <x v="5"/>
    <x v="3"/>
    <s v="06071988"/>
    <n v="34.635616438356166"/>
    <n v="175"/>
    <n v="87.5"/>
  </r>
  <r>
    <n v="24855794"/>
    <n v="8071988"/>
    <n v="4"/>
    <n v="2"/>
    <n v="2"/>
    <x v="2"/>
    <x v="7"/>
    <s v="08071988"/>
    <n v="34.630136986301373"/>
    <n v="697.5"/>
    <n v="174.375"/>
  </r>
  <r>
    <n v="13944280"/>
    <n v="15071988"/>
    <n v="4"/>
    <n v="2"/>
    <n v="2"/>
    <x v="7"/>
    <x v="10"/>
    <s v="15071988"/>
    <n v="34.610958904109587"/>
    <n v="697.5"/>
    <n v="174.375"/>
  </r>
  <r>
    <n v="3061086"/>
    <n v="30061988"/>
    <n v="4"/>
    <n v="1"/>
    <n v="1"/>
    <x v="7"/>
    <x v="3"/>
    <s v="30061988"/>
    <n v="34.652054794520545"/>
    <n v="175"/>
    <n v="43.75"/>
  </r>
  <r>
    <n v="8935147"/>
    <n v="14071988"/>
    <n v="5"/>
    <n v="2"/>
    <n v="4"/>
    <x v="2"/>
    <x v="7"/>
    <s v="14071988"/>
    <n v="34.613698630136987"/>
    <n v="2100"/>
    <n v="420"/>
  </r>
  <r>
    <n v="9137965"/>
    <n v="13071988"/>
    <n v="2"/>
    <n v="1"/>
    <n v="2"/>
    <x v="2"/>
    <x v="8"/>
    <s v="13071988"/>
    <n v="34.61643835616438"/>
    <n v="697.5"/>
    <n v="348.75"/>
  </r>
  <r>
    <n v="14910615"/>
    <n v="13071988"/>
    <n v="4"/>
    <n v="1"/>
    <n v="1"/>
    <x v="7"/>
    <x v="3"/>
    <s v="13071988"/>
    <n v="34.61643835616438"/>
    <n v="175"/>
    <n v="43.75"/>
  </r>
  <r>
    <n v="23787678"/>
    <n v="16071988"/>
    <n v="0"/>
    <n v="0"/>
    <n v="2"/>
    <x v="4"/>
    <x v="5"/>
    <s v="16071988"/>
    <n v="34.608219178082194"/>
    <n v="697.5"/>
    <n v="0"/>
  </r>
  <r>
    <n v="5832163"/>
    <n v="12071988"/>
    <n v="5"/>
    <n v="0"/>
    <n v="2"/>
    <x v="2"/>
    <x v="10"/>
    <s v="12071988"/>
    <n v="34.61917808219178"/>
    <n v="697.5"/>
    <n v="139.5"/>
  </r>
  <r>
    <n v="12876124"/>
    <n v="12071988"/>
    <n v="3"/>
    <n v="0"/>
    <n v="1"/>
    <x v="4"/>
    <x v="3"/>
    <s v="12071988"/>
    <n v="34.61917808219178"/>
    <n v="175"/>
    <n v="58.333333333333336"/>
  </r>
  <r>
    <n v="11274374"/>
    <n v="19071988"/>
    <n v="7"/>
    <n v="2"/>
    <n v="2"/>
    <x v="9"/>
    <x v="7"/>
    <s v="19071988"/>
    <n v="34.6"/>
    <n v="697.5"/>
    <n v="99.642857142857139"/>
  </r>
  <r>
    <n v="57780"/>
    <n v="18061988"/>
    <n v="4"/>
    <n v="2"/>
    <n v="2"/>
    <x v="7"/>
    <x v="10"/>
    <s v="18061988"/>
    <n v="34.684931506849317"/>
    <n v="697.5"/>
    <n v="174.375"/>
  </r>
  <r>
    <n v="3595296"/>
    <n v="20071988"/>
    <n v="3"/>
    <n v="0"/>
    <n v="1"/>
    <x v="10"/>
    <x v="1"/>
    <s v="20071988"/>
    <n v="34.597260273972601"/>
    <n v="175"/>
    <n v="58.333333333333336"/>
  </r>
  <r>
    <n v="8502123"/>
    <n v="4071988"/>
    <n v="5"/>
    <n v="1"/>
    <n v="1"/>
    <x v="8"/>
    <x v="3"/>
    <s v="04071988"/>
    <n v="34.641095890410959"/>
    <n v="175"/>
    <n v="35"/>
  </r>
  <r>
    <n v="9469344"/>
    <n v="21071988"/>
    <n v="3"/>
    <n v="1"/>
    <n v="2"/>
    <x v="2"/>
    <x v="7"/>
    <s v="21071988"/>
    <n v="34.594520547945208"/>
    <n v="697.5"/>
    <n v="232.5"/>
  </r>
  <r>
    <n v="24956551"/>
    <n v="12051988"/>
    <n v="6"/>
    <n v="1"/>
    <n v="1"/>
    <x v="0"/>
    <x v="3"/>
    <s v="12051988"/>
    <n v="34.786301369863011"/>
    <n v="175"/>
    <n v="29.166666666666668"/>
  </r>
  <r>
    <n v="924241"/>
    <n v="25071988"/>
    <n v="5"/>
    <n v="2"/>
    <n v="2"/>
    <x v="10"/>
    <x v="10"/>
    <s v="25071988"/>
    <n v="34.583561643835615"/>
    <n v="697.5"/>
    <n v="139.5"/>
  </r>
  <r>
    <n v="8069512"/>
    <n v="22061988"/>
    <n v="4"/>
    <n v="1"/>
    <n v="1"/>
    <x v="7"/>
    <x v="3"/>
    <s v="22061988"/>
    <n v="34.673972602739724"/>
    <n v="175"/>
    <n v="43.75"/>
  </r>
  <r>
    <n v="21218207"/>
    <n v="22071988"/>
    <n v="5"/>
    <n v="1"/>
    <n v="1"/>
    <x v="7"/>
    <x v="3"/>
    <s v="22071988"/>
    <n v="34.591780821917808"/>
    <n v="175"/>
    <n v="35"/>
  </r>
  <r>
    <n v="10739894"/>
    <n v="20071988"/>
    <n v="4"/>
    <n v="1"/>
    <n v="1"/>
    <x v="5"/>
    <x v="0"/>
    <s v="20071988"/>
    <n v="34.597260273972601"/>
    <n v="175"/>
    <n v="43.75"/>
  </r>
  <r>
    <n v="16945282"/>
    <n v="21071988"/>
    <n v="6"/>
    <n v="3"/>
    <n v="2"/>
    <x v="7"/>
    <x v="10"/>
    <s v="21071988"/>
    <n v="34.594520547945208"/>
    <n v="697.5"/>
    <n v="116.25"/>
  </r>
  <r>
    <n v="2194347"/>
    <n v="18071988"/>
    <n v="5"/>
    <n v="1"/>
    <n v="1"/>
    <x v="2"/>
    <x v="0"/>
    <s v="18071988"/>
    <n v="34.602739726027394"/>
    <n v="175"/>
    <n v="35"/>
  </r>
  <r>
    <n v="15876835"/>
    <n v="14071988"/>
    <n v="3"/>
    <n v="1"/>
    <n v="1"/>
    <x v="1"/>
    <x v="3"/>
    <s v="14071988"/>
    <n v="34.613698630136987"/>
    <n v="175"/>
    <n v="58.333333333333336"/>
  </r>
  <r>
    <n v="5933567"/>
    <n v="28071988"/>
    <n v="6"/>
    <n v="1"/>
    <n v="1"/>
    <x v="4"/>
    <x v="6"/>
    <s v="28071988"/>
    <n v="34.575342465753423"/>
    <n v="175"/>
    <n v="29.166666666666668"/>
  </r>
  <r>
    <n v="18547067"/>
    <n v="26071988"/>
    <n v="6"/>
    <n v="1"/>
    <n v="2"/>
    <x v="7"/>
    <x v="1"/>
    <s v="26071988"/>
    <n v="34.580821917808223"/>
    <n v="697.5"/>
    <n v="116.25"/>
  </r>
  <r>
    <n v="24236811"/>
    <n v="29071988"/>
    <n v="3"/>
    <n v="1"/>
    <n v="1"/>
    <x v="1"/>
    <x v="2"/>
    <s v="29071988"/>
    <n v="34.57260273972603"/>
    <n v="175"/>
    <n v="58.333333333333336"/>
  </r>
  <r>
    <n v="24135630"/>
    <n v="20071988"/>
    <n v="5"/>
    <n v="1"/>
    <n v="1"/>
    <x v="5"/>
    <x v="2"/>
    <s v="20071988"/>
    <n v="34.597260273972601"/>
    <n v="175"/>
    <n v="35"/>
  </r>
  <r>
    <n v="1806217"/>
    <n v="29071988"/>
    <n v="4"/>
    <n v="1"/>
    <n v="2"/>
    <x v="9"/>
    <x v="3"/>
    <s v="29071988"/>
    <n v="34.57260273972603"/>
    <n v="697.5"/>
    <n v="174.375"/>
  </r>
  <r>
    <n v="3611203"/>
    <n v="24071988"/>
    <n v="5"/>
    <n v="1"/>
    <n v="1"/>
    <x v="7"/>
    <x v="1"/>
    <s v="24071988"/>
    <n v="34.586301369863016"/>
    <n v="175"/>
    <n v="35"/>
  </r>
  <r>
    <n v="940023"/>
    <n v="20071988"/>
    <n v="4"/>
    <n v="1"/>
    <n v="1"/>
    <x v="5"/>
    <x v="3"/>
    <s v="20071988"/>
    <n v="34.597260273972601"/>
    <n v="175"/>
    <n v="43.75"/>
  </r>
  <r>
    <n v="15691656"/>
    <n v="28071988"/>
    <n v="0"/>
    <n v="0"/>
    <n v="1"/>
    <x v="4"/>
    <x v="5"/>
    <s v="28071988"/>
    <n v="34.575342465753423"/>
    <n v="175"/>
    <n v="0"/>
  </r>
  <r>
    <n v="1474049"/>
    <n v="4081988"/>
    <n v="2"/>
    <n v="1"/>
    <n v="2"/>
    <x v="2"/>
    <x v="7"/>
    <s v="04081988"/>
    <n v="34.556164383561644"/>
    <n v="697.5"/>
    <n v="348.75"/>
  </r>
  <r>
    <n v="22101242"/>
    <n v="25011988"/>
    <n v="7"/>
    <n v="1"/>
    <n v="2"/>
    <x v="2"/>
    <x v="9"/>
    <s v="25011988"/>
    <n v="35.082191780821915"/>
    <n v="697.5"/>
    <n v="99.642857142857139"/>
  </r>
  <r>
    <n v="12054675"/>
    <n v="31071988"/>
    <n v="8"/>
    <n v="2"/>
    <n v="1"/>
    <x v="5"/>
    <x v="3"/>
    <s v="31071988"/>
    <n v="34.56712328767123"/>
    <n v="175"/>
    <n v="21.875"/>
  </r>
  <r>
    <n v="3076954"/>
    <n v="3081988"/>
    <n v="4"/>
    <n v="1"/>
    <n v="1"/>
    <x v="7"/>
    <x v="3"/>
    <s v="03081988"/>
    <n v="34.558904109589044"/>
    <n v="175"/>
    <n v="43.75"/>
  </r>
  <r>
    <n v="21133518"/>
    <n v="23071988"/>
    <n v="4"/>
    <n v="1"/>
    <n v="1"/>
    <x v="5"/>
    <x v="2"/>
    <s v="23071988"/>
    <n v="34.589041095890408"/>
    <n v="175"/>
    <n v="43.75"/>
  </r>
  <r>
    <n v="9817387"/>
    <n v="25071988"/>
    <n v="4"/>
    <n v="2"/>
    <n v="2"/>
    <x v="8"/>
    <x v="10"/>
    <s v="25071988"/>
    <n v="34.583561643835615"/>
    <n v="697.5"/>
    <n v="174.375"/>
  </r>
  <r>
    <n v="16860551"/>
    <n v="4071988"/>
    <n v="3"/>
    <n v="1"/>
    <n v="1"/>
    <x v="6"/>
    <x v="3"/>
    <s v="04071988"/>
    <n v="34.641095890410959"/>
    <n v="175"/>
    <n v="58.333333333333336"/>
  </r>
  <r>
    <n v="2976188"/>
    <n v="5081988"/>
    <n v="4"/>
    <n v="1"/>
    <n v="1"/>
    <x v="7"/>
    <x v="1"/>
    <s v="05081988"/>
    <n v="34.553424657534244"/>
    <n v="175"/>
    <n v="43.75"/>
  </r>
  <r>
    <n v="305114"/>
    <n v="10081988"/>
    <n v="7"/>
    <n v="2"/>
    <n v="1"/>
    <x v="7"/>
    <x v="7"/>
    <s v="10081988"/>
    <n v="34.539726027397258"/>
    <n v="175"/>
    <n v="25"/>
  </r>
  <r>
    <n v="8416929"/>
    <n v="12081988"/>
    <n v="4"/>
    <n v="1"/>
    <n v="3"/>
    <x v="2"/>
    <x v="3"/>
    <s v="12081988"/>
    <n v="34.534246575342465"/>
    <n v="1397.5"/>
    <n v="349.375"/>
  </r>
  <r>
    <n v="19964991"/>
    <n v="27081987"/>
    <n v="2"/>
    <n v="1"/>
    <n v="1"/>
    <x v="7"/>
    <x v="1"/>
    <s v="27081987"/>
    <n v="35.495890410958907"/>
    <n v="175"/>
    <n v="87.5"/>
  </r>
  <r>
    <n v="21566881"/>
    <n v="5081988"/>
    <n v="4"/>
    <n v="1"/>
    <n v="1"/>
    <x v="5"/>
    <x v="3"/>
    <s v="05081988"/>
    <n v="34.553424657534244"/>
    <n v="175"/>
    <n v="43.75"/>
  </r>
  <r>
    <n v="10986389"/>
    <n v="10081988"/>
    <n v="4"/>
    <n v="0"/>
    <n v="1"/>
    <x v="7"/>
    <x v="3"/>
    <s v="10081988"/>
    <n v="34.539726027397258"/>
    <n v="175"/>
    <n v="43.75"/>
  </r>
  <r>
    <n v="11420011"/>
    <n v="12081988"/>
    <n v="5"/>
    <n v="2"/>
    <n v="2"/>
    <x v="7"/>
    <x v="3"/>
    <s v="12081988"/>
    <n v="34.534246575342465"/>
    <n v="697.5"/>
    <n v="139.5"/>
  </r>
  <r>
    <n v="2441888"/>
    <n v="16081988"/>
    <n v="6"/>
    <n v="2"/>
    <n v="6"/>
    <x v="9"/>
    <x v="9"/>
    <s v="16081988"/>
    <n v="34.523287671232879"/>
    <n v="4000"/>
    <n v="666.66666666666663"/>
  </r>
  <r>
    <n v="10885710"/>
    <n v="16071988"/>
    <n v="2"/>
    <n v="0"/>
    <n v="1"/>
    <x v="4"/>
    <x v="1"/>
    <s v="16071988"/>
    <n v="34.608219178082194"/>
    <n v="175"/>
    <n v="87.5"/>
  </r>
  <r>
    <n v="18996670"/>
    <n v="13081988"/>
    <n v="2"/>
    <n v="1"/>
    <n v="1"/>
    <x v="7"/>
    <x v="3"/>
    <s v="13081988"/>
    <n v="34.531506849315072"/>
    <n v="175"/>
    <n v="87.5"/>
  </r>
  <r>
    <n v="23803475"/>
    <n v="25071988"/>
    <n v="4"/>
    <n v="1"/>
    <n v="1"/>
    <x v="1"/>
    <x v="1"/>
    <s v="25071988"/>
    <n v="34.583561643835615"/>
    <n v="175"/>
    <n v="43.75"/>
  </r>
  <r>
    <n v="22735980"/>
    <n v="8081988"/>
    <n v="6"/>
    <n v="2"/>
    <n v="1"/>
    <x v="5"/>
    <x v="10"/>
    <s v="08081988"/>
    <n v="34.545205479452058"/>
    <n v="175"/>
    <n v="29.166666666666668"/>
  </r>
  <r>
    <n v="23067872"/>
    <n v="2081988"/>
    <n v="4"/>
    <n v="1"/>
    <n v="1"/>
    <x v="7"/>
    <x v="3"/>
    <s v="02081988"/>
    <n v="34.561643835616437"/>
    <n v="175"/>
    <n v="43.75"/>
  </r>
  <r>
    <n v="4577889"/>
    <n v="16081988"/>
    <n v="3"/>
    <n v="1"/>
    <n v="1"/>
    <x v="7"/>
    <x v="3"/>
    <s v="16081988"/>
    <n v="34.523287671232879"/>
    <n v="175"/>
    <n v="58.333333333333336"/>
  </r>
  <r>
    <n v="19329212"/>
    <n v="17081988"/>
    <n v="3"/>
    <n v="2"/>
    <n v="1"/>
    <x v="7"/>
    <x v="3"/>
    <s v="17081988"/>
    <n v="34.520547945205479"/>
    <n v="175"/>
    <n v="58.333333333333336"/>
  </r>
  <r>
    <n v="10351418"/>
    <n v="11081988"/>
    <n v="2"/>
    <n v="1"/>
    <n v="2"/>
    <x v="7"/>
    <x v="7"/>
    <s v="11081988"/>
    <n v="34.536986301369865"/>
    <n v="697.5"/>
    <n v="348.75"/>
  </r>
  <r>
    <n v="18794864"/>
    <n v="7081988"/>
    <n v="5"/>
    <n v="1"/>
    <n v="1"/>
    <x v="5"/>
    <x v="2"/>
    <s v="07081988"/>
    <n v="34.547945205479451"/>
    <n v="175"/>
    <n v="35"/>
  </r>
  <r>
    <n v="16124549"/>
    <n v="29071988"/>
    <n v="5"/>
    <n v="1"/>
    <n v="2"/>
    <x v="2"/>
    <x v="7"/>
    <s v="29071988"/>
    <n v="34.57260273972603"/>
    <n v="697.5"/>
    <n v="139.5"/>
  </r>
  <r>
    <n v="10452055"/>
    <n v="4071988"/>
    <n v="5"/>
    <n v="1"/>
    <n v="2"/>
    <x v="7"/>
    <x v="9"/>
    <s v="04071988"/>
    <n v="34.641095890410959"/>
    <n v="697.5"/>
    <n v="139.5"/>
  </r>
  <r>
    <n v="15258331"/>
    <n v="20081988"/>
    <n v="4"/>
    <n v="1"/>
    <n v="2"/>
    <x v="8"/>
    <x v="10"/>
    <s v="20081988"/>
    <n v="34.512328767123286"/>
    <n v="697.5"/>
    <n v="174.375"/>
  </r>
  <r>
    <n v="14190580"/>
    <n v="9081988"/>
    <n v="4"/>
    <n v="1"/>
    <n v="1"/>
    <x v="5"/>
    <x v="1"/>
    <s v="09081988"/>
    <n v="34.542465753424658"/>
    <n v="175"/>
    <n v="43.75"/>
  </r>
  <r>
    <n v="7882740"/>
    <n v="15081988"/>
    <n v="4"/>
    <n v="2"/>
    <n v="1"/>
    <x v="4"/>
    <x v="3"/>
    <s v="15081988"/>
    <n v="34.526027397260272"/>
    <n v="175"/>
    <n v="43.75"/>
  </r>
  <r>
    <n v="4144800"/>
    <n v="18081988"/>
    <n v="5"/>
    <n v="0"/>
    <n v="2"/>
    <x v="4"/>
    <x v="5"/>
    <s v="18081988"/>
    <n v="34.517808219178079"/>
    <n v="697.5"/>
    <n v="139.5"/>
  </r>
  <r>
    <n v="738180"/>
    <n v="18081988"/>
    <n v="8"/>
    <n v="1"/>
    <n v="1"/>
    <x v="7"/>
    <x v="0"/>
    <s v="18081988"/>
    <n v="34.517808219178079"/>
    <n v="175"/>
    <n v="21.875"/>
  </r>
  <r>
    <n v="3611204"/>
    <n v="22071988"/>
    <n v="3"/>
    <n v="1"/>
    <n v="1"/>
    <x v="1"/>
    <x v="3"/>
    <s v="22071988"/>
    <n v="34.591780821917808"/>
    <n v="175"/>
    <n v="58.333333333333336"/>
  </r>
  <r>
    <n v="6714352"/>
    <n v="14081988"/>
    <n v="5"/>
    <n v="2"/>
    <n v="2"/>
    <x v="4"/>
    <x v="5"/>
    <s v="14081988"/>
    <n v="34.528767123287672"/>
    <n v="697.5"/>
    <n v="139.5"/>
  </r>
  <r>
    <n v="12488127"/>
    <n v="19081988"/>
    <n v="3"/>
    <n v="0"/>
    <n v="1"/>
    <x v="8"/>
    <x v="3"/>
    <s v="19081988"/>
    <n v="34.515068493150686"/>
    <n v="175"/>
    <n v="58.333333333333336"/>
  </r>
  <r>
    <n v="22101241"/>
    <n v="24081988"/>
    <n v="5"/>
    <n v="2"/>
    <n v="2"/>
    <x v="7"/>
    <x v="7"/>
    <s v="24081988"/>
    <n v="34.5013698630137"/>
    <n v="697.5"/>
    <n v="139.5"/>
  </r>
  <r>
    <n v="14624064"/>
    <n v="1081988"/>
    <n v="5"/>
    <n v="0"/>
    <n v="1"/>
    <x v="0"/>
    <x v="3"/>
    <s v="01081988"/>
    <n v="34.564383561643837"/>
    <n v="175"/>
    <n v="35"/>
  </r>
  <r>
    <n v="16860552"/>
    <n v="17081988"/>
    <n v="4"/>
    <n v="2"/>
    <n v="2"/>
    <x v="7"/>
    <x v="3"/>
    <s v="17081988"/>
    <n v="34.520547945205479"/>
    <n v="697.5"/>
    <n v="174.375"/>
  </r>
  <r>
    <n v="13555855"/>
    <n v="6081988"/>
    <n v="7"/>
    <n v="1"/>
    <n v="5"/>
    <x v="2"/>
    <x v="9"/>
    <s v="06081988"/>
    <n v="34.550684931506851"/>
    <n v="2787.5"/>
    <n v="398.21428571428572"/>
  </r>
  <r>
    <n v="2976187"/>
    <n v="5081988"/>
    <n v="6"/>
    <n v="0"/>
    <n v="1"/>
    <x v="5"/>
    <x v="2"/>
    <s v="05081988"/>
    <n v="34.553424657534244"/>
    <n v="175"/>
    <n v="29.166666666666668"/>
  </r>
  <r>
    <n v="6079426"/>
    <n v="13081988"/>
    <n v="3"/>
    <n v="1"/>
    <n v="1"/>
    <x v="7"/>
    <x v="0"/>
    <s v="13081988"/>
    <n v="34.531506849315072"/>
    <n v="175"/>
    <n v="58.333333333333336"/>
  </r>
  <r>
    <n v="5212915"/>
    <n v="3081988"/>
    <n v="5"/>
    <n v="3"/>
    <n v="1"/>
    <x v="0"/>
    <x v="0"/>
    <s v="03081988"/>
    <n v="34.558904109589044"/>
    <n v="175"/>
    <n v="35"/>
  </r>
  <r>
    <n v="21566880"/>
    <n v="26081988"/>
    <n v="5"/>
    <n v="2"/>
    <n v="2"/>
    <x v="7"/>
    <x v="7"/>
    <s v="26081988"/>
    <n v="34.495890410958907"/>
    <n v="697.5"/>
    <n v="139.5"/>
  </r>
  <r>
    <n v="17727003"/>
    <n v="25081988"/>
    <n v="3"/>
    <n v="2"/>
    <n v="2"/>
    <x v="7"/>
    <x v="10"/>
    <s v="25081988"/>
    <n v="34.4986301369863"/>
    <n v="697.5"/>
    <n v="232.5"/>
  </r>
  <r>
    <n v="15157873"/>
    <n v="28081988"/>
    <n v="3"/>
    <n v="1"/>
    <n v="1"/>
    <x v="7"/>
    <x v="3"/>
    <s v="28081988"/>
    <n v="34.490410958904107"/>
    <n v="175"/>
    <n v="58.333333333333336"/>
  </r>
  <r>
    <n v="1373419"/>
    <n v="22081988"/>
    <n v="5"/>
    <n v="2"/>
    <n v="2"/>
    <x v="9"/>
    <x v="7"/>
    <s v="22081988"/>
    <n v="34.506849315068493"/>
    <n v="697.5"/>
    <n v="139.5"/>
  </r>
  <r>
    <n v="10885709"/>
    <n v="29081988"/>
    <n v="3"/>
    <n v="2"/>
    <n v="1"/>
    <x v="7"/>
    <x v="0"/>
    <s v="29081988"/>
    <n v="34.487671232876714"/>
    <n v="175"/>
    <n v="58.333333333333336"/>
  </r>
  <r>
    <n v="2542544"/>
    <n v="24081988"/>
    <n v="5"/>
    <n v="1"/>
    <n v="3"/>
    <x v="2"/>
    <x v="3"/>
    <s v="24081988"/>
    <n v="34.5013698630137"/>
    <n v="1397.5"/>
    <n v="279.5"/>
  </r>
  <r>
    <n v="2874937"/>
    <n v="29081988"/>
    <n v="5"/>
    <n v="1"/>
    <n v="3"/>
    <x v="2"/>
    <x v="10"/>
    <s v="29081988"/>
    <n v="34.487671232876714"/>
    <n v="1397.5"/>
    <n v="279.5"/>
  </r>
  <r>
    <n v="4476709"/>
    <n v="24081988"/>
    <n v="5"/>
    <n v="1"/>
    <n v="1"/>
    <x v="8"/>
    <x v="10"/>
    <s v="24081988"/>
    <n v="34.5013698630137"/>
    <n v="175"/>
    <n v="35"/>
  </r>
  <r>
    <n v="2340594"/>
    <n v="30081988"/>
    <n v="0"/>
    <n v="0"/>
    <n v="5"/>
    <x v="2"/>
    <x v="7"/>
    <s v="30081988"/>
    <n v="34.484931506849314"/>
    <n v="2787.5"/>
    <n v="0"/>
  </r>
  <r>
    <n v="18996671"/>
    <n v="14081988"/>
    <n v="4"/>
    <n v="2"/>
    <n v="2"/>
    <x v="9"/>
    <x v="9"/>
    <s v="14081988"/>
    <n v="34.528767123287672"/>
    <n v="697.5"/>
    <n v="174.375"/>
  </r>
  <r>
    <n v="7781918"/>
    <n v="19081988"/>
    <n v="6"/>
    <n v="1"/>
    <n v="2"/>
    <x v="8"/>
    <x v="3"/>
    <s v="19081988"/>
    <n v="34.515068493150686"/>
    <n v="697.5"/>
    <n v="116.25"/>
  </r>
  <r>
    <n v="7074302"/>
    <n v="15081988"/>
    <n v="3"/>
    <n v="2"/>
    <n v="1"/>
    <x v="5"/>
    <x v="0"/>
    <s v="15081988"/>
    <n v="34.526027397260272"/>
    <n v="175"/>
    <n v="58.333333333333336"/>
  </r>
  <r>
    <n v="21161670"/>
    <n v="11081988"/>
    <n v="5"/>
    <n v="1"/>
    <n v="2"/>
    <x v="0"/>
    <x v="0"/>
    <s v="11081988"/>
    <n v="34.536986301369865"/>
    <n v="697.5"/>
    <n v="139.5"/>
  </r>
  <r>
    <n v="16888761"/>
    <n v="28081988"/>
    <n v="5"/>
    <n v="2"/>
    <n v="2"/>
    <x v="7"/>
    <x v="3"/>
    <s v="28081988"/>
    <n v="34.490410958904107"/>
    <n v="697.5"/>
    <n v="139.5"/>
  </r>
  <r>
    <n v="15186165"/>
    <n v="29081988"/>
    <n v="4"/>
    <n v="1"/>
    <n v="2"/>
    <x v="5"/>
    <x v="3"/>
    <s v="29081988"/>
    <n v="34.487671232876714"/>
    <n v="697.5"/>
    <n v="174.375"/>
  </r>
  <r>
    <n v="3870236"/>
    <n v="9081988"/>
    <n v="4"/>
    <n v="1"/>
    <n v="1"/>
    <x v="1"/>
    <x v="2"/>
    <s v="09081988"/>
    <n v="34.542465753424658"/>
    <n v="175"/>
    <n v="43.75"/>
  </r>
  <r>
    <n v="766666"/>
    <n v="1091988"/>
    <n v="4"/>
    <n v="2"/>
    <n v="2"/>
    <x v="5"/>
    <x v="7"/>
    <s v="01091988"/>
    <n v="34.479452054794521"/>
    <n v="697.5"/>
    <n v="174.375"/>
  </r>
  <r>
    <n v="8878399"/>
    <n v="26081988"/>
    <n v="4"/>
    <n v="1"/>
    <n v="1"/>
    <x v="1"/>
    <x v="3"/>
    <s v="26081988"/>
    <n v="34.495890410958907"/>
    <n v="175"/>
    <n v="43.75"/>
  </r>
  <r>
    <n v="5674630"/>
    <n v="31071988"/>
    <n v="5"/>
    <n v="2"/>
    <n v="1"/>
    <x v="7"/>
    <x v="1"/>
    <s v="31071988"/>
    <n v="34.56712328767123"/>
    <n v="175"/>
    <n v="35"/>
  </r>
  <r>
    <n v="6641904"/>
    <n v="26081988"/>
    <n v="5"/>
    <n v="1"/>
    <n v="3"/>
    <x v="2"/>
    <x v="7"/>
    <s v="26081988"/>
    <n v="34.495890410958907"/>
    <n v="1397.5"/>
    <n v="279.5"/>
  </r>
  <r>
    <n v="6208870"/>
    <n v="3071988"/>
    <n v="5"/>
    <n v="1"/>
    <n v="1"/>
    <x v="7"/>
    <x v="1"/>
    <s v="03071988"/>
    <n v="34.643835616438359"/>
    <n v="175"/>
    <n v="35"/>
  </r>
  <r>
    <n v="17221481"/>
    <n v="21081988"/>
    <n v="6"/>
    <n v="1"/>
    <n v="4"/>
    <x v="2"/>
    <x v="7"/>
    <s v="21081988"/>
    <n v="34.509589041095893"/>
    <n v="2100"/>
    <n v="350"/>
  </r>
  <r>
    <n v="1935753"/>
    <n v="6091988"/>
    <n v="5"/>
    <n v="1"/>
    <n v="2"/>
    <x v="7"/>
    <x v="3"/>
    <s v="06091988"/>
    <n v="34.465753424657535"/>
    <n v="697.5"/>
    <n v="139.5"/>
  </r>
  <r>
    <n v="9412633"/>
    <n v="17051988"/>
    <n v="4"/>
    <n v="1"/>
    <n v="3"/>
    <x v="2"/>
    <x v="3"/>
    <s v="17051988"/>
    <n v="34.772602739726025"/>
    <n v="1397.5"/>
    <n v="349.375"/>
  </r>
  <r>
    <n v="5140399"/>
    <n v="22081988"/>
    <n v="5"/>
    <n v="1"/>
    <n v="1"/>
    <x v="0"/>
    <x v="0"/>
    <s v="22081988"/>
    <n v="34.506849315068493"/>
    <n v="175"/>
    <n v="35"/>
  </r>
  <r>
    <n v="18823397"/>
    <n v="10091988"/>
    <n v="5"/>
    <n v="2"/>
    <n v="2"/>
    <x v="2"/>
    <x v="3"/>
    <s v="10091988"/>
    <n v="34.454794520547942"/>
    <n v="697.5"/>
    <n v="139.5"/>
  </r>
  <r>
    <n v="21695706"/>
    <n v="30081988"/>
    <n v="3"/>
    <n v="1"/>
    <n v="1"/>
    <x v="0"/>
    <x v="1"/>
    <s v="30081988"/>
    <n v="34.484931506849314"/>
    <n v="175"/>
    <n v="58.333333333333336"/>
  </r>
  <r>
    <n v="10278664"/>
    <n v="29081988"/>
    <n v="3"/>
    <n v="2"/>
    <n v="2"/>
    <x v="7"/>
    <x v="2"/>
    <s v="29081988"/>
    <n v="34.487671232876714"/>
    <n v="697.5"/>
    <n v="232.5"/>
  </r>
  <r>
    <n v="24265169"/>
    <n v="7091988"/>
    <n v="6"/>
    <n v="1"/>
    <n v="1"/>
    <x v="9"/>
    <x v="3"/>
    <s v="07091988"/>
    <n v="34.463013698630135"/>
    <n v="175"/>
    <n v="29.166666666666668"/>
  </r>
  <r>
    <n v="13150647"/>
    <n v="7091988"/>
    <n v="5"/>
    <n v="3"/>
    <n v="2"/>
    <x v="7"/>
    <x v="6"/>
    <s v="07091988"/>
    <n v="34.463013698630135"/>
    <n v="697.5"/>
    <n v="139.5"/>
  </r>
  <r>
    <n v="5573791"/>
    <n v="8091988"/>
    <n v="4"/>
    <n v="2"/>
    <n v="2"/>
    <x v="7"/>
    <x v="1"/>
    <s v="08091988"/>
    <n v="34.460273972602742"/>
    <n v="697.5"/>
    <n v="174.375"/>
  </r>
  <r>
    <n v="10812923"/>
    <n v="16031988"/>
    <n v="7"/>
    <n v="1"/>
    <n v="1"/>
    <x v="0"/>
    <x v="0"/>
    <s v="16031988"/>
    <n v="34.942465753424656"/>
    <n v="175"/>
    <n v="25"/>
  </r>
  <r>
    <n v="9744693"/>
    <n v="5091988"/>
    <n v="0"/>
    <n v="0"/>
    <n v="1"/>
    <x v="4"/>
    <x v="5"/>
    <s v="05091988"/>
    <n v="34.468493150684928"/>
    <n v="175"/>
    <n v="0"/>
  </r>
  <r>
    <n v="9946404"/>
    <n v="9091988"/>
    <n v="7"/>
    <n v="1"/>
    <n v="1"/>
    <x v="7"/>
    <x v="0"/>
    <s v="09091988"/>
    <n v="34.457534246575342"/>
    <n v="175"/>
    <n v="25"/>
  </r>
  <r>
    <n v="24698186"/>
    <n v="28081988"/>
    <n v="4"/>
    <n v="2"/>
    <n v="1"/>
    <x v="7"/>
    <x v="1"/>
    <s v="28081988"/>
    <n v="34.490410958904107"/>
    <n v="175"/>
    <n v="43.75"/>
  </r>
  <r>
    <n v="8777812"/>
    <n v="23081988"/>
    <n v="5"/>
    <n v="1"/>
    <n v="1"/>
    <x v="0"/>
    <x v="0"/>
    <s v="23081988"/>
    <n v="34.504109589041093"/>
    <n v="175"/>
    <n v="35"/>
  </r>
  <r>
    <n v="14652412"/>
    <n v="30081988"/>
    <n v="5"/>
    <n v="1"/>
    <n v="2"/>
    <x v="2"/>
    <x v="3"/>
    <s v="30081988"/>
    <n v="34.484931506849314"/>
    <n v="697.5"/>
    <n v="139.5"/>
  </r>
  <r>
    <n v="11548972"/>
    <n v="12091988"/>
    <n v="4"/>
    <n v="2"/>
    <n v="2"/>
    <x v="7"/>
    <x v="3"/>
    <s v="12091988"/>
    <n v="34.449315068493149"/>
    <n v="697.5"/>
    <n v="174.375"/>
  </r>
  <r>
    <n v="7175492"/>
    <n v="9091988"/>
    <n v="5"/>
    <n v="2"/>
    <n v="3"/>
    <x v="7"/>
    <x v="7"/>
    <s v="09091988"/>
    <n v="34.457534246575342"/>
    <n v="1397.5"/>
    <n v="279.5"/>
  </r>
  <r>
    <n v="20960329"/>
    <n v="5091988"/>
    <n v="4"/>
    <n v="1"/>
    <n v="1"/>
    <x v="7"/>
    <x v="3"/>
    <s v="05091988"/>
    <n v="34.468493150684928"/>
    <n v="175"/>
    <n v="43.75"/>
  </r>
  <r>
    <n v="11347369"/>
    <n v="9091988"/>
    <n v="5"/>
    <n v="1"/>
    <n v="1"/>
    <x v="8"/>
    <x v="7"/>
    <s v="09091988"/>
    <n v="34.457534246575342"/>
    <n v="175"/>
    <n v="35"/>
  </r>
  <r>
    <n v="9210868"/>
    <n v="15091988"/>
    <n v="2"/>
    <n v="1"/>
    <n v="2"/>
    <x v="4"/>
    <x v="7"/>
    <s v="15091988"/>
    <n v="34.441095890410956"/>
    <n v="697.5"/>
    <n v="348.75"/>
  </r>
  <r>
    <n v="16687334"/>
    <n v="20071988"/>
    <n v="5"/>
    <n v="1"/>
    <n v="1"/>
    <x v="10"/>
    <x v="3"/>
    <s v="20071988"/>
    <n v="34.597260273972601"/>
    <n v="175"/>
    <n v="35"/>
  </r>
  <r>
    <n v="22562651"/>
    <n v="9081988"/>
    <n v="3"/>
    <n v="0"/>
    <n v="1"/>
    <x v="1"/>
    <x v="2"/>
    <s v="09081988"/>
    <n v="34.542465753424658"/>
    <n v="175"/>
    <n v="58.333333333333336"/>
  </r>
  <r>
    <n v="4403857"/>
    <n v="13091988"/>
    <n v="3"/>
    <n v="2"/>
    <n v="2"/>
    <x v="8"/>
    <x v="8"/>
    <s v="13091988"/>
    <n v="34.446575342465756"/>
    <n v="697.5"/>
    <n v="232.5"/>
  </r>
  <r>
    <n v="4937934"/>
    <n v="19091988"/>
    <n v="4"/>
    <n v="1"/>
    <n v="2"/>
    <x v="5"/>
    <x v="2"/>
    <s v="19091988"/>
    <n v="34.43013698630137"/>
    <n v="697.5"/>
    <n v="174.375"/>
  </r>
  <r>
    <n v="12415482"/>
    <n v="12091988"/>
    <n v="4"/>
    <n v="2"/>
    <n v="2"/>
    <x v="5"/>
    <x v="3"/>
    <s v="12091988"/>
    <n v="34.449315068493149"/>
    <n v="697.5"/>
    <n v="174.375"/>
  </r>
  <r>
    <n v="9312065"/>
    <n v="5091988"/>
    <n v="4"/>
    <n v="1"/>
    <n v="3"/>
    <x v="9"/>
    <x v="3"/>
    <s v="05091988"/>
    <n v="34.468493150684928"/>
    <n v="1397.5"/>
    <n v="349.375"/>
  </r>
  <r>
    <n v="15186166"/>
    <n v="19081988"/>
    <n v="5"/>
    <n v="2"/>
    <n v="2"/>
    <x v="1"/>
    <x v="3"/>
    <s v="19081988"/>
    <n v="34.515068493150686"/>
    <n v="697.5"/>
    <n v="139.5"/>
  </r>
  <r>
    <n v="3971528"/>
    <n v="17091988"/>
    <n v="5"/>
    <n v="2"/>
    <n v="2"/>
    <x v="7"/>
    <x v="7"/>
    <s v="17091988"/>
    <n v="34.435616438356163"/>
    <n v="697.5"/>
    <n v="139.5"/>
  </r>
  <r>
    <n v="14752906"/>
    <n v="9091988"/>
    <n v="5"/>
    <n v="1"/>
    <n v="2"/>
    <x v="8"/>
    <x v="10"/>
    <s v="09091988"/>
    <n v="34.457534246575342"/>
    <n v="697.5"/>
    <n v="139.5"/>
  </r>
  <r>
    <n v="19993359"/>
    <n v="20091988"/>
    <n v="3"/>
    <n v="2"/>
    <n v="3"/>
    <x v="8"/>
    <x v="10"/>
    <s v="20091988"/>
    <n v="34.42739726027397"/>
    <n v="1397.5"/>
    <n v="465.83333333333331"/>
  </r>
  <r>
    <n v="3870235"/>
    <n v="1091988"/>
    <n v="3"/>
    <n v="2"/>
    <n v="4"/>
    <x v="8"/>
    <x v="7"/>
    <s v="01091988"/>
    <n v="34.479452054794521"/>
    <n v="2100"/>
    <n v="700"/>
  </r>
  <r>
    <n v="8878400"/>
    <n v="19091988"/>
    <n v="4"/>
    <n v="1"/>
    <n v="1"/>
    <x v="0"/>
    <x v="2"/>
    <s v="19091988"/>
    <n v="34.43013698630137"/>
    <n v="175"/>
    <n v="43.75"/>
  </r>
  <r>
    <n v="17956806"/>
    <n v="18091988"/>
    <n v="5"/>
    <n v="1"/>
    <n v="1"/>
    <x v="2"/>
    <x v="3"/>
    <s v="18091988"/>
    <n v="34.43287671232877"/>
    <n v="175"/>
    <n v="35"/>
  </r>
  <r>
    <n v="6641905"/>
    <n v="16091988"/>
    <n v="5"/>
    <n v="4"/>
    <n v="1"/>
    <x v="0"/>
    <x v="0"/>
    <s v="16091988"/>
    <n v="34.438356164383563"/>
    <n v="175"/>
    <n v="35"/>
  </r>
  <r>
    <n v="11448363"/>
    <n v="21091988"/>
    <n v="5"/>
    <n v="2"/>
    <n v="2"/>
    <x v="9"/>
    <x v="7"/>
    <s v="21091988"/>
    <n v="34.424657534246577"/>
    <n v="697.5"/>
    <n v="139.5"/>
  </r>
  <r>
    <n v="13684744"/>
    <n v="12091988"/>
    <n v="4"/>
    <n v="2"/>
    <n v="2"/>
    <x v="7"/>
    <x v="3"/>
    <s v="12091988"/>
    <n v="34.449315068493149"/>
    <n v="697.5"/>
    <n v="174.375"/>
  </r>
  <r>
    <n v="2369132"/>
    <n v="21091988"/>
    <n v="5"/>
    <n v="1"/>
    <n v="1"/>
    <x v="7"/>
    <x v="3"/>
    <s v="21091988"/>
    <n v="34.424657534246577"/>
    <n v="175"/>
    <n v="35"/>
  </r>
  <r>
    <n v="1935754"/>
    <n v="14091988"/>
    <n v="3"/>
    <n v="1"/>
    <n v="1"/>
    <x v="5"/>
    <x v="0"/>
    <s v="14091988"/>
    <n v="34.443835616438356"/>
    <n v="175"/>
    <n v="58.333333333333336"/>
  </r>
  <r>
    <n v="16354614"/>
    <n v="13091988"/>
    <n v="4"/>
    <n v="1"/>
    <n v="2"/>
    <x v="2"/>
    <x v="3"/>
    <s v="13091988"/>
    <n v="34.446575342465756"/>
    <n v="697.5"/>
    <n v="174.375"/>
  </r>
  <r>
    <n v="22663743"/>
    <n v="18091988"/>
    <n v="6"/>
    <n v="1"/>
    <n v="1"/>
    <x v="7"/>
    <x v="3"/>
    <s v="18091988"/>
    <n v="34.43287671232877"/>
    <n v="175"/>
    <n v="29.166666666666668"/>
  </r>
  <r>
    <n v="2903436"/>
    <n v="23091988"/>
    <n v="4"/>
    <n v="1"/>
    <n v="2"/>
    <x v="9"/>
    <x v="9"/>
    <s v="23091988"/>
    <n v="34.419178082191777"/>
    <n v="697.5"/>
    <n v="174.375"/>
  </r>
  <r>
    <n v="17322386"/>
    <n v="23061988"/>
    <n v="6"/>
    <n v="1"/>
    <n v="1"/>
    <x v="5"/>
    <x v="3"/>
    <s v="23061988"/>
    <n v="34.671232876712331"/>
    <n v="175"/>
    <n v="29.166666666666668"/>
  </r>
  <r>
    <n v="6006608"/>
    <n v="20091988"/>
    <n v="4"/>
    <n v="1"/>
    <n v="1"/>
    <x v="7"/>
    <x v="3"/>
    <s v="20091988"/>
    <n v="34.42739726027397"/>
    <n v="175"/>
    <n v="43.75"/>
  </r>
  <r>
    <n v="5573790"/>
    <n v="28071988"/>
    <n v="5"/>
    <n v="1"/>
    <n v="1"/>
    <x v="0"/>
    <x v="3"/>
    <s v="28071988"/>
    <n v="34.575342465753423"/>
    <n v="175"/>
    <n v="35"/>
  </r>
  <r>
    <n v="10812924"/>
    <n v="20081988"/>
    <n v="6"/>
    <n v="1"/>
    <n v="2"/>
    <x v="7"/>
    <x v="7"/>
    <s v="20081988"/>
    <n v="34.512328767123286"/>
    <n v="697.5"/>
    <n v="116.25"/>
  </r>
  <r>
    <n v="9744694"/>
    <n v="21091988"/>
    <n v="4"/>
    <n v="2"/>
    <n v="2"/>
    <x v="2"/>
    <x v="7"/>
    <s v="21091988"/>
    <n v="34.424657534246577"/>
    <n v="697.5"/>
    <n v="174.375"/>
  </r>
  <r>
    <n v="24698185"/>
    <n v="5091988"/>
    <n v="0"/>
    <n v="0"/>
    <n v="4"/>
    <x v="4"/>
    <x v="5"/>
    <s v="05091988"/>
    <n v="34.468493150684928"/>
    <n v="2100"/>
    <n v="0"/>
  </r>
  <r>
    <n v="15719917"/>
    <n v="1101988"/>
    <n v="4"/>
    <n v="1"/>
    <n v="2"/>
    <x v="9"/>
    <x v="8"/>
    <s v="01101988"/>
    <n v="34.397260273972606"/>
    <n v="697.5"/>
    <n v="174.375"/>
  </r>
  <r>
    <n v="21494192"/>
    <n v="16091988"/>
    <n v="6"/>
    <n v="1"/>
    <n v="1"/>
    <x v="7"/>
    <x v="3"/>
    <s v="16091988"/>
    <n v="34.438356164383563"/>
    <n v="175"/>
    <n v="29.166666666666668"/>
  </r>
  <r>
    <n v="15820390"/>
    <n v="23091988"/>
    <n v="3"/>
    <n v="0"/>
    <n v="1"/>
    <x v="7"/>
    <x v="3"/>
    <s v="23091988"/>
    <n v="34.419178082191777"/>
    <n v="175"/>
    <n v="58.333333333333336"/>
  </r>
  <r>
    <n v="22028550"/>
    <n v="29091988"/>
    <n v="3"/>
    <n v="1"/>
    <n v="2"/>
    <x v="7"/>
    <x v="3"/>
    <s v="29091988"/>
    <n v="34.402739726027399"/>
    <n v="697.5"/>
    <n v="232.5"/>
  </r>
  <r>
    <n v="19559382"/>
    <n v="15091988"/>
    <n v="3"/>
    <n v="1"/>
    <n v="1"/>
    <x v="8"/>
    <x v="10"/>
    <s v="15091988"/>
    <n v="34.441095890410956"/>
    <n v="175"/>
    <n v="58.333333333333336"/>
  </r>
  <r>
    <n v="7175493"/>
    <n v="3101988"/>
    <n v="5"/>
    <n v="2"/>
    <n v="6"/>
    <x v="2"/>
    <x v="7"/>
    <s v="03101988"/>
    <n v="34.391780821917806"/>
    <n v="4000"/>
    <n v="800"/>
  </r>
  <r>
    <n v="15619062"/>
    <n v="18091988"/>
    <n v="4"/>
    <n v="2"/>
    <n v="1"/>
    <x v="7"/>
    <x v="3"/>
    <s v="18091988"/>
    <n v="34.43287671232877"/>
    <n v="175"/>
    <n v="43.75"/>
  </r>
  <r>
    <n v="21061240"/>
    <n v="22091988"/>
    <n v="3"/>
    <n v="0"/>
    <n v="1"/>
    <x v="2"/>
    <x v="10"/>
    <s v="22091988"/>
    <n v="34.421917808219177"/>
    <n v="175"/>
    <n v="58.333333333333336"/>
  </r>
  <r>
    <n v="13483103"/>
    <n v="21091988"/>
    <n v="5"/>
    <n v="1"/>
    <n v="1"/>
    <x v="1"/>
    <x v="0"/>
    <s v="21091988"/>
    <n v="34.424657534246577"/>
    <n v="175"/>
    <n v="35"/>
  </r>
  <r>
    <n v="15431611"/>
    <n v="4101988"/>
    <n v="5"/>
    <n v="2"/>
    <n v="2"/>
    <x v="5"/>
    <x v="7"/>
    <s v="04101988"/>
    <n v="34.389041095890413"/>
    <n v="697.5"/>
    <n v="139.5"/>
  </r>
  <r>
    <n v="14364057"/>
    <n v="4101988"/>
    <n v="5"/>
    <n v="1"/>
    <n v="2"/>
    <x v="2"/>
    <x v="3"/>
    <s v="04101988"/>
    <n v="34.389041095890413"/>
    <n v="697.5"/>
    <n v="139.5"/>
  </r>
  <r>
    <n v="21205706"/>
    <n v="6101988"/>
    <n v="5"/>
    <n v="2"/>
    <n v="2"/>
    <x v="7"/>
    <x v="7"/>
    <s v="06101988"/>
    <n v="34.38356164383562"/>
    <n v="697.5"/>
    <n v="139.5"/>
  </r>
  <r>
    <n v="21739743"/>
    <n v="16091988"/>
    <n v="4"/>
    <n v="1"/>
    <n v="1"/>
    <x v="0"/>
    <x v="1"/>
    <s v="16091988"/>
    <n v="34.438356164383563"/>
    <n v="175"/>
    <n v="43.75"/>
  </r>
  <r>
    <n v="19271842"/>
    <n v="8101988"/>
    <n v="6"/>
    <n v="0"/>
    <n v="1"/>
    <x v="7"/>
    <x v="3"/>
    <s v="08101988"/>
    <n v="34.37808219178082"/>
    <n v="175"/>
    <n v="29.166666666666668"/>
  </r>
  <r>
    <n v="11261617"/>
    <n v="5101988"/>
    <n v="5"/>
    <n v="1"/>
    <n v="2"/>
    <x v="7"/>
    <x v="3"/>
    <s v="05101988"/>
    <n v="34.386301369863013"/>
    <n v="697.5"/>
    <n v="139.5"/>
  </r>
  <r>
    <n v="9226591"/>
    <n v="21091988"/>
    <n v="4"/>
    <n v="1"/>
    <n v="2"/>
    <x v="7"/>
    <x v="3"/>
    <s v="21091988"/>
    <n v="34.424657534246577"/>
    <n v="697.5"/>
    <n v="174.375"/>
  </r>
  <r>
    <n v="6887537"/>
    <n v="7101988"/>
    <n v="4"/>
    <n v="2"/>
    <n v="1"/>
    <x v="5"/>
    <x v="3"/>
    <s v="07101988"/>
    <n v="34.38082191780822"/>
    <n v="175"/>
    <n v="43.75"/>
  </r>
  <r>
    <n v="24944056"/>
    <n v="6101988"/>
    <n v="4"/>
    <n v="2"/>
    <n v="2"/>
    <x v="7"/>
    <x v="3"/>
    <s v="06101988"/>
    <n v="34.38356164383562"/>
    <n v="697.5"/>
    <n v="174.375"/>
  </r>
  <r>
    <n v="5819647"/>
    <n v="19091988"/>
    <n v="4"/>
    <n v="1"/>
    <n v="2"/>
    <x v="9"/>
    <x v="10"/>
    <s v="19091988"/>
    <n v="34.43013698630137"/>
    <n v="697.5"/>
    <n v="174.375"/>
  </r>
  <r>
    <n v="11795547"/>
    <n v="9101988"/>
    <n v="4"/>
    <n v="1"/>
    <n v="2"/>
    <x v="7"/>
    <x v="3"/>
    <s v="09101988"/>
    <n v="34.375342465753427"/>
    <n v="697.5"/>
    <n v="174.375"/>
  </r>
  <r>
    <n v="2283395"/>
    <n v="3101988"/>
    <n v="5"/>
    <n v="1"/>
    <n v="1"/>
    <x v="4"/>
    <x v="2"/>
    <s v="03101988"/>
    <n v="34.391780821917806"/>
    <n v="175"/>
    <n v="35"/>
  </r>
  <r>
    <n v="23442882"/>
    <n v="9101988"/>
    <n v="2"/>
    <n v="1"/>
    <n v="1"/>
    <x v="7"/>
    <x v="3"/>
    <s v="09101988"/>
    <n v="34.375342465753427"/>
    <n v="175"/>
    <n v="87.5"/>
  </r>
  <r>
    <n v="23010606"/>
    <n v="11101988"/>
    <n v="5"/>
    <n v="2"/>
    <n v="3"/>
    <x v="8"/>
    <x v="7"/>
    <s v="11101988"/>
    <n v="34.369863013698627"/>
    <n v="1397.5"/>
    <n v="279.5"/>
  </r>
  <r>
    <n v="5488200"/>
    <n v="17081988"/>
    <n v="4"/>
    <n v="1"/>
    <n v="1"/>
    <x v="7"/>
    <x v="3"/>
    <s v="17081988"/>
    <n v="34.520547945205479"/>
    <n v="175"/>
    <n v="43.75"/>
  </r>
  <r>
    <n v="20874333"/>
    <n v="11101988"/>
    <n v="5"/>
    <n v="1"/>
    <n v="2"/>
    <x v="8"/>
    <x v="10"/>
    <s v="11101988"/>
    <n v="34.369863013698627"/>
    <n v="697.5"/>
    <n v="139.5"/>
  </r>
  <r>
    <n v="19253149"/>
    <n v="19091988"/>
    <n v="6"/>
    <n v="1"/>
    <n v="1"/>
    <x v="1"/>
    <x v="3"/>
    <s v="19091988"/>
    <n v="34.43013698630137"/>
    <n v="175"/>
    <n v="29.166666666666668"/>
  </r>
  <r>
    <n v="2109483"/>
    <n v="19051988"/>
    <n v="5"/>
    <n v="2"/>
    <n v="2"/>
    <x v="2"/>
    <x v="9"/>
    <s v="19051988"/>
    <n v="34.767123287671232"/>
    <n v="697.5"/>
    <n v="139.5"/>
  </r>
  <r>
    <n v="5342811"/>
    <n v="27061988"/>
    <n v="4"/>
    <n v="1"/>
    <n v="2"/>
    <x v="7"/>
    <x v="1"/>
    <s v="27061988"/>
    <n v="34.660273972602738"/>
    <n v="697.5"/>
    <n v="174.375"/>
  </r>
  <r>
    <n v="6398589"/>
    <n v="15091988"/>
    <n v="4"/>
    <n v="2"/>
    <n v="2"/>
    <x v="6"/>
    <x v="7"/>
    <s v="15091988"/>
    <n v="34.441095890410956"/>
    <n v="697.5"/>
    <n v="174.375"/>
  </r>
  <r>
    <n v="17803059"/>
    <n v="18081988"/>
    <n v="6"/>
    <n v="1"/>
    <n v="6"/>
    <x v="2"/>
    <x v="9"/>
    <s v="18081988"/>
    <n v="34.517808219178079"/>
    <n v="4000"/>
    <n v="666.66666666666663"/>
  </r>
  <r>
    <n v="10736540"/>
    <n v="23111987"/>
    <n v="2"/>
    <n v="0"/>
    <n v="1"/>
    <x v="5"/>
    <x v="1"/>
    <s v="23111987"/>
    <n v="35.254794520547946"/>
    <n v="175"/>
    <n v="87.5"/>
  </r>
  <r>
    <n v="19916921"/>
    <n v="18121987"/>
    <n v="3"/>
    <n v="0"/>
    <n v="1"/>
    <x v="4"/>
    <x v="9"/>
    <s v="18121987"/>
    <n v="35.186301369863017"/>
    <n v="175"/>
    <n v="58.333333333333336"/>
  </r>
  <r>
    <n v="12749689"/>
    <n v="26091988"/>
    <n v="3"/>
    <n v="2"/>
    <n v="3"/>
    <x v="6"/>
    <x v="7"/>
    <s v="26091988"/>
    <n v="34.410958904109592"/>
    <n v="1397.5"/>
    <n v="465.83333333333331"/>
  </r>
  <r>
    <n v="8022115"/>
    <n v="19071988"/>
    <n v="5"/>
    <n v="1"/>
    <n v="2"/>
    <x v="2"/>
    <x v="7"/>
    <s v="19071988"/>
    <n v="34.6"/>
    <n v="697.5"/>
    <n v="139.5"/>
  </r>
  <r>
    <n v="7487801"/>
    <n v="21101988"/>
    <n v="6"/>
    <n v="1"/>
    <n v="5"/>
    <x v="2"/>
    <x v="7"/>
    <s v="21101988"/>
    <n v="34.342465753424655"/>
    <n v="2787.5"/>
    <n v="464.58333333333331"/>
  </r>
  <r>
    <n v="9871183"/>
    <n v="18111988"/>
    <n v="4"/>
    <n v="1"/>
    <n v="2"/>
    <x v="8"/>
    <x v="10"/>
    <s v="18111988"/>
    <n v="34.265753424657532"/>
    <n v="697.5"/>
    <n v="174.375"/>
  </r>
  <r>
    <n v="7131009"/>
    <n v="9071988"/>
    <n v="4"/>
    <n v="1"/>
    <n v="1"/>
    <x v="5"/>
    <x v="2"/>
    <s v="09071988"/>
    <n v="34.627397260273973"/>
    <n v="175"/>
    <n v="43.75"/>
  </r>
  <r>
    <n v="23357585"/>
    <n v="23091988"/>
    <n v="6"/>
    <n v="1"/>
    <n v="3"/>
    <x v="2"/>
    <x v="5"/>
    <s v="23091988"/>
    <n v="34.419178082191777"/>
    <n v="1397.5"/>
    <n v="232.91666666666666"/>
  </r>
  <r>
    <n v="15021457"/>
    <n v="6091988"/>
    <n v="4"/>
    <n v="1"/>
    <n v="2"/>
    <x v="8"/>
    <x v="9"/>
    <s v="06091988"/>
    <n v="34.465753424657535"/>
    <n v="697.5"/>
    <n v="174.375"/>
  </r>
  <r>
    <n v="22239141"/>
    <n v="24111987"/>
    <n v="5"/>
    <n v="0"/>
    <n v="1"/>
    <x v="4"/>
    <x v="3"/>
    <s v="24111987"/>
    <n v="35.252054794520546"/>
    <n v="175"/>
    <n v="35"/>
  </r>
  <r>
    <n v="1511425"/>
    <n v="5121987"/>
    <n v="3"/>
    <n v="1"/>
    <n v="1"/>
    <x v="6"/>
    <x v="2"/>
    <s v="05121987"/>
    <n v="35.221917808219175"/>
    <n v="175"/>
    <n v="58.333333333333336"/>
  </r>
  <r>
    <n v="1527242"/>
    <n v="8011988"/>
    <n v="3"/>
    <n v="1"/>
    <n v="1"/>
    <x v="7"/>
    <x v="9"/>
    <s v="08011988"/>
    <n v="35.128767123287673"/>
    <n v="175"/>
    <n v="58.333333333333336"/>
  </r>
  <r>
    <n v="16913638"/>
    <n v="18011988"/>
    <n v="8"/>
    <n v="4"/>
    <n v="6"/>
    <x v="2"/>
    <x v="6"/>
    <s v="18011988"/>
    <n v="35.101369863013701"/>
    <n v="4000"/>
    <n v="500"/>
  </r>
  <r>
    <n v="4731769"/>
    <n v="26011988"/>
    <n v="0"/>
    <n v="0"/>
    <n v="6"/>
    <x v="4"/>
    <x v="5"/>
    <s v="26011988"/>
    <n v="35.079452054794523"/>
    <n v="4000"/>
    <n v="0"/>
  </r>
  <r>
    <n v="5872526"/>
    <n v="4011988"/>
    <n v="7"/>
    <n v="1"/>
    <n v="1"/>
    <x v="5"/>
    <x v="2"/>
    <s v="04011988"/>
    <n v="35.139726027397259"/>
    <n v="175"/>
    <n v="25"/>
  </r>
  <r>
    <n v="1166596"/>
    <n v="28011988"/>
    <n v="4"/>
    <n v="0"/>
    <n v="1"/>
    <x v="2"/>
    <x v="10"/>
    <s v="28011988"/>
    <n v="35.073972602739723"/>
    <n v="175"/>
    <n v="43.75"/>
  </r>
  <r>
    <n v="11416059"/>
    <n v="13111986"/>
    <n v="4"/>
    <n v="1"/>
    <n v="1"/>
    <x v="5"/>
    <x v="10"/>
    <s v="13111986"/>
    <n v="36.282191780821918"/>
    <n v="175"/>
    <n v="43.75"/>
  </r>
  <r>
    <n v="16018734"/>
    <n v="10031988"/>
    <n v="5"/>
    <n v="2"/>
    <n v="2"/>
    <x v="10"/>
    <x v="9"/>
    <s v="10031988"/>
    <n v="34.958904109589042"/>
    <n v="697.5"/>
    <n v="139.5"/>
  </r>
  <r>
    <n v="3230820"/>
    <n v="10051988"/>
    <n v="3"/>
    <n v="1"/>
    <n v="2"/>
    <x v="7"/>
    <x v="3"/>
    <s v="10051988"/>
    <n v="34.791780821917811"/>
    <n v="697.5"/>
    <n v="232.5"/>
  </r>
  <r>
    <n v="4399863"/>
    <n v="21041988"/>
    <n v="0"/>
    <n v="0"/>
    <n v="3"/>
    <x v="4"/>
    <x v="5"/>
    <s v="21041988"/>
    <n v="34.843835616438355"/>
    <n v="1397.5"/>
    <n v="0"/>
  </r>
  <r>
    <n v="18964511"/>
    <n v="14071988"/>
    <n v="0"/>
    <n v="0"/>
    <n v="1"/>
    <x v="4"/>
    <x v="5"/>
    <s v="14071988"/>
    <n v="34.613698630136987"/>
    <n v="175"/>
    <n v="0"/>
  </r>
  <r>
    <n v="9582327"/>
    <n v="4081988"/>
    <n v="0"/>
    <n v="0"/>
    <n v="4"/>
    <x v="4"/>
    <x v="5"/>
    <s v="04081988"/>
    <n v="34.556164383561644"/>
    <n v="2100"/>
    <n v="0"/>
  </r>
  <r>
    <n v="401848"/>
    <n v="12091988"/>
    <n v="5"/>
    <n v="1"/>
    <n v="3"/>
    <x v="2"/>
    <x v="3"/>
    <s v="12091988"/>
    <n v="34.449315068493149"/>
    <n v="1397.5"/>
    <n v="279.5"/>
  </r>
  <r>
    <n v="6726135"/>
    <n v="17091988"/>
    <n v="4"/>
    <n v="1"/>
    <n v="1"/>
    <x v="7"/>
    <x v="7"/>
    <s v="17091988"/>
    <n v="34.435616438356163"/>
    <n v="175"/>
    <n v="43.75"/>
  </r>
  <r>
    <n v="9728085"/>
    <n v="11051988"/>
    <n v="3"/>
    <n v="1"/>
    <n v="1"/>
    <x v="1"/>
    <x v="0"/>
    <s v="11051988"/>
    <n v="34.789041095890411"/>
    <n v="175"/>
    <n v="58.333333333333336"/>
  </r>
  <r>
    <n v="8040281"/>
    <n v="16091988"/>
    <n v="4"/>
    <n v="0"/>
    <n v="1"/>
    <x v="7"/>
    <x v="9"/>
    <s v="16091988"/>
    <n v="34.438356164383563"/>
    <n v="175"/>
    <n v="43.75"/>
  </r>
  <r>
    <n v="3234118"/>
    <n v="9111988"/>
    <n v="4"/>
    <n v="0"/>
    <n v="1"/>
    <x v="9"/>
    <x v="1"/>
    <s v="09111988"/>
    <n v="34.290410958904111"/>
    <n v="175"/>
    <n v="43.75"/>
  </r>
  <r>
    <n v="18720885"/>
    <n v="12011989"/>
    <n v="3"/>
    <n v="1"/>
    <n v="3"/>
    <x v="4"/>
    <x v="7"/>
    <s v="12011989"/>
    <n v="34.115068493150687"/>
    <n v="1397.5"/>
    <n v="465.83333333333331"/>
  </r>
  <r>
    <n v="21852950"/>
    <n v="23111987"/>
    <n v="4"/>
    <n v="1"/>
    <n v="1"/>
    <x v="0"/>
    <x v="3"/>
    <s v="23111987"/>
    <n v="35.254794520547946"/>
    <n v="175"/>
    <n v="43.75"/>
  </r>
  <r>
    <n v="12817701"/>
    <n v="10031988"/>
    <n v="3"/>
    <n v="1"/>
    <n v="2"/>
    <x v="2"/>
    <x v="7"/>
    <s v="10031988"/>
    <n v="34.958904109589042"/>
    <n v="697.5"/>
    <n v="232.5"/>
  </r>
  <r>
    <n v="8402566"/>
    <n v="15011988"/>
    <n v="5"/>
    <n v="2"/>
    <n v="2"/>
    <x v="7"/>
    <x v="3"/>
    <s v="15011988"/>
    <n v="35.109589041095887"/>
    <n v="697.5"/>
    <n v="139.5"/>
  </r>
  <r>
    <n v="1424916"/>
    <n v="28121988"/>
    <n v="4"/>
    <n v="1"/>
    <n v="2"/>
    <x v="8"/>
    <x v="3"/>
    <s v="28121988"/>
    <n v="34.156164383561645"/>
    <n v="697.5"/>
    <n v="174.375"/>
  </r>
  <r>
    <n v="18856034"/>
    <n v="22111988"/>
    <n v="5"/>
    <n v="3"/>
    <n v="1"/>
    <x v="7"/>
    <x v="1"/>
    <s v="22111988"/>
    <n v="34.254794520547946"/>
    <n v="175"/>
    <n v="35"/>
  </r>
  <r>
    <n v="5593794"/>
    <n v="30121988"/>
    <n v="4"/>
    <n v="1"/>
    <n v="2"/>
    <x v="7"/>
    <x v="3"/>
    <s v="30121988"/>
    <n v="34.150684931506852"/>
    <n v="697.5"/>
    <n v="174.375"/>
  </r>
  <r>
    <n v="17215842"/>
    <n v="11121987"/>
    <n v="4"/>
    <n v="0"/>
    <n v="1"/>
    <x v="7"/>
    <x v="3"/>
    <s v="11121987"/>
    <n v="35.205479452054796"/>
    <n v="175"/>
    <n v="43.75"/>
  </r>
  <r>
    <n v="8670982"/>
    <n v="28121987"/>
    <n v="5"/>
    <n v="2"/>
    <n v="1"/>
    <x v="7"/>
    <x v="10"/>
    <s v="28121987"/>
    <n v="35.158904109589038"/>
    <n v="175"/>
    <n v="35"/>
  </r>
  <r>
    <n v="19699102"/>
    <n v="8011988"/>
    <n v="4"/>
    <n v="1"/>
    <n v="1"/>
    <x v="5"/>
    <x v="1"/>
    <s v="08011988"/>
    <n v="35.128767123287673"/>
    <n v="175"/>
    <n v="43.75"/>
  </r>
  <r>
    <n v="11587512"/>
    <n v="29021988"/>
    <n v="6"/>
    <n v="2"/>
    <n v="2"/>
    <x v="7"/>
    <x v="3"/>
    <s v="29021988"/>
    <n v="34.986301369863014"/>
    <n v="697.5"/>
    <n v="116.25"/>
  </r>
  <r>
    <n v="573763"/>
    <n v="28041988"/>
    <n v="4"/>
    <n v="1"/>
    <n v="2"/>
    <x v="7"/>
    <x v="3"/>
    <s v="28041988"/>
    <n v="34.824657534246576"/>
    <n v="697.5"/>
    <n v="174.375"/>
  </r>
  <r>
    <n v="662802"/>
    <n v="1081988"/>
    <n v="4"/>
    <n v="1"/>
    <n v="1"/>
    <x v="2"/>
    <x v="7"/>
    <s v="01081988"/>
    <n v="34.564383561643837"/>
    <n v="175"/>
    <n v="43.75"/>
  </r>
  <r>
    <n v="3608859"/>
    <n v="7101988"/>
    <n v="6"/>
    <n v="1"/>
    <n v="1"/>
    <x v="0"/>
    <x v="3"/>
    <s v="07101988"/>
    <n v="34.38082191780822"/>
    <n v="175"/>
    <n v="29.166666666666668"/>
  </r>
  <r>
    <n v="22728113"/>
    <n v="28091988"/>
    <n v="3"/>
    <n v="1"/>
    <n v="1"/>
    <x v="7"/>
    <x v="2"/>
    <s v="28091988"/>
    <n v="34.405479452054792"/>
    <n v="175"/>
    <n v="58.333333333333336"/>
  </r>
  <r>
    <n v="5537402"/>
    <n v="11111988"/>
    <n v="4"/>
    <n v="1"/>
    <n v="1"/>
    <x v="5"/>
    <x v="3"/>
    <s v="11111988"/>
    <n v="34.284931506849318"/>
    <n v="175"/>
    <n v="43.75"/>
  </r>
  <r>
    <n v="10703406"/>
    <n v="15111988"/>
    <n v="3"/>
    <n v="2"/>
    <n v="2"/>
    <x v="4"/>
    <x v="3"/>
    <s v="15111988"/>
    <n v="34.273972602739725"/>
    <n v="697.5"/>
    <n v="232.5"/>
  </r>
  <r>
    <n v="6431312"/>
    <n v="23111988"/>
    <n v="5"/>
    <n v="1"/>
    <n v="2"/>
    <x v="7"/>
    <x v="0"/>
    <s v="23111988"/>
    <n v="34.252054794520546"/>
    <n v="697.5"/>
    <n v="139.5"/>
  </r>
  <r>
    <n v="17061222"/>
    <n v="16051988"/>
    <n v="5"/>
    <n v="3"/>
    <n v="4"/>
    <x v="7"/>
    <x v="7"/>
    <s v="16051988"/>
    <n v="34.775342465753425"/>
    <n v="2100"/>
    <n v="420"/>
  </r>
  <r>
    <n v="10393585"/>
    <n v="11061988"/>
    <n v="3"/>
    <n v="0"/>
    <n v="1"/>
    <x v="1"/>
    <x v="2"/>
    <s v="11061988"/>
    <n v="34.704109589041096"/>
    <n v="175"/>
    <n v="58.333333333333336"/>
  </r>
  <r>
    <n v="2812730"/>
    <n v="13121988"/>
    <n v="4"/>
    <n v="1"/>
    <n v="1"/>
    <x v="7"/>
    <x v="3"/>
    <s v="13121988"/>
    <n v="34.197260273972603"/>
    <n v="175"/>
    <n v="43.75"/>
  </r>
  <r>
    <n v="24724766"/>
    <n v="25111988"/>
    <n v="2"/>
    <n v="1"/>
    <n v="1"/>
    <x v="4"/>
    <x v="5"/>
    <s v="25111988"/>
    <n v="34.246575342465754"/>
    <n v="175"/>
    <n v="87.5"/>
  </r>
  <r>
    <n v="17524493"/>
    <n v="28011989"/>
    <n v="3"/>
    <n v="1"/>
    <n v="1"/>
    <x v="7"/>
    <x v="7"/>
    <s v="28011989"/>
    <n v="34.07123287671233"/>
    <n v="175"/>
    <n v="58.333333333333336"/>
  </r>
  <r>
    <n v="6825096"/>
    <n v="17081987"/>
    <n v="4"/>
    <n v="1"/>
    <n v="1"/>
    <x v="4"/>
    <x v="0"/>
    <s v="17081987"/>
    <n v="35.523287671232879"/>
    <n v="175"/>
    <n v="43.75"/>
  </r>
  <r>
    <n v="24787065"/>
    <n v="4071988"/>
    <n v="3"/>
    <n v="1"/>
    <n v="1"/>
    <x v="4"/>
    <x v="3"/>
    <s v="04071988"/>
    <n v="34.641095890410959"/>
    <n v="175"/>
    <n v="58.333333333333336"/>
  </r>
  <r>
    <n v="16342448"/>
    <n v="20071988"/>
    <n v="4"/>
    <n v="1"/>
    <n v="1"/>
    <x v="1"/>
    <x v="1"/>
    <s v="20071988"/>
    <n v="34.597260273972601"/>
    <n v="175"/>
    <n v="43.75"/>
  </r>
  <r>
    <n v="3095825"/>
    <n v="15091988"/>
    <n v="5"/>
    <n v="1"/>
    <n v="1"/>
    <x v="0"/>
    <x v="0"/>
    <s v="15091988"/>
    <n v="34.441095890410956"/>
    <n v="175"/>
    <n v="35"/>
  </r>
  <r>
    <n v="1109934"/>
    <n v="24041988"/>
    <n v="5"/>
    <n v="2"/>
    <n v="1"/>
    <x v="5"/>
    <x v="10"/>
    <s v="24041988"/>
    <n v="34.835616438356162"/>
    <n v="175"/>
    <n v="35"/>
  </r>
  <r>
    <n v="2915807"/>
    <n v="1111987"/>
    <n v="3"/>
    <n v="0"/>
    <n v="1"/>
    <x v="7"/>
    <x v="2"/>
    <s v="01111987"/>
    <n v="35.315068493150683"/>
    <n v="175"/>
    <n v="58.333333333333336"/>
  </r>
  <r>
    <n v="2712788"/>
    <n v="30061988"/>
    <n v="4"/>
    <n v="1"/>
    <n v="1"/>
    <x v="1"/>
    <x v="2"/>
    <s v="30061988"/>
    <n v="34.652054794520545"/>
    <n v="175"/>
    <n v="43.75"/>
  </r>
  <r>
    <n v="15097595"/>
    <n v="29071988"/>
    <n v="5"/>
    <n v="1"/>
    <n v="1"/>
    <x v="7"/>
    <x v="3"/>
    <s v="29071988"/>
    <n v="34.57260273972603"/>
    <n v="175"/>
    <n v="35"/>
  </r>
  <r>
    <n v="20337065"/>
    <n v="2091988"/>
    <n v="5"/>
    <n v="1"/>
    <n v="1"/>
    <x v="0"/>
    <x v="2"/>
    <s v="02091988"/>
    <n v="34.476712328767121"/>
    <n v="175"/>
    <n v="35"/>
  </r>
  <r>
    <n v="22905703"/>
    <n v="20091988"/>
    <n v="5"/>
    <n v="1"/>
    <n v="1"/>
    <x v="7"/>
    <x v="3"/>
    <s v="20091988"/>
    <n v="34.42739726027397"/>
    <n v="175"/>
    <n v="35"/>
  </r>
  <r>
    <n v="18546887"/>
    <n v="2101988"/>
    <n v="5"/>
    <n v="2"/>
    <n v="1"/>
    <x v="5"/>
    <x v="1"/>
    <s v="02101988"/>
    <n v="34.394520547945206"/>
    <n v="175"/>
    <n v="35"/>
  </r>
  <r>
    <n v="17580471"/>
    <n v="23081988"/>
    <n v="0"/>
    <n v="0"/>
    <n v="1"/>
    <x v="4"/>
    <x v="5"/>
    <s v="23081988"/>
    <n v="34.504109589041093"/>
    <n v="175"/>
    <n v="0"/>
  </r>
  <r>
    <n v="11071179"/>
    <n v="29101988"/>
    <n v="5"/>
    <n v="1"/>
    <n v="1"/>
    <x v="7"/>
    <x v="1"/>
    <s v="29101988"/>
    <n v="34.320547945205476"/>
    <n v="175"/>
    <n v="35"/>
  </r>
  <r>
    <n v="13308184"/>
    <n v="4101988"/>
    <n v="0"/>
    <n v="0"/>
    <n v="1"/>
    <x v="4"/>
    <x v="5"/>
    <s v="04101988"/>
    <n v="34.389041095890413"/>
    <n v="175"/>
    <n v="0"/>
  </r>
  <r>
    <n v="21752105"/>
    <n v="12111988"/>
    <n v="2"/>
    <n v="1"/>
    <n v="1"/>
    <x v="4"/>
    <x v="3"/>
    <s v="12111988"/>
    <n v="34.282191780821918"/>
    <n v="175"/>
    <n v="87.5"/>
  </r>
  <r>
    <n v="2526544"/>
    <n v="1121988"/>
    <n v="4"/>
    <n v="2"/>
    <n v="1"/>
    <x v="8"/>
    <x v="7"/>
    <s v="01121988"/>
    <n v="34.230136986301368"/>
    <n v="175"/>
    <n v="43.75"/>
  </r>
  <r>
    <n v="7433517"/>
    <n v="10121988"/>
    <n v="5"/>
    <n v="1"/>
    <n v="1"/>
    <x v="1"/>
    <x v="0"/>
    <s v="10121988"/>
    <n v="34.205479452054796"/>
    <n v="175"/>
    <n v="35"/>
  </r>
  <r>
    <n v="14174579"/>
    <n v="30111988"/>
    <n v="0"/>
    <n v="0"/>
    <n v="1"/>
    <x v="4"/>
    <x v="5"/>
    <s v="30111988"/>
    <n v="34.232876712328768"/>
    <n v="175"/>
    <n v="0"/>
  </r>
  <r>
    <n v="22820531"/>
    <n v="10121988"/>
    <n v="4"/>
    <n v="1"/>
    <n v="1"/>
    <x v="0"/>
    <x v="3"/>
    <s v="10121988"/>
    <n v="34.205479452054796"/>
    <n v="175"/>
    <n v="43.75"/>
  </r>
  <r>
    <n v="2092978"/>
    <n v="17121988"/>
    <n v="4"/>
    <n v="2"/>
    <n v="1"/>
    <x v="1"/>
    <x v="2"/>
    <s v="17121988"/>
    <n v="34.186301369863017"/>
    <n v="175"/>
    <n v="43.75"/>
  </r>
  <r>
    <n v="17046442"/>
    <n v="20091988"/>
    <n v="0"/>
    <n v="0"/>
    <n v="1"/>
    <x v="6"/>
    <x v="3"/>
    <s v="20091988"/>
    <n v="34.42739726027397"/>
    <n v="175"/>
    <n v="0"/>
  </r>
  <r>
    <n v="3595118"/>
    <n v="14041989"/>
    <n v="4"/>
    <n v="1"/>
    <n v="1"/>
    <x v="0"/>
    <x v="1"/>
    <s v="14041989"/>
    <n v="33.863013698630134"/>
    <n v="175"/>
    <n v="43.75"/>
  </r>
  <r>
    <n v="23455343"/>
    <n v="4051989"/>
    <n v="0"/>
    <n v="0"/>
    <n v="2"/>
    <x v="4"/>
    <x v="5"/>
    <s v="04051989"/>
    <n v="33.80821917808219"/>
    <n v="697.5"/>
    <n v="0"/>
  </r>
  <r>
    <n v="5297842"/>
    <n v="18051989"/>
    <n v="4"/>
    <n v="1"/>
    <n v="1"/>
    <x v="7"/>
    <x v="0"/>
    <s v="18051989"/>
    <n v="33.769863013698632"/>
    <n v="175"/>
    <n v="43.75"/>
  </r>
  <r>
    <n v="1992082"/>
    <n v="20051989"/>
    <n v="6"/>
    <n v="1"/>
    <n v="1"/>
    <x v="7"/>
    <x v="3"/>
    <s v="20051989"/>
    <n v="33.764383561643832"/>
    <n v="175"/>
    <n v="29.166666666666668"/>
  </r>
  <r>
    <n v="24956363"/>
    <n v="10051989"/>
    <n v="4"/>
    <n v="1"/>
    <n v="1"/>
    <x v="7"/>
    <x v="3"/>
    <s v="10051989"/>
    <n v="33.791780821917811"/>
    <n v="175"/>
    <n v="43.75"/>
  </r>
  <r>
    <n v="13858235"/>
    <n v="6041986"/>
    <n v="5"/>
    <n v="2"/>
    <n v="2"/>
    <x v="5"/>
    <x v="2"/>
    <s v="06041986"/>
    <n v="36.887671232876713"/>
    <n v="697.5"/>
    <n v="139.5"/>
  </r>
  <r>
    <n v="21576929"/>
    <n v="6011989"/>
    <n v="7"/>
    <n v="1"/>
    <n v="2"/>
    <x v="1"/>
    <x v="1"/>
    <s v="06011989"/>
    <n v="34.131506849315066"/>
    <n v="697.5"/>
    <n v="99.642857142857139"/>
  </r>
  <r>
    <n v="2792987"/>
    <n v="4101988"/>
    <n v="5"/>
    <n v="0"/>
    <n v="1"/>
    <x v="0"/>
    <x v="0"/>
    <s v="04101988"/>
    <n v="34.389041095890413"/>
    <n v="175"/>
    <n v="35"/>
  </r>
  <r>
    <n v="22799315"/>
    <n v="16111988"/>
    <n v="3"/>
    <n v="1"/>
    <n v="1"/>
    <x v="8"/>
    <x v="10"/>
    <s v="16111988"/>
    <n v="34.271232876712325"/>
    <n v="175"/>
    <n v="58.333333333333336"/>
  </r>
  <r>
    <n v="6878597"/>
    <n v="5121988"/>
    <n v="6"/>
    <n v="2"/>
    <n v="2"/>
    <x v="5"/>
    <x v="1"/>
    <s v="05121988"/>
    <n v="34.219178082191782"/>
    <n v="697.5"/>
    <n v="116.25"/>
  </r>
  <r>
    <n v="5001888"/>
    <n v="24111987"/>
    <n v="5"/>
    <n v="1"/>
    <n v="1"/>
    <x v="7"/>
    <x v="1"/>
    <s v="24111987"/>
    <n v="35.252054794520546"/>
    <n v="175"/>
    <n v="35"/>
  </r>
  <r>
    <n v="24208725"/>
    <n v="9061988"/>
    <n v="5"/>
    <n v="2"/>
    <n v="3"/>
    <x v="7"/>
    <x v="7"/>
    <s v="09061988"/>
    <n v="34.709589041095889"/>
    <n v="1397.5"/>
    <n v="279.5"/>
  </r>
  <r>
    <n v="1259383"/>
    <n v="9071988"/>
    <n v="5"/>
    <n v="1"/>
    <n v="1"/>
    <x v="8"/>
    <x v="10"/>
    <s v="09071988"/>
    <n v="34.627397260273973"/>
    <n v="175"/>
    <n v="35"/>
  </r>
  <r>
    <n v="671533"/>
    <n v="28091988"/>
    <n v="4"/>
    <n v="1"/>
    <n v="2"/>
    <x v="2"/>
    <x v="7"/>
    <s v="28091988"/>
    <n v="34.405479452054792"/>
    <n v="697.5"/>
    <n v="174.375"/>
  </r>
  <r>
    <n v="17097493"/>
    <n v="28091988"/>
    <n v="3"/>
    <n v="1"/>
    <n v="5"/>
    <x v="4"/>
    <x v="5"/>
    <s v="28091988"/>
    <n v="34.405479452054792"/>
    <n v="2787.5"/>
    <n v="929.16666666666663"/>
  </r>
  <r>
    <n v="18699270"/>
    <n v="14101988"/>
    <n v="6"/>
    <n v="2"/>
    <n v="4"/>
    <x v="6"/>
    <x v="7"/>
    <s v="14101988"/>
    <n v="34.361643835616441"/>
    <n v="2100"/>
    <n v="350"/>
  </r>
  <r>
    <n v="1006213"/>
    <n v="26101988"/>
    <n v="3"/>
    <n v="1"/>
    <n v="1"/>
    <x v="7"/>
    <x v="1"/>
    <s v="26101988"/>
    <n v="34.328767123287669"/>
    <n v="175"/>
    <n v="58.333333333333336"/>
  </r>
  <r>
    <n v="14588977"/>
    <n v="18121988"/>
    <n v="4"/>
    <n v="2"/>
    <n v="3"/>
    <x v="6"/>
    <x v="7"/>
    <s v="18121988"/>
    <n v="34.183561643835617"/>
    <n v="1397.5"/>
    <n v="349.375"/>
  </r>
  <r>
    <n v="11918911"/>
    <n v="3121988"/>
    <n v="4"/>
    <n v="1"/>
    <n v="2"/>
    <x v="6"/>
    <x v="3"/>
    <s v="03121988"/>
    <n v="34.224657534246575"/>
    <n v="697.5"/>
    <n v="174.375"/>
  </r>
  <r>
    <n v="8790021"/>
    <n v="26021989"/>
    <n v="7"/>
    <n v="2"/>
    <n v="4"/>
    <x v="2"/>
    <x v="7"/>
    <s v="26021989"/>
    <n v="33.991780821917807"/>
    <n v="2100"/>
    <n v="300"/>
  </r>
  <r>
    <n v="4346577"/>
    <n v="21021989"/>
    <n v="7"/>
    <n v="2"/>
    <n v="2"/>
    <x v="8"/>
    <x v="8"/>
    <s v="21021989"/>
    <n v="34.005479452054793"/>
    <n v="697.5"/>
    <n v="99.642857142857139"/>
  </r>
  <r>
    <n v="6473504"/>
    <n v="16031988"/>
    <n v="5"/>
    <n v="2"/>
    <n v="2"/>
    <x v="2"/>
    <x v="6"/>
    <s v="16031988"/>
    <n v="34.942465753424656"/>
    <n v="697.5"/>
    <n v="139.5"/>
  </r>
  <r>
    <n v="11542229"/>
    <n v="26061988"/>
    <n v="4"/>
    <n v="0"/>
    <n v="1"/>
    <x v="0"/>
    <x v="1"/>
    <s v="26061988"/>
    <n v="34.663013698630138"/>
    <n v="175"/>
    <n v="43.75"/>
  </r>
  <r>
    <n v="18599961"/>
    <n v="11091988"/>
    <n v="4"/>
    <n v="1"/>
    <n v="2"/>
    <x v="7"/>
    <x v="0"/>
    <s v="11091988"/>
    <n v="34.452054794520549"/>
    <n v="697.5"/>
    <n v="174.375"/>
  </r>
  <r>
    <n v="22428236"/>
    <n v="8111988"/>
    <n v="4"/>
    <n v="1"/>
    <n v="2"/>
    <x v="4"/>
    <x v="7"/>
    <s v="08111988"/>
    <n v="34.293150684931504"/>
    <n v="697.5"/>
    <n v="174.375"/>
  </r>
  <r>
    <n v="9092745"/>
    <n v="15111988"/>
    <n v="4"/>
    <n v="1"/>
    <n v="1"/>
    <x v="2"/>
    <x v="9"/>
    <s v="15111988"/>
    <n v="34.273972602739725"/>
    <n v="175"/>
    <n v="43.75"/>
  </r>
  <r>
    <n v="20222362"/>
    <n v="28011989"/>
    <n v="4"/>
    <n v="1"/>
    <n v="2"/>
    <x v="2"/>
    <x v="3"/>
    <s v="28011989"/>
    <n v="34.07123287671233"/>
    <n v="697.5"/>
    <n v="174.375"/>
  </r>
  <r>
    <n v="9317252"/>
    <n v="7081988"/>
    <n v="5"/>
    <n v="1"/>
    <n v="1"/>
    <x v="5"/>
    <x v="1"/>
    <s v="07081988"/>
    <n v="34.547945205479451"/>
    <n v="175"/>
    <n v="35"/>
  </r>
  <r>
    <n v="10714362"/>
    <n v="3101988"/>
    <n v="7"/>
    <n v="0"/>
    <n v="1"/>
    <x v="7"/>
    <x v="2"/>
    <s v="03101988"/>
    <n v="34.391780821917806"/>
    <n v="175"/>
    <n v="25"/>
  </r>
  <r>
    <n v="15018577"/>
    <n v="5111988"/>
    <n v="3"/>
    <n v="2"/>
    <n v="1"/>
    <x v="0"/>
    <x v="2"/>
    <s v="05111988"/>
    <n v="34.301369863013697"/>
    <n v="175"/>
    <n v="58.333333333333336"/>
  </r>
  <r>
    <n v="24921919"/>
    <n v="5011989"/>
    <n v="5"/>
    <n v="2"/>
    <n v="1"/>
    <x v="7"/>
    <x v="1"/>
    <s v="05011989"/>
    <n v="34.134246575342466"/>
    <n v="175"/>
    <n v="35"/>
  </r>
  <r>
    <n v="22295613"/>
    <n v="21021989"/>
    <n v="4"/>
    <n v="2"/>
    <n v="2"/>
    <x v="8"/>
    <x v="9"/>
    <s v="21021989"/>
    <n v="34.005479452054793"/>
    <n v="697.5"/>
    <n v="174.375"/>
  </r>
  <r>
    <n v="19961438"/>
    <n v="13071988"/>
    <n v="6"/>
    <n v="2"/>
    <n v="2"/>
    <x v="7"/>
    <x v="3"/>
    <s v="13071988"/>
    <n v="34.61643835616438"/>
    <n v="697.5"/>
    <n v="116.25"/>
  </r>
  <r>
    <n v="3695847"/>
    <n v="13071988"/>
    <n v="3"/>
    <n v="2"/>
    <n v="2"/>
    <x v="5"/>
    <x v="1"/>
    <s v="13071988"/>
    <n v="34.61643835616438"/>
    <n v="697.5"/>
    <n v="232.5"/>
  </r>
  <r>
    <n v="21767924"/>
    <n v="2121988"/>
    <n v="11"/>
    <n v="3"/>
    <n v="6"/>
    <x v="9"/>
    <x v="3"/>
    <s v="02121988"/>
    <n v="34.227397260273975"/>
    <n v="4000"/>
    <n v="363.63636363636363"/>
  </r>
  <r>
    <n v="24236545"/>
    <n v="26011989"/>
    <n v="4"/>
    <n v="0"/>
    <n v="1"/>
    <x v="2"/>
    <x v="7"/>
    <s v="26011989"/>
    <n v="34.076712328767123"/>
    <n v="175"/>
    <n v="43.75"/>
  </r>
  <r>
    <n v="12588430"/>
    <n v="7031989"/>
    <n v="3"/>
    <n v="1"/>
    <n v="1"/>
    <x v="2"/>
    <x v="9"/>
    <s v="07031989"/>
    <n v="33.967123287671235"/>
    <n v="175"/>
    <n v="58.333333333333336"/>
  </r>
  <r>
    <n v="11014412"/>
    <n v="30121988"/>
    <n v="5"/>
    <n v="1"/>
    <n v="1"/>
    <x v="7"/>
    <x v="3"/>
    <s v="30121988"/>
    <n v="34.150684931506852"/>
    <n v="175"/>
    <n v="35"/>
  </r>
  <r>
    <n v="10963768"/>
    <n v="27081988"/>
    <n v="4"/>
    <n v="1"/>
    <n v="1"/>
    <x v="5"/>
    <x v="3"/>
    <s v="27081988"/>
    <n v="34.493150684931507"/>
    <n v="175"/>
    <n v="43.75"/>
  </r>
  <r>
    <n v="10707243"/>
    <n v="8041988"/>
    <n v="6"/>
    <n v="1"/>
    <n v="2"/>
    <x v="7"/>
    <x v="1"/>
    <s v="08041988"/>
    <n v="34.87945205479452"/>
    <n v="697.5"/>
    <n v="116.25"/>
  </r>
  <r>
    <n v="17217388"/>
    <n v="10051988"/>
    <n v="4"/>
    <n v="1"/>
    <n v="1"/>
    <x v="4"/>
    <x v="1"/>
    <s v="10051988"/>
    <n v="34.791780821917811"/>
    <n v="175"/>
    <n v="43.75"/>
  </r>
  <r>
    <n v="12944944"/>
    <n v="9041988"/>
    <n v="3"/>
    <n v="1"/>
    <n v="1"/>
    <x v="5"/>
    <x v="3"/>
    <s v="09041988"/>
    <n v="34.876712328767127"/>
    <n v="175"/>
    <n v="58.333333333333336"/>
  </r>
  <r>
    <n v="20854389"/>
    <n v="4061988"/>
    <n v="5"/>
    <n v="1"/>
    <n v="1"/>
    <x v="7"/>
    <x v="3"/>
    <s v="04061988"/>
    <n v="34.723287671232875"/>
    <n v="175"/>
    <n v="35"/>
  </r>
  <r>
    <n v="8255471"/>
    <n v="8061988"/>
    <n v="5"/>
    <n v="0"/>
    <n v="1"/>
    <x v="1"/>
    <x v="2"/>
    <s v="08061988"/>
    <n v="34.712328767123289"/>
    <n v="175"/>
    <n v="35"/>
  </r>
  <r>
    <n v="7721139"/>
    <n v="26071988"/>
    <n v="4"/>
    <n v="1"/>
    <n v="2"/>
    <x v="7"/>
    <x v="3"/>
    <s v="26071988"/>
    <n v="34.580821917808223"/>
    <n v="697.5"/>
    <n v="174.375"/>
  </r>
  <r>
    <n v="7619934"/>
    <n v="28071988"/>
    <n v="4"/>
    <n v="1"/>
    <n v="1"/>
    <x v="0"/>
    <x v="3"/>
    <s v="28071988"/>
    <n v="34.575342465753423"/>
    <n v="175"/>
    <n v="43.75"/>
  </r>
  <r>
    <n v="13595813"/>
    <n v="26071988"/>
    <n v="3"/>
    <n v="1"/>
    <n v="1"/>
    <x v="0"/>
    <x v="2"/>
    <s v="26071988"/>
    <n v="34.580821917808223"/>
    <n v="175"/>
    <n v="58.333333333333336"/>
  </r>
  <r>
    <n v="142739"/>
    <n v="15041988"/>
    <n v="5"/>
    <n v="1"/>
    <n v="2"/>
    <x v="7"/>
    <x v="1"/>
    <s v="15041988"/>
    <n v="34.860273972602741"/>
    <n v="697.5"/>
    <n v="139.5"/>
  </r>
  <r>
    <n v="24074320"/>
    <n v="29071988"/>
    <n v="5"/>
    <n v="1"/>
    <n v="1"/>
    <x v="1"/>
    <x v="2"/>
    <s v="29071988"/>
    <n v="34.57260273972603"/>
    <n v="175"/>
    <n v="35"/>
  </r>
  <r>
    <n v="10290421"/>
    <n v="18081988"/>
    <n v="4"/>
    <n v="1"/>
    <n v="1"/>
    <x v="0"/>
    <x v="0"/>
    <s v="18081988"/>
    <n v="34.517808219178079"/>
    <n v="175"/>
    <n v="43.75"/>
  </r>
  <r>
    <n v="8789463"/>
    <n v="29081988"/>
    <n v="2"/>
    <n v="1"/>
    <n v="1"/>
    <x v="4"/>
    <x v="3"/>
    <s v="29081988"/>
    <n v="34.487671232876714"/>
    <n v="175"/>
    <n v="87.5"/>
  </r>
  <r>
    <n v="20972056"/>
    <n v="10081988"/>
    <n v="0"/>
    <n v="0"/>
    <n v="1"/>
    <x v="4"/>
    <x v="5"/>
    <s v="10081988"/>
    <n v="34.539726027397258"/>
    <n v="175"/>
    <n v="0"/>
  </r>
  <r>
    <n v="21505984"/>
    <n v="25081988"/>
    <n v="4"/>
    <n v="1"/>
    <n v="1"/>
    <x v="5"/>
    <x v="0"/>
    <s v="25081988"/>
    <n v="34.4986301369863"/>
    <n v="175"/>
    <n v="43.75"/>
  </r>
  <r>
    <n v="13652380"/>
    <n v="30091988"/>
    <n v="5"/>
    <n v="1"/>
    <n v="1"/>
    <x v="1"/>
    <x v="2"/>
    <s v="30091988"/>
    <n v="34.4"/>
    <n v="175"/>
    <n v="35"/>
  </r>
  <r>
    <n v="11083193"/>
    <n v="7111988"/>
    <n v="4"/>
    <n v="1"/>
    <n v="1"/>
    <x v="1"/>
    <x v="2"/>
    <s v="07111988"/>
    <n v="34.295890410958904"/>
    <n v="175"/>
    <n v="43.75"/>
  </r>
  <r>
    <n v="10548827"/>
    <n v="24111988"/>
    <n v="4"/>
    <n v="1"/>
    <n v="1"/>
    <x v="5"/>
    <x v="3"/>
    <s v="24111988"/>
    <n v="34.249315068493154"/>
    <n v="175"/>
    <n v="43.75"/>
  </r>
  <r>
    <n v="14720584"/>
    <n v="29121988"/>
    <n v="5"/>
    <n v="1"/>
    <n v="1"/>
    <x v="7"/>
    <x v="0"/>
    <s v="29121988"/>
    <n v="34.153424657534245"/>
    <n v="175"/>
    <n v="35"/>
  </r>
  <r>
    <n v="7243918"/>
    <n v="4011989"/>
    <n v="4"/>
    <n v="2"/>
    <n v="1"/>
    <x v="0"/>
    <x v="3"/>
    <s v="04011989"/>
    <n v="34.136986301369866"/>
    <n v="175"/>
    <n v="43.75"/>
  </r>
  <r>
    <n v="19093263"/>
    <n v="15011989"/>
    <n v="6"/>
    <n v="1"/>
    <n v="1"/>
    <x v="7"/>
    <x v="1"/>
    <s v="15011989"/>
    <n v="34.106849315068494"/>
    <n v="175"/>
    <n v="29.166666666666668"/>
  </r>
  <r>
    <n v="13753090"/>
    <n v="8021989"/>
    <n v="5"/>
    <n v="1"/>
    <n v="1"/>
    <x v="5"/>
    <x v="1"/>
    <s v="08021989"/>
    <n v="34.041095890410958"/>
    <n v="175"/>
    <n v="35"/>
  </r>
  <r>
    <n v="7029169"/>
    <n v="23011989"/>
    <n v="6"/>
    <n v="2"/>
    <n v="2"/>
    <x v="0"/>
    <x v="1"/>
    <s v="23011989"/>
    <n v="34.084931506849315"/>
    <n v="697.5"/>
    <n v="116.25"/>
  </r>
  <r>
    <n v="20020800"/>
    <n v="13111988"/>
    <n v="4"/>
    <n v="1"/>
    <n v="2"/>
    <x v="7"/>
    <x v="3"/>
    <s v="13111988"/>
    <n v="34.279452054794518"/>
    <n v="697.5"/>
    <n v="174.375"/>
  </r>
  <r>
    <n v="24725787"/>
    <n v="17111988"/>
    <n v="7"/>
    <n v="2"/>
    <n v="3"/>
    <x v="2"/>
    <x v="7"/>
    <s v="17111988"/>
    <n v="34.268493150684932"/>
    <n v="1397.5"/>
    <n v="199.64285714285714"/>
  </r>
  <r>
    <n v="15385849"/>
    <n v="6031989"/>
    <n v="5"/>
    <n v="2"/>
    <n v="4"/>
    <x v="2"/>
    <x v="3"/>
    <s v="06031989"/>
    <n v="33.969863013698628"/>
    <n v="2100"/>
    <n v="420"/>
  </r>
  <r>
    <n v="22955601"/>
    <n v="6111988"/>
    <n v="5"/>
    <n v="1"/>
    <n v="2"/>
    <x v="2"/>
    <x v="3"/>
    <s v="06111988"/>
    <n v="34.298630136986304"/>
    <n v="697.5"/>
    <n v="139.5"/>
  </r>
  <r>
    <n v="2704461"/>
    <n v="10071988"/>
    <n v="5"/>
    <n v="1"/>
    <n v="2"/>
    <x v="2"/>
    <x v="0"/>
    <s v="10071988"/>
    <n v="34.624657534246573"/>
    <n v="697.5"/>
    <n v="139.5"/>
  </r>
  <r>
    <n v="23795037"/>
    <n v="7061988"/>
    <n v="4"/>
    <n v="1"/>
    <n v="2"/>
    <x v="2"/>
    <x v="7"/>
    <s v="07061988"/>
    <n v="34.715068493150682"/>
    <n v="697.5"/>
    <n v="174.375"/>
  </r>
  <r>
    <n v="1582186"/>
    <n v="1021989"/>
    <n v="4"/>
    <n v="1"/>
    <n v="2"/>
    <x v="2"/>
    <x v="1"/>
    <s v="01021989"/>
    <n v="34.060273972602737"/>
    <n v="697.5"/>
    <n v="174.375"/>
  </r>
  <r>
    <n v="16536842"/>
    <n v="7111988"/>
    <n v="5"/>
    <n v="2"/>
    <n v="3"/>
    <x v="7"/>
    <x v="7"/>
    <s v="07111988"/>
    <n v="34.295890410958904"/>
    <n v="1397.5"/>
    <n v="279.5"/>
  </r>
  <r>
    <n v="15894587"/>
    <n v="21091988"/>
    <n v="5"/>
    <n v="2"/>
    <n v="2"/>
    <x v="6"/>
    <x v="1"/>
    <s v="21091988"/>
    <n v="34.424657534246577"/>
    <n v="697.5"/>
    <n v="139.5"/>
  </r>
  <r>
    <n v="13427857"/>
    <n v="23091988"/>
    <n v="9"/>
    <n v="2"/>
    <n v="1"/>
    <x v="7"/>
    <x v="2"/>
    <s v="23091988"/>
    <n v="34.419178082191777"/>
    <n v="175"/>
    <n v="19.444444444444443"/>
  </r>
  <r>
    <n v="6414710"/>
    <n v="29121988"/>
    <n v="3"/>
    <n v="1"/>
    <n v="1"/>
    <x v="7"/>
    <x v="3"/>
    <s v="29121988"/>
    <n v="34.153424657534245"/>
    <n v="175"/>
    <n v="58.333333333333336"/>
  </r>
  <r>
    <n v="18627374"/>
    <n v="17061989"/>
    <n v="5"/>
    <n v="2"/>
    <n v="1"/>
    <x v="7"/>
    <x v="3"/>
    <s v="17061989"/>
    <n v="33.68767123287671"/>
    <n v="175"/>
    <n v="35"/>
  </r>
  <r>
    <n v="11600410"/>
    <n v="24101988"/>
    <n v="3"/>
    <n v="1"/>
    <n v="1"/>
    <x v="5"/>
    <x v="3"/>
    <s v="24101988"/>
    <n v="34.334246575342469"/>
    <n v="175"/>
    <n v="58.333333333333336"/>
  </r>
  <r>
    <n v="21696508"/>
    <n v="29041988"/>
    <n v="5"/>
    <n v="1"/>
    <n v="2"/>
    <x v="2"/>
    <x v="6"/>
    <s v="29041988"/>
    <n v="34.821917808219176"/>
    <n v="697.5"/>
    <n v="139.5"/>
  </r>
  <r>
    <n v="984864"/>
    <n v="2081988"/>
    <n v="8"/>
    <n v="2"/>
    <n v="2"/>
    <x v="5"/>
    <x v="3"/>
    <s v="02081988"/>
    <n v="34.561643835616437"/>
    <n v="697.5"/>
    <n v="87.1875"/>
  </r>
  <r>
    <n v="11665795"/>
    <n v="18031989"/>
    <n v="5"/>
    <n v="2"/>
    <n v="2"/>
    <x v="2"/>
    <x v="10"/>
    <s v="18031989"/>
    <n v="33.936986301369863"/>
    <n v="697.5"/>
    <n v="139.5"/>
  </r>
  <r>
    <n v="656089"/>
    <n v="21091988"/>
    <n v="5"/>
    <n v="1"/>
    <n v="1"/>
    <x v="7"/>
    <x v="3"/>
    <s v="21091988"/>
    <n v="34.424657534246577"/>
    <n v="175"/>
    <n v="35"/>
  </r>
  <r>
    <n v="3889696"/>
    <n v="9061988"/>
    <n v="0"/>
    <n v="0"/>
    <n v="5"/>
    <x v="4"/>
    <x v="5"/>
    <s v="09061988"/>
    <n v="34.709589041095889"/>
    <n v="2787.5"/>
    <n v="0"/>
  </r>
  <r>
    <n v="21759130"/>
    <n v="3081988"/>
    <n v="3"/>
    <n v="2"/>
    <n v="2"/>
    <x v="9"/>
    <x v="7"/>
    <s v="03081988"/>
    <n v="34.558904109589044"/>
    <n v="697.5"/>
    <n v="232.5"/>
  </r>
  <r>
    <n v="11354146"/>
    <n v="18111988"/>
    <n v="5"/>
    <n v="1"/>
    <n v="3"/>
    <x v="2"/>
    <x v="7"/>
    <s v="18111988"/>
    <n v="34.265753424657532"/>
    <n v="1397.5"/>
    <n v="279.5"/>
  </r>
  <r>
    <n v="20331507"/>
    <n v="23011987"/>
    <n v="5"/>
    <n v="1"/>
    <n v="1"/>
    <x v="4"/>
    <x v="5"/>
    <s v="23011987"/>
    <n v="36.087671232876716"/>
    <n v="175"/>
    <n v="35"/>
  </r>
  <r>
    <n v="19509633"/>
    <n v="22021989"/>
    <n v="6"/>
    <n v="2"/>
    <n v="6"/>
    <x v="8"/>
    <x v="10"/>
    <s v="22021989"/>
    <n v="34.0027397260274"/>
    <n v="4000"/>
    <n v="666.66666666666663"/>
  </r>
  <r>
    <n v="18918019"/>
    <n v="17091988"/>
    <n v="6"/>
    <n v="1"/>
    <n v="2"/>
    <x v="2"/>
    <x v="9"/>
    <s v="17091988"/>
    <n v="34.435616438356163"/>
    <n v="697.5"/>
    <n v="116.25"/>
  </r>
  <r>
    <n v="820493"/>
    <n v="22011989"/>
    <n v="5"/>
    <n v="2"/>
    <n v="3"/>
    <x v="2"/>
    <x v="7"/>
    <s v="22011989"/>
    <n v="34.087671232876716"/>
    <n v="1397.5"/>
    <n v="279.5"/>
  </r>
  <r>
    <n v="8199647"/>
    <n v="11101988"/>
    <n v="3"/>
    <n v="1"/>
    <n v="2"/>
    <x v="7"/>
    <x v="7"/>
    <s v="11101988"/>
    <n v="34.369863013698627"/>
    <n v="697.5"/>
    <n v="232.5"/>
  </r>
  <r>
    <n v="24338210"/>
    <n v="28071988"/>
    <n v="0"/>
    <n v="0"/>
    <n v="1"/>
    <x v="4"/>
    <x v="5"/>
    <s v="28071988"/>
    <n v="34.575342465753423"/>
    <n v="175"/>
    <n v="0"/>
  </r>
  <r>
    <n v="9865579"/>
    <n v="8101988"/>
    <n v="4"/>
    <n v="1"/>
    <n v="1"/>
    <x v="5"/>
    <x v="3"/>
    <s v="08101988"/>
    <n v="34.37808219178082"/>
    <n v="175"/>
    <n v="43.75"/>
  </r>
  <r>
    <n v="11982610"/>
    <n v="4051989"/>
    <n v="5"/>
    <n v="1"/>
    <n v="2"/>
    <x v="2"/>
    <x v="1"/>
    <s v="04051989"/>
    <n v="33.80821917808219"/>
    <n v="697.5"/>
    <n v="139.5"/>
  </r>
  <r>
    <n v="14493941"/>
    <n v="12101988"/>
    <n v="4"/>
    <n v="1"/>
    <n v="1"/>
    <x v="7"/>
    <x v="3"/>
    <s v="12101988"/>
    <n v="34.367123287671234"/>
    <n v="175"/>
    <n v="43.75"/>
  </r>
  <r>
    <n v="12651997"/>
    <n v="10101988"/>
    <n v="5"/>
    <n v="1"/>
    <n v="1"/>
    <x v="7"/>
    <x v="3"/>
    <s v="10101988"/>
    <n v="34.372602739726027"/>
    <n v="175"/>
    <n v="35"/>
  </r>
  <r>
    <n v="165859"/>
    <n v="28101988"/>
    <n v="6"/>
    <n v="2"/>
    <n v="1"/>
    <x v="7"/>
    <x v="3"/>
    <s v="28101988"/>
    <n v="34.323287671232876"/>
    <n v="175"/>
    <n v="29.166666666666668"/>
  </r>
  <r>
    <n v="24104006"/>
    <n v="18011989"/>
    <n v="7"/>
    <n v="2"/>
    <n v="1"/>
    <x v="7"/>
    <x v="3"/>
    <s v="18011989"/>
    <n v="34.098630136986301"/>
    <n v="175"/>
    <n v="25"/>
  </r>
  <r>
    <n v="339125"/>
    <n v="16031989"/>
    <n v="5"/>
    <n v="2"/>
    <n v="2"/>
    <x v="4"/>
    <x v="3"/>
    <s v="16031989"/>
    <n v="33.942465753424656"/>
    <n v="697.5"/>
    <n v="139.5"/>
  </r>
  <r>
    <n v="15554933"/>
    <n v="3091988"/>
    <n v="6"/>
    <n v="1"/>
    <n v="1"/>
    <x v="7"/>
    <x v="3"/>
    <s v="03091988"/>
    <n v="34.473972602739728"/>
    <n v="175"/>
    <n v="29.166666666666668"/>
  </r>
  <r>
    <n v="14935530"/>
    <n v="28101988"/>
    <n v="4"/>
    <n v="1"/>
    <n v="1"/>
    <x v="7"/>
    <x v="3"/>
    <s v="28101988"/>
    <n v="34.323287671232876"/>
    <n v="175"/>
    <n v="43.75"/>
  </r>
  <r>
    <n v="22327242"/>
    <n v="25111988"/>
    <n v="4"/>
    <n v="1"/>
    <n v="1"/>
    <x v="7"/>
    <x v="7"/>
    <s v="25111988"/>
    <n v="34.246575342465754"/>
    <n v="175"/>
    <n v="43.75"/>
  </r>
  <r>
    <n v="24131955"/>
    <n v="19111988"/>
    <n v="4"/>
    <n v="1"/>
    <n v="1"/>
    <x v="4"/>
    <x v="8"/>
    <s v="19111988"/>
    <n v="34.263013698630139"/>
    <n v="175"/>
    <n v="43.75"/>
  </r>
  <r>
    <n v="24608266"/>
    <n v="21031989"/>
    <n v="5"/>
    <n v="2"/>
    <n v="3"/>
    <x v="2"/>
    <x v="7"/>
    <s v="21031989"/>
    <n v="33.92876712328767"/>
    <n v="1397.5"/>
    <n v="279.5"/>
  </r>
  <r>
    <n v="474038"/>
    <n v="21031989"/>
    <n v="5"/>
    <n v="2"/>
    <n v="2"/>
    <x v="2"/>
    <x v="7"/>
    <s v="21031989"/>
    <n v="33.92876712328767"/>
    <n v="697.5"/>
    <n v="139.5"/>
  </r>
  <r>
    <n v="16632588"/>
    <n v="7021989"/>
    <n v="6"/>
    <n v="1"/>
    <n v="1"/>
    <x v="1"/>
    <x v="2"/>
    <s v="07021989"/>
    <n v="34.043835616438358"/>
    <n v="175"/>
    <n v="29.166666666666668"/>
  </r>
  <r>
    <n v="24436641"/>
    <n v="1101988"/>
    <n v="6"/>
    <n v="2"/>
    <n v="6"/>
    <x v="2"/>
    <x v="7"/>
    <s v="01101988"/>
    <n v="34.397260273972606"/>
    <n v="4000"/>
    <n v="666.66666666666663"/>
  </r>
  <r>
    <n v="18489136"/>
    <n v="4101988"/>
    <n v="4"/>
    <n v="0"/>
    <n v="1"/>
    <x v="2"/>
    <x v="3"/>
    <s v="04101988"/>
    <n v="34.389041095890413"/>
    <n v="175"/>
    <n v="43.75"/>
  </r>
  <r>
    <n v="10725767"/>
    <n v="24101988"/>
    <n v="5"/>
    <n v="2"/>
    <n v="6"/>
    <x v="2"/>
    <x v="7"/>
    <s v="24101988"/>
    <n v="34.334246575342469"/>
    <n v="4000"/>
    <n v="800"/>
  </r>
  <r>
    <n v="23574961"/>
    <n v="28121988"/>
    <n v="8"/>
    <n v="4"/>
    <n v="6"/>
    <x v="2"/>
    <x v="7"/>
    <s v="28121988"/>
    <n v="34.156164383561645"/>
    <n v="4000"/>
    <n v="500"/>
  </r>
  <r>
    <n v="12115935"/>
    <n v="20031989"/>
    <n v="4"/>
    <n v="3"/>
    <n v="3"/>
    <x v="0"/>
    <x v="1"/>
    <s v="20031989"/>
    <n v="33.93150684931507"/>
    <n v="1397.5"/>
    <n v="349.375"/>
  </r>
  <r>
    <n v="17307263"/>
    <n v="4021988"/>
    <n v="5"/>
    <n v="1"/>
    <n v="1"/>
    <x v="0"/>
    <x v="0"/>
    <s v="04021988"/>
    <n v="35.054794520547944"/>
    <n v="175"/>
    <n v="35"/>
  </r>
  <r>
    <n v="217172"/>
    <n v="11091988"/>
    <n v="4"/>
    <n v="1"/>
    <n v="1"/>
    <x v="1"/>
    <x v="2"/>
    <s v="11091988"/>
    <n v="34.452054794520549"/>
    <n v="175"/>
    <n v="43.75"/>
  </r>
  <r>
    <n v="16873687"/>
    <n v="5091988"/>
    <n v="8"/>
    <n v="1"/>
    <n v="1"/>
    <x v="3"/>
    <x v="2"/>
    <s v="05091988"/>
    <n v="34.468493150684928"/>
    <n v="175"/>
    <n v="21.875"/>
  </r>
  <r>
    <n v="5558521"/>
    <n v="27091988"/>
    <n v="5"/>
    <n v="0"/>
    <n v="1"/>
    <x v="1"/>
    <x v="1"/>
    <s v="27091988"/>
    <n v="34.408219178082192"/>
    <n v="175"/>
    <n v="35"/>
  </r>
  <r>
    <n v="17740265"/>
    <n v="2121988"/>
    <n v="3"/>
    <n v="1"/>
    <n v="1"/>
    <x v="7"/>
    <x v="3"/>
    <s v="02121988"/>
    <n v="34.227397260273975"/>
    <n v="175"/>
    <n v="58.333333333333336"/>
  </r>
  <r>
    <n v="3854993"/>
    <n v="23071988"/>
    <n v="4"/>
    <n v="1"/>
    <n v="1"/>
    <x v="1"/>
    <x v="2"/>
    <s v="23071988"/>
    <n v="34.589041095890408"/>
    <n v="175"/>
    <n v="43.75"/>
  </r>
  <r>
    <n v="16238918"/>
    <n v="16011989"/>
    <n v="4"/>
    <n v="1"/>
    <n v="1"/>
    <x v="5"/>
    <x v="1"/>
    <s v="16011989"/>
    <n v="34.104109589041094"/>
    <n v="175"/>
    <n v="43.75"/>
  </r>
  <r>
    <n v="10797599"/>
    <n v="23011989"/>
    <n v="5"/>
    <n v="2"/>
    <n v="1"/>
    <x v="7"/>
    <x v="3"/>
    <s v="23011989"/>
    <n v="34.084931506849315"/>
    <n v="175"/>
    <n v="35"/>
  </r>
  <r>
    <n v="1339114"/>
    <n v="19091988"/>
    <n v="5"/>
    <n v="2"/>
    <n v="1"/>
    <x v="7"/>
    <x v="3"/>
    <s v="19091988"/>
    <n v="34.43013698630137"/>
    <n v="175"/>
    <n v="35"/>
  </r>
  <r>
    <n v="12638817"/>
    <n v="16071988"/>
    <n v="3"/>
    <n v="1"/>
    <n v="1"/>
    <x v="1"/>
    <x v="2"/>
    <s v="16071988"/>
    <n v="34.608219178082194"/>
    <n v="175"/>
    <n v="58.333333333333336"/>
  </r>
  <r>
    <n v="10518183"/>
    <n v="16091988"/>
    <n v="2"/>
    <n v="1"/>
    <n v="1"/>
    <x v="0"/>
    <x v="3"/>
    <s v="16091988"/>
    <n v="34.438356164383563"/>
    <n v="175"/>
    <n v="87.5"/>
  </r>
  <r>
    <n v="6044537"/>
    <n v="1101988"/>
    <n v="5"/>
    <n v="0"/>
    <n v="1"/>
    <x v="5"/>
    <x v="1"/>
    <s v="01101988"/>
    <n v="34.397260273972606"/>
    <n v="175"/>
    <n v="35"/>
  </r>
  <r>
    <n v="20564991"/>
    <n v="3101988"/>
    <n v="5"/>
    <n v="1"/>
    <n v="1"/>
    <x v="7"/>
    <x v="1"/>
    <s v="03101988"/>
    <n v="34.391780821917806"/>
    <n v="175"/>
    <n v="35"/>
  </r>
  <r>
    <n v="13896457"/>
    <n v="29111988"/>
    <n v="4"/>
    <n v="1"/>
    <n v="1"/>
    <x v="7"/>
    <x v="3"/>
    <s v="29111988"/>
    <n v="34.235616438356168"/>
    <n v="175"/>
    <n v="43.75"/>
  </r>
  <r>
    <n v="9522956"/>
    <n v="26121988"/>
    <n v="4"/>
    <n v="1"/>
    <n v="2"/>
    <x v="7"/>
    <x v="0"/>
    <s v="26121988"/>
    <n v="34.161643835616438"/>
    <n v="697.5"/>
    <n v="174.375"/>
  </r>
  <r>
    <n v="21821930"/>
    <n v="29011989"/>
    <n v="5"/>
    <n v="1"/>
    <n v="2"/>
    <x v="7"/>
    <x v="7"/>
    <s v="29011989"/>
    <n v="34.06849315068493"/>
    <n v="697.5"/>
    <n v="139.5"/>
  </r>
  <r>
    <n v="19787301"/>
    <n v="8021989"/>
    <n v="4"/>
    <n v="1"/>
    <n v="1"/>
    <x v="1"/>
    <x v="1"/>
    <s v="08021989"/>
    <n v="34.041095890410958"/>
    <n v="175"/>
    <n v="43.75"/>
  </r>
  <r>
    <n v="20681029"/>
    <n v="9031989"/>
    <n v="2"/>
    <n v="1"/>
    <n v="2"/>
    <x v="2"/>
    <x v="7"/>
    <s v="09031989"/>
    <n v="33.961643835616435"/>
    <n v="697.5"/>
    <n v="348.75"/>
  </r>
  <r>
    <n v="23683859"/>
    <n v="14031989"/>
    <n v="2"/>
    <n v="0"/>
    <n v="1"/>
    <x v="1"/>
    <x v="0"/>
    <s v="14031989"/>
    <n v="33.947945205479449"/>
    <n v="175"/>
    <n v="87.5"/>
  </r>
  <r>
    <n v="15672633"/>
    <n v="29031989"/>
    <n v="6"/>
    <n v="2"/>
    <n v="1"/>
    <x v="7"/>
    <x v="1"/>
    <s v="29031989"/>
    <n v="33.906849315068492"/>
    <n v="175"/>
    <n v="29.166666666666668"/>
  </r>
  <r>
    <n v="5901297"/>
    <n v="26041989"/>
    <n v="6"/>
    <n v="1"/>
    <n v="1"/>
    <x v="1"/>
    <x v="1"/>
    <s v="26041989"/>
    <n v="33.830136986301369"/>
    <n v="175"/>
    <n v="29.166666666666668"/>
  </r>
  <r>
    <n v="20870658"/>
    <n v="24051989"/>
    <n v="5"/>
    <n v="1"/>
    <n v="1"/>
    <x v="7"/>
    <x v="3"/>
    <s v="24051989"/>
    <n v="33.753424657534246"/>
    <n v="175"/>
    <n v="35"/>
  </r>
  <r>
    <n v="20235246"/>
    <n v="10061989"/>
    <n v="5"/>
    <n v="1"/>
    <n v="2"/>
    <x v="1"/>
    <x v="2"/>
    <s v="10061989"/>
    <n v="33.706849315068496"/>
    <n v="697.5"/>
    <n v="139.5"/>
  </r>
  <r>
    <n v="10347687"/>
    <n v="26071988"/>
    <n v="4"/>
    <n v="2"/>
    <n v="1"/>
    <x v="7"/>
    <x v="1"/>
    <s v="26071988"/>
    <n v="34.580821917808223"/>
    <n v="175"/>
    <n v="43.75"/>
  </r>
  <r>
    <n v="22680020"/>
    <n v="7121988"/>
    <n v="5"/>
    <n v="2"/>
    <n v="1"/>
    <x v="0"/>
    <x v="0"/>
    <s v="07121988"/>
    <n v="34.213698630136989"/>
    <n v="175"/>
    <n v="35"/>
  </r>
  <r>
    <n v="14633814"/>
    <n v="7061989"/>
    <n v="6"/>
    <n v="2"/>
    <n v="2"/>
    <x v="1"/>
    <x v="1"/>
    <s v="07061989"/>
    <n v="33.715068493150682"/>
    <n v="697.5"/>
    <n v="116.25"/>
  </r>
  <r>
    <n v="10781149"/>
    <n v="15021989"/>
    <n v="5"/>
    <n v="2"/>
    <n v="2"/>
    <x v="7"/>
    <x v="3"/>
    <s v="15021989"/>
    <n v="34.021917808219179"/>
    <n v="697.5"/>
    <n v="139.5"/>
  </r>
  <r>
    <n v="22428531"/>
    <n v="29101988"/>
    <n v="5"/>
    <n v="1"/>
    <n v="1"/>
    <x v="9"/>
    <x v="7"/>
    <s v="29101988"/>
    <n v="34.320547945205476"/>
    <n v="175"/>
    <n v="35"/>
  </r>
  <r>
    <n v="16759662"/>
    <n v="6121988"/>
    <n v="4"/>
    <n v="1"/>
    <n v="3"/>
    <x v="2"/>
    <x v="10"/>
    <s v="06121988"/>
    <n v="34.216438356164382"/>
    <n v="1397.5"/>
    <n v="349.375"/>
  </r>
  <r>
    <n v="16225348"/>
    <n v="12121988"/>
    <n v="6"/>
    <n v="1"/>
    <n v="6"/>
    <x v="2"/>
    <x v="9"/>
    <s v="12121988"/>
    <n v="34.200000000000003"/>
    <n v="4000"/>
    <n v="666.66666666666663"/>
  </r>
  <r>
    <n v="14970613"/>
    <n v="19011989"/>
    <n v="6"/>
    <n v="0"/>
    <n v="4"/>
    <x v="4"/>
    <x v="5"/>
    <s v="19011989"/>
    <n v="34.095890410958901"/>
    <n v="2100"/>
    <n v="350"/>
  </r>
  <r>
    <n v="20845411"/>
    <n v="19011989"/>
    <n v="5"/>
    <n v="2"/>
    <n v="4"/>
    <x v="2"/>
    <x v="7"/>
    <s v="19011989"/>
    <n v="34.095890410958901"/>
    <n v="2100"/>
    <n v="420"/>
  </r>
  <r>
    <n v="22116569"/>
    <n v="21011989"/>
    <n v="6"/>
    <n v="1"/>
    <n v="2"/>
    <x v="2"/>
    <x v="7"/>
    <s v="21011989"/>
    <n v="34.090410958904108"/>
    <n v="697.5"/>
    <n v="116.25"/>
  </r>
  <r>
    <n v="17396829"/>
    <n v="11011989"/>
    <n v="0"/>
    <n v="0"/>
    <n v="2"/>
    <x v="4"/>
    <x v="5"/>
    <s v="11011989"/>
    <n v="34.11780821917808"/>
    <n v="697.5"/>
    <n v="0"/>
  </r>
  <r>
    <n v="17308339"/>
    <n v="7021989"/>
    <n v="5"/>
    <n v="1"/>
    <n v="1"/>
    <x v="1"/>
    <x v="2"/>
    <s v="07021989"/>
    <n v="34.043835616438358"/>
    <n v="175"/>
    <n v="35"/>
  </r>
  <r>
    <n v="11188100"/>
    <n v="18111988"/>
    <n v="9"/>
    <n v="0"/>
    <n v="1"/>
    <x v="0"/>
    <x v="3"/>
    <s v="18111988"/>
    <n v="34.265753424657532"/>
    <n v="175"/>
    <n v="19.444444444444443"/>
  </r>
  <r>
    <n v="17175408"/>
    <n v="14011989"/>
    <n v="5"/>
    <n v="2"/>
    <n v="2"/>
    <x v="7"/>
    <x v="3"/>
    <s v="14011989"/>
    <n v="34.109589041095887"/>
    <n v="697.5"/>
    <n v="139.5"/>
  </r>
  <r>
    <n v="8987469"/>
    <n v="16081988"/>
    <n v="3"/>
    <n v="1"/>
    <n v="2"/>
    <x v="2"/>
    <x v="9"/>
    <s v="16081988"/>
    <n v="34.523287671232879"/>
    <n v="697.5"/>
    <n v="232.5"/>
  </r>
  <r>
    <n v="11657877"/>
    <n v="7091988"/>
    <n v="0"/>
    <n v="0"/>
    <n v="3"/>
    <x v="2"/>
    <x v="3"/>
    <s v="07091988"/>
    <n v="34.463013698630135"/>
    <n v="1397.5"/>
    <n v="0"/>
  </r>
  <r>
    <n v="12411093"/>
    <n v="17091988"/>
    <n v="9"/>
    <n v="2"/>
    <n v="5"/>
    <x v="2"/>
    <x v="7"/>
    <s v="17091988"/>
    <n v="34.435616438356163"/>
    <n v="2787.5"/>
    <n v="309.72222222222223"/>
  </r>
  <r>
    <n v="11170946"/>
    <n v="11021989"/>
    <n v="5"/>
    <n v="3"/>
    <n v="5"/>
    <x v="7"/>
    <x v="3"/>
    <s v="11021989"/>
    <n v="34.032876712328765"/>
    <n v="2787.5"/>
    <n v="557.5"/>
  </r>
  <r>
    <n v="13809009"/>
    <n v="4101988"/>
    <n v="5"/>
    <n v="1"/>
    <n v="1"/>
    <x v="0"/>
    <x v="0"/>
    <s v="04101988"/>
    <n v="34.389041095890413"/>
    <n v="175"/>
    <n v="35"/>
  </r>
  <r>
    <n v="9002832"/>
    <n v="14101988"/>
    <n v="4"/>
    <n v="2"/>
    <n v="2"/>
    <x v="7"/>
    <x v="3"/>
    <s v="14101988"/>
    <n v="34.361643835616441"/>
    <n v="697.5"/>
    <n v="174.375"/>
  </r>
  <r>
    <n v="13708114"/>
    <n v="13101988"/>
    <n v="7"/>
    <n v="2"/>
    <n v="3"/>
    <x v="2"/>
    <x v="7"/>
    <s v="13101988"/>
    <n v="34.364383561643834"/>
    <n v="1397.5"/>
    <n v="199.64285714285714"/>
  </r>
  <r>
    <n v="17563059"/>
    <n v="10101988"/>
    <n v="4"/>
    <n v="1"/>
    <n v="3"/>
    <x v="9"/>
    <x v="7"/>
    <s v="10101988"/>
    <n v="34.372602739726027"/>
    <n v="1397.5"/>
    <n v="349.375"/>
  </r>
  <r>
    <n v="13824863"/>
    <n v="28091988"/>
    <n v="4"/>
    <n v="1"/>
    <n v="1"/>
    <x v="0"/>
    <x v="0"/>
    <s v="28091988"/>
    <n v="34.405479452054792"/>
    <n v="175"/>
    <n v="43.75"/>
  </r>
  <r>
    <n v="15426650"/>
    <n v="11101988"/>
    <n v="5"/>
    <n v="1"/>
    <n v="1"/>
    <x v="7"/>
    <x v="1"/>
    <s v="11101988"/>
    <n v="34.369863013698627"/>
    <n v="175"/>
    <n v="35"/>
  </r>
  <r>
    <n v="3779763"/>
    <n v="10101988"/>
    <n v="4"/>
    <n v="1"/>
    <n v="3"/>
    <x v="2"/>
    <x v="7"/>
    <s v="10101988"/>
    <n v="34.372602739726027"/>
    <n v="1397.5"/>
    <n v="349.375"/>
  </r>
  <r>
    <n v="11155111"/>
    <n v="9101988"/>
    <n v="3"/>
    <n v="1"/>
    <n v="1"/>
    <x v="2"/>
    <x v="7"/>
    <s v="09101988"/>
    <n v="34.375342465753427"/>
    <n v="175"/>
    <n v="58.333333333333336"/>
  </r>
  <r>
    <n v="14359101"/>
    <n v="19101988"/>
    <n v="3"/>
    <n v="1"/>
    <n v="2"/>
    <x v="7"/>
    <x v="3"/>
    <s v="19101988"/>
    <n v="34.347945205479455"/>
    <n v="697.5"/>
    <n v="232.5"/>
  </r>
  <r>
    <n v="20234042"/>
    <n v="11101988"/>
    <n v="5"/>
    <n v="2"/>
    <n v="2"/>
    <x v="2"/>
    <x v="7"/>
    <s v="11101988"/>
    <n v="34.369863013698627"/>
    <n v="697.5"/>
    <n v="139.5"/>
  </r>
  <r>
    <n v="21734821"/>
    <n v="27091988"/>
    <n v="3"/>
    <n v="1"/>
    <n v="1"/>
    <x v="1"/>
    <x v="1"/>
    <s v="27091988"/>
    <n v="34.408219178082192"/>
    <n v="175"/>
    <n v="58.333333333333336"/>
  </r>
  <r>
    <n v="19064060"/>
    <n v="29021988"/>
    <n v="4"/>
    <n v="1"/>
    <n v="1"/>
    <x v="0"/>
    <x v="3"/>
    <s v="29021988"/>
    <n v="34.986301369863014"/>
    <n v="175"/>
    <n v="43.75"/>
  </r>
  <r>
    <n v="17664741"/>
    <n v="14091988"/>
    <n v="5"/>
    <n v="1"/>
    <n v="1"/>
    <x v="7"/>
    <x v="3"/>
    <s v="14091988"/>
    <n v="34.443835616438356"/>
    <n v="175"/>
    <n v="35"/>
  </r>
  <r>
    <n v="14893019"/>
    <n v="23101988"/>
    <n v="2"/>
    <n v="1"/>
    <n v="2"/>
    <x v="8"/>
    <x v="1"/>
    <s v="23101988"/>
    <n v="34.336986301369862"/>
    <n v="697.5"/>
    <n v="348.75"/>
  </r>
  <r>
    <n v="23005765"/>
    <n v="22101988"/>
    <n v="5"/>
    <n v="2"/>
    <n v="4"/>
    <x v="9"/>
    <x v="7"/>
    <s v="22101988"/>
    <n v="34.339726027397262"/>
    <n v="2100"/>
    <n v="420"/>
  </r>
  <r>
    <n v="7085240"/>
    <n v="21101988"/>
    <n v="5"/>
    <n v="1"/>
    <n v="2"/>
    <x v="7"/>
    <x v="10"/>
    <s v="21101988"/>
    <n v="34.342465753424655"/>
    <n v="697.5"/>
    <n v="139.5"/>
  </r>
  <r>
    <n v="6348921"/>
    <n v="21101988"/>
    <n v="4"/>
    <n v="1"/>
    <n v="2"/>
    <x v="9"/>
    <x v="10"/>
    <s v="21101988"/>
    <n v="34.342465753424655"/>
    <n v="697.5"/>
    <n v="174.375"/>
  </r>
  <r>
    <n v="16494860"/>
    <n v="19101988"/>
    <n v="5"/>
    <n v="1"/>
    <n v="1"/>
    <x v="5"/>
    <x v="2"/>
    <s v="19101988"/>
    <n v="34.347945205479455"/>
    <n v="175"/>
    <n v="35"/>
  </r>
  <r>
    <n v="16062243"/>
    <n v="19091988"/>
    <n v="0"/>
    <n v="0"/>
    <n v="1"/>
    <x v="4"/>
    <x v="5"/>
    <s v="19091988"/>
    <n v="34.43013698630137"/>
    <n v="175"/>
    <n v="0"/>
  </r>
  <r>
    <n v="11256722"/>
    <n v="31101988"/>
    <n v="4"/>
    <n v="2"/>
    <n v="2"/>
    <x v="7"/>
    <x v="3"/>
    <s v="31101988"/>
    <n v="34.315068493150683"/>
    <n v="697.5"/>
    <n v="174.375"/>
  </r>
  <r>
    <n v="12223220"/>
    <n v="21071988"/>
    <n v="4"/>
    <n v="1"/>
    <n v="1"/>
    <x v="7"/>
    <x v="2"/>
    <s v="21071988"/>
    <n v="34.594520547945208"/>
    <n v="175"/>
    <n v="43.75"/>
  </r>
  <r>
    <n v="17028960"/>
    <n v="27041988"/>
    <n v="3"/>
    <n v="0"/>
    <n v="1"/>
    <x v="4"/>
    <x v="5"/>
    <s v="27041988"/>
    <n v="34.827397260273976"/>
    <n v="175"/>
    <n v="58.333333333333336"/>
  </r>
  <r>
    <n v="19266970"/>
    <n v="31101988"/>
    <n v="6"/>
    <n v="2"/>
    <n v="2"/>
    <x v="2"/>
    <x v="10"/>
    <s v="31101988"/>
    <n v="34.315068493150683"/>
    <n v="697.5"/>
    <n v="116.25"/>
  </r>
  <r>
    <n v="3678757"/>
    <n v="24101988"/>
    <n v="4"/>
    <n v="2"/>
    <n v="1"/>
    <x v="9"/>
    <x v="9"/>
    <s v="24101988"/>
    <n v="34.334246575342469"/>
    <n v="175"/>
    <n v="43.75"/>
  </r>
  <r>
    <n v="13392461"/>
    <n v="27101988"/>
    <n v="4"/>
    <n v="2"/>
    <n v="2"/>
    <x v="0"/>
    <x v="3"/>
    <s v="27101988"/>
    <n v="34.326027397260276"/>
    <n v="697.5"/>
    <n v="174.375"/>
  </r>
  <r>
    <n v="12324827"/>
    <n v="16091988"/>
    <n v="5"/>
    <n v="1"/>
    <n v="1"/>
    <x v="5"/>
    <x v="1"/>
    <s v="16091988"/>
    <n v="34.438356164383563"/>
    <n v="175"/>
    <n v="35"/>
  </r>
  <r>
    <n v="24939134"/>
    <n v="23101988"/>
    <n v="5"/>
    <n v="2"/>
    <n v="2"/>
    <x v="2"/>
    <x v="10"/>
    <s v="23101988"/>
    <n v="34.336986301369862"/>
    <n v="697.5"/>
    <n v="139.5"/>
  </r>
  <r>
    <n v="15426649"/>
    <n v="23101988"/>
    <n v="3"/>
    <n v="0"/>
    <n v="1"/>
    <x v="1"/>
    <x v="2"/>
    <s v="23101988"/>
    <n v="34.336986301369862"/>
    <n v="175"/>
    <n v="58.333333333333336"/>
  </r>
  <r>
    <n v="4847236"/>
    <n v="25101988"/>
    <n v="5"/>
    <n v="2"/>
    <n v="2"/>
    <x v="7"/>
    <x v="7"/>
    <s v="25101988"/>
    <n v="34.331506849315069"/>
    <n v="697.5"/>
    <n v="139.5"/>
  </r>
  <r>
    <n v="4746065"/>
    <n v="7111988"/>
    <n v="4"/>
    <n v="2"/>
    <n v="2"/>
    <x v="7"/>
    <x v="3"/>
    <s v="07111988"/>
    <n v="34.295890410958904"/>
    <n v="697.5"/>
    <n v="174.375"/>
  </r>
  <r>
    <n v="6983772"/>
    <n v="11111988"/>
    <n v="4"/>
    <n v="1"/>
    <n v="3"/>
    <x v="2"/>
    <x v="3"/>
    <s v="11111988"/>
    <n v="34.284931506849318"/>
    <n v="1397.5"/>
    <n v="349.375"/>
  </r>
  <r>
    <n v="21734820"/>
    <n v="21081988"/>
    <n v="4"/>
    <n v="1"/>
    <n v="1"/>
    <x v="7"/>
    <x v="1"/>
    <s v="21081988"/>
    <n v="34.509589041095893"/>
    <n v="175"/>
    <n v="43.75"/>
  </r>
  <r>
    <n v="23336986"/>
    <n v="10111988"/>
    <n v="4"/>
    <n v="0"/>
    <n v="2"/>
    <x v="8"/>
    <x v="10"/>
    <s v="10111988"/>
    <n v="34.287671232876711"/>
    <n v="697.5"/>
    <n v="174.375"/>
  </r>
  <r>
    <n v="17664740"/>
    <n v="9111988"/>
    <n v="6"/>
    <n v="2"/>
    <n v="2"/>
    <x v="2"/>
    <x v="7"/>
    <s v="09111988"/>
    <n v="34.290410958904111"/>
    <n v="697.5"/>
    <n v="116.25"/>
  </r>
  <r>
    <n v="6551539"/>
    <n v="7111988"/>
    <n v="4"/>
    <n v="1"/>
    <n v="1"/>
    <x v="5"/>
    <x v="0"/>
    <s v="07111988"/>
    <n v="34.295890410958904"/>
    <n v="175"/>
    <n v="43.75"/>
  </r>
  <r>
    <n v="4212284"/>
    <n v="9111988"/>
    <n v="3"/>
    <n v="1"/>
    <n v="1"/>
    <x v="0"/>
    <x v="0"/>
    <s v="09111988"/>
    <n v="34.290410958904111"/>
    <n v="175"/>
    <n v="58.333333333333336"/>
  </r>
  <r>
    <n v="3144549"/>
    <n v="14111988"/>
    <n v="4"/>
    <n v="2"/>
    <n v="2"/>
    <x v="2"/>
    <x v="6"/>
    <s v="14111988"/>
    <n v="34.276712328767125"/>
    <n v="697.5"/>
    <n v="174.375"/>
  </r>
  <r>
    <n v="14893018"/>
    <n v="19031988"/>
    <n v="5"/>
    <n v="2"/>
    <n v="2"/>
    <x v="5"/>
    <x v="1"/>
    <s v="19031988"/>
    <n v="34.934246575342463"/>
    <n v="697.5"/>
    <n v="139.5"/>
  </r>
  <r>
    <n v="23005764"/>
    <n v="27101988"/>
    <n v="6"/>
    <n v="2"/>
    <n v="2"/>
    <x v="9"/>
    <x v="9"/>
    <s v="27101988"/>
    <n v="34.326027397260276"/>
    <n v="697.5"/>
    <n v="116.25"/>
  </r>
  <r>
    <n v="19801508"/>
    <n v="14101988"/>
    <n v="4"/>
    <n v="1"/>
    <n v="1"/>
    <x v="7"/>
    <x v="1"/>
    <s v="14101988"/>
    <n v="34.361643835616441"/>
    <n v="175"/>
    <n v="43.75"/>
  </r>
  <r>
    <n v="20767985"/>
    <n v="16111988"/>
    <n v="6"/>
    <n v="2"/>
    <n v="2"/>
    <x v="9"/>
    <x v="7"/>
    <s v="16111988"/>
    <n v="34.271232876712325"/>
    <n v="697.5"/>
    <n v="116.25"/>
  </r>
  <r>
    <n v="6348920"/>
    <n v="17111988"/>
    <n v="5"/>
    <n v="1"/>
    <n v="1"/>
    <x v="5"/>
    <x v="7"/>
    <s v="17111988"/>
    <n v="34.268493150684932"/>
    <n v="175"/>
    <n v="35"/>
  </r>
  <r>
    <n v="16494861"/>
    <n v="19111988"/>
    <n v="4"/>
    <n v="2"/>
    <n v="2"/>
    <x v="7"/>
    <x v="7"/>
    <s v="19111988"/>
    <n v="34.263013698630139"/>
    <n v="697.5"/>
    <n v="174.375"/>
  </r>
  <r>
    <n v="4414814"/>
    <n v="21091988"/>
    <n v="2"/>
    <n v="1"/>
    <n v="1"/>
    <x v="7"/>
    <x v="3"/>
    <s v="21091988"/>
    <n v="34.424657534246577"/>
    <n v="175"/>
    <n v="87.5"/>
  </r>
  <r>
    <n v="12223221"/>
    <n v="8111988"/>
    <n v="5"/>
    <n v="0"/>
    <n v="1"/>
    <x v="0"/>
    <x v="3"/>
    <s v="08111988"/>
    <n v="34.293150684931504"/>
    <n v="175"/>
    <n v="35"/>
  </r>
  <r>
    <n v="1007522"/>
    <n v="27091988"/>
    <n v="0"/>
    <n v="0"/>
    <n v="3"/>
    <x v="4"/>
    <x v="5"/>
    <s v="27091988"/>
    <n v="34.408219178082192"/>
    <n v="1397.5"/>
    <n v="0"/>
  </r>
  <r>
    <n v="22803329"/>
    <n v="21111988"/>
    <n v="3"/>
    <n v="1"/>
    <n v="1"/>
    <x v="7"/>
    <x v="10"/>
    <s v="21111988"/>
    <n v="34.257534246575339"/>
    <n v="175"/>
    <n v="58.333333333333336"/>
  </r>
  <r>
    <n v="7950435"/>
    <n v="15111988"/>
    <n v="2"/>
    <n v="1"/>
    <n v="2"/>
    <x v="4"/>
    <x v="7"/>
    <s v="15111988"/>
    <n v="34.273972602739725"/>
    <n v="697.5"/>
    <n v="348.75"/>
  </r>
  <r>
    <n v="14994651"/>
    <n v="16111988"/>
    <n v="3"/>
    <n v="1"/>
    <n v="2"/>
    <x v="7"/>
    <x v="1"/>
    <s v="16111988"/>
    <n v="34.271232876712325"/>
    <n v="697.5"/>
    <n v="232.5"/>
  </r>
  <r>
    <n v="8484633"/>
    <n v="22111988"/>
    <n v="5"/>
    <n v="1"/>
    <n v="2"/>
    <x v="9"/>
    <x v="3"/>
    <s v="22111988"/>
    <n v="34.254794520547946"/>
    <n v="697.5"/>
    <n v="139.5"/>
  </r>
  <r>
    <n v="10722269"/>
    <n v="23091988"/>
    <n v="7"/>
    <n v="2"/>
    <n v="1"/>
    <x v="5"/>
    <x v="1"/>
    <s v="23091988"/>
    <n v="34.419178082191777"/>
    <n v="175"/>
    <n v="25"/>
  </r>
  <r>
    <n v="7416245"/>
    <n v="20081988"/>
    <n v="9"/>
    <n v="2"/>
    <n v="1"/>
    <x v="5"/>
    <x v="3"/>
    <s v="20081988"/>
    <n v="34.512328767123286"/>
    <n v="175"/>
    <n v="19.444444444444443"/>
  </r>
  <r>
    <n v="21836091"/>
    <n v="14111988"/>
    <n v="5"/>
    <n v="1"/>
    <n v="2"/>
    <x v="8"/>
    <x v="3"/>
    <s v="14111988"/>
    <n v="34.276712328767125"/>
    <n v="697.5"/>
    <n v="139.5"/>
  </r>
  <r>
    <n v="20133002"/>
    <n v="22111988"/>
    <n v="3"/>
    <n v="0"/>
    <n v="5"/>
    <x v="2"/>
    <x v="7"/>
    <s v="22111988"/>
    <n v="34.254794520547946"/>
    <n v="2787.5"/>
    <n v="929.16666666666663"/>
  </r>
  <r>
    <n v="22096326"/>
    <n v="9111988"/>
    <n v="3"/>
    <n v="1"/>
    <n v="1"/>
    <x v="1"/>
    <x v="0"/>
    <s v="09111988"/>
    <n v="34.290410958904111"/>
    <n v="175"/>
    <n v="58.333333333333336"/>
  </r>
  <r>
    <n v="12483206"/>
    <n v="22111988"/>
    <n v="4"/>
    <n v="1"/>
    <n v="1"/>
    <x v="7"/>
    <x v="3"/>
    <s v="22111988"/>
    <n v="34.254794520547946"/>
    <n v="175"/>
    <n v="43.75"/>
  </r>
  <r>
    <n v="4139847"/>
    <n v="18091988"/>
    <n v="4"/>
    <n v="1"/>
    <n v="1"/>
    <x v="3"/>
    <x v="1"/>
    <s v="18091988"/>
    <n v="34.43287671232877"/>
    <n v="175"/>
    <n v="43.75"/>
  </r>
  <r>
    <n v="24765994"/>
    <n v="16111988"/>
    <n v="4"/>
    <n v="1"/>
    <n v="2"/>
    <x v="4"/>
    <x v="7"/>
    <s v="16111988"/>
    <n v="34.271232876712325"/>
    <n v="697.5"/>
    <n v="174.375"/>
  </r>
  <r>
    <n v="5107150"/>
    <n v="14111988"/>
    <n v="5"/>
    <n v="1"/>
    <n v="1"/>
    <x v="0"/>
    <x v="2"/>
    <s v="14111988"/>
    <n v="34.276712328767125"/>
    <n v="175"/>
    <n v="35"/>
  </r>
  <r>
    <n v="1902510"/>
    <n v="17041988"/>
    <n v="4"/>
    <n v="1"/>
    <n v="1"/>
    <x v="1"/>
    <x v="2"/>
    <s v="17041988"/>
    <n v="34.854794520547948"/>
    <n v="175"/>
    <n v="43.75"/>
  </r>
  <r>
    <n v="13983882"/>
    <n v="26111988"/>
    <n v="4"/>
    <n v="1"/>
    <n v="1"/>
    <x v="7"/>
    <x v="3"/>
    <s v="26111988"/>
    <n v="34.243835616438353"/>
    <n v="175"/>
    <n v="43.75"/>
  </r>
  <r>
    <n v="13016837"/>
    <n v="21111988"/>
    <n v="5"/>
    <n v="1"/>
    <n v="2"/>
    <x v="9"/>
    <x v="9"/>
    <s v="21111988"/>
    <n v="34.257534246575339"/>
    <n v="697.5"/>
    <n v="139.5"/>
  </r>
  <r>
    <n v="15585571"/>
    <n v="25071988"/>
    <n v="7"/>
    <n v="1"/>
    <n v="1"/>
    <x v="0"/>
    <x v="0"/>
    <s v="25071988"/>
    <n v="34.583561643835615"/>
    <n v="175"/>
    <n v="25"/>
  </r>
  <r>
    <n v="2003202"/>
    <n v="1121988"/>
    <n v="5"/>
    <n v="1"/>
    <n v="1"/>
    <x v="6"/>
    <x v="1"/>
    <s v="01121988"/>
    <n v="34.230136986301368"/>
    <n v="175"/>
    <n v="35"/>
  </r>
  <r>
    <n v="14719750"/>
    <n v="25111988"/>
    <n v="6"/>
    <n v="1"/>
    <n v="1"/>
    <x v="7"/>
    <x v="3"/>
    <s v="25111988"/>
    <n v="34.246575342465754"/>
    <n v="175"/>
    <n v="29.166666666666668"/>
  </r>
  <r>
    <n v="15686725"/>
    <n v="6121988"/>
    <n v="5"/>
    <n v="2"/>
    <n v="2"/>
    <x v="7"/>
    <x v="3"/>
    <s v="06121988"/>
    <n v="34.216438356164382"/>
    <n v="697.5"/>
    <n v="139.5"/>
  </r>
  <r>
    <n v="15253426"/>
    <n v="1121988"/>
    <n v="4"/>
    <n v="1"/>
    <n v="1"/>
    <x v="4"/>
    <x v="3"/>
    <s v="01121988"/>
    <n v="34.230136986301368"/>
    <n v="175"/>
    <n v="43.75"/>
  </r>
  <r>
    <n v="7142127"/>
    <n v="4121988"/>
    <n v="6"/>
    <n v="2"/>
    <n v="2"/>
    <x v="2"/>
    <x v="7"/>
    <s v="04121988"/>
    <n v="34.221917808219175"/>
    <n v="697.5"/>
    <n v="116.25"/>
  </r>
  <r>
    <n v="14185682"/>
    <n v="3121988"/>
    <n v="6"/>
    <n v="1"/>
    <n v="1"/>
    <x v="5"/>
    <x v="1"/>
    <s v="03121988"/>
    <n v="34.224657534246575"/>
    <n v="175"/>
    <n v="29.166666666666668"/>
  </r>
  <r>
    <n v="2870001"/>
    <n v="28101988"/>
    <n v="3"/>
    <n v="1"/>
    <n v="1"/>
    <x v="5"/>
    <x v="3"/>
    <s v="28101988"/>
    <n v="34.323287671232876"/>
    <n v="175"/>
    <n v="58.333333333333336"/>
  </r>
  <r>
    <n v="16855683"/>
    <n v="4121988"/>
    <n v="6"/>
    <n v="1"/>
    <n v="3"/>
    <x v="8"/>
    <x v="10"/>
    <s v="04121988"/>
    <n v="34.221917808219175"/>
    <n v="1397.5"/>
    <n v="232.91666666666666"/>
  </r>
  <r>
    <n v="300203"/>
    <n v="11121988"/>
    <n v="5"/>
    <n v="2"/>
    <n v="1"/>
    <x v="9"/>
    <x v="1"/>
    <s v="11121988"/>
    <n v="34.202739726027396"/>
    <n v="175"/>
    <n v="35"/>
  </r>
  <r>
    <n v="5742096"/>
    <n v="9121988"/>
    <n v="5"/>
    <n v="2"/>
    <n v="3"/>
    <x v="7"/>
    <x v="3"/>
    <s v="09121988"/>
    <n v="34.208219178082189"/>
    <n v="1397.5"/>
    <n v="279.5"/>
  </r>
  <r>
    <n v="16755206"/>
    <n v="4121988"/>
    <n v="0"/>
    <n v="0"/>
    <n v="3"/>
    <x v="4"/>
    <x v="5"/>
    <s v="04121988"/>
    <n v="34.221917808219175"/>
    <n v="1397.5"/>
    <n v="0"/>
  </r>
  <r>
    <n v="22196880"/>
    <n v="11121988"/>
    <n v="0"/>
    <n v="0"/>
    <n v="5"/>
    <x v="4"/>
    <x v="5"/>
    <s v="11121988"/>
    <n v="34.202739726027396"/>
    <n v="2787.5"/>
    <n v="0"/>
  </r>
  <r>
    <n v="8210371"/>
    <n v="5081988"/>
    <n v="2"/>
    <n v="1"/>
    <n v="1"/>
    <x v="4"/>
    <x v="10"/>
    <s v="05081988"/>
    <n v="34.553424657534244"/>
    <n v="175"/>
    <n v="87.5"/>
  </r>
  <r>
    <n v="3606252"/>
    <n v="7121988"/>
    <n v="4"/>
    <n v="3"/>
    <n v="2"/>
    <x v="7"/>
    <x v="1"/>
    <s v="07121988"/>
    <n v="34.213698630136989"/>
    <n v="697.5"/>
    <n v="174.375"/>
  </r>
  <r>
    <n v="1801294"/>
    <n v="3121988"/>
    <n v="9"/>
    <n v="4"/>
    <n v="1"/>
    <x v="1"/>
    <x v="0"/>
    <s v="03121988"/>
    <n v="34.224657534246575"/>
    <n v="175"/>
    <n v="19.444444444444443"/>
  </r>
  <r>
    <n v="16220879"/>
    <n v="5121988"/>
    <n v="3"/>
    <n v="1"/>
    <n v="1"/>
    <x v="7"/>
    <x v="3"/>
    <s v="05121988"/>
    <n v="34.219178082191782"/>
    <n v="175"/>
    <n v="58.333333333333336"/>
  </r>
  <r>
    <n v="9278642"/>
    <n v="27111988"/>
    <n v="0"/>
    <n v="0"/>
    <n v="1"/>
    <x v="4"/>
    <x v="5"/>
    <s v="27111988"/>
    <n v="34.241095890410961"/>
    <n v="175"/>
    <n v="0"/>
  </r>
  <r>
    <n v="20392939"/>
    <n v="2121988"/>
    <n v="5"/>
    <n v="0"/>
    <n v="1"/>
    <x v="5"/>
    <x v="3"/>
    <s v="02121988"/>
    <n v="34.227397260273975"/>
    <n v="175"/>
    <n v="35"/>
  </r>
  <r>
    <n v="1902511"/>
    <n v="25111988"/>
    <n v="4"/>
    <n v="1"/>
    <n v="1"/>
    <x v="7"/>
    <x v="1"/>
    <s v="25111988"/>
    <n v="34.246575342465754"/>
    <n v="175"/>
    <n v="43.75"/>
  </r>
  <r>
    <n v="13449673"/>
    <n v="9121988"/>
    <n v="4"/>
    <n v="1"/>
    <n v="1"/>
    <x v="7"/>
    <x v="1"/>
    <s v="09121988"/>
    <n v="34.208219178082189"/>
    <n v="175"/>
    <n v="43.75"/>
  </r>
  <r>
    <n v="21561977"/>
    <n v="12121988"/>
    <n v="4"/>
    <n v="0"/>
    <n v="1"/>
    <x v="7"/>
    <x v="3"/>
    <s v="12121988"/>
    <n v="34.200000000000003"/>
    <n v="175"/>
    <n v="43.75"/>
  </r>
  <r>
    <n v="1469113"/>
    <n v="12121988"/>
    <n v="4"/>
    <n v="1"/>
    <n v="3"/>
    <x v="2"/>
    <x v="10"/>
    <s v="12121988"/>
    <n v="34.200000000000003"/>
    <n v="1397.5"/>
    <n v="349.375"/>
  </r>
  <r>
    <n v="935124"/>
    <n v="14091988"/>
    <n v="5"/>
    <n v="1"/>
    <n v="1"/>
    <x v="5"/>
    <x v="3"/>
    <s v="14091988"/>
    <n v="34.443835616438356"/>
    <n v="175"/>
    <n v="35"/>
  </r>
  <r>
    <n v="23798553"/>
    <n v="16121988"/>
    <n v="2"/>
    <n v="0"/>
    <n v="1"/>
    <x v="7"/>
    <x v="10"/>
    <s v="16121988"/>
    <n v="34.18904109589041"/>
    <n v="175"/>
    <n v="87.5"/>
  </r>
  <r>
    <n v="12915595"/>
    <n v="16081987"/>
    <n v="0"/>
    <n v="0"/>
    <n v="1"/>
    <x v="4"/>
    <x v="5"/>
    <s v="16081987"/>
    <n v="35.526027397260272"/>
    <n v="175"/>
    <n v="0"/>
  </r>
  <r>
    <n v="19960097"/>
    <n v="17121988"/>
    <n v="3"/>
    <n v="1"/>
    <n v="1"/>
    <x v="5"/>
    <x v="3"/>
    <s v="17121988"/>
    <n v="34.186301369863017"/>
    <n v="175"/>
    <n v="58.333333333333336"/>
  </r>
  <r>
    <n v="19526250"/>
    <n v="14121988"/>
    <n v="4"/>
    <n v="1"/>
    <n v="2"/>
    <x v="7"/>
    <x v="2"/>
    <s v="14121988"/>
    <n v="34.194520547945203"/>
    <n v="697.5"/>
    <n v="174.375"/>
  </r>
  <r>
    <n v="15585572"/>
    <n v="16121988"/>
    <n v="5"/>
    <n v="1"/>
    <n v="2"/>
    <x v="8"/>
    <x v="3"/>
    <s v="16121988"/>
    <n v="34.18904109589041"/>
    <n v="697.5"/>
    <n v="139.5"/>
  </r>
  <r>
    <n v="2003203"/>
    <n v="15121988"/>
    <n v="5"/>
    <n v="2"/>
    <n v="2"/>
    <x v="7"/>
    <x v="1"/>
    <s v="15121988"/>
    <n v="34.19178082191781"/>
    <n v="697.5"/>
    <n v="139.5"/>
  </r>
  <r>
    <n v="14517997"/>
    <n v="20121988"/>
    <n v="4"/>
    <n v="2"/>
    <n v="2"/>
    <x v="8"/>
    <x v="6"/>
    <s v="20121988"/>
    <n v="34.178082191780824"/>
    <n v="697.5"/>
    <n v="174.375"/>
  </r>
  <r>
    <n v="15686726"/>
    <n v="18121988"/>
    <n v="4"/>
    <n v="2"/>
    <n v="3"/>
    <x v="2"/>
    <x v="7"/>
    <s v="18121988"/>
    <n v="34.183561643835617"/>
    <n v="1397.5"/>
    <n v="349.375"/>
  </r>
  <r>
    <n v="24332486"/>
    <n v="19121988"/>
    <n v="5"/>
    <n v="1"/>
    <n v="1"/>
    <x v="1"/>
    <x v="3"/>
    <s v="19121988"/>
    <n v="34.180821917808217"/>
    <n v="175"/>
    <n v="35"/>
  </r>
  <r>
    <n v="23596755"/>
    <n v="17121988"/>
    <n v="5"/>
    <n v="1"/>
    <n v="2"/>
    <x v="2"/>
    <x v="1"/>
    <s v="17121988"/>
    <n v="34.186301369863017"/>
    <n v="697.5"/>
    <n v="139.5"/>
  </r>
  <r>
    <n v="17289168"/>
    <n v="15121988"/>
    <n v="0"/>
    <n v="0"/>
    <n v="1"/>
    <x v="4"/>
    <x v="5"/>
    <s v="15121988"/>
    <n v="34.19178082191781"/>
    <n v="175"/>
    <n v="0"/>
  </r>
  <r>
    <n v="8311257"/>
    <n v="10121988"/>
    <n v="4"/>
    <n v="1"/>
    <n v="1"/>
    <x v="7"/>
    <x v="1"/>
    <s v="10121988"/>
    <n v="34.205479452054796"/>
    <n v="175"/>
    <n v="43.75"/>
  </r>
  <r>
    <n v="7243076"/>
    <n v="18121988"/>
    <n v="2"/>
    <n v="1"/>
    <n v="1"/>
    <x v="5"/>
    <x v="1"/>
    <s v="18121988"/>
    <n v="34.183561643835617"/>
    <n v="175"/>
    <n v="87.5"/>
  </r>
  <r>
    <n v="22196881"/>
    <n v="19121988"/>
    <n v="4"/>
    <n v="1"/>
    <n v="1"/>
    <x v="5"/>
    <x v="2"/>
    <s v="19121988"/>
    <n v="34.180821917808217"/>
    <n v="175"/>
    <n v="43.75"/>
  </r>
  <r>
    <n v="3953920"/>
    <n v="30111988"/>
    <n v="5"/>
    <n v="1"/>
    <n v="2"/>
    <x v="7"/>
    <x v="1"/>
    <s v="30111988"/>
    <n v="34.232876712328768"/>
    <n v="697.5"/>
    <n v="139.5"/>
  </r>
  <r>
    <n v="22646179"/>
    <n v="21121988"/>
    <n v="5"/>
    <n v="1"/>
    <n v="1"/>
    <x v="1"/>
    <x v="2"/>
    <s v="21121988"/>
    <n v="34.175342465753424"/>
    <n v="175"/>
    <n v="35"/>
  </r>
  <r>
    <n v="4155620"/>
    <n v="23121988"/>
    <n v="5"/>
    <n v="2"/>
    <n v="1"/>
    <x v="7"/>
    <x v="3"/>
    <s v="23121988"/>
    <n v="34.169863013698631"/>
    <n v="175"/>
    <n v="35"/>
  </r>
  <r>
    <n v="9928955"/>
    <n v="24121988"/>
    <n v="5"/>
    <n v="2"/>
    <n v="6"/>
    <x v="9"/>
    <x v="3"/>
    <s v="24121988"/>
    <n v="34.167123287671231"/>
    <n v="4000"/>
    <n v="800"/>
  </r>
  <r>
    <n v="2987071"/>
    <n v="20121988"/>
    <n v="5"/>
    <n v="1"/>
    <n v="1"/>
    <x v="0"/>
    <x v="1"/>
    <s v="20121988"/>
    <n v="34.178082191780824"/>
    <n v="175"/>
    <n v="35"/>
  </r>
  <r>
    <n v="23814261"/>
    <n v="26081988"/>
    <n v="4"/>
    <n v="1"/>
    <n v="1"/>
    <x v="5"/>
    <x v="0"/>
    <s v="26081988"/>
    <n v="34.495890410958907"/>
    <n v="175"/>
    <n v="43.75"/>
  </r>
  <r>
    <n v="14100916"/>
    <n v="2111988"/>
    <n v="5"/>
    <n v="1"/>
    <n v="1"/>
    <x v="5"/>
    <x v="1"/>
    <s v="02111988"/>
    <n v="34.30958904109589"/>
    <n v="175"/>
    <n v="35"/>
  </r>
  <r>
    <n v="1384298"/>
    <n v="21121988"/>
    <n v="4"/>
    <n v="2"/>
    <n v="5"/>
    <x v="2"/>
    <x v="7"/>
    <s v="21121988"/>
    <n v="34.175342465753424"/>
    <n v="2787.5"/>
    <n v="696.875"/>
  </r>
  <r>
    <n v="1484884"/>
    <n v="19121988"/>
    <n v="3"/>
    <n v="2"/>
    <n v="1"/>
    <x v="7"/>
    <x v="3"/>
    <s v="19121988"/>
    <n v="34.180821917808217"/>
    <n v="175"/>
    <n v="58.333333333333336"/>
  </r>
  <r>
    <n v="6292126"/>
    <n v="8121988"/>
    <n v="6"/>
    <n v="1"/>
    <n v="1"/>
    <x v="1"/>
    <x v="2"/>
    <s v="08121988"/>
    <n v="34.210958904109589"/>
    <n v="175"/>
    <n v="29.166666666666668"/>
  </r>
  <r>
    <n v="5556179"/>
    <n v="21121988"/>
    <n v="4"/>
    <n v="1"/>
    <n v="2"/>
    <x v="7"/>
    <x v="0"/>
    <s v="21121988"/>
    <n v="34.175342465753424"/>
    <n v="697.5"/>
    <n v="174.375"/>
  </r>
  <r>
    <n v="1817149"/>
    <n v="22121988"/>
    <n v="3"/>
    <n v="0"/>
    <n v="1"/>
    <x v="4"/>
    <x v="5"/>
    <s v="22121988"/>
    <n v="34.172602739726024"/>
    <n v="175"/>
    <n v="58.333333333333336"/>
  </r>
  <r>
    <n v="10896586"/>
    <n v="27121988"/>
    <n v="4"/>
    <n v="2"/>
    <n v="2"/>
    <x v="7"/>
    <x v="3"/>
    <s v="27121988"/>
    <n v="34.158904109589038"/>
    <n v="697.5"/>
    <n v="174.375"/>
  </r>
  <r>
    <n v="1283084"/>
    <n v="27121988"/>
    <n v="4"/>
    <n v="1"/>
    <n v="2"/>
    <x v="2"/>
    <x v="10"/>
    <s v="27121988"/>
    <n v="34.158904109589038"/>
    <n v="697.5"/>
    <n v="174.375"/>
  </r>
  <r>
    <n v="17939477"/>
    <n v="15121988"/>
    <n v="5"/>
    <n v="0"/>
    <n v="1"/>
    <x v="0"/>
    <x v="3"/>
    <s v="15121988"/>
    <n v="34.19178082191781"/>
    <n v="175"/>
    <n v="35"/>
  </r>
  <r>
    <n v="21678315"/>
    <n v="5121988"/>
    <n v="6"/>
    <n v="2"/>
    <n v="2"/>
    <x v="7"/>
    <x v="5"/>
    <s v="05121988"/>
    <n v="34.219178082191782"/>
    <n v="697.5"/>
    <n v="116.25"/>
  </r>
  <r>
    <n v="9294492"/>
    <n v="27121988"/>
    <n v="5"/>
    <n v="2"/>
    <n v="2"/>
    <x v="7"/>
    <x v="3"/>
    <s v="27121988"/>
    <n v="34.158904109589038"/>
    <n v="697.5"/>
    <n v="139.5"/>
  </r>
  <r>
    <n v="23179885"/>
    <n v="26121988"/>
    <n v="5"/>
    <n v="2"/>
    <n v="2"/>
    <x v="7"/>
    <x v="10"/>
    <s v="26121988"/>
    <n v="34.161643835616438"/>
    <n v="697.5"/>
    <n v="139.5"/>
  </r>
  <r>
    <n v="23078798"/>
    <n v="12121988"/>
    <n v="7"/>
    <n v="2"/>
    <n v="1"/>
    <x v="1"/>
    <x v="2"/>
    <s v="12121988"/>
    <n v="34.200000000000003"/>
    <n v="175"/>
    <n v="25"/>
  </r>
  <r>
    <n v="19975836"/>
    <n v="19121988"/>
    <n v="4"/>
    <n v="2"/>
    <n v="2"/>
    <x v="4"/>
    <x v="5"/>
    <s v="19121988"/>
    <n v="34.180821917808217"/>
    <n v="697.5"/>
    <n v="174.375"/>
  </r>
  <r>
    <n v="5122880"/>
    <n v="26121988"/>
    <n v="3"/>
    <n v="1"/>
    <n v="2"/>
    <x v="9"/>
    <x v="7"/>
    <s v="26121988"/>
    <n v="34.161643835616438"/>
    <n v="697.5"/>
    <n v="232.5"/>
  </r>
  <r>
    <n v="7893606"/>
    <n v="5121988"/>
    <n v="0"/>
    <n v="0"/>
    <n v="1"/>
    <x v="4"/>
    <x v="5"/>
    <s v="05121988"/>
    <n v="34.219178082191782"/>
    <n v="175"/>
    <n v="0"/>
  </r>
  <r>
    <n v="21577731"/>
    <n v="29121988"/>
    <n v="4"/>
    <n v="2"/>
    <n v="2"/>
    <x v="7"/>
    <x v="3"/>
    <s v="29121988"/>
    <n v="34.153424657534245"/>
    <n v="697.5"/>
    <n v="174.375"/>
  </r>
  <r>
    <n v="6090295"/>
    <n v="27121988"/>
    <n v="5"/>
    <n v="2"/>
    <n v="2"/>
    <x v="7"/>
    <x v="7"/>
    <s v="27121988"/>
    <n v="34.158904109589038"/>
    <n v="697.5"/>
    <n v="139.5"/>
  </r>
  <r>
    <n v="21043758"/>
    <n v="22111988"/>
    <n v="5"/>
    <n v="1"/>
    <n v="1"/>
    <x v="1"/>
    <x v="3"/>
    <s v="22111988"/>
    <n v="34.254794520547946"/>
    <n v="175"/>
    <n v="35"/>
  </r>
  <r>
    <n v="13032647"/>
    <n v="21121988"/>
    <n v="5"/>
    <n v="1"/>
    <n v="2"/>
    <x v="5"/>
    <x v="1"/>
    <s v="21121988"/>
    <n v="34.175342465753424"/>
    <n v="697.5"/>
    <n v="139.5"/>
  </r>
  <r>
    <n v="10997192"/>
    <n v="22121988"/>
    <n v="5"/>
    <n v="2"/>
    <n v="3"/>
    <x v="2"/>
    <x v="7"/>
    <s v="22121988"/>
    <n v="34.172602739726024"/>
    <n v="1397.5"/>
    <n v="279.5"/>
  </r>
  <r>
    <n v="2018984"/>
    <n v="15121988"/>
    <n v="0"/>
    <n v="0"/>
    <n v="1"/>
    <x v="4"/>
    <x v="5"/>
    <s v="15121988"/>
    <n v="34.19178082191781"/>
    <n v="175"/>
    <n v="0"/>
  </r>
  <r>
    <n v="8760200"/>
    <n v="21121988"/>
    <n v="4"/>
    <n v="1"/>
    <n v="1"/>
    <x v="9"/>
    <x v="3"/>
    <s v="21121988"/>
    <n v="34.175342465753424"/>
    <n v="175"/>
    <n v="43.75"/>
  </r>
  <r>
    <n v="8327007"/>
    <n v="10061988"/>
    <n v="5"/>
    <n v="2"/>
    <n v="1"/>
    <x v="5"/>
    <x v="2"/>
    <s v="10061988"/>
    <n v="34.706849315068496"/>
    <n v="175"/>
    <n v="35"/>
  </r>
  <r>
    <n v="13566688"/>
    <n v="4011989"/>
    <n v="7"/>
    <n v="2"/>
    <n v="3"/>
    <x v="7"/>
    <x v="3"/>
    <s v="04011989"/>
    <n v="34.136986301369866"/>
    <n v="1397.5"/>
    <n v="199.64285714285714"/>
  </r>
  <r>
    <n v="12700119"/>
    <n v="28121988"/>
    <n v="4"/>
    <n v="2"/>
    <n v="1"/>
    <x v="1"/>
    <x v="3"/>
    <s v="28121988"/>
    <n v="34.156164383561645"/>
    <n v="175"/>
    <n v="43.75"/>
  </r>
  <r>
    <n v="18473161"/>
    <n v="26121988"/>
    <n v="4"/>
    <n v="1"/>
    <n v="1"/>
    <x v="8"/>
    <x v="10"/>
    <s v="26121988"/>
    <n v="34.161643835616438"/>
    <n v="175"/>
    <n v="43.75"/>
  </r>
  <r>
    <n v="5021740"/>
    <n v="2011989"/>
    <n v="4"/>
    <n v="0"/>
    <n v="1"/>
    <x v="5"/>
    <x v="0"/>
    <s v="02011989"/>
    <n v="34.142465753424659"/>
    <n v="175"/>
    <n v="43.75"/>
  </r>
  <r>
    <n v="22646180"/>
    <n v="7011989"/>
    <n v="5"/>
    <n v="2"/>
    <n v="4"/>
    <x v="2"/>
    <x v="7"/>
    <s v="07011989"/>
    <n v="34.128767123287673"/>
    <n v="2100"/>
    <n v="420"/>
  </r>
  <r>
    <n v="15702465"/>
    <n v="20121988"/>
    <n v="3"/>
    <n v="1"/>
    <n v="1"/>
    <x v="2"/>
    <x v="9"/>
    <s v="20121988"/>
    <n v="34.178082191780824"/>
    <n v="175"/>
    <n v="58.333333333333336"/>
  </r>
  <r>
    <n v="10029704"/>
    <n v="31121988"/>
    <n v="3"/>
    <n v="1"/>
    <n v="1"/>
    <x v="1"/>
    <x v="1"/>
    <s v="31121988"/>
    <n v="34.147945205479452"/>
    <n v="175"/>
    <n v="58.333333333333336"/>
  </r>
  <r>
    <n v="23814260"/>
    <n v="26121988"/>
    <n v="6"/>
    <n v="1"/>
    <n v="1"/>
    <x v="7"/>
    <x v="1"/>
    <s v="26121988"/>
    <n v="34.161643835616438"/>
    <n v="175"/>
    <n v="29.166666666666668"/>
  </r>
  <r>
    <n v="16236600"/>
    <n v="5011989"/>
    <n v="3"/>
    <n v="1"/>
    <n v="2"/>
    <x v="10"/>
    <x v="10"/>
    <s v="05011989"/>
    <n v="34.134246575342466"/>
    <n v="697.5"/>
    <n v="232.5"/>
  </r>
  <r>
    <n v="14836159"/>
    <n v="4011989"/>
    <n v="4"/>
    <n v="2"/>
    <n v="3"/>
    <x v="6"/>
    <x v="6"/>
    <s v="04011989"/>
    <n v="34.136986301369866"/>
    <n v="1397.5"/>
    <n v="349.375"/>
  </r>
  <r>
    <n v="23713793"/>
    <n v="18121988"/>
    <n v="4"/>
    <n v="1"/>
    <n v="1"/>
    <x v="0"/>
    <x v="4"/>
    <s v="18121988"/>
    <n v="34.183561643835617"/>
    <n v="175"/>
    <n v="43.75"/>
  </r>
  <r>
    <n v="15168728"/>
    <n v="14081988"/>
    <n v="0"/>
    <n v="0"/>
    <n v="1"/>
    <x v="4"/>
    <x v="5"/>
    <s v="14081988"/>
    <n v="34.528767123287672"/>
    <n v="175"/>
    <n v="0"/>
  </r>
  <r>
    <n v="1283085"/>
    <n v="11011989"/>
    <n v="4"/>
    <n v="2"/>
    <n v="2"/>
    <x v="6"/>
    <x v="7"/>
    <s v="11011989"/>
    <n v="34.11780821917808"/>
    <n v="697.5"/>
    <n v="174.375"/>
  </r>
  <r>
    <n v="23612540"/>
    <n v="5011989"/>
    <n v="5"/>
    <n v="0"/>
    <n v="1"/>
    <x v="8"/>
    <x v="3"/>
    <s v="05011989"/>
    <n v="34.134246575342466"/>
    <n v="175"/>
    <n v="35"/>
  </r>
  <r>
    <n v="17939476"/>
    <n v="5011989"/>
    <n v="5"/>
    <n v="2"/>
    <n v="1"/>
    <x v="9"/>
    <x v="0"/>
    <s v="05011989"/>
    <n v="34.134246575342466"/>
    <n v="175"/>
    <n v="35"/>
  </r>
  <r>
    <n v="13667234"/>
    <n v="11011989"/>
    <n v="3"/>
    <n v="2"/>
    <n v="3"/>
    <x v="9"/>
    <x v="7"/>
    <s v="11011989"/>
    <n v="34.11780821917808"/>
    <n v="1397.5"/>
    <n v="465.83333333333331"/>
  </r>
  <r>
    <n v="14201398"/>
    <n v="13011989"/>
    <n v="4"/>
    <n v="2"/>
    <n v="1"/>
    <x v="2"/>
    <x v="9"/>
    <s v="13011989"/>
    <n v="34.112328767123287"/>
    <n v="175"/>
    <n v="43.75"/>
  </r>
  <r>
    <n v="14634887"/>
    <n v="14011989"/>
    <n v="5"/>
    <n v="1"/>
    <n v="2"/>
    <x v="7"/>
    <x v="3"/>
    <s v="14011989"/>
    <n v="34.109589041095887"/>
    <n v="697.5"/>
    <n v="139.5"/>
  </r>
  <r>
    <n v="416597"/>
    <n v="16011989"/>
    <n v="4"/>
    <n v="1"/>
    <n v="1"/>
    <x v="7"/>
    <x v="1"/>
    <s v="16011989"/>
    <n v="34.104109589041094"/>
    <n v="175"/>
    <n v="43.75"/>
  </r>
  <r>
    <n v="23280423"/>
    <n v="22121988"/>
    <n v="0"/>
    <n v="0"/>
    <n v="2"/>
    <x v="4"/>
    <x v="5"/>
    <s v="22121988"/>
    <n v="34.172602739726024"/>
    <n v="697.5"/>
    <n v="0"/>
  </r>
  <r>
    <n v="21577730"/>
    <n v="19011989"/>
    <n v="5"/>
    <n v="1"/>
    <n v="3"/>
    <x v="2"/>
    <x v="3"/>
    <s v="19011989"/>
    <n v="34.095890410958901"/>
    <n v="1397.5"/>
    <n v="279.5"/>
  </r>
  <r>
    <n v="6090294"/>
    <n v="18011989"/>
    <n v="5"/>
    <n v="2"/>
    <n v="2"/>
    <x v="7"/>
    <x v="10"/>
    <s v="18011989"/>
    <n v="34.098630136986301"/>
    <n v="697.5"/>
    <n v="139.5"/>
  </r>
  <r>
    <n v="12498981"/>
    <n v="12121988"/>
    <n v="4"/>
    <n v="1"/>
    <n v="4"/>
    <x v="7"/>
    <x v="10"/>
    <s v="12121988"/>
    <n v="34.200000000000003"/>
    <n v="2100"/>
    <n v="525"/>
  </r>
  <r>
    <n v="23987218"/>
    <n v="15101988"/>
    <n v="0"/>
    <n v="0"/>
    <n v="1"/>
    <x v="4"/>
    <x v="5"/>
    <s v="15101988"/>
    <n v="34.358904109589041"/>
    <n v="175"/>
    <n v="0"/>
  </r>
  <r>
    <n v="20884923"/>
    <n v="27011989"/>
    <n v="5"/>
    <n v="1"/>
    <n v="1"/>
    <x v="7"/>
    <x v="3"/>
    <s v="27011989"/>
    <n v="34.073972602739723"/>
    <n v="175"/>
    <n v="35"/>
  </r>
  <r>
    <n v="10635934"/>
    <n v="23011989"/>
    <n v="4"/>
    <n v="1"/>
    <n v="3"/>
    <x v="2"/>
    <x v="3"/>
    <s v="23011989"/>
    <n v="34.084931506849315"/>
    <n v="1397.5"/>
    <n v="349.375"/>
  </r>
  <r>
    <n v="15543761"/>
    <n v="7011989"/>
    <n v="5"/>
    <n v="1"/>
    <n v="2"/>
    <x v="7"/>
    <x v="3"/>
    <s v="07011989"/>
    <n v="34.128767123287673"/>
    <n v="697.5"/>
    <n v="139.5"/>
  </r>
  <r>
    <n v="2090933"/>
    <n v="23011989"/>
    <n v="5"/>
    <n v="1"/>
    <n v="2"/>
    <x v="7"/>
    <x v="3"/>
    <s v="23011989"/>
    <n v="34.084931506849315"/>
    <n v="697.5"/>
    <n v="139.5"/>
  </r>
  <r>
    <n v="6897783"/>
    <n v="28121988"/>
    <n v="4"/>
    <n v="1"/>
    <n v="2"/>
    <x v="7"/>
    <x v="3"/>
    <s v="28121988"/>
    <n v="34.156164383561645"/>
    <n v="697.5"/>
    <n v="174.375"/>
  </r>
  <r>
    <n v="4964354"/>
    <n v="1021989"/>
    <n v="0"/>
    <n v="0"/>
    <n v="1"/>
    <x v="8"/>
    <x v="10"/>
    <s v="01021989"/>
    <n v="34.060273972602737"/>
    <n v="175"/>
    <n v="0"/>
  </r>
  <r>
    <n v="1022725"/>
    <n v="3021989"/>
    <n v="4"/>
    <n v="1"/>
    <n v="1"/>
    <x v="7"/>
    <x v="1"/>
    <s v="03021989"/>
    <n v="34.054794520547944"/>
    <n v="175"/>
    <n v="43.75"/>
  </r>
  <r>
    <n v="19079253"/>
    <n v="2021989"/>
    <n v="0"/>
    <n v="0"/>
    <n v="2"/>
    <x v="4"/>
    <x v="5"/>
    <s v="02021989"/>
    <n v="34.057534246575344"/>
    <n v="697.5"/>
    <n v="0"/>
  </r>
  <r>
    <n v="19816967"/>
    <n v="7111988"/>
    <n v="4"/>
    <n v="1"/>
    <n v="1"/>
    <x v="1"/>
    <x v="2"/>
    <s v="07111988"/>
    <n v="34.295890410958904"/>
    <n v="175"/>
    <n v="43.75"/>
  </r>
  <r>
    <n v="21418889"/>
    <n v="2021989"/>
    <n v="0"/>
    <n v="0"/>
    <n v="1"/>
    <x v="7"/>
    <x v="3"/>
    <s v="02021989"/>
    <n v="34.057534246575344"/>
    <n v="175"/>
    <n v="0"/>
  </r>
  <r>
    <n v="19282372"/>
    <n v="22011989"/>
    <n v="3"/>
    <n v="1"/>
    <n v="1"/>
    <x v="5"/>
    <x v="0"/>
    <s v="22011989"/>
    <n v="34.087671232876716"/>
    <n v="175"/>
    <n v="58.333333333333336"/>
  </r>
  <r>
    <n v="24623013"/>
    <n v="20121988"/>
    <n v="2"/>
    <n v="0"/>
    <n v="1"/>
    <x v="5"/>
    <x v="3"/>
    <s v="20121988"/>
    <n v="34.178082191780824"/>
    <n v="175"/>
    <n v="87.5"/>
  </r>
  <r>
    <n v="2293959"/>
    <n v="3021989"/>
    <n v="4"/>
    <n v="1"/>
    <n v="1"/>
    <x v="5"/>
    <x v="2"/>
    <s v="03021989"/>
    <n v="34.054794520547944"/>
    <n v="175"/>
    <n v="43.75"/>
  </r>
  <r>
    <n v="22818493"/>
    <n v="28011989"/>
    <n v="5"/>
    <n v="1"/>
    <n v="2"/>
    <x v="9"/>
    <x v="3"/>
    <s v="28011989"/>
    <n v="34.07123287671233"/>
    <n v="697.5"/>
    <n v="139.5"/>
  </r>
  <r>
    <n v="8601508"/>
    <n v="5021989"/>
    <n v="4"/>
    <n v="2"/>
    <n v="3"/>
    <x v="2"/>
    <x v="7"/>
    <s v="05021989"/>
    <n v="34.049315068493151"/>
    <n v="1397.5"/>
    <n v="349.375"/>
  </r>
  <r>
    <n v="2726693"/>
    <n v="8021989"/>
    <n v="5"/>
    <n v="2"/>
    <n v="3"/>
    <x v="2"/>
    <x v="3"/>
    <s v="08021989"/>
    <n v="34.041095890410958"/>
    <n v="1397.5"/>
    <n v="279.5"/>
  </r>
  <r>
    <n v="18747968"/>
    <n v="31011989"/>
    <n v="5"/>
    <n v="1"/>
    <n v="1"/>
    <x v="7"/>
    <x v="3"/>
    <s v="31011989"/>
    <n v="34.063013698630137"/>
    <n v="175"/>
    <n v="35"/>
  </r>
  <r>
    <n v="24521172"/>
    <n v="15121988"/>
    <n v="5"/>
    <n v="1"/>
    <n v="1"/>
    <x v="4"/>
    <x v="0"/>
    <s v="15121988"/>
    <n v="34.19178082191781"/>
    <n v="175"/>
    <n v="35"/>
  </r>
  <r>
    <n v="4227432"/>
    <n v="10021989"/>
    <n v="4"/>
    <n v="1"/>
    <n v="2"/>
    <x v="2"/>
    <x v="3"/>
    <s v="10021989"/>
    <n v="34.035616438356165"/>
    <n v="697.5"/>
    <n v="174.375"/>
  </r>
  <r>
    <n v="19180647"/>
    <n v="11021989"/>
    <n v="4"/>
    <n v="1"/>
    <n v="1"/>
    <x v="0"/>
    <x v="1"/>
    <s v="11021989"/>
    <n v="34.032876712328765"/>
    <n v="175"/>
    <n v="43.75"/>
  </r>
  <r>
    <n v="15975863"/>
    <n v="29011989"/>
    <n v="5"/>
    <n v="1"/>
    <n v="1"/>
    <x v="1"/>
    <x v="1"/>
    <s v="29011989"/>
    <n v="34.06849315068493"/>
    <n v="175"/>
    <n v="35"/>
  </r>
  <r>
    <n v="589832"/>
    <n v="13021989"/>
    <n v="5"/>
    <n v="2"/>
    <n v="2"/>
    <x v="7"/>
    <x v="3"/>
    <s v="13021989"/>
    <n v="34.027397260273972"/>
    <n v="697.5"/>
    <n v="139.5"/>
  </r>
  <r>
    <n v="15543762"/>
    <n v="14021989"/>
    <n v="3"/>
    <n v="1"/>
    <n v="1"/>
    <x v="5"/>
    <x v="3"/>
    <s v="14021989"/>
    <n v="34.024657534246572"/>
    <n v="175"/>
    <n v="58.333333333333336"/>
  </r>
  <r>
    <n v="2090934"/>
    <n v="8021989"/>
    <n v="7"/>
    <n v="4"/>
    <n v="6"/>
    <x v="2"/>
    <x v="7"/>
    <s v="08021989"/>
    <n v="34.041095890410958"/>
    <n v="4000"/>
    <n v="571.42857142857144"/>
  </r>
  <r>
    <n v="3693890"/>
    <n v="5101988"/>
    <n v="4"/>
    <n v="2"/>
    <n v="1"/>
    <x v="4"/>
    <x v="3"/>
    <s v="05101988"/>
    <n v="34.386301369863013"/>
    <n v="175"/>
    <n v="43.75"/>
  </r>
  <r>
    <n v="17044382"/>
    <n v="23011989"/>
    <n v="2"/>
    <n v="1"/>
    <n v="1"/>
    <x v="9"/>
    <x v="9"/>
    <s v="23011989"/>
    <n v="34.084931506849315"/>
    <n v="175"/>
    <n v="87.5"/>
  </r>
  <r>
    <n v="1556763"/>
    <n v="3021988"/>
    <n v="6"/>
    <n v="1"/>
    <n v="1"/>
    <x v="7"/>
    <x v="0"/>
    <s v="03021988"/>
    <n v="35.057534246575344"/>
    <n v="175"/>
    <n v="29.166666666666668"/>
  </r>
  <r>
    <n v="6897784"/>
    <n v="20021989"/>
    <n v="3"/>
    <n v="1"/>
    <n v="2"/>
    <x v="7"/>
    <x v="7"/>
    <s v="20021989"/>
    <n v="34.008219178082193"/>
    <n v="697.5"/>
    <n v="232.5"/>
  </r>
  <r>
    <n v="13942088"/>
    <n v="3011989"/>
    <n v="3"/>
    <n v="1"/>
    <n v="1"/>
    <x v="4"/>
    <x v="3"/>
    <s v="03011989"/>
    <n v="34.139726027397259"/>
    <n v="175"/>
    <n v="58.333333333333336"/>
  </r>
  <r>
    <n v="23453288"/>
    <n v="21021989"/>
    <n v="4"/>
    <n v="2"/>
    <n v="2"/>
    <x v="7"/>
    <x v="3"/>
    <s v="21021989"/>
    <n v="34.005479452054793"/>
    <n v="697.5"/>
    <n v="174.375"/>
  </r>
  <r>
    <n v="15874638"/>
    <n v="13021989"/>
    <n v="5"/>
    <n v="2"/>
    <n v="2"/>
    <x v="7"/>
    <x v="1"/>
    <s v="13021989"/>
    <n v="34.027397260273972"/>
    <n v="697.5"/>
    <n v="139.5"/>
  </r>
  <r>
    <n v="14476177"/>
    <n v="8021988"/>
    <n v="5"/>
    <n v="2"/>
    <n v="2"/>
    <x v="0"/>
    <x v="0"/>
    <s v="08021988"/>
    <n v="35.043835616438358"/>
    <n v="697.5"/>
    <n v="139.5"/>
  </r>
  <r>
    <n v="3362769"/>
    <n v="21021989"/>
    <n v="4"/>
    <n v="2"/>
    <n v="2"/>
    <x v="5"/>
    <x v="8"/>
    <s v="21021989"/>
    <n v="34.005479452054793"/>
    <n v="697.5"/>
    <n v="174.375"/>
  </r>
  <r>
    <n v="1123862"/>
    <n v="13021989"/>
    <n v="4"/>
    <n v="1"/>
    <n v="2"/>
    <x v="5"/>
    <x v="10"/>
    <s v="13021989"/>
    <n v="34.027397260273972"/>
    <n v="697.5"/>
    <n v="174.375"/>
  </r>
  <r>
    <n v="14908373"/>
    <n v="15021989"/>
    <n v="5"/>
    <n v="1"/>
    <n v="2"/>
    <x v="8"/>
    <x v="10"/>
    <s v="15021989"/>
    <n v="34.021917808219179"/>
    <n v="697.5"/>
    <n v="139.5"/>
  </r>
  <r>
    <n v="14807154"/>
    <n v="18021989"/>
    <n v="4"/>
    <n v="2"/>
    <n v="1"/>
    <x v="8"/>
    <x v="3"/>
    <s v="18021989"/>
    <n v="34.013698630136986"/>
    <n v="175"/>
    <n v="43.75"/>
  </r>
  <r>
    <n v="16611997"/>
    <n v="5061988"/>
    <n v="0"/>
    <n v="0"/>
    <n v="1"/>
    <x v="4"/>
    <x v="5"/>
    <s v="05061988"/>
    <n v="34.720547945205482"/>
    <n v="175"/>
    <n v="0"/>
  </r>
  <r>
    <n v="22385577"/>
    <n v="22021989"/>
    <n v="6"/>
    <n v="2"/>
    <n v="2"/>
    <x v="5"/>
    <x v="10"/>
    <s v="22021989"/>
    <n v="34.0027397260274"/>
    <n v="697.5"/>
    <n v="116.25"/>
  </r>
  <r>
    <n v="15010090"/>
    <n v="13021989"/>
    <n v="5"/>
    <n v="1"/>
    <n v="1"/>
    <x v="7"/>
    <x v="3"/>
    <s v="13021989"/>
    <n v="34.027397260273972"/>
    <n v="175"/>
    <n v="35"/>
  </r>
  <r>
    <n v="3159758"/>
    <n v="28121988"/>
    <n v="0"/>
    <n v="0"/>
    <n v="1"/>
    <x v="4"/>
    <x v="5"/>
    <s v="28121988"/>
    <n v="34.156164383561645"/>
    <n v="175"/>
    <n v="0"/>
  </r>
  <r>
    <n v="8067297"/>
    <n v="19021989"/>
    <n v="4"/>
    <n v="1"/>
    <n v="2"/>
    <x v="7"/>
    <x v="1"/>
    <s v="19021989"/>
    <n v="34.010958904109586"/>
    <n v="697.5"/>
    <n v="174.375"/>
  </r>
  <r>
    <n v="13840232"/>
    <n v="3021989"/>
    <n v="4"/>
    <n v="1"/>
    <n v="1"/>
    <x v="0"/>
    <x v="2"/>
    <s v="03021989"/>
    <n v="34.054794520547944"/>
    <n v="175"/>
    <n v="43.75"/>
  </r>
  <r>
    <n v="16077734"/>
    <n v="4031989"/>
    <n v="2"/>
    <n v="1"/>
    <n v="1"/>
    <x v="8"/>
    <x v="1"/>
    <s v="04031989"/>
    <n v="33.975342465753428"/>
    <n v="175"/>
    <n v="87.5"/>
  </r>
  <r>
    <n v="11806066"/>
    <n v="28021989"/>
    <n v="4"/>
    <n v="1"/>
    <n v="1"/>
    <x v="5"/>
    <x v="10"/>
    <s v="28021989"/>
    <n v="33.986301369863014"/>
    <n v="175"/>
    <n v="43.75"/>
  </r>
  <r>
    <n v="488537"/>
    <n v="2021989"/>
    <n v="5"/>
    <n v="1"/>
    <n v="1"/>
    <x v="7"/>
    <x v="2"/>
    <s v="02021989"/>
    <n v="34.057534246575344"/>
    <n v="175"/>
    <n v="35"/>
  </r>
  <r>
    <n v="7634457"/>
    <n v="2021989"/>
    <n v="5"/>
    <n v="1"/>
    <n v="1"/>
    <x v="7"/>
    <x v="2"/>
    <s v="02021989"/>
    <n v="34.057534246575344"/>
    <n v="175"/>
    <n v="35"/>
  </r>
  <r>
    <n v="19180646"/>
    <n v="11011989"/>
    <n v="4"/>
    <n v="1"/>
    <n v="1"/>
    <x v="7"/>
    <x v="3"/>
    <s v="11011989"/>
    <n v="34.11780821917808"/>
    <n v="175"/>
    <n v="43.75"/>
  </r>
  <r>
    <n v="10203576"/>
    <n v="22021989"/>
    <n v="4"/>
    <n v="1"/>
    <n v="1"/>
    <x v="1"/>
    <x v="0"/>
    <s v="22021989"/>
    <n v="34.0027397260274"/>
    <n v="175"/>
    <n v="43.75"/>
  </r>
  <r>
    <n v="6926309"/>
    <n v="3031989"/>
    <n v="5"/>
    <n v="1"/>
    <n v="1"/>
    <x v="7"/>
    <x v="3"/>
    <s v="03031989"/>
    <n v="33.978082191780821"/>
    <n v="175"/>
    <n v="35"/>
  </r>
  <r>
    <n v="517041"/>
    <n v="15021989"/>
    <n v="7"/>
    <n v="1"/>
    <n v="1"/>
    <x v="5"/>
    <x v="0"/>
    <s v="15021989"/>
    <n v="34.021917808219179"/>
    <n v="175"/>
    <n v="25"/>
  </r>
  <r>
    <n v="3722336"/>
    <n v="8021989"/>
    <n v="8"/>
    <n v="1"/>
    <n v="1"/>
    <x v="7"/>
    <x v="1"/>
    <s v="08021989"/>
    <n v="34.041095890410958"/>
    <n v="175"/>
    <n v="21.875"/>
  </r>
  <r>
    <n v="18776678"/>
    <n v="9031989"/>
    <n v="5"/>
    <n v="1"/>
    <n v="3"/>
    <x v="7"/>
    <x v="6"/>
    <s v="09031989"/>
    <n v="33.961643835616435"/>
    <n v="1397.5"/>
    <n v="279.5"/>
  </r>
  <r>
    <n v="19107691"/>
    <n v="10011989"/>
    <n v="5"/>
    <n v="2"/>
    <n v="1"/>
    <x v="5"/>
    <x v="3"/>
    <s v="10011989"/>
    <n v="34.12054794520548"/>
    <n v="175"/>
    <n v="35"/>
  </r>
  <r>
    <n v="618414"/>
    <n v="6031989"/>
    <n v="4"/>
    <n v="1"/>
    <n v="1"/>
    <x v="0"/>
    <x v="2"/>
    <s v="06031989"/>
    <n v="33.969863013698628"/>
    <n v="175"/>
    <n v="43.75"/>
  </r>
  <r>
    <n v="5324284"/>
    <n v="8031989"/>
    <n v="4"/>
    <n v="2"/>
    <n v="2"/>
    <x v="7"/>
    <x v="7"/>
    <s v="08031989"/>
    <n v="33.964383561643835"/>
    <n v="697.5"/>
    <n v="174.375"/>
  </r>
  <r>
    <n v="12165711"/>
    <n v="11031989"/>
    <n v="4"/>
    <n v="1"/>
    <n v="2"/>
    <x v="8"/>
    <x v="7"/>
    <s v="11031989"/>
    <n v="33.956164383561642"/>
    <n v="697.5"/>
    <n v="174.375"/>
  </r>
  <r>
    <n v="6494070"/>
    <n v="12031989"/>
    <n v="4"/>
    <n v="1"/>
    <n v="1"/>
    <x v="2"/>
    <x v="1"/>
    <s v="12031989"/>
    <n v="33.953424657534249"/>
    <n v="175"/>
    <n v="43.75"/>
  </r>
  <r>
    <n v="22846919"/>
    <n v="7071988"/>
    <n v="7"/>
    <n v="0"/>
    <n v="1"/>
    <x v="4"/>
    <x v="5"/>
    <s v="07071988"/>
    <n v="34.632876712328766"/>
    <n v="175"/>
    <n v="25"/>
  </r>
  <r>
    <n v="21778560"/>
    <n v="14031989"/>
    <n v="3"/>
    <n v="1"/>
    <n v="1"/>
    <x v="7"/>
    <x v="6"/>
    <s v="14031989"/>
    <n v="33.947945205479449"/>
    <n v="175"/>
    <n v="58.333333333333336"/>
  </r>
  <r>
    <n v="22948115"/>
    <n v="12031989"/>
    <n v="4"/>
    <n v="1"/>
    <n v="2"/>
    <x v="7"/>
    <x v="0"/>
    <s v="12031989"/>
    <n v="33.953424657534249"/>
    <n v="697.5"/>
    <n v="174.375"/>
  </r>
  <r>
    <n v="11631696"/>
    <n v="11031989"/>
    <n v="8"/>
    <n v="1"/>
    <n v="1"/>
    <x v="7"/>
    <x v="3"/>
    <s v="11031989"/>
    <n v="33.956164383561642"/>
    <n v="175"/>
    <n v="21.875"/>
  </r>
  <r>
    <n v="16640673"/>
    <n v="10031989"/>
    <n v="2"/>
    <n v="0"/>
    <n v="1"/>
    <x v="1"/>
    <x v="9"/>
    <s v="10031989"/>
    <n v="33.958904109589042"/>
    <n v="175"/>
    <n v="87.5"/>
  </r>
  <r>
    <n v="13436455"/>
    <n v="7031989"/>
    <n v="5"/>
    <n v="2"/>
    <n v="2"/>
    <x v="7"/>
    <x v="3"/>
    <s v="07031989"/>
    <n v="33.967123287671235"/>
    <n v="697.5"/>
    <n v="139.5"/>
  </r>
  <r>
    <n v="14403103"/>
    <n v="15031989"/>
    <n v="6"/>
    <n v="2"/>
    <n v="1"/>
    <x v="7"/>
    <x v="3"/>
    <s v="15031989"/>
    <n v="33.945205479452056"/>
    <n v="175"/>
    <n v="29.166666666666668"/>
  </r>
  <r>
    <n v="8095918"/>
    <n v="18031989"/>
    <n v="2"/>
    <n v="0"/>
    <n v="1"/>
    <x v="7"/>
    <x v="3"/>
    <s v="18031989"/>
    <n v="33.936986301369863"/>
    <n v="175"/>
    <n v="87.5"/>
  </r>
  <r>
    <n v="9698226"/>
    <n v="15031989"/>
    <n v="4"/>
    <n v="2"/>
    <n v="1"/>
    <x v="5"/>
    <x v="0"/>
    <s v="15031989"/>
    <n v="33.945205479452056"/>
    <n v="175"/>
    <n v="43.75"/>
  </r>
  <r>
    <n v="3289661"/>
    <n v="21031989"/>
    <n v="5"/>
    <n v="1"/>
    <n v="1"/>
    <x v="4"/>
    <x v="7"/>
    <s v="21031989"/>
    <n v="33.92876712328767"/>
    <n v="175"/>
    <n v="35"/>
  </r>
  <r>
    <n v="11097594"/>
    <n v="20031989"/>
    <n v="5"/>
    <n v="2"/>
    <n v="3"/>
    <x v="2"/>
    <x v="7"/>
    <s v="20031989"/>
    <n v="33.93150684931507"/>
    <n v="1397.5"/>
    <n v="279.5"/>
  </r>
  <r>
    <n v="16004525"/>
    <n v="5011989"/>
    <n v="5"/>
    <n v="0"/>
    <n v="1"/>
    <x v="9"/>
    <x v="0"/>
    <s v="05011989"/>
    <n v="34.134246575342466"/>
    <n v="175"/>
    <n v="35"/>
  </r>
  <r>
    <n v="20811869"/>
    <n v="28031989"/>
    <n v="7"/>
    <n v="2"/>
    <n v="2"/>
    <x v="7"/>
    <x v="3"/>
    <s v="28031989"/>
    <n v="33.909589041095892"/>
    <n v="697.5"/>
    <n v="99.642857142857139"/>
  </r>
  <r>
    <n v="23380597"/>
    <n v="27021989"/>
    <n v="6"/>
    <n v="2"/>
    <n v="1"/>
    <x v="8"/>
    <x v="10"/>
    <s v="27021989"/>
    <n v="33.989041095890414"/>
    <n v="175"/>
    <n v="29.166666666666668"/>
  </r>
  <r>
    <n v="15038678"/>
    <n v="2041989"/>
    <n v="4"/>
    <n v="1"/>
    <n v="2"/>
    <x v="7"/>
    <x v="3"/>
    <s v="02041989"/>
    <n v="33.895890410958906"/>
    <n v="697.5"/>
    <n v="174.375"/>
  </r>
  <r>
    <n v="19845675"/>
    <n v="1041989"/>
    <n v="4"/>
    <n v="1"/>
    <n v="1"/>
    <x v="7"/>
    <x v="3"/>
    <s v="01041989"/>
    <n v="33.898630136986299"/>
    <n v="175"/>
    <n v="43.75"/>
  </r>
  <r>
    <n v="18776677"/>
    <n v="30031989"/>
    <n v="3"/>
    <n v="0"/>
    <n v="1"/>
    <x v="7"/>
    <x v="1"/>
    <s v="30031989"/>
    <n v="33.904109589041099"/>
    <n v="175"/>
    <n v="58.333333333333336"/>
  </r>
  <r>
    <n v="5324283"/>
    <n v="31031989"/>
    <n v="5"/>
    <n v="0"/>
    <n v="1"/>
    <x v="9"/>
    <x v="3"/>
    <s v="31031989"/>
    <n v="33.901369863013699"/>
    <n v="175"/>
    <n v="35"/>
  </r>
  <r>
    <n v="14835583"/>
    <n v="31011989"/>
    <n v="6"/>
    <n v="1"/>
    <n v="1"/>
    <x v="7"/>
    <x v="2"/>
    <s v="31011989"/>
    <n v="34.063013698630137"/>
    <n v="175"/>
    <n v="29.166666666666668"/>
  </r>
  <r>
    <n v="10232105"/>
    <n v="16031989"/>
    <n v="4"/>
    <n v="1"/>
    <n v="1"/>
    <x v="1"/>
    <x v="0"/>
    <s v="16031989"/>
    <n v="33.942465753424656"/>
    <n v="175"/>
    <n v="43.75"/>
  </r>
  <r>
    <n v="10563206"/>
    <n v="1041989"/>
    <n v="5"/>
    <n v="1"/>
    <n v="1"/>
    <x v="7"/>
    <x v="1"/>
    <s v="01041989"/>
    <n v="33.898630136986299"/>
    <n v="175"/>
    <n v="35"/>
  </r>
  <r>
    <n v="8427200"/>
    <n v="15031989"/>
    <n v="7"/>
    <n v="1"/>
    <n v="1"/>
    <x v="0"/>
    <x v="0"/>
    <s v="15031989"/>
    <n v="33.945205479452056"/>
    <n v="175"/>
    <n v="25"/>
  </r>
  <r>
    <n v="4155043"/>
    <n v="17021989"/>
    <n v="4"/>
    <n v="1"/>
    <n v="2"/>
    <x v="7"/>
    <x v="9"/>
    <s v="17021989"/>
    <n v="34.016438356164386"/>
    <n v="697.5"/>
    <n v="174.375"/>
  </r>
  <r>
    <n v="18674785"/>
    <n v="1041989"/>
    <n v="3"/>
    <n v="1"/>
    <n v="1"/>
    <x v="7"/>
    <x v="3"/>
    <s v="01041989"/>
    <n v="33.898630136986299"/>
    <n v="175"/>
    <n v="58.333333333333336"/>
  </r>
  <r>
    <n v="14301674"/>
    <n v="15111988"/>
    <n v="5"/>
    <n v="0"/>
    <n v="1"/>
    <x v="7"/>
    <x v="0"/>
    <s v="15111988"/>
    <n v="34.273972602739725"/>
    <n v="175"/>
    <n v="35"/>
  </r>
  <r>
    <n v="13233290"/>
    <n v="9041989"/>
    <n v="4"/>
    <n v="2"/>
    <n v="2"/>
    <x v="9"/>
    <x v="7"/>
    <s v="09041989"/>
    <n v="33.876712328767127"/>
    <n v="697.5"/>
    <n v="174.375"/>
  </r>
  <r>
    <n v="13970676"/>
    <n v="31031989"/>
    <n v="4"/>
    <n v="1"/>
    <n v="2"/>
    <x v="6"/>
    <x v="10"/>
    <s v="31031989"/>
    <n v="33.901369863013699"/>
    <n v="697.5"/>
    <n v="174.375"/>
  </r>
  <r>
    <n v="9698227"/>
    <n v="7041989"/>
    <n v="4"/>
    <n v="2"/>
    <n v="2"/>
    <x v="2"/>
    <x v="3"/>
    <s v="07041989"/>
    <n v="33.88219178082192"/>
    <n v="697.5"/>
    <n v="174.375"/>
  </r>
  <r>
    <n v="5757311"/>
    <n v="10041989"/>
    <n v="8"/>
    <n v="4"/>
    <n v="5"/>
    <x v="2"/>
    <x v="7"/>
    <s v="10041989"/>
    <n v="33.873972602739727"/>
    <n v="2787.5"/>
    <n v="348.4375"/>
  </r>
  <r>
    <n v="16437366"/>
    <n v="6041989"/>
    <n v="4"/>
    <n v="1"/>
    <n v="1"/>
    <x v="4"/>
    <x v="2"/>
    <s v="06041989"/>
    <n v="33.884931506849313"/>
    <n v="175"/>
    <n v="43.75"/>
  </r>
  <r>
    <n v="21345668"/>
    <n v="15041989"/>
    <n v="2"/>
    <n v="1"/>
    <n v="2"/>
    <x v="2"/>
    <x v="3"/>
    <s v="15041989"/>
    <n v="33.860273972602741"/>
    <n v="697.5"/>
    <n v="348.75"/>
  </r>
  <r>
    <n v="22312881"/>
    <n v="30031989"/>
    <n v="5"/>
    <n v="1"/>
    <n v="1"/>
    <x v="5"/>
    <x v="2"/>
    <s v="30031989"/>
    <n v="33.904109589041099"/>
    <n v="175"/>
    <n v="35"/>
  </r>
  <r>
    <n v="4357288"/>
    <n v="21031989"/>
    <n v="5"/>
    <n v="1"/>
    <n v="1"/>
    <x v="9"/>
    <x v="9"/>
    <s v="21031989"/>
    <n v="33.92876712328767"/>
    <n v="175"/>
    <n v="35"/>
  </r>
  <r>
    <n v="17607016"/>
    <n v="5031989"/>
    <n v="5"/>
    <n v="1"/>
    <n v="1"/>
    <x v="5"/>
    <x v="3"/>
    <s v="05031989"/>
    <n v="33.972602739726028"/>
    <n v="175"/>
    <n v="35"/>
  </r>
  <r>
    <n v="5959996"/>
    <n v="8101988"/>
    <n v="3"/>
    <n v="1"/>
    <n v="1"/>
    <x v="4"/>
    <x v="3"/>
    <s v="08101988"/>
    <n v="34.37808219178082"/>
    <n v="175"/>
    <n v="58.333333333333336"/>
  </r>
  <r>
    <n v="22414190"/>
    <n v="15041989"/>
    <n v="6"/>
    <n v="1"/>
    <n v="1"/>
    <x v="2"/>
    <x v="1"/>
    <s v="15041989"/>
    <n v="33.860273972602741"/>
    <n v="175"/>
    <n v="29.166666666666668"/>
  </r>
  <r>
    <n v="21593055"/>
    <n v="19041989"/>
    <n v="3"/>
    <n v="0"/>
    <n v="1"/>
    <x v="5"/>
    <x v="1"/>
    <s v="19041989"/>
    <n v="33.849315068493148"/>
    <n v="175"/>
    <n v="58.333333333333336"/>
  </r>
  <r>
    <n v="11113461"/>
    <n v="28011987"/>
    <n v="6"/>
    <n v="1"/>
    <n v="1"/>
    <x v="5"/>
    <x v="1"/>
    <s v="28011987"/>
    <n v="36.073972602739723"/>
    <n v="175"/>
    <n v="29.166666666666668"/>
  </r>
  <r>
    <n v="15184016"/>
    <n v="20041989"/>
    <n v="3"/>
    <n v="1"/>
    <n v="1"/>
    <x v="8"/>
    <x v="10"/>
    <s v="20041989"/>
    <n v="33.846575342465755"/>
    <n v="175"/>
    <n v="58.333333333333336"/>
  </r>
  <r>
    <n v="13047960"/>
    <n v="6011989"/>
    <n v="5"/>
    <n v="1"/>
    <n v="1"/>
    <x v="5"/>
    <x v="0"/>
    <s v="06011989"/>
    <n v="34.131506849315066"/>
    <n v="175"/>
    <n v="35"/>
  </r>
  <r>
    <n v="3969360"/>
    <n v="22021989"/>
    <n v="5"/>
    <n v="0"/>
    <n v="1"/>
    <x v="4"/>
    <x v="3"/>
    <s v="22021989"/>
    <n v="34.0027397260274"/>
    <n v="175"/>
    <n v="35"/>
  </r>
  <r>
    <n v="11980241"/>
    <n v="10041989"/>
    <n v="4"/>
    <n v="1"/>
    <n v="1"/>
    <x v="1"/>
    <x v="1"/>
    <s v="10041989"/>
    <n v="33.873972602739727"/>
    <n v="175"/>
    <n v="43.75"/>
  </r>
  <r>
    <n v="19022711"/>
    <n v="27041989"/>
    <n v="4"/>
    <n v="2"/>
    <n v="6"/>
    <x v="2"/>
    <x v="7"/>
    <s v="27041989"/>
    <n v="33.827397260273976"/>
    <n v="4000"/>
    <n v="1000"/>
  </r>
  <r>
    <n v="23627990"/>
    <n v="28041989"/>
    <n v="4"/>
    <n v="2"/>
    <n v="3"/>
    <x v="2"/>
    <x v="7"/>
    <s v="28041989"/>
    <n v="33.824657534246576"/>
    <n v="1397.5"/>
    <n v="349.375"/>
  </r>
  <r>
    <n v="19557214"/>
    <n v="17041989"/>
    <n v="4"/>
    <n v="1"/>
    <n v="1"/>
    <x v="5"/>
    <x v="2"/>
    <s v="17041989"/>
    <n v="33.854794520547948"/>
    <n v="175"/>
    <n v="43.75"/>
  </r>
  <r>
    <n v="8443063"/>
    <n v="27041989"/>
    <n v="4"/>
    <n v="1"/>
    <n v="2"/>
    <x v="4"/>
    <x v="5"/>
    <s v="27041989"/>
    <n v="33.827397260273976"/>
    <n v="697.5"/>
    <n v="174.375"/>
  </r>
  <r>
    <n v="5037210"/>
    <n v="27041989"/>
    <n v="3"/>
    <n v="0"/>
    <n v="1"/>
    <x v="1"/>
    <x v="2"/>
    <s v="27041989"/>
    <n v="33.827397260273976"/>
    <n v="175"/>
    <n v="58.333333333333336"/>
  </r>
  <r>
    <n v="1500119"/>
    <n v="27041989"/>
    <n v="4"/>
    <n v="0"/>
    <n v="1"/>
    <x v="2"/>
    <x v="10"/>
    <s v="27041989"/>
    <n v="33.827397260273976"/>
    <n v="175"/>
    <n v="43.75"/>
  </r>
  <r>
    <n v="22560467"/>
    <n v="8031989"/>
    <n v="6"/>
    <n v="1"/>
    <n v="2"/>
    <x v="9"/>
    <x v="1"/>
    <s v="08031989"/>
    <n v="33.964383561643835"/>
    <n v="697.5"/>
    <n v="116.25"/>
  </r>
  <r>
    <n v="16352461"/>
    <n v="29041989"/>
    <n v="7"/>
    <n v="2"/>
    <n v="2"/>
    <x v="5"/>
    <x v="7"/>
    <s v="29041989"/>
    <n v="33.821917808219176"/>
    <n v="697.5"/>
    <n v="99.642857142857139"/>
  </r>
  <r>
    <n v="6307375"/>
    <n v="4051989"/>
    <n v="4"/>
    <n v="1"/>
    <n v="1"/>
    <x v="7"/>
    <x v="0"/>
    <s v="04051989"/>
    <n v="33.80821917808219"/>
    <n v="175"/>
    <n v="43.75"/>
  </r>
  <r>
    <n v="15818231"/>
    <n v="11041989"/>
    <n v="2"/>
    <n v="1"/>
    <n v="1"/>
    <x v="0"/>
    <x v="5"/>
    <s v="11041989"/>
    <n v="33.871232876712327"/>
    <n v="175"/>
    <n v="87.5"/>
  </r>
  <r>
    <n v="24696029"/>
    <n v="18041989"/>
    <n v="6"/>
    <n v="1"/>
    <n v="1"/>
    <x v="7"/>
    <x v="3"/>
    <s v="18041989"/>
    <n v="33.852054794520548"/>
    <n v="175"/>
    <n v="29.166666666666668"/>
  </r>
  <r>
    <n v="9843640"/>
    <n v="8051989"/>
    <n v="4"/>
    <n v="2"/>
    <n v="3"/>
    <x v="8"/>
    <x v="7"/>
    <s v="08051989"/>
    <n v="33.797260273972604"/>
    <n v="1397.5"/>
    <n v="349.375"/>
  </r>
  <r>
    <n v="5571618"/>
    <n v="18041989"/>
    <n v="4"/>
    <n v="0"/>
    <n v="3"/>
    <x v="8"/>
    <x v="10"/>
    <s v="18041989"/>
    <n v="33.852054794520548"/>
    <n v="1397.5"/>
    <n v="349.375"/>
  </r>
  <r>
    <n v="3002384"/>
    <n v="20061988"/>
    <n v="3"/>
    <n v="0"/>
    <n v="1"/>
    <x v="5"/>
    <x v="1"/>
    <s v="20061988"/>
    <n v="34.679452054794524"/>
    <n v="175"/>
    <n v="58.333333333333336"/>
  </r>
  <r>
    <n v="1298536"/>
    <n v="5051989"/>
    <n v="4"/>
    <n v="1"/>
    <n v="1"/>
    <x v="7"/>
    <x v="3"/>
    <s v="05051989"/>
    <n v="33.805479452054797"/>
    <n v="175"/>
    <n v="43.75"/>
  </r>
  <r>
    <n v="24263012"/>
    <n v="10041989"/>
    <n v="3"/>
    <n v="1"/>
    <n v="1"/>
    <x v="1"/>
    <x v="3"/>
    <s v="10041989"/>
    <n v="33.873972602739727"/>
    <n v="175"/>
    <n v="58.333333333333336"/>
  </r>
  <r>
    <n v="21059065"/>
    <n v="5051989"/>
    <n v="7"/>
    <n v="1"/>
    <n v="2"/>
    <x v="7"/>
    <x v="3"/>
    <s v="05051989"/>
    <n v="33.805479452054797"/>
    <n v="697.5"/>
    <n v="99.642857142857139"/>
  </r>
  <r>
    <n v="19456678"/>
    <n v="7051989"/>
    <n v="6"/>
    <n v="1"/>
    <n v="1"/>
    <x v="7"/>
    <x v="3"/>
    <s v="07051989"/>
    <n v="33.799999999999997"/>
    <n v="175"/>
    <n v="29.166666666666668"/>
  </r>
  <r>
    <n v="966093"/>
    <n v="18031989"/>
    <n v="3"/>
    <n v="1"/>
    <n v="1"/>
    <x v="0"/>
    <x v="1"/>
    <s v="18031989"/>
    <n v="33.936986301369863"/>
    <n v="175"/>
    <n v="58.333333333333336"/>
  </r>
  <r>
    <n v="20625583"/>
    <n v="2031989"/>
    <n v="6"/>
    <n v="2"/>
    <n v="1"/>
    <x v="7"/>
    <x v="1"/>
    <s v="02031989"/>
    <n v="33.980821917808221"/>
    <n v="175"/>
    <n v="29.166666666666668"/>
  </r>
  <r>
    <n v="11647535"/>
    <n v="27041989"/>
    <n v="6"/>
    <n v="0"/>
    <n v="1"/>
    <x v="5"/>
    <x v="0"/>
    <s v="27041989"/>
    <n v="33.827397260273976"/>
    <n v="175"/>
    <n v="29.166666666666668"/>
  </r>
  <r>
    <n v="23195210"/>
    <n v="20051989"/>
    <n v="4"/>
    <n v="2"/>
    <n v="2"/>
    <x v="5"/>
    <x v="7"/>
    <s v="20051989"/>
    <n v="33.764383561643832"/>
    <n v="697.5"/>
    <n v="174.375"/>
  </r>
  <r>
    <n v="16251887"/>
    <n v="24041989"/>
    <n v="4"/>
    <n v="1"/>
    <n v="1"/>
    <x v="7"/>
    <x v="1"/>
    <s v="24041989"/>
    <n v="33.835616438356162"/>
    <n v="175"/>
    <n v="43.75"/>
  </r>
  <r>
    <n v="2366963"/>
    <n v="2051989"/>
    <n v="2"/>
    <n v="1"/>
    <n v="1"/>
    <x v="7"/>
    <x v="1"/>
    <s v="02051989"/>
    <n v="33.813698630136983"/>
    <n v="175"/>
    <n v="87.5"/>
  </r>
  <r>
    <n v="8876232"/>
    <n v="18051989"/>
    <n v="5"/>
    <n v="1"/>
    <n v="3"/>
    <x v="8"/>
    <x v="10"/>
    <s v="18051989"/>
    <n v="33.769863013698632"/>
    <n v="1397.5"/>
    <n v="279.5"/>
  </r>
  <r>
    <n v="23094218"/>
    <n v="20051989"/>
    <n v="3"/>
    <n v="1"/>
    <n v="1"/>
    <x v="5"/>
    <x v="2"/>
    <s v="20051989"/>
    <n v="33.764383561643832"/>
    <n v="175"/>
    <n v="58.333333333333336"/>
  </r>
  <r>
    <n v="14750752"/>
    <n v="18051989"/>
    <n v="5"/>
    <n v="1"/>
    <n v="1"/>
    <x v="7"/>
    <x v="3"/>
    <s v="18051989"/>
    <n v="33.769863013698632"/>
    <n v="175"/>
    <n v="35"/>
  </r>
  <r>
    <n v="6105763"/>
    <n v="24051989"/>
    <n v="4"/>
    <n v="2"/>
    <n v="2"/>
    <x v="7"/>
    <x v="3"/>
    <s v="24051989"/>
    <n v="33.753424657534246"/>
    <n v="697.5"/>
    <n v="174.375"/>
  </r>
  <r>
    <n v="5239067"/>
    <n v="2071988"/>
    <n v="5"/>
    <n v="2"/>
    <n v="2"/>
    <x v="5"/>
    <x v="0"/>
    <s v="02071988"/>
    <n v="34.646575342465752"/>
    <n v="697.5"/>
    <n v="139.5"/>
  </r>
  <r>
    <n v="1933578"/>
    <n v="26051989"/>
    <n v="8"/>
    <n v="1"/>
    <n v="2"/>
    <x v="4"/>
    <x v="7"/>
    <s v="26051989"/>
    <n v="33.747945205479454"/>
    <n v="697.5"/>
    <n v="87.1875"/>
  </r>
  <r>
    <n v="21492010"/>
    <n v="27051989"/>
    <n v="6"/>
    <n v="1"/>
    <n v="2"/>
    <x v="2"/>
    <x v="3"/>
    <s v="27051989"/>
    <n v="33.745205479452054"/>
    <n v="697.5"/>
    <n v="116.25"/>
  </r>
  <r>
    <n v="7808108"/>
    <n v="3051989"/>
    <n v="6"/>
    <n v="1"/>
    <n v="4"/>
    <x v="7"/>
    <x v="3"/>
    <s v="03051989"/>
    <n v="33.81095890410959"/>
    <n v="2100"/>
    <n v="350"/>
  </r>
  <r>
    <n v="22026381"/>
    <n v="13051985"/>
    <n v="5"/>
    <n v="1"/>
    <n v="1"/>
    <x v="1"/>
    <x v="10"/>
    <s v="13051985"/>
    <n v="37.786301369863011"/>
    <n v="175"/>
    <n v="35"/>
  </r>
  <r>
    <n v="3997764"/>
    <n v="6051989"/>
    <n v="6"/>
    <n v="1"/>
    <n v="1"/>
    <x v="10"/>
    <x v="10"/>
    <s v="06051989"/>
    <n v="33.802739726027397"/>
    <n v="175"/>
    <n v="29.166666666666668"/>
  </r>
  <r>
    <n v="10405844"/>
    <n v="7061989"/>
    <n v="6"/>
    <n v="2"/>
    <n v="1"/>
    <x v="5"/>
    <x v="3"/>
    <s v="07061989"/>
    <n v="33.715068493150682"/>
    <n v="175"/>
    <n v="29.166666666666668"/>
  </r>
  <r>
    <n v="16380731"/>
    <n v="5061989"/>
    <n v="5"/>
    <n v="0"/>
    <n v="1"/>
    <x v="5"/>
    <x v="1"/>
    <s v="05061989"/>
    <n v="33.720547945205482"/>
    <n v="175"/>
    <n v="35"/>
  </r>
  <r>
    <n v="16814448"/>
    <n v="29041989"/>
    <n v="4"/>
    <n v="1"/>
    <n v="1"/>
    <x v="8"/>
    <x v="10"/>
    <s v="29041989"/>
    <n v="33.821917808219176"/>
    <n v="175"/>
    <n v="43.75"/>
  </r>
  <r>
    <n v="6768794"/>
    <n v="9061989"/>
    <n v="5"/>
    <n v="2"/>
    <n v="2"/>
    <x v="2"/>
    <x v="7"/>
    <s v="09061989"/>
    <n v="33.709589041095889"/>
    <n v="697.5"/>
    <n v="139.5"/>
  </r>
  <r>
    <n v="23223488"/>
    <n v="17021988"/>
    <n v="6"/>
    <n v="2"/>
    <n v="1"/>
    <x v="7"/>
    <x v="0"/>
    <s v="17021988"/>
    <n v="35.019178082191779"/>
    <n v="175"/>
    <n v="29.166666666666668"/>
  </r>
  <r>
    <n v="16914908"/>
    <n v="13121988"/>
    <n v="5"/>
    <n v="0"/>
    <n v="1"/>
    <x v="1"/>
    <x v="2"/>
    <s v="13121988"/>
    <n v="34.197260273972603"/>
    <n v="175"/>
    <n v="35"/>
  </r>
  <r>
    <n v="5065676"/>
    <n v="21031989"/>
    <n v="0"/>
    <n v="0"/>
    <n v="4"/>
    <x v="4"/>
    <x v="5"/>
    <s v="21031989"/>
    <n v="33.92876712328767"/>
    <n v="2100"/>
    <n v="0"/>
  </r>
  <r>
    <n v="10839236"/>
    <n v="1061989"/>
    <n v="4"/>
    <n v="2"/>
    <n v="1"/>
    <x v="7"/>
    <x v="10"/>
    <s v="01061989"/>
    <n v="33.731506849315068"/>
    <n v="175"/>
    <n v="43.75"/>
  </r>
  <r>
    <n v="15745969"/>
    <n v="26051989"/>
    <n v="5"/>
    <n v="1"/>
    <n v="1"/>
    <x v="5"/>
    <x v="3"/>
    <s v="26051989"/>
    <n v="33.747945205479454"/>
    <n v="175"/>
    <n v="35"/>
  </r>
  <r>
    <n v="4632271"/>
    <n v="28121987"/>
    <n v="3"/>
    <n v="2"/>
    <n v="2"/>
    <x v="8"/>
    <x v="10"/>
    <s v="28121987"/>
    <n v="35.158904109589038"/>
    <n v="697.5"/>
    <n v="232.5"/>
  </r>
  <r>
    <n v="2395429"/>
    <n v="27041989"/>
    <n v="6"/>
    <n v="2"/>
    <n v="1"/>
    <x v="5"/>
    <x v="4"/>
    <s v="27041989"/>
    <n v="33.827397260273976"/>
    <n v="175"/>
    <n v="29.166666666666668"/>
  </r>
  <r>
    <n v="16179432"/>
    <n v="15061989"/>
    <n v="3"/>
    <n v="2"/>
    <n v="1"/>
    <x v="7"/>
    <x v="2"/>
    <s v="15061989"/>
    <n v="33.69315068493151"/>
    <n v="175"/>
    <n v="58.333333333333336"/>
  </r>
  <r>
    <n v="5166550"/>
    <n v="24061989"/>
    <n v="4"/>
    <n v="1"/>
    <n v="1"/>
    <x v="8"/>
    <x v="10"/>
    <s v="24061989"/>
    <n v="33.668493150684931"/>
    <n v="175"/>
    <n v="43.75"/>
  </r>
  <r>
    <n v="18416218"/>
    <n v="19061989"/>
    <n v="4"/>
    <n v="1"/>
    <n v="1"/>
    <x v="7"/>
    <x v="3"/>
    <s v="19061989"/>
    <n v="33.682191780821917"/>
    <n v="175"/>
    <n v="43.75"/>
  </r>
  <r>
    <n v="10304913"/>
    <n v="30061989"/>
    <n v="5"/>
    <n v="2"/>
    <n v="1"/>
    <x v="0"/>
    <x v="3"/>
    <s v="30061989"/>
    <n v="33.652054794520545"/>
    <n v="175"/>
    <n v="35"/>
  </r>
  <r>
    <n v="14043636"/>
    <n v="8061989"/>
    <n v="5"/>
    <n v="1"/>
    <n v="2"/>
    <x v="7"/>
    <x v="3"/>
    <s v="08061989"/>
    <n v="33.712328767123289"/>
    <n v="697.5"/>
    <n v="139.5"/>
  </r>
  <r>
    <n v="14245045"/>
    <n v="26061989"/>
    <n v="3"/>
    <n v="1"/>
    <n v="2"/>
    <x v="2"/>
    <x v="0"/>
    <s v="26061989"/>
    <n v="33.663013698630138"/>
    <n v="697.5"/>
    <n v="232.5"/>
  </r>
  <r>
    <n v="11575181"/>
    <n v="14021989"/>
    <n v="6"/>
    <n v="1"/>
    <n v="1"/>
    <x v="7"/>
    <x v="0"/>
    <s v="14021989"/>
    <n v="34.024657534246572"/>
    <n v="175"/>
    <n v="29.166666666666668"/>
  </r>
  <r>
    <n v="359656"/>
    <n v="29051989"/>
    <n v="0"/>
    <n v="0"/>
    <n v="1"/>
    <x v="0"/>
    <x v="0"/>
    <s v="29051989"/>
    <n v="33.739726027397261"/>
    <n v="175"/>
    <n v="0"/>
  </r>
  <r>
    <n v="15312683"/>
    <n v="6061989"/>
    <n v="0"/>
    <n v="0"/>
    <n v="1"/>
    <x v="4"/>
    <x v="5"/>
    <s v="06061989"/>
    <n v="33.717808219178082"/>
    <n v="175"/>
    <n v="0"/>
  </r>
  <r>
    <n v="16814449"/>
    <n v="4051989"/>
    <n v="5"/>
    <n v="1"/>
    <n v="1"/>
    <x v="5"/>
    <x v="0"/>
    <s v="04051989"/>
    <n v="33.80821917808219"/>
    <n v="175"/>
    <n v="35"/>
  </r>
  <r>
    <n v="23757376"/>
    <n v="7041989"/>
    <n v="5"/>
    <n v="1"/>
    <n v="1"/>
    <x v="1"/>
    <x v="2"/>
    <s v="07041989"/>
    <n v="33.88219178082192"/>
    <n v="175"/>
    <n v="35"/>
  </r>
  <r>
    <n v="9972561"/>
    <n v="21061989"/>
    <n v="4"/>
    <n v="0"/>
    <n v="1"/>
    <x v="4"/>
    <x v="2"/>
    <s v="21061989"/>
    <n v="33.676712328767124"/>
    <n v="175"/>
    <n v="43.75"/>
  </r>
  <r>
    <n v="15745970"/>
    <n v="14061989"/>
    <n v="4"/>
    <n v="2"/>
    <n v="1"/>
    <x v="4"/>
    <x v="1"/>
    <s v="14061989"/>
    <n v="33.695890410958903"/>
    <n v="175"/>
    <n v="43.75"/>
  </r>
  <r>
    <n v="9438846"/>
    <n v="19061989"/>
    <n v="2"/>
    <n v="1"/>
    <n v="1"/>
    <x v="1"/>
    <x v="3"/>
    <s v="19061989"/>
    <n v="33.682191780821917"/>
    <n v="175"/>
    <n v="87.5"/>
  </r>
  <r>
    <n v="23122676"/>
    <n v="2041989"/>
    <n v="3"/>
    <n v="1"/>
    <n v="1"/>
    <x v="9"/>
    <x v="1"/>
    <s v="02041989"/>
    <n v="33.895890410958906"/>
    <n v="175"/>
    <n v="58.333333333333336"/>
  </r>
  <r>
    <n v="23656428"/>
    <n v="9111988"/>
    <n v="5"/>
    <n v="1"/>
    <n v="1"/>
    <x v="5"/>
    <x v="1"/>
    <s v="09111988"/>
    <n v="34.290410958904111"/>
    <n v="175"/>
    <n v="35"/>
  </r>
  <r>
    <n v="15661129"/>
    <n v="24011989"/>
    <n v="5"/>
    <n v="2"/>
    <n v="1"/>
    <x v="0"/>
    <x v="0"/>
    <s v="24011989"/>
    <n v="34.082191780821915"/>
    <n v="175"/>
    <n v="35"/>
  </r>
  <r>
    <n v="15127344"/>
    <n v="15101988"/>
    <n v="8"/>
    <n v="1"/>
    <n v="1"/>
    <x v="3"/>
    <x v="9"/>
    <s v="15101988"/>
    <n v="34.358904109589041"/>
    <n v="175"/>
    <n v="21.875"/>
  </r>
  <r>
    <n v="24970245"/>
    <n v="5071988"/>
    <n v="5"/>
    <n v="1"/>
    <n v="1"/>
    <x v="7"/>
    <x v="3"/>
    <s v="05071988"/>
    <n v="34.638356164383559"/>
    <n v="175"/>
    <n v="35"/>
  </r>
  <r>
    <n v="23037134"/>
    <n v="28031989"/>
    <n v="6"/>
    <n v="1"/>
    <n v="1"/>
    <x v="0"/>
    <x v="0"/>
    <s v="28031989"/>
    <n v="33.909589041095892"/>
    <n v="175"/>
    <n v="29.166666666666668"/>
  </r>
  <r>
    <n v="22935468"/>
    <n v="6061989"/>
    <n v="6"/>
    <n v="2"/>
    <n v="1"/>
    <x v="2"/>
    <x v="3"/>
    <s v="06061989"/>
    <n v="33.717808219178082"/>
    <n v="175"/>
    <n v="29.166666666666668"/>
  </r>
  <r>
    <n v="14390494"/>
    <n v="18061989"/>
    <n v="5"/>
    <n v="1"/>
    <n v="1"/>
    <x v="5"/>
    <x v="1"/>
    <s v="18061989"/>
    <n v="33.684931506849317"/>
    <n v="175"/>
    <n v="35"/>
  </r>
  <r>
    <n v="13423811"/>
    <n v="7031989"/>
    <n v="3"/>
    <n v="1"/>
    <n v="1"/>
    <x v="1"/>
    <x v="0"/>
    <s v="07031989"/>
    <n v="33.967123287671235"/>
    <n v="175"/>
    <n v="58.333333333333336"/>
  </r>
  <r>
    <n v="24638959"/>
    <n v="1061988"/>
    <n v="6"/>
    <n v="1"/>
    <n v="2"/>
    <x v="7"/>
    <x v="0"/>
    <s v="01061988"/>
    <n v="34.731506849315068"/>
    <n v="697.5"/>
    <n v="116.25"/>
  </r>
  <r>
    <n v="6137415"/>
    <n v="29091988"/>
    <n v="4"/>
    <n v="2"/>
    <n v="1"/>
    <x v="7"/>
    <x v="0"/>
    <s v="29091988"/>
    <n v="34.402739726027399"/>
    <n v="175"/>
    <n v="43.75"/>
  </r>
  <r>
    <n v="24310232"/>
    <n v="6111988"/>
    <n v="4"/>
    <n v="1"/>
    <n v="1"/>
    <x v="7"/>
    <x v="3"/>
    <s v="06111988"/>
    <n v="34.298630136986304"/>
    <n v="175"/>
    <n v="43.75"/>
  </r>
  <r>
    <n v="20572476"/>
    <n v="20101988"/>
    <n v="8"/>
    <n v="2"/>
    <n v="1"/>
    <x v="1"/>
    <x v="2"/>
    <s v="20101988"/>
    <n v="34.345205479452055"/>
    <n v="175"/>
    <n v="21.875"/>
  </r>
  <r>
    <n v="18334643"/>
    <n v="22071988"/>
    <n v="4"/>
    <n v="1"/>
    <n v="1"/>
    <x v="3"/>
    <x v="2"/>
    <s v="22071988"/>
    <n v="34.591780821917808"/>
    <n v="175"/>
    <n v="43.75"/>
  </r>
  <r>
    <n v="2571944"/>
    <n v="3061988"/>
    <n v="8"/>
    <n v="1"/>
    <n v="1"/>
    <x v="0"/>
    <x v="1"/>
    <s v="03061988"/>
    <n v="34.726027397260275"/>
    <n v="175"/>
    <n v="21.875"/>
  </r>
  <r>
    <n v="14491601"/>
    <n v="5021989"/>
    <n v="4"/>
    <n v="1"/>
    <n v="2"/>
    <x v="4"/>
    <x v="5"/>
    <s v="05021989"/>
    <n v="34.049315068493151"/>
    <n v="697.5"/>
    <n v="174.375"/>
  </r>
  <r>
    <n v="12731075"/>
    <n v="22121988"/>
    <n v="5"/>
    <n v="1"/>
    <n v="1"/>
    <x v="7"/>
    <x v="1"/>
    <s v="22121988"/>
    <n v="34.172602739726024"/>
    <n v="175"/>
    <n v="35"/>
  </r>
  <r>
    <n v="17238359"/>
    <n v="11021989"/>
    <n v="4"/>
    <n v="1"/>
    <n v="1"/>
    <x v="7"/>
    <x v="3"/>
    <s v="11021989"/>
    <n v="34.032876712328765"/>
    <n v="175"/>
    <n v="43.75"/>
  </r>
  <r>
    <n v="15785555"/>
    <n v="22121988"/>
    <n v="5"/>
    <n v="2"/>
    <n v="3"/>
    <x v="2"/>
    <x v="7"/>
    <s v="22121988"/>
    <n v="34.172602739726024"/>
    <n v="1397.5"/>
    <n v="279.5"/>
  </r>
  <r>
    <n v="16190888"/>
    <n v="28021989"/>
    <n v="4"/>
    <n v="1"/>
    <n v="1"/>
    <x v="7"/>
    <x v="0"/>
    <s v="28021989"/>
    <n v="33.986301369863014"/>
    <n v="175"/>
    <n v="43.75"/>
  </r>
  <r>
    <n v="14733212"/>
    <n v="31121988"/>
    <n v="6"/>
    <n v="2"/>
    <n v="2"/>
    <x v="8"/>
    <x v="9"/>
    <s v="31121988"/>
    <n v="34.147945205479452"/>
    <n v="697.5"/>
    <n v="116.25"/>
  </r>
  <r>
    <n v="13307199"/>
    <n v="26111987"/>
    <n v="3"/>
    <n v="1"/>
    <n v="2"/>
    <x v="2"/>
    <x v="1"/>
    <s v="26111987"/>
    <n v="35.246575342465754"/>
    <n v="697.5"/>
    <n v="232.5"/>
  </r>
  <r>
    <n v="18234278"/>
    <n v="14121988"/>
    <n v="4"/>
    <n v="1"/>
    <n v="2"/>
    <x v="7"/>
    <x v="1"/>
    <s v="14121988"/>
    <n v="34.194520547945203"/>
    <n v="697.5"/>
    <n v="174.375"/>
  </r>
  <r>
    <n v="20819559"/>
    <n v="29031989"/>
    <n v="7"/>
    <n v="1"/>
    <n v="3"/>
    <x v="2"/>
    <x v="9"/>
    <s v="29031989"/>
    <n v="33.906849315068492"/>
    <n v="1397.5"/>
    <n v="199.64285714285714"/>
  </r>
  <r>
    <n v="12910089"/>
    <n v="31051989"/>
    <n v="4"/>
    <n v="1"/>
    <n v="2"/>
    <x v="7"/>
    <x v="1"/>
    <s v="31051989"/>
    <n v="33.734246575342468"/>
    <n v="697.5"/>
    <n v="174.375"/>
  </r>
  <r>
    <n v="2781669"/>
    <n v="30081988"/>
    <n v="5"/>
    <n v="1"/>
    <n v="1"/>
    <x v="5"/>
    <x v="3"/>
    <s v="30081988"/>
    <n v="34.484931506849314"/>
    <n v="175"/>
    <n v="35"/>
  </r>
  <r>
    <n v="10443837"/>
    <n v="10121988"/>
    <n v="7"/>
    <n v="1"/>
    <n v="2"/>
    <x v="2"/>
    <x v="9"/>
    <s v="10121988"/>
    <n v="34.205479452054796"/>
    <n v="697.5"/>
    <n v="99.642857142857139"/>
  </r>
  <r>
    <n v="7616779"/>
    <n v="20041989"/>
    <n v="8"/>
    <n v="2"/>
    <n v="1"/>
    <x v="2"/>
    <x v="9"/>
    <s v="20041989"/>
    <n v="33.846575342465755"/>
    <n v="175"/>
    <n v="21.875"/>
  </r>
  <r>
    <n v="10519595"/>
    <n v="5011989"/>
    <n v="5"/>
    <n v="2"/>
    <n v="2"/>
    <x v="7"/>
    <x v="3"/>
    <s v="05011989"/>
    <n v="34.134246575342466"/>
    <n v="697.5"/>
    <n v="139.5"/>
  </r>
  <r>
    <n v="21734736"/>
    <n v="13121988"/>
    <n v="5"/>
    <n v="1"/>
    <n v="2"/>
    <x v="7"/>
    <x v="3"/>
    <s v="13121988"/>
    <n v="34.197260273972603"/>
    <n v="697.5"/>
    <n v="139.5"/>
  </r>
  <r>
    <n v="11689010"/>
    <n v="5011989"/>
    <n v="7"/>
    <n v="1"/>
    <n v="3"/>
    <x v="2"/>
    <x v="3"/>
    <s v="05011989"/>
    <n v="34.134246575342466"/>
    <n v="1397.5"/>
    <n v="199.64285714285714"/>
  </r>
  <r>
    <n v="4111534"/>
    <n v="13011989"/>
    <n v="4"/>
    <n v="0"/>
    <n v="1"/>
    <x v="0"/>
    <x v="3"/>
    <s v="13011989"/>
    <n v="34.112328767123287"/>
    <n v="175"/>
    <n v="43.75"/>
  </r>
  <r>
    <n v="23236421"/>
    <n v="23111988"/>
    <n v="4"/>
    <n v="2"/>
    <n v="1"/>
    <x v="1"/>
    <x v="3"/>
    <s v="23111988"/>
    <n v="34.252054794520546"/>
    <n v="175"/>
    <n v="43.75"/>
  </r>
  <r>
    <n v="14258027"/>
    <n v="19121988"/>
    <n v="5"/>
    <n v="1"/>
    <n v="2"/>
    <x v="0"/>
    <x v="1"/>
    <s v="19121988"/>
    <n v="34.180821917808217"/>
    <n v="697.5"/>
    <n v="139.5"/>
  </r>
  <r>
    <n v="7315313"/>
    <n v="9111988"/>
    <n v="4"/>
    <n v="1"/>
    <n v="1"/>
    <x v="7"/>
    <x v="0"/>
    <s v="09111988"/>
    <n v="34.290410958904111"/>
    <n v="175"/>
    <n v="43.75"/>
  </r>
  <r>
    <n v="14691472"/>
    <n v="18011989"/>
    <n v="5"/>
    <n v="1"/>
    <n v="1"/>
    <x v="1"/>
    <x v="1"/>
    <s v="18011989"/>
    <n v="34.098630136986301"/>
    <n v="175"/>
    <n v="35"/>
  </r>
  <r>
    <n v="5713731"/>
    <n v="26121988"/>
    <n v="5"/>
    <n v="0"/>
    <n v="1"/>
    <x v="7"/>
    <x v="0"/>
    <s v="26121988"/>
    <n v="34.161643835616438"/>
    <n v="175"/>
    <n v="35"/>
  </r>
  <r>
    <n v="14157361"/>
    <n v="18011989"/>
    <n v="4"/>
    <n v="1"/>
    <n v="1"/>
    <x v="1"/>
    <x v="1"/>
    <s v="18011989"/>
    <n v="34.098630136986301"/>
    <n v="175"/>
    <n v="43.75"/>
  </r>
  <r>
    <n v="19497946"/>
    <n v="13011989"/>
    <n v="4"/>
    <n v="1"/>
    <n v="1"/>
    <x v="7"/>
    <x v="3"/>
    <s v="13011989"/>
    <n v="34.112328767123287"/>
    <n v="175"/>
    <n v="43.75"/>
  </r>
  <r>
    <n v="9884890"/>
    <n v="19011989"/>
    <n v="6"/>
    <n v="2"/>
    <n v="2"/>
    <x v="6"/>
    <x v="9"/>
    <s v="19011989"/>
    <n v="34.095890410958901"/>
    <n v="697.5"/>
    <n v="116.25"/>
  </r>
  <r>
    <n v="2942846"/>
    <n v="24011989"/>
    <n v="6"/>
    <n v="1"/>
    <n v="1"/>
    <x v="5"/>
    <x v="1"/>
    <s v="24011989"/>
    <n v="34.082191780821915"/>
    <n v="175"/>
    <n v="29.166666666666668"/>
  </r>
  <r>
    <n v="19699714"/>
    <n v="26011989"/>
    <n v="5"/>
    <n v="3"/>
    <n v="2"/>
    <x v="7"/>
    <x v="3"/>
    <s v="26011989"/>
    <n v="34.076712328767123"/>
    <n v="697.5"/>
    <n v="139.5"/>
  </r>
  <r>
    <n v="12555449"/>
    <n v="27011989"/>
    <n v="5"/>
    <n v="2"/>
    <n v="2"/>
    <x v="8"/>
    <x v="3"/>
    <s v="27011989"/>
    <n v="34.073972602739723"/>
    <n v="697.5"/>
    <n v="139.5"/>
  </r>
  <r>
    <n v="13290681"/>
    <n v="17011989"/>
    <n v="5"/>
    <n v="1"/>
    <n v="1"/>
    <x v="1"/>
    <x v="2"/>
    <s v="17011989"/>
    <n v="34.101369863013701"/>
    <n v="175"/>
    <n v="35"/>
  </r>
  <r>
    <n v="5078683"/>
    <n v="24011989"/>
    <n v="5"/>
    <n v="2"/>
    <n v="1"/>
    <x v="7"/>
    <x v="10"/>
    <s v="24011989"/>
    <n v="34.082191780821915"/>
    <n v="175"/>
    <n v="35"/>
  </r>
  <r>
    <n v="2610115"/>
    <n v="13011989"/>
    <n v="5"/>
    <n v="3"/>
    <n v="1"/>
    <x v="1"/>
    <x v="2"/>
    <s v="13011989"/>
    <n v="34.112328767123287"/>
    <n v="175"/>
    <n v="35"/>
  </r>
  <r>
    <n v="23870805"/>
    <n v="30011989"/>
    <n v="5"/>
    <n v="1"/>
    <n v="2"/>
    <x v="2"/>
    <x v="0"/>
    <s v="30011989"/>
    <n v="34.065753424657537"/>
    <n v="697.5"/>
    <n v="139.5"/>
  </r>
  <r>
    <n v="21634341"/>
    <n v="31011989"/>
    <n v="4"/>
    <n v="1"/>
    <n v="1"/>
    <x v="7"/>
    <x v="0"/>
    <s v="31011989"/>
    <n v="34.063013698630137"/>
    <n v="175"/>
    <n v="43.75"/>
  </r>
  <r>
    <n v="15325620"/>
    <n v="31011989"/>
    <n v="4"/>
    <n v="1"/>
    <n v="1"/>
    <x v="7"/>
    <x v="1"/>
    <s v="31011989"/>
    <n v="34.063013698630137"/>
    <n v="175"/>
    <n v="43.75"/>
  </r>
  <r>
    <n v="17895520"/>
    <n v="15011989"/>
    <n v="3"/>
    <n v="2"/>
    <n v="1"/>
    <x v="7"/>
    <x v="3"/>
    <s v="15011989"/>
    <n v="34.106849315068494"/>
    <n v="175"/>
    <n v="58.333333333333336"/>
  </r>
  <r>
    <n v="4544520"/>
    <n v="2021989"/>
    <n v="6"/>
    <n v="1"/>
    <n v="2"/>
    <x v="7"/>
    <x v="7"/>
    <s v="02021989"/>
    <n v="34.057534246575344"/>
    <n v="697.5"/>
    <n v="116.25"/>
  </r>
  <r>
    <n v="9351132"/>
    <n v="30011989"/>
    <n v="3"/>
    <n v="1"/>
    <n v="1"/>
    <x v="7"/>
    <x v="1"/>
    <s v="30011989"/>
    <n v="34.065753424657537"/>
    <n v="175"/>
    <n v="58.333333333333336"/>
  </r>
  <r>
    <n v="11588110"/>
    <n v="11021989"/>
    <n v="4"/>
    <n v="1"/>
    <n v="1"/>
    <x v="0"/>
    <x v="3"/>
    <s v="11021989"/>
    <n v="34.032876712328765"/>
    <n v="175"/>
    <n v="43.75"/>
  </r>
  <r>
    <n v="24838372"/>
    <n v="11021989"/>
    <n v="4"/>
    <n v="2"/>
    <n v="1"/>
    <x v="5"/>
    <x v="3"/>
    <s v="11021989"/>
    <n v="34.032876712328765"/>
    <n v="175"/>
    <n v="43.75"/>
  </r>
  <r>
    <n v="20032424"/>
    <n v="26121988"/>
    <n v="3"/>
    <n v="1"/>
    <n v="1"/>
    <x v="1"/>
    <x v="2"/>
    <s v="26121988"/>
    <n v="34.161643835616438"/>
    <n v="175"/>
    <n v="58.333333333333336"/>
  </r>
  <r>
    <n v="19598499"/>
    <n v="13021989"/>
    <n v="5"/>
    <n v="1"/>
    <n v="2"/>
    <x v="2"/>
    <x v="7"/>
    <s v="13021989"/>
    <n v="34.027397260273972"/>
    <n v="697.5"/>
    <n v="139.5"/>
  </r>
  <r>
    <n v="9884891"/>
    <n v="19011989"/>
    <n v="7"/>
    <n v="3"/>
    <n v="1"/>
    <x v="1"/>
    <x v="2"/>
    <s v="19011989"/>
    <n v="34.095890410958901"/>
    <n v="175"/>
    <n v="25"/>
  </r>
  <r>
    <n v="11503084"/>
    <n v="1021989"/>
    <n v="4"/>
    <n v="1"/>
    <n v="1"/>
    <x v="5"/>
    <x v="3"/>
    <s v="01021989"/>
    <n v="34.060273972602737"/>
    <n v="175"/>
    <n v="43.75"/>
  </r>
  <r>
    <n v="23482318"/>
    <n v="6021989"/>
    <n v="0"/>
    <n v="0"/>
    <n v="2"/>
    <x v="4"/>
    <x v="5"/>
    <s v="06021989"/>
    <n v="34.046575342465751"/>
    <n v="697.5"/>
    <n v="0"/>
  </r>
  <r>
    <n v="4357765"/>
    <n v="7021989"/>
    <n v="9"/>
    <n v="1"/>
    <n v="1"/>
    <x v="1"/>
    <x v="2"/>
    <s v="07021989"/>
    <n v="34.043835616438358"/>
    <n v="175"/>
    <n v="19.444444444444443"/>
  </r>
  <r>
    <n v="21015300"/>
    <n v="12111988"/>
    <n v="4"/>
    <n v="1"/>
    <n v="1"/>
    <x v="1"/>
    <x v="2"/>
    <s v="12111988"/>
    <n v="34.282191780821918"/>
    <n v="175"/>
    <n v="43.75"/>
  </r>
  <r>
    <n v="1788637"/>
    <n v="20021989"/>
    <n v="5"/>
    <n v="2"/>
    <n v="2"/>
    <x v="9"/>
    <x v="9"/>
    <s v="20021989"/>
    <n v="34.008219178082193"/>
    <n v="697.5"/>
    <n v="139.5"/>
  </r>
  <r>
    <n v="4026474"/>
    <n v="23021989"/>
    <n v="5"/>
    <n v="1"/>
    <n v="1"/>
    <x v="1"/>
    <x v="1"/>
    <s v="23021989"/>
    <n v="34"/>
    <n v="175"/>
    <n v="35"/>
  </r>
  <r>
    <n v="19412980"/>
    <n v="20021989"/>
    <n v="4"/>
    <n v="2"/>
    <n v="2"/>
    <x v="5"/>
    <x v="3"/>
    <s v="20021989"/>
    <n v="34.008219178082193"/>
    <n v="697.5"/>
    <n v="174.375"/>
  </r>
  <r>
    <n v="15674050"/>
    <n v="21021989"/>
    <n v="3"/>
    <n v="2"/>
    <n v="3"/>
    <x v="2"/>
    <x v="7"/>
    <s v="21021989"/>
    <n v="34.005479452054793"/>
    <n v="1397.5"/>
    <n v="465.83333333333331"/>
  </r>
  <r>
    <n v="3925477"/>
    <n v="2011989"/>
    <n v="2"/>
    <n v="0"/>
    <n v="1"/>
    <x v="4"/>
    <x v="5"/>
    <s v="02011989"/>
    <n v="34.142465753424659"/>
    <n v="175"/>
    <n v="87.5"/>
  </r>
  <r>
    <n v="4459067"/>
    <n v="22021989"/>
    <n v="3"/>
    <n v="1"/>
    <n v="2"/>
    <x v="4"/>
    <x v="9"/>
    <s v="22021989"/>
    <n v="34.0027397260274"/>
    <n v="697.5"/>
    <n v="232.5"/>
  </r>
  <r>
    <n v="2322999"/>
    <n v="28021989"/>
    <n v="4"/>
    <n v="2"/>
    <n v="2"/>
    <x v="7"/>
    <x v="3"/>
    <s v="28021989"/>
    <n v="33.986301369863014"/>
    <n v="697.5"/>
    <n v="174.375"/>
  </r>
  <r>
    <n v="23584053"/>
    <n v="23021989"/>
    <n v="6"/>
    <n v="0"/>
    <n v="1"/>
    <x v="4"/>
    <x v="3"/>
    <s v="23021989"/>
    <n v="34"/>
    <n v="175"/>
    <n v="29.166666666666668"/>
  </r>
  <r>
    <n v="186354"/>
    <n v="6061988"/>
    <n v="4"/>
    <n v="2"/>
    <n v="2"/>
    <x v="7"/>
    <x v="3"/>
    <s v="06061988"/>
    <n v="34.717808219178082"/>
    <n v="697.5"/>
    <n v="174.375"/>
  </r>
  <r>
    <n v="13538253"/>
    <n v="27021989"/>
    <n v="4"/>
    <n v="1"/>
    <n v="1"/>
    <x v="5"/>
    <x v="1"/>
    <s v="27021989"/>
    <n v="33.989041095890414"/>
    <n v="175"/>
    <n v="43.75"/>
  </r>
  <r>
    <n v="23050216"/>
    <n v="25121988"/>
    <n v="5"/>
    <n v="1"/>
    <n v="1"/>
    <x v="1"/>
    <x v="1"/>
    <s v="25121988"/>
    <n v="34.164383561643838"/>
    <n v="175"/>
    <n v="35"/>
  </r>
  <r>
    <n v="1152907"/>
    <n v="4121988"/>
    <n v="4"/>
    <n v="1"/>
    <n v="1"/>
    <x v="1"/>
    <x v="0"/>
    <s v="04121988"/>
    <n v="34.221917808219175"/>
    <n v="175"/>
    <n v="43.75"/>
  </r>
  <r>
    <n v="3391705"/>
    <n v="25021989"/>
    <n v="5"/>
    <n v="1"/>
    <n v="1"/>
    <x v="7"/>
    <x v="3"/>
    <s v="25021989"/>
    <n v="33.994520547945207"/>
    <n v="175"/>
    <n v="35"/>
  </r>
  <r>
    <n v="11835101"/>
    <n v="27021989"/>
    <n v="5"/>
    <n v="2"/>
    <n v="1"/>
    <x v="5"/>
    <x v="3"/>
    <s v="27021989"/>
    <n v="33.989041095890414"/>
    <n v="175"/>
    <n v="35"/>
  </r>
  <r>
    <n v="9900561"/>
    <n v="3031989"/>
    <n v="4"/>
    <n v="1"/>
    <n v="1"/>
    <x v="7"/>
    <x v="3"/>
    <s v="03031989"/>
    <n v="33.978082191780821"/>
    <n v="175"/>
    <n v="43.75"/>
  </r>
  <r>
    <n v="6494553"/>
    <n v="28021989"/>
    <n v="4"/>
    <n v="1"/>
    <n v="1"/>
    <x v="7"/>
    <x v="3"/>
    <s v="28021989"/>
    <n v="33.986301369863014"/>
    <n v="175"/>
    <n v="43.75"/>
  </r>
  <r>
    <n v="8096405"/>
    <n v="3031989"/>
    <n v="4"/>
    <n v="1"/>
    <n v="1"/>
    <x v="7"/>
    <x v="3"/>
    <s v="03031989"/>
    <n v="33.978082191780821"/>
    <n v="175"/>
    <n v="43.75"/>
  </r>
  <r>
    <n v="21448014"/>
    <n v="25021989"/>
    <n v="10"/>
    <n v="1"/>
    <n v="1"/>
    <x v="5"/>
    <x v="3"/>
    <s v="25021989"/>
    <n v="33.994520547945207"/>
    <n v="175"/>
    <n v="17.5"/>
  </r>
  <r>
    <n v="5960475"/>
    <n v="2031989"/>
    <n v="4"/>
    <n v="1"/>
    <n v="1"/>
    <x v="7"/>
    <x v="1"/>
    <s v="02031989"/>
    <n v="33.980821917808221"/>
    <n v="175"/>
    <n v="43.75"/>
  </r>
  <r>
    <n v="22617707"/>
    <n v="6031989"/>
    <n v="0"/>
    <n v="0"/>
    <n v="1"/>
    <x v="4"/>
    <x v="5"/>
    <s v="06031989"/>
    <n v="33.969863013698628"/>
    <n v="175"/>
    <n v="0"/>
  </r>
  <r>
    <n v="24550247"/>
    <n v="28021989"/>
    <n v="4"/>
    <n v="1"/>
    <n v="1"/>
    <x v="7"/>
    <x v="3"/>
    <s v="28021989"/>
    <n v="33.986301369863014"/>
    <n v="175"/>
    <n v="43.75"/>
  </r>
  <r>
    <n v="20278395"/>
    <n v="29121988"/>
    <n v="3"/>
    <n v="1"/>
    <n v="1"/>
    <x v="1"/>
    <x v="2"/>
    <s v="29121988"/>
    <n v="34.153424657534245"/>
    <n v="175"/>
    <n v="58.333333333333336"/>
  </r>
  <r>
    <n v="11503083"/>
    <n v="10031989"/>
    <n v="6"/>
    <n v="1"/>
    <n v="1"/>
    <x v="7"/>
    <x v="1"/>
    <s v="10031989"/>
    <n v="33.958904109589042"/>
    <n v="175"/>
    <n v="29.166666666666668"/>
  </r>
  <r>
    <n v="9799806"/>
    <n v="13021989"/>
    <n v="3"/>
    <n v="1"/>
    <n v="2"/>
    <x v="4"/>
    <x v="0"/>
    <s v="13021989"/>
    <n v="34.027397260273972"/>
    <n v="697.5"/>
    <n v="232.5"/>
  </r>
  <r>
    <n v="7764281"/>
    <n v="13031989"/>
    <n v="5"/>
    <n v="2"/>
    <n v="1"/>
    <x v="7"/>
    <x v="1"/>
    <s v="13031989"/>
    <n v="33.950684931506849"/>
    <n v="175"/>
    <n v="35"/>
  </r>
  <r>
    <n v="19209751"/>
    <n v="20071987"/>
    <n v="4"/>
    <n v="2"/>
    <n v="1"/>
    <x v="1"/>
    <x v="3"/>
    <s v="20071987"/>
    <n v="35.6"/>
    <n v="175"/>
    <n v="43.75"/>
  </r>
  <r>
    <n v="2958548"/>
    <n v="27021989"/>
    <n v="6"/>
    <n v="1"/>
    <n v="1"/>
    <x v="7"/>
    <x v="2"/>
    <s v="27021989"/>
    <n v="33.989041095890414"/>
    <n v="175"/>
    <n v="29.166666666666668"/>
  </r>
  <r>
    <n v="21982420"/>
    <n v="13031989"/>
    <n v="5"/>
    <n v="1"/>
    <n v="1"/>
    <x v="10"/>
    <x v="3"/>
    <s v="13031989"/>
    <n v="33.950684931506849"/>
    <n v="175"/>
    <n v="35"/>
  </r>
  <r>
    <n v="10766753"/>
    <n v="4031989"/>
    <n v="5"/>
    <n v="1"/>
    <n v="1"/>
    <x v="7"/>
    <x v="3"/>
    <s v="04031989"/>
    <n v="33.975342465753428"/>
    <n v="175"/>
    <n v="35"/>
  </r>
  <r>
    <n v="19412981"/>
    <n v="29011989"/>
    <n v="6"/>
    <n v="2"/>
    <n v="2"/>
    <x v="5"/>
    <x v="3"/>
    <s v="29011989"/>
    <n v="34.06849315068493"/>
    <n v="697.5"/>
    <n v="116.25"/>
  </r>
  <r>
    <n v="15140330"/>
    <n v="3111988"/>
    <n v="4"/>
    <n v="2"/>
    <n v="1"/>
    <x v="0"/>
    <x v="3"/>
    <s v="03111988"/>
    <n v="34.30684931506849"/>
    <n v="175"/>
    <n v="43.75"/>
  </r>
  <r>
    <n v="13004184"/>
    <n v="16031989"/>
    <n v="5"/>
    <n v="1"/>
    <n v="1"/>
    <x v="7"/>
    <x v="3"/>
    <s v="16031989"/>
    <n v="33.942465753424656"/>
    <n v="175"/>
    <n v="35"/>
  </r>
  <r>
    <n v="10868137"/>
    <n v="21021989"/>
    <n v="3"/>
    <n v="0"/>
    <n v="1"/>
    <x v="7"/>
    <x v="1"/>
    <s v="21021989"/>
    <n v="34.005479452054793"/>
    <n v="175"/>
    <n v="58.333333333333336"/>
  </r>
  <r>
    <n v="12037056"/>
    <n v="20031989"/>
    <n v="4"/>
    <n v="1"/>
    <n v="1"/>
    <x v="5"/>
    <x v="0"/>
    <s v="20031989"/>
    <n v="33.93150684931507"/>
    <n v="175"/>
    <n v="43.75"/>
  </r>
  <r>
    <n v="9698710"/>
    <n v="8031989"/>
    <n v="4"/>
    <n v="1"/>
    <n v="1"/>
    <x v="5"/>
    <x v="1"/>
    <s v="08031989"/>
    <n v="33.964383561643835"/>
    <n v="175"/>
    <n v="43.75"/>
  </r>
  <r>
    <n v="618891"/>
    <n v="26031989"/>
    <n v="7"/>
    <n v="2"/>
    <n v="1"/>
    <x v="7"/>
    <x v="3"/>
    <s v="26031989"/>
    <n v="33.915068493150685"/>
    <n v="175"/>
    <n v="25"/>
  </r>
  <r>
    <n v="13538254"/>
    <n v="27031989"/>
    <n v="7"/>
    <n v="0"/>
    <n v="1"/>
    <x v="7"/>
    <x v="1"/>
    <s v="27031989"/>
    <n v="33.912328767123284"/>
    <n v="175"/>
    <n v="25"/>
  </r>
  <r>
    <n v="15039167"/>
    <n v="23031989"/>
    <n v="3"/>
    <n v="2"/>
    <n v="1"/>
    <x v="9"/>
    <x v="0"/>
    <s v="23031989"/>
    <n v="33.923287671232877"/>
    <n v="175"/>
    <n v="58.333333333333336"/>
  </r>
  <r>
    <n v="24118044"/>
    <n v="2041989"/>
    <n v="4"/>
    <n v="1"/>
    <n v="1"/>
    <x v="7"/>
    <x v="3"/>
    <s v="02041989"/>
    <n v="33.895890410958906"/>
    <n v="175"/>
    <n v="43.75"/>
  </r>
  <r>
    <n v="4993298"/>
    <n v="25031989"/>
    <n v="4"/>
    <n v="2"/>
    <n v="2"/>
    <x v="5"/>
    <x v="0"/>
    <s v="25031989"/>
    <n v="33.917808219178085"/>
    <n v="697.5"/>
    <n v="174.375"/>
  </r>
  <r>
    <n v="12369348"/>
    <n v="7031989"/>
    <n v="3"/>
    <n v="1"/>
    <n v="1"/>
    <x v="0"/>
    <x v="3"/>
    <s v="07031989"/>
    <n v="33.967123287671235"/>
    <n v="175"/>
    <n v="58.333333333333336"/>
  </r>
  <r>
    <n v="22516438"/>
    <n v="25031989"/>
    <n v="0"/>
    <n v="0"/>
    <n v="1"/>
    <x v="4"/>
    <x v="5"/>
    <s v="25031989"/>
    <n v="33.917808219178085"/>
    <n v="175"/>
    <n v="0"/>
  </r>
  <r>
    <n v="15572838"/>
    <n v="5011989"/>
    <n v="6"/>
    <n v="2"/>
    <n v="1"/>
    <x v="7"/>
    <x v="3"/>
    <s v="05011989"/>
    <n v="34.134246575342466"/>
    <n v="175"/>
    <n v="29.166666666666668"/>
  </r>
  <r>
    <n v="22948597"/>
    <n v="31031989"/>
    <n v="4"/>
    <n v="1"/>
    <n v="1"/>
    <x v="0"/>
    <x v="1"/>
    <s v="31031989"/>
    <n v="33.901369863013699"/>
    <n v="175"/>
    <n v="43.75"/>
  </r>
  <r>
    <n v="24550248"/>
    <n v="24021989"/>
    <n v="2"/>
    <n v="1"/>
    <n v="1"/>
    <x v="1"/>
    <x v="2"/>
    <s v="24021989"/>
    <n v="33.9972602739726"/>
    <n v="175"/>
    <n v="87.5"/>
  </r>
  <r>
    <n v="17636083"/>
    <n v="20081988"/>
    <n v="4"/>
    <n v="1"/>
    <n v="1"/>
    <x v="4"/>
    <x v="0"/>
    <s v="20081988"/>
    <n v="34.512328767123286"/>
    <n v="175"/>
    <n v="43.75"/>
  </r>
  <r>
    <n v="18372554"/>
    <n v="29031989"/>
    <n v="5"/>
    <n v="1"/>
    <n v="1"/>
    <x v="7"/>
    <x v="0"/>
    <s v="29031989"/>
    <n v="33.906849315068492"/>
    <n v="175"/>
    <n v="35"/>
  </r>
  <r>
    <n v="9091777"/>
    <n v="9041989"/>
    <n v="4"/>
    <n v="2"/>
    <n v="1"/>
    <x v="5"/>
    <x v="1"/>
    <s v="09041989"/>
    <n v="33.876712328767127"/>
    <n v="175"/>
    <n v="43.75"/>
  </r>
  <r>
    <n v="3953827"/>
    <n v="18041989"/>
    <n v="5"/>
    <n v="1"/>
    <n v="1"/>
    <x v="5"/>
    <x v="1"/>
    <s v="18041989"/>
    <n v="33.852054794520548"/>
    <n v="175"/>
    <n v="35"/>
  </r>
  <r>
    <n v="3420043"/>
    <n v="31031989"/>
    <n v="6"/>
    <n v="1"/>
    <n v="1"/>
    <x v="7"/>
    <x v="0"/>
    <s v="31031989"/>
    <n v="33.901369863013699"/>
    <n v="175"/>
    <n v="29.166666666666668"/>
  </r>
  <r>
    <n v="11430759"/>
    <n v="18041989"/>
    <n v="6"/>
    <n v="2"/>
    <n v="1"/>
    <x v="0"/>
    <x v="1"/>
    <s v="18041989"/>
    <n v="33.852054794520548"/>
    <n v="175"/>
    <n v="29.166666666666668"/>
  </r>
  <r>
    <n v="20942615"/>
    <n v="19101988"/>
    <n v="3"/>
    <n v="0"/>
    <n v="1"/>
    <x v="0"/>
    <x v="2"/>
    <s v="19101988"/>
    <n v="34.347945205479455"/>
    <n v="175"/>
    <n v="58.333333333333336"/>
  </r>
  <r>
    <n v="14432188"/>
    <n v="25041989"/>
    <n v="5"/>
    <n v="1"/>
    <n v="1"/>
    <x v="0"/>
    <x v="3"/>
    <s v="25041989"/>
    <n v="33.832876712328769"/>
    <n v="175"/>
    <n v="35"/>
  </r>
  <r>
    <n v="19238255"/>
    <n v="24041989"/>
    <n v="4"/>
    <n v="1"/>
    <n v="2"/>
    <x v="7"/>
    <x v="3"/>
    <s v="24041989"/>
    <n v="33.835616438356162"/>
    <n v="697.5"/>
    <n v="174.375"/>
  </r>
  <r>
    <n v="16567910"/>
    <n v="24041989"/>
    <n v="6"/>
    <n v="1"/>
    <n v="1"/>
    <x v="7"/>
    <x v="1"/>
    <s v="24041989"/>
    <n v="33.835616438356162"/>
    <n v="175"/>
    <n v="29.166666666666668"/>
  </r>
  <r>
    <n v="15702371"/>
    <n v="30041989"/>
    <n v="4"/>
    <n v="1"/>
    <n v="1"/>
    <x v="1"/>
    <x v="2"/>
    <s v="30041989"/>
    <n v="33.819178082191783"/>
    <n v="175"/>
    <n v="43.75"/>
  </r>
  <r>
    <n v="14634794"/>
    <n v="19041989"/>
    <n v="4"/>
    <n v="1"/>
    <n v="1"/>
    <x v="7"/>
    <x v="2"/>
    <s v="19041989"/>
    <n v="33.849315068493148"/>
    <n v="175"/>
    <n v="43.75"/>
  </r>
  <r>
    <n v="14965987"/>
    <n v="3041989"/>
    <n v="4"/>
    <n v="1"/>
    <n v="1"/>
    <x v="1"/>
    <x v="2"/>
    <s v="03041989"/>
    <n v="33.893150684931506"/>
    <n v="175"/>
    <n v="43.75"/>
  </r>
  <r>
    <n v="6624179"/>
    <n v="1051989"/>
    <n v="5"/>
    <n v="1"/>
    <n v="1"/>
    <x v="5"/>
    <x v="1"/>
    <s v="01051989"/>
    <n v="33.816438356164383"/>
    <n v="175"/>
    <n v="35"/>
  </r>
  <r>
    <n v="1181487"/>
    <n v="27041989"/>
    <n v="3"/>
    <n v="0"/>
    <n v="2"/>
    <x v="7"/>
    <x v="3"/>
    <s v="27041989"/>
    <n v="33.827397260273976"/>
    <n v="697.5"/>
    <n v="232.5"/>
  </r>
  <r>
    <n v="21043659"/>
    <n v="14061988"/>
    <n v="4"/>
    <n v="1"/>
    <n v="1"/>
    <x v="8"/>
    <x v="2"/>
    <s v="14061988"/>
    <n v="34.695890410958903"/>
    <n v="175"/>
    <n v="43.75"/>
  </r>
  <r>
    <n v="20509827"/>
    <n v="30041989"/>
    <n v="6"/>
    <n v="1"/>
    <n v="1"/>
    <x v="7"/>
    <x v="1"/>
    <s v="30041989"/>
    <n v="33.819178082191783"/>
    <n v="175"/>
    <n v="29.166666666666668"/>
  </r>
  <r>
    <n v="4386209"/>
    <n v="9051989"/>
    <n v="4"/>
    <n v="1"/>
    <n v="2"/>
    <x v="5"/>
    <x v="1"/>
    <s v="09051989"/>
    <n v="33.794520547945204"/>
    <n v="697.5"/>
    <n v="174.375"/>
  </r>
  <r>
    <n v="21577638"/>
    <n v="18041989"/>
    <n v="4"/>
    <n v="1"/>
    <n v="1"/>
    <x v="0"/>
    <x v="0"/>
    <s v="18041989"/>
    <n v="33.852054794520548"/>
    <n v="175"/>
    <n v="43.75"/>
  </r>
  <r>
    <n v="15067599"/>
    <n v="15051989"/>
    <n v="4"/>
    <n v="2"/>
    <n v="2"/>
    <x v="8"/>
    <x v="10"/>
    <s v="15051989"/>
    <n v="33.778082191780825"/>
    <n v="697.5"/>
    <n v="174.375"/>
  </r>
  <r>
    <n v="13999643"/>
    <n v="11051989"/>
    <n v="3"/>
    <n v="1"/>
    <n v="1"/>
    <x v="7"/>
    <x v="1"/>
    <s v="11051989"/>
    <n v="33.789041095890411"/>
    <n v="175"/>
    <n v="58.333333333333336"/>
  </r>
  <r>
    <n v="749000"/>
    <n v="12051989"/>
    <n v="3"/>
    <n v="1"/>
    <n v="1"/>
    <x v="0"/>
    <x v="0"/>
    <s v="12051989"/>
    <n v="33.786301369863011"/>
    <n v="175"/>
    <n v="58.333333333333336"/>
  </r>
  <r>
    <n v="12296251"/>
    <n v="9051989"/>
    <n v="4"/>
    <n v="1"/>
    <n v="1"/>
    <x v="4"/>
    <x v="3"/>
    <s v="09051989"/>
    <n v="33.794520547945204"/>
    <n v="175"/>
    <n v="43.75"/>
  </r>
  <r>
    <n v="17737855"/>
    <n v="21051989"/>
    <n v="3"/>
    <n v="1"/>
    <n v="1"/>
    <x v="0"/>
    <x v="10"/>
    <s v="21051989"/>
    <n v="33.761643835616439"/>
    <n v="175"/>
    <n v="58.333333333333336"/>
  </r>
  <r>
    <n v="214754"/>
    <n v="20051989"/>
    <n v="4"/>
    <n v="1"/>
    <n v="2"/>
    <x v="8"/>
    <x v="3"/>
    <s v="20051989"/>
    <n v="33.764383561643832"/>
    <n v="697.5"/>
    <n v="174.375"/>
  </r>
  <r>
    <n v="21909050"/>
    <n v="6041989"/>
    <n v="4"/>
    <n v="1"/>
    <n v="1"/>
    <x v="7"/>
    <x v="1"/>
    <s v="06041989"/>
    <n v="33.884931506849313"/>
    <n v="175"/>
    <n v="43.75"/>
  </r>
  <r>
    <n v="2885732"/>
    <n v="9051989"/>
    <n v="5"/>
    <n v="1"/>
    <n v="1"/>
    <x v="7"/>
    <x v="1"/>
    <s v="09051989"/>
    <n v="33.794520547945204"/>
    <n v="175"/>
    <n v="35"/>
  </r>
  <r>
    <n v="8658982"/>
    <n v="5051989"/>
    <n v="4"/>
    <n v="1"/>
    <n v="1"/>
    <x v="0"/>
    <x v="2"/>
    <s v="05051989"/>
    <n v="33.805479452054797"/>
    <n v="175"/>
    <n v="43.75"/>
  </r>
  <r>
    <n v="13566593"/>
    <n v="24051989"/>
    <n v="4"/>
    <n v="2"/>
    <n v="2"/>
    <x v="6"/>
    <x v="3"/>
    <s v="24051989"/>
    <n v="33.753424657534246"/>
    <n v="697.5"/>
    <n v="174.375"/>
  </r>
  <r>
    <n v="19441289"/>
    <n v="29051989"/>
    <n v="6"/>
    <n v="3"/>
    <n v="3"/>
    <x v="2"/>
    <x v="7"/>
    <s v="29051989"/>
    <n v="33.739726027397261"/>
    <n v="1397.5"/>
    <n v="232.91666666666666"/>
  </r>
  <r>
    <n v="5021645"/>
    <n v="5021989"/>
    <n v="6"/>
    <n v="1"/>
    <n v="1"/>
    <x v="5"/>
    <x v="1"/>
    <s v="05021989"/>
    <n v="34.049315068493151"/>
    <n v="175"/>
    <n v="29.166666666666668"/>
  </r>
  <r>
    <n v="15168633"/>
    <n v="6021989"/>
    <n v="6"/>
    <n v="1"/>
    <n v="1"/>
    <x v="5"/>
    <x v="0"/>
    <s v="06021989"/>
    <n v="34.046575342465751"/>
    <n v="175"/>
    <n v="29.166666666666668"/>
  </r>
  <r>
    <n v="20306880"/>
    <n v="3061989"/>
    <n v="7"/>
    <n v="1"/>
    <n v="1"/>
    <x v="5"/>
    <x v="1"/>
    <s v="03061989"/>
    <n v="33.726027397260275"/>
    <n v="175"/>
    <n v="25"/>
  </r>
  <r>
    <n v="24825894"/>
    <n v="3061989"/>
    <n v="5"/>
    <n v="2"/>
    <n v="1"/>
    <x v="5"/>
    <x v="0"/>
    <s v="03061989"/>
    <n v="33.726027397260275"/>
    <n v="175"/>
    <n v="35"/>
  </r>
  <r>
    <n v="14880372"/>
    <n v="12051989"/>
    <n v="4"/>
    <n v="1"/>
    <n v="1"/>
    <x v="1"/>
    <x v="0"/>
    <s v="12051989"/>
    <n v="33.786301369863011"/>
    <n v="175"/>
    <n v="43.75"/>
  </r>
  <r>
    <n v="10507068"/>
    <n v="29051989"/>
    <n v="0"/>
    <n v="0"/>
    <n v="1"/>
    <x v="4"/>
    <x v="5"/>
    <s v="29051989"/>
    <n v="33.739726027397261"/>
    <n v="175"/>
    <n v="0"/>
  </r>
  <r>
    <n v="24392204"/>
    <n v="4061989"/>
    <n v="5"/>
    <n v="1"/>
    <n v="1"/>
    <x v="5"/>
    <x v="3"/>
    <s v="04061989"/>
    <n v="33.723287671232875"/>
    <n v="175"/>
    <n v="35"/>
  </r>
  <r>
    <n v="15414047"/>
    <n v="2051989"/>
    <n v="4"/>
    <n v="2"/>
    <n v="1"/>
    <x v="0"/>
    <x v="2"/>
    <s v="02051989"/>
    <n v="33.813698630136983"/>
    <n v="175"/>
    <n v="43.75"/>
  </r>
  <r>
    <n v="3767141"/>
    <n v="9061989"/>
    <n v="6"/>
    <n v="1"/>
    <n v="1"/>
    <x v="5"/>
    <x v="1"/>
    <s v="09061989"/>
    <n v="33.709589041095889"/>
    <n v="175"/>
    <n v="29.166666666666668"/>
  </r>
  <r>
    <n v="15846906"/>
    <n v="22101988"/>
    <n v="5"/>
    <n v="1"/>
    <n v="1"/>
    <x v="5"/>
    <x v="2"/>
    <s v="22101988"/>
    <n v="34.339726027397262"/>
    <n v="175"/>
    <n v="35"/>
  </r>
  <r>
    <n v="12643596"/>
    <n v="3041988"/>
    <n v="0"/>
    <n v="0"/>
    <n v="1"/>
    <x v="4"/>
    <x v="5"/>
    <s v="03041988"/>
    <n v="34.893150684931506"/>
    <n v="175"/>
    <n v="0"/>
  </r>
  <r>
    <n v="13711330"/>
    <n v="13061989"/>
    <n v="5"/>
    <n v="0"/>
    <n v="1"/>
    <x v="7"/>
    <x v="3"/>
    <s v="13061989"/>
    <n v="33.698630136986303"/>
    <n v="175"/>
    <n v="35"/>
  </r>
  <r>
    <n v="5167022"/>
    <n v="14061989"/>
    <n v="5"/>
    <n v="1"/>
    <n v="2"/>
    <x v="6"/>
    <x v="6"/>
    <s v="14061989"/>
    <n v="33.695890410958903"/>
    <n v="697.5"/>
    <n v="139.5"/>
  </r>
  <r>
    <n v="5369191"/>
    <n v="11061989"/>
    <n v="4"/>
    <n v="1"/>
    <n v="1"/>
    <x v="7"/>
    <x v="0"/>
    <s v="11061989"/>
    <n v="33.704109589041096"/>
    <n v="175"/>
    <n v="43.75"/>
  </r>
  <r>
    <n v="17983404"/>
    <n v="13081988"/>
    <n v="0"/>
    <n v="0"/>
    <n v="1"/>
    <x v="4"/>
    <x v="5"/>
    <s v="13081988"/>
    <n v="34.531506849315072"/>
    <n v="175"/>
    <n v="0"/>
  </r>
  <r>
    <n v="15846905"/>
    <n v="24061989"/>
    <n v="5"/>
    <n v="1"/>
    <n v="1"/>
    <x v="7"/>
    <x v="9"/>
    <s v="24061989"/>
    <n v="33.668493150684931"/>
    <n v="175"/>
    <n v="35"/>
  </r>
  <r>
    <n v="23324403"/>
    <n v="22021989"/>
    <n v="3"/>
    <n v="1"/>
    <n v="1"/>
    <x v="4"/>
    <x v="5"/>
    <s v="22021989"/>
    <n v="34.0027397260274"/>
    <n v="175"/>
    <n v="58.333333333333336"/>
  </r>
  <r>
    <n v="9540323"/>
    <n v="20051989"/>
    <n v="4"/>
    <n v="1"/>
    <n v="1"/>
    <x v="5"/>
    <x v="3"/>
    <s v="20051989"/>
    <n v="33.764383561643832"/>
    <n v="175"/>
    <n v="43.75"/>
  </r>
  <r>
    <n v="994961"/>
    <n v="26011989"/>
    <n v="3"/>
    <n v="1"/>
    <n v="1"/>
    <x v="7"/>
    <x v="0"/>
    <s v="26011989"/>
    <n v="34.076712328767123"/>
    <n v="175"/>
    <n v="58.333333333333336"/>
  </r>
  <r>
    <n v="2698690"/>
    <n v="12091988"/>
    <n v="4"/>
    <n v="1"/>
    <n v="1"/>
    <x v="5"/>
    <x v="0"/>
    <s v="12091988"/>
    <n v="34.449315068493149"/>
    <n v="175"/>
    <n v="43.75"/>
  </r>
  <r>
    <n v="9123553"/>
    <n v="15061989"/>
    <n v="0"/>
    <n v="0"/>
    <n v="1"/>
    <x v="4"/>
    <x v="5"/>
    <s v="15061989"/>
    <n v="33.69315068493151"/>
    <n v="175"/>
    <n v="0"/>
  </r>
  <r>
    <n v="12125403"/>
    <n v="23041989"/>
    <n v="3"/>
    <n v="1"/>
    <n v="1"/>
    <x v="3"/>
    <x v="0"/>
    <s v="23041989"/>
    <n v="33.838356164383562"/>
    <n v="175"/>
    <n v="58.333333333333336"/>
  </r>
  <r>
    <n v="13294009"/>
    <n v="2011989"/>
    <n v="4"/>
    <n v="0"/>
    <n v="1"/>
    <x v="7"/>
    <x v="3"/>
    <s v="02011989"/>
    <n v="34.142465753424659"/>
    <n v="175"/>
    <n v="43.75"/>
  </r>
  <r>
    <n v="20237254"/>
    <n v="13061989"/>
    <n v="7"/>
    <n v="0"/>
    <n v="2"/>
    <x v="2"/>
    <x v="1"/>
    <s v="13061989"/>
    <n v="33.698630136986303"/>
    <n v="697.5"/>
    <n v="99.642857142857139"/>
  </r>
  <r>
    <n v="12760165"/>
    <n v="7111988"/>
    <n v="3"/>
    <n v="2"/>
    <n v="1"/>
    <x v="8"/>
    <x v="3"/>
    <s v="07111988"/>
    <n v="34.295890410958904"/>
    <n v="175"/>
    <n v="58.333333333333336"/>
  </r>
  <r>
    <n v="1111677"/>
    <n v="23051989"/>
    <n v="3"/>
    <n v="2"/>
    <n v="1"/>
    <x v="3"/>
    <x v="1"/>
    <s v="23051989"/>
    <n v="33.756164383561647"/>
    <n v="175"/>
    <n v="58.333333333333336"/>
  </r>
  <r>
    <n v="23066173"/>
    <n v="16061989"/>
    <n v="0"/>
    <n v="0"/>
    <n v="1"/>
    <x v="4"/>
    <x v="5"/>
    <s v="16061989"/>
    <n v="33.69041095890411"/>
    <n v="175"/>
    <n v="0"/>
  </r>
  <r>
    <n v="7577899"/>
    <n v="16061989"/>
    <n v="7"/>
    <n v="1"/>
    <n v="1"/>
    <x v="0"/>
    <x v="0"/>
    <s v="16061989"/>
    <n v="33.69041095890411"/>
    <n v="175"/>
    <n v="25"/>
  </r>
  <r>
    <n v="2338890"/>
    <n v="8021989"/>
    <n v="2"/>
    <n v="1"/>
    <n v="1"/>
    <x v="7"/>
    <x v="3"/>
    <s v="08021989"/>
    <n v="34.041095890410958"/>
    <n v="175"/>
    <n v="87.5"/>
  </r>
  <r>
    <n v="17292382"/>
    <n v="1031989"/>
    <n v="4"/>
    <n v="1"/>
    <n v="1"/>
    <x v="5"/>
    <x v="1"/>
    <s v="01031989"/>
    <n v="33.983561643835614"/>
    <n v="175"/>
    <n v="43.75"/>
  </r>
  <r>
    <n v="18360139"/>
    <n v="13091988"/>
    <n v="4"/>
    <n v="1"/>
    <n v="1"/>
    <x v="0"/>
    <x v="1"/>
    <s v="13091988"/>
    <n v="34.446575342465756"/>
    <n v="175"/>
    <n v="43.75"/>
  </r>
  <r>
    <n v="16052867"/>
    <n v="14071989"/>
    <n v="3"/>
    <n v="1"/>
    <n v="1"/>
    <x v="4"/>
    <x v="3"/>
    <s v="14071989"/>
    <n v="33.613698630136987"/>
    <n v="175"/>
    <n v="58.333333333333336"/>
  </r>
  <r>
    <n v="9401099"/>
    <n v="3121988"/>
    <n v="6"/>
    <n v="1"/>
    <n v="1"/>
    <x v="5"/>
    <x v="1"/>
    <s v="03121988"/>
    <n v="34.224657534246575"/>
    <n v="175"/>
    <n v="29.166666666666668"/>
  </r>
  <r>
    <n v="22246811"/>
    <n v="18031989"/>
    <n v="5"/>
    <n v="2"/>
    <n v="3"/>
    <x v="9"/>
    <x v="3"/>
    <s v="18031989"/>
    <n v="33.936986301369863"/>
    <n v="1397.5"/>
    <n v="279.5"/>
  </r>
  <r>
    <n v="4189905"/>
    <n v="19031989"/>
    <n v="4"/>
    <n v="1"/>
    <n v="2"/>
    <x v="2"/>
    <x v="3"/>
    <s v="19031989"/>
    <n v="33.934246575342463"/>
    <n v="697.5"/>
    <n v="174.375"/>
  </r>
  <r>
    <n v="22246812"/>
    <n v="19041989"/>
    <n v="3"/>
    <n v="0"/>
    <n v="1"/>
    <x v="7"/>
    <x v="10"/>
    <s v="19041989"/>
    <n v="33.849315068493148"/>
    <n v="175"/>
    <n v="58.333333333333336"/>
  </r>
  <r>
    <n v="14914960"/>
    <n v="15061989"/>
    <n v="6"/>
    <n v="2"/>
    <n v="1"/>
    <x v="7"/>
    <x v="1"/>
    <s v="15061989"/>
    <n v="33.69315068493151"/>
    <n v="175"/>
    <n v="29.166666666666668"/>
  </r>
  <r>
    <n v="6036611"/>
    <n v="14021989"/>
    <n v="6"/>
    <n v="1"/>
    <n v="1"/>
    <x v="1"/>
    <x v="3"/>
    <s v="14021989"/>
    <n v="34.024657534246572"/>
    <n v="175"/>
    <n v="29.166666666666668"/>
  </r>
  <r>
    <n v="17123955"/>
    <n v="19061989"/>
    <n v="5"/>
    <n v="0"/>
    <n v="2"/>
    <x v="4"/>
    <x v="5"/>
    <s v="19061989"/>
    <n v="33.682191780821917"/>
    <n v="697.5"/>
    <n v="139.5"/>
  </r>
  <r>
    <n v="18516503"/>
    <n v="3111988"/>
    <n v="8"/>
    <n v="3"/>
    <n v="1"/>
    <x v="4"/>
    <x v="3"/>
    <s v="03111988"/>
    <n v="34.30684931506849"/>
    <n v="175"/>
    <n v="21.875"/>
  </r>
  <r>
    <n v="14593399"/>
    <n v="22051989"/>
    <n v="9"/>
    <n v="2"/>
    <n v="2"/>
    <x v="5"/>
    <x v="1"/>
    <s v="22051989"/>
    <n v="33.758904109589039"/>
    <n v="697.5"/>
    <n v="77.5"/>
  </r>
  <r>
    <n v="9388024"/>
    <n v="16061989"/>
    <n v="4"/>
    <n v="0"/>
    <n v="2"/>
    <x v="8"/>
    <x v="7"/>
    <s v="16061989"/>
    <n v="33.69041095890411"/>
    <n v="697.5"/>
    <n v="174.375"/>
  </r>
  <r>
    <n v="20454750"/>
    <n v="7041989"/>
    <n v="0"/>
    <n v="0"/>
    <n v="1"/>
    <x v="4"/>
    <x v="5"/>
    <s v="07041989"/>
    <n v="33.88219178082192"/>
    <n v="175"/>
    <n v="0"/>
  </r>
  <r>
    <n v="24349167"/>
    <n v="14011989"/>
    <n v="8"/>
    <n v="2"/>
    <n v="1"/>
    <x v="7"/>
    <x v="1"/>
    <s v="14011989"/>
    <n v="34.109589041095887"/>
    <n v="175"/>
    <n v="21.875"/>
  </r>
  <r>
    <n v="19008454"/>
    <n v="29031989"/>
    <n v="5"/>
    <n v="1"/>
    <n v="1"/>
    <x v="7"/>
    <x v="10"/>
    <s v="29031989"/>
    <n v="33.906849315068492"/>
    <n v="175"/>
    <n v="35"/>
  </r>
  <r>
    <n v="7341789"/>
    <n v="12051989"/>
    <n v="3"/>
    <n v="1"/>
    <n v="2"/>
    <x v="7"/>
    <x v="1"/>
    <s v="12051989"/>
    <n v="33.786301369863011"/>
    <n v="697.5"/>
    <n v="232.5"/>
  </r>
  <r>
    <n v="10894152"/>
    <n v="22021989"/>
    <n v="0"/>
    <n v="0"/>
    <n v="1"/>
    <x v="4"/>
    <x v="5"/>
    <s v="22021989"/>
    <n v="34.0027397260274"/>
    <n v="175"/>
    <n v="0"/>
  </r>
  <r>
    <n v="16918490"/>
    <n v="13041989"/>
    <n v="5"/>
    <n v="2"/>
    <n v="2"/>
    <x v="0"/>
    <x v="1"/>
    <s v="13041989"/>
    <n v="33.865753424657534"/>
    <n v="697.5"/>
    <n v="139.5"/>
  </r>
  <r>
    <n v="4405265"/>
    <n v="12041989"/>
    <n v="5"/>
    <n v="2"/>
    <n v="1"/>
    <x v="5"/>
    <x v="2"/>
    <s v="12041989"/>
    <n v="33.868493150684934"/>
    <n v="175"/>
    <n v="35"/>
  </r>
  <r>
    <n v="2269014"/>
    <n v="10041989"/>
    <n v="5"/>
    <n v="1"/>
    <n v="1"/>
    <x v="0"/>
    <x v="2"/>
    <s v="10041989"/>
    <n v="33.873972602739727"/>
    <n v="175"/>
    <n v="35"/>
  </r>
  <r>
    <n v="11796992"/>
    <n v="1061989"/>
    <n v="0"/>
    <n v="0"/>
    <n v="1"/>
    <x v="4"/>
    <x v="5"/>
    <s v="01061989"/>
    <n v="33.731506849315068"/>
    <n v="175"/>
    <n v="0"/>
  </r>
  <r>
    <n v="8693858"/>
    <n v="31051989"/>
    <n v="0"/>
    <n v="0"/>
    <n v="1"/>
    <x v="4"/>
    <x v="5"/>
    <s v="31051989"/>
    <n v="33.734246575342468"/>
    <n v="175"/>
    <n v="0"/>
  </r>
  <r>
    <n v="6023845"/>
    <n v="19011989"/>
    <n v="4"/>
    <n v="2"/>
    <n v="6"/>
    <x v="7"/>
    <x v="1"/>
    <s v="19011989"/>
    <n v="34.095890410958901"/>
    <n v="4000"/>
    <n v="1000"/>
  </r>
  <r>
    <n v="1362263"/>
    <n v="1071988"/>
    <n v="0"/>
    <n v="0"/>
    <n v="1"/>
    <x v="4"/>
    <x v="5"/>
    <s v="01071988"/>
    <n v="34.649315068493152"/>
    <n v="175"/>
    <n v="0"/>
  </r>
  <r>
    <n v="859913"/>
    <n v="18041989"/>
    <n v="4"/>
    <n v="1"/>
    <n v="1"/>
    <x v="5"/>
    <x v="1"/>
    <s v="18041989"/>
    <n v="33.852054794520548"/>
    <n v="175"/>
    <n v="43.75"/>
  </r>
  <r>
    <n v="8703721"/>
    <n v="30031989"/>
    <n v="4"/>
    <n v="2"/>
    <n v="2"/>
    <x v="2"/>
    <x v="7"/>
    <s v="30031989"/>
    <n v="33.904109589041099"/>
    <n v="697.5"/>
    <n v="174.375"/>
  </r>
  <r>
    <n v="14816786"/>
    <n v="26021989"/>
    <n v="6"/>
    <n v="1"/>
    <n v="2"/>
    <x v="7"/>
    <x v="3"/>
    <s v="26021989"/>
    <n v="33.991780821917807"/>
    <n v="697.5"/>
    <n v="116.25"/>
  </r>
  <r>
    <n v="13113918"/>
    <n v="22021989"/>
    <n v="4"/>
    <n v="0"/>
    <n v="1"/>
    <x v="4"/>
    <x v="3"/>
    <s v="22021989"/>
    <n v="34.0027397260274"/>
    <n v="175"/>
    <n v="43.75"/>
  </r>
  <r>
    <n v="4224558"/>
    <n v="23011988"/>
    <n v="3"/>
    <n v="1"/>
    <n v="1"/>
    <x v="6"/>
    <x v="3"/>
    <s v="23011988"/>
    <n v="35.087671232876716"/>
    <n v="175"/>
    <n v="58.333333333333336"/>
  </r>
  <r>
    <n v="13060675"/>
    <n v="16121988"/>
    <n v="5"/>
    <n v="1"/>
    <n v="1"/>
    <x v="4"/>
    <x v="2"/>
    <s v="16121988"/>
    <n v="34.18904109589041"/>
    <n v="175"/>
    <n v="35"/>
  </r>
  <r>
    <n v="926732"/>
    <n v="16061989"/>
    <n v="5"/>
    <n v="1"/>
    <n v="1"/>
    <x v="1"/>
    <x v="2"/>
    <s v="16061989"/>
    <n v="33.69041095890411"/>
    <n v="175"/>
    <n v="35"/>
  </r>
  <r>
    <n v="21808340"/>
    <n v="8051989"/>
    <n v="3"/>
    <n v="1"/>
    <n v="1"/>
    <x v="7"/>
    <x v="2"/>
    <s v="08051989"/>
    <n v="33.797260273972604"/>
    <n v="175"/>
    <n v="58.333333333333336"/>
  </r>
  <r>
    <n v="15487436"/>
    <n v="9051989"/>
    <n v="5"/>
    <n v="2"/>
    <n v="1"/>
    <x v="5"/>
    <x v="2"/>
    <s v="09051989"/>
    <n v="33.794520547945204"/>
    <n v="175"/>
    <n v="35"/>
  </r>
  <r>
    <n v="6671585"/>
    <n v="21071987"/>
    <n v="5"/>
    <n v="1"/>
    <n v="2"/>
    <x v="0"/>
    <x v="0"/>
    <s v="21071987"/>
    <n v="35.597260273972601"/>
    <n v="697.5"/>
    <n v="139.5"/>
  </r>
  <r>
    <n v="24035262"/>
    <n v="12051988"/>
    <n v="7"/>
    <n v="1"/>
    <n v="1"/>
    <x v="8"/>
    <x v="3"/>
    <s v="12051988"/>
    <n v="34.786301369863011"/>
    <n v="175"/>
    <n v="25"/>
  </r>
  <r>
    <n v="24259361"/>
    <n v="27061989"/>
    <n v="3"/>
    <n v="1"/>
    <n v="2"/>
    <x v="7"/>
    <x v="7"/>
    <s v="27061989"/>
    <n v="33.660273972602738"/>
    <n v="697.5"/>
    <n v="232.5"/>
  </r>
  <r>
    <n v="24113870"/>
    <n v="24011989"/>
    <n v="4"/>
    <n v="1"/>
    <n v="1"/>
    <x v="9"/>
    <x v="0"/>
    <s v="24011989"/>
    <n v="34.082191780821915"/>
    <n v="175"/>
    <n v="43.75"/>
  </r>
  <r>
    <n v="614724"/>
    <n v="17121987"/>
    <n v="3"/>
    <n v="1"/>
    <n v="1"/>
    <x v="2"/>
    <x v="2"/>
    <s v="17121987"/>
    <n v="35.18904109589041"/>
    <n v="175"/>
    <n v="58.333333333333336"/>
  </r>
  <r>
    <n v="17069281"/>
    <n v="30081989"/>
    <n v="5"/>
    <n v="2"/>
    <n v="3"/>
    <x v="2"/>
    <x v="7"/>
    <s v="30081989"/>
    <n v="33.484931506849314"/>
    <n v="1397.5"/>
    <n v="279.5"/>
  </r>
  <r>
    <n v="14399422"/>
    <n v="13061989"/>
    <n v="4"/>
    <n v="1"/>
    <n v="1"/>
    <x v="0"/>
    <x v="0"/>
    <s v="13061989"/>
    <n v="33.698630136986303"/>
    <n v="175"/>
    <n v="43.75"/>
  </r>
  <r>
    <n v="23681188"/>
    <n v="30061989"/>
    <n v="9"/>
    <n v="2"/>
    <n v="1"/>
    <x v="0"/>
    <x v="2"/>
    <s v="30061989"/>
    <n v="33.652054794520545"/>
    <n v="175"/>
    <n v="19.444444444444443"/>
  </r>
  <r>
    <n v="1351714"/>
    <n v="14041989"/>
    <n v="2"/>
    <n v="1"/>
    <n v="1"/>
    <x v="4"/>
    <x v="3"/>
    <s v="14041989"/>
    <n v="33.863013698630134"/>
    <n v="175"/>
    <n v="87.5"/>
  </r>
  <r>
    <n v="10474593"/>
    <n v="6091989"/>
    <n v="3"/>
    <n v="2"/>
    <n v="1"/>
    <x v="5"/>
    <x v="3"/>
    <s v="06091989"/>
    <n v="33.465753424657535"/>
    <n v="175"/>
    <n v="58.333333333333336"/>
  </r>
  <r>
    <n v="906004"/>
    <n v="22061986"/>
    <n v="3"/>
    <n v="1"/>
    <n v="3"/>
    <x v="2"/>
    <x v="3"/>
    <s v="22061986"/>
    <n v="36.676712328767124"/>
    <n v="1397.5"/>
    <n v="465.83333333333331"/>
  </r>
  <r>
    <n v="11385790"/>
    <n v="27091988"/>
    <n v="6"/>
    <n v="1"/>
    <n v="1"/>
    <x v="5"/>
    <x v="0"/>
    <s v="27091988"/>
    <n v="34.408219178082192"/>
    <n v="175"/>
    <n v="29.166666666666668"/>
  </r>
  <r>
    <n v="17174440"/>
    <n v="17031989"/>
    <n v="6"/>
    <n v="1"/>
    <n v="1"/>
    <x v="4"/>
    <x v="5"/>
    <s v="17031989"/>
    <n v="33.939726027397263"/>
    <n v="175"/>
    <n v="29.166666666666668"/>
  </r>
  <r>
    <n v="7561160"/>
    <n v="11041989"/>
    <n v="5"/>
    <n v="1"/>
    <n v="1"/>
    <x v="1"/>
    <x v="8"/>
    <s v="11041989"/>
    <n v="33.871232876712327"/>
    <n v="175"/>
    <n v="35"/>
  </r>
  <r>
    <n v="10692785"/>
    <n v="25101988"/>
    <n v="4"/>
    <n v="1"/>
    <n v="2"/>
    <x v="0"/>
    <x v="7"/>
    <s v="25101988"/>
    <n v="34.331506849315069"/>
    <n v="697.5"/>
    <n v="174.375"/>
  </r>
  <r>
    <n v="24476470"/>
    <n v="25101988"/>
    <n v="4"/>
    <n v="1"/>
    <n v="2"/>
    <x v="0"/>
    <x v="7"/>
    <s v="25101988"/>
    <n v="34.331506849315069"/>
    <n v="697.5"/>
    <n v="174.375"/>
  </r>
  <r>
    <n v="24577945"/>
    <n v="22051989"/>
    <n v="0"/>
    <n v="0"/>
    <n v="1"/>
    <x v="4"/>
    <x v="5"/>
    <s v="22051989"/>
    <n v="33.758904109589039"/>
    <n v="175"/>
    <n v="0"/>
  </r>
  <r>
    <n v="16914536"/>
    <n v="12021989"/>
    <n v="5"/>
    <n v="1"/>
    <n v="1"/>
    <x v="7"/>
    <x v="3"/>
    <s v="12021989"/>
    <n v="34.030136986301372"/>
    <n v="175"/>
    <n v="35"/>
  </r>
  <r>
    <n v="10421249"/>
    <n v="26111985"/>
    <n v="5"/>
    <n v="1"/>
    <n v="1"/>
    <x v="1"/>
    <x v="2"/>
    <s v="26111985"/>
    <n v="37.246575342465754"/>
    <n v="175"/>
    <n v="35"/>
  </r>
  <r>
    <n v="23010804"/>
    <n v="1111988"/>
    <n v="4"/>
    <n v="2"/>
    <n v="4"/>
    <x v="2"/>
    <x v="7"/>
    <s v="01111988"/>
    <n v="34.31232876712329"/>
    <n v="2100"/>
    <n v="525"/>
  </r>
  <r>
    <n v="11467916"/>
    <n v="28031989"/>
    <n v="7"/>
    <n v="2"/>
    <n v="2"/>
    <x v="4"/>
    <x v="10"/>
    <s v="28031989"/>
    <n v="33.909589041095892"/>
    <n v="697.5"/>
    <n v="99.642857142857139"/>
  </r>
  <r>
    <n v="689774"/>
    <n v="8021989"/>
    <n v="4"/>
    <n v="0"/>
    <n v="1"/>
    <x v="0"/>
    <x v="3"/>
    <s v="08021989"/>
    <n v="34.041095890410958"/>
    <n v="175"/>
    <n v="43.75"/>
  </r>
  <r>
    <n v="19941390"/>
    <n v="8081988"/>
    <n v="0"/>
    <n v="0"/>
    <n v="1"/>
    <x v="4"/>
    <x v="5"/>
    <s v="08081988"/>
    <n v="34.545205479452058"/>
    <n v="175"/>
    <n v="0"/>
  </r>
  <r>
    <n v="23504764"/>
    <n v="23041987"/>
    <n v="4"/>
    <n v="1"/>
    <n v="1"/>
    <x v="4"/>
    <x v="1"/>
    <s v="23041987"/>
    <n v="35.841095890410962"/>
    <n v="175"/>
    <n v="43.75"/>
  </r>
  <r>
    <n v="3414120"/>
    <n v="3041989"/>
    <n v="9"/>
    <n v="3"/>
    <n v="1"/>
    <x v="0"/>
    <x v="1"/>
    <s v="03041989"/>
    <n v="33.893150684931506"/>
    <n v="175"/>
    <n v="19.444444444444443"/>
  </r>
  <r>
    <n v="15407917"/>
    <n v="31031989"/>
    <n v="2"/>
    <n v="0"/>
    <n v="1"/>
    <x v="4"/>
    <x v="3"/>
    <s v="31031989"/>
    <n v="33.901369863013699"/>
    <n v="175"/>
    <n v="87.5"/>
  </r>
  <r>
    <n v="17459203"/>
    <n v="15101988"/>
    <n v="0"/>
    <n v="0"/>
    <n v="1"/>
    <x v="4"/>
    <x v="5"/>
    <s v="15101988"/>
    <n v="34.358904109589041"/>
    <n v="175"/>
    <n v="0"/>
  </r>
  <r>
    <n v="17719244"/>
    <n v="25081988"/>
    <n v="4"/>
    <n v="1"/>
    <n v="1"/>
    <x v="7"/>
    <x v="2"/>
    <s v="25081988"/>
    <n v="34.4986301369863"/>
    <n v="175"/>
    <n v="43.75"/>
  </r>
  <r>
    <n v="5919195"/>
    <n v="5031989"/>
    <n v="7"/>
    <n v="0"/>
    <n v="1"/>
    <x v="1"/>
    <x v="3"/>
    <s v="05031989"/>
    <n v="33.972602739726028"/>
    <n v="175"/>
    <n v="25"/>
  </r>
  <r>
    <n v="4519220"/>
    <n v="5031989"/>
    <n v="7"/>
    <n v="0"/>
    <n v="1"/>
    <x v="1"/>
    <x v="3"/>
    <s v="05031989"/>
    <n v="33.972602739726028"/>
    <n v="175"/>
    <n v="25"/>
  </r>
  <r>
    <n v="24746756"/>
    <n v="10091988"/>
    <n v="2"/>
    <n v="0"/>
    <n v="1"/>
    <x v="9"/>
    <x v="3"/>
    <s v="10091988"/>
    <n v="34.454794520547942"/>
    <n v="175"/>
    <n v="87.5"/>
  </r>
  <r>
    <n v="2518529"/>
    <n v="20051988"/>
    <n v="5"/>
    <n v="1"/>
    <n v="1"/>
    <x v="5"/>
    <x v="1"/>
    <s v="20051988"/>
    <n v="34.764383561643832"/>
    <n v="175"/>
    <n v="35"/>
  </r>
  <r>
    <n v="3867763"/>
    <n v="19101988"/>
    <n v="7"/>
    <n v="1"/>
    <n v="1"/>
    <x v="1"/>
    <x v="1"/>
    <s v="19101988"/>
    <n v="34.347945205479455"/>
    <n v="175"/>
    <n v="25"/>
  </r>
  <r>
    <n v="11667985"/>
    <n v="24061985"/>
    <n v="3"/>
    <n v="1"/>
    <n v="1"/>
    <x v="9"/>
    <x v="0"/>
    <s v="24061985"/>
    <n v="37.671232876712331"/>
    <n v="175"/>
    <n v="58.333333333333336"/>
  </r>
  <r>
    <n v="7181647"/>
    <n v="13061989"/>
    <n v="4"/>
    <n v="2"/>
    <n v="1"/>
    <x v="1"/>
    <x v="3"/>
    <s v="13061989"/>
    <n v="33.698630136986303"/>
    <n v="175"/>
    <n v="43.75"/>
  </r>
  <r>
    <n v="11353505"/>
    <n v="14011989"/>
    <n v="4"/>
    <n v="2"/>
    <n v="1"/>
    <x v="7"/>
    <x v="3"/>
    <s v="14011989"/>
    <n v="34.109589041095887"/>
    <n v="175"/>
    <n v="43.75"/>
  </r>
  <r>
    <n v="24544986"/>
    <n v="28021989"/>
    <n v="5"/>
    <n v="0"/>
    <n v="1"/>
    <x v="7"/>
    <x v="1"/>
    <s v="28021989"/>
    <n v="33.986301369863014"/>
    <n v="175"/>
    <n v="35"/>
  </r>
  <r>
    <n v="23477080"/>
    <n v="26121988"/>
    <n v="5"/>
    <n v="1"/>
    <n v="1"/>
    <x v="5"/>
    <x v="1"/>
    <s v="26121988"/>
    <n v="34.161643835616438"/>
    <n v="175"/>
    <n v="35"/>
  </r>
  <r>
    <n v="13330045"/>
    <n v="10051987"/>
    <n v="5"/>
    <n v="1"/>
    <n v="1"/>
    <x v="8"/>
    <x v="0"/>
    <s v="10051987"/>
    <n v="35.794520547945204"/>
    <n v="175"/>
    <n v="35"/>
  </r>
  <r>
    <n v="24905469"/>
    <n v="16051988"/>
    <n v="4"/>
    <n v="0"/>
    <n v="1"/>
    <x v="1"/>
    <x v="0"/>
    <s v="16051988"/>
    <n v="34.775342465753425"/>
    <n v="175"/>
    <n v="43.75"/>
  </r>
  <r>
    <n v="18803816"/>
    <n v="1061988"/>
    <n v="4"/>
    <n v="1"/>
    <n v="1"/>
    <x v="9"/>
    <x v="3"/>
    <s v="01061988"/>
    <n v="34.731506849315068"/>
    <n v="175"/>
    <n v="43.75"/>
  </r>
  <r>
    <n v="17808754"/>
    <n v="30061988"/>
    <n v="4"/>
    <n v="1"/>
    <n v="1"/>
    <x v="0"/>
    <x v="0"/>
    <s v="30061988"/>
    <n v="34.652054794520545"/>
    <n v="175"/>
    <n v="43.75"/>
  </r>
  <r>
    <n v="16306945"/>
    <n v="20111987"/>
    <n v="7"/>
    <n v="1"/>
    <n v="2"/>
    <x v="1"/>
    <x v="2"/>
    <s v="20111987"/>
    <n v="35.263013698630139"/>
    <n v="697.5"/>
    <n v="99.642857142857139"/>
  </r>
  <r>
    <n v="8008764"/>
    <n v="7081981"/>
    <n v="5"/>
    <n v="2"/>
    <n v="1"/>
    <x v="7"/>
    <x v="1"/>
    <s v="07081981"/>
    <n v="41.553424657534244"/>
    <n v="175"/>
    <n v="35"/>
  </r>
  <r>
    <n v="12815346"/>
    <n v="10121987"/>
    <n v="4"/>
    <n v="2"/>
    <n v="2"/>
    <x v="7"/>
    <x v="3"/>
    <s v="10121987"/>
    <n v="35.208219178082189"/>
    <n v="697.5"/>
    <n v="174.375"/>
  </r>
  <r>
    <n v="23944667"/>
    <n v="19121988"/>
    <n v="5"/>
    <n v="1"/>
    <n v="2"/>
    <x v="7"/>
    <x v="2"/>
    <s v="19121988"/>
    <n v="34.180821917808217"/>
    <n v="697.5"/>
    <n v="139.5"/>
  </r>
  <r>
    <n v="2239185"/>
    <n v="30111984"/>
    <n v="4"/>
    <n v="1"/>
    <n v="1"/>
    <x v="1"/>
    <x v="3"/>
    <s v="30111984"/>
    <n v="38.235616438356168"/>
    <n v="175"/>
    <n v="43.75"/>
  </r>
  <r>
    <n v="8956049"/>
    <n v="5121986"/>
    <n v="5"/>
    <n v="1"/>
    <n v="1"/>
    <x v="7"/>
    <x v="2"/>
    <s v="05121986"/>
    <n v="36.221917808219175"/>
    <n v="175"/>
    <n v="35"/>
  </r>
  <r>
    <n v="13171375"/>
    <n v="12061987"/>
    <n v="5"/>
    <n v="1"/>
    <n v="1"/>
    <x v="4"/>
    <x v="2"/>
    <s v="12061987"/>
    <n v="35.704109589041096"/>
    <n v="175"/>
    <n v="35"/>
  </r>
  <r>
    <n v="4339267"/>
    <n v="19091987"/>
    <n v="2"/>
    <n v="1"/>
    <n v="1"/>
    <x v="0"/>
    <x v="10"/>
    <s v="19091987"/>
    <n v="35.43287671232877"/>
    <n v="175"/>
    <n v="87.5"/>
  </r>
  <r>
    <n v="22772424"/>
    <n v="18071988"/>
    <n v="0"/>
    <n v="0"/>
    <n v="1"/>
    <x v="4"/>
    <x v="5"/>
    <s v="18071988"/>
    <n v="34.602739726027394"/>
    <n v="175"/>
    <n v="0"/>
  </r>
  <r>
    <n v="9826128"/>
    <n v="18061988"/>
    <n v="7"/>
    <n v="1"/>
    <n v="1"/>
    <x v="4"/>
    <x v="5"/>
    <s v="18061988"/>
    <n v="34.684931506849317"/>
    <n v="175"/>
    <n v="25"/>
  </r>
  <r>
    <n v="16798627"/>
    <n v="12041989"/>
    <n v="3"/>
    <n v="1"/>
    <n v="1"/>
    <x v="4"/>
    <x v="0"/>
    <s v="12041989"/>
    <n v="33.868493150684934"/>
    <n v="175"/>
    <n v="58.333333333333336"/>
  </r>
  <r>
    <n v="14128633"/>
    <n v="20071986"/>
    <n v="5"/>
    <n v="1"/>
    <n v="1"/>
    <x v="2"/>
    <x v="2"/>
    <s v="20071986"/>
    <n v="36.6"/>
    <n v="175"/>
    <n v="35"/>
  </r>
  <r>
    <n v="11928144"/>
    <n v="20041988"/>
    <n v="5"/>
    <n v="1"/>
    <n v="1"/>
    <x v="7"/>
    <x v="3"/>
    <s v="20041988"/>
    <n v="34.846575342465755"/>
    <n v="175"/>
    <n v="35"/>
  </r>
  <r>
    <n v="16002591"/>
    <n v="2011987"/>
    <n v="6"/>
    <n v="2"/>
    <n v="1"/>
    <x v="5"/>
    <x v="2"/>
    <s v="02011987"/>
    <n v="36.145205479452052"/>
    <n v="175"/>
    <n v="29.166666666666668"/>
  </r>
  <r>
    <n v="4574254"/>
    <n v="19111987"/>
    <n v="4"/>
    <n v="1"/>
    <n v="1"/>
    <x v="1"/>
    <x v="2"/>
    <s v="19111987"/>
    <n v="35.265753424657532"/>
    <n v="175"/>
    <n v="43.75"/>
  </r>
  <r>
    <n v="13278983"/>
    <n v="11051989"/>
    <n v="3"/>
    <n v="2"/>
    <n v="1"/>
    <x v="2"/>
    <x v="3"/>
    <s v="11051989"/>
    <n v="33.789041095890411"/>
    <n v="175"/>
    <n v="58.333333333333336"/>
  </r>
  <r>
    <n v="5125104"/>
    <n v="23031989"/>
    <n v="8"/>
    <n v="1"/>
    <n v="1"/>
    <x v="0"/>
    <x v="1"/>
    <s v="23031989"/>
    <n v="33.923287671232877"/>
    <n v="175"/>
    <n v="21.875"/>
  </r>
  <r>
    <n v="21578841"/>
    <n v="28071987"/>
    <n v="4"/>
    <n v="2"/>
    <n v="3"/>
    <x v="8"/>
    <x v="7"/>
    <s v="28071987"/>
    <n v="35.578082191780823"/>
    <n v="1397.5"/>
    <n v="349.375"/>
  </r>
  <r>
    <n v="18272768"/>
    <n v="2041989"/>
    <n v="4"/>
    <n v="2"/>
    <n v="2"/>
    <x v="8"/>
    <x v="7"/>
    <s v="02041989"/>
    <n v="33.895890410958906"/>
    <n v="697.5"/>
    <n v="174.375"/>
  </r>
  <r>
    <n v="20812787"/>
    <n v="3121988"/>
    <n v="2"/>
    <n v="1"/>
    <n v="1"/>
    <x v="4"/>
    <x v="3"/>
    <s v="03121988"/>
    <n v="34.224657534246575"/>
    <n v="175"/>
    <n v="87.5"/>
  </r>
  <r>
    <n v="23441018"/>
    <n v="1091988"/>
    <n v="4"/>
    <n v="1"/>
    <n v="1"/>
    <x v="0"/>
    <x v="3"/>
    <s v="01091988"/>
    <n v="34.479452054794521"/>
    <n v="175"/>
    <n v="43.75"/>
  </r>
  <r>
    <n v="21770603"/>
    <n v="4071988"/>
    <n v="4"/>
    <n v="2"/>
    <n v="2"/>
    <x v="2"/>
    <x v="7"/>
    <s v="04071988"/>
    <n v="34.641095890410959"/>
    <n v="697.5"/>
    <n v="174.375"/>
  </r>
  <r>
    <n v="9575588"/>
    <n v="14101987"/>
    <n v="4"/>
    <n v="2"/>
    <n v="2"/>
    <x v="8"/>
    <x v="10"/>
    <s v="14101987"/>
    <n v="35.364383561643834"/>
    <n v="697.5"/>
    <n v="174.375"/>
  </r>
  <r>
    <n v="10369140"/>
    <n v="24101988"/>
    <n v="7"/>
    <n v="2"/>
    <n v="1"/>
    <x v="5"/>
    <x v="3"/>
    <s v="24101988"/>
    <n v="34.334246575342469"/>
    <n v="175"/>
    <n v="25"/>
  </r>
  <r>
    <n v="6882298"/>
    <n v="14101988"/>
    <n v="0"/>
    <n v="0"/>
    <n v="1"/>
    <x v="4"/>
    <x v="5"/>
    <s v="14101988"/>
    <n v="34.361643835616441"/>
    <n v="175"/>
    <n v="0"/>
  </r>
  <r>
    <n v="2719087"/>
    <n v="13041989"/>
    <n v="3"/>
    <n v="1"/>
    <n v="1"/>
    <x v="0"/>
    <x v="3"/>
    <s v="13041989"/>
    <n v="33.865753424657534"/>
    <n v="175"/>
    <n v="58.333333333333336"/>
  </r>
  <r>
    <n v="14379620"/>
    <n v="8091988"/>
    <n v="2"/>
    <n v="0"/>
    <n v="1"/>
    <x v="1"/>
    <x v="2"/>
    <s v="08091988"/>
    <n v="34.460273972602742"/>
    <n v="175"/>
    <n v="87.5"/>
  </r>
  <r>
    <n v="3384678"/>
    <n v="26081988"/>
    <n v="3"/>
    <n v="1"/>
    <n v="1"/>
    <x v="1"/>
    <x v="3"/>
    <s v="26081988"/>
    <n v="34.495890410958907"/>
    <n v="175"/>
    <n v="58.333333333333336"/>
  </r>
  <r>
    <n v="3384677"/>
    <n v="23041989"/>
    <n v="0"/>
    <n v="0"/>
    <n v="1"/>
    <x v="4"/>
    <x v="5"/>
    <s v="23041989"/>
    <n v="33.838356164383562"/>
    <n v="175"/>
    <n v="0"/>
  </r>
  <r>
    <n v="4727473"/>
    <n v="24071988"/>
    <n v="4"/>
    <n v="1"/>
    <n v="1"/>
    <x v="0"/>
    <x v="0"/>
    <s v="24071988"/>
    <n v="34.586301369863016"/>
    <n v="175"/>
    <n v="43.75"/>
  </r>
  <r>
    <n v="4257916"/>
    <n v="10031989"/>
    <n v="4"/>
    <n v="1"/>
    <n v="1"/>
    <x v="0"/>
    <x v="0"/>
    <s v="10031989"/>
    <n v="33.958904109589042"/>
    <n v="175"/>
    <n v="43.75"/>
  </r>
  <r>
    <n v="22624471"/>
    <n v="30101987"/>
    <n v="4"/>
    <n v="2"/>
    <n v="3"/>
    <x v="5"/>
    <x v="1"/>
    <s v="30101987"/>
    <n v="35.320547945205476"/>
    <n v="1397.5"/>
    <n v="349.375"/>
  </r>
  <r>
    <n v="9923111"/>
    <n v="3071983"/>
    <n v="0"/>
    <n v="0"/>
    <n v="1"/>
    <x v="4"/>
    <x v="5"/>
    <s v="03071983"/>
    <n v="39.649315068493152"/>
    <n v="175"/>
    <n v="0"/>
  </r>
  <r>
    <n v="2769077"/>
    <n v="16021988"/>
    <n v="5"/>
    <n v="1"/>
    <n v="1"/>
    <x v="7"/>
    <x v="1"/>
    <s v="16021988"/>
    <n v="35.021917808219179"/>
    <n v="175"/>
    <n v="35"/>
  </r>
  <r>
    <n v="21044362"/>
    <n v="29081988"/>
    <n v="5"/>
    <n v="1"/>
    <n v="1"/>
    <x v="1"/>
    <x v="2"/>
    <s v="29081988"/>
    <n v="34.487671232876714"/>
    <n v="175"/>
    <n v="35"/>
  </r>
  <r>
    <n v="23912769"/>
    <n v="5071988"/>
    <n v="5"/>
    <n v="1"/>
    <n v="1"/>
    <x v="0"/>
    <x v="1"/>
    <s v="05071988"/>
    <n v="34.638356164383559"/>
    <n v="175"/>
    <n v="35"/>
  </r>
  <r>
    <n v="1150694"/>
    <n v="22021987"/>
    <n v="0"/>
    <n v="0"/>
    <n v="0"/>
    <x v="4"/>
    <x v="5"/>
    <s v="22021987"/>
    <n v="36.005479452054793"/>
    <e v="#N/A"/>
    <n v="0"/>
  </r>
  <r>
    <n v="14833835"/>
    <n v="25111988"/>
    <n v="5"/>
    <n v="1"/>
    <n v="1"/>
    <x v="7"/>
    <x v="3"/>
    <s v="25111988"/>
    <n v="34.246575342465754"/>
    <n v="175"/>
    <n v="35"/>
  </r>
  <r>
    <n v="9060967"/>
    <n v="19031988"/>
    <n v="5"/>
    <n v="2"/>
    <n v="1"/>
    <x v="5"/>
    <x v="0"/>
    <s v="19031988"/>
    <n v="34.934246575342463"/>
    <n v="175"/>
    <n v="35"/>
  </r>
  <r>
    <n v="2432425"/>
    <n v="21051989"/>
    <n v="4"/>
    <n v="1"/>
    <n v="1"/>
    <x v="4"/>
    <x v="7"/>
    <s v="21051989"/>
    <n v="33.761643835616439"/>
    <n v="175"/>
    <n v="43.75"/>
  </r>
  <r>
    <n v="2322837"/>
    <n v="23051989"/>
    <n v="5"/>
    <n v="1"/>
    <n v="1"/>
    <x v="5"/>
    <x v="1"/>
    <s v="23051989"/>
    <n v="33.756164383561647"/>
    <n v="175"/>
    <n v="35"/>
  </r>
  <r>
    <n v="12413594"/>
    <n v="24031989"/>
    <n v="4"/>
    <n v="2"/>
    <n v="1"/>
    <x v="0"/>
    <x v="3"/>
    <s v="24031989"/>
    <n v="33.920547945205477"/>
    <n v="175"/>
    <n v="43.75"/>
  </r>
  <r>
    <n v="9167892"/>
    <n v="25041989"/>
    <n v="5"/>
    <n v="1"/>
    <n v="2"/>
    <x v="2"/>
    <x v="3"/>
    <s v="25041989"/>
    <n v="33.832876712328769"/>
    <n v="697.5"/>
    <n v="139.5"/>
  </r>
  <r>
    <n v="8317492"/>
    <n v="27021989"/>
    <n v="5"/>
    <n v="1"/>
    <n v="2"/>
    <x v="9"/>
    <x v="7"/>
    <s v="27021989"/>
    <n v="33.989041095890414"/>
    <n v="697.5"/>
    <n v="139.5"/>
  </r>
  <r>
    <n v="21571091"/>
    <n v="14101985"/>
    <n v="5"/>
    <n v="1"/>
    <n v="1"/>
    <x v="7"/>
    <x v="3"/>
    <s v="14101985"/>
    <n v="37.364383561643834"/>
    <n v="175"/>
    <n v="35"/>
  </r>
  <r>
    <n v="17096114"/>
    <n v="30121987"/>
    <n v="4"/>
    <n v="1"/>
    <n v="1"/>
    <x v="4"/>
    <x v="5"/>
    <s v="30121987"/>
    <n v="35.153424657534245"/>
    <n v="175"/>
    <n v="43.75"/>
  </r>
  <r>
    <n v="354176"/>
    <n v="5061989"/>
    <n v="7"/>
    <n v="1"/>
    <n v="1"/>
    <x v="7"/>
    <x v="3"/>
    <s v="05061989"/>
    <n v="33.720547945205482"/>
    <n v="175"/>
    <n v="25"/>
  </r>
  <r>
    <n v="8669103"/>
    <n v="10081988"/>
    <n v="3"/>
    <n v="1"/>
    <n v="1"/>
    <x v="0"/>
    <x v="3"/>
    <s v="10081988"/>
    <n v="34.539726027397258"/>
    <n v="175"/>
    <n v="58.333333333333336"/>
  </r>
  <r>
    <n v="3069430"/>
    <n v="6121988"/>
    <n v="5"/>
    <n v="2"/>
    <n v="1"/>
    <x v="5"/>
    <x v="0"/>
    <s v="06121988"/>
    <n v="34.216438356164382"/>
    <n v="175"/>
    <n v="35"/>
  </r>
  <r>
    <n v="13924049"/>
    <n v="2051989"/>
    <n v="4"/>
    <n v="0"/>
    <n v="1"/>
    <x v="4"/>
    <x v="5"/>
    <s v="02051989"/>
    <n v="33.813698630136983"/>
    <n v="175"/>
    <n v="43.75"/>
  </r>
  <r>
    <n v="20723789"/>
    <n v="3091987"/>
    <n v="6"/>
    <n v="1"/>
    <n v="1"/>
    <x v="0"/>
    <x v="0"/>
    <s v="03091987"/>
    <n v="35.476712328767121"/>
    <n v="175"/>
    <n v="29.166666666666668"/>
  </r>
  <r>
    <n v="2237539"/>
    <n v="8091986"/>
    <n v="5"/>
    <n v="1"/>
    <n v="1"/>
    <x v="4"/>
    <x v="3"/>
    <s v="08091986"/>
    <n v="36.463013698630135"/>
    <n v="175"/>
    <n v="35"/>
  </r>
  <r>
    <n v="19111683"/>
    <n v="5101985"/>
    <n v="4"/>
    <n v="1"/>
    <n v="1"/>
    <x v="5"/>
    <x v="1"/>
    <s v="05101985"/>
    <n v="37.389041095890413"/>
    <n v="175"/>
    <n v="43.75"/>
  </r>
  <r>
    <n v="16706742"/>
    <n v="14101987"/>
    <n v="7"/>
    <n v="2"/>
    <n v="2"/>
    <x v="7"/>
    <x v="1"/>
    <s v="14101987"/>
    <n v="35.364383561643834"/>
    <n v="697.5"/>
    <n v="99.642857142857139"/>
  </r>
  <r>
    <n v="24444619"/>
    <n v="1041988"/>
    <n v="3"/>
    <n v="1"/>
    <n v="2"/>
    <x v="4"/>
    <x v="9"/>
    <s v="01041988"/>
    <n v="34.898630136986299"/>
    <n v="697.5"/>
    <n v="232.5"/>
  </r>
  <r>
    <n v="9226903"/>
    <n v="15061988"/>
    <n v="3"/>
    <n v="1"/>
    <n v="2"/>
    <x v="7"/>
    <x v="1"/>
    <s v="15061988"/>
    <n v="34.69315068493151"/>
    <n v="697.5"/>
    <n v="232.5"/>
  </r>
  <r>
    <n v="7139023"/>
    <n v="3081988"/>
    <n v="4"/>
    <n v="1"/>
    <n v="2"/>
    <x v="9"/>
    <x v="1"/>
    <s v="03081988"/>
    <n v="34.558904109589044"/>
    <n v="697.5"/>
    <n v="174.375"/>
  </r>
  <r>
    <n v="9758496"/>
    <n v="15101987"/>
    <n v="5"/>
    <n v="0"/>
    <n v="1"/>
    <x v="1"/>
    <x v="3"/>
    <s v="15101987"/>
    <n v="35.361643835616441"/>
    <n v="175"/>
    <n v="35"/>
  </r>
  <r>
    <n v="22063463"/>
    <n v="25091988"/>
    <n v="4"/>
    <n v="1"/>
    <n v="1"/>
    <x v="2"/>
    <x v="3"/>
    <s v="25091988"/>
    <n v="34.413698630136984"/>
    <n v="175"/>
    <n v="43.75"/>
  </r>
  <r>
    <n v="15208158"/>
    <n v="22071988"/>
    <n v="4"/>
    <n v="1"/>
    <n v="1"/>
    <x v="0"/>
    <x v="0"/>
    <s v="22071988"/>
    <n v="34.591780821917808"/>
    <n v="175"/>
    <n v="43.75"/>
  </r>
  <r>
    <n v="9630386"/>
    <n v="26051989"/>
    <n v="5"/>
    <n v="0"/>
    <n v="2"/>
    <x v="7"/>
    <x v="3"/>
    <s v="26051989"/>
    <n v="33.747945205479454"/>
    <n v="697.5"/>
    <n v="139.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88">
  <r>
    <x v="0"/>
    <n v="1"/>
    <x v="0"/>
    <n v="683"/>
    <x v="0"/>
    <x v="0"/>
    <x v="0"/>
    <x v="0"/>
    <x v="0"/>
    <n v="449.5"/>
    <n v="3"/>
    <x v="0"/>
    <x v="0"/>
  </r>
  <r>
    <x v="1"/>
    <n v="1"/>
    <x v="1"/>
    <n v="661"/>
    <x v="1"/>
    <x v="1"/>
    <x v="1"/>
    <x v="1"/>
    <x v="1"/>
    <n v="723"/>
    <n v="2"/>
    <x v="1"/>
    <x v="1"/>
  </r>
  <r>
    <x v="2"/>
    <n v="1"/>
    <x v="2"/>
    <n v="599"/>
    <x v="2"/>
    <x v="2"/>
    <x v="2"/>
    <x v="1"/>
    <x v="2"/>
    <n v="554"/>
    <n v="2"/>
    <x v="0"/>
    <x v="0"/>
  </r>
  <r>
    <x v="3"/>
    <n v="1"/>
    <x v="0"/>
    <n v="339"/>
    <x v="3"/>
    <x v="3"/>
    <x v="3"/>
    <x v="2"/>
    <x v="1"/>
    <n v="468"/>
    <n v="2"/>
    <x v="2"/>
    <x v="1"/>
  </r>
  <r>
    <x v="4"/>
    <n v="2"/>
    <x v="2"/>
    <n v="702"/>
    <x v="4"/>
    <x v="4"/>
    <x v="3"/>
    <x v="1"/>
    <x v="3"/>
    <n v="0"/>
    <n v="9"/>
    <x v="3"/>
    <x v="0"/>
  </r>
  <r>
    <x v="5"/>
    <n v="1"/>
    <x v="0"/>
    <n v="521"/>
    <x v="5"/>
    <x v="5"/>
    <x v="4"/>
    <x v="2"/>
    <x v="0"/>
    <n v="458"/>
    <n v="3"/>
    <x v="0"/>
    <x v="0"/>
  </r>
  <r>
    <x v="6"/>
    <n v="1"/>
    <x v="1"/>
    <n v="579"/>
    <x v="6"/>
    <x v="6"/>
    <x v="3"/>
    <x v="3"/>
    <x v="2"/>
    <n v="599"/>
    <n v="1"/>
    <x v="4"/>
    <x v="0"/>
  </r>
  <r>
    <x v="7"/>
    <n v="1"/>
    <x v="0"/>
    <n v="0"/>
    <x v="4"/>
    <x v="4"/>
    <x v="3"/>
    <x v="1"/>
    <x v="0"/>
    <n v="0"/>
    <n v="0"/>
    <x v="5"/>
    <x v="0"/>
  </r>
  <r>
    <x v="8"/>
    <n v="1"/>
    <x v="0"/>
    <n v="499"/>
    <x v="7"/>
    <x v="7"/>
    <x v="5"/>
    <x v="1"/>
    <x v="4"/>
    <n v="524"/>
    <n v="4"/>
    <x v="2"/>
    <x v="0"/>
  </r>
  <r>
    <x v="9"/>
    <n v="2"/>
    <x v="0"/>
    <n v="662"/>
    <x v="8"/>
    <x v="8"/>
    <x v="6"/>
    <x v="4"/>
    <x v="4"/>
    <n v="319.5"/>
    <n v="4"/>
    <x v="0"/>
    <x v="0"/>
  </r>
  <r>
    <x v="10"/>
    <n v="2"/>
    <x v="1"/>
    <n v="642"/>
    <x v="9"/>
    <x v="9"/>
    <x v="7"/>
    <x v="5"/>
    <x v="3"/>
    <n v="352.5"/>
    <n v="2"/>
    <x v="2"/>
    <x v="0"/>
  </r>
  <r>
    <x v="11"/>
    <n v="1"/>
    <x v="0"/>
    <n v="602"/>
    <x v="8"/>
    <x v="8"/>
    <x v="8"/>
    <x v="1"/>
    <x v="4"/>
    <n v="319.5"/>
    <n v="0"/>
    <x v="5"/>
    <x v="0"/>
  </r>
  <r>
    <x v="12"/>
    <n v="1"/>
    <x v="0"/>
    <n v="435"/>
    <x v="10"/>
    <x v="10"/>
    <x v="3"/>
    <x v="6"/>
    <x v="5"/>
    <n v="554"/>
    <n v="4"/>
    <x v="1"/>
    <x v="1"/>
  </r>
  <r>
    <x v="13"/>
    <n v="1"/>
    <x v="0"/>
    <n v="380"/>
    <x v="11"/>
    <x v="11"/>
    <x v="3"/>
    <x v="6"/>
    <x v="6"/>
    <n v="467"/>
    <n v="10"/>
    <x v="6"/>
    <x v="0"/>
  </r>
  <r>
    <x v="14"/>
    <n v="1"/>
    <x v="0"/>
    <n v="683"/>
    <x v="12"/>
    <x v="12"/>
    <x v="3"/>
    <x v="7"/>
    <x v="0"/>
    <n v="371.5"/>
    <n v="0"/>
    <x v="5"/>
    <x v="0"/>
  </r>
  <r>
    <x v="15"/>
    <n v="2"/>
    <x v="0"/>
    <n v="561"/>
    <x v="5"/>
    <x v="3"/>
    <x v="9"/>
    <x v="1"/>
    <x v="4"/>
    <n v="480"/>
    <n v="10"/>
    <x v="1"/>
    <x v="0"/>
  </r>
  <r>
    <x v="16"/>
    <n v="2"/>
    <x v="0"/>
    <n v="437"/>
    <x v="13"/>
    <x v="13"/>
    <x v="10"/>
    <x v="8"/>
    <x v="4"/>
    <n v="574"/>
    <n v="0"/>
    <x v="2"/>
    <x v="0"/>
  </r>
  <r>
    <x v="17"/>
    <n v="1"/>
    <x v="0"/>
    <n v="541"/>
    <x v="14"/>
    <x v="8"/>
    <x v="11"/>
    <x v="9"/>
    <x v="0"/>
    <n v="435.5"/>
    <n v="4"/>
    <x v="0"/>
    <x v="0"/>
  </r>
  <r>
    <x v="18"/>
    <n v="1"/>
    <x v="2"/>
    <n v="723"/>
    <x v="15"/>
    <x v="14"/>
    <x v="12"/>
    <x v="1"/>
    <x v="2"/>
    <n v="690.5"/>
    <n v="2"/>
    <x v="2"/>
    <x v="1"/>
  </r>
  <r>
    <x v="19"/>
    <n v="1"/>
    <x v="2"/>
    <n v="682"/>
    <x v="16"/>
    <x v="15"/>
    <x v="13"/>
    <x v="10"/>
    <x v="6"/>
    <n v="728"/>
    <n v="5"/>
    <x v="1"/>
    <x v="0"/>
  </r>
  <r>
    <x v="20"/>
    <n v="1"/>
    <x v="0"/>
    <n v="417"/>
    <x v="6"/>
    <x v="16"/>
    <x v="14"/>
    <x v="1"/>
    <x v="5"/>
    <n v="576.5"/>
    <n v="2"/>
    <x v="2"/>
    <x v="0"/>
  </r>
  <r>
    <x v="21"/>
    <n v="2"/>
    <x v="0"/>
    <n v="541"/>
    <x v="17"/>
    <x v="17"/>
    <x v="15"/>
    <x v="1"/>
    <x v="4"/>
    <n v="344.5"/>
    <n v="2"/>
    <x v="2"/>
    <x v="0"/>
  </r>
  <r>
    <x v="22"/>
    <n v="2"/>
    <x v="0"/>
    <n v="373"/>
    <x v="18"/>
    <x v="18"/>
    <x v="16"/>
    <x v="1"/>
    <x v="5"/>
    <n v="486.5"/>
    <n v="3"/>
    <x v="0"/>
    <x v="2"/>
  </r>
  <r>
    <x v="23"/>
    <n v="1"/>
    <x v="0"/>
    <n v="335"/>
    <x v="19"/>
    <x v="11"/>
    <x v="17"/>
    <x v="1"/>
    <x v="6"/>
    <n v="507"/>
    <n v="2"/>
    <x v="7"/>
    <x v="0"/>
  </r>
  <r>
    <x v="24"/>
    <n v="2"/>
    <x v="0"/>
    <n v="440"/>
    <x v="14"/>
    <x v="18"/>
    <x v="18"/>
    <x v="1"/>
    <x v="6"/>
    <n v="464"/>
    <n v="2"/>
    <x v="7"/>
    <x v="1"/>
  </r>
  <r>
    <x v="25"/>
    <n v="1"/>
    <x v="2"/>
    <n v="582"/>
    <x v="5"/>
    <x v="19"/>
    <x v="3"/>
    <x v="11"/>
    <x v="7"/>
    <n v="491"/>
    <n v="2"/>
    <x v="0"/>
    <x v="0"/>
  </r>
  <r>
    <x v="26"/>
    <n v="2"/>
    <x v="0"/>
    <n v="601"/>
    <x v="4"/>
    <x v="4"/>
    <x v="3"/>
    <x v="1"/>
    <x v="1"/>
    <n v="0"/>
    <n v="2"/>
    <x v="2"/>
    <x v="1"/>
  </r>
  <r>
    <x v="27"/>
    <n v="1"/>
    <x v="0"/>
    <n v="519"/>
    <x v="18"/>
    <x v="20"/>
    <x v="3"/>
    <x v="12"/>
    <x v="1"/>
    <n v="567.5"/>
    <n v="0"/>
    <x v="0"/>
    <x v="0"/>
  </r>
  <r>
    <x v="28"/>
    <n v="1"/>
    <x v="1"/>
    <n v="641"/>
    <x v="20"/>
    <x v="21"/>
    <x v="3"/>
    <x v="13"/>
    <x v="4"/>
    <n v="650"/>
    <n v="5"/>
    <x v="7"/>
    <x v="1"/>
  </r>
  <r>
    <x v="29"/>
    <n v="1"/>
    <x v="0"/>
    <n v="417"/>
    <x v="21"/>
    <x v="22"/>
    <x v="3"/>
    <x v="14"/>
    <x v="2"/>
    <n v="524"/>
    <n v="4"/>
    <x v="2"/>
    <x v="0"/>
  </r>
  <r>
    <x v="30"/>
    <n v="1"/>
    <x v="1"/>
    <n v="496"/>
    <x v="22"/>
    <x v="23"/>
    <x v="19"/>
    <x v="1"/>
    <x v="4"/>
    <n v="607.5"/>
    <n v="5"/>
    <x v="7"/>
    <x v="1"/>
  </r>
  <r>
    <x v="31"/>
    <n v="1"/>
    <x v="0"/>
    <n v="315"/>
    <x v="4"/>
    <x v="4"/>
    <x v="3"/>
    <x v="1"/>
    <x v="1"/>
    <n v="0"/>
    <n v="4"/>
    <x v="1"/>
    <x v="0"/>
  </r>
  <r>
    <x v="32"/>
    <n v="1"/>
    <x v="0"/>
    <n v="560"/>
    <x v="23"/>
    <x v="24"/>
    <x v="20"/>
    <x v="1"/>
    <x v="4"/>
    <n v="536"/>
    <n v="2"/>
    <x v="2"/>
    <x v="0"/>
  </r>
  <r>
    <x v="33"/>
    <n v="1"/>
    <x v="0"/>
    <n v="397"/>
    <x v="24"/>
    <x v="25"/>
    <x v="3"/>
    <x v="15"/>
    <x v="1"/>
    <n v="514"/>
    <n v="4"/>
    <x v="0"/>
    <x v="0"/>
  </r>
  <r>
    <x v="34"/>
    <n v="1"/>
    <x v="0"/>
    <n v="0"/>
    <x v="4"/>
    <x v="4"/>
    <x v="3"/>
    <x v="1"/>
    <x v="0"/>
    <n v="0"/>
    <n v="0"/>
    <x v="5"/>
    <x v="0"/>
  </r>
  <r>
    <x v="35"/>
    <n v="1"/>
    <x v="0"/>
    <n v="476"/>
    <x v="25"/>
    <x v="26"/>
    <x v="1"/>
    <x v="1"/>
    <x v="4"/>
    <n v="527"/>
    <n v="2"/>
    <x v="2"/>
    <x v="0"/>
  </r>
  <r>
    <x v="36"/>
    <n v="2"/>
    <x v="0"/>
    <n v="580"/>
    <x v="2"/>
    <x v="7"/>
    <x v="3"/>
    <x v="3"/>
    <x v="5"/>
    <n v="565"/>
    <n v="3"/>
    <x v="0"/>
    <x v="0"/>
  </r>
  <r>
    <x v="37"/>
    <n v="1"/>
    <x v="0"/>
    <n v="517"/>
    <x v="26"/>
    <x v="27"/>
    <x v="17"/>
    <x v="1"/>
    <x v="6"/>
    <n v="531"/>
    <n v="4"/>
    <x v="2"/>
    <x v="0"/>
  </r>
  <r>
    <x v="38"/>
    <n v="2"/>
    <x v="0"/>
    <n v="641"/>
    <x v="27"/>
    <x v="28"/>
    <x v="21"/>
    <x v="1"/>
    <x v="4"/>
    <n v="565.5"/>
    <n v="5"/>
    <x v="3"/>
    <x v="0"/>
  </r>
  <r>
    <x v="39"/>
    <n v="1"/>
    <x v="0"/>
    <n v="455"/>
    <x v="28"/>
    <x v="29"/>
    <x v="22"/>
    <x v="1"/>
    <x v="3"/>
    <n v="295"/>
    <n v="4"/>
    <x v="3"/>
    <x v="0"/>
  </r>
  <r>
    <x v="40"/>
    <n v="1"/>
    <x v="0"/>
    <n v="519"/>
    <x v="4"/>
    <x v="4"/>
    <x v="3"/>
    <x v="1"/>
    <x v="0"/>
    <n v="0"/>
    <n v="2"/>
    <x v="0"/>
    <x v="0"/>
  </r>
  <r>
    <x v="41"/>
    <n v="1"/>
    <x v="1"/>
    <n v="723"/>
    <x v="29"/>
    <x v="30"/>
    <x v="14"/>
    <x v="12"/>
    <x v="1"/>
    <n v="734"/>
    <n v="5"/>
    <x v="7"/>
    <x v="1"/>
  </r>
  <r>
    <x v="42"/>
    <n v="2"/>
    <x v="0"/>
    <n v="538"/>
    <x v="18"/>
    <x v="31"/>
    <x v="11"/>
    <x v="1"/>
    <x v="1"/>
    <n v="467"/>
    <n v="2"/>
    <x v="2"/>
    <x v="0"/>
  </r>
  <r>
    <x v="43"/>
    <n v="1"/>
    <x v="1"/>
    <n v="0"/>
    <x v="4"/>
    <x v="4"/>
    <x v="3"/>
    <x v="1"/>
    <x v="0"/>
    <n v="0"/>
    <n v="2"/>
    <x v="2"/>
    <x v="0"/>
  </r>
  <r>
    <x v="44"/>
    <n v="2"/>
    <x v="0"/>
    <n v="622"/>
    <x v="30"/>
    <x v="19"/>
    <x v="3"/>
    <x v="16"/>
    <x v="1"/>
    <n v="520.5"/>
    <n v="0"/>
    <x v="5"/>
    <x v="0"/>
  </r>
  <r>
    <x v="45"/>
    <n v="1"/>
    <x v="0"/>
    <n v="478"/>
    <x v="4"/>
    <x v="4"/>
    <x v="3"/>
    <x v="1"/>
    <x v="5"/>
    <n v="0"/>
    <n v="3"/>
    <x v="1"/>
    <x v="0"/>
  </r>
  <r>
    <x v="46"/>
    <n v="1"/>
    <x v="0"/>
    <n v="642"/>
    <x v="31"/>
    <x v="31"/>
    <x v="3"/>
    <x v="0"/>
    <x v="0"/>
    <n v="409.5"/>
    <n v="0"/>
    <x v="5"/>
    <x v="0"/>
  </r>
  <r>
    <x v="47"/>
    <n v="1"/>
    <x v="0"/>
    <n v="601"/>
    <x v="4"/>
    <x v="4"/>
    <x v="3"/>
    <x v="1"/>
    <x v="2"/>
    <n v="0"/>
    <n v="4"/>
    <x v="2"/>
    <x v="0"/>
  </r>
  <r>
    <x v="48"/>
    <n v="1"/>
    <x v="0"/>
    <n v="601"/>
    <x v="4"/>
    <x v="4"/>
    <x v="3"/>
    <x v="1"/>
    <x v="0"/>
    <n v="0"/>
    <n v="3"/>
    <x v="0"/>
    <x v="0"/>
  </r>
  <r>
    <x v="49"/>
    <n v="2"/>
    <x v="2"/>
    <n v="538"/>
    <x v="24"/>
    <x v="16"/>
    <x v="3"/>
    <x v="17"/>
    <x v="3"/>
    <n v="528"/>
    <n v="10"/>
    <x v="6"/>
    <x v="3"/>
  </r>
  <r>
    <x v="50"/>
    <n v="2"/>
    <x v="0"/>
    <n v="417"/>
    <x v="3"/>
    <x v="11"/>
    <x v="23"/>
    <x v="1"/>
    <x v="7"/>
    <n v="463.5"/>
    <n v="2"/>
    <x v="3"/>
    <x v="0"/>
  </r>
  <r>
    <x v="51"/>
    <n v="2"/>
    <x v="0"/>
    <n v="0"/>
    <x v="4"/>
    <x v="4"/>
    <x v="3"/>
    <x v="1"/>
    <x v="4"/>
    <n v="0"/>
    <n v="2"/>
    <x v="1"/>
    <x v="0"/>
  </r>
  <r>
    <x v="52"/>
    <n v="2"/>
    <x v="1"/>
    <n v="499"/>
    <x v="4"/>
    <x v="4"/>
    <x v="3"/>
    <x v="1"/>
    <x v="8"/>
    <n v="0"/>
    <n v="2"/>
    <x v="2"/>
    <x v="0"/>
  </r>
  <r>
    <x v="53"/>
    <n v="2"/>
    <x v="0"/>
    <n v="476"/>
    <x v="4"/>
    <x v="4"/>
    <x v="3"/>
    <x v="1"/>
    <x v="4"/>
    <n v="0"/>
    <n v="7"/>
    <x v="2"/>
    <x v="1"/>
  </r>
  <r>
    <x v="54"/>
    <n v="1"/>
    <x v="0"/>
    <n v="541"/>
    <x v="4"/>
    <x v="4"/>
    <x v="3"/>
    <x v="1"/>
    <x v="0"/>
    <n v="0"/>
    <n v="0"/>
    <x v="5"/>
    <x v="0"/>
  </r>
  <r>
    <x v="55"/>
    <n v="2"/>
    <x v="2"/>
    <n v="501"/>
    <x v="4"/>
    <x v="4"/>
    <x v="3"/>
    <x v="1"/>
    <x v="1"/>
    <n v="0"/>
    <n v="8"/>
    <x v="1"/>
    <x v="0"/>
  </r>
  <r>
    <x v="56"/>
    <n v="1"/>
    <x v="1"/>
    <n v="496"/>
    <x v="32"/>
    <x v="32"/>
    <x v="12"/>
    <x v="1"/>
    <x v="1"/>
    <n v="638"/>
    <n v="8"/>
    <x v="8"/>
    <x v="4"/>
  </r>
  <r>
    <x v="57"/>
    <n v="1"/>
    <x v="0"/>
    <n v="458"/>
    <x v="7"/>
    <x v="2"/>
    <x v="10"/>
    <x v="1"/>
    <x v="5"/>
    <n v="513"/>
    <n v="5"/>
    <x v="2"/>
    <x v="3"/>
  </r>
  <r>
    <x v="58"/>
    <n v="1"/>
    <x v="1"/>
    <n v="517"/>
    <x v="33"/>
    <x v="13"/>
    <x v="10"/>
    <x v="18"/>
    <x v="4"/>
    <n v="554.5"/>
    <n v="5"/>
    <x v="7"/>
    <x v="1"/>
  </r>
  <r>
    <x v="59"/>
    <n v="2"/>
    <x v="0"/>
    <n v="414"/>
    <x v="2"/>
    <x v="33"/>
    <x v="3"/>
    <x v="1"/>
    <x v="4"/>
    <n v="530.5"/>
    <n v="3"/>
    <x v="9"/>
    <x v="0"/>
  </r>
  <r>
    <x v="60"/>
    <n v="2"/>
    <x v="0"/>
    <n v="501"/>
    <x v="7"/>
    <x v="8"/>
    <x v="24"/>
    <x v="1"/>
    <x v="6"/>
    <n v="447"/>
    <n v="3"/>
    <x v="0"/>
    <x v="0"/>
  </r>
  <r>
    <x v="61"/>
    <n v="2"/>
    <x v="0"/>
    <n v="417"/>
    <x v="34"/>
    <x v="12"/>
    <x v="25"/>
    <x v="1"/>
    <x v="5"/>
    <n v="413.5"/>
    <n v="5"/>
    <x v="2"/>
    <x v="0"/>
  </r>
  <r>
    <x v="62"/>
    <n v="2"/>
    <x v="1"/>
    <n v="400"/>
    <x v="4"/>
    <x v="4"/>
    <x v="3"/>
    <x v="1"/>
    <x v="9"/>
    <n v="0"/>
    <n v="2"/>
    <x v="0"/>
    <x v="0"/>
  </r>
  <r>
    <x v="63"/>
    <n v="1"/>
    <x v="0"/>
    <n v="558"/>
    <x v="4"/>
    <x v="4"/>
    <x v="3"/>
    <x v="1"/>
    <x v="1"/>
    <n v="0"/>
    <n v="5"/>
    <x v="7"/>
    <x v="1"/>
  </r>
  <r>
    <x v="64"/>
    <n v="2"/>
    <x v="1"/>
    <n v="560"/>
    <x v="35"/>
    <x v="8"/>
    <x v="26"/>
    <x v="1"/>
    <x v="10"/>
    <n v="370"/>
    <n v="2"/>
    <x v="2"/>
    <x v="0"/>
  </r>
  <r>
    <x v="65"/>
    <n v="1"/>
    <x v="1"/>
    <n v="0"/>
    <x v="4"/>
    <x v="4"/>
    <x v="3"/>
    <x v="1"/>
    <x v="6"/>
    <n v="0"/>
    <n v="0"/>
    <x v="5"/>
    <x v="0"/>
  </r>
  <r>
    <x v="66"/>
    <n v="2"/>
    <x v="0"/>
    <n v="682"/>
    <x v="32"/>
    <x v="34"/>
    <x v="5"/>
    <x v="1"/>
    <x v="4"/>
    <n v="615"/>
    <n v="5"/>
    <x v="3"/>
    <x v="0"/>
  </r>
  <r>
    <x v="67"/>
    <n v="1"/>
    <x v="0"/>
    <n v="458"/>
    <x v="36"/>
    <x v="35"/>
    <x v="27"/>
    <x v="19"/>
    <x v="3"/>
    <n v="375"/>
    <n v="4"/>
    <x v="4"/>
    <x v="0"/>
  </r>
  <r>
    <x v="68"/>
    <n v="1"/>
    <x v="0"/>
    <n v="0"/>
    <x v="4"/>
    <x v="4"/>
    <x v="3"/>
    <x v="1"/>
    <x v="4"/>
    <n v="0"/>
    <n v="2"/>
    <x v="2"/>
    <x v="0"/>
  </r>
  <r>
    <x v="69"/>
    <n v="2"/>
    <x v="1"/>
    <n v="499"/>
    <x v="3"/>
    <x v="0"/>
    <x v="18"/>
    <x v="1"/>
    <x v="6"/>
    <n v="452.5"/>
    <n v="2"/>
    <x v="2"/>
    <x v="0"/>
  </r>
  <r>
    <x v="70"/>
    <n v="1"/>
    <x v="1"/>
    <n v="458"/>
    <x v="37"/>
    <x v="5"/>
    <x v="28"/>
    <x v="1"/>
    <x v="6"/>
    <n v="380.5"/>
    <n v="5"/>
    <x v="3"/>
    <x v="1"/>
  </r>
  <r>
    <x v="71"/>
    <n v="1"/>
    <x v="1"/>
    <n v="496"/>
    <x v="31"/>
    <x v="4"/>
    <x v="3"/>
    <x v="1"/>
    <x v="3"/>
    <n v="203"/>
    <n v="5"/>
    <x v="2"/>
    <x v="0"/>
  </r>
  <r>
    <x v="72"/>
    <n v="2"/>
    <x v="1"/>
    <n v="356"/>
    <x v="38"/>
    <x v="0"/>
    <x v="6"/>
    <x v="1"/>
    <x v="1"/>
    <n v="409.5"/>
    <n v="1"/>
    <x v="2"/>
    <x v="0"/>
  </r>
  <r>
    <x v="73"/>
    <n v="1"/>
    <x v="2"/>
    <n v="538"/>
    <x v="39"/>
    <x v="36"/>
    <x v="3"/>
    <x v="20"/>
    <x v="1"/>
    <n v="661.5"/>
    <n v="8"/>
    <x v="3"/>
    <x v="1"/>
  </r>
  <r>
    <x v="74"/>
    <n v="1"/>
    <x v="0"/>
    <n v="579"/>
    <x v="4"/>
    <x v="4"/>
    <x v="3"/>
    <x v="1"/>
    <x v="4"/>
    <n v="0"/>
    <n v="4"/>
    <x v="2"/>
    <x v="0"/>
  </r>
  <r>
    <x v="75"/>
    <n v="2"/>
    <x v="1"/>
    <n v="661"/>
    <x v="40"/>
    <x v="34"/>
    <x v="3"/>
    <x v="14"/>
    <x v="3"/>
    <n v="571.5"/>
    <n v="3"/>
    <x v="3"/>
    <x v="0"/>
  </r>
  <r>
    <x v="76"/>
    <n v="1"/>
    <x v="0"/>
    <n v="458"/>
    <x v="4"/>
    <x v="4"/>
    <x v="3"/>
    <x v="1"/>
    <x v="1"/>
    <n v="0"/>
    <n v="2"/>
    <x v="2"/>
    <x v="0"/>
  </r>
  <r>
    <x v="77"/>
    <n v="2"/>
    <x v="0"/>
    <n v="517"/>
    <x v="33"/>
    <x v="28"/>
    <x v="3"/>
    <x v="15"/>
    <x v="5"/>
    <n v="551"/>
    <n v="5"/>
    <x v="3"/>
    <x v="0"/>
  </r>
  <r>
    <x v="78"/>
    <n v="2"/>
    <x v="1"/>
    <n v="440"/>
    <x v="9"/>
    <x v="11"/>
    <x v="29"/>
    <x v="1"/>
    <x v="7"/>
    <n v="478.5"/>
    <n v="5"/>
    <x v="1"/>
    <x v="0"/>
  </r>
  <r>
    <x v="79"/>
    <n v="2"/>
    <x v="0"/>
    <n v="437"/>
    <x v="41"/>
    <x v="35"/>
    <x v="30"/>
    <x v="0"/>
    <x v="6"/>
    <n v="391.5"/>
    <n v="5"/>
    <x v="3"/>
    <x v="0"/>
  </r>
  <r>
    <x v="80"/>
    <n v="1"/>
    <x v="0"/>
    <n v="437"/>
    <x v="42"/>
    <x v="3"/>
    <x v="8"/>
    <x v="1"/>
    <x v="1"/>
    <n v="455"/>
    <n v="3"/>
    <x v="2"/>
    <x v="0"/>
  </r>
  <r>
    <x v="81"/>
    <n v="1"/>
    <x v="0"/>
    <n v="560"/>
    <x v="24"/>
    <x v="24"/>
    <x v="24"/>
    <x v="21"/>
    <x v="1"/>
    <n v="508.5"/>
    <n v="2"/>
    <x v="3"/>
    <x v="0"/>
  </r>
  <r>
    <x v="82"/>
    <n v="2"/>
    <x v="0"/>
    <n v="476"/>
    <x v="7"/>
    <x v="37"/>
    <x v="3"/>
    <x v="22"/>
    <x v="4"/>
    <n v="502.5"/>
    <n v="2"/>
    <x v="2"/>
    <x v="0"/>
  </r>
  <r>
    <x v="83"/>
    <n v="1"/>
    <x v="0"/>
    <n v="437"/>
    <x v="35"/>
    <x v="29"/>
    <x v="3"/>
    <x v="23"/>
    <x v="0"/>
    <n v="336.5"/>
    <n v="3"/>
    <x v="0"/>
    <x v="0"/>
  </r>
  <r>
    <x v="84"/>
    <n v="1"/>
    <x v="0"/>
    <n v="414"/>
    <x v="43"/>
    <x v="8"/>
    <x v="31"/>
    <x v="1"/>
    <x v="1"/>
    <n v="419.5"/>
    <n v="5"/>
    <x v="3"/>
    <x v="0"/>
  </r>
  <r>
    <x v="85"/>
    <n v="1"/>
    <x v="0"/>
    <n v="538"/>
    <x v="4"/>
    <x v="4"/>
    <x v="3"/>
    <x v="1"/>
    <x v="1"/>
    <n v="0"/>
    <n v="0"/>
    <x v="9"/>
    <x v="0"/>
  </r>
  <r>
    <x v="86"/>
    <n v="1"/>
    <x v="0"/>
    <n v="417"/>
    <x v="0"/>
    <x v="37"/>
    <x v="25"/>
    <x v="1"/>
    <x v="3"/>
    <n v="482"/>
    <n v="4"/>
    <x v="1"/>
    <x v="0"/>
  </r>
  <r>
    <x v="87"/>
    <n v="2"/>
    <x v="2"/>
    <n v="620"/>
    <x v="4"/>
    <x v="4"/>
    <x v="3"/>
    <x v="1"/>
    <x v="1"/>
    <n v="0"/>
    <n v="9"/>
    <x v="7"/>
    <x v="3"/>
  </r>
  <r>
    <x v="88"/>
    <n v="1"/>
    <x v="0"/>
    <n v="458"/>
    <x v="9"/>
    <x v="29"/>
    <x v="32"/>
    <x v="1"/>
    <x v="6"/>
    <n v="411"/>
    <n v="0"/>
    <x v="2"/>
    <x v="0"/>
  </r>
  <r>
    <x v="89"/>
    <n v="1"/>
    <x v="0"/>
    <n v="496"/>
    <x v="44"/>
    <x v="38"/>
    <x v="33"/>
    <x v="0"/>
    <x v="1"/>
    <n v="540.5"/>
    <n v="4"/>
    <x v="3"/>
    <x v="0"/>
  </r>
  <r>
    <x v="90"/>
    <n v="2"/>
    <x v="1"/>
    <n v="580"/>
    <x v="17"/>
    <x v="11"/>
    <x v="7"/>
    <x v="1"/>
    <x v="6"/>
    <n v="439"/>
    <n v="2"/>
    <x v="2"/>
    <x v="0"/>
  </r>
  <r>
    <x v="91"/>
    <n v="1"/>
    <x v="0"/>
    <n v="599"/>
    <x v="10"/>
    <x v="23"/>
    <x v="3"/>
    <x v="14"/>
    <x v="7"/>
    <n v="532.5"/>
    <n v="5"/>
    <x v="9"/>
    <x v="3"/>
  </r>
  <r>
    <x v="92"/>
    <n v="2"/>
    <x v="1"/>
    <n v="380"/>
    <x v="45"/>
    <x v="29"/>
    <x v="6"/>
    <x v="9"/>
    <x v="5"/>
    <n v="358"/>
    <n v="10"/>
    <x v="7"/>
    <x v="3"/>
  </r>
  <r>
    <x v="93"/>
    <n v="2"/>
    <x v="1"/>
    <n v="521"/>
    <x v="9"/>
    <x v="8"/>
    <x v="23"/>
    <x v="1"/>
    <x v="7"/>
    <n v="444.5"/>
    <n v="2"/>
    <x v="2"/>
    <x v="1"/>
  </r>
  <r>
    <x v="94"/>
    <n v="1"/>
    <x v="0"/>
    <n v="499"/>
    <x v="41"/>
    <x v="31"/>
    <x v="34"/>
    <x v="1"/>
    <x v="1"/>
    <n v="421.5"/>
    <n v="5"/>
    <x v="9"/>
    <x v="0"/>
  </r>
  <r>
    <x v="95"/>
    <n v="1"/>
    <x v="0"/>
    <n v="437"/>
    <x v="5"/>
    <x v="33"/>
    <x v="3"/>
    <x v="24"/>
    <x v="3"/>
    <n v="484"/>
    <n v="5"/>
    <x v="1"/>
    <x v="0"/>
  </r>
  <r>
    <x v="96"/>
    <n v="2"/>
    <x v="0"/>
    <n v="478"/>
    <x v="4"/>
    <x v="4"/>
    <x v="3"/>
    <x v="1"/>
    <x v="4"/>
    <n v="0"/>
    <n v="2"/>
    <x v="1"/>
    <x v="0"/>
  </r>
  <r>
    <x v="97"/>
    <n v="1"/>
    <x v="2"/>
    <n v="420"/>
    <x v="26"/>
    <x v="25"/>
    <x v="3"/>
    <x v="15"/>
    <x v="4"/>
    <n v="519"/>
    <n v="9"/>
    <x v="7"/>
    <x v="2"/>
  </r>
  <r>
    <x v="98"/>
    <n v="1"/>
    <x v="1"/>
    <n v="359"/>
    <x v="17"/>
    <x v="12"/>
    <x v="8"/>
    <x v="1"/>
    <x v="10"/>
    <n v="395.5"/>
    <n v="3"/>
    <x v="0"/>
    <x v="0"/>
  </r>
  <r>
    <x v="99"/>
    <n v="1"/>
    <x v="0"/>
    <n v="558"/>
    <x v="4"/>
    <x v="4"/>
    <x v="3"/>
    <x v="1"/>
    <x v="1"/>
    <n v="0"/>
    <n v="2"/>
    <x v="2"/>
    <x v="0"/>
  </r>
  <r>
    <x v="100"/>
    <n v="1"/>
    <x v="0"/>
    <n v="455"/>
    <x v="33"/>
    <x v="19"/>
    <x v="27"/>
    <x v="1"/>
    <x v="4"/>
    <n v="525.5"/>
    <n v="9"/>
    <x v="3"/>
    <x v="1"/>
  </r>
  <r>
    <x v="101"/>
    <n v="2"/>
    <x v="1"/>
    <n v="641"/>
    <x v="31"/>
    <x v="5"/>
    <x v="35"/>
    <x v="25"/>
    <x v="3"/>
    <n v="417"/>
    <n v="0"/>
    <x v="5"/>
    <x v="0"/>
  </r>
  <r>
    <x v="102"/>
    <n v="1"/>
    <x v="0"/>
    <n v="440"/>
    <x v="46"/>
    <x v="33"/>
    <x v="24"/>
    <x v="19"/>
    <x v="2"/>
    <n v="481.5"/>
    <n v="2"/>
    <x v="0"/>
    <x v="0"/>
  </r>
  <r>
    <x v="103"/>
    <n v="1"/>
    <x v="0"/>
    <n v="560"/>
    <x v="0"/>
    <x v="12"/>
    <x v="11"/>
    <x v="1"/>
    <x v="1"/>
    <n v="417"/>
    <n v="5"/>
    <x v="0"/>
    <x v="0"/>
  </r>
  <r>
    <x v="104"/>
    <n v="1"/>
    <x v="1"/>
    <n v="460"/>
    <x v="10"/>
    <x v="5"/>
    <x v="24"/>
    <x v="1"/>
    <x v="1"/>
    <n v="466.5"/>
    <n v="0"/>
    <x v="2"/>
    <x v="0"/>
  </r>
  <r>
    <x v="105"/>
    <n v="2"/>
    <x v="0"/>
    <n v="519"/>
    <x v="47"/>
    <x v="29"/>
    <x v="23"/>
    <x v="1"/>
    <x v="1"/>
    <n v="452"/>
    <n v="8"/>
    <x v="2"/>
    <x v="0"/>
  </r>
  <r>
    <x v="106"/>
    <n v="2"/>
    <x v="0"/>
    <n v="476"/>
    <x v="25"/>
    <x v="0"/>
    <x v="10"/>
    <x v="1"/>
    <x v="4"/>
    <n v="504"/>
    <n v="4"/>
    <x v="1"/>
    <x v="0"/>
  </r>
  <r>
    <x v="107"/>
    <n v="2"/>
    <x v="0"/>
    <n v="496"/>
    <x v="4"/>
    <x v="4"/>
    <x v="3"/>
    <x v="1"/>
    <x v="4"/>
    <n v="0"/>
    <n v="0"/>
    <x v="0"/>
    <x v="0"/>
  </r>
  <r>
    <x v="108"/>
    <n v="2"/>
    <x v="0"/>
    <n v="478"/>
    <x v="48"/>
    <x v="23"/>
    <x v="3"/>
    <x v="26"/>
    <x v="4"/>
    <n v="550.5"/>
    <n v="4"/>
    <x v="0"/>
    <x v="0"/>
  </r>
  <r>
    <x v="109"/>
    <n v="2"/>
    <x v="0"/>
    <n v="601"/>
    <x v="25"/>
    <x v="5"/>
    <x v="32"/>
    <x v="1"/>
    <x v="7"/>
    <n v="497.5"/>
    <n v="0"/>
    <x v="3"/>
    <x v="0"/>
  </r>
  <r>
    <x v="110"/>
    <n v="2"/>
    <x v="1"/>
    <n v="0"/>
    <x v="4"/>
    <x v="4"/>
    <x v="3"/>
    <x v="1"/>
    <x v="10"/>
    <n v="0"/>
    <n v="5"/>
    <x v="1"/>
    <x v="0"/>
  </r>
  <r>
    <x v="111"/>
    <n v="1"/>
    <x v="0"/>
    <n v="499"/>
    <x v="42"/>
    <x v="39"/>
    <x v="27"/>
    <x v="1"/>
    <x v="6"/>
    <n v="480.5"/>
    <n v="4"/>
    <x v="1"/>
    <x v="0"/>
  </r>
  <r>
    <x v="112"/>
    <n v="2"/>
    <x v="0"/>
    <n v="458"/>
    <x v="34"/>
    <x v="5"/>
    <x v="36"/>
    <x v="27"/>
    <x v="4"/>
    <n v="439.5"/>
    <n v="2"/>
    <x v="2"/>
    <x v="0"/>
  </r>
  <r>
    <x v="113"/>
    <n v="1"/>
    <x v="1"/>
    <n v="541"/>
    <x v="23"/>
    <x v="2"/>
    <x v="1"/>
    <x v="28"/>
    <x v="3"/>
    <n v="549"/>
    <n v="3"/>
    <x v="1"/>
    <x v="0"/>
  </r>
  <r>
    <x v="114"/>
    <n v="2"/>
    <x v="0"/>
    <n v="437"/>
    <x v="4"/>
    <x v="4"/>
    <x v="3"/>
    <x v="1"/>
    <x v="6"/>
    <n v="0"/>
    <n v="3"/>
    <x v="3"/>
    <x v="0"/>
  </r>
  <r>
    <x v="115"/>
    <n v="1"/>
    <x v="1"/>
    <n v="460"/>
    <x v="28"/>
    <x v="12"/>
    <x v="31"/>
    <x v="23"/>
    <x v="4"/>
    <n v="319"/>
    <n v="5"/>
    <x v="3"/>
    <x v="1"/>
  </r>
  <r>
    <x v="116"/>
    <n v="2"/>
    <x v="0"/>
    <n v="478"/>
    <x v="10"/>
    <x v="19"/>
    <x v="20"/>
    <x v="1"/>
    <x v="4"/>
    <n v="499.5"/>
    <n v="0"/>
    <x v="0"/>
    <x v="0"/>
  </r>
  <r>
    <x v="117"/>
    <n v="2"/>
    <x v="2"/>
    <n v="440"/>
    <x v="14"/>
    <x v="8"/>
    <x v="3"/>
    <x v="9"/>
    <x v="3"/>
    <n v="435.5"/>
    <n v="9"/>
    <x v="7"/>
    <x v="3"/>
  </r>
  <r>
    <x v="118"/>
    <n v="1"/>
    <x v="0"/>
    <n v="359"/>
    <x v="38"/>
    <x v="40"/>
    <x v="3"/>
    <x v="29"/>
    <x v="6"/>
    <n v="339"/>
    <n v="4"/>
    <x v="3"/>
    <x v="1"/>
  </r>
  <r>
    <x v="119"/>
    <n v="1"/>
    <x v="2"/>
    <n v="579"/>
    <x v="49"/>
    <x v="41"/>
    <x v="14"/>
    <x v="30"/>
    <x v="6"/>
    <n v="693.5"/>
    <n v="8"/>
    <x v="7"/>
    <x v="1"/>
  </r>
  <r>
    <x v="120"/>
    <n v="1"/>
    <x v="0"/>
    <n v="476"/>
    <x v="19"/>
    <x v="26"/>
    <x v="37"/>
    <x v="1"/>
    <x v="1"/>
    <n v="519"/>
    <n v="5"/>
    <x v="1"/>
    <x v="1"/>
  </r>
  <r>
    <x v="121"/>
    <n v="1"/>
    <x v="2"/>
    <n v="496"/>
    <x v="4"/>
    <x v="4"/>
    <x v="3"/>
    <x v="1"/>
    <x v="4"/>
    <n v="0"/>
    <n v="10"/>
    <x v="7"/>
    <x v="2"/>
  </r>
  <r>
    <x v="122"/>
    <n v="2"/>
    <x v="0"/>
    <n v="723"/>
    <x v="4"/>
    <x v="4"/>
    <x v="3"/>
    <x v="1"/>
    <x v="6"/>
    <n v="0"/>
    <n v="0"/>
    <x v="7"/>
    <x v="1"/>
  </r>
  <r>
    <x v="123"/>
    <n v="1"/>
    <x v="0"/>
    <n v="580"/>
    <x v="49"/>
    <x v="42"/>
    <x v="3"/>
    <x v="3"/>
    <x v="4"/>
    <n v="630"/>
    <n v="9"/>
    <x v="1"/>
    <x v="1"/>
  </r>
  <r>
    <x v="124"/>
    <n v="1"/>
    <x v="1"/>
    <n v="541"/>
    <x v="50"/>
    <x v="35"/>
    <x v="3"/>
    <x v="31"/>
    <x v="3"/>
    <n v="336.5"/>
    <n v="5"/>
    <x v="1"/>
    <x v="0"/>
  </r>
  <r>
    <x v="125"/>
    <n v="1"/>
    <x v="0"/>
    <n v="373"/>
    <x v="14"/>
    <x v="33"/>
    <x v="3"/>
    <x v="22"/>
    <x v="6"/>
    <n v="478"/>
    <n v="8"/>
    <x v="6"/>
    <x v="0"/>
  </r>
  <r>
    <x v="126"/>
    <n v="1"/>
    <x v="0"/>
    <n v="458"/>
    <x v="4"/>
    <x v="4"/>
    <x v="3"/>
    <x v="1"/>
    <x v="6"/>
    <n v="0"/>
    <n v="5"/>
    <x v="3"/>
    <x v="0"/>
  </r>
  <r>
    <x v="127"/>
    <n v="1"/>
    <x v="1"/>
    <n v="521"/>
    <x v="0"/>
    <x v="0"/>
    <x v="38"/>
    <x v="1"/>
    <x v="4"/>
    <n v="449.5"/>
    <n v="5"/>
    <x v="3"/>
    <x v="0"/>
  </r>
  <r>
    <x v="128"/>
    <n v="2"/>
    <x v="1"/>
    <n v="0"/>
    <x v="4"/>
    <x v="4"/>
    <x v="3"/>
    <x v="1"/>
    <x v="3"/>
    <n v="0"/>
    <n v="2"/>
    <x v="4"/>
    <x v="0"/>
  </r>
  <r>
    <x v="129"/>
    <n v="2"/>
    <x v="0"/>
    <n v="393"/>
    <x v="0"/>
    <x v="35"/>
    <x v="23"/>
    <x v="1"/>
    <x v="3"/>
    <n v="405.5"/>
    <n v="5"/>
    <x v="1"/>
    <x v="0"/>
  </r>
  <r>
    <x v="130"/>
    <n v="2"/>
    <x v="1"/>
    <n v="558"/>
    <x v="47"/>
    <x v="43"/>
    <x v="3"/>
    <x v="15"/>
    <x v="3"/>
    <n v="575"/>
    <n v="5"/>
    <x v="10"/>
    <x v="0"/>
  </r>
  <r>
    <x v="131"/>
    <n v="2"/>
    <x v="1"/>
    <n v="641"/>
    <x v="46"/>
    <x v="37"/>
    <x v="9"/>
    <x v="1"/>
    <x v="4"/>
    <n v="494.5"/>
    <n v="3"/>
    <x v="2"/>
    <x v="0"/>
  </r>
  <r>
    <x v="132"/>
    <n v="1"/>
    <x v="0"/>
    <n v="460"/>
    <x v="4"/>
    <x v="4"/>
    <x v="3"/>
    <x v="1"/>
    <x v="4"/>
    <n v="0"/>
    <n v="3"/>
    <x v="1"/>
    <x v="0"/>
  </r>
  <r>
    <x v="133"/>
    <n v="2"/>
    <x v="0"/>
    <n v="496"/>
    <x v="23"/>
    <x v="2"/>
    <x v="32"/>
    <x v="21"/>
    <x v="6"/>
    <n v="549"/>
    <n v="7"/>
    <x v="10"/>
    <x v="0"/>
  </r>
  <r>
    <x v="134"/>
    <n v="2"/>
    <x v="0"/>
    <n v="496"/>
    <x v="35"/>
    <x v="31"/>
    <x v="39"/>
    <x v="1"/>
    <x v="1"/>
    <n v="379"/>
    <n v="4"/>
    <x v="0"/>
    <x v="0"/>
  </r>
  <r>
    <x v="135"/>
    <n v="2"/>
    <x v="0"/>
    <n v="478"/>
    <x v="40"/>
    <x v="0"/>
    <x v="40"/>
    <x v="1"/>
    <x v="6"/>
    <n v="501"/>
    <n v="7"/>
    <x v="0"/>
    <x v="0"/>
  </r>
  <r>
    <x v="136"/>
    <n v="1"/>
    <x v="0"/>
    <n v="376"/>
    <x v="26"/>
    <x v="37"/>
    <x v="9"/>
    <x v="1"/>
    <x v="4"/>
    <n v="516"/>
    <n v="3"/>
    <x v="0"/>
    <x v="0"/>
  </r>
  <r>
    <x v="137"/>
    <n v="2"/>
    <x v="0"/>
    <n v="521"/>
    <x v="48"/>
    <x v="5"/>
    <x v="16"/>
    <x v="1"/>
    <x v="0"/>
    <n v="484.5"/>
    <n v="0"/>
    <x v="5"/>
    <x v="0"/>
  </r>
  <r>
    <x v="138"/>
    <n v="1"/>
    <x v="0"/>
    <n v="558"/>
    <x v="40"/>
    <x v="44"/>
    <x v="3"/>
    <x v="18"/>
    <x v="2"/>
    <n v="596"/>
    <n v="0"/>
    <x v="2"/>
    <x v="0"/>
  </r>
  <r>
    <x v="139"/>
    <n v="2"/>
    <x v="1"/>
    <n v="476"/>
    <x v="51"/>
    <x v="18"/>
    <x v="41"/>
    <x v="32"/>
    <x v="1"/>
    <n v="437"/>
    <n v="4"/>
    <x v="3"/>
    <x v="0"/>
  </r>
  <r>
    <x v="140"/>
    <n v="1"/>
    <x v="0"/>
    <n v="437"/>
    <x v="36"/>
    <x v="3"/>
    <x v="34"/>
    <x v="1"/>
    <x v="3"/>
    <n v="434.5"/>
    <n v="2"/>
    <x v="2"/>
    <x v="1"/>
  </r>
  <r>
    <x v="141"/>
    <n v="1"/>
    <x v="0"/>
    <n v="579"/>
    <x v="26"/>
    <x v="27"/>
    <x v="37"/>
    <x v="1"/>
    <x v="1"/>
    <n v="531"/>
    <n v="5"/>
    <x v="3"/>
    <x v="0"/>
  </r>
  <r>
    <x v="142"/>
    <n v="2"/>
    <x v="1"/>
    <n v="499"/>
    <x v="18"/>
    <x v="39"/>
    <x v="4"/>
    <x v="1"/>
    <x v="4"/>
    <n v="522"/>
    <n v="2"/>
    <x v="0"/>
    <x v="0"/>
  </r>
  <r>
    <x v="143"/>
    <n v="2"/>
    <x v="1"/>
    <n v="496"/>
    <x v="40"/>
    <x v="26"/>
    <x v="3"/>
    <x v="11"/>
    <x v="1"/>
    <n v="524"/>
    <n v="5"/>
    <x v="3"/>
    <x v="0"/>
  </r>
  <r>
    <x v="144"/>
    <n v="2"/>
    <x v="0"/>
    <n v="541"/>
    <x v="5"/>
    <x v="35"/>
    <x v="34"/>
    <x v="1"/>
    <x v="10"/>
    <n v="420.5"/>
    <n v="5"/>
    <x v="1"/>
    <x v="0"/>
  </r>
  <r>
    <x v="145"/>
    <n v="1"/>
    <x v="1"/>
    <n v="496"/>
    <x v="52"/>
    <x v="45"/>
    <x v="12"/>
    <x v="1"/>
    <x v="1"/>
    <n v="683.5"/>
    <n v="9"/>
    <x v="3"/>
    <x v="1"/>
  </r>
  <r>
    <x v="146"/>
    <n v="1"/>
    <x v="2"/>
    <n v="496"/>
    <x v="4"/>
    <x v="4"/>
    <x v="3"/>
    <x v="1"/>
    <x v="3"/>
    <n v="0"/>
    <n v="9"/>
    <x v="3"/>
    <x v="4"/>
  </r>
  <r>
    <x v="147"/>
    <n v="2"/>
    <x v="0"/>
    <n v="539"/>
    <x v="6"/>
    <x v="27"/>
    <x v="19"/>
    <x v="1"/>
    <x v="6"/>
    <n v="574.5"/>
    <n v="0"/>
    <x v="0"/>
    <x v="0"/>
  </r>
  <r>
    <x v="148"/>
    <n v="1"/>
    <x v="0"/>
    <n v="478"/>
    <x v="24"/>
    <x v="8"/>
    <x v="24"/>
    <x v="0"/>
    <x v="1"/>
    <n v="455.5"/>
    <n v="2"/>
    <x v="1"/>
    <x v="0"/>
  </r>
  <r>
    <x v="149"/>
    <n v="2"/>
    <x v="0"/>
    <n v="580"/>
    <x v="14"/>
    <x v="33"/>
    <x v="15"/>
    <x v="1"/>
    <x v="5"/>
    <n v="478"/>
    <n v="7"/>
    <x v="7"/>
    <x v="0"/>
  </r>
  <r>
    <x v="150"/>
    <n v="1"/>
    <x v="0"/>
    <n v="393"/>
    <x v="41"/>
    <x v="8"/>
    <x v="29"/>
    <x v="1"/>
    <x v="1"/>
    <n v="412.5"/>
    <n v="3"/>
    <x v="0"/>
    <x v="3"/>
  </r>
  <r>
    <x v="151"/>
    <n v="1"/>
    <x v="1"/>
    <n v="521"/>
    <x v="51"/>
    <x v="26"/>
    <x v="3"/>
    <x v="1"/>
    <x v="3"/>
    <n v="454.5"/>
    <n v="5"/>
    <x v="3"/>
    <x v="1"/>
  </r>
  <r>
    <x v="152"/>
    <n v="2"/>
    <x v="1"/>
    <n v="621"/>
    <x v="19"/>
    <x v="26"/>
    <x v="3"/>
    <x v="33"/>
    <x v="1"/>
    <n v="519"/>
    <n v="2"/>
    <x v="2"/>
    <x v="0"/>
  </r>
  <r>
    <x v="153"/>
    <n v="2"/>
    <x v="1"/>
    <n v="580"/>
    <x v="25"/>
    <x v="11"/>
    <x v="32"/>
    <x v="1"/>
    <x v="1"/>
    <n v="515"/>
    <n v="3"/>
    <x v="0"/>
    <x v="0"/>
  </r>
  <r>
    <x v="154"/>
    <n v="1"/>
    <x v="0"/>
    <n v="519"/>
    <x v="27"/>
    <x v="13"/>
    <x v="37"/>
    <x v="34"/>
    <x v="6"/>
    <n v="569"/>
    <n v="3"/>
    <x v="1"/>
    <x v="1"/>
  </r>
  <r>
    <x v="155"/>
    <n v="2"/>
    <x v="1"/>
    <n v="359"/>
    <x v="7"/>
    <x v="31"/>
    <x v="3"/>
    <x v="35"/>
    <x v="4"/>
    <n v="456"/>
    <n v="9"/>
    <x v="7"/>
    <x v="1"/>
  </r>
  <r>
    <x v="156"/>
    <n v="2"/>
    <x v="2"/>
    <n v="620"/>
    <x v="4"/>
    <x v="4"/>
    <x v="3"/>
    <x v="1"/>
    <x v="6"/>
    <n v="0"/>
    <n v="9"/>
    <x v="7"/>
    <x v="0"/>
  </r>
  <r>
    <x v="157"/>
    <n v="1"/>
    <x v="2"/>
    <n v="517"/>
    <x v="48"/>
    <x v="4"/>
    <x v="3"/>
    <x v="1"/>
    <x v="1"/>
    <n v="270.5"/>
    <n v="8"/>
    <x v="7"/>
    <x v="5"/>
  </r>
  <r>
    <x v="158"/>
    <n v="1"/>
    <x v="2"/>
    <n v="455"/>
    <x v="53"/>
    <x v="46"/>
    <x v="42"/>
    <x v="36"/>
    <x v="4"/>
    <n v="661"/>
    <n v="5"/>
    <x v="7"/>
    <x v="3"/>
  </r>
  <r>
    <x v="159"/>
    <n v="1"/>
    <x v="0"/>
    <n v="496"/>
    <x v="30"/>
    <x v="24"/>
    <x v="17"/>
    <x v="1"/>
    <x v="4"/>
    <n v="524"/>
    <n v="5"/>
    <x v="3"/>
    <x v="0"/>
  </r>
  <r>
    <x v="160"/>
    <n v="2"/>
    <x v="1"/>
    <n v="621"/>
    <x v="31"/>
    <x v="0"/>
    <x v="3"/>
    <x v="9"/>
    <x v="0"/>
    <n v="423.5"/>
    <n v="0"/>
    <x v="5"/>
    <x v="0"/>
  </r>
  <r>
    <x v="161"/>
    <n v="2"/>
    <x v="1"/>
    <n v="538"/>
    <x v="23"/>
    <x v="34"/>
    <x v="27"/>
    <x v="9"/>
    <x v="4"/>
    <n v="576.5"/>
    <n v="5"/>
    <x v="3"/>
    <x v="0"/>
  </r>
  <r>
    <x v="162"/>
    <n v="2"/>
    <x v="0"/>
    <n v="476"/>
    <x v="4"/>
    <x v="4"/>
    <x v="3"/>
    <x v="1"/>
    <x v="4"/>
    <n v="0"/>
    <n v="4"/>
    <x v="2"/>
    <x v="0"/>
  </r>
  <r>
    <x v="163"/>
    <n v="2"/>
    <x v="0"/>
    <n v="478"/>
    <x v="43"/>
    <x v="19"/>
    <x v="11"/>
    <x v="1"/>
    <x v="6"/>
    <n v="469"/>
    <n v="2"/>
    <x v="2"/>
    <x v="0"/>
  </r>
  <r>
    <x v="164"/>
    <n v="1"/>
    <x v="0"/>
    <n v="352"/>
    <x v="4"/>
    <x v="4"/>
    <x v="3"/>
    <x v="1"/>
    <x v="0"/>
    <n v="0"/>
    <n v="0"/>
    <x v="5"/>
    <x v="0"/>
  </r>
  <r>
    <x v="165"/>
    <n v="2"/>
    <x v="1"/>
    <n v="478"/>
    <x v="42"/>
    <x v="5"/>
    <x v="40"/>
    <x v="1"/>
    <x v="1"/>
    <n v="433"/>
    <n v="3"/>
    <x v="3"/>
    <x v="0"/>
  </r>
  <r>
    <x v="166"/>
    <n v="2"/>
    <x v="2"/>
    <n v="517"/>
    <x v="54"/>
    <x v="7"/>
    <x v="43"/>
    <x v="1"/>
    <x v="5"/>
    <n v="575.5"/>
    <n v="5"/>
    <x v="3"/>
    <x v="0"/>
  </r>
  <r>
    <x v="167"/>
    <n v="1"/>
    <x v="1"/>
    <n v="558"/>
    <x v="18"/>
    <x v="47"/>
    <x v="44"/>
    <x v="1"/>
    <x v="3"/>
    <n v="565"/>
    <n v="9"/>
    <x v="7"/>
    <x v="4"/>
  </r>
  <r>
    <x v="168"/>
    <n v="1"/>
    <x v="1"/>
    <n v="580"/>
    <x v="55"/>
    <x v="19"/>
    <x v="27"/>
    <x v="1"/>
    <x v="3"/>
    <n v="515.5"/>
    <n v="2"/>
    <x v="0"/>
    <x v="0"/>
  </r>
  <r>
    <x v="169"/>
    <n v="1"/>
    <x v="0"/>
    <n v="481"/>
    <x v="4"/>
    <x v="4"/>
    <x v="3"/>
    <x v="1"/>
    <x v="0"/>
    <n v="0"/>
    <n v="0"/>
    <x v="5"/>
    <x v="0"/>
  </r>
  <r>
    <x v="170"/>
    <n v="2"/>
    <x v="0"/>
    <n v="519"/>
    <x v="43"/>
    <x v="31"/>
    <x v="3"/>
    <x v="28"/>
    <x v="4"/>
    <n v="428.5"/>
    <n v="4"/>
    <x v="1"/>
    <x v="0"/>
  </r>
  <r>
    <x v="171"/>
    <n v="2"/>
    <x v="2"/>
    <n v="455"/>
    <x v="10"/>
    <x v="37"/>
    <x v="11"/>
    <x v="1"/>
    <x v="3"/>
    <n v="505.5"/>
    <n v="9"/>
    <x v="7"/>
    <x v="2"/>
  </r>
  <r>
    <x v="172"/>
    <n v="1"/>
    <x v="0"/>
    <n v="397"/>
    <x v="2"/>
    <x v="14"/>
    <x v="3"/>
    <x v="37"/>
    <x v="3"/>
    <n v="602.5"/>
    <n v="8"/>
    <x v="3"/>
    <x v="0"/>
  </r>
  <r>
    <x v="173"/>
    <n v="2"/>
    <x v="0"/>
    <n v="393"/>
    <x v="48"/>
    <x v="37"/>
    <x v="32"/>
    <x v="1"/>
    <x v="3"/>
    <n v="523.5"/>
    <n v="2"/>
    <x v="2"/>
    <x v="1"/>
  </r>
  <r>
    <x v="174"/>
    <n v="2"/>
    <x v="1"/>
    <n v="641"/>
    <x v="32"/>
    <x v="48"/>
    <x v="3"/>
    <x v="37"/>
    <x v="6"/>
    <n v="606"/>
    <n v="7"/>
    <x v="1"/>
    <x v="0"/>
  </r>
  <r>
    <x v="175"/>
    <n v="1"/>
    <x v="1"/>
    <n v="641"/>
    <x v="2"/>
    <x v="49"/>
    <x v="3"/>
    <x v="38"/>
    <x v="6"/>
    <n v="621"/>
    <n v="0"/>
    <x v="2"/>
    <x v="0"/>
  </r>
  <r>
    <x v="176"/>
    <n v="1"/>
    <x v="0"/>
    <n v="397"/>
    <x v="10"/>
    <x v="33"/>
    <x v="0"/>
    <x v="1"/>
    <x v="1"/>
    <n v="492.5"/>
    <n v="4"/>
    <x v="1"/>
    <x v="0"/>
  </r>
  <r>
    <x v="177"/>
    <n v="2"/>
    <x v="0"/>
    <n v="458"/>
    <x v="0"/>
    <x v="11"/>
    <x v="3"/>
    <x v="0"/>
    <x v="4"/>
    <n v="460.5"/>
    <n v="2"/>
    <x v="2"/>
    <x v="0"/>
  </r>
  <r>
    <x v="178"/>
    <n v="1"/>
    <x v="0"/>
    <n v="376"/>
    <x v="4"/>
    <x v="4"/>
    <x v="3"/>
    <x v="1"/>
    <x v="1"/>
    <n v="0"/>
    <n v="2"/>
    <x v="2"/>
    <x v="0"/>
  </r>
  <r>
    <x v="179"/>
    <n v="1"/>
    <x v="1"/>
    <n v="0"/>
    <x v="4"/>
    <x v="4"/>
    <x v="3"/>
    <x v="1"/>
    <x v="4"/>
    <n v="0"/>
    <n v="0"/>
    <x v="2"/>
    <x v="0"/>
  </r>
  <r>
    <x v="180"/>
    <n v="2"/>
    <x v="0"/>
    <n v="393"/>
    <x v="0"/>
    <x v="17"/>
    <x v="9"/>
    <x v="1"/>
    <x v="7"/>
    <n v="366"/>
    <n v="4"/>
    <x v="2"/>
    <x v="0"/>
  </r>
  <r>
    <x v="181"/>
    <n v="2"/>
    <x v="0"/>
    <n v="481"/>
    <x v="4"/>
    <x v="4"/>
    <x v="3"/>
    <x v="1"/>
    <x v="6"/>
    <n v="0"/>
    <n v="4"/>
    <x v="1"/>
    <x v="0"/>
  </r>
  <r>
    <x v="182"/>
    <n v="2"/>
    <x v="1"/>
    <n v="460"/>
    <x v="56"/>
    <x v="50"/>
    <x v="34"/>
    <x v="1"/>
    <x v="5"/>
    <n v="247"/>
    <n v="5"/>
    <x v="3"/>
    <x v="0"/>
  </r>
  <r>
    <x v="183"/>
    <n v="2"/>
    <x v="0"/>
    <n v="539"/>
    <x v="5"/>
    <x v="5"/>
    <x v="4"/>
    <x v="1"/>
    <x v="3"/>
    <n v="458"/>
    <n v="4"/>
    <x v="9"/>
    <x v="1"/>
  </r>
  <r>
    <x v="184"/>
    <n v="1"/>
    <x v="2"/>
    <n v="455"/>
    <x v="57"/>
    <x v="44"/>
    <x v="45"/>
    <x v="39"/>
    <x v="1"/>
    <n v="619"/>
    <n v="2"/>
    <x v="2"/>
    <x v="3"/>
  </r>
  <r>
    <x v="185"/>
    <n v="2"/>
    <x v="0"/>
    <n v="437"/>
    <x v="0"/>
    <x v="18"/>
    <x v="25"/>
    <x v="1"/>
    <x v="3"/>
    <n v="455"/>
    <n v="4"/>
    <x v="0"/>
    <x v="0"/>
  </r>
  <r>
    <x v="186"/>
    <n v="2"/>
    <x v="1"/>
    <n v="0"/>
    <x v="4"/>
    <x v="4"/>
    <x v="3"/>
    <x v="1"/>
    <x v="3"/>
    <n v="0"/>
    <n v="5"/>
    <x v="0"/>
    <x v="0"/>
  </r>
  <r>
    <x v="187"/>
    <n v="1"/>
    <x v="0"/>
    <n v="435"/>
    <x v="4"/>
    <x v="4"/>
    <x v="3"/>
    <x v="1"/>
    <x v="1"/>
    <n v="0"/>
    <n v="5"/>
    <x v="3"/>
    <x v="0"/>
  </r>
  <r>
    <x v="188"/>
    <n v="2"/>
    <x v="0"/>
    <n v="580"/>
    <x v="11"/>
    <x v="25"/>
    <x v="3"/>
    <x v="40"/>
    <x v="1"/>
    <n v="491.5"/>
    <n v="3"/>
    <x v="0"/>
    <x v="0"/>
  </r>
  <r>
    <x v="189"/>
    <n v="2"/>
    <x v="0"/>
    <n v="458"/>
    <x v="33"/>
    <x v="2"/>
    <x v="9"/>
    <x v="9"/>
    <x v="1"/>
    <n v="542"/>
    <n v="2"/>
    <x v="1"/>
    <x v="0"/>
  </r>
  <r>
    <x v="190"/>
    <n v="1"/>
    <x v="1"/>
    <n v="400"/>
    <x v="45"/>
    <x v="8"/>
    <x v="22"/>
    <x v="35"/>
    <x v="4"/>
    <n v="391.5"/>
    <n v="8"/>
    <x v="9"/>
    <x v="3"/>
  </r>
  <r>
    <x v="191"/>
    <n v="1"/>
    <x v="1"/>
    <n v="538"/>
    <x v="21"/>
    <x v="51"/>
    <x v="3"/>
    <x v="37"/>
    <x v="5"/>
    <n v="611.5"/>
    <n v="5"/>
    <x v="3"/>
    <x v="0"/>
  </r>
  <r>
    <x v="192"/>
    <n v="2"/>
    <x v="0"/>
    <n v="538"/>
    <x v="26"/>
    <x v="22"/>
    <x v="3"/>
    <x v="40"/>
    <x v="1"/>
    <n v="521.5"/>
    <n v="2"/>
    <x v="2"/>
    <x v="0"/>
  </r>
  <r>
    <x v="193"/>
    <n v="2"/>
    <x v="0"/>
    <n v="601"/>
    <x v="26"/>
    <x v="27"/>
    <x v="20"/>
    <x v="29"/>
    <x v="1"/>
    <n v="531"/>
    <n v="4"/>
    <x v="1"/>
    <x v="0"/>
  </r>
  <r>
    <x v="194"/>
    <n v="2"/>
    <x v="0"/>
    <n v="558"/>
    <x v="9"/>
    <x v="25"/>
    <x v="9"/>
    <x v="1"/>
    <x v="1"/>
    <n v="503"/>
    <n v="0"/>
    <x v="3"/>
    <x v="0"/>
  </r>
  <r>
    <x v="195"/>
    <n v="1"/>
    <x v="1"/>
    <n v="458"/>
    <x v="19"/>
    <x v="22"/>
    <x v="1"/>
    <x v="1"/>
    <x v="1"/>
    <n v="534"/>
    <n v="4"/>
    <x v="0"/>
    <x v="0"/>
  </r>
  <r>
    <x v="196"/>
    <n v="2"/>
    <x v="0"/>
    <n v="476"/>
    <x v="34"/>
    <x v="35"/>
    <x v="41"/>
    <x v="1"/>
    <x v="6"/>
    <n v="402"/>
    <n v="2"/>
    <x v="1"/>
    <x v="0"/>
  </r>
  <r>
    <x v="197"/>
    <n v="2"/>
    <x v="1"/>
    <n v="538"/>
    <x v="4"/>
    <x v="4"/>
    <x v="3"/>
    <x v="1"/>
    <x v="4"/>
    <n v="0"/>
    <n v="9"/>
    <x v="10"/>
    <x v="1"/>
  </r>
  <r>
    <x v="198"/>
    <n v="1"/>
    <x v="0"/>
    <n v="478"/>
    <x v="48"/>
    <x v="52"/>
    <x v="3"/>
    <x v="27"/>
    <x v="1"/>
    <n v="568.5"/>
    <n v="8"/>
    <x v="2"/>
    <x v="0"/>
  </r>
  <r>
    <x v="199"/>
    <n v="2"/>
    <x v="0"/>
    <n v="455"/>
    <x v="10"/>
    <x v="8"/>
    <x v="23"/>
    <x v="1"/>
    <x v="4"/>
    <n v="450"/>
    <n v="7"/>
    <x v="1"/>
    <x v="0"/>
  </r>
  <r>
    <x v="200"/>
    <n v="1"/>
    <x v="0"/>
    <n v="539"/>
    <x v="25"/>
    <x v="16"/>
    <x v="46"/>
    <x v="1"/>
    <x v="1"/>
    <n v="553.5"/>
    <n v="4"/>
    <x v="1"/>
    <x v="0"/>
  </r>
  <r>
    <x v="201"/>
    <n v="2"/>
    <x v="1"/>
    <n v="539"/>
    <x v="4"/>
    <x v="4"/>
    <x v="3"/>
    <x v="1"/>
    <x v="6"/>
    <n v="0"/>
    <n v="4"/>
    <x v="2"/>
    <x v="0"/>
  </r>
  <r>
    <x v="202"/>
    <n v="2"/>
    <x v="1"/>
    <n v="478"/>
    <x v="36"/>
    <x v="8"/>
    <x v="3"/>
    <x v="35"/>
    <x v="6"/>
    <n v="396"/>
    <n v="5"/>
    <x v="2"/>
    <x v="0"/>
  </r>
  <r>
    <x v="203"/>
    <n v="2"/>
    <x v="1"/>
    <n v="458"/>
    <x v="8"/>
    <x v="40"/>
    <x v="3"/>
    <x v="9"/>
    <x v="6"/>
    <n v="272"/>
    <n v="5"/>
    <x v="0"/>
    <x v="0"/>
  </r>
  <r>
    <x v="204"/>
    <n v="2"/>
    <x v="1"/>
    <n v="476"/>
    <x v="43"/>
    <x v="4"/>
    <x v="3"/>
    <x v="1"/>
    <x v="1"/>
    <n v="222"/>
    <n v="4"/>
    <x v="2"/>
    <x v="0"/>
  </r>
  <r>
    <x v="205"/>
    <n v="1"/>
    <x v="1"/>
    <n v="397"/>
    <x v="36"/>
    <x v="31"/>
    <x v="7"/>
    <x v="1"/>
    <x v="4"/>
    <n v="405"/>
    <n v="5"/>
    <x v="0"/>
    <x v="0"/>
  </r>
  <r>
    <x v="206"/>
    <n v="1"/>
    <x v="1"/>
    <n v="496"/>
    <x v="1"/>
    <x v="53"/>
    <x v="2"/>
    <x v="1"/>
    <x v="4"/>
    <n v="631"/>
    <n v="5"/>
    <x v="3"/>
    <x v="0"/>
  </r>
  <r>
    <x v="207"/>
    <n v="1"/>
    <x v="1"/>
    <n v="400"/>
    <x v="4"/>
    <x v="4"/>
    <x v="3"/>
    <x v="1"/>
    <x v="6"/>
    <n v="0"/>
    <n v="10"/>
    <x v="1"/>
    <x v="0"/>
  </r>
  <r>
    <x v="208"/>
    <n v="1"/>
    <x v="0"/>
    <n v="397"/>
    <x v="58"/>
    <x v="40"/>
    <x v="39"/>
    <x v="1"/>
    <x v="3"/>
    <n v="288"/>
    <n v="5"/>
    <x v="0"/>
    <x v="0"/>
  </r>
  <r>
    <x v="209"/>
    <n v="2"/>
    <x v="0"/>
    <n v="499"/>
    <x v="27"/>
    <x v="31"/>
    <x v="47"/>
    <x v="1"/>
    <x v="3"/>
    <n v="499.5"/>
    <n v="3"/>
    <x v="0"/>
    <x v="0"/>
  </r>
  <r>
    <x v="210"/>
    <n v="1"/>
    <x v="1"/>
    <n v="641"/>
    <x v="59"/>
    <x v="51"/>
    <x v="3"/>
    <x v="38"/>
    <x v="1"/>
    <n v="642"/>
    <n v="4"/>
    <x v="3"/>
    <x v="0"/>
  </r>
  <r>
    <x v="211"/>
    <n v="1"/>
    <x v="1"/>
    <n v="0"/>
    <x v="35"/>
    <x v="33"/>
    <x v="20"/>
    <x v="1"/>
    <x v="3"/>
    <n v="412.5"/>
    <n v="5"/>
    <x v="3"/>
    <x v="0"/>
  </r>
  <r>
    <x v="212"/>
    <n v="2"/>
    <x v="0"/>
    <n v="517"/>
    <x v="1"/>
    <x v="24"/>
    <x v="48"/>
    <x v="29"/>
    <x v="1"/>
    <n v="559.5"/>
    <n v="5"/>
    <x v="3"/>
    <x v="0"/>
  </r>
  <r>
    <x v="213"/>
    <n v="1"/>
    <x v="1"/>
    <n v="481"/>
    <x v="10"/>
    <x v="12"/>
    <x v="11"/>
    <x v="1"/>
    <x v="5"/>
    <n v="440.5"/>
    <n v="8"/>
    <x v="7"/>
    <x v="0"/>
  </r>
  <r>
    <x v="214"/>
    <n v="2"/>
    <x v="0"/>
    <n v="499"/>
    <x v="4"/>
    <x v="4"/>
    <x v="3"/>
    <x v="1"/>
    <x v="3"/>
    <n v="0"/>
    <n v="5"/>
    <x v="3"/>
    <x v="0"/>
  </r>
  <r>
    <x v="215"/>
    <n v="1"/>
    <x v="0"/>
    <n v="435"/>
    <x v="58"/>
    <x v="29"/>
    <x v="6"/>
    <x v="1"/>
    <x v="4"/>
    <n v="302"/>
    <n v="4"/>
    <x v="1"/>
    <x v="0"/>
  </r>
  <r>
    <x v="216"/>
    <n v="1"/>
    <x v="2"/>
    <n v="641"/>
    <x v="60"/>
    <x v="54"/>
    <x v="49"/>
    <x v="41"/>
    <x v="4"/>
    <n v="727.5"/>
    <n v="9"/>
    <x v="3"/>
    <x v="4"/>
  </r>
  <r>
    <x v="217"/>
    <n v="2"/>
    <x v="2"/>
    <n v="435"/>
    <x v="9"/>
    <x v="0"/>
    <x v="41"/>
    <x v="1"/>
    <x v="4"/>
    <n v="467.5"/>
    <n v="9"/>
    <x v="10"/>
    <x v="3"/>
  </r>
  <r>
    <x v="218"/>
    <n v="1"/>
    <x v="1"/>
    <n v="0"/>
    <x v="37"/>
    <x v="55"/>
    <x v="50"/>
    <x v="42"/>
    <x v="10"/>
    <n v="290.5"/>
    <n v="2"/>
    <x v="2"/>
    <x v="0"/>
  </r>
  <r>
    <x v="219"/>
    <n v="2"/>
    <x v="1"/>
    <n v="601"/>
    <x v="7"/>
    <x v="17"/>
    <x v="50"/>
    <x v="1"/>
    <x v="4"/>
    <n v="386.5"/>
    <n v="2"/>
    <x v="2"/>
    <x v="0"/>
  </r>
  <r>
    <x v="220"/>
    <n v="1"/>
    <x v="1"/>
    <n v="455"/>
    <x v="46"/>
    <x v="3"/>
    <x v="30"/>
    <x v="1"/>
    <x v="4"/>
    <n v="477.5"/>
    <n v="7"/>
    <x v="1"/>
    <x v="1"/>
  </r>
  <r>
    <x v="221"/>
    <n v="1"/>
    <x v="1"/>
    <n v="620"/>
    <x v="39"/>
    <x v="56"/>
    <x v="3"/>
    <x v="43"/>
    <x v="6"/>
    <n v="632"/>
    <n v="7"/>
    <x v="7"/>
    <x v="1"/>
  </r>
  <r>
    <x v="222"/>
    <n v="1"/>
    <x v="1"/>
    <n v="380"/>
    <x v="42"/>
    <x v="0"/>
    <x v="36"/>
    <x v="1"/>
    <x v="4"/>
    <n v="439.5"/>
    <n v="5"/>
    <x v="7"/>
    <x v="1"/>
  </r>
  <r>
    <x v="223"/>
    <n v="1"/>
    <x v="0"/>
    <n v="458"/>
    <x v="30"/>
    <x v="24"/>
    <x v="3"/>
    <x v="15"/>
    <x v="4"/>
    <n v="524"/>
    <n v="3"/>
    <x v="2"/>
    <x v="0"/>
  </r>
  <r>
    <x v="224"/>
    <n v="1"/>
    <x v="1"/>
    <n v="478"/>
    <x v="10"/>
    <x v="23"/>
    <x v="38"/>
    <x v="1"/>
    <x v="6"/>
    <n v="532.5"/>
    <n v="4"/>
    <x v="1"/>
    <x v="0"/>
  </r>
  <r>
    <x v="225"/>
    <n v="2"/>
    <x v="0"/>
    <n v="723"/>
    <x v="55"/>
    <x v="28"/>
    <x v="17"/>
    <x v="1"/>
    <x v="1"/>
    <n v="541"/>
    <n v="5"/>
    <x v="0"/>
    <x v="0"/>
  </r>
  <r>
    <x v="226"/>
    <n v="2"/>
    <x v="0"/>
    <n v="501"/>
    <x v="4"/>
    <x v="4"/>
    <x v="3"/>
    <x v="1"/>
    <x v="3"/>
    <n v="0"/>
    <n v="2"/>
    <x v="2"/>
    <x v="0"/>
  </r>
  <r>
    <x v="227"/>
    <n v="1"/>
    <x v="0"/>
    <n v="437"/>
    <x v="4"/>
    <x v="4"/>
    <x v="3"/>
    <x v="1"/>
    <x v="1"/>
    <n v="0"/>
    <n v="0"/>
    <x v="3"/>
    <x v="0"/>
  </r>
  <r>
    <x v="228"/>
    <n v="1"/>
    <x v="0"/>
    <n v="455"/>
    <x v="42"/>
    <x v="22"/>
    <x v="3"/>
    <x v="6"/>
    <x v="5"/>
    <n v="477.5"/>
    <n v="1"/>
    <x v="10"/>
    <x v="0"/>
  </r>
  <r>
    <x v="229"/>
    <n v="2"/>
    <x v="1"/>
    <n v="621"/>
    <x v="51"/>
    <x v="35"/>
    <x v="39"/>
    <x v="1"/>
    <x v="4"/>
    <n v="387.5"/>
    <n v="10"/>
    <x v="2"/>
    <x v="0"/>
  </r>
  <r>
    <x v="230"/>
    <n v="1"/>
    <x v="1"/>
    <n v="458"/>
    <x v="38"/>
    <x v="31"/>
    <x v="32"/>
    <x v="44"/>
    <x v="1"/>
    <n v="395.5"/>
    <n v="2"/>
    <x v="2"/>
    <x v="0"/>
  </r>
  <r>
    <x v="231"/>
    <n v="1"/>
    <x v="0"/>
    <n v="417"/>
    <x v="3"/>
    <x v="35"/>
    <x v="44"/>
    <x v="1"/>
    <x v="4"/>
    <n v="408.5"/>
    <n v="2"/>
    <x v="3"/>
    <x v="0"/>
  </r>
  <r>
    <x v="232"/>
    <n v="1"/>
    <x v="1"/>
    <n v="519"/>
    <x v="2"/>
    <x v="3"/>
    <x v="51"/>
    <x v="1"/>
    <x v="1"/>
    <n v="526.5"/>
    <n v="4"/>
    <x v="2"/>
    <x v="1"/>
  </r>
  <r>
    <x v="233"/>
    <n v="2"/>
    <x v="1"/>
    <n v="661"/>
    <x v="4"/>
    <x v="4"/>
    <x v="3"/>
    <x v="1"/>
    <x v="4"/>
    <n v="0"/>
    <n v="7"/>
    <x v="3"/>
    <x v="1"/>
  </r>
  <r>
    <x v="234"/>
    <n v="2"/>
    <x v="0"/>
    <n v="435"/>
    <x v="43"/>
    <x v="29"/>
    <x v="0"/>
    <x v="29"/>
    <x v="4"/>
    <n v="386"/>
    <n v="0"/>
    <x v="2"/>
    <x v="0"/>
  </r>
  <r>
    <x v="235"/>
    <n v="2"/>
    <x v="0"/>
    <n v="519"/>
    <x v="9"/>
    <x v="3"/>
    <x v="16"/>
    <x v="0"/>
    <x v="7"/>
    <n v="483"/>
    <n v="9"/>
    <x v="1"/>
    <x v="1"/>
  </r>
  <r>
    <x v="236"/>
    <n v="2"/>
    <x v="1"/>
    <n v="356"/>
    <x v="61"/>
    <x v="57"/>
    <x v="28"/>
    <x v="1"/>
    <x v="9"/>
    <n v="177"/>
    <n v="2"/>
    <x v="4"/>
    <x v="0"/>
  </r>
  <r>
    <x v="237"/>
    <n v="1"/>
    <x v="0"/>
    <n v="517"/>
    <x v="4"/>
    <x v="4"/>
    <x v="3"/>
    <x v="1"/>
    <x v="4"/>
    <n v="0"/>
    <n v="5"/>
    <x v="0"/>
    <x v="0"/>
  </r>
  <r>
    <x v="238"/>
    <n v="1"/>
    <x v="2"/>
    <n v="476"/>
    <x v="0"/>
    <x v="26"/>
    <x v="3"/>
    <x v="44"/>
    <x v="3"/>
    <n v="472.5"/>
    <n v="8"/>
    <x v="7"/>
    <x v="3"/>
  </r>
  <r>
    <x v="239"/>
    <n v="1"/>
    <x v="0"/>
    <n v="620"/>
    <x v="4"/>
    <x v="4"/>
    <x v="3"/>
    <x v="1"/>
    <x v="1"/>
    <n v="0"/>
    <n v="2"/>
    <x v="2"/>
    <x v="0"/>
  </r>
  <r>
    <x v="240"/>
    <n v="2"/>
    <x v="0"/>
    <n v="499"/>
    <x v="13"/>
    <x v="33"/>
    <x v="10"/>
    <x v="1"/>
    <x v="1"/>
    <n v="538"/>
    <n v="2"/>
    <x v="2"/>
    <x v="0"/>
  </r>
  <r>
    <x v="241"/>
    <n v="2"/>
    <x v="0"/>
    <n v="499"/>
    <x v="9"/>
    <x v="11"/>
    <x v="51"/>
    <x v="1"/>
    <x v="4"/>
    <n v="478.5"/>
    <n v="2"/>
    <x v="2"/>
    <x v="0"/>
  </r>
  <r>
    <x v="242"/>
    <n v="2"/>
    <x v="0"/>
    <n v="437"/>
    <x v="58"/>
    <x v="5"/>
    <x v="3"/>
    <x v="31"/>
    <x v="6"/>
    <n v="352"/>
    <n v="2"/>
    <x v="1"/>
    <x v="0"/>
  </r>
  <r>
    <x v="243"/>
    <n v="2"/>
    <x v="1"/>
    <n v="622"/>
    <x v="34"/>
    <x v="40"/>
    <x v="18"/>
    <x v="1"/>
    <x v="4"/>
    <n v="375.5"/>
    <n v="0"/>
    <x v="2"/>
    <x v="0"/>
  </r>
  <r>
    <x v="244"/>
    <n v="1"/>
    <x v="0"/>
    <n v="455"/>
    <x v="0"/>
    <x v="3"/>
    <x v="9"/>
    <x v="1"/>
    <x v="3"/>
    <n v="465"/>
    <n v="4"/>
    <x v="2"/>
    <x v="0"/>
  </r>
  <r>
    <x v="245"/>
    <n v="2"/>
    <x v="0"/>
    <n v="580"/>
    <x v="13"/>
    <x v="24"/>
    <x v="40"/>
    <x v="1"/>
    <x v="4"/>
    <n v="548.5"/>
    <n v="4"/>
    <x v="3"/>
    <x v="0"/>
  </r>
  <r>
    <x v="246"/>
    <n v="2"/>
    <x v="0"/>
    <n v="561"/>
    <x v="34"/>
    <x v="3"/>
    <x v="4"/>
    <x v="1"/>
    <x v="3"/>
    <n v="461.5"/>
    <n v="0"/>
    <x v="5"/>
    <x v="0"/>
  </r>
  <r>
    <x v="247"/>
    <n v="1"/>
    <x v="0"/>
    <n v="519"/>
    <x v="42"/>
    <x v="58"/>
    <x v="16"/>
    <x v="45"/>
    <x v="1"/>
    <n v="497.5"/>
    <n v="3"/>
    <x v="1"/>
    <x v="0"/>
  </r>
  <r>
    <x v="248"/>
    <n v="1"/>
    <x v="1"/>
    <n v="380"/>
    <x v="4"/>
    <x v="4"/>
    <x v="3"/>
    <x v="1"/>
    <x v="5"/>
    <n v="0"/>
    <n v="5"/>
    <x v="2"/>
    <x v="0"/>
  </r>
  <r>
    <x v="249"/>
    <n v="1"/>
    <x v="1"/>
    <n v="517"/>
    <x v="41"/>
    <x v="3"/>
    <x v="25"/>
    <x v="42"/>
    <x v="1"/>
    <n v="451"/>
    <n v="5"/>
    <x v="3"/>
    <x v="0"/>
  </r>
  <r>
    <x v="250"/>
    <n v="2"/>
    <x v="0"/>
    <n v="496"/>
    <x v="4"/>
    <x v="4"/>
    <x v="3"/>
    <x v="1"/>
    <x v="3"/>
    <n v="0"/>
    <n v="5"/>
    <x v="1"/>
    <x v="0"/>
  </r>
  <r>
    <x v="251"/>
    <n v="2"/>
    <x v="1"/>
    <n v="521"/>
    <x v="38"/>
    <x v="31"/>
    <x v="9"/>
    <x v="1"/>
    <x v="7"/>
    <n v="395.5"/>
    <n v="5"/>
    <x v="10"/>
    <x v="1"/>
  </r>
  <r>
    <x v="252"/>
    <n v="1"/>
    <x v="1"/>
    <n v="481"/>
    <x v="31"/>
    <x v="5"/>
    <x v="52"/>
    <x v="1"/>
    <x v="3"/>
    <n v="417"/>
    <n v="5"/>
    <x v="1"/>
    <x v="1"/>
  </r>
  <r>
    <x v="253"/>
    <n v="2"/>
    <x v="0"/>
    <n v="599"/>
    <x v="0"/>
    <x v="3"/>
    <x v="3"/>
    <x v="17"/>
    <x v="6"/>
    <n v="465"/>
    <n v="0"/>
    <x v="3"/>
    <x v="0"/>
  </r>
  <r>
    <x v="254"/>
    <n v="1"/>
    <x v="0"/>
    <n v="744"/>
    <x v="16"/>
    <x v="15"/>
    <x v="3"/>
    <x v="41"/>
    <x v="4"/>
    <n v="728"/>
    <n v="7"/>
    <x v="10"/>
    <x v="1"/>
  </r>
  <r>
    <x v="255"/>
    <n v="2"/>
    <x v="1"/>
    <n v="335"/>
    <x v="17"/>
    <x v="5"/>
    <x v="6"/>
    <x v="35"/>
    <x v="0"/>
    <n v="421.5"/>
    <n v="2"/>
    <x v="2"/>
    <x v="0"/>
  </r>
  <r>
    <x v="256"/>
    <n v="1"/>
    <x v="0"/>
    <n v="455"/>
    <x v="14"/>
    <x v="58"/>
    <x v="3"/>
    <x v="44"/>
    <x v="4"/>
    <n v="516.5"/>
    <n v="9"/>
    <x v="10"/>
    <x v="3"/>
  </r>
  <r>
    <x v="257"/>
    <n v="2"/>
    <x v="1"/>
    <n v="496"/>
    <x v="14"/>
    <x v="11"/>
    <x v="11"/>
    <x v="1"/>
    <x v="1"/>
    <n v="469.5"/>
    <n v="7"/>
    <x v="10"/>
    <x v="1"/>
  </r>
  <r>
    <x v="258"/>
    <n v="2"/>
    <x v="0"/>
    <n v="458"/>
    <x v="5"/>
    <x v="8"/>
    <x v="48"/>
    <x v="27"/>
    <x v="6"/>
    <n v="441.5"/>
    <n v="3"/>
    <x v="2"/>
    <x v="0"/>
  </r>
  <r>
    <x v="259"/>
    <n v="2"/>
    <x v="0"/>
    <n v="435"/>
    <x v="21"/>
    <x v="19"/>
    <x v="11"/>
    <x v="1"/>
    <x v="4"/>
    <n v="512.5"/>
    <n v="5"/>
    <x v="1"/>
    <x v="1"/>
  </r>
  <r>
    <x v="260"/>
    <n v="1"/>
    <x v="1"/>
    <n v="501"/>
    <x v="19"/>
    <x v="25"/>
    <x v="12"/>
    <x v="1"/>
    <x v="1"/>
    <n v="531.5"/>
    <n v="5"/>
    <x v="3"/>
    <x v="0"/>
  </r>
  <r>
    <x v="261"/>
    <n v="1"/>
    <x v="0"/>
    <n v="435"/>
    <x v="31"/>
    <x v="35"/>
    <x v="35"/>
    <x v="1"/>
    <x v="4"/>
    <n v="379.5"/>
    <n v="4"/>
    <x v="1"/>
    <x v="0"/>
  </r>
  <r>
    <x v="262"/>
    <n v="1"/>
    <x v="2"/>
    <n v="620"/>
    <x v="22"/>
    <x v="54"/>
    <x v="3"/>
    <x v="46"/>
    <x v="7"/>
    <n v="696.5"/>
    <n v="10"/>
    <x v="7"/>
    <x v="3"/>
  </r>
  <r>
    <x v="263"/>
    <n v="1"/>
    <x v="0"/>
    <n v="599"/>
    <x v="45"/>
    <x v="3"/>
    <x v="3"/>
    <x v="6"/>
    <x v="1"/>
    <n v="430"/>
    <n v="0"/>
    <x v="0"/>
    <x v="1"/>
  </r>
  <r>
    <x v="264"/>
    <n v="1"/>
    <x v="0"/>
    <n v="517"/>
    <x v="3"/>
    <x v="17"/>
    <x v="38"/>
    <x v="1"/>
    <x v="0"/>
    <n v="369"/>
    <n v="2"/>
    <x v="5"/>
    <x v="0"/>
  </r>
  <r>
    <x v="265"/>
    <n v="1"/>
    <x v="1"/>
    <n v="702"/>
    <x v="62"/>
    <x v="59"/>
    <x v="3"/>
    <x v="47"/>
    <x v="1"/>
    <n v="706.5"/>
    <n v="8"/>
    <x v="3"/>
    <x v="1"/>
  </r>
  <r>
    <x v="266"/>
    <n v="1"/>
    <x v="1"/>
    <n v="560"/>
    <x v="45"/>
    <x v="5"/>
    <x v="3"/>
    <x v="19"/>
    <x v="1"/>
    <n v="408"/>
    <n v="4"/>
    <x v="3"/>
    <x v="1"/>
  </r>
  <r>
    <x v="267"/>
    <n v="2"/>
    <x v="0"/>
    <n v="621"/>
    <x v="40"/>
    <x v="34"/>
    <x v="9"/>
    <x v="1"/>
    <x v="1"/>
    <n v="571.5"/>
    <n v="3"/>
    <x v="0"/>
    <x v="0"/>
  </r>
  <r>
    <x v="268"/>
    <n v="1"/>
    <x v="1"/>
    <n v="481"/>
    <x v="45"/>
    <x v="12"/>
    <x v="6"/>
    <x v="48"/>
    <x v="1"/>
    <n v="382"/>
    <n v="5"/>
    <x v="3"/>
    <x v="0"/>
  </r>
  <r>
    <x v="269"/>
    <n v="1"/>
    <x v="0"/>
    <n v="458"/>
    <x v="38"/>
    <x v="5"/>
    <x v="15"/>
    <x v="27"/>
    <x v="6"/>
    <n v="403"/>
    <n v="5"/>
    <x v="3"/>
    <x v="0"/>
  </r>
  <r>
    <x v="270"/>
    <n v="1"/>
    <x v="0"/>
    <n v="641"/>
    <x v="34"/>
    <x v="7"/>
    <x v="3"/>
    <x v="19"/>
    <x v="10"/>
    <n v="500"/>
    <n v="0"/>
    <x v="2"/>
    <x v="0"/>
  </r>
  <r>
    <x v="271"/>
    <n v="1"/>
    <x v="0"/>
    <n v="517"/>
    <x v="48"/>
    <x v="24"/>
    <x v="37"/>
    <x v="1"/>
    <x v="4"/>
    <n v="521"/>
    <n v="3"/>
    <x v="0"/>
    <x v="0"/>
  </r>
  <r>
    <x v="272"/>
    <n v="1"/>
    <x v="2"/>
    <n v="393"/>
    <x v="0"/>
    <x v="58"/>
    <x v="3"/>
    <x v="6"/>
    <x v="4"/>
    <n v="507.5"/>
    <n v="7"/>
    <x v="1"/>
    <x v="5"/>
  </r>
  <r>
    <x v="273"/>
    <n v="1"/>
    <x v="1"/>
    <n v="539"/>
    <x v="47"/>
    <x v="33"/>
    <x v="37"/>
    <x v="42"/>
    <x v="0"/>
    <n v="528"/>
    <n v="3"/>
    <x v="1"/>
    <x v="0"/>
  </r>
  <r>
    <x v="274"/>
    <n v="2"/>
    <x v="0"/>
    <n v="541"/>
    <x v="37"/>
    <x v="3"/>
    <x v="53"/>
    <x v="1"/>
    <x v="9"/>
    <n v="402.5"/>
    <n v="2"/>
    <x v="2"/>
    <x v="0"/>
  </r>
  <r>
    <x v="275"/>
    <n v="2"/>
    <x v="2"/>
    <n v="661"/>
    <x v="63"/>
    <x v="60"/>
    <x v="54"/>
    <x v="39"/>
    <x v="1"/>
    <n v="656.5"/>
    <n v="5"/>
    <x v="3"/>
    <x v="3"/>
  </r>
  <r>
    <x v="276"/>
    <n v="1"/>
    <x v="1"/>
    <n v="435"/>
    <x v="24"/>
    <x v="60"/>
    <x v="10"/>
    <x v="1"/>
    <x v="1"/>
    <n v="561"/>
    <n v="5"/>
    <x v="3"/>
    <x v="0"/>
  </r>
  <r>
    <x v="277"/>
    <n v="2"/>
    <x v="1"/>
    <n v="496"/>
    <x v="33"/>
    <x v="7"/>
    <x v="41"/>
    <x v="27"/>
    <x v="1"/>
    <n v="553"/>
    <n v="5"/>
    <x v="1"/>
    <x v="1"/>
  </r>
  <r>
    <x v="278"/>
    <n v="2"/>
    <x v="0"/>
    <n v="580"/>
    <x v="21"/>
    <x v="16"/>
    <x v="25"/>
    <x v="1"/>
    <x v="6"/>
    <n v="535.5"/>
    <n v="2"/>
    <x v="2"/>
    <x v="0"/>
  </r>
  <r>
    <x v="279"/>
    <n v="1"/>
    <x v="0"/>
    <n v="435"/>
    <x v="64"/>
    <x v="12"/>
    <x v="34"/>
    <x v="1"/>
    <x v="1"/>
    <n v="341"/>
    <n v="4"/>
    <x v="3"/>
    <x v="0"/>
  </r>
  <r>
    <x v="280"/>
    <n v="1"/>
    <x v="1"/>
    <n v="538"/>
    <x v="65"/>
    <x v="58"/>
    <x v="55"/>
    <x v="19"/>
    <x v="4"/>
    <n v="609"/>
    <n v="5"/>
    <x v="3"/>
    <x v="0"/>
  </r>
  <r>
    <x v="281"/>
    <n v="1"/>
    <x v="0"/>
    <n v="496"/>
    <x v="0"/>
    <x v="2"/>
    <x v="9"/>
    <x v="16"/>
    <x v="4"/>
    <n v="492.5"/>
    <n v="5"/>
    <x v="0"/>
    <x v="0"/>
  </r>
  <r>
    <x v="282"/>
    <n v="1"/>
    <x v="1"/>
    <n v="519"/>
    <x v="11"/>
    <x v="8"/>
    <x v="3"/>
    <x v="9"/>
    <x v="7"/>
    <n v="433"/>
    <n v="0"/>
    <x v="2"/>
    <x v="0"/>
  </r>
  <r>
    <x v="283"/>
    <n v="2"/>
    <x v="0"/>
    <n v="437"/>
    <x v="42"/>
    <x v="19"/>
    <x v="56"/>
    <x v="29"/>
    <x v="1"/>
    <n v="466"/>
    <n v="5"/>
    <x v="3"/>
    <x v="0"/>
  </r>
  <r>
    <x v="284"/>
    <n v="2"/>
    <x v="0"/>
    <n v="517"/>
    <x v="56"/>
    <x v="12"/>
    <x v="34"/>
    <x v="1"/>
    <x v="0"/>
    <n v="333"/>
    <n v="0"/>
    <x v="5"/>
    <x v="0"/>
  </r>
  <r>
    <x v="285"/>
    <n v="1"/>
    <x v="0"/>
    <n v="455"/>
    <x v="14"/>
    <x v="19"/>
    <x v="10"/>
    <x v="19"/>
    <x v="10"/>
    <n v="485"/>
    <n v="9"/>
    <x v="7"/>
    <x v="3"/>
  </r>
  <r>
    <x v="286"/>
    <n v="1"/>
    <x v="0"/>
    <n v="499"/>
    <x v="46"/>
    <x v="11"/>
    <x v="20"/>
    <x v="2"/>
    <x v="0"/>
    <n v="473"/>
    <n v="0"/>
    <x v="5"/>
    <x v="0"/>
  </r>
  <r>
    <x v="287"/>
    <n v="1"/>
    <x v="1"/>
    <n v="397"/>
    <x v="66"/>
    <x v="35"/>
    <x v="6"/>
    <x v="9"/>
    <x v="1"/>
    <n v="354.5"/>
    <n v="9"/>
    <x v="7"/>
    <x v="3"/>
  </r>
  <r>
    <x v="288"/>
    <n v="2"/>
    <x v="1"/>
    <n v="499"/>
    <x v="4"/>
    <x v="4"/>
    <x v="3"/>
    <x v="1"/>
    <x v="7"/>
    <n v="0"/>
    <n v="2"/>
    <x v="2"/>
    <x v="0"/>
  </r>
  <r>
    <x v="289"/>
    <n v="1"/>
    <x v="0"/>
    <n v="437"/>
    <x v="3"/>
    <x v="18"/>
    <x v="30"/>
    <x v="18"/>
    <x v="4"/>
    <n v="458"/>
    <n v="2"/>
    <x v="2"/>
    <x v="0"/>
  </r>
  <r>
    <x v="290"/>
    <n v="1"/>
    <x v="1"/>
    <n v="420"/>
    <x v="4"/>
    <x v="4"/>
    <x v="3"/>
    <x v="1"/>
    <x v="0"/>
    <n v="0"/>
    <n v="0"/>
    <x v="5"/>
    <x v="0"/>
  </r>
  <r>
    <x v="291"/>
    <n v="2"/>
    <x v="0"/>
    <n v="560"/>
    <x v="46"/>
    <x v="8"/>
    <x v="33"/>
    <x v="1"/>
    <x v="1"/>
    <n v="439"/>
    <n v="3"/>
    <x v="2"/>
    <x v="0"/>
  </r>
  <r>
    <x v="292"/>
    <n v="1"/>
    <x v="0"/>
    <n v="458"/>
    <x v="4"/>
    <x v="4"/>
    <x v="3"/>
    <x v="1"/>
    <x v="1"/>
    <n v="0"/>
    <n v="3"/>
    <x v="3"/>
    <x v="0"/>
  </r>
  <r>
    <x v="293"/>
    <n v="2"/>
    <x v="1"/>
    <n v="376"/>
    <x v="17"/>
    <x v="4"/>
    <x v="18"/>
    <x v="42"/>
    <x v="7"/>
    <n v="207.5"/>
    <n v="2"/>
    <x v="2"/>
    <x v="0"/>
  </r>
  <r>
    <x v="294"/>
    <n v="1"/>
    <x v="0"/>
    <n v="539"/>
    <x v="4"/>
    <x v="4"/>
    <x v="3"/>
    <x v="1"/>
    <x v="4"/>
    <n v="0"/>
    <n v="2"/>
    <x v="1"/>
    <x v="0"/>
  </r>
  <r>
    <x v="295"/>
    <n v="2"/>
    <x v="1"/>
    <n v="560"/>
    <x v="12"/>
    <x v="18"/>
    <x v="6"/>
    <x v="1"/>
    <x v="4"/>
    <n v="409.5"/>
    <n v="0"/>
    <x v="2"/>
    <x v="0"/>
  </r>
  <r>
    <x v="296"/>
    <n v="1"/>
    <x v="0"/>
    <n v="496"/>
    <x v="3"/>
    <x v="33"/>
    <x v="3"/>
    <x v="4"/>
    <x v="4"/>
    <n v="472"/>
    <n v="4"/>
    <x v="2"/>
    <x v="0"/>
  </r>
  <r>
    <x v="297"/>
    <n v="1"/>
    <x v="0"/>
    <n v="539"/>
    <x v="4"/>
    <x v="4"/>
    <x v="3"/>
    <x v="1"/>
    <x v="5"/>
    <n v="0"/>
    <n v="2"/>
    <x v="0"/>
    <x v="0"/>
  </r>
  <r>
    <x v="298"/>
    <n v="1"/>
    <x v="1"/>
    <n v="435"/>
    <x v="4"/>
    <x v="4"/>
    <x v="3"/>
    <x v="1"/>
    <x v="4"/>
    <n v="0"/>
    <n v="3"/>
    <x v="7"/>
    <x v="1"/>
  </r>
  <r>
    <x v="299"/>
    <n v="2"/>
    <x v="1"/>
    <n v="460"/>
    <x v="3"/>
    <x v="8"/>
    <x v="3"/>
    <x v="18"/>
    <x v="3"/>
    <n v="429.5"/>
    <n v="2"/>
    <x v="3"/>
    <x v="0"/>
  </r>
  <r>
    <x v="300"/>
    <n v="1"/>
    <x v="0"/>
    <n v="417"/>
    <x v="67"/>
    <x v="58"/>
    <x v="21"/>
    <x v="21"/>
    <x v="4"/>
    <n v="593"/>
    <n v="4"/>
    <x v="3"/>
    <x v="0"/>
  </r>
  <r>
    <x v="301"/>
    <n v="2"/>
    <x v="1"/>
    <n v="397"/>
    <x v="4"/>
    <x v="4"/>
    <x v="3"/>
    <x v="1"/>
    <x v="0"/>
    <n v="0"/>
    <n v="1"/>
    <x v="4"/>
    <x v="0"/>
  </r>
  <r>
    <x v="302"/>
    <n v="1"/>
    <x v="1"/>
    <n v="539"/>
    <x v="4"/>
    <x v="4"/>
    <x v="3"/>
    <x v="1"/>
    <x v="6"/>
    <n v="0"/>
    <n v="2"/>
    <x v="1"/>
    <x v="0"/>
  </r>
  <r>
    <x v="303"/>
    <n v="1"/>
    <x v="0"/>
    <n v="580"/>
    <x v="66"/>
    <x v="12"/>
    <x v="29"/>
    <x v="1"/>
    <x v="0"/>
    <n v="366"/>
    <n v="0"/>
    <x v="5"/>
    <x v="0"/>
  </r>
  <r>
    <x v="304"/>
    <n v="1"/>
    <x v="0"/>
    <n v="641"/>
    <x v="68"/>
    <x v="49"/>
    <x v="57"/>
    <x v="1"/>
    <x v="6"/>
    <n v="716"/>
    <n v="9"/>
    <x v="9"/>
    <x v="0"/>
  </r>
  <r>
    <x v="305"/>
    <n v="1"/>
    <x v="1"/>
    <n v="642"/>
    <x v="39"/>
    <x v="2"/>
    <x v="58"/>
    <x v="44"/>
    <x v="6"/>
    <n v="601"/>
    <n v="5"/>
    <x v="3"/>
    <x v="0"/>
  </r>
  <r>
    <x v="306"/>
    <n v="1"/>
    <x v="1"/>
    <n v="538"/>
    <x v="1"/>
    <x v="46"/>
    <x v="43"/>
    <x v="37"/>
    <x v="4"/>
    <n v="652"/>
    <n v="5"/>
    <x v="10"/>
    <x v="0"/>
  </r>
  <r>
    <x v="307"/>
    <n v="2"/>
    <x v="0"/>
    <n v="414"/>
    <x v="28"/>
    <x v="55"/>
    <x v="26"/>
    <x v="1"/>
    <x v="1"/>
    <n v="255"/>
    <n v="3"/>
    <x v="0"/>
    <x v="0"/>
  </r>
  <r>
    <x v="308"/>
    <n v="2"/>
    <x v="0"/>
    <n v="0"/>
    <x v="4"/>
    <x v="4"/>
    <x v="3"/>
    <x v="1"/>
    <x v="1"/>
    <n v="0"/>
    <n v="2"/>
    <x v="0"/>
    <x v="0"/>
  </r>
  <r>
    <x v="309"/>
    <n v="2"/>
    <x v="0"/>
    <n v="582"/>
    <x v="4"/>
    <x v="4"/>
    <x v="3"/>
    <x v="1"/>
    <x v="1"/>
    <n v="0"/>
    <n v="5"/>
    <x v="3"/>
    <x v="0"/>
  </r>
  <r>
    <x v="310"/>
    <n v="1"/>
    <x v="0"/>
    <n v="455"/>
    <x v="4"/>
    <x v="4"/>
    <x v="3"/>
    <x v="1"/>
    <x v="3"/>
    <n v="0"/>
    <n v="4"/>
    <x v="3"/>
    <x v="0"/>
  </r>
  <r>
    <x v="311"/>
    <n v="1"/>
    <x v="0"/>
    <n v="478"/>
    <x v="17"/>
    <x v="3"/>
    <x v="36"/>
    <x v="1"/>
    <x v="4"/>
    <n v="443.5"/>
    <n v="2"/>
    <x v="3"/>
    <x v="0"/>
  </r>
  <r>
    <x v="312"/>
    <n v="1"/>
    <x v="0"/>
    <n v="560"/>
    <x v="51"/>
    <x v="33"/>
    <x v="3"/>
    <x v="48"/>
    <x v="7"/>
    <n v="451"/>
    <n v="4"/>
    <x v="2"/>
    <x v="0"/>
  </r>
  <r>
    <x v="313"/>
    <n v="1"/>
    <x v="1"/>
    <n v="356"/>
    <x v="4"/>
    <x v="4"/>
    <x v="3"/>
    <x v="1"/>
    <x v="1"/>
    <n v="0"/>
    <n v="2"/>
    <x v="1"/>
    <x v="0"/>
  </r>
  <r>
    <x v="314"/>
    <n v="2"/>
    <x v="1"/>
    <n v="478"/>
    <x v="35"/>
    <x v="55"/>
    <x v="34"/>
    <x v="1"/>
    <x v="4"/>
    <n v="296.5"/>
    <n v="2"/>
    <x v="2"/>
    <x v="0"/>
  </r>
  <r>
    <x v="315"/>
    <n v="2"/>
    <x v="1"/>
    <n v="481"/>
    <x v="4"/>
    <x v="4"/>
    <x v="3"/>
    <x v="1"/>
    <x v="4"/>
    <n v="0"/>
    <n v="4"/>
    <x v="3"/>
    <x v="0"/>
  </r>
  <r>
    <x v="316"/>
    <n v="2"/>
    <x v="1"/>
    <n v="662"/>
    <x v="30"/>
    <x v="0"/>
    <x v="3"/>
    <x v="11"/>
    <x v="6"/>
    <n v="494"/>
    <n v="4"/>
    <x v="1"/>
    <x v="0"/>
  </r>
  <r>
    <x v="317"/>
    <n v="2"/>
    <x v="1"/>
    <n v="601"/>
    <x v="4"/>
    <x v="4"/>
    <x v="3"/>
    <x v="1"/>
    <x v="4"/>
    <n v="0"/>
    <n v="5"/>
    <x v="3"/>
    <x v="0"/>
  </r>
  <r>
    <x v="318"/>
    <n v="2"/>
    <x v="0"/>
    <n v="496"/>
    <x v="18"/>
    <x v="0"/>
    <x v="3"/>
    <x v="6"/>
    <x v="6"/>
    <n v="481"/>
    <n v="4"/>
    <x v="1"/>
    <x v="0"/>
  </r>
  <r>
    <x v="319"/>
    <n v="1"/>
    <x v="0"/>
    <n v="458"/>
    <x v="21"/>
    <x v="31"/>
    <x v="10"/>
    <x v="1"/>
    <x v="1"/>
    <n v="472"/>
    <n v="5"/>
    <x v="1"/>
    <x v="0"/>
  </r>
  <r>
    <x v="320"/>
    <n v="1"/>
    <x v="1"/>
    <n v="0"/>
    <x v="4"/>
    <x v="4"/>
    <x v="3"/>
    <x v="1"/>
    <x v="1"/>
    <n v="0"/>
    <n v="5"/>
    <x v="3"/>
    <x v="0"/>
  </r>
  <r>
    <x v="321"/>
    <n v="2"/>
    <x v="0"/>
    <n v="435"/>
    <x v="38"/>
    <x v="31"/>
    <x v="3"/>
    <x v="5"/>
    <x v="1"/>
    <n v="395.5"/>
    <n v="5"/>
    <x v="3"/>
    <x v="0"/>
  </r>
  <r>
    <x v="322"/>
    <n v="2"/>
    <x v="0"/>
    <n v="539"/>
    <x v="35"/>
    <x v="29"/>
    <x v="4"/>
    <x v="1"/>
    <x v="1"/>
    <n v="336.5"/>
    <n v="2"/>
    <x v="1"/>
    <x v="0"/>
  </r>
  <r>
    <x v="323"/>
    <n v="1"/>
    <x v="0"/>
    <n v="455"/>
    <x v="31"/>
    <x v="31"/>
    <x v="7"/>
    <x v="2"/>
    <x v="6"/>
    <n v="409.5"/>
    <n v="5"/>
    <x v="3"/>
    <x v="0"/>
  </r>
  <r>
    <x v="324"/>
    <n v="2"/>
    <x v="0"/>
    <n v="517"/>
    <x v="66"/>
    <x v="29"/>
    <x v="6"/>
    <x v="42"/>
    <x v="1"/>
    <n v="342"/>
    <n v="2"/>
    <x v="1"/>
    <x v="0"/>
  </r>
  <r>
    <x v="325"/>
    <n v="2"/>
    <x v="2"/>
    <n v="455"/>
    <x v="32"/>
    <x v="22"/>
    <x v="59"/>
    <x v="1"/>
    <x v="1"/>
    <n v="582.5"/>
    <n v="5"/>
    <x v="3"/>
    <x v="1"/>
  </r>
  <r>
    <x v="326"/>
    <n v="2"/>
    <x v="0"/>
    <n v="455"/>
    <x v="43"/>
    <x v="19"/>
    <x v="15"/>
    <x v="21"/>
    <x v="4"/>
    <n v="469"/>
    <n v="3"/>
    <x v="0"/>
    <x v="0"/>
  </r>
  <r>
    <x v="327"/>
    <n v="2"/>
    <x v="0"/>
    <n v="620"/>
    <x v="14"/>
    <x v="26"/>
    <x v="3"/>
    <x v="28"/>
    <x v="4"/>
    <n v="481.5"/>
    <n v="5"/>
    <x v="3"/>
    <x v="0"/>
  </r>
  <r>
    <x v="328"/>
    <n v="1"/>
    <x v="1"/>
    <n v="299"/>
    <x v="4"/>
    <x v="4"/>
    <x v="3"/>
    <x v="1"/>
    <x v="1"/>
    <n v="0"/>
    <n v="8"/>
    <x v="3"/>
    <x v="0"/>
  </r>
  <r>
    <x v="329"/>
    <n v="1"/>
    <x v="0"/>
    <n v="0"/>
    <x v="4"/>
    <x v="4"/>
    <x v="3"/>
    <x v="1"/>
    <x v="10"/>
    <n v="0"/>
    <n v="0"/>
    <x v="5"/>
    <x v="0"/>
  </r>
  <r>
    <x v="330"/>
    <n v="2"/>
    <x v="0"/>
    <n v="620"/>
    <x v="2"/>
    <x v="56"/>
    <x v="3"/>
    <x v="38"/>
    <x v="4"/>
    <n v="585"/>
    <n v="9"/>
    <x v="3"/>
    <x v="1"/>
  </r>
  <r>
    <x v="331"/>
    <n v="2"/>
    <x v="1"/>
    <n v="641"/>
    <x v="11"/>
    <x v="31"/>
    <x v="20"/>
    <x v="1"/>
    <x v="4"/>
    <n v="442"/>
    <n v="5"/>
    <x v="2"/>
    <x v="0"/>
  </r>
  <r>
    <x v="332"/>
    <n v="2"/>
    <x v="1"/>
    <n v="435"/>
    <x v="46"/>
    <x v="29"/>
    <x v="33"/>
    <x v="28"/>
    <x v="1"/>
    <n v="405.5"/>
    <n v="5"/>
    <x v="10"/>
    <x v="3"/>
  </r>
  <r>
    <x v="333"/>
    <n v="1"/>
    <x v="0"/>
    <n v="437"/>
    <x v="30"/>
    <x v="37"/>
    <x v="16"/>
    <x v="1"/>
    <x v="4"/>
    <n v="526.5"/>
    <n v="4"/>
    <x v="1"/>
    <x v="0"/>
  </r>
  <r>
    <x v="334"/>
    <n v="1"/>
    <x v="0"/>
    <n v="414"/>
    <x v="17"/>
    <x v="31"/>
    <x v="38"/>
    <x v="1"/>
    <x v="1"/>
    <n v="414"/>
    <n v="3"/>
    <x v="0"/>
    <x v="1"/>
  </r>
  <r>
    <x v="335"/>
    <n v="2"/>
    <x v="0"/>
    <n v="579"/>
    <x v="30"/>
    <x v="39"/>
    <x v="10"/>
    <x v="1"/>
    <x v="1"/>
    <n v="535"/>
    <n v="8"/>
    <x v="8"/>
    <x v="0"/>
  </r>
  <r>
    <x v="336"/>
    <n v="1"/>
    <x v="1"/>
    <n v="539"/>
    <x v="0"/>
    <x v="17"/>
    <x v="15"/>
    <x v="1"/>
    <x v="0"/>
    <n v="366"/>
    <n v="0"/>
    <x v="5"/>
    <x v="0"/>
  </r>
  <r>
    <x v="337"/>
    <n v="1"/>
    <x v="1"/>
    <n v="496"/>
    <x v="69"/>
    <x v="61"/>
    <x v="60"/>
    <x v="49"/>
    <x v="0"/>
    <n v="623.5"/>
    <n v="0"/>
    <x v="5"/>
    <x v="0"/>
  </r>
  <r>
    <x v="338"/>
    <n v="1"/>
    <x v="0"/>
    <n v="435"/>
    <x v="43"/>
    <x v="29"/>
    <x v="8"/>
    <x v="1"/>
    <x v="1"/>
    <n v="386"/>
    <n v="5"/>
    <x v="3"/>
    <x v="1"/>
  </r>
  <r>
    <x v="339"/>
    <n v="1"/>
    <x v="1"/>
    <n v="560"/>
    <x v="4"/>
    <x v="4"/>
    <x v="3"/>
    <x v="1"/>
    <x v="0"/>
    <n v="0"/>
    <n v="0"/>
    <x v="5"/>
    <x v="0"/>
  </r>
  <r>
    <x v="340"/>
    <n v="1"/>
    <x v="1"/>
    <n v="481"/>
    <x v="44"/>
    <x v="33"/>
    <x v="32"/>
    <x v="28"/>
    <x v="4"/>
    <n v="495"/>
    <n v="8"/>
    <x v="3"/>
    <x v="0"/>
  </r>
  <r>
    <x v="341"/>
    <n v="1"/>
    <x v="1"/>
    <n v="519"/>
    <x v="58"/>
    <x v="31"/>
    <x v="28"/>
    <x v="1"/>
    <x v="9"/>
    <n v="344.5"/>
    <n v="7"/>
    <x v="3"/>
    <x v="0"/>
  </r>
  <r>
    <x v="342"/>
    <n v="1"/>
    <x v="0"/>
    <n v="455"/>
    <x v="18"/>
    <x v="19"/>
    <x v="60"/>
    <x v="1"/>
    <x v="4"/>
    <n v="507.5"/>
    <n v="9"/>
    <x v="3"/>
    <x v="1"/>
  </r>
  <r>
    <x v="343"/>
    <n v="1"/>
    <x v="0"/>
    <n v="435"/>
    <x v="12"/>
    <x v="8"/>
    <x v="31"/>
    <x v="1"/>
    <x v="0"/>
    <n v="381"/>
    <n v="9"/>
    <x v="7"/>
    <x v="1"/>
  </r>
  <r>
    <x v="344"/>
    <n v="2"/>
    <x v="1"/>
    <n v="702"/>
    <x v="32"/>
    <x v="45"/>
    <x v="3"/>
    <x v="38"/>
    <x v="4"/>
    <n v="644"/>
    <n v="4"/>
    <x v="1"/>
    <x v="0"/>
  </r>
  <r>
    <x v="345"/>
    <n v="2"/>
    <x v="0"/>
    <n v="538"/>
    <x v="47"/>
    <x v="31"/>
    <x v="61"/>
    <x v="1"/>
    <x v="4"/>
    <n v="494.5"/>
    <n v="9"/>
    <x v="0"/>
    <x v="1"/>
  </r>
  <r>
    <x v="346"/>
    <n v="2"/>
    <x v="0"/>
    <n v="661"/>
    <x v="57"/>
    <x v="44"/>
    <x v="3"/>
    <x v="43"/>
    <x v="1"/>
    <n v="619"/>
    <n v="9"/>
    <x v="7"/>
    <x v="1"/>
  </r>
  <r>
    <x v="347"/>
    <n v="2"/>
    <x v="1"/>
    <n v="702"/>
    <x v="6"/>
    <x v="59"/>
    <x v="3"/>
    <x v="50"/>
    <x v="1"/>
    <n v="639.5"/>
    <n v="5"/>
    <x v="3"/>
    <x v="1"/>
  </r>
  <r>
    <x v="348"/>
    <n v="1"/>
    <x v="1"/>
    <n v="319"/>
    <x v="11"/>
    <x v="33"/>
    <x v="29"/>
    <x v="1"/>
    <x v="6"/>
    <n v="475.5"/>
    <n v="4"/>
    <x v="3"/>
    <x v="0"/>
  </r>
  <r>
    <x v="349"/>
    <n v="1"/>
    <x v="0"/>
    <n v="397"/>
    <x v="4"/>
    <x v="4"/>
    <x v="3"/>
    <x v="1"/>
    <x v="6"/>
    <n v="0"/>
    <n v="3"/>
    <x v="0"/>
    <x v="0"/>
  </r>
  <r>
    <x v="350"/>
    <n v="2"/>
    <x v="0"/>
    <n v="455"/>
    <x v="12"/>
    <x v="26"/>
    <x v="34"/>
    <x v="40"/>
    <x v="4"/>
    <n v="427"/>
    <n v="2"/>
    <x v="0"/>
    <x v="0"/>
  </r>
  <r>
    <x v="351"/>
    <n v="2"/>
    <x v="0"/>
    <n v="435"/>
    <x v="64"/>
    <x v="5"/>
    <x v="62"/>
    <x v="1"/>
    <x v="7"/>
    <n v="367"/>
    <n v="2"/>
    <x v="2"/>
    <x v="0"/>
  </r>
  <r>
    <x v="352"/>
    <n v="1"/>
    <x v="0"/>
    <n v="599"/>
    <x v="51"/>
    <x v="33"/>
    <x v="38"/>
    <x v="1"/>
    <x v="4"/>
    <n v="451"/>
    <n v="4"/>
    <x v="1"/>
    <x v="0"/>
  </r>
  <r>
    <x v="353"/>
    <n v="2"/>
    <x v="0"/>
    <n v="458"/>
    <x v="12"/>
    <x v="35"/>
    <x v="53"/>
    <x v="1"/>
    <x v="1"/>
    <n v="360"/>
    <n v="3"/>
    <x v="3"/>
    <x v="0"/>
  </r>
  <r>
    <x v="354"/>
    <n v="1"/>
    <x v="1"/>
    <n v="359"/>
    <x v="58"/>
    <x v="35"/>
    <x v="22"/>
    <x v="1"/>
    <x v="10"/>
    <n v="314.5"/>
    <n v="1"/>
    <x v="1"/>
    <x v="0"/>
  </r>
  <r>
    <x v="355"/>
    <n v="2"/>
    <x v="0"/>
    <n v="0"/>
    <x v="4"/>
    <x v="4"/>
    <x v="3"/>
    <x v="1"/>
    <x v="6"/>
    <n v="0"/>
    <n v="2"/>
    <x v="2"/>
    <x v="1"/>
  </r>
  <r>
    <x v="356"/>
    <n v="2"/>
    <x v="0"/>
    <n v="560"/>
    <x v="23"/>
    <x v="27"/>
    <x v="3"/>
    <x v="33"/>
    <x v="4"/>
    <n v="553.5"/>
    <n v="4"/>
    <x v="0"/>
    <x v="0"/>
  </r>
  <r>
    <x v="357"/>
    <n v="1"/>
    <x v="0"/>
    <n v="437"/>
    <x v="31"/>
    <x v="8"/>
    <x v="0"/>
    <x v="1"/>
    <x v="1"/>
    <n v="400.5"/>
    <n v="0"/>
    <x v="5"/>
    <x v="0"/>
  </r>
  <r>
    <x v="358"/>
    <n v="1"/>
    <x v="0"/>
    <n v="499"/>
    <x v="42"/>
    <x v="28"/>
    <x v="63"/>
    <x v="1"/>
    <x v="1"/>
    <n v="491.5"/>
    <n v="9"/>
    <x v="1"/>
    <x v="0"/>
  </r>
  <r>
    <x v="359"/>
    <n v="2"/>
    <x v="0"/>
    <n v="476"/>
    <x v="44"/>
    <x v="0"/>
    <x v="3"/>
    <x v="5"/>
    <x v="6"/>
    <n v="475.5"/>
    <n v="3"/>
    <x v="1"/>
    <x v="0"/>
  </r>
  <r>
    <x v="360"/>
    <n v="1"/>
    <x v="0"/>
    <n v="519"/>
    <x v="3"/>
    <x v="37"/>
    <x v="64"/>
    <x v="1"/>
    <x v="3"/>
    <n v="485"/>
    <n v="4"/>
    <x v="2"/>
    <x v="0"/>
  </r>
  <r>
    <x v="361"/>
    <n v="2"/>
    <x v="0"/>
    <n v="455"/>
    <x v="48"/>
    <x v="35"/>
    <x v="25"/>
    <x v="1"/>
    <x v="4"/>
    <n v="447"/>
    <n v="4"/>
    <x v="1"/>
    <x v="0"/>
  </r>
  <r>
    <x v="362"/>
    <n v="2"/>
    <x v="0"/>
    <n v="538"/>
    <x v="64"/>
    <x v="33"/>
    <x v="28"/>
    <x v="1"/>
    <x v="6"/>
    <n v="393"/>
    <n v="2"/>
    <x v="2"/>
    <x v="0"/>
  </r>
  <r>
    <x v="363"/>
    <n v="2"/>
    <x v="0"/>
    <n v="335"/>
    <x v="4"/>
    <x v="4"/>
    <x v="3"/>
    <x v="1"/>
    <x v="3"/>
    <n v="0"/>
    <n v="4"/>
    <x v="2"/>
    <x v="0"/>
  </r>
  <r>
    <x v="364"/>
    <n v="1"/>
    <x v="1"/>
    <n v="420"/>
    <x v="51"/>
    <x v="33"/>
    <x v="3"/>
    <x v="40"/>
    <x v="4"/>
    <n v="451"/>
    <n v="7"/>
    <x v="8"/>
    <x v="1"/>
  </r>
  <r>
    <x v="365"/>
    <n v="2"/>
    <x v="0"/>
    <n v="455"/>
    <x v="3"/>
    <x v="29"/>
    <x v="34"/>
    <x v="1"/>
    <x v="4"/>
    <n v="396"/>
    <n v="5"/>
    <x v="1"/>
    <x v="0"/>
  </r>
  <r>
    <x v="366"/>
    <n v="1"/>
    <x v="0"/>
    <n v="579"/>
    <x v="41"/>
    <x v="24"/>
    <x v="0"/>
    <x v="1"/>
    <x v="4"/>
    <n v="465.5"/>
    <n v="5"/>
    <x v="1"/>
    <x v="0"/>
  </r>
  <r>
    <x v="367"/>
    <n v="1"/>
    <x v="1"/>
    <n v="417"/>
    <x v="3"/>
    <x v="24"/>
    <x v="3"/>
    <x v="34"/>
    <x v="4"/>
    <n v="482.5"/>
    <n v="4"/>
    <x v="1"/>
    <x v="0"/>
  </r>
  <r>
    <x v="368"/>
    <n v="2"/>
    <x v="0"/>
    <n v="496"/>
    <x v="31"/>
    <x v="11"/>
    <x v="29"/>
    <x v="1"/>
    <x v="4"/>
    <n v="434.5"/>
    <n v="9"/>
    <x v="10"/>
    <x v="1"/>
  </r>
  <r>
    <x v="369"/>
    <n v="2"/>
    <x v="0"/>
    <n v="435"/>
    <x v="35"/>
    <x v="8"/>
    <x v="3"/>
    <x v="35"/>
    <x v="1"/>
    <n v="370"/>
    <n v="3"/>
    <x v="1"/>
    <x v="0"/>
  </r>
  <r>
    <x v="370"/>
    <n v="1"/>
    <x v="1"/>
    <n v="521"/>
    <x v="2"/>
    <x v="39"/>
    <x v="9"/>
    <x v="1"/>
    <x v="0"/>
    <n v="552"/>
    <n v="0"/>
    <x v="5"/>
    <x v="1"/>
  </r>
  <r>
    <x v="371"/>
    <n v="1"/>
    <x v="2"/>
    <n v="558"/>
    <x v="5"/>
    <x v="27"/>
    <x v="4"/>
    <x v="44"/>
    <x v="1"/>
    <n v="512"/>
    <n v="9"/>
    <x v="7"/>
    <x v="3"/>
  </r>
  <r>
    <x v="372"/>
    <n v="1"/>
    <x v="1"/>
    <n v="440"/>
    <x v="54"/>
    <x v="25"/>
    <x v="46"/>
    <x v="1"/>
    <x v="6"/>
    <n v="557"/>
    <n v="9"/>
    <x v="10"/>
    <x v="1"/>
  </r>
  <r>
    <x v="373"/>
    <n v="2"/>
    <x v="1"/>
    <n v="723"/>
    <x v="70"/>
    <x v="44"/>
    <x v="65"/>
    <x v="28"/>
    <x v="3"/>
    <n v="661"/>
    <n v="9"/>
    <x v="9"/>
    <x v="5"/>
  </r>
  <r>
    <x v="374"/>
    <n v="1"/>
    <x v="0"/>
    <n v="539"/>
    <x v="64"/>
    <x v="39"/>
    <x v="31"/>
    <x v="35"/>
    <x v="1"/>
    <n v="414.5"/>
    <n v="4"/>
    <x v="1"/>
    <x v="0"/>
  </r>
  <r>
    <x v="375"/>
    <n v="1"/>
    <x v="0"/>
    <n v="496"/>
    <x v="38"/>
    <x v="3"/>
    <x v="10"/>
    <x v="1"/>
    <x v="1"/>
    <n v="425"/>
    <n v="5"/>
    <x v="2"/>
    <x v="0"/>
  </r>
  <r>
    <x v="376"/>
    <n v="2"/>
    <x v="1"/>
    <n v="420"/>
    <x v="17"/>
    <x v="40"/>
    <x v="0"/>
    <x v="1"/>
    <x v="5"/>
    <n v="357.5"/>
    <n v="5"/>
    <x v="1"/>
    <x v="0"/>
  </r>
  <r>
    <x v="377"/>
    <n v="2"/>
    <x v="0"/>
    <n v="519"/>
    <x v="43"/>
    <x v="33"/>
    <x v="30"/>
    <x v="1"/>
    <x v="3"/>
    <n v="462"/>
    <n v="2"/>
    <x v="0"/>
    <x v="0"/>
  </r>
  <r>
    <x v="378"/>
    <n v="1"/>
    <x v="1"/>
    <n v="0"/>
    <x v="4"/>
    <x v="4"/>
    <x v="3"/>
    <x v="1"/>
    <x v="4"/>
    <n v="0"/>
    <n v="5"/>
    <x v="1"/>
    <x v="0"/>
  </r>
  <r>
    <x v="379"/>
    <n v="2"/>
    <x v="0"/>
    <n v="437"/>
    <x v="41"/>
    <x v="12"/>
    <x v="50"/>
    <x v="1"/>
    <x v="10"/>
    <n v="403"/>
    <n v="1"/>
    <x v="1"/>
    <x v="0"/>
  </r>
  <r>
    <x v="380"/>
    <n v="2"/>
    <x v="1"/>
    <n v="414"/>
    <x v="42"/>
    <x v="29"/>
    <x v="34"/>
    <x v="1"/>
    <x v="1"/>
    <n v="383"/>
    <n v="7"/>
    <x v="7"/>
    <x v="1"/>
  </r>
  <r>
    <x v="381"/>
    <n v="1"/>
    <x v="1"/>
    <n v="356"/>
    <x v="33"/>
    <x v="33"/>
    <x v="40"/>
    <x v="1"/>
    <x v="7"/>
    <n v="518.5"/>
    <n v="5"/>
    <x v="1"/>
    <x v="0"/>
  </r>
  <r>
    <x v="382"/>
    <n v="2"/>
    <x v="0"/>
    <n v="558"/>
    <x v="3"/>
    <x v="39"/>
    <x v="3"/>
    <x v="44"/>
    <x v="3"/>
    <n v="493.5"/>
    <n v="9"/>
    <x v="3"/>
    <x v="1"/>
  </r>
  <r>
    <x v="383"/>
    <n v="2"/>
    <x v="2"/>
    <n v="702"/>
    <x v="69"/>
    <x v="7"/>
    <x v="3"/>
    <x v="51"/>
    <x v="4"/>
    <n v="608.5"/>
    <n v="9"/>
    <x v="7"/>
    <x v="2"/>
  </r>
  <r>
    <x v="384"/>
    <n v="1"/>
    <x v="1"/>
    <n v="538"/>
    <x v="47"/>
    <x v="34"/>
    <x v="10"/>
    <x v="1"/>
    <x v="4"/>
    <n v="579"/>
    <n v="9"/>
    <x v="10"/>
    <x v="0"/>
  </r>
  <r>
    <x v="385"/>
    <n v="1"/>
    <x v="1"/>
    <n v="440"/>
    <x v="12"/>
    <x v="35"/>
    <x v="30"/>
    <x v="1"/>
    <x v="6"/>
    <n v="360"/>
    <n v="9"/>
    <x v="7"/>
    <x v="0"/>
  </r>
  <r>
    <x v="386"/>
    <n v="2"/>
    <x v="0"/>
    <n v="478"/>
    <x v="4"/>
    <x v="4"/>
    <x v="3"/>
    <x v="1"/>
    <x v="10"/>
    <n v="0"/>
    <n v="2"/>
    <x v="2"/>
    <x v="0"/>
  </r>
  <r>
    <x v="387"/>
    <n v="2"/>
    <x v="0"/>
    <n v="458"/>
    <x v="4"/>
    <x v="4"/>
    <x v="3"/>
    <x v="1"/>
    <x v="6"/>
    <n v="0"/>
    <n v="1"/>
    <x v="3"/>
    <x v="0"/>
  </r>
  <r>
    <x v="388"/>
    <n v="2"/>
    <x v="1"/>
    <n v="458"/>
    <x v="4"/>
    <x v="4"/>
    <x v="3"/>
    <x v="1"/>
    <x v="3"/>
    <n v="0"/>
    <n v="3"/>
    <x v="0"/>
    <x v="0"/>
  </r>
  <r>
    <x v="389"/>
    <n v="2"/>
    <x v="1"/>
    <n v="400"/>
    <x v="38"/>
    <x v="31"/>
    <x v="52"/>
    <x v="48"/>
    <x v="1"/>
    <n v="395.5"/>
    <n v="5"/>
    <x v="3"/>
    <x v="1"/>
  </r>
  <r>
    <x v="390"/>
    <n v="1"/>
    <x v="1"/>
    <n v="521"/>
    <x v="45"/>
    <x v="8"/>
    <x v="6"/>
    <x v="1"/>
    <x v="8"/>
    <n v="391.5"/>
    <n v="5"/>
    <x v="5"/>
    <x v="0"/>
  </r>
  <r>
    <x v="391"/>
    <n v="2"/>
    <x v="1"/>
    <n v="539"/>
    <x v="71"/>
    <x v="8"/>
    <x v="52"/>
    <x v="1"/>
    <x v="7"/>
    <n v="306.5"/>
    <n v="1"/>
    <x v="2"/>
    <x v="0"/>
  </r>
  <r>
    <x v="392"/>
    <n v="1"/>
    <x v="0"/>
    <n v="0"/>
    <x v="4"/>
    <x v="4"/>
    <x v="3"/>
    <x v="1"/>
    <x v="1"/>
    <n v="0"/>
    <n v="5"/>
    <x v="3"/>
    <x v="0"/>
  </r>
  <r>
    <x v="393"/>
    <n v="1"/>
    <x v="0"/>
    <n v="539"/>
    <x v="7"/>
    <x v="3"/>
    <x v="11"/>
    <x v="1"/>
    <x v="4"/>
    <n v="485.5"/>
    <n v="4"/>
    <x v="1"/>
    <x v="0"/>
  </r>
  <r>
    <x v="394"/>
    <n v="1"/>
    <x v="2"/>
    <n v="393"/>
    <x v="47"/>
    <x v="2"/>
    <x v="40"/>
    <x v="1"/>
    <x v="1"/>
    <n v="551.5"/>
    <n v="8"/>
    <x v="7"/>
    <x v="2"/>
  </r>
  <r>
    <x v="395"/>
    <n v="1"/>
    <x v="0"/>
    <n v="620"/>
    <x v="54"/>
    <x v="62"/>
    <x v="45"/>
    <x v="52"/>
    <x v="4"/>
    <n v="597.5"/>
    <n v="4"/>
    <x v="2"/>
    <x v="0"/>
  </r>
  <r>
    <x v="396"/>
    <n v="1"/>
    <x v="1"/>
    <n v="499"/>
    <x v="4"/>
    <x v="4"/>
    <x v="3"/>
    <x v="1"/>
    <x v="4"/>
    <n v="0"/>
    <n v="2"/>
    <x v="1"/>
    <x v="0"/>
  </r>
  <r>
    <x v="397"/>
    <n v="2"/>
    <x v="0"/>
    <n v="641"/>
    <x v="34"/>
    <x v="3"/>
    <x v="11"/>
    <x v="19"/>
    <x v="4"/>
    <n v="461.5"/>
    <n v="5"/>
    <x v="2"/>
    <x v="0"/>
  </r>
  <r>
    <x v="398"/>
    <n v="2"/>
    <x v="1"/>
    <n v="420"/>
    <x v="36"/>
    <x v="8"/>
    <x v="7"/>
    <x v="40"/>
    <x v="5"/>
    <n v="396"/>
    <n v="9"/>
    <x v="9"/>
    <x v="1"/>
  </r>
  <r>
    <x v="399"/>
    <n v="1"/>
    <x v="0"/>
    <n v="499"/>
    <x v="7"/>
    <x v="28"/>
    <x v="23"/>
    <x v="1"/>
    <x v="1"/>
    <n v="522"/>
    <n v="2"/>
    <x v="2"/>
    <x v="0"/>
  </r>
  <r>
    <x v="400"/>
    <n v="1"/>
    <x v="2"/>
    <n v="496"/>
    <x v="27"/>
    <x v="28"/>
    <x v="5"/>
    <x v="1"/>
    <x v="1"/>
    <n v="565.5"/>
    <n v="9"/>
    <x v="7"/>
    <x v="0"/>
  </r>
  <r>
    <x v="401"/>
    <n v="1"/>
    <x v="0"/>
    <n v="373"/>
    <x v="34"/>
    <x v="29"/>
    <x v="7"/>
    <x v="1"/>
    <x v="4"/>
    <n v="389.5"/>
    <n v="8"/>
    <x v="3"/>
    <x v="3"/>
  </r>
  <r>
    <x v="402"/>
    <n v="1"/>
    <x v="2"/>
    <n v="517"/>
    <x v="46"/>
    <x v="61"/>
    <x v="3"/>
    <x v="53"/>
    <x v="3"/>
    <n v="531"/>
    <n v="9"/>
    <x v="7"/>
    <x v="3"/>
  </r>
  <r>
    <x v="403"/>
    <n v="2"/>
    <x v="1"/>
    <n v="0"/>
    <x v="3"/>
    <x v="11"/>
    <x v="3"/>
    <x v="2"/>
    <x v="1"/>
    <n v="463.5"/>
    <n v="3"/>
    <x v="1"/>
    <x v="0"/>
  </r>
  <r>
    <x v="404"/>
    <n v="1"/>
    <x v="2"/>
    <n v="0"/>
    <x v="38"/>
    <x v="35"/>
    <x v="20"/>
    <x v="1"/>
    <x v="4"/>
    <n v="365.5"/>
    <n v="7"/>
    <x v="7"/>
    <x v="0"/>
  </r>
  <r>
    <x v="405"/>
    <n v="1"/>
    <x v="1"/>
    <n v="641"/>
    <x v="13"/>
    <x v="8"/>
    <x v="45"/>
    <x v="1"/>
    <x v="4"/>
    <n v="495.5"/>
    <n v="7"/>
    <x v="10"/>
    <x v="0"/>
  </r>
  <r>
    <x v="406"/>
    <n v="1"/>
    <x v="1"/>
    <n v="0"/>
    <x v="4"/>
    <x v="4"/>
    <x v="3"/>
    <x v="1"/>
    <x v="7"/>
    <n v="0"/>
    <n v="5"/>
    <x v="3"/>
    <x v="0"/>
  </r>
  <r>
    <x v="407"/>
    <n v="2"/>
    <x v="0"/>
    <n v="455"/>
    <x v="31"/>
    <x v="5"/>
    <x v="66"/>
    <x v="1"/>
    <x v="1"/>
    <n v="417"/>
    <n v="0"/>
    <x v="3"/>
    <x v="0"/>
  </r>
  <r>
    <x v="408"/>
    <n v="1"/>
    <x v="0"/>
    <n v="420"/>
    <x v="36"/>
    <x v="18"/>
    <x v="61"/>
    <x v="1"/>
    <x v="6"/>
    <n v="424.5"/>
    <n v="5"/>
    <x v="3"/>
    <x v="0"/>
  </r>
  <r>
    <x v="409"/>
    <n v="1"/>
    <x v="2"/>
    <n v="682"/>
    <x v="4"/>
    <x v="4"/>
    <x v="3"/>
    <x v="1"/>
    <x v="3"/>
    <n v="0"/>
    <n v="9"/>
    <x v="7"/>
    <x v="1"/>
  </r>
  <r>
    <x v="410"/>
    <n v="1"/>
    <x v="0"/>
    <n v="458"/>
    <x v="4"/>
    <x v="4"/>
    <x v="3"/>
    <x v="1"/>
    <x v="4"/>
    <n v="0"/>
    <n v="7"/>
    <x v="3"/>
    <x v="1"/>
  </r>
  <r>
    <x v="411"/>
    <n v="2"/>
    <x v="1"/>
    <n v="661"/>
    <x v="54"/>
    <x v="6"/>
    <x v="14"/>
    <x v="1"/>
    <x v="1"/>
    <n v="593.5"/>
    <n v="9"/>
    <x v="3"/>
    <x v="1"/>
  </r>
  <r>
    <x v="412"/>
    <n v="2"/>
    <x v="0"/>
    <n v="0"/>
    <x v="4"/>
    <x v="4"/>
    <x v="3"/>
    <x v="1"/>
    <x v="4"/>
    <n v="0"/>
    <n v="5"/>
    <x v="7"/>
    <x v="0"/>
  </r>
  <r>
    <x v="413"/>
    <n v="2"/>
    <x v="1"/>
    <n v="458"/>
    <x v="47"/>
    <x v="2"/>
    <x v="9"/>
    <x v="1"/>
    <x v="1"/>
    <n v="551.5"/>
    <n v="8"/>
    <x v="1"/>
    <x v="0"/>
  </r>
  <r>
    <x v="414"/>
    <n v="2"/>
    <x v="1"/>
    <n v="376"/>
    <x v="31"/>
    <x v="9"/>
    <x v="27"/>
    <x v="1"/>
    <x v="3"/>
    <n v="308.5"/>
    <n v="3"/>
    <x v="2"/>
    <x v="0"/>
  </r>
  <r>
    <x v="415"/>
    <n v="1"/>
    <x v="1"/>
    <n v="455"/>
    <x v="22"/>
    <x v="26"/>
    <x v="58"/>
    <x v="1"/>
    <x v="6"/>
    <n v="571"/>
    <n v="9"/>
    <x v="7"/>
    <x v="3"/>
  </r>
  <r>
    <x v="416"/>
    <n v="1"/>
    <x v="0"/>
    <n v="458"/>
    <x v="17"/>
    <x v="31"/>
    <x v="33"/>
    <x v="1"/>
    <x v="4"/>
    <n v="414"/>
    <n v="5"/>
    <x v="1"/>
    <x v="0"/>
  </r>
  <r>
    <x v="417"/>
    <n v="2"/>
    <x v="0"/>
    <n v="599"/>
    <x v="30"/>
    <x v="22"/>
    <x v="17"/>
    <x v="1"/>
    <x v="0"/>
    <n v="532"/>
    <n v="0"/>
    <x v="5"/>
    <x v="0"/>
  </r>
  <r>
    <x v="418"/>
    <n v="2"/>
    <x v="1"/>
    <n v="620"/>
    <x v="49"/>
    <x v="7"/>
    <x v="45"/>
    <x v="1"/>
    <x v="5"/>
    <n v="586.5"/>
    <n v="8"/>
    <x v="5"/>
    <x v="1"/>
  </r>
  <r>
    <x v="419"/>
    <n v="2"/>
    <x v="0"/>
    <n v="517"/>
    <x v="38"/>
    <x v="33"/>
    <x v="6"/>
    <x v="1"/>
    <x v="7"/>
    <n v="429"/>
    <n v="2"/>
    <x v="2"/>
    <x v="0"/>
  </r>
  <r>
    <x v="420"/>
    <n v="2"/>
    <x v="1"/>
    <n v="417"/>
    <x v="31"/>
    <x v="40"/>
    <x v="4"/>
    <x v="1"/>
    <x v="5"/>
    <n v="353"/>
    <n v="4"/>
    <x v="3"/>
    <x v="0"/>
  </r>
  <r>
    <x v="421"/>
    <n v="2"/>
    <x v="0"/>
    <n v="519"/>
    <x v="6"/>
    <x v="19"/>
    <x v="40"/>
    <x v="1"/>
    <x v="1"/>
    <n v="553.5"/>
    <n v="0"/>
    <x v="5"/>
    <x v="0"/>
  </r>
  <r>
    <x v="422"/>
    <n v="1"/>
    <x v="0"/>
    <n v="414"/>
    <x v="59"/>
    <x v="27"/>
    <x v="1"/>
    <x v="1"/>
    <x v="6"/>
    <n v="564"/>
    <n v="3"/>
    <x v="3"/>
    <x v="0"/>
  </r>
  <r>
    <x v="423"/>
    <n v="1"/>
    <x v="0"/>
    <n v="455"/>
    <x v="4"/>
    <x v="4"/>
    <x v="3"/>
    <x v="1"/>
    <x v="5"/>
    <n v="0"/>
    <n v="7"/>
    <x v="10"/>
    <x v="0"/>
  </r>
  <r>
    <x v="424"/>
    <n v="2"/>
    <x v="0"/>
    <n v="478"/>
    <x v="7"/>
    <x v="2"/>
    <x v="3"/>
    <x v="32"/>
    <x v="1"/>
    <n v="513"/>
    <n v="5"/>
    <x v="1"/>
    <x v="0"/>
  </r>
  <r>
    <x v="425"/>
    <n v="2"/>
    <x v="1"/>
    <n v="356"/>
    <x v="4"/>
    <x v="4"/>
    <x v="3"/>
    <x v="1"/>
    <x v="6"/>
    <n v="0"/>
    <n v="5"/>
    <x v="3"/>
    <x v="0"/>
  </r>
  <r>
    <x v="426"/>
    <n v="2"/>
    <x v="1"/>
    <n v="541"/>
    <x v="46"/>
    <x v="12"/>
    <x v="61"/>
    <x v="1"/>
    <x v="9"/>
    <n v="429.5"/>
    <n v="5"/>
    <x v="3"/>
    <x v="0"/>
  </r>
  <r>
    <x v="427"/>
    <n v="2"/>
    <x v="1"/>
    <n v="744"/>
    <x v="69"/>
    <x v="36"/>
    <x v="3"/>
    <x v="30"/>
    <x v="1"/>
    <n v="658"/>
    <n v="9"/>
    <x v="3"/>
    <x v="3"/>
  </r>
  <r>
    <x v="428"/>
    <n v="1"/>
    <x v="2"/>
    <n v="661"/>
    <x v="49"/>
    <x v="63"/>
    <x v="40"/>
    <x v="47"/>
    <x v="7"/>
    <n v="649.5"/>
    <n v="5"/>
    <x v="7"/>
    <x v="1"/>
  </r>
  <r>
    <x v="429"/>
    <n v="2"/>
    <x v="1"/>
    <n v="420"/>
    <x v="13"/>
    <x v="37"/>
    <x v="3"/>
    <x v="54"/>
    <x v="1"/>
    <n v="551"/>
    <n v="9"/>
    <x v="7"/>
    <x v="5"/>
  </r>
  <r>
    <x v="430"/>
    <n v="1"/>
    <x v="2"/>
    <n v="661"/>
    <x v="60"/>
    <x v="64"/>
    <x v="3"/>
    <x v="13"/>
    <x v="6"/>
    <n v="761.5"/>
    <n v="0"/>
    <x v="5"/>
    <x v="2"/>
  </r>
  <r>
    <x v="431"/>
    <n v="2"/>
    <x v="1"/>
    <n v="579"/>
    <x v="13"/>
    <x v="43"/>
    <x v="21"/>
    <x v="1"/>
    <x v="10"/>
    <n v="585"/>
    <n v="10"/>
    <x v="6"/>
    <x v="3"/>
  </r>
  <r>
    <x v="432"/>
    <n v="1"/>
    <x v="2"/>
    <n v="702"/>
    <x v="72"/>
    <x v="65"/>
    <x v="60"/>
    <x v="55"/>
    <x v="4"/>
    <n v="739"/>
    <n v="9"/>
    <x v="9"/>
    <x v="5"/>
  </r>
  <r>
    <x v="433"/>
    <n v="1"/>
    <x v="1"/>
    <n v="435"/>
    <x v="38"/>
    <x v="29"/>
    <x v="3"/>
    <x v="4"/>
    <x v="4"/>
    <n v="353"/>
    <n v="6"/>
    <x v="1"/>
    <x v="1"/>
  </r>
  <r>
    <x v="434"/>
    <n v="2"/>
    <x v="0"/>
    <n v="682"/>
    <x v="4"/>
    <x v="4"/>
    <x v="3"/>
    <x v="1"/>
    <x v="6"/>
    <n v="0"/>
    <n v="2"/>
    <x v="10"/>
    <x v="0"/>
  </r>
  <r>
    <x v="435"/>
    <n v="1"/>
    <x v="0"/>
    <n v="476"/>
    <x v="41"/>
    <x v="8"/>
    <x v="29"/>
    <x v="1"/>
    <x v="1"/>
    <n v="412.5"/>
    <n v="9"/>
    <x v="7"/>
    <x v="1"/>
  </r>
  <r>
    <x v="436"/>
    <n v="2"/>
    <x v="1"/>
    <n v="496"/>
    <x v="46"/>
    <x v="24"/>
    <x v="61"/>
    <x v="35"/>
    <x v="4"/>
    <n v="492"/>
    <n v="7"/>
    <x v="10"/>
    <x v="1"/>
  </r>
  <r>
    <x v="437"/>
    <n v="2"/>
    <x v="0"/>
    <n v="496"/>
    <x v="34"/>
    <x v="35"/>
    <x v="3"/>
    <x v="19"/>
    <x v="3"/>
    <n v="402"/>
    <n v="9"/>
    <x v="3"/>
    <x v="0"/>
  </r>
  <r>
    <x v="438"/>
    <n v="1"/>
    <x v="2"/>
    <n v="682"/>
    <x v="67"/>
    <x v="30"/>
    <x v="3"/>
    <x v="56"/>
    <x v="4"/>
    <n v="655"/>
    <n v="9"/>
    <x v="7"/>
    <x v="2"/>
  </r>
  <r>
    <x v="439"/>
    <n v="2"/>
    <x v="1"/>
    <n v="496"/>
    <x v="18"/>
    <x v="11"/>
    <x v="38"/>
    <x v="1"/>
    <x v="4"/>
    <n v="492"/>
    <n v="9"/>
    <x v="7"/>
    <x v="0"/>
  </r>
  <r>
    <x v="440"/>
    <n v="1"/>
    <x v="2"/>
    <n v="723"/>
    <x v="52"/>
    <x v="65"/>
    <x v="3"/>
    <x v="57"/>
    <x v="3"/>
    <n v="713"/>
    <n v="9"/>
    <x v="7"/>
    <x v="4"/>
  </r>
  <r>
    <x v="441"/>
    <n v="1"/>
    <x v="0"/>
    <n v="373"/>
    <x v="41"/>
    <x v="35"/>
    <x v="3"/>
    <x v="2"/>
    <x v="4"/>
    <n v="391.5"/>
    <n v="8"/>
    <x v="7"/>
    <x v="1"/>
  </r>
  <r>
    <x v="442"/>
    <n v="1"/>
    <x v="1"/>
    <n v="517"/>
    <x v="1"/>
    <x v="58"/>
    <x v="3"/>
    <x v="44"/>
    <x v="4"/>
    <n v="587.5"/>
    <n v="5"/>
    <x v="1"/>
    <x v="0"/>
  </r>
  <r>
    <x v="443"/>
    <n v="1"/>
    <x v="1"/>
    <n v="476"/>
    <x v="25"/>
    <x v="14"/>
    <x v="3"/>
    <x v="58"/>
    <x v="4"/>
    <n v="595.5"/>
    <n v="4"/>
    <x v="3"/>
    <x v="1"/>
  </r>
  <r>
    <x v="444"/>
    <n v="2"/>
    <x v="0"/>
    <n v="455"/>
    <x v="51"/>
    <x v="31"/>
    <x v="56"/>
    <x v="1"/>
    <x v="10"/>
    <n v="417.5"/>
    <n v="5"/>
    <x v="3"/>
    <x v="0"/>
  </r>
  <r>
    <x v="445"/>
    <n v="2"/>
    <x v="2"/>
    <n v="620"/>
    <x v="16"/>
    <x v="20"/>
    <x v="67"/>
    <x v="1"/>
    <x v="3"/>
    <n v="675.5"/>
    <n v="9"/>
    <x v="7"/>
    <x v="3"/>
  </r>
  <r>
    <x v="446"/>
    <n v="2"/>
    <x v="0"/>
    <n v="435"/>
    <x v="42"/>
    <x v="12"/>
    <x v="9"/>
    <x v="1"/>
    <x v="1"/>
    <n v="407"/>
    <n v="4"/>
    <x v="3"/>
    <x v="1"/>
  </r>
  <r>
    <x v="447"/>
    <n v="2"/>
    <x v="1"/>
    <n v="580"/>
    <x v="41"/>
    <x v="8"/>
    <x v="29"/>
    <x v="1"/>
    <x v="3"/>
    <n v="412.5"/>
    <n v="5"/>
    <x v="6"/>
    <x v="1"/>
  </r>
  <r>
    <x v="448"/>
    <n v="1"/>
    <x v="0"/>
    <n v="417"/>
    <x v="9"/>
    <x v="11"/>
    <x v="7"/>
    <x v="1"/>
    <x v="1"/>
    <n v="478.5"/>
    <n v="4"/>
    <x v="3"/>
    <x v="0"/>
  </r>
  <r>
    <x v="449"/>
    <n v="1"/>
    <x v="1"/>
    <n v="311"/>
    <x v="73"/>
    <x v="35"/>
    <x v="68"/>
    <x v="1"/>
    <x v="6"/>
    <n v="289.5"/>
    <n v="5"/>
    <x v="3"/>
    <x v="0"/>
  </r>
  <r>
    <x v="450"/>
    <n v="2"/>
    <x v="1"/>
    <n v="496"/>
    <x v="66"/>
    <x v="8"/>
    <x v="34"/>
    <x v="1"/>
    <x v="4"/>
    <n v="375.5"/>
    <n v="5"/>
    <x v="3"/>
    <x v="1"/>
  </r>
  <r>
    <x v="451"/>
    <n v="1"/>
    <x v="0"/>
    <n v="0"/>
    <x v="14"/>
    <x v="39"/>
    <x v="3"/>
    <x v="27"/>
    <x v="6"/>
    <n v="499.5"/>
    <n v="10"/>
    <x v="3"/>
    <x v="0"/>
  </r>
  <r>
    <x v="452"/>
    <n v="2"/>
    <x v="0"/>
    <n v="579"/>
    <x v="3"/>
    <x v="12"/>
    <x v="7"/>
    <x v="1"/>
    <x v="7"/>
    <n v="420"/>
    <n v="7"/>
    <x v="10"/>
    <x v="0"/>
  </r>
  <r>
    <x v="453"/>
    <n v="2"/>
    <x v="2"/>
    <n v="538"/>
    <x v="30"/>
    <x v="37"/>
    <x v="3"/>
    <x v="38"/>
    <x v="5"/>
    <n v="526.5"/>
    <n v="9"/>
    <x v="7"/>
    <x v="0"/>
  </r>
  <r>
    <x v="454"/>
    <n v="1"/>
    <x v="0"/>
    <n v="641"/>
    <x v="18"/>
    <x v="21"/>
    <x v="3"/>
    <x v="59"/>
    <x v="1"/>
    <n v="569"/>
    <n v="4"/>
    <x v="3"/>
    <x v="0"/>
  </r>
  <r>
    <x v="455"/>
    <n v="2"/>
    <x v="1"/>
    <n v="682"/>
    <x v="1"/>
    <x v="34"/>
    <x v="55"/>
    <x v="1"/>
    <x v="1"/>
    <n v="600"/>
    <n v="5"/>
    <x v="3"/>
    <x v="0"/>
  </r>
  <r>
    <x v="456"/>
    <n v="2"/>
    <x v="0"/>
    <n v="393"/>
    <x v="18"/>
    <x v="33"/>
    <x v="18"/>
    <x v="21"/>
    <x v="3"/>
    <n v="500.5"/>
    <n v="5"/>
    <x v="3"/>
    <x v="0"/>
  </r>
  <r>
    <x v="457"/>
    <n v="1"/>
    <x v="2"/>
    <n v="558"/>
    <x v="59"/>
    <x v="66"/>
    <x v="51"/>
    <x v="12"/>
    <x v="3"/>
    <n v="631.5"/>
    <n v="8"/>
    <x v="9"/>
    <x v="3"/>
  </r>
  <r>
    <x v="458"/>
    <n v="1"/>
    <x v="0"/>
    <n v="437"/>
    <x v="3"/>
    <x v="26"/>
    <x v="20"/>
    <x v="1"/>
    <x v="4"/>
    <n v="475.5"/>
    <n v="2"/>
    <x v="0"/>
    <x v="0"/>
  </r>
  <r>
    <x v="459"/>
    <n v="2"/>
    <x v="1"/>
    <n v="376"/>
    <x v="31"/>
    <x v="17"/>
    <x v="56"/>
    <x v="1"/>
    <x v="1"/>
    <n v="340"/>
    <n v="5"/>
    <x v="0"/>
    <x v="0"/>
  </r>
  <r>
    <x v="460"/>
    <n v="2"/>
    <x v="0"/>
    <n v="476"/>
    <x v="44"/>
    <x v="28"/>
    <x v="25"/>
    <x v="1"/>
    <x v="4"/>
    <n v="527.5"/>
    <n v="3"/>
    <x v="0"/>
    <x v="0"/>
  </r>
  <r>
    <x v="461"/>
    <n v="2"/>
    <x v="1"/>
    <n v="496"/>
    <x v="40"/>
    <x v="24"/>
    <x v="69"/>
    <x v="1"/>
    <x v="3"/>
    <n v="531"/>
    <n v="9"/>
    <x v="1"/>
    <x v="1"/>
  </r>
  <r>
    <x v="462"/>
    <n v="1"/>
    <x v="0"/>
    <n v="517"/>
    <x v="35"/>
    <x v="5"/>
    <x v="69"/>
    <x v="18"/>
    <x v="4"/>
    <n v="386.5"/>
    <n v="2"/>
    <x v="0"/>
    <x v="0"/>
  </r>
  <r>
    <x v="463"/>
    <n v="1"/>
    <x v="0"/>
    <n v="478"/>
    <x v="41"/>
    <x v="61"/>
    <x v="3"/>
    <x v="0"/>
    <x v="5"/>
    <n v="504.5"/>
    <n v="10"/>
    <x v="2"/>
    <x v="0"/>
  </r>
  <r>
    <x v="464"/>
    <n v="2"/>
    <x v="2"/>
    <n v="496"/>
    <x v="21"/>
    <x v="16"/>
    <x v="7"/>
    <x v="1"/>
    <x v="1"/>
    <n v="535.5"/>
    <n v="5"/>
    <x v="10"/>
    <x v="0"/>
  </r>
  <r>
    <x v="465"/>
    <n v="1"/>
    <x v="2"/>
    <n v="455"/>
    <x v="18"/>
    <x v="6"/>
    <x v="3"/>
    <x v="60"/>
    <x v="3"/>
    <n v="553"/>
    <n v="6"/>
    <x v="7"/>
    <x v="1"/>
  </r>
  <r>
    <x v="466"/>
    <n v="2"/>
    <x v="0"/>
    <n v="435"/>
    <x v="0"/>
    <x v="29"/>
    <x v="22"/>
    <x v="1"/>
    <x v="1"/>
    <n v="393"/>
    <n v="5"/>
    <x v="8"/>
    <x v="1"/>
  </r>
  <r>
    <x v="467"/>
    <n v="2"/>
    <x v="0"/>
    <n v="538"/>
    <x v="4"/>
    <x v="4"/>
    <x v="3"/>
    <x v="1"/>
    <x v="4"/>
    <n v="0"/>
    <n v="0"/>
    <x v="3"/>
    <x v="0"/>
  </r>
  <r>
    <x v="468"/>
    <n v="1"/>
    <x v="1"/>
    <n v="0"/>
    <x v="51"/>
    <x v="5"/>
    <x v="34"/>
    <x v="2"/>
    <x v="4"/>
    <n v="425"/>
    <n v="0"/>
    <x v="5"/>
    <x v="0"/>
  </r>
  <r>
    <x v="469"/>
    <n v="2"/>
    <x v="2"/>
    <n v="723"/>
    <x v="39"/>
    <x v="67"/>
    <x v="3"/>
    <x v="30"/>
    <x v="1"/>
    <n v="690"/>
    <n v="5"/>
    <x v="7"/>
    <x v="3"/>
  </r>
  <r>
    <x v="470"/>
    <n v="1"/>
    <x v="0"/>
    <n v="476"/>
    <x v="30"/>
    <x v="17"/>
    <x v="69"/>
    <x v="1"/>
    <x v="1"/>
    <n v="410.5"/>
    <n v="6"/>
    <x v="2"/>
    <x v="0"/>
  </r>
  <r>
    <x v="471"/>
    <n v="2"/>
    <x v="1"/>
    <n v="476"/>
    <x v="0"/>
    <x v="8"/>
    <x v="3"/>
    <x v="1"/>
    <x v="1"/>
    <n v="426.5"/>
    <n v="10"/>
    <x v="3"/>
    <x v="1"/>
  </r>
  <r>
    <x v="472"/>
    <n v="2"/>
    <x v="0"/>
    <n v="476"/>
    <x v="7"/>
    <x v="33"/>
    <x v="67"/>
    <x v="1"/>
    <x v="6"/>
    <n v="489.5"/>
    <n v="4"/>
    <x v="3"/>
    <x v="0"/>
  </r>
  <r>
    <x v="473"/>
    <n v="2"/>
    <x v="1"/>
    <n v="599"/>
    <x v="69"/>
    <x v="20"/>
    <x v="3"/>
    <x v="3"/>
    <x v="3"/>
    <n v="641"/>
    <n v="9"/>
    <x v="7"/>
    <x v="1"/>
  </r>
  <r>
    <x v="474"/>
    <n v="2"/>
    <x v="0"/>
    <n v="455"/>
    <x v="41"/>
    <x v="35"/>
    <x v="3"/>
    <x v="48"/>
    <x v="6"/>
    <n v="391.5"/>
    <n v="0"/>
    <x v="10"/>
    <x v="1"/>
  </r>
  <r>
    <x v="475"/>
    <n v="2"/>
    <x v="2"/>
    <n v="538"/>
    <x v="9"/>
    <x v="2"/>
    <x v="10"/>
    <x v="1"/>
    <x v="4"/>
    <n v="510.5"/>
    <n v="6"/>
    <x v="3"/>
    <x v="3"/>
  </r>
  <r>
    <x v="476"/>
    <n v="2"/>
    <x v="1"/>
    <n v="599"/>
    <x v="4"/>
    <x v="4"/>
    <x v="3"/>
    <x v="1"/>
    <x v="1"/>
    <n v="0"/>
    <n v="7"/>
    <x v="3"/>
    <x v="1"/>
  </r>
  <r>
    <x v="477"/>
    <n v="1"/>
    <x v="0"/>
    <n v="476"/>
    <x v="19"/>
    <x v="26"/>
    <x v="67"/>
    <x v="1"/>
    <x v="4"/>
    <n v="519"/>
    <n v="5"/>
    <x v="0"/>
    <x v="0"/>
  </r>
  <r>
    <x v="478"/>
    <n v="2"/>
    <x v="1"/>
    <n v="641"/>
    <x v="62"/>
    <x v="53"/>
    <x v="3"/>
    <x v="61"/>
    <x v="10"/>
    <n v="695.5"/>
    <n v="9"/>
    <x v="7"/>
    <x v="3"/>
  </r>
  <r>
    <x v="479"/>
    <n v="2"/>
    <x v="0"/>
    <n v="517"/>
    <x v="7"/>
    <x v="35"/>
    <x v="16"/>
    <x v="1"/>
    <x v="6"/>
    <n v="426"/>
    <n v="4"/>
    <x v="0"/>
    <x v="0"/>
  </r>
  <r>
    <x v="480"/>
    <n v="1"/>
    <x v="2"/>
    <n v="476"/>
    <x v="18"/>
    <x v="62"/>
    <x v="3"/>
    <x v="44"/>
    <x v="4"/>
    <n v="557"/>
    <n v="8"/>
    <x v="7"/>
    <x v="3"/>
  </r>
  <r>
    <x v="481"/>
    <n v="1"/>
    <x v="0"/>
    <n v="458"/>
    <x v="38"/>
    <x v="26"/>
    <x v="3"/>
    <x v="42"/>
    <x v="3"/>
    <n v="432.5"/>
    <n v="5"/>
    <x v="3"/>
    <x v="1"/>
  </r>
  <r>
    <x v="482"/>
    <n v="2"/>
    <x v="0"/>
    <n v="558"/>
    <x v="33"/>
    <x v="23"/>
    <x v="3"/>
    <x v="53"/>
    <x v="4"/>
    <n v="558.5"/>
    <n v="9"/>
    <x v="10"/>
    <x v="1"/>
  </r>
  <r>
    <x v="483"/>
    <n v="2"/>
    <x v="2"/>
    <n v="476"/>
    <x v="48"/>
    <x v="22"/>
    <x v="27"/>
    <x v="1"/>
    <x v="1"/>
    <n v="529"/>
    <n v="10"/>
    <x v="6"/>
    <x v="3"/>
  </r>
  <r>
    <x v="484"/>
    <n v="1"/>
    <x v="0"/>
    <n v="295"/>
    <x v="4"/>
    <x v="4"/>
    <x v="3"/>
    <x v="1"/>
    <x v="1"/>
    <n v="0"/>
    <n v="4"/>
    <x v="1"/>
    <x v="0"/>
  </r>
  <r>
    <x v="485"/>
    <n v="2"/>
    <x v="1"/>
    <n v="440"/>
    <x v="31"/>
    <x v="17"/>
    <x v="31"/>
    <x v="1"/>
    <x v="4"/>
    <n v="340"/>
    <n v="5"/>
    <x v="1"/>
    <x v="0"/>
  </r>
  <r>
    <x v="486"/>
    <n v="2"/>
    <x v="0"/>
    <n v="661"/>
    <x v="44"/>
    <x v="33"/>
    <x v="3"/>
    <x v="15"/>
    <x v="3"/>
    <n v="495"/>
    <n v="5"/>
    <x v="3"/>
    <x v="1"/>
  </r>
  <r>
    <x v="487"/>
    <n v="2"/>
    <x v="1"/>
    <n v="476"/>
    <x v="44"/>
    <x v="3"/>
    <x v="8"/>
    <x v="1"/>
    <x v="6"/>
    <n v="491"/>
    <n v="5"/>
    <x v="7"/>
    <x v="1"/>
  </r>
  <r>
    <x v="488"/>
    <n v="1"/>
    <x v="2"/>
    <n v="682"/>
    <x v="39"/>
    <x v="63"/>
    <x v="2"/>
    <x v="1"/>
    <x v="1"/>
    <n v="675"/>
    <n v="8"/>
    <x v="10"/>
    <x v="5"/>
  </r>
  <r>
    <x v="489"/>
    <n v="2"/>
    <x v="1"/>
    <n v="496"/>
    <x v="7"/>
    <x v="3"/>
    <x v="11"/>
    <x v="1"/>
    <x v="1"/>
    <n v="485.5"/>
    <n v="0"/>
    <x v="3"/>
    <x v="1"/>
  </r>
  <r>
    <x v="490"/>
    <n v="1"/>
    <x v="1"/>
    <n v="440"/>
    <x v="38"/>
    <x v="0"/>
    <x v="22"/>
    <x v="1"/>
    <x v="4"/>
    <n v="409.5"/>
    <n v="8"/>
    <x v="1"/>
    <x v="1"/>
  </r>
  <r>
    <x v="491"/>
    <n v="2"/>
    <x v="0"/>
    <n v="496"/>
    <x v="7"/>
    <x v="31"/>
    <x v="33"/>
    <x v="29"/>
    <x v="3"/>
    <n v="456"/>
    <n v="4"/>
    <x v="3"/>
    <x v="0"/>
  </r>
  <r>
    <x v="492"/>
    <n v="2"/>
    <x v="0"/>
    <n v="558"/>
    <x v="40"/>
    <x v="29"/>
    <x v="24"/>
    <x v="1"/>
    <x v="1"/>
    <n v="444.5"/>
    <n v="9"/>
    <x v="1"/>
    <x v="1"/>
  </r>
  <r>
    <x v="493"/>
    <n v="2"/>
    <x v="1"/>
    <n v="579"/>
    <x v="46"/>
    <x v="24"/>
    <x v="11"/>
    <x v="1"/>
    <x v="4"/>
    <n v="492"/>
    <n v="9"/>
    <x v="7"/>
    <x v="3"/>
  </r>
  <r>
    <x v="494"/>
    <n v="1"/>
    <x v="2"/>
    <n v="476"/>
    <x v="13"/>
    <x v="68"/>
    <x v="63"/>
    <x v="37"/>
    <x v="6"/>
    <n v="608"/>
    <n v="7"/>
    <x v="7"/>
    <x v="1"/>
  </r>
  <r>
    <x v="495"/>
    <n v="2"/>
    <x v="0"/>
    <n v="460"/>
    <x v="21"/>
    <x v="12"/>
    <x v="3"/>
    <x v="35"/>
    <x v="1"/>
    <n v="453.5"/>
    <n v="0"/>
    <x v="5"/>
    <x v="0"/>
  </r>
  <r>
    <x v="496"/>
    <n v="2"/>
    <x v="1"/>
    <n v="400"/>
    <x v="40"/>
    <x v="0"/>
    <x v="3"/>
    <x v="14"/>
    <x v="6"/>
    <n v="501"/>
    <n v="5"/>
    <x v="2"/>
    <x v="0"/>
  </r>
  <r>
    <x v="497"/>
    <n v="2"/>
    <x v="2"/>
    <n v="435"/>
    <x v="3"/>
    <x v="58"/>
    <x v="9"/>
    <x v="60"/>
    <x v="3"/>
    <n v="510.5"/>
    <n v="9"/>
    <x v="10"/>
    <x v="5"/>
  </r>
  <r>
    <x v="498"/>
    <n v="1"/>
    <x v="1"/>
    <n v="460"/>
    <x v="54"/>
    <x v="7"/>
    <x v="3"/>
    <x v="59"/>
    <x v="3"/>
    <n v="575.5"/>
    <n v="8"/>
    <x v="7"/>
    <x v="2"/>
  </r>
  <r>
    <x v="499"/>
    <n v="2"/>
    <x v="0"/>
    <n v="499"/>
    <x v="4"/>
    <x v="4"/>
    <x v="3"/>
    <x v="1"/>
    <x v="1"/>
    <n v="0"/>
    <n v="3"/>
    <x v="2"/>
    <x v="0"/>
  </r>
  <r>
    <x v="500"/>
    <n v="2"/>
    <x v="1"/>
    <n v="501"/>
    <x v="41"/>
    <x v="31"/>
    <x v="34"/>
    <x v="1"/>
    <x v="4"/>
    <n v="421.5"/>
    <n v="5"/>
    <x v="0"/>
    <x v="0"/>
  </r>
  <r>
    <x v="501"/>
    <n v="2"/>
    <x v="2"/>
    <n v="517"/>
    <x v="20"/>
    <x v="52"/>
    <x v="65"/>
    <x v="1"/>
    <x v="4"/>
    <n v="639.5"/>
    <n v="4"/>
    <x v="7"/>
    <x v="3"/>
  </r>
  <r>
    <x v="502"/>
    <n v="1"/>
    <x v="2"/>
    <n v="455"/>
    <x v="19"/>
    <x v="48"/>
    <x v="3"/>
    <x v="52"/>
    <x v="1"/>
    <n v="557.5"/>
    <n v="9"/>
    <x v="3"/>
    <x v="2"/>
  </r>
  <r>
    <x v="503"/>
    <n v="1"/>
    <x v="2"/>
    <n v="538"/>
    <x v="67"/>
    <x v="14"/>
    <x v="3"/>
    <x v="50"/>
    <x v="1"/>
    <n v="626.5"/>
    <n v="9"/>
    <x v="10"/>
    <x v="1"/>
  </r>
  <r>
    <x v="504"/>
    <n v="1"/>
    <x v="1"/>
    <n v="560"/>
    <x v="41"/>
    <x v="37"/>
    <x v="32"/>
    <x v="1"/>
    <x v="3"/>
    <n v="468"/>
    <n v="5"/>
    <x v="3"/>
    <x v="1"/>
  </r>
  <r>
    <x v="505"/>
    <n v="2"/>
    <x v="1"/>
    <n v="702"/>
    <x v="69"/>
    <x v="10"/>
    <x v="19"/>
    <x v="1"/>
    <x v="1"/>
    <n v="635.5"/>
    <n v="8"/>
    <x v="7"/>
    <x v="0"/>
  </r>
  <r>
    <x v="506"/>
    <n v="1"/>
    <x v="2"/>
    <n v="558"/>
    <x v="57"/>
    <x v="36"/>
    <x v="3"/>
    <x v="30"/>
    <x v="0"/>
    <n v="627.5"/>
    <n v="0"/>
    <x v="5"/>
    <x v="4"/>
  </r>
  <r>
    <x v="507"/>
    <n v="1"/>
    <x v="0"/>
    <n v="0"/>
    <x v="4"/>
    <x v="4"/>
    <x v="3"/>
    <x v="1"/>
    <x v="4"/>
    <n v="0"/>
    <n v="5"/>
    <x v="3"/>
    <x v="0"/>
  </r>
  <r>
    <x v="508"/>
    <n v="2"/>
    <x v="2"/>
    <n v="579"/>
    <x v="25"/>
    <x v="14"/>
    <x v="3"/>
    <x v="61"/>
    <x v="10"/>
    <n v="595.5"/>
    <n v="0"/>
    <x v="5"/>
    <x v="1"/>
  </r>
  <r>
    <x v="509"/>
    <n v="2"/>
    <x v="0"/>
    <n v="558"/>
    <x v="11"/>
    <x v="5"/>
    <x v="23"/>
    <x v="1"/>
    <x v="4"/>
    <n v="449.5"/>
    <n v="5"/>
    <x v="1"/>
    <x v="0"/>
  </r>
  <r>
    <x v="510"/>
    <n v="1"/>
    <x v="0"/>
    <n v="661"/>
    <x v="1"/>
    <x v="60"/>
    <x v="47"/>
    <x v="37"/>
    <x v="1"/>
    <n v="612"/>
    <n v="5"/>
    <x v="0"/>
    <x v="2"/>
  </r>
  <r>
    <x v="511"/>
    <n v="1"/>
    <x v="1"/>
    <n v="420"/>
    <x v="11"/>
    <x v="22"/>
    <x v="3"/>
    <x v="9"/>
    <x v="6"/>
    <n v="494"/>
    <n v="5"/>
    <x v="0"/>
    <x v="1"/>
  </r>
  <r>
    <x v="512"/>
    <n v="1"/>
    <x v="2"/>
    <n v="476"/>
    <x v="49"/>
    <x v="20"/>
    <x v="3"/>
    <x v="62"/>
    <x v="1"/>
    <n v="619"/>
    <n v="10"/>
    <x v="9"/>
    <x v="3"/>
  </r>
  <r>
    <x v="513"/>
    <n v="1"/>
    <x v="1"/>
    <n v="744"/>
    <x v="15"/>
    <x v="59"/>
    <x v="70"/>
    <x v="63"/>
    <x v="4"/>
    <n v="711.5"/>
    <n v="9"/>
    <x v="10"/>
    <x v="1"/>
  </r>
  <r>
    <x v="514"/>
    <n v="1"/>
    <x v="1"/>
    <n v="599"/>
    <x v="60"/>
    <x v="42"/>
    <x v="70"/>
    <x v="49"/>
    <x v="6"/>
    <n v="676.5"/>
    <n v="5"/>
    <x v="7"/>
    <x v="1"/>
  </r>
  <r>
    <x v="515"/>
    <n v="1"/>
    <x v="2"/>
    <n v="496"/>
    <x v="34"/>
    <x v="33"/>
    <x v="24"/>
    <x v="1"/>
    <x v="4"/>
    <n v="465.5"/>
    <n v="4"/>
    <x v="8"/>
    <x v="1"/>
  </r>
  <r>
    <x v="516"/>
    <n v="2"/>
    <x v="0"/>
    <n v="599"/>
    <x v="47"/>
    <x v="43"/>
    <x v="17"/>
    <x v="1"/>
    <x v="1"/>
    <n v="575"/>
    <n v="5"/>
    <x v="3"/>
    <x v="3"/>
  </r>
  <r>
    <x v="517"/>
    <n v="2"/>
    <x v="2"/>
    <n v="620"/>
    <x v="20"/>
    <x v="69"/>
    <x v="19"/>
    <x v="64"/>
    <x v="7"/>
    <n v="698"/>
    <n v="9"/>
    <x v="10"/>
    <x v="5"/>
  </r>
  <r>
    <x v="518"/>
    <n v="1"/>
    <x v="0"/>
    <n v="496"/>
    <x v="17"/>
    <x v="31"/>
    <x v="36"/>
    <x v="1"/>
    <x v="1"/>
    <n v="414"/>
    <n v="5"/>
    <x v="3"/>
    <x v="0"/>
  </r>
  <r>
    <x v="519"/>
    <n v="2"/>
    <x v="2"/>
    <n v="599"/>
    <x v="2"/>
    <x v="70"/>
    <x v="3"/>
    <x v="39"/>
    <x v="4"/>
    <n v="590.5"/>
    <n v="9"/>
    <x v="3"/>
    <x v="3"/>
  </r>
  <r>
    <x v="520"/>
    <n v="1"/>
    <x v="0"/>
    <n v="0"/>
    <x v="11"/>
    <x v="29"/>
    <x v="31"/>
    <x v="1"/>
    <x v="6"/>
    <n v="399.5"/>
    <n v="5"/>
    <x v="1"/>
    <x v="1"/>
  </r>
  <r>
    <x v="521"/>
    <n v="2"/>
    <x v="0"/>
    <n v="579"/>
    <x v="30"/>
    <x v="40"/>
    <x v="23"/>
    <x v="1"/>
    <x v="1"/>
    <n v="423.5"/>
    <n v="6"/>
    <x v="1"/>
    <x v="1"/>
  </r>
  <r>
    <x v="522"/>
    <n v="2"/>
    <x v="2"/>
    <n v="785"/>
    <x v="72"/>
    <x v="41"/>
    <x v="3"/>
    <x v="57"/>
    <x v="0"/>
    <n v="771"/>
    <n v="0"/>
    <x v="5"/>
    <x v="3"/>
  </r>
  <r>
    <x v="523"/>
    <n v="1"/>
    <x v="0"/>
    <n v="538"/>
    <x v="18"/>
    <x v="39"/>
    <x v="3"/>
    <x v="28"/>
    <x v="4"/>
    <n v="522"/>
    <n v="9"/>
    <x v="10"/>
    <x v="1"/>
  </r>
  <r>
    <x v="524"/>
    <n v="2"/>
    <x v="1"/>
    <n v="476"/>
    <x v="26"/>
    <x v="49"/>
    <x v="3"/>
    <x v="8"/>
    <x v="1"/>
    <n v="593.5"/>
    <n v="7"/>
    <x v="10"/>
    <x v="0"/>
  </r>
  <r>
    <x v="525"/>
    <n v="2"/>
    <x v="0"/>
    <n v="476"/>
    <x v="12"/>
    <x v="40"/>
    <x v="9"/>
    <x v="1"/>
    <x v="4"/>
    <n v="333.5"/>
    <n v="6"/>
    <x v="1"/>
    <x v="0"/>
  </r>
  <r>
    <x v="526"/>
    <n v="2"/>
    <x v="1"/>
    <n v="376"/>
    <x v="4"/>
    <x v="4"/>
    <x v="3"/>
    <x v="1"/>
    <x v="3"/>
    <n v="0"/>
    <n v="4"/>
    <x v="2"/>
    <x v="0"/>
  </r>
  <r>
    <x v="527"/>
    <n v="2"/>
    <x v="0"/>
    <n v="458"/>
    <x v="25"/>
    <x v="33"/>
    <x v="64"/>
    <x v="1"/>
    <x v="8"/>
    <n v="523.5"/>
    <n v="5"/>
    <x v="10"/>
    <x v="0"/>
  </r>
  <r>
    <x v="528"/>
    <n v="1"/>
    <x v="0"/>
    <n v="435"/>
    <x v="45"/>
    <x v="11"/>
    <x v="31"/>
    <x v="4"/>
    <x v="4"/>
    <n v="425.5"/>
    <n v="9"/>
    <x v="3"/>
    <x v="1"/>
  </r>
  <r>
    <x v="529"/>
    <n v="2"/>
    <x v="1"/>
    <n v="417"/>
    <x v="45"/>
    <x v="0"/>
    <x v="56"/>
    <x v="35"/>
    <x v="6"/>
    <n v="414.5"/>
    <n v="3"/>
    <x v="0"/>
    <x v="0"/>
  </r>
  <r>
    <x v="530"/>
    <n v="1"/>
    <x v="1"/>
    <n v="641"/>
    <x v="53"/>
    <x v="47"/>
    <x v="3"/>
    <x v="64"/>
    <x v="3"/>
    <n v="622.5"/>
    <n v="8"/>
    <x v="9"/>
    <x v="2"/>
  </r>
  <r>
    <x v="531"/>
    <n v="1"/>
    <x v="1"/>
    <n v="517"/>
    <x v="9"/>
    <x v="2"/>
    <x v="65"/>
    <x v="1"/>
    <x v="1"/>
    <n v="510.5"/>
    <n v="9"/>
    <x v="7"/>
    <x v="1"/>
  </r>
  <r>
    <x v="532"/>
    <n v="1"/>
    <x v="0"/>
    <n v="580"/>
    <x v="30"/>
    <x v="33"/>
    <x v="3"/>
    <x v="34"/>
    <x v="3"/>
    <n v="513.5"/>
    <n v="5"/>
    <x v="3"/>
    <x v="0"/>
  </r>
  <r>
    <x v="533"/>
    <n v="1"/>
    <x v="0"/>
    <n v="373"/>
    <x v="24"/>
    <x v="27"/>
    <x v="3"/>
    <x v="18"/>
    <x v="4"/>
    <n v="526"/>
    <n v="3"/>
    <x v="3"/>
    <x v="0"/>
  </r>
  <r>
    <x v="534"/>
    <n v="2"/>
    <x v="0"/>
    <n v="580"/>
    <x v="7"/>
    <x v="37"/>
    <x v="10"/>
    <x v="1"/>
    <x v="1"/>
    <n v="502.5"/>
    <n v="2"/>
    <x v="2"/>
    <x v="0"/>
  </r>
  <r>
    <x v="535"/>
    <n v="1"/>
    <x v="0"/>
    <n v="478"/>
    <x v="43"/>
    <x v="4"/>
    <x v="52"/>
    <x v="48"/>
    <x v="1"/>
    <n v="222"/>
    <n v="2"/>
    <x v="2"/>
    <x v="0"/>
  </r>
  <r>
    <x v="536"/>
    <n v="2"/>
    <x v="0"/>
    <n v="499"/>
    <x v="4"/>
    <x v="4"/>
    <x v="3"/>
    <x v="1"/>
    <x v="1"/>
    <n v="0"/>
    <n v="2"/>
    <x v="2"/>
    <x v="0"/>
  </r>
  <r>
    <x v="537"/>
    <n v="2"/>
    <x v="1"/>
    <n v="641"/>
    <x v="23"/>
    <x v="70"/>
    <x v="3"/>
    <x v="59"/>
    <x v="4"/>
    <n v="585.5"/>
    <n v="9"/>
    <x v="9"/>
    <x v="1"/>
  </r>
  <r>
    <x v="538"/>
    <n v="2"/>
    <x v="1"/>
    <n v="0"/>
    <x v="4"/>
    <x v="4"/>
    <x v="3"/>
    <x v="1"/>
    <x v="4"/>
    <n v="0"/>
    <n v="4"/>
    <x v="1"/>
    <x v="0"/>
  </r>
  <r>
    <x v="539"/>
    <n v="1"/>
    <x v="0"/>
    <n v="539"/>
    <x v="4"/>
    <x v="4"/>
    <x v="3"/>
    <x v="1"/>
    <x v="4"/>
    <n v="0"/>
    <n v="5"/>
    <x v="0"/>
    <x v="0"/>
  </r>
  <r>
    <x v="540"/>
    <n v="2"/>
    <x v="0"/>
    <n v="435"/>
    <x v="3"/>
    <x v="8"/>
    <x v="30"/>
    <x v="1"/>
    <x v="1"/>
    <n v="429.5"/>
    <n v="5"/>
    <x v="3"/>
    <x v="0"/>
  </r>
  <r>
    <x v="541"/>
    <n v="2"/>
    <x v="0"/>
    <n v="499"/>
    <x v="38"/>
    <x v="33"/>
    <x v="3"/>
    <x v="21"/>
    <x v="3"/>
    <n v="429"/>
    <n v="5"/>
    <x v="0"/>
    <x v="0"/>
  </r>
  <r>
    <x v="542"/>
    <n v="1"/>
    <x v="0"/>
    <n v="599"/>
    <x v="59"/>
    <x v="32"/>
    <x v="10"/>
    <x v="52"/>
    <x v="4"/>
    <n v="610"/>
    <n v="5"/>
    <x v="1"/>
    <x v="0"/>
  </r>
  <r>
    <x v="543"/>
    <n v="2"/>
    <x v="0"/>
    <n v="538"/>
    <x v="24"/>
    <x v="34"/>
    <x v="36"/>
    <x v="1"/>
    <x v="4"/>
    <n v="549"/>
    <n v="0"/>
    <x v="2"/>
    <x v="1"/>
  </r>
  <r>
    <x v="544"/>
    <n v="2"/>
    <x v="1"/>
    <n v="582"/>
    <x v="17"/>
    <x v="9"/>
    <x v="3"/>
    <x v="40"/>
    <x v="0"/>
    <n v="313"/>
    <n v="0"/>
    <x v="5"/>
    <x v="0"/>
  </r>
  <r>
    <x v="545"/>
    <n v="1"/>
    <x v="0"/>
    <n v="538"/>
    <x v="44"/>
    <x v="4"/>
    <x v="33"/>
    <x v="1"/>
    <x v="1"/>
    <n v="255"/>
    <n v="5"/>
    <x v="3"/>
    <x v="0"/>
  </r>
  <r>
    <x v="546"/>
    <n v="1"/>
    <x v="0"/>
    <n v="414"/>
    <x v="66"/>
    <x v="40"/>
    <x v="3"/>
    <x v="35"/>
    <x v="7"/>
    <n v="328"/>
    <n v="3"/>
    <x v="2"/>
    <x v="0"/>
  </r>
  <r>
    <x v="547"/>
    <n v="1"/>
    <x v="0"/>
    <n v="437"/>
    <x v="38"/>
    <x v="5"/>
    <x v="20"/>
    <x v="1"/>
    <x v="3"/>
    <n v="403"/>
    <n v="3"/>
    <x v="3"/>
    <x v="0"/>
  </r>
  <r>
    <x v="548"/>
    <n v="1"/>
    <x v="0"/>
    <n v="455"/>
    <x v="30"/>
    <x v="39"/>
    <x v="23"/>
    <x v="27"/>
    <x v="4"/>
    <n v="535"/>
    <n v="2"/>
    <x v="10"/>
    <x v="0"/>
  </r>
  <r>
    <x v="549"/>
    <n v="2"/>
    <x v="2"/>
    <n v="764"/>
    <x v="16"/>
    <x v="71"/>
    <x v="3"/>
    <x v="65"/>
    <x v="1"/>
    <n v="732.5"/>
    <n v="9"/>
    <x v="9"/>
    <x v="3"/>
  </r>
  <r>
    <x v="550"/>
    <n v="1"/>
    <x v="2"/>
    <n v="682"/>
    <x v="74"/>
    <x v="15"/>
    <x v="3"/>
    <x v="63"/>
    <x v="3"/>
    <n v="680"/>
    <n v="9"/>
    <x v="7"/>
    <x v="2"/>
  </r>
  <r>
    <x v="551"/>
    <n v="2"/>
    <x v="2"/>
    <n v="785"/>
    <x v="63"/>
    <x v="1"/>
    <x v="3"/>
    <x v="66"/>
    <x v="0"/>
    <n v="767.5"/>
    <n v="0"/>
    <x v="5"/>
    <x v="2"/>
  </r>
  <r>
    <x v="552"/>
    <n v="1"/>
    <x v="0"/>
    <n v="458"/>
    <x v="3"/>
    <x v="33"/>
    <x v="20"/>
    <x v="1"/>
    <x v="1"/>
    <n v="472"/>
    <n v="2"/>
    <x v="2"/>
    <x v="0"/>
  </r>
  <r>
    <x v="553"/>
    <n v="2"/>
    <x v="0"/>
    <n v="538"/>
    <x v="4"/>
    <x v="4"/>
    <x v="3"/>
    <x v="1"/>
    <x v="4"/>
    <n v="0"/>
    <n v="2"/>
    <x v="2"/>
    <x v="0"/>
  </r>
  <r>
    <x v="554"/>
    <n v="2"/>
    <x v="0"/>
    <n v="315"/>
    <x v="4"/>
    <x v="4"/>
    <x v="3"/>
    <x v="1"/>
    <x v="1"/>
    <n v="0"/>
    <n v="5"/>
    <x v="0"/>
    <x v="0"/>
  </r>
  <r>
    <x v="555"/>
    <n v="2"/>
    <x v="1"/>
    <n v="538"/>
    <x v="55"/>
    <x v="39"/>
    <x v="3"/>
    <x v="18"/>
    <x v="1"/>
    <n v="530"/>
    <n v="7"/>
    <x v="3"/>
    <x v="1"/>
  </r>
  <r>
    <x v="556"/>
    <n v="1"/>
    <x v="0"/>
    <n v="538"/>
    <x v="5"/>
    <x v="10"/>
    <x v="3"/>
    <x v="13"/>
    <x v="6"/>
    <n v="545.5"/>
    <n v="7"/>
    <x v="10"/>
    <x v="0"/>
  </r>
  <r>
    <x v="557"/>
    <n v="1"/>
    <x v="0"/>
    <n v="558"/>
    <x v="44"/>
    <x v="33"/>
    <x v="45"/>
    <x v="0"/>
    <x v="7"/>
    <n v="495"/>
    <n v="5"/>
    <x v="3"/>
    <x v="0"/>
  </r>
  <r>
    <x v="558"/>
    <n v="1"/>
    <x v="1"/>
    <n v="437"/>
    <x v="17"/>
    <x v="3"/>
    <x v="33"/>
    <x v="29"/>
    <x v="1"/>
    <n v="443.5"/>
    <n v="5"/>
    <x v="10"/>
    <x v="1"/>
  </r>
  <r>
    <x v="559"/>
    <n v="2"/>
    <x v="0"/>
    <n v="455"/>
    <x v="74"/>
    <x v="7"/>
    <x v="65"/>
    <x v="1"/>
    <x v="4"/>
    <n v="595"/>
    <n v="9"/>
    <x v="7"/>
    <x v="0"/>
  </r>
  <r>
    <x v="560"/>
    <n v="1"/>
    <x v="0"/>
    <n v="476"/>
    <x v="34"/>
    <x v="0"/>
    <x v="3"/>
    <x v="4"/>
    <x v="4"/>
    <n v="446"/>
    <n v="5"/>
    <x v="3"/>
    <x v="0"/>
  </r>
  <r>
    <x v="561"/>
    <n v="1"/>
    <x v="0"/>
    <n v="499"/>
    <x v="41"/>
    <x v="18"/>
    <x v="38"/>
    <x v="1"/>
    <x v="1"/>
    <n v="441"/>
    <n v="7"/>
    <x v="10"/>
    <x v="0"/>
  </r>
  <r>
    <x v="562"/>
    <n v="2"/>
    <x v="2"/>
    <n v="538"/>
    <x v="59"/>
    <x v="58"/>
    <x v="3"/>
    <x v="33"/>
    <x v="6"/>
    <n v="574.5"/>
    <n v="10"/>
    <x v="7"/>
    <x v="3"/>
  </r>
  <r>
    <x v="563"/>
    <n v="2"/>
    <x v="1"/>
    <n v="435"/>
    <x v="7"/>
    <x v="40"/>
    <x v="8"/>
    <x v="1"/>
    <x v="6"/>
    <n v="399.5"/>
    <n v="4"/>
    <x v="0"/>
    <x v="0"/>
  </r>
  <r>
    <x v="564"/>
    <n v="2"/>
    <x v="1"/>
    <n v="539"/>
    <x v="0"/>
    <x v="3"/>
    <x v="61"/>
    <x v="44"/>
    <x v="4"/>
    <n v="465"/>
    <n v="5"/>
    <x v="2"/>
    <x v="1"/>
  </r>
  <r>
    <x v="565"/>
    <n v="2"/>
    <x v="1"/>
    <n v="476"/>
    <x v="0"/>
    <x v="31"/>
    <x v="3"/>
    <x v="45"/>
    <x v="1"/>
    <n v="435.5"/>
    <n v="5"/>
    <x v="3"/>
    <x v="1"/>
  </r>
  <r>
    <x v="566"/>
    <n v="1"/>
    <x v="2"/>
    <n v="599"/>
    <x v="65"/>
    <x v="1"/>
    <x v="46"/>
    <x v="20"/>
    <x v="4"/>
    <n v="744.5"/>
    <n v="9"/>
    <x v="7"/>
    <x v="3"/>
  </r>
  <r>
    <x v="567"/>
    <n v="1"/>
    <x v="2"/>
    <n v="435"/>
    <x v="22"/>
    <x v="30"/>
    <x v="2"/>
    <x v="58"/>
    <x v="6"/>
    <n v="668"/>
    <n v="5"/>
    <x v="7"/>
    <x v="1"/>
  </r>
  <r>
    <x v="568"/>
    <n v="2"/>
    <x v="1"/>
    <n v="420"/>
    <x v="33"/>
    <x v="35"/>
    <x v="18"/>
    <x v="1"/>
    <x v="4"/>
    <n v="455"/>
    <n v="5"/>
    <x v="1"/>
    <x v="0"/>
  </r>
  <r>
    <x v="569"/>
    <n v="2"/>
    <x v="1"/>
    <n v="455"/>
    <x v="19"/>
    <x v="19"/>
    <x v="1"/>
    <x v="0"/>
    <x v="3"/>
    <n v="522.5"/>
    <n v="8"/>
    <x v="7"/>
    <x v="1"/>
  </r>
  <r>
    <x v="570"/>
    <n v="2"/>
    <x v="2"/>
    <n v="641"/>
    <x v="6"/>
    <x v="53"/>
    <x v="2"/>
    <x v="1"/>
    <x v="4"/>
    <n v="628.5"/>
    <n v="9"/>
    <x v="10"/>
    <x v="3"/>
  </r>
  <r>
    <x v="571"/>
    <n v="1"/>
    <x v="2"/>
    <n v="558"/>
    <x v="55"/>
    <x v="63"/>
    <x v="64"/>
    <x v="60"/>
    <x v="7"/>
    <n v="606"/>
    <n v="9"/>
    <x v="7"/>
    <x v="2"/>
  </r>
  <r>
    <x v="572"/>
    <n v="2"/>
    <x v="2"/>
    <n v="538"/>
    <x v="4"/>
    <x v="4"/>
    <x v="3"/>
    <x v="1"/>
    <x v="1"/>
    <n v="0"/>
    <n v="9"/>
    <x v="3"/>
    <x v="1"/>
  </r>
  <r>
    <x v="573"/>
    <n v="1"/>
    <x v="2"/>
    <n v="414"/>
    <x v="27"/>
    <x v="61"/>
    <x v="46"/>
    <x v="1"/>
    <x v="0"/>
    <n v="582.5"/>
    <n v="0"/>
    <x v="5"/>
    <x v="3"/>
  </r>
  <r>
    <x v="574"/>
    <n v="2"/>
    <x v="2"/>
    <n v="538"/>
    <x v="67"/>
    <x v="70"/>
    <x v="51"/>
    <x v="1"/>
    <x v="4"/>
    <n v="614.5"/>
    <n v="9"/>
    <x v="9"/>
    <x v="1"/>
  </r>
  <r>
    <x v="575"/>
    <n v="2"/>
    <x v="2"/>
    <n v="517"/>
    <x v="53"/>
    <x v="61"/>
    <x v="10"/>
    <x v="1"/>
    <x v="4"/>
    <n v="607.5"/>
    <n v="9"/>
    <x v="9"/>
    <x v="1"/>
  </r>
  <r>
    <x v="576"/>
    <n v="2"/>
    <x v="1"/>
    <n v="499"/>
    <x v="4"/>
    <x v="4"/>
    <x v="3"/>
    <x v="1"/>
    <x v="8"/>
    <n v="0"/>
    <n v="2"/>
    <x v="2"/>
    <x v="0"/>
  </r>
  <r>
    <x v="577"/>
    <n v="2"/>
    <x v="0"/>
    <n v="599"/>
    <x v="22"/>
    <x v="63"/>
    <x v="3"/>
    <x v="38"/>
    <x v="5"/>
    <n v="665"/>
    <n v="2"/>
    <x v="3"/>
    <x v="0"/>
  </r>
  <r>
    <x v="578"/>
    <n v="2"/>
    <x v="0"/>
    <n v="517"/>
    <x v="44"/>
    <x v="12"/>
    <x v="48"/>
    <x v="1"/>
    <x v="6"/>
    <n v="443"/>
    <n v="5"/>
    <x v="3"/>
    <x v="0"/>
  </r>
  <r>
    <x v="579"/>
    <n v="2"/>
    <x v="0"/>
    <n v="538"/>
    <x v="59"/>
    <x v="8"/>
    <x v="58"/>
    <x v="1"/>
    <x v="1"/>
    <n v="493.5"/>
    <n v="5"/>
    <x v="1"/>
    <x v="0"/>
  </r>
  <r>
    <x v="580"/>
    <n v="2"/>
    <x v="1"/>
    <n v="478"/>
    <x v="26"/>
    <x v="19"/>
    <x v="69"/>
    <x v="6"/>
    <x v="1"/>
    <n v="510"/>
    <n v="4"/>
    <x v="1"/>
    <x v="0"/>
  </r>
  <r>
    <x v="581"/>
    <n v="1"/>
    <x v="1"/>
    <n v="420"/>
    <x v="4"/>
    <x v="4"/>
    <x v="3"/>
    <x v="1"/>
    <x v="10"/>
    <n v="0"/>
    <n v="4"/>
    <x v="3"/>
    <x v="0"/>
  </r>
  <r>
    <x v="582"/>
    <n v="2"/>
    <x v="0"/>
    <n v="311"/>
    <x v="51"/>
    <x v="8"/>
    <x v="4"/>
    <x v="1"/>
    <x v="0"/>
    <n v="408.5"/>
    <n v="0"/>
    <x v="5"/>
    <x v="0"/>
  </r>
  <r>
    <x v="583"/>
    <n v="1"/>
    <x v="1"/>
    <n v="335"/>
    <x v="4"/>
    <x v="4"/>
    <x v="3"/>
    <x v="1"/>
    <x v="4"/>
    <n v="0"/>
    <n v="1"/>
    <x v="5"/>
    <x v="0"/>
  </r>
  <r>
    <x v="584"/>
    <n v="1"/>
    <x v="0"/>
    <n v="437"/>
    <x v="66"/>
    <x v="31"/>
    <x v="36"/>
    <x v="1"/>
    <x v="1"/>
    <n v="384.5"/>
    <n v="5"/>
    <x v="2"/>
    <x v="0"/>
  </r>
  <r>
    <x v="585"/>
    <n v="2"/>
    <x v="0"/>
    <n v="662"/>
    <x v="32"/>
    <x v="25"/>
    <x v="21"/>
    <x v="1"/>
    <x v="6"/>
    <n v="580"/>
    <n v="5"/>
    <x v="0"/>
    <x v="0"/>
  </r>
  <r>
    <x v="586"/>
    <n v="1"/>
    <x v="1"/>
    <n v="0"/>
    <x v="51"/>
    <x v="19"/>
    <x v="3"/>
    <x v="27"/>
    <x v="1"/>
    <n v="458"/>
    <n v="5"/>
    <x v="3"/>
    <x v="0"/>
  </r>
  <r>
    <x v="587"/>
    <n v="2"/>
    <x v="1"/>
    <n v="661"/>
    <x v="4"/>
    <x v="4"/>
    <x v="3"/>
    <x v="1"/>
    <x v="6"/>
    <n v="0"/>
    <n v="0"/>
    <x v="1"/>
    <x v="0"/>
  </r>
  <r>
    <x v="588"/>
    <n v="2"/>
    <x v="1"/>
    <n v="580"/>
    <x v="4"/>
    <x v="4"/>
    <x v="3"/>
    <x v="1"/>
    <x v="7"/>
    <n v="0"/>
    <n v="3"/>
    <x v="3"/>
    <x v="0"/>
  </r>
  <r>
    <x v="589"/>
    <n v="2"/>
    <x v="2"/>
    <n v="661"/>
    <x v="22"/>
    <x v="72"/>
    <x v="3"/>
    <x v="41"/>
    <x v="1"/>
    <n v="656"/>
    <n v="9"/>
    <x v="7"/>
    <x v="3"/>
  </r>
  <r>
    <x v="590"/>
    <n v="2"/>
    <x v="0"/>
    <n v="682"/>
    <x v="6"/>
    <x v="38"/>
    <x v="3"/>
    <x v="67"/>
    <x v="4"/>
    <n v="592"/>
    <n v="8"/>
    <x v="10"/>
    <x v="1"/>
  </r>
  <r>
    <x v="591"/>
    <n v="2"/>
    <x v="0"/>
    <n v="620"/>
    <x v="48"/>
    <x v="25"/>
    <x v="10"/>
    <x v="1"/>
    <x v="1"/>
    <n v="526.5"/>
    <n v="5"/>
    <x v="1"/>
    <x v="1"/>
  </r>
  <r>
    <x v="592"/>
    <n v="1"/>
    <x v="1"/>
    <n v="641"/>
    <x v="39"/>
    <x v="69"/>
    <x v="42"/>
    <x v="17"/>
    <x v="4"/>
    <n v="694"/>
    <n v="9"/>
    <x v="10"/>
    <x v="0"/>
  </r>
  <r>
    <x v="593"/>
    <n v="1"/>
    <x v="2"/>
    <n v="702"/>
    <x v="60"/>
    <x v="67"/>
    <x v="14"/>
    <x v="56"/>
    <x v="4"/>
    <n v="711"/>
    <n v="8"/>
    <x v="9"/>
    <x v="3"/>
  </r>
  <r>
    <x v="594"/>
    <n v="2"/>
    <x v="1"/>
    <n v="440"/>
    <x v="9"/>
    <x v="5"/>
    <x v="9"/>
    <x v="1"/>
    <x v="3"/>
    <n v="461"/>
    <n v="9"/>
    <x v="9"/>
    <x v="1"/>
  </r>
  <r>
    <x v="595"/>
    <n v="2"/>
    <x v="1"/>
    <n v="478"/>
    <x v="56"/>
    <x v="31"/>
    <x v="66"/>
    <x v="1"/>
    <x v="7"/>
    <n v="351.5"/>
    <n v="0"/>
    <x v="5"/>
    <x v="1"/>
  </r>
  <r>
    <x v="596"/>
    <n v="1"/>
    <x v="0"/>
    <n v="0"/>
    <x v="4"/>
    <x v="4"/>
    <x v="3"/>
    <x v="1"/>
    <x v="6"/>
    <n v="0"/>
    <n v="5"/>
    <x v="1"/>
    <x v="1"/>
  </r>
  <r>
    <x v="597"/>
    <n v="1"/>
    <x v="0"/>
    <n v="517"/>
    <x v="10"/>
    <x v="29"/>
    <x v="3"/>
    <x v="21"/>
    <x v="1"/>
    <n v="416.5"/>
    <n v="4"/>
    <x v="10"/>
    <x v="0"/>
  </r>
  <r>
    <x v="598"/>
    <n v="2"/>
    <x v="2"/>
    <n v="496"/>
    <x v="23"/>
    <x v="19"/>
    <x v="47"/>
    <x v="1"/>
    <x v="1"/>
    <n v="532.5"/>
    <n v="9"/>
    <x v="7"/>
    <x v="2"/>
  </r>
  <r>
    <x v="599"/>
    <n v="1"/>
    <x v="0"/>
    <n v="455"/>
    <x v="59"/>
    <x v="7"/>
    <x v="3"/>
    <x v="68"/>
    <x v="1"/>
    <n v="570.5"/>
    <n v="9"/>
    <x v="7"/>
    <x v="0"/>
  </r>
  <r>
    <x v="600"/>
    <n v="1"/>
    <x v="1"/>
    <n v="561"/>
    <x v="55"/>
    <x v="33"/>
    <x v="27"/>
    <x v="1"/>
    <x v="6"/>
    <n v="508.5"/>
    <n v="8"/>
    <x v="9"/>
    <x v="1"/>
  </r>
  <r>
    <x v="601"/>
    <n v="1"/>
    <x v="0"/>
    <n v="599"/>
    <x v="10"/>
    <x v="2"/>
    <x v="3"/>
    <x v="45"/>
    <x v="1"/>
    <n v="516"/>
    <n v="5"/>
    <x v="1"/>
    <x v="1"/>
  </r>
  <r>
    <x v="602"/>
    <n v="2"/>
    <x v="0"/>
    <n v="0"/>
    <x v="4"/>
    <x v="4"/>
    <x v="3"/>
    <x v="1"/>
    <x v="5"/>
    <n v="0"/>
    <n v="1"/>
    <x v="2"/>
    <x v="0"/>
  </r>
  <r>
    <x v="603"/>
    <n v="1"/>
    <x v="1"/>
    <n v="702"/>
    <x v="52"/>
    <x v="54"/>
    <x v="57"/>
    <x v="10"/>
    <x v="6"/>
    <n v="732.5"/>
    <n v="0"/>
    <x v="7"/>
    <x v="1"/>
  </r>
  <r>
    <x v="604"/>
    <n v="1"/>
    <x v="0"/>
    <n v="397"/>
    <x v="25"/>
    <x v="24"/>
    <x v="24"/>
    <x v="1"/>
    <x v="3"/>
    <n v="534"/>
    <n v="4"/>
    <x v="3"/>
    <x v="0"/>
  </r>
  <r>
    <x v="605"/>
    <n v="1"/>
    <x v="0"/>
    <n v="560"/>
    <x v="7"/>
    <x v="42"/>
    <x v="33"/>
    <x v="34"/>
    <x v="1"/>
    <n v="567.5"/>
    <n v="5"/>
    <x v="3"/>
    <x v="1"/>
  </r>
  <r>
    <x v="606"/>
    <n v="2"/>
    <x v="1"/>
    <n v="397"/>
    <x v="43"/>
    <x v="50"/>
    <x v="3"/>
    <x v="2"/>
    <x v="5"/>
    <n v="324"/>
    <n v="2"/>
    <x v="0"/>
    <x v="0"/>
  </r>
  <r>
    <x v="607"/>
    <n v="1"/>
    <x v="0"/>
    <n v="579"/>
    <x v="0"/>
    <x v="16"/>
    <x v="3"/>
    <x v="15"/>
    <x v="1"/>
    <n v="499"/>
    <n v="5"/>
    <x v="1"/>
    <x v="0"/>
  </r>
  <r>
    <x v="608"/>
    <n v="1"/>
    <x v="0"/>
    <n v="499"/>
    <x v="66"/>
    <x v="31"/>
    <x v="11"/>
    <x v="1"/>
    <x v="1"/>
    <n v="384.5"/>
    <n v="5"/>
    <x v="3"/>
    <x v="0"/>
  </r>
  <r>
    <x v="609"/>
    <n v="2"/>
    <x v="0"/>
    <n v="620"/>
    <x v="40"/>
    <x v="25"/>
    <x v="45"/>
    <x v="1"/>
    <x v="3"/>
    <n v="536.5"/>
    <n v="2"/>
    <x v="1"/>
    <x v="0"/>
  </r>
  <r>
    <x v="610"/>
    <n v="1"/>
    <x v="0"/>
    <n v="661"/>
    <x v="27"/>
    <x v="49"/>
    <x v="45"/>
    <x v="36"/>
    <x v="6"/>
    <n v="623.5"/>
    <n v="2"/>
    <x v="0"/>
    <x v="0"/>
  </r>
  <r>
    <x v="611"/>
    <n v="1"/>
    <x v="0"/>
    <n v="538"/>
    <x v="11"/>
    <x v="26"/>
    <x v="25"/>
    <x v="1"/>
    <x v="1"/>
    <n v="479"/>
    <n v="3"/>
    <x v="3"/>
    <x v="0"/>
  </r>
  <r>
    <x v="612"/>
    <n v="2"/>
    <x v="0"/>
    <n v="476"/>
    <x v="3"/>
    <x v="12"/>
    <x v="41"/>
    <x v="1"/>
    <x v="3"/>
    <n v="420"/>
    <n v="4"/>
    <x v="3"/>
    <x v="0"/>
  </r>
  <r>
    <x v="613"/>
    <n v="2"/>
    <x v="0"/>
    <n v="538"/>
    <x v="41"/>
    <x v="5"/>
    <x v="0"/>
    <x v="1"/>
    <x v="7"/>
    <n v="429"/>
    <n v="4"/>
    <x v="3"/>
    <x v="0"/>
  </r>
  <r>
    <x v="614"/>
    <n v="1"/>
    <x v="1"/>
    <n v="440"/>
    <x v="43"/>
    <x v="29"/>
    <x v="27"/>
    <x v="1"/>
    <x v="1"/>
    <n v="386"/>
    <n v="5"/>
    <x v="1"/>
    <x v="0"/>
  </r>
  <r>
    <x v="615"/>
    <n v="1"/>
    <x v="1"/>
    <n v="560"/>
    <x v="44"/>
    <x v="3"/>
    <x v="27"/>
    <x v="1"/>
    <x v="3"/>
    <n v="491"/>
    <n v="2"/>
    <x v="3"/>
    <x v="0"/>
  </r>
  <r>
    <x v="616"/>
    <n v="2"/>
    <x v="1"/>
    <n v="519"/>
    <x v="4"/>
    <x v="4"/>
    <x v="3"/>
    <x v="1"/>
    <x v="1"/>
    <n v="0"/>
    <n v="0"/>
    <x v="2"/>
    <x v="0"/>
  </r>
  <r>
    <x v="617"/>
    <n v="2"/>
    <x v="1"/>
    <n v="723"/>
    <x v="49"/>
    <x v="51"/>
    <x v="3"/>
    <x v="37"/>
    <x v="6"/>
    <n v="658"/>
    <n v="8"/>
    <x v="3"/>
    <x v="1"/>
  </r>
  <r>
    <x v="618"/>
    <n v="1"/>
    <x v="0"/>
    <n v="458"/>
    <x v="3"/>
    <x v="73"/>
    <x v="38"/>
    <x v="26"/>
    <x v="5"/>
    <n v="497.5"/>
    <n v="5"/>
    <x v="1"/>
    <x v="0"/>
  </r>
  <r>
    <x v="619"/>
    <n v="2"/>
    <x v="0"/>
    <n v="455"/>
    <x v="17"/>
    <x v="17"/>
    <x v="0"/>
    <x v="1"/>
    <x v="1"/>
    <n v="344.5"/>
    <n v="4"/>
    <x v="2"/>
    <x v="0"/>
  </r>
  <r>
    <x v="620"/>
    <n v="1"/>
    <x v="0"/>
    <n v="560"/>
    <x v="66"/>
    <x v="8"/>
    <x v="3"/>
    <x v="2"/>
    <x v="0"/>
    <n v="375.5"/>
    <n v="0"/>
    <x v="5"/>
    <x v="0"/>
  </r>
  <r>
    <x v="621"/>
    <n v="2"/>
    <x v="1"/>
    <n v="0"/>
    <x v="4"/>
    <x v="4"/>
    <x v="3"/>
    <x v="1"/>
    <x v="3"/>
    <n v="0"/>
    <n v="5"/>
    <x v="1"/>
    <x v="0"/>
  </r>
  <r>
    <x v="622"/>
    <n v="2"/>
    <x v="0"/>
    <n v="496"/>
    <x v="4"/>
    <x v="4"/>
    <x v="3"/>
    <x v="1"/>
    <x v="3"/>
    <n v="0"/>
    <n v="5"/>
    <x v="3"/>
    <x v="0"/>
  </r>
  <r>
    <x v="623"/>
    <n v="2"/>
    <x v="1"/>
    <n v="579"/>
    <x v="25"/>
    <x v="23"/>
    <x v="3"/>
    <x v="14"/>
    <x v="1"/>
    <n v="563.5"/>
    <n v="10"/>
    <x v="10"/>
    <x v="1"/>
  </r>
  <r>
    <x v="624"/>
    <n v="1"/>
    <x v="0"/>
    <n v="641"/>
    <x v="11"/>
    <x v="33"/>
    <x v="27"/>
    <x v="1"/>
    <x v="1"/>
    <n v="475.5"/>
    <n v="4"/>
    <x v="1"/>
    <x v="0"/>
  </r>
  <r>
    <x v="625"/>
    <n v="2"/>
    <x v="0"/>
    <n v="496"/>
    <x v="28"/>
    <x v="29"/>
    <x v="15"/>
    <x v="1"/>
    <x v="6"/>
    <n v="295"/>
    <n v="0"/>
    <x v="1"/>
    <x v="0"/>
  </r>
  <r>
    <x v="626"/>
    <n v="1"/>
    <x v="0"/>
    <n v="458"/>
    <x v="4"/>
    <x v="4"/>
    <x v="3"/>
    <x v="1"/>
    <x v="1"/>
    <n v="0"/>
    <n v="3"/>
    <x v="0"/>
    <x v="0"/>
  </r>
  <r>
    <x v="627"/>
    <n v="1"/>
    <x v="1"/>
    <n v="458"/>
    <x v="4"/>
    <x v="4"/>
    <x v="3"/>
    <x v="1"/>
    <x v="1"/>
    <n v="0"/>
    <n v="2"/>
    <x v="1"/>
    <x v="0"/>
  </r>
  <r>
    <x v="628"/>
    <n v="1"/>
    <x v="1"/>
    <n v="558"/>
    <x v="1"/>
    <x v="59"/>
    <x v="37"/>
    <x v="69"/>
    <x v="5"/>
    <n v="642"/>
    <n v="2"/>
    <x v="2"/>
    <x v="0"/>
  </r>
  <r>
    <x v="629"/>
    <n v="2"/>
    <x v="0"/>
    <n v="455"/>
    <x v="37"/>
    <x v="31"/>
    <x v="3"/>
    <x v="27"/>
    <x v="0"/>
    <n v="373"/>
    <n v="0"/>
    <x v="5"/>
    <x v="0"/>
  </r>
  <r>
    <x v="630"/>
    <n v="2"/>
    <x v="1"/>
    <n v="400"/>
    <x v="58"/>
    <x v="29"/>
    <x v="29"/>
    <x v="1"/>
    <x v="5"/>
    <n v="302"/>
    <n v="10"/>
    <x v="3"/>
    <x v="0"/>
  </r>
  <r>
    <x v="631"/>
    <n v="1"/>
    <x v="0"/>
    <n v="455"/>
    <x v="19"/>
    <x v="25"/>
    <x v="7"/>
    <x v="1"/>
    <x v="4"/>
    <n v="531.5"/>
    <n v="5"/>
    <x v="0"/>
    <x v="1"/>
  </r>
  <r>
    <x v="632"/>
    <n v="2"/>
    <x v="0"/>
    <n v="476"/>
    <x v="46"/>
    <x v="18"/>
    <x v="61"/>
    <x v="1"/>
    <x v="4"/>
    <n v="467.5"/>
    <n v="3"/>
    <x v="2"/>
    <x v="0"/>
  </r>
  <r>
    <x v="633"/>
    <n v="2"/>
    <x v="0"/>
    <n v="496"/>
    <x v="38"/>
    <x v="5"/>
    <x v="36"/>
    <x v="1"/>
    <x v="8"/>
    <n v="403"/>
    <n v="5"/>
    <x v="7"/>
    <x v="1"/>
  </r>
  <r>
    <x v="634"/>
    <n v="1"/>
    <x v="0"/>
    <n v="476"/>
    <x v="33"/>
    <x v="38"/>
    <x v="3"/>
    <x v="60"/>
    <x v="4"/>
    <n v="564"/>
    <n v="8"/>
    <x v="10"/>
    <x v="1"/>
  </r>
  <r>
    <x v="635"/>
    <n v="1"/>
    <x v="1"/>
    <n v="539"/>
    <x v="4"/>
    <x v="4"/>
    <x v="3"/>
    <x v="1"/>
    <x v="0"/>
    <n v="0"/>
    <n v="3"/>
    <x v="2"/>
    <x v="0"/>
  </r>
  <r>
    <x v="636"/>
    <n v="1"/>
    <x v="1"/>
    <n v="519"/>
    <x v="4"/>
    <x v="4"/>
    <x v="3"/>
    <x v="1"/>
    <x v="6"/>
    <n v="0"/>
    <n v="3"/>
    <x v="3"/>
    <x v="0"/>
  </r>
  <r>
    <x v="637"/>
    <n v="2"/>
    <x v="0"/>
    <n v="499"/>
    <x v="47"/>
    <x v="24"/>
    <x v="40"/>
    <x v="1"/>
    <x v="3"/>
    <n v="538.5"/>
    <n v="9"/>
    <x v="7"/>
    <x v="1"/>
  </r>
  <r>
    <x v="638"/>
    <n v="2"/>
    <x v="0"/>
    <n v="476"/>
    <x v="55"/>
    <x v="31"/>
    <x v="27"/>
    <x v="1"/>
    <x v="1"/>
    <n v="475"/>
    <n v="5"/>
    <x v="0"/>
    <x v="0"/>
  </r>
  <r>
    <x v="639"/>
    <n v="2"/>
    <x v="0"/>
    <n v="0"/>
    <x v="4"/>
    <x v="4"/>
    <x v="3"/>
    <x v="1"/>
    <x v="1"/>
    <n v="0"/>
    <n v="2"/>
    <x v="2"/>
    <x v="0"/>
  </r>
  <r>
    <x v="640"/>
    <n v="2"/>
    <x v="0"/>
    <n v="478"/>
    <x v="21"/>
    <x v="18"/>
    <x v="3"/>
    <x v="19"/>
    <x v="3"/>
    <n v="491.5"/>
    <n v="2"/>
    <x v="2"/>
    <x v="1"/>
  </r>
  <r>
    <x v="641"/>
    <n v="1"/>
    <x v="0"/>
    <n v="376"/>
    <x v="35"/>
    <x v="0"/>
    <x v="20"/>
    <x v="42"/>
    <x v="4"/>
    <n v="393"/>
    <n v="5"/>
    <x v="0"/>
    <x v="0"/>
  </r>
  <r>
    <x v="642"/>
    <n v="2"/>
    <x v="2"/>
    <n v="496"/>
    <x v="54"/>
    <x v="6"/>
    <x v="3"/>
    <x v="53"/>
    <x v="10"/>
    <n v="593.5"/>
    <n v="4"/>
    <x v="3"/>
    <x v="1"/>
  </r>
  <r>
    <x v="643"/>
    <n v="2"/>
    <x v="0"/>
    <n v="496"/>
    <x v="5"/>
    <x v="33"/>
    <x v="3"/>
    <x v="32"/>
    <x v="4"/>
    <n v="484"/>
    <n v="5"/>
    <x v="3"/>
    <x v="1"/>
  </r>
  <r>
    <x v="644"/>
    <n v="1"/>
    <x v="1"/>
    <n v="0"/>
    <x v="4"/>
    <x v="4"/>
    <x v="3"/>
    <x v="1"/>
    <x v="0"/>
    <n v="0"/>
    <n v="0"/>
    <x v="5"/>
    <x v="1"/>
  </r>
  <r>
    <x v="645"/>
    <n v="2"/>
    <x v="0"/>
    <n v="397"/>
    <x v="4"/>
    <x v="4"/>
    <x v="3"/>
    <x v="1"/>
    <x v="4"/>
    <n v="0"/>
    <n v="3"/>
    <x v="1"/>
    <x v="1"/>
  </r>
  <r>
    <x v="646"/>
    <n v="2"/>
    <x v="1"/>
    <n v="539"/>
    <x v="4"/>
    <x v="4"/>
    <x v="3"/>
    <x v="1"/>
    <x v="0"/>
    <n v="0"/>
    <n v="0"/>
    <x v="5"/>
    <x v="0"/>
  </r>
  <r>
    <x v="647"/>
    <n v="1"/>
    <x v="0"/>
    <n v="376"/>
    <x v="38"/>
    <x v="18"/>
    <x v="11"/>
    <x v="1"/>
    <x v="1"/>
    <n v="415"/>
    <n v="5"/>
    <x v="1"/>
    <x v="0"/>
  </r>
  <r>
    <x v="648"/>
    <n v="2"/>
    <x v="1"/>
    <n v="435"/>
    <x v="26"/>
    <x v="17"/>
    <x v="25"/>
    <x v="1"/>
    <x v="1"/>
    <n v="400"/>
    <n v="5"/>
    <x v="3"/>
    <x v="1"/>
  </r>
  <r>
    <x v="649"/>
    <n v="1"/>
    <x v="1"/>
    <n v="376"/>
    <x v="4"/>
    <x v="4"/>
    <x v="3"/>
    <x v="1"/>
    <x v="1"/>
    <n v="0"/>
    <n v="2"/>
    <x v="1"/>
    <x v="0"/>
  </r>
  <r>
    <x v="650"/>
    <n v="1"/>
    <x v="0"/>
    <n v="661"/>
    <x v="46"/>
    <x v="61"/>
    <x v="51"/>
    <x v="22"/>
    <x v="4"/>
    <n v="531"/>
    <n v="4"/>
    <x v="3"/>
    <x v="0"/>
  </r>
  <r>
    <x v="651"/>
    <n v="1"/>
    <x v="1"/>
    <n v="0"/>
    <x v="4"/>
    <x v="4"/>
    <x v="3"/>
    <x v="1"/>
    <x v="0"/>
    <n v="0"/>
    <n v="10"/>
    <x v="5"/>
    <x v="0"/>
  </r>
  <r>
    <x v="652"/>
    <n v="2"/>
    <x v="0"/>
    <n v="476"/>
    <x v="64"/>
    <x v="37"/>
    <x v="0"/>
    <x v="9"/>
    <x v="5"/>
    <n v="406"/>
    <n v="5"/>
    <x v="7"/>
    <x v="0"/>
  </r>
  <r>
    <x v="653"/>
    <n v="1"/>
    <x v="0"/>
    <n v="435"/>
    <x v="55"/>
    <x v="3"/>
    <x v="38"/>
    <x v="1"/>
    <x v="6"/>
    <n v="504.5"/>
    <n v="0"/>
    <x v="7"/>
    <x v="1"/>
  </r>
  <r>
    <x v="654"/>
    <n v="2"/>
    <x v="0"/>
    <n v="496"/>
    <x v="24"/>
    <x v="40"/>
    <x v="3"/>
    <x v="23"/>
    <x v="0"/>
    <n v="408"/>
    <n v="0"/>
    <x v="5"/>
    <x v="0"/>
  </r>
  <r>
    <x v="655"/>
    <n v="1"/>
    <x v="0"/>
    <n v="356"/>
    <x v="0"/>
    <x v="12"/>
    <x v="34"/>
    <x v="1"/>
    <x v="6"/>
    <n v="417"/>
    <n v="2"/>
    <x v="2"/>
    <x v="0"/>
  </r>
  <r>
    <x v="656"/>
    <n v="2"/>
    <x v="1"/>
    <n v="0"/>
    <x v="3"/>
    <x v="17"/>
    <x v="15"/>
    <x v="21"/>
    <x v="1"/>
    <n v="369"/>
    <n v="5"/>
    <x v="3"/>
    <x v="1"/>
  </r>
  <r>
    <x v="657"/>
    <n v="2"/>
    <x v="1"/>
    <n v="702"/>
    <x v="59"/>
    <x v="58"/>
    <x v="3"/>
    <x v="18"/>
    <x v="6"/>
    <n v="574.5"/>
    <n v="5"/>
    <x v="3"/>
    <x v="0"/>
  </r>
  <r>
    <x v="658"/>
    <n v="1"/>
    <x v="0"/>
    <n v="496"/>
    <x v="41"/>
    <x v="0"/>
    <x v="3"/>
    <x v="21"/>
    <x v="1"/>
    <n v="435.5"/>
    <n v="4"/>
    <x v="3"/>
    <x v="0"/>
  </r>
  <r>
    <x v="659"/>
    <n v="2"/>
    <x v="0"/>
    <n v="437"/>
    <x v="4"/>
    <x v="4"/>
    <x v="3"/>
    <x v="1"/>
    <x v="1"/>
    <n v="0"/>
    <n v="5"/>
    <x v="0"/>
    <x v="0"/>
  </r>
  <r>
    <x v="660"/>
    <n v="1"/>
    <x v="0"/>
    <n v="499"/>
    <x v="45"/>
    <x v="5"/>
    <x v="31"/>
    <x v="1"/>
    <x v="4"/>
    <n v="408"/>
    <n v="5"/>
    <x v="2"/>
    <x v="0"/>
  </r>
  <r>
    <x v="661"/>
    <n v="2"/>
    <x v="0"/>
    <n v="476"/>
    <x v="36"/>
    <x v="29"/>
    <x v="22"/>
    <x v="1"/>
    <x v="0"/>
    <n v="362.5"/>
    <n v="0"/>
    <x v="5"/>
    <x v="0"/>
  </r>
  <r>
    <x v="662"/>
    <n v="2"/>
    <x v="0"/>
    <n v="558"/>
    <x v="51"/>
    <x v="35"/>
    <x v="56"/>
    <x v="1"/>
    <x v="4"/>
    <n v="387.5"/>
    <n v="5"/>
    <x v="3"/>
    <x v="0"/>
  </r>
  <r>
    <x v="663"/>
    <n v="1"/>
    <x v="0"/>
    <n v="455"/>
    <x v="35"/>
    <x v="8"/>
    <x v="3"/>
    <x v="7"/>
    <x v="7"/>
    <n v="370"/>
    <n v="2"/>
    <x v="5"/>
    <x v="0"/>
  </r>
  <r>
    <x v="664"/>
    <n v="1"/>
    <x v="0"/>
    <n v="352"/>
    <x v="36"/>
    <x v="11"/>
    <x v="16"/>
    <x v="1"/>
    <x v="1"/>
    <n v="430"/>
    <n v="8"/>
    <x v="3"/>
    <x v="0"/>
  </r>
  <r>
    <x v="665"/>
    <n v="1"/>
    <x v="0"/>
    <n v="517"/>
    <x v="36"/>
    <x v="18"/>
    <x v="41"/>
    <x v="1"/>
    <x v="1"/>
    <n v="424.5"/>
    <n v="2"/>
    <x v="0"/>
    <x v="0"/>
  </r>
  <r>
    <x v="666"/>
    <n v="2"/>
    <x v="0"/>
    <n v="662"/>
    <x v="5"/>
    <x v="37"/>
    <x v="3"/>
    <x v="34"/>
    <x v="0"/>
    <n v="497"/>
    <n v="0"/>
    <x v="5"/>
    <x v="0"/>
  </r>
  <r>
    <x v="667"/>
    <n v="1"/>
    <x v="0"/>
    <n v="0"/>
    <x v="4"/>
    <x v="4"/>
    <x v="3"/>
    <x v="1"/>
    <x v="3"/>
    <n v="0"/>
    <n v="0"/>
    <x v="3"/>
    <x v="0"/>
  </r>
  <r>
    <x v="668"/>
    <n v="2"/>
    <x v="0"/>
    <n v="417"/>
    <x v="12"/>
    <x v="8"/>
    <x v="30"/>
    <x v="1"/>
    <x v="1"/>
    <n v="381"/>
    <n v="3"/>
    <x v="3"/>
    <x v="0"/>
  </r>
  <r>
    <x v="669"/>
    <n v="2"/>
    <x v="0"/>
    <n v="519"/>
    <x v="18"/>
    <x v="0"/>
    <x v="27"/>
    <x v="1"/>
    <x v="6"/>
    <n v="481"/>
    <n v="3"/>
    <x v="2"/>
    <x v="0"/>
  </r>
  <r>
    <x v="670"/>
    <n v="2"/>
    <x v="0"/>
    <n v="476"/>
    <x v="30"/>
    <x v="11"/>
    <x v="25"/>
    <x v="1"/>
    <x v="1"/>
    <n v="505"/>
    <n v="5"/>
    <x v="0"/>
    <x v="1"/>
  </r>
  <r>
    <x v="671"/>
    <n v="1"/>
    <x v="1"/>
    <n v="414"/>
    <x v="43"/>
    <x v="11"/>
    <x v="3"/>
    <x v="27"/>
    <x v="4"/>
    <n v="453.5"/>
    <n v="9"/>
    <x v="7"/>
    <x v="3"/>
  </r>
  <r>
    <x v="672"/>
    <n v="2"/>
    <x v="0"/>
    <n v="579"/>
    <x v="11"/>
    <x v="11"/>
    <x v="3"/>
    <x v="27"/>
    <x v="4"/>
    <n v="467"/>
    <n v="5"/>
    <x v="1"/>
    <x v="1"/>
  </r>
  <r>
    <x v="673"/>
    <n v="1"/>
    <x v="0"/>
    <n v="458"/>
    <x v="36"/>
    <x v="58"/>
    <x v="25"/>
    <x v="18"/>
    <x v="7"/>
    <n v="477"/>
    <n v="2"/>
    <x v="0"/>
    <x v="0"/>
  </r>
  <r>
    <x v="674"/>
    <n v="1"/>
    <x v="2"/>
    <n v="455"/>
    <x v="33"/>
    <x v="20"/>
    <x v="32"/>
    <x v="38"/>
    <x v="1"/>
    <n v="585.5"/>
    <n v="7"/>
    <x v="3"/>
    <x v="0"/>
  </r>
  <r>
    <x v="675"/>
    <n v="2"/>
    <x v="0"/>
    <n v="641"/>
    <x v="39"/>
    <x v="38"/>
    <x v="59"/>
    <x v="60"/>
    <x v="1"/>
    <n v="623"/>
    <n v="2"/>
    <x v="2"/>
    <x v="0"/>
  </r>
  <r>
    <x v="676"/>
    <n v="1"/>
    <x v="0"/>
    <n v="579"/>
    <x v="33"/>
    <x v="73"/>
    <x v="3"/>
    <x v="54"/>
    <x v="6"/>
    <n v="544"/>
    <n v="5"/>
    <x v="7"/>
    <x v="1"/>
  </r>
  <r>
    <x v="677"/>
    <n v="1"/>
    <x v="1"/>
    <n v="539"/>
    <x v="42"/>
    <x v="5"/>
    <x v="25"/>
    <x v="42"/>
    <x v="3"/>
    <n v="433"/>
    <n v="2"/>
    <x v="1"/>
    <x v="0"/>
  </r>
  <r>
    <x v="678"/>
    <n v="2"/>
    <x v="0"/>
    <n v="539"/>
    <x v="34"/>
    <x v="35"/>
    <x v="3"/>
    <x v="21"/>
    <x v="6"/>
    <n v="402"/>
    <n v="2"/>
    <x v="2"/>
    <x v="0"/>
  </r>
  <r>
    <x v="679"/>
    <n v="2"/>
    <x v="0"/>
    <n v="437"/>
    <x v="17"/>
    <x v="12"/>
    <x v="3"/>
    <x v="48"/>
    <x v="4"/>
    <n v="395.5"/>
    <n v="2"/>
    <x v="0"/>
    <x v="0"/>
  </r>
  <r>
    <x v="680"/>
    <n v="1"/>
    <x v="0"/>
    <n v="397"/>
    <x v="51"/>
    <x v="0"/>
    <x v="20"/>
    <x v="1"/>
    <x v="1"/>
    <n v="431.5"/>
    <n v="4"/>
    <x v="0"/>
    <x v="0"/>
  </r>
  <r>
    <x v="681"/>
    <n v="1"/>
    <x v="2"/>
    <n v="414"/>
    <x v="13"/>
    <x v="28"/>
    <x v="47"/>
    <x v="1"/>
    <x v="6"/>
    <n v="570.5"/>
    <n v="9"/>
    <x v="7"/>
    <x v="1"/>
  </r>
  <r>
    <x v="682"/>
    <n v="2"/>
    <x v="0"/>
    <n v="496"/>
    <x v="5"/>
    <x v="31"/>
    <x v="41"/>
    <x v="1"/>
    <x v="4"/>
    <n v="450.5"/>
    <n v="5"/>
    <x v="3"/>
    <x v="0"/>
  </r>
  <r>
    <x v="683"/>
    <n v="1"/>
    <x v="0"/>
    <n v="517"/>
    <x v="57"/>
    <x v="5"/>
    <x v="27"/>
    <x v="44"/>
    <x v="5"/>
    <n v="517.5"/>
    <n v="5"/>
    <x v="10"/>
    <x v="0"/>
  </r>
  <r>
    <x v="684"/>
    <n v="2"/>
    <x v="0"/>
    <n v="538"/>
    <x v="4"/>
    <x v="4"/>
    <x v="3"/>
    <x v="1"/>
    <x v="3"/>
    <n v="0"/>
    <n v="2"/>
    <x v="2"/>
    <x v="0"/>
  </r>
  <r>
    <x v="685"/>
    <n v="2"/>
    <x v="1"/>
    <n v="641"/>
    <x v="34"/>
    <x v="5"/>
    <x v="18"/>
    <x v="1"/>
    <x v="10"/>
    <n v="439.5"/>
    <n v="2"/>
    <x v="2"/>
    <x v="0"/>
  </r>
  <r>
    <x v="686"/>
    <n v="2"/>
    <x v="1"/>
    <n v="417"/>
    <x v="4"/>
    <x v="4"/>
    <x v="3"/>
    <x v="1"/>
    <x v="1"/>
    <n v="0"/>
    <n v="4"/>
    <x v="2"/>
    <x v="0"/>
  </r>
  <r>
    <x v="687"/>
    <n v="2"/>
    <x v="0"/>
    <n v="455"/>
    <x v="17"/>
    <x v="39"/>
    <x v="3"/>
    <x v="19"/>
    <x v="1"/>
    <n v="469"/>
    <n v="3"/>
    <x v="0"/>
    <x v="1"/>
  </r>
  <r>
    <x v="688"/>
    <n v="2"/>
    <x v="1"/>
    <n v="417"/>
    <x v="10"/>
    <x v="11"/>
    <x v="61"/>
    <x v="0"/>
    <x v="3"/>
    <n v="484"/>
    <n v="3"/>
    <x v="1"/>
    <x v="0"/>
  </r>
  <r>
    <x v="689"/>
    <n v="2"/>
    <x v="1"/>
    <n v="620"/>
    <x v="57"/>
    <x v="14"/>
    <x v="3"/>
    <x v="68"/>
    <x v="3"/>
    <n v="615.5"/>
    <n v="3"/>
    <x v="3"/>
    <x v="0"/>
  </r>
  <r>
    <x v="690"/>
    <n v="1"/>
    <x v="1"/>
    <n v="620"/>
    <x v="70"/>
    <x v="64"/>
    <x v="70"/>
    <x v="43"/>
    <x v="6"/>
    <n v="748.5"/>
    <n v="5"/>
    <x v="7"/>
    <x v="0"/>
  </r>
  <r>
    <x v="691"/>
    <n v="1"/>
    <x v="0"/>
    <n v="580"/>
    <x v="0"/>
    <x v="70"/>
    <x v="63"/>
    <x v="1"/>
    <x v="3"/>
    <n v="529"/>
    <n v="3"/>
    <x v="2"/>
    <x v="0"/>
  </r>
  <r>
    <x v="692"/>
    <n v="1"/>
    <x v="0"/>
    <n v="538"/>
    <x v="30"/>
    <x v="3"/>
    <x v="47"/>
    <x v="1"/>
    <x v="1"/>
    <n v="509.5"/>
    <n v="2"/>
    <x v="3"/>
    <x v="1"/>
  </r>
  <r>
    <x v="693"/>
    <n v="2"/>
    <x v="0"/>
    <n v="620"/>
    <x v="47"/>
    <x v="19"/>
    <x v="38"/>
    <x v="1"/>
    <x v="3"/>
    <n v="535"/>
    <n v="9"/>
    <x v="7"/>
    <x v="1"/>
  </r>
  <r>
    <x v="694"/>
    <n v="1"/>
    <x v="0"/>
    <n v="620"/>
    <x v="46"/>
    <x v="11"/>
    <x v="3"/>
    <x v="19"/>
    <x v="6"/>
    <n v="473"/>
    <n v="4"/>
    <x v="1"/>
    <x v="0"/>
  </r>
  <r>
    <x v="695"/>
    <n v="1"/>
    <x v="0"/>
    <n v="478"/>
    <x v="59"/>
    <x v="33"/>
    <x v="63"/>
    <x v="1"/>
    <x v="7"/>
    <n v="536"/>
    <n v="3"/>
    <x v="1"/>
    <x v="0"/>
  </r>
  <r>
    <x v="696"/>
    <n v="1"/>
    <x v="0"/>
    <n v="539"/>
    <x v="4"/>
    <x v="4"/>
    <x v="3"/>
    <x v="1"/>
    <x v="5"/>
    <n v="0"/>
    <n v="1"/>
    <x v="2"/>
    <x v="0"/>
  </r>
  <r>
    <x v="697"/>
    <n v="1"/>
    <x v="1"/>
    <n v="620"/>
    <x v="4"/>
    <x v="4"/>
    <x v="3"/>
    <x v="1"/>
    <x v="6"/>
    <n v="0"/>
    <n v="4"/>
    <x v="2"/>
    <x v="0"/>
  </r>
  <r>
    <x v="698"/>
    <n v="2"/>
    <x v="1"/>
    <n v="499"/>
    <x v="31"/>
    <x v="40"/>
    <x v="25"/>
    <x v="1"/>
    <x v="5"/>
    <n v="353"/>
    <n v="4"/>
    <x v="3"/>
    <x v="0"/>
  </r>
  <r>
    <x v="699"/>
    <n v="1"/>
    <x v="0"/>
    <n v="723"/>
    <x v="21"/>
    <x v="7"/>
    <x v="3"/>
    <x v="0"/>
    <x v="1"/>
    <n v="540"/>
    <n v="2"/>
    <x v="1"/>
    <x v="0"/>
  </r>
  <r>
    <x v="700"/>
    <n v="2"/>
    <x v="0"/>
    <n v="538"/>
    <x v="5"/>
    <x v="0"/>
    <x v="3"/>
    <x v="48"/>
    <x v="10"/>
    <n v="464.5"/>
    <n v="5"/>
    <x v="0"/>
    <x v="0"/>
  </r>
  <r>
    <x v="701"/>
    <n v="1"/>
    <x v="0"/>
    <n v="435"/>
    <x v="66"/>
    <x v="40"/>
    <x v="22"/>
    <x v="1"/>
    <x v="1"/>
    <n v="328"/>
    <n v="7"/>
    <x v="8"/>
    <x v="0"/>
  </r>
  <r>
    <x v="702"/>
    <n v="2"/>
    <x v="1"/>
    <n v="539"/>
    <x v="14"/>
    <x v="35"/>
    <x v="62"/>
    <x v="1"/>
    <x v="1"/>
    <n v="414.5"/>
    <n v="5"/>
    <x v="0"/>
    <x v="0"/>
  </r>
  <r>
    <x v="703"/>
    <n v="2"/>
    <x v="1"/>
    <n v="0"/>
    <x v="31"/>
    <x v="40"/>
    <x v="15"/>
    <x v="2"/>
    <x v="3"/>
    <n v="353"/>
    <n v="5"/>
    <x v="3"/>
    <x v="0"/>
  </r>
  <r>
    <x v="704"/>
    <n v="2"/>
    <x v="1"/>
    <n v="519"/>
    <x v="66"/>
    <x v="8"/>
    <x v="53"/>
    <x v="1"/>
    <x v="4"/>
    <n v="375.5"/>
    <n v="2"/>
    <x v="2"/>
    <x v="0"/>
  </r>
  <r>
    <x v="705"/>
    <n v="2"/>
    <x v="0"/>
    <n v="414"/>
    <x v="4"/>
    <x v="4"/>
    <x v="3"/>
    <x v="1"/>
    <x v="0"/>
    <n v="0"/>
    <n v="0"/>
    <x v="5"/>
    <x v="0"/>
  </r>
  <r>
    <x v="706"/>
    <n v="1"/>
    <x v="0"/>
    <n v="496"/>
    <x v="31"/>
    <x v="25"/>
    <x v="8"/>
    <x v="1"/>
    <x v="0"/>
    <n v="459"/>
    <n v="4"/>
    <x v="2"/>
    <x v="0"/>
  </r>
  <r>
    <x v="707"/>
    <n v="2"/>
    <x v="0"/>
    <n v="560"/>
    <x v="12"/>
    <x v="29"/>
    <x v="71"/>
    <x v="1"/>
    <x v="4"/>
    <n v="347.5"/>
    <n v="5"/>
    <x v="0"/>
    <x v="0"/>
  </r>
  <r>
    <x v="708"/>
    <n v="2"/>
    <x v="0"/>
    <n v="538"/>
    <x v="10"/>
    <x v="33"/>
    <x v="38"/>
    <x v="1"/>
    <x v="4"/>
    <n v="492.5"/>
    <n v="2"/>
    <x v="0"/>
    <x v="0"/>
  </r>
  <r>
    <x v="709"/>
    <n v="2"/>
    <x v="0"/>
    <n v="579"/>
    <x v="18"/>
    <x v="26"/>
    <x v="3"/>
    <x v="40"/>
    <x v="1"/>
    <n v="504"/>
    <n v="0"/>
    <x v="7"/>
    <x v="0"/>
  </r>
  <r>
    <x v="710"/>
    <n v="1"/>
    <x v="0"/>
    <n v="478"/>
    <x v="19"/>
    <x v="19"/>
    <x v="37"/>
    <x v="1"/>
    <x v="10"/>
    <n v="522.5"/>
    <n v="3"/>
    <x v="0"/>
    <x v="0"/>
  </r>
  <r>
    <x v="711"/>
    <n v="2"/>
    <x v="0"/>
    <n v="661"/>
    <x v="13"/>
    <x v="32"/>
    <x v="3"/>
    <x v="60"/>
    <x v="1"/>
    <n v="612"/>
    <n v="2"/>
    <x v="1"/>
    <x v="0"/>
  </r>
  <r>
    <x v="712"/>
    <n v="2"/>
    <x v="1"/>
    <n v="517"/>
    <x v="48"/>
    <x v="24"/>
    <x v="25"/>
    <x v="1"/>
    <x v="6"/>
    <n v="521"/>
    <n v="5"/>
    <x v="3"/>
    <x v="1"/>
  </r>
  <r>
    <x v="713"/>
    <n v="2"/>
    <x v="0"/>
    <n v="620"/>
    <x v="43"/>
    <x v="37"/>
    <x v="9"/>
    <x v="1"/>
    <x v="3"/>
    <n v="475"/>
    <n v="8"/>
    <x v="3"/>
    <x v="0"/>
  </r>
  <r>
    <x v="714"/>
    <n v="1"/>
    <x v="0"/>
    <n v="682"/>
    <x v="40"/>
    <x v="43"/>
    <x v="3"/>
    <x v="61"/>
    <x v="1"/>
    <n v="567.5"/>
    <n v="4"/>
    <x v="3"/>
    <x v="0"/>
  </r>
  <r>
    <x v="715"/>
    <n v="2"/>
    <x v="1"/>
    <n v="455"/>
    <x v="44"/>
    <x v="0"/>
    <x v="25"/>
    <x v="1"/>
    <x v="4"/>
    <n v="475.5"/>
    <n v="10"/>
    <x v="1"/>
    <x v="1"/>
  </r>
  <r>
    <x v="716"/>
    <n v="2"/>
    <x v="0"/>
    <n v="0"/>
    <x v="9"/>
    <x v="3"/>
    <x v="3"/>
    <x v="32"/>
    <x v="0"/>
    <n v="483"/>
    <n v="0"/>
    <x v="0"/>
    <x v="0"/>
  </r>
  <r>
    <x v="717"/>
    <n v="2"/>
    <x v="0"/>
    <n v="397"/>
    <x v="71"/>
    <x v="55"/>
    <x v="68"/>
    <x v="1"/>
    <x v="1"/>
    <n v="233"/>
    <n v="4"/>
    <x v="1"/>
    <x v="0"/>
  </r>
  <r>
    <x v="718"/>
    <n v="1"/>
    <x v="0"/>
    <n v="641"/>
    <x v="42"/>
    <x v="37"/>
    <x v="3"/>
    <x v="18"/>
    <x v="4"/>
    <n v="472"/>
    <n v="5"/>
    <x v="3"/>
    <x v="1"/>
  </r>
  <r>
    <x v="719"/>
    <n v="1"/>
    <x v="1"/>
    <n v="414"/>
    <x v="51"/>
    <x v="33"/>
    <x v="8"/>
    <x v="1"/>
    <x v="4"/>
    <n v="451"/>
    <n v="4"/>
    <x v="3"/>
    <x v="0"/>
  </r>
  <r>
    <x v="720"/>
    <n v="2"/>
    <x v="0"/>
    <n v="599"/>
    <x v="57"/>
    <x v="58"/>
    <x v="30"/>
    <x v="1"/>
    <x v="1"/>
    <n v="582"/>
    <n v="4"/>
    <x v="10"/>
    <x v="0"/>
  </r>
  <r>
    <x v="721"/>
    <n v="1"/>
    <x v="0"/>
    <n v="437"/>
    <x v="17"/>
    <x v="26"/>
    <x v="8"/>
    <x v="1"/>
    <x v="5"/>
    <n v="451"/>
    <n v="1"/>
    <x v="1"/>
    <x v="0"/>
  </r>
  <r>
    <x v="722"/>
    <n v="2"/>
    <x v="0"/>
    <n v="620"/>
    <x v="24"/>
    <x v="25"/>
    <x v="67"/>
    <x v="1"/>
    <x v="6"/>
    <n v="514"/>
    <n v="5"/>
    <x v="1"/>
    <x v="0"/>
  </r>
  <r>
    <x v="723"/>
    <n v="2"/>
    <x v="0"/>
    <n v="517"/>
    <x v="28"/>
    <x v="17"/>
    <x v="36"/>
    <x v="1"/>
    <x v="0"/>
    <n v="268"/>
    <n v="0"/>
    <x v="5"/>
    <x v="0"/>
  </r>
  <r>
    <x v="724"/>
    <n v="2"/>
    <x v="0"/>
    <n v="455"/>
    <x v="34"/>
    <x v="55"/>
    <x v="18"/>
    <x v="1"/>
    <x v="5"/>
    <n v="349.5"/>
    <n v="2"/>
    <x v="1"/>
    <x v="0"/>
  </r>
  <r>
    <x v="725"/>
    <n v="2"/>
    <x v="0"/>
    <n v="620"/>
    <x v="5"/>
    <x v="19"/>
    <x v="10"/>
    <x v="18"/>
    <x v="4"/>
    <n v="491"/>
    <n v="5"/>
    <x v="3"/>
    <x v="0"/>
  </r>
  <r>
    <x v="726"/>
    <n v="2"/>
    <x v="0"/>
    <n v="620"/>
    <x v="38"/>
    <x v="11"/>
    <x v="25"/>
    <x v="1"/>
    <x v="6"/>
    <n v="420.5"/>
    <n v="3"/>
    <x v="3"/>
    <x v="0"/>
  </r>
  <r>
    <x v="727"/>
    <n v="2"/>
    <x v="0"/>
    <n v="519"/>
    <x v="51"/>
    <x v="37"/>
    <x v="8"/>
    <x v="1"/>
    <x v="7"/>
    <n v="464"/>
    <n v="2"/>
    <x v="2"/>
    <x v="0"/>
  </r>
  <r>
    <x v="728"/>
    <n v="1"/>
    <x v="0"/>
    <n v="458"/>
    <x v="3"/>
    <x v="39"/>
    <x v="3"/>
    <x v="6"/>
    <x v="1"/>
    <n v="493.5"/>
    <n v="3"/>
    <x v="1"/>
    <x v="0"/>
  </r>
  <r>
    <x v="729"/>
    <n v="1"/>
    <x v="1"/>
    <n v="579"/>
    <x v="27"/>
    <x v="59"/>
    <x v="33"/>
    <x v="11"/>
    <x v="4"/>
    <n v="626"/>
    <n v="4"/>
    <x v="7"/>
    <x v="1"/>
  </r>
  <r>
    <x v="730"/>
    <n v="2"/>
    <x v="0"/>
    <n v="414"/>
    <x v="18"/>
    <x v="31"/>
    <x v="18"/>
    <x v="1"/>
    <x v="7"/>
    <n v="467"/>
    <n v="9"/>
    <x v="3"/>
    <x v="0"/>
  </r>
  <r>
    <x v="731"/>
    <n v="2"/>
    <x v="2"/>
    <n v="620"/>
    <x v="27"/>
    <x v="45"/>
    <x v="3"/>
    <x v="39"/>
    <x v="1"/>
    <n v="613"/>
    <n v="8"/>
    <x v="7"/>
    <x v="3"/>
  </r>
  <r>
    <x v="732"/>
    <n v="2"/>
    <x v="0"/>
    <n v="417"/>
    <x v="12"/>
    <x v="18"/>
    <x v="15"/>
    <x v="1"/>
    <x v="3"/>
    <n v="409.5"/>
    <n v="4"/>
    <x v="1"/>
    <x v="0"/>
  </r>
  <r>
    <x v="733"/>
    <n v="1"/>
    <x v="1"/>
    <n v="496"/>
    <x v="21"/>
    <x v="14"/>
    <x v="3"/>
    <x v="15"/>
    <x v="4"/>
    <n v="577.5"/>
    <n v="5"/>
    <x v="1"/>
    <x v="0"/>
  </r>
  <r>
    <x v="734"/>
    <n v="1"/>
    <x v="1"/>
    <n v="620"/>
    <x v="40"/>
    <x v="59"/>
    <x v="3"/>
    <x v="68"/>
    <x v="10"/>
    <n v="613.5"/>
    <n v="2"/>
    <x v="0"/>
    <x v="0"/>
  </r>
  <r>
    <x v="735"/>
    <n v="1"/>
    <x v="0"/>
    <n v="0"/>
    <x v="75"/>
    <x v="31"/>
    <x v="28"/>
    <x v="1"/>
    <x v="0"/>
    <n v="308"/>
    <n v="0"/>
    <x v="5"/>
    <x v="0"/>
  </r>
  <r>
    <x v="736"/>
    <n v="1"/>
    <x v="0"/>
    <n v="620"/>
    <x v="33"/>
    <x v="26"/>
    <x v="3"/>
    <x v="16"/>
    <x v="1"/>
    <n v="522"/>
    <n v="5"/>
    <x v="10"/>
    <x v="0"/>
  </r>
  <r>
    <x v="737"/>
    <n v="1"/>
    <x v="0"/>
    <n v="621"/>
    <x v="14"/>
    <x v="74"/>
    <x v="3"/>
    <x v="54"/>
    <x v="6"/>
    <n v="522"/>
    <n v="2"/>
    <x v="2"/>
    <x v="0"/>
  </r>
  <r>
    <x v="738"/>
    <n v="1"/>
    <x v="0"/>
    <n v="599"/>
    <x v="42"/>
    <x v="16"/>
    <x v="3"/>
    <x v="15"/>
    <x v="4"/>
    <n v="489"/>
    <n v="5"/>
    <x v="3"/>
    <x v="1"/>
  </r>
  <r>
    <x v="739"/>
    <n v="1"/>
    <x v="1"/>
    <n v="641"/>
    <x v="30"/>
    <x v="51"/>
    <x v="3"/>
    <x v="69"/>
    <x v="5"/>
    <n v="619.5"/>
    <n v="0"/>
    <x v="3"/>
    <x v="0"/>
  </r>
  <r>
    <x v="740"/>
    <n v="2"/>
    <x v="0"/>
    <n v="496"/>
    <x v="66"/>
    <x v="11"/>
    <x v="31"/>
    <x v="1"/>
    <x v="1"/>
    <n v="409.5"/>
    <n v="5"/>
    <x v="2"/>
    <x v="0"/>
  </r>
  <r>
    <x v="741"/>
    <n v="1"/>
    <x v="1"/>
    <n v="417"/>
    <x v="50"/>
    <x v="3"/>
    <x v="34"/>
    <x v="1"/>
    <x v="3"/>
    <n v="396"/>
    <n v="5"/>
    <x v="1"/>
    <x v="0"/>
  </r>
  <r>
    <x v="742"/>
    <n v="1"/>
    <x v="0"/>
    <n v="476"/>
    <x v="31"/>
    <x v="19"/>
    <x v="23"/>
    <x v="1"/>
    <x v="4"/>
    <n v="450"/>
    <n v="4"/>
    <x v="0"/>
    <x v="0"/>
  </r>
  <r>
    <x v="743"/>
    <n v="1"/>
    <x v="0"/>
    <n v="496"/>
    <x v="14"/>
    <x v="7"/>
    <x v="3"/>
    <x v="28"/>
    <x v="1"/>
    <n v="512.5"/>
    <n v="5"/>
    <x v="3"/>
    <x v="0"/>
  </r>
  <r>
    <x v="744"/>
    <n v="2"/>
    <x v="0"/>
    <n v="517"/>
    <x v="0"/>
    <x v="31"/>
    <x v="41"/>
    <x v="1"/>
    <x v="1"/>
    <n v="435.5"/>
    <n v="4"/>
    <x v="1"/>
    <x v="0"/>
  </r>
  <r>
    <x v="745"/>
    <n v="2"/>
    <x v="0"/>
    <n v="702"/>
    <x v="9"/>
    <x v="74"/>
    <x v="23"/>
    <x v="1"/>
    <x v="5"/>
    <n v="531"/>
    <n v="2"/>
    <x v="1"/>
    <x v="0"/>
  </r>
  <r>
    <x v="746"/>
    <n v="1"/>
    <x v="0"/>
    <n v="476"/>
    <x v="33"/>
    <x v="37"/>
    <x v="3"/>
    <x v="19"/>
    <x v="6"/>
    <n v="531.5"/>
    <n v="0"/>
    <x v="1"/>
    <x v="0"/>
  </r>
  <r>
    <x v="747"/>
    <n v="1"/>
    <x v="1"/>
    <n v="560"/>
    <x v="4"/>
    <x v="4"/>
    <x v="3"/>
    <x v="1"/>
    <x v="0"/>
    <n v="0"/>
    <n v="0"/>
    <x v="5"/>
    <x v="0"/>
  </r>
  <r>
    <x v="748"/>
    <n v="2"/>
    <x v="1"/>
    <n v="0"/>
    <x v="4"/>
    <x v="4"/>
    <x v="3"/>
    <x v="1"/>
    <x v="1"/>
    <n v="0"/>
    <n v="1"/>
    <x v="0"/>
    <x v="0"/>
  </r>
  <r>
    <x v="749"/>
    <n v="1"/>
    <x v="1"/>
    <n v="0"/>
    <x v="4"/>
    <x v="4"/>
    <x v="3"/>
    <x v="1"/>
    <x v="1"/>
    <n v="0"/>
    <n v="3"/>
    <x v="2"/>
    <x v="0"/>
  </r>
  <r>
    <x v="750"/>
    <n v="1"/>
    <x v="1"/>
    <n v="455"/>
    <x v="4"/>
    <x v="4"/>
    <x v="3"/>
    <x v="1"/>
    <x v="4"/>
    <n v="0"/>
    <n v="0"/>
    <x v="3"/>
    <x v="0"/>
  </r>
  <r>
    <x v="751"/>
    <n v="2"/>
    <x v="2"/>
    <n v="496"/>
    <x v="54"/>
    <x v="6"/>
    <x v="47"/>
    <x v="1"/>
    <x v="1"/>
    <n v="593.5"/>
    <n v="8"/>
    <x v="7"/>
    <x v="1"/>
  </r>
  <r>
    <x v="752"/>
    <n v="1"/>
    <x v="1"/>
    <n v="579"/>
    <x v="33"/>
    <x v="51"/>
    <x v="3"/>
    <x v="17"/>
    <x v="1"/>
    <n v="624.5"/>
    <n v="5"/>
    <x v="9"/>
    <x v="1"/>
  </r>
  <r>
    <x v="753"/>
    <n v="2"/>
    <x v="0"/>
    <n v="373"/>
    <x v="4"/>
    <x v="4"/>
    <x v="3"/>
    <x v="1"/>
    <x v="5"/>
    <n v="0"/>
    <n v="4"/>
    <x v="10"/>
    <x v="0"/>
  </r>
  <r>
    <x v="754"/>
    <n v="1"/>
    <x v="1"/>
    <n v="641"/>
    <x v="60"/>
    <x v="1"/>
    <x v="3"/>
    <x v="62"/>
    <x v="1"/>
    <n v="772.5"/>
    <n v="0"/>
    <x v="5"/>
    <x v="0"/>
  </r>
  <r>
    <x v="755"/>
    <n v="2"/>
    <x v="0"/>
    <n v="599"/>
    <x v="43"/>
    <x v="16"/>
    <x v="3"/>
    <x v="11"/>
    <x v="4"/>
    <n v="492"/>
    <n v="5"/>
    <x v="1"/>
    <x v="0"/>
  </r>
  <r>
    <x v="756"/>
    <n v="1"/>
    <x v="1"/>
    <n v="641"/>
    <x v="24"/>
    <x v="70"/>
    <x v="3"/>
    <x v="1"/>
    <x v="4"/>
    <n v="558"/>
    <n v="7"/>
    <x v="3"/>
    <x v="0"/>
  </r>
  <r>
    <x v="757"/>
    <n v="2"/>
    <x v="0"/>
    <n v="579"/>
    <x v="26"/>
    <x v="24"/>
    <x v="3"/>
    <x v="52"/>
    <x v="4"/>
    <n v="513.5"/>
    <n v="5"/>
    <x v="3"/>
    <x v="0"/>
  </r>
  <r>
    <x v="758"/>
    <n v="2"/>
    <x v="1"/>
    <n v="702"/>
    <x v="65"/>
    <x v="23"/>
    <x v="58"/>
    <x v="1"/>
    <x v="1"/>
    <n v="610.5"/>
    <n v="5"/>
    <x v="10"/>
    <x v="1"/>
  </r>
  <r>
    <x v="759"/>
    <n v="2"/>
    <x v="0"/>
    <n v="620"/>
    <x v="7"/>
    <x v="19"/>
    <x v="33"/>
    <x v="1"/>
    <x v="6"/>
    <n v="496.5"/>
    <n v="4"/>
    <x v="1"/>
    <x v="0"/>
  </r>
  <r>
    <x v="760"/>
    <n v="1"/>
    <x v="0"/>
    <n v="558"/>
    <x v="17"/>
    <x v="0"/>
    <x v="3"/>
    <x v="22"/>
    <x v="1"/>
    <n v="428"/>
    <n v="5"/>
    <x v="3"/>
    <x v="0"/>
  </r>
  <r>
    <x v="761"/>
    <n v="2"/>
    <x v="0"/>
    <n v="539"/>
    <x v="44"/>
    <x v="25"/>
    <x v="25"/>
    <x v="1"/>
    <x v="6"/>
    <n v="511"/>
    <n v="5"/>
    <x v="2"/>
    <x v="0"/>
  </r>
  <r>
    <x v="762"/>
    <n v="2"/>
    <x v="1"/>
    <n v="437"/>
    <x v="4"/>
    <x v="4"/>
    <x v="3"/>
    <x v="1"/>
    <x v="6"/>
    <n v="0"/>
    <n v="2"/>
    <x v="2"/>
    <x v="0"/>
  </r>
  <r>
    <x v="763"/>
    <n v="1"/>
    <x v="0"/>
    <n v="539"/>
    <x v="45"/>
    <x v="3"/>
    <x v="0"/>
    <x v="1"/>
    <x v="3"/>
    <n v="430"/>
    <n v="2"/>
    <x v="2"/>
    <x v="0"/>
  </r>
  <r>
    <x v="764"/>
    <n v="1"/>
    <x v="1"/>
    <n v="435"/>
    <x v="69"/>
    <x v="7"/>
    <x v="65"/>
    <x v="1"/>
    <x v="4"/>
    <n v="608.5"/>
    <n v="5"/>
    <x v="3"/>
    <x v="1"/>
  </r>
  <r>
    <x v="765"/>
    <n v="2"/>
    <x v="0"/>
    <n v="517"/>
    <x v="0"/>
    <x v="0"/>
    <x v="7"/>
    <x v="1"/>
    <x v="6"/>
    <n v="449.5"/>
    <n v="4"/>
    <x v="2"/>
    <x v="0"/>
  </r>
  <r>
    <x v="766"/>
    <n v="1"/>
    <x v="0"/>
    <n v="417"/>
    <x v="4"/>
    <x v="4"/>
    <x v="3"/>
    <x v="1"/>
    <x v="4"/>
    <n v="0"/>
    <n v="4"/>
    <x v="2"/>
    <x v="0"/>
  </r>
  <r>
    <x v="767"/>
    <n v="1"/>
    <x v="0"/>
    <n v="641"/>
    <x v="21"/>
    <x v="24"/>
    <x v="63"/>
    <x v="1"/>
    <x v="4"/>
    <n v="516"/>
    <n v="3"/>
    <x v="0"/>
    <x v="0"/>
  </r>
  <r>
    <x v="768"/>
    <n v="2"/>
    <x v="0"/>
    <n v="641"/>
    <x v="21"/>
    <x v="5"/>
    <x v="33"/>
    <x v="1"/>
    <x v="4"/>
    <n v="479.5"/>
    <n v="8"/>
    <x v="3"/>
    <x v="0"/>
  </r>
  <r>
    <x v="769"/>
    <n v="1"/>
    <x v="0"/>
    <n v="376"/>
    <x v="4"/>
    <x v="4"/>
    <x v="3"/>
    <x v="1"/>
    <x v="4"/>
    <n v="0"/>
    <n v="5"/>
    <x v="1"/>
    <x v="0"/>
  </r>
  <r>
    <x v="770"/>
    <n v="2"/>
    <x v="1"/>
    <n v="397"/>
    <x v="4"/>
    <x v="4"/>
    <x v="3"/>
    <x v="1"/>
    <x v="4"/>
    <n v="0"/>
    <n v="5"/>
    <x v="3"/>
    <x v="0"/>
  </r>
  <r>
    <x v="771"/>
    <n v="2"/>
    <x v="0"/>
    <n v="682"/>
    <x v="51"/>
    <x v="27"/>
    <x v="30"/>
    <x v="1"/>
    <x v="6"/>
    <n v="479"/>
    <n v="4"/>
    <x v="0"/>
    <x v="0"/>
  </r>
  <r>
    <x v="772"/>
    <n v="2"/>
    <x v="0"/>
    <n v="661"/>
    <x v="55"/>
    <x v="34"/>
    <x v="3"/>
    <x v="15"/>
    <x v="1"/>
    <n v="559.5"/>
    <n v="9"/>
    <x v="1"/>
    <x v="1"/>
  </r>
  <r>
    <x v="773"/>
    <n v="1"/>
    <x v="0"/>
    <n v="417"/>
    <x v="4"/>
    <x v="4"/>
    <x v="3"/>
    <x v="1"/>
    <x v="3"/>
    <n v="0"/>
    <n v="3"/>
    <x v="10"/>
    <x v="0"/>
  </r>
  <r>
    <x v="774"/>
    <n v="2"/>
    <x v="0"/>
    <n v="476"/>
    <x v="42"/>
    <x v="0"/>
    <x v="8"/>
    <x v="1"/>
    <x v="1"/>
    <n v="439.5"/>
    <n v="3"/>
    <x v="2"/>
    <x v="0"/>
  </r>
  <r>
    <x v="775"/>
    <n v="1"/>
    <x v="0"/>
    <n v="519"/>
    <x v="12"/>
    <x v="3"/>
    <x v="6"/>
    <x v="1"/>
    <x v="1"/>
    <n v="419.5"/>
    <n v="5"/>
    <x v="3"/>
    <x v="0"/>
  </r>
  <r>
    <x v="776"/>
    <n v="1"/>
    <x v="0"/>
    <n v="580"/>
    <x v="4"/>
    <x v="4"/>
    <x v="3"/>
    <x v="1"/>
    <x v="1"/>
    <n v="0"/>
    <n v="3"/>
    <x v="3"/>
    <x v="0"/>
  </r>
  <r>
    <x v="777"/>
    <n v="1"/>
    <x v="1"/>
    <n v="601"/>
    <x v="4"/>
    <x v="4"/>
    <x v="3"/>
    <x v="1"/>
    <x v="6"/>
    <n v="0"/>
    <n v="2"/>
    <x v="2"/>
    <x v="0"/>
  </r>
  <r>
    <x v="778"/>
    <n v="2"/>
    <x v="0"/>
    <n v="476"/>
    <x v="51"/>
    <x v="31"/>
    <x v="8"/>
    <x v="1"/>
    <x v="6"/>
    <n v="417.5"/>
    <n v="5"/>
    <x v="1"/>
    <x v="0"/>
  </r>
  <r>
    <x v="779"/>
    <n v="2"/>
    <x v="0"/>
    <n v="458"/>
    <x v="46"/>
    <x v="8"/>
    <x v="3"/>
    <x v="29"/>
    <x v="4"/>
    <n v="439"/>
    <n v="5"/>
    <x v="3"/>
    <x v="0"/>
  </r>
  <r>
    <x v="780"/>
    <n v="2"/>
    <x v="1"/>
    <n v="455"/>
    <x v="23"/>
    <x v="19"/>
    <x v="55"/>
    <x v="1"/>
    <x v="3"/>
    <n v="532.5"/>
    <n v="9"/>
    <x v="7"/>
    <x v="1"/>
  </r>
  <r>
    <x v="781"/>
    <n v="2"/>
    <x v="1"/>
    <n v="519"/>
    <x v="17"/>
    <x v="12"/>
    <x v="72"/>
    <x v="1"/>
    <x v="0"/>
    <n v="395.5"/>
    <n v="0"/>
    <x v="5"/>
    <x v="0"/>
  </r>
  <r>
    <x v="782"/>
    <n v="1"/>
    <x v="1"/>
    <n v="579"/>
    <x v="20"/>
    <x v="41"/>
    <x v="3"/>
    <x v="53"/>
    <x v="6"/>
    <n v="723"/>
    <n v="5"/>
    <x v="2"/>
    <x v="0"/>
  </r>
  <r>
    <x v="783"/>
    <n v="2"/>
    <x v="0"/>
    <n v="620"/>
    <x v="18"/>
    <x v="5"/>
    <x v="23"/>
    <x v="19"/>
    <x v="1"/>
    <n v="474.5"/>
    <n v="5"/>
    <x v="3"/>
    <x v="0"/>
  </r>
  <r>
    <x v="784"/>
    <n v="1"/>
    <x v="0"/>
    <n v="601"/>
    <x v="6"/>
    <x v="11"/>
    <x v="54"/>
    <x v="1"/>
    <x v="1"/>
    <n v="538"/>
    <n v="5"/>
    <x v="0"/>
    <x v="0"/>
  </r>
  <r>
    <x v="785"/>
    <n v="2"/>
    <x v="0"/>
    <n v="496"/>
    <x v="4"/>
    <x v="4"/>
    <x v="3"/>
    <x v="1"/>
    <x v="1"/>
    <n v="0"/>
    <n v="4"/>
    <x v="1"/>
    <x v="0"/>
  </r>
  <r>
    <x v="786"/>
    <n v="2"/>
    <x v="0"/>
    <n v="437"/>
    <x v="17"/>
    <x v="33"/>
    <x v="3"/>
    <x v="0"/>
    <x v="8"/>
    <n v="447.5"/>
    <n v="5"/>
    <x v="3"/>
    <x v="0"/>
  </r>
  <r>
    <x v="787"/>
    <n v="1"/>
    <x v="0"/>
    <n v="458"/>
    <x v="4"/>
    <x v="4"/>
    <x v="3"/>
    <x v="1"/>
    <x v="6"/>
    <n v="0"/>
    <n v="2"/>
    <x v="2"/>
    <x v="0"/>
  </r>
  <r>
    <x v="788"/>
    <n v="2"/>
    <x v="0"/>
    <n v="621"/>
    <x v="24"/>
    <x v="28"/>
    <x v="3"/>
    <x v="40"/>
    <x v="1"/>
    <n v="530.5"/>
    <n v="4"/>
    <x v="3"/>
    <x v="0"/>
  </r>
  <r>
    <x v="789"/>
    <n v="2"/>
    <x v="0"/>
    <n v="417"/>
    <x v="34"/>
    <x v="35"/>
    <x v="6"/>
    <x v="1"/>
    <x v="5"/>
    <n v="402"/>
    <n v="5"/>
    <x v="3"/>
    <x v="0"/>
  </r>
  <r>
    <x v="790"/>
    <n v="1"/>
    <x v="0"/>
    <n v="538"/>
    <x v="21"/>
    <x v="73"/>
    <x v="21"/>
    <x v="1"/>
    <x v="5"/>
    <n v="531"/>
    <n v="0"/>
    <x v="3"/>
    <x v="0"/>
  </r>
  <r>
    <x v="791"/>
    <n v="2"/>
    <x v="0"/>
    <n v="579"/>
    <x v="10"/>
    <x v="25"/>
    <x v="11"/>
    <x v="22"/>
    <x v="4"/>
    <n v="508.5"/>
    <n v="5"/>
    <x v="1"/>
    <x v="1"/>
  </r>
  <r>
    <x v="792"/>
    <n v="2"/>
    <x v="0"/>
    <n v="538"/>
    <x v="49"/>
    <x v="60"/>
    <x v="55"/>
    <x v="53"/>
    <x v="1"/>
    <n v="615"/>
    <n v="9"/>
    <x v="7"/>
    <x v="1"/>
  </r>
  <r>
    <x v="793"/>
    <n v="2"/>
    <x v="0"/>
    <n v="641"/>
    <x v="21"/>
    <x v="33"/>
    <x v="27"/>
    <x v="1"/>
    <x v="1"/>
    <n v="505.5"/>
    <n v="5"/>
    <x v="1"/>
    <x v="0"/>
  </r>
  <r>
    <x v="794"/>
    <n v="2"/>
    <x v="0"/>
    <n v="496"/>
    <x v="21"/>
    <x v="24"/>
    <x v="7"/>
    <x v="1"/>
    <x v="11"/>
    <n v="516"/>
    <n v="5"/>
    <x v="3"/>
    <x v="0"/>
  </r>
  <r>
    <x v="795"/>
    <n v="1"/>
    <x v="1"/>
    <n v="496"/>
    <x v="57"/>
    <x v="62"/>
    <x v="3"/>
    <x v="44"/>
    <x v="4"/>
    <n v="600"/>
    <n v="5"/>
    <x v="3"/>
    <x v="1"/>
  </r>
  <r>
    <x v="796"/>
    <n v="2"/>
    <x v="0"/>
    <n v="558"/>
    <x v="45"/>
    <x v="12"/>
    <x v="6"/>
    <x v="1"/>
    <x v="5"/>
    <n v="382"/>
    <n v="5"/>
    <x v="3"/>
    <x v="0"/>
  </r>
  <r>
    <x v="797"/>
    <n v="2"/>
    <x v="0"/>
    <n v="417"/>
    <x v="7"/>
    <x v="35"/>
    <x v="34"/>
    <x v="1"/>
    <x v="1"/>
    <n v="426"/>
    <n v="3"/>
    <x v="2"/>
    <x v="0"/>
  </r>
  <r>
    <x v="798"/>
    <n v="1"/>
    <x v="1"/>
    <n v="702"/>
    <x v="13"/>
    <x v="63"/>
    <x v="3"/>
    <x v="69"/>
    <x v="6"/>
    <n v="635.5"/>
    <n v="3"/>
    <x v="0"/>
    <x v="0"/>
  </r>
  <r>
    <x v="799"/>
    <n v="2"/>
    <x v="0"/>
    <n v="599"/>
    <x v="33"/>
    <x v="19"/>
    <x v="1"/>
    <x v="14"/>
    <x v="1"/>
    <n v="525.5"/>
    <n v="4"/>
    <x v="3"/>
    <x v="0"/>
  </r>
  <r>
    <x v="800"/>
    <n v="2"/>
    <x v="0"/>
    <n v="435"/>
    <x v="31"/>
    <x v="18"/>
    <x v="56"/>
    <x v="1"/>
    <x v="4"/>
    <n v="429"/>
    <n v="5"/>
    <x v="3"/>
    <x v="0"/>
  </r>
  <r>
    <x v="801"/>
    <n v="1"/>
    <x v="0"/>
    <n v="517"/>
    <x v="9"/>
    <x v="37"/>
    <x v="3"/>
    <x v="48"/>
    <x v="3"/>
    <n v="500"/>
    <n v="5"/>
    <x v="10"/>
    <x v="0"/>
  </r>
  <r>
    <x v="802"/>
    <n v="2"/>
    <x v="0"/>
    <n v="641"/>
    <x v="10"/>
    <x v="74"/>
    <x v="3"/>
    <x v="2"/>
    <x v="4"/>
    <n v="536.5"/>
    <n v="4"/>
    <x v="2"/>
    <x v="0"/>
  </r>
  <r>
    <x v="803"/>
    <n v="2"/>
    <x v="0"/>
    <n v="0"/>
    <x v="4"/>
    <x v="4"/>
    <x v="3"/>
    <x v="1"/>
    <x v="4"/>
    <n v="0"/>
    <n v="3"/>
    <x v="2"/>
    <x v="0"/>
  </r>
  <r>
    <x v="804"/>
    <n v="2"/>
    <x v="0"/>
    <n v="0"/>
    <x v="4"/>
    <x v="4"/>
    <x v="3"/>
    <x v="1"/>
    <x v="10"/>
    <n v="0"/>
    <n v="2"/>
    <x v="3"/>
    <x v="0"/>
  </r>
  <r>
    <x v="805"/>
    <n v="2"/>
    <x v="1"/>
    <n v="539"/>
    <x v="34"/>
    <x v="40"/>
    <x v="9"/>
    <x v="0"/>
    <x v="5"/>
    <n v="375.5"/>
    <n v="2"/>
    <x v="1"/>
    <x v="0"/>
  </r>
  <r>
    <x v="806"/>
    <n v="2"/>
    <x v="0"/>
    <n v="599"/>
    <x v="19"/>
    <x v="37"/>
    <x v="3"/>
    <x v="26"/>
    <x v="6"/>
    <n v="528.5"/>
    <n v="0"/>
    <x v="3"/>
    <x v="0"/>
  </r>
  <r>
    <x v="807"/>
    <n v="2"/>
    <x v="2"/>
    <n v="517"/>
    <x v="44"/>
    <x v="10"/>
    <x v="3"/>
    <x v="17"/>
    <x v="7"/>
    <n v="556.5"/>
    <n v="9"/>
    <x v="7"/>
    <x v="4"/>
  </r>
  <r>
    <x v="808"/>
    <n v="1"/>
    <x v="0"/>
    <n v="393"/>
    <x v="17"/>
    <x v="5"/>
    <x v="28"/>
    <x v="1"/>
    <x v="1"/>
    <n v="421.5"/>
    <n v="4"/>
    <x v="0"/>
    <x v="0"/>
  </r>
  <r>
    <x v="809"/>
    <n v="2"/>
    <x v="0"/>
    <n v="702"/>
    <x v="9"/>
    <x v="38"/>
    <x v="3"/>
    <x v="18"/>
    <x v="4"/>
    <n v="532.5"/>
    <n v="2"/>
    <x v="2"/>
    <x v="0"/>
  </r>
  <r>
    <x v="810"/>
    <n v="2"/>
    <x v="0"/>
    <n v="538"/>
    <x v="26"/>
    <x v="24"/>
    <x v="20"/>
    <x v="1"/>
    <x v="1"/>
    <n v="513.5"/>
    <n v="7"/>
    <x v="1"/>
    <x v="0"/>
  </r>
  <r>
    <x v="811"/>
    <n v="2"/>
    <x v="0"/>
    <n v="682"/>
    <x v="38"/>
    <x v="37"/>
    <x v="3"/>
    <x v="40"/>
    <x v="1"/>
    <n v="442"/>
    <n v="2"/>
    <x v="7"/>
    <x v="1"/>
  </r>
  <r>
    <x v="812"/>
    <n v="2"/>
    <x v="1"/>
    <n v="764"/>
    <x v="52"/>
    <x v="30"/>
    <x v="45"/>
    <x v="70"/>
    <x v="1"/>
    <n v="704"/>
    <n v="9"/>
    <x v="10"/>
    <x v="1"/>
  </r>
  <r>
    <x v="813"/>
    <n v="2"/>
    <x v="1"/>
    <n v="622"/>
    <x v="35"/>
    <x v="5"/>
    <x v="3"/>
    <x v="9"/>
    <x v="6"/>
    <n v="386.5"/>
    <n v="4"/>
    <x v="3"/>
    <x v="0"/>
  </r>
  <r>
    <x v="814"/>
    <n v="2"/>
    <x v="0"/>
    <n v="499"/>
    <x v="36"/>
    <x v="29"/>
    <x v="50"/>
    <x v="9"/>
    <x v="10"/>
    <n v="362.5"/>
    <n v="4"/>
    <x v="2"/>
    <x v="0"/>
  </r>
  <r>
    <x v="815"/>
    <n v="1"/>
    <x v="1"/>
    <n v="579"/>
    <x v="11"/>
    <x v="6"/>
    <x v="3"/>
    <x v="32"/>
    <x v="1"/>
    <n v="528"/>
    <n v="8"/>
    <x v="3"/>
    <x v="1"/>
  </r>
  <r>
    <x v="816"/>
    <n v="1"/>
    <x v="0"/>
    <n v="0"/>
    <x v="4"/>
    <x v="4"/>
    <x v="3"/>
    <x v="1"/>
    <x v="4"/>
    <n v="0"/>
    <n v="4"/>
    <x v="1"/>
    <x v="0"/>
  </r>
  <r>
    <x v="817"/>
    <n v="1"/>
    <x v="0"/>
    <n v="499"/>
    <x v="31"/>
    <x v="13"/>
    <x v="25"/>
    <x v="21"/>
    <x v="1"/>
    <n v="479"/>
    <n v="5"/>
    <x v="0"/>
    <x v="0"/>
  </r>
  <r>
    <x v="818"/>
    <n v="1"/>
    <x v="0"/>
    <n v="455"/>
    <x v="26"/>
    <x v="18"/>
    <x v="33"/>
    <x v="40"/>
    <x v="7"/>
    <n v="489"/>
    <n v="5"/>
    <x v="2"/>
    <x v="0"/>
  </r>
  <r>
    <x v="819"/>
    <n v="2"/>
    <x v="0"/>
    <n v="437"/>
    <x v="12"/>
    <x v="40"/>
    <x v="62"/>
    <x v="1"/>
    <x v="1"/>
    <n v="333.5"/>
    <n v="5"/>
    <x v="2"/>
    <x v="0"/>
  </r>
  <r>
    <x v="820"/>
    <n v="2"/>
    <x v="0"/>
    <n v="558"/>
    <x v="17"/>
    <x v="7"/>
    <x v="53"/>
    <x v="1"/>
    <x v="4"/>
    <n v="482"/>
    <n v="5"/>
    <x v="3"/>
    <x v="1"/>
  </r>
  <r>
    <x v="821"/>
    <n v="2"/>
    <x v="0"/>
    <n v="538"/>
    <x v="36"/>
    <x v="25"/>
    <x v="15"/>
    <x v="1"/>
    <x v="4"/>
    <n v="454.5"/>
    <n v="5"/>
    <x v="3"/>
    <x v="1"/>
  </r>
  <r>
    <x v="822"/>
    <n v="2"/>
    <x v="0"/>
    <n v="478"/>
    <x v="48"/>
    <x v="24"/>
    <x v="3"/>
    <x v="21"/>
    <x v="4"/>
    <n v="521"/>
    <n v="4"/>
    <x v="3"/>
    <x v="0"/>
  </r>
  <r>
    <x v="823"/>
    <n v="2"/>
    <x v="1"/>
    <n v="599"/>
    <x v="53"/>
    <x v="27"/>
    <x v="48"/>
    <x v="1"/>
    <x v="5"/>
    <n v="586"/>
    <n v="6"/>
    <x v="7"/>
    <x v="0"/>
  </r>
  <r>
    <x v="824"/>
    <n v="1"/>
    <x v="0"/>
    <n v="682"/>
    <x v="54"/>
    <x v="46"/>
    <x v="16"/>
    <x v="43"/>
    <x v="6"/>
    <n v="644"/>
    <n v="5"/>
    <x v="3"/>
    <x v="1"/>
  </r>
  <r>
    <x v="825"/>
    <n v="2"/>
    <x v="0"/>
    <n v="661"/>
    <x v="65"/>
    <x v="32"/>
    <x v="17"/>
    <x v="34"/>
    <x v="4"/>
    <n v="644.5"/>
    <n v="4"/>
    <x v="0"/>
    <x v="0"/>
  </r>
  <r>
    <x v="826"/>
    <n v="2"/>
    <x v="0"/>
    <n v="682"/>
    <x v="48"/>
    <x v="48"/>
    <x v="38"/>
    <x v="1"/>
    <x v="0"/>
    <n v="552.5"/>
    <n v="0"/>
    <x v="5"/>
    <x v="0"/>
  </r>
  <r>
    <x v="827"/>
    <n v="2"/>
    <x v="0"/>
    <n v="538"/>
    <x v="44"/>
    <x v="40"/>
    <x v="64"/>
    <x v="1"/>
    <x v="1"/>
    <n v="405"/>
    <n v="4"/>
    <x v="3"/>
    <x v="0"/>
  </r>
  <r>
    <x v="828"/>
    <n v="1"/>
    <x v="0"/>
    <n v="538"/>
    <x v="54"/>
    <x v="7"/>
    <x v="42"/>
    <x v="1"/>
    <x v="4"/>
    <n v="575.5"/>
    <n v="3"/>
    <x v="0"/>
    <x v="0"/>
  </r>
  <r>
    <x v="829"/>
    <n v="2"/>
    <x v="0"/>
    <n v="517"/>
    <x v="43"/>
    <x v="31"/>
    <x v="53"/>
    <x v="1"/>
    <x v="6"/>
    <n v="428.5"/>
    <n v="5"/>
    <x v="3"/>
    <x v="0"/>
  </r>
  <r>
    <x v="830"/>
    <n v="1"/>
    <x v="1"/>
    <n v="455"/>
    <x v="0"/>
    <x v="2"/>
    <x v="33"/>
    <x v="1"/>
    <x v="0"/>
    <n v="492.5"/>
    <n v="0"/>
    <x v="5"/>
    <x v="3"/>
  </r>
  <r>
    <x v="831"/>
    <n v="2"/>
    <x v="0"/>
    <n v="539"/>
    <x v="4"/>
    <x v="4"/>
    <x v="3"/>
    <x v="1"/>
    <x v="4"/>
    <n v="0"/>
    <n v="4"/>
    <x v="1"/>
    <x v="0"/>
  </r>
  <r>
    <x v="832"/>
    <n v="2"/>
    <x v="0"/>
    <n v="682"/>
    <x v="3"/>
    <x v="43"/>
    <x v="3"/>
    <x v="40"/>
    <x v="1"/>
    <n v="519"/>
    <n v="3"/>
    <x v="3"/>
    <x v="0"/>
  </r>
  <r>
    <x v="833"/>
    <n v="1"/>
    <x v="0"/>
    <n v="499"/>
    <x v="44"/>
    <x v="73"/>
    <x v="24"/>
    <x v="1"/>
    <x v="9"/>
    <n v="520.5"/>
    <n v="5"/>
    <x v="9"/>
    <x v="1"/>
  </r>
  <r>
    <x v="834"/>
    <n v="2"/>
    <x v="1"/>
    <n v="437"/>
    <x v="4"/>
    <x v="4"/>
    <x v="3"/>
    <x v="1"/>
    <x v="3"/>
    <n v="0"/>
    <n v="4"/>
    <x v="4"/>
    <x v="0"/>
  </r>
  <r>
    <x v="835"/>
    <n v="2"/>
    <x v="0"/>
    <n v="621"/>
    <x v="4"/>
    <x v="4"/>
    <x v="3"/>
    <x v="1"/>
    <x v="6"/>
    <n v="0"/>
    <n v="4"/>
    <x v="0"/>
    <x v="0"/>
  </r>
  <r>
    <x v="836"/>
    <n v="1"/>
    <x v="0"/>
    <n v="580"/>
    <x v="3"/>
    <x v="19"/>
    <x v="11"/>
    <x v="4"/>
    <x v="1"/>
    <n v="479"/>
    <n v="4"/>
    <x v="1"/>
    <x v="0"/>
  </r>
  <r>
    <x v="837"/>
    <n v="2"/>
    <x v="0"/>
    <n v="599"/>
    <x v="40"/>
    <x v="39"/>
    <x v="21"/>
    <x v="1"/>
    <x v="7"/>
    <n v="542"/>
    <n v="5"/>
    <x v="3"/>
    <x v="0"/>
  </r>
  <r>
    <x v="838"/>
    <n v="1"/>
    <x v="0"/>
    <n v="397"/>
    <x v="42"/>
    <x v="25"/>
    <x v="15"/>
    <x v="1"/>
    <x v="1"/>
    <n v="475"/>
    <n v="3"/>
    <x v="3"/>
    <x v="0"/>
  </r>
  <r>
    <x v="839"/>
    <n v="2"/>
    <x v="0"/>
    <n v="599"/>
    <x v="30"/>
    <x v="52"/>
    <x v="47"/>
    <x v="34"/>
    <x v="1"/>
    <n v="571.5"/>
    <n v="5"/>
    <x v="3"/>
    <x v="0"/>
  </r>
  <r>
    <x v="840"/>
    <n v="1"/>
    <x v="0"/>
    <n v="376"/>
    <x v="34"/>
    <x v="11"/>
    <x v="64"/>
    <x v="1"/>
    <x v="4"/>
    <n v="457"/>
    <n v="2"/>
    <x v="3"/>
    <x v="0"/>
  </r>
  <r>
    <x v="841"/>
    <n v="1"/>
    <x v="0"/>
    <n v="599"/>
    <x v="26"/>
    <x v="25"/>
    <x v="38"/>
    <x v="1"/>
    <x v="1"/>
    <n v="519"/>
    <n v="5"/>
    <x v="1"/>
    <x v="0"/>
  </r>
  <r>
    <x v="842"/>
    <n v="1"/>
    <x v="0"/>
    <n v="437"/>
    <x v="17"/>
    <x v="5"/>
    <x v="3"/>
    <x v="42"/>
    <x v="0"/>
    <n v="421.5"/>
    <n v="0"/>
    <x v="5"/>
    <x v="0"/>
  </r>
  <r>
    <x v="843"/>
    <n v="1"/>
    <x v="0"/>
    <n v="455"/>
    <x v="43"/>
    <x v="31"/>
    <x v="0"/>
    <x v="1"/>
    <x v="1"/>
    <n v="428.5"/>
    <n v="4"/>
    <x v="3"/>
    <x v="0"/>
  </r>
  <r>
    <x v="844"/>
    <n v="1"/>
    <x v="0"/>
    <n v="579"/>
    <x v="14"/>
    <x v="37"/>
    <x v="33"/>
    <x v="1"/>
    <x v="3"/>
    <n v="491"/>
    <n v="5"/>
    <x v="3"/>
    <x v="0"/>
  </r>
  <r>
    <x v="845"/>
    <n v="1"/>
    <x v="0"/>
    <n v="499"/>
    <x v="43"/>
    <x v="19"/>
    <x v="23"/>
    <x v="1"/>
    <x v="1"/>
    <n v="469"/>
    <n v="4"/>
    <x v="0"/>
    <x v="0"/>
  </r>
  <r>
    <x v="846"/>
    <n v="1"/>
    <x v="1"/>
    <n v="499"/>
    <x v="66"/>
    <x v="8"/>
    <x v="6"/>
    <x v="1"/>
    <x v="1"/>
    <n v="375.5"/>
    <n v="5"/>
    <x v="3"/>
    <x v="0"/>
  </r>
  <r>
    <x v="847"/>
    <n v="2"/>
    <x v="1"/>
    <n v="417"/>
    <x v="43"/>
    <x v="5"/>
    <x v="3"/>
    <x v="4"/>
    <x v="4"/>
    <n v="436"/>
    <n v="4"/>
    <x v="0"/>
    <x v="0"/>
  </r>
  <r>
    <x v="848"/>
    <n v="2"/>
    <x v="0"/>
    <n v="641"/>
    <x v="65"/>
    <x v="22"/>
    <x v="51"/>
    <x v="1"/>
    <x v="6"/>
    <n v="589"/>
    <n v="0"/>
    <x v="7"/>
    <x v="0"/>
  </r>
  <r>
    <x v="849"/>
    <n v="1"/>
    <x v="1"/>
    <n v="579"/>
    <x v="25"/>
    <x v="53"/>
    <x v="3"/>
    <x v="17"/>
    <x v="6"/>
    <n v="605.5"/>
    <n v="5"/>
    <x v="3"/>
    <x v="0"/>
  </r>
  <r>
    <x v="850"/>
    <n v="1"/>
    <x v="0"/>
    <n v="558"/>
    <x v="55"/>
    <x v="13"/>
    <x v="30"/>
    <x v="11"/>
    <x v="1"/>
    <n v="544.5"/>
    <n v="2"/>
    <x v="2"/>
    <x v="0"/>
  </r>
  <r>
    <x v="851"/>
    <n v="2"/>
    <x v="0"/>
    <n v="641"/>
    <x v="59"/>
    <x v="13"/>
    <x v="17"/>
    <x v="1"/>
    <x v="4"/>
    <n v="572"/>
    <n v="3"/>
    <x v="0"/>
    <x v="0"/>
  </r>
  <r>
    <x v="852"/>
    <n v="1"/>
    <x v="0"/>
    <n v="538"/>
    <x v="17"/>
    <x v="23"/>
    <x v="3"/>
    <x v="0"/>
    <x v="3"/>
    <n v="487.5"/>
    <n v="5"/>
    <x v="3"/>
    <x v="1"/>
  </r>
  <r>
    <x v="853"/>
    <n v="1"/>
    <x v="0"/>
    <n v="560"/>
    <x v="46"/>
    <x v="0"/>
    <x v="27"/>
    <x v="21"/>
    <x v="6"/>
    <n v="462"/>
    <n v="2"/>
    <x v="3"/>
    <x v="0"/>
  </r>
  <r>
    <x v="854"/>
    <n v="2"/>
    <x v="0"/>
    <n v="558"/>
    <x v="24"/>
    <x v="23"/>
    <x v="7"/>
    <x v="1"/>
    <x v="6"/>
    <n v="538"/>
    <n v="4"/>
    <x v="7"/>
    <x v="1"/>
  </r>
  <r>
    <x v="855"/>
    <n v="1"/>
    <x v="0"/>
    <n v="437"/>
    <x v="4"/>
    <x v="4"/>
    <x v="3"/>
    <x v="1"/>
    <x v="4"/>
    <n v="0"/>
    <n v="4"/>
    <x v="2"/>
    <x v="0"/>
  </r>
  <r>
    <x v="856"/>
    <n v="2"/>
    <x v="0"/>
    <n v="661"/>
    <x v="30"/>
    <x v="38"/>
    <x v="51"/>
    <x v="1"/>
    <x v="0"/>
    <n v="559"/>
    <n v="5"/>
    <x v="3"/>
    <x v="0"/>
  </r>
  <r>
    <x v="857"/>
    <n v="2"/>
    <x v="0"/>
    <n v="661"/>
    <x v="6"/>
    <x v="39"/>
    <x v="3"/>
    <x v="26"/>
    <x v="5"/>
    <n v="568"/>
    <n v="0"/>
    <x v="2"/>
    <x v="0"/>
  </r>
  <r>
    <x v="858"/>
    <n v="1"/>
    <x v="0"/>
    <n v="538"/>
    <x v="21"/>
    <x v="19"/>
    <x v="3"/>
    <x v="19"/>
    <x v="1"/>
    <n v="512.5"/>
    <n v="5"/>
    <x v="3"/>
    <x v="1"/>
  </r>
  <r>
    <x v="859"/>
    <n v="2"/>
    <x v="0"/>
    <n v="538"/>
    <x v="0"/>
    <x v="48"/>
    <x v="3"/>
    <x v="40"/>
    <x v="4"/>
    <n v="511"/>
    <n v="2"/>
    <x v="3"/>
    <x v="0"/>
  </r>
  <r>
    <x v="860"/>
    <n v="2"/>
    <x v="1"/>
    <n v="539"/>
    <x v="43"/>
    <x v="8"/>
    <x v="3"/>
    <x v="22"/>
    <x v="4"/>
    <n v="419.5"/>
    <n v="4"/>
    <x v="5"/>
    <x v="0"/>
  </r>
  <r>
    <x v="861"/>
    <n v="2"/>
    <x v="1"/>
    <n v="558"/>
    <x v="5"/>
    <x v="16"/>
    <x v="4"/>
    <x v="1"/>
    <x v="6"/>
    <n v="514"/>
    <n v="0"/>
    <x v="10"/>
    <x v="0"/>
  </r>
  <r>
    <x v="862"/>
    <n v="2"/>
    <x v="0"/>
    <n v="641"/>
    <x v="19"/>
    <x v="10"/>
    <x v="32"/>
    <x v="1"/>
    <x v="3"/>
    <n v="577"/>
    <n v="9"/>
    <x v="3"/>
    <x v="1"/>
  </r>
  <r>
    <x v="863"/>
    <n v="2"/>
    <x v="0"/>
    <n v="641"/>
    <x v="18"/>
    <x v="24"/>
    <x v="21"/>
    <x v="1"/>
    <x v="5"/>
    <n v="511"/>
    <n v="3"/>
    <x v="5"/>
    <x v="0"/>
  </r>
  <r>
    <x v="864"/>
    <n v="2"/>
    <x v="1"/>
    <n v="496"/>
    <x v="7"/>
    <x v="13"/>
    <x v="3"/>
    <x v="22"/>
    <x v="4"/>
    <n v="525.5"/>
    <n v="5"/>
    <x v="3"/>
    <x v="1"/>
  </r>
  <r>
    <x v="865"/>
    <n v="2"/>
    <x v="0"/>
    <n v="538"/>
    <x v="26"/>
    <x v="37"/>
    <x v="3"/>
    <x v="0"/>
    <x v="1"/>
    <n v="516"/>
    <n v="3"/>
    <x v="2"/>
    <x v="0"/>
  </r>
  <r>
    <x v="866"/>
    <n v="2"/>
    <x v="0"/>
    <n v="496"/>
    <x v="5"/>
    <x v="3"/>
    <x v="64"/>
    <x v="1"/>
    <x v="4"/>
    <n v="480"/>
    <n v="3"/>
    <x v="3"/>
    <x v="0"/>
  </r>
  <r>
    <x v="867"/>
    <n v="2"/>
    <x v="0"/>
    <n v="496"/>
    <x v="5"/>
    <x v="27"/>
    <x v="3"/>
    <x v="6"/>
    <x v="1"/>
    <n v="512"/>
    <n v="0"/>
    <x v="2"/>
    <x v="0"/>
  </r>
  <r>
    <x v="868"/>
    <n v="2"/>
    <x v="0"/>
    <n v="641"/>
    <x v="49"/>
    <x v="60"/>
    <x v="3"/>
    <x v="67"/>
    <x v="6"/>
    <n v="615"/>
    <n v="0"/>
    <x v="3"/>
    <x v="0"/>
  </r>
  <r>
    <x v="869"/>
    <n v="1"/>
    <x v="0"/>
    <n v="538"/>
    <x v="69"/>
    <x v="48"/>
    <x v="3"/>
    <x v="16"/>
    <x v="1"/>
    <n v="616"/>
    <n v="2"/>
    <x v="2"/>
    <x v="0"/>
  </r>
  <r>
    <x v="870"/>
    <n v="1"/>
    <x v="1"/>
    <n v="538"/>
    <x v="25"/>
    <x v="64"/>
    <x v="3"/>
    <x v="60"/>
    <x v="6"/>
    <n v="686.5"/>
    <n v="5"/>
    <x v="3"/>
    <x v="1"/>
  </r>
  <r>
    <x v="871"/>
    <n v="1"/>
    <x v="2"/>
    <n v="558"/>
    <x v="48"/>
    <x v="68"/>
    <x v="3"/>
    <x v="71"/>
    <x v="0"/>
    <n v="580.5"/>
    <n v="0"/>
    <x v="5"/>
    <x v="1"/>
  </r>
  <r>
    <x v="872"/>
    <n v="2"/>
    <x v="0"/>
    <n v="723"/>
    <x v="1"/>
    <x v="10"/>
    <x v="3"/>
    <x v="54"/>
    <x v="4"/>
    <n v="610.5"/>
    <n v="4"/>
    <x v="2"/>
    <x v="0"/>
  </r>
  <r>
    <x v="873"/>
    <n v="1"/>
    <x v="1"/>
    <n v="662"/>
    <x v="47"/>
    <x v="22"/>
    <x v="12"/>
    <x v="1"/>
    <x v="1"/>
    <n v="546.5"/>
    <n v="9"/>
    <x v="7"/>
    <x v="2"/>
  </r>
  <r>
    <x v="874"/>
    <n v="2"/>
    <x v="0"/>
    <n v="0"/>
    <x v="4"/>
    <x v="4"/>
    <x v="3"/>
    <x v="1"/>
    <x v="6"/>
    <n v="0"/>
    <n v="3"/>
    <x v="0"/>
    <x v="0"/>
  </r>
  <r>
    <x v="875"/>
    <n v="1"/>
    <x v="0"/>
    <n v="476"/>
    <x v="3"/>
    <x v="35"/>
    <x v="10"/>
    <x v="1"/>
    <x v="3"/>
    <n v="408.5"/>
    <n v="4"/>
    <x v="2"/>
    <x v="0"/>
  </r>
  <r>
    <x v="876"/>
    <n v="1"/>
    <x v="0"/>
    <n v="496"/>
    <x v="41"/>
    <x v="13"/>
    <x v="3"/>
    <x v="28"/>
    <x v="3"/>
    <n v="491"/>
    <n v="5"/>
    <x v="3"/>
    <x v="1"/>
  </r>
  <r>
    <x v="877"/>
    <n v="1"/>
    <x v="0"/>
    <n v="435"/>
    <x v="46"/>
    <x v="16"/>
    <x v="51"/>
    <x v="16"/>
    <x v="4"/>
    <n v="511.5"/>
    <n v="5"/>
    <x v="3"/>
    <x v="0"/>
  </r>
  <r>
    <x v="878"/>
    <n v="2"/>
    <x v="0"/>
    <n v="599"/>
    <x v="9"/>
    <x v="19"/>
    <x v="11"/>
    <x v="1"/>
    <x v="3"/>
    <n v="494"/>
    <n v="4"/>
    <x v="3"/>
    <x v="0"/>
  </r>
  <r>
    <x v="879"/>
    <n v="1"/>
    <x v="0"/>
    <n v="496"/>
    <x v="43"/>
    <x v="3"/>
    <x v="18"/>
    <x v="2"/>
    <x v="4"/>
    <n v="458"/>
    <n v="6"/>
    <x v="3"/>
    <x v="1"/>
  </r>
  <r>
    <x v="880"/>
    <n v="1"/>
    <x v="2"/>
    <n v="579"/>
    <x v="13"/>
    <x v="60"/>
    <x v="3"/>
    <x v="72"/>
    <x v="6"/>
    <n v="601"/>
    <n v="9"/>
    <x v="3"/>
    <x v="0"/>
  </r>
  <r>
    <x v="881"/>
    <n v="2"/>
    <x v="1"/>
    <n v="437"/>
    <x v="0"/>
    <x v="5"/>
    <x v="8"/>
    <x v="1"/>
    <x v="1"/>
    <n v="443"/>
    <n v="4"/>
    <x v="2"/>
    <x v="0"/>
  </r>
  <r>
    <x v="882"/>
    <n v="1"/>
    <x v="0"/>
    <n v="496"/>
    <x v="34"/>
    <x v="5"/>
    <x v="17"/>
    <x v="28"/>
    <x v="4"/>
    <n v="439.5"/>
    <n v="5"/>
    <x v="3"/>
    <x v="0"/>
  </r>
  <r>
    <x v="883"/>
    <n v="1"/>
    <x v="0"/>
    <n v="414"/>
    <x v="4"/>
    <x v="4"/>
    <x v="3"/>
    <x v="1"/>
    <x v="0"/>
    <n v="0"/>
    <n v="8"/>
    <x v="3"/>
    <x v="0"/>
  </r>
  <r>
    <x v="884"/>
    <n v="2"/>
    <x v="1"/>
    <n v="560"/>
    <x v="0"/>
    <x v="18"/>
    <x v="64"/>
    <x v="45"/>
    <x v="1"/>
    <n v="455"/>
    <n v="4"/>
    <x v="2"/>
    <x v="0"/>
  </r>
  <r>
    <x v="885"/>
    <n v="2"/>
    <x v="0"/>
    <n v="641"/>
    <x v="19"/>
    <x v="47"/>
    <x v="3"/>
    <x v="59"/>
    <x v="4"/>
    <n v="580"/>
    <n v="8"/>
    <x v="3"/>
    <x v="1"/>
  </r>
  <r>
    <x v="886"/>
    <n v="2"/>
    <x v="2"/>
    <n v="517"/>
    <x v="59"/>
    <x v="14"/>
    <x v="43"/>
    <x v="1"/>
    <x v="9"/>
    <n v="608"/>
    <n v="7"/>
    <x v="3"/>
    <x v="3"/>
  </r>
  <r>
    <x v="887"/>
    <n v="2"/>
    <x v="1"/>
    <n v="455"/>
    <x v="34"/>
    <x v="0"/>
    <x v="31"/>
    <x v="1"/>
    <x v="1"/>
    <n v="446"/>
    <n v="5"/>
    <x v="3"/>
    <x v="0"/>
  </r>
  <r>
    <x v="888"/>
    <n v="2"/>
    <x v="0"/>
    <n v="496"/>
    <x v="31"/>
    <x v="0"/>
    <x v="34"/>
    <x v="22"/>
    <x v="4"/>
    <n v="423.5"/>
    <n v="4"/>
    <x v="0"/>
    <x v="0"/>
  </r>
  <r>
    <x v="889"/>
    <n v="1"/>
    <x v="1"/>
    <n v="460"/>
    <x v="3"/>
    <x v="11"/>
    <x v="4"/>
    <x v="1"/>
    <x v="1"/>
    <n v="463.5"/>
    <n v="10"/>
    <x v="10"/>
    <x v="1"/>
  </r>
  <r>
    <x v="890"/>
    <n v="2"/>
    <x v="0"/>
    <n v="435"/>
    <x v="31"/>
    <x v="29"/>
    <x v="3"/>
    <x v="2"/>
    <x v="1"/>
    <n v="367"/>
    <n v="7"/>
    <x v="3"/>
    <x v="0"/>
  </r>
  <r>
    <x v="891"/>
    <n v="2"/>
    <x v="0"/>
    <n v="539"/>
    <x v="37"/>
    <x v="29"/>
    <x v="3"/>
    <x v="29"/>
    <x v="3"/>
    <n v="330.5"/>
    <n v="5"/>
    <x v="3"/>
    <x v="0"/>
  </r>
  <r>
    <x v="892"/>
    <n v="2"/>
    <x v="0"/>
    <n v="519"/>
    <x v="36"/>
    <x v="5"/>
    <x v="3"/>
    <x v="27"/>
    <x v="1"/>
    <n v="412.5"/>
    <n v="5"/>
    <x v="1"/>
    <x v="0"/>
  </r>
  <r>
    <x v="893"/>
    <n v="1"/>
    <x v="0"/>
    <n v="620"/>
    <x v="24"/>
    <x v="73"/>
    <x v="64"/>
    <x v="1"/>
    <x v="0"/>
    <n v="523.5"/>
    <n v="0"/>
    <x v="5"/>
    <x v="0"/>
  </r>
  <r>
    <x v="894"/>
    <n v="2"/>
    <x v="1"/>
    <n v="0"/>
    <x v="4"/>
    <x v="4"/>
    <x v="3"/>
    <x v="1"/>
    <x v="1"/>
    <n v="0"/>
    <n v="5"/>
    <x v="3"/>
    <x v="0"/>
  </r>
  <r>
    <x v="895"/>
    <n v="2"/>
    <x v="0"/>
    <n v="560"/>
    <x v="46"/>
    <x v="22"/>
    <x v="18"/>
    <x v="1"/>
    <x v="1"/>
    <n v="500"/>
    <n v="4"/>
    <x v="3"/>
    <x v="0"/>
  </r>
  <r>
    <x v="896"/>
    <n v="1"/>
    <x v="1"/>
    <n v="435"/>
    <x v="31"/>
    <x v="18"/>
    <x v="50"/>
    <x v="1"/>
    <x v="3"/>
    <n v="429"/>
    <n v="9"/>
    <x v="3"/>
    <x v="1"/>
  </r>
  <r>
    <x v="897"/>
    <n v="2"/>
    <x v="1"/>
    <n v="682"/>
    <x v="14"/>
    <x v="26"/>
    <x v="23"/>
    <x v="1"/>
    <x v="6"/>
    <n v="481.5"/>
    <n v="2"/>
    <x v="2"/>
    <x v="0"/>
  </r>
  <r>
    <x v="898"/>
    <n v="1"/>
    <x v="1"/>
    <n v="420"/>
    <x v="4"/>
    <x v="4"/>
    <x v="3"/>
    <x v="1"/>
    <x v="1"/>
    <n v="0"/>
    <n v="5"/>
    <x v="1"/>
    <x v="0"/>
  </r>
  <r>
    <x v="899"/>
    <n v="1"/>
    <x v="0"/>
    <n v="519"/>
    <x v="4"/>
    <x v="4"/>
    <x v="3"/>
    <x v="1"/>
    <x v="6"/>
    <n v="0"/>
    <n v="5"/>
    <x v="3"/>
    <x v="0"/>
  </r>
  <r>
    <x v="900"/>
    <n v="2"/>
    <x v="0"/>
    <n v="641"/>
    <x v="67"/>
    <x v="47"/>
    <x v="3"/>
    <x v="68"/>
    <x v="1"/>
    <n v="619"/>
    <n v="5"/>
    <x v="3"/>
    <x v="1"/>
  </r>
  <r>
    <x v="901"/>
    <n v="2"/>
    <x v="0"/>
    <n v="496"/>
    <x v="44"/>
    <x v="31"/>
    <x v="23"/>
    <x v="1"/>
    <x v="4"/>
    <n v="461.5"/>
    <n v="5"/>
    <x v="3"/>
    <x v="0"/>
  </r>
  <r>
    <x v="902"/>
    <n v="1"/>
    <x v="1"/>
    <n v="476"/>
    <x v="2"/>
    <x v="68"/>
    <x v="3"/>
    <x v="15"/>
    <x v="4"/>
    <n v="600.5"/>
    <n v="3"/>
    <x v="3"/>
    <x v="1"/>
  </r>
  <r>
    <x v="903"/>
    <n v="1"/>
    <x v="0"/>
    <n v="478"/>
    <x v="38"/>
    <x v="0"/>
    <x v="3"/>
    <x v="27"/>
    <x v="9"/>
    <n v="409.5"/>
    <n v="4"/>
    <x v="1"/>
    <x v="1"/>
  </r>
  <r>
    <x v="904"/>
    <n v="2"/>
    <x v="1"/>
    <n v="579"/>
    <x v="10"/>
    <x v="25"/>
    <x v="3"/>
    <x v="16"/>
    <x v="1"/>
    <n v="508.5"/>
    <n v="9"/>
    <x v="3"/>
    <x v="1"/>
  </r>
  <r>
    <x v="905"/>
    <n v="1"/>
    <x v="0"/>
    <n v="478"/>
    <x v="18"/>
    <x v="25"/>
    <x v="47"/>
    <x v="1"/>
    <x v="4"/>
    <n v="516.5"/>
    <n v="3"/>
    <x v="0"/>
    <x v="0"/>
  </r>
  <r>
    <x v="906"/>
    <n v="1"/>
    <x v="1"/>
    <n v="420"/>
    <x v="5"/>
    <x v="16"/>
    <x v="3"/>
    <x v="44"/>
    <x v="1"/>
    <n v="514"/>
    <n v="9"/>
    <x v="9"/>
    <x v="2"/>
  </r>
  <r>
    <x v="907"/>
    <n v="2"/>
    <x v="0"/>
    <n v="420"/>
    <x v="43"/>
    <x v="29"/>
    <x v="3"/>
    <x v="9"/>
    <x v="6"/>
    <n v="386"/>
    <n v="4"/>
    <x v="1"/>
    <x v="0"/>
  </r>
  <r>
    <x v="908"/>
    <n v="2"/>
    <x v="0"/>
    <n v="579"/>
    <x v="9"/>
    <x v="12"/>
    <x v="64"/>
    <x v="2"/>
    <x v="1"/>
    <n v="435"/>
    <n v="2"/>
    <x v="10"/>
    <x v="0"/>
  </r>
  <r>
    <x v="909"/>
    <n v="1"/>
    <x v="1"/>
    <n v="460"/>
    <x v="45"/>
    <x v="0"/>
    <x v="22"/>
    <x v="1"/>
    <x v="4"/>
    <n v="414.5"/>
    <n v="10"/>
    <x v="3"/>
    <x v="1"/>
  </r>
  <r>
    <x v="910"/>
    <n v="1"/>
    <x v="0"/>
    <n v="0"/>
    <x v="4"/>
    <x v="4"/>
    <x v="3"/>
    <x v="1"/>
    <x v="5"/>
    <n v="0"/>
    <n v="5"/>
    <x v="0"/>
    <x v="0"/>
  </r>
  <r>
    <x v="911"/>
    <n v="1"/>
    <x v="0"/>
    <n v="579"/>
    <x v="46"/>
    <x v="37"/>
    <x v="44"/>
    <x v="1"/>
    <x v="4"/>
    <n v="494.5"/>
    <n v="9"/>
    <x v="7"/>
    <x v="0"/>
  </r>
  <r>
    <x v="912"/>
    <n v="1"/>
    <x v="2"/>
    <n v="476"/>
    <x v="25"/>
    <x v="10"/>
    <x v="3"/>
    <x v="60"/>
    <x v="4"/>
    <n v="585"/>
    <n v="9"/>
    <x v="7"/>
    <x v="2"/>
  </r>
  <r>
    <x v="913"/>
    <n v="2"/>
    <x v="0"/>
    <n v="458"/>
    <x v="34"/>
    <x v="18"/>
    <x v="3"/>
    <x v="27"/>
    <x v="1"/>
    <n v="451.5"/>
    <n v="2"/>
    <x v="2"/>
    <x v="0"/>
  </r>
  <r>
    <x v="914"/>
    <n v="2"/>
    <x v="0"/>
    <n v="476"/>
    <x v="46"/>
    <x v="31"/>
    <x v="38"/>
    <x v="6"/>
    <x v="5"/>
    <n v="448"/>
    <n v="5"/>
    <x v="3"/>
    <x v="0"/>
  </r>
  <r>
    <x v="915"/>
    <n v="2"/>
    <x v="1"/>
    <n v="580"/>
    <x v="26"/>
    <x v="61"/>
    <x v="3"/>
    <x v="33"/>
    <x v="1"/>
    <n v="552.5"/>
    <n v="5"/>
    <x v="0"/>
    <x v="1"/>
  </r>
  <r>
    <x v="916"/>
    <n v="1"/>
    <x v="1"/>
    <n v="400"/>
    <x v="41"/>
    <x v="35"/>
    <x v="24"/>
    <x v="1"/>
    <x v="0"/>
    <n v="391.5"/>
    <n v="0"/>
    <x v="5"/>
    <x v="0"/>
  </r>
  <r>
    <x v="917"/>
    <n v="1"/>
    <x v="1"/>
    <n v="580"/>
    <x v="51"/>
    <x v="55"/>
    <x v="0"/>
    <x v="1"/>
    <x v="4"/>
    <n v="335"/>
    <n v="3"/>
    <x v="1"/>
    <x v="0"/>
  </r>
  <r>
    <x v="918"/>
    <n v="2"/>
    <x v="0"/>
    <n v="496"/>
    <x v="46"/>
    <x v="31"/>
    <x v="29"/>
    <x v="1"/>
    <x v="1"/>
    <n v="448"/>
    <n v="5"/>
    <x v="3"/>
    <x v="0"/>
  </r>
  <r>
    <x v="919"/>
    <n v="1"/>
    <x v="0"/>
    <n v="0"/>
    <x v="14"/>
    <x v="24"/>
    <x v="64"/>
    <x v="1"/>
    <x v="1"/>
    <n v="488.5"/>
    <n v="5"/>
    <x v="1"/>
    <x v="0"/>
  </r>
  <r>
    <x v="920"/>
    <n v="2"/>
    <x v="0"/>
    <n v="458"/>
    <x v="35"/>
    <x v="40"/>
    <x v="52"/>
    <x v="1"/>
    <x v="1"/>
    <n v="322.5"/>
    <n v="5"/>
    <x v="3"/>
    <x v="0"/>
  </r>
  <r>
    <x v="921"/>
    <n v="2"/>
    <x v="0"/>
    <n v="476"/>
    <x v="37"/>
    <x v="26"/>
    <x v="3"/>
    <x v="4"/>
    <x v="6"/>
    <n v="410"/>
    <n v="5"/>
    <x v="2"/>
    <x v="0"/>
  </r>
  <r>
    <x v="922"/>
    <n v="1"/>
    <x v="1"/>
    <n v="376"/>
    <x v="4"/>
    <x v="4"/>
    <x v="3"/>
    <x v="1"/>
    <x v="7"/>
    <n v="0"/>
    <n v="5"/>
    <x v="1"/>
    <x v="0"/>
  </r>
  <r>
    <x v="923"/>
    <n v="2"/>
    <x v="1"/>
    <n v="481"/>
    <x v="18"/>
    <x v="12"/>
    <x v="3"/>
    <x v="42"/>
    <x v="3"/>
    <n v="448.5"/>
    <n v="3"/>
    <x v="3"/>
    <x v="0"/>
  </r>
  <r>
    <x v="924"/>
    <n v="1"/>
    <x v="2"/>
    <n v="558"/>
    <x v="53"/>
    <x v="49"/>
    <x v="3"/>
    <x v="47"/>
    <x v="4"/>
    <n v="648.5"/>
    <n v="8"/>
    <x v="10"/>
    <x v="2"/>
  </r>
  <r>
    <x v="925"/>
    <n v="2"/>
    <x v="1"/>
    <n v="359"/>
    <x v="38"/>
    <x v="0"/>
    <x v="56"/>
    <x v="1"/>
    <x v="4"/>
    <n v="409.5"/>
    <n v="7"/>
    <x v="1"/>
    <x v="0"/>
  </r>
  <r>
    <x v="926"/>
    <n v="1"/>
    <x v="0"/>
    <n v="499"/>
    <x v="48"/>
    <x v="6"/>
    <x v="45"/>
    <x v="1"/>
    <x v="3"/>
    <n v="563"/>
    <n v="3"/>
    <x v="2"/>
    <x v="0"/>
  </r>
  <r>
    <x v="927"/>
    <n v="1"/>
    <x v="0"/>
    <n v="437"/>
    <x v="4"/>
    <x v="4"/>
    <x v="3"/>
    <x v="1"/>
    <x v="0"/>
    <n v="0"/>
    <n v="0"/>
    <x v="5"/>
    <x v="0"/>
  </r>
  <r>
    <x v="928"/>
    <n v="2"/>
    <x v="0"/>
    <n v="496"/>
    <x v="4"/>
    <x v="4"/>
    <x v="3"/>
    <x v="1"/>
    <x v="4"/>
    <n v="0"/>
    <n v="4"/>
    <x v="2"/>
    <x v="0"/>
  </r>
  <r>
    <x v="929"/>
    <n v="2"/>
    <x v="2"/>
    <n v="641"/>
    <x v="54"/>
    <x v="58"/>
    <x v="3"/>
    <x v="17"/>
    <x v="6"/>
    <n v="579.5"/>
    <n v="7"/>
    <x v="10"/>
    <x v="3"/>
  </r>
  <r>
    <x v="930"/>
    <n v="1"/>
    <x v="0"/>
    <n v="397"/>
    <x v="10"/>
    <x v="33"/>
    <x v="25"/>
    <x v="1"/>
    <x v="4"/>
    <n v="492.5"/>
    <n v="9"/>
    <x v="7"/>
    <x v="1"/>
  </r>
  <r>
    <x v="931"/>
    <n v="1"/>
    <x v="0"/>
    <n v="496"/>
    <x v="55"/>
    <x v="11"/>
    <x v="23"/>
    <x v="1"/>
    <x v="1"/>
    <n v="500"/>
    <n v="7"/>
    <x v="3"/>
    <x v="1"/>
  </r>
  <r>
    <x v="932"/>
    <n v="2"/>
    <x v="1"/>
    <n v="723"/>
    <x v="6"/>
    <x v="60"/>
    <x v="3"/>
    <x v="17"/>
    <x v="3"/>
    <n v="609.5"/>
    <n v="5"/>
    <x v="1"/>
    <x v="1"/>
  </r>
  <r>
    <x v="933"/>
    <n v="2"/>
    <x v="1"/>
    <n v="437"/>
    <x v="8"/>
    <x v="35"/>
    <x v="52"/>
    <x v="1"/>
    <x v="4"/>
    <n v="298.5"/>
    <n v="9"/>
    <x v="7"/>
    <x v="1"/>
  </r>
  <r>
    <x v="934"/>
    <n v="1"/>
    <x v="0"/>
    <n v="393"/>
    <x v="11"/>
    <x v="34"/>
    <x v="3"/>
    <x v="11"/>
    <x v="10"/>
    <n v="526.5"/>
    <n v="4"/>
    <x v="9"/>
    <x v="0"/>
  </r>
  <r>
    <x v="935"/>
    <n v="1"/>
    <x v="2"/>
    <n v="641"/>
    <x v="9"/>
    <x v="68"/>
    <x v="3"/>
    <x v="52"/>
    <x v="8"/>
    <n v="557"/>
    <n v="9"/>
    <x v="7"/>
    <x v="4"/>
  </r>
  <r>
    <x v="936"/>
    <n v="1"/>
    <x v="0"/>
    <n v="682"/>
    <x v="62"/>
    <x v="47"/>
    <x v="19"/>
    <x v="72"/>
    <x v="1"/>
    <n v="678"/>
    <n v="4"/>
    <x v="3"/>
    <x v="0"/>
  </r>
  <r>
    <x v="937"/>
    <n v="1"/>
    <x v="2"/>
    <n v="538"/>
    <x v="49"/>
    <x v="49"/>
    <x v="2"/>
    <x v="1"/>
    <x v="3"/>
    <n v="642.5"/>
    <n v="9"/>
    <x v="7"/>
    <x v="5"/>
  </r>
  <r>
    <x v="938"/>
    <n v="1"/>
    <x v="0"/>
    <n v="601"/>
    <x v="31"/>
    <x v="5"/>
    <x v="0"/>
    <x v="1"/>
    <x v="4"/>
    <n v="417"/>
    <n v="3"/>
    <x v="0"/>
    <x v="0"/>
  </r>
  <r>
    <x v="939"/>
    <n v="1"/>
    <x v="0"/>
    <n v="455"/>
    <x v="26"/>
    <x v="16"/>
    <x v="3"/>
    <x v="21"/>
    <x v="1"/>
    <n v="533"/>
    <n v="9"/>
    <x v="7"/>
    <x v="1"/>
  </r>
  <r>
    <x v="940"/>
    <n v="1"/>
    <x v="1"/>
    <n v="440"/>
    <x v="46"/>
    <x v="2"/>
    <x v="41"/>
    <x v="1"/>
    <x v="4"/>
    <n v="505"/>
    <n v="8"/>
    <x v="10"/>
    <x v="3"/>
  </r>
  <r>
    <x v="941"/>
    <n v="2"/>
    <x v="0"/>
    <n v="455"/>
    <x v="38"/>
    <x v="37"/>
    <x v="34"/>
    <x v="1"/>
    <x v="1"/>
    <n v="442"/>
    <n v="3"/>
    <x v="0"/>
    <x v="0"/>
  </r>
  <r>
    <x v="942"/>
    <n v="2"/>
    <x v="2"/>
    <n v="785"/>
    <x v="63"/>
    <x v="75"/>
    <x v="3"/>
    <x v="56"/>
    <x v="1"/>
    <n v="728.5"/>
    <n v="9"/>
    <x v="7"/>
    <x v="3"/>
  </r>
  <r>
    <x v="943"/>
    <n v="1"/>
    <x v="0"/>
    <n v="517"/>
    <x v="21"/>
    <x v="61"/>
    <x v="3"/>
    <x v="14"/>
    <x v="1"/>
    <n v="555"/>
    <n v="5"/>
    <x v="3"/>
    <x v="1"/>
  </r>
  <r>
    <x v="944"/>
    <n v="1"/>
    <x v="0"/>
    <n v="558"/>
    <x v="25"/>
    <x v="58"/>
    <x v="3"/>
    <x v="33"/>
    <x v="3"/>
    <n v="562"/>
    <n v="5"/>
    <x v="3"/>
    <x v="0"/>
  </r>
  <r>
    <x v="945"/>
    <n v="1"/>
    <x v="1"/>
    <n v="417"/>
    <x v="66"/>
    <x v="8"/>
    <x v="35"/>
    <x v="1"/>
    <x v="4"/>
    <n v="375.5"/>
    <n v="4"/>
    <x v="5"/>
    <x v="0"/>
  </r>
  <r>
    <x v="946"/>
    <n v="2"/>
    <x v="0"/>
    <n v="620"/>
    <x v="43"/>
    <x v="70"/>
    <x v="3"/>
    <x v="34"/>
    <x v="0"/>
    <n v="522"/>
    <n v="3"/>
    <x v="3"/>
    <x v="0"/>
  </r>
  <r>
    <x v="947"/>
    <n v="1"/>
    <x v="0"/>
    <n v="579"/>
    <x v="40"/>
    <x v="11"/>
    <x v="10"/>
    <x v="1"/>
    <x v="1"/>
    <n v="512"/>
    <n v="8"/>
    <x v="2"/>
    <x v="0"/>
  </r>
  <r>
    <x v="948"/>
    <n v="1"/>
    <x v="0"/>
    <n v="539"/>
    <x v="4"/>
    <x v="4"/>
    <x v="3"/>
    <x v="1"/>
    <x v="4"/>
    <n v="0"/>
    <n v="5"/>
    <x v="0"/>
    <x v="0"/>
  </r>
  <r>
    <x v="949"/>
    <n v="1"/>
    <x v="2"/>
    <n v="558"/>
    <x v="47"/>
    <x v="6"/>
    <x v="67"/>
    <x v="1"/>
    <x v="6"/>
    <n v="580.5"/>
    <n v="8"/>
    <x v="9"/>
    <x v="3"/>
  </r>
  <r>
    <x v="950"/>
    <n v="2"/>
    <x v="1"/>
    <n v="437"/>
    <x v="0"/>
    <x v="11"/>
    <x v="3"/>
    <x v="31"/>
    <x v="6"/>
    <n v="460.5"/>
    <n v="3"/>
    <x v="0"/>
    <x v="0"/>
  </r>
  <r>
    <x v="951"/>
    <n v="2"/>
    <x v="0"/>
    <n v="376"/>
    <x v="4"/>
    <x v="4"/>
    <x v="3"/>
    <x v="1"/>
    <x v="1"/>
    <n v="0"/>
    <n v="8"/>
    <x v="3"/>
    <x v="0"/>
  </r>
  <r>
    <x v="952"/>
    <n v="2"/>
    <x v="2"/>
    <n v="620"/>
    <x v="69"/>
    <x v="39"/>
    <x v="73"/>
    <x v="1"/>
    <x v="6"/>
    <n v="595.5"/>
    <n v="9"/>
    <x v="7"/>
    <x v="1"/>
  </r>
  <r>
    <x v="953"/>
    <n v="2"/>
    <x v="1"/>
    <n v="641"/>
    <x v="19"/>
    <x v="7"/>
    <x v="23"/>
    <x v="44"/>
    <x v="1"/>
    <n v="550"/>
    <n v="7"/>
    <x v="10"/>
    <x v="1"/>
  </r>
  <r>
    <x v="954"/>
    <n v="1"/>
    <x v="1"/>
    <n v="538"/>
    <x v="54"/>
    <x v="42"/>
    <x v="1"/>
    <x v="60"/>
    <x v="4"/>
    <n v="619"/>
    <n v="7"/>
    <x v="10"/>
    <x v="1"/>
  </r>
  <r>
    <x v="955"/>
    <n v="1"/>
    <x v="1"/>
    <n v="558"/>
    <x v="26"/>
    <x v="23"/>
    <x v="3"/>
    <x v="60"/>
    <x v="6"/>
    <n v="543"/>
    <n v="5"/>
    <x v="10"/>
    <x v="0"/>
  </r>
  <r>
    <x v="956"/>
    <n v="2"/>
    <x v="2"/>
    <n v="702"/>
    <x v="4"/>
    <x v="4"/>
    <x v="3"/>
    <x v="1"/>
    <x v="3"/>
    <n v="0"/>
    <n v="9"/>
    <x v="7"/>
    <x v="5"/>
  </r>
  <r>
    <x v="957"/>
    <n v="1"/>
    <x v="1"/>
    <n v="460"/>
    <x v="9"/>
    <x v="38"/>
    <x v="63"/>
    <x v="11"/>
    <x v="6"/>
    <n v="532.5"/>
    <n v="5"/>
    <x v="1"/>
    <x v="0"/>
  </r>
  <r>
    <x v="958"/>
    <n v="2"/>
    <x v="0"/>
    <n v="723"/>
    <x v="53"/>
    <x v="36"/>
    <x v="3"/>
    <x v="47"/>
    <x v="1"/>
    <n v="642"/>
    <n v="8"/>
    <x v="3"/>
    <x v="0"/>
  </r>
  <r>
    <x v="959"/>
    <n v="2"/>
    <x v="1"/>
    <n v="0"/>
    <x v="4"/>
    <x v="4"/>
    <x v="3"/>
    <x v="1"/>
    <x v="1"/>
    <n v="0"/>
    <n v="0"/>
    <x v="0"/>
    <x v="0"/>
  </r>
  <r>
    <x v="960"/>
    <n v="1"/>
    <x v="0"/>
    <n v="414"/>
    <x v="44"/>
    <x v="33"/>
    <x v="3"/>
    <x v="60"/>
    <x v="6"/>
    <n v="495"/>
    <n v="5"/>
    <x v="6"/>
    <x v="0"/>
  </r>
  <r>
    <x v="961"/>
    <n v="1"/>
    <x v="1"/>
    <n v="517"/>
    <x v="11"/>
    <x v="68"/>
    <x v="3"/>
    <x v="33"/>
    <x v="1"/>
    <n v="545.5"/>
    <n v="7"/>
    <x v="3"/>
    <x v="0"/>
  </r>
  <r>
    <x v="962"/>
    <n v="2"/>
    <x v="0"/>
    <n v="558"/>
    <x v="19"/>
    <x v="24"/>
    <x v="38"/>
    <x v="1"/>
    <x v="1"/>
    <n v="526"/>
    <n v="5"/>
    <x v="3"/>
    <x v="0"/>
  </r>
  <r>
    <x v="963"/>
    <n v="2"/>
    <x v="0"/>
    <n v="599"/>
    <x v="49"/>
    <x v="5"/>
    <x v="3"/>
    <x v="33"/>
    <x v="6"/>
    <n v="526"/>
    <n v="0"/>
    <x v="7"/>
    <x v="0"/>
  </r>
  <r>
    <x v="964"/>
    <n v="1"/>
    <x v="0"/>
    <n v="599"/>
    <x v="25"/>
    <x v="39"/>
    <x v="73"/>
    <x v="1"/>
    <x v="3"/>
    <n v="545"/>
    <n v="4"/>
    <x v="9"/>
    <x v="0"/>
  </r>
  <r>
    <x v="965"/>
    <n v="1"/>
    <x v="1"/>
    <n v="478"/>
    <x v="4"/>
    <x v="4"/>
    <x v="3"/>
    <x v="1"/>
    <x v="3"/>
    <n v="0"/>
    <n v="5"/>
    <x v="0"/>
    <x v="0"/>
  </r>
  <r>
    <x v="966"/>
    <n v="2"/>
    <x v="1"/>
    <n v="579"/>
    <x v="47"/>
    <x v="6"/>
    <x v="3"/>
    <x v="38"/>
    <x v="1"/>
    <n v="580.5"/>
    <n v="9"/>
    <x v="9"/>
    <x v="1"/>
  </r>
  <r>
    <x v="967"/>
    <n v="2"/>
    <x v="1"/>
    <n v="496"/>
    <x v="36"/>
    <x v="50"/>
    <x v="20"/>
    <x v="35"/>
    <x v="1"/>
    <n v="300.5"/>
    <n v="2"/>
    <x v="1"/>
    <x v="1"/>
  </r>
  <r>
    <x v="968"/>
    <n v="1"/>
    <x v="0"/>
    <n v="437"/>
    <x v="31"/>
    <x v="12"/>
    <x v="20"/>
    <x v="1"/>
    <x v="6"/>
    <n v="391"/>
    <n v="0"/>
    <x v="3"/>
    <x v="0"/>
  </r>
  <r>
    <x v="969"/>
    <n v="1"/>
    <x v="1"/>
    <n v="460"/>
    <x v="41"/>
    <x v="24"/>
    <x v="36"/>
    <x v="28"/>
    <x v="0"/>
    <n v="465.5"/>
    <n v="3"/>
    <x v="3"/>
    <x v="3"/>
  </r>
  <r>
    <x v="970"/>
    <n v="2"/>
    <x v="0"/>
    <n v="641"/>
    <x v="49"/>
    <x v="21"/>
    <x v="55"/>
    <x v="1"/>
    <x v="4"/>
    <n v="620.5"/>
    <n v="0"/>
    <x v="5"/>
    <x v="0"/>
  </r>
  <r>
    <x v="971"/>
    <n v="2"/>
    <x v="1"/>
    <n v="661"/>
    <x v="2"/>
    <x v="3"/>
    <x v="3"/>
    <x v="24"/>
    <x v="1"/>
    <n v="526.5"/>
    <n v="5"/>
    <x v="3"/>
    <x v="1"/>
  </r>
  <r>
    <x v="972"/>
    <n v="1"/>
    <x v="1"/>
    <n v="0"/>
    <x v="41"/>
    <x v="8"/>
    <x v="56"/>
    <x v="1"/>
    <x v="4"/>
    <n v="412.5"/>
    <n v="10"/>
    <x v="3"/>
    <x v="1"/>
  </r>
  <r>
    <x v="973"/>
    <n v="2"/>
    <x v="2"/>
    <n v="620"/>
    <x v="27"/>
    <x v="51"/>
    <x v="3"/>
    <x v="30"/>
    <x v="0"/>
    <n v="639"/>
    <n v="0"/>
    <x v="5"/>
    <x v="3"/>
  </r>
  <r>
    <x v="974"/>
    <n v="2"/>
    <x v="1"/>
    <n v="517"/>
    <x v="67"/>
    <x v="70"/>
    <x v="44"/>
    <x v="1"/>
    <x v="4"/>
    <n v="614.5"/>
    <n v="7"/>
    <x v="9"/>
    <x v="1"/>
  </r>
  <r>
    <x v="975"/>
    <n v="2"/>
    <x v="1"/>
    <n v="538"/>
    <x v="21"/>
    <x v="37"/>
    <x v="33"/>
    <x v="19"/>
    <x v="1"/>
    <n v="518.5"/>
    <n v="7"/>
    <x v="5"/>
    <x v="0"/>
  </r>
  <r>
    <x v="976"/>
    <n v="1"/>
    <x v="0"/>
    <n v="455"/>
    <x v="4"/>
    <x v="4"/>
    <x v="3"/>
    <x v="1"/>
    <x v="6"/>
    <n v="0"/>
    <n v="5"/>
    <x v="1"/>
    <x v="6"/>
  </r>
  <r>
    <x v="977"/>
    <n v="2"/>
    <x v="1"/>
    <n v="0"/>
    <x v="37"/>
    <x v="40"/>
    <x v="3"/>
    <x v="5"/>
    <x v="7"/>
    <n v="316.5"/>
    <n v="5"/>
    <x v="3"/>
    <x v="0"/>
  </r>
  <r>
    <x v="978"/>
    <n v="2"/>
    <x v="0"/>
    <n v="661"/>
    <x v="57"/>
    <x v="6"/>
    <x v="36"/>
    <x v="28"/>
    <x v="7"/>
    <n v="596"/>
    <n v="5"/>
    <x v="3"/>
    <x v="1"/>
  </r>
  <r>
    <x v="979"/>
    <n v="2"/>
    <x v="0"/>
    <n v="620"/>
    <x v="67"/>
    <x v="56"/>
    <x v="14"/>
    <x v="1"/>
    <x v="1"/>
    <n v="609"/>
    <n v="10"/>
    <x v="7"/>
    <x v="1"/>
  </r>
  <r>
    <x v="980"/>
    <n v="2"/>
    <x v="1"/>
    <n v="561"/>
    <x v="41"/>
    <x v="35"/>
    <x v="3"/>
    <x v="0"/>
    <x v="6"/>
    <n v="391.5"/>
    <n v="5"/>
    <x v="6"/>
    <x v="0"/>
  </r>
  <r>
    <x v="981"/>
    <n v="2"/>
    <x v="0"/>
    <n v="476"/>
    <x v="31"/>
    <x v="29"/>
    <x v="15"/>
    <x v="1"/>
    <x v="4"/>
    <n v="367"/>
    <n v="2"/>
    <x v="7"/>
    <x v="0"/>
  </r>
  <r>
    <x v="982"/>
    <n v="1"/>
    <x v="0"/>
    <n v="393"/>
    <x v="10"/>
    <x v="18"/>
    <x v="25"/>
    <x v="1"/>
    <x v="1"/>
    <n v="478.5"/>
    <n v="4"/>
    <x v="9"/>
    <x v="0"/>
  </r>
  <r>
    <x v="983"/>
    <n v="2"/>
    <x v="0"/>
    <n v="435"/>
    <x v="12"/>
    <x v="35"/>
    <x v="20"/>
    <x v="1"/>
    <x v="4"/>
    <n v="360"/>
    <n v="2"/>
    <x v="2"/>
    <x v="0"/>
  </r>
  <r>
    <x v="984"/>
    <n v="1"/>
    <x v="1"/>
    <n v="599"/>
    <x v="27"/>
    <x v="6"/>
    <x v="74"/>
    <x v="1"/>
    <x v="3"/>
    <n v="585.5"/>
    <n v="9"/>
    <x v="7"/>
    <x v="5"/>
  </r>
  <r>
    <x v="985"/>
    <n v="2"/>
    <x v="1"/>
    <n v="702"/>
    <x v="68"/>
    <x v="65"/>
    <x v="3"/>
    <x v="36"/>
    <x v="4"/>
    <n v="735"/>
    <n v="9"/>
    <x v="9"/>
    <x v="3"/>
  </r>
  <r>
    <x v="986"/>
    <n v="2"/>
    <x v="1"/>
    <n v="620"/>
    <x v="10"/>
    <x v="38"/>
    <x v="3"/>
    <x v="38"/>
    <x v="4"/>
    <n v="538"/>
    <n v="7"/>
    <x v="3"/>
    <x v="1"/>
  </r>
  <r>
    <x v="987"/>
    <n v="2"/>
    <x v="0"/>
    <n v="476"/>
    <x v="43"/>
    <x v="31"/>
    <x v="34"/>
    <x v="1"/>
    <x v="1"/>
    <n v="428.5"/>
    <n v="5"/>
    <x v="3"/>
    <x v="0"/>
  </r>
  <r>
    <x v="988"/>
    <n v="1"/>
    <x v="0"/>
    <n v="414"/>
    <x v="25"/>
    <x v="31"/>
    <x v="63"/>
    <x v="1"/>
    <x v="4"/>
    <n v="490"/>
    <n v="4"/>
    <x v="3"/>
    <x v="0"/>
  </r>
  <r>
    <x v="989"/>
    <n v="2"/>
    <x v="0"/>
    <n v="417"/>
    <x v="24"/>
    <x v="18"/>
    <x v="27"/>
    <x v="1"/>
    <x v="0"/>
    <n v="484"/>
    <n v="0"/>
    <x v="5"/>
    <x v="0"/>
  </r>
  <r>
    <x v="990"/>
    <n v="2"/>
    <x v="1"/>
    <n v="417"/>
    <x v="56"/>
    <x v="17"/>
    <x v="72"/>
    <x v="1"/>
    <x v="3"/>
    <n v="282"/>
    <n v="0"/>
    <x v="5"/>
    <x v="0"/>
  </r>
  <r>
    <x v="991"/>
    <n v="2"/>
    <x v="0"/>
    <n v="476"/>
    <x v="36"/>
    <x v="12"/>
    <x v="3"/>
    <x v="0"/>
    <x v="3"/>
    <n v="386.5"/>
    <n v="5"/>
    <x v="3"/>
    <x v="1"/>
  </r>
  <r>
    <x v="992"/>
    <n v="2"/>
    <x v="1"/>
    <n v="723"/>
    <x v="49"/>
    <x v="49"/>
    <x v="3"/>
    <x v="13"/>
    <x v="1"/>
    <n v="642.5"/>
    <n v="5"/>
    <x v="3"/>
    <x v="0"/>
  </r>
  <r>
    <x v="993"/>
    <n v="1"/>
    <x v="0"/>
    <n v="481"/>
    <x v="38"/>
    <x v="8"/>
    <x v="29"/>
    <x v="1"/>
    <x v="1"/>
    <n v="386.5"/>
    <n v="3"/>
    <x v="1"/>
    <x v="0"/>
  </r>
  <r>
    <x v="994"/>
    <n v="2"/>
    <x v="1"/>
    <n v="420"/>
    <x v="48"/>
    <x v="33"/>
    <x v="46"/>
    <x v="18"/>
    <x v="3"/>
    <n v="510.5"/>
    <n v="9"/>
    <x v="7"/>
    <x v="2"/>
  </r>
  <r>
    <x v="995"/>
    <n v="1"/>
    <x v="1"/>
    <n v="558"/>
    <x v="32"/>
    <x v="56"/>
    <x v="2"/>
    <x v="1"/>
    <x v="4"/>
    <n v="618.5"/>
    <n v="5"/>
    <x v="3"/>
    <x v="1"/>
  </r>
  <r>
    <x v="996"/>
    <n v="1"/>
    <x v="0"/>
    <n v="417"/>
    <x v="42"/>
    <x v="31"/>
    <x v="9"/>
    <x v="1"/>
    <x v="4"/>
    <n v="425.5"/>
    <n v="4"/>
    <x v="1"/>
    <x v="0"/>
  </r>
  <r>
    <x v="997"/>
    <n v="2"/>
    <x v="2"/>
    <n v="435"/>
    <x v="60"/>
    <x v="52"/>
    <x v="43"/>
    <x v="1"/>
    <x v="4"/>
    <n v="656.5"/>
    <n v="8"/>
    <x v="7"/>
    <x v="3"/>
  </r>
  <r>
    <x v="998"/>
    <n v="2"/>
    <x v="0"/>
    <n v="599"/>
    <x v="54"/>
    <x v="2"/>
    <x v="3"/>
    <x v="33"/>
    <x v="1"/>
    <n v="564.5"/>
    <n v="5"/>
    <x v="3"/>
    <x v="0"/>
  </r>
  <r>
    <x v="999"/>
    <n v="2"/>
    <x v="0"/>
    <n v="440"/>
    <x v="9"/>
    <x v="8"/>
    <x v="3"/>
    <x v="29"/>
    <x v="0"/>
    <n v="444.5"/>
    <n v="4"/>
    <x v="1"/>
    <x v="0"/>
  </r>
  <r>
    <x v="1000"/>
    <n v="1"/>
    <x v="0"/>
    <n v="478"/>
    <x v="42"/>
    <x v="26"/>
    <x v="8"/>
    <x v="1"/>
    <x v="1"/>
    <n v="462.5"/>
    <n v="6"/>
    <x v="0"/>
    <x v="0"/>
  </r>
  <r>
    <x v="1001"/>
    <n v="1"/>
    <x v="1"/>
    <n v="0"/>
    <x v="4"/>
    <x v="4"/>
    <x v="3"/>
    <x v="1"/>
    <x v="8"/>
    <n v="0"/>
    <n v="1"/>
    <x v="2"/>
    <x v="0"/>
  </r>
  <r>
    <x v="1002"/>
    <n v="2"/>
    <x v="0"/>
    <n v="0"/>
    <x v="17"/>
    <x v="40"/>
    <x v="3"/>
    <x v="2"/>
    <x v="3"/>
    <n v="357.5"/>
    <n v="4"/>
    <x v="1"/>
    <x v="0"/>
  </r>
  <r>
    <x v="1003"/>
    <n v="1"/>
    <x v="0"/>
    <n v="476"/>
    <x v="5"/>
    <x v="11"/>
    <x v="67"/>
    <x v="1"/>
    <x v="6"/>
    <n v="475.5"/>
    <n v="3"/>
    <x v="8"/>
    <x v="0"/>
  </r>
  <r>
    <x v="1004"/>
    <n v="2"/>
    <x v="2"/>
    <n v="476"/>
    <x v="19"/>
    <x v="25"/>
    <x v="63"/>
    <x v="1"/>
    <x v="4"/>
    <n v="531.5"/>
    <n v="9"/>
    <x v="3"/>
    <x v="1"/>
  </r>
  <r>
    <x v="1005"/>
    <n v="2"/>
    <x v="0"/>
    <n v="476"/>
    <x v="43"/>
    <x v="5"/>
    <x v="34"/>
    <x v="1"/>
    <x v="1"/>
    <n v="436"/>
    <n v="2"/>
    <x v="2"/>
    <x v="0"/>
  </r>
  <r>
    <x v="1006"/>
    <n v="1"/>
    <x v="0"/>
    <n v="458"/>
    <x v="4"/>
    <x v="4"/>
    <x v="3"/>
    <x v="1"/>
    <x v="1"/>
    <n v="0"/>
    <n v="3"/>
    <x v="0"/>
    <x v="0"/>
  </r>
  <r>
    <x v="1007"/>
    <n v="2"/>
    <x v="0"/>
    <n v="560"/>
    <x v="34"/>
    <x v="3"/>
    <x v="25"/>
    <x v="1"/>
    <x v="6"/>
    <n v="461.5"/>
    <n v="2"/>
    <x v="2"/>
    <x v="0"/>
  </r>
  <r>
    <x v="1008"/>
    <n v="1"/>
    <x v="2"/>
    <n v="538"/>
    <x v="2"/>
    <x v="76"/>
    <x v="7"/>
    <x v="17"/>
    <x v="1"/>
    <n v="616.5"/>
    <n v="9"/>
    <x v="3"/>
    <x v="3"/>
  </r>
  <r>
    <x v="1009"/>
    <n v="1"/>
    <x v="1"/>
    <n v="476"/>
    <x v="30"/>
    <x v="7"/>
    <x v="47"/>
    <x v="1"/>
    <x v="4"/>
    <n v="548"/>
    <n v="9"/>
    <x v="7"/>
    <x v="3"/>
  </r>
  <r>
    <x v="1010"/>
    <n v="1"/>
    <x v="0"/>
    <n v="397"/>
    <x v="38"/>
    <x v="26"/>
    <x v="0"/>
    <x v="1"/>
    <x v="1"/>
    <n v="432.5"/>
    <n v="5"/>
    <x v="1"/>
    <x v="0"/>
  </r>
  <r>
    <x v="1011"/>
    <n v="1"/>
    <x v="2"/>
    <n v="455"/>
    <x v="9"/>
    <x v="44"/>
    <x v="3"/>
    <x v="16"/>
    <x v="6"/>
    <n v="562.5"/>
    <n v="4"/>
    <x v="3"/>
    <x v="1"/>
  </r>
  <r>
    <x v="1012"/>
    <n v="2"/>
    <x v="1"/>
    <n v="380"/>
    <x v="12"/>
    <x v="35"/>
    <x v="56"/>
    <x v="4"/>
    <x v="1"/>
    <n v="360"/>
    <n v="5"/>
    <x v="1"/>
    <x v="0"/>
  </r>
  <r>
    <x v="1013"/>
    <n v="1"/>
    <x v="2"/>
    <n v="476"/>
    <x v="44"/>
    <x v="22"/>
    <x v="3"/>
    <x v="16"/>
    <x v="4"/>
    <n v="513.5"/>
    <n v="7"/>
    <x v="7"/>
    <x v="3"/>
  </r>
  <r>
    <x v="1014"/>
    <n v="1"/>
    <x v="1"/>
    <n v="476"/>
    <x v="65"/>
    <x v="61"/>
    <x v="1"/>
    <x v="1"/>
    <x v="1"/>
    <n v="620"/>
    <n v="9"/>
    <x v="7"/>
    <x v="1"/>
  </r>
  <r>
    <x v="1015"/>
    <n v="2"/>
    <x v="2"/>
    <n v="455"/>
    <x v="9"/>
    <x v="39"/>
    <x v="38"/>
    <x v="1"/>
    <x v="4"/>
    <n v="508.5"/>
    <n v="5"/>
    <x v="3"/>
    <x v="2"/>
  </r>
  <r>
    <x v="1016"/>
    <n v="1"/>
    <x v="2"/>
    <n v="702"/>
    <x v="65"/>
    <x v="36"/>
    <x v="3"/>
    <x v="47"/>
    <x v="1"/>
    <n v="654.5"/>
    <n v="10"/>
    <x v="7"/>
    <x v="1"/>
  </r>
  <r>
    <x v="1017"/>
    <n v="1"/>
    <x v="0"/>
    <n v="579"/>
    <x v="27"/>
    <x v="5"/>
    <x v="69"/>
    <x v="19"/>
    <x v="4"/>
    <n v="507"/>
    <n v="7"/>
    <x v="3"/>
    <x v="0"/>
  </r>
  <r>
    <x v="1018"/>
    <n v="1"/>
    <x v="2"/>
    <n v="599"/>
    <x v="6"/>
    <x v="71"/>
    <x v="3"/>
    <x v="37"/>
    <x v="1"/>
    <n v="670.5"/>
    <n v="8"/>
    <x v="6"/>
    <x v="1"/>
  </r>
  <r>
    <x v="1019"/>
    <n v="2"/>
    <x v="2"/>
    <n v="599"/>
    <x v="21"/>
    <x v="60"/>
    <x v="3"/>
    <x v="6"/>
    <x v="4"/>
    <n v="568.5"/>
    <n v="9"/>
    <x v="7"/>
    <x v="2"/>
  </r>
  <r>
    <x v="1020"/>
    <n v="2"/>
    <x v="2"/>
    <n v="682"/>
    <x v="32"/>
    <x v="21"/>
    <x v="58"/>
    <x v="58"/>
    <x v="6"/>
    <n v="632.5"/>
    <n v="9"/>
    <x v="7"/>
    <x v="1"/>
  </r>
  <r>
    <x v="1021"/>
    <n v="1"/>
    <x v="0"/>
    <n v="539"/>
    <x v="10"/>
    <x v="61"/>
    <x v="3"/>
    <x v="44"/>
    <x v="6"/>
    <n v="542"/>
    <n v="4"/>
    <x v="1"/>
    <x v="1"/>
  </r>
  <r>
    <x v="1022"/>
    <n v="2"/>
    <x v="1"/>
    <n v="437"/>
    <x v="4"/>
    <x v="4"/>
    <x v="3"/>
    <x v="1"/>
    <x v="4"/>
    <n v="0"/>
    <n v="0"/>
    <x v="5"/>
    <x v="0"/>
  </r>
  <r>
    <x v="1023"/>
    <n v="1"/>
    <x v="0"/>
    <n v="662"/>
    <x v="33"/>
    <x v="40"/>
    <x v="9"/>
    <x v="32"/>
    <x v="0"/>
    <n v="428.5"/>
    <n v="0"/>
    <x v="5"/>
    <x v="0"/>
  </r>
  <r>
    <x v="1024"/>
    <n v="2"/>
    <x v="1"/>
    <n v="641"/>
    <x v="6"/>
    <x v="58"/>
    <x v="3"/>
    <x v="28"/>
    <x v="3"/>
    <n v="585"/>
    <n v="9"/>
    <x v="7"/>
    <x v="1"/>
  </r>
  <r>
    <x v="1025"/>
    <n v="1"/>
    <x v="1"/>
    <n v="579"/>
    <x v="2"/>
    <x v="53"/>
    <x v="13"/>
    <x v="1"/>
    <x v="1"/>
    <n v="612.5"/>
    <n v="7"/>
    <x v="7"/>
    <x v="1"/>
  </r>
  <r>
    <x v="1026"/>
    <n v="2"/>
    <x v="2"/>
    <n v="558"/>
    <x v="33"/>
    <x v="13"/>
    <x v="44"/>
    <x v="1"/>
    <x v="1"/>
    <n v="554.5"/>
    <n v="9"/>
    <x v="3"/>
    <x v="2"/>
  </r>
  <r>
    <x v="1027"/>
    <n v="2"/>
    <x v="1"/>
    <n v="538"/>
    <x v="13"/>
    <x v="51"/>
    <x v="3"/>
    <x v="51"/>
    <x v="3"/>
    <n v="644"/>
    <n v="9"/>
    <x v="7"/>
    <x v="3"/>
  </r>
  <r>
    <x v="1028"/>
    <n v="1"/>
    <x v="2"/>
    <n v="476"/>
    <x v="2"/>
    <x v="23"/>
    <x v="40"/>
    <x v="44"/>
    <x v="5"/>
    <n v="570.5"/>
    <n v="9"/>
    <x v="7"/>
    <x v="3"/>
  </r>
  <r>
    <x v="1029"/>
    <n v="1"/>
    <x v="2"/>
    <n v="517"/>
    <x v="43"/>
    <x v="51"/>
    <x v="3"/>
    <x v="8"/>
    <x v="0"/>
    <n v="568"/>
    <n v="9"/>
    <x v="6"/>
    <x v="5"/>
  </r>
  <r>
    <x v="1030"/>
    <n v="1"/>
    <x v="1"/>
    <n v="641"/>
    <x v="15"/>
    <x v="21"/>
    <x v="12"/>
    <x v="1"/>
    <x v="6"/>
    <n v="687"/>
    <n v="4"/>
    <x v="1"/>
    <x v="0"/>
  </r>
  <r>
    <x v="1031"/>
    <n v="2"/>
    <x v="0"/>
    <n v="476"/>
    <x v="5"/>
    <x v="0"/>
    <x v="30"/>
    <x v="2"/>
    <x v="6"/>
    <n v="464.5"/>
    <n v="4"/>
    <x v="1"/>
    <x v="0"/>
  </r>
  <r>
    <x v="1032"/>
    <n v="2"/>
    <x v="1"/>
    <n v="521"/>
    <x v="14"/>
    <x v="24"/>
    <x v="22"/>
    <x v="0"/>
    <x v="7"/>
    <n v="488.5"/>
    <n v="2"/>
    <x v="1"/>
    <x v="0"/>
  </r>
  <r>
    <x v="1033"/>
    <n v="2"/>
    <x v="2"/>
    <n v="682"/>
    <x v="52"/>
    <x v="53"/>
    <x v="59"/>
    <x v="1"/>
    <x v="3"/>
    <n v="685.5"/>
    <n v="9"/>
    <x v="7"/>
    <x v="2"/>
  </r>
  <r>
    <x v="1034"/>
    <n v="2"/>
    <x v="2"/>
    <n v="476"/>
    <x v="1"/>
    <x v="61"/>
    <x v="48"/>
    <x v="1"/>
    <x v="1"/>
    <n v="598.5"/>
    <n v="6"/>
    <x v="3"/>
    <x v="0"/>
  </r>
  <r>
    <x v="1035"/>
    <n v="1"/>
    <x v="2"/>
    <n v="517"/>
    <x v="27"/>
    <x v="44"/>
    <x v="67"/>
    <x v="1"/>
    <x v="3"/>
    <n v="608.5"/>
    <n v="5"/>
    <x v="3"/>
    <x v="3"/>
  </r>
  <r>
    <x v="1036"/>
    <n v="2"/>
    <x v="1"/>
    <n v="702"/>
    <x v="33"/>
    <x v="10"/>
    <x v="51"/>
    <x v="1"/>
    <x v="1"/>
    <n v="580"/>
    <n v="9"/>
    <x v="7"/>
    <x v="1"/>
  </r>
  <r>
    <x v="1037"/>
    <n v="2"/>
    <x v="0"/>
    <n v="560"/>
    <x v="4"/>
    <x v="4"/>
    <x v="3"/>
    <x v="1"/>
    <x v="7"/>
    <n v="0"/>
    <n v="5"/>
    <x v="2"/>
    <x v="0"/>
  </r>
  <r>
    <x v="1038"/>
    <n v="2"/>
    <x v="1"/>
    <n v="702"/>
    <x v="63"/>
    <x v="49"/>
    <x v="48"/>
    <x v="38"/>
    <x v="6"/>
    <n v="684"/>
    <n v="7"/>
    <x v="7"/>
    <x v="1"/>
  </r>
  <r>
    <x v="1039"/>
    <n v="2"/>
    <x v="2"/>
    <n v="0"/>
    <x v="4"/>
    <x v="4"/>
    <x v="3"/>
    <x v="1"/>
    <x v="0"/>
    <n v="0"/>
    <n v="9"/>
    <x v="7"/>
    <x v="2"/>
  </r>
  <r>
    <x v="1040"/>
    <n v="2"/>
    <x v="2"/>
    <n v="579"/>
    <x v="1"/>
    <x v="27"/>
    <x v="74"/>
    <x v="1"/>
    <x v="0"/>
    <n v="577"/>
    <n v="0"/>
    <x v="5"/>
    <x v="1"/>
  </r>
  <r>
    <x v="1041"/>
    <n v="1"/>
    <x v="2"/>
    <n v="455"/>
    <x v="40"/>
    <x v="21"/>
    <x v="3"/>
    <x v="3"/>
    <x v="0"/>
    <n v="589"/>
    <n v="0"/>
    <x v="5"/>
    <x v="4"/>
  </r>
  <r>
    <x v="1042"/>
    <n v="1"/>
    <x v="0"/>
    <n v="538"/>
    <x v="19"/>
    <x v="61"/>
    <x v="55"/>
    <x v="27"/>
    <x v="5"/>
    <n v="565"/>
    <n v="0"/>
    <x v="3"/>
    <x v="0"/>
  </r>
  <r>
    <x v="1043"/>
    <n v="1"/>
    <x v="1"/>
    <n v="558"/>
    <x v="32"/>
    <x v="48"/>
    <x v="3"/>
    <x v="53"/>
    <x v="1"/>
    <n v="606"/>
    <n v="9"/>
    <x v="7"/>
    <x v="2"/>
  </r>
  <r>
    <x v="1044"/>
    <n v="1"/>
    <x v="1"/>
    <n v="558"/>
    <x v="18"/>
    <x v="61"/>
    <x v="32"/>
    <x v="1"/>
    <x v="4"/>
    <n v="550"/>
    <n v="5"/>
    <x v="6"/>
    <x v="0"/>
  </r>
  <r>
    <x v="1045"/>
    <n v="2"/>
    <x v="0"/>
    <n v="620"/>
    <x v="3"/>
    <x v="24"/>
    <x v="3"/>
    <x v="2"/>
    <x v="6"/>
    <n v="482.5"/>
    <n v="4"/>
    <x v="0"/>
    <x v="0"/>
  </r>
  <r>
    <x v="1046"/>
    <n v="2"/>
    <x v="1"/>
    <n v="661"/>
    <x v="69"/>
    <x v="66"/>
    <x v="54"/>
    <x v="30"/>
    <x v="1"/>
    <n v="669.5"/>
    <n v="0"/>
    <x v="5"/>
    <x v="0"/>
  </r>
  <r>
    <x v="1047"/>
    <n v="2"/>
    <x v="1"/>
    <n v="0"/>
    <x v="4"/>
    <x v="4"/>
    <x v="3"/>
    <x v="1"/>
    <x v="6"/>
    <n v="0"/>
    <n v="4"/>
    <x v="1"/>
    <x v="0"/>
  </r>
  <r>
    <x v="1048"/>
    <n v="1"/>
    <x v="0"/>
    <n v="682"/>
    <x v="26"/>
    <x v="34"/>
    <x v="3"/>
    <x v="14"/>
    <x v="1"/>
    <n v="554"/>
    <n v="5"/>
    <x v="1"/>
    <x v="0"/>
  </r>
  <r>
    <x v="1049"/>
    <n v="2"/>
    <x v="2"/>
    <n v="723"/>
    <x v="70"/>
    <x v="30"/>
    <x v="3"/>
    <x v="20"/>
    <x v="7"/>
    <n v="686"/>
    <n v="9"/>
    <x v="7"/>
    <x v="2"/>
  </r>
  <r>
    <x v="1050"/>
    <n v="2"/>
    <x v="2"/>
    <n v="702"/>
    <x v="20"/>
    <x v="67"/>
    <x v="13"/>
    <x v="1"/>
    <x v="4"/>
    <n v="694"/>
    <n v="9"/>
    <x v="7"/>
    <x v="5"/>
  </r>
  <r>
    <x v="1051"/>
    <n v="1"/>
    <x v="1"/>
    <n v="455"/>
    <x v="26"/>
    <x v="68"/>
    <x v="3"/>
    <x v="14"/>
    <x v="5"/>
    <n v="573"/>
    <n v="9"/>
    <x v="7"/>
    <x v="1"/>
  </r>
  <r>
    <x v="1052"/>
    <n v="1"/>
    <x v="1"/>
    <n v="682"/>
    <x v="76"/>
    <x v="1"/>
    <x v="3"/>
    <x v="62"/>
    <x v="1"/>
    <n v="763.5"/>
    <n v="9"/>
    <x v="9"/>
    <x v="1"/>
  </r>
  <r>
    <x v="1053"/>
    <n v="1"/>
    <x v="0"/>
    <n v="723"/>
    <x v="65"/>
    <x v="64"/>
    <x v="3"/>
    <x v="36"/>
    <x v="1"/>
    <n v="733.5"/>
    <n v="5"/>
    <x v="2"/>
    <x v="0"/>
  </r>
  <r>
    <x v="1054"/>
    <n v="2"/>
    <x v="2"/>
    <n v="496"/>
    <x v="59"/>
    <x v="28"/>
    <x v="16"/>
    <x v="1"/>
    <x v="6"/>
    <n v="568.5"/>
    <n v="9"/>
    <x v="10"/>
    <x v="5"/>
  </r>
  <r>
    <x v="1055"/>
    <n v="1"/>
    <x v="0"/>
    <n v="352"/>
    <x v="41"/>
    <x v="37"/>
    <x v="32"/>
    <x v="6"/>
    <x v="3"/>
    <n v="468"/>
    <n v="5"/>
    <x v="1"/>
    <x v="1"/>
  </r>
  <r>
    <x v="1056"/>
    <n v="1"/>
    <x v="2"/>
    <n v="620"/>
    <x v="54"/>
    <x v="75"/>
    <x v="3"/>
    <x v="62"/>
    <x v="4"/>
    <n v="676"/>
    <n v="9"/>
    <x v="9"/>
    <x v="2"/>
  </r>
  <r>
    <x v="1057"/>
    <n v="2"/>
    <x v="1"/>
    <n v="417"/>
    <x v="4"/>
    <x v="4"/>
    <x v="3"/>
    <x v="1"/>
    <x v="4"/>
    <n v="0"/>
    <n v="5"/>
    <x v="1"/>
    <x v="0"/>
  </r>
  <r>
    <x v="1058"/>
    <n v="1"/>
    <x v="2"/>
    <n v="579"/>
    <x v="32"/>
    <x v="59"/>
    <x v="13"/>
    <x v="53"/>
    <x v="3"/>
    <n v="657"/>
    <n v="9"/>
    <x v="7"/>
    <x v="3"/>
  </r>
  <r>
    <x v="1059"/>
    <n v="2"/>
    <x v="2"/>
    <n v="496"/>
    <x v="65"/>
    <x v="24"/>
    <x v="75"/>
    <x v="1"/>
    <x v="4"/>
    <n v="581"/>
    <n v="9"/>
    <x v="3"/>
    <x v="3"/>
  </r>
  <r>
    <x v="1060"/>
    <n v="2"/>
    <x v="1"/>
    <n v="682"/>
    <x v="6"/>
    <x v="56"/>
    <x v="3"/>
    <x v="32"/>
    <x v="1"/>
    <n v="601"/>
    <n v="3"/>
    <x v="3"/>
    <x v="0"/>
  </r>
  <r>
    <x v="1061"/>
    <n v="2"/>
    <x v="1"/>
    <n v="0"/>
    <x v="55"/>
    <x v="5"/>
    <x v="44"/>
    <x v="1"/>
    <x v="5"/>
    <n v="482.5"/>
    <n v="9"/>
    <x v="7"/>
    <x v="1"/>
  </r>
  <r>
    <x v="1062"/>
    <n v="1"/>
    <x v="2"/>
    <n v="682"/>
    <x v="15"/>
    <x v="71"/>
    <x v="13"/>
    <x v="8"/>
    <x v="3"/>
    <n v="742.5"/>
    <n v="10"/>
    <x v="3"/>
    <x v="5"/>
  </r>
  <r>
    <x v="1063"/>
    <n v="2"/>
    <x v="0"/>
    <n v="478"/>
    <x v="51"/>
    <x v="12"/>
    <x v="22"/>
    <x v="1"/>
    <x v="4"/>
    <n v="399"/>
    <n v="5"/>
    <x v="1"/>
    <x v="0"/>
  </r>
  <r>
    <x v="1064"/>
    <n v="2"/>
    <x v="2"/>
    <n v="579"/>
    <x v="59"/>
    <x v="23"/>
    <x v="46"/>
    <x v="1"/>
    <x v="4"/>
    <n v="576"/>
    <n v="7"/>
    <x v="10"/>
    <x v="3"/>
  </r>
  <r>
    <x v="1065"/>
    <n v="2"/>
    <x v="1"/>
    <n v="661"/>
    <x v="59"/>
    <x v="72"/>
    <x v="46"/>
    <x v="61"/>
    <x v="3"/>
    <n v="624.5"/>
    <n v="9"/>
    <x v="7"/>
    <x v="1"/>
  </r>
  <r>
    <x v="1066"/>
    <n v="1"/>
    <x v="0"/>
    <n v="435"/>
    <x v="55"/>
    <x v="18"/>
    <x v="24"/>
    <x v="1"/>
    <x v="1"/>
    <n v="494.5"/>
    <n v="3"/>
    <x v="0"/>
    <x v="0"/>
  </r>
  <r>
    <x v="1067"/>
    <n v="2"/>
    <x v="0"/>
    <n v="476"/>
    <x v="0"/>
    <x v="25"/>
    <x v="32"/>
    <x v="1"/>
    <x v="1"/>
    <n v="485"/>
    <n v="5"/>
    <x v="3"/>
    <x v="0"/>
  </r>
  <r>
    <x v="1068"/>
    <n v="2"/>
    <x v="0"/>
    <n v="579"/>
    <x v="18"/>
    <x v="13"/>
    <x v="3"/>
    <x v="45"/>
    <x v="1"/>
    <n v="536.5"/>
    <n v="4"/>
    <x v="0"/>
    <x v="0"/>
  </r>
  <r>
    <x v="1069"/>
    <n v="1"/>
    <x v="0"/>
    <n v="496"/>
    <x v="18"/>
    <x v="37"/>
    <x v="3"/>
    <x v="16"/>
    <x v="4"/>
    <n v="513.5"/>
    <n v="7"/>
    <x v="10"/>
    <x v="0"/>
  </r>
  <r>
    <x v="1070"/>
    <n v="2"/>
    <x v="0"/>
    <n v="538"/>
    <x v="40"/>
    <x v="22"/>
    <x v="67"/>
    <x v="1"/>
    <x v="6"/>
    <n v="539"/>
    <n v="8"/>
    <x v="1"/>
    <x v="1"/>
  </r>
  <r>
    <x v="1071"/>
    <n v="1"/>
    <x v="1"/>
    <n v="682"/>
    <x v="47"/>
    <x v="64"/>
    <x v="3"/>
    <x v="70"/>
    <x v="5"/>
    <n v="691"/>
    <n v="4"/>
    <x v="7"/>
    <x v="1"/>
  </r>
  <r>
    <x v="1072"/>
    <n v="2"/>
    <x v="1"/>
    <n v="599"/>
    <x v="70"/>
    <x v="13"/>
    <x v="46"/>
    <x v="1"/>
    <x v="3"/>
    <n v="621.5"/>
    <n v="9"/>
    <x v="7"/>
    <x v="2"/>
  </r>
  <r>
    <x v="1073"/>
    <n v="2"/>
    <x v="0"/>
    <n v="517"/>
    <x v="0"/>
    <x v="12"/>
    <x v="3"/>
    <x v="40"/>
    <x v="4"/>
    <n v="417"/>
    <n v="4"/>
    <x v="1"/>
    <x v="0"/>
  </r>
  <r>
    <x v="1074"/>
    <n v="1"/>
    <x v="1"/>
    <n v="661"/>
    <x v="15"/>
    <x v="67"/>
    <x v="3"/>
    <x v="24"/>
    <x v="1"/>
    <n v="731"/>
    <n v="5"/>
    <x v="3"/>
    <x v="1"/>
  </r>
  <r>
    <x v="1075"/>
    <n v="2"/>
    <x v="2"/>
    <n v="599"/>
    <x v="52"/>
    <x v="56"/>
    <x v="2"/>
    <x v="1"/>
    <x v="4"/>
    <n v="658"/>
    <n v="5"/>
    <x v="2"/>
    <x v="1"/>
  </r>
  <r>
    <x v="1076"/>
    <n v="1"/>
    <x v="1"/>
    <n v="458"/>
    <x v="4"/>
    <x v="4"/>
    <x v="3"/>
    <x v="1"/>
    <x v="1"/>
    <n v="0"/>
    <n v="3"/>
    <x v="0"/>
    <x v="0"/>
  </r>
  <r>
    <x v="1077"/>
    <n v="2"/>
    <x v="2"/>
    <n v="579"/>
    <x v="67"/>
    <x v="60"/>
    <x v="14"/>
    <x v="1"/>
    <x v="0"/>
    <n v="617.5"/>
    <n v="0"/>
    <x v="5"/>
    <x v="1"/>
  </r>
  <r>
    <x v="1078"/>
    <n v="2"/>
    <x v="0"/>
    <n v="661"/>
    <x v="30"/>
    <x v="53"/>
    <x v="8"/>
    <x v="19"/>
    <x v="6"/>
    <n v="595.5"/>
    <n v="2"/>
    <x v="3"/>
    <x v="0"/>
  </r>
  <r>
    <x v="1079"/>
    <n v="2"/>
    <x v="2"/>
    <n v="661"/>
    <x v="13"/>
    <x v="61"/>
    <x v="3"/>
    <x v="12"/>
    <x v="1"/>
    <n v="587.5"/>
    <n v="9"/>
    <x v="6"/>
    <x v="0"/>
  </r>
  <r>
    <x v="1080"/>
    <n v="2"/>
    <x v="2"/>
    <n v="620"/>
    <x v="23"/>
    <x v="47"/>
    <x v="51"/>
    <x v="1"/>
    <x v="4"/>
    <n v="590"/>
    <n v="9"/>
    <x v="3"/>
    <x v="2"/>
  </r>
  <r>
    <x v="1081"/>
    <n v="2"/>
    <x v="2"/>
    <n v="538"/>
    <x v="27"/>
    <x v="48"/>
    <x v="47"/>
    <x v="1"/>
    <x v="4"/>
    <n v="575"/>
    <n v="8"/>
    <x v="7"/>
    <x v="3"/>
  </r>
  <r>
    <x v="1082"/>
    <n v="1"/>
    <x v="0"/>
    <n v="0"/>
    <x v="4"/>
    <x v="4"/>
    <x v="3"/>
    <x v="1"/>
    <x v="4"/>
    <n v="0"/>
    <n v="5"/>
    <x v="7"/>
    <x v="0"/>
  </r>
  <r>
    <x v="1083"/>
    <n v="2"/>
    <x v="1"/>
    <n v="496"/>
    <x v="17"/>
    <x v="52"/>
    <x v="3"/>
    <x v="14"/>
    <x v="4"/>
    <n v="505.5"/>
    <n v="5"/>
    <x v="3"/>
    <x v="0"/>
  </r>
  <r>
    <x v="1084"/>
    <n v="2"/>
    <x v="1"/>
    <n v="662"/>
    <x v="0"/>
    <x v="40"/>
    <x v="64"/>
    <x v="1"/>
    <x v="1"/>
    <n v="379"/>
    <n v="0"/>
    <x v="2"/>
    <x v="0"/>
  </r>
  <r>
    <x v="1085"/>
    <n v="2"/>
    <x v="1"/>
    <n v="538"/>
    <x v="7"/>
    <x v="19"/>
    <x v="64"/>
    <x v="1"/>
    <x v="5"/>
    <n v="496.5"/>
    <n v="4"/>
    <x v="3"/>
    <x v="0"/>
  </r>
  <r>
    <x v="1086"/>
    <n v="1"/>
    <x v="1"/>
    <n v="435"/>
    <x v="54"/>
    <x v="37"/>
    <x v="43"/>
    <x v="1"/>
    <x v="1"/>
    <n v="554"/>
    <n v="9"/>
    <x v="7"/>
    <x v="1"/>
  </r>
  <r>
    <x v="1087"/>
    <n v="1"/>
    <x v="2"/>
    <n v="579"/>
    <x v="47"/>
    <x v="44"/>
    <x v="3"/>
    <x v="67"/>
    <x v="1"/>
    <n v="603.5"/>
    <n v="5"/>
    <x v="10"/>
    <x v="1"/>
  </r>
  <r>
    <x v="1088"/>
    <n v="1"/>
    <x v="0"/>
    <n v="335"/>
    <x v="43"/>
    <x v="3"/>
    <x v="25"/>
    <x v="1"/>
    <x v="1"/>
    <n v="458"/>
    <n v="5"/>
    <x v="3"/>
    <x v="0"/>
  </r>
  <r>
    <x v="1089"/>
    <n v="1"/>
    <x v="1"/>
    <n v="764"/>
    <x v="32"/>
    <x v="75"/>
    <x v="3"/>
    <x v="56"/>
    <x v="4"/>
    <n v="699"/>
    <n v="9"/>
    <x v="7"/>
    <x v="2"/>
  </r>
  <r>
    <x v="1090"/>
    <n v="1"/>
    <x v="1"/>
    <n v="558"/>
    <x v="20"/>
    <x v="20"/>
    <x v="55"/>
    <x v="1"/>
    <x v="5"/>
    <n v="648.5"/>
    <n v="9"/>
    <x v="8"/>
    <x v="1"/>
  </r>
  <r>
    <x v="1091"/>
    <n v="1"/>
    <x v="1"/>
    <n v="538"/>
    <x v="19"/>
    <x v="34"/>
    <x v="55"/>
    <x v="1"/>
    <x v="1"/>
    <n v="566.5"/>
    <n v="5"/>
    <x v="3"/>
    <x v="0"/>
  </r>
  <r>
    <x v="1092"/>
    <n v="1"/>
    <x v="2"/>
    <n v="599"/>
    <x v="6"/>
    <x v="67"/>
    <x v="3"/>
    <x v="73"/>
    <x v="0"/>
    <n v="659"/>
    <n v="0"/>
    <x v="5"/>
    <x v="1"/>
  </r>
  <r>
    <x v="1093"/>
    <n v="2"/>
    <x v="1"/>
    <n v="496"/>
    <x v="55"/>
    <x v="34"/>
    <x v="43"/>
    <x v="1"/>
    <x v="4"/>
    <n v="559.5"/>
    <n v="9"/>
    <x v="10"/>
    <x v="1"/>
  </r>
  <r>
    <x v="1094"/>
    <n v="1"/>
    <x v="2"/>
    <n v="661"/>
    <x v="55"/>
    <x v="71"/>
    <x v="3"/>
    <x v="67"/>
    <x v="6"/>
    <n v="632.5"/>
    <n v="0"/>
    <x v="3"/>
    <x v="0"/>
  </r>
  <r>
    <x v="1095"/>
    <n v="2"/>
    <x v="1"/>
    <n v="599"/>
    <x v="53"/>
    <x v="27"/>
    <x v="45"/>
    <x v="26"/>
    <x v="7"/>
    <n v="586"/>
    <n v="8"/>
    <x v="7"/>
    <x v="1"/>
  </r>
  <r>
    <x v="1096"/>
    <n v="2"/>
    <x v="1"/>
    <n v="455"/>
    <x v="42"/>
    <x v="26"/>
    <x v="29"/>
    <x v="1"/>
    <x v="1"/>
    <n v="462.5"/>
    <n v="5"/>
    <x v="10"/>
    <x v="1"/>
  </r>
  <r>
    <x v="1097"/>
    <n v="2"/>
    <x v="0"/>
    <n v="599"/>
    <x v="24"/>
    <x v="74"/>
    <x v="3"/>
    <x v="27"/>
    <x v="6"/>
    <n v="542"/>
    <n v="6"/>
    <x v="1"/>
    <x v="0"/>
  </r>
  <r>
    <x v="1098"/>
    <n v="2"/>
    <x v="0"/>
    <n v="437"/>
    <x v="48"/>
    <x v="11"/>
    <x v="24"/>
    <x v="21"/>
    <x v="4"/>
    <n v="502"/>
    <n v="7"/>
    <x v="3"/>
    <x v="0"/>
  </r>
  <r>
    <x v="1099"/>
    <n v="1"/>
    <x v="0"/>
    <n v="517"/>
    <x v="54"/>
    <x v="28"/>
    <x v="16"/>
    <x v="1"/>
    <x v="6"/>
    <n v="573.5"/>
    <n v="9"/>
    <x v="7"/>
    <x v="1"/>
  </r>
  <r>
    <x v="1100"/>
    <n v="2"/>
    <x v="1"/>
    <n v="641"/>
    <x v="46"/>
    <x v="48"/>
    <x v="3"/>
    <x v="68"/>
    <x v="3"/>
    <n v="523.5"/>
    <n v="3"/>
    <x v="3"/>
    <x v="0"/>
  </r>
  <r>
    <x v="1101"/>
    <n v="2"/>
    <x v="2"/>
    <n v="558"/>
    <x v="33"/>
    <x v="7"/>
    <x v="44"/>
    <x v="1"/>
    <x v="4"/>
    <n v="553"/>
    <n v="6"/>
    <x v="10"/>
    <x v="1"/>
  </r>
  <r>
    <x v="1102"/>
    <n v="1"/>
    <x v="0"/>
    <n v="620"/>
    <x v="5"/>
    <x v="12"/>
    <x v="41"/>
    <x v="1"/>
    <x v="1"/>
    <n v="432"/>
    <n v="5"/>
    <x v="3"/>
    <x v="0"/>
  </r>
  <r>
    <x v="1103"/>
    <n v="2"/>
    <x v="0"/>
    <n v="702"/>
    <x v="69"/>
    <x v="34"/>
    <x v="74"/>
    <x v="1"/>
    <x v="4"/>
    <n v="625"/>
    <n v="5"/>
    <x v="3"/>
    <x v="0"/>
  </r>
  <r>
    <x v="1104"/>
    <n v="2"/>
    <x v="0"/>
    <n v="519"/>
    <x v="4"/>
    <x v="4"/>
    <x v="3"/>
    <x v="1"/>
    <x v="1"/>
    <n v="0"/>
    <n v="4"/>
    <x v="0"/>
    <x v="0"/>
  </r>
  <r>
    <x v="1105"/>
    <n v="1"/>
    <x v="1"/>
    <n v="558"/>
    <x v="30"/>
    <x v="15"/>
    <x v="51"/>
    <x v="59"/>
    <x v="3"/>
    <n v="633"/>
    <n v="5"/>
    <x v="10"/>
    <x v="1"/>
  </r>
  <r>
    <x v="1106"/>
    <n v="2"/>
    <x v="0"/>
    <n v="641"/>
    <x v="21"/>
    <x v="74"/>
    <x v="64"/>
    <x v="1"/>
    <x v="4"/>
    <n v="549.5"/>
    <n v="9"/>
    <x v="0"/>
    <x v="0"/>
  </r>
  <r>
    <x v="1107"/>
    <n v="2"/>
    <x v="0"/>
    <n v="661"/>
    <x v="27"/>
    <x v="27"/>
    <x v="32"/>
    <x v="1"/>
    <x v="6"/>
    <n v="561"/>
    <n v="2"/>
    <x v="3"/>
    <x v="0"/>
  </r>
  <r>
    <x v="1108"/>
    <n v="2"/>
    <x v="1"/>
    <n v="435"/>
    <x v="26"/>
    <x v="24"/>
    <x v="51"/>
    <x v="1"/>
    <x v="3"/>
    <n v="513.5"/>
    <n v="0"/>
    <x v="6"/>
    <x v="0"/>
  </r>
  <r>
    <x v="1109"/>
    <n v="2"/>
    <x v="0"/>
    <n v="560"/>
    <x v="41"/>
    <x v="5"/>
    <x v="20"/>
    <x v="1"/>
    <x v="3"/>
    <n v="429"/>
    <n v="5"/>
    <x v="1"/>
    <x v="1"/>
  </r>
  <r>
    <x v="1110"/>
    <n v="1"/>
    <x v="0"/>
    <n v="580"/>
    <x v="4"/>
    <x v="4"/>
    <x v="3"/>
    <x v="1"/>
    <x v="6"/>
    <n v="0"/>
    <n v="2"/>
    <x v="2"/>
    <x v="0"/>
  </r>
  <r>
    <x v="1111"/>
    <n v="2"/>
    <x v="0"/>
    <n v="517"/>
    <x v="30"/>
    <x v="17"/>
    <x v="9"/>
    <x v="1"/>
    <x v="4"/>
    <n v="410.5"/>
    <n v="4"/>
    <x v="2"/>
    <x v="0"/>
  </r>
  <r>
    <x v="1112"/>
    <n v="1"/>
    <x v="1"/>
    <n v="496"/>
    <x v="13"/>
    <x v="14"/>
    <x v="65"/>
    <x v="1"/>
    <x v="1"/>
    <n v="610"/>
    <n v="8"/>
    <x v="3"/>
    <x v="1"/>
  </r>
  <r>
    <x v="1113"/>
    <n v="1"/>
    <x v="0"/>
    <n v="496"/>
    <x v="43"/>
    <x v="7"/>
    <x v="3"/>
    <x v="5"/>
    <x v="4"/>
    <n v="496.5"/>
    <n v="5"/>
    <x v="1"/>
    <x v="0"/>
  </r>
  <r>
    <x v="1114"/>
    <n v="2"/>
    <x v="0"/>
    <n v="538"/>
    <x v="25"/>
    <x v="61"/>
    <x v="3"/>
    <x v="14"/>
    <x v="1"/>
    <n v="573"/>
    <n v="4"/>
    <x v="3"/>
    <x v="0"/>
  </r>
  <r>
    <x v="1115"/>
    <n v="2"/>
    <x v="0"/>
    <n v="499"/>
    <x v="7"/>
    <x v="11"/>
    <x v="29"/>
    <x v="1"/>
    <x v="0"/>
    <n v="481"/>
    <n v="0"/>
    <x v="5"/>
    <x v="0"/>
  </r>
  <r>
    <x v="1116"/>
    <n v="2"/>
    <x v="2"/>
    <n v="599"/>
    <x v="53"/>
    <x v="32"/>
    <x v="3"/>
    <x v="37"/>
    <x v="5"/>
    <n v="632"/>
    <n v="9"/>
    <x v="7"/>
    <x v="1"/>
  </r>
  <r>
    <x v="1117"/>
    <n v="1"/>
    <x v="0"/>
    <n v="517"/>
    <x v="9"/>
    <x v="18"/>
    <x v="7"/>
    <x v="1"/>
    <x v="7"/>
    <n v="473"/>
    <n v="9"/>
    <x v="9"/>
    <x v="1"/>
  </r>
  <r>
    <x v="1118"/>
    <n v="2"/>
    <x v="0"/>
    <n v="599"/>
    <x v="24"/>
    <x v="22"/>
    <x v="41"/>
    <x v="1"/>
    <x v="10"/>
    <n v="516.5"/>
    <n v="4"/>
    <x v="3"/>
    <x v="0"/>
  </r>
  <r>
    <x v="1119"/>
    <n v="2"/>
    <x v="0"/>
    <n v="558"/>
    <x v="12"/>
    <x v="31"/>
    <x v="62"/>
    <x v="1"/>
    <x v="1"/>
    <n v="390"/>
    <n v="5"/>
    <x v="3"/>
    <x v="0"/>
  </r>
  <r>
    <x v="1120"/>
    <n v="1"/>
    <x v="0"/>
    <n v="558"/>
    <x v="46"/>
    <x v="2"/>
    <x v="3"/>
    <x v="14"/>
    <x v="1"/>
    <n v="505"/>
    <n v="4"/>
    <x v="2"/>
    <x v="0"/>
  </r>
  <r>
    <x v="1121"/>
    <n v="1"/>
    <x v="0"/>
    <n v="496"/>
    <x v="4"/>
    <x v="4"/>
    <x v="3"/>
    <x v="1"/>
    <x v="1"/>
    <n v="0"/>
    <n v="7"/>
    <x v="10"/>
    <x v="1"/>
  </r>
  <r>
    <x v="1122"/>
    <n v="1"/>
    <x v="0"/>
    <n v="517"/>
    <x v="55"/>
    <x v="19"/>
    <x v="3"/>
    <x v="24"/>
    <x v="6"/>
    <n v="515.5"/>
    <n v="10"/>
    <x v="3"/>
    <x v="0"/>
  </r>
  <r>
    <x v="1123"/>
    <n v="2"/>
    <x v="1"/>
    <n v="682"/>
    <x v="9"/>
    <x v="49"/>
    <x v="3"/>
    <x v="3"/>
    <x v="1"/>
    <n v="577.5"/>
    <n v="5"/>
    <x v="1"/>
    <x v="0"/>
  </r>
  <r>
    <x v="1124"/>
    <n v="2"/>
    <x v="0"/>
    <n v="599"/>
    <x v="31"/>
    <x v="25"/>
    <x v="30"/>
    <x v="1"/>
    <x v="7"/>
    <n v="459"/>
    <n v="5"/>
    <x v="7"/>
    <x v="0"/>
  </r>
  <r>
    <x v="1125"/>
    <n v="1"/>
    <x v="2"/>
    <n v="702"/>
    <x v="49"/>
    <x v="75"/>
    <x v="3"/>
    <x v="12"/>
    <x v="1"/>
    <n v="687"/>
    <n v="9"/>
    <x v="3"/>
    <x v="3"/>
  </r>
  <r>
    <x v="1126"/>
    <n v="2"/>
    <x v="1"/>
    <n v="621"/>
    <x v="38"/>
    <x v="0"/>
    <x v="3"/>
    <x v="4"/>
    <x v="5"/>
    <n v="409.5"/>
    <n v="5"/>
    <x v="1"/>
    <x v="0"/>
  </r>
  <r>
    <x v="1127"/>
    <n v="2"/>
    <x v="0"/>
    <n v="538"/>
    <x v="7"/>
    <x v="8"/>
    <x v="3"/>
    <x v="32"/>
    <x v="1"/>
    <n v="447"/>
    <n v="4"/>
    <x v="3"/>
    <x v="0"/>
  </r>
  <r>
    <x v="1128"/>
    <n v="1"/>
    <x v="1"/>
    <n v="641"/>
    <x v="20"/>
    <x v="46"/>
    <x v="3"/>
    <x v="47"/>
    <x v="1"/>
    <n v="684.5"/>
    <n v="5"/>
    <x v="3"/>
    <x v="0"/>
  </r>
  <r>
    <x v="1129"/>
    <n v="1"/>
    <x v="2"/>
    <n v="702"/>
    <x v="53"/>
    <x v="67"/>
    <x v="59"/>
    <x v="69"/>
    <x v="4"/>
    <n v="670.5"/>
    <n v="5"/>
    <x v="3"/>
    <x v="1"/>
  </r>
  <r>
    <x v="1130"/>
    <n v="1"/>
    <x v="2"/>
    <n v="558"/>
    <x v="21"/>
    <x v="61"/>
    <x v="3"/>
    <x v="8"/>
    <x v="3"/>
    <n v="555"/>
    <n v="8"/>
    <x v="9"/>
    <x v="4"/>
  </r>
  <r>
    <x v="1131"/>
    <n v="2"/>
    <x v="1"/>
    <n v="599"/>
    <x v="21"/>
    <x v="35"/>
    <x v="25"/>
    <x v="28"/>
    <x v="5"/>
    <n v="442"/>
    <n v="0"/>
    <x v="1"/>
    <x v="0"/>
  </r>
  <r>
    <x v="1132"/>
    <n v="1"/>
    <x v="0"/>
    <n v="661"/>
    <x v="55"/>
    <x v="3"/>
    <x v="10"/>
    <x v="1"/>
    <x v="5"/>
    <n v="504.5"/>
    <n v="5"/>
    <x v="3"/>
    <x v="0"/>
  </r>
  <r>
    <x v="1133"/>
    <n v="1"/>
    <x v="0"/>
    <n v="517"/>
    <x v="17"/>
    <x v="73"/>
    <x v="3"/>
    <x v="28"/>
    <x v="1"/>
    <n v="473"/>
    <n v="2"/>
    <x v="1"/>
    <x v="0"/>
  </r>
  <r>
    <x v="1134"/>
    <n v="1"/>
    <x v="0"/>
    <n v="539"/>
    <x v="55"/>
    <x v="26"/>
    <x v="48"/>
    <x v="1"/>
    <x v="3"/>
    <n v="512"/>
    <n v="4"/>
    <x v="10"/>
    <x v="0"/>
  </r>
  <r>
    <x v="1135"/>
    <n v="2"/>
    <x v="0"/>
    <n v="476"/>
    <x v="10"/>
    <x v="55"/>
    <x v="8"/>
    <x v="1"/>
    <x v="1"/>
    <n v="376.5"/>
    <n v="5"/>
    <x v="3"/>
    <x v="0"/>
  </r>
  <r>
    <x v="1136"/>
    <n v="2"/>
    <x v="1"/>
    <n v="641"/>
    <x v="27"/>
    <x v="38"/>
    <x v="54"/>
    <x v="1"/>
    <x v="6"/>
    <n v="578.5"/>
    <n v="5"/>
    <x v="3"/>
    <x v="0"/>
  </r>
  <r>
    <x v="1137"/>
    <n v="2"/>
    <x v="1"/>
    <n v="641"/>
    <x v="20"/>
    <x v="34"/>
    <x v="46"/>
    <x v="1"/>
    <x v="6"/>
    <n v="632.5"/>
    <n v="5"/>
    <x v="3"/>
    <x v="0"/>
  </r>
  <r>
    <x v="1138"/>
    <n v="1"/>
    <x v="0"/>
    <n v="455"/>
    <x v="14"/>
    <x v="31"/>
    <x v="64"/>
    <x v="42"/>
    <x v="5"/>
    <n v="444.5"/>
    <n v="5"/>
    <x v="7"/>
    <x v="1"/>
  </r>
  <r>
    <x v="1139"/>
    <n v="1"/>
    <x v="0"/>
    <n v="455"/>
    <x v="14"/>
    <x v="31"/>
    <x v="16"/>
    <x v="1"/>
    <x v="4"/>
    <n v="444.5"/>
    <n v="4"/>
    <x v="2"/>
    <x v="0"/>
  </r>
  <r>
    <x v="1140"/>
    <n v="2"/>
    <x v="1"/>
    <n v="579"/>
    <x v="30"/>
    <x v="60"/>
    <x v="3"/>
    <x v="33"/>
    <x v="4"/>
    <n v="576.5"/>
    <n v="9"/>
    <x v="7"/>
    <x v="1"/>
  </r>
  <r>
    <x v="1141"/>
    <n v="1"/>
    <x v="0"/>
    <n v="599"/>
    <x v="27"/>
    <x v="10"/>
    <x v="3"/>
    <x v="34"/>
    <x v="4"/>
    <n v="594.5"/>
    <n v="5"/>
    <x v="9"/>
    <x v="1"/>
  </r>
  <r>
    <x v="1142"/>
    <n v="1"/>
    <x v="2"/>
    <n v="682"/>
    <x v="69"/>
    <x v="53"/>
    <x v="3"/>
    <x v="74"/>
    <x v="1"/>
    <n v="656"/>
    <n v="7"/>
    <x v="10"/>
    <x v="1"/>
  </r>
  <r>
    <x v="1143"/>
    <n v="1"/>
    <x v="0"/>
    <n v="599"/>
    <x v="9"/>
    <x v="52"/>
    <x v="3"/>
    <x v="8"/>
    <x v="1"/>
    <n v="545"/>
    <n v="4"/>
    <x v="1"/>
    <x v="0"/>
  </r>
  <r>
    <x v="1144"/>
    <n v="1"/>
    <x v="0"/>
    <n v="458"/>
    <x v="3"/>
    <x v="39"/>
    <x v="3"/>
    <x v="22"/>
    <x v="1"/>
    <n v="493.5"/>
    <n v="0"/>
    <x v="3"/>
    <x v="0"/>
  </r>
  <r>
    <x v="1145"/>
    <n v="2"/>
    <x v="2"/>
    <n v="455"/>
    <x v="24"/>
    <x v="58"/>
    <x v="3"/>
    <x v="38"/>
    <x v="4"/>
    <n v="536.5"/>
    <n v="0"/>
    <x v="5"/>
    <x v="1"/>
  </r>
  <r>
    <x v="1146"/>
    <n v="2"/>
    <x v="0"/>
    <n v="538"/>
    <x v="7"/>
    <x v="24"/>
    <x v="3"/>
    <x v="15"/>
    <x v="10"/>
    <n v="500"/>
    <n v="5"/>
    <x v="0"/>
    <x v="0"/>
  </r>
  <r>
    <x v="1147"/>
    <n v="2"/>
    <x v="0"/>
    <n v="560"/>
    <x v="34"/>
    <x v="18"/>
    <x v="41"/>
    <x v="1"/>
    <x v="6"/>
    <n v="451.5"/>
    <n v="2"/>
    <x v="3"/>
    <x v="0"/>
  </r>
  <r>
    <x v="1148"/>
    <n v="2"/>
    <x v="0"/>
    <n v="599"/>
    <x v="21"/>
    <x v="24"/>
    <x v="24"/>
    <x v="1"/>
    <x v="4"/>
    <n v="516"/>
    <n v="0"/>
    <x v="5"/>
    <x v="1"/>
  </r>
  <r>
    <x v="1149"/>
    <n v="2"/>
    <x v="0"/>
    <n v="702"/>
    <x v="6"/>
    <x v="21"/>
    <x v="3"/>
    <x v="10"/>
    <x v="6"/>
    <n v="615"/>
    <n v="7"/>
    <x v="3"/>
    <x v="0"/>
  </r>
  <r>
    <x v="1150"/>
    <n v="2"/>
    <x v="1"/>
    <n v="496"/>
    <x v="14"/>
    <x v="27"/>
    <x v="8"/>
    <x v="1"/>
    <x v="4"/>
    <n v="506"/>
    <n v="5"/>
    <x v="7"/>
    <x v="1"/>
  </r>
  <r>
    <x v="1151"/>
    <n v="2"/>
    <x v="0"/>
    <n v="496"/>
    <x v="45"/>
    <x v="61"/>
    <x v="29"/>
    <x v="1"/>
    <x v="4"/>
    <n v="483.5"/>
    <n v="3"/>
    <x v="3"/>
    <x v="0"/>
  </r>
  <r>
    <x v="1152"/>
    <n v="1"/>
    <x v="0"/>
    <n v="641"/>
    <x v="20"/>
    <x v="14"/>
    <x v="3"/>
    <x v="69"/>
    <x v="1"/>
    <n v="653.5"/>
    <n v="5"/>
    <x v="3"/>
    <x v="1"/>
  </r>
  <r>
    <x v="1153"/>
    <n v="2"/>
    <x v="2"/>
    <n v="764"/>
    <x v="20"/>
    <x v="69"/>
    <x v="3"/>
    <x v="63"/>
    <x v="7"/>
    <n v="698"/>
    <n v="9"/>
    <x v="9"/>
    <x v="5"/>
  </r>
  <r>
    <x v="1154"/>
    <n v="2"/>
    <x v="0"/>
    <n v="539"/>
    <x v="55"/>
    <x v="37"/>
    <x v="31"/>
    <x v="1"/>
    <x v="3"/>
    <n v="521.5"/>
    <n v="4"/>
    <x v="2"/>
    <x v="0"/>
  </r>
  <r>
    <x v="1155"/>
    <n v="2"/>
    <x v="1"/>
    <n v="558"/>
    <x v="33"/>
    <x v="25"/>
    <x v="23"/>
    <x v="1"/>
    <x v="6"/>
    <n v="534.5"/>
    <n v="5"/>
    <x v="0"/>
    <x v="0"/>
  </r>
  <r>
    <x v="1156"/>
    <n v="2"/>
    <x v="0"/>
    <n v="579"/>
    <x v="59"/>
    <x v="48"/>
    <x v="3"/>
    <x v="28"/>
    <x v="4"/>
    <n v="578"/>
    <n v="3"/>
    <x v="0"/>
    <x v="0"/>
  </r>
  <r>
    <x v="1157"/>
    <n v="2"/>
    <x v="0"/>
    <n v="579"/>
    <x v="13"/>
    <x v="23"/>
    <x v="1"/>
    <x v="16"/>
    <x v="4"/>
    <n v="578"/>
    <n v="5"/>
    <x v="7"/>
    <x v="1"/>
  </r>
  <r>
    <x v="1158"/>
    <n v="1"/>
    <x v="1"/>
    <n v="558"/>
    <x v="48"/>
    <x v="8"/>
    <x v="43"/>
    <x v="1"/>
    <x v="6"/>
    <n v="468"/>
    <n v="5"/>
    <x v="10"/>
    <x v="1"/>
  </r>
  <r>
    <x v="1159"/>
    <n v="2"/>
    <x v="0"/>
    <n v="621"/>
    <x v="24"/>
    <x v="58"/>
    <x v="21"/>
    <x v="26"/>
    <x v="6"/>
    <n v="536.5"/>
    <n v="5"/>
    <x v="3"/>
    <x v="0"/>
  </r>
  <r>
    <x v="1160"/>
    <n v="1"/>
    <x v="0"/>
    <n v="455"/>
    <x v="36"/>
    <x v="35"/>
    <x v="0"/>
    <x v="1"/>
    <x v="4"/>
    <n v="375"/>
    <n v="8"/>
    <x v="7"/>
    <x v="1"/>
  </r>
  <r>
    <x v="1161"/>
    <n v="1"/>
    <x v="0"/>
    <n v="356"/>
    <x v="35"/>
    <x v="12"/>
    <x v="15"/>
    <x v="1"/>
    <x v="6"/>
    <n v="360.5"/>
    <n v="5"/>
    <x v="0"/>
    <x v="0"/>
  </r>
  <r>
    <x v="1162"/>
    <n v="1"/>
    <x v="1"/>
    <n v="538"/>
    <x v="60"/>
    <x v="52"/>
    <x v="58"/>
    <x v="1"/>
    <x v="4"/>
    <n v="656.5"/>
    <n v="9"/>
    <x v="3"/>
    <x v="3"/>
  </r>
  <r>
    <x v="1163"/>
    <n v="1"/>
    <x v="2"/>
    <n v="579"/>
    <x v="18"/>
    <x v="72"/>
    <x v="3"/>
    <x v="68"/>
    <x v="4"/>
    <n v="589"/>
    <n v="9"/>
    <x v="10"/>
    <x v="3"/>
  </r>
  <r>
    <x v="1164"/>
    <n v="1"/>
    <x v="1"/>
    <n v="496"/>
    <x v="69"/>
    <x v="42"/>
    <x v="43"/>
    <x v="18"/>
    <x v="4"/>
    <n v="652"/>
    <n v="7"/>
    <x v="10"/>
    <x v="0"/>
  </r>
  <r>
    <x v="1165"/>
    <n v="2"/>
    <x v="2"/>
    <n v="538"/>
    <x v="67"/>
    <x v="14"/>
    <x v="42"/>
    <x v="1"/>
    <x v="0"/>
    <n v="626.5"/>
    <n v="9"/>
    <x v="7"/>
    <x v="5"/>
  </r>
  <r>
    <x v="1166"/>
    <n v="2"/>
    <x v="0"/>
    <n v="599"/>
    <x v="57"/>
    <x v="31"/>
    <x v="37"/>
    <x v="1"/>
    <x v="1"/>
    <n v="510"/>
    <n v="8"/>
    <x v="9"/>
    <x v="1"/>
  </r>
  <r>
    <x v="1167"/>
    <n v="1"/>
    <x v="1"/>
    <n v="538"/>
    <x v="47"/>
    <x v="22"/>
    <x v="24"/>
    <x v="28"/>
    <x v="3"/>
    <n v="546.5"/>
    <n v="7"/>
    <x v="3"/>
    <x v="1"/>
  </r>
  <r>
    <x v="1168"/>
    <n v="1"/>
    <x v="1"/>
    <n v="539"/>
    <x v="7"/>
    <x v="12"/>
    <x v="46"/>
    <x v="1"/>
    <x v="6"/>
    <n v="437.5"/>
    <n v="4"/>
    <x v="0"/>
    <x v="0"/>
  </r>
  <r>
    <x v="1169"/>
    <n v="1"/>
    <x v="0"/>
    <n v="579"/>
    <x v="66"/>
    <x v="26"/>
    <x v="3"/>
    <x v="1"/>
    <x v="4"/>
    <n v="421.5"/>
    <n v="3"/>
    <x v="0"/>
    <x v="1"/>
  </r>
  <r>
    <x v="1170"/>
    <n v="2"/>
    <x v="2"/>
    <n v="455"/>
    <x v="46"/>
    <x v="2"/>
    <x v="20"/>
    <x v="1"/>
    <x v="4"/>
    <n v="505"/>
    <n v="5"/>
    <x v="3"/>
    <x v="1"/>
  </r>
  <r>
    <x v="1171"/>
    <n v="2"/>
    <x v="2"/>
    <n v="538"/>
    <x v="67"/>
    <x v="34"/>
    <x v="3"/>
    <x v="59"/>
    <x v="1"/>
    <n v="605.5"/>
    <n v="4"/>
    <x v="3"/>
    <x v="1"/>
  </r>
  <r>
    <x v="1172"/>
    <n v="1"/>
    <x v="0"/>
    <n v="601"/>
    <x v="10"/>
    <x v="39"/>
    <x v="3"/>
    <x v="32"/>
    <x v="1"/>
    <n v="514"/>
    <n v="2"/>
    <x v="2"/>
    <x v="0"/>
  </r>
  <r>
    <x v="1173"/>
    <n v="1"/>
    <x v="1"/>
    <n v="620"/>
    <x v="54"/>
    <x v="63"/>
    <x v="3"/>
    <x v="12"/>
    <x v="1"/>
    <n v="638.5"/>
    <n v="4"/>
    <x v="7"/>
    <x v="1"/>
  </r>
  <r>
    <x v="1174"/>
    <n v="2"/>
    <x v="0"/>
    <n v="558"/>
    <x v="9"/>
    <x v="11"/>
    <x v="36"/>
    <x v="1"/>
    <x v="1"/>
    <n v="478.5"/>
    <n v="2"/>
    <x v="3"/>
    <x v="0"/>
  </r>
  <r>
    <x v="1175"/>
    <n v="2"/>
    <x v="0"/>
    <n v="437"/>
    <x v="11"/>
    <x v="35"/>
    <x v="30"/>
    <x v="1"/>
    <x v="4"/>
    <n v="412"/>
    <n v="5"/>
    <x v="1"/>
    <x v="0"/>
  </r>
  <r>
    <x v="1176"/>
    <n v="2"/>
    <x v="2"/>
    <n v="785"/>
    <x v="20"/>
    <x v="71"/>
    <x v="3"/>
    <x v="41"/>
    <x v="4"/>
    <n v="705.5"/>
    <n v="9"/>
    <x v="7"/>
    <x v="3"/>
  </r>
  <r>
    <x v="1177"/>
    <n v="2"/>
    <x v="0"/>
    <n v="458"/>
    <x v="31"/>
    <x v="12"/>
    <x v="50"/>
    <x v="1"/>
    <x v="4"/>
    <n v="391"/>
    <n v="5"/>
    <x v="1"/>
    <x v="0"/>
  </r>
  <r>
    <x v="1178"/>
    <n v="1"/>
    <x v="2"/>
    <n v="517"/>
    <x v="33"/>
    <x v="32"/>
    <x v="3"/>
    <x v="72"/>
    <x v="3"/>
    <n v="592.5"/>
    <n v="9"/>
    <x v="7"/>
    <x v="2"/>
  </r>
  <r>
    <x v="1179"/>
    <n v="2"/>
    <x v="0"/>
    <n v="455"/>
    <x v="50"/>
    <x v="29"/>
    <x v="22"/>
    <x v="1"/>
    <x v="4"/>
    <n v="324"/>
    <n v="5"/>
    <x v="3"/>
    <x v="1"/>
  </r>
  <r>
    <x v="1180"/>
    <n v="1"/>
    <x v="2"/>
    <n v="435"/>
    <x v="10"/>
    <x v="66"/>
    <x v="3"/>
    <x v="26"/>
    <x v="1"/>
    <n v="588"/>
    <n v="9"/>
    <x v="3"/>
    <x v="3"/>
  </r>
  <r>
    <x v="1181"/>
    <n v="2"/>
    <x v="0"/>
    <n v="621"/>
    <x v="57"/>
    <x v="37"/>
    <x v="37"/>
    <x v="1"/>
    <x v="4"/>
    <n v="556.5"/>
    <n v="3"/>
    <x v="0"/>
    <x v="0"/>
  </r>
  <r>
    <x v="1182"/>
    <n v="2"/>
    <x v="2"/>
    <n v="579"/>
    <x v="74"/>
    <x v="42"/>
    <x v="3"/>
    <x v="30"/>
    <x v="4"/>
    <n v="638.5"/>
    <n v="9"/>
    <x v="3"/>
    <x v="1"/>
  </r>
  <r>
    <x v="1183"/>
    <n v="2"/>
    <x v="0"/>
    <n v="579"/>
    <x v="44"/>
    <x v="12"/>
    <x v="29"/>
    <x v="1"/>
    <x v="6"/>
    <n v="443"/>
    <n v="3"/>
    <x v="1"/>
    <x v="0"/>
  </r>
  <r>
    <x v="1184"/>
    <n v="2"/>
    <x v="1"/>
    <n v="476"/>
    <x v="44"/>
    <x v="26"/>
    <x v="21"/>
    <x v="1"/>
    <x v="6"/>
    <n v="498.5"/>
    <n v="5"/>
    <x v="2"/>
    <x v="1"/>
  </r>
  <r>
    <x v="1185"/>
    <n v="1"/>
    <x v="0"/>
    <n v="476"/>
    <x v="25"/>
    <x v="56"/>
    <x v="47"/>
    <x v="28"/>
    <x v="3"/>
    <n v="578"/>
    <n v="8"/>
    <x v="3"/>
    <x v="0"/>
  </r>
  <r>
    <x v="1186"/>
    <n v="2"/>
    <x v="0"/>
    <n v="599"/>
    <x v="33"/>
    <x v="19"/>
    <x v="61"/>
    <x v="1"/>
    <x v="4"/>
    <n v="525.5"/>
    <n v="5"/>
    <x v="6"/>
    <x v="1"/>
  </r>
  <r>
    <x v="1187"/>
    <n v="1"/>
    <x v="0"/>
    <n v="517"/>
    <x v="1"/>
    <x v="39"/>
    <x v="45"/>
    <x v="1"/>
    <x v="1"/>
    <n v="570.5"/>
    <n v="5"/>
    <x v="1"/>
    <x v="1"/>
  </r>
  <r>
    <x v="1188"/>
    <n v="2"/>
    <x v="0"/>
    <n v="519"/>
    <x v="31"/>
    <x v="3"/>
    <x v="0"/>
    <x v="1"/>
    <x v="7"/>
    <n v="439"/>
    <n v="3"/>
    <x v="0"/>
    <x v="0"/>
  </r>
  <r>
    <x v="1189"/>
    <n v="2"/>
    <x v="0"/>
    <n v="764"/>
    <x v="67"/>
    <x v="10"/>
    <x v="42"/>
    <x v="1"/>
    <x v="0"/>
    <n v="616"/>
    <n v="0"/>
    <x v="5"/>
    <x v="0"/>
  </r>
  <r>
    <x v="1190"/>
    <n v="1"/>
    <x v="0"/>
    <n v="558"/>
    <x v="13"/>
    <x v="62"/>
    <x v="3"/>
    <x v="24"/>
    <x v="7"/>
    <n v="594.5"/>
    <n v="5"/>
    <x v="0"/>
    <x v="0"/>
  </r>
  <r>
    <x v="1191"/>
    <n v="2"/>
    <x v="0"/>
    <n v="661"/>
    <x v="48"/>
    <x v="43"/>
    <x v="3"/>
    <x v="15"/>
    <x v="1"/>
    <n v="557.5"/>
    <n v="5"/>
    <x v="1"/>
    <x v="0"/>
  </r>
  <r>
    <x v="1192"/>
    <n v="2"/>
    <x v="0"/>
    <n v="0"/>
    <x v="4"/>
    <x v="4"/>
    <x v="3"/>
    <x v="1"/>
    <x v="4"/>
    <n v="0"/>
    <n v="3"/>
    <x v="0"/>
    <x v="0"/>
  </r>
  <r>
    <x v="1193"/>
    <n v="2"/>
    <x v="1"/>
    <n v="455"/>
    <x v="24"/>
    <x v="13"/>
    <x v="9"/>
    <x v="1"/>
    <x v="4"/>
    <n v="534"/>
    <n v="9"/>
    <x v="3"/>
    <x v="1"/>
  </r>
  <r>
    <x v="1194"/>
    <n v="2"/>
    <x v="0"/>
    <n v="682"/>
    <x v="30"/>
    <x v="56"/>
    <x v="3"/>
    <x v="15"/>
    <x v="1"/>
    <n v="568"/>
    <n v="5"/>
    <x v="3"/>
    <x v="1"/>
  </r>
  <r>
    <x v="1195"/>
    <n v="2"/>
    <x v="1"/>
    <n v="517"/>
    <x v="47"/>
    <x v="26"/>
    <x v="67"/>
    <x v="1"/>
    <x v="4"/>
    <n v="531.5"/>
    <n v="5"/>
    <x v="7"/>
    <x v="3"/>
  </r>
  <r>
    <x v="1196"/>
    <n v="2"/>
    <x v="0"/>
    <n v="558"/>
    <x v="74"/>
    <x v="25"/>
    <x v="32"/>
    <x v="1"/>
    <x v="1"/>
    <n v="576.5"/>
    <n v="5"/>
    <x v="3"/>
    <x v="0"/>
  </r>
  <r>
    <x v="1197"/>
    <n v="2"/>
    <x v="2"/>
    <n v="620"/>
    <x v="63"/>
    <x v="23"/>
    <x v="58"/>
    <x v="71"/>
    <x v="4"/>
    <n v="633.5"/>
    <n v="7"/>
    <x v="7"/>
    <x v="0"/>
  </r>
  <r>
    <x v="1198"/>
    <n v="2"/>
    <x v="0"/>
    <n v="702"/>
    <x v="67"/>
    <x v="28"/>
    <x v="63"/>
    <x v="1"/>
    <x v="5"/>
    <n v="587"/>
    <n v="0"/>
    <x v="7"/>
    <x v="1"/>
  </r>
  <r>
    <x v="1199"/>
    <n v="1"/>
    <x v="0"/>
    <n v="0"/>
    <x v="4"/>
    <x v="4"/>
    <x v="3"/>
    <x v="1"/>
    <x v="4"/>
    <n v="0"/>
    <n v="6"/>
    <x v="3"/>
    <x v="0"/>
  </r>
  <r>
    <x v="1200"/>
    <n v="1"/>
    <x v="0"/>
    <n v="703"/>
    <x v="47"/>
    <x v="72"/>
    <x v="3"/>
    <x v="15"/>
    <x v="6"/>
    <n v="616.5"/>
    <n v="2"/>
    <x v="2"/>
    <x v="0"/>
  </r>
  <r>
    <x v="1201"/>
    <n v="2"/>
    <x v="0"/>
    <n v="496"/>
    <x v="10"/>
    <x v="22"/>
    <x v="61"/>
    <x v="1"/>
    <x v="6"/>
    <n v="511"/>
    <n v="7"/>
    <x v="8"/>
    <x v="1"/>
  </r>
  <r>
    <x v="1202"/>
    <n v="1"/>
    <x v="1"/>
    <n v="558"/>
    <x v="47"/>
    <x v="16"/>
    <x v="40"/>
    <x v="1"/>
    <x v="1"/>
    <n v="558"/>
    <n v="4"/>
    <x v="2"/>
    <x v="1"/>
  </r>
  <r>
    <x v="1203"/>
    <n v="2"/>
    <x v="2"/>
    <n v="517"/>
    <x v="44"/>
    <x v="62"/>
    <x v="3"/>
    <x v="22"/>
    <x v="1"/>
    <n v="551.5"/>
    <n v="4"/>
    <x v="3"/>
    <x v="1"/>
  </r>
  <r>
    <x v="1204"/>
    <n v="1"/>
    <x v="0"/>
    <n v="414"/>
    <x v="51"/>
    <x v="11"/>
    <x v="41"/>
    <x v="1"/>
    <x v="1"/>
    <n v="442.5"/>
    <n v="8"/>
    <x v="3"/>
    <x v="3"/>
  </r>
  <r>
    <x v="1205"/>
    <n v="1"/>
    <x v="0"/>
    <n v="376"/>
    <x v="42"/>
    <x v="18"/>
    <x v="7"/>
    <x v="1"/>
    <x v="4"/>
    <n v="445"/>
    <n v="2"/>
    <x v="3"/>
    <x v="1"/>
  </r>
  <r>
    <x v="1206"/>
    <n v="1"/>
    <x v="1"/>
    <n v="599"/>
    <x v="23"/>
    <x v="49"/>
    <x v="3"/>
    <x v="60"/>
    <x v="4"/>
    <n v="616"/>
    <n v="5"/>
    <x v="7"/>
    <x v="1"/>
  </r>
  <r>
    <x v="1207"/>
    <n v="2"/>
    <x v="2"/>
    <n v="455"/>
    <x v="7"/>
    <x v="37"/>
    <x v="3"/>
    <x v="40"/>
    <x v="4"/>
    <n v="502.5"/>
    <n v="7"/>
    <x v="10"/>
    <x v="1"/>
  </r>
  <r>
    <x v="1208"/>
    <n v="1"/>
    <x v="2"/>
    <n v="558"/>
    <x v="54"/>
    <x v="72"/>
    <x v="3"/>
    <x v="8"/>
    <x v="6"/>
    <n v="629.5"/>
    <n v="7"/>
    <x v="10"/>
    <x v="3"/>
  </r>
  <r>
    <x v="1209"/>
    <n v="1"/>
    <x v="2"/>
    <n v="744"/>
    <x v="77"/>
    <x v="64"/>
    <x v="3"/>
    <x v="66"/>
    <x v="6"/>
    <n v="800.5"/>
    <n v="7"/>
    <x v="7"/>
    <x v="2"/>
  </r>
  <r>
    <x v="1210"/>
    <n v="2"/>
    <x v="0"/>
    <n v="641"/>
    <x v="51"/>
    <x v="7"/>
    <x v="3"/>
    <x v="2"/>
    <x v="1"/>
    <n v="485.5"/>
    <n v="3"/>
    <x v="2"/>
    <x v="0"/>
  </r>
  <r>
    <x v="1211"/>
    <n v="1"/>
    <x v="0"/>
    <n v="0"/>
    <x v="4"/>
    <x v="4"/>
    <x v="3"/>
    <x v="1"/>
    <x v="4"/>
    <n v="0"/>
    <n v="9"/>
    <x v="3"/>
    <x v="0"/>
  </r>
  <r>
    <x v="1212"/>
    <n v="1"/>
    <x v="0"/>
    <n v="538"/>
    <x v="43"/>
    <x v="58"/>
    <x v="3"/>
    <x v="22"/>
    <x v="4"/>
    <n v="500.5"/>
    <n v="3"/>
    <x v="0"/>
    <x v="0"/>
  </r>
  <r>
    <x v="1213"/>
    <n v="1"/>
    <x v="0"/>
    <n v="579"/>
    <x v="70"/>
    <x v="70"/>
    <x v="3"/>
    <x v="43"/>
    <x v="4"/>
    <n v="645.5"/>
    <n v="8"/>
    <x v="7"/>
    <x v="1"/>
  </r>
  <r>
    <x v="1214"/>
    <n v="1"/>
    <x v="0"/>
    <n v="0"/>
    <x v="4"/>
    <x v="4"/>
    <x v="3"/>
    <x v="1"/>
    <x v="1"/>
    <n v="0"/>
    <n v="5"/>
    <x v="3"/>
    <x v="1"/>
  </r>
  <r>
    <x v="1215"/>
    <n v="1"/>
    <x v="0"/>
    <n v="620"/>
    <x v="0"/>
    <x v="37"/>
    <x v="44"/>
    <x v="1"/>
    <x v="4"/>
    <n v="482"/>
    <n v="5"/>
    <x v="3"/>
    <x v="0"/>
  </r>
  <r>
    <x v="1216"/>
    <n v="2"/>
    <x v="1"/>
    <n v="662"/>
    <x v="34"/>
    <x v="18"/>
    <x v="7"/>
    <x v="1"/>
    <x v="6"/>
    <n v="451.5"/>
    <n v="4"/>
    <x v="0"/>
    <x v="0"/>
  </r>
  <r>
    <x v="1217"/>
    <n v="2"/>
    <x v="2"/>
    <n v="538"/>
    <x v="21"/>
    <x v="45"/>
    <x v="3"/>
    <x v="8"/>
    <x v="1"/>
    <n v="585.5"/>
    <n v="9"/>
    <x v="3"/>
    <x v="1"/>
  </r>
  <r>
    <x v="1218"/>
    <n v="2"/>
    <x v="0"/>
    <n v="478"/>
    <x v="9"/>
    <x v="5"/>
    <x v="3"/>
    <x v="32"/>
    <x v="3"/>
    <n v="461"/>
    <n v="5"/>
    <x v="3"/>
    <x v="0"/>
  </r>
  <r>
    <x v="1219"/>
    <n v="1"/>
    <x v="1"/>
    <n v="517"/>
    <x v="59"/>
    <x v="6"/>
    <x v="3"/>
    <x v="39"/>
    <x v="1"/>
    <n v="588.5"/>
    <n v="8"/>
    <x v="9"/>
    <x v="1"/>
  </r>
  <r>
    <x v="1220"/>
    <n v="2"/>
    <x v="0"/>
    <n v="435"/>
    <x v="42"/>
    <x v="29"/>
    <x v="29"/>
    <x v="1"/>
    <x v="3"/>
    <n v="383"/>
    <n v="4"/>
    <x v="3"/>
    <x v="0"/>
  </r>
  <r>
    <x v="1221"/>
    <n v="1"/>
    <x v="0"/>
    <n v="641"/>
    <x v="9"/>
    <x v="16"/>
    <x v="64"/>
    <x v="29"/>
    <x v="1"/>
    <n v="517"/>
    <n v="5"/>
    <x v="3"/>
    <x v="0"/>
  </r>
  <r>
    <x v="1222"/>
    <n v="1"/>
    <x v="0"/>
    <n v="539"/>
    <x v="4"/>
    <x v="4"/>
    <x v="3"/>
    <x v="1"/>
    <x v="4"/>
    <n v="0"/>
    <n v="3"/>
    <x v="3"/>
    <x v="0"/>
  </r>
  <r>
    <x v="1223"/>
    <n v="2"/>
    <x v="0"/>
    <n v="496"/>
    <x v="21"/>
    <x v="27"/>
    <x v="15"/>
    <x v="1"/>
    <x v="3"/>
    <n v="533.5"/>
    <n v="5"/>
    <x v="7"/>
    <x v="1"/>
  </r>
  <r>
    <x v="1224"/>
    <n v="2"/>
    <x v="2"/>
    <n v="538"/>
    <x v="69"/>
    <x v="49"/>
    <x v="12"/>
    <x v="43"/>
    <x v="1"/>
    <n v="664.5"/>
    <n v="9"/>
    <x v="7"/>
    <x v="1"/>
  </r>
  <r>
    <x v="1225"/>
    <n v="1"/>
    <x v="2"/>
    <n v="599"/>
    <x v="2"/>
    <x v="49"/>
    <x v="3"/>
    <x v="62"/>
    <x v="0"/>
    <n v="621"/>
    <n v="0"/>
    <x v="5"/>
    <x v="2"/>
  </r>
  <r>
    <x v="1226"/>
    <n v="1"/>
    <x v="1"/>
    <n v="517"/>
    <x v="1"/>
    <x v="67"/>
    <x v="3"/>
    <x v="17"/>
    <x v="1"/>
    <n v="661.5"/>
    <n v="8"/>
    <x v="8"/>
    <x v="1"/>
  </r>
  <r>
    <x v="1227"/>
    <n v="2"/>
    <x v="0"/>
    <n v="538"/>
    <x v="9"/>
    <x v="5"/>
    <x v="3"/>
    <x v="44"/>
    <x v="3"/>
    <n v="461"/>
    <n v="5"/>
    <x v="3"/>
    <x v="0"/>
  </r>
  <r>
    <x v="1228"/>
    <n v="2"/>
    <x v="0"/>
    <n v="0"/>
    <x v="21"/>
    <x v="19"/>
    <x v="10"/>
    <x v="4"/>
    <x v="6"/>
    <n v="512.5"/>
    <n v="5"/>
    <x v="3"/>
    <x v="0"/>
  </r>
  <r>
    <x v="1229"/>
    <n v="2"/>
    <x v="1"/>
    <n v="558"/>
    <x v="54"/>
    <x v="74"/>
    <x v="54"/>
    <x v="1"/>
    <x v="6"/>
    <n v="585"/>
    <n v="5"/>
    <x v="3"/>
    <x v="1"/>
  </r>
  <r>
    <x v="1230"/>
    <n v="2"/>
    <x v="0"/>
    <n v="476"/>
    <x v="50"/>
    <x v="11"/>
    <x v="3"/>
    <x v="7"/>
    <x v="6"/>
    <n v="391.5"/>
    <n v="7"/>
    <x v="10"/>
    <x v="0"/>
  </r>
  <r>
    <x v="1231"/>
    <n v="1"/>
    <x v="2"/>
    <n v="455"/>
    <x v="24"/>
    <x v="38"/>
    <x v="3"/>
    <x v="19"/>
    <x v="4"/>
    <n v="543.5"/>
    <n v="9"/>
    <x v="7"/>
    <x v="4"/>
  </r>
  <r>
    <x v="1232"/>
    <n v="2"/>
    <x v="0"/>
    <n v="356"/>
    <x v="51"/>
    <x v="31"/>
    <x v="3"/>
    <x v="40"/>
    <x v="1"/>
    <n v="417.5"/>
    <n v="5"/>
    <x v="3"/>
    <x v="0"/>
  </r>
  <r>
    <x v="1233"/>
    <n v="1"/>
    <x v="1"/>
    <n v="620"/>
    <x v="53"/>
    <x v="30"/>
    <x v="3"/>
    <x v="69"/>
    <x v="6"/>
    <n v="658.5"/>
    <n v="9"/>
    <x v="10"/>
    <x v="0"/>
  </r>
  <r>
    <x v="1234"/>
    <n v="2"/>
    <x v="1"/>
    <n v="458"/>
    <x v="38"/>
    <x v="33"/>
    <x v="29"/>
    <x v="1"/>
    <x v="4"/>
    <n v="429"/>
    <n v="2"/>
    <x v="0"/>
    <x v="0"/>
  </r>
  <r>
    <x v="1235"/>
    <n v="1"/>
    <x v="0"/>
    <n v="538"/>
    <x v="19"/>
    <x v="21"/>
    <x v="24"/>
    <x v="54"/>
    <x v="4"/>
    <n v="584"/>
    <n v="4"/>
    <x v="7"/>
    <x v="1"/>
  </r>
  <r>
    <x v="1236"/>
    <n v="1"/>
    <x v="1"/>
    <n v="661"/>
    <x v="72"/>
    <x v="45"/>
    <x v="59"/>
    <x v="1"/>
    <x v="4"/>
    <n v="709.5"/>
    <n v="9"/>
    <x v="3"/>
    <x v="1"/>
  </r>
  <r>
    <x v="1237"/>
    <n v="2"/>
    <x v="1"/>
    <n v="579"/>
    <x v="21"/>
    <x v="74"/>
    <x v="64"/>
    <x v="1"/>
    <x v="4"/>
    <n v="549.5"/>
    <n v="5"/>
    <x v="7"/>
    <x v="1"/>
  </r>
  <r>
    <x v="1238"/>
    <n v="1"/>
    <x v="0"/>
    <n v="437"/>
    <x v="33"/>
    <x v="26"/>
    <x v="43"/>
    <x v="1"/>
    <x v="1"/>
    <n v="522"/>
    <n v="3"/>
    <x v="1"/>
    <x v="0"/>
  </r>
  <r>
    <x v="1239"/>
    <n v="1"/>
    <x v="0"/>
    <n v="455"/>
    <x v="0"/>
    <x v="11"/>
    <x v="11"/>
    <x v="29"/>
    <x v="3"/>
    <n v="460.5"/>
    <n v="5"/>
    <x v="3"/>
    <x v="0"/>
  </r>
  <r>
    <x v="1240"/>
    <n v="1"/>
    <x v="0"/>
    <n v="538"/>
    <x v="44"/>
    <x v="3"/>
    <x v="3"/>
    <x v="40"/>
    <x v="4"/>
    <n v="491"/>
    <n v="5"/>
    <x v="3"/>
    <x v="1"/>
  </r>
  <r>
    <x v="1241"/>
    <n v="1"/>
    <x v="1"/>
    <n v="744"/>
    <x v="20"/>
    <x v="46"/>
    <x v="3"/>
    <x v="56"/>
    <x v="1"/>
    <n v="684.5"/>
    <n v="5"/>
    <x v="3"/>
    <x v="1"/>
  </r>
  <r>
    <x v="1242"/>
    <n v="2"/>
    <x v="0"/>
    <n v="496"/>
    <x v="38"/>
    <x v="29"/>
    <x v="31"/>
    <x v="48"/>
    <x v="1"/>
    <n v="353"/>
    <n v="4"/>
    <x v="3"/>
    <x v="0"/>
  </r>
  <r>
    <x v="1243"/>
    <n v="2"/>
    <x v="0"/>
    <n v="0"/>
    <x v="4"/>
    <x v="4"/>
    <x v="3"/>
    <x v="1"/>
    <x v="1"/>
    <n v="0"/>
    <n v="5"/>
    <x v="3"/>
    <x v="1"/>
  </r>
  <r>
    <x v="1244"/>
    <n v="1"/>
    <x v="1"/>
    <n v="599"/>
    <x v="18"/>
    <x v="6"/>
    <x v="3"/>
    <x v="24"/>
    <x v="1"/>
    <n v="553"/>
    <n v="8"/>
    <x v="10"/>
    <x v="1"/>
  </r>
  <r>
    <x v="1245"/>
    <n v="2"/>
    <x v="2"/>
    <n v="579"/>
    <x v="33"/>
    <x v="27"/>
    <x v="3"/>
    <x v="34"/>
    <x v="1"/>
    <n v="546.5"/>
    <n v="5"/>
    <x v="3"/>
    <x v="1"/>
  </r>
  <r>
    <x v="1246"/>
    <n v="1"/>
    <x v="1"/>
    <n v="496"/>
    <x v="13"/>
    <x v="38"/>
    <x v="64"/>
    <x v="1"/>
    <x v="4"/>
    <n v="583.5"/>
    <n v="0"/>
    <x v="2"/>
    <x v="0"/>
  </r>
  <r>
    <x v="1247"/>
    <n v="2"/>
    <x v="0"/>
    <n v="0"/>
    <x v="4"/>
    <x v="4"/>
    <x v="3"/>
    <x v="1"/>
    <x v="5"/>
    <n v="0"/>
    <n v="5"/>
    <x v="3"/>
    <x v="0"/>
  </r>
  <r>
    <x v="1248"/>
    <n v="1"/>
    <x v="1"/>
    <n v="723"/>
    <x v="60"/>
    <x v="41"/>
    <x v="3"/>
    <x v="46"/>
    <x v="4"/>
    <n v="740"/>
    <n v="7"/>
    <x v="7"/>
    <x v="3"/>
  </r>
  <r>
    <x v="1249"/>
    <n v="1"/>
    <x v="0"/>
    <n v="496"/>
    <x v="47"/>
    <x v="20"/>
    <x v="67"/>
    <x v="14"/>
    <x v="1"/>
    <n v="595"/>
    <n v="5"/>
    <x v="3"/>
    <x v="0"/>
  </r>
  <r>
    <x v="1250"/>
    <n v="1"/>
    <x v="1"/>
    <n v="538"/>
    <x v="6"/>
    <x v="7"/>
    <x v="3"/>
    <x v="53"/>
    <x v="4"/>
    <n v="581"/>
    <n v="7"/>
    <x v="10"/>
    <x v="1"/>
  </r>
  <r>
    <x v="1251"/>
    <n v="2"/>
    <x v="0"/>
    <n v="558"/>
    <x v="7"/>
    <x v="5"/>
    <x v="30"/>
    <x v="1"/>
    <x v="3"/>
    <n v="463.5"/>
    <n v="2"/>
    <x v="3"/>
    <x v="0"/>
  </r>
  <r>
    <x v="1252"/>
    <n v="2"/>
    <x v="2"/>
    <n v="641"/>
    <x v="23"/>
    <x v="21"/>
    <x v="40"/>
    <x v="13"/>
    <x v="4"/>
    <n v="594"/>
    <n v="9"/>
    <x v="9"/>
    <x v="1"/>
  </r>
  <r>
    <x v="1253"/>
    <n v="1"/>
    <x v="0"/>
    <n v="455"/>
    <x v="43"/>
    <x v="55"/>
    <x v="4"/>
    <x v="1"/>
    <x v="1"/>
    <n v="346"/>
    <n v="5"/>
    <x v="1"/>
    <x v="1"/>
  </r>
  <r>
    <x v="1254"/>
    <n v="1"/>
    <x v="1"/>
    <n v="579"/>
    <x v="39"/>
    <x v="56"/>
    <x v="48"/>
    <x v="24"/>
    <x v="1"/>
    <n v="632"/>
    <n v="10"/>
    <x v="7"/>
    <x v="1"/>
  </r>
  <r>
    <x v="1255"/>
    <n v="1"/>
    <x v="1"/>
    <n v="682"/>
    <x v="68"/>
    <x v="64"/>
    <x v="3"/>
    <x v="73"/>
    <x v="3"/>
    <n v="788.5"/>
    <n v="9"/>
    <x v="9"/>
    <x v="4"/>
  </r>
  <r>
    <x v="1256"/>
    <n v="1"/>
    <x v="0"/>
    <n v="356"/>
    <x v="4"/>
    <x v="4"/>
    <x v="3"/>
    <x v="1"/>
    <x v="5"/>
    <n v="0"/>
    <n v="4"/>
    <x v="1"/>
    <x v="0"/>
  </r>
  <r>
    <x v="1257"/>
    <n v="1"/>
    <x v="0"/>
    <n v="538"/>
    <x v="48"/>
    <x v="23"/>
    <x v="65"/>
    <x v="19"/>
    <x v="6"/>
    <n v="550.5"/>
    <n v="0"/>
    <x v="9"/>
    <x v="0"/>
  </r>
  <r>
    <x v="1258"/>
    <n v="1"/>
    <x v="2"/>
    <n v="414"/>
    <x v="47"/>
    <x v="22"/>
    <x v="12"/>
    <x v="18"/>
    <x v="6"/>
    <n v="546.5"/>
    <n v="10"/>
    <x v="7"/>
    <x v="3"/>
  </r>
  <r>
    <x v="1259"/>
    <n v="2"/>
    <x v="2"/>
    <n v="682"/>
    <x v="52"/>
    <x v="62"/>
    <x v="74"/>
    <x v="1"/>
    <x v="4"/>
    <n v="660"/>
    <n v="9"/>
    <x v="7"/>
    <x v="1"/>
  </r>
  <r>
    <x v="1260"/>
    <n v="2"/>
    <x v="2"/>
    <n v="579"/>
    <x v="69"/>
    <x v="63"/>
    <x v="3"/>
    <x v="72"/>
    <x v="3"/>
    <n v="671.5"/>
    <n v="9"/>
    <x v="7"/>
    <x v="5"/>
  </r>
  <r>
    <x v="1261"/>
    <n v="1"/>
    <x v="0"/>
    <n v="682"/>
    <x v="25"/>
    <x v="16"/>
    <x v="3"/>
    <x v="15"/>
    <x v="1"/>
    <n v="553.5"/>
    <n v="7"/>
    <x v="10"/>
    <x v="1"/>
  </r>
  <r>
    <x v="1262"/>
    <n v="2"/>
    <x v="0"/>
    <n v="620"/>
    <x v="54"/>
    <x v="38"/>
    <x v="3"/>
    <x v="59"/>
    <x v="1"/>
    <n v="586.5"/>
    <n v="4"/>
    <x v="2"/>
    <x v="0"/>
  </r>
  <r>
    <x v="1263"/>
    <n v="2"/>
    <x v="1"/>
    <n v="620"/>
    <x v="33"/>
    <x v="70"/>
    <x v="47"/>
    <x v="1"/>
    <x v="3"/>
    <n v="578.5"/>
    <n v="9"/>
    <x v="5"/>
    <x v="3"/>
  </r>
  <r>
    <x v="1264"/>
    <n v="1"/>
    <x v="1"/>
    <n v="723"/>
    <x v="49"/>
    <x v="30"/>
    <x v="3"/>
    <x v="75"/>
    <x v="1"/>
    <n v="652.5"/>
    <n v="7"/>
    <x v="9"/>
    <x v="1"/>
  </r>
  <r>
    <x v="1265"/>
    <n v="1"/>
    <x v="1"/>
    <n v="703"/>
    <x v="14"/>
    <x v="37"/>
    <x v="29"/>
    <x v="1"/>
    <x v="4"/>
    <n v="491"/>
    <n v="0"/>
    <x v="3"/>
    <x v="0"/>
  </r>
  <r>
    <x v="1266"/>
    <n v="1"/>
    <x v="1"/>
    <n v="0"/>
    <x v="4"/>
    <x v="4"/>
    <x v="3"/>
    <x v="1"/>
    <x v="6"/>
    <n v="0"/>
    <n v="10"/>
    <x v="2"/>
    <x v="0"/>
  </r>
  <r>
    <x v="1267"/>
    <n v="2"/>
    <x v="1"/>
    <n v="496"/>
    <x v="43"/>
    <x v="25"/>
    <x v="3"/>
    <x v="21"/>
    <x v="6"/>
    <n v="478"/>
    <n v="5"/>
    <x v="9"/>
    <x v="0"/>
  </r>
  <r>
    <x v="1268"/>
    <n v="2"/>
    <x v="2"/>
    <n v="620"/>
    <x v="33"/>
    <x v="70"/>
    <x v="3"/>
    <x v="3"/>
    <x v="10"/>
    <n v="578.5"/>
    <n v="9"/>
    <x v="6"/>
    <x v="4"/>
  </r>
  <r>
    <x v="1269"/>
    <n v="1"/>
    <x v="2"/>
    <n v="620"/>
    <x v="74"/>
    <x v="76"/>
    <x v="3"/>
    <x v="13"/>
    <x v="0"/>
    <n v="646.5"/>
    <n v="0"/>
    <x v="5"/>
    <x v="4"/>
  </r>
  <r>
    <x v="1270"/>
    <n v="2"/>
    <x v="0"/>
    <n v="414"/>
    <x v="4"/>
    <x v="4"/>
    <x v="3"/>
    <x v="1"/>
    <x v="7"/>
    <n v="0"/>
    <n v="4"/>
    <x v="2"/>
    <x v="0"/>
  </r>
  <r>
    <x v="1271"/>
    <n v="2"/>
    <x v="1"/>
    <n v="400"/>
    <x v="47"/>
    <x v="37"/>
    <x v="10"/>
    <x v="1"/>
    <x v="1"/>
    <n v="541"/>
    <n v="9"/>
    <x v="10"/>
    <x v="0"/>
  </r>
  <r>
    <x v="1272"/>
    <n v="2"/>
    <x v="0"/>
    <n v="499"/>
    <x v="30"/>
    <x v="12"/>
    <x v="3"/>
    <x v="28"/>
    <x v="1"/>
    <n v="461.5"/>
    <n v="4"/>
    <x v="10"/>
    <x v="0"/>
  </r>
  <r>
    <x v="1273"/>
    <n v="1"/>
    <x v="1"/>
    <n v="517"/>
    <x v="6"/>
    <x v="14"/>
    <x v="3"/>
    <x v="14"/>
    <x v="4"/>
    <n v="618.5"/>
    <n v="6"/>
    <x v="9"/>
    <x v="1"/>
  </r>
  <r>
    <x v="1274"/>
    <n v="2"/>
    <x v="1"/>
    <n v="496"/>
    <x v="44"/>
    <x v="39"/>
    <x v="3"/>
    <x v="1"/>
    <x v="6"/>
    <n v="516.5"/>
    <n v="5"/>
    <x v="3"/>
    <x v="1"/>
  </r>
  <r>
    <x v="1275"/>
    <n v="1"/>
    <x v="2"/>
    <n v="599"/>
    <x v="63"/>
    <x v="69"/>
    <x v="3"/>
    <x v="72"/>
    <x v="0"/>
    <n v="710"/>
    <n v="0"/>
    <x v="5"/>
    <x v="3"/>
  </r>
  <r>
    <x v="1276"/>
    <n v="2"/>
    <x v="1"/>
    <n v="580"/>
    <x v="37"/>
    <x v="0"/>
    <x v="36"/>
    <x v="1"/>
    <x v="0"/>
    <n v="387"/>
    <n v="0"/>
    <x v="5"/>
    <x v="0"/>
  </r>
  <r>
    <x v="1277"/>
    <n v="2"/>
    <x v="2"/>
    <n v="641"/>
    <x v="63"/>
    <x v="36"/>
    <x v="40"/>
    <x v="1"/>
    <x v="0"/>
    <n v="677.5"/>
    <n v="0"/>
    <x v="5"/>
    <x v="2"/>
  </r>
  <r>
    <x v="1278"/>
    <n v="2"/>
    <x v="2"/>
    <n v="744"/>
    <x v="63"/>
    <x v="77"/>
    <x v="3"/>
    <x v="76"/>
    <x v="4"/>
    <n v="778.5"/>
    <n v="9"/>
    <x v="3"/>
    <x v="3"/>
  </r>
  <r>
    <x v="1279"/>
    <n v="2"/>
    <x v="0"/>
    <n v="682"/>
    <x v="55"/>
    <x v="34"/>
    <x v="3"/>
    <x v="60"/>
    <x v="1"/>
    <n v="559.5"/>
    <n v="5"/>
    <x v="7"/>
    <x v="0"/>
  </r>
  <r>
    <x v="1280"/>
    <n v="2"/>
    <x v="0"/>
    <n v="661"/>
    <x v="59"/>
    <x v="7"/>
    <x v="54"/>
    <x v="1"/>
    <x v="6"/>
    <n v="570.5"/>
    <n v="2"/>
    <x v="0"/>
    <x v="0"/>
  </r>
  <r>
    <x v="1281"/>
    <n v="1"/>
    <x v="0"/>
    <n v="0"/>
    <x v="4"/>
    <x v="4"/>
    <x v="3"/>
    <x v="1"/>
    <x v="1"/>
    <n v="0"/>
    <n v="5"/>
    <x v="9"/>
    <x v="0"/>
  </r>
  <r>
    <x v="1282"/>
    <n v="2"/>
    <x v="0"/>
    <n v="641"/>
    <x v="7"/>
    <x v="27"/>
    <x v="10"/>
    <x v="11"/>
    <x v="1"/>
    <n v="517.5"/>
    <n v="8"/>
    <x v="1"/>
    <x v="0"/>
  </r>
  <r>
    <x v="1283"/>
    <n v="1"/>
    <x v="1"/>
    <n v="723"/>
    <x v="29"/>
    <x v="67"/>
    <x v="75"/>
    <x v="1"/>
    <x v="6"/>
    <n v="746"/>
    <n v="0"/>
    <x v="7"/>
    <x v="3"/>
  </r>
  <r>
    <x v="1284"/>
    <n v="1"/>
    <x v="0"/>
    <n v="458"/>
    <x v="30"/>
    <x v="25"/>
    <x v="3"/>
    <x v="45"/>
    <x v="1"/>
    <n v="529.5"/>
    <n v="3"/>
    <x v="3"/>
    <x v="0"/>
  </r>
  <r>
    <x v="1285"/>
    <n v="1"/>
    <x v="0"/>
    <n v="455"/>
    <x v="37"/>
    <x v="8"/>
    <x v="33"/>
    <x v="1"/>
    <x v="6"/>
    <n v="364"/>
    <n v="9"/>
    <x v="7"/>
    <x v="1"/>
  </r>
  <r>
    <x v="1286"/>
    <n v="2"/>
    <x v="2"/>
    <n v="517"/>
    <x v="6"/>
    <x v="13"/>
    <x v="3"/>
    <x v="54"/>
    <x v="4"/>
    <n v="582.5"/>
    <n v="5"/>
    <x v="3"/>
    <x v="1"/>
  </r>
  <r>
    <x v="1287"/>
    <n v="2"/>
    <x v="0"/>
    <n v="599"/>
    <x v="27"/>
    <x v="56"/>
    <x v="51"/>
    <x v="1"/>
    <x v="1"/>
    <n v="587.5"/>
    <n v="7"/>
    <x v="3"/>
    <x v="1"/>
  </r>
  <r>
    <x v="1288"/>
    <n v="1"/>
    <x v="0"/>
    <n v="580"/>
    <x v="7"/>
    <x v="31"/>
    <x v="21"/>
    <x v="1"/>
    <x v="4"/>
    <n v="456"/>
    <n v="5"/>
    <x v="1"/>
    <x v="0"/>
  </r>
  <r>
    <x v="1289"/>
    <n v="1"/>
    <x v="1"/>
    <n v="682"/>
    <x v="4"/>
    <x v="4"/>
    <x v="3"/>
    <x v="1"/>
    <x v="1"/>
    <n v="0"/>
    <n v="5"/>
    <x v="3"/>
    <x v="1"/>
  </r>
  <r>
    <x v="1290"/>
    <n v="1"/>
    <x v="0"/>
    <n v="517"/>
    <x v="47"/>
    <x v="37"/>
    <x v="27"/>
    <x v="27"/>
    <x v="1"/>
    <n v="541"/>
    <n v="5"/>
    <x v="3"/>
    <x v="0"/>
  </r>
  <r>
    <x v="1291"/>
    <n v="1"/>
    <x v="1"/>
    <n v="620"/>
    <x v="13"/>
    <x v="68"/>
    <x v="3"/>
    <x v="8"/>
    <x v="4"/>
    <n v="608"/>
    <n v="5"/>
    <x v="10"/>
    <x v="0"/>
  </r>
  <r>
    <x v="1292"/>
    <n v="2"/>
    <x v="1"/>
    <n v="539"/>
    <x v="26"/>
    <x v="52"/>
    <x v="3"/>
    <x v="33"/>
    <x v="1"/>
    <n v="561"/>
    <n v="4"/>
    <x v="1"/>
    <x v="0"/>
  </r>
  <r>
    <x v="1293"/>
    <n v="1"/>
    <x v="1"/>
    <n v="682"/>
    <x v="52"/>
    <x v="65"/>
    <x v="3"/>
    <x v="20"/>
    <x v="3"/>
    <n v="713"/>
    <n v="5"/>
    <x v="3"/>
    <x v="1"/>
  </r>
  <r>
    <x v="1294"/>
    <n v="1"/>
    <x v="1"/>
    <n v="579"/>
    <x v="32"/>
    <x v="38"/>
    <x v="1"/>
    <x v="1"/>
    <x v="1"/>
    <n v="609.5"/>
    <n v="5"/>
    <x v="3"/>
    <x v="1"/>
  </r>
  <r>
    <x v="1295"/>
    <n v="2"/>
    <x v="0"/>
    <n v="538"/>
    <x v="42"/>
    <x v="24"/>
    <x v="11"/>
    <x v="29"/>
    <x v="1"/>
    <n v="469.5"/>
    <n v="9"/>
    <x v="7"/>
    <x v="0"/>
  </r>
  <r>
    <x v="1296"/>
    <n v="1"/>
    <x v="0"/>
    <n v="478"/>
    <x v="67"/>
    <x v="74"/>
    <x v="57"/>
    <x v="1"/>
    <x v="3"/>
    <n v="598.5"/>
    <n v="3"/>
    <x v="3"/>
    <x v="0"/>
  </r>
  <r>
    <x v="1297"/>
    <n v="2"/>
    <x v="0"/>
    <n v="560"/>
    <x v="48"/>
    <x v="25"/>
    <x v="17"/>
    <x v="1"/>
    <x v="6"/>
    <n v="526.5"/>
    <n v="5"/>
    <x v="2"/>
    <x v="0"/>
  </r>
  <r>
    <x v="1298"/>
    <n v="2"/>
    <x v="0"/>
    <n v="579"/>
    <x v="9"/>
    <x v="33"/>
    <x v="3"/>
    <x v="19"/>
    <x v="1"/>
    <n v="487"/>
    <n v="4"/>
    <x v="3"/>
    <x v="0"/>
  </r>
  <r>
    <x v="1299"/>
    <n v="1"/>
    <x v="0"/>
    <n v="579"/>
    <x v="34"/>
    <x v="7"/>
    <x v="3"/>
    <x v="32"/>
    <x v="6"/>
    <n v="500"/>
    <n v="0"/>
    <x v="3"/>
    <x v="1"/>
  </r>
  <r>
    <x v="1300"/>
    <n v="1"/>
    <x v="1"/>
    <n v="641"/>
    <x v="65"/>
    <x v="59"/>
    <x v="3"/>
    <x v="47"/>
    <x v="4"/>
    <n v="663.5"/>
    <n v="5"/>
    <x v="0"/>
    <x v="1"/>
  </r>
  <r>
    <x v="1301"/>
    <n v="2"/>
    <x v="1"/>
    <n v="558"/>
    <x v="40"/>
    <x v="13"/>
    <x v="29"/>
    <x v="1"/>
    <x v="4"/>
    <n v="556.5"/>
    <n v="5"/>
    <x v="7"/>
    <x v="2"/>
  </r>
  <r>
    <x v="1302"/>
    <n v="2"/>
    <x v="0"/>
    <n v="558"/>
    <x v="4"/>
    <x v="4"/>
    <x v="3"/>
    <x v="1"/>
    <x v="6"/>
    <n v="0"/>
    <n v="2"/>
    <x v="2"/>
    <x v="0"/>
  </r>
  <r>
    <x v="1303"/>
    <n v="1"/>
    <x v="0"/>
    <n v="476"/>
    <x v="5"/>
    <x v="28"/>
    <x v="3"/>
    <x v="15"/>
    <x v="1"/>
    <n v="516.5"/>
    <n v="5"/>
    <x v="3"/>
    <x v="0"/>
  </r>
  <r>
    <x v="1304"/>
    <n v="1"/>
    <x v="1"/>
    <n v="702"/>
    <x v="52"/>
    <x v="64"/>
    <x v="3"/>
    <x v="76"/>
    <x v="5"/>
    <n v="766.5"/>
    <n v="0"/>
    <x v="5"/>
    <x v="0"/>
  </r>
  <r>
    <x v="1305"/>
    <n v="2"/>
    <x v="0"/>
    <n v="499"/>
    <x v="4"/>
    <x v="4"/>
    <x v="3"/>
    <x v="1"/>
    <x v="6"/>
    <n v="0"/>
    <n v="5"/>
    <x v="7"/>
    <x v="0"/>
  </r>
  <r>
    <x v="1306"/>
    <n v="2"/>
    <x v="1"/>
    <n v="0"/>
    <x v="4"/>
    <x v="4"/>
    <x v="3"/>
    <x v="1"/>
    <x v="1"/>
    <n v="0"/>
    <n v="0"/>
    <x v="0"/>
    <x v="0"/>
  </r>
  <r>
    <x v="1307"/>
    <n v="2"/>
    <x v="1"/>
    <n v="621"/>
    <x v="44"/>
    <x v="18"/>
    <x v="7"/>
    <x v="1"/>
    <x v="6"/>
    <n v="481"/>
    <n v="0"/>
    <x v="3"/>
    <x v="0"/>
  </r>
  <r>
    <x v="1308"/>
    <n v="1"/>
    <x v="0"/>
    <n v="0"/>
    <x v="58"/>
    <x v="12"/>
    <x v="6"/>
    <x v="1"/>
    <x v="1"/>
    <n v="326"/>
    <n v="2"/>
    <x v="1"/>
    <x v="0"/>
  </r>
  <r>
    <x v="1309"/>
    <n v="2"/>
    <x v="0"/>
    <n v="397"/>
    <x v="31"/>
    <x v="19"/>
    <x v="25"/>
    <x v="35"/>
    <x v="4"/>
    <n v="450"/>
    <n v="3"/>
    <x v="0"/>
    <x v="0"/>
  </r>
  <r>
    <x v="1310"/>
    <n v="1"/>
    <x v="1"/>
    <n v="560"/>
    <x v="40"/>
    <x v="45"/>
    <x v="3"/>
    <x v="43"/>
    <x v="4"/>
    <n v="600.5"/>
    <n v="4"/>
    <x v="10"/>
    <x v="0"/>
  </r>
  <r>
    <x v="1311"/>
    <n v="2"/>
    <x v="1"/>
    <n v="458"/>
    <x v="51"/>
    <x v="5"/>
    <x v="3"/>
    <x v="6"/>
    <x v="6"/>
    <n v="425"/>
    <n v="5"/>
    <x v="2"/>
    <x v="0"/>
  </r>
  <r>
    <x v="1312"/>
    <n v="1"/>
    <x v="0"/>
    <n v="621"/>
    <x v="9"/>
    <x v="11"/>
    <x v="3"/>
    <x v="22"/>
    <x v="1"/>
    <n v="478.5"/>
    <n v="2"/>
    <x v="2"/>
    <x v="0"/>
  </r>
  <r>
    <x v="1313"/>
    <n v="1"/>
    <x v="1"/>
    <n v="476"/>
    <x v="33"/>
    <x v="34"/>
    <x v="17"/>
    <x v="45"/>
    <x v="4"/>
    <n v="569.5"/>
    <n v="5"/>
    <x v="3"/>
    <x v="0"/>
  </r>
  <r>
    <x v="1314"/>
    <n v="1"/>
    <x v="0"/>
    <n v="437"/>
    <x v="35"/>
    <x v="31"/>
    <x v="3"/>
    <x v="48"/>
    <x v="4"/>
    <n v="379"/>
    <n v="3"/>
    <x v="2"/>
    <x v="0"/>
  </r>
  <r>
    <x v="1315"/>
    <n v="2"/>
    <x v="0"/>
    <n v="579"/>
    <x v="5"/>
    <x v="27"/>
    <x v="46"/>
    <x v="29"/>
    <x v="4"/>
    <n v="512"/>
    <n v="5"/>
    <x v="3"/>
    <x v="0"/>
  </r>
  <r>
    <x v="1316"/>
    <n v="1"/>
    <x v="0"/>
    <n v="661"/>
    <x v="30"/>
    <x v="21"/>
    <x v="3"/>
    <x v="24"/>
    <x v="4"/>
    <n v="582"/>
    <n v="4"/>
    <x v="1"/>
    <x v="0"/>
  </r>
  <r>
    <x v="1317"/>
    <n v="2"/>
    <x v="1"/>
    <n v="580"/>
    <x v="51"/>
    <x v="12"/>
    <x v="22"/>
    <x v="1"/>
    <x v="0"/>
    <n v="399"/>
    <n v="0"/>
    <x v="5"/>
    <x v="0"/>
  </r>
  <r>
    <x v="1318"/>
    <n v="2"/>
    <x v="0"/>
    <n v="579"/>
    <x v="9"/>
    <x v="22"/>
    <x v="21"/>
    <x v="1"/>
    <x v="4"/>
    <n v="505.5"/>
    <n v="5"/>
    <x v="1"/>
    <x v="0"/>
  </r>
  <r>
    <x v="1319"/>
    <n v="2"/>
    <x v="1"/>
    <n v="560"/>
    <x v="56"/>
    <x v="40"/>
    <x v="34"/>
    <x v="1"/>
    <x v="0"/>
    <n v="295"/>
    <n v="0"/>
    <x v="5"/>
    <x v="0"/>
  </r>
  <r>
    <x v="1320"/>
    <n v="2"/>
    <x v="0"/>
    <n v="620"/>
    <x v="3"/>
    <x v="39"/>
    <x v="9"/>
    <x v="27"/>
    <x v="5"/>
    <n v="493.5"/>
    <n v="0"/>
    <x v="3"/>
    <x v="0"/>
  </r>
  <r>
    <x v="1321"/>
    <n v="2"/>
    <x v="1"/>
    <n v="620"/>
    <x v="67"/>
    <x v="74"/>
    <x v="59"/>
    <x v="33"/>
    <x v="1"/>
    <n v="598.5"/>
    <n v="7"/>
    <x v="7"/>
    <x v="0"/>
  </r>
  <r>
    <x v="1322"/>
    <n v="1"/>
    <x v="0"/>
    <n v="478"/>
    <x v="3"/>
    <x v="5"/>
    <x v="18"/>
    <x v="1"/>
    <x v="4"/>
    <n v="446"/>
    <n v="2"/>
    <x v="0"/>
    <x v="0"/>
  </r>
  <r>
    <x v="1323"/>
    <n v="1"/>
    <x v="0"/>
    <n v="620"/>
    <x v="7"/>
    <x v="23"/>
    <x v="69"/>
    <x v="1"/>
    <x v="0"/>
    <n v="529.5"/>
    <n v="0"/>
    <x v="5"/>
    <x v="0"/>
  </r>
  <r>
    <x v="1324"/>
    <n v="2"/>
    <x v="0"/>
    <n v="599"/>
    <x v="31"/>
    <x v="37"/>
    <x v="3"/>
    <x v="19"/>
    <x v="1"/>
    <n v="456"/>
    <n v="3"/>
    <x v="3"/>
    <x v="0"/>
  </r>
  <r>
    <x v="1325"/>
    <n v="2"/>
    <x v="0"/>
    <n v="560"/>
    <x v="14"/>
    <x v="25"/>
    <x v="38"/>
    <x v="1"/>
    <x v="1"/>
    <n v="494"/>
    <n v="2"/>
    <x v="2"/>
    <x v="0"/>
  </r>
  <r>
    <x v="1326"/>
    <n v="2"/>
    <x v="0"/>
    <n v="764"/>
    <x v="54"/>
    <x v="10"/>
    <x v="58"/>
    <x v="1"/>
    <x v="0"/>
    <n v="602.5"/>
    <n v="10"/>
    <x v="3"/>
    <x v="0"/>
  </r>
  <r>
    <x v="1327"/>
    <n v="2"/>
    <x v="0"/>
    <n v="0"/>
    <x v="4"/>
    <x v="4"/>
    <x v="3"/>
    <x v="1"/>
    <x v="1"/>
    <n v="0"/>
    <n v="3"/>
    <x v="1"/>
    <x v="0"/>
  </r>
  <r>
    <x v="1328"/>
    <n v="1"/>
    <x v="1"/>
    <n v="499"/>
    <x v="4"/>
    <x v="4"/>
    <x v="3"/>
    <x v="1"/>
    <x v="0"/>
    <n v="0"/>
    <n v="0"/>
    <x v="5"/>
    <x v="1"/>
  </r>
  <r>
    <x v="1329"/>
    <n v="1"/>
    <x v="0"/>
    <n v="519"/>
    <x v="5"/>
    <x v="24"/>
    <x v="11"/>
    <x v="1"/>
    <x v="1"/>
    <n v="494.5"/>
    <n v="5"/>
    <x v="0"/>
    <x v="0"/>
  </r>
  <r>
    <x v="1330"/>
    <n v="2"/>
    <x v="0"/>
    <n v="558"/>
    <x v="45"/>
    <x v="8"/>
    <x v="3"/>
    <x v="42"/>
    <x v="3"/>
    <n v="391.5"/>
    <n v="5"/>
    <x v="3"/>
    <x v="0"/>
  </r>
  <r>
    <x v="1331"/>
    <n v="2"/>
    <x v="1"/>
    <n v="560"/>
    <x v="11"/>
    <x v="18"/>
    <x v="39"/>
    <x v="35"/>
    <x v="1"/>
    <n v="461.5"/>
    <n v="5"/>
    <x v="3"/>
    <x v="0"/>
  </r>
  <r>
    <x v="1332"/>
    <n v="1"/>
    <x v="1"/>
    <n v="460"/>
    <x v="35"/>
    <x v="8"/>
    <x v="28"/>
    <x v="1"/>
    <x v="4"/>
    <n v="370"/>
    <n v="4"/>
    <x v="2"/>
    <x v="1"/>
  </r>
  <r>
    <x v="1333"/>
    <n v="2"/>
    <x v="0"/>
    <n v="599"/>
    <x v="11"/>
    <x v="12"/>
    <x v="3"/>
    <x v="0"/>
    <x v="7"/>
    <n v="423.5"/>
    <n v="2"/>
    <x v="1"/>
    <x v="1"/>
  </r>
  <r>
    <x v="1334"/>
    <n v="1"/>
    <x v="0"/>
    <n v="621"/>
    <x v="40"/>
    <x v="56"/>
    <x v="24"/>
    <x v="6"/>
    <x v="4"/>
    <n v="575"/>
    <n v="3"/>
    <x v="0"/>
    <x v="0"/>
  </r>
  <r>
    <x v="1335"/>
    <n v="2"/>
    <x v="0"/>
    <n v="517"/>
    <x v="40"/>
    <x v="58"/>
    <x v="33"/>
    <x v="44"/>
    <x v="6"/>
    <n v="559"/>
    <n v="7"/>
    <x v="10"/>
    <x v="0"/>
  </r>
  <r>
    <x v="1336"/>
    <n v="1"/>
    <x v="0"/>
    <n v="599"/>
    <x v="7"/>
    <x v="48"/>
    <x v="4"/>
    <x v="0"/>
    <x v="3"/>
    <n v="531.5"/>
    <n v="4"/>
    <x v="1"/>
    <x v="1"/>
  </r>
  <r>
    <x v="1337"/>
    <n v="2"/>
    <x v="1"/>
    <n v="397"/>
    <x v="43"/>
    <x v="12"/>
    <x v="3"/>
    <x v="2"/>
    <x v="4"/>
    <n v="410"/>
    <n v="5"/>
    <x v="1"/>
    <x v="0"/>
  </r>
  <r>
    <x v="1338"/>
    <n v="1"/>
    <x v="2"/>
    <n v="702"/>
    <x v="39"/>
    <x v="41"/>
    <x v="3"/>
    <x v="62"/>
    <x v="4"/>
    <n v="719"/>
    <n v="5"/>
    <x v="7"/>
    <x v="3"/>
  </r>
  <r>
    <x v="1339"/>
    <n v="2"/>
    <x v="0"/>
    <n v="496"/>
    <x v="42"/>
    <x v="5"/>
    <x v="7"/>
    <x v="1"/>
    <x v="4"/>
    <n v="433"/>
    <n v="7"/>
    <x v="10"/>
    <x v="0"/>
  </r>
  <r>
    <x v="1340"/>
    <n v="1"/>
    <x v="0"/>
    <n v="620"/>
    <x v="47"/>
    <x v="32"/>
    <x v="3"/>
    <x v="17"/>
    <x v="1"/>
    <n v="602"/>
    <n v="9"/>
    <x v="7"/>
    <x v="1"/>
  </r>
  <r>
    <x v="1341"/>
    <n v="1"/>
    <x v="2"/>
    <n v="641"/>
    <x v="60"/>
    <x v="51"/>
    <x v="3"/>
    <x v="10"/>
    <x v="6"/>
    <n v="704.5"/>
    <n v="0"/>
    <x v="5"/>
    <x v="5"/>
  </r>
  <r>
    <x v="1342"/>
    <n v="1"/>
    <x v="2"/>
    <n v="455"/>
    <x v="30"/>
    <x v="47"/>
    <x v="3"/>
    <x v="17"/>
    <x v="3"/>
    <n v="578"/>
    <n v="10"/>
    <x v="7"/>
    <x v="2"/>
  </r>
  <r>
    <x v="1343"/>
    <n v="1"/>
    <x v="0"/>
    <n v="437"/>
    <x v="55"/>
    <x v="73"/>
    <x v="9"/>
    <x v="1"/>
    <x v="6"/>
    <n v="534"/>
    <n v="5"/>
    <x v="1"/>
    <x v="0"/>
  </r>
  <r>
    <x v="1344"/>
    <n v="1"/>
    <x v="2"/>
    <n v="558"/>
    <x v="74"/>
    <x v="71"/>
    <x v="3"/>
    <x v="75"/>
    <x v="1"/>
    <n v="684.5"/>
    <n v="10"/>
    <x v="7"/>
    <x v="3"/>
  </r>
  <r>
    <x v="1345"/>
    <n v="1"/>
    <x v="1"/>
    <n v="455"/>
    <x v="70"/>
    <x v="70"/>
    <x v="65"/>
    <x v="1"/>
    <x v="1"/>
    <n v="645.5"/>
    <n v="10"/>
    <x v="3"/>
    <x v="1"/>
  </r>
  <r>
    <x v="1346"/>
    <n v="2"/>
    <x v="2"/>
    <n v="682"/>
    <x v="39"/>
    <x v="75"/>
    <x v="3"/>
    <x v="30"/>
    <x v="7"/>
    <n v="712.5"/>
    <n v="9"/>
    <x v="7"/>
    <x v="2"/>
  </r>
  <r>
    <x v="1347"/>
    <n v="1"/>
    <x v="1"/>
    <n v="620"/>
    <x v="46"/>
    <x v="26"/>
    <x v="3"/>
    <x v="2"/>
    <x v="7"/>
    <n v="485"/>
    <n v="7"/>
    <x v="8"/>
    <x v="1"/>
  </r>
  <r>
    <x v="1348"/>
    <n v="2"/>
    <x v="0"/>
    <n v="538"/>
    <x v="7"/>
    <x v="33"/>
    <x v="40"/>
    <x v="29"/>
    <x v="4"/>
    <n v="489.5"/>
    <n v="9"/>
    <x v="6"/>
    <x v="1"/>
  </r>
  <r>
    <x v="1349"/>
    <n v="1"/>
    <x v="1"/>
    <n v="359"/>
    <x v="19"/>
    <x v="5"/>
    <x v="51"/>
    <x v="1"/>
    <x v="1"/>
    <n v="489.5"/>
    <n v="3"/>
    <x v="1"/>
    <x v="0"/>
  </r>
  <r>
    <x v="1350"/>
    <n v="2"/>
    <x v="0"/>
    <n v="455"/>
    <x v="41"/>
    <x v="40"/>
    <x v="7"/>
    <x v="1"/>
    <x v="1"/>
    <n v="365"/>
    <n v="5"/>
    <x v="0"/>
    <x v="1"/>
  </r>
  <r>
    <x v="1351"/>
    <n v="1"/>
    <x v="1"/>
    <n v="599"/>
    <x v="52"/>
    <x v="15"/>
    <x v="3"/>
    <x v="71"/>
    <x v="1"/>
    <n v="723"/>
    <n v="0"/>
    <x v="7"/>
    <x v="1"/>
  </r>
  <r>
    <x v="1352"/>
    <n v="2"/>
    <x v="0"/>
    <n v="723"/>
    <x v="19"/>
    <x v="38"/>
    <x v="24"/>
    <x v="16"/>
    <x v="1"/>
    <n v="561"/>
    <n v="9"/>
    <x v="9"/>
    <x v="0"/>
  </r>
  <r>
    <x v="1353"/>
    <n v="2"/>
    <x v="0"/>
    <n v="682"/>
    <x v="59"/>
    <x v="53"/>
    <x v="32"/>
    <x v="1"/>
    <x v="1"/>
    <n v="618"/>
    <n v="9"/>
    <x v="3"/>
    <x v="1"/>
  </r>
  <r>
    <x v="1354"/>
    <n v="1"/>
    <x v="0"/>
    <n v="538"/>
    <x v="45"/>
    <x v="0"/>
    <x v="3"/>
    <x v="4"/>
    <x v="4"/>
    <n v="414.5"/>
    <n v="4"/>
    <x v="1"/>
    <x v="0"/>
  </r>
  <r>
    <x v="1355"/>
    <n v="2"/>
    <x v="0"/>
    <n v="682"/>
    <x v="34"/>
    <x v="11"/>
    <x v="33"/>
    <x v="35"/>
    <x v="7"/>
    <n v="457"/>
    <n v="5"/>
    <x v="2"/>
    <x v="0"/>
  </r>
  <r>
    <x v="1356"/>
    <n v="1"/>
    <x v="0"/>
    <n v="417"/>
    <x v="42"/>
    <x v="12"/>
    <x v="38"/>
    <x v="1"/>
    <x v="6"/>
    <n v="407"/>
    <n v="3"/>
    <x v="2"/>
    <x v="0"/>
  </r>
  <r>
    <x v="1357"/>
    <n v="1"/>
    <x v="0"/>
    <n v="476"/>
    <x v="45"/>
    <x v="12"/>
    <x v="3"/>
    <x v="1"/>
    <x v="4"/>
    <n v="382"/>
    <n v="5"/>
    <x v="1"/>
    <x v="0"/>
  </r>
  <r>
    <x v="1358"/>
    <n v="2"/>
    <x v="1"/>
    <n v="393"/>
    <x v="3"/>
    <x v="2"/>
    <x v="3"/>
    <x v="14"/>
    <x v="1"/>
    <n v="495.5"/>
    <n v="7"/>
    <x v="9"/>
    <x v="1"/>
  </r>
  <r>
    <x v="1359"/>
    <n v="2"/>
    <x v="0"/>
    <n v="476"/>
    <x v="34"/>
    <x v="39"/>
    <x v="18"/>
    <x v="1"/>
    <x v="3"/>
    <n v="487"/>
    <n v="5"/>
    <x v="3"/>
    <x v="1"/>
  </r>
  <r>
    <x v="1360"/>
    <n v="2"/>
    <x v="1"/>
    <n v="620"/>
    <x v="26"/>
    <x v="23"/>
    <x v="25"/>
    <x v="1"/>
    <x v="6"/>
    <n v="543"/>
    <n v="4"/>
    <x v="1"/>
    <x v="1"/>
  </r>
  <r>
    <x v="1361"/>
    <n v="2"/>
    <x v="2"/>
    <n v="558"/>
    <x v="40"/>
    <x v="27"/>
    <x v="16"/>
    <x v="1"/>
    <x v="12"/>
    <n v="548.5"/>
    <n v="8"/>
    <x v="3"/>
    <x v="4"/>
  </r>
  <r>
    <x v="1362"/>
    <n v="2"/>
    <x v="0"/>
    <n v="517"/>
    <x v="39"/>
    <x v="73"/>
    <x v="55"/>
    <x v="1"/>
    <x v="1"/>
    <n v="603"/>
    <n v="9"/>
    <x v="7"/>
    <x v="0"/>
  </r>
  <r>
    <x v="1363"/>
    <n v="2"/>
    <x v="0"/>
    <n v="641"/>
    <x v="5"/>
    <x v="13"/>
    <x v="3"/>
    <x v="32"/>
    <x v="6"/>
    <n v="520"/>
    <n v="9"/>
    <x v="9"/>
    <x v="0"/>
  </r>
  <r>
    <x v="1364"/>
    <n v="1"/>
    <x v="0"/>
    <n v="560"/>
    <x v="4"/>
    <x v="4"/>
    <x v="3"/>
    <x v="1"/>
    <x v="4"/>
    <n v="0"/>
    <n v="5"/>
    <x v="3"/>
    <x v="0"/>
  </r>
  <r>
    <x v="1365"/>
    <n v="2"/>
    <x v="0"/>
    <n v="558"/>
    <x v="4"/>
    <x v="4"/>
    <x v="3"/>
    <x v="1"/>
    <x v="1"/>
    <n v="0"/>
    <n v="4"/>
    <x v="3"/>
    <x v="0"/>
  </r>
  <r>
    <x v="1366"/>
    <n v="1"/>
    <x v="0"/>
    <n v="455"/>
    <x v="18"/>
    <x v="3"/>
    <x v="33"/>
    <x v="1"/>
    <x v="3"/>
    <n v="496.5"/>
    <n v="5"/>
    <x v="1"/>
    <x v="1"/>
  </r>
  <r>
    <x v="1367"/>
    <n v="2"/>
    <x v="1"/>
    <n v="519"/>
    <x v="34"/>
    <x v="31"/>
    <x v="3"/>
    <x v="29"/>
    <x v="1"/>
    <n v="432"/>
    <n v="0"/>
    <x v="1"/>
    <x v="0"/>
  </r>
  <r>
    <x v="1368"/>
    <n v="2"/>
    <x v="1"/>
    <n v="519"/>
    <x v="10"/>
    <x v="35"/>
    <x v="24"/>
    <x v="1"/>
    <x v="6"/>
    <n v="429"/>
    <n v="4"/>
    <x v="3"/>
    <x v="0"/>
  </r>
  <r>
    <x v="1369"/>
    <n v="2"/>
    <x v="0"/>
    <n v="579"/>
    <x v="10"/>
    <x v="31"/>
    <x v="3"/>
    <x v="40"/>
    <x v="4"/>
    <n v="459"/>
    <n v="5"/>
    <x v="3"/>
    <x v="0"/>
  </r>
  <r>
    <x v="1370"/>
    <n v="2"/>
    <x v="1"/>
    <n v="417"/>
    <x v="8"/>
    <x v="78"/>
    <x v="3"/>
    <x v="1"/>
    <x v="4"/>
    <n v="231.5"/>
    <n v="2"/>
    <x v="2"/>
    <x v="0"/>
  </r>
  <r>
    <x v="1371"/>
    <n v="1"/>
    <x v="1"/>
    <n v="620"/>
    <x v="59"/>
    <x v="69"/>
    <x v="3"/>
    <x v="54"/>
    <x v="1"/>
    <n v="652.5"/>
    <n v="5"/>
    <x v="3"/>
    <x v="1"/>
  </r>
  <r>
    <x v="1372"/>
    <n v="2"/>
    <x v="0"/>
    <n v="621"/>
    <x v="17"/>
    <x v="29"/>
    <x v="6"/>
    <x v="1"/>
    <x v="1"/>
    <n v="371.5"/>
    <n v="3"/>
    <x v="3"/>
    <x v="0"/>
  </r>
  <r>
    <x v="1373"/>
    <n v="2"/>
    <x v="0"/>
    <n v="558"/>
    <x v="4"/>
    <x v="4"/>
    <x v="3"/>
    <x v="1"/>
    <x v="6"/>
    <n v="0"/>
    <n v="3"/>
    <x v="2"/>
    <x v="0"/>
  </r>
  <r>
    <x v="1374"/>
    <n v="1"/>
    <x v="0"/>
    <n v="579"/>
    <x v="66"/>
    <x v="31"/>
    <x v="3"/>
    <x v="29"/>
    <x v="4"/>
    <n v="384.5"/>
    <n v="5"/>
    <x v="1"/>
    <x v="1"/>
  </r>
  <r>
    <x v="1375"/>
    <n v="2"/>
    <x v="1"/>
    <n v="682"/>
    <x v="44"/>
    <x v="25"/>
    <x v="63"/>
    <x v="1"/>
    <x v="4"/>
    <n v="511"/>
    <n v="2"/>
    <x v="2"/>
    <x v="0"/>
  </r>
  <r>
    <x v="1376"/>
    <n v="2"/>
    <x v="0"/>
    <n v="458"/>
    <x v="45"/>
    <x v="8"/>
    <x v="3"/>
    <x v="4"/>
    <x v="1"/>
    <n v="391.5"/>
    <n v="3"/>
    <x v="0"/>
    <x v="0"/>
  </r>
  <r>
    <x v="1377"/>
    <n v="1"/>
    <x v="1"/>
    <n v="417"/>
    <x v="37"/>
    <x v="31"/>
    <x v="22"/>
    <x v="42"/>
    <x v="5"/>
    <n v="373"/>
    <n v="0"/>
    <x v="3"/>
    <x v="0"/>
  </r>
  <r>
    <x v="1378"/>
    <n v="2"/>
    <x v="1"/>
    <n v="662"/>
    <x v="48"/>
    <x v="4"/>
    <x v="3"/>
    <x v="21"/>
    <x v="0"/>
    <n v="270.5"/>
    <n v="0"/>
    <x v="5"/>
    <x v="0"/>
  </r>
  <r>
    <x v="1379"/>
    <n v="1"/>
    <x v="0"/>
    <n v="682"/>
    <x v="10"/>
    <x v="14"/>
    <x v="3"/>
    <x v="8"/>
    <x v="1"/>
    <n v="564.5"/>
    <n v="4"/>
    <x v="0"/>
    <x v="0"/>
  </r>
  <r>
    <x v="1380"/>
    <n v="1"/>
    <x v="0"/>
    <n v="356"/>
    <x v="45"/>
    <x v="40"/>
    <x v="69"/>
    <x v="1"/>
    <x v="4"/>
    <n v="344"/>
    <n v="2"/>
    <x v="2"/>
    <x v="0"/>
  </r>
  <r>
    <x v="1381"/>
    <n v="2"/>
    <x v="0"/>
    <n v="539"/>
    <x v="17"/>
    <x v="11"/>
    <x v="41"/>
    <x v="1"/>
    <x v="1"/>
    <n v="439"/>
    <n v="2"/>
    <x v="2"/>
    <x v="0"/>
  </r>
  <r>
    <x v="1382"/>
    <n v="2"/>
    <x v="0"/>
    <n v="539"/>
    <x v="5"/>
    <x v="33"/>
    <x v="9"/>
    <x v="1"/>
    <x v="1"/>
    <n v="484"/>
    <n v="4"/>
    <x v="3"/>
    <x v="0"/>
  </r>
  <r>
    <x v="1383"/>
    <n v="1"/>
    <x v="0"/>
    <n v="519"/>
    <x v="14"/>
    <x v="26"/>
    <x v="23"/>
    <x v="1"/>
    <x v="4"/>
    <n v="481.5"/>
    <n v="5"/>
    <x v="0"/>
    <x v="0"/>
  </r>
  <r>
    <x v="1384"/>
    <n v="2"/>
    <x v="0"/>
    <n v="499"/>
    <x v="55"/>
    <x v="0"/>
    <x v="64"/>
    <x v="35"/>
    <x v="1"/>
    <n v="489"/>
    <n v="3"/>
    <x v="3"/>
    <x v="0"/>
  </r>
  <r>
    <x v="1385"/>
    <n v="2"/>
    <x v="0"/>
    <n v="539"/>
    <x v="12"/>
    <x v="19"/>
    <x v="41"/>
    <x v="40"/>
    <x v="3"/>
    <n v="430.5"/>
    <n v="5"/>
    <x v="1"/>
    <x v="0"/>
  </r>
  <r>
    <x v="1386"/>
    <n v="1"/>
    <x v="0"/>
    <n v="539"/>
    <x v="4"/>
    <x v="4"/>
    <x v="3"/>
    <x v="1"/>
    <x v="4"/>
    <n v="0"/>
    <n v="4"/>
    <x v="1"/>
    <x v="0"/>
  </r>
  <r>
    <x v="1387"/>
    <n v="1"/>
    <x v="1"/>
    <n v="397"/>
    <x v="42"/>
    <x v="11"/>
    <x v="31"/>
    <x v="1"/>
    <x v="3"/>
    <n v="450.5"/>
    <n v="3"/>
    <x v="1"/>
    <x v="1"/>
  </r>
  <r>
    <x v="1388"/>
    <n v="1"/>
    <x v="1"/>
    <n v="620"/>
    <x v="0"/>
    <x v="44"/>
    <x v="3"/>
    <x v="69"/>
    <x v="1"/>
    <n v="544.5"/>
    <n v="5"/>
    <x v="3"/>
    <x v="1"/>
  </r>
  <r>
    <x v="1389"/>
    <n v="2"/>
    <x v="1"/>
    <n v="558"/>
    <x v="13"/>
    <x v="70"/>
    <x v="55"/>
    <x v="61"/>
    <x v="7"/>
    <n v="598"/>
    <n v="9"/>
    <x v="7"/>
    <x v="3"/>
  </r>
  <r>
    <x v="1390"/>
    <n v="1"/>
    <x v="2"/>
    <n v="476"/>
    <x v="23"/>
    <x v="59"/>
    <x v="17"/>
    <x v="60"/>
    <x v="4"/>
    <n v="618.5"/>
    <n v="9"/>
    <x v="3"/>
    <x v="2"/>
  </r>
  <r>
    <x v="1391"/>
    <n v="2"/>
    <x v="0"/>
    <n v="476"/>
    <x v="66"/>
    <x v="5"/>
    <x v="18"/>
    <x v="1"/>
    <x v="4"/>
    <n v="392"/>
    <n v="9"/>
    <x v="3"/>
    <x v="1"/>
  </r>
  <r>
    <x v="1392"/>
    <n v="1"/>
    <x v="0"/>
    <n v="397"/>
    <x v="42"/>
    <x v="0"/>
    <x v="3"/>
    <x v="35"/>
    <x v="4"/>
    <n v="439.5"/>
    <n v="9"/>
    <x v="0"/>
    <x v="1"/>
  </r>
  <r>
    <x v="1393"/>
    <n v="2"/>
    <x v="2"/>
    <n v="641"/>
    <x v="49"/>
    <x v="10"/>
    <x v="3"/>
    <x v="38"/>
    <x v="1"/>
    <n v="613.5"/>
    <n v="9"/>
    <x v="7"/>
    <x v="1"/>
  </r>
  <r>
    <x v="1394"/>
    <n v="1"/>
    <x v="0"/>
    <n v="538"/>
    <x v="42"/>
    <x v="8"/>
    <x v="20"/>
    <x v="1"/>
    <x v="1"/>
    <n v="416.5"/>
    <n v="9"/>
    <x v="1"/>
    <x v="1"/>
  </r>
  <r>
    <x v="1395"/>
    <n v="2"/>
    <x v="2"/>
    <n v="723"/>
    <x v="76"/>
    <x v="66"/>
    <x v="3"/>
    <x v="41"/>
    <x v="4"/>
    <n v="685"/>
    <n v="5"/>
    <x v="7"/>
    <x v="3"/>
  </r>
  <r>
    <x v="1396"/>
    <n v="2"/>
    <x v="0"/>
    <n v="496"/>
    <x v="3"/>
    <x v="12"/>
    <x v="22"/>
    <x v="1"/>
    <x v="4"/>
    <n v="420"/>
    <n v="10"/>
    <x v="1"/>
    <x v="1"/>
  </r>
  <r>
    <x v="1397"/>
    <n v="2"/>
    <x v="0"/>
    <n v="560"/>
    <x v="4"/>
    <x v="4"/>
    <x v="3"/>
    <x v="1"/>
    <x v="9"/>
    <n v="0"/>
    <n v="5"/>
    <x v="2"/>
    <x v="0"/>
  </r>
  <r>
    <x v="1398"/>
    <n v="2"/>
    <x v="1"/>
    <n v="496"/>
    <x v="55"/>
    <x v="13"/>
    <x v="3"/>
    <x v="24"/>
    <x v="6"/>
    <n v="544.5"/>
    <n v="5"/>
    <x v="3"/>
    <x v="0"/>
  </r>
  <r>
    <x v="1399"/>
    <n v="2"/>
    <x v="0"/>
    <n v="0"/>
    <x v="4"/>
    <x v="4"/>
    <x v="3"/>
    <x v="1"/>
    <x v="4"/>
    <n v="0"/>
    <n v="5"/>
    <x v="3"/>
    <x v="0"/>
  </r>
  <r>
    <x v="1400"/>
    <n v="2"/>
    <x v="1"/>
    <n v="478"/>
    <x v="4"/>
    <x v="4"/>
    <x v="3"/>
    <x v="1"/>
    <x v="6"/>
    <n v="0"/>
    <n v="4"/>
    <x v="3"/>
    <x v="0"/>
  </r>
  <r>
    <x v="1401"/>
    <n v="1"/>
    <x v="1"/>
    <n v="579"/>
    <x v="60"/>
    <x v="15"/>
    <x v="76"/>
    <x v="62"/>
    <x v="4"/>
    <n v="718"/>
    <n v="9"/>
    <x v="6"/>
    <x v="1"/>
  </r>
  <r>
    <x v="1402"/>
    <n v="1"/>
    <x v="0"/>
    <n v="558"/>
    <x v="40"/>
    <x v="23"/>
    <x v="69"/>
    <x v="1"/>
    <x v="10"/>
    <n v="560.5"/>
    <n v="4"/>
    <x v="3"/>
    <x v="1"/>
  </r>
  <r>
    <x v="1403"/>
    <n v="1"/>
    <x v="0"/>
    <n v="517"/>
    <x v="48"/>
    <x v="8"/>
    <x v="25"/>
    <x v="1"/>
    <x v="4"/>
    <n v="468"/>
    <n v="9"/>
    <x v="10"/>
    <x v="1"/>
  </r>
  <r>
    <x v="1404"/>
    <n v="2"/>
    <x v="1"/>
    <n v="579"/>
    <x v="48"/>
    <x v="20"/>
    <x v="3"/>
    <x v="34"/>
    <x v="4"/>
    <n v="577.5"/>
    <n v="5"/>
    <x v="3"/>
    <x v="0"/>
  </r>
  <r>
    <x v="1405"/>
    <n v="1"/>
    <x v="2"/>
    <n v="476"/>
    <x v="55"/>
    <x v="65"/>
    <x v="38"/>
    <x v="16"/>
    <x v="0"/>
    <n v="618"/>
    <n v="0"/>
    <x v="5"/>
    <x v="5"/>
  </r>
  <r>
    <x v="1406"/>
    <n v="1"/>
    <x v="1"/>
    <n v="661"/>
    <x v="53"/>
    <x v="59"/>
    <x v="3"/>
    <x v="13"/>
    <x v="6"/>
    <n v="651"/>
    <n v="8"/>
    <x v="7"/>
    <x v="1"/>
  </r>
  <r>
    <x v="1407"/>
    <n v="2"/>
    <x v="2"/>
    <n v="723"/>
    <x v="62"/>
    <x v="64"/>
    <x v="60"/>
    <x v="63"/>
    <x v="4"/>
    <n v="776.5"/>
    <n v="9"/>
    <x v="7"/>
    <x v="3"/>
  </r>
  <r>
    <x v="1408"/>
    <n v="2"/>
    <x v="0"/>
    <n v="496"/>
    <x v="59"/>
    <x v="22"/>
    <x v="44"/>
    <x v="1"/>
    <x v="4"/>
    <n v="554.5"/>
    <n v="0"/>
    <x v="5"/>
    <x v="0"/>
  </r>
  <r>
    <x v="1409"/>
    <n v="1"/>
    <x v="2"/>
    <n v="661"/>
    <x v="63"/>
    <x v="49"/>
    <x v="3"/>
    <x v="72"/>
    <x v="3"/>
    <n v="684"/>
    <n v="7"/>
    <x v="10"/>
    <x v="4"/>
  </r>
  <r>
    <x v="1410"/>
    <n v="2"/>
    <x v="1"/>
    <n v="764"/>
    <x v="15"/>
    <x v="63"/>
    <x v="2"/>
    <x v="1"/>
    <x v="3"/>
    <n v="716"/>
    <n v="9"/>
    <x v="9"/>
    <x v="1"/>
  </r>
  <r>
    <x v="1411"/>
    <n v="2"/>
    <x v="1"/>
    <n v="641"/>
    <x v="49"/>
    <x v="36"/>
    <x v="3"/>
    <x v="52"/>
    <x v="4"/>
    <n v="636"/>
    <n v="9"/>
    <x v="7"/>
    <x v="3"/>
  </r>
  <r>
    <x v="1412"/>
    <n v="2"/>
    <x v="2"/>
    <n v="517"/>
    <x v="33"/>
    <x v="43"/>
    <x v="5"/>
    <x v="1"/>
    <x v="6"/>
    <n v="565.5"/>
    <n v="5"/>
    <x v="7"/>
    <x v="1"/>
  </r>
  <r>
    <x v="1413"/>
    <n v="1"/>
    <x v="1"/>
    <n v="661"/>
    <x v="22"/>
    <x v="1"/>
    <x v="3"/>
    <x v="69"/>
    <x v="0"/>
    <n v="741.5"/>
    <n v="0"/>
    <x v="5"/>
    <x v="0"/>
  </r>
  <r>
    <x v="1414"/>
    <n v="2"/>
    <x v="0"/>
    <n v="599"/>
    <x v="44"/>
    <x v="72"/>
    <x v="3"/>
    <x v="24"/>
    <x v="1"/>
    <n v="583.5"/>
    <n v="4"/>
    <x v="3"/>
    <x v="0"/>
  </r>
  <r>
    <x v="1415"/>
    <n v="1"/>
    <x v="0"/>
    <n v="702"/>
    <x v="32"/>
    <x v="61"/>
    <x v="70"/>
    <x v="38"/>
    <x v="4"/>
    <n v="613.5"/>
    <n v="9"/>
    <x v="1"/>
    <x v="1"/>
  </r>
  <r>
    <x v="1416"/>
    <n v="1"/>
    <x v="0"/>
    <n v="601"/>
    <x v="35"/>
    <x v="31"/>
    <x v="18"/>
    <x v="35"/>
    <x v="1"/>
    <n v="379"/>
    <n v="5"/>
    <x v="3"/>
    <x v="0"/>
  </r>
  <r>
    <x v="1417"/>
    <n v="2"/>
    <x v="0"/>
    <n v="517"/>
    <x v="40"/>
    <x v="33"/>
    <x v="41"/>
    <x v="1"/>
    <x v="4"/>
    <n v="520.5"/>
    <n v="5"/>
    <x v="3"/>
    <x v="0"/>
  </r>
  <r>
    <x v="1418"/>
    <n v="2"/>
    <x v="0"/>
    <n v="476"/>
    <x v="7"/>
    <x v="5"/>
    <x v="36"/>
    <x v="1"/>
    <x v="3"/>
    <n v="463.5"/>
    <n v="5"/>
    <x v="3"/>
    <x v="0"/>
  </r>
  <r>
    <x v="1419"/>
    <n v="2"/>
    <x v="0"/>
    <n v="414"/>
    <x v="46"/>
    <x v="3"/>
    <x v="25"/>
    <x v="1"/>
    <x v="7"/>
    <n v="477.5"/>
    <n v="5"/>
    <x v="3"/>
    <x v="0"/>
  </r>
  <r>
    <x v="1420"/>
    <n v="2"/>
    <x v="1"/>
    <n v="517"/>
    <x v="48"/>
    <x v="2"/>
    <x v="3"/>
    <x v="45"/>
    <x v="4"/>
    <n v="534"/>
    <n v="0"/>
    <x v="3"/>
    <x v="1"/>
  </r>
  <r>
    <x v="1421"/>
    <n v="1"/>
    <x v="0"/>
    <n v="496"/>
    <x v="66"/>
    <x v="31"/>
    <x v="31"/>
    <x v="1"/>
    <x v="3"/>
    <n v="384.5"/>
    <n v="5"/>
    <x v="3"/>
    <x v="0"/>
  </r>
  <r>
    <x v="1422"/>
    <n v="2"/>
    <x v="0"/>
    <n v="539"/>
    <x v="17"/>
    <x v="18"/>
    <x v="30"/>
    <x v="1"/>
    <x v="1"/>
    <n v="433.5"/>
    <n v="5"/>
    <x v="3"/>
    <x v="0"/>
  </r>
  <r>
    <x v="1423"/>
    <n v="2"/>
    <x v="0"/>
    <n v="437"/>
    <x v="7"/>
    <x v="18"/>
    <x v="38"/>
    <x v="1"/>
    <x v="1"/>
    <n v="475.5"/>
    <n v="5"/>
    <x v="7"/>
    <x v="0"/>
  </r>
  <r>
    <x v="1424"/>
    <n v="2"/>
    <x v="0"/>
    <n v="476"/>
    <x v="48"/>
    <x v="5"/>
    <x v="47"/>
    <x v="14"/>
    <x v="1"/>
    <n v="484.5"/>
    <n v="0"/>
    <x v="8"/>
    <x v="0"/>
  </r>
  <r>
    <x v="1425"/>
    <n v="2"/>
    <x v="2"/>
    <n v="620"/>
    <x v="39"/>
    <x v="32"/>
    <x v="3"/>
    <x v="64"/>
    <x v="4"/>
    <n v="651.5"/>
    <n v="9"/>
    <x v="7"/>
    <x v="3"/>
  </r>
  <r>
    <x v="1426"/>
    <n v="2"/>
    <x v="0"/>
    <n v="641"/>
    <x v="53"/>
    <x v="21"/>
    <x v="3"/>
    <x v="68"/>
    <x v="4"/>
    <n v="626.5"/>
    <n v="9"/>
    <x v="7"/>
    <x v="1"/>
  </r>
  <r>
    <x v="1427"/>
    <n v="1"/>
    <x v="1"/>
    <n v="703"/>
    <x v="3"/>
    <x v="37"/>
    <x v="29"/>
    <x v="42"/>
    <x v="3"/>
    <n v="485"/>
    <n v="2"/>
    <x v="2"/>
    <x v="0"/>
  </r>
  <r>
    <x v="1428"/>
    <n v="2"/>
    <x v="2"/>
    <n v="744"/>
    <x v="52"/>
    <x v="41"/>
    <x v="3"/>
    <x v="55"/>
    <x v="3"/>
    <n v="745"/>
    <n v="9"/>
    <x v="7"/>
    <x v="4"/>
  </r>
  <r>
    <x v="1429"/>
    <n v="2"/>
    <x v="0"/>
    <n v="579"/>
    <x v="0"/>
    <x v="11"/>
    <x v="23"/>
    <x v="1"/>
    <x v="1"/>
    <n v="460.5"/>
    <n v="9"/>
    <x v="3"/>
    <x v="0"/>
  </r>
  <r>
    <x v="1430"/>
    <n v="1"/>
    <x v="2"/>
    <n v="558"/>
    <x v="76"/>
    <x v="30"/>
    <x v="3"/>
    <x v="43"/>
    <x v="4"/>
    <n v="690"/>
    <n v="9"/>
    <x v="7"/>
    <x v="4"/>
  </r>
  <r>
    <x v="1431"/>
    <n v="1"/>
    <x v="2"/>
    <n v="764"/>
    <x v="15"/>
    <x v="77"/>
    <x v="3"/>
    <x v="65"/>
    <x v="10"/>
    <n v="803.5"/>
    <n v="9"/>
    <x v="7"/>
    <x v="4"/>
  </r>
  <r>
    <x v="1432"/>
    <n v="2"/>
    <x v="2"/>
    <n v="579"/>
    <x v="25"/>
    <x v="43"/>
    <x v="1"/>
    <x v="54"/>
    <x v="1"/>
    <n v="570.5"/>
    <n v="3"/>
    <x v="1"/>
    <x v="3"/>
  </r>
  <r>
    <x v="1433"/>
    <n v="2"/>
    <x v="0"/>
    <n v="541"/>
    <x v="17"/>
    <x v="35"/>
    <x v="35"/>
    <x v="1"/>
    <x v="4"/>
    <n v="384"/>
    <n v="3"/>
    <x v="0"/>
    <x v="0"/>
  </r>
  <r>
    <x v="1434"/>
    <n v="2"/>
    <x v="0"/>
    <n v="662"/>
    <x v="17"/>
    <x v="18"/>
    <x v="9"/>
    <x v="1"/>
    <x v="1"/>
    <n v="433.5"/>
    <n v="2"/>
    <x v="2"/>
    <x v="0"/>
  </r>
  <r>
    <x v="1435"/>
    <n v="1"/>
    <x v="0"/>
    <n v="437"/>
    <x v="4"/>
    <x v="4"/>
    <x v="3"/>
    <x v="1"/>
    <x v="10"/>
    <n v="0"/>
    <n v="1"/>
    <x v="2"/>
    <x v="0"/>
  </r>
  <r>
    <x v="1436"/>
    <n v="2"/>
    <x v="1"/>
    <n v="499"/>
    <x v="66"/>
    <x v="18"/>
    <x v="3"/>
    <x v="25"/>
    <x v="4"/>
    <n v="404"/>
    <n v="2"/>
    <x v="1"/>
    <x v="0"/>
  </r>
  <r>
    <x v="1437"/>
    <n v="1"/>
    <x v="0"/>
    <n v="519"/>
    <x v="47"/>
    <x v="7"/>
    <x v="19"/>
    <x v="1"/>
    <x v="6"/>
    <n v="562.5"/>
    <n v="5"/>
    <x v="3"/>
    <x v="0"/>
  </r>
  <r>
    <x v="1438"/>
    <n v="2"/>
    <x v="1"/>
    <n v="682"/>
    <x v="3"/>
    <x v="3"/>
    <x v="23"/>
    <x v="1"/>
    <x v="1"/>
    <n v="468"/>
    <n v="2"/>
    <x v="2"/>
    <x v="0"/>
  </r>
  <r>
    <x v="1439"/>
    <n v="2"/>
    <x v="0"/>
    <n v="496"/>
    <x v="46"/>
    <x v="31"/>
    <x v="0"/>
    <x v="1"/>
    <x v="1"/>
    <n v="448"/>
    <n v="4"/>
    <x v="1"/>
    <x v="0"/>
  </r>
  <r>
    <x v="1440"/>
    <n v="2"/>
    <x v="1"/>
    <n v="414"/>
    <x v="42"/>
    <x v="17"/>
    <x v="3"/>
    <x v="0"/>
    <x v="4"/>
    <n v="356"/>
    <n v="5"/>
    <x v="3"/>
    <x v="0"/>
  </r>
  <r>
    <x v="1441"/>
    <n v="2"/>
    <x v="0"/>
    <n v="0"/>
    <x v="4"/>
    <x v="4"/>
    <x v="3"/>
    <x v="1"/>
    <x v="4"/>
    <n v="0"/>
    <n v="5"/>
    <x v="3"/>
    <x v="0"/>
  </r>
  <r>
    <x v="1442"/>
    <n v="2"/>
    <x v="1"/>
    <n v="539"/>
    <x v="36"/>
    <x v="18"/>
    <x v="0"/>
    <x v="1"/>
    <x v="6"/>
    <n v="424.5"/>
    <n v="2"/>
    <x v="2"/>
    <x v="0"/>
  </r>
  <r>
    <x v="1443"/>
    <n v="1"/>
    <x v="0"/>
    <n v="478"/>
    <x v="33"/>
    <x v="38"/>
    <x v="3"/>
    <x v="9"/>
    <x v="5"/>
    <n v="564"/>
    <n v="3"/>
    <x v="3"/>
    <x v="0"/>
  </r>
  <r>
    <x v="1444"/>
    <n v="2"/>
    <x v="0"/>
    <n v="0"/>
    <x v="4"/>
    <x v="4"/>
    <x v="3"/>
    <x v="1"/>
    <x v="4"/>
    <n v="0"/>
    <n v="4"/>
    <x v="1"/>
    <x v="0"/>
  </r>
  <r>
    <x v="1445"/>
    <n v="2"/>
    <x v="0"/>
    <n v="560"/>
    <x v="27"/>
    <x v="2"/>
    <x v="4"/>
    <x v="1"/>
    <x v="4"/>
    <n v="556.5"/>
    <n v="5"/>
    <x v="1"/>
    <x v="0"/>
  </r>
  <r>
    <x v="1446"/>
    <n v="2"/>
    <x v="0"/>
    <n v="476"/>
    <x v="34"/>
    <x v="11"/>
    <x v="18"/>
    <x v="1"/>
    <x v="1"/>
    <n v="457"/>
    <n v="5"/>
    <x v="3"/>
    <x v="0"/>
  </r>
  <r>
    <x v="1447"/>
    <n v="2"/>
    <x v="0"/>
    <n v="620"/>
    <x v="6"/>
    <x v="10"/>
    <x v="59"/>
    <x v="1"/>
    <x v="1"/>
    <n v="608"/>
    <n v="5"/>
    <x v="0"/>
    <x v="1"/>
  </r>
  <r>
    <x v="1448"/>
    <n v="1"/>
    <x v="1"/>
    <n v="455"/>
    <x v="9"/>
    <x v="74"/>
    <x v="23"/>
    <x v="44"/>
    <x v="4"/>
    <n v="531"/>
    <n v="5"/>
    <x v="7"/>
    <x v="1"/>
  </r>
  <r>
    <x v="1449"/>
    <n v="1"/>
    <x v="0"/>
    <n v="499"/>
    <x v="45"/>
    <x v="5"/>
    <x v="15"/>
    <x v="1"/>
    <x v="1"/>
    <n v="408"/>
    <n v="2"/>
    <x v="1"/>
    <x v="0"/>
  </r>
  <r>
    <x v="1450"/>
    <n v="1"/>
    <x v="2"/>
    <n v="599"/>
    <x v="47"/>
    <x v="66"/>
    <x v="3"/>
    <x v="20"/>
    <x v="5"/>
    <n v="623.5"/>
    <n v="9"/>
    <x v="7"/>
    <x v="1"/>
  </r>
  <r>
    <x v="1451"/>
    <n v="1"/>
    <x v="1"/>
    <n v="620"/>
    <x v="72"/>
    <x v="41"/>
    <x v="3"/>
    <x v="74"/>
    <x v="5"/>
    <n v="771"/>
    <n v="2"/>
    <x v="0"/>
    <x v="0"/>
  </r>
  <r>
    <x v="1452"/>
    <n v="2"/>
    <x v="0"/>
    <n v="538"/>
    <x v="5"/>
    <x v="0"/>
    <x v="3"/>
    <x v="0"/>
    <x v="3"/>
    <n v="464.5"/>
    <n v="5"/>
    <x v="1"/>
    <x v="0"/>
  </r>
  <r>
    <x v="1453"/>
    <n v="2"/>
    <x v="0"/>
    <n v="476"/>
    <x v="43"/>
    <x v="22"/>
    <x v="3"/>
    <x v="22"/>
    <x v="3"/>
    <n v="480.5"/>
    <n v="2"/>
    <x v="1"/>
    <x v="0"/>
  </r>
  <r>
    <x v="1454"/>
    <n v="2"/>
    <x v="0"/>
    <n v="458"/>
    <x v="17"/>
    <x v="5"/>
    <x v="18"/>
    <x v="1"/>
    <x v="4"/>
    <n v="421.5"/>
    <n v="5"/>
    <x v="3"/>
    <x v="0"/>
  </r>
  <r>
    <x v="1455"/>
    <n v="2"/>
    <x v="0"/>
    <n v="538"/>
    <x v="9"/>
    <x v="33"/>
    <x v="3"/>
    <x v="6"/>
    <x v="4"/>
    <n v="487"/>
    <n v="2"/>
    <x v="2"/>
    <x v="1"/>
  </r>
  <r>
    <x v="1456"/>
    <n v="2"/>
    <x v="0"/>
    <n v="496"/>
    <x v="18"/>
    <x v="0"/>
    <x v="33"/>
    <x v="1"/>
    <x v="1"/>
    <n v="481"/>
    <n v="5"/>
    <x v="1"/>
    <x v="0"/>
  </r>
  <r>
    <x v="1457"/>
    <n v="2"/>
    <x v="0"/>
    <n v="519"/>
    <x v="18"/>
    <x v="11"/>
    <x v="64"/>
    <x v="1"/>
    <x v="4"/>
    <n v="492"/>
    <n v="3"/>
    <x v="0"/>
    <x v="0"/>
  </r>
  <r>
    <x v="1458"/>
    <n v="2"/>
    <x v="0"/>
    <n v="662"/>
    <x v="46"/>
    <x v="0"/>
    <x v="4"/>
    <x v="1"/>
    <x v="3"/>
    <n v="462"/>
    <n v="2"/>
    <x v="1"/>
    <x v="1"/>
  </r>
  <r>
    <x v="1459"/>
    <n v="2"/>
    <x v="0"/>
    <n v="519"/>
    <x v="3"/>
    <x v="26"/>
    <x v="3"/>
    <x v="1"/>
    <x v="4"/>
    <n v="475.5"/>
    <n v="5"/>
    <x v="3"/>
    <x v="1"/>
  </r>
  <r>
    <x v="1460"/>
    <n v="1"/>
    <x v="2"/>
    <n v="579"/>
    <x v="32"/>
    <x v="71"/>
    <x v="47"/>
    <x v="1"/>
    <x v="4"/>
    <n v="688"/>
    <n v="8"/>
    <x v="7"/>
    <x v="0"/>
  </r>
  <r>
    <x v="1461"/>
    <n v="2"/>
    <x v="2"/>
    <n v="661"/>
    <x v="69"/>
    <x v="59"/>
    <x v="3"/>
    <x v="77"/>
    <x v="1"/>
    <n v="667"/>
    <n v="9"/>
    <x v="10"/>
    <x v="3"/>
  </r>
  <r>
    <x v="1462"/>
    <n v="2"/>
    <x v="1"/>
    <n v="599"/>
    <x v="13"/>
    <x v="47"/>
    <x v="45"/>
    <x v="18"/>
    <x v="3"/>
    <n v="602.5"/>
    <n v="9"/>
    <x v="9"/>
    <x v="4"/>
  </r>
  <r>
    <x v="1463"/>
    <n v="2"/>
    <x v="2"/>
    <n v="517"/>
    <x v="63"/>
    <x v="34"/>
    <x v="74"/>
    <x v="1"/>
    <x v="3"/>
    <n v="644.5"/>
    <n v="0"/>
    <x v="5"/>
    <x v="2"/>
  </r>
  <r>
    <x v="1464"/>
    <n v="2"/>
    <x v="2"/>
    <n v="496"/>
    <x v="70"/>
    <x v="10"/>
    <x v="3"/>
    <x v="62"/>
    <x v="4"/>
    <n v="647"/>
    <n v="9"/>
    <x v="7"/>
    <x v="2"/>
  </r>
  <r>
    <x v="1465"/>
    <n v="1"/>
    <x v="2"/>
    <n v="702"/>
    <x v="57"/>
    <x v="65"/>
    <x v="45"/>
    <x v="46"/>
    <x v="3"/>
    <n v="653"/>
    <n v="9"/>
    <x v="7"/>
    <x v="1"/>
  </r>
  <r>
    <x v="1466"/>
    <n v="2"/>
    <x v="2"/>
    <n v="599"/>
    <x v="70"/>
    <x v="70"/>
    <x v="67"/>
    <x v="1"/>
    <x v="0"/>
    <n v="645.5"/>
    <n v="0"/>
    <x v="5"/>
    <x v="1"/>
  </r>
  <r>
    <x v="1467"/>
    <n v="2"/>
    <x v="0"/>
    <n v="580"/>
    <x v="9"/>
    <x v="8"/>
    <x v="61"/>
    <x v="1"/>
    <x v="4"/>
    <n v="444.5"/>
    <n v="2"/>
    <x v="2"/>
    <x v="0"/>
  </r>
  <r>
    <x v="1468"/>
    <n v="2"/>
    <x v="1"/>
    <n v="517"/>
    <x v="2"/>
    <x v="7"/>
    <x v="3"/>
    <x v="77"/>
    <x v="9"/>
    <n v="565"/>
    <n v="3"/>
    <x v="3"/>
    <x v="0"/>
  </r>
  <r>
    <x v="1469"/>
    <n v="2"/>
    <x v="0"/>
    <n v="558"/>
    <x v="43"/>
    <x v="3"/>
    <x v="34"/>
    <x v="1"/>
    <x v="4"/>
    <n v="458"/>
    <n v="5"/>
    <x v="3"/>
    <x v="1"/>
  </r>
  <r>
    <x v="1470"/>
    <n v="1"/>
    <x v="1"/>
    <n v="599"/>
    <x v="32"/>
    <x v="63"/>
    <x v="48"/>
    <x v="33"/>
    <x v="6"/>
    <n v="661.5"/>
    <n v="9"/>
    <x v="9"/>
    <x v="1"/>
  </r>
  <r>
    <x v="1471"/>
    <n v="1"/>
    <x v="2"/>
    <n v="744"/>
    <x v="39"/>
    <x v="77"/>
    <x v="58"/>
    <x v="56"/>
    <x v="0"/>
    <n v="762.5"/>
    <n v="9"/>
    <x v="3"/>
    <x v="3"/>
  </r>
  <r>
    <x v="1472"/>
    <n v="1"/>
    <x v="2"/>
    <n v="579"/>
    <x v="1"/>
    <x v="71"/>
    <x v="3"/>
    <x v="64"/>
    <x v="9"/>
    <n v="673"/>
    <n v="9"/>
    <x v="7"/>
    <x v="5"/>
  </r>
  <r>
    <x v="1473"/>
    <n v="2"/>
    <x v="2"/>
    <n v="435"/>
    <x v="19"/>
    <x v="19"/>
    <x v="51"/>
    <x v="1"/>
    <x v="4"/>
    <n v="522.5"/>
    <n v="5"/>
    <x v="3"/>
    <x v="5"/>
  </r>
  <r>
    <x v="1474"/>
    <n v="2"/>
    <x v="0"/>
    <n v="481"/>
    <x v="5"/>
    <x v="8"/>
    <x v="38"/>
    <x v="1"/>
    <x v="4"/>
    <n v="441.5"/>
    <n v="3"/>
    <x v="0"/>
    <x v="0"/>
  </r>
  <r>
    <x v="1475"/>
    <n v="1"/>
    <x v="0"/>
    <n v="641"/>
    <x v="5"/>
    <x v="18"/>
    <x v="9"/>
    <x v="1"/>
    <x v="1"/>
    <n v="470"/>
    <n v="5"/>
    <x v="3"/>
    <x v="1"/>
  </r>
  <r>
    <x v="1476"/>
    <n v="1"/>
    <x v="0"/>
    <n v="496"/>
    <x v="10"/>
    <x v="13"/>
    <x v="3"/>
    <x v="18"/>
    <x v="7"/>
    <n v="528.5"/>
    <n v="9"/>
    <x v="7"/>
    <x v="3"/>
  </r>
  <r>
    <x v="1477"/>
    <n v="1"/>
    <x v="1"/>
    <n v="599"/>
    <x v="22"/>
    <x v="10"/>
    <x v="2"/>
    <x v="1"/>
    <x v="1"/>
    <n v="629"/>
    <n v="8"/>
    <x v="7"/>
    <x v="3"/>
  </r>
  <r>
    <x v="1478"/>
    <n v="2"/>
    <x v="0"/>
    <n v="478"/>
    <x v="66"/>
    <x v="16"/>
    <x v="29"/>
    <x v="1"/>
    <x v="1"/>
    <n v="448"/>
    <n v="3"/>
    <x v="0"/>
    <x v="0"/>
  </r>
  <r>
    <x v="1479"/>
    <n v="1"/>
    <x v="0"/>
    <n v="376"/>
    <x v="38"/>
    <x v="5"/>
    <x v="20"/>
    <x v="1"/>
    <x v="4"/>
    <n v="403"/>
    <n v="5"/>
    <x v="1"/>
    <x v="0"/>
  </r>
  <r>
    <x v="1480"/>
    <n v="2"/>
    <x v="2"/>
    <n v="455"/>
    <x v="10"/>
    <x v="43"/>
    <x v="3"/>
    <x v="3"/>
    <x v="1"/>
    <n v="539.5"/>
    <n v="9"/>
    <x v="7"/>
    <x v="3"/>
  </r>
  <r>
    <x v="1481"/>
    <n v="1"/>
    <x v="0"/>
    <n v="723"/>
    <x v="2"/>
    <x v="67"/>
    <x v="3"/>
    <x v="71"/>
    <x v="6"/>
    <n v="643"/>
    <n v="9"/>
    <x v="7"/>
    <x v="0"/>
  </r>
  <r>
    <x v="1482"/>
    <n v="2"/>
    <x v="2"/>
    <n v="744"/>
    <x v="60"/>
    <x v="54"/>
    <x v="3"/>
    <x v="63"/>
    <x v="6"/>
    <n v="727.5"/>
    <n v="5"/>
    <x v="3"/>
    <x v="1"/>
  </r>
  <r>
    <x v="1483"/>
    <n v="1"/>
    <x v="2"/>
    <n v="805"/>
    <x v="72"/>
    <x v="1"/>
    <x v="3"/>
    <x v="66"/>
    <x v="4"/>
    <n v="803.5"/>
    <n v="9"/>
    <x v="7"/>
    <x v="1"/>
  </r>
  <r>
    <x v="1484"/>
    <n v="1"/>
    <x v="1"/>
    <n v="579"/>
    <x v="54"/>
    <x v="54"/>
    <x v="3"/>
    <x v="13"/>
    <x v="6"/>
    <n v="670"/>
    <n v="2"/>
    <x v="1"/>
    <x v="0"/>
  </r>
  <r>
    <x v="1485"/>
    <n v="1"/>
    <x v="0"/>
    <n v="476"/>
    <x v="13"/>
    <x v="20"/>
    <x v="3"/>
    <x v="34"/>
    <x v="1"/>
    <n v="605"/>
    <n v="3"/>
    <x v="3"/>
    <x v="0"/>
  </r>
  <r>
    <x v="1486"/>
    <n v="1"/>
    <x v="1"/>
    <n v="440"/>
    <x v="36"/>
    <x v="31"/>
    <x v="34"/>
    <x v="1"/>
    <x v="4"/>
    <n v="405"/>
    <n v="5"/>
    <x v="3"/>
    <x v="0"/>
  </r>
  <r>
    <x v="1487"/>
    <n v="2"/>
    <x v="1"/>
    <n v="702"/>
    <x v="52"/>
    <x v="34"/>
    <x v="60"/>
    <x v="1"/>
    <x v="5"/>
    <n v="654.5"/>
    <n v="7"/>
    <x v="1"/>
    <x v="1"/>
  </r>
  <r>
    <x v="1488"/>
    <n v="2"/>
    <x v="1"/>
    <n v="682"/>
    <x v="22"/>
    <x v="56"/>
    <x v="70"/>
    <x v="1"/>
    <x v="4"/>
    <n v="622"/>
    <n v="8"/>
    <x v="7"/>
    <x v="2"/>
  </r>
  <r>
    <x v="1489"/>
    <n v="2"/>
    <x v="1"/>
    <n v="435"/>
    <x v="14"/>
    <x v="55"/>
    <x v="31"/>
    <x v="21"/>
    <x v="4"/>
    <n v="362"/>
    <n v="5"/>
    <x v="10"/>
    <x v="1"/>
  </r>
  <r>
    <x v="1490"/>
    <n v="1"/>
    <x v="1"/>
    <n v="476"/>
    <x v="43"/>
    <x v="58"/>
    <x v="3"/>
    <x v="52"/>
    <x v="1"/>
    <n v="500.5"/>
    <n v="8"/>
    <x v="10"/>
    <x v="1"/>
  </r>
  <r>
    <x v="1491"/>
    <n v="2"/>
    <x v="1"/>
    <n v="437"/>
    <x v="8"/>
    <x v="78"/>
    <x v="56"/>
    <x v="2"/>
    <x v="4"/>
    <n v="231.5"/>
    <n v="4"/>
    <x v="2"/>
    <x v="0"/>
  </r>
  <r>
    <x v="1492"/>
    <n v="1"/>
    <x v="0"/>
    <n v="373"/>
    <x v="35"/>
    <x v="31"/>
    <x v="34"/>
    <x v="1"/>
    <x v="0"/>
    <n v="379"/>
    <n v="0"/>
    <x v="5"/>
    <x v="0"/>
  </r>
  <r>
    <x v="1493"/>
    <n v="2"/>
    <x v="1"/>
    <n v="599"/>
    <x v="5"/>
    <x v="23"/>
    <x v="64"/>
    <x v="45"/>
    <x v="1"/>
    <n v="524"/>
    <n v="5"/>
    <x v="3"/>
    <x v="1"/>
  </r>
  <r>
    <x v="1494"/>
    <n v="2"/>
    <x v="0"/>
    <n v="620"/>
    <x v="25"/>
    <x v="24"/>
    <x v="3"/>
    <x v="58"/>
    <x v="1"/>
    <n v="534"/>
    <n v="5"/>
    <x v="2"/>
    <x v="0"/>
  </r>
  <r>
    <x v="1495"/>
    <n v="1"/>
    <x v="1"/>
    <n v="476"/>
    <x v="30"/>
    <x v="43"/>
    <x v="23"/>
    <x v="1"/>
    <x v="6"/>
    <n v="560.5"/>
    <n v="0"/>
    <x v="5"/>
    <x v="0"/>
  </r>
  <r>
    <x v="1496"/>
    <n v="2"/>
    <x v="1"/>
    <n v="496"/>
    <x v="52"/>
    <x v="2"/>
    <x v="58"/>
    <x v="1"/>
    <x v="3"/>
    <n v="627"/>
    <n v="9"/>
    <x v="10"/>
    <x v="1"/>
  </r>
  <r>
    <x v="1497"/>
    <n v="2"/>
    <x v="0"/>
    <n v="538"/>
    <x v="17"/>
    <x v="8"/>
    <x v="3"/>
    <x v="0"/>
    <x v="1"/>
    <n v="405"/>
    <n v="8"/>
    <x v="9"/>
    <x v="0"/>
  </r>
  <r>
    <x v="1498"/>
    <n v="1"/>
    <x v="0"/>
    <n v="517"/>
    <x v="33"/>
    <x v="39"/>
    <x v="61"/>
    <x v="1"/>
    <x v="1"/>
    <n v="540"/>
    <n v="3"/>
    <x v="3"/>
    <x v="1"/>
  </r>
  <r>
    <x v="1499"/>
    <n v="2"/>
    <x v="1"/>
    <n v="499"/>
    <x v="4"/>
    <x v="4"/>
    <x v="3"/>
    <x v="1"/>
    <x v="4"/>
    <n v="0"/>
    <n v="4"/>
    <x v="1"/>
    <x v="0"/>
  </r>
  <r>
    <x v="1500"/>
    <n v="1"/>
    <x v="1"/>
    <n v="476"/>
    <x v="31"/>
    <x v="8"/>
    <x v="15"/>
    <x v="1"/>
    <x v="4"/>
    <n v="400.5"/>
    <n v="9"/>
    <x v="10"/>
    <x v="1"/>
  </r>
  <r>
    <x v="1501"/>
    <n v="2"/>
    <x v="0"/>
    <n v="580"/>
    <x v="10"/>
    <x v="33"/>
    <x v="27"/>
    <x v="1"/>
    <x v="6"/>
    <n v="492.5"/>
    <n v="2"/>
    <x v="2"/>
    <x v="0"/>
  </r>
  <r>
    <x v="1502"/>
    <n v="1"/>
    <x v="1"/>
    <n v="661"/>
    <x v="33"/>
    <x v="49"/>
    <x v="3"/>
    <x v="49"/>
    <x v="4"/>
    <n v="609"/>
    <n v="5"/>
    <x v="7"/>
    <x v="1"/>
  </r>
  <r>
    <x v="1503"/>
    <n v="1"/>
    <x v="1"/>
    <n v="620"/>
    <x v="9"/>
    <x v="32"/>
    <x v="3"/>
    <x v="12"/>
    <x v="1"/>
    <n v="561"/>
    <n v="5"/>
    <x v="3"/>
    <x v="1"/>
  </r>
  <r>
    <x v="1504"/>
    <n v="2"/>
    <x v="1"/>
    <n v="723"/>
    <x v="47"/>
    <x v="47"/>
    <x v="3"/>
    <x v="52"/>
    <x v="1"/>
    <n v="592.5"/>
    <n v="9"/>
    <x v="3"/>
    <x v="3"/>
  </r>
  <r>
    <x v="1505"/>
    <n v="1"/>
    <x v="0"/>
    <n v="499"/>
    <x v="14"/>
    <x v="3"/>
    <x v="18"/>
    <x v="1"/>
    <x v="1"/>
    <n v="474"/>
    <n v="5"/>
    <x v="1"/>
    <x v="0"/>
  </r>
  <r>
    <x v="1506"/>
    <n v="1"/>
    <x v="1"/>
    <n v="476"/>
    <x v="33"/>
    <x v="61"/>
    <x v="63"/>
    <x v="1"/>
    <x v="1"/>
    <n v="568"/>
    <n v="7"/>
    <x v="10"/>
    <x v="1"/>
  </r>
  <r>
    <x v="1507"/>
    <n v="1"/>
    <x v="1"/>
    <n v="435"/>
    <x v="44"/>
    <x v="25"/>
    <x v="3"/>
    <x v="45"/>
    <x v="3"/>
    <n v="511"/>
    <n v="9"/>
    <x v="7"/>
    <x v="1"/>
  </r>
  <r>
    <x v="1508"/>
    <n v="2"/>
    <x v="0"/>
    <n v="352"/>
    <x v="46"/>
    <x v="5"/>
    <x v="11"/>
    <x v="1"/>
    <x v="1"/>
    <n v="455.5"/>
    <n v="4"/>
    <x v="0"/>
    <x v="0"/>
  </r>
  <r>
    <x v="1509"/>
    <n v="1"/>
    <x v="0"/>
    <n v="0"/>
    <x v="4"/>
    <x v="4"/>
    <x v="3"/>
    <x v="1"/>
    <x v="6"/>
    <n v="0"/>
    <n v="3"/>
    <x v="0"/>
    <x v="0"/>
  </r>
  <r>
    <x v="1510"/>
    <n v="1"/>
    <x v="1"/>
    <n v="661"/>
    <x v="54"/>
    <x v="52"/>
    <x v="3"/>
    <x v="53"/>
    <x v="1"/>
    <n v="599"/>
    <n v="9"/>
    <x v="6"/>
    <x v="1"/>
  </r>
  <r>
    <x v="1511"/>
    <n v="1"/>
    <x v="1"/>
    <n v="0"/>
    <x v="56"/>
    <x v="8"/>
    <x v="50"/>
    <x v="1"/>
    <x v="4"/>
    <n v="342.5"/>
    <n v="4"/>
    <x v="1"/>
    <x v="1"/>
  </r>
  <r>
    <x v="1512"/>
    <n v="1"/>
    <x v="0"/>
    <n v="538"/>
    <x v="10"/>
    <x v="39"/>
    <x v="3"/>
    <x v="44"/>
    <x v="3"/>
    <n v="514"/>
    <n v="8"/>
    <x v="9"/>
    <x v="1"/>
  </r>
  <r>
    <x v="1513"/>
    <n v="1"/>
    <x v="0"/>
    <n v="620"/>
    <x v="21"/>
    <x v="8"/>
    <x v="45"/>
    <x v="1"/>
    <x v="1"/>
    <n v="463"/>
    <n v="5"/>
    <x v="1"/>
    <x v="0"/>
  </r>
  <r>
    <x v="1514"/>
    <n v="1"/>
    <x v="1"/>
    <n v="435"/>
    <x v="10"/>
    <x v="27"/>
    <x v="62"/>
    <x v="21"/>
    <x v="3"/>
    <n v="520.5"/>
    <n v="8"/>
    <x v="7"/>
    <x v="1"/>
  </r>
  <r>
    <x v="1515"/>
    <n v="1"/>
    <x v="0"/>
    <n v="417"/>
    <x v="43"/>
    <x v="35"/>
    <x v="39"/>
    <x v="1"/>
    <x v="4"/>
    <n v="398.5"/>
    <n v="4"/>
    <x v="7"/>
    <x v="0"/>
  </r>
  <r>
    <x v="1516"/>
    <n v="1"/>
    <x v="0"/>
    <n v="661"/>
    <x v="11"/>
    <x v="25"/>
    <x v="31"/>
    <x v="1"/>
    <x v="1"/>
    <n v="491.5"/>
    <n v="5"/>
    <x v="7"/>
    <x v="1"/>
  </r>
  <r>
    <x v="1517"/>
    <n v="2"/>
    <x v="0"/>
    <n v="661"/>
    <x v="13"/>
    <x v="7"/>
    <x v="69"/>
    <x v="1"/>
    <x v="5"/>
    <n v="572.5"/>
    <n v="5"/>
    <x v="3"/>
    <x v="0"/>
  </r>
  <r>
    <x v="1518"/>
    <n v="2"/>
    <x v="1"/>
    <n v="641"/>
    <x v="2"/>
    <x v="60"/>
    <x v="44"/>
    <x v="50"/>
    <x v="4"/>
    <n v="593.5"/>
    <n v="3"/>
    <x v="3"/>
    <x v="0"/>
  </r>
  <r>
    <x v="1519"/>
    <n v="2"/>
    <x v="2"/>
    <n v="744"/>
    <x v="60"/>
    <x v="36"/>
    <x v="14"/>
    <x v="1"/>
    <x v="0"/>
    <n v="682.5"/>
    <n v="0"/>
    <x v="5"/>
    <x v="3"/>
  </r>
  <r>
    <x v="1520"/>
    <n v="1"/>
    <x v="1"/>
    <n v="682"/>
    <x v="67"/>
    <x v="46"/>
    <x v="3"/>
    <x v="13"/>
    <x v="6"/>
    <n v="657.5"/>
    <n v="5"/>
    <x v="10"/>
    <x v="0"/>
  </r>
  <r>
    <x v="1521"/>
    <n v="2"/>
    <x v="0"/>
    <n v="661"/>
    <x v="32"/>
    <x v="14"/>
    <x v="1"/>
    <x v="1"/>
    <x v="5"/>
    <n v="636"/>
    <n v="0"/>
    <x v="7"/>
    <x v="1"/>
  </r>
  <r>
    <x v="1522"/>
    <n v="1"/>
    <x v="1"/>
    <n v="599"/>
    <x v="69"/>
    <x v="54"/>
    <x v="40"/>
    <x v="8"/>
    <x v="6"/>
    <n v="703"/>
    <n v="5"/>
    <x v="1"/>
    <x v="1"/>
  </r>
  <r>
    <x v="1523"/>
    <n v="1"/>
    <x v="1"/>
    <n v="476"/>
    <x v="74"/>
    <x v="34"/>
    <x v="1"/>
    <x v="0"/>
    <x v="4"/>
    <n v="611.5"/>
    <n v="8"/>
    <x v="3"/>
    <x v="1"/>
  </r>
  <r>
    <x v="1524"/>
    <n v="2"/>
    <x v="0"/>
    <n v="539"/>
    <x v="4"/>
    <x v="4"/>
    <x v="3"/>
    <x v="1"/>
    <x v="7"/>
    <n v="0"/>
    <n v="4"/>
    <x v="1"/>
    <x v="0"/>
  </r>
  <r>
    <x v="1525"/>
    <n v="2"/>
    <x v="0"/>
    <n v="435"/>
    <x v="51"/>
    <x v="5"/>
    <x v="3"/>
    <x v="42"/>
    <x v="9"/>
    <n v="425"/>
    <n v="4"/>
    <x v="3"/>
    <x v="0"/>
  </r>
  <r>
    <x v="1526"/>
    <n v="1"/>
    <x v="0"/>
    <n v="435"/>
    <x v="34"/>
    <x v="3"/>
    <x v="50"/>
    <x v="1"/>
    <x v="4"/>
    <n v="461.5"/>
    <n v="7"/>
    <x v="3"/>
    <x v="1"/>
  </r>
  <r>
    <x v="1527"/>
    <n v="2"/>
    <x v="2"/>
    <n v="682"/>
    <x v="69"/>
    <x v="15"/>
    <x v="67"/>
    <x v="78"/>
    <x v="6"/>
    <n v="693.5"/>
    <n v="9"/>
    <x v="7"/>
    <x v="5"/>
  </r>
  <r>
    <x v="1528"/>
    <n v="1"/>
    <x v="0"/>
    <n v="437"/>
    <x v="36"/>
    <x v="5"/>
    <x v="30"/>
    <x v="1"/>
    <x v="6"/>
    <n v="412.5"/>
    <n v="2"/>
    <x v="0"/>
    <x v="0"/>
  </r>
  <r>
    <x v="1529"/>
    <n v="2"/>
    <x v="0"/>
    <n v="496"/>
    <x v="55"/>
    <x v="22"/>
    <x v="61"/>
    <x v="1"/>
    <x v="1"/>
    <n v="527"/>
    <n v="5"/>
    <x v="3"/>
    <x v="0"/>
  </r>
  <r>
    <x v="1530"/>
    <n v="2"/>
    <x v="1"/>
    <n v="478"/>
    <x v="43"/>
    <x v="12"/>
    <x v="64"/>
    <x v="1"/>
    <x v="1"/>
    <n v="410"/>
    <n v="1"/>
    <x v="1"/>
    <x v="0"/>
  </r>
  <r>
    <x v="1531"/>
    <n v="2"/>
    <x v="1"/>
    <n v="641"/>
    <x v="18"/>
    <x v="37"/>
    <x v="20"/>
    <x v="35"/>
    <x v="1"/>
    <n v="513.5"/>
    <n v="0"/>
    <x v="7"/>
    <x v="1"/>
  </r>
  <r>
    <x v="1532"/>
    <n v="2"/>
    <x v="1"/>
    <n v="0"/>
    <x v="4"/>
    <x v="4"/>
    <x v="3"/>
    <x v="1"/>
    <x v="4"/>
    <n v="0"/>
    <n v="3"/>
    <x v="2"/>
    <x v="0"/>
  </r>
  <r>
    <x v="1533"/>
    <n v="2"/>
    <x v="0"/>
    <n v="599"/>
    <x v="27"/>
    <x v="16"/>
    <x v="1"/>
    <x v="1"/>
    <x v="1"/>
    <n v="563"/>
    <n v="2"/>
    <x v="2"/>
    <x v="0"/>
  </r>
  <r>
    <x v="1534"/>
    <n v="2"/>
    <x v="0"/>
    <n v="499"/>
    <x v="12"/>
    <x v="37"/>
    <x v="18"/>
    <x v="1"/>
    <x v="1"/>
    <n v="436.5"/>
    <n v="5"/>
    <x v="3"/>
    <x v="0"/>
  </r>
  <r>
    <x v="1535"/>
    <n v="1"/>
    <x v="1"/>
    <n v="682"/>
    <x v="27"/>
    <x v="60"/>
    <x v="3"/>
    <x v="13"/>
    <x v="4"/>
    <n v="596"/>
    <n v="8"/>
    <x v="9"/>
    <x v="1"/>
  </r>
  <r>
    <x v="1536"/>
    <n v="2"/>
    <x v="0"/>
    <n v="476"/>
    <x v="17"/>
    <x v="35"/>
    <x v="50"/>
    <x v="1"/>
    <x v="7"/>
    <n v="384"/>
    <n v="3"/>
    <x v="0"/>
    <x v="0"/>
  </r>
  <r>
    <x v="1537"/>
    <n v="2"/>
    <x v="0"/>
    <n v="579"/>
    <x v="14"/>
    <x v="19"/>
    <x v="18"/>
    <x v="2"/>
    <x v="4"/>
    <n v="485"/>
    <n v="10"/>
    <x v="1"/>
    <x v="0"/>
  </r>
  <r>
    <x v="1538"/>
    <n v="1"/>
    <x v="0"/>
    <n v="476"/>
    <x v="33"/>
    <x v="20"/>
    <x v="3"/>
    <x v="3"/>
    <x v="3"/>
    <n v="585.5"/>
    <n v="5"/>
    <x v="3"/>
    <x v="0"/>
  </r>
  <r>
    <x v="1539"/>
    <n v="2"/>
    <x v="1"/>
    <n v="579"/>
    <x v="25"/>
    <x v="58"/>
    <x v="27"/>
    <x v="33"/>
    <x v="4"/>
    <n v="562"/>
    <n v="5"/>
    <x v="3"/>
    <x v="1"/>
  </r>
  <r>
    <x v="1540"/>
    <n v="1"/>
    <x v="0"/>
    <n v="499"/>
    <x v="4"/>
    <x v="4"/>
    <x v="3"/>
    <x v="1"/>
    <x v="1"/>
    <n v="0"/>
    <n v="0"/>
    <x v="3"/>
    <x v="0"/>
  </r>
  <r>
    <x v="1541"/>
    <n v="1"/>
    <x v="0"/>
    <n v="620"/>
    <x v="53"/>
    <x v="42"/>
    <x v="37"/>
    <x v="43"/>
    <x v="3"/>
    <n v="636"/>
    <n v="9"/>
    <x v="7"/>
    <x v="1"/>
  </r>
  <r>
    <x v="1542"/>
    <n v="2"/>
    <x v="1"/>
    <n v="560"/>
    <x v="14"/>
    <x v="78"/>
    <x v="3"/>
    <x v="23"/>
    <x v="3"/>
    <n v="347.5"/>
    <n v="4"/>
    <x v="1"/>
    <x v="0"/>
  </r>
  <r>
    <x v="1543"/>
    <n v="2"/>
    <x v="0"/>
    <n v="682"/>
    <x v="27"/>
    <x v="23"/>
    <x v="70"/>
    <x v="15"/>
    <x v="6"/>
    <n v="573"/>
    <n v="4"/>
    <x v="3"/>
    <x v="0"/>
  </r>
  <r>
    <x v="1544"/>
    <n v="1"/>
    <x v="1"/>
    <n v="496"/>
    <x v="19"/>
    <x v="60"/>
    <x v="24"/>
    <x v="67"/>
    <x v="3"/>
    <n v="578.5"/>
    <n v="7"/>
    <x v="10"/>
    <x v="3"/>
  </r>
  <r>
    <x v="1545"/>
    <n v="1"/>
    <x v="0"/>
    <n v="599"/>
    <x v="48"/>
    <x v="44"/>
    <x v="27"/>
    <x v="6"/>
    <x v="4"/>
    <n v="586"/>
    <n v="8"/>
    <x v="1"/>
    <x v="0"/>
  </r>
  <r>
    <x v="1546"/>
    <n v="2"/>
    <x v="1"/>
    <n v="476"/>
    <x v="53"/>
    <x v="39"/>
    <x v="43"/>
    <x v="1"/>
    <x v="4"/>
    <n v="579.5"/>
    <n v="5"/>
    <x v="3"/>
    <x v="3"/>
  </r>
  <r>
    <x v="1547"/>
    <n v="1"/>
    <x v="2"/>
    <n v="723"/>
    <x v="60"/>
    <x v="41"/>
    <x v="58"/>
    <x v="57"/>
    <x v="0"/>
    <n v="740"/>
    <n v="0"/>
    <x v="5"/>
    <x v="3"/>
  </r>
  <r>
    <x v="1548"/>
    <n v="1"/>
    <x v="2"/>
    <n v="414"/>
    <x v="25"/>
    <x v="60"/>
    <x v="3"/>
    <x v="68"/>
    <x v="0"/>
    <n v="586.5"/>
    <n v="0"/>
    <x v="5"/>
    <x v="5"/>
  </r>
  <r>
    <x v="1549"/>
    <n v="1"/>
    <x v="1"/>
    <n v="620"/>
    <x v="62"/>
    <x v="21"/>
    <x v="76"/>
    <x v="1"/>
    <x v="5"/>
    <n v="682"/>
    <n v="0"/>
    <x v="10"/>
    <x v="0"/>
  </r>
  <r>
    <x v="1550"/>
    <n v="2"/>
    <x v="0"/>
    <n v="437"/>
    <x v="4"/>
    <x v="4"/>
    <x v="3"/>
    <x v="1"/>
    <x v="1"/>
    <n v="0"/>
    <n v="5"/>
    <x v="1"/>
    <x v="1"/>
  </r>
  <r>
    <x v="1551"/>
    <n v="2"/>
    <x v="0"/>
    <n v="599"/>
    <x v="14"/>
    <x v="4"/>
    <x v="3"/>
    <x v="1"/>
    <x v="9"/>
    <n v="238"/>
    <n v="2"/>
    <x v="0"/>
    <x v="0"/>
  </r>
  <r>
    <x v="1552"/>
    <n v="2"/>
    <x v="0"/>
    <n v="599"/>
    <x v="22"/>
    <x v="2"/>
    <x v="70"/>
    <x v="27"/>
    <x v="6"/>
    <n v="591"/>
    <n v="5"/>
    <x v="3"/>
    <x v="0"/>
  </r>
  <r>
    <x v="1553"/>
    <n v="2"/>
    <x v="1"/>
    <n v="397"/>
    <x v="37"/>
    <x v="55"/>
    <x v="3"/>
    <x v="9"/>
    <x v="0"/>
    <n v="290.5"/>
    <n v="0"/>
    <x v="5"/>
    <x v="0"/>
  </r>
  <r>
    <x v="1554"/>
    <n v="1"/>
    <x v="1"/>
    <n v="620"/>
    <x v="70"/>
    <x v="36"/>
    <x v="3"/>
    <x v="60"/>
    <x v="4"/>
    <n v="669.5"/>
    <n v="4"/>
    <x v="3"/>
    <x v="0"/>
  </r>
  <r>
    <x v="1555"/>
    <n v="1"/>
    <x v="0"/>
    <n v="744"/>
    <x v="69"/>
    <x v="7"/>
    <x v="42"/>
    <x v="1"/>
    <x v="1"/>
    <n v="608.5"/>
    <n v="5"/>
    <x v="1"/>
    <x v="0"/>
  </r>
  <r>
    <x v="1556"/>
    <n v="1"/>
    <x v="0"/>
    <n v="435"/>
    <x v="47"/>
    <x v="23"/>
    <x v="16"/>
    <x v="1"/>
    <x v="1"/>
    <n v="568"/>
    <n v="5"/>
    <x v="1"/>
    <x v="0"/>
  </r>
  <r>
    <x v="1557"/>
    <n v="2"/>
    <x v="0"/>
    <n v="476"/>
    <x v="24"/>
    <x v="3"/>
    <x v="30"/>
    <x v="1"/>
    <x v="1"/>
    <n v="494"/>
    <n v="5"/>
    <x v="3"/>
    <x v="0"/>
  </r>
  <r>
    <x v="1558"/>
    <n v="2"/>
    <x v="2"/>
    <n v="744"/>
    <x v="69"/>
    <x v="36"/>
    <x v="76"/>
    <x v="1"/>
    <x v="1"/>
    <n v="658"/>
    <n v="9"/>
    <x v="10"/>
    <x v="3"/>
  </r>
  <r>
    <x v="1559"/>
    <n v="2"/>
    <x v="0"/>
    <n v="538"/>
    <x v="11"/>
    <x v="31"/>
    <x v="61"/>
    <x v="1"/>
    <x v="4"/>
    <n v="442"/>
    <n v="4"/>
    <x v="3"/>
    <x v="0"/>
  </r>
  <r>
    <x v="1560"/>
    <n v="1"/>
    <x v="1"/>
    <n v="744"/>
    <x v="6"/>
    <x v="69"/>
    <x v="3"/>
    <x v="10"/>
    <x v="5"/>
    <n v="663"/>
    <n v="5"/>
    <x v="10"/>
    <x v="0"/>
  </r>
  <r>
    <x v="1561"/>
    <n v="2"/>
    <x v="0"/>
    <n v="455"/>
    <x v="34"/>
    <x v="33"/>
    <x v="7"/>
    <x v="1"/>
    <x v="0"/>
    <n v="465.5"/>
    <n v="0"/>
    <x v="5"/>
    <x v="0"/>
  </r>
  <r>
    <x v="1562"/>
    <n v="2"/>
    <x v="0"/>
    <n v="579"/>
    <x v="43"/>
    <x v="3"/>
    <x v="41"/>
    <x v="21"/>
    <x v="6"/>
    <n v="458"/>
    <n v="4"/>
    <x v="3"/>
    <x v="0"/>
  </r>
  <r>
    <x v="1563"/>
    <n v="1"/>
    <x v="0"/>
    <n v="393"/>
    <x v="9"/>
    <x v="31"/>
    <x v="3"/>
    <x v="2"/>
    <x v="1"/>
    <n v="453.5"/>
    <n v="5"/>
    <x v="2"/>
    <x v="1"/>
  </r>
  <r>
    <x v="1564"/>
    <n v="1"/>
    <x v="0"/>
    <n v="620"/>
    <x v="59"/>
    <x v="74"/>
    <x v="3"/>
    <x v="58"/>
    <x v="4"/>
    <n v="580"/>
    <n v="7"/>
    <x v="3"/>
    <x v="1"/>
  </r>
  <r>
    <x v="1565"/>
    <n v="1"/>
    <x v="0"/>
    <n v="496"/>
    <x v="36"/>
    <x v="18"/>
    <x v="30"/>
    <x v="1"/>
    <x v="4"/>
    <n v="424.5"/>
    <n v="5"/>
    <x v="1"/>
    <x v="1"/>
  </r>
  <r>
    <x v="1566"/>
    <n v="1"/>
    <x v="1"/>
    <n v="599"/>
    <x v="13"/>
    <x v="52"/>
    <x v="3"/>
    <x v="26"/>
    <x v="1"/>
    <n v="596"/>
    <n v="7"/>
    <x v="6"/>
    <x v="1"/>
  </r>
  <r>
    <x v="1567"/>
    <n v="1"/>
    <x v="1"/>
    <n v="496"/>
    <x v="30"/>
    <x v="37"/>
    <x v="48"/>
    <x v="1"/>
    <x v="1"/>
    <n v="526.5"/>
    <n v="9"/>
    <x v="7"/>
    <x v="3"/>
  </r>
  <r>
    <x v="1568"/>
    <n v="1"/>
    <x v="0"/>
    <n v="558"/>
    <x v="41"/>
    <x v="27"/>
    <x v="3"/>
    <x v="27"/>
    <x v="4"/>
    <n v="483"/>
    <n v="2"/>
    <x v="3"/>
    <x v="0"/>
  </r>
  <r>
    <x v="1569"/>
    <n v="1"/>
    <x v="0"/>
    <n v="641"/>
    <x v="54"/>
    <x v="23"/>
    <x v="1"/>
    <x v="1"/>
    <x v="4"/>
    <n v="581"/>
    <n v="9"/>
    <x v="1"/>
    <x v="1"/>
  </r>
  <r>
    <x v="1570"/>
    <n v="2"/>
    <x v="0"/>
    <n v="620"/>
    <x v="18"/>
    <x v="74"/>
    <x v="3"/>
    <x v="15"/>
    <x v="0"/>
    <n v="544.5"/>
    <n v="0"/>
    <x v="5"/>
    <x v="0"/>
  </r>
  <r>
    <x v="1571"/>
    <n v="2"/>
    <x v="0"/>
    <n v="458"/>
    <x v="12"/>
    <x v="31"/>
    <x v="3"/>
    <x v="9"/>
    <x v="1"/>
    <n v="390"/>
    <n v="5"/>
    <x v="1"/>
    <x v="0"/>
  </r>
  <r>
    <x v="1572"/>
    <n v="1"/>
    <x v="0"/>
    <n v="538"/>
    <x v="3"/>
    <x v="7"/>
    <x v="3"/>
    <x v="45"/>
    <x v="5"/>
    <n v="506.5"/>
    <n v="4"/>
    <x v="1"/>
    <x v="0"/>
  </r>
  <r>
    <x v="1573"/>
    <n v="2"/>
    <x v="1"/>
    <n v="641"/>
    <x v="48"/>
    <x v="3"/>
    <x v="48"/>
    <x v="1"/>
    <x v="1"/>
    <n v="506.5"/>
    <n v="4"/>
    <x v="2"/>
    <x v="0"/>
  </r>
  <r>
    <x v="1574"/>
    <n v="2"/>
    <x v="1"/>
    <n v="682"/>
    <x v="23"/>
    <x v="62"/>
    <x v="24"/>
    <x v="68"/>
    <x v="4"/>
    <n v="582"/>
    <n v="5"/>
    <x v="1"/>
    <x v="1"/>
  </r>
  <r>
    <x v="1575"/>
    <n v="2"/>
    <x v="0"/>
    <n v="373"/>
    <x v="35"/>
    <x v="11"/>
    <x v="41"/>
    <x v="1"/>
    <x v="4"/>
    <n v="404"/>
    <n v="2"/>
    <x v="2"/>
    <x v="0"/>
  </r>
  <r>
    <x v="1576"/>
    <n v="2"/>
    <x v="0"/>
    <n v="558"/>
    <x v="42"/>
    <x v="33"/>
    <x v="31"/>
    <x v="1"/>
    <x v="4"/>
    <n v="459"/>
    <n v="5"/>
    <x v="3"/>
    <x v="0"/>
  </r>
  <r>
    <x v="1577"/>
    <n v="1"/>
    <x v="0"/>
    <n v="455"/>
    <x v="11"/>
    <x v="8"/>
    <x v="27"/>
    <x v="1"/>
    <x v="4"/>
    <n v="433"/>
    <n v="8"/>
    <x v="3"/>
    <x v="4"/>
  </r>
  <r>
    <x v="1578"/>
    <n v="1"/>
    <x v="0"/>
    <n v="662"/>
    <x v="4"/>
    <x v="4"/>
    <x v="3"/>
    <x v="1"/>
    <x v="4"/>
    <n v="0"/>
    <n v="3"/>
    <x v="1"/>
    <x v="0"/>
  </r>
  <r>
    <x v="1579"/>
    <n v="1"/>
    <x v="0"/>
    <n v="641"/>
    <x v="67"/>
    <x v="47"/>
    <x v="60"/>
    <x v="1"/>
    <x v="1"/>
    <n v="619"/>
    <n v="4"/>
    <x v="0"/>
    <x v="0"/>
  </r>
  <r>
    <x v="1580"/>
    <n v="2"/>
    <x v="0"/>
    <n v="599"/>
    <x v="24"/>
    <x v="8"/>
    <x v="3"/>
    <x v="35"/>
    <x v="4"/>
    <n v="455.5"/>
    <n v="4"/>
    <x v="1"/>
    <x v="0"/>
  </r>
  <r>
    <x v="1581"/>
    <n v="2"/>
    <x v="2"/>
    <n v="579"/>
    <x v="59"/>
    <x v="21"/>
    <x v="51"/>
    <x v="1"/>
    <x v="1"/>
    <n v="604.5"/>
    <n v="9"/>
    <x v="7"/>
    <x v="5"/>
  </r>
  <r>
    <x v="1582"/>
    <n v="2"/>
    <x v="0"/>
    <n v="599"/>
    <x v="0"/>
    <x v="0"/>
    <x v="18"/>
    <x v="1"/>
    <x v="6"/>
    <n v="449.5"/>
    <n v="5"/>
    <x v="3"/>
    <x v="0"/>
  </r>
  <r>
    <x v="1583"/>
    <n v="1"/>
    <x v="0"/>
    <n v="458"/>
    <x v="38"/>
    <x v="24"/>
    <x v="53"/>
    <x v="1"/>
    <x v="3"/>
    <n v="439.5"/>
    <n v="2"/>
    <x v="2"/>
    <x v="0"/>
  </r>
  <r>
    <x v="1584"/>
    <n v="2"/>
    <x v="0"/>
    <n v="496"/>
    <x v="37"/>
    <x v="33"/>
    <x v="3"/>
    <x v="25"/>
    <x v="1"/>
    <n v="406.5"/>
    <n v="5"/>
    <x v="0"/>
    <x v="1"/>
  </r>
  <r>
    <x v="1585"/>
    <n v="2"/>
    <x v="0"/>
    <n v="661"/>
    <x v="40"/>
    <x v="34"/>
    <x v="3"/>
    <x v="16"/>
    <x v="6"/>
    <n v="571.5"/>
    <n v="0"/>
    <x v="5"/>
    <x v="0"/>
  </r>
  <r>
    <x v="1586"/>
    <n v="1"/>
    <x v="1"/>
    <n v="538"/>
    <x v="6"/>
    <x v="76"/>
    <x v="3"/>
    <x v="50"/>
    <x v="1"/>
    <n v="632.5"/>
    <n v="5"/>
    <x v="3"/>
    <x v="1"/>
  </r>
  <r>
    <x v="1587"/>
    <n v="1"/>
    <x v="1"/>
    <n v="764"/>
    <x v="16"/>
    <x v="69"/>
    <x v="77"/>
    <x v="1"/>
    <x v="1"/>
    <n v="725"/>
    <n v="9"/>
    <x v="10"/>
    <x v="1"/>
  </r>
  <r>
    <x v="1588"/>
    <n v="2"/>
    <x v="1"/>
    <n v="476"/>
    <x v="48"/>
    <x v="39"/>
    <x v="30"/>
    <x v="1"/>
    <x v="4"/>
    <n v="532"/>
    <n v="3"/>
    <x v="3"/>
    <x v="0"/>
  </r>
  <r>
    <x v="1589"/>
    <n v="1"/>
    <x v="2"/>
    <n v="517"/>
    <x v="13"/>
    <x v="66"/>
    <x v="3"/>
    <x v="59"/>
    <x v="3"/>
    <n v="633.5"/>
    <n v="5"/>
    <x v="5"/>
    <x v="1"/>
  </r>
  <r>
    <x v="1590"/>
    <n v="2"/>
    <x v="1"/>
    <n v="620"/>
    <x v="44"/>
    <x v="7"/>
    <x v="25"/>
    <x v="2"/>
    <x v="4"/>
    <n v="529.5"/>
    <n v="5"/>
    <x v="3"/>
    <x v="1"/>
  </r>
  <r>
    <x v="1591"/>
    <n v="1"/>
    <x v="1"/>
    <n v="702"/>
    <x v="60"/>
    <x v="51"/>
    <x v="3"/>
    <x v="13"/>
    <x v="4"/>
    <n v="704.5"/>
    <n v="5"/>
    <x v="10"/>
    <x v="1"/>
  </r>
  <r>
    <x v="1592"/>
    <n v="1"/>
    <x v="0"/>
    <n v="499"/>
    <x v="4"/>
    <x v="4"/>
    <x v="3"/>
    <x v="1"/>
    <x v="7"/>
    <n v="0"/>
    <n v="2"/>
    <x v="2"/>
    <x v="0"/>
  </r>
  <r>
    <x v="1593"/>
    <n v="2"/>
    <x v="2"/>
    <n v="538"/>
    <x v="23"/>
    <x v="27"/>
    <x v="43"/>
    <x v="1"/>
    <x v="1"/>
    <n v="553.5"/>
    <n v="0"/>
    <x v="5"/>
    <x v="1"/>
  </r>
  <r>
    <x v="1594"/>
    <n v="2"/>
    <x v="0"/>
    <n v="558"/>
    <x v="44"/>
    <x v="31"/>
    <x v="9"/>
    <x v="1"/>
    <x v="6"/>
    <n v="461.5"/>
    <n v="8"/>
    <x v="7"/>
    <x v="1"/>
  </r>
  <r>
    <x v="1595"/>
    <n v="2"/>
    <x v="1"/>
    <n v="601"/>
    <x v="42"/>
    <x v="0"/>
    <x v="41"/>
    <x v="35"/>
    <x v="0"/>
    <n v="439.5"/>
    <n v="0"/>
    <x v="5"/>
    <x v="0"/>
  </r>
  <r>
    <x v="1596"/>
    <n v="2"/>
    <x v="1"/>
    <n v="682"/>
    <x v="74"/>
    <x v="36"/>
    <x v="3"/>
    <x v="70"/>
    <x v="1"/>
    <n v="644.5"/>
    <n v="5"/>
    <x v="3"/>
    <x v="1"/>
  </r>
  <r>
    <x v="1597"/>
    <n v="1"/>
    <x v="1"/>
    <n v="476"/>
    <x v="23"/>
    <x v="38"/>
    <x v="58"/>
    <x v="1"/>
    <x v="4"/>
    <n v="571"/>
    <n v="5"/>
    <x v="7"/>
    <x v="1"/>
  </r>
  <r>
    <x v="1598"/>
    <n v="2"/>
    <x v="0"/>
    <n v="580"/>
    <x v="38"/>
    <x v="4"/>
    <x v="3"/>
    <x v="1"/>
    <x v="4"/>
    <n v="189"/>
    <n v="2"/>
    <x v="3"/>
    <x v="0"/>
  </r>
  <r>
    <x v="1599"/>
    <n v="1"/>
    <x v="1"/>
    <n v="579"/>
    <x v="47"/>
    <x v="73"/>
    <x v="65"/>
    <x v="1"/>
    <x v="4"/>
    <n v="553.5"/>
    <n v="4"/>
    <x v="1"/>
    <x v="1"/>
  </r>
  <r>
    <x v="1600"/>
    <n v="2"/>
    <x v="0"/>
    <n v="620"/>
    <x v="19"/>
    <x v="6"/>
    <x v="3"/>
    <x v="54"/>
    <x v="4"/>
    <n v="568"/>
    <n v="9"/>
    <x v="7"/>
    <x v="3"/>
  </r>
  <r>
    <x v="1601"/>
    <n v="1"/>
    <x v="1"/>
    <n v="437"/>
    <x v="12"/>
    <x v="26"/>
    <x v="7"/>
    <x v="1"/>
    <x v="0"/>
    <n v="427"/>
    <n v="0"/>
    <x v="5"/>
    <x v="0"/>
  </r>
  <r>
    <x v="1602"/>
    <n v="1"/>
    <x v="0"/>
    <n v="558"/>
    <x v="43"/>
    <x v="23"/>
    <x v="61"/>
    <x v="1"/>
    <x v="1"/>
    <n v="502"/>
    <n v="8"/>
    <x v="3"/>
    <x v="0"/>
  </r>
  <r>
    <x v="1603"/>
    <n v="1"/>
    <x v="1"/>
    <n v="0"/>
    <x v="51"/>
    <x v="0"/>
    <x v="20"/>
    <x v="9"/>
    <x v="4"/>
    <n v="431.5"/>
    <n v="4"/>
    <x v="2"/>
    <x v="0"/>
  </r>
  <r>
    <x v="1604"/>
    <n v="1"/>
    <x v="1"/>
    <n v="661"/>
    <x v="53"/>
    <x v="46"/>
    <x v="3"/>
    <x v="12"/>
    <x v="7"/>
    <n v="661"/>
    <n v="5"/>
    <x v="3"/>
    <x v="3"/>
  </r>
  <r>
    <x v="1605"/>
    <n v="2"/>
    <x v="0"/>
    <n v="641"/>
    <x v="10"/>
    <x v="3"/>
    <x v="36"/>
    <x v="1"/>
    <x v="1"/>
    <n v="488.5"/>
    <n v="2"/>
    <x v="3"/>
    <x v="0"/>
  </r>
  <r>
    <x v="1606"/>
    <n v="1"/>
    <x v="1"/>
    <n v="661"/>
    <x v="74"/>
    <x v="65"/>
    <x v="42"/>
    <x v="12"/>
    <x v="1"/>
    <n v="670"/>
    <n v="7"/>
    <x v="10"/>
    <x v="0"/>
  </r>
  <r>
    <x v="1607"/>
    <n v="1"/>
    <x v="0"/>
    <n v="435"/>
    <x v="11"/>
    <x v="11"/>
    <x v="7"/>
    <x v="1"/>
    <x v="1"/>
    <n v="467"/>
    <n v="4"/>
    <x v="0"/>
    <x v="0"/>
  </r>
  <r>
    <x v="1608"/>
    <n v="1"/>
    <x v="2"/>
    <n v="435"/>
    <x v="46"/>
    <x v="43"/>
    <x v="61"/>
    <x v="1"/>
    <x v="4"/>
    <n v="528.5"/>
    <n v="9"/>
    <x v="7"/>
    <x v="2"/>
  </r>
  <r>
    <x v="1609"/>
    <n v="1"/>
    <x v="0"/>
    <n v="455"/>
    <x v="26"/>
    <x v="22"/>
    <x v="24"/>
    <x v="45"/>
    <x v="6"/>
    <n v="521.5"/>
    <n v="9"/>
    <x v="9"/>
    <x v="0"/>
  </r>
  <r>
    <x v="1610"/>
    <n v="2"/>
    <x v="0"/>
    <n v="476"/>
    <x v="46"/>
    <x v="5"/>
    <x v="69"/>
    <x v="1"/>
    <x v="6"/>
    <n v="455.5"/>
    <n v="2"/>
    <x v="1"/>
    <x v="0"/>
  </r>
  <r>
    <x v="1611"/>
    <n v="1"/>
    <x v="0"/>
    <n v="458"/>
    <x v="45"/>
    <x v="11"/>
    <x v="7"/>
    <x v="1"/>
    <x v="3"/>
    <n v="425.5"/>
    <n v="5"/>
    <x v="1"/>
    <x v="0"/>
  </r>
  <r>
    <x v="1612"/>
    <n v="2"/>
    <x v="0"/>
    <n v="641"/>
    <x v="11"/>
    <x v="31"/>
    <x v="41"/>
    <x v="1"/>
    <x v="6"/>
    <n v="442"/>
    <n v="6"/>
    <x v="10"/>
    <x v="1"/>
  </r>
  <r>
    <x v="1613"/>
    <n v="1"/>
    <x v="1"/>
    <n v="620"/>
    <x v="27"/>
    <x v="59"/>
    <x v="3"/>
    <x v="67"/>
    <x v="1"/>
    <n v="626"/>
    <n v="10"/>
    <x v="6"/>
    <x v="3"/>
  </r>
  <r>
    <x v="1614"/>
    <n v="2"/>
    <x v="0"/>
    <n v="499"/>
    <x v="37"/>
    <x v="17"/>
    <x v="22"/>
    <x v="1"/>
    <x v="1"/>
    <n v="303.5"/>
    <n v="3"/>
    <x v="4"/>
    <x v="0"/>
  </r>
  <r>
    <x v="1615"/>
    <n v="2"/>
    <x v="1"/>
    <n v="478"/>
    <x v="45"/>
    <x v="18"/>
    <x v="3"/>
    <x v="23"/>
    <x v="0"/>
    <n v="420"/>
    <n v="0"/>
    <x v="5"/>
    <x v="0"/>
  </r>
  <r>
    <x v="1616"/>
    <n v="1"/>
    <x v="1"/>
    <n v="558"/>
    <x v="55"/>
    <x v="20"/>
    <x v="3"/>
    <x v="14"/>
    <x v="1"/>
    <n v="575.5"/>
    <n v="10"/>
    <x v="7"/>
    <x v="1"/>
  </r>
  <r>
    <x v="1617"/>
    <n v="2"/>
    <x v="0"/>
    <n v="702"/>
    <x v="7"/>
    <x v="73"/>
    <x v="27"/>
    <x v="1"/>
    <x v="4"/>
    <n v="515"/>
    <n v="7"/>
    <x v="3"/>
    <x v="0"/>
  </r>
  <r>
    <x v="1618"/>
    <n v="1"/>
    <x v="0"/>
    <n v="538"/>
    <x v="7"/>
    <x v="27"/>
    <x v="30"/>
    <x v="1"/>
    <x v="4"/>
    <n v="517.5"/>
    <n v="8"/>
    <x v="0"/>
    <x v="0"/>
  </r>
  <r>
    <x v="1619"/>
    <n v="1"/>
    <x v="2"/>
    <n v="558"/>
    <x v="69"/>
    <x v="1"/>
    <x v="3"/>
    <x v="63"/>
    <x v="6"/>
    <n v="748"/>
    <n v="8"/>
    <x v="7"/>
    <x v="3"/>
  </r>
  <r>
    <x v="1620"/>
    <n v="1"/>
    <x v="1"/>
    <n v="661"/>
    <x v="25"/>
    <x v="65"/>
    <x v="3"/>
    <x v="12"/>
    <x v="1"/>
    <n v="633"/>
    <n v="9"/>
    <x v="9"/>
    <x v="0"/>
  </r>
  <r>
    <x v="1621"/>
    <n v="1"/>
    <x v="1"/>
    <n v="682"/>
    <x v="21"/>
    <x v="75"/>
    <x v="3"/>
    <x v="13"/>
    <x v="4"/>
    <n v="640.5"/>
    <n v="5"/>
    <x v="3"/>
    <x v="1"/>
  </r>
  <r>
    <x v="1622"/>
    <n v="2"/>
    <x v="0"/>
    <n v="539"/>
    <x v="47"/>
    <x v="58"/>
    <x v="43"/>
    <x v="27"/>
    <x v="1"/>
    <n v="566.5"/>
    <n v="5"/>
    <x v="1"/>
    <x v="0"/>
  </r>
  <r>
    <x v="1623"/>
    <n v="1"/>
    <x v="0"/>
    <n v="661"/>
    <x v="76"/>
    <x v="74"/>
    <x v="3"/>
    <x v="3"/>
    <x v="0"/>
    <n v="633.5"/>
    <n v="0"/>
    <x v="5"/>
    <x v="1"/>
  </r>
  <r>
    <x v="1624"/>
    <n v="1"/>
    <x v="2"/>
    <n v="496"/>
    <x v="30"/>
    <x v="72"/>
    <x v="3"/>
    <x v="58"/>
    <x v="4"/>
    <n v="602"/>
    <n v="9"/>
    <x v="3"/>
    <x v="3"/>
  </r>
  <r>
    <x v="1625"/>
    <n v="2"/>
    <x v="0"/>
    <n v="682"/>
    <x v="23"/>
    <x v="23"/>
    <x v="3"/>
    <x v="51"/>
    <x v="4"/>
    <n v="565.5"/>
    <n v="5"/>
    <x v="10"/>
    <x v="1"/>
  </r>
  <r>
    <x v="1626"/>
    <n v="1"/>
    <x v="2"/>
    <n v="579"/>
    <x v="78"/>
    <x v="49"/>
    <x v="78"/>
    <x v="1"/>
    <x v="1"/>
    <n v="732"/>
    <n v="5"/>
    <x v="10"/>
    <x v="2"/>
  </r>
  <r>
    <x v="1627"/>
    <n v="2"/>
    <x v="1"/>
    <n v="641"/>
    <x v="4"/>
    <x v="4"/>
    <x v="3"/>
    <x v="1"/>
    <x v="0"/>
    <n v="0"/>
    <n v="0"/>
    <x v="5"/>
    <x v="0"/>
  </r>
  <r>
    <x v="1628"/>
    <n v="2"/>
    <x v="0"/>
    <n v="682"/>
    <x v="0"/>
    <x v="28"/>
    <x v="3"/>
    <x v="32"/>
    <x v="4"/>
    <n v="501.5"/>
    <n v="5"/>
    <x v="3"/>
    <x v="0"/>
  </r>
  <r>
    <x v="1629"/>
    <n v="2"/>
    <x v="1"/>
    <n v="723"/>
    <x v="1"/>
    <x v="20"/>
    <x v="46"/>
    <x v="1"/>
    <x v="1"/>
    <n v="616"/>
    <n v="9"/>
    <x v="3"/>
    <x v="3"/>
  </r>
  <r>
    <x v="1630"/>
    <n v="1"/>
    <x v="2"/>
    <n v="496"/>
    <x v="67"/>
    <x v="76"/>
    <x v="3"/>
    <x v="38"/>
    <x v="4"/>
    <n v="640.5"/>
    <n v="5"/>
    <x v="3"/>
    <x v="1"/>
  </r>
  <r>
    <x v="1631"/>
    <n v="2"/>
    <x v="1"/>
    <n v="538"/>
    <x v="24"/>
    <x v="23"/>
    <x v="3"/>
    <x v="0"/>
    <x v="4"/>
    <n v="538"/>
    <n v="5"/>
    <x v="3"/>
    <x v="1"/>
  </r>
  <r>
    <x v="1632"/>
    <n v="1"/>
    <x v="0"/>
    <n v="455"/>
    <x v="12"/>
    <x v="29"/>
    <x v="3"/>
    <x v="35"/>
    <x v="1"/>
    <n v="347.5"/>
    <n v="5"/>
    <x v="3"/>
    <x v="1"/>
  </r>
  <r>
    <x v="1633"/>
    <n v="1"/>
    <x v="1"/>
    <n v="414"/>
    <x v="55"/>
    <x v="47"/>
    <x v="3"/>
    <x v="22"/>
    <x v="0"/>
    <n v="573"/>
    <n v="7"/>
    <x v="10"/>
    <x v="0"/>
  </r>
  <r>
    <x v="1634"/>
    <n v="2"/>
    <x v="0"/>
    <n v="458"/>
    <x v="14"/>
    <x v="35"/>
    <x v="7"/>
    <x v="1"/>
    <x v="1"/>
    <n v="414.5"/>
    <n v="5"/>
    <x v="1"/>
    <x v="0"/>
  </r>
  <r>
    <x v="1635"/>
    <n v="2"/>
    <x v="2"/>
    <n v="579"/>
    <x v="23"/>
    <x v="44"/>
    <x v="3"/>
    <x v="71"/>
    <x v="0"/>
    <n v="601"/>
    <n v="0"/>
    <x v="5"/>
    <x v="1"/>
  </r>
  <r>
    <x v="1636"/>
    <n v="2"/>
    <x v="0"/>
    <n v="538"/>
    <x v="17"/>
    <x v="40"/>
    <x v="3"/>
    <x v="2"/>
    <x v="1"/>
    <n v="357.5"/>
    <n v="2"/>
    <x v="2"/>
    <x v="0"/>
  </r>
  <r>
    <x v="1637"/>
    <n v="1"/>
    <x v="0"/>
    <n v="435"/>
    <x v="23"/>
    <x v="0"/>
    <x v="43"/>
    <x v="1"/>
    <x v="0"/>
    <n v="506"/>
    <n v="5"/>
    <x v="3"/>
    <x v="0"/>
  </r>
  <r>
    <x v="1638"/>
    <n v="2"/>
    <x v="0"/>
    <n v="435"/>
    <x v="43"/>
    <x v="8"/>
    <x v="6"/>
    <x v="1"/>
    <x v="6"/>
    <n v="419.5"/>
    <n v="4"/>
    <x v="0"/>
    <x v="0"/>
  </r>
  <r>
    <x v="1639"/>
    <n v="2"/>
    <x v="0"/>
    <n v="517"/>
    <x v="48"/>
    <x v="19"/>
    <x v="33"/>
    <x v="1"/>
    <x v="5"/>
    <n v="517.5"/>
    <n v="4"/>
    <x v="3"/>
    <x v="0"/>
  </r>
  <r>
    <x v="1640"/>
    <n v="2"/>
    <x v="0"/>
    <n v="435"/>
    <x v="45"/>
    <x v="40"/>
    <x v="39"/>
    <x v="1"/>
    <x v="1"/>
    <n v="344"/>
    <n v="4"/>
    <x v="2"/>
    <x v="0"/>
  </r>
  <r>
    <x v="1641"/>
    <n v="2"/>
    <x v="0"/>
    <n v="393"/>
    <x v="30"/>
    <x v="12"/>
    <x v="25"/>
    <x v="1"/>
    <x v="4"/>
    <n v="461.5"/>
    <n v="8"/>
    <x v="3"/>
    <x v="1"/>
  </r>
  <r>
    <x v="1642"/>
    <n v="1"/>
    <x v="2"/>
    <n v="661"/>
    <x v="53"/>
    <x v="64"/>
    <x v="5"/>
    <x v="65"/>
    <x v="1"/>
    <n v="721"/>
    <n v="9"/>
    <x v="7"/>
    <x v="3"/>
  </r>
  <r>
    <x v="1643"/>
    <n v="1"/>
    <x v="0"/>
    <n v="538"/>
    <x v="76"/>
    <x v="28"/>
    <x v="58"/>
    <x v="1"/>
    <x v="4"/>
    <n v="622"/>
    <n v="9"/>
    <x v="3"/>
    <x v="3"/>
  </r>
  <r>
    <x v="1644"/>
    <n v="2"/>
    <x v="1"/>
    <n v="476"/>
    <x v="34"/>
    <x v="37"/>
    <x v="3"/>
    <x v="21"/>
    <x v="4"/>
    <n v="478.5"/>
    <n v="5"/>
    <x v="3"/>
    <x v="0"/>
  </r>
  <r>
    <x v="1645"/>
    <n v="1"/>
    <x v="0"/>
    <n v="599"/>
    <x v="14"/>
    <x v="26"/>
    <x v="31"/>
    <x v="1"/>
    <x v="4"/>
    <n v="481.5"/>
    <n v="0"/>
    <x v="0"/>
    <x v="0"/>
  </r>
  <r>
    <x v="1646"/>
    <n v="2"/>
    <x v="0"/>
    <n v="785"/>
    <x v="39"/>
    <x v="45"/>
    <x v="55"/>
    <x v="77"/>
    <x v="1"/>
    <n v="657.5"/>
    <n v="9"/>
    <x v="3"/>
    <x v="1"/>
  </r>
  <r>
    <x v="1647"/>
    <n v="1"/>
    <x v="0"/>
    <n v="455"/>
    <x v="4"/>
    <x v="4"/>
    <x v="3"/>
    <x v="1"/>
    <x v="1"/>
    <n v="0"/>
    <n v="3"/>
    <x v="1"/>
    <x v="0"/>
  </r>
  <r>
    <x v="1648"/>
    <n v="2"/>
    <x v="1"/>
    <n v="356"/>
    <x v="38"/>
    <x v="35"/>
    <x v="20"/>
    <x v="1"/>
    <x v="4"/>
    <n v="365.5"/>
    <n v="2"/>
    <x v="1"/>
    <x v="0"/>
  </r>
  <r>
    <x v="1649"/>
    <n v="2"/>
    <x v="1"/>
    <n v="641"/>
    <x v="67"/>
    <x v="23"/>
    <x v="3"/>
    <x v="26"/>
    <x v="4"/>
    <n v="594.5"/>
    <n v="5"/>
    <x v="3"/>
    <x v="1"/>
  </r>
  <r>
    <x v="1650"/>
    <n v="1"/>
    <x v="0"/>
    <n v="458"/>
    <x v="19"/>
    <x v="19"/>
    <x v="54"/>
    <x v="1"/>
    <x v="6"/>
    <n v="522.5"/>
    <n v="4"/>
    <x v="3"/>
    <x v="0"/>
  </r>
  <r>
    <x v="1651"/>
    <n v="2"/>
    <x v="2"/>
    <n v="744"/>
    <x v="32"/>
    <x v="65"/>
    <x v="3"/>
    <x v="79"/>
    <x v="7"/>
    <n v="673.5"/>
    <n v="9"/>
    <x v="7"/>
    <x v="4"/>
  </r>
  <r>
    <x v="1652"/>
    <n v="1"/>
    <x v="0"/>
    <n v="558"/>
    <x v="3"/>
    <x v="11"/>
    <x v="3"/>
    <x v="18"/>
    <x v="1"/>
    <n v="463.5"/>
    <n v="0"/>
    <x v="3"/>
    <x v="0"/>
  </r>
  <r>
    <x v="1653"/>
    <n v="2"/>
    <x v="0"/>
    <n v="702"/>
    <x v="67"/>
    <x v="52"/>
    <x v="55"/>
    <x v="1"/>
    <x v="5"/>
    <n v="612.5"/>
    <n v="8"/>
    <x v="9"/>
    <x v="0"/>
  </r>
  <r>
    <x v="1654"/>
    <n v="2"/>
    <x v="0"/>
    <n v="414"/>
    <x v="46"/>
    <x v="22"/>
    <x v="24"/>
    <x v="1"/>
    <x v="3"/>
    <n v="500"/>
    <n v="5"/>
    <x v="0"/>
    <x v="0"/>
  </r>
  <r>
    <x v="1655"/>
    <n v="2"/>
    <x v="1"/>
    <n v="0"/>
    <x v="4"/>
    <x v="4"/>
    <x v="3"/>
    <x v="1"/>
    <x v="6"/>
    <n v="0"/>
    <n v="5"/>
    <x v="7"/>
    <x v="1"/>
  </r>
  <r>
    <x v="1656"/>
    <n v="2"/>
    <x v="0"/>
    <n v="496"/>
    <x v="10"/>
    <x v="26"/>
    <x v="7"/>
    <x v="1"/>
    <x v="6"/>
    <n v="496"/>
    <n v="0"/>
    <x v="3"/>
    <x v="0"/>
  </r>
  <r>
    <x v="1657"/>
    <n v="1"/>
    <x v="1"/>
    <n v="599"/>
    <x v="53"/>
    <x v="70"/>
    <x v="3"/>
    <x v="39"/>
    <x v="1"/>
    <n v="618"/>
    <n v="5"/>
    <x v="3"/>
    <x v="1"/>
  </r>
  <r>
    <x v="1658"/>
    <n v="1"/>
    <x v="0"/>
    <n v="579"/>
    <x v="24"/>
    <x v="56"/>
    <x v="3"/>
    <x v="44"/>
    <x v="4"/>
    <n v="552.5"/>
    <n v="5"/>
    <x v="1"/>
    <x v="1"/>
  </r>
  <r>
    <x v="1659"/>
    <n v="1"/>
    <x v="0"/>
    <n v="662"/>
    <x v="25"/>
    <x v="44"/>
    <x v="21"/>
    <x v="1"/>
    <x v="4"/>
    <n v="599"/>
    <n v="3"/>
    <x v="0"/>
    <x v="1"/>
  </r>
  <r>
    <x v="1660"/>
    <n v="2"/>
    <x v="0"/>
    <n v="455"/>
    <x v="33"/>
    <x v="12"/>
    <x v="32"/>
    <x v="1"/>
    <x v="1"/>
    <n v="466.5"/>
    <n v="4"/>
    <x v="8"/>
    <x v="1"/>
  </r>
  <r>
    <x v="1661"/>
    <n v="2"/>
    <x v="2"/>
    <n v="599"/>
    <x v="9"/>
    <x v="39"/>
    <x v="3"/>
    <x v="3"/>
    <x v="1"/>
    <n v="508.5"/>
    <n v="4"/>
    <x v="10"/>
    <x v="1"/>
  </r>
  <r>
    <x v="1662"/>
    <n v="2"/>
    <x v="1"/>
    <n v="641"/>
    <x v="25"/>
    <x v="36"/>
    <x v="3"/>
    <x v="32"/>
    <x v="4"/>
    <n v="607.5"/>
    <n v="7"/>
    <x v="10"/>
    <x v="1"/>
  </r>
  <r>
    <x v="1663"/>
    <n v="2"/>
    <x v="1"/>
    <n v="558"/>
    <x v="46"/>
    <x v="25"/>
    <x v="3"/>
    <x v="48"/>
    <x v="1"/>
    <n v="497.5"/>
    <n v="7"/>
    <x v="3"/>
    <x v="0"/>
  </r>
  <r>
    <x v="1664"/>
    <n v="1"/>
    <x v="0"/>
    <n v="579"/>
    <x v="0"/>
    <x v="5"/>
    <x v="41"/>
    <x v="1"/>
    <x v="0"/>
    <n v="443"/>
    <n v="0"/>
    <x v="5"/>
    <x v="0"/>
  </r>
  <r>
    <x v="1665"/>
    <n v="2"/>
    <x v="2"/>
    <n v="435"/>
    <x v="7"/>
    <x v="16"/>
    <x v="3"/>
    <x v="14"/>
    <x v="3"/>
    <n v="519.5"/>
    <n v="4"/>
    <x v="10"/>
    <x v="1"/>
  </r>
  <r>
    <x v="1666"/>
    <n v="2"/>
    <x v="2"/>
    <n v="599"/>
    <x v="19"/>
    <x v="62"/>
    <x v="3"/>
    <x v="60"/>
    <x v="4"/>
    <n v="572"/>
    <n v="5"/>
    <x v="3"/>
    <x v="0"/>
  </r>
  <r>
    <x v="1667"/>
    <n v="1"/>
    <x v="1"/>
    <n v="580"/>
    <x v="43"/>
    <x v="11"/>
    <x v="3"/>
    <x v="28"/>
    <x v="0"/>
    <n v="453.5"/>
    <n v="0"/>
    <x v="5"/>
    <x v="0"/>
  </r>
  <r>
    <x v="1668"/>
    <n v="1"/>
    <x v="1"/>
    <n v="455"/>
    <x v="44"/>
    <x v="3"/>
    <x v="3"/>
    <x v="33"/>
    <x v="1"/>
    <n v="491"/>
    <n v="5"/>
    <x v="1"/>
    <x v="1"/>
  </r>
  <r>
    <x v="1669"/>
    <n v="2"/>
    <x v="0"/>
    <n v="641"/>
    <x v="67"/>
    <x v="58"/>
    <x v="32"/>
    <x v="1"/>
    <x v="1"/>
    <n v="593"/>
    <n v="3"/>
    <x v="2"/>
    <x v="0"/>
  </r>
  <r>
    <x v="1670"/>
    <n v="2"/>
    <x v="1"/>
    <n v="579"/>
    <x v="49"/>
    <x v="43"/>
    <x v="5"/>
    <x v="1"/>
    <x v="5"/>
    <n v="599"/>
    <n v="7"/>
    <x v="1"/>
    <x v="0"/>
  </r>
  <r>
    <x v="1671"/>
    <n v="1"/>
    <x v="0"/>
    <n v="661"/>
    <x v="47"/>
    <x v="67"/>
    <x v="3"/>
    <x v="60"/>
    <x v="1"/>
    <n v="640.5"/>
    <n v="4"/>
    <x v="10"/>
    <x v="0"/>
  </r>
  <r>
    <x v="1672"/>
    <n v="2"/>
    <x v="0"/>
    <n v="579"/>
    <x v="31"/>
    <x v="24"/>
    <x v="3"/>
    <x v="9"/>
    <x v="4"/>
    <n v="453.5"/>
    <n v="5"/>
    <x v="2"/>
    <x v="0"/>
  </r>
  <r>
    <x v="1673"/>
    <n v="2"/>
    <x v="0"/>
    <n v="538"/>
    <x v="8"/>
    <x v="35"/>
    <x v="28"/>
    <x v="1"/>
    <x v="4"/>
    <n v="298.5"/>
    <n v="5"/>
    <x v="2"/>
    <x v="0"/>
  </r>
  <r>
    <x v="1674"/>
    <n v="2"/>
    <x v="0"/>
    <n v="539"/>
    <x v="24"/>
    <x v="19"/>
    <x v="38"/>
    <x v="1"/>
    <x v="1"/>
    <n v="505"/>
    <n v="5"/>
    <x v="3"/>
    <x v="0"/>
  </r>
  <r>
    <x v="1675"/>
    <n v="1"/>
    <x v="0"/>
    <n v="579"/>
    <x v="3"/>
    <x v="31"/>
    <x v="3"/>
    <x v="48"/>
    <x v="1"/>
    <n v="438.5"/>
    <n v="2"/>
    <x v="0"/>
    <x v="0"/>
  </r>
  <r>
    <x v="1676"/>
    <n v="2"/>
    <x v="0"/>
    <n v="414"/>
    <x v="26"/>
    <x v="31"/>
    <x v="3"/>
    <x v="2"/>
    <x v="4"/>
    <n v="469.5"/>
    <n v="5"/>
    <x v="3"/>
    <x v="0"/>
  </r>
  <r>
    <x v="1677"/>
    <n v="2"/>
    <x v="0"/>
    <n v="620"/>
    <x v="42"/>
    <x v="33"/>
    <x v="3"/>
    <x v="0"/>
    <x v="7"/>
    <n v="459"/>
    <n v="4"/>
    <x v="0"/>
    <x v="0"/>
  </r>
  <r>
    <x v="1678"/>
    <n v="2"/>
    <x v="0"/>
    <n v="558"/>
    <x v="0"/>
    <x v="29"/>
    <x v="3"/>
    <x v="28"/>
    <x v="10"/>
    <n v="393"/>
    <n v="5"/>
    <x v="1"/>
    <x v="0"/>
  </r>
  <r>
    <x v="1679"/>
    <n v="2"/>
    <x v="2"/>
    <n v="517"/>
    <x v="33"/>
    <x v="74"/>
    <x v="38"/>
    <x v="1"/>
    <x v="4"/>
    <n v="562.5"/>
    <n v="5"/>
    <x v="6"/>
    <x v="3"/>
  </r>
  <r>
    <x v="1680"/>
    <n v="2"/>
    <x v="0"/>
    <n v="641"/>
    <x v="9"/>
    <x v="16"/>
    <x v="3"/>
    <x v="34"/>
    <x v="4"/>
    <n v="517"/>
    <n v="4"/>
    <x v="3"/>
    <x v="0"/>
  </r>
  <r>
    <x v="1681"/>
    <n v="1"/>
    <x v="1"/>
    <n v="0"/>
    <x v="4"/>
    <x v="4"/>
    <x v="3"/>
    <x v="1"/>
    <x v="1"/>
    <n v="0"/>
    <n v="3"/>
    <x v="2"/>
    <x v="0"/>
  </r>
  <r>
    <x v="1682"/>
    <n v="2"/>
    <x v="1"/>
    <n v="723"/>
    <x v="63"/>
    <x v="75"/>
    <x v="3"/>
    <x v="17"/>
    <x v="1"/>
    <n v="728.5"/>
    <n v="5"/>
    <x v="7"/>
    <x v="1"/>
  </r>
  <r>
    <x v="1683"/>
    <n v="2"/>
    <x v="1"/>
    <n v="744"/>
    <x v="52"/>
    <x v="46"/>
    <x v="45"/>
    <x v="72"/>
    <x v="1"/>
    <n v="706.5"/>
    <n v="7"/>
    <x v="7"/>
    <x v="1"/>
  </r>
  <r>
    <x v="1684"/>
    <n v="2"/>
    <x v="0"/>
    <n v="620"/>
    <x v="9"/>
    <x v="38"/>
    <x v="41"/>
    <x v="1"/>
    <x v="1"/>
    <n v="532.5"/>
    <n v="9"/>
    <x v="1"/>
    <x v="0"/>
  </r>
  <r>
    <x v="1685"/>
    <n v="1"/>
    <x v="1"/>
    <n v="0"/>
    <x v="51"/>
    <x v="0"/>
    <x v="25"/>
    <x v="1"/>
    <x v="7"/>
    <n v="431.5"/>
    <n v="0"/>
    <x v="5"/>
    <x v="0"/>
  </r>
  <r>
    <x v="1686"/>
    <n v="1"/>
    <x v="0"/>
    <n v="599"/>
    <x v="24"/>
    <x v="7"/>
    <x v="3"/>
    <x v="18"/>
    <x v="6"/>
    <n v="532.5"/>
    <n v="5"/>
    <x v="6"/>
    <x v="0"/>
  </r>
  <r>
    <x v="1687"/>
    <n v="1"/>
    <x v="0"/>
    <n v="620"/>
    <x v="26"/>
    <x v="39"/>
    <x v="10"/>
    <x v="6"/>
    <x v="1"/>
    <n v="524.5"/>
    <n v="5"/>
    <x v="0"/>
    <x v="1"/>
  </r>
  <r>
    <x v="1688"/>
    <n v="2"/>
    <x v="0"/>
    <n v="682"/>
    <x v="23"/>
    <x v="44"/>
    <x v="3"/>
    <x v="33"/>
    <x v="10"/>
    <n v="601"/>
    <n v="5"/>
    <x v="3"/>
    <x v="0"/>
  </r>
  <r>
    <x v="1689"/>
    <n v="1"/>
    <x v="1"/>
    <n v="641"/>
    <x v="74"/>
    <x v="71"/>
    <x v="3"/>
    <x v="43"/>
    <x v="5"/>
    <n v="684.5"/>
    <n v="2"/>
    <x v="9"/>
    <x v="0"/>
  </r>
  <r>
    <x v="1690"/>
    <n v="2"/>
    <x v="0"/>
    <n v="620"/>
    <x v="53"/>
    <x v="48"/>
    <x v="3"/>
    <x v="14"/>
    <x v="4"/>
    <n v="600"/>
    <n v="5"/>
    <x v="3"/>
    <x v="1"/>
  </r>
  <r>
    <x v="1691"/>
    <n v="2"/>
    <x v="0"/>
    <n v="476"/>
    <x v="45"/>
    <x v="26"/>
    <x v="3"/>
    <x v="48"/>
    <x v="3"/>
    <n v="437.5"/>
    <n v="5"/>
    <x v="3"/>
    <x v="0"/>
  </r>
  <r>
    <x v="1692"/>
    <n v="2"/>
    <x v="1"/>
    <n v="579"/>
    <x v="33"/>
    <x v="8"/>
    <x v="48"/>
    <x v="1"/>
    <x v="5"/>
    <n v="476"/>
    <n v="5"/>
    <x v="3"/>
    <x v="0"/>
  </r>
  <r>
    <x v="1693"/>
    <n v="2"/>
    <x v="0"/>
    <n v="414"/>
    <x v="4"/>
    <x v="4"/>
    <x v="3"/>
    <x v="1"/>
    <x v="1"/>
    <n v="0"/>
    <n v="4"/>
    <x v="0"/>
    <x v="0"/>
  </r>
  <r>
    <x v="1694"/>
    <n v="2"/>
    <x v="1"/>
    <n v="517"/>
    <x v="9"/>
    <x v="22"/>
    <x v="8"/>
    <x v="1"/>
    <x v="4"/>
    <n v="505.5"/>
    <n v="0"/>
    <x v="7"/>
    <x v="0"/>
  </r>
  <r>
    <x v="1695"/>
    <n v="2"/>
    <x v="2"/>
    <n v="682"/>
    <x v="72"/>
    <x v="72"/>
    <x v="12"/>
    <x v="1"/>
    <x v="4"/>
    <n v="718"/>
    <n v="9"/>
    <x v="7"/>
    <x v="3"/>
  </r>
  <r>
    <x v="1696"/>
    <n v="2"/>
    <x v="0"/>
    <n v="538"/>
    <x v="55"/>
    <x v="33"/>
    <x v="23"/>
    <x v="1"/>
    <x v="4"/>
    <n v="508.5"/>
    <n v="8"/>
    <x v="0"/>
    <x v="0"/>
  </r>
  <r>
    <x v="1697"/>
    <n v="1"/>
    <x v="0"/>
    <n v="661"/>
    <x v="33"/>
    <x v="45"/>
    <x v="33"/>
    <x v="14"/>
    <x v="7"/>
    <n v="598.5"/>
    <n v="5"/>
    <x v="3"/>
    <x v="1"/>
  </r>
  <r>
    <x v="1698"/>
    <n v="2"/>
    <x v="0"/>
    <n v="558"/>
    <x v="4"/>
    <x v="4"/>
    <x v="3"/>
    <x v="1"/>
    <x v="3"/>
    <n v="0"/>
    <n v="7"/>
    <x v="10"/>
    <x v="0"/>
  </r>
  <r>
    <x v="1699"/>
    <n v="2"/>
    <x v="0"/>
    <n v="558"/>
    <x v="40"/>
    <x v="49"/>
    <x v="21"/>
    <x v="1"/>
    <x v="1"/>
    <n v="611"/>
    <n v="5"/>
    <x v="3"/>
    <x v="1"/>
  </r>
  <r>
    <x v="1700"/>
    <n v="2"/>
    <x v="0"/>
    <n v="539"/>
    <x v="42"/>
    <x v="8"/>
    <x v="4"/>
    <x v="1"/>
    <x v="1"/>
    <n v="416.5"/>
    <n v="5"/>
    <x v="3"/>
    <x v="0"/>
  </r>
  <r>
    <x v="1701"/>
    <n v="2"/>
    <x v="0"/>
    <n v="662"/>
    <x v="14"/>
    <x v="24"/>
    <x v="27"/>
    <x v="1"/>
    <x v="6"/>
    <n v="488.5"/>
    <n v="5"/>
    <x v="1"/>
    <x v="0"/>
  </r>
  <r>
    <x v="1702"/>
    <n v="2"/>
    <x v="1"/>
    <n v="661"/>
    <x v="1"/>
    <x v="74"/>
    <x v="47"/>
    <x v="68"/>
    <x v="4"/>
    <n v="593"/>
    <n v="8"/>
    <x v="3"/>
    <x v="0"/>
  </r>
  <r>
    <x v="1703"/>
    <n v="1"/>
    <x v="0"/>
    <n v="601"/>
    <x v="35"/>
    <x v="0"/>
    <x v="7"/>
    <x v="1"/>
    <x v="3"/>
    <n v="393"/>
    <n v="5"/>
    <x v="2"/>
    <x v="0"/>
  </r>
  <r>
    <x v="1704"/>
    <n v="2"/>
    <x v="1"/>
    <n v="599"/>
    <x v="7"/>
    <x v="74"/>
    <x v="3"/>
    <x v="58"/>
    <x v="1"/>
    <n v="533.5"/>
    <n v="2"/>
    <x v="0"/>
    <x v="0"/>
  </r>
  <r>
    <x v="1705"/>
    <n v="1"/>
    <x v="0"/>
    <n v="414"/>
    <x v="17"/>
    <x v="73"/>
    <x v="3"/>
    <x v="21"/>
    <x v="4"/>
    <n v="473"/>
    <n v="5"/>
    <x v="1"/>
    <x v="0"/>
  </r>
  <r>
    <x v="1706"/>
    <n v="2"/>
    <x v="0"/>
    <n v="478"/>
    <x v="45"/>
    <x v="40"/>
    <x v="3"/>
    <x v="29"/>
    <x v="7"/>
    <n v="344"/>
    <n v="3"/>
    <x v="0"/>
    <x v="0"/>
  </r>
  <r>
    <x v="1707"/>
    <n v="2"/>
    <x v="1"/>
    <n v="702"/>
    <x v="53"/>
    <x v="23"/>
    <x v="44"/>
    <x v="50"/>
    <x v="1"/>
    <n v="598"/>
    <n v="5"/>
    <x v="9"/>
    <x v="1"/>
  </r>
  <r>
    <x v="1708"/>
    <n v="1"/>
    <x v="1"/>
    <n v="517"/>
    <x v="48"/>
    <x v="7"/>
    <x v="63"/>
    <x v="68"/>
    <x v="6"/>
    <n v="545"/>
    <n v="5"/>
    <x v="3"/>
    <x v="0"/>
  </r>
  <r>
    <x v="1709"/>
    <n v="2"/>
    <x v="1"/>
    <n v="641"/>
    <x v="4"/>
    <x v="4"/>
    <x v="3"/>
    <x v="1"/>
    <x v="4"/>
    <n v="0"/>
    <n v="5"/>
    <x v="0"/>
    <x v="0"/>
  </r>
  <r>
    <x v="1710"/>
    <n v="2"/>
    <x v="1"/>
    <n v="538"/>
    <x v="25"/>
    <x v="74"/>
    <x v="3"/>
    <x v="24"/>
    <x v="1"/>
    <n v="567.5"/>
    <n v="8"/>
    <x v="7"/>
    <x v="1"/>
  </r>
  <r>
    <x v="1711"/>
    <n v="2"/>
    <x v="2"/>
    <n v="764"/>
    <x v="65"/>
    <x v="54"/>
    <x v="3"/>
    <x v="73"/>
    <x v="1"/>
    <n v="699.5"/>
    <n v="10"/>
    <x v="10"/>
    <x v="1"/>
  </r>
  <r>
    <x v="1712"/>
    <n v="1"/>
    <x v="1"/>
    <n v="435"/>
    <x v="51"/>
    <x v="4"/>
    <x v="3"/>
    <x v="1"/>
    <x v="1"/>
    <n v="211"/>
    <n v="9"/>
    <x v="3"/>
    <x v="1"/>
  </r>
  <r>
    <x v="1713"/>
    <n v="1"/>
    <x v="2"/>
    <n v="702"/>
    <x v="29"/>
    <x v="41"/>
    <x v="12"/>
    <x v="75"/>
    <x v="10"/>
    <n v="775"/>
    <n v="9"/>
    <x v="7"/>
    <x v="5"/>
  </r>
  <r>
    <x v="1714"/>
    <n v="2"/>
    <x v="1"/>
    <n v="539"/>
    <x v="0"/>
    <x v="8"/>
    <x v="36"/>
    <x v="1"/>
    <x v="1"/>
    <n v="426.5"/>
    <n v="0"/>
    <x v="2"/>
    <x v="0"/>
  </r>
  <r>
    <x v="1715"/>
    <n v="2"/>
    <x v="0"/>
    <n v="455"/>
    <x v="24"/>
    <x v="3"/>
    <x v="67"/>
    <x v="1"/>
    <x v="5"/>
    <n v="494"/>
    <n v="9"/>
    <x v="3"/>
    <x v="1"/>
  </r>
  <r>
    <x v="1716"/>
    <n v="2"/>
    <x v="0"/>
    <n v="641"/>
    <x v="40"/>
    <x v="6"/>
    <x v="3"/>
    <x v="32"/>
    <x v="4"/>
    <n v="573"/>
    <n v="4"/>
    <x v="2"/>
    <x v="0"/>
  </r>
  <r>
    <x v="1717"/>
    <n v="1"/>
    <x v="1"/>
    <n v="620"/>
    <x v="32"/>
    <x v="75"/>
    <x v="3"/>
    <x v="69"/>
    <x v="4"/>
    <n v="699"/>
    <n v="8"/>
    <x v="9"/>
    <x v="0"/>
  </r>
  <r>
    <x v="1718"/>
    <n v="2"/>
    <x v="0"/>
    <n v="621"/>
    <x v="13"/>
    <x v="58"/>
    <x v="45"/>
    <x v="1"/>
    <x v="4"/>
    <n v="576.5"/>
    <n v="4"/>
    <x v="3"/>
    <x v="0"/>
  </r>
  <r>
    <x v="1719"/>
    <n v="2"/>
    <x v="1"/>
    <n v="435"/>
    <x v="37"/>
    <x v="28"/>
    <x v="3"/>
    <x v="19"/>
    <x v="6"/>
    <n v="439"/>
    <n v="0"/>
    <x v="3"/>
    <x v="0"/>
  </r>
  <r>
    <x v="1720"/>
    <n v="1"/>
    <x v="0"/>
    <n v="682"/>
    <x v="27"/>
    <x v="62"/>
    <x v="3"/>
    <x v="38"/>
    <x v="3"/>
    <n v="589.5"/>
    <n v="9"/>
    <x v="1"/>
    <x v="0"/>
  </r>
  <r>
    <x v="1721"/>
    <n v="2"/>
    <x v="0"/>
    <n v="641"/>
    <x v="2"/>
    <x v="37"/>
    <x v="17"/>
    <x v="1"/>
    <x v="6"/>
    <n v="543.5"/>
    <n v="4"/>
    <x v="1"/>
    <x v="0"/>
  </r>
  <r>
    <x v="1722"/>
    <n v="2"/>
    <x v="0"/>
    <n v="437"/>
    <x v="42"/>
    <x v="8"/>
    <x v="3"/>
    <x v="25"/>
    <x v="3"/>
    <n v="416.5"/>
    <n v="4"/>
    <x v="1"/>
    <x v="0"/>
  </r>
  <r>
    <x v="1723"/>
    <n v="2"/>
    <x v="0"/>
    <n v="558"/>
    <x v="44"/>
    <x v="3"/>
    <x v="3"/>
    <x v="32"/>
    <x v="6"/>
    <n v="491"/>
    <n v="7"/>
    <x v="10"/>
    <x v="0"/>
  </r>
  <r>
    <x v="1724"/>
    <n v="1"/>
    <x v="0"/>
    <n v="417"/>
    <x v="41"/>
    <x v="0"/>
    <x v="15"/>
    <x v="1"/>
    <x v="4"/>
    <n v="435.5"/>
    <n v="4"/>
    <x v="0"/>
    <x v="0"/>
  </r>
  <r>
    <x v="1725"/>
    <n v="2"/>
    <x v="0"/>
    <n v="641"/>
    <x v="53"/>
    <x v="73"/>
    <x v="3"/>
    <x v="19"/>
    <x v="4"/>
    <n v="583.5"/>
    <n v="0"/>
    <x v="3"/>
    <x v="0"/>
  </r>
  <r>
    <x v="1726"/>
    <n v="2"/>
    <x v="0"/>
    <n v="478"/>
    <x v="4"/>
    <x v="4"/>
    <x v="3"/>
    <x v="1"/>
    <x v="1"/>
    <n v="0"/>
    <n v="2"/>
    <x v="1"/>
    <x v="0"/>
  </r>
  <r>
    <x v="1727"/>
    <n v="1"/>
    <x v="2"/>
    <n v="579"/>
    <x v="39"/>
    <x v="30"/>
    <x v="3"/>
    <x v="70"/>
    <x v="1"/>
    <n v="678"/>
    <n v="9"/>
    <x v="7"/>
    <x v="4"/>
  </r>
  <r>
    <x v="1728"/>
    <n v="2"/>
    <x v="1"/>
    <n v="661"/>
    <x v="7"/>
    <x v="20"/>
    <x v="17"/>
    <x v="34"/>
    <x v="1"/>
    <n v="556.5"/>
    <n v="9"/>
    <x v="7"/>
    <x v="3"/>
  </r>
  <r>
    <x v="1729"/>
    <n v="1"/>
    <x v="0"/>
    <n v="558"/>
    <x v="33"/>
    <x v="21"/>
    <x v="3"/>
    <x v="14"/>
    <x v="1"/>
    <n v="587"/>
    <n v="4"/>
    <x v="2"/>
    <x v="0"/>
  </r>
  <r>
    <x v="1730"/>
    <n v="1"/>
    <x v="0"/>
    <n v="599"/>
    <x v="9"/>
    <x v="52"/>
    <x v="3"/>
    <x v="0"/>
    <x v="1"/>
    <n v="545"/>
    <n v="0"/>
    <x v="5"/>
    <x v="1"/>
  </r>
  <r>
    <x v="1731"/>
    <n v="2"/>
    <x v="0"/>
    <n v="397"/>
    <x v="4"/>
    <x v="4"/>
    <x v="3"/>
    <x v="1"/>
    <x v="6"/>
    <n v="0"/>
    <n v="2"/>
    <x v="2"/>
    <x v="0"/>
  </r>
  <r>
    <x v="1732"/>
    <n v="1"/>
    <x v="1"/>
    <n v="599"/>
    <x v="57"/>
    <x v="51"/>
    <x v="3"/>
    <x v="53"/>
    <x v="1"/>
    <n v="649.5"/>
    <n v="9"/>
    <x v="10"/>
    <x v="0"/>
  </r>
  <r>
    <x v="1733"/>
    <n v="2"/>
    <x v="2"/>
    <n v="579"/>
    <x v="70"/>
    <x v="10"/>
    <x v="3"/>
    <x v="49"/>
    <x v="3"/>
    <n v="647"/>
    <n v="8"/>
    <x v="1"/>
    <x v="1"/>
  </r>
  <r>
    <x v="1734"/>
    <n v="2"/>
    <x v="1"/>
    <n v="414"/>
    <x v="57"/>
    <x v="3"/>
    <x v="40"/>
    <x v="1"/>
    <x v="7"/>
    <n v="539.5"/>
    <n v="4"/>
    <x v="7"/>
    <x v="1"/>
  </r>
  <r>
    <x v="1735"/>
    <n v="1"/>
    <x v="0"/>
    <n v="682"/>
    <x v="49"/>
    <x v="38"/>
    <x v="3"/>
    <x v="38"/>
    <x v="1"/>
    <n v="597.5"/>
    <n v="5"/>
    <x v="0"/>
    <x v="0"/>
  </r>
  <r>
    <x v="1736"/>
    <n v="2"/>
    <x v="0"/>
    <n v="702"/>
    <x v="7"/>
    <x v="27"/>
    <x v="51"/>
    <x v="1"/>
    <x v="5"/>
    <n v="517.5"/>
    <n v="3"/>
    <x v="5"/>
    <x v="0"/>
  </r>
  <r>
    <x v="1737"/>
    <n v="2"/>
    <x v="0"/>
    <n v="414"/>
    <x v="38"/>
    <x v="29"/>
    <x v="3"/>
    <x v="48"/>
    <x v="3"/>
    <n v="353"/>
    <n v="5"/>
    <x v="3"/>
    <x v="0"/>
  </r>
  <r>
    <x v="1738"/>
    <n v="2"/>
    <x v="1"/>
    <n v="702"/>
    <x v="65"/>
    <x v="20"/>
    <x v="44"/>
    <x v="6"/>
    <x v="1"/>
    <n v="637.5"/>
    <n v="7"/>
    <x v="7"/>
    <x v="3"/>
  </r>
  <r>
    <x v="1739"/>
    <n v="2"/>
    <x v="1"/>
    <n v="579"/>
    <x v="27"/>
    <x v="34"/>
    <x v="3"/>
    <x v="22"/>
    <x v="1"/>
    <n v="584"/>
    <n v="7"/>
    <x v="10"/>
    <x v="3"/>
  </r>
  <r>
    <x v="1740"/>
    <n v="1"/>
    <x v="1"/>
    <n v="458"/>
    <x v="3"/>
    <x v="24"/>
    <x v="36"/>
    <x v="19"/>
    <x v="6"/>
    <n v="482.5"/>
    <n v="4"/>
    <x v="1"/>
    <x v="0"/>
  </r>
  <r>
    <x v="1741"/>
    <n v="2"/>
    <x v="1"/>
    <n v="0"/>
    <x v="4"/>
    <x v="4"/>
    <x v="3"/>
    <x v="1"/>
    <x v="1"/>
    <n v="0"/>
    <n v="5"/>
    <x v="3"/>
    <x v="0"/>
  </r>
  <r>
    <x v="1742"/>
    <n v="2"/>
    <x v="0"/>
    <n v="496"/>
    <x v="38"/>
    <x v="22"/>
    <x v="3"/>
    <x v="19"/>
    <x v="6"/>
    <n v="447.5"/>
    <n v="2"/>
    <x v="3"/>
    <x v="0"/>
  </r>
  <r>
    <x v="1743"/>
    <n v="1"/>
    <x v="0"/>
    <n v="437"/>
    <x v="17"/>
    <x v="35"/>
    <x v="4"/>
    <x v="1"/>
    <x v="7"/>
    <n v="384"/>
    <n v="5"/>
    <x v="3"/>
    <x v="1"/>
  </r>
  <r>
    <x v="1744"/>
    <n v="2"/>
    <x v="0"/>
    <n v="496"/>
    <x v="66"/>
    <x v="18"/>
    <x v="15"/>
    <x v="1"/>
    <x v="3"/>
    <n v="404"/>
    <n v="5"/>
    <x v="3"/>
    <x v="0"/>
  </r>
  <r>
    <x v="1745"/>
    <n v="2"/>
    <x v="0"/>
    <n v="579"/>
    <x v="2"/>
    <x v="73"/>
    <x v="16"/>
    <x v="1"/>
    <x v="6"/>
    <n v="556"/>
    <n v="3"/>
    <x v="1"/>
    <x v="0"/>
  </r>
  <r>
    <x v="1746"/>
    <n v="1"/>
    <x v="0"/>
    <n v="417"/>
    <x v="51"/>
    <x v="23"/>
    <x v="32"/>
    <x v="2"/>
    <x v="3"/>
    <n v="491"/>
    <n v="5"/>
    <x v="1"/>
    <x v="0"/>
  </r>
  <r>
    <x v="1747"/>
    <n v="2"/>
    <x v="0"/>
    <n v="560"/>
    <x v="64"/>
    <x v="35"/>
    <x v="3"/>
    <x v="28"/>
    <x v="3"/>
    <n v="329.5"/>
    <n v="4"/>
    <x v="0"/>
    <x v="0"/>
  </r>
  <r>
    <x v="1748"/>
    <n v="2"/>
    <x v="0"/>
    <n v="661"/>
    <x v="38"/>
    <x v="37"/>
    <x v="9"/>
    <x v="1"/>
    <x v="1"/>
    <n v="442"/>
    <n v="4"/>
    <x v="7"/>
    <x v="1"/>
  </r>
  <r>
    <x v="1749"/>
    <n v="2"/>
    <x v="0"/>
    <n v="744"/>
    <x v="68"/>
    <x v="32"/>
    <x v="3"/>
    <x v="12"/>
    <x v="1"/>
    <n v="699.5"/>
    <n v="5"/>
    <x v="1"/>
    <x v="0"/>
  </r>
  <r>
    <x v="1750"/>
    <n v="2"/>
    <x v="0"/>
    <n v="579"/>
    <x v="38"/>
    <x v="18"/>
    <x v="3"/>
    <x v="29"/>
    <x v="5"/>
    <n v="415"/>
    <n v="5"/>
    <x v="1"/>
    <x v="0"/>
  </r>
  <r>
    <x v="1751"/>
    <n v="1"/>
    <x v="1"/>
    <n v="661"/>
    <x v="39"/>
    <x v="41"/>
    <x v="76"/>
    <x v="1"/>
    <x v="4"/>
    <n v="719"/>
    <n v="7"/>
    <x v="10"/>
    <x v="3"/>
  </r>
  <r>
    <x v="1752"/>
    <n v="1"/>
    <x v="0"/>
    <n v="437"/>
    <x v="34"/>
    <x v="18"/>
    <x v="11"/>
    <x v="1"/>
    <x v="6"/>
    <n v="451.5"/>
    <n v="4"/>
    <x v="2"/>
    <x v="0"/>
  </r>
  <r>
    <x v="1753"/>
    <n v="1"/>
    <x v="1"/>
    <n v="682"/>
    <x v="39"/>
    <x v="71"/>
    <x v="3"/>
    <x v="78"/>
    <x v="4"/>
    <n v="701.5"/>
    <n v="5"/>
    <x v="3"/>
    <x v="0"/>
  </r>
  <r>
    <x v="1754"/>
    <n v="1"/>
    <x v="0"/>
    <n v="641"/>
    <x v="47"/>
    <x v="56"/>
    <x v="3"/>
    <x v="68"/>
    <x v="1"/>
    <n v="582.5"/>
    <n v="5"/>
    <x v="3"/>
    <x v="1"/>
  </r>
  <r>
    <x v="1755"/>
    <n v="2"/>
    <x v="0"/>
    <n v="517"/>
    <x v="57"/>
    <x v="2"/>
    <x v="64"/>
    <x v="1"/>
    <x v="4"/>
    <n v="567"/>
    <n v="4"/>
    <x v="0"/>
    <x v="1"/>
  </r>
  <r>
    <x v="1756"/>
    <n v="1"/>
    <x v="0"/>
    <n v="538"/>
    <x v="74"/>
    <x v="33"/>
    <x v="1"/>
    <x v="1"/>
    <x v="10"/>
    <n v="560.5"/>
    <n v="0"/>
    <x v="7"/>
    <x v="1"/>
  </r>
  <r>
    <x v="1757"/>
    <n v="2"/>
    <x v="1"/>
    <n v="558"/>
    <x v="27"/>
    <x v="61"/>
    <x v="3"/>
    <x v="11"/>
    <x v="3"/>
    <n v="582.5"/>
    <n v="9"/>
    <x v="3"/>
    <x v="1"/>
  </r>
  <r>
    <x v="1758"/>
    <n v="1"/>
    <x v="2"/>
    <n v="476"/>
    <x v="53"/>
    <x v="10"/>
    <x v="12"/>
    <x v="1"/>
    <x v="3"/>
    <n v="619.5"/>
    <n v="5"/>
    <x v="3"/>
    <x v="2"/>
  </r>
  <r>
    <x v="1759"/>
    <n v="2"/>
    <x v="1"/>
    <n v="420"/>
    <x v="45"/>
    <x v="40"/>
    <x v="11"/>
    <x v="48"/>
    <x v="4"/>
    <n v="344"/>
    <n v="2"/>
    <x v="10"/>
    <x v="0"/>
  </r>
  <r>
    <x v="1760"/>
    <n v="2"/>
    <x v="0"/>
    <n v="517"/>
    <x v="30"/>
    <x v="52"/>
    <x v="3"/>
    <x v="40"/>
    <x v="3"/>
    <n v="571.5"/>
    <n v="6"/>
    <x v="10"/>
    <x v="0"/>
  </r>
  <r>
    <x v="1761"/>
    <n v="1"/>
    <x v="0"/>
    <n v="455"/>
    <x v="43"/>
    <x v="3"/>
    <x v="20"/>
    <x v="1"/>
    <x v="3"/>
    <n v="458"/>
    <n v="4"/>
    <x v="3"/>
    <x v="0"/>
  </r>
  <r>
    <x v="1762"/>
    <n v="2"/>
    <x v="0"/>
    <n v="496"/>
    <x v="44"/>
    <x v="25"/>
    <x v="41"/>
    <x v="1"/>
    <x v="4"/>
    <n v="511"/>
    <n v="4"/>
    <x v="1"/>
    <x v="0"/>
  </r>
  <r>
    <x v="1763"/>
    <n v="1"/>
    <x v="0"/>
    <n v="476"/>
    <x v="0"/>
    <x v="26"/>
    <x v="23"/>
    <x v="1"/>
    <x v="1"/>
    <n v="472.5"/>
    <n v="7"/>
    <x v="10"/>
    <x v="0"/>
  </r>
  <r>
    <x v="1764"/>
    <n v="1"/>
    <x v="0"/>
    <n v="352"/>
    <x v="45"/>
    <x v="31"/>
    <x v="6"/>
    <x v="1"/>
    <x v="4"/>
    <n v="400.5"/>
    <n v="9"/>
    <x v="7"/>
    <x v="1"/>
  </r>
  <r>
    <x v="1765"/>
    <n v="2"/>
    <x v="0"/>
    <n v="435"/>
    <x v="54"/>
    <x v="7"/>
    <x v="2"/>
    <x v="1"/>
    <x v="3"/>
    <n v="575.5"/>
    <n v="5"/>
    <x v="0"/>
    <x v="0"/>
  </r>
  <r>
    <x v="1766"/>
    <n v="1"/>
    <x v="0"/>
    <n v="417"/>
    <x v="12"/>
    <x v="40"/>
    <x v="31"/>
    <x v="1"/>
    <x v="4"/>
    <n v="333.5"/>
    <n v="2"/>
    <x v="2"/>
    <x v="0"/>
  </r>
  <r>
    <x v="1767"/>
    <n v="2"/>
    <x v="2"/>
    <n v="538"/>
    <x v="1"/>
    <x v="60"/>
    <x v="17"/>
    <x v="1"/>
    <x v="0"/>
    <n v="612"/>
    <n v="0"/>
    <x v="5"/>
    <x v="2"/>
  </r>
  <r>
    <x v="1768"/>
    <n v="2"/>
    <x v="0"/>
    <n v="437"/>
    <x v="43"/>
    <x v="74"/>
    <x v="3"/>
    <x v="35"/>
    <x v="1"/>
    <n v="506"/>
    <n v="5"/>
    <x v="10"/>
    <x v="0"/>
  </r>
  <r>
    <x v="1769"/>
    <n v="1"/>
    <x v="0"/>
    <n v="620"/>
    <x v="21"/>
    <x v="7"/>
    <x v="63"/>
    <x v="6"/>
    <x v="4"/>
    <n v="540"/>
    <n v="4"/>
    <x v="3"/>
    <x v="0"/>
  </r>
  <r>
    <x v="1770"/>
    <n v="2"/>
    <x v="1"/>
    <n v="521"/>
    <x v="33"/>
    <x v="16"/>
    <x v="3"/>
    <x v="68"/>
    <x v="6"/>
    <n v="548.5"/>
    <n v="7"/>
    <x v="10"/>
    <x v="1"/>
  </r>
  <r>
    <x v="1771"/>
    <n v="1"/>
    <x v="0"/>
    <n v="455"/>
    <x v="33"/>
    <x v="19"/>
    <x v="17"/>
    <x v="14"/>
    <x v="3"/>
    <n v="525.5"/>
    <n v="4"/>
    <x v="4"/>
    <x v="0"/>
  </r>
  <r>
    <x v="1772"/>
    <n v="1"/>
    <x v="0"/>
    <n v="455"/>
    <x v="27"/>
    <x v="33"/>
    <x v="33"/>
    <x v="1"/>
    <x v="6"/>
    <n v="533"/>
    <n v="5"/>
    <x v="2"/>
    <x v="0"/>
  </r>
  <r>
    <x v="1773"/>
    <n v="2"/>
    <x v="0"/>
    <n v="620"/>
    <x v="44"/>
    <x v="8"/>
    <x v="32"/>
    <x v="21"/>
    <x v="1"/>
    <n v="452.5"/>
    <n v="7"/>
    <x v="10"/>
    <x v="0"/>
  </r>
  <r>
    <x v="1774"/>
    <n v="2"/>
    <x v="0"/>
    <n v="0"/>
    <x v="4"/>
    <x v="4"/>
    <x v="3"/>
    <x v="1"/>
    <x v="1"/>
    <n v="0"/>
    <n v="5"/>
    <x v="3"/>
    <x v="0"/>
  </r>
  <r>
    <x v="1775"/>
    <n v="1"/>
    <x v="0"/>
    <n v="476"/>
    <x v="43"/>
    <x v="12"/>
    <x v="9"/>
    <x v="1"/>
    <x v="4"/>
    <n v="410"/>
    <n v="3"/>
    <x v="3"/>
    <x v="0"/>
  </r>
  <r>
    <x v="1776"/>
    <n v="2"/>
    <x v="0"/>
    <n v="621"/>
    <x v="2"/>
    <x v="11"/>
    <x v="63"/>
    <x v="1"/>
    <x v="4"/>
    <n v="522"/>
    <n v="5"/>
    <x v="3"/>
    <x v="1"/>
  </r>
  <r>
    <x v="1777"/>
    <n v="2"/>
    <x v="2"/>
    <n v="455"/>
    <x v="11"/>
    <x v="22"/>
    <x v="3"/>
    <x v="27"/>
    <x v="6"/>
    <n v="494"/>
    <n v="9"/>
    <x v="0"/>
    <x v="1"/>
  </r>
  <r>
    <x v="1778"/>
    <n v="1"/>
    <x v="1"/>
    <n v="641"/>
    <x v="26"/>
    <x v="73"/>
    <x v="48"/>
    <x v="1"/>
    <x v="3"/>
    <n v="528.5"/>
    <n v="5"/>
    <x v="0"/>
    <x v="0"/>
  </r>
  <r>
    <x v="1779"/>
    <n v="2"/>
    <x v="1"/>
    <n v="397"/>
    <x v="4"/>
    <x v="4"/>
    <x v="3"/>
    <x v="1"/>
    <x v="0"/>
    <n v="0"/>
    <n v="3"/>
    <x v="0"/>
    <x v="0"/>
  </r>
  <r>
    <x v="1780"/>
    <n v="2"/>
    <x v="0"/>
    <n v="455"/>
    <x v="4"/>
    <x v="4"/>
    <x v="3"/>
    <x v="1"/>
    <x v="0"/>
    <n v="0"/>
    <n v="0"/>
    <x v="5"/>
    <x v="0"/>
  </r>
  <r>
    <x v="1781"/>
    <n v="1"/>
    <x v="0"/>
    <n v="478"/>
    <x v="3"/>
    <x v="73"/>
    <x v="36"/>
    <x v="1"/>
    <x v="4"/>
    <n v="497.5"/>
    <n v="4"/>
    <x v="0"/>
    <x v="0"/>
  </r>
  <r>
    <x v="1782"/>
    <n v="2"/>
    <x v="0"/>
    <n v="785"/>
    <x v="20"/>
    <x v="71"/>
    <x v="14"/>
    <x v="1"/>
    <x v="4"/>
    <n v="705.5"/>
    <n v="2"/>
    <x v="2"/>
    <x v="0"/>
  </r>
  <r>
    <x v="1783"/>
    <n v="1"/>
    <x v="0"/>
    <n v="538"/>
    <x v="42"/>
    <x v="2"/>
    <x v="3"/>
    <x v="23"/>
    <x v="1"/>
    <n v="482.5"/>
    <n v="0"/>
    <x v="2"/>
    <x v="0"/>
  </r>
  <r>
    <x v="1784"/>
    <n v="1"/>
    <x v="1"/>
    <n v="478"/>
    <x v="31"/>
    <x v="12"/>
    <x v="18"/>
    <x v="35"/>
    <x v="1"/>
    <n v="391"/>
    <n v="0"/>
    <x v="1"/>
    <x v="0"/>
  </r>
  <r>
    <x v="1785"/>
    <n v="1"/>
    <x v="0"/>
    <n v="579"/>
    <x v="18"/>
    <x v="18"/>
    <x v="40"/>
    <x v="1"/>
    <x v="5"/>
    <n v="486.5"/>
    <n v="2"/>
    <x v="3"/>
    <x v="0"/>
  </r>
  <r>
    <x v="1786"/>
    <n v="1"/>
    <x v="0"/>
    <n v="437"/>
    <x v="24"/>
    <x v="24"/>
    <x v="27"/>
    <x v="1"/>
    <x v="6"/>
    <n v="508.5"/>
    <n v="8"/>
    <x v="1"/>
    <x v="0"/>
  </r>
  <r>
    <x v="1787"/>
    <n v="2"/>
    <x v="1"/>
    <n v="397"/>
    <x v="4"/>
    <x v="4"/>
    <x v="3"/>
    <x v="1"/>
    <x v="4"/>
    <n v="0"/>
    <n v="4"/>
    <x v="1"/>
    <x v="0"/>
  </r>
  <r>
    <x v="1788"/>
    <n v="2"/>
    <x v="0"/>
    <n v="519"/>
    <x v="41"/>
    <x v="26"/>
    <x v="18"/>
    <x v="1"/>
    <x v="4"/>
    <n v="458.5"/>
    <n v="3"/>
    <x v="0"/>
    <x v="0"/>
  </r>
  <r>
    <x v="1789"/>
    <n v="1"/>
    <x v="0"/>
    <n v="455"/>
    <x v="35"/>
    <x v="5"/>
    <x v="41"/>
    <x v="1"/>
    <x v="10"/>
    <n v="386.5"/>
    <n v="1"/>
    <x v="9"/>
    <x v="0"/>
  </r>
  <r>
    <x v="1790"/>
    <n v="1"/>
    <x v="1"/>
    <n v="435"/>
    <x v="34"/>
    <x v="43"/>
    <x v="16"/>
    <x v="6"/>
    <x v="4"/>
    <n v="512.5"/>
    <n v="5"/>
    <x v="3"/>
    <x v="0"/>
  </r>
  <r>
    <x v="1791"/>
    <n v="2"/>
    <x v="0"/>
    <n v="662"/>
    <x v="14"/>
    <x v="19"/>
    <x v="18"/>
    <x v="1"/>
    <x v="3"/>
    <n v="485"/>
    <n v="3"/>
    <x v="0"/>
    <x v="0"/>
  </r>
  <r>
    <x v="1792"/>
    <n v="1"/>
    <x v="0"/>
    <n v="620"/>
    <x v="67"/>
    <x v="48"/>
    <x v="58"/>
    <x v="1"/>
    <x v="3"/>
    <n v="596.5"/>
    <n v="9"/>
    <x v="3"/>
    <x v="0"/>
  </r>
  <r>
    <x v="1793"/>
    <n v="2"/>
    <x v="1"/>
    <n v="499"/>
    <x v="35"/>
    <x v="4"/>
    <x v="3"/>
    <x v="1"/>
    <x v="4"/>
    <n v="172.5"/>
    <n v="4"/>
    <x v="1"/>
    <x v="0"/>
  </r>
  <r>
    <x v="1794"/>
    <n v="2"/>
    <x v="1"/>
    <n v="519"/>
    <x v="7"/>
    <x v="31"/>
    <x v="61"/>
    <x v="1"/>
    <x v="6"/>
    <n v="456"/>
    <n v="2"/>
    <x v="0"/>
    <x v="0"/>
  </r>
  <r>
    <x v="1795"/>
    <n v="2"/>
    <x v="0"/>
    <n v="437"/>
    <x v="35"/>
    <x v="18"/>
    <x v="0"/>
    <x v="1"/>
    <x v="3"/>
    <n v="398.5"/>
    <n v="5"/>
    <x v="0"/>
    <x v="1"/>
  </r>
  <r>
    <x v="1796"/>
    <n v="1"/>
    <x v="0"/>
    <n v="393"/>
    <x v="4"/>
    <x v="4"/>
    <x v="3"/>
    <x v="1"/>
    <x v="1"/>
    <n v="0"/>
    <n v="5"/>
    <x v="0"/>
    <x v="0"/>
  </r>
  <r>
    <x v="1797"/>
    <n v="2"/>
    <x v="1"/>
    <n v="478"/>
    <x v="4"/>
    <x v="4"/>
    <x v="3"/>
    <x v="1"/>
    <x v="1"/>
    <n v="0"/>
    <n v="5"/>
    <x v="3"/>
    <x v="0"/>
  </r>
  <r>
    <x v="1798"/>
    <n v="2"/>
    <x v="1"/>
    <n v="560"/>
    <x v="12"/>
    <x v="3"/>
    <x v="3"/>
    <x v="21"/>
    <x v="10"/>
    <n v="419.5"/>
    <n v="2"/>
    <x v="2"/>
    <x v="0"/>
  </r>
  <r>
    <x v="1799"/>
    <n v="1"/>
    <x v="1"/>
    <n v="744"/>
    <x v="32"/>
    <x v="54"/>
    <x v="3"/>
    <x v="73"/>
    <x v="1"/>
    <n v="693"/>
    <n v="1"/>
    <x v="2"/>
    <x v="0"/>
  </r>
  <r>
    <x v="1800"/>
    <n v="1"/>
    <x v="0"/>
    <n v="458"/>
    <x v="50"/>
    <x v="40"/>
    <x v="79"/>
    <x v="1"/>
    <x v="10"/>
    <n v="310"/>
    <n v="3"/>
    <x v="1"/>
    <x v="0"/>
  </r>
  <r>
    <x v="1801"/>
    <n v="1"/>
    <x v="0"/>
    <n v="579"/>
    <x v="29"/>
    <x v="72"/>
    <x v="3"/>
    <x v="62"/>
    <x v="1"/>
    <n v="722"/>
    <n v="0"/>
    <x v="5"/>
    <x v="1"/>
  </r>
  <r>
    <x v="1802"/>
    <n v="1"/>
    <x v="0"/>
    <n v="519"/>
    <x v="21"/>
    <x v="73"/>
    <x v="45"/>
    <x v="1"/>
    <x v="4"/>
    <n v="531"/>
    <n v="5"/>
    <x v="1"/>
    <x v="0"/>
  </r>
  <r>
    <x v="1803"/>
    <n v="2"/>
    <x v="0"/>
    <n v="579"/>
    <x v="48"/>
    <x v="31"/>
    <x v="23"/>
    <x v="1"/>
    <x v="1"/>
    <n v="477"/>
    <n v="5"/>
    <x v="3"/>
    <x v="0"/>
  </r>
  <r>
    <x v="1804"/>
    <n v="1"/>
    <x v="1"/>
    <n v="682"/>
    <x v="54"/>
    <x v="52"/>
    <x v="3"/>
    <x v="8"/>
    <x v="4"/>
    <n v="599"/>
    <n v="9"/>
    <x v="7"/>
    <x v="3"/>
  </r>
  <r>
    <x v="1805"/>
    <n v="1"/>
    <x v="0"/>
    <n v="496"/>
    <x v="3"/>
    <x v="19"/>
    <x v="25"/>
    <x v="2"/>
    <x v="1"/>
    <n v="479"/>
    <n v="5"/>
    <x v="0"/>
    <x v="0"/>
  </r>
  <r>
    <x v="1806"/>
    <n v="2"/>
    <x v="1"/>
    <n v="702"/>
    <x v="19"/>
    <x v="44"/>
    <x v="44"/>
    <x v="15"/>
    <x v="3"/>
    <n v="591"/>
    <n v="7"/>
    <x v="9"/>
    <x v="1"/>
  </r>
  <r>
    <x v="1807"/>
    <n v="2"/>
    <x v="0"/>
    <n v="641"/>
    <x v="39"/>
    <x v="62"/>
    <x v="3"/>
    <x v="67"/>
    <x v="6"/>
    <n v="634"/>
    <n v="9"/>
    <x v="1"/>
    <x v="1"/>
  </r>
  <r>
    <x v="1808"/>
    <n v="1"/>
    <x v="0"/>
    <n v="558"/>
    <x v="2"/>
    <x v="60"/>
    <x v="3"/>
    <x v="34"/>
    <x v="1"/>
    <n v="593.5"/>
    <n v="5"/>
    <x v="1"/>
    <x v="1"/>
  </r>
  <r>
    <x v="1809"/>
    <n v="2"/>
    <x v="2"/>
    <n v="538"/>
    <x v="26"/>
    <x v="6"/>
    <x v="3"/>
    <x v="77"/>
    <x v="7"/>
    <n v="555.5"/>
    <n v="9"/>
    <x v="9"/>
    <x v="3"/>
  </r>
  <r>
    <x v="1810"/>
    <n v="2"/>
    <x v="1"/>
    <n v="661"/>
    <x v="27"/>
    <x v="60"/>
    <x v="33"/>
    <x v="14"/>
    <x v="1"/>
    <n v="596"/>
    <n v="5"/>
    <x v="1"/>
    <x v="1"/>
  </r>
  <r>
    <x v="1811"/>
    <n v="1"/>
    <x v="0"/>
    <n v="599"/>
    <x v="3"/>
    <x v="22"/>
    <x v="3"/>
    <x v="2"/>
    <x v="4"/>
    <n v="490.5"/>
    <n v="4"/>
    <x v="3"/>
    <x v="0"/>
  </r>
  <r>
    <x v="1812"/>
    <n v="1"/>
    <x v="0"/>
    <n v="435"/>
    <x v="41"/>
    <x v="55"/>
    <x v="3"/>
    <x v="2"/>
    <x v="7"/>
    <n v="339"/>
    <n v="9"/>
    <x v="9"/>
    <x v="1"/>
  </r>
  <r>
    <x v="1813"/>
    <n v="1"/>
    <x v="1"/>
    <n v="579"/>
    <x v="6"/>
    <x v="51"/>
    <x v="3"/>
    <x v="12"/>
    <x v="10"/>
    <n v="652.5"/>
    <n v="9"/>
    <x v="9"/>
    <x v="0"/>
  </r>
  <r>
    <x v="1814"/>
    <n v="2"/>
    <x v="1"/>
    <n v="661"/>
    <x v="22"/>
    <x v="44"/>
    <x v="58"/>
    <x v="59"/>
    <x v="4"/>
    <n v="643"/>
    <n v="5"/>
    <x v="3"/>
    <x v="1"/>
  </r>
  <r>
    <x v="1815"/>
    <n v="1"/>
    <x v="1"/>
    <n v="437"/>
    <x v="4"/>
    <x v="4"/>
    <x v="3"/>
    <x v="1"/>
    <x v="4"/>
    <n v="0"/>
    <n v="5"/>
    <x v="3"/>
    <x v="1"/>
  </r>
  <r>
    <x v="1816"/>
    <n v="2"/>
    <x v="1"/>
    <n v="579"/>
    <x v="25"/>
    <x v="73"/>
    <x v="51"/>
    <x v="1"/>
    <x v="7"/>
    <n v="549"/>
    <n v="9"/>
    <x v="3"/>
    <x v="3"/>
  </r>
  <r>
    <x v="1817"/>
    <n v="1"/>
    <x v="0"/>
    <n v="723"/>
    <x v="6"/>
    <x v="58"/>
    <x v="42"/>
    <x v="1"/>
    <x v="1"/>
    <n v="585"/>
    <n v="3"/>
    <x v="3"/>
    <x v="0"/>
  </r>
  <r>
    <x v="1818"/>
    <n v="2"/>
    <x v="1"/>
    <n v="437"/>
    <x v="38"/>
    <x v="29"/>
    <x v="8"/>
    <x v="48"/>
    <x v="1"/>
    <n v="353"/>
    <n v="2"/>
    <x v="3"/>
    <x v="0"/>
  </r>
  <r>
    <x v="1819"/>
    <n v="1"/>
    <x v="0"/>
    <n v="0"/>
    <x v="4"/>
    <x v="4"/>
    <x v="3"/>
    <x v="1"/>
    <x v="4"/>
    <n v="0"/>
    <n v="3"/>
    <x v="1"/>
    <x v="1"/>
  </r>
  <r>
    <x v="1820"/>
    <n v="2"/>
    <x v="0"/>
    <n v="476"/>
    <x v="5"/>
    <x v="8"/>
    <x v="3"/>
    <x v="21"/>
    <x v="1"/>
    <n v="441.5"/>
    <n v="5"/>
    <x v="0"/>
    <x v="0"/>
  </r>
  <r>
    <x v="1821"/>
    <n v="1"/>
    <x v="1"/>
    <n v="517"/>
    <x v="25"/>
    <x v="70"/>
    <x v="3"/>
    <x v="34"/>
    <x v="4"/>
    <n v="583.5"/>
    <n v="2"/>
    <x v="1"/>
    <x v="0"/>
  </r>
  <r>
    <x v="1822"/>
    <n v="2"/>
    <x v="0"/>
    <n v="437"/>
    <x v="4"/>
    <x v="4"/>
    <x v="3"/>
    <x v="1"/>
    <x v="4"/>
    <n v="0"/>
    <n v="5"/>
    <x v="0"/>
    <x v="0"/>
  </r>
  <r>
    <x v="1823"/>
    <n v="2"/>
    <x v="0"/>
    <n v="560"/>
    <x v="17"/>
    <x v="26"/>
    <x v="41"/>
    <x v="42"/>
    <x v="1"/>
    <n v="451"/>
    <n v="2"/>
    <x v="1"/>
    <x v="0"/>
  </r>
  <r>
    <x v="1824"/>
    <n v="2"/>
    <x v="0"/>
    <n v="641"/>
    <x v="55"/>
    <x v="3"/>
    <x v="32"/>
    <x v="1"/>
    <x v="1"/>
    <n v="504.5"/>
    <n v="5"/>
    <x v="3"/>
    <x v="0"/>
  </r>
  <r>
    <x v="1825"/>
    <n v="1"/>
    <x v="0"/>
    <n v="620"/>
    <x v="5"/>
    <x v="2"/>
    <x v="3"/>
    <x v="33"/>
    <x v="3"/>
    <n v="507.5"/>
    <n v="10"/>
    <x v="9"/>
    <x v="1"/>
  </r>
  <r>
    <x v="1826"/>
    <n v="1"/>
    <x v="0"/>
    <n v="661"/>
    <x v="0"/>
    <x v="74"/>
    <x v="3"/>
    <x v="18"/>
    <x v="3"/>
    <n v="513"/>
    <n v="4"/>
    <x v="1"/>
    <x v="0"/>
  </r>
  <r>
    <x v="1827"/>
    <n v="1"/>
    <x v="0"/>
    <n v="496"/>
    <x v="36"/>
    <x v="31"/>
    <x v="3"/>
    <x v="23"/>
    <x v="4"/>
    <n v="405"/>
    <n v="5"/>
    <x v="3"/>
    <x v="1"/>
  </r>
  <r>
    <x v="1828"/>
    <n v="1"/>
    <x v="0"/>
    <n v="478"/>
    <x v="4"/>
    <x v="4"/>
    <x v="3"/>
    <x v="1"/>
    <x v="4"/>
    <n v="0"/>
    <n v="7"/>
    <x v="3"/>
    <x v="1"/>
  </r>
  <r>
    <x v="1829"/>
    <n v="1"/>
    <x v="0"/>
    <n v="517"/>
    <x v="48"/>
    <x v="3"/>
    <x v="1"/>
    <x v="1"/>
    <x v="4"/>
    <n v="506.5"/>
    <n v="2"/>
    <x v="2"/>
    <x v="0"/>
  </r>
  <r>
    <x v="1830"/>
    <n v="2"/>
    <x v="1"/>
    <n v="682"/>
    <x v="0"/>
    <x v="24"/>
    <x v="36"/>
    <x v="44"/>
    <x v="4"/>
    <n v="479.5"/>
    <n v="5"/>
    <x v="10"/>
    <x v="0"/>
  </r>
  <r>
    <x v="1831"/>
    <n v="1"/>
    <x v="0"/>
    <n v="397"/>
    <x v="4"/>
    <x v="4"/>
    <x v="3"/>
    <x v="1"/>
    <x v="4"/>
    <n v="0"/>
    <n v="2"/>
    <x v="2"/>
    <x v="0"/>
  </r>
  <r>
    <x v="1832"/>
    <n v="1"/>
    <x v="0"/>
    <n v="579"/>
    <x v="30"/>
    <x v="20"/>
    <x v="3"/>
    <x v="52"/>
    <x v="4"/>
    <n v="580.5"/>
    <n v="9"/>
    <x v="0"/>
    <x v="1"/>
  </r>
  <r>
    <x v="1833"/>
    <n v="2"/>
    <x v="0"/>
    <n v="435"/>
    <x v="3"/>
    <x v="31"/>
    <x v="7"/>
    <x v="1"/>
    <x v="1"/>
    <n v="438.5"/>
    <n v="5"/>
    <x v="0"/>
    <x v="0"/>
  </r>
  <r>
    <x v="1834"/>
    <n v="1"/>
    <x v="1"/>
    <n v="558"/>
    <x v="1"/>
    <x v="47"/>
    <x v="3"/>
    <x v="16"/>
    <x v="1"/>
    <n v="613.5"/>
    <n v="5"/>
    <x v="1"/>
    <x v="0"/>
  </r>
  <r>
    <x v="1835"/>
    <n v="1"/>
    <x v="0"/>
    <n v="476"/>
    <x v="9"/>
    <x v="33"/>
    <x v="30"/>
    <x v="1"/>
    <x v="6"/>
    <n v="487"/>
    <n v="5"/>
    <x v="3"/>
    <x v="0"/>
  </r>
  <r>
    <x v="1836"/>
    <n v="2"/>
    <x v="2"/>
    <n v="682"/>
    <x v="32"/>
    <x v="53"/>
    <x v="3"/>
    <x v="10"/>
    <x v="3"/>
    <n v="646"/>
    <n v="5"/>
    <x v="7"/>
    <x v="1"/>
  </r>
  <r>
    <x v="1837"/>
    <n v="1"/>
    <x v="0"/>
    <n v="661"/>
    <x v="21"/>
    <x v="13"/>
    <x v="10"/>
    <x v="29"/>
    <x v="6"/>
    <n v="541.5"/>
    <n v="5"/>
    <x v="1"/>
    <x v="0"/>
  </r>
  <r>
    <x v="1838"/>
    <n v="1"/>
    <x v="0"/>
    <n v="499"/>
    <x v="36"/>
    <x v="55"/>
    <x v="3"/>
    <x v="23"/>
    <x v="1"/>
    <n v="322.5"/>
    <n v="3"/>
    <x v="3"/>
    <x v="0"/>
  </r>
  <r>
    <x v="1839"/>
    <n v="1"/>
    <x v="0"/>
    <n v="601"/>
    <x v="26"/>
    <x v="16"/>
    <x v="61"/>
    <x v="68"/>
    <x v="1"/>
    <n v="533"/>
    <n v="4"/>
    <x v="3"/>
    <x v="0"/>
  </r>
  <r>
    <x v="1840"/>
    <n v="2"/>
    <x v="0"/>
    <n v="682"/>
    <x v="41"/>
    <x v="29"/>
    <x v="3"/>
    <x v="4"/>
    <x v="6"/>
    <n v="379"/>
    <n v="2"/>
    <x v="2"/>
    <x v="0"/>
  </r>
  <r>
    <x v="1841"/>
    <n v="2"/>
    <x v="1"/>
    <n v="579"/>
    <x v="40"/>
    <x v="60"/>
    <x v="7"/>
    <x v="14"/>
    <x v="4"/>
    <n v="583.5"/>
    <n v="9"/>
    <x v="7"/>
    <x v="1"/>
  </r>
  <r>
    <x v="1842"/>
    <n v="1"/>
    <x v="1"/>
    <n v="458"/>
    <x v="31"/>
    <x v="31"/>
    <x v="3"/>
    <x v="9"/>
    <x v="7"/>
    <n v="409.5"/>
    <n v="2"/>
    <x v="2"/>
    <x v="0"/>
  </r>
  <r>
    <x v="1843"/>
    <n v="2"/>
    <x v="0"/>
    <n v="620"/>
    <x v="11"/>
    <x v="0"/>
    <x v="61"/>
    <x v="4"/>
    <x v="1"/>
    <n v="456"/>
    <n v="4"/>
    <x v="3"/>
    <x v="0"/>
  </r>
  <r>
    <x v="1844"/>
    <n v="1"/>
    <x v="2"/>
    <n v="538"/>
    <x v="20"/>
    <x v="65"/>
    <x v="3"/>
    <x v="13"/>
    <x v="0"/>
    <n v="691"/>
    <n v="0"/>
    <x v="5"/>
    <x v="1"/>
  </r>
  <r>
    <x v="1845"/>
    <n v="2"/>
    <x v="1"/>
    <n v="311"/>
    <x v="4"/>
    <x v="4"/>
    <x v="3"/>
    <x v="1"/>
    <x v="9"/>
    <n v="0"/>
    <n v="2"/>
    <x v="2"/>
    <x v="0"/>
  </r>
  <r>
    <x v="1846"/>
    <n v="1"/>
    <x v="0"/>
    <n v="539"/>
    <x v="9"/>
    <x v="11"/>
    <x v="37"/>
    <x v="21"/>
    <x v="1"/>
    <n v="478.5"/>
    <n v="2"/>
    <x v="2"/>
    <x v="0"/>
  </r>
  <r>
    <x v="1847"/>
    <n v="2"/>
    <x v="1"/>
    <n v="0"/>
    <x v="4"/>
    <x v="4"/>
    <x v="3"/>
    <x v="1"/>
    <x v="4"/>
    <n v="0"/>
    <n v="8"/>
    <x v="9"/>
    <x v="1"/>
  </r>
  <r>
    <x v="1848"/>
    <n v="1"/>
    <x v="0"/>
    <n v="723"/>
    <x v="59"/>
    <x v="76"/>
    <x v="63"/>
    <x v="67"/>
    <x v="4"/>
    <n v="622"/>
    <n v="2"/>
    <x v="1"/>
    <x v="0"/>
  </r>
  <r>
    <x v="1849"/>
    <n v="1"/>
    <x v="1"/>
    <n v="476"/>
    <x v="10"/>
    <x v="26"/>
    <x v="54"/>
    <x v="1"/>
    <x v="1"/>
    <n v="496"/>
    <n v="4"/>
    <x v="3"/>
    <x v="1"/>
  </r>
  <r>
    <x v="1850"/>
    <n v="1"/>
    <x v="2"/>
    <n v="579"/>
    <x v="65"/>
    <x v="70"/>
    <x v="60"/>
    <x v="1"/>
    <x v="6"/>
    <n v="630.5"/>
    <n v="9"/>
    <x v="7"/>
    <x v="3"/>
  </r>
  <r>
    <x v="1851"/>
    <n v="1"/>
    <x v="0"/>
    <n v="601"/>
    <x v="3"/>
    <x v="39"/>
    <x v="3"/>
    <x v="21"/>
    <x v="5"/>
    <n v="493.5"/>
    <n v="0"/>
    <x v="5"/>
    <x v="0"/>
  </r>
  <r>
    <x v="1852"/>
    <n v="1"/>
    <x v="0"/>
    <n v="0"/>
    <x v="4"/>
    <x v="4"/>
    <x v="3"/>
    <x v="1"/>
    <x v="6"/>
    <n v="0"/>
    <n v="0"/>
    <x v="9"/>
    <x v="1"/>
  </r>
  <r>
    <x v="1853"/>
    <n v="2"/>
    <x v="1"/>
    <n v="661"/>
    <x v="32"/>
    <x v="10"/>
    <x v="3"/>
    <x v="44"/>
    <x v="1"/>
    <n v="625.5"/>
    <n v="5"/>
    <x v="3"/>
    <x v="1"/>
  </r>
  <r>
    <x v="1854"/>
    <n v="1"/>
    <x v="0"/>
    <n v="435"/>
    <x v="25"/>
    <x v="21"/>
    <x v="3"/>
    <x v="43"/>
    <x v="3"/>
    <n v="592"/>
    <n v="0"/>
    <x v="3"/>
    <x v="0"/>
  </r>
  <r>
    <x v="1855"/>
    <n v="1"/>
    <x v="1"/>
    <n v="478"/>
    <x v="3"/>
    <x v="78"/>
    <x v="3"/>
    <x v="4"/>
    <x v="1"/>
    <n v="341.5"/>
    <n v="5"/>
    <x v="3"/>
    <x v="1"/>
  </r>
  <r>
    <x v="1856"/>
    <n v="2"/>
    <x v="0"/>
    <n v="538"/>
    <x v="11"/>
    <x v="74"/>
    <x v="3"/>
    <x v="24"/>
    <x v="1"/>
    <n v="519.5"/>
    <n v="4"/>
    <x v="1"/>
    <x v="0"/>
  </r>
  <r>
    <x v="1857"/>
    <n v="2"/>
    <x v="0"/>
    <n v="290"/>
    <x v="4"/>
    <x v="4"/>
    <x v="3"/>
    <x v="1"/>
    <x v="4"/>
    <n v="0"/>
    <n v="2"/>
    <x v="1"/>
    <x v="0"/>
  </r>
  <r>
    <x v="1858"/>
    <n v="2"/>
    <x v="0"/>
    <n v="478"/>
    <x v="46"/>
    <x v="29"/>
    <x v="4"/>
    <x v="4"/>
    <x v="1"/>
    <n v="405.5"/>
    <n v="2"/>
    <x v="0"/>
    <x v="0"/>
  </r>
  <r>
    <x v="1859"/>
    <n v="2"/>
    <x v="0"/>
    <n v="435"/>
    <x v="45"/>
    <x v="35"/>
    <x v="3"/>
    <x v="2"/>
    <x v="4"/>
    <n v="370.5"/>
    <n v="5"/>
    <x v="3"/>
    <x v="0"/>
  </r>
  <r>
    <x v="1860"/>
    <n v="2"/>
    <x v="1"/>
    <n v="580"/>
    <x v="36"/>
    <x v="0"/>
    <x v="3"/>
    <x v="40"/>
    <x v="4"/>
    <n v="419"/>
    <n v="4"/>
    <x v="3"/>
    <x v="0"/>
  </r>
  <r>
    <x v="1861"/>
    <n v="1"/>
    <x v="1"/>
    <n v="558"/>
    <x v="5"/>
    <x v="44"/>
    <x v="69"/>
    <x v="52"/>
    <x v="1"/>
    <n v="559.5"/>
    <n v="5"/>
    <x v="3"/>
    <x v="0"/>
  </r>
  <r>
    <x v="1862"/>
    <n v="2"/>
    <x v="0"/>
    <n v="458"/>
    <x v="44"/>
    <x v="31"/>
    <x v="34"/>
    <x v="1"/>
    <x v="1"/>
    <n v="461.5"/>
    <n v="5"/>
    <x v="3"/>
    <x v="0"/>
  </r>
  <r>
    <x v="1863"/>
    <n v="1"/>
    <x v="0"/>
    <n v="499"/>
    <x v="10"/>
    <x v="11"/>
    <x v="3"/>
    <x v="19"/>
    <x v="1"/>
    <n v="484"/>
    <n v="5"/>
    <x v="3"/>
    <x v="0"/>
  </r>
  <r>
    <x v="1864"/>
    <n v="2"/>
    <x v="0"/>
    <n v="621"/>
    <x v="4"/>
    <x v="4"/>
    <x v="3"/>
    <x v="1"/>
    <x v="8"/>
    <n v="0"/>
    <n v="4"/>
    <x v="3"/>
    <x v="0"/>
  </r>
  <r>
    <x v="1865"/>
    <n v="1"/>
    <x v="0"/>
    <n v="538"/>
    <x v="26"/>
    <x v="19"/>
    <x v="33"/>
    <x v="1"/>
    <x v="1"/>
    <n v="510"/>
    <n v="5"/>
    <x v="1"/>
    <x v="0"/>
  </r>
  <r>
    <x v="1866"/>
    <n v="2"/>
    <x v="1"/>
    <n v="376"/>
    <x v="37"/>
    <x v="12"/>
    <x v="20"/>
    <x v="1"/>
    <x v="0"/>
    <n v="354.5"/>
    <n v="0"/>
    <x v="5"/>
    <x v="0"/>
  </r>
  <r>
    <x v="1867"/>
    <n v="2"/>
    <x v="0"/>
    <n v="661"/>
    <x v="54"/>
    <x v="63"/>
    <x v="3"/>
    <x v="33"/>
    <x v="1"/>
    <n v="638.5"/>
    <n v="5"/>
    <x v="3"/>
    <x v="0"/>
  </r>
  <r>
    <x v="1868"/>
    <n v="1"/>
    <x v="0"/>
    <n v="499"/>
    <x v="4"/>
    <x v="4"/>
    <x v="3"/>
    <x v="1"/>
    <x v="6"/>
    <n v="0"/>
    <n v="2"/>
    <x v="2"/>
    <x v="0"/>
  </r>
  <r>
    <x v="1869"/>
    <n v="2"/>
    <x v="1"/>
    <n v="458"/>
    <x v="36"/>
    <x v="29"/>
    <x v="18"/>
    <x v="1"/>
    <x v="3"/>
    <n v="362.5"/>
    <n v="5"/>
    <x v="1"/>
    <x v="0"/>
  </r>
  <r>
    <x v="1870"/>
    <n v="1"/>
    <x v="0"/>
    <n v="455"/>
    <x v="25"/>
    <x v="31"/>
    <x v="30"/>
    <x v="1"/>
    <x v="6"/>
    <n v="490"/>
    <n v="0"/>
    <x v="0"/>
    <x v="1"/>
  </r>
  <r>
    <x v="1871"/>
    <n v="2"/>
    <x v="0"/>
    <n v="437"/>
    <x v="37"/>
    <x v="31"/>
    <x v="15"/>
    <x v="1"/>
    <x v="4"/>
    <n v="373"/>
    <n v="5"/>
    <x v="1"/>
    <x v="0"/>
  </r>
  <r>
    <x v="1872"/>
    <n v="2"/>
    <x v="0"/>
    <n v="0"/>
    <x v="4"/>
    <x v="4"/>
    <x v="3"/>
    <x v="1"/>
    <x v="1"/>
    <n v="0"/>
    <n v="2"/>
    <x v="3"/>
    <x v="0"/>
  </r>
  <r>
    <x v="1873"/>
    <n v="2"/>
    <x v="0"/>
    <n v="579"/>
    <x v="49"/>
    <x v="39"/>
    <x v="37"/>
    <x v="1"/>
    <x v="3"/>
    <n v="573.5"/>
    <n v="5"/>
    <x v="2"/>
    <x v="0"/>
  </r>
  <r>
    <x v="1874"/>
    <n v="1"/>
    <x v="0"/>
    <n v="417"/>
    <x v="28"/>
    <x v="31"/>
    <x v="3"/>
    <x v="40"/>
    <x v="4"/>
    <n v="337.5"/>
    <n v="6"/>
    <x v="3"/>
    <x v="0"/>
  </r>
  <r>
    <x v="1875"/>
    <n v="2"/>
    <x v="0"/>
    <n v="599"/>
    <x v="25"/>
    <x v="27"/>
    <x v="55"/>
    <x v="1"/>
    <x v="4"/>
    <n v="551.5"/>
    <n v="5"/>
    <x v="3"/>
    <x v="0"/>
  </r>
  <r>
    <x v="1876"/>
    <n v="2"/>
    <x v="0"/>
    <n v="661"/>
    <x v="13"/>
    <x v="73"/>
    <x v="40"/>
    <x v="1"/>
    <x v="3"/>
    <n v="563.5"/>
    <n v="4"/>
    <x v="3"/>
    <x v="1"/>
  </r>
  <r>
    <x v="1877"/>
    <n v="1"/>
    <x v="0"/>
    <n v="641"/>
    <x v="5"/>
    <x v="19"/>
    <x v="3"/>
    <x v="15"/>
    <x v="1"/>
    <n v="491"/>
    <n v="3"/>
    <x v="3"/>
    <x v="0"/>
  </r>
  <r>
    <x v="1878"/>
    <n v="1"/>
    <x v="0"/>
    <n v="373"/>
    <x v="46"/>
    <x v="28"/>
    <x v="30"/>
    <x v="1"/>
    <x v="4"/>
    <n v="514"/>
    <n v="5"/>
    <x v="3"/>
    <x v="0"/>
  </r>
  <r>
    <x v="1879"/>
    <n v="1"/>
    <x v="1"/>
    <n v="496"/>
    <x v="54"/>
    <x v="32"/>
    <x v="3"/>
    <x v="71"/>
    <x v="6"/>
    <n v="615"/>
    <n v="5"/>
    <x v="1"/>
    <x v="0"/>
  </r>
  <r>
    <x v="1880"/>
    <n v="1"/>
    <x v="0"/>
    <n v="476"/>
    <x v="24"/>
    <x v="35"/>
    <x v="61"/>
    <x v="1"/>
    <x v="1"/>
    <n v="434.5"/>
    <n v="4"/>
    <x v="0"/>
    <x v="0"/>
  </r>
  <r>
    <x v="1881"/>
    <n v="2"/>
    <x v="0"/>
    <n v="538"/>
    <x v="9"/>
    <x v="0"/>
    <x v="36"/>
    <x v="19"/>
    <x v="1"/>
    <n v="467.5"/>
    <n v="4"/>
    <x v="1"/>
    <x v="0"/>
  </r>
  <r>
    <x v="1882"/>
    <n v="1"/>
    <x v="0"/>
    <n v="538"/>
    <x v="36"/>
    <x v="5"/>
    <x v="15"/>
    <x v="1"/>
    <x v="7"/>
    <n v="412.5"/>
    <n v="5"/>
    <x v="3"/>
    <x v="0"/>
  </r>
  <r>
    <x v="1883"/>
    <n v="1"/>
    <x v="0"/>
    <n v="560"/>
    <x v="4"/>
    <x v="4"/>
    <x v="3"/>
    <x v="1"/>
    <x v="7"/>
    <n v="0"/>
    <n v="5"/>
    <x v="1"/>
    <x v="0"/>
  </r>
  <r>
    <x v="1884"/>
    <n v="1"/>
    <x v="0"/>
    <n v="519"/>
    <x v="4"/>
    <x v="4"/>
    <x v="3"/>
    <x v="1"/>
    <x v="6"/>
    <n v="0"/>
    <n v="8"/>
    <x v="0"/>
    <x v="0"/>
  </r>
  <r>
    <x v="1885"/>
    <n v="2"/>
    <x v="0"/>
    <n v="476"/>
    <x v="26"/>
    <x v="12"/>
    <x v="3"/>
    <x v="0"/>
    <x v="1"/>
    <n v="451"/>
    <n v="5"/>
    <x v="3"/>
    <x v="0"/>
  </r>
  <r>
    <x v="1886"/>
    <n v="1"/>
    <x v="0"/>
    <n v="0"/>
    <x v="4"/>
    <x v="4"/>
    <x v="3"/>
    <x v="1"/>
    <x v="1"/>
    <n v="0"/>
    <n v="4"/>
    <x v="0"/>
    <x v="1"/>
  </r>
  <r>
    <x v="1887"/>
    <n v="2"/>
    <x v="0"/>
    <n v="579"/>
    <x v="11"/>
    <x v="39"/>
    <x v="32"/>
    <x v="1"/>
    <x v="6"/>
    <n v="497"/>
    <n v="3"/>
    <x v="3"/>
    <x v="0"/>
  </r>
  <r>
    <x v="1888"/>
    <n v="1"/>
    <x v="0"/>
    <n v="519"/>
    <x v="43"/>
    <x v="0"/>
    <x v="6"/>
    <x v="1"/>
    <x v="0"/>
    <n v="442.5"/>
    <n v="0"/>
    <x v="5"/>
    <x v="0"/>
  </r>
  <r>
    <x v="1889"/>
    <n v="2"/>
    <x v="0"/>
    <n v="478"/>
    <x v="21"/>
    <x v="11"/>
    <x v="9"/>
    <x v="1"/>
    <x v="3"/>
    <n v="497"/>
    <n v="5"/>
    <x v="3"/>
    <x v="0"/>
  </r>
  <r>
    <x v="1890"/>
    <n v="2"/>
    <x v="0"/>
    <n v="417"/>
    <x v="7"/>
    <x v="0"/>
    <x v="9"/>
    <x v="1"/>
    <x v="1"/>
    <n v="470"/>
    <n v="3"/>
    <x v="1"/>
    <x v="0"/>
  </r>
  <r>
    <x v="1891"/>
    <n v="2"/>
    <x v="0"/>
    <n v="496"/>
    <x v="9"/>
    <x v="3"/>
    <x v="7"/>
    <x v="32"/>
    <x v="5"/>
    <n v="483"/>
    <n v="2"/>
    <x v="2"/>
    <x v="0"/>
  </r>
  <r>
    <x v="1892"/>
    <n v="1"/>
    <x v="0"/>
    <n v="620"/>
    <x v="49"/>
    <x v="47"/>
    <x v="5"/>
    <x v="1"/>
    <x v="1"/>
    <n v="616.5"/>
    <n v="0"/>
    <x v="0"/>
    <x v="0"/>
  </r>
  <r>
    <x v="1893"/>
    <n v="1"/>
    <x v="0"/>
    <n v="478"/>
    <x v="11"/>
    <x v="3"/>
    <x v="41"/>
    <x v="1"/>
    <x v="4"/>
    <n v="471.5"/>
    <n v="5"/>
    <x v="0"/>
    <x v="0"/>
  </r>
  <r>
    <x v="1894"/>
    <n v="2"/>
    <x v="0"/>
    <n v="517"/>
    <x v="37"/>
    <x v="29"/>
    <x v="39"/>
    <x v="1"/>
    <x v="1"/>
    <n v="330.5"/>
    <n v="4"/>
    <x v="1"/>
    <x v="0"/>
  </r>
  <r>
    <x v="1895"/>
    <n v="2"/>
    <x v="0"/>
    <n v="682"/>
    <x v="19"/>
    <x v="18"/>
    <x v="9"/>
    <x v="1"/>
    <x v="4"/>
    <n v="501.5"/>
    <n v="4"/>
    <x v="1"/>
    <x v="0"/>
  </r>
  <r>
    <x v="1896"/>
    <n v="2"/>
    <x v="0"/>
    <n v="437"/>
    <x v="79"/>
    <x v="0"/>
    <x v="52"/>
    <x v="1"/>
    <x v="3"/>
    <n v="310.5"/>
    <n v="5"/>
    <x v="0"/>
    <x v="0"/>
  </r>
  <r>
    <x v="1897"/>
    <n v="1"/>
    <x v="0"/>
    <n v="517"/>
    <x v="1"/>
    <x v="28"/>
    <x v="74"/>
    <x v="1"/>
    <x v="3"/>
    <n v="581.5"/>
    <n v="3"/>
    <x v="1"/>
    <x v="0"/>
  </r>
  <r>
    <x v="1898"/>
    <n v="1"/>
    <x v="0"/>
    <n v="417"/>
    <x v="4"/>
    <x v="4"/>
    <x v="3"/>
    <x v="1"/>
    <x v="6"/>
    <n v="0"/>
    <n v="3"/>
    <x v="2"/>
    <x v="0"/>
  </r>
  <r>
    <x v="1899"/>
    <n v="1"/>
    <x v="0"/>
    <n v="0"/>
    <x v="4"/>
    <x v="4"/>
    <x v="3"/>
    <x v="1"/>
    <x v="4"/>
    <n v="0"/>
    <n v="3"/>
    <x v="3"/>
    <x v="0"/>
  </r>
  <r>
    <x v="1900"/>
    <n v="2"/>
    <x v="0"/>
    <n v="558"/>
    <x v="23"/>
    <x v="27"/>
    <x v="3"/>
    <x v="68"/>
    <x v="1"/>
    <n v="553.5"/>
    <n v="5"/>
    <x v="3"/>
    <x v="1"/>
  </r>
  <r>
    <x v="1901"/>
    <n v="1"/>
    <x v="0"/>
    <n v="517"/>
    <x v="21"/>
    <x v="16"/>
    <x v="33"/>
    <x v="1"/>
    <x v="3"/>
    <n v="535.5"/>
    <n v="5"/>
    <x v="1"/>
    <x v="0"/>
  </r>
  <r>
    <x v="1902"/>
    <n v="2"/>
    <x v="0"/>
    <n v="558"/>
    <x v="19"/>
    <x v="23"/>
    <x v="32"/>
    <x v="1"/>
    <x v="1"/>
    <n v="555.5"/>
    <n v="2"/>
    <x v="2"/>
    <x v="0"/>
  </r>
  <r>
    <x v="1903"/>
    <n v="2"/>
    <x v="0"/>
    <n v="538"/>
    <x v="50"/>
    <x v="0"/>
    <x v="3"/>
    <x v="23"/>
    <x v="1"/>
    <n v="380.5"/>
    <n v="5"/>
    <x v="2"/>
    <x v="0"/>
  </r>
  <r>
    <x v="1904"/>
    <n v="2"/>
    <x v="0"/>
    <n v="579"/>
    <x v="30"/>
    <x v="22"/>
    <x v="16"/>
    <x v="11"/>
    <x v="1"/>
    <n v="532"/>
    <n v="2"/>
    <x v="2"/>
    <x v="0"/>
  </r>
  <r>
    <x v="1905"/>
    <n v="2"/>
    <x v="0"/>
    <n v="682"/>
    <x v="59"/>
    <x v="20"/>
    <x v="3"/>
    <x v="58"/>
    <x v="4"/>
    <n v="603"/>
    <n v="4"/>
    <x v="1"/>
    <x v="0"/>
  </r>
  <r>
    <x v="1906"/>
    <n v="1"/>
    <x v="0"/>
    <n v="580"/>
    <x v="7"/>
    <x v="13"/>
    <x v="64"/>
    <x v="1"/>
    <x v="6"/>
    <n v="525.5"/>
    <n v="5"/>
    <x v="3"/>
    <x v="1"/>
  </r>
  <r>
    <x v="1907"/>
    <n v="2"/>
    <x v="1"/>
    <n v="417"/>
    <x v="4"/>
    <x v="4"/>
    <x v="3"/>
    <x v="1"/>
    <x v="1"/>
    <n v="0"/>
    <n v="7"/>
    <x v="2"/>
    <x v="0"/>
  </r>
  <r>
    <x v="1908"/>
    <n v="2"/>
    <x v="0"/>
    <n v="458"/>
    <x v="66"/>
    <x v="31"/>
    <x v="62"/>
    <x v="1"/>
    <x v="3"/>
    <n v="384.5"/>
    <n v="5"/>
    <x v="1"/>
    <x v="0"/>
  </r>
  <r>
    <x v="1909"/>
    <n v="2"/>
    <x v="0"/>
    <n v="579"/>
    <x v="54"/>
    <x v="25"/>
    <x v="27"/>
    <x v="1"/>
    <x v="1"/>
    <n v="557"/>
    <n v="4"/>
    <x v="1"/>
    <x v="1"/>
  </r>
  <r>
    <x v="1910"/>
    <n v="2"/>
    <x v="0"/>
    <n v="560"/>
    <x v="31"/>
    <x v="3"/>
    <x v="34"/>
    <x v="1"/>
    <x v="1"/>
    <n v="439"/>
    <n v="3"/>
    <x v="0"/>
    <x v="0"/>
  </r>
  <r>
    <x v="1911"/>
    <n v="2"/>
    <x v="0"/>
    <n v="641"/>
    <x v="43"/>
    <x v="12"/>
    <x v="3"/>
    <x v="19"/>
    <x v="1"/>
    <n v="410"/>
    <n v="7"/>
    <x v="10"/>
    <x v="1"/>
  </r>
  <r>
    <x v="1912"/>
    <n v="1"/>
    <x v="0"/>
    <n v="414"/>
    <x v="51"/>
    <x v="35"/>
    <x v="20"/>
    <x v="1"/>
    <x v="6"/>
    <n v="387.5"/>
    <n v="5"/>
    <x v="1"/>
    <x v="0"/>
  </r>
  <r>
    <x v="1913"/>
    <n v="1"/>
    <x v="0"/>
    <n v="560"/>
    <x v="42"/>
    <x v="16"/>
    <x v="17"/>
    <x v="35"/>
    <x v="6"/>
    <n v="489"/>
    <n v="3"/>
    <x v="0"/>
    <x v="0"/>
  </r>
  <r>
    <x v="1914"/>
    <n v="2"/>
    <x v="1"/>
    <n v="521"/>
    <x v="44"/>
    <x v="12"/>
    <x v="3"/>
    <x v="2"/>
    <x v="1"/>
    <n v="443"/>
    <n v="0"/>
    <x v="3"/>
    <x v="0"/>
  </r>
  <r>
    <x v="1915"/>
    <n v="2"/>
    <x v="1"/>
    <n v="579"/>
    <x v="9"/>
    <x v="16"/>
    <x v="3"/>
    <x v="11"/>
    <x v="6"/>
    <n v="517"/>
    <n v="3"/>
    <x v="10"/>
    <x v="0"/>
  </r>
  <r>
    <x v="1916"/>
    <n v="1"/>
    <x v="0"/>
    <n v="414"/>
    <x v="9"/>
    <x v="5"/>
    <x v="10"/>
    <x v="1"/>
    <x v="1"/>
    <n v="461"/>
    <n v="7"/>
    <x v="3"/>
    <x v="1"/>
  </r>
  <r>
    <x v="1917"/>
    <n v="1"/>
    <x v="0"/>
    <n v="579"/>
    <x v="17"/>
    <x v="0"/>
    <x v="8"/>
    <x v="1"/>
    <x v="1"/>
    <n v="428"/>
    <n v="5"/>
    <x v="1"/>
    <x v="0"/>
  </r>
  <r>
    <x v="1918"/>
    <n v="1"/>
    <x v="1"/>
    <n v="702"/>
    <x v="63"/>
    <x v="46"/>
    <x v="3"/>
    <x v="10"/>
    <x v="4"/>
    <n v="696.5"/>
    <n v="5"/>
    <x v="1"/>
    <x v="0"/>
  </r>
  <r>
    <x v="1919"/>
    <n v="1"/>
    <x v="0"/>
    <n v="517"/>
    <x v="0"/>
    <x v="33"/>
    <x v="10"/>
    <x v="1"/>
    <x v="1"/>
    <n v="469"/>
    <n v="3"/>
    <x v="2"/>
    <x v="0"/>
  </r>
  <r>
    <x v="1920"/>
    <n v="2"/>
    <x v="0"/>
    <n v="496"/>
    <x v="42"/>
    <x v="8"/>
    <x v="39"/>
    <x v="1"/>
    <x v="1"/>
    <n v="416.5"/>
    <n v="10"/>
    <x v="3"/>
    <x v="1"/>
  </r>
  <r>
    <x v="1921"/>
    <n v="1"/>
    <x v="1"/>
    <n v="538"/>
    <x v="10"/>
    <x v="34"/>
    <x v="3"/>
    <x v="58"/>
    <x v="3"/>
    <n v="543.5"/>
    <n v="9"/>
    <x v="7"/>
    <x v="3"/>
  </r>
  <r>
    <x v="1922"/>
    <n v="2"/>
    <x v="0"/>
    <n v="0"/>
    <x v="4"/>
    <x v="4"/>
    <x v="3"/>
    <x v="1"/>
    <x v="3"/>
    <n v="0"/>
    <n v="4"/>
    <x v="1"/>
    <x v="0"/>
  </r>
  <r>
    <x v="1923"/>
    <n v="2"/>
    <x v="0"/>
    <n v="499"/>
    <x v="10"/>
    <x v="12"/>
    <x v="48"/>
    <x v="1"/>
    <x v="3"/>
    <n v="440.5"/>
    <n v="4"/>
    <x v="0"/>
    <x v="0"/>
  </r>
  <r>
    <x v="1924"/>
    <n v="2"/>
    <x v="0"/>
    <n v="435"/>
    <x v="38"/>
    <x v="8"/>
    <x v="34"/>
    <x v="1"/>
    <x v="7"/>
    <n v="386.5"/>
    <n v="4"/>
    <x v="1"/>
    <x v="0"/>
  </r>
  <r>
    <x v="1925"/>
    <n v="1"/>
    <x v="0"/>
    <n v="393"/>
    <x v="42"/>
    <x v="5"/>
    <x v="41"/>
    <x v="1"/>
    <x v="4"/>
    <n v="433"/>
    <n v="4"/>
    <x v="0"/>
    <x v="0"/>
  </r>
  <r>
    <x v="1926"/>
    <n v="2"/>
    <x v="0"/>
    <n v="478"/>
    <x v="48"/>
    <x v="25"/>
    <x v="20"/>
    <x v="1"/>
    <x v="1"/>
    <n v="526.5"/>
    <n v="2"/>
    <x v="0"/>
    <x v="0"/>
  </r>
  <r>
    <x v="1927"/>
    <n v="1"/>
    <x v="0"/>
    <n v="496"/>
    <x v="5"/>
    <x v="3"/>
    <x v="9"/>
    <x v="1"/>
    <x v="0"/>
    <n v="480"/>
    <n v="0"/>
    <x v="5"/>
    <x v="0"/>
  </r>
  <r>
    <x v="1928"/>
    <n v="2"/>
    <x v="1"/>
    <n v="601"/>
    <x v="9"/>
    <x v="31"/>
    <x v="11"/>
    <x v="1"/>
    <x v="4"/>
    <n v="453.5"/>
    <n v="4"/>
    <x v="3"/>
    <x v="0"/>
  </r>
  <r>
    <x v="1929"/>
    <n v="2"/>
    <x v="0"/>
    <n v="356"/>
    <x v="38"/>
    <x v="35"/>
    <x v="7"/>
    <x v="1"/>
    <x v="1"/>
    <n v="365.5"/>
    <n v="3"/>
    <x v="2"/>
    <x v="0"/>
  </r>
  <r>
    <x v="1930"/>
    <n v="2"/>
    <x v="0"/>
    <n v="393"/>
    <x v="4"/>
    <x v="4"/>
    <x v="3"/>
    <x v="1"/>
    <x v="3"/>
    <n v="0"/>
    <n v="4"/>
    <x v="1"/>
    <x v="0"/>
  </r>
  <r>
    <x v="1931"/>
    <n v="1"/>
    <x v="0"/>
    <n v="499"/>
    <x v="45"/>
    <x v="0"/>
    <x v="18"/>
    <x v="1"/>
    <x v="4"/>
    <n v="414.5"/>
    <n v="4"/>
    <x v="2"/>
    <x v="0"/>
  </r>
  <r>
    <x v="1932"/>
    <n v="2"/>
    <x v="0"/>
    <n v="560"/>
    <x v="35"/>
    <x v="8"/>
    <x v="31"/>
    <x v="1"/>
    <x v="0"/>
    <n v="370"/>
    <n v="0"/>
    <x v="5"/>
    <x v="0"/>
  </r>
  <r>
    <x v="1933"/>
    <n v="2"/>
    <x v="0"/>
    <n v="397"/>
    <x v="17"/>
    <x v="12"/>
    <x v="56"/>
    <x v="1"/>
    <x v="4"/>
    <n v="395.5"/>
    <n v="5"/>
    <x v="3"/>
    <x v="0"/>
  </r>
  <r>
    <x v="1934"/>
    <n v="2"/>
    <x v="0"/>
    <n v="455"/>
    <x v="12"/>
    <x v="55"/>
    <x v="28"/>
    <x v="1"/>
    <x v="4"/>
    <n v="307.5"/>
    <n v="10"/>
    <x v="6"/>
    <x v="1"/>
  </r>
  <r>
    <x v="1935"/>
    <n v="1"/>
    <x v="0"/>
    <n v="496"/>
    <x v="14"/>
    <x v="18"/>
    <x v="32"/>
    <x v="1"/>
    <x v="1"/>
    <n v="464"/>
    <n v="5"/>
    <x v="0"/>
    <x v="0"/>
  </r>
  <r>
    <x v="1936"/>
    <n v="2"/>
    <x v="1"/>
    <n v="662"/>
    <x v="4"/>
    <x v="4"/>
    <x v="3"/>
    <x v="1"/>
    <x v="0"/>
    <n v="0"/>
    <n v="0"/>
    <x v="5"/>
    <x v="0"/>
  </r>
  <r>
    <x v="1937"/>
    <n v="1"/>
    <x v="0"/>
    <n v="393"/>
    <x v="33"/>
    <x v="22"/>
    <x v="17"/>
    <x v="1"/>
    <x v="4"/>
    <n v="537"/>
    <n v="5"/>
    <x v="9"/>
    <x v="0"/>
  </r>
  <r>
    <x v="1938"/>
    <n v="2"/>
    <x v="0"/>
    <n v="620"/>
    <x v="3"/>
    <x v="0"/>
    <x v="29"/>
    <x v="1"/>
    <x v="6"/>
    <n v="452.5"/>
    <n v="0"/>
    <x v="5"/>
    <x v="0"/>
  </r>
  <r>
    <x v="1939"/>
    <n v="1"/>
    <x v="0"/>
    <n v="435"/>
    <x v="42"/>
    <x v="18"/>
    <x v="22"/>
    <x v="1"/>
    <x v="1"/>
    <n v="445"/>
    <n v="4"/>
    <x v="3"/>
    <x v="0"/>
  </r>
  <r>
    <x v="1940"/>
    <n v="2"/>
    <x v="0"/>
    <n v="458"/>
    <x v="14"/>
    <x v="5"/>
    <x v="11"/>
    <x v="1"/>
    <x v="6"/>
    <n v="452"/>
    <n v="5"/>
    <x v="0"/>
    <x v="0"/>
  </r>
  <r>
    <x v="1941"/>
    <n v="2"/>
    <x v="0"/>
    <n v="558"/>
    <x v="17"/>
    <x v="8"/>
    <x v="7"/>
    <x v="1"/>
    <x v="1"/>
    <n v="405"/>
    <n v="4"/>
    <x v="0"/>
    <x v="0"/>
  </r>
  <r>
    <x v="1942"/>
    <n v="2"/>
    <x v="0"/>
    <n v="579"/>
    <x v="35"/>
    <x v="40"/>
    <x v="50"/>
    <x v="1"/>
    <x v="0"/>
    <n v="322.5"/>
    <n v="0"/>
    <x v="5"/>
    <x v="0"/>
  </r>
  <r>
    <x v="1943"/>
    <n v="1"/>
    <x v="0"/>
    <n v="682"/>
    <x v="78"/>
    <x v="53"/>
    <x v="12"/>
    <x v="1"/>
    <x v="6"/>
    <n v="723.5"/>
    <n v="1"/>
    <x v="0"/>
    <x v="0"/>
  </r>
  <r>
    <x v="1944"/>
    <n v="1"/>
    <x v="0"/>
    <n v="517"/>
    <x v="10"/>
    <x v="3"/>
    <x v="3"/>
    <x v="22"/>
    <x v="1"/>
    <n v="488.5"/>
    <n v="5"/>
    <x v="3"/>
    <x v="0"/>
  </r>
  <r>
    <x v="1945"/>
    <n v="1"/>
    <x v="0"/>
    <n v="476"/>
    <x v="26"/>
    <x v="10"/>
    <x v="3"/>
    <x v="45"/>
    <x v="7"/>
    <n v="564.5"/>
    <n v="9"/>
    <x v="1"/>
    <x v="1"/>
  </r>
  <r>
    <x v="1946"/>
    <n v="1"/>
    <x v="0"/>
    <n v="476"/>
    <x v="31"/>
    <x v="5"/>
    <x v="7"/>
    <x v="1"/>
    <x v="6"/>
    <n v="417"/>
    <n v="7"/>
    <x v="3"/>
    <x v="0"/>
  </r>
  <r>
    <x v="1947"/>
    <n v="1"/>
    <x v="0"/>
    <n v="499"/>
    <x v="4"/>
    <x v="4"/>
    <x v="3"/>
    <x v="1"/>
    <x v="6"/>
    <n v="0"/>
    <n v="1"/>
    <x v="1"/>
    <x v="0"/>
  </r>
  <r>
    <x v="1948"/>
    <n v="1"/>
    <x v="0"/>
    <n v="621"/>
    <x v="2"/>
    <x v="2"/>
    <x v="43"/>
    <x v="1"/>
    <x v="0"/>
    <n v="554"/>
    <n v="0"/>
    <x v="5"/>
    <x v="0"/>
  </r>
  <r>
    <x v="1949"/>
    <n v="1"/>
    <x v="0"/>
    <n v="539"/>
    <x v="5"/>
    <x v="18"/>
    <x v="29"/>
    <x v="1"/>
    <x v="7"/>
    <n v="470"/>
    <n v="3"/>
    <x v="0"/>
    <x v="0"/>
  </r>
  <r>
    <x v="1950"/>
    <n v="1"/>
    <x v="0"/>
    <n v="376"/>
    <x v="4"/>
    <x v="4"/>
    <x v="3"/>
    <x v="1"/>
    <x v="5"/>
    <n v="0"/>
    <n v="5"/>
    <x v="3"/>
    <x v="0"/>
  </r>
  <r>
    <x v="1951"/>
    <n v="2"/>
    <x v="0"/>
    <n v="437"/>
    <x v="4"/>
    <x v="4"/>
    <x v="3"/>
    <x v="1"/>
    <x v="1"/>
    <n v="0"/>
    <n v="4"/>
    <x v="1"/>
    <x v="0"/>
  </r>
  <r>
    <x v="1952"/>
    <n v="2"/>
    <x v="0"/>
    <n v="0"/>
    <x v="4"/>
    <x v="4"/>
    <x v="3"/>
    <x v="1"/>
    <x v="1"/>
    <n v="0"/>
    <n v="3"/>
    <x v="1"/>
    <x v="0"/>
  </r>
  <r>
    <x v="1953"/>
    <n v="1"/>
    <x v="0"/>
    <n v="558"/>
    <x v="33"/>
    <x v="18"/>
    <x v="48"/>
    <x v="1"/>
    <x v="6"/>
    <n v="504.5"/>
    <n v="0"/>
    <x v="3"/>
    <x v="0"/>
  </r>
  <r>
    <x v="1954"/>
    <n v="1"/>
    <x v="0"/>
    <n v="539"/>
    <x v="0"/>
    <x v="26"/>
    <x v="8"/>
    <x v="1"/>
    <x v="3"/>
    <n v="472.5"/>
    <n v="4"/>
    <x v="1"/>
    <x v="0"/>
  </r>
  <r>
    <x v="1955"/>
    <n v="2"/>
    <x v="1"/>
    <n v="496"/>
    <x v="54"/>
    <x v="14"/>
    <x v="21"/>
    <x v="11"/>
    <x v="4"/>
    <n v="613"/>
    <n v="8"/>
    <x v="3"/>
    <x v="3"/>
  </r>
  <r>
    <x v="1956"/>
    <n v="2"/>
    <x v="2"/>
    <n v="476"/>
    <x v="9"/>
    <x v="3"/>
    <x v="21"/>
    <x v="1"/>
    <x v="1"/>
    <n v="483"/>
    <n v="9"/>
    <x v="3"/>
    <x v="1"/>
  </r>
  <r>
    <x v="1957"/>
    <n v="1"/>
    <x v="1"/>
    <n v="620"/>
    <x v="40"/>
    <x v="36"/>
    <x v="37"/>
    <x v="33"/>
    <x v="6"/>
    <n v="604.5"/>
    <n v="5"/>
    <x v="10"/>
    <x v="0"/>
  </r>
  <r>
    <x v="1958"/>
    <n v="2"/>
    <x v="0"/>
    <n v="682"/>
    <x v="6"/>
    <x v="28"/>
    <x v="67"/>
    <x v="1"/>
    <x v="3"/>
    <n v="579"/>
    <n v="5"/>
    <x v="1"/>
    <x v="0"/>
  </r>
  <r>
    <x v="1959"/>
    <n v="1"/>
    <x v="0"/>
    <n v="435"/>
    <x v="12"/>
    <x v="12"/>
    <x v="38"/>
    <x v="1"/>
    <x v="3"/>
    <n v="371.5"/>
    <n v="2"/>
    <x v="3"/>
    <x v="0"/>
  </r>
  <r>
    <x v="1960"/>
    <n v="1"/>
    <x v="1"/>
    <n v="435"/>
    <x v="21"/>
    <x v="52"/>
    <x v="3"/>
    <x v="15"/>
    <x v="4"/>
    <n v="563.5"/>
    <n v="0"/>
    <x v="5"/>
    <x v="1"/>
  </r>
  <r>
    <x v="1961"/>
    <n v="1"/>
    <x v="1"/>
    <n v="0"/>
    <x v="4"/>
    <x v="4"/>
    <x v="3"/>
    <x v="1"/>
    <x v="10"/>
    <n v="0"/>
    <n v="0"/>
    <x v="3"/>
    <x v="0"/>
  </r>
  <r>
    <x v="1962"/>
    <n v="1"/>
    <x v="1"/>
    <n v="0"/>
    <x v="35"/>
    <x v="8"/>
    <x v="20"/>
    <x v="1"/>
    <x v="9"/>
    <n v="370"/>
    <n v="4"/>
    <x v="1"/>
    <x v="1"/>
  </r>
  <r>
    <x v="1963"/>
    <n v="2"/>
    <x v="1"/>
    <n v="641"/>
    <x v="55"/>
    <x v="59"/>
    <x v="25"/>
    <x v="39"/>
    <x v="1"/>
    <n v="601.5"/>
    <n v="7"/>
    <x v="7"/>
    <x v="1"/>
  </r>
  <r>
    <x v="1964"/>
    <n v="2"/>
    <x v="1"/>
    <n v="519"/>
    <x v="38"/>
    <x v="3"/>
    <x v="0"/>
    <x v="1"/>
    <x v="0"/>
    <n v="425"/>
    <n v="0"/>
    <x v="5"/>
    <x v="0"/>
  </r>
  <r>
    <x v="1965"/>
    <n v="2"/>
    <x v="0"/>
    <n v="455"/>
    <x v="51"/>
    <x v="0"/>
    <x v="38"/>
    <x v="1"/>
    <x v="10"/>
    <n v="431.5"/>
    <n v="5"/>
    <x v="1"/>
    <x v="0"/>
  </r>
  <r>
    <x v="1966"/>
    <n v="1"/>
    <x v="0"/>
    <n v="620"/>
    <x v="9"/>
    <x v="27"/>
    <x v="3"/>
    <x v="68"/>
    <x v="4"/>
    <n v="515"/>
    <n v="5"/>
    <x v="10"/>
    <x v="0"/>
  </r>
  <r>
    <x v="1967"/>
    <n v="1"/>
    <x v="0"/>
    <n v="437"/>
    <x v="38"/>
    <x v="31"/>
    <x v="34"/>
    <x v="1"/>
    <x v="6"/>
    <n v="395.5"/>
    <n v="5"/>
    <x v="1"/>
    <x v="1"/>
  </r>
  <r>
    <x v="1968"/>
    <n v="1"/>
    <x v="0"/>
    <n v="560"/>
    <x v="4"/>
    <x v="4"/>
    <x v="3"/>
    <x v="1"/>
    <x v="0"/>
    <n v="0"/>
    <n v="0"/>
    <x v="5"/>
    <x v="0"/>
  </r>
  <r>
    <x v="1969"/>
    <n v="1"/>
    <x v="1"/>
    <n v="0"/>
    <x v="4"/>
    <x v="4"/>
    <x v="3"/>
    <x v="1"/>
    <x v="4"/>
    <n v="0"/>
    <n v="3"/>
    <x v="1"/>
    <x v="1"/>
  </r>
  <r>
    <x v="1970"/>
    <n v="2"/>
    <x v="1"/>
    <n v="238"/>
    <x v="41"/>
    <x v="12"/>
    <x v="34"/>
    <x v="1"/>
    <x v="4"/>
    <n v="403"/>
    <n v="4"/>
    <x v="2"/>
    <x v="0"/>
  </r>
  <r>
    <x v="1971"/>
    <n v="1"/>
    <x v="0"/>
    <n v="519"/>
    <x v="11"/>
    <x v="3"/>
    <x v="40"/>
    <x v="1"/>
    <x v="4"/>
    <n v="471.5"/>
    <n v="3"/>
    <x v="2"/>
    <x v="0"/>
  </r>
  <r>
    <x v="1972"/>
    <n v="2"/>
    <x v="1"/>
    <n v="703"/>
    <x v="44"/>
    <x v="3"/>
    <x v="32"/>
    <x v="1"/>
    <x v="0"/>
    <n v="491"/>
    <n v="0"/>
    <x v="5"/>
    <x v="0"/>
  </r>
  <r>
    <x v="1973"/>
    <n v="2"/>
    <x v="1"/>
    <n v="539"/>
    <x v="9"/>
    <x v="40"/>
    <x v="15"/>
    <x v="1"/>
    <x v="0"/>
    <n v="397"/>
    <n v="0"/>
    <x v="5"/>
    <x v="0"/>
  </r>
  <r>
    <x v="1974"/>
    <n v="2"/>
    <x v="0"/>
    <n v="517"/>
    <x v="9"/>
    <x v="33"/>
    <x v="3"/>
    <x v="19"/>
    <x v="1"/>
    <n v="487"/>
    <n v="5"/>
    <x v="1"/>
    <x v="4"/>
  </r>
  <r>
    <x v="1975"/>
    <n v="1"/>
    <x v="1"/>
    <n v="417"/>
    <x v="0"/>
    <x v="0"/>
    <x v="16"/>
    <x v="1"/>
    <x v="0"/>
    <n v="449.5"/>
    <n v="0"/>
    <x v="5"/>
    <x v="0"/>
  </r>
  <r>
    <x v="1976"/>
    <n v="1"/>
    <x v="0"/>
    <n v="376"/>
    <x v="3"/>
    <x v="0"/>
    <x v="6"/>
    <x v="1"/>
    <x v="1"/>
    <n v="452.5"/>
    <n v="4"/>
    <x v="1"/>
    <x v="0"/>
  </r>
  <r>
    <x v="1977"/>
    <n v="1"/>
    <x v="1"/>
    <n v="517"/>
    <x v="2"/>
    <x v="2"/>
    <x v="43"/>
    <x v="1"/>
    <x v="1"/>
    <n v="554"/>
    <n v="9"/>
    <x v="7"/>
    <x v="1"/>
  </r>
  <r>
    <x v="1978"/>
    <n v="1"/>
    <x v="0"/>
    <n v="476"/>
    <x v="34"/>
    <x v="5"/>
    <x v="18"/>
    <x v="1"/>
    <x v="3"/>
    <n v="439.5"/>
    <n v="5"/>
    <x v="3"/>
    <x v="1"/>
  </r>
  <r>
    <x v="1979"/>
    <n v="2"/>
    <x v="0"/>
    <n v="682"/>
    <x v="6"/>
    <x v="14"/>
    <x v="3"/>
    <x v="34"/>
    <x v="1"/>
    <n v="618.5"/>
    <n v="0"/>
    <x v="3"/>
    <x v="0"/>
  </r>
  <r>
    <x v="1980"/>
    <n v="2"/>
    <x v="0"/>
    <n v="437"/>
    <x v="42"/>
    <x v="31"/>
    <x v="31"/>
    <x v="1"/>
    <x v="6"/>
    <n v="425.5"/>
    <n v="10"/>
    <x v="3"/>
    <x v="0"/>
  </r>
  <r>
    <x v="1981"/>
    <n v="1"/>
    <x v="0"/>
    <n v="641"/>
    <x v="3"/>
    <x v="11"/>
    <x v="9"/>
    <x v="1"/>
    <x v="4"/>
    <n v="463.5"/>
    <n v="0"/>
    <x v="2"/>
    <x v="0"/>
  </r>
  <r>
    <x v="1982"/>
    <n v="2"/>
    <x v="0"/>
    <n v="538"/>
    <x v="10"/>
    <x v="73"/>
    <x v="33"/>
    <x v="1"/>
    <x v="4"/>
    <n v="518"/>
    <n v="2"/>
    <x v="2"/>
    <x v="0"/>
  </r>
  <r>
    <x v="1983"/>
    <n v="2"/>
    <x v="0"/>
    <n v="458"/>
    <x v="48"/>
    <x v="33"/>
    <x v="33"/>
    <x v="1"/>
    <x v="6"/>
    <n v="510.5"/>
    <n v="5"/>
    <x v="2"/>
    <x v="0"/>
  </r>
  <r>
    <x v="1984"/>
    <n v="2"/>
    <x v="0"/>
    <n v="0"/>
    <x v="4"/>
    <x v="4"/>
    <x v="3"/>
    <x v="1"/>
    <x v="4"/>
    <n v="0"/>
    <n v="4"/>
    <x v="2"/>
    <x v="0"/>
  </r>
  <r>
    <x v="1985"/>
    <n v="2"/>
    <x v="0"/>
    <n v="641"/>
    <x v="44"/>
    <x v="22"/>
    <x v="3"/>
    <x v="15"/>
    <x v="4"/>
    <n v="513.5"/>
    <n v="3"/>
    <x v="0"/>
    <x v="1"/>
  </r>
  <r>
    <x v="1986"/>
    <n v="1"/>
    <x v="0"/>
    <n v="458"/>
    <x v="37"/>
    <x v="19"/>
    <x v="3"/>
    <x v="48"/>
    <x v="7"/>
    <n v="413.5"/>
    <n v="7"/>
    <x v="3"/>
    <x v="0"/>
  </r>
  <r>
    <x v="1987"/>
    <n v="1"/>
    <x v="1"/>
    <n v="599"/>
    <x v="32"/>
    <x v="67"/>
    <x v="3"/>
    <x v="71"/>
    <x v="6"/>
    <n v="676.5"/>
    <n v="5"/>
    <x v="7"/>
    <x v="1"/>
  </r>
  <r>
    <x v="1988"/>
    <n v="2"/>
    <x v="0"/>
    <n v="499"/>
    <x v="5"/>
    <x v="12"/>
    <x v="23"/>
    <x v="1"/>
    <x v="1"/>
    <n v="432"/>
    <n v="8"/>
    <x v="0"/>
    <x v="0"/>
  </r>
  <r>
    <x v="1989"/>
    <n v="1"/>
    <x v="0"/>
    <n v="417"/>
    <x v="14"/>
    <x v="22"/>
    <x v="27"/>
    <x v="1"/>
    <x v="6"/>
    <n v="496.5"/>
    <n v="9"/>
    <x v="2"/>
    <x v="0"/>
  </r>
  <r>
    <x v="1990"/>
    <n v="2"/>
    <x v="0"/>
    <n v="538"/>
    <x v="2"/>
    <x v="13"/>
    <x v="22"/>
    <x v="1"/>
    <x v="4"/>
    <n v="566.5"/>
    <n v="9"/>
    <x v="7"/>
    <x v="3"/>
  </r>
  <r>
    <x v="1991"/>
    <n v="1"/>
    <x v="0"/>
    <n v="0"/>
    <x v="4"/>
    <x v="4"/>
    <x v="3"/>
    <x v="1"/>
    <x v="1"/>
    <n v="0"/>
    <n v="3"/>
    <x v="0"/>
    <x v="0"/>
  </r>
  <r>
    <x v="1992"/>
    <n v="1"/>
    <x v="0"/>
    <n v="0"/>
    <x v="14"/>
    <x v="3"/>
    <x v="3"/>
    <x v="22"/>
    <x v="9"/>
    <n v="474"/>
    <n v="3"/>
    <x v="2"/>
    <x v="0"/>
  </r>
  <r>
    <x v="1993"/>
    <n v="1"/>
    <x v="0"/>
    <n v="599"/>
    <x v="5"/>
    <x v="58"/>
    <x v="33"/>
    <x v="9"/>
    <x v="5"/>
    <n v="522.5"/>
    <n v="0"/>
    <x v="3"/>
    <x v="0"/>
  </r>
  <r>
    <x v="1994"/>
    <n v="2"/>
    <x v="0"/>
    <n v="641"/>
    <x v="48"/>
    <x v="70"/>
    <x v="17"/>
    <x v="1"/>
    <x v="6"/>
    <n v="570.5"/>
    <n v="4"/>
    <x v="3"/>
    <x v="0"/>
  </r>
  <r>
    <x v="1995"/>
    <n v="2"/>
    <x v="2"/>
    <n v="393"/>
    <x v="14"/>
    <x v="26"/>
    <x v="34"/>
    <x v="28"/>
    <x v="6"/>
    <n v="481.5"/>
    <n v="9"/>
    <x v="3"/>
    <x v="3"/>
  </r>
  <r>
    <x v="1996"/>
    <n v="1"/>
    <x v="0"/>
    <n v="620"/>
    <x v="30"/>
    <x v="74"/>
    <x v="3"/>
    <x v="16"/>
    <x v="3"/>
    <n v="557.5"/>
    <n v="4"/>
    <x v="0"/>
    <x v="0"/>
  </r>
  <r>
    <x v="1997"/>
    <n v="2"/>
    <x v="1"/>
    <n v="601"/>
    <x v="4"/>
    <x v="4"/>
    <x v="3"/>
    <x v="1"/>
    <x v="3"/>
    <n v="0"/>
    <n v="0"/>
    <x v="5"/>
    <x v="0"/>
  </r>
  <r>
    <x v="1998"/>
    <n v="2"/>
    <x v="0"/>
    <n v="417"/>
    <x v="46"/>
    <x v="18"/>
    <x v="3"/>
    <x v="0"/>
    <x v="4"/>
    <n v="467.5"/>
    <n v="2"/>
    <x v="8"/>
    <x v="0"/>
  </r>
  <r>
    <x v="1999"/>
    <n v="1"/>
    <x v="2"/>
    <n v="702"/>
    <x v="32"/>
    <x v="65"/>
    <x v="3"/>
    <x v="74"/>
    <x v="1"/>
    <n v="673.5"/>
    <n v="3"/>
    <x v="7"/>
    <x v="1"/>
  </r>
  <r>
    <x v="2000"/>
    <n v="2"/>
    <x v="2"/>
    <n v="538"/>
    <x v="24"/>
    <x v="34"/>
    <x v="47"/>
    <x v="1"/>
    <x v="1"/>
    <n v="549"/>
    <n v="3"/>
    <x v="7"/>
    <x v="1"/>
  </r>
  <r>
    <x v="2001"/>
    <n v="2"/>
    <x v="1"/>
    <n v="601"/>
    <x v="34"/>
    <x v="8"/>
    <x v="4"/>
    <x v="1"/>
    <x v="0"/>
    <n v="423"/>
    <n v="0"/>
    <x v="5"/>
    <x v="0"/>
  </r>
  <r>
    <x v="2002"/>
    <n v="1"/>
    <x v="1"/>
    <n v="496"/>
    <x v="46"/>
    <x v="33"/>
    <x v="3"/>
    <x v="54"/>
    <x v="4"/>
    <n v="481.5"/>
    <n v="5"/>
    <x v="3"/>
    <x v="0"/>
  </r>
  <r>
    <x v="2003"/>
    <n v="2"/>
    <x v="0"/>
    <n v="499"/>
    <x v="4"/>
    <x v="4"/>
    <x v="3"/>
    <x v="1"/>
    <x v="4"/>
    <n v="0"/>
    <n v="2"/>
    <x v="2"/>
    <x v="0"/>
  </r>
  <r>
    <x v="2004"/>
    <n v="1"/>
    <x v="1"/>
    <n v="414"/>
    <x v="33"/>
    <x v="68"/>
    <x v="3"/>
    <x v="3"/>
    <x v="1"/>
    <n v="588.5"/>
    <n v="9"/>
    <x v="7"/>
    <x v="2"/>
  </r>
  <r>
    <x v="2005"/>
    <n v="1"/>
    <x v="0"/>
    <n v="599"/>
    <x v="31"/>
    <x v="8"/>
    <x v="34"/>
    <x v="1"/>
    <x v="7"/>
    <n v="400.5"/>
    <n v="0"/>
    <x v="10"/>
    <x v="1"/>
  </r>
  <r>
    <x v="2006"/>
    <n v="2"/>
    <x v="0"/>
    <n v="417"/>
    <x v="64"/>
    <x v="0"/>
    <x v="3"/>
    <x v="6"/>
    <x v="1"/>
    <n v="373.5"/>
    <n v="3"/>
    <x v="3"/>
    <x v="0"/>
  </r>
  <r>
    <x v="2007"/>
    <n v="1"/>
    <x v="0"/>
    <n v="414"/>
    <x v="17"/>
    <x v="17"/>
    <x v="39"/>
    <x v="1"/>
    <x v="0"/>
    <n v="344.5"/>
    <n v="0"/>
    <x v="5"/>
    <x v="0"/>
  </r>
  <r>
    <x v="2008"/>
    <n v="1"/>
    <x v="0"/>
    <n v="702"/>
    <x v="32"/>
    <x v="72"/>
    <x v="3"/>
    <x v="78"/>
    <x v="1"/>
    <n v="652.5"/>
    <n v="0"/>
    <x v="1"/>
    <x v="0"/>
  </r>
  <r>
    <x v="2009"/>
    <n v="2"/>
    <x v="0"/>
    <n v="414"/>
    <x v="51"/>
    <x v="5"/>
    <x v="61"/>
    <x v="1"/>
    <x v="9"/>
    <n v="425"/>
    <n v="3"/>
    <x v="1"/>
    <x v="0"/>
  </r>
  <r>
    <x v="2010"/>
    <n v="2"/>
    <x v="0"/>
    <n v="723"/>
    <x v="74"/>
    <x v="38"/>
    <x v="67"/>
    <x v="1"/>
    <x v="5"/>
    <n v="606"/>
    <n v="0"/>
    <x v="3"/>
    <x v="0"/>
  </r>
  <r>
    <x v="2011"/>
    <n v="2"/>
    <x v="0"/>
    <n v="580"/>
    <x v="43"/>
    <x v="5"/>
    <x v="39"/>
    <x v="1"/>
    <x v="0"/>
    <n v="436"/>
    <n v="0"/>
    <x v="5"/>
    <x v="0"/>
  </r>
  <r>
    <x v="2012"/>
    <n v="1"/>
    <x v="0"/>
    <n v="579"/>
    <x v="38"/>
    <x v="5"/>
    <x v="34"/>
    <x v="1"/>
    <x v="1"/>
    <n v="403"/>
    <n v="5"/>
    <x v="2"/>
    <x v="0"/>
  </r>
  <r>
    <x v="2013"/>
    <n v="1"/>
    <x v="0"/>
    <n v="641"/>
    <x v="24"/>
    <x v="24"/>
    <x v="3"/>
    <x v="21"/>
    <x v="7"/>
    <n v="508.5"/>
    <n v="2"/>
    <x v="3"/>
    <x v="0"/>
  </r>
  <r>
    <x v="2014"/>
    <n v="1"/>
    <x v="0"/>
    <n v="620"/>
    <x v="51"/>
    <x v="25"/>
    <x v="3"/>
    <x v="21"/>
    <x v="7"/>
    <n v="467"/>
    <n v="2"/>
    <x v="3"/>
    <x v="0"/>
  </r>
  <r>
    <x v="2015"/>
    <n v="2"/>
    <x v="0"/>
    <n v="517"/>
    <x v="38"/>
    <x v="31"/>
    <x v="15"/>
    <x v="1"/>
    <x v="5"/>
    <n v="395.5"/>
    <n v="8"/>
    <x v="3"/>
    <x v="0"/>
  </r>
  <r>
    <x v="2016"/>
    <n v="1"/>
    <x v="0"/>
    <n v="458"/>
    <x v="4"/>
    <x v="4"/>
    <x v="3"/>
    <x v="1"/>
    <x v="4"/>
    <n v="0"/>
    <n v="4"/>
    <x v="1"/>
    <x v="0"/>
  </r>
  <r>
    <x v="2017"/>
    <n v="1"/>
    <x v="0"/>
    <n v="560"/>
    <x v="48"/>
    <x v="28"/>
    <x v="51"/>
    <x v="1"/>
    <x v="7"/>
    <n v="543"/>
    <n v="2"/>
    <x v="1"/>
    <x v="0"/>
  </r>
  <r>
    <x v="2018"/>
    <n v="1"/>
    <x v="0"/>
    <n v="397"/>
    <x v="9"/>
    <x v="33"/>
    <x v="61"/>
    <x v="1"/>
    <x v="6"/>
    <n v="487"/>
    <n v="8"/>
    <x v="0"/>
    <x v="0"/>
  </r>
  <r>
    <x v="2019"/>
    <n v="2"/>
    <x v="0"/>
    <n v="579"/>
    <x v="35"/>
    <x v="5"/>
    <x v="3"/>
    <x v="19"/>
    <x v="1"/>
    <n v="386.5"/>
    <n v="2"/>
    <x v="3"/>
    <x v="0"/>
  </r>
  <r>
    <x v="2020"/>
    <n v="1"/>
    <x v="1"/>
    <n v="519"/>
    <x v="50"/>
    <x v="8"/>
    <x v="56"/>
    <x v="1"/>
    <x v="1"/>
    <n v="357.5"/>
    <n v="5"/>
    <x v="3"/>
    <x v="0"/>
  </r>
  <r>
    <x v="2021"/>
    <n v="1"/>
    <x v="0"/>
    <n v="496"/>
    <x v="31"/>
    <x v="22"/>
    <x v="50"/>
    <x v="1"/>
    <x v="4"/>
    <n v="461.5"/>
    <n v="5"/>
    <x v="1"/>
    <x v="0"/>
  </r>
  <r>
    <x v="2022"/>
    <n v="2"/>
    <x v="1"/>
    <n v="517"/>
    <x v="10"/>
    <x v="24"/>
    <x v="9"/>
    <x v="22"/>
    <x v="4"/>
    <n v="503"/>
    <n v="4"/>
    <x v="1"/>
    <x v="0"/>
  </r>
  <r>
    <x v="2023"/>
    <n v="1"/>
    <x v="1"/>
    <n v="437"/>
    <x v="43"/>
    <x v="0"/>
    <x v="38"/>
    <x v="2"/>
    <x v="4"/>
    <n v="442.5"/>
    <n v="7"/>
    <x v="0"/>
    <x v="0"/>
  </r>
  <r>
    <x v="2024"/>
    <n v="2"/>
    <x v="0"/>
    <n v="682"/>
    <x v="25"/>
    <x v="6"/>
    <x v="11"/>
    <x v="22"/>
    <x v="1"/>
    <n v="576"/>
    <n v="2"/>
    <x v="0"/>
    <x v="0"/>
  </r>
  <r>
    <x v="2025"/>
    <n v="1"/>
    <x v="0"/>
    <n v="476"/>
    <x v="48"/>
    <x v="0"/>
    <x v="69"/>
    <x v="1"/>
    <x v="1"/>
    <n v="491"/>
    <n v="8"/>
    <x v="3"/>
    <x v="0"/>
  </r>
  <r>
    <x v="2026"/>
    <n v="2"/>
    <x v="0"/>
    <n v="393"/>
    <x v="0"/>
    <x v="5"/>
    <x v="41"/>
    <x v="1"/>
    <x v="1"/>
    <n v="443"/>
    <n v="3"/>
    <x v="0"/>
    <x v="0"/>
  </r>
  <r>
    <x v="2027"/>
    <n v="1"/>
    <x v="0"/>
    <n v="0"/>
    <x v="4"/>
    <x v="4"/>
    <x v="3"/>
    <x v="1"/>
    <x v="7"/>
    <n v="0"/>
    <n v="2"/>
    <x v="2"/>
    <x v="1"/>
  </r>
  <r>
    <x v="2028"/>
    <n v="2"/>
    <x v="0"/>
    <n v="435"/>
    <x v="0"/>
    <x v="31"/>
    <x v="3"/>
    <x v="1"/>
    <x v="4"/>
    <n v="435.5"/>
    <n v="5"/>
    <x v="1"/>
    <x v="0"/>
  </r>
  <r>
    <x v="2029"/>
    <n v="2"/>
    <x v="0"/>
    <n v="373"/>
    <x v="17"/>
    <x v="29"/>
    <x v="62"/>
    <x v="1"/>
    <x v="1"/>
    <n v="371.5"/>
    <n v="5"/>
    <x v="3"/>
    <x v="1"/>
  </r>
  <r>
    <x v="2030"/>
    <n v="1"/>
    <x v="0"/>
    <n v="499"/>
    <x v="21"/>
    <x v="24"/>
    <x v="3"/>
    <x v="35"/>
    <x v="4"/>
    <n v="516"/>
    <n v="5"/>
    <x v="2"/>
    <x v="1"/>
  </r>
  <r>
    <x v="2031"/>
    <n v="1"/>
    <x v="0"/>
    <n v="517"/>
    <x v="24"/>
    <x v="11"/>
    <x v="2"/>
    <x v="1"/>
    <x v="1"/>
    <n v="489.5"/>
    <n v="2"/>
    <x v="3"/>
    <x v="0"/>
  </r>
  <r>
    <x v="2032"/>
    <n v="2"/>
    <x v="0"/>
    <n v="417"/>
    <x v="4"/>
    <x v="4"/>
    <x v="3"/>
    <x v="1"/>
    <x v="4"/>
    <n v="0"/>
    <n v="5"/>
    <x v="2"/>
    <x v="0"/>
  </r>
  <r>
    <x v="2033"/>
    <n v="2"/>
    <x v="0"/>
    <n v="599"/>
    <x v="56"/>
    <x v="33"/>
    <x v="3"/>
    <x v="40"/>
    <x v="4"/>
    <n v="385"/>
    <n v="0"/>
    <x v="2"/>
    <x v="0"/>
  </r>
  <r>
    <x v="2034"/>
    <n v="2"/>
    <x v="0"/>
    <n v="373"/>
    <x v="38"/>
    <x v="31"/>
    <x v="53"/>
    <x v="1"/>
    <x v="5"/>
    <n v="395.5"/>
    <n v="3"/>
    <x v="10"/>
    <x v="0"/>
  </r>
  <r>
    <x v="2035"/>
    <n v="1"/>
    <x v="0"/>
    <n v="662"/>
    <x v="4"/>
    <x v="4"/>
    <x v="3"/>
    <x v="1"/>
    <x v="0"/>
    <n v="0"/>
    <n v="0"/>
    <x v="5"/>
    <x v="0"/>
  </r>
  <r>
    <x v="2036"/>
    <n v="2"/>
    <x v="1"/>
    <n v="376"/>
    <x v="4"/>
    <x v="4"/>
    <x v="3"/>
    <x v="1"/>
    <x v="7"/>
    <n v="0"/>
    <n v="0"/>
    <x v="5"/>
    <x v="0"/>
  </r>
  <r>
    <x v="2037"/>
    <n v="1"/>
    <x v="1"/>
    <n v="0"/>
    <x v="4"/>
    <x v="4"/>
    <x v="3"/>
    <x v="1"/>
    <x v="6"/>
    <n v="0"/>
    <n v="0"/>
    <x v="0"/>
    <x v="0"/>
  </r>
  <r>
    <x v="2038"/>
    <n v="2"/>
    <x v="1"/>
    <n v="414"/>
    <x v="42"/>
    <x v="18"/>
    <x v="50"/>
    <x v="1"/>
    <x v="4"/>
    <n v="445"/>
    <n v="9"/>
    <x v="2"/>
    <x v="0"/>
  </r>
  <r>
    <x v="2039"/>
    <n v="2"/>
    <x v="0"/>
    <n v="435"/>
    <x v="3"/>
    <x v="17"/>
    <x v="31"/>
    <x v="1"/>
    <x v="4"/>
    <n v="369"/>
    <n v="5"/>
    <x v="3"/>
    <x v="0"/>
  </r>
  <r>
    <x v="2040"/>
    <n v="2"/>
    <x v="0"/>
    <n v="478"/>
    <x v="36"/>
    <x v="24"/>
    <x v="0"/>
    <x v="1"/>
    <x v="3"/>
    <n v="449"/>
    <n v="4"/>
    <x v="2"/>
    <x v="0"/>
  </r>
  <r>
    <x v="2041"/>
    <n v="2"/>
    <x v="0"/>
    <n v="620"/>
    <x v="10"/>
    <x v="2"/>
    <x v="64"/>
    <x v="9"/>
    <x v="1"/>
    <n v="516"/>
    <n v="2"/>
    <x v="2"/>
    <x v="0"/>
  </r>
  <r>
    <x v="2042"/>
    <n v="2"/>
    <x v="0"/>
    <n v="0"/>
    <x v="7"/>
    <x v="26"/>
    <x v="11"/>
    <x v="29"/>
    <x v="6"/>
    <n v="493"/>
    <n v="9"/>
    <x v="3"/>
    <x v="0"/>
  </r>
  <r>
    <x v="2043"/>
    <n v="2"/>
    <x v="0"/>
    <n v="601"/>
    <x v="33"/>
    <x v="43"/>
    <x v="3"/>
    <x v="16"/>
    <x v="10"/>
    <n v="565.5"/>
    <n v="3"/>
    <x v="1"/>
    <x v="0"/>
  </r>
  <r>
    <x v="2044"/>
    <n v="1"/>
    <x v="0"/>
    <n v="496"/>
    <x v="59"/>
    <x v="26"/>
    <x v="67"/>
    <x v="1"/>
    <x v="1"/>
    <n v="539.5"/>
    <n v="7"/>
    <x v="7"/>
    <x v="3"/>
  </r>
  <r>
    <x v="2045"/>
    <n v="1"/>
    <x v="0"/>
    <n v="435"/>
    <x v="46"/>
    <x v="0"/>
    <x v="48"/>
    <x v="1"/>
    <x v="1"/>
    <n v="462"/>
    <n v="7"/>
    <x v="7"/>
    <x v="1"/>
  </r>
  <r>
    <x v="2046"/>
    <n v="1"/>
    <x v="0"/>
    <n v="437"/>
    <x v="64"/>
    <x v="8"/>
    <x v="31"/>
    <x v="1"/>
    <x v="5"/>
    <n v="350.5"/>
    <n v="0"/>
    <x v="3"/>
    <x v="0"/>
  </r>
  <r>
    <x v="2047"/>
    <n v="1"/>
    <x v="0"/>
    <n v="455"/>
    <x v="2"/>
    <x v="24"/>
    <x v="46"/>
    <x v="1"/>
    <x v="1"/>
    <n v="541"/>
    <n v="3"/>
    <x v="3"/>
    <x v="0"/>
  </r>
  <r>
    <x v="2048"/>
    <n v="2"/>
    <x v="0"/>
    <n v="620"/>
    <x v="19"/>
    <x v="3"/>
    <x v="9"/>
    <x v="1"/>
    <x v="1"/>
    <n v="511.5"/>
    <n v="9"/>
    <x v="7"/>
    <x v="1"/>
  </r>
  <r>
    <x v="2049"/>
    <n v="2"/>
    <x v="0"/>
    <n v="702"/>
    <x v="13"/>
    <x v="32"/>
    <x v="3"/>
    <x v="45"/>
    <x v="1"/>
    <n v="612"/>
    <n v="7"/>
    <x v="10"/>
    <x v="1"/>
  </r>
  <r>
    <x v="2050"/>
    <n v="1"/>
    <x v="0"/>
    <n v="601"/>
    <x v="31"/>
    <x v="0"/>
    <x v="34"/>
    <x v="1"/>
    <x v="7"/>
    <n v="423.5"/>
    <n v="4"/>
    <x v="3"/>
    <x v="0"/>
  </r>
  <r>
    <x v="2051"/>
    <n v="1"/>
    <x v="0"/>
    <n v="397"/>
    <x v="30"/>
    <x v="19"/>
    <x v="22"/>
    <x v="1"/>
    <x v="0"/>
    <n v="520.5"/>
    <n v="0"/>
    <x v="5"/>
    <x v="0"/>
  </r>
  <r>
    <x v="2052"/>
    <n v="1"/>
    <x v="0"/>
    <n v="621"/>
    <x v="4"/>
    <x v="4"/>
    <x v="3"/>
    <x v="1"/>
    <x v="6"/>
    <n v="0"/>
    <n v="3"/>
    <x v="3"/>
    <x v="0"/>
  </r>
  <r>
    <x v="2053"/>
    <n v="2"/>
    <x v="1"/>
    <n v="580"/>
    <x v="11"/>
    <x v="40"/>
    <x v="30"/>
    <x v="1"/>
    <x v="5"/>
    <n v="385.5"/>
    <n v="2"/>
    <x v="2"/>
    <x v="0"/>
  </r>
  <r>
    <x v="2054"/>
    <n v="2"/>
    <x v="1"/>
    <n v="517"/>
    <x v="40"/>
    <x v="10"/>
    <x v="9"/>
    <x v="32"/>
    <x v="6"/>
    <n v="582"/>
    <n v="2"/>
    <x v="3"/>
    <x v="0"/>
  </r>
  <r>
    <x v="2055"/>
    <n v="2"/>
    <x v="1"/>
    <n v="662"/>
    <x v="48"/>
    <x v="31"/>
    <x v="21"/>
    <x v="1"/>
    <x v="0"/>
    <n v="477"/>
    <n v="0"/>
    <x v="5"/>
    <x v="0"/>
  </r>
  <r>
    <x v="2056"/>
    <n v="2"/>
    <x v="0"/>
    <n v="437"/>
    <x v="4"/>
    <x v="4"/>
    <x v="3"/>
    <x v="1"/>
    <x v="1"/>
    <n v="0"/>
    <n v="3"/>
    <x v="0"/>
    <x v="0"/>
  </r>
  <r>
    <x v="2057"/>
    <n v="2"/>
    <x v="1"/>
    <n v="437"/>
    <x v="14"/>
    <x v="3"/>
    <x v="23"/>
    <x v="1"/>
    <x v="1"/>
    <n v="474"/>
    <n v="3"/>
    <x v="0"/>
    <x v="0"/>
  </r>
  <r>
    <x v="2058"/>
    <n v="1"/>
    <x v="2"/>
    <n v="435"/>
    <x v="12"/>
    <x v="11"/>
    <x v="62"/>
    <x v="1"/>
    <x v="1"/>
    <n v="415"/>
    <n v="4"/>
    <x v="1"/>
    <x v="3"/>
  </r>
  <r>
    <x v="2059"/>
    <n v="1"/>
    <x v="0"/>
    <n v="642"/>
    <x v="34"/>
    <x v="35"/>
    <x v="34"/>
    <x v="42"/>
    <x v="0"/>
    <n v="402"/>
    <n v="0"/>
    <x v="5"/>
    <x v="0"/>
  </r>
  <r>
    <x v="2060"/>
    <n v="1"/>
    <x v="0"/>
    <n v="476"/>
    <x v="51"/>
    <x v="33"/>
    <x v="8"/>
    <x v="1"/>
    <x v="4"/>
    <n v="451"/>
    <n v="5"/>
    <x v="1"/>
    <x v="0"/>
  </r>
  <r>
    <x v="2061"/>
    <n v="1"/>
    <x v="1"/>
    <n v="620"/>
    <x v="0"/>
    <x v="3"/>
    <x v="41"/>
    <x v="1"/>
    <x v="4"/>
    <n v="465"/>
    <n v="2"/>
    <x v="2"/>
    <x v="0"/>
  </r>
  <r>
    <x v="2062"/>
    <n v="2"/>
    <x v="0"/>
    <n v="437"/>
    <x v="37"/>
    <x v="12"/>
    <x v="31"/>
    <x v="1"/>
    <x v="4"/>
    <n v="354.5"/>
    <n v="3"/>
    <x v="1"/>
    <x v="0"/>
  </r>
  <r>
    <x v="2063"/>
    <n v="2"/>
    <x v="1"/>
    <n v="0"/>
    <x v="4"/>
    <x v="4"/>
    <x v="3"/>
    <x v="1"/>
    <x v="0"/>
    <n v="0"/>
    <n v="0"/>
    <x v="5"/>
    <x v="6"/>
  </r>
  <r>
    <x v="2064"/>
    <n v="2"/>
    <x v="0"/>
    <n v="702"/>
    <x v="48"/>
    <x v="13"/>
    <x v="46"/>
    <x v="1"/>
    <x v="4"/>
    <n v="546.5"/>
    <n v="5"/>
    <x v="3"/>
    <x v="0"/>
  </r>
  <r>
    <x v="2065"/>
    <n v="2"/>
    <x v="0"/>
    <n v="601"/>
    <x v="21"/>
    <x v="22"/>
    <x v="21"/>
    <x v="0"/>
    <x v="4"/>
    <n v="524"/>
    <n v="4"/>
    <x v="0"/>
    <x v="0"/>
  </r>
  <r>
    <x v="2066"/>
    <n v="2"/>
    <x v="0"/>
    <n v="558"/>
    <x v="26"/>
    <x v="39"/>
    <x v="3"/>
    <x v="11"/>
    <x v="1"/>
    <n v="524.5"/>
    <n v="0"/>
    <x v="7"/>
    <x v="0"/>
  </r>
  <r>
    <x v="2067"/>
    <n v="1"/>
    <x v="0"/>
    <n v="397"/>
    <x v="66"/>
    <x v="12"/>
    <x v="52"/>
    <x v="1"/>
    <x v="4"/>
    <n v="366"/>
    <n v="4"/>
    <x v="1"/>
    <x v="0"/>
  </r>
  <r>
    <x v="2068"/>
    <n v="2"/>
    <x v="0"/>
    <n v="558"/>
    <x v="5"/>
    <x v="39"/>
    <x v="3"/>
    <x v="21"/>
    <x v="1"/>
    <n v="505.5"/>
    <n v="3"/>
    <x v="3"/>
    <x v="0"/>
  </r>
  <r>
    <x v="2069"/>
    <n v="2"/>
    <x v="1"/>
    <n v="558"/>
    <x v="27"/>
    <x v="58"/>
    <x v="3"/>
    <x v="37"/>
    <x v="4"/>
    <n v="571.5"/>
    <n v="9"/>
    <x v="3"/>
    <x v="1"/>
  </r>
  <r>
    <x v="2070"/>
    <n v="1"/>
    <x v="1"/>
    <n v="641"/>
    <x v="13"/>
    <x v="54"/>
    <x v="3"/>
    <x v="43"/>
    <x v="4"/>
    <n v="667"/>
    <n v="8"/>
    <x v="7"/>
    <x v="1"/>
  </r>
  <r>
    <x v="2071"/>
    <n v="1"/>
    <x v="1"/>
    <n v="620"/>
    <x v="74"/>
    <x v="56"/>
    <x v="3"/>
    <x v="24"/>
    <x v="4"/>
    <n v="615"/>
    <n v="5"/>
    <x v="3"/>
    <x v="0"/>
  </r>
  <r>
    <x v="2072"/>
    <n v="1"/>
    <x v="1"/>
    <n v="0"/>
    <x v="4"/>
    <x v="4"/>
    <x v="3"/>
    <x v="1"/>
    <x v="1"/>
    <n v="0"/>
    <n v="0"/>
    <x v="5"/>
    <x v="0"/>
  </r>
  <r>
    <x v="2073"/>
    <n v="2"/>
    <x v="0"/>
    <n v="435"/>
    <x v="46"/>
    <x v="19"/>
    <x v="36"/>
    <x v="1"/>
    <x v="7"/>
    <n v="488.5"/>
    <n v="5"/>
    <x v="3"/>
    <x v="0"/>
  </r>
  <r>
    <x v="2074"/>
    <n v="2"/>
    <x v="0"/>
    <n v="496"/>
    <x v="11"/>
    <x v="31"/>
    <x v="3"/>
    <x v="35"/>
    <x v="6"/>
    <n v="442"/>
    <n v="3"/>
    <x v="3"/>
    <x v="0"/>
  </r>
  <r>
    <x v="2075"/>
    <n v="1"/>
    <x v="0"/>
    <n v="455"/>
    <x v="17"/>
    <x v="24"/>
    <x v="11"/>
    <x v="1"/>
    <x v="4"/>
    <n v="458"/>
    <n v="4"/>
    <x v="0"/>
    <x v="0"/>
  </r>
  <r>
    <x v="2076"/>
    <n v="2"/>
    <x v="0"/>
    <n v="661"/>
    <x v="3"/>
    <x v="73"/>
    <x v="3"/>
    <x v="21"/>
    <x v="1"/>
    <n v="497.5"/>
    <n v="0"/>
    <x v="5"/>
    <x v="0"/>
  </r>
  <r>
    <x v="2077"/>
    <n v="2"/>
    <x v="0"/>
    <n v="662"/>
    <x v="10"/>
    <x v="25"/>
    <x v="7"/>
    <x v="27"/>
    <x v="3"/>
    <n v="508.5"/>
    <n v="3"/>
    <x v="0"/>
    <x v="0"/>
  </r>
  <r>
    <x v="2078"/>
    <n v="1"/>
    <x v="1"/>
    <n v="501"/>
    <x v="4"/>
    <x v="4"/>
    <x v="3"/>
    <x v="1"/>
    <x v="4"/>
    <n v="0"/>
    <n v="0"/>
    <x v="3"/>
    <x v="0"/>
  </r>
  <r>
    <x v="2079"/>
    <n v="2"/>
    <x v="0"/>
    <n v="641"/>
    <x v="10"/>
    <x v="22"/>
    <x v="3"/>
    <x v="44"/>
    <x v="1"/>
    <n v="511"/>
    <n v="4"/>
    <x v="1"/>
    <x v="0"/>
  </r>
  <r>
    <x v="2080"/>
    <n v="1"/>
    <x v="1"/>
    <n v="519"/>
    <x v="4"/>
    <x v="4"/>
    <x v="3"/>
    <x v="1"/>
    <x v="7"/>
    <n v="0"/>
    <n v="5"/>
    <x v="1"/>
    <x v="1"/>
  </r>
  <r>
    <x v="2081"/>
    <n v="1"/>
    <x v="2"/>
    <n v="435"/>
    <x v="21"/>
    <x v="38"/>
    <x v="3"/>
    <x v="28"/>
    <x v="6"/>
    <n v="551"/>
    <n v="0"/>
    <x v="9"/>
    <x v="1"/>
  </r>
  <r>
    <x v="2082"/>
    <n v="2"/>
    <x v="0"/>
    <n v="702"/>
    <x v="4"/>
    <x v="4"/>
    <x v="3"/>
    <x v="1"/>
    <x v="6"/>
    <n v="0"/>
    <n v="5"/>
    <x v="1"/>
    <x v="1"/>
  </r>
  <r>
    <x v="2083"/>
    <n v="1"/>
    <x v="0"/>
    <n v="517"/>
    <x v="10"/>
    <x v="27"/>
    <x v="44"/>
    <x v="2"/>
    <x v="1"/>
    <n v="520.5"/>
    <n v="8"/>
    <x v="1"/>
    <x v="1"/>
  </r>
  <r>
    <x v="2084"/>
    <n v="1"/>
    <x v="0"/>
    <n v="599"/>
    <x v="59"/>
    <x v="2"/>
    <x v="3"/>
    <x v="35"/>
    <x v="4"/>
    <n v="559.5"/>
    <n v="2"/>
    <x v="3"/>
    <x v="0"/>
  </r>
  <r>
    <x v="2085"/>
    <n v="2"/>
    <x v="0"/>
    <n v="476"/>
    <x v="11"/>
    <x v="35"/>
    <x v="22"/>
    <x v="1"/>
    <x v="1"/>
    <n v="412"/>
    <n v="9"/>
    <x v="3"/>
    <x v="0"/>
  </r>
  <r>
    <x v="2086"/>
    <n v="1"/>
    <x v="0"/>
    <n v="496"/>
    <x v="56"/>
    <x v="12"/>
    <x v="20"/>
    <x v="1"/>
    <x v="1"/>
    <n v="333"/>
    <n v="3"/>
    <x v="0"/>
    <x v="0"/>
  </r>
  <r>
    <x v="2087"/>
    <n v="2"/>
    <x v="0"/>
    <n v="435"/>
    <x v="46"/>
    <x v="0"/>
    <x v="38"/>
    <x v="1"/>
    <x v="4"/>
    <n v="462"/>
    <n v="5"/>
    <x v="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C824D8-5AF3-4742-99DB-4ECE8DD4AE6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16" firstHeaderRow="1" firstDataRow="2" firstDataCol="1"/>
  <pivotFields count="11">
    <pivotField showAll="0"/>
    <pivotField showAll="0"/>
    <pivotField showAll="0"/>
    <pivotField showAll="0"/>
    <pivotField showAll="0"/>
    <pivotField axis="axisCol" showAll="0">
      <items count="12">
        <item x="4"/>
        <item x="3"/>
        <item x="1"/>
        <item x="0"/>
        <item x="5"/>
        <item x="7"/>
        <item x="10"/>
        <item x="8"/>
        <item x="9"/>
        <item x="2"/>
        <item x="6"/>
        <item t="default"/>
      </items>
    </pivotField>
    <pivotField axis="axisRow" showAll="0">
      <items count="12">
        <item x="5"/>
        <item x="4"/>
        <item x="2"/>
        <item x="0"/>
        <item x="1"/>
        <item x="3"/>
        <item x="8"/>
        <item x="10"/>
        <item x="9"/>
        <item x="7"/>
        <item x="6"/>
        <item t="default"/>
      </items>
    </pivotField>
    <pivotField showAll="0"/>
    <pivotField numFmtId="2" showAll="0"/>
    <pivotField showAll="0"/>
    <pivotField dataField="1" showAll="0"/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5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Average of Monthly income per family member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6E7A66-DD74-E94A-9FD2-06652C86A5E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7" firstHeaderRow="1" firstDataRow="1" firstDataCol="1"/>
  <pivotFields count="13"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4">
        <item x="0"/>
        <item x="2"/>
        <item x="5"/>
        <item x="6"/>
        <item x="1"/>
        <item x="4"/>
        <item x="3"/>
        <item x="7"/>
        <item x="10"/>
        <item x="9"/>
        <item x="8"/>
        <item x="12"/>
        <item x="11"/>
        <item t="default"/>
      </items>
    </pivotField>
    <pivotField showAll="0"/>
    <pivotField showAll="0"/>
    <pivotField showAll="0"/>
    <pivotField showAll="0"/>
  </pivotFields>
  <rowFields count="1">
    <field x="8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Average of NEM" fld="3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9D54A2-39B3-C344-AB88-9C133BCB179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2">
        <item x="5"/>
        <item x="4"/>
        <item x="2"/>
        <item x="0"/>
        <item x="1"/>
        <item x="3"/>
        <item x="8"/>
        <item x="10"/>
        <item x="9"/>
        <item x="7"/>
        <item x="6"/>
        <item t="default"/>
      </items>
    </pivotField>
    <pivotField showAll="0"/>
  </pivotFields>
  <rowFields count="1">
    <field x="1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AVG MATH-LYC" fld="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21A166-93CF-2145-A914-E904FE29C854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1" firstHeaderRow="0" firstDataRow="1" firstDataCol="1"/>
  <pivotFields count="13">
    <pivotField showAll="0"/>
    <pivotField showAll="0"/>
    <pivotField showAll="0"/>
    <pivotField showAll="0"/>
    <pivotField dataField="1" showAll="0">
      <items count="81">
        <item x="4"/>
        <item x="61"/>
        <item x="79"/>
        <item x="75"/>
        <item x="71"/>
        <item x="73"/>
        <item x="8"/>
        <item x="28"/>
        <item x="58"/>
        <item x="56"/>
        <item x="64"/>
        <item x="50"/>
        <item x="37"/>
        <item x="35"/>
        <item x="66"/>
        <item x="12"/>
        <item x="38"/>
        <item x="45"/>
        <item x="36"/>
        <item x="31"/>
        <item x="17"/>
        <item x="51"/>
        <item x="41"/>
        <item x="42"/>
        <item x="43"/>
        <item x="34"/>
        <item x="0"/>
        <item x="3"/>
        <item x="11"/>
        <item x="14"/>
        <item x="46"/>
        <item x="5"/>
        <item x="9"/>
        <item x="7"/>
        <item x="10"/>
        <item x="44"/>
        <item x="24"/>
        <item x="18"/>
        <item x="26"/>
        <item x="21"/>
        <item x="55"/>
        <item x="48"/>
        <item x="30"/>
        <item x="19"/>
        <item x="33"/>
        <item x="40"/>
        <item x="25"/>
        <item x="23"/>
        <item x="47"/>
        <item x="2"/>
        <item x="27"/>
        <item x="59"/>
        <item x="13"/>
        <item x="54"/>
        <item x="57"/>
        <item x="6"/>
        <item x="1"/>
        <item x="49"/>
        <item x="67"/>
        <item x="53"/>
        <item x="74"/>
        <item x="32"/>
        <item x="22"/>
        <item x="65"/>
        <item x="69"/>
        <item x="39"/>
        <item x="20"/>
        <item x="70"/>
        <item x="76"/>
        <item x="63"/>
        <item x="60"/>
        <item x="52"/>
        <item x="16"/>
        <item x="62"/>
        <item x="15"/>
        <item x="68"/>
        <item x="72"/>
        <item x="29"/>
        <item x="77"/>
        <item x="78"/>
        <item t="default"/>
      </items>
    </pivotField>
    <pivotField dataField="1" showAll="0">
      <items count="80">
        <item x="4"/>
        <item x="57"/>
        <item x="50"/>
        <item x="9"/>
        <item x="78"/>
        <item x="55"/>
        <item x="17"/>
        <item x="40"/>
        <item x="29"/>
        <item x="35"/>
        <item x="12"/>
        <item x="8"/>
        <item x="31"/>
        <item x="5"/>
        <item x="0"/>
        <item x="18"/>
        <item x="11"/>
        <item x="3"/>
        <item x="33"/>
        <item x="26"/>
        <item x="19"/>
        <item x="24"/>
        <item x="37"/>
        <item x="25"/>
        <item x="22"/>
        <item x="39"/>
        <item x="2"/>
        <item x="73"/>
        <item x="27"/>
        <item x="16"/>
        <item x="28"/>
        <item x="7"/>
        <item x="13"/>
        <item x="58"/>
        <item x="23"/>
        <item x="48"/>
        <item x="74"/>
        <item x="38"/>
        <item x="43"/>
        <item x="61"/>
        <item x="34"/>
        <item x="6"/>
        <item x="56"/>
        <item x="62"/>
        <item x="52"/>
        <item x="70"/>
        <item x="10"/>
        <item x="60"/>
        <item x="47"/>
        <item x="20"/>
        <item x="21"/>
        <item x="68"/>
        <item x="14"/>
        <item x="32"/>
        <item x="44"/>
        <item x="42"/>
        <item x="45"/>
        <item x="53"/>
        <item x="36"/>
        <item x="76"/>
        <item x="72"/>
        <item x="49"/>
        <item x="59"/>
        <item x="66"/>
        <item x="63"/>
        <item x="30"/>
        <item x="46"/>
        <item x="51"/>
        <item x="65"/>
        <item x="67"/>
        <item x="69"/>
        <item x="15"/>
        <item x="71"/>
        <item x="54"/>
        <item x="75"/>
        <item x="41"/>
        <item x="64"/>
        <item x="1"/>
        <item x="77"/>
        <item t="default"/>
      </items>
    </pivotField>
    <pivotField dataField="1" showAll="0">
      <items count="81">
        <item x="3"/>
        <item x="26"/>
        <item x="71"/>
        <item x="66"/>
        <item x="79"/>
        <item x="68"/>
        <item x="53"/>
        <item x="35"/>
        <item x="72"/>
        <item x="28"/>
        <item x="62"/>
        <item x="52"/>
        <item x="50"/>
        <item x="6"/>
        <item x="56"/>
        <item x="39"/>
        <item x="0"/>
        <item x="34"/>
        <item x="22"/>
        <item x="15"/>
        <item x="31"/>
        <item x="29"/>
        <item x="20"/>
        <item x="18"/>
        <item x="8"/>
        <item x="4"/>
        <item x="41"/>
        <item x="36"/>
        <item x="11"/>
        <item x="7"/>
        <item x="25"/>
        <item x="30"/>
        <item x="9"/>
        <item x="61"/>
        <item x="38"/>
        <item x="27"/>
        <item x="23"/>
        <item x="33"/>
        <item x="64"/>
        <item x="32"/>
        <item x="16"/>
        <item x="69"/>
        <item x="24"/>
        <item x="10"/>
        <item x="21"/>
        <item x="48"/>
        <item x="17"/>
        <item x="44"/>
        <item x="63"/>
        <item x="40"/>
        <item x="51"/>
        <item x="47"/>
        <item x="67"/>
        <item x="54"/>
        <item x="37"/>
        <item x="45"/>
        <item x="46"/>
        <item x="43"/>
        <item x="55"/>
        <item x="65"/>
        <item x="42"/>
        <item x="5"/>
        <item x="1"/>
        <item x="70"/>
        <item x="58"/>
        <item x="59"/>
        <item x="14"/>
        <item x="2"/>
        <item x="19"/>
        <item x="60"/>
        <item x="74"/>
        <item x="12"/>
        <item x="73"/>
        <item x="13"/>
        <item x="49"/>
        <item x="78"/>
        <item x="75"/>
        <item x="76"/>
        <item x="57"/>
        <item x="77"/>
        <item t="default"/>
      </items>
    </pivotField>
    <pivotField dataField="1" showAll="0">
      <items count="81">
        <item x="1"/>
        <item x="31"/>
        <item x="7"/>
        <item x="25"/>
        <item x="5"/>
        <item x="23"/>
        <item x="9"/>
        <item x="48"/>
        <item x="42"/>
        <item x="4"/>
        <item x="29"/>
        <item x="2"/>
        <item x="35"/>
        <item x="0"/>
        <item x="40"/>
        <item x="27"/>
        <item x="21"/>
        <item x="22"/>
        <item x="19"/>
        <item x="32"/>
        <item x="28"/>
        <item x="6"/>
        <item x="18"/>
        <item x="45"/>
        <item x="11"/>
        <item x="14"/>
        <item x="44"/>
        <item x="16"/>
        <item x="15"/>
        <item x="34"/>
        <item x="33"/>
        <item x="54"/>
        <item x="68"/>
        <item x="24"/>
        <item x="52"/>
        <item x="26"/>
        <item x="60"/>
        <item x="53"/>
        <item x="58"/>
        <item x="37"/>
        <item x="38"/>
        <item x="3"/>
        <item x="17"/>
        <item x="8"/>
        <item x="59"/>
        <item x="50"/>
        <item x="67"/>
        <item x="39"/>
        <item x="71"/>
        <item x="77"/>
        <item x="61"/>
        <item x="43"/>
        <item x="64"/>
        <item x="12"/>
        <item x="10"/>
        <item x="69"/>
        <item x="49"/>
        <item x="30"/>
        <item x="51"/>
        <item x="13"/>
        <item x="72"/>
        <item x="70"/>
        <item x="74"/>
        <item x="36"/>
        <item x="62"/>
        <item x="78"/>
        <item x="20"/>
        <item x="63"/>
        <item x="47"/>
        <item x="75"/>
        <item x="79"/>
        <item x="46"/>
        <item x="41"/>
        <item x="56"/>
        <item x="65"/>
        <item x="73"/>
        <item x="55"/>
        <item x="57"/>
        <item x="66"/>
        <item x="76"/>
        <item t="default"/>
      </items>
    </pivotField>
    <pivotField showAll="0"/>
    <pivotField showAll="0"/>
    <pivotField showAll="0"/>
    <pivotField showAll="0"/>
    <pivotField axis="axisRow" showAll="0">
      <items count="8">
        <item x="6"/>
        <item x="0"/>
        <item x="1"/>
        <item x="3"/>
        <item x="2"/>
        <item x="5"/>
        <item x="4"/>
        <item t="default"/>
      </items>
    </pivotField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LYC" fld="4" subtotal="average" baseField="0" baseItem="0"/>
    <dataField name="Average of MATE" fld="5" subtotal="average" baseField="0" baseItem="0"/>
    <dataField name="Average of HYCS" fld="6" subtotal="average" baseField="0" baseItem="0"/>
    <dataField name="Average of CIEN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762483-956B-FD4F-AEAA-7032B9C623DE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8" firstHeaderRow="1" firstDataRow="2" firstDataCol="1"/>
  <pivotFields count="13">
    <pivotField dataField="1" showAll="0">
      <items count="2089">
        <item x="88"/>
        <item x="952"/>
        <item x="266"/>
        <item x="1067"/>
        <item x="1096"/>
        <item x="36"/>
        <item x="391"/>
        <item x="120"/>
        <item x="706"/>
        <item x="1374"/>
        <item x="1418"/>
        <item x="1855"/>
        <item x="110"/>
        <item x="1916"/>
        <item x="1017"/>
        <item x="1434"/>
        <item x="524"/>
        <item x="898"/>
        <item x="1545"/>
        <item x="668"/>
        <item x="1124"/>
        <item x="594"/>
        <item x="1420"/>
        <item x="2073"/>
        <item x="1779"/>
        <item x="231"/>
        <item x="1278"/>
        <item x="338"/>
        <item x="1622"/>
        <item x="1426"/>
        <item x="217"/>
        <item x="1672"/>
        <item x="270"/>
        <item x="1073"/>
        <item x="538"/>
        <item x="1677"/>
        <item x="575"/>
        <item x="202"/>
        <item x="1294"/>
        <item x="44"/>
        <item x="1649"/>
        <item x="771"/>
        <item x="806"/>
        <item x="1989"/>
        <item x="1681"/>
        <item x="1882"/>
        <item x="430"/>
        <item x="1404"/>
        <item x="1295"/>
        <item x="1340"/>
        <item x="2006"/>
        <item x="71"/>
        <item x="894"/>
        <item x="461"/>
        <item x="1146"/>
        <item x="1913"/>
        <item x="488"/>
        <item x="1173"/>
        <item x="717"/>
        <item x="1411"/>
        <item x="900"/>
        <item x="632"/>
        <item x="1976"/>
        <item x="549"/>
        <item x="1995"/>
        <item x="573"/>
        <item x="1101"/>
        <item x="1982"/>
        <item x="1559"/>
        <item x="1114"/>
        <item x="48"/>
        <item x="1745"/>
        <item x="1402"/>
        <item x="1940"/>
        <item x="1343"/>
        <item x="1519"/>
        <item x="248"/>
        <item x="1634"/>
        <item x="1081"/>
        <item x="783"/>
        <item x="176"/>
        <item x="1310"/>
        <item x="1947"/>
        <item x="1661"/>
        <item x="752"/>
        <item x="106"/>
        <item x="2063"/>
        <item x="1858"/>
        <item x="472"/>
        <item x="1271"/>
        <item x="921"/>
        <item x="1906"/>
        <item x="512"/>
        <item x="847"/>
        <item x="887"/>
        <item x="74"/>
        <item x="1339"/>
        <item x="481"/>
        <item x="610"/>
        <item x="1587"/>
        <item x="1616"/>
        <item x="8"/>
        <item x="1741"/>
        <item x="1441"/>
        <item x="1993"/>
        <item x="1975"/>
        <item x="671"/>
        <item x="618"/>
        <item x="1160"/>
        <item x="301"/>
        <item x="1581"/>
        <item x="879"/>
        <item x="208"/>
        <item x="1287"/>
        <item x="16"/>
        <item x="449"/>
        <item x="1558"/>
        <item x="1116"/>
        <item x="1582"/>
        <item x="1732"/>
        <item x="570"/>
        <item x="1266"/>
        <item x="1267"/>
        <item x="382"/>
        <item x="1045"/>
        <item x="1654"/>
        <item x="745"/>
        <item x="764"/>
        <item x="323"/>
        <item x="341"/>
        <item x="388"/>
        <item x="1394"/>
        <item x="1038"/>
        <item x="63"/>
        <item x="457"/>
        <item x="427"/>
        <item x="617"/>
        <item x="197"/>
        <item x="161"/>
        <item x="510"/>
        <item x="704"/>
        <item x="1847"/>
        <item x="1551"/>
        <item x="932"/>
        <item x="917"/>
        <item x="1112"/>
        <item x="1585"/>
        <item x="492"/>
        <item x="682"/>
        <item x="867"/>
        <item x="1533"/>
        <item x="1555"/>
        <item x="394"/>
        <item x="1756"/>
        <item x="835"/>
        <item x="1179"/>
        <item x="1216"/>
        <item x="1031"/>
        <item x="268"/>
        <item x="1330"/>
        <item x="1537"/>
        <item x="1565"/>
        <item x="1601"/>
        <item x="397"/>
        <item x="19"/>
        <item x="1048"/>
        <item x="1631"/>
        <item x="1651"/>
        <item x="741"/>
        <item x="760"/>
        <item x="1325"/>
        <item x="667"/>
        <item x="1252"/>
        <item x="216"/>
        <item x="533"/>
        <item x="210"/>
        <item x="1106"/>
        <item x="102"/>
        <item x="904"/>
        <item x="980"/>
        <item x="2078"/>
        <item x="278"/>
        <item x="2031"/>
        <item x="511"/>
        <item x="1971"/>
        <item x="1246"/>
        <item x="1640"/>
        <item x="70"/>
        <item x="884"/>
        <item x="2067"/>
        <item x="1853"/>
        <item x="2"/>
        <item x="625"/>
        <item x="1950"/>
        <item x="1165"/>
        <item x="358"/>
        <item x="650"/>
        <item x="1750"/>
        <item x="1215"/>
        <item x="1771"/>
        <item x="41"/>
        <item x="163"/>
        <item x="2066"/>
        <item x="626"/>
        <item x="1130"/>
        <item x="260"/>
        <item x="2016"/>
        <item x="1321"/>
        <item x="1084"/>
        <item x="666"/>
        <item x="802"/>
        <item x="1162"/>
        <item x="143"/>
        <item x="1800"/>
        <item x="965"/>
        <item x="514"/>
        <item x="1831"/>
        <item x="776"/>
        <item x="1941"/>
        <item x="1392"/>
        <item x="55"/>
        <item x="1312"/>
        <item x="2052"/>
        <item x="1643"/>
        <item x="750"/>
        <item x="399"/>
        <item x="93"/>
        <item x="466"/>
        <item x="2060"/>
        <item x="428"/>
        <item x="1811"/>
        <item x="499"/>
        <item x="1334"/>
        <item x="635"/>
        <item x="848"/>
        <item x="1303"/>
        <item x="409"/>
        <item x="154"/>
        <item x="1543"/>
        <item x="470"/>
        <item x="1163"/>
        <item x="298"/>
        <item x="1918"/>
        <item x="1023"/>
        <item x="42"/>
        <item x="1219"/>
        <item x="1311"/>
        <item x="1826"/>
        <item x="892"/>
        <item x="905"/>
        <item x="1873"/>
        <item x="1154"/>
        <item x="1123"/>
        <item x="1578"/>
        <item x="1004"/>
        <item x="1740"/>
        <item x="860"/>
        <item x="282"/>
        <item x="322"/>
        <item x="1088"/>
        <item x="2075"/>
        <item x="1119"/>
        <item x="1309"/>
        <item x="167"/>
        <item x="590"/>
        <item x="1510"/>
        <item x="1046"/>
        <item x="873"/>
        <item x="1667"/>
        <item x="767"/>
        <item x="1069"/>
        <item x="313"/>
        <item x="1274"/>
        <item x="1282"/>
        <item x="716"/>
        <item x="751"/>
        <item x="732"/>
        <item x="175"/>
        <item x="1694"/>
        <item x="978"/>
        <item x="485"/>
        <item x="567"/>
        <item x="1660"/>
        <item x="2055"/>
        <item x="2054"/>
        <item x="886"/>
        <item x="1859"/>
        <item x="621"/>
        <item x="395"/>
        <item x="2009"/>
        <item x="1896"/>
        <item x="92"/>
        <item x="523"/>
        <item x="357"/>
        <item x="685"/>
        <item x="191"/>
        <item x="870"/>
        <item x="237"/>
        <item x="361"/>
        <item x="1327"/>
        <item x="1097"/>
        <item x="1550"/>
        <item x="1296"/>
        <item x="796"/>
        <item x="828"/>
        <item x="1113"/>
        <item x="1147"/>
        <item x="114"/>
        <item x="133"/>
        <item x="964"/>
        <item x="1497"/>
        <item x="98"/>
        <item x="22"/>
        <item x="1652"/>
        <item x="1360"/>
        <item x="1076"/>
        <item x="790"/>
        <item x="1678"/>
        <item x="431"/>
        <item x="304"/>
        <item x="949"/>
        <item x="1930"/>
        <item x="518"/>
        <item x="1480"/>
        <item x="1036"/>
        <item x="1060"/>
        <item x="931"/>
        <item x="916"/>
        <item x="1438"/>
        <item x="2017"/>
        <item x="866"/>
        <item x="1209"/>
        <item x="1172"/>
        <item x="320"/>
        <item x="1405"/>
        <item x="401"/>
        <item x="230"/>
        <item x="582"/>
        <item x="1851"/>
        <item x="1895"/>
        <item x="1574"/>
        <item x="546"/>
        <item x="1725"/>
        <item x="858"/>
        <item x="1206"/>
        <item x="329"/>
        <item x="871"/>
        <item x="1760"/>
        <item x="897"/>
        <item x="1848"/>
        <item x="222"/>
        <item x="631"/>
        <item x="855"/>
        <item x="834"/>
        <item x="52"/>
        <item x="1817"/>
        <item x="442"/>
        <item x="1032"/>
        <item x="1530"/>
        <item x="1145"/>
        <item x="1707"/>
        <item x="1576"/>
        <item x="551"/>
        <item x="1956"/>
        <item x="1509"/>
        <item x="1980"/>
        <item x="1646"/>
        <item x="2057"/>
        <item x="221"/>
        <item x="87"/>
        <item x="940"/>
        <item x="2034"/>
        <item x="1347"/>
        <item x="1717"/>
        <item x="1845"/>
        <item x="991"/>
        <item x="1909"/>
        <item x="507"/>
        <item x="1275"/>
        <item x="648"/>
        <item x="1201"/>
        <item x="1970"/>
        <item x="1517"/>
        <item x="229"/>
        <item x="1852"/>
        <item x="1164"/>
        <item x="253"/>
        <item x="223"/>
        <item x="647"/>
        <item x="639"/>
        <item x="719"/>
        <item x="2014"/>
        <item x="107"/>
        <item x="1836"/>
        <item x="890"/>
        <item x="238"/>
        <item x="2041"/>
        <item x="1136"/>
        <item x="876"/>
        <item x="1770"/>
        <item x="1050"/>
        <item x="77"/>
        <item x="587"/>
        <item x="315"/>
        <item x="20"/>
        <item x="2056"/>
        <item x="1269"/>
        <item x="1503"/>
        <item x="759"/>
        <item x="1070"/>
        <item x="822"/>
        <item x="642"/>
        <item x="366"/>
        <item x="1502"/>
        <item x="1034"/>
        <item x="737"/>
        <item x="781"/>
        <item x="805"/>
        <item x="433"/>
        <item x="993"/>
        <item x="926"/>
        <item x="532"/>
        <item x="1202"/>
        <item x="1633"/>
        <item x="901"/>
        <item x="1886"/>
        <item x="1337"/>
        <item x="607"/>
        <item x="1922"/>
        <item x="1607"/>
        <item x="501"/>
        <item x="545"/>
        <item x="1731"/>
        <item x="1767"/>
        <item x="162"/>
        <item x="1830"/>
        <item x="422"/>
        <item x="12"/>
        <item x="1532"/>
        <item x="934"/>
        <item x="1594"/>
        <item x="2043"/>
        <item x="844"/>
        <item x="1181"/>
        <item x="1773"/>
        <item x="1934"/>
        <item x="1041"/>
        <item x="774"/>
        <item x="658"/>
        <item x="777"/>
        <item x="1156"/>
        <item x="539"/>
        <item x="520"/>
        <item x="1755"/>
        <item x="160"/>
        <item x="946"/>
        <item x="279"/>
        <item x="441"/>
        <item x="758"/>
        <item x="1329"/>
        <item x="780"/>
        <item x="1702"/>
        <item x="1682"/>
        <item x="1253"/>
        <item x="1935"/>
        <item x="145"/>
        <item x="809"/>
        <item x="787"/>
        <item x="171"/>
        <item x="895"/>
        <item x="909"/>
        <item x="24"/>
        <item x="498"/>
        <item x="1010"/>
        <item x="1249"/>
        <item x="592"/>
        <item x="108"/>
        <item x="1298"/>
        <item x="1584"/>
        <item x="1436"/>
        <item x="1739"/>
        <item x="1222"/>
        <item x="1187"/>
        <item x="220"/>
        <item x="1289"/>
        <item x="164"/>
        <item x="1175"/>
        <item x="263"/>
        <item x="1822"/>
        <item x="1546"/>
        <item x="1713"/>
        <item x="423"/>
        <item x="436"/>
        <item x="1244"/>
        <item x="1093"/>
        <item x="1059"/>
        <item x="821"/>
        <item x="589"/>
        <item x="1270"/>
        <item x="199"/>
        <item x="637"/>
        <item x="1453"/>
        <item x="957"/>
        <item x="713"/>
        <item x="2013"/>
        <item x="1108"/>
        <item x="793"/>
        <item x="902"/>
        <item x="1719"/>
        <item x="1865"/>
        <item x="1221"/>
        <item x="1974"/>
        <item x="1959"/>
        <item x="1444"/>
        <item x="974"/>
        <item x="1155"/>
        <item x="1625"/>
        <item x="1597"/>
        <item x="256"/>
        <item x="645"/>
        <item x="1754"/>
        <item x="700"/>
        <item x="1796"/>
        <item x="854"/>
        <item x="1177"/>
        <item x="672"/>
        <item x="1583"/>
        <item x="1735"/>
        <item x="218"/>
        <item x="1515"/>
        <item x="1490"/>
        <item x="0"/>
        <item x="100"/>
        <item x="1254"/>
        <item x="1398"/>
        <item x="111"/>
        <item x="1300"/>
        <item x="454"/>
        <item x="705"/>
        <item x="172"/>
        <item x="1078"/>
        <item x="1348"/>
        <item x="808"/>
        <item x="785"/>
        <item x="187"/>
        <item x="1684"/>
        <item x="1862"/>
        <item x="467"/>
        <item x="136"/>
        <item x="633"/>
        <item x="1508"/>
        <item x="109"/>
        <item x="1905"/>
        <item x="1176"/>
        <item x="1212"/>
        <item x="707"/>
        <item x="725"/>
        <item x="10"/>
        <item x="1985"/>
        <item x="405"/>
        <item x="277"/>
        <item x="1148"/>
        <item x="23"/>
        <item x="1279"/>
        <item x="138"/>
        <item x="941"/>
        <item x="1764"/>
        <item x="370"/>
        <item x="654"/>
        <item x="799"/>
        <item x="830"/>
        <item x="1306"/>
        <item x="73"/>
        <item x="1336"/>
        <item x="2051"/>
        <item x="1242"/>
        <item x="1632"/>
        <item x="1655"/>
        <item x="1676"/>
        <item x="292"/>
        <item x="327"/>
        <item x="1504"/>
        <item x="450"/>
        <item x="5"/>
        <item x="569"/>
        <item x="779"/>
        <item x="376"/>
        <item x="232"/>
        <item x="1387"/>
        <item x="295"/>
        <item x="239"/>
        <item x="984"/>
        <item x="119"/>
        <item x="697"/>
        <item x="998"/>
        <item x="519"/>
        <item x="516"/>
        <item x="1168"/>
        <item x="1489"/>
        <item x="554"/>
        <item x="56"/>
        <item x="1262"/>
        <item x="2083"/>
        <item x="1541"/>
        <item x="915"/>
        <item x="508"/>
        <item x="1022"/>
        <item x="1195"/>
        <item x="1231"/>
        <item x="2019"/>
        <item x="698"/>
        <item x="335"/>
        <item x="128"/>
        <item x="1572"/>
        <item x="1384"/>
        <item x="857"/>
        <item x="837"/>
        <item x="944"/>
        <item x="27"/>
        <item x="1820"/>
        <item x="115"/>
        <item x="1967"/>
        <item x="1525"/>
        <item x="39"/>
        <item x="1322"/>
        <item x="791"/>
        <item x="1260"/>
        <item x="137"/>
        <item x="724"/>
        <item x="526"/>
        <item x="1058"/>
        <item x="1998"/>
        <item x="986"/>
        <item x="1949"/>
        <item x="1009"/>
        <item x="1813"/>
        <item x="1372"/>
        <item x="1673"/>
        <item x="112"/>
        <item x="628"/>
        <item x="227"/>
        <item x="1026"/>
        <item x="636"/>
        <item x="728"/>
        <item x="1371"/>
        <item x="334"/>
        <item x="600"/>
        <item x="1871"/>
        <item x="117"/>
        <item x="1167"/>
        <item x="503"/>
        <item x="1758"/>
        <item x="564"/>
        <item x="950"/>
        <item x="54"/>
        <item x="761"/>
        <item x="1144"/>
        <item x="1595"/>
        <item x="190"/>
        <item x="146"/>
        <item x="1521"/>
        <item x="1074"/>
        <item x="798"/>
        <item x="340"/>
        <item x="2028"/>
        <item x="1259"/>
        <item x="652"/>
        <item x="1281"/>
        <item x="123"/>
        <item x="597"/>
        <item x="1668"/>
        <item x="1102"/>
        <item x="1072"/>
        <item x="28"/>
        <item x="417"/>
        <item x="1692"/>
        <item x="1863"/>
        <item x="484"/>
        <item x="864"/>
        <item x="34"/>
        <item x="182"/>
        <item x="372"/>
        <item x="1412"/>
        <item x="1549"/>
        <item x="476"/>
        <item x="981"/>
        <item x="922"/>
        <item x="359"/>
        <item x="506"/>
        <item x="1370"/>
        <item x="166"/>
        <item x="1571"/>
        <item x="675"/>
        <item x="2070"/>
        <item x="1603"/>
        <item x="530"/>
        <item x="833"/>
        <item x="225"/>
        <item x="1286"/>
        <item x="345"/>
        <item x="1125"/>
        <item x="1706"/>
        <item x="1730"/>
        <item x="305"/>
        <item x="247"/>
        <item x="151"/>
        <item x="1523"/>
        <item x="150"/>
        <item x="1098"/>
        <item x="293"/>
        <item x="319"/>
        <item x="1642"/>
        <item x="815"/>
        <item x="250"/>
        <item x="477"/>
        <item x="982"/>
        <item x="933"/>
        <item x="86"/>
        <item x="1919"/>
        <item x="2074"/>
        <item x="1291"/>
        <item x="380"/>
        <item x="722"/>
        <item x="1973"/>
        <item x="1977"/>
        <item x="888"/>
        <item x="1602"/>
        <item x="189"/>
        <item x="852"/>
        <item x="1192"/>
        <item x="726"/>
        <item x="1377"/>
        <item x="1346"/>
        <item x="418"/>
        <item x="483"/>
        <item x="882"/>
        <item x="552"/>
        <item x="1751"/>
        <item x="861"/>
        <item x="1174"/>
        <item x="1210"/>
        <item x="308"/>
        <item x="261"/>
        <item x="116"/>
        <item x="754"/>
        <item x="1089"/>
        <item x="813"/>
        <item x="212"/>
        <item x="2032"/>
        <item x="585"/>
        <item x="1470"/>
        <item x="1475"/>
        <item x="581"/>
        <item x="757"/>
        <item x="782"/>
        <item x="342"/>
        <item x="2065"/>
        <item x="1894"/>
        <item x="1352"/>
        <item x="560"/>
        <item x="1942"/>
        <item x="528"/>
        <item x="1090"/>
        <item x="35"/>
        <item x="2069"/>
        <item x="458"/>
        <item x="678"/>
        <item x="1198"/>
        <item x="580"/>
        <item x="1241"/>
        <item x="2082"/>
        <item x="94"/>
        <item x="149"/>
        <item x="583"/>
        <item x="1553"/>
        <item x="473"/>
        <item x="1590"/>
        <item x="1204"/>
        <item x="1354"/>
        <item x="715"/>
        <item x="1837"/>
        <item x="475"/>
        <item x="1963"/>
        <item x="1954"/>
        <item x="1180"/>
        <item x="1785"/>
        <item x="262"/>
        <item x="747"/>
        <item x="1099"/>
        <item x="814"/>
        <item x="1447"/>
        <item x="945"/>
        <item x="1939"/>
        <item x="452"/>
        <item x="2049"/>
        <item x="568"/>
        <item x="1277"/>
        <item x="344"/>
        <item x="296"/>
        <item x="2087"/>
        <item x="943"/>
        <item x="360"/>
        <item x="406"/>
        <item x="183"/>
        <item x="1693"/>
        <item x="1712"/>
        <item x="1881"/>
        <item x="252"/>
        <item x="920"/>
        <item x="316"/>
        <item x="1280"/>
        <item x="1024"/>
        <item x="1008"/>
        <item x="1189"/>
        <item x="1224"/>
        <item x="2084"/>
        <item x="194"/>
        <item x="1870"/>
        <item x="1121"/>
        <item x="2036"/>
        <item x="355"/>
        <item x="502"/>
        <item x="1738"/>
        <item x="839"/>
        <item x="1414"/>
        <item x="1261"/>
        <item x="1825"/>
        <item x="1842"/>
        <item x="121"/>
        <item x="604"/>
        <item x="1861"/>
        <item x="2059"/>
        <item x="1577"/>
        <item x="1005"/>
        <item x="1190"/>
        <item x="1783"/>
        <item x="1051"/>
        <item x="768"/>
        <item x="1056"/>
        <item x="825"/>
        <item x="1610"/>
        <item x="169"/>
        <item x="90"/>
        <item x="439"/>
        <item x="1043"/>
        <item x="742"/>
        <item x="659"/>
        <item x="178"/>
        <item x="983"/>
        <item x="517"/>
        <item x="1675"/>
        <item x="67"/>
        <item x="1062"/>
        <item x="819"/>
        <item x="1704"/>
        <item x="317"/>
        <item x="1016"/>
        <item x="1184"/>
        <item x="1376"/>
        <item x="381"/>
        <item x="147"/>
        <item x="1775"/>
        <item x="478"/>
        <item x="615"/>
        <item x="1456"/>
        <item x="930"/>
        <item x="1138"/>
        <item x="681"/>
        <item x="258"/>
        <item x="2050"/>
        <item x="863"/>
        <item x="1302"/>
        <item x="550"/>
        <item x="1761"/>
        <item x="2003"/>
        <item x="1812"/>
        <item x="343"/>
        <item x="1141"/>
        <item x="325"/>
        <item x="1994"/>
        <item x="1927"/>
        <item x="1443"/>
        <item x="1814"/>
        <item x="579"/>
        <item x="769"/>
        <item x="1382"/>
        <item x="1705"/>
        <item x="241"/>
        <item x="1629"/>
        <item x="738"/>
        <item x="603"/>
        <item x="989"/>
        <item x="1999"/>
        <item x="254"/>
        <item x="1299"/>
        <item x="1366"/>
        <item x="1355"/>
        <item x="226"/>
        <item x="1524"/>
        <item x="1430"/>
        <item x="1256"/>
        <item x="184"/>
        <item x="1104"/>
        <item x="824"/>
        <item x="1875"/>
        <item x="474"/>
        <item x="1459"/>
        <item x="1025"/>
        <item x="206"/>
        <item x="1440"/>
        <item x="877"/>
        <item x="1188"/>
        <item x="1223"/>
        <item x="572"/>
        <item x="414"/>
        <item x="1768"/>
        <item x="1879"/>
        <item x="622"/>
        <item x="1161"/>
        <item x="1131"/>
        <item x="1968"/>
        <item x="1586"/>
        <item x="1011"/>
        <item x="413"/>
        <item x="265"/>
        <item x="1365"/>
        <item x="1128"/>
        <item x="89"/>
        <item x="1600"/>
        <item x="1364"/>
        <item x="374"/>
        <item x="775"/>
        <item x="1318"/>
        <item x="557"/>
        <item x="1381"/>
        <item x="829"/>
        <item x="1695"/>
        <item x="1722"/>
        <item x="40"/>
        <item x="1481"/>
        <item x="434"/>
        <item x="1473"/>
        <item x="1468"/>
        <item x="1493"/>
        <item x="720"/>
        <item x="1240"/>
        <item x="1095"/>
        <item x="1061"/>
        <item x="624"/>
        <item x="274"/>
        <item x="299"/>
        <item x="3"/>
        <item x="1197"/>
        <item x="2020"/>
        <item x="1407"/>
        <item x="710"/>
        <item x="173"/>
        <item x="1996"/>
        <item x="97"/>
        <item x="1272"/>
        <item x="970"/>
        <item x="30"/>
        <item x="1129"/>
        <item x="58"/>
        <item x="1897"/>
        <item x="1213"/>
        <item x="527"/>
        <item x="2005"/>
        <item x="378"/>
        <item x="1869"/>
        <item x="1843"/>
        <item x="661"/>
        <item x="1349"/>
        <item x="215"/>
        <item x="1194"/>
        <item x="1778"/>
        <item x="1293"/>
        <item x="1838"/>
        <item x="1400"/>
        <item x="756"/>
        <item x="1085"/>
        <item x="1688"/>
        <item x="1747"/>
        <item x="1471"/>
        <item x="1403"/>
        <item x="2018"/>
        <item x="246"/>
        <item x="1816"/>
        <item x="1245"/>
        <item x="1972"/>
        <item x="1671"/>
        <item x="228"/>
        <item x="1860"/>
        <item x="356"/>
        <item x="204"/>
        <item x="333"/>
        <item x="95"/>
        <item x="1345"/>
        <item x="211"/>
        <item x="2039"/>
        <item x="105"/>
        <item x="975"/>
        <item x="994"/>
        <item x="1018"/>
        <item x="999"/>
        <item x="1726"/>
        <item x="1415"/>
        <item x="718"/>
        <item x="421"/>
        <item x="1880"/>
        <item x="1118"/>
        <item x="540"/>
        <item x="425"/>
        <item x="885"/>
        <item x="235"/>
        <item x="1432"/>
        <item x="286"/>
        <item x="438"/>
        <item x="1943"/>
        <item x="601"/>
        <item x="403"/>
        <item x="186"/>
        <item x="1683"/>
        <item x="1494"/>
        <item x="1518"/>
        <item x="1071"/>
        <item x="788"/>
        <item x="337"/>
        <item x="289"/>
        <item x="1914"/>
        <item x="677"/>
        <item x="1499"/>
        <item x="213"/>
        <item x="1054"/>
        <item x="1887"/>
        <item x="29"/>
        <item x="396"/>
        <item x="1472"/>
        <item x="244"/>
        <item x="2068"/>
        <item x="1203"/>
        <item x="31"/>
        <item x="1529"/>
        <item x="468"/>
        <item x="1149"/>
        <item x="297"/>
        <item x="1626"/>
        <item x="491"/>
        <item x="522"/>
        <item x="1828"/>
        <item x="155"/>
        <item x="1363"/>
        <item x="593"/>
        <item x="851"/>
        <item x="1442"/>
        <item x="1932"/>
        <item x="1417"/>
        <item x="1079"/>
        <item x="800"/>
        <item x="831"/>
        <item x="1605"/>
        <item x="1802"/>
        <item x="960"/>
        <item x="1258"/>
        <item x="1946"/>
        <item x="1082"/>
        <item x="38"/>
        <item x="2029"/>
        <item x="1285"/>
        <item x="255"/>
        <item x="1094"/>
        <item x="832"/>
        <item x="1810"/>
        <item x="1561"/>
        <item x="1019"/>
        <item x="200"/>
        <item x="1368"/>
        <item x="646"/>
        <item x="840"/>
        <item x="865"/>
        <item x="1878"/>
        <item x="251"/>
        <item x="1535"/>
        <item x="465"/>
        <item x="57"/>
        <item x="1599"/>
        <item x="1724"/>
        <item x="1981"/>
        <item x="577"/>
        <item x="1979"/>
        <item x="64"/>
        <item x="1186"/>
        <item x="2033"/>
        <item x="967"/>
        <item x="951"/>
        <item x="1033"/>
        <item x="766"/>
        <item x="1068"/>
        <item x="789"/>
        <item x="1710"/>
        <item x="2042"/>
        <item x="1829"/>
        <item x="1944"/>
        <item x="1807"/>
        <item x="1319"/>
        <item x="7"/>
        <item x="2023"/>
        <item x="11"/>
        <item x="1498"/>
        <item x="1794"/>
        <item x="1397"/>
        <item x="1690"/>
        <item x="1556"/>
        <item x="693"/>
        <item x="1234"/>
        <item x="68"/>
        <item x="165"/>
        <item x="1856"/>
        <item x="1883"/>
        <item x="1153"/>
        <item x="1920"/>
        <item x="1604"/>
        <item x="691"/>
        <item x="853"/>
        <item x="1373"/>
        <item x="233"/>
        <item x="1380"/>
        <item x="1619"/>
        <item x="377"/>
        <item x="1214"/>
        <item x="1476"/>
        <item x="955"/>
        <item x="935"/>
        <item x="1933"/>
        <item x="140"/>
        <item x="770"/>
        <item x="234"/>
        <item x="1386"/>
        <item x="1474"/>
        <item x="962"/>
        <item x="602"/>
        <item x="1478"/>
        <item x="451"/>
        <item x="1669"/>
        <item x="1332"/>
        <item x="1446"/>
        <item x="152"/>
        <item x="653"/>
        <item x="2076"/>
        <item x="415"/>
        <item x="408"/>
        <item x="1656"/>
        <item x="1087"/>
        <item x="1055"/>
        <item x="1711"/>
        <item x="595"/>
        <item x="1534"/>
        <item x="919"/>
        <item x="1912"/>
        <item x="1007"/>
        <item x="1776"/>
        <item x="14"/>
        <item x="351"/>
        <item x="630"/>
        <item x="353"/>
        <item x="1580"/>
        <item x="1001"/>
        <item x="643"/>
        <item x="2038"/>
        <item x="714"/>
        <item x="1823"/>
        <item x="1323"/>
        <item x="75"/>
        <item x="1542"/>
        <item x="1143"/>
        <item x="1620"/>
        <item x="531"/>
        <item x="843"/>
        <item x="872"/>
        <item x="1777"/>
        <item x="363"/>
        <item x="1819"/>
        <item x="445"/>
        <item x="1709"/>
        <item x="576"/>
        <item x="196"/>
        <item x="310"/>
        <item x="966"/>
        <item x="1482"/>
        <item x="444"/>
        <item x="1236"/>
        <item x="369"/>
        <item x="2053"/>
        <item x="1793"/>
        <item x="1991"/>
        <item x="899"/>
        <item x="1691"/>
        <item x="1899"/>
        <item x="694"/>
        <item x="1659"/>
        <item x="1801"/>
        <item x="1416"/>
        <item x="1566"/>
        <item x="846"/>
        <item x="729"/>
        <item x="1344"/>
        <item x="1962"/>
        <item x="990"/>
        <item x="1151"/>
        <item x="1458"/>
        <item x="1903"/>
        <item x="1621"/>
        <item x="845"/>
        <item x="1193"/>
        <item x="1821"/>
        <item x="156"/>
        <item x="1538"/>
        <item x="1383"/>
        <item x="1806"/>
        <item x="1753"/>
        <item x="850"/>
        <item x="1207"/>
        <item x="1663"/>
        <item x="1978"/>
        <item x="669"/>
        <item x="336"/>
        <item x="2064"/>
        <item x="1703"/>
        <item x="1613"/>
        <item x="17"/>
        <item x="1926"/>
        <item x="144"/>
        <item x="1511"/>
        <item x="1487"/>
        <item x="1662"/>
        <item x="1091"/>
        <item x="1958"/>
        <item x="1422"/>
        <item x="896"/>
        <item x="15"/>
        <item x="290"/>
        <item x="1904"/>
        <item x="690"/>
        <item x="679"/>
        <item x="203"/>
        <item x="1463"/>
        <item x="61"/>
        <item x="328"/>
        <item x="4"/>
        <item x="392"/>
        <item x="1522"/>
        <item x="703"/>
        <item x="521"/>
        <item x="1666"/>
        <item x="1356"/>
        <item x="1264"/>
        <item x="1699"/>
        <item x="1884"/>
        <item x="623"/>
        <item x="1911"/>
        <item x="644"/>
        <item x="1313"/>
        <item x="1789"/>
        <item x="906"/>
        <item x="1877"/>
        <item x="925"/>
        <item x="1159"/>
        <item x="1923"/>
        <item x="1615"/>
        <item x="1723"/>
        <item x="1171"/>
        <item x="1205"/>
        <item x="2086"/>
        <item x="192"/>
        <item x="135"/>
        <item x="269"/>
        <item x="1540"/>
        <item x="1142"/>
        <item x="542"/>
        <item x="486"/>
        <item x="1780"/>
        <item x="1834"/>
        <item x="51"/>
        <item x="141"/>
        <item x="1390"/>
        <item x="2010"/>
        <item x="1929"/>
        <item x="1501"/>
        <item x="1479"/>
        <item x="1235"/>
        <item x="195"/>
        <item x="1984"/>
        <item x="1630"/>
        <item x="1650"/>
        <item x="101"/>
        <item x="1421"/>
        <item x="586"/>
        <item x="801"/>
        <item x="1889"/>
        <item x="1536"/>
        <item x="1564"/>
        <item x="21"/>
        <item x="1232"/>
        <item x="131"/>
        <item x="1788"/>
        <item x="419"/>
        <item x="1452"/>
        <item x="1850"/>
        <item x="294"/>
        <item x="348"/>
        <item x="1539"/>
        <item x="1567"/>
        <item x="462"/>
        <item x="1115"/>
        <item x="1902"/>
        <item x="1609"/>
        <item x="862"/>
        <item x="1226"/>
        <item x="1769"/>
        <item x="1784"/>
        <item x="1804"/>
        <item x="660"/>
        <item x="1736"/>
        <item x="1228"/>
        <item x="132"/>
        <item x="961"/>
        <item x="1937"/>
        <item x="1931"/>
        <item x="446"/>
        <item x="1658"/>
        <item x="736"/>
        <item x="1107"/>
        <item x="1396"/>
        <item x="148"/>
        <item x="1648"/>
        <item x="749"/>
        <item x="598"/>
        <item x="2040"/>
        <item x="1696"/>
        <item x="1273"/>
        <item x="614"/>
        <item x="629"/>
        <item x="977"/>
        <item x="996"/>
        <item x="307"/>
        <item x="1953"/>
        <item x="1492"/>
        <item x="1670"/>
        <item x="1053"/>
        <item x="914"/>
        <item x="1140"/>
        <item x="684"/>
        <item x="692"/>
        <item x="1772"/>
        <item x="1805"/>
        <item x="103"/>
        <item x="1552"/>
        <item x="1462"/>
        <item x="1612"/>
        <item x="496"/>
        <item x="1439"/>
        <item x="1749"/>
        <item x="553"/>
        <item x="2027"/>
        <item x="500"/>
        <item x="487"/>
        <item x="1308"/>
        <item x="1734"/>
        <item x="1217"/>
        <item x="1762"/>
        <item x="283"/>
        <item x="739"/>
        <item x="820"/>
        <item x="1714"/>
        <item x="1491"/>
        <item x="1516"/>
        <item x="373"/>
        <item x="773"/>
        <item x="826"/>
        <item x="1395"/>
        <item x="180"/>
        <item x="985"/>
        <item x="1901"/>
        <item x="219"/>
        <item x="80"/>
        <item x="91"/>
        <item x="49"/>
        <item x="1664"/>
        <item x="778"/>
        <item x="1427"/>
        <item x="416"/>
        <item x="1689"/>
        <item x="482"/>
        <item x="988"/>
        <item x="1199"/>
        <item x="2080"/>
        <item x="25"/>
        <item x="1547"/>
        <item x="605"/>
        <item x="995"/>
        <item x="1461"/>
        <item x="50"/>
        <item x="504"/>
        <item x="2037"/>
        <item x="1763"/>
        <item x="1781"/>
        <item x="280"/>
        <item x="249"/>
        <item x="1544"/>
        <item x="1122"/>
        <item x="1152"/>
        <item x="1435"/>
        <item x="432"/>
        <item x="188"/>
        <item x="1170"/>
        <item x="1268"/>
        <item x="2002"/>
        <item x="1766"/>
        <item x="1969"/>
        <item x="746"/>
        <item x="1105"/>
        <item x="812"/>
        <item x="130"/>
        <item x="1495"/>
        <item x="447"/>
        <item x="1653"/>
        <item x="82"/>
        <item x="1326"/>
        <item x="1064"/>
        <item x="1301"/>
        <item x="1990"/>
        <item x="384"/>
        <item x="619"/>
        <item x="2072"/>
        <item x="1341"/>
        <item x="1960"/>
        <item x="699"/>
        <item x="558"/>
        <item x="69"/>
        <item x="1997"/>
        <item x="1469"/>
        <item x="1290"/>
        <item x="1367"/>
        <item x="1178"/>
        <item x="1803"/>
        <item x="1570"/>
        <item x="1951"/>
        <item x="1433"/>
        <item x="1467"/>
        <item x="1220"/>
        <item x="264"/>
        <item x="665"/>
        <item x="1466"/>
        <item x="2011"/>
        <item x="362"/>
        <item x="170"/>
        <item x="185"/>
        <item x="271"/>
        <item x="385"/>
        <item x="240"/>
        <item x="1305"/>
        <item x="537"/>
        <item x="201"/>
        <item x="365"/>
        <item x="1477"/>
        <item x="453"/>
        <item x="1317"/>
        <item x="1066"/>
        <item x="891"/>
        <item x="1718"/>
        <item x="1892"/>
        <item x="696"/>
        <item x="563"/>
        <item x="1507"/>
        <item x="1486"/>
        <item x="712"/>
        <item x="727"/>
        <item x="2012"/>
        <item x="350"/>
        <item x="1158"/>
        <item x="1915"/>
        <item x="1437"/>
        <item x="711"/>
        <item x="1255"/>
        <item x="2026"/>
        <item x="1027"/>
        <item x="66"/>
        <item x="868"/>
        <item x="134"/>
        <item x="330"/>
        <item x="383"/>
        <item x="1835"/>
        <item x="1037"/>
        <item x="748"/>
        <item x="1618"/>
        <item x="1588"/>
        <item x="1211"/>
        <item x="1936"/>
        <item x="321"/>
        <item x="53"/>
        <item x="1065"/>
        <item x="810"/>
        <item x="578"/>
        <item x="386"/>
        <item x="375"/>
        <item x="976"/>
        <item x="174"/>
        <item x="817"/>
        <item x="1808"/>
        <item x="479"/>
        <item x="972"/>
        <item x="494"/>
        <item x="509"/>
        <item x="2045"/>
        <item x="721"/>
        <item x="1799"/>
        <item x="924"/>
        <item x="1952"/>
        <item x="1893"/>
        <item x="695"/>
        <item x="85"/>
        <item x="412"/>
        <item x="209"/>
        <item x="1774"/>
        <item x="1044"/>
        <item x="657"/>
        <item x="1606"/>
        <item x="1429"/>
        <item x="1961"/>
        <item x="124"/>
        <item x="398"/>
        <item x="744"/>
        <item x="1316"/>
        <item x="1109"/>
        <item x="818"/>
        <item x="544"/>
        <item x="881"/>
        <item x="1350"/>
        <item x="939"/>
        <item x="1399"/>
        <item x="1052"/>
        <item x="562"/>
        <item x="1708"/>
        <item x="33"/>
        <item x="291"/>
        <item x="613"/>
        <item x="1342"/>
        <item x="1283"/>
        <item x="6"/>
        <item x="1644"/>
        <item x="1701"/>
        <item x="1679"/>
        <item x="911"/>
        <item x="923"/>
        <item x="1139"/>
        <item x="2025"/>
        <item x="1182"/>
        <item x="875"/>
        <item x="535"/>
        <item x="1288"/>
        <item x="324"/>
        <item x="627"/>
        <item x="929"/>
        <item x="275"/>
        <item x="1410"/>
        <item x="947"/>
        <item x="285"/>
        <item x="1276"/>
        <item x="556"/>
        <item x="1132"/>
        <item x="1166"/>
        <item x="1966"/>
        <item x="179"/>
        <item x="1727"/>
        <item x="309"/>
        <item x="1485"/>
        <item x="1028"/>
        <item x="1635"/>
        <item x="267"/>
        <item x="1077"/>
        <item x="1385"/>
        <item x="804"/>
        <item x="1680"/>
        <item x="2079"/>
        <item x="99"/>
        <item x="958"/>
        <item x="287"/>
        <item x="440"/>
        <item x="1674"/>
        <item x="1647"/>
        <item x="126"/>
        <item x="1872"/>
        <item x="480"/>
        <item x="612"/>
        <item x="1900"/>
        <item x="62"/>
        <item x="1251"/>
        <item x="1496"/>
        <item x="1239"/>
        <item x="1638"/>
        <item x="1137"/>
        <item x="59"/>
        <item x="495"/>
        <item x="43"/>
        <item x="332"/>
        <item x="1849"/>
        <item x="1876"/>
        <item x="918"/>
        <item x="354"/>
        <item x="1921"/>
        <item x="688"/>
        <item x="599"/>
        <item x="1744"/>
        <item x="956"/>
        <item x="938"/>
        <item x="113"/>
        <item x="1824"/>
        <item x="122"/>
        <item x="1409"/>
        <item x="762"/>
        <item x="1563"/>
        <item x="1729"/>
        <item x="1230"/>
        <item x="76"/>
        <item x="1841"/>
        <item x="794"/>
        <item x="942"/>
        <item x="1292"/>
        <item x="81"/>
        <item x="1827"/>
        <item x="734"/>
        <item x="1063"/>
        <item x="823"/>
        <item x="400"/>
        <item x="1449"/>
        <item x="1513"/>
        <item x="1636"/>
        <item x="797"/>
        <item x="387"/>
        <item x="1700"/>
        <item x="352"/>
        <item x="928"/>
        <item x="680"/>
        <item x="205"/>
        <item x="84"/>
        <item x="181"/>
        <item x="1257"/>
        <item x="2007"/>
        <item x="1"/>
        <item x="1562"/>
        <item x="1359"/>
        <item x="1126"/>
        <item x="379"/>
        <item x="1593"/>
        <item x="505"/>
        <item x="686"/>
        <item x="1020"/>
        <item x="638"/>
        <item x="1208"/>
        <item x="536"/>
        <item x="1388"/>
        <item x="1840"/>
        <item x="78"/>
        <item x="513"/>
        <item x="364"/>
        <item x="1527"/>
        <item x="1080"/>
        <item x="792"/>
        <item x="243"/>
        <item x="1353"/>
        <item x="367"/>
        <item x="1483"/>
        <item x="1455"/>
        <item x="1040"/>
        <item x="1945"/>
        <item x="811"/>
        <item x="1868"/>
        <item x="460"/>
        <item x="606"/>
        <item x="1924"/>
        <item x="565"/>
        <item x="1408"/>
        <item x="47"/>
        <item x="730"/>
        <item x="1314"/>
        <item x="1554"/>
        <item x="471"/>
        <item x="973"/>
        <item x="913"/>
        <item x="302"/>
        <item x="547"/>
        <item x="731"/>
        <item x="331"/>
        <item x="1964"/>
        <item x="214"/>
        <item x="349"/>
        <item x="456"/>
        <item x="910"/>
        <item x="1908"/>
        <item x="490"/>
        <item x="207"/>
        <item x="954"/>
        <item x="281"/>
        <item x="1445"/>
        <item x="1798"/>
        <item x="1746"/>
        <item x="193"/>
        <item x="1450"/>
        <item x="655"/>
        <item x="816"/>
        <item x="9"/>
        <item x="2077"/>
        <item x="159"/>
        <item x="326"/>
        <item x="1514"/>
        <item x="437"/>
        <item x="893"/>
        <item x="1697"/>
        <item x="2046"/>
        <item x="1809"/>
        <item x="426"/>
        <item x="1003"/>
        <item x="1464"/>
        <item x="1369"/>
        <item x="649"/>
        <item x="1454"/>
        <item x="1250"/>
        <item x="1628"/>
        <item x="616"/>
        <item x="971"/>
        <item x="927"/>
        <item x="1898"/>
        <item x="497"/>
        <item x="859"/>
        <item x="838"/>
        <item x="1196"/>
        <item x="723"/>
        <item x="1378"/>
        <item x="883"/>
        <item x="410"/>
        <item x="1846"/>
        <item x="620"/>
        <item x="273"/>
        <item x="1907"/>
        <item x="1598"/>
        <item x="2061"/>
        <item x="651"/>
        <item x="1743"/>
        <item x="1233"/>
        <item x="673"/>
        <item x="1120"/>
        <item x="541"/>
        <item x="65"/>
        <item x="1169"/>
        <item x="18"/>
        <item x="880"/>
        <item x="1042"/>
        <item x="1237"/>
        <item x="1075"/>
        <item x="1103"/>
        <item x="168"/>
        <item x="435"/>
        <item x="740"/>
        <item x="807"/>
        <item x="543"/>
        <item x="907"/>
        <item x="1715"/>
        <item x="979"/>
        <item x="158"/>
        <item x="83"/>
        <item x="687"/>
        <item x="708"/>
        <item x="1637"/>
        <item x="129"/>
        <item x="420"/>
        <item x="889"/>
        <item x="903"/>
        <item x="1864"/>
        <item x="1015"/>
        <item x="1757"/>
        <item x="1227"/>
        <item x="701"/>
        <item x="1379"/>
        <item x="346"/>
        <item x="1557"/>
        <item x="676"/>
        <item x="1157"/>
        <item x="1127"/>
        <item x="2071"/>
        <item x="1333"/>
        <item x="1910"/>
        <item x="1624"/>
        <item x="1596"/>
        <item x="2044"/>
        <item x="878"/>
        <item x="1721"/>
        <item x="236"/>
        <item x="525"/>
        <item x="1833"/>
        <item x="588"/>
        <item x="1589"/>
        <item x="1183"/>
        <item x="1401"/>
        <item x="368"/>
        <item x="1815"/>
        <item x="1505"/>
        <item x="1484"/>
        <item x="443"/>
        <item x="1238"/>
        <item x="1320"/>
        <item x="1406"/>
        <item x="656"/>
        <item x="784"/>
        <item x="1361"/>
        <item x="2048"/>
        <item x="1686"/>
        <item x="1983"/>
        <item x="1448"/>
        <item x="937"/>
        <item x="1526"/>
        <item x="733"/>
        <item x="753"/>
        <item x="1284"/>
        <item x="608"/>
        <item x="1917"/>
        <item x="1013"/>
        <item x="224"/>
        <item x="640"/>
        <item x="559"/>
        <item x="32"/>
        <item x="1874"/>
        <item x="469"/>
        <item x="242"/>
        <item x="634"/>
        <item x="1759"/>
        <item x="842"/>
        <item x="1229"/>
        <item x="125"/>
        <item x="2085"/>
        <item x="1528"/>
        <item x="1150"/>
        <item x="1117"/>
        <item x="1465"/>
        <item x="555"/>
        <item x="591"/>
        <item x="288"/>
        <item x="1548"/>
        <item x="1573"/>
        <item x="670"/>
        <item x="1265"/>
        <item x="1955"/>
        <item x="1957"/>
        <item x="1358"/>
        <item x="795"/>
        <item x="1716"/>
        <item x="1423"/>
        <item x="959"/>
        <item x="142"/>
        <item x="1039"/>
        <item x="314"/>
        <item x="1665"/>
        <item x="827"/>
        <item x="1720"/>
        <item x="1351"/>
        <item x="1460"/>
        <item x="312"/>
        <item x="60"/>
        <item x="641"/>
        <item x="1888"/>
        <item x="79"/>
        <item x="683"/>
        <item x="318"/>
        <item x="259"/>
        <item x="1002"/>
        <item x="1733"/>
        <item x="1200"/>
        <item x="702"/>
        <item x="1866"/>
        <item x="2058"/>
        <item x="1575"/>
        <item x="1608"/>
        <item x="1021"/>
        <item x="1218"/>
        <item x="1457"/>
        <item x="1035"/>
        <item x="13"/>
        <item x="1297"/>
        <item x="662"/>
        <item x="390"/>
        <item x="1134"/>
        <item x="177"/>
        <item x="2035"/>
        <item x="118"/>
        <item x="1335"/>
        <item x="1520"/>
        <item x="1049"/>
        <item x="139"/>
        <item x="1641"/>
        <item x="1324"/>
        <item x="1685"/>
        <item x="257"/>
        <item x="303"/>
        <item x="1315"/>
        <item x="1083"/>
        <item x="96"/>
        <item x="393"/>
        <item x="1792"/>
        <item x="1687"/>
        <item x="1890"/>
        <item x="1391"/>
        <item x="424"/>
        <item x="908"/>
        <item x="1512"/>
        <item x="1488"/>
        <item x="709"/>
        <item x="1248"/>
        <item x="2004"/>
        <item x="37"/>
        <item x="1791"/>
        <item x="153"/>
        <item x="1857"/>
        <item x="969"/>
        <item x="1948"/>
        <item x="1135"/>
        <item x="1592"/>
        <item x="493"/>
        <item x="1000"/>
        <item x="1752"/>
        <item x="411"/>
        <item x="1786"/>
        <item x="611"/>
        <item x="1591"/>
        <item x="489"/>
        <item x="1014"/>
        <item x="1748"/>
        <item x="45"/>
        <item x="963"/>
        <item x="1765"/>
        <item x="1818"/>
        <item x="448"/>
        <item x="765"/>
        <item x="404"/>
        <item x="1623"/>
        <item x="1938"/>
        <item x="515"/>
        <item x="1506"/>
        <item x="389"/>
        <item x="743"/>
        <item x="1263"/>
        <item x="1698"/>
        <item x="157"/>
        <item x="284"/>
        <item x="1030"/>
        <item x="2047"/>
        <item x="1247"/>
        <item x="1657"/>
        <item x="1328"/>
        <item x="2022"/>
        <item x="1844"/>
        <item x="987"/>
        <item x="2008"/>
        <item x="306"/>
        <item x="849"/>
        <item x="534"/>
        <item x="1431"/>
        <item x="1854"/>
        <item x="1569"/>
        <item x="1617"/>
        <item x="689"/>
        <item x="1006"/>
        <item x="548"/>
        <item x="1728"/>
        <item x="841"/>
        <item x="869"/>
        <item x="407"/>
        <item x="1787"/>
        <item x="1992"/>
        <item x="1451"/>
        <item x="464"/>
        <item x="300"/>
        <item x="1614"/>
        <item x="566"/>
        <item x="948"/>
        <item x="1782"/>
        <item x="561"/>
        <item x="1057"/>
        <item x="1092"/>
        <item x="1393"/>
        <item x="1560"/>
        <item x="1133"/>
        <item x="26"/>
        <item x="1611"/>
        <item x="1579"/>
        <item x="429"/>
        <item x="936"/>
        <item x="1832"/>
        <item x="755"/>
        <item x="46"/>
        <item x="674"/>
        <item x="663"/>
        <item x="2062"/>
        <item x="574"/>
        <item x="2030"/>
        <item x="1627"/>
        <item x="1986"/>
        <item x="1012"/>
        <item x="856"/>
        <item x="1375"/>
        <item x="1419"/>
        <item x="1988"/>
        <item x="1885"/>
        <item x="463"/>
        <item x="1424"/>
        <item x="968"/>
        <item x="276"/>
        <item x="1111"/>
        <item x="997"/>
        <item x="198"/>
        <item x="402"/>
        <item x="1338"/>
        <item x="992"/>
        <item x="339"/>
        <item x="1362"/>
        <item x="1110"/>
        <item x="874"/>
        <item x="1987"/>
        <item x="1742"/>
        <item x="1185"/>
        <item x="953"/>
        <item x="1047"/>
        <item x="1797"/>
        <item x="763"/>
        <item x="1568"/>
        <item x="1413"/>
        <item x="1965"/>
        <item x="596"/>
        <item x="1928"/>
        <item x="1428"/>
        <item x="803"/>
        <item x="2081"/>
        <item x="2000"/>
        <item x="311"/>
        <item x="245"/>
        <item x="1645"/>
        <item x="772"/>
        <item x="786"/>
        <item x="2021"/>
        <item x="1867"/>
        <item x="1891"/>
        <item x="72"/>
        <item x="347"/>
        <item x="459"/>
        <item x="912"/>
        <item x="2001"/>
        <item x="1425"/>
        <item x="1639"/>
        <item x="1795"/>
        <item x="104"/>
        <item x="609"/>
        <item x="1737"/>
        <item x="1225"/>
        <item x="1191"/>
        <item x="1304"/>
        <item x="1389"/>
        <item x="529"/>
        <item x="2015"/>
        <item x="1531"/>
        <item x="455"/>
        <item x="664"/>
        <item x="1307"/>
        <item x="836"/>
        <item x="371"/>
        <item x="1925"/>
        <item x="127"/>
        <item x="1839"/>
        <item x="571"/>
        <item x="272"/>
        <item x="1086"/>
        <item x="584"/>
        <item x="2024"/>
        <item x="1357"/>
        <item x="1500"/>
        <item x="1029"/>
        <item x="1243"/>
        <item x="735"/>
        <item x="1331"/>
        <item x="1100"/>
        <item x="1790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8">
        <item x="6"/>
        <item x="0"/>
        <item x="1"/>
        <item x="3"/>
        <item x="2"/>
        <item x="5"/>
        <item x="4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MRU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CDC00E-E8C7-374C-8898-78704D82407A}" name="Scores" displayName="Scores" ref="A1:M2089" totalsRowShown="0">
  <autoFilter ref="A1:M2089" xr:uid="{CACDC00E-E8C7-374C-8898-78704D82407A}">
    <filterColumn colId="5">
      <filters>
        <filter val="828"/>
      </filters>
    </filterColumn>
  </autoFilter>
  <tableColumns count="13">
    <tableColumn id="1" xr3:uid="{CBA313B8-8F40-8745-98FE-1DDDCD160B4E}" name="MRUN" dataDxfId="10"/>
    <tableColumn id="2" xr3:uid="{506ED4CE-07C9-7843-8BFD-8F07FD49CA89}" name="GENDER"/>
    <tableColumn id="3" xr3:uid="{4410FD42-DAC5-CB4F-8E9A-415453354940}" name="HST"/>
    <tableColumn id="4" xr3:uid="{BD1E7153-96D1-4946-9F25-6BEAC0B2AF23}" name="NEM"/>
    <tableColumn id="5" xr3:uid="{313A6500-7D4C-2142-814C-1BC779467CA1}" name="LYC"/>
    <tableColumn id="6" xr3:uid="{41D0C167-5E7E-7A47-86A0-3F75D7E5BFC3}" name="MATE"/>
    <tableColumn id="7" xr3:uid="{F4E0E564-3029-2F49-BA1B-CCE01A37761B}" name="HYCS"/>
    <tableColumn id="8" xr3:uid="{7ABE6335-A541-D74F-A3EA-4AE3EA5CB0E1}" name="CIEN"/>
    <tableColumn id="9" xr3:uid="{B71DCCB0-AB9A-084C-A5D7-04E26F2C7BDF}" name="FAMILY SIZE" dataDxfId="9">
      <calculatedColumnFormula>VLOOKUP(Scores[[#This Row],[MRUN]],Demographics[],3,FALSE)</calculatedColumnFormula>
    </tableColumn>
    <tableColumn id="10" xr3:uid="{E096A535-D19E-804A-91C2-EC2EF9D12986}" name="AVG MATH-LYC" dataDxfId="8">
      <calculatedColumnFormula>AVERAGE(Scores[[#This Row],[LYC]],Scores[[#This Row],[MATE]])</calculatedColumnFormula>
    </tableColumn>
    <tableColumn id="11" xr3:uid="{6ED616DA-F3BF-0E4F-A3A5-014289D59209}" name="EDUCATION  FATHER" dataDxfId="7">
      <calculatedColumnFormula>VLOOKUP(Scores[[#This Row],[MRUN]],Demographics[],6,FALSE)</calculatedColumnFormula>
    </tableColumn>
    <tableColumn id="12" xr3:uid="{98B568F7-E63C-5A41-B591-3925A3BF2F1C}" name="EDUCATION MOTHER" dataDxfId="6">
      <calculatedColumnFormula>VLOOKUP(Scores[[#This Row],[MRUN]],Demographics[], 7,FALSE)</calculatedColumnFormula>
    </tableColumn>
    <tableColumn id="13" xr3:uid="{10DA3902-28EE-0E4E-A10D-894F2E45A7D5}" name="INCOME" dataDxfId="5">
      <calculatedColumnFormula>VLOOKUP(Scores[[#This Row],[MRUN]],Demographics[], 5, FALSE)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4394B7-8E7B-224B-BB12-3B42AA063EB8}" name="Demographics" displayName="Demographics" ref="A1:K2089" totalsRowShown="0">
  <autoFilter ref="A1:K2089" xr:uid="{344394B7-8E7B-224B-BB12-3B42AA063EB8}"/>
  <tableColumns count="11">
    <tableColumn id="1" xr3:uid="{1EAA90E1-09FF-6C43-A242-54AFBCDB9183}" name="MRUN"/>
    <tableColumn id="2" xr3:uid="{CE935202-83BD-1D4D-9320-5C8FBEA200E1}" name="DOB"/>
    <tableColumn id="3" xr3:uid="{38E2DD7E-07A3-FD40-B0FE-C6548E384D23}" name="FAMILY SIZE"/>
    <tableColumn id="4" xr3:uid="{7FE42D20-3E79-FE4D-BECE-CAFB6F62BEDB}" name="HOW MANY WORK IN YOUR FAMILY"/>
    <tableColumn id="5" xr3:uid="{5B060026-6150-9C42-BB74-82A6B575501C}" name="INCOME LEVEL"/>
    <tableColumn id="6" xr3:uid="{59272A22-CBD0-C742-825F-A125CECA1A29}" name="LEVEL EDUCATION FATHER"/>
    <tableColumn id="7" xr3:uid="{A2E955CA-5BC6-224C-B252-5BB193EEBF3F}" name="LEVEL EDUCATION MOTHER"/>
    <tableColumn id="10" xr3:uid="{72A2538B-75E2-8F44-B287-C4BFF2BEC24E}" name="DOB - Fixed" dataDxfId="4">
      <calculatedColumnFormula>IF(Demographics[[#This Row],[DOB]]&gt;10000000, TEXT(Demographics[[#This Row],[DOB]],0),CONCATENATE("0",TEXT(Demographics[[#This Row],[DOB]],0)))</calculatedColumnFormula>
    </tableColumn>
    <tableColumn id="11" xr3:uid="{30E695BB-38FD-1D4C-B0E4-71867B0094F2}" name="AGE" dataDxfId="3">
      <calculatedColumnFormula>IFERROR((VALUE(TODAY()-DATE(RIGHT(Demographics[[#This Row],[DOB - Fixed]],4),MID(Demographics[[#This Row],[DOB - Fixed]],3,2),LEFT(Demographics[[#This Row],[DOB - Fixed]],2))))/365,0)</calculatedColumnFormula>
    </tableColumn>
    <tableColumn id="8" xr3:uid="{D9865214-A42F-F64E-A250-A29976E90FF1}" name="Total monthly income" dataDxfId="2">
      <calculatedColumnFormula>VLOOKUP(Demographics[[#This Row],[INCOME LEVEL]],Income[],4,FALSE)</calculatedColumnFormula>
    </tableColumn>
    <tableColumn id="9" xr3:uid="{8B000B89-76BE-964F-BC86-AADA42047479}" name="Monthly income per family member" dataDxfId="1">
      <calculatedColumnFormula>IFERROR(Demographics[[#This Row],[Total monthly income]]/Demographics[[#This Row],[FAMILY SIZE]], 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BD9F5F-8929-C644-A14F-145366C63CE8}" name="Income" displayName="Income" ref="A1:D7" totalsRowShown="0">
  <autoFilter ref="A1:D7" xr:uid="{24BD9F5F-8929-C644-A14F-145366C63CE8}"/>
  <tableColumns count="4">
    <tableColumn id="1" xr3:uid="{9FCA69BF-8385-D649-9423-BD4E09D8F58B}" name="Catefgory" dataDxfId="0"/>
    <tableColumn id="2" xr3:uid="{802DF78C-49B1-BC4E-AFD2-56FABEECC716}" name="Lower value"/>
    <tableColumn id="3" xr3:uid="{0DAEDC8D-D7F8-1443-9693-B9FA9934F5E1}" name="Upper Value"/>
    <tableColumn id="4" xr3:uid="{AFEA0076-D747-304B-AA39-1005A11BAF63}" name="Medi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9B3CA-3D8E-9B4B-9EA8-F7676BD22246}">
  <dimension ref="A1:L951"/>
  <sheetViews>
    <sheetView workbookViewId="0">
      <selection activeCell="B1" sqref="B1:B9"/>
    </sheetView>
  </sheetViews>
  <sheetFormatPr baseColWidth="10" defaultRowHeight="16" x14ac:dyDescent="0.2"/>
  <cols>
    <col min="11" max="11" width="20.1640625" customWidth="1"/>
    <col min="12" max="12" width="48.3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2" x14ac:dyDescent="0.2">
      <c r="A2">
        <v>1101</v>
      </c>
      <c r="B2">
        <v>66240</v>
      </c>
      <c r="C2">
        <v>30</v>
      </c>
      <c r="D2">
        <v>20</v>
      </c>
      <c r="E2">
        <v>30</v>
      </c>
      <c r="F2">
        <v>20</v>
      </c>
      <c r="G2">
        <v>20</v>
      </c>
      <c r="H2">
        <v>200</v>
      </c>
      <c r="K2" s="7" t="s">
        <v>449</v>
      </c>
      <c r="L2" s="7"/>
    </row>
    <row r="3" spans="1:12" x14ac:dyDescent="0.2">
      <c r="A3">
        <v>1103</v>
      </c>
      <c r="B3">
        <v>61280</v>
      </c>
      <c r="C3">
        <v>20</v>
      </c>
      <c r="D3">
        <v>30</v>
      </c>
      <c r="E3">
        <v>20</v>
      </c>
      <c r="F3">
        <v>30</v>
      </c>
      <c r="G3">
        <v>0</v>
      </c>
      <c r="H3">
        <v>20</v>
      </c>
      <c r="K3" t="s">
        <v>0</v>
      </c>
      <c r="L3" t="s">
        <v>452</v>
      </c>
    </row>
    <row r="4" spans="1:12" x14ac:dyDescent="0.2">
      <c r="A4">
        <v>1104</v>
      </c>
      <c r="B4">
        <v>63780</v>
      </c>
      <c r="C4">
        <v>20</v>
      </c>
      <c r="D4">
        <v>30</v>
      </c>
      <c r="E4">
        <v>20</v>
      </c>
      <c r="F4">
        <v>30</v>
      </c>
      <c r="G4">
        <v>0</v>
      </c>
      <c r="H4">
        <v>20</v>
      </c>
      <c r="K4" t="s">
        <v>1</v>
      </c>
      <c r="L4" t="s">
        <v>458</v>
      </c>
    </row>
    <row r="5" spans="1:12" x14ac:dyDescent="0.2">
      <c r="A5">
        <v>1105</v>
      </c>
      <c r="B5">
        <v>64400</v>
      </c>
      <c r="C5">
        <v>30</v>
      </c>
      <c r="D5">
        <v>25</v>
      </c>
      <c r="E5">
        <v>25</v>
      </c>
      <c r="F5">
        <v>20</v>
      </c>
      <c r="G5">
        <v>20</v>
      </c>
      <c r="H5">
        <v>130</v>
      </c>
      <c r="K5" t="s">
        <v>2</v>
      </c>
      <c r="L5" t="s">
        <v>459</v>
      </c>
    </row>
    <row r="6" spans="1:12" x14ac:dyDescent="0.2">
      <c r="A6">
        <v>1111</v>
      </c>
      <c r="B6">
        <v>63390</v>
      </c>
      <c r="C6">
        <v>30</v>
      </c>
      <c r="D6">
        <v>35</v>
      </c>
      <c r="E6">
        <v>10</v>
      </c>
      <c r="F6">
        <v>25</v>
      </c>
      <c r="G6">
        <v>0</v>
      </c>
      <c r="H6">
        <v>75</v>
      </c>
      <c r="K6" t="s">
        <v>3</v>
      </c>
      <c r="L6" t="s">
        <v>460</v>
      </c>
    </row>
    <row r="7" spans="1:12" x14ac:dyDescent="0.2">
      <c r="A7">
        <v>1116</v>
      </c>
      <c r="B7">
        <v>64090</v>
      </c>
      <c r="C7">
        <v>30</v>
      </c>
      <c r="D7">
        <v>35</v>
      </c>
      <c r="E7">
        <v>10</v>
      </c>
      <c r="F7">
        <v>25</v>
      </c>
      <c r="G7">
        <v>0</v>
      </c>
      <c r="H7">
        <v>40</v>
      </c>
      <c r="K7" t="s">
        <v>4</v>
      </c>
      <c r="L7" t="s">
        <v>461</v>
      </c>
    </row>
    <row r="8" spans="1:12" x14ac:dyDescent="0.2">
      <c r="A8">
        <v>1117</v>
      </c>
      <c r="B8">
        <v>65925</v>
      </c>
      <c r="C8">
        <v>30</v>
      </c>
      <c r="D8">
        <v>35</v>
      </c>
      <c r="E8">
        <v>10</v>
      </c>
      <c r="F8">
        <v>25</v>
      </c>
      <c r="G8">
        <v>0</v>
      </c>
      <c r="H8">
        <v>23</v>
      </c>
      <c r="K8" t="s">
        <v>5</v>
      </c>
      <c r="L8" t="s">
        <v>462</v>
      </c>
    </row>
    <row r="9" spans="1:12" x14ac:dyDescent="0.2">
      <c r="A9">
        <v>1118</v>
      </c>
      <c r="B9">
        <v>62645</v>
      </c>
      <c r="C9">
        <v>20</v>
      </c>
      <c r="D9">
        <v>20</v>
      </c>
      <c r="E9">
        <v>35</v>
      </c>
      <c r="F9">
        <v>0</v>
      </c>
      <c r="G9">
        <v>25</v>
      </c>
      <c r="H9">
        <v>23</v>
      </c>
      <c r="K9" t="s">
        <v>6</v>
      </c>
      <c r="L9" t="s">
        <v>463</v>
      </c>
    </row>
    <row r="10" spans="1:12" x14ac:dyDescent="0.2">
      <c r="A10">
        <v>1120</v>
      </c>
      <c r="B10">
        <v>62490</v>
      </c>
      <c r="C10">
        <v>20</v>
      </c>
      <c r="D10">
        <v>20</v>
      </c>
      <c r="E10">
        <v>35</v>
      </c>
      <c r="F10">
        <v>0</v>
      </c>
      <c r="G10">
        <v>25</v>
      </c>
      <c r="H10">
        <v>150</v>
      </c>
      <c r="K10" t="s">
        <v>7</v>
      </c>
      <c r="L10" t="s">
        <v>464</v>
      </c>
    </row>
    <row r="11" spans="1:12" x14ac:dyDescent="0.2">
      <c r="A11">
        <v>1121</v>
      </c>
      <c r="B11">
        <v>60575</v>
      </c>
      <c r="C11">
        <v>20</v>
      </c>
      <c r="D11">
        <v>20</v>
      </c>
      <c r="E11">
        <v>35</v>
      </c>
      <c r="F11">
        <v>0</v>
      </c>
      <c r="G11">
        <v>25</v>
      </c>
      <c r="H11">
        <v>120</v>
      </c>
    </row>
    <row r="12" spans="1:12" x14ac:dyDescent="0.2">
      <c r="A12">
        <v>1122</v>
      </c>
      <c r="B12">
        <v>65105</v>
      </c>
      <c r="C12">
        <v>20</v>
      </c>
      <c r="D12">
        <v>30</v>
      </c>
      <c r="E12">
        <v>35</v>
      </c>
      <c r="F12">
        <v>0</v>
      </c>
      <c r="G12">
        <v>15</v>
      </c>
      <c r="H12">
        <v>140</v>
      </c>
    </row>
    <row r="13" spans="1:12" x14ac:dyDescent="0.2">
      <c r="A13">
        <v>1123</v>
      </c>
      <c r="B13">
        <v>60115</v>
      </c>
      <c r="C13">
        <v>20</v>
      </c>
      <c r="D13">
        <v>20</v>
      </c>
      <c r="E13">
        <v>35</v>
      </c>
      <c r="F13">
        <v>0</v>
      </c>
      <c r="G13">
        <v>25</v>
      </c>
      <c r="H13">
        <v>25</v>
      </c>
    </row>
    <row r="14" spans="1:12" x14ac:dyDescent="0.2">
      <c r="A14">
        <v>1124</v>
      </c>
      <c r="B14">
        <v>63560</v>
      </c>
      <c r="C14">
        <v>20</v>
      </c>
      <c r="D14">
        <v>20</v>
      </c>
      <c r="E14">
        <v>35</v>
      </c>
      <c r="F14">
        <v>0</v>
      </c>
      <c r="G14">
        <v>25</v>
      </c>
      <c r="H14">
        <v>40</v>
      </c>
    </row>
    <row r="15" spans="1:12" x14ac:dyDescent="0.2">
      <c r="A15">
        <v>1128</v>
      </c>
      <c r="B15">
        <v>63255</v>
      </c>
      <c r="C15">
        <v>20</v>
      </c>
      <c r="D15">
        <v>20</v>
      </c>
      <c r="E15">
        <v>45</v>
      </c>
      <c r="F15">
        <v>0</v>
      </c>
      <c r="G15">
        <v>15</v>
      </c>
      <c r="H15">
        <v>60</v>
      </c>
    </row>
    <row r="16" spans="1:12" x14ac:dyDescent="0.2">
      <c r="A16">
        <v>1129</v>
      </c>
      <c r="B16">
        <v>65000</v>
      </c>
      <c r="C16">
        <v>20</v>
      </c>
      <c r="D16">
        <v>20</v>
      </c>
      <c r="E16">
        <v>30</v>
      </c>
      <c r="F16">
        <v>0</v>
      </c>
      <c r="G16">
        <v>30</v>
      </c>
      <c r="H16">
        <v>35</v>
      </c>
    </row>
    <row r="17" spans="1:8" x14ac:dyDescent="0.2">
      <c r="A17">
        <v>1130</v>
      </c>
      <c r="B17">
        <v>69765</v>
      </c>
      <c r="C17">
        <v>25</v>
      </c>
      <c r="D17">
        <v>20</v>
      </c>
      <c r="E17">
        <v>30</v>
      </c>
      <c r="F17">
        <v>0</v>
      </c>
      <c r="G17">
        <v>25</v>
      </c>
      <c r="H17">
        <v>38</v>
      </c>
    </row>
    <row r="18" spans="1:8" x14ac:dyDescent="0.2">
      <c r="A18">
        <v>1131</v>
      </c>
      <c r="B18">
        <v>64745</v>
      </c>
      <c r="C18">
        <v>25</v>
      </c>
      <c r="D18">
        <v>20</v>
      </c>
      <c r="E18">
        <v>30</v>
      </c>
      <c r="F18">
        <v>0</v>
      </c>
      <c r="G18">
        <v>25</v>
      </c>
      <c r="H18">
        <v>32</v>
      </c>
    </row>
    <row r="19" spans="1:8" x14ac:dyDescent="0.2">
      <c r="A19">
        <v>1132</v>
      </c>
      <c r="B19">
        <v>66460</v>
      </c>
      <c r="C19">
        <v>20</v>
      </c>
      <c r="D19">
        <v>20</v>
      </c>
      <c r="E19">
        <v>30</v>
      </c>
      <c r="F19">
        <v>0</v>
      </c>
      <c r="G19">
        <v>30</v>
      </c>
      <c r="H19">
        <v>35</v>
      </c>
    </row>
    <row r="20" spans="1:8" x14ac:dyDescent="0.2">
      <c r="A20">
        <v>1133</v>
      </c>
      <c r="B20">
        <v>64995</v>
      </c>
      <c r="C20">
        <v>20</v>
      </c>
      <c r="D20">
        <v>20</v>
      </c>
      <c r="E20">
        <v>45</v>
      </c>
      <c r="F20">
        <v>0</v>
      </c>
      <c r="G20">
        <v>15</v>
      </c>
      <c r="H20">
        <v>30</v>
      </c>
    </row>
    <row r="21" spans="1:8" x14ac:dyDescent="0.2">
      <c r="A21">
        <v>1134</v>
      </c>
      <c r="B21">
        <v>63690</v>
      </c>
      <c r="C21">
        <v>20</v>
      </c>
      <c r="D21">
        <v>20</v>
      </c>
      <c r="E21">
        <v>45</v>
      </c>
      <c r="F21">
        <v>0</v>
      </c>
      <c r="G21">
        <v>15</v>
      </c>
      <c r="H21">
        <v>30</v>
      </c>
    </row>
    <row r="22" spans="1:8" x14ac:dyDescent="0.2">
      <c r="A22">
        <v>1135</v>
      </c>
      <c r="B22">
        <v>65085</v>
      </c>
      <c r="C22">
        <v>25</v>
      </c>
      <c r="D22">
        <v>20</v>
      </c>
      <c r="E22">
        <v>30</v>
      </c>
      <c r="F22">
        <v>0</v>
      </c>
      <c r="G22">
        <v>25</v>
      </c>
      <c r="H22">
        <v>38</v>
      </c>
    </row>
    <row r="23" spans="1:8" x14ac:dyDescent="0.2">
      <c r="A23">
        <v>1136</v>
      </c>
      <c r="B23">
        <v>63220</v>
      </c>
      <c r="C23">
        <v>20</v>
      </c>
      <c r="D23">
        <v>20</v>
      </c>
      <c r="E23">
        <v>40</v>
      </c>
      <c r="F23">
        <v>0</v>
      </c>
      <c r="G23">
        <v>20</v>
      </c>
      <c r="H23">
        <v>30</v>
      </c>
    </row>
    <row r="24" spans="1:8" x14ac:dyDescent="0.2">
      <c r="A24">
        <v>1137</v>
      </c>
      <c r="B24">
        <v>66690</v>
      </c>
      <c r="C24">
        <v>25</v>
      </c>
      <c r="D24">
        <v>20</v>
      </c>
      <c r="E24">
        <v>30</v>
      </c>
      <c r="F24">
        <v>0</v>
      </c>
      <c r="G24">
        <v>25</v>
      </c>
      <c r="H24">
        <v>120</v>
      </c>
    </row>
    <row r="25" spans="1:8" x14ac:dyDescent="0.2">
      <c r="A25">
        <v>1138</v>
      </c>
      <c r="B25">
        <v>63160</v>
      </c>
      <c r="C25">
        <v>20</v>
      </c>
      <c r="D25">
        <v>20</v>
      </c>
      <c r="E25">
        <v>40</v>
      </c>
      <c r="F25">
        <v>0</v>
      </c>
      <c r="G25">
        <v>20</v>
      </c>
      <c r="H25">
        <v>30</v>
      </c>
    </row>
    <row r="26" spans="1:8" x14ac:dyDescent="0.2">
      <c r="A26">
        <v>1139</v>
      </c>
      <c r="B26">
        <v>73230</v>
      </c>
      <c r="C26">
        <v>20</v>
      </c>
      <c r="D26">
        <v>20</v>
      </c>
      <c r="E26">
        <v>30</v>
      </c>
      <c r="F26">
        <v>0</v>
      </c>
      <c r="G26">
        <v>30</v>
      </c>
      <c r="H26">
        <v>25</v>
      </c>
    </row>
    <row r="27" spans="1:8" x14ac:dyDescent="0.2">
      <c r="A27">
        <v>1140</v>
      </c>
      <c r="B27">
        <v>66465</v>
      </c>
      <c r="C27">
        <v>25</v>
      </c>
      <c r="D27">
        <v>20</v>
      </c>
      <c r="E27">
        <v>25</v>
      </c>
      <c r="F27">
        <v>30</v>
      </c>
      <c r="G27">
        <v>0</v>
      </c>
      <c r="H27">
        <v>100</v>
      </c>
    </row>
    <row r="28" spans="1:8" x14ac:dyDescent="0.2">
      <c r="A28">
        <v>1141</v>
      </c>
      <c r="B28">
        <v>67540</v>
      </c>
      <c r="C28">
        <v>30</v>
      </c>
      <c r="D28">
        <v>10</v>
      </c>
      <c r="E28">
        <v>50</v>
      </c>
      <c r="F28">
        <v>10</v>
      </c>
      <c r="G28">
        <v>10</v>
      </c>
      <c r="H28">
        <v>110</v>
      </c>
    </row>
    <row r="29" spans="1:8" x14ac:dyDescent="0.2">
      <c r="A29">
        <v>1142</v>
      </c>
      <c r="B29">
        <v>69810</v>
      </c>
      <c r="C29">
        <v>30</v>
      </c>
      <c r="D29">
        <v>10</v>
      </c>
      <c r="E29">
        <v>50</v>
      </c>
      <c r="F29">
        <v>10</v>
      </c>
      <c r="G29">
        <v>10</v>
      </c>
      <c r="H29">
        <v>225</v>
      </c>
    </row>
    <row r="30" spans="1:8" x14ac:dyDescent="0.2">
      <c r="A30">
        <v>1145</v>
      </c>
      <c r="B30">
        <v>71590</v>
      </c>
      <c r="C30">
        <v>20</v>
      </c>
      <c r="D30">
        <v>10</v>
      </c>
      <c r="E30">
        <v>50</v>
      </c>
      <c r="F30">
        <v>0</v>
      </c>
      <c r="G30">
        <v>20</v>
      </c>
      <c r="H30">
        <v>590</v>
      </c>
    </row>
    <row r="31" spans="1:8" x14ac:dyDescent="0.2">
      <c r="A31">
        <v>1155</v>
      </c>
      <c r="B31">
        <v>69730</v>
      </c>
      <c r="C31">
        <v>20</v>
      </c>
      <c r="D31">
        <v>30</v>
      </c>
      <c r="E31">
        <v>20</v>
      </c>
      <c r="F31">
        <v>30</v>
      </c>
      <c r="G31">
        <v>0</v>
      </c>
      <c r="H31">
        <v>370</v>
      </c>
    </row>
    <row r="32" spans="1:8" x14ac:dyDescent="0.2">
      <c r="A32">
        <v>1160</v>
      </c>
      <c r="B32">
        <v>71350</v>
      </c>
      <c r="C32">
        <v>30</v>
      </c>
      <c r="D32">
        <v>30</v>
      </c>
      <c r="E32">
        <v>10</v>
      </c>
      <c r="F32">
        <v>30</v>
      </c>
      <c r="G32">
        <v>0</v>
      </c>
      <c r="H32">
        <v>45</v>
      </c>
    </row>
    <row r="33" spans="1:8" x14ac:dyDescent="0.2">
      <c r="A33">
        <v>1161</v>
      </c>
      <c r="B33">
        <v>63705</v>
      </c>
      <c r="C33">
        <v>25</v>
      </c>
      <c r="D33">
        <v>35</v>
      </c>
      <c r="E33">
        <v>20</v>
      </c>
      <c r="F33">
        <v>20</v>
      </c>
      <c r="G33">
        <v>0</v>
      </c>
      <c r="H33">
        <v>50</v>
      </c>
    </row>
    <row r="34" spans="1:8" x14ac:dyDescent="0.2">
      <c r="A34">
        <v>1162</v>
      </c>
      <c r="B34">
        <v>62605</v>
      </c>
      <c r="C34">
        <v>30</v>
      </c>
      <c r="D34">
        <v>25</v>
      </c>
      <c r="E34">
        <v>20</v>
      </c>
      <c r="F34">
        <v>25</v>
      </c>
      <c r="G34">
        <v>25</v>
      </c>
      <c r="H34">
        <v>55</v>
      </c>
    </row>
    <row r="35" spans="1:8" x14ac:dyDescent="0.2">
      <c r="A35">
        <v>1163</v>
      </c>
      <c r="B35">
        <v>68280</v>
      </c>
      <c r="C35">
        <v>25</v>
      </c>
      <c r="D35">
        <v>35</v>
      </c>
      <c r="E35">
        <v>15</v>
      </c>
      <c r="F35">
        <v>25</v>
      </c>
      <c r="G35">
        <v>0</v>
      </c>
      <c r="H35">
        <v>50</v>
      </c>
    </row>
    <row r="36" spans="1:8" x14ac:dyDescent="0.2">
      <c r="A36">
        <v>1165</v>
      </c>
      <c r="B36">
        <v>64220</v>
      </c>
      <c r="C36">
        <v>25</v>
      </c>
      <c r="D36">
        <v>35</v>
      </c>
      <c r="E36">
        <v>20</v>
      </c>
      <c r="F36">
        <v>20</v>
      </c>
      <c r="G36">
        <v>0</v>
      </c>
      <c r="H36">
        <v>45</v>
      </c>
    </row>
    <row r="37" spans="1:8" x14ac:dyDescent="0.2">
      <c r="A37">
        <v>1168</v>
      </c>
      <c r="B37">
        <v>66870</v>
      </c>
      <c r="C37">
        <v>30</v>
      </c>
      <c r="D37">
        <v>30</v>
      </c>
      <c r="E37">
        <v>20</v>
      </c>
      <c r="F37">
        <v>20</v>
      </c>
      <c r="G37">
        <v>0</v>
      </c>
      <c r="H37">
        <v>65</v>
      </c>
    </row>
    <row r="38" spans="1:8" x14ac:dyDescent="0.2">
      <c r="A38">
        <v>1169</v>
      </c>
      <c r="B38">
        <v>69420</v>
      </c>
      <c r="C38">
        <v>30</v>
      </c>
      <c r="D38">
        <v>30</v>
      </c>
      <c r="E38">
        <v>25</v>
      </c>
      <c r="F38">
        <v>15</v>
      </c>
      <c r="G38">
        <v>15</v>
      </c>
      <c r="H38">
        <v>50</v>
      </c>
    </row>
    <row r="39" spans="1:8" x14ac:dyDescent="0.2">
      <c r="A39">
        <v>1170</v>
      </c>
      <c r="B39">
        <v>69055</v>
      </c>
      <c r="C39">
        <v>30</v>
      </c>
      <c r="D39">
        <v>30</v>
      </c>
      <c r="E39">
        <v>25</v>
      </c>
      <c r="F39">
        <v>15</v>
      </c>
      <c r="G39">
        <v>0</v>
      </c>
      <c r="H39">
        <v>37</v>
      </c>
    </row>
    <row r="40" spans="1:8" x14ac:dyDescent="0.2">
      <c r="A40">
        <v>1172</v>
      </c>
      <c r="B40">
        <v>65530</v>
      </c>
      <c r="C40">
        <v>25</v>
      </c>
      <c r="D40">
        <v>35</v>
      </c>
      <c r="E40">
        <v>20</v>
      </c>
      <c r="F40">
        <v>20</v>
      </c>
      <c r="G40">
        <v>0</v>
      </c>
      <c r="H40">
        <v>55</v>
      </c>
    </row>
    <row r="41" spans="1:8" x14ac:dyDescent="0.2">
      <c r="A41">
        <v>1177</v>
      </c>
      <c r="B41">
        <v>61600</v>
      </c>
      <c r="C41">
        <v>30</v>
      </c>
      <c r="D41">
        <v>30</v>
      </c>
      <c r="E41">
        <v>20</v>
      </c>
      <c r="F41">
        <v>20</v>
      </c>
      <c r="G41">
        <v>0</v>
      </c>
      <c r="H41">
        <v>25</v>
      </c>
    </row>
    <row r="42" spans="1:8" x14ac:dyDescent="0.2">
      <c r="A42">
        <v>1178</v>
      </c>
      <c r="B42">
        <v>67420</v>
      </c>
      <c r="C42">
        <v>30</v>
      </c>
      <c r="D42">
        <v>30</v>
      </c>
      <c r="E42">
        <v>30</v>
      </c>
      <c r="F42">
        <v>10</v>
      </c>
      <c r="G42">
        <v>10</v>
      </c>
      <c r="H42">
        <v>280</v>
      </c>
    </row>
    <row r="43" spans="1:8" x14ac:dyDescent="0.2">
      <c r="A43">
        <v>1180</v>
      </c>
      <c r="B43">
        <v>66825</v>
      </c>
      <c r="C43">
        <v>20</v>
      </c>
      <c r="D43">
        <v>25</v>
      </c>
      <c r="E43">
        <v>25</v>
      </c>
      <c r="F43">
        <v>0</v>
      </c>
      <c r="G43">
        <v>30</v>
      </c>
      <c r="H43">
        <v>90</v>
      </c>
    </row>
    <row r="44" spans="1:8" x14ac:dyDescent="0.2">
      <c r="A44">
        <v>1181</v>
      </c>
      <c r="B44">
        <v>67785</v>
      </c>
      <c r="C44">
        <v>20</v>
      </c>
      <c r="D44">
        <v>25</v>
      </c>
      <c r="E44">
        <v>25</v>
      </c>
      <c r="F44">
        <v>0</v>
      </c>
      <c r="G44">
        <v>30</v>
      </c>
      <c r="H44">
        <v>35</v>
      </c>
    </row>
    <row r="45" spans="1:8" x14ac:dyDescent="0.2">
      <c r="A45">
        <v>1182</v>
      </c>
      <c r="B45">
        <v>71970</v>
      </c>
      <c r="C45">
        <v>20</v>
      </c>
      <c r="D45">
        <v>25</v>
      </c>
      <c r="E45">
        <v>25</v>
      </c>
      <c r="F45">
        <v>0</v>
      </c>
      <c r="G45">
        <v>30</v>
      </c>
      <c r="H45">
        <v>35</v>
      </c>
    </row>
    <row r="46" spans="1:8" x14ac:dyDescent="0.2">
      <c r="A46">
        <v>1183</v>
      </c>
      <c r="B46">
        <v>75745</v>
      </c>
      <c r="C46">
        <v>20</v>
      </c>
      <c r="D46">
        <v>25</v>
      </c>
      <c r="E46">
        <v>25</v>
      </c>
      <c r="F46">
        <v>0</v>
      </c>
      <c r="G46">
        <v>30</v>
      </c>
      <c r="H46">
        <v>170</v>
      </c>
    </row>
    <row r="47" spans="1:8" x14ac:dyDescent="0.2">
      <c r="A47">
        <v>1184</v>
      </c>
      <c r="B47">
        <v>67655</v>
      </c>
      <c r="C47">
        <v>20</v>
      </c>
      <c r="D47">
        <v>25</v>
      </c>
      <c r="E47">
        <v>25</v>
      </c>
      <c r="F47">
        <v>0</v>
      </c>
      <c r="G47">
        <v>30</v>
      </c>
      <c r="H47">
        <v>40</v>
      </c>
    </row>
    <row r="48" spans="1:8" x14ac:dyDescent="0.2">
      <c r="A48">
        <v>1185</v>
      </c>
      <c r="B48">
        <v>66440</v>
      </c>
      <c r="C48">
        <v>20</v>
      </c>
      <c r="D48">
        <v>25</v>
      </c>
      <c r="E48">
        <v>25</v>
      </c>
      <c r="F48">
        <v>0</v>
      </c>
      <c r="G48">
        <v>30</v>
      </c>
      <c r="H48">
        <v>77</v>
      </c>
    </row>
    <row r="49" spans="1:8" x14ac:dyDescent="0.2">
      <c r="A49">
        <v>1186</v>
      </c>
      <c r="B49">
        <v>69040</v>
      </c>
      <c r="C49">
        <v>20</v>
      </c>
      <c r="D49">
        <v>25</v>
      </c>
      <c r="E49">
        <v>25</v>
      </c>
      <c r="F49">
        <v>0</v>
      </c>
      <c r="G49">
        <v>30</v>
      </c>
      <c r="H49">
        <v>80</v>
      </c>
    </row>
    <row r="50" spans="1:8" x14ac:dyDescent="0.2">
      <c r="A50">
        <v>1187</v>
      </c>
      <c r="B50">
        <v>66655</v>
      </c>
      <c r="C50">
        <v>20</v>
      </c>
      <c r="D50">
        <v>25</v>
      </c>
      <c r="E50">
        <v>25</v>
      </c>
      <c r="F50">
        <v>0</v>
      </c>
      <c r="G50">
        <v>30</v>
      </c>
      <c r="H50">
        <v>40</v>
      </c>
    </row>
    <row r="51" spans="1:8" x14ac:dyDescent="0.2">
      <c r="A51">
        <v>1190</v>
      </c>
      <c r="B51">
        <v>66040</v>
      </c>
      <c r="C51">
        <v>30</v>
      </c>
      <c r="D51">
        <v>30</v>
      </c>
      <c r="E51">
        <v>20</v>
      </c>
      <c r="F51">
        <v>20</v>
      </c>
      <c r="G51">
        <v>20</v>
      </c>
      <c r="H51">
        <v>44</v>
      </c>
    </row>
    <row r="52" spans="1:8" x14ac:dyDescent="0.2">
      <c r="A52">
        <v>1195</v>
      </c>
      <c r="B52">
        <v>73175</v>
      </c>
      <c r="C52">
        <v>20</v>
      </c>
      <c r="D52">
        <v>25</v>
      </c>
      <c r="E52">
        <v>25</v>
      </c>
      <c r="F52">
        <v>0</v>
      </c>
      <c r="G52">
        <v>30</v>
      </c>
      <c r="H52">
        <v>90</v>
      </c>
    </row>
    <row r="53" spans="1:8" x14ac:dyDescent="0.2">
      <c r="A53">
        <v>1203</v>
      </c>
      <c r="B53">
        <v>69700</v>
      </c>
      <c r="C53">
        <v>25</v>
      </c>
      <c r="D53">
        <v>20</v>
      </c>
      <c r="E53">
        <v>45</v>
      </c>
      <c r="F53">
        <v>0</v>
      </c>
      <c r="G53">
        <v>10</v>
      </c>
      <c r="H53">
        <v>260</v>
      </c>
    </row>
    <row r="54" spans="1:8" x14ac:dyDescent="0.2">
      <c r="A54">
        <v>1204</v>
      </c>
      <c r="B54">
        <v>69720</v>
      </c>
      <c r="C54">
        <v>25</v>
      </c>
      <c r="D54">
        <v>25</v>
      </c>
      <c r="E54">
        <v>40</v>
      </c>
      <c r="F54">
        <v>10</v>
      </c>
      <c r="G54">
        <v>0</v>
      </c>
      <c r="H54">
        <v>50</v>
      </c>
    </row>
    <row r="55" spans="1:8" x14ac:dyDescent="0.2">
      <c r="A55">
        <v>1205</v>
      </c>
      <c r="B55">
        <v>63530</v>
      </c>
      <c r="C55">
        <v>35</v>
      </c>
      <c r="D55">
        <v>20</v>
      </c>
      <c r="E55">
        <v>35</v>
      </c>
      <c r="F55">
        <v>10</v>
      </c>
      <c r="G55">
        <v>0</v>
      </c>
      <c r="H55">
        <v>75</v>
      </c>
    </row>
    <row r="56" spans="1:8" x14ac:dyDescent="0.2">
      <c r="A56">
        <v>1206</v>
      </c>
      <c r="B56">
        <v>65920</v>
      </c>
      <c r="C56">
        <v>20</v>
      </c>
      <c r="D56">
        <v>30</v>
      </c>
      <c r="E56">
        <v>35</v>
      </c>
      <c r="F56">
        <v>15</v>
      </c>
      <c r="G56">
        <v>0</v>
      </c>
      <c r="H56">
        <v>50</v>
      </c>
    </row>
    <row r="57" spans="1:8" x14ac:dyDescent="0.2">
      <c r="A57">
        <v>1207</v>
      </c>
      <c r="B57">
        <v>67522</v>
      </c>
      <c r="C57">
        <v>30</v>
      </c>
      <c r="D57">
        <v>30</v>
      </c>
      <c r="E57">
        <v>20</v>
      </c>
      <c r="F57">
        <v>20</v>
      </c>
      <c r="G57">
        <v>0</v>
      </c>
      <c r="H57">
        <v>40</v>
      </c>
    </row>
    <row r="58" spans="1:8" x14ac:dyDescent="0.2">
      <c r="A58">
        <v>1208</v>
      </c>
      <c r="B58">
        <v>64780</v>
      </c>
      <c r="C58">
        <v>20</v>
      </c>
      <c r="D58">
        <v>40</v>
      </c>
      <c r="E58">
        <v>30</v>
      </c>
      <c r="F58">
        <v>10</v>
      </c>
      <c r="G58">
        <v>0</v>
      </c>
      <c r="H58">
        <v>60</v>
      </c>
    </row>
    <row r="59" spans="1:8" x14ac:dyDescent="0.2">
      <c r="A59">
        <v>1209</v>
      </c>
      <c r="B59">
        <v>65090</v>
      </c>
      <c r="C59">
        <v>20</v>
      </c>
      <c r="D59">
        <v>40</v>
      </c>
      <c r="E59">
        <v>30</v>
      </c>
      <c r="F59">
        <v>10</v>
      </c>
      <c r="G59">
        <v>0</v>
      </c>
      <c r="H59">
        <v>30</v>
      </c>
    </row>
    <row r="60" spans="1:8" x14ac:dyDescent="0.2">
      <c r="A60">
        <v>1210</v>
      </c>
      <c r="B60">
        <v>70330</v>
      </c>
      <c r="C60">
        <v>25</v>
      </c>
      <c r="D60">
        <v>10</v>
      </c>
      <c r="E60">
        <v>40</v>
      </c>
      <c r="F60">
        <v>0</v>
      </c>
      <c r="G60">
        <v>25</v>
      </c>
      <c r="H60">
        <v>30</v>
      </c>
    </row>
    <row r="61" spans="1:8" x14ac:dyDescent="0.2">
      <c r="A61">
        <v>1211</v>
      </c>
      <c r="B61">
        <v>64745</v>
      </c>
      <c r="C61">
        <v>25</v>
      </c>
      <c r="D61">
        <v>10</v>
      </c>
      <c r="E61">
        <v>35</v>
      </c>
      <c r="F61">
        <v>0</v>
      </c>
      <c r="G61">
        <v>30</v>
      </c>
      <c r="H61">
        <v>80</v>
      </c>
    </row>
    <row r="62" spans="1:8" x14ac:dyDescent="0.2">
      <c r="A62">
        <v>1213</v>
      </c>
      <c r="B62">
        <v>63460</v>
      </c>
      <c r="C62">
        <v>20</v>
      </c>
      <c r="D62">
        <v>10</v>
      </c>
      <c r="E62">
        <v>50</v>
      </c>
      <c r="F62">
        <v>0</v>
      </c>
      <c r="G62">
        <v>20</v>
      </c>
      <c r="H62">
        <v>250</v>
      </c>
    </row>
    <row r="63" spans="1:8" x14ac:dyDescent="0.2">
      <c r="A63">
        <v>1214</v>
      </c>
      <c r="B63">
        <v>71590</v>
      </c>
      <c r="C63">
        <v>30</v>
      </c>
      <c r="D63">
        <v>10</v>
      </c>
      <c r="E63">
        <v>50</v>
      </c>
      <c r="F63">
        <v>10</v>
      </c>
      <c r="G63">
        <v>0</v>
      </c>
      <c r="H63">
        <v>235</v>
      </c>
    </row>
    <row r="64" spans="1:8" x14ac:dyDescent="0.2">
      <c r="A64">
        <v>1217</v>
      </c>
      <c r="B64">
        <v>69995</v>
      </c>
      <c r="C64">
        <v>25</v>
      </c>
      <c r="D64">
        <v>25</v>
      </c>
      <c r="E64">
        <v>30</v>
      </c>
      <c r="F64">
        <v>20</v>
      </c>
      <c r="G64">
        <v>20</v>
      </c>
      <c r="H64">
        <v>90</v>
      </c>
    </row>
    <row r="65" spans="1:8" x14ac:dyDescent="0.2">
      <c r="A65">
        <v>1218</v>
      </c>
      <c r="B65">
        <v>64755</v>
      </c>
      <c r="C65">
        <v>25</v>
      </c>
      <c r="D65">
        <v>25</v>
      </c>
      <c r="E65">
        <v>30</v>
      </c>
      <c r="F65">
        <v>20</v>
      </c>
      <c r="G65">
        <v>0</v>
      </c>
      <c r="H65">
        <v>40</v>
      </c>
    </row>
    <row r="66" spans="1:8" x14ac:dyDescent="0.2">
      <c r="A66">
        <v>1219</v>
      </c>
      <c r="B66">
        <v>67475</v>
      </c>
      <c r="C66">
        <v>25</v>
      </c>
      <c r="D66">
        <v>25</v>
      </c>
      <c r="E66">
        <v>30</v>
      </c>
      <c r="F66">
        <v>20</v>
      </c>
      <c r="G66">
        <v>0</v>
      </c>
      <c r="H66">
        <v>47</v>
      </c>
    </row>
    <row r="67" spans="1:8" x14ac:dyDescent="0.2">
      <c r="A67">
        <v>1220</v>
      </c>
      <c r="B67">
        <v>66820</v>
      </c>
      <c r="C67">
        <v>25</v>
      </c>
      <c r="D67">
        <v>35</v>
      </c>
      <c r="E67">
        <v>30</v>
      </c>
      <c r="F67">
        <v>10</v>
      </c>
      <c r="G67">
        <v>0</v>
      </c>
      <c r="H67">
        <v>250</v>
      </c>
    </row>
    <row r="68" spans="1:8" x14ac:dyDescent="0.2">
      <c r="A68">
        <v>1221</v>
      </c>
      <c r="B68">
        <v>69460</v>
      </c>
      <c r="C68">
        <v>20</v>
      </c>
      <c r="D68">
        <v>30</v>
      </c>
      <c r="E68">
        <v>20</v>
      </c>
      <c r="F68">
        <v>30</v>
      </c>
      <c r="G68">
        <v>0</v>
      </c>
      <c r="H68">
        <v>240</v>
      </c>
    </row>
    <row r="69" spans="1:8" x14ac:dyDescent="0.2">
      <c r="A69">
        <v>1224</v>
      </c>
      <c r="B69">
        <v>62280</v>
      </c>
      <c r="C69">
        <v>30</v>
      </c>
      <c r="D69">
        <v>30</v>
      </c>
      <c r="E69">
        <v>30</v>
      </c>
      <c r="F69">
        <v>10</v>
      </c>
      <c r="G69">
        <v>10</v>
      </c>
      <c r="H69">
        <v>120</v>
      </c>
    </row>
    <row r="70" spans="1:8" x14ac:dyDescent="0.2">
      <c r="A70">
        <v>1225</v>
      </c>
      <c r="B70">
        <v>59100</v>
      </c>
      <c r="C70">
        <v>30</v>
      </c>
      <c r="D70">
        <v>30</v>
      </c>
      <c r="E70">
        <v>30</v>
      </c>
      <c r="F70">
        <v>10</v>
      </c>
      <c r="G70">
        <v>10</v>
      </c>
      <c r="H70">
        <v>120</v>
      </c>
    </row>
    <row r="71" spans="1:8" x14ac:dyDescent="0.2">
      <c r="A71">
        <v>1231</v>
      </c>
      <c r="B71">
        <v>68740</v>
      </c>
      <c r="C71">
        <v>20</v>
      </c>
      <c r="D71">
        <v>10</v>
      </c>
      <c r="E71">
        <v>50</v>
      </c>
      <c r="F71">
        <v>0</v>
      </c>
      <c r="G71">
        <v>20</v>
      </c>
      <c r="H71">
        <v>20</v>
      </c>
    </row>
    <row r="72" spans="1:8" x14ac:dyDescent="0.2">
      <c r="A72">
        <v>1232</v>
      </c>
      <c r="B72">
        <v>70340</v>
      </c>
      <c r="C72">
        <v>20</v>
      </c>
      <c r="D72">
        <v>10</v>
      </c>
      <c r="E72">
        <v>50</v>
      </c>
      <c r="F72">
        <v>0</v>
      </c>
      <c r="G72">
        <v>20</v>
      </c>
      <c r="H72">
        <v>28</v>
      </c>
    </row>
    <row r="73" spans="1:8" x14ac:dyDescent="0.2">
      <c r="A73">
        <v>1234</v>
      </c>
      <c r="B73">
        <v>63510</v>
      </c>
      <c r="C73">
        <v>20</v>
      </c>
      <c r="D73">
        <v>25</v>
      </c>
      <c r="E73">
        <v>30</v>
      </c>
      <c r="F73">
        <v>25</v>
      </c>
      <c r="G73">
        <v>0</v>
      </c>
      <c r="H73">
        <v>50</v>
      </c>
    </row>
    <row r="74" spans="1:8" x14ac:dyDescent="0.2">
      <c r="A74">
        <v>1235</v>
      </c>
      <c r="B74">
        <v>68410</v>
      </c>
      <c r="C74">
        <v>20</v>
      </c>
      <c r="D74">
        <v>25</v>
      </c>
      <c r="E74">
        <v>20</v>
      </c>
      <c r="F74">
        <v>35</v>
      </c>
      <c r="G74">
        <v>0</v>
      </c>
      <c r="H74">
        <v>55</v>
      </c>
    </row>
    <row r="75" spans="1:8" x14ac:dyDescent="0.2">
      <c r="A75">
        <v>1237</v>
      </c>
      <c r="B75">
        <v>67625</v>
      </c>
      <c r="C75">
        <v>25</v>
      </c>
      <c r="D75">
        <v>25</v>
      </c>
      <c r="E75">
        <v>30</v>
      </c>
      <c r="F75">
        <v>20</v>
      </c>
      <c r="G75">
        <v>0</v>
      </c>
      <c r="H75">
        <v>35</v>
      </c>
    </row>
    <row r="76" spans="1:8" x14ac:dyDescent="0.2">
      <c r="A76">
        <v>1238</v>
      </c>
      <c r="B76">
        <v>64330</v>
      </c>
      <c r="C76">
        <v>20</v>
      </c>
      <c r="D76">
        <v>20</v>
      </c>
      <c r="E76">
        <v>50</v>
      </c>
      <c r="F76">
        <v>0</v>
      </c>
      <c r="G76">
        <v>10</v>
      </c>
      <c r="H76">
        <v>185</v>
      </c>
    </row>
    <row r="77" spans="1:8" x14ac:dyDescent="0.2">
      <c r="A77">
        <v>1239</v>
      </c>
      <c r="B77">
        <v>74010</v>
      </c>
      <c r="C77">
        <v>20</v>
      </c>
      <c r="D77">
        <v>10</v>
      </c>
      <c r="E77">
        <v>50</v>
      </c>
      <c r="F77">
        <v>0</v>
      </c>
      <c r="G77">
        <v>20</v>
      </c>
      <c r="H77">
        <v>400</v>
      </c>
    </row>
    <row r="78" spans="1:8" x14ac:dyDescent="0.2">
      <c r="A78">
        <v>1246</v>
      </c>
      <c r="B78">
        <v>66440</v>
      </c>
      <c r="C78">
        <v>30</v>
      </c>
      <c r="D78">
        <v>30</v>
      </c>
      <c r="E78">
        <v>30</v>
      </c>
      <c r="F78">
        <v>10</v>
      </c>
      <c r="G78">
        <v>0</v>
      </c>
      <c r="H78">
        <v>110</v>
      </c>
    </row>
    <row r="79" spans="1:8" x14ac:dyDescent="0.2">
      <c r="A79">
        <v>1251</v>
      </c>
      <c r="B79">
        <v>64120</v>
      </c>
      <c r="C79">
        <v>20</v>
      </c>
      <c r="D79">
        <v>10</v>
      </c>
      <c r="E79">
        <v>50</v>
      </c>
      <c r="F79">
        <v>0</v>
      </c>
      <c r="G79">
        <v>20</v>
      </c>
      <c r="H79">
        <v>60</v>
      </c>
    </row>
    <row r="80" spans="1:8" x14ac:dyDescent="0.2">
      <c r="A80">
        <v>1254</v>
      </c>
      <c r="B80">
        <v>65535</v>
      </c>
      <c r="C80">
        <v>20</v>
      </c>
      <c r="D80">
        <v>15</v>
      </c>
      <c r="E80">
        <v>45</v>
      </c>
      <c r="F80">
        <v>0</v>
      </c>
      <c r="G80">
        <v>20</v>
      </c>
      <c r="H80">
        <v>35</v>
      </c>
    </row>
    <row r="81" spans="1:8" x14ac:dyDescent="0.2">
      <c r="A81">
        <v>1255</v>
      </c>
      <c r="B81">
        <v>67615</v>
      </c>
      <c r="C81">
        <v>20</v>
      </c>
      <c r="D81">
        <v>15</v>
      </c>
      <c r="E81">
        <v>45</v>
      </c>
      <c r="F81">
        <v>0</v>
      </c>
      <c r="G81">
        <v>20</v>
      </c>
      <c r="H81">
        <v>65</v>
      </c>
    </row>
    <row r="82" spans="1:8" x14ac:dyDescent="0.2">
      <c r="A82">
        <v>1257</v>
      </c>
      <c r="B82">
        <v>67135</v>
      </c>
      <c r="C82">
        <v>20</v>
      </c>
      <c r="D82">
        <v>25</v>
      </c>
      <c r="E82">
        <v>35</v>
      </c>
      <c r="F82">
        <v>0</v>
      </c>
      <c r="G82">
        <v>20</v>
      </c>
      <c r="H82">
        <v>93</v>
      </c>
    </row>
    <row r="83" spans="1:8" x14ac:dyDescent="0.2">
      <c r="A83">
        <v>1258</v>
      </c>
      <c r="B83">
        <v>77340</v>
      </c>
      <c r="C83">
        <v>20</v>
      </c>
      <c r="D83">
        <v>25</v>
      </c>
      <c r="E83">
        <v>30</v>
      </c>
      <c r="F83">
        <v>0</v>
      </c>
      <c r="G83">
        <v>25</v>
      </c>
      <c r="H83">
        <v>90</v>
      </c>
    </row>
    <row r="84" spans="1:8" x14ac:dyDescent="0.2">
      <c r="A84">
        <v>1259</v>
      </c>
      <c r="B84">
        <v>64425</v>
      </c>
      <c r="C84">
        <v>35</v>
      </c>
      <c r="D84">
        <v>25</v>
      </c>
      <c r="E84">
        <v>25</v>
      </c>
      <c r="F84">
        <v>15</v>
      </c>
      <c r="G84">
        <v>0</v>
      </c>
      <c r="H84">
        <v>20</v>
      </c>
    </row>
    <row r="85" spans="1:8" x14ac:dyDescent="0.2">
      <c r="A85">
        <v>1296</v>
      </c>
      <c r="B85">
        <v>52850</v>
      </c>
      <c r="C85">
        <v>25</v>
      </c>
      <c r="D85">
        <v>30</v>
      </c>
      <c r="E85">
        <v>35</v>
      </c>
      <c r="F85">
        <v>10</v>
      </c>
      <c r="G85">
        <v>10</v>
      </c>
      <c r="H85">
        <v>45</v>
      </c>
    </row>
    <row r="86" spans="1:8" x14ac:dyDescent="0.2">
      <c r="A86">
        <v>1301</v>
      </c>
      <c r="B86">
        <v>58810</v>
      </c>
      <c r="C86">
        <v>20</v>
      </c>
      <c r="D86">
        <v>15</v>
      </c>
      <c r="E86">
        <v>40</v>
      </c>
      <c r="F86">
        <v>0</v>
      </c>
      <c r="G86">
        <v>25</v>
      </c>
      <c r="H86">
        <v>35</v>
      </c>
    </row>
    <row r="87" spans="1:8" x14ac:dyDescent="0.2">
      <c r="A87">
        <v>1302</v>
      </c>
      <c r="B87">
        <v>56160</v>
      </c>
      <c r="C87">
        <v>25</v>
      </c>
      <c r="D87">
        <v>15</v>
      </c>
      <c r="E87">
        <v>45</v>
      </c>
      <c r="F87">
        <v>0</v>
      </c>
      <c r="G87">
        <v>15</v>
      </c>
      <c r="H87">
        <v>30</v>
      </c>
    </row>
    <row r="88" spans="1:8" x14ac:dyDescent="0.2">
      <c r="A88">
        <v>1303</v>
      </c>
      <c r="B88">
        <v>57690</v>
      </c>
      <c r="C88">
        <v>25</v>
      </c>
      <c r="D88">
        <v>15</v>
      </c>
      <c r="E88">
        <v>45</v>
      </c>
      <c r="F88">
        <v>0</v>
      </c>
      <c r="G88">
        <v>15</v>
      </c>
      <c r="H88">
        <v>55</v>
      </c>
    </row>
    <row r="89" spans="1:8" x14ac:dyDescent="0.2">
      <c r="A89">
        <v>1304</v>
      </c>
      <c r="B89">
        <v>60255</v>
      </c>
      <c r="C89">
        <v>25</v>
      </c>
      <c r="D89">
        <v>15</v>
      </c>
      <c r="E89">
        <v>45</v>
      </c>
      <c r="F89">
        <v>0</v>
      </c>
      <c r="G89">
        <v>15</v>
      </c>
      <c r="H89">
        <v>35</v>
      </c>
    </row>
    <row r="90" spans="1:8" x14ac:dyDescent="0.2">
      <c r="A90">
        <v>1305</v>
      </c>
      <c r="B90">
        <v>50230</v>
      </c>
      <c r="C90">
        <v>25</v>
      </c>
      <c r="D90">
        <v>15</v>
      </c>
      <c r="E90">
        <v>45</v>
      </c>
      <c r="F90">
        <v>0</v>
      </c>
      <c r="G90">
        <v>15</v>
      </c>
      <c r="H90">
        <v>100</v>
      </c>
    </row>
    <row r="91" spans="1:8" x14ac:dyDescent="0.2">
      <c r="A91">
        <v>1306</v>
      </c>
      <c r="B91">
        <v>54395</v>
      </c>
      <c r="C91">
        <v>25</v>
      </c>
      <c r="D91">
        <v>15</v>
      </c>
      <c r="E91">
        <v>45</v>
      </c>
      <c r="F91">
        <v>0</v>
      </c>
      <c r="G91">
        <v>15</v>
      </c>
      <c r="H91">
        <v>85</v>
      </c>
    </row>
    <row r="92" spans="1:8" x14ac:dyDescent="0.2">
      <c r="A92">
        <v>1307</v>
      </c>
      <c r="B92">
        <v>57360</v>
      </c>
      <c r="C92">
        <v>25</v>
      </c>
      <c r="D92">
        <v>10</v>
      </c>
      <c r="E92">
        <v>45</v>
      </c>
      <c r="F92">
        <v>0</v>
      </c>
      <c r="G92">
        <v>20</v>
      </c>
      <c r="H92">
        <v>85</v>
      </c>
    </row>
    <row r="93" spans="1:8" x14ac:dyDescent="0.2">
      <c r="A93">
        <v>1308</v>
      </c>
      <c r="B93">
        <v>51580</v>
      </c>
      <c r="C93">
        <v>25</v>
      </c>
      <c r="D93">
        <v>15</v>
      </c>
      <c r="E93">
        <v>40</v>
      </c>
      <c r="F93">
        <v>0</v>
      </c>
      <c r="G93">
        <v>20</v>
      </c>
      <c r="H93">
        <v>80</v>
      </c>
    </row>
    <row r="94" spans="1:8" x14ac:dyDescent="0.2">
      <c r="A94">
        <v>1309</v>
      </c>
      <c r="B94">
        <v>50035</v>
      </c>
      <c r="C94">
        <v>25</v>
      </c>
      <c r="D94">
        <v>15</v>
      </c>
      <c r="E94">
        <v>45</v>
      </c>
      <c r="F94">
        <v>0</v>
      </c>
      <c r="G94">
        <v>15</v>
      </c>
      <c r="H94">
        <v>50</v>
      </c>
    </row>
    <row r="95" spans="1:8" x14ac:dyDescent="0.2">
      <c r="A95">
        <v>1310</v>
      </c>
      <c r="B95">
        <v>50015</v>
      </c>
      <c r="C95">
        <v>25</v>
      </c>
      <c r="D95">
        <v>15</v>
      </c>
      <c r="E95">
        <v>45</v>
      </c>
      <c r="F95">
        <v>0</v>
      </c>
      <c r="G95">
        <v>15</v>
      </c>
      <c r="H95">
        <v>40</v>
      </c>
    </row>
    <row r="96" spans="1:8" x14ac:dyDescent="0.2">
      <c r="A96">
        <v>1311</v>
      </c>
      <c r="B96">
        <v>60900</v>
      </c>
      <c r="C96">
        <v>25</v>
      </c>
      <c r="D96">
        <v>10</v>
      </c>
      <c r="E96">
        <v>45</v>
      </c>
      <c r="F96">
        <v>0</v>
      </c>
      <c r="G96">
        <v>20</v>
      </c>
      <c r="H96">
        <v>80</v>
      </c>
    </row>
    <row r="97" spans="1:8" x14ac:dyDescent="0.2">
      <c r="A97">
        <v>1312</v>
      </c>
      <c r="B97">
        <v>67245</v>
      </c>
      <c r="C97">
        <v>25</v>
      </c>
      <c r="D97">
        <v>15</v>
      </c>
      <c r="E97">
        <v>40</v>
      </c>
      <c r="F97">
        <v>0</v>
      </c>
      <c r="G97">
        <v>20</v>
      </c>
      <c r="H97">
        <v>40</v>
      </c>
    </row>
    <row r="98" spans="1:8" x14ac:dyDescent="0.2">
      <c r="A98">
        <v>1313</v>
      </c>
      <c r="B98">
        <v>55580</v>
      </c>
      <c r="C98">
        <v>25</v>
      </c>
      <c r="D98">
        <v>15</v>
      </c>
      <c r="E98">
        <v>40</v>
      </c>
      <c r="F98">
        <v>0</v>
      </c>
      <c r="G98">
        <v>20</v>
      </c>
      <c r="H98">
        <v>65</v>
      </c>
    </row>
    <row r="99" spans="1:8" x14ac:dyDescent="0.2">
      <c r="A99">
        <v>1314</v>
      </c>
      <c r="B99">
        <v>56610</v>
      </c>
      <c r="C99">
        <v>25</v>
      </c>
      <c r="D99">
        <v>15</v>
      </c>
      <c r="E99">
        <v>40</v>
      </c>
      <c r="F99">
        <v>0</v>
      </c>
      <c r="G99">
        <v>20</v>
      </c>
      <c r="H99">
        <v>75</v>
      </c>
    </row>
    <row r="100" spans="1:8" x14ac:dyDescent="0.2">
      <c r="A100">
        <v>1315</v>
      </c>
      <c r="B100">
        <v>65180</v>
      </c>
      <c r="C100">
        <v>25</v>
      </c>
      <c r="D100">
        <v>20</v>
      </c>
      <c r="E100">
        <v>40</v>
      </c>
      <c r="F100">
        <v>0</v>
      </c>
      <c r="G100">
        <v>15</v>
      </c>
      <c r="H100">
        <v>35</v>
      </c>
    </row>
    <row r="101" spans="1:8" x14ac:dyDescent="0.2">
      <c r="A101">
        <v>1316</v>
      </c>
      <c r="B101">
        <v>57345</v>
      </c>
      <c r="C101">
        <v>25</v>
      </c>
      <c r="D101">
        <v>15</v>
      </c>
      <c r="E101">
        <v>40</v>
      </c>
      <c r="F101">
        <v>0</v>
      </c>
      <c r="G101">
        <v>20</v>
      </c>
      <c r="H101">
        <v>50</v>
      </c>
    </row>
    <row r="102" spans="1:8" x14ac:dyDescent="0.2">
      <c r="A102">
        <v>1318</v>
      </c>
      <c r="B102">
        <v>55825</v>
      </c>
      <c r="C102">
        <v>25</v>
      </c>
      <c r="D102">
        <v>25</v>
      </c>
      <c r="E102">
        <v>25</v>
      </c>
      <c r="F102">
        <v>25</v>
      </c>
      <c r="G102">
        <v>0</v>
      </c>
      <c r="H102">
        <v>50</v>
      </c>
    </row>
    <row r="103" spans="1:8" x14ac:dyDescent="0.2">
      <c r="A103">
        <v>1319</v>
      </c>
      <c r="B103">
        <v>59665</v>
      </c>
      <c r="C103">
        <v>25</v>
      </c>
      <c r="D103">
        <v>15</v>
      </c>
      <c r="E103">
        <v>45</v>
      </c>
      <c r="F103">
        <v>15</v>
      </c>
      <c r="G103">
        <v>15</v>
      </c>
      <c r="H103">
        <v>120</v>
      </c>
    </row>
    <row r="104" spans="1:8" x14ac:dyDescent="0.2">
      <c r="A104">
        <v>1320</v>
      </c>
      <c r="B104">
        <v>60500</v>
      </c>
      <c r="C104">
        <v>25</v>
      </c>
      <c r="D104">
        <v>15</v>
      </c>
      <c r="E104">
        <v>40</v>
      </c>
      <c r="F104">
        <v>0</v>
      </c>
      <c r="G104">
        <v>20</v>
      </c>
      <c r="H104">
        <v>50</v>
      </c>
    </row>
    <row r="105" spans="1:8" x14ac:dyDescent="0.2">
      <c r="A105">
        <v>1322</v>
      </c>
      <c r="B105">
        <v>54920</v>
      </c>
      <c r="C105">
        <v>25</v>
      </c>
      <c r="D105">
        <v>20</v>
      </c>
      <c r="E105">
        <v>45</v>
      </c>
      <c r="F105">
        <v>10</v>
      </c>
      <c r="G105">
        <v>0</v>
      </c>
      <c r="H105">
        <v>80</v>
      </c>
    </row>
    <row r="106" spans="1:8" x14ac:dyDescent="0.2">
      <c r="A106">
        <v>1323</v>
      </c>
      <c r="B106">
        <v>59855</v>
      </c>
      <c r="C106">
        <v>25</v>
      </c>
      <c r="D106">
        <v>20</v>
      </c>
      <c r="E106">
        <v>30</v>
      </c>
      <c r="F106">
        <v>25</v>
      </c>
      <c r="G106">
        <v>0</v>
      </c>
      <c r="H106">
        <v>70</v>
      </c>
    </row>
    <row r="107" spans="1:8" x14ac:dyDescent="0.2">
      <c r="A107">
        <v>1324</v>
      </c>
      <c r="B107">
        <v>64310</v>
      </c>
      <c r="C107">
        <v>25</v>
      </c>
      <c r="D107">
        <v>25</v>
      </c>
      <c r="E107">
        <v>30</v>
      </c>
      <c r="F107">
        <v>20</v>
      </c>
      <c r="G107">
        <v>0</v>
      </c>
      <c r="H107">
        <v>150</v>
      </c>
    </row>
    <row r="108" spans="1:8" x14ac:dyDescent="0.2">
      <c r="A108">
        <v>1325</v>
      </c>
      <c r="B108">
        <v>57130</v>
      </c>
      <c r="C108">
        <v>20</v>
      </c>
      <c r="D108">
        <v>30</v>
      </c>
      <c r="E108">
        <v>30</v>
      </c>
      <c r="F108">
        <v>20</v>
      </c>
      <c r="G108">
        <v>0</v>
      </c>
      <c r="H108">
        <v>70</v>
      </c>
    </row>
    <row r="109" spans="1:8" x14ac:dyDescent="0.2">
      <c r="A109">
        <v>1326</v>
      </c>
      <c r="B109">
        <v>58795</v>
      </c>
      <c r="C109">
        <v>25</v>
      </c>
      <c r="D109">
        <v>25</v>
      </c>
      <c r="E109">
        <v>30</v>
      </c>
      <c r="F109">
        <v>20</v>
      </c>
      <c r="G109">
        <v>20</v>
      </c>
      <c r="H109">
        <v>50</v>
      </c>
    </row>
    <row r="110" spans="1:8" x14ac:dyDescent="0.2">
      <c r="A110">
        <v>1327</v>
      </c>
      <c r="B110">
        <v>55250</v>
      </c>
      <c r="C110">
        <v>25</v>
      </c>
      <c r="D110">
        <v>25</v>
      </c>
      <c r="E110">
        <v>25</v>
      </c>
      <c r="F110">
        <v>25</v>
      </c>
      <c r="G110">
        <v>0</v>
      </c>
      <c r="H110">
        <v>40</v>
      </c>
    </row>
    <row r="111" spans="1:8" x14ac:dyDescent="0.2">
      <c r="A111">
        <v>1328</v>
      </c>
      <c r="B111">
        <v>56750</v>
      </c>
      <c r="C111">
        <v>25</v>
      </c>
      <c r="D111">
        <v>25</v>
      </c>
      <c r="E111">
        <v>25</v>
      </c>
      <c r="F111">
        <v>25</v>
      </c>
      <c r="G111">
        <v>0</v>
      </c>
      <c r="H111">
        <v>40</v>
      </c>
    </row>
    <row r="112" spans="1:8" x14ac:dyDescent="0.2">
      <c r="A112">
        <v>1329</v>
      </c>
      <c r="B112">
        <v>61405</v>
      </c>
      <c r="C112">
        <v>25</v>
      </c>
      <c r="D112">
        <v>25</v>
      </c>
      <c r="E112">
        <v>30</v>
      </c>
      <c r="F112">
        <v>20</v>
      </c>
      <c r="G112">
        <v>0</v>
      </c>
      <c r="H112">
        <v>59</v>
      </c>
    </row>
    <row r="113" spans="1:8" x14ac:dyDescent="0.2">
      <c r="A113">
        <v>1330</v>
      </c>
      <c r="B113">
        <v>56475</v>
      </c>
      <c r="C113">
        <v>25</v>
      </c>
      <c r="D113">
        <v>15</v>
      </c>
      <c r="E113">
        <v>45</v>
      </c>
      <c r="F113">
        <v>15</v>
      </c>
      <c r="G113">
        <v>15</v>
      </c>
      <c r="H113">
        <v>50</v>
      </c>
    </row>
    <row r="114" spans="1:8" x14ac:dyDescent="0.2">
      <c r="A114">
        <v>1331</v>
      </c>
      <c r="B114">
        <v>57680</v>
      </c>
      <c r="C114">
        <v>25</v>
      </c>
      <c r="D114">
        <v>35</v>
      </c>
      <c r="E114">
        <v>25</v>
      </c>
      <c r="F114">
        <v>15</v>
      </c>
      <c r="G114">
        <v>0</v>
      </c>
      <c r="H114">
        <v>50</v>
      </c>
    </row>
    <row r="115" spans="1:8" x14ac:dyDescent="0.2">
      <c r="A115">
        <v>1332</v>
      </c>
      <c r="B115">
        <v>57100</v>
      </c>
      <c r="C115">
        <v>25</v>
      </c>
      <c r="D115">
        <v>25</v>
      </c>
      <c r="E115">
        <v>25</v>
      </c>
      <c r="F115">
        <v>25</v>
      </c>
      <c r="G115">
        <v>0</v>
      </c>
      <c r="H115">
        <v>40</v>
      </c>
    </row>
    <row r="116" spans="1:8" x14ac:dyDescent="0.2">
      <c r="A116">
        <v>1333</v>
      </c>
      <c r="B116">
        <v>56175</v>
      </c>
      <c r="C116">
        <v>25</v>
      </c>
      <c r="D116">
        <v>25</v>
      </c>
      <c r="E116">
        <v>25</v>
      </c>
      <c r="F116">
        <v>0</v>
      </c>
      <c r="G116">
        <v>25</v>
      </c>
      <c r="H116">
        <v>35</v>
      </c>
    </row>
    <row r="117" spans="1:8" x14ac:dyDescent="0.2">
      <c r="A117">
        <v>1334</v>
      </c>
      <c r="B117">
        <v>58175</v>
      </c>
      <c r="C117">
        <v>25</v>
      </c>
      <c r="D117">
        <v>25</v>
      </c>
      <c r="E117">
        <v>25</v>
      </c>
      <c r="F117">
        <v>0</v>
      </c>
      <c r="G117">
        <v>25</v>
      </c>
      <c r="H117">
        <v>35</v>
      </c>
    </row>
    <row r="118" spans="1:8" x14ac:dyDescent="0.2">
      <c r="A118">
        <v>1335</v>
      </c>
      <c r="B118">
        <v>59625</v>
      </c>
      <c r="C118">
        <v>25</v>
      </c>
      <c r="D118">
        <v>25</v>
      </c>
      <c r="E118">
        <v>25</v>
      </c>
      <c r="F118">
        <v>0</v>
      </c>
      <c r="G118">
        <v>25</v>
      </c>
      <c r="H118">
        <v>25</v>
      </c>
    </row>
    <row r="119" spans="1:8" x14ac:dyDescent="0.2">
      <c r="A119">
        <v>1336</v>
      </c>
      <c r="B119">
        <v>54900</v>
      </c>
      <c r="C119">
        <v>25</v>
      </c>
      <c r="D119">
        <v>25</v>
      </c>
      <c r="E119">
        <v>25</v>
      </c>
      <c r="F119">
        <v>0</v>
      </c>
      <c r="G119">
        <v>25</v>
      </c>
      <c r="H119">
        <v>25</v>
      </c>
    </row>
    <row r="120" spans="1:8" x14ac:dyDescent="0.2">
      <c r="A120">
        <v>1337</v>
      </c>
      <c r="B120">
        <v>57475</v>
      </c>
      <c r="C120">
        <v>25</v>
      </c>
      <c r="D120">
        <v>25</v>
      </c>
      <c r="E120">
        <v>25</v>
      </c>
      <c r="F120">
        <v>0</v>
      </c>
      <c r="G120">
        <v>25</v>
      </c>
      <c r="H120">
        <v>25</v>
      </c>
    </row>
    <row r="121" spans="1:8" x14ac:dyDescent="0.2">
      <c r="A121">
        <v>1338</v>
      </c>
      <c r="B121">
        <v>55500</v>
      </c>
      <c r="C121">
        <v>25</v>
      </c>
      <c r="D121">
        <v>25</v>
      </c>
      <c r="E121">
        <v>25</v>
      </c>
      <c r="F121">
        <v>25</v>
      </c>
      <c r="G121">
        <v>0</v>
      </c>
      <c r="H121">
        <v>20</v>
      </c>
    </row>
    <row r="122" spans="1:8" x14ac:dyDescent="0.2">
      <c r="A122">
        <v>1339</v>
      </c>
      <c r="B122">
        <v>58625</v>
      </c>
      <c r="C122">
        <v>25</v>
      </c>
      <c r="D122">
        <v>25</v>
      </c>
      <c r="E122">
        <v>25</v>
      </c>
      <c r="F122">
        <v>25</v>
      </c>
      <c r="G122">
        <v>0</v>
      </c>
      <c r="H122">
        <v>25</v>
      </c>
    </row>
    <row r="123" spans="1:8" x14ac:dyDescent="0.2">
      <c r="A123">
        <v>1340</v>
      </c>
      <c r="B123">
        <v>60300</v>
      </c>
      <c r="C123">
        <v>25</v>
      </c>
      <c r="D123">
        <v>25</v>
      </c>
      <c r="E123">
        <v>25</v>
      </c>
      <c r="F123">
        <v>25</v>
      </c>
      <c r="G123">
        <v>0</v>
      </c>
      <c r="H123">
        <v>50</v>
      </c>
    </row>
    <row r="124" spans="1:8" x14ac:dyDescent="0.2">
      <c r="A124">
        <v>1341</v>
      </c>
      <c r="B124">
        <v>58950</v>
      </c>
      <c r="C124">
        <v>25</v>
      </c>
      <c r="D124">
        <v>25</v>
      </c>
      <c r="E124">
        <v>25</v>
      </c>
      <c r="F124">
        <v>25</v>
      </c>
      <c r="G124">
        <v>0</v>
      </c>
      <c r="H124">
        <v>40</v>
      </c>
    </row>
    <row r="125" spans="1:8" x14ac:dyDescent="0.2">
      <c r="A125">
        <v>1342</v>
      </c>
      <c r="B125">
        <v>56175</v>
      </c>
      <c r="C125">
        <v>25</v>
      </c>
      <c r="D125">
        <v>25</v>
      </c>
      <c r="E125">
        <v>25</v>
      </c>
      <c r="F125">
        <v>25</v>
      </c>
      <c r="G125">
        <v>0</v>
      </c>
      <c r="H125">
        <v>30</v>
      </c>
    </row>
    <row r="126" spans="1:8" x14ac:dyDescent="0.2">
      <c r="A126">
        <v>1345</v>
      </c>
      <c r="B126">
        <v>61490</v>
      </c>
      <c r="C126">
        <v>25</v>
      </c>
      <c r="D126">
        <v>15</v>
      </c>
      <c r="E126">
        <v>45</v>
      </c>
      <c r="F126">
        <v>0</v>
      </c>
      <c r="G126">
        <v>15</v>
      </c>
      <c r="H126">
        <v>35</v>
      </c>
    </row>
    <row r="127" spans="1:8" x14ac:dyDescent="0.2">
      <c r="A127">
        <v>1348</v>
      </c>
      <c r="B127">
        <v>64775</v>
      </c>
      <c r="C127">
        <v>25</v>
      </c>
      <c r="D127">
        <v>20</v>
      </c>
      <c r="E127">
        <v>45</v>
      </c>
      <c r="F127">
        <v>0</v>
      </c>
      <c r="G127">
        <v>10</v>
      </c>
      <c r="H127">
        <v>50</v>
      </c>
    </row>
    <row r="128" spans="1:8" x14ac:dyDescent="0.2">
      <c r="A128">
        <v>1349</v>
      </c>
      <c r="B128">
        <v>62820</v>
      </c>
      <c r="C128">
        <v>25</v>
      </c>
      <c r="D128">
        <v>20</v>
      </c>
      <c r="E128">
        <v>30</v>
      </c>
      <c r="F128">
        <v>0</v>
      </c>
      <c r="G128">
        <v>25</v>
      </c>
      <c r="H128">
        <v>85</v>
      </c>
    </row>
    <row r="129" spans="1:8" x14ac:dyDescent="0.2">
      <c r="A129">
        <v>1350</v>
      </c>
      <c r="B129">
        <v>61765</v>
      </c>
      <c r="C129">
        <v>20</v>
      </c>
      <c r="D129">
        <v>20</v>
      </c>
      <c r="E129">
        <v>45</v>
      </c>
      <c r="F129">
        <v>0</v>
      </c>
      <c r="G129">
        <v>15</v>
      </c>
      <c r="H129">
        <v>65</v>
      </c>
    </row>
    <row r="130" spans="1:8" x14ac:dyDescent="0.2">
      <c r="A130">
        <v>1352</v>
      </c>
      <c r="B130">
        <v>57600</v>
      </c>
      <c r="C130">
        <v>25</v>
      </c>
      <c r="D130">
        <v>25</v>
      </c>
      <c r="E130">
        <v>25</v>
      </c>
      <c r="F130">
        <v>25</v>
      </c>
      <c r="G130">
        <v>0</v>
      </c>
      <c r="H130">
        <v>40</v>
      </c>
    </row>
    <row r="131" spans="1:8" x14ac:dyDescent="0.2">
      <c r="A131">
        <v>1354</v>
      </c>
      <c r="B131">
        <v>55330</v>
      </c>
      <c r="C131">
        <v>20</v>
      </c>
      <c r="D131">
        <v>40</v>
      </c>
      <c r="E131">
        <v>30</v>
      </c>
      <c r="F131">
        <v>10</v>
      </c>
      <c r="G131">
        <v>0</v>
      </c>
      <c r="H131">
        <v>60</v>
      </c>
    </row>
    <row r="132" spans="1:8" x14ac:dyDescent="0.2">
      <c r="A132">
        <v>1355</v>
      </c>
      <c r="B132">
        <v>61570</v>
      </c>
      <c r="C132">
        <v>25</v>
      </c>
      <c r="D132">
        <v>15</v>
      </c>
      <c r="E132">
        <v>45</v>
      </c>
      <c r="F132">
        <v>0</v>
      </c>
      <c r="G132">
        <v>15</v>
      </c>
      <c r="H132">
        <v>30</v>
      </c>
    </row>
    <row r="133" spans="1:8" x14ac:dyDescent="0.2">
      <c r="A133">
        <v>1356</v>
      </c>
      <c r="B133">
        <v>59860</v>
      </c>
      <c r="C133">
        <v>25</v>
      </c>
      <c r="D133">
        <v>15</v>
      </c>
      <c r="E133">
        <v>45</v>
      </c>
      <c r="F133">
        <v>0</v>
      </c>
      <c r="G133">
        <v>15</v>
      </c>
      <c r="H133">
        <v>25</v>
      </c>
    </row>
    <row r="134" spans="1:8" x14ac:dyDescent="0.2">
      <c r="A134">
        <v>1357</v>
      </c>
      <c r="B134">
        <v>58850</v>
      </c>
      <c r="C134">
        <v>25</v>
      </c>
      <c r="D134">
        <v>25</v>
      </c>
      <c r="E134">
        <v>25</v>
      </c>
      <c r="F134">
        <v>25</v>
      </c>
      <c r="G134">
        <v>0</v>
      </c>
      <c r="H134">
        <v>50</v>
      </c>
    </row>
    <row r="135" spans="1:8" x14ac:dyDescent="0.2">
      <c r="A135">
        <v>1358</v>
      </c>
      <c r="B135">
        <v>59775</v>
      </c>
      <c r="C135">
        <v>30</v>
      </c>
      <c r="D135">
        <v>35</v>
      </c>
      <c r="E135">
        <v>25</v>
      </c>
      <c r="F135">
        <v>10</v>
      </c>
      <c r="G135">
        <v>0</v>
      </c>
      <c r="H135">
        <v>75</v>
      </c>
    </row>
    <row r="136" spans="1:8" x14ac:dyDescent="0.2">
      <c r="A136">
        <v>1359</v>
      </c>
      <c r="B136">
        <v>61720</v>
      </c>
      <c r="C136">
        <v>25</v>
      </c>
      <c r="D136">
        <v>25</v>
      </c>
      <c r="E136">
        <v>20</v>
      </c>
      <c r="F136">
        <v>30</v>
      </c>
      <c r="G136">
        <v>0</v>
      </c>
      <c r="H136">
        <v>40</v>
      </c>
    </row>
    <row r="137" spans="1:8" x14ac:dyDescent="0.2">
      <c r="A137">
        <v>1361</v>
      </c>
      <c r="B137">
        <v>58120</v>
      </c>
      <c r="C137">
        <v>25</v>
      </c>
      <c r="D137">
        <v>15</v>
      </c>
      <c r="E137">
        <v>40</v>
      </c>
      <c r="F137">
        <v>0</v>
      </c>
      <c r="G137">
        <v>20</v>
      </c>
      <c r="H137">
        <v>50</v>
      </c>
    </row>
    <row r="138" spans="1:8" x14ac:dyDescent="0.2">
      <c r="A138">
        <v>1362</v>
      </c>
      <c r="B138">
        <v>64160</v>
      </c>
      <c r="C138">
        <v>25</v>
      </c>
      <c r="D138">
        <v>15</v>
      </c>
      <c r="E138">
        <v>45</v>
      </c>
      <c r="F138">
        <v>0</v>
      </c>
      <c r="G138">
        <v>15</v>
      </c>
      <c r="H138">
        <v>60</v>
      </c>
    </row>
    <row r="139" spans="1:8" x14ac:dyDescent="0.2">
      <c r="A139">
        <v>1363</v>
      </c>
      <c r="B139">
        <v>55905</v>
      </c>
      <c r="C139">
        <v>25</v>
      </c>
      <c r="D139">
        <v>15</v>
      </c>
      <c r="E139">
        <v>45</v>
      </c>
      <c r="F139">
        <v>0</v>
      </c>
      <c r="G139">
        <v>15</v>
      </c>
      <c r="H139">
        <v>35</v>
      </c>
    </row>
    <row r="140" spans="1:8" x14ac:dyDescent="0.2">
      <c r="A140">
        <v>1364</v>
      </c>
      <c r="B140">
        <v>57735</v>
      </c>
      <c r="C140">
        <v>25</v>
      </c>
      <c r="D140">
        <v>15</v>
      </c>
      <c r="E140">
        <v>45</v>
      </c>
      <c r="F140">
        <v>0</v>
      </c>
      <c r="G140">
        <v>15</v>
      </c>
      <c r="H140">
        <v>50</v>
      </c>
    </row>
    <row r="141" spans="1:8" x14ac:dyDescent="0.2">
      <c r="A141">
        <v>1365</v>
      </c>
      <c r="B141">
        <v>51045</v>
      </c>
      <c r="C141">
        <v>25</v>
      </c>
      <c r="D141">
        <v>15</v>
      </c>
      <c r="E141">
        <v>45</v>
      </c>
      <c r="F141">
        <v>0</v>
      </c>
      <c r="G141">
        <v>15</v>
      </c>
      <c r="H141">
        <v>60</v>
      </c>
    </row>
    <row r="142" spans="1:8" x14ac:dyDescent="0.2">
      <c r="A142">
        <v>1366</v>
      </c>
      <c r="B142">
        <v>65910</v>
      </c>
      <c r="C142">
        <v>25</v>
      </c>
      <c r="D142">
        <v>15</v>
      </c>
      <c r="E142">
        <v>45</v>
      </c>
      <c r="F142">
        <v>0</v>
      </c>
      <c r="G142">
        <v>15</v>
      </c>
      <c r="H142">
        <v>20</v>
      </c>
    </row>
    <row r="143" spans="1:8" x14ac:dyDescent="0.2">
      <c r="A143">
        <v>1367</v>
      </c>
      <c r="B143">
        <v>62345</v>
      </c>
      <c r="C143">
        <v>25</v>
      </c>
      <c r="D143">
        <v>25</v>
      </c>
      <c r="E143">
        <v>35</v>
      </c>
      <c r="F143">
        <v>0</v>
      </c>
      <c r="G143">
        <v>15</v>
      </c>
      <c r="H143">
        <v>65</v>
      </c>
    </row>
    <row r="144" spans="1:8" x14ac:dyDescent="0.2">
      <c r="A144">
        <v>1368</v>
      </c>
      <c r="B144">
        <v>59375</v>
      </c>
      <c r="C144">
        <v>25</v>
      </c>
      <c r="D144">
        <v>15</v>
      </c>
      <c r="E144">
        <v>45</v>
      </c>
      <c r="F144">
        <v>0</v>
      </c>
      <c r="G144">
        <v>15</v>
      </c>
      <c r="H144">
        <v>235</v>
      </c>
    </row>
    <row r="145" spans="1:8" x14ac:dyDescent="0.2">
      <c r="A145">
        <v>1369</v>
      </c>
      <c r="B145">
        <v>68235</v>
      </c>
      <c r="C145">
        <v>25</v>
      </c>
      <c r="D145">
        <v>15</v>
      </c>
      <c r="E145">
        <v>45</v>
      </c>
      <c r="F145">
        <v>0</v>
      </c>
      <c r="G145">
        <v>15</v>
      </c>
      <c r="H145">
        <v>45</v>
      </c>
    </row>
    <row r="146" spans="1:8" x14ac:dyDescent="0.2">
      <c r="A146">
        <v>1370</v>
      </c>
      <c r="B146">
        <v>61375</v>
      </c>
      <c r="C146">
        <v>25</v>
      </c>
      <c r="D146">
        <v>15</v>
      </c>
      <c r="E146">
        <v>45</v>
      </c>
      <c r="F146">
        <v>0</v>
      </c>
      <c r="G146">
        <v>15</v>
      </c>
      <c r="H146">
        <v>35</v>
      </c>
    </row>
    <row r="147" spans="1:8" x14ac:dyDescent="0.2">
      <c r="A147">
        <v>1371</v>
      </c>
      <c r="B147">
        <v>64500</v>
      </c>
      <c r="C147">
        <v>25</v>
      </c>
      <c r="D147">
        <v>15</v>
      </c>
      <c r="E147">
        <v>45</v>
      </c>
      <c r="F147">
        <v>0</v>
      </c>
      <c r="G147">
        <v>15</v>
      </c>
      <c r="H147">
        <v>40</v>
      </c>
    </row>
    <row r="148" spans="1:8" x14ac:dyDescent="0.2">
      <c r="A148">
        <v>1372</v>
      </c>
      <c r="B148">
        <v>68460</v>
      </c>
      <c r="C148">
        <v>25</v>
      </c>
      <c r="D148">
        <v>15</v>
      </c>
      <c r="E148">
        <v>45</v>
      </c>
      <c r="F148">
        <v>0</v>
      </c>
      <c r="G148">
        <v>15</v>
      </c>
      <c r="H148">
        <v>50</v>
      </c>
    </row>
    <row r="149" spans="1:8" x14ac:dyDescent="0.2">
      <c r="A149">
        <v>1373</v>
      </c>
      <c r="B149">
        <v>61100</v>
      </c>
      <c r="C149">
        <v>25</v>
      </c>
      <c r="D149">
        <v>15</v>
      </c>
      <c r="E149">
        <v>45</v>
      </c>
      <c r="F149">
        <v>0</v>
      </c>
      <c r="G149">
        <v>15</v>
      </c>
      <c r="H149">
        <v>50</v>
      </c>
    </row>
    <row r="150" spans="1:8" x14ac:dyDescent="0.2">
      <c r="A150">
        <v>1374</v>
      </c>
      <c r="B150">
        <v>62690</v>
      </c>
      <c r="C150">
        <v>25</v>
      </c>
      <c r="D150">
        <v>15</v>
      </c>
      <c r="E150">
        <v>45</v>
      </c>
      <c r="F150">
        <v>0</v>
      </c>
      <c r="G150">
        <v>15</v>
      </c>
      <c r="H150">
        <v>45</v>
      </c>
    </row>
    <row r="151" spans="1:8" x14ac:dyDescent="0.2">
      <c r="A151">
        <v>1375</v>
      </c>
      <c r="B151">
        <v>62685</v>
      </c>
      <c r="C151">
        <v>25</v>
      </c>
      <c r="D151">
        <v>15</v>
      </c>
      <c r="E151">
        <v>45</v>
      </c>
      <c r="F151">
        <v>0</v>
      </c>
      <c r="G151">
        <v>15</v>
      </c>
      <c r="H151">
        <v>30</v>
      </c>
    </row>
    <row r="152" spans="1:8" x14ac:dyDescent="0.2">
      <c r="A152">
        <v>1376</v>
      </c>
      <c r="B152">
        <v>68120</v>
      </c>
      <c r="C152">
        <v>25</v>
      </c>
      <c r="D152">
        <v>15</v>
      </c>
      <c r="E152">
        <v>45</v>
      </c>
      <c r="F152">
        <v>0</v>
      </c>
      <c r="G152">
        <v>15</v>
      </c>
      <c r="H152">
        <v>45</v>
      </c>
    </row>
    <row r="153" spans="1:8" x14ac:dyDescent="0.2">
      <c r="A153">
        <v>1377</v>
      </c>
      <c r="B153">
        <v>60090</v>
      </c>
      <c r="C153">
        <v>20</v>
      </c>
      <c r="D153">
        <v>20</v>
      </c>
      <c r="E153">
        <v>30</v>
      </c>
      <c r="F153">
        <v>30</v>
      </c>
      <c r="G153">
        <v>0</v>
      </c>
      <c r="H153">
        <v>65</v>
      </c>
    </row>
    <row r="154" spans="1:8" x14ac:dyDescent="0.2">
      <c r="A154">
        <v>1379</v>
      </c>
      <c r="B154">
        <v>50650</v>
      </c>
      <c r="C154">
        <v>25</v>
      </c>
      <c r="D154">
        <v>25</v>
      </c>
      <c r="E154">
        <v>25</v>
      </c>
      <c r="F154">
        <v>0</v>
      </c>
      <c r="G154">
        <v>25</v>
      </c>
      <c r="H154">
        <v>60</v>
      </c>
    </row>
    <row r="155" spans="1:8" x14ac:dyDescent="0.2">
      <c r="A155">
        <v>1380</v>
      </c>
      <c r="B155">
        <v>58845</v>
      </c>
      <c r="C155">
        <v>25</v>
      </c>
      <c r="D155">
        <v>20</v>
      </c>
      <c r="E155">
        <v>40</v>
      </c>
      <c r="F155">
        <v>15</v>
      </c>
      <c r="G155">
        <v>0</v>
      </c>
      <c r="H155">
        <v>75</v>
      </c>
    </row>
    <row r="156" spans="1:8" x14ac:dyDescent="0.2">
      <c r="A156">
        <v>1381</v>
      </c>
      <c r="B156">
        <v>65610</v>
      </c>
      <c r="C156">
        <v>20</v>
      </c>
      <c r="D156">
        <v>15</v>
      </c>
      <c r="E156">
        <v>40</v>
      </c>
      <c r="F156">
        <v>0</v>
      </c>
      <c r="G156">
        <v>25</v>
      </c>
      <c r="H156">
        <v>65</v>
      </c>
    </row>
    <row r="157" spans="1:8" x14ac:dyDescent="0.2">
      <c r="A157">
        <v>1382</v>
      </c>
      <c r="B157">
        <v>65840</v>
      </c>
      <c r="C157">
        <v>25</v>
      </c>
      <c r="D157">
        <v>15</v>
      </c>
      <c r="E157">
        <v>45</v>
      </c>
      <c r="F157">
        <v>0</v>
      </c>
      <c r="G157">
        <v>15</v>
      </c>
      <c r="H157">
        <v>45</v>
      </c>
    </row>
    <row r="158" spans="1:8" x14ac:dyDescent="0.2">
      <c r="A158">
        <v>1383</v>
      </c>
      <c r="B158">
        <v>68155</v>
      </c>
      <c r="C158">
        <v>25</v>
      </c>
      <c r="D158">
        <v>20</v>
      </c>
      <c r="E158">
        <v>30</v>
      </c>
      <c r="F158">
        <v>0</v>
      </c>
      <c r="G158">
        <v>25</v>
      </c>
      <c r="H158">
        <v>40</v>
      </c>
    </row>
    <row r="159" spans="1:8" x14ac:dyDescent="0.2">
      <c r="A159">
        <v>1385</v>
      </c>
      <c r="B159">
        <v>51155</v>
      </c>
      <c r="C159">
        <v>25</v>
      </c>
      <c r="D159">
        <v>15</v>
      </c>
      <c r="E159">
        <v>40</v>
      </c>
      <c r="F159">
        <v>0</v>
      </c>
      <c r="G159">
        <v>20</v>
      </c>
      <c r="H159">
        <v>40</v>
      </c>
    </row>
    <row r="160" spans="1:8" x14ac:dyDescent="0.2">
      <c r="A160">
        <v>1386</v>
      </c>
      <c r="B160">
        <v>74230</v>
      </c>
      <c r="C160">
        <v>20</v>
      </c>
      <c r="D160">
        <v>20</v>
      </c>
      <c r="E160">
        <v>45</v>
      </c>
      <c r="F160">
        <v>0</v>
      </c>
      <c r="G160">
        <v>15</v>
      </c>
      <c r="H160">
        <v>108</v>
      </c>
    </row>
    <row r="161" spans="1:8" x14ac:dyDescent="0.2">
      <c r="A161">
        <v>1387</v>
      </c>
      <c r="B161">
        <v>63960</v>
      </c>
      <c r="C161">
        <v>25</v>
      </c>
      <c r="D161">
        <v>25</v>
      </c>
      <c r="E161">
        <v>30</v>
      </c>
      <c r="F161">
        <v>0</v>
      </c>
      <c r="G161">
        <v>20</v>
      </c>
      <c r="H161">
        <v>105</v>
      </c>
    </row>
    <row r="162" spans="1:8" x14ac:dyDescent="0.2">
      <c r="A162">
        <v>1388</v>
      </c>
      <c r="B162">
        <v>61890</v>
      </c>
      <c r="C162">
        <v>25</v>
      </c>
      <c r="D162">
        <v>20</v>
      </c>
      <c r="E162">
        <v>30</v>
      </c>
      <c r="F162">
        <v>0</v>
      </c>
      <c r="G162">
        <v>25</v>
      </c>
      <c r="H162">
        <v>81</v>
      </c>
    </row>
    <row r="163" spans="1:8" x14ac:dyDescent="0.2">
      <c r="A163">
        <v>1389</v>
      </c>
      <c r="B163">
        <v>52510</v>
      </c>
      <c r="C163">
        <v>25</v>
      </c>
      <c r="D163">
        <v>30</v>
      </c>
      <c r="E163">
        <v>30</v>
      </c>
      <c r="F163">
        <v>15</v>
      </c>
      <c r="G163">
        <v>0</v>
      </c>
      <c r="H163">
        <v>40</v>
      </c>
    </row>
    <row r="164" spans="1:8" x14ac:dyDescent="0.2">
      <c r="A164">
        <v>1390</v>
      </c>
      <c r="B164">
        <v>50060</v>
      </c>
      <c r="C164">
        <v>25</v>
      </c>
      <c r="D164">
        <v>30</v>
      </c>
      <c r="E164">
        <v>30</v>
      </c>
      <c r="F164">
        <v>15</v>
      </c>
      <c r="G164">
        <v>0</v>
      </c>
      <c r="H164">
        <v>40</v>
      </c>
    </row>
    <row r="165" spans="1:8" x14ac:dyDescent="0.2">
      <c r="A165">
        <v>1391</v>
      </c>
      <c r="B165">
        <v>70795</v>
      </c>
      <c r="C165">
        <v>25</v>
      </c>
      <c r="D165">
        <v>25</v>
      </c>
      <c r="E165">
        <v>30</v>
      </c>
      <c r="F165">
        <v>0</v>
      </c>
      <c r="G165">
        <v>20</v>
      </c>
      <c r="H165">
        <v>80</v>
      </c>
    </row>
    <row r="166" spans="1:8" x14ac:dyDescent="0.2">
      <c r="A166">
        <v>1392</v>
      </c>
      <c r="B166">
        <v>52460</v>
      </c>
      <c r="C166">
        <v>25</v>
      </c>
      <c r="D166">
        <v>30</v>
      </c>
      <c r="E166">
        <v>30</v>
      </c>
      <c r="F166">
        <v>15</v>
      </c>
      <c r="G166">
        <v>0</v>
      </c>
      <c r="H166">
        <v>40</v>
      </c>
    </row>
    <row r="167" spans="1:8" x14ac:dyDescent="0.2">
      <c r="A167">
        <v>1393</v>
      </c>
      <c r="B167">
        <v>45645</v>
      </c>
      <c r="C167">
        <v>25</v>
      </c>
      <c r="D167">
        <v>15</v>
      </c>
      <c r="E167">
        <v>45</v>
      </c>
      <c r="F167">
        <v>0</v>
      </c>
      <c r="G167">
        <v>15</v>
      </c>
      <c r="H167">
        <v>50</v>
      </c>
    </row>
    <row r="168" spans="1:8" x14ac:dyDescent="0.2">
      <c r="A168">
        <v>1394</v>
      </c>
      <c r="B168">
        <v>45225</v>
      </c>
      <c r="C168">
        <v>25</v>
      </c>
      <c r="D168">
        <v>20</v>
      </c>
      <c r="E168">
        <v>40</v>
      </c>
      <c r="F168">
        <v>15</v>
      </c>
      <c r="G168">
        <v>0</v>
      </c>
      <c r="H168">
        <v>90</v>
      </c>
    </row>
    <row r="169" spans="1:8" x14ac:dyDescent="0.2">
      <c r="A169">
        <v>1396</v>
      </c>
      <c r="B169">
        <v>45985</v>
      </c>
      <c r="C169">
        <v>25</v>
      </c>
      <c r="D169">
        <v>15</v>
      </c>
      <c r="E169">
        <v>45</v>
      </c>
      <c r="F169">
        <v>0</v>
      </c>
      <c r="G169">
        <v>15</v>
      </c>
      <c r="H169">
        <v>60</v>
      </c>
    </row>
    <row r="170" spans="1:8" x14ac:dyDescent="0.2">
      <c r="A170">
        <v>1398</v>
      </c>
      <c r="B170">
        <v>51740</v>
      </c>
      <c r="C170">
        <v>25</v>
      </c>
      <c r="D170">
        <v>15</v>
      </c>
      <c r="E170">
        <v>45</v>
      </c>
      <c r="F170">
        <v>0</v>
      </c>
      <c r="G170">
        <v>15</v>
      </c>
      <c r="H170">
        <v>45</v>
      </c>
    </row>
    <row r="171" spans="1:8" x14ac:dyDescent="0.2">
      <c r="A171">
        <v>1399</v>
      </c>
      <c r="B171">
        <v>45385</v>
      </c>
      <c r="C171">
        <v>25</v>
      </c>
      <c r="D171">
        <v>20</v>
      </c>
      <c r="E171">
        <v>40</v>
      </c>
      <c r="F171">
        <v>0</v>
      </c>
      <c r="G171">
        <v>15</v>
      </c>
      <c r="H171">
        <v>40</v>
      </c>
    </row>
    <row r="172" spans="1:8" x14ac:dyDescent="0.2">
      <c r="A172">
        <v>1401</v>
      </c>
      <c r="B172">
        <v>58590</v>
      </c>
      <c r="C172">
        <v>25</v>
      </c>
      <c r="D172">
        <v>30</v>
      </c>
      <c r="E172">
        <v>30</v>
      </c>
      <c r="F172">
        <v>15</v>
      </c>
      <c r="G172">
        <v>15</v>
      </c>
      <c r="H172">
        <v>100</v>
      </c>
    </row>
    <row r="173" spans="1:8" x14ac:dyDescent="0.2">
      <c r="A173">
        <v>1402</v>
      </c>
      <c r="B173">
        <v>63165</v>
      </c>
      <c r="C173">
        <v>25</v>
      </c>
      <c r="D173">
        <v>30</v>
      </c>
      <c r="E173">
        <v>30</v>
      </c>
      <c r="F173">
        <v>15</v>
      </c>
      <c r="G173">
        <v>15</v>
      </c>
      <c r="H173">
        <v>65</v>
      </c>
    </row>
    <row r="174" spans="1:8" x14ac:dyDescent="0.2">
      <c r="A174">
        <v>1403</v>
      </c>
      <c r="B174">
        <v>61435</v>
      </c>
      <c r="C174">
        <v>25</v>
      </c>
      <c r="D174">
        <v>30</v>
      </c>
      <c r="E174">
        <v>30</v>
      </c>
      <c r="F174">
        <v>15</v>
      </c>
      <c r="G174">
        <v>15</v>
      </c>
      <c r="H174">
        <v>45</v>
      </c>
    </row>
    <row r="175" spans="1:8" x14ac:dyDescent="0.2">
      <c r="A175">
        <v>1404</v>
      </c>
      <c r="B175">
        <v>60280</v>
      </c>
      <c r="C175">
        <v>25</v>
      </c>
      <c r="D175">
        <v>30</v>
      </c>
      <c r="E175">
        <v>30</v>
      </c>
      <c r="F175">
        <v>15</v>
      </c>
      <c r="G175">
        <v>15</v>
      </c>
      <c r="H175">
        <v>20</v>
      </c>
    </row>
    <row r="176" spans="1:8" x14ac:dyDescent="0.2">
      <c r="A176">
        <v>1405</v>
      </c>
      <c r="B176">
        <v>61760</v>
      </c>
      <c r="C176">
        <v>25</v>
      </c>
      <c r="D176">
        <v>30</v>
      </c>
      <c r="E176">
        <v>30</v>
      </c>
      <c r="F176">
        <v>15</v>
      </c>
      <c r="G176">
        <v>15</v>
      </c>
      <c r="H176">
        <v>95</v>
      </c>
    </row>
    <row r="177" spans="1:8" x14ac:dyDescent="0.2">
      <c r="A177">
        <v>1406</v>
      </c>
      <c r="B177">
        <v>57145</v>
      </c>
      <c r="C177">
        <v>25</v>
      </c>
      <c r="D177">
        <v>30</v>
      </c>
      <c r="E177">
        <v>30</v>
      </c>
      <c r="F177">
        <v>15</v>
      </c>
      <c r="G177">
        <v>15</v>
      </c>
      <c r="H177">
        <v>75</v>
      </c>
    </row>
    <row r="178" spans="1:8" x14ac:dyDescent="0.2">
      <c r="A178">
        <v>1407</v>
      </c>
      <c r="B178">
        <v>61850</v>
      </c>
      <c r="C178">
        <v>25</v>
      </c>
      <c r="D178">
        <v>30</v>
      </c>
      <c r="E178">
        <v>30</v>
      </c>
      <c r="F178">
        <v>15</v>
      </c>
      <c r="G178">
        <v>15</v>
      </c>
      <c r="H178">
        <v>40</v>
      </c>
    </row>
    <row r="179" spans="1:8" x14ac:dyDescent="0.2">
      <c r="A179">
        <v>1408</v>
      </c>
      <c r="B179">
        <v>59285</v>
      </c>
      <c r="C179">
        <v>25</v>
      </c>
      <c r="D179">
        <v>30</v>
      </c>
      <c r="E179">
        <v>30</v>
      </c>
      <c r="F179">
        <v>15</v>
      </c>
      <c r="G179">
        <v>15</v>
      </c>
      <c r="H179">
        <v>45</v>
      </c>
    </row>
    <row r="180" spans="1:8" x14ac:dyDescent="0.2">
      <c r="A180">
        <v>1409</v>
      </c>
      <c r="B180">
        <v>59730</v>
      </c>
      <c r="C180">
        <v>25</v>
      </c>
      <c r="D180">
        <v>30</v>
      </c>
      <c r="E180">
        <v>30</v>
      </c>
      <c r="F180">
        <v>15</v>
      </c>
      <c r="G180">
        <v>15</v>
      </c>
      <c r="H180">
        <v>40</v>
      </c>
    </row>
    <row r="181" spans="1:8" x14ac:dyDescent="0.2">
      <c r="A181">
        <v>1410</v>
      </c>
      <c r="B181">
        <v>59265</v>
      </c>
      <c r="C181">
        <v>25</v>
      </c>
      <c r="D181">
        <v>30</v>
      </c>
      <c r="E181">
        <v>30</v>
      </c>
      <c r="F181">
        <v>15</v>
      </c>
      <c r="G181">
        <v>15</v>
      </c>
      <c r="H181">
        <v>30</v>
      </c>
    </row>
    <row r="182" spans="1:8" x14ac:dyDescent="0.2">
      <c r="A182">
        <v>1411</v>
      </c>
      <c r="B182">
        <v>57115</v>
      </c>
      <c r="C182">
        <v>25</v>
      </c>
      <c r="D182">
        <v>30</v>
      </c>
      <c r="E182">
        <v>30</v>
      </c>
      <c r="F182">
        <v>15</v>
      </c>
      <c r="G182">
        <v>15</v>
      </c>
      <c r="H182">
        <v>35</v>
      </c>
    </row>
    <row r="183" spans="1:8" x14ac:dyDescent="0.2">
      <c r="A183">
        <v>1412</v>
      </c>
      <c r="B183">
        <v>62655</v>
      </c>
      <c r="C183">
        <v>25</v>
      </c>
      <c r="D183">
        <v>30</v>
      </c>
      <c r="E183">
        <v>30</v>
      </c>
      <c r="F183">
        <v>15</v>
      </c>
      <c r="G183">
        <v>15</v>
      </c>
      <c r="H183">
        <v>45</v>
      </c>
    </row>
    <row r="184" spans="1:8" x14ac:dyDescent="0.2">
      <c r="A184">
        <v>1413</v>
      </c>
      <c r="B184">
        <v>58845</v>
      </c>
      <c r="C184">
        <v>25</v>
      </c>
      <c r="D184">
        <v>30</v>
      </c>
      <c r="E184">
        <v>30</v>
      </c>
      <c r="F184">
        <v>15</v>
      </c>
      <c r="G184">
        <v>15</v>
      </c>
      <c r="H184">
        <v>25</v>
      </c>
    </row>
    <row r="185" spans="1:8" x14ac:dyDescent="0.2">
      <c r="A185">
        <v>1414</v>
      </c>
      <c r="B185">
        <v>56070</v>
      </c>
      <c r="C185">
        <v>25</v>
      </c>
      <c r="D185">
        <v>30</v>
      </c>
      <c r="E185">
        <v>30</v>
      </c>
      <c r="F185">
        <v>15</v>
      </c>
      <c r="G185">
        <v>15</v>
      </c>
      <c r="H185">
        <v>20</v>
      </c>
    </row>
    <row r="186" spans="1:8" x14ac:dyDescent="0.2">
      <c r="A186">
        <v>1415</v>
      </c>
      <c r="B186">
        <v>65265</v>
      </c>
      <c r="C186">
        <v>25</v>
      </c>
      <c r="D186">
        <v>30</v>
      </c>
      <c r="E186">
        <v>30</v>
      </c>
      <c r="F186">
        <v>15</v>
      </c>
      <c r="G186">
        <v>15</v>
      </c>
      <c r="H186">
        <v>45</v>
      </c>
    </row>
    <row r="187" spans="1:8" x14ac:dyDescent="0.2">
      <c r="A187">
        <v>1416</v>
      </c>
      <c r="B187">
        <v>58640</v>
      </c>
      <c r="C187">
        <v>25</v>
      </c>
      <c r="D187">
        <v>30</v>
      </c>
      <c r="E187">
        <v>30</v>
      </c>
      <c r="F187">
        <v>15</v>
      </c>
      <c r="G187">
        <v>15</v>
      </c>
      <c r="H187">
        <v>55</v>
      </c>
    </row>
    <row r="188" spans="1:8" x14ac:dyDescent="0.2">
      <c r="A188">
        <v>1417</v>
      </c>
      <c r="B188">
        <v>51945</v>
      </c>
      <c r="C188">
        <v>25</v>
      </c>
      <c r="D188">
        <v>30</v>
      </c>
      <c r="E188">
        <v>30</v>
      </c>
      <c r="F188">
        <v>15</v>
      </c>
      <c r="G188">
        <v>15</v>
      </c>
      <c r="H188">
        <v>25</v>
      </c>
    </row>
    <row r="189" spans="1:8" x14ac:dyDescent="0.2">
      <c r="A189">
        <v>1418</v>
      </c>
      <c r="B189">
        <v>56845</v>
      </c>
      <c r="C189">
        <v>25</v>
      </c>
      <c r="D189">
        <v>30</v>
      </c>
      <c r="E189">
        <v>30</v>
      </c>
      <c r="F189">
        <v>15</v>
      </c>
      <c r="G189">
        <v>15</v>
      </c>
      <c r="H189">
        <v>35</v>
      </c>
    </row>
    <row r="190" spans="1:8" x14ac:dyDescent="0.2">
      <c r="A190">
        <v>1419</v>
      </c>
      <c r="B190">
        <v>55015</v>
      </c>
      <c r="C190">
        <v>25</v>
      </c>
      <c r="D190">
        <v>30</v>
      </c>
      <c r="E190">
        <v>30</v>
      </c>
      <c r="F190">
        <v>15</v>
      </c>
      <c r="G190">
        <v>15</v>
      </c>
      <c r="H190">
        <v>20</v>
      </c>
    </row>
    <row r="191" spans="1:8" x14ac:dyDescent="0.2">
      <c r="A191">
        <v>1430</v>
      </c>
      <c r="B191">
        <v>65250</v>
      </c>
      <c r="C191">
        <v>25</v>
      </c>
      <c r="D191">
        <v>40</v>
      </c>
      <c r="E191">
        <v>20</v>
      </c>
      <c r="F191">
        <v>15</v>
      </c>
      <c r="G191">
        <v>15</v>
      </c>
      <c r="H191">
        <v>150</v>
      </c>
    </row>
    <row r="192" spans="1:8" x14ac:dyDescent="0.2">
      <c r="A192">
        <v>1431</v>
      </c>
      <c r="B192">
        <v>60285</v>
      </c>
      <c r="C192">
        <v>25</v>
      </c>
      <c r="D192">
        <v>40</v>
      </c>
      <c r="E192">
        <v>20</v>
      </c>
      <c r="F192">
        <v>15</v>
      </c>
      <c r="G192">
        <v>15</v>
      </c>
      <c r="H192">
        <v>50</v>
      </c>
    </row>
    <row r="193" spans="1:8" x14ac:dyDescent="0.2">
      <c r="A193">
        <v>1432</v>
      </c>
      <c r="B193">
        <v>58095</v>
      </c>
      <c r="C193">
        <v>25</v>
      </c>
      <c r="D193">
        <v>40</v>
      </c>
      <c r="E193">
        <v>20</v>
      </c>
      <c r="F193">
        <v>15</v>
      </c>
      <c r="G193">
        <v>15</v>
      </c>
      <c r="H193">
        <v>50</v>
      </c>
    </row>
    <row r="194" spans="1:8" x14ac:dyDescent="0.2">
      <c r="A194">
        <v>1433</v>
      </c>
      <c r="B194">
        <v>58405</v>
      </c>
      <c r="C194">
        <v>25</v>
      </c>
      <c r="D194">
        <v>40</v>
      </c>
      <c r="E194">
        <v>20</v>
      </c>
      <c r="F194">
        <v>15</v>
      </c>
      <c r="G194">
        <v>15</v>
      </c>
      <c r="H194">
        <v>45</v>
      </c>
    </row>
    <row r="195" spans="1:8" x14ac:dyDescent="0.2">
      <c r="A195">
        <v>1434</v>
      </c>
      <c r="B195">
        <v>56230</v>
      </c>
      <c r="C195">
        <v>25</v>
      </c>
      <c r="D195">
        <v>40</v>
      </c>
      <c r="E195">
        <v>20</v>
      </c>
      <c r="F195">
        <v>15</v>
      </c>
      <c r="G195">
        <v>15</v>
      </c>
      <c r="H195">
        <v>40</v>
      </c>
    </row>
    <row r="196" spans="1:8" x14ac:dyDescent="0.2">
      <c r="A196">
        <v>1435</v>
      </c>
      <c r="B196">
        <v>59310</v>
      </c>
      <c r="C196">
        <v>25</v>
      </c>
      <c r="D196">
        <v>40</v>
      </c>
      <c r="E196">
        <v>20</v>
      </c>
      <c r="F196">
        <v>15</v>
      </c>
      <c r="G196">
        <v>15</v>
      </c>
      <c r="H196">
        <v>30</v>
      </c>
    </row>
    <row r="197" spans="1:8" x14ac:dyDescent="0.2">
      <c r="A197">
        <v>1436</v>
      </c>
      <c r="B197">
        <v>63540</v>
      </c>
      <c r="C197">
        <v>25</v>
      </c>
      <c r="D197">
        <v>40</v>
      </c>
      <c r="E197">
        <v>20</v>
      </c>
      <c r="F197">
        <v>15</v>
      </c>
      <c r="G197">
        <v>15</v>
      </c>
      <c r="H197">
        <v>55</v>
      </c>
    </row>
    <row r="198" spans="1:8" x14ac:dyDescent="0.2">
      <c r="A198">
        <v>1437</v>
      </c>
      <c r="B198">
        <v>59775</v>
      </c>
      <c r="C198">
        <v>25</v>
      </c>
      <c r="D198">
        <v>40</v>
      </c>
      <c r="E198">
        <v>20</v>
      </c>
      <c r="F198">
        <v>15</v>
      </c>
      <c r="G198">
        <v>15</v>
      </c>
      <c r="H198">
        <v>50</v>
      </c>
    </row>
    <row r="199" spans="1:8" x14ac:dyDescent="0.2">
      <c r="A199">
        <v>1438</v>
      </c>
      <c r="B199">
        <v>59045</v>
      </c>
      <c r="C199">
        <v>25</v>
      </c>
      <c r="D199">
        <v>40</v>
      </c>
      <c r="E199">
        <v>20</v>
      </c>
      <c r="F199">
        <v>15</v>
      </c>
      <c r="G199">
        <v>15</v>
      </c>
      <c r="H199">
        <v>50</v>
      </c>
    </row>
    <row r="200" spans="1:8" x14ac:dyDescent="0.2">
      <c r="A200">
        <v>1439</v>
      </c>
      <c r="B200">
        <v>61570</v>
      </c>
      <c r="C200">
        <v>25</v>
      </c>
      <c r="D200">
        <v>40</v>
      </c>
      <c r="E200">
        <v>20</v>
      </c>
      <c r="F200">
        <v>15</v>
      </c>
      <c r="G200">
        <v>15</v>
      </c>
      <c r="H200">
        <v>30</v>
      </c>
    </row>
    <row r="201" spans="1:8" x14ac:dyDescent="0.2">
      <c r="A201">
        <v>1440</v>
      </c>
      <c r="B201">
        <v>64920</v>
      </c>
      <c r="C201">
        <v>25</v>
      </c>
      <c r="D201">
        <v>40</v>
      </c>
      <c r="E201">
        <v>20</v>
      </c>
      <c r="F201">
        <v>15</v>
      </c>
      <c r="G201">
        <v>15</v>
      </c>
      <c r="H201">
        <v>50</v>
      </c>
    </row>
    <row r="202" spans="1:8" x14ac:dyDescent="0.2">
      <c r="A202">
        <v>1441</v>
      </c>
      <c r="B202">
        <v>56575</v>
      </c>
      <c r="C202">
        <v>25</v>
      </c>
      <c r="D202">
        <v>40</v>
      </c>
      <c r="E202">
        <v>20</v>
      </c>
      <c r="F202">
        <v>15</v>
      </c>
      <c r="G202">
        <v>15</v>
      </c>
      <c r="H202">
        <v>5</v>
      </c>
    </row>
    <row r="203" spans="1:8" x14ac:dyDescent="0.2">
      <c r="A203">
        <v>1460</v>
      </c>
      <c r="B203">
        <v>61620</v>
      </c>
      <c r="C203">
        <v>25</v>
      </c>
      <c r="D203">
        <v>20</v>
      </c>
      <c r="E203">
        <v>40</v>
      </c>
      <c r="F203">
        <v>15</v>
      </c>
      <c r="G203">
        <v>15</v>
      </c>
      <c r="H203">
        <v>60</v>
      </c>
    </row>
    <row r="204" spans="1:8" x14ac:dyDescent="0.2">
      <c r="A204">
        <v>1461</v>
      </c>
      <c r="B204">
        <v>58875</v>
      </c>
      <c r="C204">
        <v>25</v>
      </c>
      <c r="D204">
        <v>20</v>
      </c>
      <c r="E204">
        <v>40</v>
      </c>
      <c r="F204">
        <v>15</v>
      </c>
      <c r="G204">
        <v>15</v>
      </c>
      <c r="H204">
        <v>40</v>
      </c>
    </row>
    <row r="205" spans="1:8" x14ac:dyDescent="0.2">
      <c r="A205">
        <v>1462</v>
      </c>
      <c r="B205">
        <v>58655</v>
      </c>
      <c r="C205">
        <v>25</v>
      </c>
      <c r="D205">
        <v>20</v>
      </c>
      <c r="E205">
        <v>40</v>
      </c>
      <c r="F205">
        <v>15</v>
      </c>
      <c r="G205">
        <v>15</v>
      </c>
      <c r="H205">
        <v>80</v>
      </c>
    </row>
    <row r="206" spans="1:8" x14ac:dyDescent="0.2">
      <c r="A206">
        <v>1463</v>
      </c>
      <c r="B206">
        <v>63735</v>
      </c>
      <c r="C206">
        <v>25</v>
      </c>
      <c r="D206">
        <v>20</v>
      </c>
      <c r="E206">
        <v>40</v>
      </c>
      <c r="F206">
        <v>15</v>
      </c>
      <c r="G206">
        <v>15</v>
      </c>
      <c r="H206">
        <v>140</v>
      </c>
    </row>
    <row r="207" spans="1:8" x14ac:dyDescent="0.2">
      <c r="A207">
        <v>1464</v>
      </c>
      <c r="B207">
        <v>60065</v>
      </c>
      <c r="C207">
        <v>25</v>
      </c>
      <c r="D207">
        <v>20</v>
      </c>
      <c r="E207">
        <v>40</v>
      </c>
      <c r="F207">
        <v>15</v>
      </c>
      <c r="G207">
        <v>15</v>
      </c>
      <c r="H207">
        <v>80</v>
      </c>
    </row>
    <row r="208" spans="1:8" x14ac:dyDescent="0.2">
      <c r="A208">
        <v>1465</v>
      </c>
      <c r="B208">
        <v>58395</v>
      </c>
      <c r="C208">
        <v>25</v>
      </c>
      <c r="D208">
        <v>20</v>
      </c>
      <c r="E208">
        <v>40</v>
      </c>
      <c r="F208">
        <v>15</v>
      </c>
      <c r="G208">
        <v>15</v>
      </c>
      <c r="H208">
        <v>65</v>
      </c>
    </row>
    <row r="209" spans="1:8" x14ac:dyDescent="0.2">
      <c r="A209">
        <v>1466</v>
      </c>
      <c r="B209">
        <v>59945</v>
      </c>
      <c r="C209">
        <v>25</v>
      </c>
      <c r="D209">
        <v>20</v>
      </c>
      <c r="E209">
        <v>40</v>
      </c>
      <c r="F209">
        <v>15</v>
      </c>
      <c r="G209">
        <v>15</v>
      </c>
      <c r="H209">
        <v>25</v>
      </c>
    </row>
    <row r="210" spans="1:8" x14ac:dyDescent="0.2">
      <c r="A210">
        <v>1467</v>
      </c>
      <c r="B210">
        <v>61905</v>
      </c>
      <c r="C210">
        <v>25</v>
      </c>
      <c r="D210">
        <v>20</v>
      </c>
      <c r="E210">
        <v>40</v>
      </c>
      <c r="F210">
        <v>15</v>
      </c>
      <c r="G210">
        <v>15</v>
      </c>
      <c r="H210">
        <v>45</v>
      </c>
    </row>
    <row r="211" spans="1:8" x14ac:dyDescent="0.2">
      <c r="A211">
        <v>1468</v>
      </c>
      <c r="B211">
        <v>54695</v>
      </c>
      <c r="C211">
        <v>25</v>
      </c>
      <c r="D211">
        <v>20</v>
      </c>
      <c r="E211">
        <v>40</v>
      </c>
      <c r="F211">
        <v>15</v>
      </c>
      <c r="G211">
        <v>15</v>
      </c>
      <c r="H211">
        <v>40</v>
      </c>
    </row>
    <row r="212" spans="1:8" x14ac:dyDescent="0.2">
      <c r="A212">
        <v>1469</v>
      </c>
      <c r="B212">
        <v>56640</v>
      </c>
      <c r="C212">
        <v>25</v>
      </c>
      <c r="D212">
        <v>20</v>
      </c>
      <c r="E212">
        <v>40</v>
      </c>
      <c r="F212">
        <v>15</v>
      </c>
      <c r="G212">
        <v>15</v>
      </c>
      <c r="H212">
        <v>45</v>
      </c>
    </row>
    <row r="213" spans="1:8" x14ac:dyDescent="0.2">
      <c r="A213">
        <v>1470</v>
      </c>
      <c r="B213">
        <v>55845</v>
      </c>
      <c r="C213">
        <v>25</v>
      </c>
      <c r="D213">
        <v>20</v>
      </c>
      <c r="E213">
        <v>40</v>
      </c>
      <c r="F213">
        <v>15</v>
      </c>
      <c r="G213">
        <v>15</v>
      </c>
      <c r="H213">
        <v>60</v>
      </c>
    </row>
    <row r="214" spans="1:8" x14ac:dyDescent="0.2">
      <c r="A214">
        <v>1471</v>
      </c>
      <c r="B214">
        <v>59520</v>
      </c>
      <c r="C214">
        <v>25</v>
      </c>
      <c r="D214">
        <v>20</v>
      </c>
      <c r="E214">
        <v>40</v>
      </c>
      <c r="F214">
        <v>15</v>
      </c>
      <c r="G214">
        <v>15</v>
      </c>
      <c r="H214">
        <v>70</v>
      </c>
    </row>
    <row r="215" spans="1:8" x14ac:dyDescent="0.2">
      <c r="A215">
        <v>1472</v>
      </c>
      <c r="B215">
        <v>55560</v>
      </c>
      <c r="C215">
        <v>25</v>
      </c>
      <c r="D215">
        <v>20</v>
      </c>
      <c r="E215">
        <v>40</v>
      </c>
      <c r="F215">
        <v>15</v>
      </c>
      <c r="G215">
        <v>15</v>
      </c>
      <c r="H215">
        <v>60</v>
      </c>
    </row>
    <row r="216" spans="1:8" x14ac:dyDescent="0.2">
      <c r="A216">
        <v>1473</v>
      </c>
      <c r="B216">
        <v>57800</v>
      </c>
      <c r="C216">
        <v>25</v>
      </c>
      <c r="D216">
        <v>20</v>
      </c>
      <c r="E216">
        <v>40</v>
      </c>
      <c r="F216">
        <v>15</v>
      </c>
      <c r="G216">
        <v>15</v>
      </c>
      <c r="H216">
        <v>25</v>
      </c>
    </row>
    <row r="217" spans="1:8" x14ac:dyDescent="0.2">
      <c r="A217">
        <v>1474</v>
      </c>
      <c r="B217">
        <v>57195</v>
      </c>
      <c r="C217">
        <v>25</v>
      </c>
      <c r="D217">
        <v>20</v>
      </c>
      <c r="E217">
        <v>40</v>
      </c>
      <c r="F217">
        <v>15</v>
      </c>
      <c r="G217">
        <v>15</v>
      </c>
      <c r="H217">
        <v>85</v>
      </c>
    </row>
    <row r="218" spans="1:8" x14ac:dyDescent="0.2">
      <c r="A218">
        <v>1475</v>
      </c>
      <c r="B218">
        <v>57770</v>
      </c>
      <c r="C218">
        <v>25</v>
      </c>
      <c r="D218">
        <v>20</v>
      </c>
      <c r="E218">
        <v>40</v>
      </c>
      <c r="F218">
        <v>15</v>
      </c>
      <c r="G218">
        <v>15</v>
      </c>
      <c r="H218">
        <v>55</v>
      </c>
    </row>
    <row r="219" spans="1:8" x14ac:dyDescent="0.2">
      <c r="A219">
        <v>1476</v>
      </c>
      <c r="B219">
        <v>54550</v>
      </c>
      <c r="C219">
        <v>25</v>
      </c>
      <c r="D219">
        <v>20</v>
      </c>
      <c r="E219">
        <v>40</v>
      </c>
      <c r="F219">
        <v>15</v>
      </c>
      <c r="G219">
        <v>15</v>
      </c>
      <c r="H219">
        <v>25</v>
      </c>
    </row>
    <row r="220" spans="1:8" x14ac:dyDescent="0.2">
      <c r="A220">
        <v>1477</v>
      </c>
      <c r="B220">
        <v>54390</v>
      </c>
      <c r="C220">
        <v>25</v>
      </c>
      <c r="D220">
        <v>20</v>
      </c>
      <c r="E220">
        <v>40</v>
      </c>
      <c r="F220">
        <v>15</v>
      </c>
      <c r="G220">
        <v>15</v>
      </c>
      <c r="H220">
        <v>35</v>
      </c>
    </row>
    <row r="221" spans="1:8" x14ac:dyDescent="0.2">
      <c r="A221">
        <v>1478</v>
      </c>
      <c r="B221">
        <v>56230</v>
      </c>
      <c r="C221">
        <v>25</v>
      </c>
      <c r="D221">
        <v>20</v>
      </c>
      <c r="E221">
        <v>40</v>
      </c>
      <c r="F221">
        <v>15</v>
      </c>
      <c r="G221">
        <v>15</v>
      </c>
      <c r="H221">
        <v>50</v>
      </c>
    </row>
    <row r="222" spans="1:8" x14ac:dyDescent="0.2">
      <c r="A222">
        <v>1479</v>
      </c>
      <c r="B222">
        <v>52725</v>
      </c>
      <c r="C222">
        <v>25</v>
      </c>
      <c r="D222">
        <v>20</v>
      </c>
      <c r="E222">
        <v>40</v>
      </c>
      <c r="F222">
        <v>15</v>
      </c>
      <c r="G222">
        <v>15</v>
      </c>
      <c r="H222">
        <v>20</v>
      </c>
    </row>
    <row r="223" spans="1:8" x14ac:dyDescent="0.2">
      <c r="A223">
        <v>1480</v>
      </c>
      <c r="B223">
        <v>53555</v>
      </c>
      <c r="C223">
        <v>25</v>
      </c>
      <c r="D223">
        <v>20</v>
      </c>
      <c r="E223">
        <v>40</v>
      </c>
      <c r="F223">
        <v>15</v>
      </c>
      <c r="G223">
        <v>15</v>
      </c>
      <c r="H223">
        <v>20</v>
      </c>
    </row>
    <row r="224" spans="1:8" x14ac:dyDescent="0.2">
      <c r="A224">
        <v>1481</v>
      </c>
      <c r="B224">
        <v>62340</v>
      </c>
      <c r="C224">
        <v>25</v>
      </c>
      <c r="D224">
        <v>20</v>
      </c>
      <c r="E224">
        <v>40</v>
      </c>
      <c r="F224">
        <v>15</v>
      </c>
      <c r="G224">
        <v>15</v>
      </c>
      <c r="H224">
        <v>50</v>
      </c>
    </row>
    <row r="225" spans="1:8" x14ac:dyDescent="0.2">
      <c r="A225">
        <v>1502</v>
      </c>
      <c r="B225">
        <v>62050</v>
      </c>
      <c r="C225">
        <v>25</v>
      </c>
      <c r="D225">
        <v>20</v>
      </c>
      <c r="E225">
        <v>45</v>
      </c>
      <c r="F225">
        <v>10</v>
      </c>
      <c r="G225">
        <v>10</v>
      </c>
      <c r="H225">
        <v>40</v>
      </c>
    </row>
    <row r="226" spans="1:8" x14ac:dyDescent="0.2">
      <c r="A226">
        <v>1503</v>
      </c>
      <c r="B226">
        <v>63795</v>
      </c>
      <c r="C226">
        <v>25</v>
      </c>
      <c r="D226">
        <v>20</v>
      </c>
      <c r="E226">
        <v>45</v>
      </c>
      <c r="F226">
        <v>10</v>
      </c>
      <c r="G226">
        <v>10</v>
      </c>
      <c r="H226">
        <v>200</v>
      </c>
    </row>
    <row r="227" spans="1:8" x14ac:dyDescent="0.2">
      <c r="A227">
        <v>1504</v>
      </c>
      <c r="B227">
        <v>67710</v>
      </c>
      <c r="C227">
        <v>25</v>
      </c>
      <c r="D227">
        <v>20</v>
      </c>
      <c r="E227">
        <v>45</v>
      </c>
      <c r="F227">
        <v>10</v>
      </c>
      <c r="G227">
        <v>10</v>
      </c>
      <c r="H227">
        <v>60</v>
      </c>
    </row>
    <row r="228" spans="1:8" x14ac:dyDescent="0.2">
      <c r="A228">
        <v>1505</v>
      </c>
      <c r="B228">
        <v>63405</v>
      </c>
      <c r="C228">
        <v>25</v>
      </c>
      <c r="D228">
        <v>20</v>
      </c>
      <c r="E228">
        <v>45</v>
      </c>
      <c r="F228">
        <v>10</v>
      </c>
      <c r="G228">
        <v>10</v>
      </c>
      <c r="H228">
        <v>35</v>
      </c>
    </row>
    <row r="229" spans="1:8" x14ac:dyDescent="0.2">
      <c r="A229">
        <v>1506</v>
      </c>
      <c r="B229">
        <v>65790</v>
      </c>
      <c r="C229">
        <v>25</v>
      </c>
      <c r="D229">
        <v>20</v>
      </c>
      <c r="E229">
        <v>45</v>
      </c>
      <c r="F229">
        <v>10</v>
      </c>
      <c r="G229">
        <v>10</v>
      </c>
      <c r="H229">
        <v>60</v>
      </c>
    </row>
    <row r="230" spans="1:8" x14ac:dyDescent="0.2">
      <c r="A230">
        <v>1507</v>
      </c>
      <c r="B230">
        <v>69800</v>
      </c>
      <c r="C230">
        <v>25</v>
      </c>
      <c r="D230">
        <v>20</v>
      </c>
      <c r="E230">
        <v>45</v>
      </c>
      <c r="F230">
        <v>10</v>
      </c>
      <c r="G230">
        <v>10</v>
      </c>
      <c r="H230">
        <v>60</v>
      </c>
    </row>
    <row r="231" spans="1:8" x14ac:dyDescent="0.2">
      <c r="A231">
        <v>1508</v>
      </c>
      <c r="B231">
        <v>63095</v>
      </c>
      <c r="C231">
        <v>25</v>
      </c>
      <c r="D231">
        <v>20</v>
      </c>
      <c r="E231">
        <v>45</v>
      </c>
      <c r="F231">
        <v>10</v>
      </c>
      <c r="G231">
        <v>10</v>
      </c>
      <c r="H231">
        <v>80</v>
      </c>
    </row>
    <row r="232" spans="1:8" x14ac:dyDescent="0.2">
      <c r="A232">
        <v>1509</v>
      </c>
      <c r="B232">
        <v>62925</v>
      </c>
      <c r="C232">
        <v>25</v>
      </c>
      <c r="D232">
        <v>20</v>
      </c>
      <c r="E232">
        <v>45</v>
      </c>
      <c r="F232">
        <v>10</v>
      </c>
      <c r="G232">
        <v>10</v>
      </c>
      <c r="H232">
        <v>60</v>
      </c>
    </row>
    <row r="233" spans="1:8" x14ac:dyDescent="0.2">
      <c r="A233">
        <v>1510</v>
      </c>
      <c r="B233">
        <v>63285</v>
      </c>
      <c r="C233">
        <v>25</v>
      </c>
      <c r="D233">
        <v>20</v>
      </c>
      <c r="E233">
        <v>45</v>
      </c>
      <c r="F233">
        <v>10</v>
      </c>
      <c r="G233">
        <v>10</v>
      </c>
      <c r="H233">
        <v>15</v>
      </c>
    </row>
    <row r="234" spans="1:8" x14ac:dyDescent="0.2">
      <c r="A234">
        <v>1511</v>
      </c>
      <c r="B234">
        <v>65585</v>
      </c>
      <c r="C234">
        <v>25</v>
      </c>
      <c r="D234">
        <v>20</v>
      </c>
      <c r="E234">
        <v>45</v>
      </c>
      <c r="F234">
        <v>10</v>
      </c>
      <c r="G234">
        <v>10</v>
      </c>
      <c r="H234">
        <v>50</v>
      </c>
    </row>
    <row r="235" spans="1:8" x14ac:dyDescent="0.2">
      <c r="A235">
        <v>1516</v>
      </c>
      <c r="B235">
        <v>60095</v>
      </c>
      <c r="C235">
        <v>25</v>
      </c>
      <c r="D235">
        <v>20</v>
      </c>
      <c r="E235">
        <v>45</v>
      </c>
      <c r="F235">
        <v>10</v>
      </c>
      <c r="G235">
        <v>10</v>
      </c>
      <c r="H235">
        <v>30</v>
      </c>
    </row>
    <row r="236" spans="1:8" x14ac:dyDescent="0.2">
      <c r="A236">
        <v>1519</v>
      </c>
      <c r="B236">
        <v>62915</v>
      </c>
      <c r="C236">
        <v>25</v>
      </c>
      <c r="D236">
        <v>20</v>
      </c>
      <c r="E236">
        <v>45</v>
      </c>
      <c r="F236">
        <v>10</v>
      </c>
      <c r="G236">
        <v>10</v>
      </c>
      <c r="H236">
        <v>40</v>
      </c>
    </row>
    <row r="237" spans="1:8" x14ac:dyDescent="0.2">
      <c r="A237">
        <v>1520</v>
      </c>
      <c r="B237">
        <v>64800</v>
      </c>
      <c r="C237">
        <v>25</v>
      </c>
      <c r="D237">
        <v>20</v>
      </c>
      <c r="E237">
        <v>45</v>
      </c>
      <c r="F237">
        <v>10</v>
      </c>
      <c r="G237">
        <v>10</v>
      </c>
      <c r="H237">
        <v>35</v>
      </c>
    </row>
    <row r="238" spans="1:8" x14ac:dyDescent="0.2">
      <c r="A238">
        <v>1524</v>
      </c>
      <c r="B238">
        <v>60555</v>
      </c>
      <c r="C238">
        <v>25</v>
      </c>
      <c r="D238">
        <v>20</v>
      </c>
      <c r="E238">
        <v>45</v>
      </c>
      <c r="F238">
        <v>10</v>
      </c>
      <c r="G238">
        <v>10</v>
      </c>
      <c r="H238">
        <v>25</v>
      </c>
    </row>
    <row r="239" spans="1:8" x14ac:dyDescent="0.2">
      <c r="A239">
        <v>1525</v>
      </c>
      <c r="B239">
        <v>62975</v>
      </c>
      <c r="C239">
        <v>25</v>
      </c>
      <c r="D239">
        <v>20</v>
      </c>
      <c r="E239">
        <v>45</v>
      </c>
      <c r="F239">
        <v>10</v>
      </c>
      <c r="G239">
        <v>10</v>
      </c>
      <c r="H239">
        <v>40</v>
      </c>
    </row>
    <row r="240" spans="1:8" x14ac:dyDescent="0.2">
      <c r="A240">
        <v>1526</v>
      </c>
      <c r="B240">
        <v>62190</v>
      </c>
      <c r="C240">
        <v>25</v>
      </c>
      <c r="D240">
        <v>20</v>
      </c>
      <c r="E240">
        <v>45</v>
      </c>
      <c r="F240">
        <v>10</v>
      </c>
      <c r="G240">
        <v>10</v>
      </c>
      <c r="H240">
        <v>40</v>
      </c>
    </row>
    <row r="241" spans="1:8" x14ac:dyDescent="0.2">
      <c r="A241">
        <v>1531</v>
      </c>
      <c r="B241">
        <v>53055</v>
      </c>
      <c r="C241">
        <v>35</v>
      </c>
      <c r="D241">
        <v>15</v>
      </c>
      <c r="E241">
        <v>40</v>
      </c>
      <c r="F241">
        <v>10</v>
      </c>
      <c r="G241">
        <v>10</v>
      </c>
      <c r="H241">
        <v>75</v>
      </c>
    </row>
    <row r="242" spans="1:8" x14ac:dyDescent="0.2">
      <c r="A242">
        <v>1532</v>
      </c>
      <c r="B242">
        <v>54155</v>
      </c>
      <c r="C242">
        <v>35</v>
      </c>
      <c r="D242">
        <v>15</v>
      </c>
      <c r="E242">
        <v>40</v>
      </c>
      <c r="F242">
        <v>10</v>
      </c>
      <c r="G242">
        <v>10</v>
      </c>
      <c r="H242">
        <v>30</v>
      </c>
    </row>
    <row r="243" spans="1:8" x14ac:dyDescent="0.2">
      <c r="A243">
        <v>1533</v>
      </c>
      <c r="B243">
        <v>51430</v>
      </c>
      <c r="C243">
        <v>35</v>
      </c>
      <c r="D243">
        <v>15</v>
      </c>
      <c r="E243">
        <v>40</v>
      </c>
      <c r="F243">
        <v>10</v>
      </c>
      <c r="G243">
        <v>10</v>
      </c>
      <c r="H243">
        <v>30</v>
      </c>
    </row>
    <row r="244" spans="1:8" x14ac:dyDescent="0.2">
      <c r="A244">
        <v>1534</v>
      </c>
      <c r="B244">
        <v>53375</v>
      </c>
      <c r="C244">
        <v>35</v>
      </c>
      <c r="D244">
        <v>15</v>
      </c>
      <c r="E244">
        <v>40</v>
      </c>
      <c r="F244">
        <v>10</v>
      </c>
      <c r="G244">
        <v>10</v>
      </c>
      <c r="H244">
        <v>60</v>
      </c>
    </row>
    <row r="245" spans="1:8" x14ac:dyDescent="0.2">
      <c r="A245">
        <v>1535</v>
      </c>
      <c r="B245">
        <v>54920</v>
      </c>
      <c r="C245">
        <v>35</v>
      </c>
      <c r="D245">
        <v>15</v>
      </c>
      <c r="E245">
        <v>40</v>
      </c>
      <c r="F245">
        <v>10</v>
      </c>
      <c r="G245">
        <v>10</v>
      </c>
      <c r="H245">
        <v>75</v>
      </c>
    </row>
    <row r="246" spans="1:8" x14ac:dyDescent="0.2">
      <c r="A246">
        <v>1536</v>
      </c>
      <c r="B246">
        <v>49850</v>
      </c>
      <c r="C246">
        <v>35</v>
      </c>
      <c r="D246">
        <v>15</v>
      </c>
      <c r="E246">
        <v>40</v>
      </c>
      <c r="F246">
        <v>10</v>
      </c>
      <c r="G246">
        <v>10</v>
      </c>
      <c r="H246">
        <v>25</v>
      </c>
    </row>
    <row r="247" spans="1:8" x14ac:dyDescent="0.2">
      <c r="A247">
        <v>1537</v>
      </c>
      <c r="B247">
        <v>53845</v>
      </c>
      <c r="C247">
        <v>35</v>
      </c>
      <c r="D247">
        <v>15</v>
      </c>
      <c r="E247">
        <v>40</v>
      </c>
      <c r="F247">
        <v>10</v>
      </c>
      <c r="G247">
        <v>10</v>
      </c>
      <c r="H247">
        <v>60</v>
      </c>
    </row>
    <row r="248" spans="1:8" x14ac:dyDescent="0.2">
      <c r="A248">
        <v>1538</v>
      </c>
      <c r="B248">
        <v>54280</v>
      </c>
      <c r="C248">
        <v>35</v>
      </c>
      <c r="D248">
        <v>15</v>
      </c>
      <c r="E248">
        <v>40</v>
      </c>
      <c r="F248">
        <v>10</v>
      </c>
      <c r="G248">
        <v>10</v>
      </c>
      <c r="H248">
        <v>30</v>
      </c>
    </row>
    <row r="249" spans="1:8" x14ac:dyDescent="0.2">
      <c r="A249">
        <v>1539</v>
      </c>
      <c r="B249">
        <v>55200</v>
      </c>
      <c r="C249">
        <v>35</v>
      </c>
      <c r="D249">
        <v>15</v>
      </c>
      <c r="E249">
        <v>40</v>
      </c>
      <c r="F249">
        <v>10</v>
      </c>
      <c r="G249">
        <v>10</v>
      </c>
      <c r="H249">
        <v>40</v>
      </c>
    </row>
    <row r="250" spans="1:8" x14ac:dyDescent="0.2">
      <c r="A250">
        <v>1540</v>
      </c>
      <c r="B250">
        <v>56440</v>
      </c>
      <c r="C250">
        <v>35</v>
      </c>
      <c r="D250">
        <v>15</v>
      </c>
      <c r="E250">
        <v>40</v>
      </c>
      <c r="F250">
        <v>10</v>
      </c>
      <c r="G250">
        <v>10</v>
      </c>
      <c r="H250">
        <v>55</v>
      </c>
    </row>
    <row r="251" spans="1:8" x14ac:dyDescent="0.2">
      <c r="A251">
        <v>1541</v>
      </c>
      <c r="B251">
        <v>55890</v>
      </c>
      <c r="C251">
        <v>35</v>
      </c>
      <c r="D251">
        <v>15</v>
      </c>
      <c r="E251">
        <v>40</v>
      </c>
      <c r="F251">
        <v>10</v>
      </c>
      <c r="G251">
        <v>10</v>
      </c>
      <c r="H251">
        <v>30</v>
      </c>
    </row>
    <row r="252" spans="1:8" x14ac:dyDescent="0.2">
      <c r="A252">
        <v>1542</v>
      </c>
      <c r="B252">
        <v>53605</v>
      </c>
      <c r="C252">
        <v>35</v>
      </c>
      <c r="D252">
        <v>15</v>
      </c>
      <c r="E252">
        <v>40</v>
      </c>
      <c r="F252">
        <v>10</v>
      </c>
      <c r="G252">
        <v>10</v>
      </c>
      <c r="H252">
        <v>30</v>
      </c>
    </row>
    <row r="253" spans="1:8" x14ac:dyDescent="0.2">
      <c r="A253">
        <v>1543</v>
      </c>
      <c r="B253">
        <v>51810</v>
      </c>
      <c r="C253">
        <v>35</v>
      </c>
      <c r="D253">
        <v>15</v>
      </c>
      <c r="E253">
        <v>40</v>
      </c>
      <c r="F253">
        <v>10</v>
      </c>
      <c r="G253">
        <v>10</v>
      </c>
      <c r="H253">
        <v>30</v>
      </c>
    </row>
    <row r="254" spans="1:8" x14ac:dyDescent="0.2">
      <c r="A254">
        <v>1544</v>
      </c>
      <c r="B254">
        <v>58205</v>
      </c>
      <c r="C254">
        <v>35</v>
      </c>
      <c r="D254">
        <v>15</v>
      </c>
      <c r="E254">
        <v>40</v>
      </c>
      <c r="F254">
        <v>10</v>
      </c>
      <c r="G254">
        <v>10</v>
      </c>
      <c r="H254">
        <v>30</v>
      </c>
    </row>
    <row r="255" spans="1:8" x14ac:dyDescent="0.2">
      <c r="A255">
        <v>1545</v>
      </c>
      <c r="B255">
        <v>56100</v>
      </c>
      <c r="C255">
        <v>35</v>
      </c>
      <c r="D255">
        <v>15</v>
      </c>
      <c r="E255">
        <v>40</v>
      </c>
      <c r="F255">
        <v>10</v>
      </c>
      <c r="G255">
        <v>10</v>
      </c>
      <c r="H255">
        <v>30</v>
      </c>
    </row>
    <row r="256" spans="1:8" x14ac:dyDescent="0.2">
      <c r="A256">
        <v>1551</v>
      </c>
      <c r="B256">
        <v>52605</v>
      </c>
      <c r="C256">
        <v>35</v>
      </c>
      <c r="D256">
        <v>15</v>
      </c>
      <c r="E256">
        <v>40</v>
      </c>
      <c r="F256">
        <v>10</v>
      </c>
      <c r="G256">
        <v>10</v>
      </c>
      <c r="H256">
        <v>45</v>
      </c>
    </row>
    <row r="257" spans="1:8" x14ac:dyDescent="0.2">
      <c r="A257">
        <v>1552</v>
      </c>
      <c r="B257">
        <v>51475</v>
      </c>
      <c r="C257">
        <v>35</v>
      </c>
      <c r="D257">
        <v>15</v>
      </c>
      <c r="E257">
        <v>40</v>
      </c>
      <c r="F257">
        <v>10</v>
      </c>
      <c r="G257">
        <v>10</v>
      </c>
      <c r="H257">
        <v>40</v>
      </c>
    </row>
    <row r="258" spans="1:8" x14ac:dyDescent="0.2">
      <c r="A258">
        <v>1553</v>
      </c>
      <c r="B258">
        <v>51975</v>
      </c>
      <c r="C258">
        <v>35</v>
      </c>
      <c r="D258">
        <v>15</v>
      </c>
      <c r="E258">
        <v>40</v>
      </c>
      <c r="F258">
        <v>10</v>
      </c>
      <c r="G258">
        <v>10</v>
      </c>
      <c r="H258">
        <v>25</v>
      </c>
    </row>
    <row r="259" spans="1:8" x14ac:dyDescent="0.2">
      <c r="A259">
        <v>1554</v>
      </c>
      <c r="B259">
        <v>49615</v>
      </c>
      <c r="C259">
        <v>35</v>
      </c>
      <c r="D259">
        <v>15</v>
      </c>
      <c r="E259">
        <v>40</v>
      </c>
      <c r="F259">
        <v>10</v>
      </c>
      <c r="G259">
        <v>10</v>
      </c>
      <c r="H259">
        <v>25</v>
      </c>
    </row>
    <row r="260" spans="1:8" x14ac:dyDescent="0.2">
      <c r="A260">
        <v>1555</v>
      </c>
      <c r="B260">
        <v>52275</v>
      </c>
      <c r="C260">
        <v>35</v>
      </c>
      <c r="D260">
        <v>15</v>
      </c>
      <c r="E260">
        <v>40</v>
      </c>
      <c r="F260">
        <v>10</v>
      </c>
      <c r="G260">
        <v>10</v>
      </c>
      <c r="H260">
        <v>35</v>
      </c>
    </row>
    <row r="261" spans="1:8" x14ac:dyDescent="0.2">
      <c r="A261">
        <v>1556</v>
      </c>
      <c r="B261">
        <v>52135</v>
      </c>
      <c r="C261">
        <v>35</v>
      </c>
      <c r="D261">
        <v>15</v>
      </c>
      <c r="E261">
        <v>40</v>
      </c>
      <c r="F261">
        <v>10</v>
      </c>
      <c r="G261">
        <v>10</v>
      </c>
      <c r="H261">
        <v>35</v>
      </c>
    </row>
    <row r="262" spans="1:8" x14ac:dyDescent="0.2">
      <c r="A262">
        <v>1557</v>
      </c>
      <c r="B262">
        <v>51100</v>
      </c>
      <c r="C262">
        <v>35</v>
      </c>
      <c r="D262">
        <v>15</v>
      </c>
      <c r="E262">
        <v>40</v>
      </c>
      <c r="F262">
        <v>10</v>
      </c>
      <c r="G262">
        <v>10</v>
      </c>
      <c r="H262">
        <v>20</v>
      </c>
    </row>
    <row r="263" spans="1:8" x14ac:dyDescent="0.2">
      <c r="A263">
        <v>1559</v>
      </c>
      <c r="B263">
        <v>52955</v>
      </c>
      <c r="C263">
        <v>35</v>
      </c>
      <c r="D263">
        <v>15</v>
      </c>
      <c r="E263">
        <v>40</v>
      </c>
      <c r="F263">
        <v>10</v>
      </c>
      <c r="G263">
        <v>10</v>
      </c>
      <c r="H263">
        <v>25</v>
      </c>
    </row>
    <row r="264" spans="1:8" x14ac:dyDescent="0.2">
      <c r="A264">
        <v>1560</v>
      </c>
      <c r="B264">
        <v>51055</v>
      </c>
      <c r="C264">
        <v>35</v>
      </c>
      <c r="D264">
        <v>15</v>
      </c>
      <c r="E264">
        <v>40</v>
      </c>
      <c r="F264">
        <v>10</v>
      </c>
      <c r="G264">
        <v>10</v>
      </c>
      <c r="H264">
        <v>25</v>
      </c>
    </row>
    <row r="265" spans="1:8" x14ac:dyDescent="0.2">
      <c r="A265">
        <v>1561</v>
      </c>
      <c r="B265">
        <v>51460</v>
      </c>
      <c r="C265">
        <v>35</v>
      </c>
      <c r="D265">
        <v>15</v>
      </c>
      <c r="E265">
        <v>40</v>
      </c>
      <c r="F265">
        <v>10</v>
      </c>
      <c r="G265">
        <v>10</v>
      </c>
      <c r="H265">
        <v>35</v>
      </c>
    </row>
    <row r="266" spans="1:8" x14ac:dyDescent="0.2">
      <c r="A266">
        <v>1562</v>
      </c>
      <c r="B266">
        <v>52590</v>
      </c>
      <c r="C266">
        <v>35</v>
      </c>
      <c r="D266">
        <v>15</v>
      </c>
      <c r="E266">
        <v>40</v>
      </c>
      <c r="F266">
        <v>10</v>
      </c>
      <c r="G266">
        <v>10</v>
      </c>
      <c r="H266">
        <v>30</v>
      </c>
    </row>
    <row r="267" spans="1:8" x14ac:dyDescent="0.2">
      <c r="A267">
        <v>1563</v>
      </c>
      <c r="B267">
        <v>55355</v>
      </c>
      <c r="C267">
        <v>35</v>
      </c>
      <c r="D267">
        <v>15</v>
      </c>
      <c r="E267">
        <v>40</v>
      </c>
      <c r="F267">
        <v>10</v>
      </c>
      <c r="G267">
        <v>10</v>
      </c>
      <c r="H267">
        <v>25</v>
      </c>
    </row>
    <row r="268" spans="1:8" x14ac:dyDescent="0.2">
      <c r="A268">
        <v>1564</v>
      </c>
      <c r="B268">
        <v>52235</v>
      </c>
      <c r="C268">
        <v>35</v>
      </c>
      <c r="D268">
        <v>15</v>
      </c>
      <c r="E268">
        <v>40</v>
      </c>
      <c r="F268">
        <v>10</v>
      </c>
      <c r="G268">
        <v>10</v>
      </c>
      <c r="H268">
        <v>30</v>
      </c>
    </row>
    <row r="269" spans="1:8" x14ac:dyDescent="0.2">
      <c r="A269">
        <v>1571</v>
      </c>
      <c r="B269">
        <v>66045</v>
      </c>
      <c r="C269">
        <v>25</v>
      </c>
      <c r="D269">
        <v>20</v>
      </c>
      <c r="E269">
        <v>45</v>
      </c>
      <c r="F269">
        <v>10</v>
      </c>
      <c r="G269">
        <v>10</v>
      </c>
      <c r="H269">
        <v>200</v>
      </c>
    </row>
    <row r="270" spans="1:8" x14ac:dyDescent="0.2">
      <c r="A270">
        <v>1573</v>
      </c>
      <c r="B270">
        <v>66725</v>
      </c>
      <c r="C270">
        <v>25</v>
      </c>
      <c r="D270">
        <v>20</v>
      </c>
      <c r="E270">
        <v>45</v>
      </c>
      <c r="F270">
        <v>10</v>
      </c>
      <c r="G270">
        <v>10</v>
      </c>
      <c r="H270">
        <v>40</v>
      </c>
    </row>
    <row r="271" spans="1:8" x14ac:dyDescent="0.2">
      <c r="A271">
        <v>1574</v>
      </c>
      <c r="B271">
        <v>69340</v>
      </c>
      <c r="C271">
        <v>25</v>
      </c>
      <c r="D271">
        <v>20</v>
      </c>
      <c r="E271">
        <v>45</v>
      </c>
      <c r="F271">
        <v>10</v>
      </c>
      <c r="G271">
        <v>10</v>
      </c>
      <c r="H271">
        <v>60</v>
      </c>
    </row>
    <row r="272" spans="1:8" x14ac:dyDescent="0.2">
      <c r="A272">
        <v>1575</v>
      </c>
      <c r="B272">
        <v>65780</v>
      </c>
      <c r="C272">
        <v>25</v>
      </c>
      <c r="D272">
        <v>20</v>
      </c>
      <c r="E272">
        <v>45</v>
      </c>
      <c r="F272">
        <v>10</v>
      </c>
      <c r="G272">
        <v>10</v>
      </c>
      <c r="H272">
        <v>60</v>
      </c>
    </row>
    <row r="273" spans="1:8" x14ac:dyDescent="0.2">
      <c r="A273">
        <v>1590</v>
      </c>
      <c r="B273">
        <v>63075</v>
      </c>
      <c r="C273">
        <v>25</v>
      </c>
      <c r="D273">
        <v>20</v>
      </c>
      <c r="E273">
        <v>45</v>
      </c>
      <c r="F273">
        <v>10</v>
      </c>
      <c r="G273">
        <v>10</v>
      </c>
      <c r="H273">
        <v>45</v>
      </c>
    </row>
    <row r="274" spans="1:8" x14ac:dyDescent="0.2">
      <c r="A274">
        <v>1591</v>
      </c>
      <c r="B274">
        <v>58100</v>
      </c>
      <c r="C274">
        <v>25</v>
      </c>
      <c r="D274">
        <v>20</v>
      </c>
      <c r="E274">
        <v>45</v>
      </c>
      <c r="F274">
        <v>10</v>
      </c>
      <c r="G274">
        <v>10</v>
      </c>
      <c r="H274">
        <v>30</v>
      </c>
    </row>
    <row r="275" spans="1:8" x14ac:dyDescent="0.2">
      <c r="A275">
        <v>1592</v>
      </c>
      <c r="B275">
        <v>57805</v>
      </c>
      <c r="C275">
        <v>35</v>
      </c>
      <c r="D275">
        <v>15</v>
      </c>
      <c r="E275">
        <v>40</v>
      </c>
      <c r="F275">
        <v>10</v>
      </c>
      <c r="G275">
        <v>10</v>
      </c>
      <c r="H275">
        <v>50</v>
      </c>
    </row>
    <row r="276" spans="1:8" x14ac:dyDescent="0.2">
      <c r="A276">
        <v>1601</v>
      </c>
      <c r="B276">
        <v>64145</v>
      </c>
      <c r="C276">
        <v>25</v>
      </c>
      <c r="D276">
        <v>10</v>
      </c>
      <c r="E276">
        <v>40</v>
      </c>
      <c r="F276">
        <v>0</v>
      </c>
      <c r="G276">
        <v>25</v>
      </c>
      <c r="H276">
        <v>100</v>
      </c>
    </row>
    <row r="277" spans="1:8" x14ac:dyDescent="0.2">
      <c r="A277">
        <v>1602</v>
      </c>
      <c r="B277">
        <v>61940</v>
      </c>
      <c r="C277">
        <v>25</v>
      </c>
      <c r="D277">
        <v>10</v>
      </c>
      <c r="E277">
        <v>40</v>
      </c>
      <c r="F277">
        <v>0</v>
      </c>
      <c r="G277">
        <v>25</v>
      </c>
      <c r="H277">
        <v>30</v>
      </c>
    </row>
    <row r="278" spans="1:8" x14ac:dyDescent="0.2">
      <c r="A278">
        <v>1603</v>
      </c>
      <c r="B278">
        <v>67695</v>
      </c>
      <c r="C278">
        <v>25</v>
      </c>
      <c r="D278">
        <v>10</v>
      </c>
      <c r="E278">
        <v>40</v>
      </c>
      <c r="F278">
        <v>0</v>
      </c>
      <c r="G278">
        <v>25</v>
      </c>
      <c r="H278">
        <v>80</v>
      </c>
    </row>
    <row r="279" spans="1:8" x14ac:dyDescent="0.2">
      <c r="A279">
        <v>1604</v>
      </c>
      <c r="B279">
        <v>64870</v>
      </c>
      <c r="C279">
        <v>25</v>
      </c>
      <c r="D279">
        <v>10</v>
      </c>
      <c r="E279">
        <v>40</v>
      </c>
      <c r="F279">
        <v>0</v>
      </c>
      <c r="G279">
        <v>25</v>
      </c>
      <c r="H279">
        <v>80</v>
      </c>
    </row>
    <row r="280" spans="1:8" x14ac:dyDescent="0.2">
      <c r="A280">
        <v>1605</v>
      </c>
      <c r="B280">
        <v>63825</v>
      </c>
      <c r="C280">
        <v>25</v>
      </c>
      <c r="D280">
        <v>10</v>
      </c>
      <c r="E280">
        <v>40</v>
      </c>
      <c r="F280">
        <v>0</v>
      </c>
      <c r="G280">
        <v>25</v>
      </c>
      <c r="H280">
        <v>80</v>
      </c>
    </row>
    <row r="281" spans="1:8" x14ac:dyDescent="0.2">
      <c r="A281">
        <v>1606</v>
      </c>
      <c r="B281">
        <v>62870</v>
      </c>
      <c r="C281">
        <v>25</v>
      </c>
      <c r="D281">
        <v>10</v>
      </c>
      <c r="E281">
        <v>40</v>
      </c>
      <c r="F281">
        <v>0</v>
      </c>
      <c r="G281">
        <v>25</v>
      </c>
      <c r="H281">
        <v>50</v>
      </c>
    </row>
    <row r="282" spans="1:8" x14ac:dyDescent="0.2">
      <c r="A282">
        <v>1607</v>
      </c>
      <c r="B282">
        <v>65360</v>
      </c>
      <c r="C282">
        <v>25</v>
      </c>
      <c r="D282">
        <v>10</v>
      </c>
      <c r="E282">
        <v>40</v>
      </c>
      <c r="F282">
        <v>0</v>
      </c>
      <c r="G282">
        <v>25</v>
      </c>
      <c r="H282">
        <v>80</v>
      </c>
    </row>
    <row r="283" spans="1:8" x14ac:dyDescent="0.2">
      <c r="A283">
        <v>1608</v>
      </c>
      <c r="B283">
        <v>65140</v>
      </c>
      <c r="C283">
        <v>25</v>
      </c>
      <c r="D283">
        <v>10</v>
      </c>
      <c r="E283">
        <v>40</v>
      </c>
      <c r="F283">
        <v>0</v>
      </c>
      <c r="G283">
        <v>25</v>
      </c>
      <c r="H283">
        <v>80</v>
      </c>
    </row>
    <row r="284" spans="1:8" x14ac:dyDescent="0.2">
      <c r="A284">
        <v>1609</v>
      </c>
      <c r="B284">
        <v>65390</v>
      </c>
      <c r="C284">
        <v>25</v>
      </c>
      <c r="D284">
        <v>10</v>
      </c>
      <c r="E284">
        <v>40</v>
      </c>
      <c r="F284">
        <v>0</v>
      </c>
      <c r="G284">
        <v>25</v>
      </c>
      <c r="H284">
        <v>60</v>
      </c>
    </row>
    <row r="285" spans="1:8" x14ac:dyDescent="0.2">
      <c r="A285">
        <v>1610</v>
      </c>
      <c r="B285">
        <v>67015</v>
      </c>
      <c r="C285">
        <v>25</v>
      </c>
      <c r="D285">
        <v>10</v>
      </c>
      <c r="E285">
        <v>40</v>
      </c>
      <c r="F285">
        <v>0</v>
      </c>
      <c r="G285">
        <v>25</v>
      </c>
      <c r="H285">
        <v>40</v>
      </c>
    </row>
    <row r="286" spans="1:8" x14ac:dyDescent="0.2">
      <c r="A286">
        <v>1611</v>
      </c>
      <c r="B286">
        <v>61510</v>
      </c>
      <c r="C286">
        <v>25</v>
      </c>
      <c r="D286">
        <v>10</v>
      </c>
      <c r="E286">
        <v>40</v>
      </c>
      <c r="F286">
        <v>0</v>
      </c>
      <c r="G286">
        <v>25</v>
      </c>
      <c r="H286">
        <v>60</v>
      </c>
    </row>
    <row r="287" spans="1:8" x14ac:dyDescent="0.2">
      <c r="A287">
        <v>1612</v>
      </c>
      <c r="B287">
        <v>60445</v>
      </c>
      <c r="C287">
        <v>25</v>
      </c>
      <c r="D287">
        <v>10</v>
      </c>
      <c r="E287">
        <v>40</v>
      </c>
      <c r="F287">
        <v>0</v>
      </c>
      <c r="G287">
        <v>25</v>
      </c>
      <c r="H287">
        <v>40</v>
      </c>
    </row>
    <row r="288" spans="1:8" x14ac:dyDescent="0.2">
      <c r="A288">
        <v>1613</v>
      </c>
      <c r="B288">
        <v>62515</v>
      </c>
      <c r="C288">
        <v>25</v>
      </c>
      <c r="D288">
        <v>10</v>
      </c>
      <c r="E288">
        <v>40</v>
      </c>
      <c r="F288">
        <v>0</v>
      </c>
      <c r="G288">
        <v>25</v>
      </c>
      <c r="H288">
        <v>80</v>
      </c>
    </row>
    <row r="289" spans="1:8" x14ac:dyDescent="0.2">
      <c r="A289">
        <v>1614</v>
      </c>
      <c r="B289">
        <v>63645</v>
      </c>
      <c r="C289">
        <v>25</v>
      </c>
      <c r="D289">
        <v>10</v>
      </c>
      <c r="E289">
        <v>40</v>
      </c>
      <c r="F289">
        <v>0</v>
      </c>
      <c r="G289">
        <v>25</v>
      </c>
      <c r="H289">
        <v>30</v>
      </c>
    </row>
    <row r="290" spans="1:8" x14ac:dyDescent="0.2">
      <c r="A290">
        <v>1615</v>
      </c>
      <c r="B290">
        <v>61105</v>
      </c>
      <c r="C290">
        <v>25</v>
      </c>
      <c r="D290">
        <v>10</v>
      </c>
      <c r="E290">
        <v>40</v>
      </c>
      <c r="F290">
        <v>0</v>
      </c>
      <c r="G290">
        <v>25</v>
      </c>
      <c r="H290">
        <v>40</v>
      </c>
    </row>
    <row r="291" spans="1:8" x14ac:dyDescent="0.2">
      <c r="A291">
        <v>1616</v>
      </c>
      <c r="B291">
        <v>60400</v>
      </c>
      <c r="C291">
        <v>25</v>
      </c>
      <c r="D291">
        <v>10</v>
      </c>
      <c r="E291">
        <v>40</v>
      </c>
      <c r="F291">
        <v>0</v>
      </c>
      <c r="G291">
        <v>25</v>
      </c>
      <c r="H291">
        <v>40</v>
      </c>
    </row>
    <row r="292" spans="1:8" x14ac:dyDescent="0.2">
      <c r="A292">
        <v>1617</v>
      </c>
      <c r="B292">
        <v>61265</v>
      </c>
      <c r="C292">
        <v>25</v>
      </c>
      <c r="D292">
        <v>10</v>
      </c>
      <c r="E292">
        <v>40</v>
      </c>
      <c r="F292">
        <v>0</v>
      </c>
      <c r="G292">
        <v>25</v>
      </c>
      <c r="H292">
        <v>60</v>
      </c>
    </row>
    <row r="293" spans="1:8" x14ac:dyDescent="0.2">
      <c r="A293">
        <v>1619</v>
      </c>
      <c r="B293">
        <v>62610</v>
      </c>
      <c r="C293">
        <v>25</v>
      </c>
      <c r="D293">
        <v>10</v>
      </c>
      <c r="E293">
        <v>40</v>
      </c>
      <c r="F293">
        <v>0</v>
      </c>
      <c r="G293">
        <v>25</v>
      </c>
      <c r="H293">
        <v>40</v>
      </c>
    </row>
    <row r="294" spans="1:8" x14ac:dyDescent="0.2">
      <c r="A294">
        <v>1621</v>
      </c>
      <c r="B294">
        <v>59540</v>
      </c>
      <c r="C294">
        <v>25</v>
      </c>
      <c r="D294">
        <v>10</v>
      </c>
      <c r="E294">
        <v>40</v>
      </c>
      <c r="F294">
        <v>0</v>
      </c>
      <c r="G294">
        <v>25</v>
      </c>
      <c r="H294">
        <v>30</v>
      </c>
    </row>
    <row r="295" spans="1:8" x14ac:dyDescent="0.2">
      <c r="A295">
        <v>1622</v>
      </c>
      <c r="B295">
        <v>62245</v>
      </c>
      <c r="C295">
        <v>25</v>
      </c>
      <c r="D295">
        <v>10</v>
      </c>
      <c r="E295">
        <v>40</v>
      </c>
      <c r="F295">
        <v>0</v>
      </c>
      <c r="G295">
        <v>25</v>
      </c>
      <c r="H295">
        <v>40</v>
      </c>
    </row>
    <row r="296" spans="1:8" x14ac:dyDescent="0.2">
      <c r="A296">
        <v>1630</v>
      </c>
      <c r="B296">
        <v>64640</v>
      </c>
      <c r="C296">
        <v>30</v>
      </c>
      <c r="D296">
        <v>30</v>
      </c>
      <c r="E296">
        <v>30</v>
      </c>
      <c r="F296">
        <v>10</v>
      </c>
      <c r="G296">
        <v>10</v>
      </c>
      <c r="H296">
        <v>110</v>
      </c>
    </row>
    <row r="297" spans="1:8" x14ac:dyDescent="0.2">
      <c r="A297">
        <v>1634</v>
      </c>
      <c r="B297">
        <v>62400</v>
      </c>
      <c r="C297">
        <v>30</v>
      </c>
      <c r="D297">
        <v>20</v>
      </c>
      <c r="E297">
        <v>30</v>
      </c>
      <c r="F297">
        <v>20</v>
      </c>
      <c r="G297">
        <v>0</v>
      </c>
      <c r="H297">
        <v>100</v>
      </c>
    </row>
    <row r="298" spans="1:8" x14ac:dyDescent="0.2">
      <c r="A298">
        <v>1635</v>
      </c>
      <c r="B298">
        <v>65040</v>
      </c>
      <c r="C298">
        <v>35</v>
      </c>
      <c r="D298">
        <v>20</v>
      </c>
      <c r="E298">
        <v>35</v>
      </c>
      <c r="F298">
        <v>10</v>
      </c>
      <c r="G298">
        <v>0</v>
      </c>
      <c r="H298">
        <v>120</v>
      </c>
    </row>
    <row r="299" spans="1:8" x14ac:dyDescent="0.2">
      <c r="A299">
        <v>1636</v>
      </c>
      <c r="B299">
        <v>62520</v>
      </c>
      <c r="C299">
        <v>35</v>
      </c>
      <c r="D299">
        <v>20</v>
      </c>
      <c r="E299">
        <v>35</v>
      </c>
      <c r="F299">
        <v>10</v>
      </c>
      <c r="G299">
        <v>10</v>
      </c>
      <c r="H299">
        <v>100</v>
      </c>
    </row>
    <row r="300" spans="1:8" x14ac:dyDescent="0.2">
      <c r="A300">
        <v>1638</v>
      </c>
      <c r="B300">
        <v>61470</v>
      </c>
      <c r="C300">
        <v>35</v>
      </c>
      <c r="D300">
        <v>20</v>
      </c>
      <c r="E300">
        <v>35</v>
      </c>
      <c r="F300">
        <v>10</v>
      </c>
      <c r="G300">
        <v>10</v>
      </c>
      <c r="H300">
        <v>20</v>
      </c>
    </row>
    <row r="301" spans="1:8" x14ac:dyDescent="0.2">
      <c r="A301">
        <v>1641</v>
      </c>
      <c r="B301">
        <v>66195</v>
      </c>
      <c r="C301">
        <v>25</v>
      </c>
      <c r="D301">
        <v>15</v>
      </c>
      <c r="E301">
        <v>35</v>
      </c>
      <c r="F301">
        <v>0</v>
      </c>
      <c r="G301">
        <v>25</v>
      </c>
      <c r="H301">
        <v>30</v>
      </c>
    </row>
    <row r="302" spans="1:8" x14ac:dyDescent="0.2">
      <c r="A302">
        <v>1642</v>
      </c>
      <c r="B302">
        <v>61990</v>
      </c>
      <c r="C302">
        <v>30</v>
      </c>
      <c r="D302">
        <v>10</v>
      </c>
      <c r="E302">
        <v>40</v>
      </c>
      <c r="F302">
        <v>0</v>
      </c>
      <c r="G302">
        <v>20</v>
      </c>
      <c r="H302">
        <v>45</v>
      </c>
    </row>
    <row r="303" spans="1:8" x14ac:dyDescent="0.2">
      <c r="A303">
        <v>1643</v>
      </c>
      <c r="B303">
        <v>62665</v>
      </c>
      <c r="C303">
        <v>25</v>
      </c>
      <c r="D303">
        <v>15</v>
      </c>
      <c r="E303">
        <v>35</v>
      </c>
      <c r="F303">
        <v>0</v>
      </c>
      <c r="G303">
        <v>25</v>
      </c>
      <c r="H303">
        <v>30</v>
      </c>
    </row>
    <row r="304" spans="1:8" x14ac:dyDescent="0.2">
      <c r="A304">
        <v>1644</v>
      </c>
      <c r="B304">
        <v>63650</v>
      </c>
      <c r="C304">
        <v>30</v>
      </c>
      <c r="D304">
        <v>15</v>
      </c>
      <c r="E304">
        <v>35</v>
      </c>
      <c r="F304">
        <v>0</v>
      </c>
      <c r="G304">
        <v>20</v>
      </c>
      <c r="H304">
        <v>30</v>
      </c>
    </row>
    <row r="305" spans="1:8" x14ac:dyDescent="0.2">
      <c r="A305">
        <v>1645</v>
      </c>
      <c r="B305">
        <v>60925</v>
      </c>
      <c r="C305">
        <v>35</v>
      </c>
      <c r="D305">
        <v>15</v>
      </c>
      <c r="E305">
        <v>40</v>
      </c>
      <c r="F305">
        <v>0</v>
      </c>
      <c r="G305">
        <v>10</v>
      </c>
      <c r="H305">
        <v>55</v>
      </c>
    </row>
    <row r="306" spans="1:8" x14ac:dyDescent="0.2">
      <c r="A306">
        <v>1646</v>
      </c>
      <c r="B306">
        <v>58895</v>
      </c>
      <c r="C306">
        <v>35</v>
      </c>
      <c r="D306">
        <v>10</v>
      </c>
      <c r="E306">
        <v>45</v>
      </c>
      <c r="F306">
        <v>0</v>
      </c>
      <c r="G306">
        <v>10</v>
      </c>
      <c r="H306">
        <v>45</v>
      </c>
    </row>
    <row r="307" spans="1:8" x14ac:dyDescent="0.2">
      <c r="A307">
        <v>1647</v>
      </c>
      <c r="B307">
        <v>62440</v>
      </c>
      <c r="C307">
        <v>25</v>
      </c>
      <c r="D307">
        <v>15</v>
      </c>
      <c r="E307">
        <v>40</v>
      </c>
      <c r="F307">
        <v>0</v>
      </c>
      <c r="G307">
        <v>20</v>
      </c>
      <c r="H307">
        <v>40</v>
      </c>
    </row>
    <row r="308" spans="1:8" x14ac:dyDescent="0.2">
      <c r="A308">
        <v>1648</v>
      </c>
      <c r="B308">
        <v>60690</v>
      </c>
      <c r="C308">
        <v>25</v>
      </c>
      <c r="D308">
        <v>15</v>
      </c>
      <c r="E308">
        <v>40</v>
      </c>
      <c r="F308">
        <v>0</v>
      </c>
      <c r="G308">
        <v>20</v>
      </c>
      <c r="H308">
        <v>30</v>
      </c>
    </row>
    <row r="309" spans="1:8" x14ac:dyDescent="0.2">
      <c r="A309">
        <v>1649</v>
      </c>
      <c r="B309">
        <v>61740</v>
      </c>
      <c r="C309">
        <v>35</v>
      </c>
      <c r="D309">
        <v>15</v>
      </c>
      <c r="E309">
        <v>40</v>
      </c>
      <c r="F309">
        <v>0</v>
      </c>
      <c r="G309">
        <v>10</v>
      </c>
      <c r="H309">
        <v>35</v>
      </c>
    </row>
    <row r="310" spans="1:8" x14ac:dyDescent="0.2">
      <c r="A310">
        <v>1650</v>
      </c>
      <c r="B310">
        <v>63500</v>
      </c>
      <c r="C310">
        <v>35</v>
      </c>
      <c r="D310">
        <v>35</v>
      </c>
      <c r="E310">
        <v>15</v>
      </c>
      <c r="F310">
        <v>15</v>
      </c>
      <c r="G310">
        <v>0</v>
      </c>
      <c r="H310">
        <v>35</v>
      </c>
    </row>
    <row r="311" spans="1:8" x14ac:dyDescent="0.2">
      <c r="A311">
        <v>1651</v>
      </c>
      <c r="B311">
        <v>66500</v>
      </c>
      <c r="C311">
        <v>35</v>
      </c>
      <c r="D311">
        <v>25</v>
      </c>
      <c r="E311">
        <v>10</v>
      </c>
      <c r="F311">
        <v>30</v>
      </c>
      <c r="G311">
        <v>0</v>
      </c>
      <c r="H311">
        <v>40</v>
      </c>
    </row>
    <row r="312" spans="1:8" x14ac:dyDescent="0.2">
      <c r="A312">
        <v>1652</v>
      </c>
      <c r="B312">
        <v>63415</v>
      </c>
      <c r="C312">
        <v>25</v>
      </c>
      <c r="D312">
        <v>40</v>
      </c>
      <c r="E312">
        <v>15</v>
      </c>
      <c r="F312">
        <v>20</v>
      </c>
      <c r="G312">
        <v>0</v>
      </c>
      <c r="H312">
        <v>35</v>
      </c>
    </row>
    <row r="313" spans="1:8" x14ac:dyDescent="0.2">
      <c r="A313">
        <v>1653</v>
      </c>
      <c r="B313">
        <v>60745</v>
      </c>
      <c r="C313">
        <v>25</v>
      </c>
      <c r="D313">
        <v>35</v>
      </c>
      <c r="E313">
        <v>20</v>
      </c>
      <c r="F313">
        <v>20</v>
      </c>
      <c r="G313">
        <v>0</v>
      </c>
      <c r="H313">
        <v>35</v>
      </c>
    </row>
    <row r="314" spans="1:8" x14ac:dyDescent="0.2">
      <c r="A314">
        <v>1654</v>
      </c>
      <c r="B314">
        <v>65030</v>
      </c>
      <c r="C314">
        <v>35</v>
      </c>
      <c r="D314">
        <v>40</v>
      </c>
      <c r="E314">
        <v>15</v>
      </c>
      <c r="F314">
        <v>10</v>
      </c>
      <c r="G314">
        <v>0</v>
      </c>
      <c r="H314">
        <v>45</v>
      </c>
    </row>
    <row r="315" spans="1:8" x14ac:dyDescent="0.2">
      <c r="A315">
        <v>1655</v>
      </c>
      <c r="B315">
        <v>64790</v>
      </c>
      <c r="C315">
        <v>35</v>
      </c>
      <c r="D315">
        <v>35</v>
      </c>
      <c r="E315">
        <v>10</v>
      </c>
      <c r="F315">
        <v>20</v>
      </c>
      <c r="G315">
        <v>0</v>
      </c>
      <c r="H315">
        <v>50</v>
      </c>
    </row>
    <row r="316" spans="1:8" x14ac:dyDescent="0.2">
      <c r="A316">
        <v>1656</v>
      </c>
      <c r="B316">
        <v>60195</v>
      </c>
      <c r="C316">
        <v>30</v>
      </c>
      <c r="D316">
        <v>25</v>
      </c>
      <c r="E316">
        <v>25</v>
      </c>
      <c r="F316">
        <v>20</v>
      </c>
      <c r="G316">
        <v>0</v>
      </c>
      <c r="H316">
        <v>40</v>
      </c>
    </row>
    <row r="317" spans="1:8" x14ac:dyDescent="0.2">
      <c r="A317">
        <v>1657</v>
      </c>
      <c r="B317">
        <v>65145</v>
      </c>
      <c r="C317">
        <v>35</v>
      </c>
      <c r="D317">
        <v>25</v>
      </c>
      <c r="E317">
        <v>10</v>
      </c>
      <c r="F317">
        <v>30</v>
      </c>
      <c r="G317">
        <v>0</v>
      </c>
      <c r="H317">
        <v>30</v>
      </c>
    </row>
    <row r="318" spans="1:8" x14ac:dyDescent="0.2">
      <c r="A318">
        <v>1660</v>
      </c>
      <c r="B318">
        <v>65440</v>
      </c>
      <c r="C318">
        <v>35</v>
      </c>
      <c r="D318">
        <v>30</v>
      </c>
      <c r="E318">
        <v>25</v>
      </c>
      <c r="F318">
        <v>10</v>
      </c>
      <c r="G318">
        <v>0</v>
      </c>
      <c r="H318">
        <v>60</v>
      </c>
    </row>
    <row r="319" spans="1:8" x14ac:dyDescent="0.2">
      <c r="A319">
        <v>1666</v>
      </c>
      <c r="B319">
        <v>62840</v>
      </c>
      <c r="C319">
        <v>35</v>
      </c>
      <c r="D319">
        <v>30</v>
      </c>
      <c r="E319">
        <v>15</v>
      </c>
      <c r="F319">
        <v>20</v>
      </c>
      <c r="G319">
        <v>20</v>
      </c>
      <c r="H319">
        <v>60</v>
      </c>
    </row>
    <row r="320" spans="1:8" x14ac:dyDescent="0.2">
      <c r="A320">
        <v>1667</v>
      </c>
      <c r="B320">
        <v>62560</v>
      </c>
      <c r="C320">
        <v>30</v>
      </c>
      <c r="D320">
        <v>20</v>
      </c>
      <c r="E320">
        <v>35</v>
      </c>
      <c r="F320">
        <v>0</v>
      </c>
      <c r="G320">
        <v>15</v>
      </c>
      <c r="H320">
        <v>45</v>
      </c>
    </row>
    <row r="321" spans="1:8" x14ac:dyDescent="0.2">
      <c r="A321">
        <v>1668</v>
      </c>
      <c r="B321">
        <v>60955</v>
      </c>
      <c r="C321">
        <v>35</v>
      </c>
      <c r="D321">
        <v>20</v>
      </c>
      <c r="E321">
        <v>30</v>
      </c>
      <c r="F321">
        <v>15</v>
      </c>
      <c r="G321">
        <v>15</v>
      </c>
      <c r="H321">
        <v>50</v>
      </c>
    </row>
    <row r="322" spans="1:8" x14ac:dyDescent="0.2">
      <c r="A322">
        <v>1670</v>
      </c>
      <c r="B322">
        <v>64735</v>
      </c>
      <c r="C322">
        <v>40</v>
      </c>
      <c r="D322">
        <v>25</v>
      </c>
      <c r="E322">
        <v>15</v>
      </c>
      <c r="F322">
        <v>20</v>
      </c>
      <c r="G322">
        <v>20</v>
      </c>
      <c r="H322">
        <v>60</v>
      </c>
    </row>
    <row r="323" spans="1:8" x14ac:dyDescent="0.2">
      <c r="A323">
        <v>1680</v>
      </c>
      <c r="B323">
        <v>59320</v>
      </c>
      <c r="C323">
        <v>40</v>
      </c>
      <c r="D323">
        <v>20</v>
      </c>
      <c r="E323">
        <v>30</v>
      </c>
      <c r="F323">
        <v>10</v>
      </c>
      <c r="G323">
        <v>10</v>
      </c>
      <c r="H323">
        <v>35</v>
      </c>
    </row>
    <row r="324" spans="1:8" x14ac:dyDescent="0.2">
      <c r="A324">
        <v>1681</v>
      </c>
      <c r="B324">
        <v>60600</v>
      </c>
      <c r="C324">
        <v>40</v>
      </c>
      <c r="D324">
        <v>20</v>
      </c>
      <c r="E324">
        <v>30</v>
      </c>
      <c r="F324">
        <v>10</v>
      </c>
      <c r="G324">
        <v>10</v>
      </c>
      <c r="H324">
        <v>40</v>
      </c>
    </row>
    <row r="325" spans="1:8" x14ac:dyDescent="0.2">
      <c r="A325">
        <v>1682</v>
      </c>
      <c r="B325">
        <v>58040</v>
      </c>
      <c r="C325">
        <v>40</v>
      </c>
      <c r="D325">
        <v>20</v>
      </c>
      <c r="E325">
        <v>30</v>
      </c>
      <c r="F325">
        <v>10</v>
      </c>
      <c r="G325">
        <v>10</v>
      </c>
      <c r="H325">
        <v>40</v>
      </c>
    </row>
    <row r="326" spans="1:8" x14ac:dyDescent="0.2">
      <c r="A326">
        <v>1683</v>
      </c>
      <c r="B326">
        <v>57550</v>
      </c>
      <c r="C326">
        <v>40</v>
      </c>
      <c r="D326">
        <v>20</v>
      </c>
      <c r="E326">
        <v>30</v>
      </c>
      <c r="F326">
        <v>10</v>
      </c>
      <c r="G326">
        <v>10</v>
      </c>
      <c r="H326">
        <v>35</v>
      </c>
    </row>
    <row r="327" spans="1:8" x14ac:dyDescent="0.2">
      <c r="A327">
        <v>1684</v>
      </c>
      <c r="B327">
        <v>57840</v>
      </c>
      <c r="C327">
        <v>40</v>
      </c>
      <c r="D327">
        <v>20</v>
      </c>
      <c r="E327">
        <v>30</v>
      </c>
      <c r="F327">
        <v>10</v>
      </c>
      <c r="G327">
        <v>10</v>
      </c>
      <c r="H327">
        <v>35</v>
      </c>
    </row>
    <row r="328" spans="1:8" x14ac:dyDescent="0.2">
      <c r="A328">
        <v>1685</v>
      </c>
      <c r="B328">
        <v>57060</v>
      </c>
      <c r="C328">
        <v>40</v>
      </c>
      <c r="D328">
        <v>20</v>
      </c>
      <c r="E328">
        <v>30</v>
      </c>
      <c r="F328">
        <v>10</v>
      </c>
      <c r="G328">
        <v>10</v>
      </c>
      <c r="H328">
        <v>40</v>
      </c>
    </row>
    <row r="329" spans="1:8" x14ac:dyDescent="0.2">
      <c r="A329">
        <v>1686</v>
      </c>
      <c r="B329">
        <v>56560</v>
      </c>
      <c r="C329">
        <v>40</v>
      </c>
      <c r="D329">
        <v>20</v>
      </c>
      <c r="E329">
        <v>30</v>
      </c>
      <c r="F329">
        <v>10</v>
      </c>
      <c r="G329">
        <v>10</v>
      </c>
      <c r="H329">
        <v>40</v>
      </c>
    </row>
    <row r="330" spans="1:8" x14ac:dyDescent="0.2">
      <c r="A330">
        <v>1687</v>
      </c>
      <c r="B330">
        <v>55280</v>
      </c>
      <c r="C330">
        <v>40</v>
      </c>
      <c r="D330">
        <v>20</v>
      </c>
      <c r="E330">
        <v>30</v>
      </c>
      <c r="F330">
        <v>10</v>
      </c>
      <c r="G330">
        <v>10</v>
      </c>
      <c r="H330">
        <v>30</v>
      </c>
    </row>
    <row r="331" spans="1:8" x14ac:dyDescent="0.2">
      <c r="A331">
        <v>1688</v>
      </c>
      <c r="B331">
        <v>55030</v>
      </c>
      <c r="C331">
        <v>40</v>
      </c>
      <c r="D331">
        <v>20</v>
      </c>
      <c r="E331">
        <v>30</v>
      </c>
      <c r="F331">
        <v>10</v>
      </c>
      <c r="G331">
        <v>10</v>
      </c>
      <c r="H331">
        <v>30</v>
      </c>
    </row>
    <row r="332" spans="1:8" x14ac:dyDescent="0.2">
      <c r="A332">
        <v>1689</v>
      </c>
      <c r="B332">
        <v>57920</v>
      </c>
      <c r="C332">
        <v>40</v>
      </c>
      <c r="D332">
        <v>20</v>
      </c>
      <c r="E332">
        <v>30</v>
      </c>
      <c r="F332">
        <v>10</v>
      </c>
      <c r="G332">
        <v>10</v>
      </c>
      <c r="H332">
        <v>40</v>
      </c>
    </row>
    <row r="333" spans="1:8" x14ac:dyDescent="0.2">
      <c r="A333">
        <v>1690</v>
      </c>
      <c r="B333">
        <v>55770</v>
      </c>
      <c r="C333">
        <v>40</v>
      </c>
      <c r="D333">
        <v>20</v>
      </c>
      <c r="E333">
        <v>30</v>
      </c>
      <c r="F333">
        <v>10</v>
      </c>
      <c r="G333">
        <v>10</v>
      </c>
      <c r="H333">
        <v>30</v>
      </c>
    </row>
    <row r="334" spans="1:8" x14ac:dyDescent="0.2">
      <c r="A334">
        <v>1691</v>
      </c>
      <c r="B334">
        <v>74590</v>
      </c>
      <c r="C334">
        <v>20</v>
      </c>
      <c r="D334">
        <v>10</v>
      </c>
      <c r="E334">
        <v>30</v>
      </c>
      <c r="F334">
        <v>0</v>
      </c>
      <c r="G334">
        <v>40</v>
      </c>
      <c r="H334">
        <v>60</v>
      </c>
    </row>
    <row r="335" spans="1:8" x14ac:dyDescent="0.2">
      <c r="A335">
        <v>1692</v>
      </c>
      <c r="B335">
        <v>65280</v>
      </c>
      <c r="C335">
        <v>20</v>
      </c>
      <c r="D335">
        <v>10</v>
      </c>
      <c r="E335">
        <v>30</v>
      </c>
      <c r="F335">
        <v>0</v>
      </c>
      <c r="G335">
        <v>40</v>
      </c>
      <c r="H335">
        <v>60</v>
      </c>
    </row>
    <row r="336" spans="1:8" x14ac:dyDescent="0.2">
      <c r="A336">
        <v>1693</v>
      </c>
      <c r="B336">
        <v>64930</v>
      </c>
      <c r="C336">
        <v>20</v>
      </c>
      <c r="D336">
        <v>10</v>
      </c>
      <c r="E336">
        <v>30</v>
      </c>
      <c r="F336">
        <v>0</v>
      </c>
      <c r="G336">
        <v>40</v>
      </c>
      <c r="H336">
        <v>50</v>
      </c>
    </row>
    <row r="337" spans="1:8" x14ac:dyDescent="0.2">
      <c r="A337">
        <v>1694</v>
      </c>
      <c r="B337">
        <v>61190</v>
      </c>
      <c r="C337">
        <v>20</v>
      </c>
      <c r="D337">
        <v>10</v>
      </c>
      <c r="E337">
        <v>30</v>
      </c>
      <c r="F337">
        <v>0</v>
      </c>
      <c r="G337">
        <v>40</v>
      </c>
      <c r="H337">
        <v>50</v>
      </c>
    </row>
    <row r="338" spans="1:8" x14ac:dyDescent="0.2">
      <c r="A338">
        <v>1700</v>
      </c>
      <c r="B338">
        <v>52890</v>
      </c>
      <c r="C338">
        <v>30</v>
      </c>
      <c r="D338">
        <v>20</v>
      </c>
      <c r="E338">
        <v>30</v>
      </c>
      <c r="F338">
        <v>0</v>
      </c>
      <c r="G338">
        <v>20</v>
      </c>
      <c r="H338">
        <v>90</v>
      </c>
    </row>
    <row r="339" spans="1:8" x14ac:dyDescent="0.2">
      <c r="A339">
        <v>1701</v>
      </c>
      <c r="B339">
        <v>54830</v>
      </c>
      <c r="C339">
        <v>35</v>
      </c>
      <c r="D339">
        <v>15</v>
      </c>
      <c r="E339">
        <v>35</v>
      </c>
      <c r="F339">
        <v>0</v>
      </c>
      <c r="G339">
        <v>15</v>
      </c>
      <c r="H339">
        <v>45</v>
      </c>
    </row>
    <row r="340" spans="1:8" x14ac:dyDescent="0.2">
      <c r="A340">
        <v>1702</v>
      </c>
      <c r="B340">
        <v>62040</v>
      </c>
      <c r="C340">
        <v>30</v>
      </c>
      <c r="D340">
        <v>15</v>
      </c>
      <c r="E340">
        <v>35</v>
      </c>
      <c r="F340">
        <v>0</v>
      </c>
      <c r="G340">
        <v>20</v>
      </c>
      <c r="H340">
        <v>40</v>
      </c>
    </row>
    <row r="341" spans="1:8" x14ac:dyDescent="0.2">
      <c r="A341">
        <v>1703</v>
      </c>
      <c r="B341">
        <v>52940</v>
      </c>
      <c r="C341">
        <v>30</v>
      </c>
      <c r="D341">
        <v>30</v>
      </c>
      <c r="E341">
        <v>30</v>
      </c>
      <c r="F341">
        <v>10</v>
      </c>
      <c r="G341">
        <v>10</v>
      </c>
      <c r="H341">
        <v>40</v>
      </c>
    </row>
    <row r="342" spans="1:8" x14ac:dyDescent="0.2">
      <c r="A342">
        <v>1704</v>
      </c>
      <c r="B342">
        <v>58405</v>
      </c>
      <c r="C342">
        <v>35</v>
      </c>
      <c r="D342">
        <v>15</v>
      </c>
      <c r="E342">
        <v>40</v>
      </c>
      <c r="F342">
        <v>0</v>
      </c>
      <c r="G342">
        <v>10</v>
      </c>
      <c r="H342">
        <v>60</v>
      </c>
    </row>
    <row r="343" spans="1:8" x14ac:dyDescent="0.2">
      <c r="A343">
        <v>1705</v>
      </c>
      <c r="B343">
        <v>62320</v>
      </c>
      <c r="C343">
        <v>20</v>
      </c>
      <c r="D343">
        <v>30</v>
      </c>
      <c r="E343">
        <v>30</v>
      </c>
      <c r="F343">
        <v>0</v>
      </c>
      <c r="G343">
        <v>20</v>
      </c>
      <c r="H343">
        <v>50</v>
      </c>
    </row>
    <row r="344" spans="1:8" x14ac:dyDescent="0.2">
      <c r="A344">
        <v>1708</v>
      </c>
      <c r="B344">
        <v>53185</v>
      </c>
      <c r="C344">
        <v>35</v>
      </c>
      <c r="D344">
        <v>15</v>
      </c>
      <c r="E344">
        <v>40</v>
      </c>
      <c r="F344">
        <v>0</v>
      </c>
      <c r="G344">
        <v>10</v>
      </c>
      <c r="H344">
        <v>62</v>
      </c>
    </row>
    <row r="345" spans="1:8" x14ac:dyDescent="0.2">
      <c r="A345">
        <v>1709</v>
      </c>
      <c r="B345">
        <v>55270</v>
      </c>
      <c r="C345">
        <v>30</v>
      </c>
      <c r="D345">
        <v>20</v>
      </c>
      <c r="E345">
        <v>40</v>
      </c>
      <c r="F345">
        <v>10</v>
      </c>
      <c r="G345">
        <v>10</v>
      </c>
      <c r="H345">
        <v>80</v>
      </c>
    </row>
    <row r="346" spans="1:8" x14ac:dyDescent="0.2">
      <c r="A346">
        <v>1710</v>
      </c>
      <c r="B346">
        <v>49475</v>
      </c>
      <c r="C346">
        <v>25</v>
      </c>
      <c r="D346">
        <v>25</v>
      </c>
      <c r="E346">
        <v>25</v>
      </c>
      <c r="F346">
        <v>0</v>
      </c>
      <c r="G346">
        <v>25</v>
      </c>
      <c r="H346">
        <v>30</v>
      </c>
    </row>
    <row r="347" spans="1:8" x14ac:dyDescent="0.2">
      <c r="A347">
        <v>1711</v>
      </c>
      <c r="B347">
        <v>56540</v>
      </c>
      <c r="C347">
        <v>35</v>
      </c>
      <c r="D347">
        <v>15</v>
      </c>
      <c r="E347">
        <v>35</v>
      </c>
      <c r="F347">
        <v>0</v>
      </c>
      <c r="G347">
        <v>15</v>
      </c>
      <c r="H347">
        <v>50</v>
      </c>
    </row>
    <row r="348" spans="1:8" x14ac:dyDescent="0.2">
      <c r="A348">
        <v>1713</v>
      </c>
      <c r="B348">
        <v>73195</v>
      </c>
      <c r="C348">
        <v>25</v>
      </c>
      <c r="D348">
        <v>20</v>
      </c>
      <c r="E348">
        <v>25</v>
      </c>
      <c r="F348">
        <v>0</v>
      </c>
      <c r="G348">
        <v>30</v>
      </c>
      <c r="H348">
        <v>45</v>
      </c>
    </row>
    <row r="349" spans="1:8" x14ac:dyDescent="0.2">
      <c r="A349">
        <v>1714</v>
      </c>
      <c r="B349">
        <v>58740</v>
      </c>
      <c r="C349">
        <v>20</v>
      </c>
      <c r="D349">
        <v>20</v>
      </c>
      <c r="E349">
        <v>30</v>
      </c>
      <c r="F349">
        <v>0</v>
      </c>
      <c r="G349">
        <v>30</v>
      </c>
      <c r="H349">
        <v>100</v>
      </c>
    </row>
    <row r="350" spans="1:8" x14ac:dyDescent="0.2">
      <c r="A350">
        <v>1715</v>
      </c>
      <c r="B350">
        <v>60250</v>
      </c>
      <c r="C350">
        <v>25</v>
      </c>
      <c r="D350">
        <v>25</v>
      </c>
      <c r="E350">
        <v>25</v>
      </c>
      <c r="F350">
        <v>0</v>
      </c>
      <c r="G350">
        <v>25</v>
      </c>
      <c r="H350">
        <v>40</v>
      </c>
    </row>
    <row r="351" spans="1:8" x14ac:dyDescent="0.2">
      <c r="A351">
        <v>1728</v>
      </c>
      <c r="B351">
        <v>63230</v>
      </c>
      <c r="C351">
        <v>25</v>
      </c>
      <c r="D351">
        <v>20</v>
      </c>
      <c r="E351">
        <v>25</v>
      </c>
      <c r="F351">
        <v>0</v>
      </c>
      <c r="G351">
        <v>30</v>
      </c>
      <c r="H351">
        <v>50</v>
      </c>
    </row>
    <row r="352" spans="1:8" x14ac:dyDescent="0.2">
      <c r="A352">
        <v>1729</v>
      </c>
      <c r="B352">
        <v>58475</v>
      </c>
      <c r="C352">
        <v>25</v>
      </c>
      <c r="D352">
        <v>25</v>
      </c>
      <c r="E352">
        <v>20</v>
      </c>
      <c r="F352">
        <v>30</v>
      </c>
      <c r="G352">
        <v>0</v>
      </c>
      <c r="H352">
        <v>40</v>
      </c>
    </row>
    <row r="353" spans="1:8" x14ac:dyDescent="0.2">
      <c r="A353">
        <v>1730</v>
      </c>
      <c r="B353">
        <v>47970</v>
      </c>
      <c r="C353">
        <v>35</v>
      </c>
      <c r="D353">
        <v>15</v>
      </c>
      <c r="E353">
        <v>40</v>
      </c>
      <c r="F353">
        <v>0</v>
      </c>
      <c r="G353">
        <v>10</v>
      </c>
      <c r="H353">
        <v>55</v>
      </c>
    </row>
    <row r="354" spans="1:8" x14ac:dyDescent="0.2">
      <c r="A354">
        <v>1731</v>
      </c>
      <c r="B354">
        <v>72285</v>
      </c>
      <c r="C354">
        <v>25</v>
      </c>
      <c r="D354">
        <v>20</v>
      </c>
      <c r="E354">
        <v>25</v>
      </c>
      <c r="F354">
        <v>0</v>
      </c>
      <c r="G354">
        <v>30</v>
      </c>
      <c r="H354">
        <v>15</v>
      </c>
    </row>
    <row r="355" spans="1:8" x14ac:dyDescent="0.2">
      <c r="A355">
        <v>1732</v>
      </c>
      <c r="B355">
        <v>59190</v>
      </c>
      <c r="C355">
        <v>20</v>
      </c>
      <c r="D355">
        <v>25</v>
      </c>
      <c r="E355">
        <v>25</v>
      </c>
      <c r="F355">
        <v>0</v>
      </c>
      <c r="G355">
        <v>30</v>
      </c>
      <c r="H355">
        <v>50</v>
      </c>
    </row>
    <row r="356" spans="1:8" x14ac:dyDescent="0.2">
      <c r="A356">
        <v>1733</v>
      </c>
      <c r="B356">
        <v>55550</v>
      </c>
      <c r="C356">
        <v>30</v>
      </c>
      <c r="D356">
        <v>30</v>
      </c>
      <c r="E356">
        <v>30</v>
      </c>
      <c r="F356">
        <v>10</v>
      </c>
      <c r="G356">
        <v>0</v>
      </c>
      <c r="H356">
        <v>75</v>
      </c>
    </row>
    <row r="357" spans="1:8" x14ac:dyDescent="0.2">
      <c r="A357">
        <v>1734</v>
      </c>
      <c r="B357">
        <v>62190</v>
      </c>
      <c r="C357">
        <v>35</v>
      </c>
      <c r="D357">
        <v>20</v>
      </c>
      <c r="E357">
        <v>35</v>
      </c>
      <c r="F357">
        <v>0</v>
      </c>
      <c r="G357">
        <v>10</v>
      </c>
      <c r="H357">
        <v>55</v>
      </c>
    </row>
    <row r="358" spans="1:8" x14ac:dyDescent="0.2">
      <c r="A358">
        <v>1736</v>
      </c>
      <c r="B358">
        <v>52110</v>
      </c>
      <c r="C358">
        <v>35</v>
      </c>
      <c r="D358">
        <v>15</v>
      </c>
      <c r="E358">
        <v>40</v>
      </c>
      <c r="F358">
        <v>0</v>
      </c>
      <c r="G358">
        <v>10</v>
      </c>
      <c r="H358">
        <v>50</v>
      </c>
    </row>
    <row r="359" spans="1:8" x14ac:dyDescent="0.2">
      <c r="A359">
        <v>1737</v>
      </c>
      <c r="B359">
        <v>52525</v>
      </c>
      <c r="C359">
        <v>35</v>
      </c>
      <c r="D359">
        <v>15</v>
      </c>
      <c r="E359">
        <v>40</v>
      </c>
      <c r="F359">
        <v>0</v>
      </c>
      <c r="G359">
        <v>10</v>
      </c>
      <c r="H359">
        <v>65</v>
      </c>
    </row>
    <row r="360" spans="1:8" x14ac:dyDescent="0.2">
      <c r="A360">
        <v>1740</v>
      </c>
      <c r="B360">
        <v>53440</v>
      </c>
      <c r="C360">
        <v>35</v>
      </c>
      <c r="D360">
        <v>15</v>
      </c>
      <c r="E360">
        <v>40</v>
      </c>
      <c r="F360">
        <v>0</v>
      </c>
      <c r="G360">
        <v>10</v>
      </c>
      <c r="H360">
        <v>55</v>
      </c>
    </row>
    <row r="361" spans="1:8" x14ac:dyDescent="0.2">
      <c r="A361">
        <v>1752</v>
      </c>
      <c r="B361">
        <v>54900</v>
      </c>
      <c r="C361">
        <v>35</v>
      </c>
      <c r="D361">
        <v>15</v>
      </c>
      <c r="E361">
        <v>40</v>
      </c>
      <c r="F361">
        <v>0</v>
      </c>
      <c r="G361">
        <v>10</v>
      </c>
      <c r="H361">
        <v>50</v>
      </c>
    </row>
    <row r="362" spans="1:8" x14ac:dyDescent="0.2">
      <c r="A362">
        <v>1753</v>
      </c>
      <c r="B362">
        <v>52680</v>
      </c>
      <c r="C362">
        <v>25</v>
      </c>
      <c r="D362">
        <v>20</v>
      </c>
      <c r="E362">
        <v>30</v>
      </c>
      <c r="F362">
        <v>0</v>
      </c>
      <c r="G362">
        <v>25</v>
      </c>
      <c r="H362">
        <v>43</v>
      </c>
    </row>
    <row r="363" spans="1:8" x14ac:dyDescent="0.2">
      <c r="A363">
        <v>1754</v>
      </c>
      <c r="B363">
        <v>52850</v>
      </c>
      <c r="C363">
        <v>30</v>
      </c>
      <c r="D363">
        <v>35</v>
      </c>
      <c r="E363">
        <v>25</v>
      </c>
      <c r="F363">
        <v>10</v>
      </c>
      <c r="G363">
        <v>10</v>
      </c>
      <c r="H363">
        <v>55</v>
      </c>
    </row>
    <row r="364" spans="1:8" x14ac:dyDescent="0.2">
      <c r="A364">
        <v>1756</v>
      </c>
      <c r="B364">
        <v>54570</v>
      </c>
      <c r="C364">
        <v>30</v>
      </c>
      <c r="D364">
        <v>30</v>
      </c>
      <c r="E364">
        <v>20</v>
      </c>
      <c r="F364">
        <v>20</v>
      </c>
      <c r="G364">
        <v>0</v>
      </c>
      <c r="H364">
        <v>50</v>
      </c>
    </row>
    <row r="365" spans="1:8" x14ac:dyDescent="0.2">
      <c r="A365">
        <v>1758</v>
      </c>
      <c r="B365">
        <v>48370</v>
      </c>
      <c r="C365">
        <v>25</v>
      </c>
      <c r="D365">
        <v>25</v>
      </c>
      <c r="E365">
        <v>30</v>
      </c>
      <c r="F365">
        <v>0</v>
      </c>
      <c r="G365">
        <v>20</v>
      </c>
      <c r="H365">
        <v>40</v>
      </c>
    </row>
    <row r="366" spans="1:8" x14ac:dyDescent="0.2">
      <c r="A366">
        <v>1759</v>
      </c>
      <c r="B366">
        <v>47925</v>
      </c>
      <c r="C366">
        <v>35</v>
      </c>
      <c r="D366">
        <v>15</v>
      </c>
      <c r="E366">
        <v>40</v>
      </c>
      <c r="F366">
        <v>0</v>
      </c>
      <c r="G366">
        <v>10</v>
      </c>
      <c r="H366">
        <v>40</v>
      </c>
    </row>
    <row r="367" spans="1:8" x14ac:dyDescent="0.2">
      <c r="A367">
        <v>1765</v>
      </c>
      <c r="B367">
        <v>55120</v>
      </c>
      <c r="C367">
        <v>30</v>
      </c>
      <c r="D367">
        <v>30</v>
      </c>
      <c r="E367">
        <v>15</v>
      </c>
      <c r="F367">
        <v>25</v>
      </c>
      <c r="G367">
        <v>0</v>
      </c>
      <c r="H367">
        <v>30</v>
      </c>
    </row>
    <row r="368" spans="1:8" x14ac:dyDescent="0.2">
      <c r="A368">
        <v>1774</v>
      </c>
      <c r="B368">
        <v>54700</v>
      </c>
      <c r="C368">
        <v>30</v>
      </c>
      <c r="D368">
        <v>30</v>
      </c>
      <c r="E368">
        <v>25</v>
      </c>
      <c r="F368">
        <v>15</v>
      </c>
      <c r="G368">
        <v>15</v>
      </c>
      <c r="H368">
        <v>45</v>
      </c>
    </row>
    <row r="369" spans="1:8" x14ac:dyDescent="0.2">
      <c r="A369">
        <v>1775</v>
      </c>
      <c r="B369">
        <v>52025</v>
      </c>
      <c r="C369">
        <v>25</v>
      </c>
      <c r="D369">
        <v>25</v>
      </c>
      <c r="E369">
        <v>25</v>
      </c>
      <c r="F369">
        <v>0</v>
      </c>
      <c r="G369">
        <v>25</v>
      </c>
      <c r="H369">
        <v>40</v>
      </c>
    </row>
    <row r="370" spans="1:8" x14ac:dyDescent="0.2">
      <c r="A370">
        <v>1776</v>
      </c>
      <c r="B370">
        <v>63930</v>
      </c>
      <c r="C370">
        <v>20</v>
      </c>
      <c r="D370">
        <v>20</v>
      </c>
      <c r="E370">
        <v>30</v>
      </c>
      <c r="F370">
        <v>0</v>
      </c>
      <c r="G370">
        <v>30</v>
      </c>
      <c r="H370">
        <v>45</v>
      </c>
    </row>
    <row r="371" spans="1:8" x14ac:dyDescent="0.2">
      <c r="A371">
        <v>1777</v>
      </c>
      <c r="B371">
        <v>59850</v>
      </c>
      <c r="C371">
        <v>30</v>
      </c>
      <c r="D371">
        <v>30</v>
      </c>
      <c r="E371">
        <v>15</v>
      </c>
      <c r="F371">
        <v>25</v>
      </c>
      <c r="G371">
        <v>0</v>
      </c>
      <c r="H371">
        <v>37</v>
      </c>
    </row>
    <row r="372" spans="1:8" x14ac:dyDescent="0.2">
      <c r="A372">
        <v>1778</v>
      </c>
      <c r="B372">
        <v>51260</v>
      </c>
      <c r="C372">
        <v>30</v>
      </c>
      <c r="D372">
        <v>20</v>
      </c>
      <c r="E372">
        <v>40</v>
      </c>
      <c r="F372">
        <v>10</v>
      </c>
      <c r="G372">
        <v>10</v>
      </c>
      <c r="H372">
        <v>60</v>
      </c>
    </row>
    <row r="373" spans="1:8" x14ac:dyDescent="0.2">
      <c r="A373">
        <v>1779</v>
      </c>
      <c r="B373">
        <v>49815</v>
      </c>
      <c r="C373">
        <v>35</v>
      </c>
      <c r="D373">
        <v>15</v>
      </c>
      <c r="E373">
        <v>40</v>
      </c>
      <c r="F373">
        <v>0</v>
      </c>
      <c r="G373">
        <v>10</v>
      </c>
      <c r="H373">
        <v>46</v>
      </c>
    </row>
    <row r="374" spans="1:8" x14ac:dyDescent="0.2">
      <c r="A374">
        <v>1782</v>
      </c>
      <c r="B374">
        <v>61260</v>
      </c>
      <c r="C374">
        <v>25</v>
      </c>
      <c r="D374">
        <v>35</v>
      </c>
      <c r="E374">
        <v>20</v>
      </c>
      <c r="F374">
        <v>20</v>
      </c>
      <c r="G374">
        <v>0</v>
      </c>
      <c r="H374">
        <v>80</v>
      </c>
    </row>
    <row r="375" spans="1:8" x14ac:dyDescent="0.2">
      <c r="A375">
        <v>1784</v>
      </c>
      <c r="B375">
        <v>57200</v>
      </c>
      <c r="C375">
        <v>35</v>
      </c>
      <c r="D375">
        <v>35</v>
      </c>
      <c r="E375">
        <v>10</v>
      </c>
      <c r="F375">
        <v>20</v>
      </c>
      <c r="G375">
        <v>0</v>
      </c>
      <c r="H375">
        <v>33</v>
      </c>
    </row>
    <row r="376" spans="1:8" x14ac:dyDescent="0.2">
      <c r="A376">
        <v>1785</v>
      </c>
      <c r="B376">
        <v>57790</v>
      </c>
      <c r="C376">
        <v>35</v>
      </c>
      <c r="D376">
        <v>35</v>
      </c>
      <c r="E376">
        <v>10</v>
      </c>
      <c r="F376">
        <v>20</v>
      </c>
      <c r="G376">
        <v>0</v>
      </c>
      <c r="H376">
        <v>33</v>
      </c>
    </row>
    <row r="377" spans="1:8" x14ac:dyDescent="0.2">
      <c r="A377">
        <v>1786</v>
      </c>
      <c r="B377">
        <v>58300</v>
      </c>
      <c r="C377">
        <v>25</v>
      </c>
      <c r="D377">
        <v>25</v>
      </c>
      <c r="E377">
        <v>25</v>
      </c>
      <c r="F377">
        <v>0</v>
      </c>
      <c r="G377">
        <v>25</v>
      </c>
      <c r="H377">
        <v>60</v>
      </c>
    </row>
    <row r="378" spans="1:8" x14ac:dyDescent="0.2">
      <c r="A378">
        <v>1787</v>
      </c>
      <c r="B378">
        <v>56800</v>
      </c>
      <c r="C378">
        <v>25</v>
      </c>
      <c r="D378">
        <v>25</v>
      </c>
      <c r="E378">
        <v>25</v>
      </c>
      <c r="F378">
        <v>0</v>
      </c>
      <c r="G378">
        <v>25</v>
      </c>
      <c r="H378">
        <v>50</v>
      </c>
    </row>
    <row r="379" spans="1:8" x14ac:dyDescent="0.2">
      <c r="A379">
        <v>1788</v>
      </c>
      <c r="B379">
        <v>56360</v>
      </c>
      <c r="C379">
        <v>30</v>
      </c>
      <c r="D379">
        <v>25</v>
      </c>
      <c r="E379">
        <v>30</v>
      </c>
      <c r="F379">
        <v>15</v>
      </c>
      <c r="G379">
        <v>0</v>
      </c>
      <c r="H379">
        <v>60</v>
      </c>
    </row>
    <row r="380" spans="1:8" x14ac:dyDescent="0.2">
      <c r="A380">
        <v>1789</v>
      </c>
      <c r="B380">
        <v>68405</v>
      </c>
      <c r="C380">
        <v>25</v>
      </c>
      <c r="D380">
        <v>20</v>
      </c>
      <c r="E380">
        <v>25</v>
      </c>
      <c r="F380">
        <v>0</v>
      </c>
      <c r="G380">
        <v>30</v>
      </c>
      <c r="H380">
        <v>65</v>
      </c>
    </row>
    <row r="381" spans="1:8" x14ac:dyDescent="0.2">
      <c r="A381">
        <v>1839</v>
      </c>
      <c r="B381">
        <v>50460</v>
      </c>
      <c r="C381">
        <v>30</v>
      </c>
      <c r="D381">
        <v>50</v>
      </c>
      <c r="E381">
        <v>10</v>
      </c>
      <c r="F381">
        <v>10</v>
      </c>
      <c r="G381">
        <v>0</v>
      </c>
      <c r="H381">
        <v>60</v>
      </c>
    </row>
    <row r="382" spans="1:8" x14ac:dyDescent="0.2">
      <c r="A382">
        <v>1840</v>
      </c>
      <c r="B382">
        <v>52600</v>
      </c>
      <c r="C382">
        <v>30</v>
      </c>
      <c r="D382">
        <v>30</v>
      </c>
      <c r="E382">
        <v>30</v>
      </c>
      <c r="F382">
        <v>10</v>
      </c>
      <c r="G382">
        <v>10</v>
      </c>
      <c r="H382">
        <v>80</v>
      </c>
    </row>
    <row r="383" spans="1:8" x14ac:dyDescent="0.2">
      <c r="A383">
        <v>1841</v>
      </c>
      <c r="B383">
        <v>50010</v>
      </c>
      <c r="C383">
        <v>30</v>
      </c>
      <c r="D383">
        <v>20</v>
      </c>
      <c r="E383">
        <v>40</v>
      </c>
      <c r="F383">
        <v>0</v>
      </c>
      <c r="G383">
        <v>10</v>
      </c>
      <c r="H383">
        <v>50</v>
      </c>
    </row>
    <row r="384" spans="1:8" x14ac:dyDescent="0.2">
      <c r="A384">
        <v>1846</v>
      </c>
      <c r="B384">
        <v>53220</v>
      </c>
      <c r="C384">
        <v>30</v>
      </c>
      <c r="D384">
        <v>30</v>
      </c>
      <c r="E384">
        <v>30</v>
      </c>
      <c r="F384">
        <v>10</v>
      </c>
      <c r="G384">
        <v>10</v>
      </c>
      <c r="H384">
        <v>70</v>
      </c>
    </row>
    <row r="385" spans="1:8" x14ac:dyDescent="0.2">
      <c r="A385">
        <v>1852</v>
      </c>
      <c r="B385">
        <v>50740</v>
      </c>
      <c r="C385">
        <v>30</v>
      </c>
      <c r="D385">
        <v>10</v>
      </c>
      <c r="E385">
        <v>50</v>
      </c>
      <c r="F385">
        <v>0</v>
      </c>
      <c r="G385">
        <v>10</v>
      </c>
      <c r="H385">
        <v>20</v>
      </c>
    </row>
    <row r="386" spans="1:8" x14ac:dyDescent="0.2">
      <c r="A386">
        <v>1853</v>
      </c>
      <c r="B386">
        <v>50330</v>
      </c>
      <c r="C386">
        <v>30</v>
      </c>
      <c r="D386">
        <v>20</v>
      </c>
      <c r="E386">
        <v>40</v>
      </c>
      <c r="F386">
        <v>0</v>
      </c>
      <c r="G386">
        <v>10</v>
      </c>
      <c r="H386">
        <v>20</v>
      </c>
    </row>
    <row r="387" spans="1:8" x14ac:dyDescent="0.2">
      <c r="A387">
        <v>1854</v>
      </c>
      <c r="B387">
        <v>61190</v>
      </c>
      <c r="C387">
        <v>30</v>
      </c>
      <c r="D387">
        <v>20</v>
      </c>
      <c r="E387">
        <v>40</v>
      </c>
      <c r="F387">
        <v>0</v>
      </c>
      <c r="G387">
        <v>10</v>
      </c>
      <c r="H387">
        <v>60</v>
      </c>
    </row>
    <row r="388" spans="1:8" x14ac:dyDescent="0.2">
      <c r="A388">
        <v>1855</v>
      </c>
      <c r="B388">
        <v>50000</v>
      </c>
      <c r="C388">
        <v>30</v>
      </c>
      <c r="D388">
        <v>20</v>
      </c>
      <c r="E388">
        <v>40</v>
      </c>
      <c r="F388">
        <v>0</v>
      </c>
      <c r="G388">
        <v>10</v>
      </c>
      <c r="H388">
        <v>90</v>
      </c>
    </row>
    <row r="389" spans="1:8" x14ac:dyDescent="0.2">
      <c r="A389">
        <v>1856</v>
      </c>
      <c r="B389">
        <v>50750</v>
      </c>
      <c r="C389">
        <v>30</v>
      </c>
      <c r="D389">
        <v>30</v>
      </c>
      <c r="E389">
        <v>30</v>
      </c>
      <c r="F389">
        <v>10</v>
      </c>
      <c r="G389">
        <v>10</v>
      </c>
      <c r="H389">
        <v>30</v>
      </c>
    </row>
    <row r="390" spans="1:8" x14ac:dyDescent="0.2">
      <c r="A390">
        <v>1857</v>
      </c>
      <c r="B390">
        <v>50130</v>
      </c>
      <c r="C390">
        <v>30</v>
      </c>
      <c r="D390">
        <v>20</v>
      </c>
      <c r="E390">
        <v>40</v>
      </c>
      <c r="F390">
        <v>0</v>
      </c>
      <c r="G390">
        <v>10</v>
      </c>
      <c r="H390">
        <v>50</v>
      </c>
    </row>
    <row r="391" spans="1:8" x14ac:dyDescent="0.2">
      <c r="A391">
        <v>1858</v>
      </c>
      <c r="B391">
        <v>50430</v>
      </c>
      <c r="C391">
        <v>30</v>
      </c>
      <c r="D391">
        <v>20</v>
      </c>
      <c r="E391">
        <v>40</v>
      </c>
      <c r="F391">
        <v>0</v>
      </c>
      <c r="G391">
        <v>10</v>
      </c>
      <c r="H391">
        <v>20</v>
      </c>
    </row>
    <row r="392" spans="1:8" x14ac:dyDescent="0.2">
      <c r="A392">
        <v>1859</v>
      </c>
      <c r="B392">
        <v>50330</v>
      </c>
      <c r="C392">
        <v>30</v>
      </c>
      <c r="D392">
        <v>20</v>
      </c>
      <c r="E392">
        <v>40</v>
      </c>
      <c r="F392">
        <v>0</v>
      </c>
      <c r="G392">
        <v>10</v>
      </c>
      <c r="H392">
        <v>20</v>
      </c>
    </row>
    <row r="393" spans="1:8" x14ac:dyDescent="0.2">
      <c r="A393">
        <v>1860</v>
      </c>
      <c r="B393">
        <v>60080</v>
      </c>
      <c r="C393">
        <v>30</v>
      </c>
      <c r="D393">
        <v>50</v>
      </c>
      <c r="E393">
        <v>10</v>
      </c>
      <c r="F393">
        <v>10</v>
      </c>
      <c r="G393">
        <v>0</v>
      </c>
      <c r="H393">
        <v>80</v>
      </c>
    </row>
    <row r="394" spans="1:8" x14ac:dyDescent="0.2">
      <c r="A394">
        <v>1861</v>
      </c>
      <c r="B394">
        <v>56770</v>
      </c>
      <c r="C394">
        <v>30</v>
      </c>
      <c r="D394">
        <v>40</v>
      </c>
      <c r="E394">
        <v>20</v>
      </c>
      <c r="F394">
        <v>10</v>
      </c>
      <c r="G394">
        <v>10</v>
      </c>
      <c r="H394">
        <v>70</v>
      </c>
    </row>
    <row r="395" spans="1:8" x14ac:dyDescent="0.2">
      <c r="A395">
        <v>1862</v>
      </c>
      <c r="B395">
        <v>56820</v>
      </c>
      <c r="C395">
        <v>30</v>
      </c>
      <c r="D395">
        <v>20</v>
      </c>
      <c r="E395">
        <v>40</v>
      </c>
      <c r="F395">
        <v>0</v>
      </c>
      <c r="G395">
        <v>10</v>
      </c>
      <c r="H395">
        <v>80</v>
      </c>
    </row>
    <row r="396" spans="1:8" x14ac:dyDescent="0.2">
      <c r="A396">
        <v>1863</v>
      </c>
      <c r="B396">
        <v>55680</v>
      </c>
      <c r="C396">
        <v>30</v>
      </c>
      <c r="D396">
        <v>20</v>
      </c>
      <c r="E396">
        <v>40</v>
      </c>
      <c r="F396">
        <v>0</v>
      </c>
      <c r="G396">
        <v>10</v>
      </c>
      <c r="H396">
        <v>50</v>
      </c>
    </row>
    <row r="397" spans="1:8" x14ac:dyDescent="0.2">
      <c r="A397">
        <v>1864</v>
      </c>
      <c r="B397">
        <v>50380</v>
      </c>
      <c r="C397">
        <v>30</v>
      </c>
      <c r="D397">
        <v>10</v>
      </c>
      <c r="E397">
        <v>50</v>
      </c>
      <c r="F397">
        <v>0</v>
      </c>
      <c r="G397">
        <v>10</v>
      </c>
      <c r="H397">
        <v>35</v>
      </c>
    </row>
    <row r="398" spans="1:8" x14ac:dyDescent="0.2">
      <c r="A398">
        <v>1865</v>
      </c>
      <c r="B398">
        <v>50070</v>
      </c>
      <c r="C398">
        <v>30</v>
      </c>
      <c r="D398">
        <v>20</v>
      </c>
      <c r="E398">
        <v>40</v>
      </c>
      <c r="F398">
        <v>0</v>
      </c>
      <c r="G398">
        <v>10</v>
      </c>
      <c r="H398">
        <v>55</v>
      </c>
    </row>
    <row r="399" spans="1:8" x14ac:dyDescent="0.2">
      <c r="A399">
        <v>1866</v>
      </c>
      <c r="B399">
        <v>54310</v>
      </c>
      <c r="C399">
        <v>30</v>
      </c>
      <c r="D399">
        <v>50</v>
      </c>
      <c r="E399">
        <v>10</v>
      </c>
      <c r="F399">
        <v>10</v>
      </c>
      <c r="G399">
        <v>0</v>
      </c>
      <c r="H399">
        <v>50</v>
      </c>
    </row>
    <row r="400" spans="1:8" x14ac:dyDescent="0.2">
      <c r="A400">
        <v>1867</v>
      </c>
      <c r="B400">
        <v>50330</v>
      </c>
      <c r="C400">
        <v>30</v>
      </c>
      <c r="D400">
        <v>20</v>
      </c>
      <c r="E400">
        <v>40</v>
      </c>
      <c r="F400">
        <v>0</v>
      </c>
      <c r="G400">
        <v>10</v>
      </c>
      <c r="H400">
        <v>40</v>
      </c>
    </row>
    <row r="401" spans="1:8" x14ac:dyDescent="0.2">
      <c r="A401">
        <v>1868</v>
      </c>
      <c r="B401">
        <v>50010</v>
      </c>
      <c r="C401">
        <v>30</v>
      </c>
      <c r="D401">
        <v>20</v>
      </c>
      <c r="E401">
        <v>40</v>
      </c>
      <c r="F401">
        <v>0</v>
      </c>
      <c r="G401">
        <v>10</v>
      </c>
      <c r="H401">
        <v>70</v>
      </c>
    </row>
    <row r="402" spans="1:8" x14ac:dyDescent="0.2">
      <c r="A402">
        <v>1869</v>
      </c>
      <c r="B402">
        <v>52910</v>
      </c>
      <c r="C402">
        <v>30</v>
      </c>
      <c r="D402">
        <v>20</v>
      </c>
      <c r="E402">
        <v>40</v>
      </c>
      <c r="F402">
        <v>0</v>
      </c>
      <c r="G402">
        <v>10</v>
      </c>
      <c r="H402">
        <v>20</v>
      </c>
    </row>
    <row r="403" spans="1:8" x14ac:dyDescent="0.2">
      <c r="A403">
        <v>1870</v>
      </c>
      <c r="B403">
        <v>52050</v>
      </c>
      <c r="C403">
        <v>30</v>
      </c>
      <c r="D403">
        <v>20</v>
      </c>
      <c r="E403">
        <v>40</v>
      </c>
      <c r="F403">
        <v>0</v>
      </c>
      <c r="G403">
        <v>10</v>
      </c>
      <c r="H403">
        <v>35</v>
      </c>
    </row>
    <row r="404" spans="1:8" x14ac:dyDescent="0.2">
      <c r="A404">
        <v>1880</v>
      </c>
      <c r="B404">
        <v>53400</v>
      </c>
      <c r="C404">
        <v>30</v>
      </c>
      <c r="D404">
        <v>20</v>
      </c>
      <c r="E404">
        <v>40</v>
      </c>
      <c r="F404">
        <v>0</v>
      </c>
      <c r="G404">
        <v>10</v>
      </c>
      <c r="H404">
        <v>40</v>
      </c>
    </row>
    <row r="405" spans="1:8" x14ac:dyDescent="0.2">
      <c r="A405">
        <v>1881</v>
      </c>
      <c r="B405">
        <v>52440</v>
      </c>
      <c r="C405">
        <v>30</v>
      </c>
      <c r="D405">
        <v>20</v>
      </c>
      <c r="E405">
        <v>40</v>
      </c>
      <c r="F405">
        <v>0</v>
      </c>
      <c r="G405">
        <v>10</v>
      </c>
      <c r="H405">
        <v>30</v>
      </c>
    </row>
    <row r="406" spans="1:8" x14ac:dyDescent="0.2">
      <c r="A406">
        <v>1882</v>
      </c>
      <c r="B406">
        <v>50840</v>
      </c>
      <c r="C406">
        <v>30</v>
      </c>
      <c r="D406">
        <v>50</v>
      </c>
      <c r="E406">
        <v>10</v>
      </c>
      <c r="F406">
        <v>10</v>
      </c>
      <c r="G406">
        <v>0</v>
      </c>
      <c r="H406">
        <v>5</v>
      </c>
    </row>
    <row r="407" spans="1:8" x14ac:dyDescent="0.2">
      <c r="A407">
        <v>1883</v>
      </c>
      <c r="B407">
        <v>61990</v>
      </c>
      <c r="C407">
        <v>30</v>
      </c>
      <c r="D407">
        <v>50</v>
      </c>
      <c r="E407">
        <v>10</v>
      </c>
      <c r="F407">
        <v>10</v>
      </c>
      <c r="G407">
        <v>0</v>
      </c>
      <c r="H407">
        <v>80</v>
      </c>
    </row>
    <row r="408" spans="1:8" x14ac:dyDescent="0.2">
      <c r="A408">
        <v>1884</v>
      </c>
      <c r="B408">
        <v>55240</v>
      </c>
      <c r="C408">
        <v>30</v>
      </c>
      <c r="D408">
        <v>30</v>
      </c>
      <c r="E408">
        <v>30</v>
      </c>
      <c r="F408">
        <v>10</v>
      </c>
      <c r="G408">
        <v>10</v>
      </c>
      <c r="H408">
        <v>80</v>
      </c>
    </row>
    <row r="409" spans="1:8" x14ac:dyDescent="0.2">
      <c r="A409">
        <v>1885</v>
      </c>
      <c r="B409">
        <v>52920</v>
      </c>
      <c r="C409">
        <v>30</v>
      </c>
      <c r="D409">
        <v>50</v>
      </c>
      <c r="E409">
        <v>10</v>
      </c>
      <c r="F409">
        <v>10</v>
      </c>
      <c r="G409">
        <v>0</v>
      </c>
      <c r="H409">
        <v>10</v>
      </c>
    </row>
    <row r="410" spans="1:8" x14ac:dyDescent="0.2">
      <c r="A410">
        <v>1886</v>
      </c>
      <c r="B410">
        <v>53070</v>
      </c>
      <c r="C410">
        <v>30</v>
      </c>
      <c r="D410">
        <v>20</v>
      </c>
      <c r="E410">
        <v>40</v>
      </c>
      <c r="F410">
        <v>0</v>
      </c>
      <c r="G410">
        <v>10</v>
      </c>
      <c r="H410">
        <v>60</v>
      </c>
    </row>
    <row r="411" spans="1:8" x14ac:dyDescent="0.2">
      <c r="A411">
        <v>1887</v>
      </c>
      <c r="B411">
        <v>70970</v>
      </c>
      <c r="C411">
        <v>30</v>
      </c>
      <c r="D411">
        <v>30</v>
      </c>
      <c r="E411">
        <v>30</v>
      </c>
      <c r="F411">
        <v>0</v>
      </c>
      <c r="G411">
        <v>10</v>
      </c>
      <c r="H411">
        <v>50</v>
      </c>
    </row>
    <row r="412" spans="1:8" x14ac:dyDescent="0.2">
      <c r="A412">
        <v>1888</v>
      </c>
      <c r="B412">
        <v>65035</v>
      </c>
      <c r="C412">
        <v>30</v>
      </c>
      <c r="D412">
        <v>25</v>
      </c>
      <c r="E412">
        <v>35</v>
      </c>
      <c r="F412">
        <v>0</v>
      </c>
      <c r="G412">
        <v>10</v>
      </c>
      <c r="H412">
        <v>25</v>
      </c>
    </row>
    <row r="413" spans="1:8" x14ac:dyDescent="0.2">
      <c r="A413">
        <v>1889</v>
      </c>
      <c r="B413">
        <v>63020</v>
      </c>
      <c r="C413">
        <v>30</v>
      </c>
      <c r="D413">
        <v>25</v>
      </c>
      <c r="E413">
        <v>35</v>
      </c>
      <c r="F413">
        <v>0</v>
      </c>
      <c r="G413">
        <v>10</v>
      </c>
      <c r="H413">
        <v>20</v>
      </c>
    </row>
    <row r="414" spans="1:8" x14ac:dyDescent="0.2">
      <c r="A414">
        <v>1890</v>
      </c>
      <c r="B414">
        <v>64185</v>
      </c>
      <c r="C414">
        <v>30</v>
      </c>
      <c r="D414">
        <v>25</v>
      </c>
      <c r="E414">
        <v>35</v>
      </c>
      <c r="F414">
        <v>0</v>
      </c>
      <c r="G414">
        <v>10</v>
      </c>
      <c r="H414">
        <v>25</v>
      </c>
    </row>
    <row r="415" spans="1:8" x14ac:dyDescent="0.2">
      <c r="A415">
        <v>1891</v>
      </c>
      <c r="B415">
        <v>62150</v>
      </c>
      <c r="C415">
        <v>30</v>
      </c>
      <c r="D415">
        <v>25</v>
      </c>
      <c r="E415">
        <v>35</v>
      </c>
      <c r="F415">
        <v>0</v>
      </c>
      <c r="G415">
        <v>10</v>
      </c>
      <c r="H415">
        <v>15</v>
      </c>
    </row>
    <row r="416" spans="1:8" x14ac:dyDescent="0.2">
      <c r="A416">
        <v>1900</v>
      </c>
      <c r="B416">
        <v>58115</v>
      </c>
      <c r="C416">
        <v>30</v>
      </c>
      <c r="D416">
        <v>35</v>
      </c>
      <c r="E416">
        <v>25</v>
      </c>
      <c r="F416">
        <v>10</v>
      </c>
      <c r="G416">
        <v>10</v>
      </c>
      <c r="H416">
        <v>150</v>
      </c>
    </row>
    <row r="417" spans="1:8" x14ac:dyDescent="0.2">
      <c r="A417">
        <v>1905</v>
      </c>
      <c r="B417">
        <v>58530</v>
      </c>
      <c r="C417">
        <v>30</v>
      </c>
      <c r="D417">
        <v>35</v>
      </c>
      <c r="E417">
        <v>25</v>
      </c>
      <c r="F417">
        <v>10</v>
      </c>
      <c r="G417">
        <v>0</v>
      </c>
      <c r="H417">
        <v>40</v>
      </c>
    </row>
    <row r="418" spans="1:8" x14ac:dyDescent="0.2">
      <c r="A418">
        <v>1906</v>
      </c>
      <c r="B418">
        <v>55360</v>
      </c>
      <c r="C418">
        <v>30</v>
      </c>
      <c r="D418">
        <v>35</v>
      </c>
      <c r="E418">
        <v>25</v>
      </c>
      <c r="F418">
        <v>10</v>
      </c>
      <c r="G418">
        <v>0</v>
      </c>
      <c r="H418">
        <v>30</v>
      </c>
    </row>
    <row r="419" spans="1:8" x14ac:dyDescent="0.2">
      <c r="A419">
        <v>1907</v>
      </c>
      <c r="B419">
        <v>48305</v>
      </c>
      <c r="C419">
        <v>30</v>
      </c>
      <c r="D419">
        <v>35</v>
      </c>
      <c r="E419">
        <v>25</v>
      </c>
      <c r="F419">
        <v>10</v>
      </c>
      <c r="G419">
        <v>0</v>
      </c>
      <c r="H419">
        <v>20</v>
      </c>
    </row>
    <row r="420" spans="1:8" x14ac:dyDescent="0.2">
      <c r="A420">
        <v>1910</v>
      </c>
      <c r="B420">
        <v>55660</v>
      </c>
      <c r="C420">
        <v>30</v>
      </c>
      <c r="D420">
        <v>35</v>
      </c>
      <c r="E420">
        <v>25</v>
      </c>
      <c r="F420">
        <v>10</v>
      </c>
      <c r="G420">
        <v>0</v>
      </c>
      <c r="H420">
        <v>40</v>
      </c>
    </row>
    <row r="421" spans="1:8" x14ac:dyDescent="0.2">
      <c r="A421">
        <v>1911</v>
      </c>
      <c r="B421">
        <v>60670</v>
      </c>
      <c r="C421">
        <v>30</v>
      </c>
      <c r="D421">
        <v>35</v>
      </c>
      <c r="E421">
        <v>25</v>
      </c>
      <c r="F421">
        <v>10</v>
      </c>
      <c r="G421">
        <v>0</v>
      </c>
      <c r="H421">
        <v>40</v>
      </c>
    </row>
    <row r="422" spans="1:8" x14ac:dyDescent="0.2">
      <c r="A422">
        <v>1912</v>
      </c>
      <c r="B422">
        <v>62420</v>
      </c>
      <c r="C422">
        <v>30</v>
      </c>
      <c r="D422">
        <v>20</v>
      </c>
      <c r="E422">
        <v>20</v>
      </c>
      <c r="F422">
        <v>30</v>
      </c>
      <c r="G422">
        <v>0</v>
      </c>
      <c r="H422">
        <v>40</v>
      </c>
    </row>
    <row r="423" spans="1:8" x14ac:dyDescent="0.2">
      <c r="A423">
        <v>1913</v>
      </c>
      <c r="B423">
        <v>46430</v>
      </c>
      <c r="C423">
        <v>30</v>
      </c>
      <c r="D423">
        <v>40</v>
      </c>
      <c r="E423">
        <v>20</v>
      </c>
      <c r="F423">
        <v>10</v>
      </c>
      <c r="G423">
        <v>0</v>
      </c>
      <c r="H423">
        <v>35</v>
      </c>
    </row>
    <row r="424" spans="1:8" x14ac:dyDescent="0.2">
      <c r="A424">
        <v>1920</v>
      </c>
      <c r="B424">
        <v>59650</v>
      </c>
      <c r="C424">
        <v>30</v>
      </c>
      <c r="D424">
        <v>35</v>
      </c>
      <c r="E424">
        <v>25</v>
      </c>
      <c r="F424">
        <v>10</v>
      </c>
      <c r="G424">
        <v>10</v>
      </c>
      <c r="H424">
        <v>80</v>
      </c>
    </row>
    <row r="425" spans="1:8" x14ac:dyDescent="0.2">
      <c r="A425">
        <v>1921</v>
      </c>
      <c r="B425">
        <v>56820</v>
      </c>
      <c r="C425">
        <v>30</v>
      </c>
      <c r="D425">
        <v>20</v>
      </c>
      <c r="E425">
        <v>40</v>
      </c>
      <c r="F425">
        <v>0</v>
      </c>
      <c r="G425">
        <v>10</v>
      </c>
      <c r="H425">
        <v>60</v>
      </c>
    </row>
    <row r="426" spans="1:8" x14ac:dyDescent="0.2">
      <c r="A426">
        <v>1922</v>
      </c>
      <c r="B426">
        <v>58300</v>
      </c>
      <c r="C426">
        <v>30</v>
      </c>
      <c r="D426">
        <v>35</v>
      </c>
      <c r="E426">
        <v>25</v>
      </c>
      <c r="F426">
        <v>10</v>
      </c>
      <c r="G426">
        <v>10</v>
      </c>
      <c r="H426">
        <v>82</v>
      </c>
    </row>
    <row r="427" spans="1:8" x14ac:dyDescent="0.2">
      <c r="A427">
        <v>1923</v>
      </c>
      <c r="B427">
        <v>54300</v>
      </c>
      <c r="C427">
        <v>30</v>
      </c>
      <c r="D427">
        <v>35</v>
      </c>
      <c r="E427">
        <v>25</v>
      </c>
      <c r="F427">
        <v>10</v>
      </c>
      <c r="G427">
        <v>10</v>
      </c>
      <c r="H427">
        <v>44</v>
      </c>
    </row>
    <row r="428" spans="1:8" x14ac:dyDescent="0.2">
      <c r="A428">
        <v>1924</v>
      </c>
      <c r="B428">
        <v>57135</v>
      </c>
      <c r="C428">
        <v>30</v>
      </c>
      <c r="D428">
        <v>35</v>
      </c>
      <c r="E428">
        <v>25</v>
      </c>
      <c r="F428">
        <v>10</v>
      </c>
      <c r="G428">
        <v>10</v>
      </c>
      <c r="H428">
        <v>55</v>
      </c>
    </row>
    <row r="429" spans="1:8" x14ac:dyDescent="0.2">
      <c r="A429">
        <v>1926</v>
      </c>
      <c r="B429">
        <v>54870</v>
      </c>
      <c r="C429">
        <v>30</v>
      </c>
      <c r="D429">
        <v>20</v>
      </c>
      <c r="E429">
        <v>40</v>
      </c>
      <c r="F429">
        <v>0</v>
      </c>
      <c r="G429">
        <v>10</v>
      </c>
      <c r="H429">
        <v>100</v>
      </c>
    </row>
    <row r="430" spans="1:8" x14ac:dyDescent="0.2">
      <c r="A430">
        <v>1927</v>
      </c>
      <c r="B430">
        <v>53805</v>
      </c>
      <c r="C430">
        <v>30</v>
      </c>
      <c r="D430">
        <v>35</v>
      </c>
      <c r="E430">
        <v>25</v>
      </c>
      <c r="F430">
        <v>10</v>
      </c>
      <c r="G430">
        <v>0</v>
      </c>
      <c r="H430">
        <v>80</v>
      </c>
    </row>
    <row r="431" spans="1:8" x14ac:dyDescent="0.2">
      <c r="A431">
        <v>1928</v>
      </c>
      <c r="B431">
        <v>50080</v>
      </c>
      <c r="C431">
        <v>30</v>
      </c>
      <c r="D431">
        <v>40</v>
      </c>
      <c r="E431">
        <v>20</v>
      </c>
      <c r="F431">
        <v>10</v>
      </c>
      <c r="G431">
        <v>0</v>
      </c>
      <c r="H431">
        <v>40</v>
      </c>
    </row>
    <row r="432" spans="1:8" x14ac:dyDescent="0.2">
      <c r="A432">
        <v>1929</v>
      </c>
      <c r="B432">
        <v>56300</v>
      </c>
      <c r="C432">
        <v>30</v>
      </c>
      <c r="D432">
        <v>35</v>
      </c>
      <c r="E432">
        <v>25</v>
      </c>
      <c r="F432">
        <v>10</v>
      </c>
      <c r="G432">
        <v>0</v>
      </c>
      <c r="H432">
        <v>30</v>
      </c>
    </row>
    <row r="433" spans="1:8" x14ac:dyDescent="0.2">
      <c r="A433">
        <v>1930</v>
      </c>
      <c r="B433">
        <v>63385</v>
      </c>
      <c r="C433">
        <v>30</v>
      </c>
      <c r="D433">
        <v>35</v>
      </c>
      <c r="E433">
        <v>25</v>
      </c>
      <c r="F433">
        <v>10</v>
      </c>
      <c r="G433">
        <v>0</v>
      </c>
      <c r="H433">
        <v>110</v>
      </c>
    </row>
    <row r="434" spans="1:8" x14ac:dyDescent="0.2">
      <c r="A434">
        <v>1931</v>
      </c>
      <c r="B434">
        <v>57330</v>
      </c>
      <c r="C434">
        <v>30</v>
      </c>
      <c r="D434">
        <v>35</v>
      </c>
      <c r="E434">
        <v>25</v>
      </c>
      <c r="F434">
        <v>10</v>
      </c>
      <c r="G434">
        <v>0</v>
      </c>
      <c r="H434">
        <v>100</v>
      </c>
    </row>
    <row r="435" spans="1:8" x14ac:dyDescent="0.2">
      <c r="A435">
        <v>1933</v>
      </c>
      <c r="B435">
        <v>58790</v>
      </c>
      <c r="C435">
        <v>30</v>
      </c>
      <c r="D435">
        <v>35</v>
      </c>
      <c r="E435">
        <v>25</v>
      </c>
      <c r="F435">
        <v>10</v>
      </c>
      <c r="G435">
        <v>0</v>
      </c>
      <c r="H435">
        <v>50</v>
      </c>
    </row>
    <row r="436" spans="1:8" x14ac:dyDescent="0.2">
      <c r="A436">
        <v>1936</v>
      </c>
      <c r="B436">
        <v>60605</v>
      </c>
      <c r="C436">
        <v>30</v>
      </c>
      <c r="D436">
        <v>20</v>
      </c>
      <c r="E436">
        <v>25</v>
      </c>
      <c r="F436">
        <v>25</v>
      </c>
      <c r="G436">
        <v>25</v>
      </c>
      <c r="H436">
        <v>45</v>
      </c>
    </row>
    <row r="437" spans="1:8" x14ac:dyDescent="0.2">
      <c r="A437">
        <v>1937</v>
      </c>
      <c r="B437">
        <v>54810</v>
      </c>
      <c r="C437">
        <v>30</v>
      </c>
      <c r="D437">
        <v>35</v>
      </c>
      <c r="E437">
        <v>25</v>
      </c>
      <c r="F437">
        <v>10</v>
      </c>
      <c r="G437">
        <v>10</v>
      </c>
      <c r="H437">
        <v>40</v>
      </c>
    </row>
    <row r="438" spans="1:8" x14ac:dyDescent="0.2">
      <c r="A438">
        <v>1938</v>
      </c>
      <c r="B438">
        <v>48705</v>
      </c>
      <c r="C438">
        <v>30</v>
      </c>
      <c r="D438">
        <v>35</v>
      </c>
      <c r="E438">
        <v>25</v>
      </c>
      <c r="F438">
        <v>10</v>
      </c>
      <c r="G438">
        <v>10</v>
      </c>
      <c r="H438">
        <v>30</v>
      </c>
    </row>
    <row r="439" spans="1:8" x14ac:dyDescent="0.2">
      <c r="A439">
        <v>1939</v>
      </c>
      <c r="B439">
        <v>72310</v>
      </c>
      <c r="C439">
        <v>20</v>
      </c>
      <c r="D439">
        <v>25</v>
      </c>
      <c r="E439">
        <v>20</v>
      </c>
      <c r="F439">
        <v>0</v>
      </c>
      <c r="G439">
        <v>35</v>
      </c>
      <c r="H439">
        <v>40</v>
      </c>
    </row>
    <row r="440" spans="1:8" x14ac:dyDescent="0.2">
      <c r="A440">
        <v>1940</v>
      </c>
      <c r="B440">
        <v>74550</v>
      </c>
      <c r="C440">
        <v>20</v>
      </c>
      <c r="D440">
        <v>25</v>
      </c>
      <c r="E440">
        <v>20</v>
      </c>
      <c r="F440">
        <v>0</v>
      </c>
      <c r="G440">
        <v>35</v>
      </c>
      <c r="H440">
        <v>54</v>
      </c>
    </row>
    <row r="441" spans="1:8" x14ac:dyDescent="0.2">
      <c r="A441">
        <v>1941</v>
      </c>
      <c r="B441">
        <v>64100</v>
      </c>
      <c r="C441">
        <v>30</v>
      </c>
      <c r="D441">
        <v>20</v>
      </c>
      <c r="E441">
        <v>25</v>
      </c>
      <c r="F441">
        <v>25</v>
      </c>
      <c r="G441">
        <v>25</v>
      </c>
      <c r="H441">
        <v>72</v>
      </c>
    </row>
    <row r="442" spans="1:8" x14ac:dyDescent="0.2">
      <c r="A442">
        <v>1942</v>
      </c>
      <c r="B442">
        <v>62170</v>
      </c>
      <c r="C442">
        <v>30</v>
      </c>
      <c r="D442">
        <v>20</v>
      </c>
      <c r="E442">
        <v>25</v>
      </c>
      <c r="F442">
        <v>25</v>
      </c>
      <c r="G442">
        <v>25</v>
      </c>
      <c r="H442">
        <v>40</v>
      </c>
    </row>
    <row r="443" spans="1:8" x14ac:dyDescent="0.2">
      <c r="A443">
        <v>1943</v>
      </c>
      <c r="B443">
        <v>65910</v>
      </c>
      <c r="C443">
        <v>30</v>
      </c>
      <c r="D443">
        <v>20</v>
      </c>
      <c r="E443">
        <v>25</v>
      </c>
      <c r="F443">
        <v>0</v>
      </c>
      <c r="G443">
        <v>25</v>
      </c>
      <c r="H443">
        <v>45</v>
      </c>
    </row>
    <row r="444" spans="1:8" x14ac:dyDescent="0.2">
      <c r="A444">
        <v>1944</v>
      </c>
      <c r="B444">
        <v>59920</v>
      </c>
      <c r="C444">
        <v>30</v>
      </c>
      <c r="D444">
        <v>30</v>
      </c>
      <c r="E444">
        <v>30</v>
      </c>
      <c r="F444">
        <v>0</v>
      </c>
      <c r="G444">
        <v>10</v>
      </c>
      <c r="H444">
        <v>40</v>
      </c>
    </row>
    <row r="445" spans="1:8" x14ac:dyDescent="0.2">
      <c r="A445">
        <v>1945</v>
      </c>
      <c r="B445">
        <v>62240</v>
      </c>
      <c r="C445">
        <v>30</v>
      </c>
      <c r="D445">
        <v>30</v>
      </c>
      <c r="E445">
        <v>20</v>
      </c>
      <c r="F445">
        <v>20</v>
      </c>
      <c r="G445">
        <v>20</v>
      </c>
      <c r="H445">
        <v>90</v>
      </c>
    </row>
    <row r="446" spans="1:8" x14ac:dyDescent="0.2">
      <c r="A446">
        <v>1946</v>
      </c>
      <c r="B446">
        <v>63600</v>
      </c>
      <c r="C446">
        <v>30</v>
      </c>
      <c r="D446">
        <v>30</v>
      </c>
      <c r="E446">
        <v>30</v>
      </c>
      <c r="F446">
        <v>0</v>
      </c>
      <c r="G446">
        <v>10</v>
      </c>
      <c r="H446">
        <v>46</v>
      </c>
    </row>
    <row r="447" spans="1:8" x14ac:dyDescent="0.2">
      <c r="A447">
        <v>1947</v>
      </c>
      <c r="B447">
        <v>64185</v>
      </c>
      <c r="C447">
        <v>30</v>
      </c>
      <c r="D447">
        <v>20</v>
      </c>
      <c r="E447">
        <v>25</v>
      </c>
      <c r="F447">
        <v>25</v>
      </c>
      <c r="G447">
        <v>25</v>
      </c>
      <c r="H447">
        <v>38</v>
      </c>
    </row>
    <row r="448" spans="1:8" x14ac:dyDescent="0.2">
      <c r="A448">
        <v>1948</v>
      </c>
      <c r="B448">
        <v>61105</v>
      </c>
      <c r="C448">
        <v>30</v>
      </c>
      <c r="D448">
        <v>20</v>
      </c>
      <c r="E448">
        <v>25</v>
      </c>
      <c r="F448">
        <v>0</v>
      </c>
      <c r="G448">
        <v>25</v>
      </c>
      <c r="H448">
        <v>40</v>
      </c>
    </row>
    <row r="449" spans="1:8" x14ac:dyDescent="0.2">
      <c r="A449">
        <v>1949</v>
      </c>
      <c r="B449">
        <v>64460</v>
      </c>
      <c r="C449">
        <v>30</v>
      </c>
      <c r="D449">
        <v>20</v>
      </c>
      <c r="E449">
        <v>25</v>
      </c>
      <c r="F449">
        <v>0</v>
      </c>
      <c r="G449">
        <v>25</v>
      </c>
      <c r="H449">
        <v>45</v>
      </c>
    </row>
    <row r="450" spans="1:8" x14ac:dyDescent="0.2">
      <c r="A450">
        <v>1950</v>
      </c>
      <c r="B450">
        <v>69660</v>
      </c>
      <c r="C450">
        <v>30</v>
      </c>
      <c r="D450">
        <v>30</v>
      </c>
      <c r="E450">
        <v>20</v>
      </c>
      <c r="F450">
        <v>0</v>
      </c>
      <c r="G450">
        <v>20</v>
      </c>
      <c r="H450">
        <v>100</v>
      </c>
    </row>
    <row r="451" spans="1:8" x14ac:dyDescent="0.2">
      <c r="A451">
        <v>1951</v>
      </c>
      <c r="B451">
        <v>56930</v>
      </c>
      <c r="C451">
        <v>30</v>
      </c>
      <c r="D451">
        <v>30</v>
      </c>
      <c r="E451">
        <v>30</v>
      </c>
      <c r="F451">
        <v>10</v>
      </c>
      <c r="G451">
        <v>10</v>
      </c>
      <c r="H451">
        <v>40</v>
      </c>
    </row>
    <row r="452" spans="1:8" x14ac:dyDescent="0.2">
      <c r="A452">
        <v>1952</v>
      </c>
      <c r="B452">
        <v>58930</v>
      </c>
      <c r="C452">
        <v>30</v>
      </c>
      <c r="D452">
        <v>20</v>
      </c>
      <c r="E452">
        <v>40</v>
      </c>
      <c r="F452">
        <v>10</v>
      </c>
      <c r="G452">
        <v>10</v>
      </c>
      <c r="H452">
        <v>100</v>
      </c>
    </row>
    <row r="453" spans="1:8" x14ac:dyDescent="0.2">
      <c r="A453">
        <v>1953</v>
      </c>
      <c r="B453">
        <v>49280</v>
      </c>
      <c r="C453">
        <v>30</v>
      </c>
      <c r="D453">
        <v>30</v>
      </c>
      <c r="E453">
        <v>30</v>
      </c>
      <c r="F453">
        <v>10</v>
      </c>
      <c r="G453">
        <v>10</v>
      </c>
      <c r="H453">
        <v>30</v>
      </c>
    </row>
    <row r="454" spans="1:8" x14ac:dyDescent="0.2">
      <c r="A454">
        <v>1955</v>
      </c>
      <c r="B454">
        <v>53140</v>
      </c>
      <c r="C454">
        <v>30</v>
      </c>
      <c r="D454">
        <v>25</v>
      </c>
      <c r="E454">
        <v>35</v>
      </c>
      <c r="F454">
        <v>10</v>
      </c>
      <c r="G454">
        <v>10</v>
      </c>
      <c r="H454">
        <v>30</v>
      </c>
    </row>
    <row r="455" spans="1:8" x14ac:dyDescent="0.2">
      <c r="A455">
        <v>1957</v>
      </c>
      <c r="B455">
        <v>53020</v>
      </c>
      <c r="C455">
        <v>30</v>
      </c>
      <c r="D455">
        <v>25</v>
      </c>
      <c r="E455">
        <v>35</v>
      </c>
      <c r="F455">
        <v>10</v>
      </c>
      <c r="G455">
        <v>10</v>
      </c>
      <c r="H455">
        <v>40</v>
      </c>
    </row>
    <row r="456" spans="1:8" x14ac:dyDescent="0.2">
      <c r="A456">
        <v>1960</v>
      </c>
      <c r="B456">
        <v>57905</v>
      </c>
      <c r="C456">
        <v>30</v>
      </c>
      <c r="D456">
        <v>25</v>
      </c>
      <c r="E456">
        <v>35</v>
      </c>
      <c r="F456">
        <v>10</v>
      </c>
      <c r="G456">
        <v>10</v>
      </c>
      <c r="H456">
        <v>140</v>
      </c>
    </row>
    <row r="457" spans="1:8" x14ac:dyDescent="0.2">
      <c r="A457">
        <v>1962</v>
      </c>
      <c r="B457">
        <v>54675</v>
      </c>
      <c r="C457">
        <v>30</v>
      </c>
      <c r="D457">
        <v>25</v>
      </c>
      <c r="E457">
        <v>35</v>
      </c>
      <c r="F457">
        <v>10</v>
      </c>
      <c r="G457">
        <v>10</v>
      </c>
      <c r="H457">
        <v>100</v>
      </c>
    </row>
    <row r="458" spans="1:8" x14ac:dyDescent="0.2">
      <c r="A458">
        <v>1964</v>
      </c>
      <c r="B458">
        <v>52810</v>
      </c>
      <c r="C458">
        <v>30</v>
      </c>
      <c r="D458">
        <v>30</v>
      </c>
      <c r="E458">
        <v>30</v>
      </c>
      <c r="F458">
        <v>10</v>
      </c>
      <c r="G458">
        <v>0</v>
      </c>
      <c r="H458">
        <v>50</v>
      </c>
    </row>
    <row r="459" spans="1:8" x14ac:dyDescent="0.2">
      <c r="A459">
        <v>1965</v>
      </c>
      <c r="B459">
        <v>54570</v>
      </c>
      <c r="C459">
        <v>30</v>
      </c>
      <c r="D459">
        <v>30</v>
      </c>
      <c r="E459">
        <v>30</v>
      </c>
      <c r="F459">
        <v>10</v>
      </c>
      <c r="G459">
        <v>10</v>
      </c>
      <c r="H459">
        <v>100</v>
      </c>
    </row>
    <row r="460" spans="1:8" x14ac:dyDescent="0.2">
      <c r="A460">
        <v>1967</v>
      </c>
      <c r="B460">
        <v>50560</v>
      </c>
      <c r="C460">
        <v>30</v>
      </c>
      <c r="D460">
        <v>35</v>
      </c>
      <c r="E460">
        <v>25</v>
      </c>
      <c r="F460">
        <v>10</v>
      </c>
      <c r="G460">
        <v>0</v>
      </c>
      <c r="H460">
        <v>30</v>
      </c>
    </row>
    <row r="461" spans="1:8" x14ac:dyDescent="0.2">
      <c r="A461">
        <v>1968</v>
      </c>
      <c r="B461">
        <v>57680</v>
      </c>
      <c r="C461">
        <v>30</v>
      </c>
      <c r="D461">
        <v>35</v>
      </c>
      <c r="E461">
        <v>25</v>
      </c>
      <c r="F461">
        <v>10</v>
      </c>
      <c r="G461">
        <v>0</v>
      </c>
      <c r="H461">
        <v>40</v>
      </c>
    </row>
    <row r="462" spans="1:8" x14ac:dyDescent="0.2">
      <c r="A462">
        <v>1971</v>
      </c>
      <c r="B462">
        <v>49575</v>
      </c>
      <c r="C462">
        <v>30</v>
      </c>
      <c r="D462">
        <v>25</v>
      </c>
      <c r="E462">
        <v>35</v>
      </c>
      <c r="F462">
        <v>10</v>
      </c>
      <c r="G462">
        <v>10</v>
      </c>
      <c r="H462">
        <v>50</v>
      </c>
    </row>
    <row r="463" spans="1:8" x14ac:dyDescent="0.2">
      <c r="A463">
        <v>1972</v>
      </c>
      <c r="B463">
        <v>49575</v>
      </c>
      <c r="C463">
        <v>30</v>
      </c>
      <c r="D463">
        <v>25</v>
      </c>
      <c r="E463">
        <v>35</v>
      </c>
      <c r="F463">
        <v>10</v>
      </c>
      <c r="G463">
        <v>10</v>
      </c>
      <c r="H463">
        <v>55</v>
      </c>
    </row>
    <row r="464" spans="1:8" x14ac:dyDescent="0.2">
      <c r="A464">
        <v>1974</v>
      </c>
      <c r="B464">
        <v>56605</v>
      </c>
      <c r="C464">
        <v>30</v>
      </c>
      <c r="D464">
        <v>25</v>
      </c>
      <c r="E464">
        <v>35</v>
      </c>
      <c r="F464">
        <v>0</v>
      </c>
      <c r="G464">
        <v>10</v>
      </c>
      <c r="H464">
        <v>56</v>
      </c>
    </row>
    <row r="465" spans="1:8" x14ac:dyDescent="0.2">
      <c r="A465">
        <v>1975</v>
      </c>
      <c r="B465">
        <v>58380</v>
      </c>
      <c r="C465">
        <v>30</v>
      </c>
      <c r="D465">
        <v>20</v>
      </c>
      <c r="E465">
        <v>40</v>
      </c>
      <c r="F465">
        <v>0</v>
      </c>
      <c r="G465">
        <v>10</v>
      </c>
      <c r="H465">
        <v>20</v>
      </c>
    </row>
    <row r="466" spans="1:8" x14ac:dyDescent="0.2">
      <c r="A466">
        <v>1976</v>
      </c>
      <c r="B466">
        <v>60805</v>
      </c>
      <c r="C466">
        <v>30</v>
      </c>
      <c r="D466">
        <v>25</v>
      </c>
      <c r="E466">
        <v>35</v>
      </c>
      <c r="F466">
        <v>10</v>
      </c>
      <c r="G466">
        <v>10</v>
      </c>
      <c r="H466">
        <v>65</v>
      </c>
    </row>
    <row r="467" spans="1:8" x14ac:dyDescent="0.2">
      <c r="A467">
        <v>1977</v>
      </c>
      <c r="B467">
        <v>53840</v>
      </c>
      <c r="C467">
        <v>30</v>
      </c>
      <c r="D467">
        <v>20</v>
      </c>
      <c r="E467">
        <v>40</v>
      </c>
      <c r="F467">
        <v>10</v>
      </c>
      <c r="G467">
        <v>10</v>
      </c>
      <c r="H467">
        <v>65</v>
      </c>
    </row>
    <row r="468" spans="1:8" x14ac:dyDescent="0.2">
      <c r="A468">
        <v>1978</v>
      </c>
      <c r="B468">
        <v>49710</v>
      </c>
      <c r="C468">
        <v>30</v>
      </c>
      <c r="D468">
        <v>20</v>
      </c>
      <c r="E468">
        <v>30</v>
      </c>
      <c r="F468">
        <v>0</v>
      </c>
      <c r="G468">
        <v>20</v>
      </c>
      <c r="H468">
        <v>40</v>
      </c>
    </row>
    <row r="469" spans="1:8" x14ac:dyDescent="0.2">
      <c r="A469">
        <v>1980</v>
      </c>
      <c r="B469">
        <v>58700</v>
      </c>
      <c r="C469">
        <v>30</v>
      </c>
      <c r="D469">
        <v>25</v>
      </c>
      <c r="E469">
        <v>25</v>
      </c>
      <c r="F469">
        <v>0</v>
      </c>
      <c r="G469">
        <v>20</v>
      </c>
      <c r="H469">
        <v>30</v>
      </c>
    </row>
    <row r="470" spans="1:8" x14ac:dyDescent="0.2">
      <c r="A470">
        <v>1981</v>
      </c>
      <c r="B470">
        <v>51210</v>
      </c>
      <c r="C470">
        <v>30</v>
      </c>
      <c r="D470">
        <v>20</v>
      </c>
      <c r="E470">
        <v>40</v>
      </c>
      <c r="F470">
        <v>0</v>
      </c>
      <c r="G470">
        <v>10</v>
      </c>
      <c r="H470">
        <v>50</v>
      </c>
    </row>
    <row r="471" spans="1:8" x14ac:dyDescent="0.2">
      <c r="A471">
        <v>1982</v>
      </c>
      <c r="B471">
        <v>53320</v>
      </c>
      <c r="C471">
        <v>30</v>
      </c>
      <c r="D471">
        <v>20</v>
      </c>
      <c r="E471">
        <v>40</v>
      </c>
      <c r="F471">
        <v>0</v>
      </c>
      <c r="G471">
        <v>10</v>
      </c>
      <c r="H471">
        <v>50</v>
      </c>
    </row>
    <row r="472" spans="1:8" x14ac:dyDescent="0.2">
      <c r="A472">
        <v>1985</v>
      </c>
      <c r="B472">
        <v>55860</v>
      </c>
      <c r="C472">
        <v>30</v>
      </c>
      <c r="D472">
        <v>20</v>
      </c>
      <c r="E472">
        <v>40</v>
      </c>
      <c r="F472">
        <v>10</v>
      </c>
      <c r="G472">
        <v>10</v>
      </c>
      <c r="H472">
        <v>100</v>
      </c>
    </row>
    <row r="473" spans="1:8" x14ac:dyDescent="0.2">
      <c r="A473">
        <v>1986</v>
      </c>
      <c r="B473">
        <v>53350</v>
      </c>
      <c r="C473">
        <v>30</v>
      </c>
      <c r="D473">
        <v>30</v>
      </c>
      <c r="E473">
        <v>30</v>
      </c>
      <c r="F473">
        <v>10</v>
      </c>
      <c r="G473">
        <v>10</v>
      </c>
      <c r="H473">
        <v>65</v>
      </c>
    </row>
    <row r="474" spans="1:8" x14ac:dyDescent="0.2">
      <c r="A474">
        <v>1990</v>
      </c>
      <c r="B474">
        <v>63220</v>
      </c>
      <c r="C474">
        <v>30</v>
      </c>
      <c r="D474">
        <v>30</v>
      </c>
      <c r="E474">
        <v>30</v>
      </c>
      <c r="F474">
        <v>0</v>
      </c>
      <c r="G474">
        <v>10</v>
      </c>
      <c r="H474">
        <v>55</v>
      </c>
    </row>
    <row r="475" spans="1:8" x14ac:dyDescent="0.2">
      <c r="A475">
        <v>1991</v>
      </c>
      <c r="B475">
        <v>62690</v>
      </c>
      <c r="C475">
        <v>30</v>
      </c>
      <c r="D475">
        <v>30</v>
      </c>
      <c r="E475">
        <v>30</v>
      </c>
      <c r="F475">
        <v>0</v>
      </c>
      <c r="G475">
        <v>10</v>
      </c>
      <c r="H475">
        <v>55</v>
      </c>
    </row>
    <row r="476" spans="1:8" x14ac:dyDescent="0.2">
      <c r="A476">
        <v>1993</v>
      </c>
      <c r="B476">
        <v>57260</v>
      </c>
      <c r="C476">
        <v>30</v>
      </c>
      <c r="D476">
        <v>25</v>
      </c>
      <c r="E476">
        <v>35</v>
      </c>
      <c r="F476">
        <v>10</v>
      </c>
      <c r="G476">
        <v>10</v>
      </c>
      <c r="H476">
        <v>50</v>
      </c>
    </row>
    <row r="477" spans="1:8" x14ac:dyDescent="0.2">
      <c r="A477">
        <v>1994</v>
      </c>
      <c r="B477">
        <v>61210</v>
      </c>
      <c r="C477">
        <v>30</v>
      </c>
      <c r="D477">
        <v>20</v>
      </c>
      <c r="E477">
        <v>40</v>
      </c>
      <c r="F477">
        <v>10</v>
      </c>
      <c r="G477">
        <v>10</v>
      </c>
      <c r="H477">
        <v>40</v>
      </c>
    </row>
    <row r="478" spans="1:8" x14ac:dyDescent="0.2">
      <c r="A478">
        <v>1995</v>
      </c>
      <c r="B478">
        <v>59820</v>
      </c>
      <c r="C478">
        <v>30</v>
      </c>
      <c r="D478">
        <v>25</v>
      </c>
      <c r="E478">
        <v>35</v>
      </c>
      <c r="F478">
        <v>10</v>
      </c>
      <c r="G478">
        <v>10</v>
      </c>
      <c r="H478">
        <v>50</v>
      </c>
    </row>
    <row r="479" spans="1:8" x14ac:dyDescent="0.2">
      <c r="A479">
        <v>1996</v>
      </c>
      <c r="B479">
        <v>47640</v>
      </c>
      <c r="C479">
        <v>30</v>
      </c>
      <c r="D479">
        <v>30</v>
      </c>
      <c r="E479">
        <v>30</v>
      </c>
      <c r="F479">
        <v>10</v>
      </c>
      <c r="G479">
        <v>10</v>
      </c>
      <c r="H479">
        <v>30</v>
      </c>
    </row>
    <row r="480" spans="1:8" x14ac:dyDescent="0.2">
      <c r="A480">
        <v>1997</v>
      </c>
      <c r="B480">
        <v>49390</v>
      </c>
      <c r="C480">
        <v>30</v>
      </c>
      <c r="D480">
        <v>35</v>
      </c>
      <c r="E480">
        <v>25</v>
      </c>
      <c r="F480">
        <v>10</v>
      </c>
      <c r="G480">
        <v>0</v>
      </c>
      <c r="H480">
        <v>30</v>
      </c>
    </row>
    <row r="481" spans="1:8" x14ac:dyDescent="0.2">
      <c r="A481">
        <v>1998</v>
      </c>
      <c r="B481">
        <v>51970</v>
      </c>
      <c r="C481">
        <v>30</v>
      </c>
      <c r="D481">
        <v>35</v>
      </c>
      <c r="E481">
        <v>25</v>
      </c>
      <c r="F481">
        <v>10</v>
      </c>
      <c r="G481">
        <v>10</v>
      </c>
      <c r="H481">
        <v>30</v>
      </c>
    </row>
    <row r="482" spans="1:8" x14ac:dyDescent="0.2">
      <c r="A482">
        <v>2007</v>
      </c>
      <c r="B482">
        <v>60810</v>
      </c>
      <c r="C482">
        <v>40</v>
      </c>
      <c r="D482">
        <v>30</v>
      </c>
      <c r="E482">
        <v>20</v>
      </c>
      <c r="F482">
        <v>10</v>
      </c>
      <c r="G482">
        <v>0</v>
      </c>
      <c r="H482">
        <v>36</v>
      </c>
    </row>
    <row r="483" spans="1:8" x14ac:dyDescent="0.2">
      <c r="A483">
        <v>2011</v>
      </c>
      <c r="B483">
        <v>58160</v>
      </c>
      <c r="C483">
        <v>40</v>
      </c>
      <c r="D483">
        <v>30</v>
      </c>
      <c r="E483">
        <v>20</v>
      </c>
      <c r="F483">
        <v>10</v>
      </c>
      <c r="G483">
        <v>0</v>
      </c>
      <c r="H483">
        <v>36</v>
      </c>
    </row>
    <row r="484" spans="1:8" x14ac:dyDescent="0.2">
      <c r="A484">
        <v>2022</v>
      </c>
      <c r="B484">
        <v>61600</v>
      </c>
      <c r="C484">
        <v>30</v>
      </c>
      <c r="D484">
        <v>20</v>
      </c>
      <c r="E484">
        <v>20</v>
      </c>
      <c r="F484">
        <v>0</v>
      </c>
      <c r="G484">
        <v>30</v>
      </c>
      <c r="H484">
        <v>65</v>
      </c>
    </row>
    <row r="485" spans="1:8" x14ac:dyDescent="0.2">
      <c r="A485">
        <v>2023</v>
      </c>
      <c r="B485">
        <v>58190</v>
      </c>
      <c r="C485">
        <v>30</v>
      </c>
      <c r="D485">
        <v>20</v>
      </c>
      <c r="E485">
        <v>30</v>
      </c>
      <c r="F485">
        <v>0</v>
      </c>
      <c r="G485">
        <v>20</v>
      </c>
      <c r="H485">
        <v>35</v>
      </c>
    </row>
    <row r="486" spans="1:8" x14ac:dyDescent="0.2">
      <c r="A486">
        <v>2024</v>
      </c>
      <c r="B486">
        <v>59760</v>
      </c>
      <c r="C486">
        <v>30</v>
      </c>
      <c r="D486">
        <v>30</v>
      </c>
      <c r="E486">
        <v>30</v>
      </c>
      <c r="F486">
        <v>0</v>
      </c>
      <c r="G486">
        <v>10</v>
      </c>
      <c r="H486">
        <v>65</v>
      </c>
    </row>
    <row r="487" spans="1:8" x14ac:dyDescent="0.2">
      <c r="A487">
        <v>2025</v>
      </c>
      <c r="B487">
        <v>59445</v>
      </c>
      <c r="C487">
        <v>30</v>
      </c>
      <c r="D487">
        <v>25</v>
      </c>
      <c r="E487">
        <v>25</v>
      </c>
      <c r="F487">
        <v>0</v>
      </c>
      <c r="G487">
        <v>20</v>
      </c>
      <c r="H487">
        <v>55</v>
      </c>
    </row>
    <row r="488" spans="1:8" x14ac:dyDescent="0.2">
      <c r="A488">
        <v>2050</v>
      </c>
      <c r="B488">
        <v>59875</v>
      </c>
      <c r="C488">
        <v>40</v>
      </c>
      <c r="D488">
        <v>25</v>
      </c>
      <c r="E488">
        <v>25</v>
      </c>
      <c r="F488">
        <v>10</v>
      </c>
      <c r="G488">
        <v>0</v>
      </c>
      <c r="H488">
        <v>90</v>
      </c>
    </row>
    <row r="489" spans="1:8" x14ac:dyDescent="0.2">
      <c r="A489">
        <v>2051</v>
      </c>
      <c r="B489">
        <v>60550</v>
      </c>
      <c r="C489">
        <v>30</v>
      </c>
      <c r="D489">
        <v>40</v>
      </c>
      <c r="E489">
        <v>20</v>
      </c>
      <c r="F489">
        <v>10</v>
      </c>
      <c r="G489">
        <v>10</v>
      </c>
      <c r="H489">
        <v>26</v>
      </c>
    </row>
    <row r="490" spans="1:8" x14ac:dyDescent="0.2">
      <c r="A490">
        <v>2052</v>
      </c>
      <c r="B490">
        <v>60620</v>
      </c>
      <c r="C490">
        <v>30</v>
      </c>
      <c r="D490">
        <v>40</v>
      </c>
      <c r="E490">
        <v>20</v>
      </c>
      <c r="F490">
        <v>10</v>
      </c>
      <c r="G490">
        <v>10</v>
      </c>
      <c r="H490">
        <v>26</v>
      </c>
    </row>
    <row r="491" spans="1:8" x14ac:dyDescent="0.2">
      <c r="A491">
        <v>2054</v>
      </c>
      <c r="B491">
        <v>58650</v>
      </c>
      <c r="C491">
        <v>30</v>
      </c>
      <c r="D491">
        <v>40</v>
      </c>
      <c r="E491">
        <v>20</v>
      </c>
      <c r="F491">
        <v>10</v>
      </c>
      <c r="G491">
        <v>10</v>
      </c>
      <c r="H491">
        <v>26</v>
      </c>
    </row>
    <row r="492" spans="1:8" x14ac:dyDescent="0.2">
      <c r="A492">
        <v>2056</v>
      </c>
      <c r="B492">
        <v>56675</v>
      </c>
      <c r="C492">
        <v>30</v>
      </c>
      <c r="D492">
        <v>25</v>
      </c>
      <c r="E492">
        <v>20</v>
      </c>
      <c r="F492">
        <v>0</v>
      </c>
      <c r="G492">
        <v>25</v>
      </c>
      <c r="H492">
        <v>46</v>
      </c>
    </row>
    <row r="493" spans="1:8" x14ac:dyDescent="0.2">
      <c r="A493">
        <v>2057</v>
      </c>
      <c r="B493">
        <v>59680</v>
      </c>
      <c r="C493">
        <v>30</v>
      </c>
      <c r="D493">
        <v>40</v>
      </c>
      <c r="E493">
        <v>20</v>
      </c>
      <c r="F493">
        <v>10</v>
      </c>
      <c r="G493">
        <v>10</v>
      </c>
      <c r="H493">
        <v>26</v>
      </c>
    </row>
    <row r="494" spans="1:8" x14ac:dyDescent="0.2">
      <c r="A494">
        <v>2059</v>
      </c>
      <c r="B494">
        <v>56790</v>
      </c>
      <c r="C494">
        <v>40</v>
      </c>
      <c r="D494">
        <v>25</v>
      </c>
      <c r="E494">
        <v>25</v>
      </c>
      <c r="F494">
        <v>10</v>
      </c>
      <c r="G494">
        <v>0</v>
      </c>
      <c r="H494">
        <v>30</v>
      </c>
    </row>
    <row r="495" spans="1:8" x14ac:dyDescent="0.2">
      <c r="A495">
        <v>2061</v>
      </c>
      <c r="B495">
        <v>56405</v>
      </c>
      <c r="C495">
        <v>30</v>
      </c>
      <c r="D495">
        <v>25</v>
      </c>
      <c r="E495">
        <v>20</v>
      </c>
      <c r="F495">
        <v>0</v>
      </c>
      <c r="G495">
        <v>25</v>
      </c>
      <c r="H495">
        <v>46</v>
      </c>
    </row>
    <row r="496" spans="1:8" x14ac:dyDescent="0.2">
      <c r="A496">
        <v>2066</v>
      </c>
      <c r="B496">
        <v>57520</v>
      </c>
      <c r="C496">
        <v>30</v>
      </c>
      <c r="D496">
        <v>35</v>
      </c>
      <c r="E496">
        <v>25</v>
      </c>
      <c r="F496">
        <v>10</v>
      </c>
      <c r="G496">
        <v>0</v>
      </c>
      <c r="H496">
        <v>90</v>
      </c>
    </row>
    <row r="497" spans="1:8" x14ac:dyDescent="0.2">
      <c r="A497">
        <v>2068</v>
      </c>
      <c r="B497">
        <v>53030</v>
      </c>
      <c r="C497">
        <v>30</v>
      </c>
      <c r="D497">
        <v>35</v>
      </c>
      <c r="E497">
        <v>25</v>
      </c>
      <c r="F497">
        <v>10</v>
      </c>
      <c r="G497">
        <v>0</v>
      </c>
      <c r="H497">
        <v>30</v>
      </c>
    </row>
    <row r="498" spans="1:8" x14ac:dyDescent="0.2">
      <c r="A498">
        <v>2071</v>
      </c>
      <c r="B498">
        <v>61350</v>
      </c>
      <c r="C498">
        <v>25</v>
      </c>
      <c r="D498">
        <v>25</v>
      </c>
      <c r="E498">
        <v>25</v>
      </c>
      <c r="F498">
        <v>25</v>
      </c>
      <c r="G498">
        <v>0</v>
      </c>
      <c r="H498">
        <v>30</v>
      </c>
    </row>
    <row r="499" spans="1:8" x14ac:dyDescent="0.2">
      <c r="A499">
        <v>2076</v>
      </c>
      <c r="B499">
        <v>64830</v>
      </c>
      <c r="C499">
        <v>30</v>
      </c>
      <c r="D499">
        <v>25</v>
      </c>
      <c r="E499">
        <v>15</v>
      </c>
      <c r="F499">
        <v>30</v>
      </c>
      <c r="G499">
        <v>0</v>
      </c>
      <c r="H499">
        <v>65</v>
      </c>
    </row>
    <row r="500" spans="1:8" x14ac:dyDescent="0.2">
      <c r="A500">
        <v>2081</v>
      </c>
      <c r="B500">
        <v>56530</v>
      </c>
      <c r="C500">
        <v>30</v>
      </c>
      <c r="D500">
        <v>35</v>
      </c>
      <c r="E500">
        <v>25</v>
      </c>
      <c r="F500">
        <v>10</v>
      </c>
      <c r="G500">
        <v>0</v>
      </c>
      <c r="H500">
        <v>35</v>
      </c>
    </row>
    <row r="501" spans="1:8" x14ac:dyDescent="0.2">
      <c r="A501">
        <v>2086</v>
      </c>
      <c r="B501">
        <v>61860</v>
      </c>
      <c r="C501">
        <v>30</v>
      </c>
      <c r="D501">
        <v>40</v>
      </c>
      <c r="E501">
        <v>20</v>
      </c>
      <c r="F501">
        <v>10</v>
      </c>
      <c r="G501">
        <v>0</v>
      </c>
      <c r="H501">
        <v>65</v>
      </c>
    </row>
    <row r="502" spans="1:8" x14ac:dyDescent="0.2">
      <c r="A502">
        <v>2091</v>
      </c>
      <c r="B502">
        <v>57630</v>
      </c>
      <c r="C502">
        <v>20</v>
      </c>
      <c r="D502">
        <v>40</v>
      </c>
      <c r="E502">
        <v>30</v>
      </c>
      <c r="F502">
        <v>10</v>
      </c>
      <c r="G502">
        <v>0</v>
      </c>
      <c r="H502">
        <v>30</v>
      </c>
    </row>
    <row r="503" spans="1:8" x14ac:dyDescent="0.2">
      <c r="A503">
        <v>2096</v>
      </c>
      <c r="B503">
        <v>61595</v>
      </c>
      <c r="C503">
        <v>30</v>
      </c>
      <c r="D503">
        <v>35</v>
      </c>
      <c r="E503">
        <v>20</v>
      </c>
      <c r="F503">
        <v>15</v>
      </c>
      <c r="G503">
        <v>0</v>
      </c>
      <c r="H503">
        <v>65</v>
      </c>
    </row>
    <row r="504" spans="1:8" x14ac:dyDescent="0.2">
      <c r="A504">
        <v>2098</v>
      </c>
      <c r="B504">
        <v>66440</v>
      </c>
      <c r="C504">
        <v>30</v>
      </c>
      <c r="D504">
        <v>20</v>
      </c>
      <c r="E504">
        <v>20</v>
      </c>
      <c r="F504">
        <v>0</v>
      </c>
      <c r="G504">
        <v>30</v>
      </c>
      <c r="H504">
        <v>40</v>
      </c>
    </row>
    <row r="505" spans="1:8" x14ac:dyDescent="0.2">
      <c r="A505">
        <v>2102</v>
      </c>
      <c r="B505">
        <v>57720</v>
      </c>
      <c r="C505">
        <v>30</v>
      </c>
      <c r="D505">
        <v>45</v>
      </c>
      <c r="E505">
        <v>15</v>
      </c>
      <c r="F505">
        <v>10</v>
      </c>
      <c r="G505">
        <v>10</v>
      </c>
      <c r="H505">
        <v>30</v>
      </c>
    </row>
    <row r="506" spans="1:8" x14ac:dyDescent="0.2">
      <c r="A506">
        <v>2104</v>
      </c>
      <c r="B506">
        <v>55100</v>
      </c>
      <c r="C506">
        <v>30</v>
      </c>
      <c r="D506">
        <v>30</v>
      </c>
      <c r="E506">
        <v>30</v>
      </c>
      <c r="F506">
        <v>10</v>
      </c>
      <c r="G506">
        <v>10</v>
      </c>
      <c r="H506">
        <v>30</v>
      </c>
    </row>
    <row r="507" spans="1:8" x14ac:dyDescent="0.2">
      <c r="A507">
        <v>2105</v>
      </c>
      <c r="B507">
        <v>52400</v>
      </c>
      <c r="C507">
        <v>30</v>
      </c>
      <c r="D507">
        <v>25</v>
      </c>
      <c r="E507">
        <v>35</v>
      </c>
      <c r="F507">
        <v>10</v>
      </c>
      <c r="G507">
        <v>10</v>
      </c>
      <c r="H507">
        <v>45</v>
      </c>
    </row>
    <row r="508" spans="1:8" x14ac:dyDescent="0.2">
      <c r="A508">
        <v>2106</v>
      </c>
      <c r="B508">
        <v>48580</v>
      </c>
      <c r="C508">
        <v>30</v>
      </c>
      <c r="D508">
        <v>25</v>
      </c>
      <c r="E508">
        <v>35</v>
      </c>
      <c r="F508">
        <v>10</v>
      </c>
      <c r="G508">
        <v>10</v>
      </c>
      <c r="H508">
        <v>45</v>
      </c>
    </row>
    <row r="509" spans="1:8" x14ac:dyDescent="0.2">
      <c r="A509">
        <v>2107</v>
      </c>
      <c r="B509">
        <v>56175</v>
      </c>
      <c r="C509">
        <v>30</v>
      </c>
      <c r="D509">
        <v>25</v>
      </c>
      <c r="E509">
        <v>35</v>
      </c>
      <c r="F509">
        <v>10</v>
      </c>
      <c r="G509">
        <v>10</v>
      </c>
      <c r="H509">
        <v>45</v>
      </c>
    </row>
    <row r="510" spans="1:8" x14ac:dyDescent="0.2">
      <c r="A510">
        <v>2108</v>
      </c>
      <c r="B510">
        <v>47300</v>
      </c>
      <c r="C510">
        <v>30</v>
      </c>
      <c r="D510">
        <v>25</v>
      </c>
      <c r="E510">
        <v>35</v>
      </c>
      <c r="F510">
        <v>10</v>
      </c>
      <c r="G510">
        <v>10</v>
      </c>
      <c r="H510">
        <v>45</v>
      </c>
    </row>
    <row r="511" spans="1:8" x14ac:dyDescent="0.2">
      <c r="A511">
        <v>2109</v>
      </c>
      <c r="B511">
        <v>47200</v>
      </c>
      <c r="C511">
        <v>30</v>
      </c>
      <c r="D511">
        <v>25</v>
      </c>
      <c r="E511">
        <v>35</v>
      </c>
      <c r="F511">
        <v>10</v>
      </c>
      <c r="G511">
        <v>10</v>
      </c>
      <c r="H511">
        <v>45</v>
      </c>
    </row>
    <row r="512" spans="1:8" x14ac:dyDescent="0.2">
      <c r="A512">
        <v>2110</v>
      </c>
      <c r="B512">
        <v>45045</v>
      </c>
      <c r="C512">
        <v>30</v>
      </c>
      <c r="D512">
        <v>25</v>
      </c>
      <c r="E512">
        <v>35</v>
      </c>
      <c r="F512">
        <v>10</v>
      </c>
      <c r="G512">
        <v>10</v>
      </c>
      <c r="H512">
        <v>45</v>
      </c>
    </row>
    <row r="513" spans="1:8" x14ac:dyDescent="0.2">
      <c r="A513">
        <v>2112</v>
      </c>
      <c r="B513">
        <v>59500</v>
      </c>
      <c r="C513">
        <v>30</v>
      </c>
      <c r="D513">
        <v>30</v>
      </c>
      <c r="E513">
        <v>30</v>
      </c>
      <c r="F513">
        <v>10</v>
      </c>
      <c r="G513">
        <v>10</v>
      </c>
      <c r="H513">
        <v>60</v>
      </c>
    </row>
    <row r="514" spans="1:8" x14ac:dyDescent="0.2">
      <c r="A514">
        <v>2115</v>
      </c>
      <c r="B514">
        <v>56880</v>
      </c>
      <c r="C514">
        <v>30</v>
      </c>
      <c r="D514">
        <v>30</v>
      </c>
      <c r="E514">
        <v>30</v>
      </c>
      <c r="F514">
        <v>10</v>
      </c>
      <c r="G514">
        <v>10</v>
      </c>
      <c r="H514">
        <v>30</v>
      </c>
    </row>
    <row r="515" spans="1:8" x14ac:dyDescent="0.2">
      <c r="A515">
        <v>2123</v>
      </c>
      <c r="B515">
        <v>58940</v>
      </c>
      <c r="C515">
        <v>30</v>
      </c>
      <c r="D515">
        <v>20</v>
      </c>
      <c r="E515">
        <v>40</v>
      </c>
      <c r="F515">
        <v>10</v>
      </c>
      <c r="G515">
        <v>10</v>
      </c>
      <c r="H515">
        <v>60</v>
      </c>
    </row>
    <row r="516" spans="1:8" x14ac:dyDescent="0.2">
      <c r="A516">
        <v>2124</v>
      </c>
      <c r="B516">
        <v>61030</v>
      </c>
      <c r="C516">
        <v>30</v>
      </c>
      <c r="D516">
        <v>40</v>
      </c>
      <c r="E516">
        <v>20</v>
      </c>
      <c r="F516">
        <v>10</v>
      </c>
      <c r="G516">
        <v>10</v>
      </c>
      <c r="H516">
        <v>60</v>
      </c>
    </row>
    <row r="517" spans="1:8" x14ac:dyDescent="0.2">
      <c r="A517">
        <v>2125</v>
      </c>
      <c r="B517">
        <v>55280</v>
      </c>
      <c r="C517">
        <v>30</v>
      </c>
      <c r="D517">
        <v>25</v>
      </c>
      <c r="E517">
        <v>35</v>
      </c>
      <c r="F517">
        <v>10</v>
      </c>
      <c r="G517">
        <v>10</v>
      </c>
      <c r="H517">
        <v>30</v>
      </c>
    </row>
    <row r="518" spans="1:8" x14ac:dyDescent="0.2">
      <c r="A518">
        <v>2130</v>
      </c>
      <c r="B518">
        <v>59895</v>
      </c>
      <c r="C518">
        <v>30</v>
      </c>
      <c r="D518">
        <v>25</v>
      </c>
      <c r="E518">
        <v>35</v>
      </c>
      <c r="F518">
        <v>10</v>
      </c>
      <c r="G518">
        <v>10</v>
      </c>
      <c r="H518">
        <v>60</v>
      </c>
    </row>
    <row r="519" spans="1:8" x14ac:dyDescent="0.2">
      <c r="A519">
        <v>2131</v>
      </c>
      <c r="B519">
        <v>58470</v>
      </c>
      <c r="C519">
        <v>30</v>
      </c>
      <c r="D519">
        <v>25</v>
      </c>
      <c r="E519">
        <v>35</v>
      </c>
      <c r="F519">
        <v>10</v>
      </c>
      <c r="G519">
        <v>10</v>
      </c>
      <c r="H519">
        <v>30</v>
      </c>
    </row>
    <row r="520" spans="1:8" x14ac:dyDescent="0.2">
      <c r="A520">
        <v>2132</v>
      </c>
      <c r="B520">
        <v>58735</v>
      </c>
      <c r="C520">
        <v>30</v>
      </c>
      <c r="D520">
        <v>25</v>
      </c>
      <c r="E520">
        <v>35</v>
      </c>
      <c r="F520">
        <v>10</v>
      </c>
      <c r="G520">
        <v>10</v>
      </c>
      <c r="H520">
        <v>80</v>
      </c>
    </row>
    <row r="521" spans="1:8" x14ac:dyDescent="0.2">
      <c r="A521">
        <v>2136</v>
      </c>
      <c r="B521">
        <v>57905</v>
      </c>
      <c r="C521">
        <v>30</v>
      </c>
      <c r="D521">
        <v>25</v>
      </c>
      <c r="E521">
        <v>35</v>
      </c>
      <c r="F521">
        <v>10</v>
      </c>
      <c r="G521">
        <v>10</v>
      </c>
      <c r="H521">
        <v>60</v>
      </c>
    </row>
    <row r="522" spans="1:8" x14ac:dyDescent="0.2">
      <c r="A522">
        <v>2137</v>
      </c>
      <c r="B522">
        <v>58135</v>
      </c>
      <c r="C522">
        <v>30</v>
      </c>
      <c r="D522">
        <v>25</v>
      </c>
      <c r="E522">
        <v>35</v>
      </c>
      <c r="F522">
        <v>10</v>
      </c>
      <c r="G522">
        <v>10</v>
      </c>
      <c r="H522">
        <v>30</v>
      </c>
    </row>
    <row r="523" spans="1:8" x14ac:dyDescent="0.2">
      <c r="A523">
        <v>2138</v>
      </c>
      <c r="B523">
        <v>55165</v>
      </c>
      <c r="C523">
        <v>30</v>
      </c>
      <c r="D523">
        <v>25</v>
      </c>
      <c r="E523">
        <v>35</v>
      </c>
      <c r="F523">
        <v>10</v>
      </c>
      <c r="G523">
        <v>10</v>
      </c>
      <c r="H523">
        <v>30</v>
      </c>
    </row>
    <row r="524" spans="1:8" x14ac:dyDescent="0.2">
      <c r="A524">
        <v>2139</v>
      </c>
      <c r="B524">
        <v>57760</v>
      </c>
      <c r="C524">
        <v>30</v>
      </c>
      <c r="D524">
        <v>25</v>
      </c>
      <c r="E524">
        <v>35</v>
      </c>
      <c r="F524">
        <v>10</v>
      </c>
      <c r="G524">
        <v>10</v>
      </c>
      <c r="H524">
        <v>50</v>
      </c>
    </row>
    <row r="525" spans="1:8" x14ac:dyDescent="0.2">
      <c r="A525">
        <v>2140</v>
      </c>
      <c r="B525">
        <v>58075</v>
      </c>
      <c r="C525">
        <v>30</v>
      </c>
      <c r="D525">
        <v>25</v>
      </c>
      <c r="E525">
        <v>35</v>
      </c>
      <c r="F525">
        <v>10</v>
      </c>
      <c r="G525">
        <v>10</v>
      </c>
      <c r="H525">
        <v>50</v>
      </c>
    </row>
    <row r="526" spans="1:8" x14ac:dyDescent="0.2">
      <c r="A526">
        <v>2141</v>
      </c>
      <c r="B526">
        <v>60555</v>
      </c>
      <c r="C526">
        <v>30</v>
      </c>
      <c r="D526">
        <v>25</v>
      </c>
      <c r="E526">
        <v>35</v>
      </c>
      <c r="F526">
        <v>10</v>
      </c>
      <c r="G526">
        <v>10</v>
      </c>
      <c r="H526">
        <v>60</v>
      </c>
    </row>
    <row r="527" spans="1:8" x14ac:dyDescent="0.2">
      <c r="A527">
        <v>2142</v>
      </c>
      <c r="B527">
        <v>57750</v>
      </c>
      <c r="C527">
        <v>30</v>
      </c>
      <c r="D527">
        <v>25</v>
      </c>
      <c r="E527">
        <v>35</v>
      </c>
      <c r="F527">
        <v>10</v>
      </c>
      <c r="G527">
        <v>10</v>
      </c>
      <c r="H527">
        <v>60</v>
      </c>
    </row>
    <row r="528" spans="1:8" x14ac:dyDescent="0.2">
      <c r="A528">
        <v>2143</v>
      </c>
      <c r="B528">
        <v>62580</v>
      </c>
      <c r="C528">
        <v>30</v>
      </c>
      <c r="D528">
        <v>30</v>
      </c>
      <c r="E528">
        <v>10</v>
      </c>
      <c r="F528">
        <v>30</v>
      </c>
      <c r="G528">
        <v>0</v>
      </c>
      <c r="H528">
        <v>45</v>
      </c>
    </row>
    <row r="529" spans="1:8" x14ac:dyDescent="0.2">
      <c r="A529">
        <v>2144</v>
      </c>
      <c r="B529">
        <v>60785</v>
      </c>
      <c r="C529">
        <v>30</v>
      </c>
      <c r="D529">
        <v>25</v>
      </c>
      <c r="E529">
        <v>35</v>
      </c>
      <c r="F529">
        <v>10</v>
      </c>
      <c r="G529">
        <v>10</v>
      </c>
      <c r="H529">
        <v>60</v>
      </c>
    </row>
    <row r="530" spans="1:8" x14ac:dyDescent="0.2">
      <c r="A530">
        <v>2145</v>
      </c>
      <c r="B530">
        <v>58115</v>
      </c>
      <c r="C530">
        <v>30</v>
      </c>
      <c r="D530">
        <v>25</v>
      </c>
      <c r="E530">
        <v>35</v>
      </c>
      <c r="F530">
        <v>10</v>
      </c>
      <c r="G530">
        <v>10</v>
      </c>
      <c r="H530">
        <v>60</v>
      </c>
    </row>
    <row r="531" spans="1:8" x14ac:dyDescent="0.2">
      <c r="A531">
        <v>2146</v>
      </c>
      <c r="B531">
        <v>58220</v>
      </c>
      <c r="C531">
        <v>30</v>
      </c>
      <c r="D531">
        <v>25</v>
      </c>
      <c r="E531">
        <v>35</v>
      </c>
      <c r="F531">
        <v>10</v>
      </c>
      <c r="G531">
        <v>10</v>
      </c>
      <c r="H531">
        <v>30</v>
      </c>
    </row>
    <row r="532" spans="1:8" x14ac:dyDescent="0.2">
      <c r="A532">
        <v>2147</v>
      </c>
      <c r="B532">
        <v>60285</v>
      </c>
      <c r="C532">
        <v>30</v>
      </c>
      <c r="D532">
        <v>25</v>
      </c>
      <c r="E532">
        <v>35</v>
      </c>
      <c r="F532">
        <v>10</v>
      </c>
      <c r="G532">
        <v>10</v>
      </c>
      <c r="H532">
        <v>80</v>
      </c>
    </row>
    <row r="533" spans="1:8" x14ac:dyDescent="0.2">
      <c r="A533">
        <v>2148</v>
      </c>
      <c r="B533">
        <v>61720</v>
      </c>
      <c r="C533">
        <v>30</v>
      </c>
      <c r="D533">
        <v>30</v>
      </c>
      <c r="E533">
        <v>30</v>
      </c>
      <c r="F533">
        <v>10</v>
      </c>
      <c r="G533">
        <v>10</v>
      </c>
      <c r="H533">
        <v>60</v>
      </c>
    </row>
    <row r="534" spans="1:8" x14ac:dyDescent="0.2">
      <c r="A534">
        <v>2171</v>
      </c>
      <c r="B534">
        <v>57230</v>
      </c>
      <c r="C534">
        <v>30</v>
      </c>
      <c r="D534">
        <v>25</v>
      </c>
      <c r="E534">
        <v>35</v>
      </c>
      <c r="F534">
        <v>10</v>
      </c>
      <c r="G534">
        <v>10</v>
      </c>
      <c r="H534">
        <v>30</v>
      </c>
    </row>
    <row r="535" spans="1:8" x14ac:dyDescent="0.2">
      <c r="A535">
        <v>2180</v>
      </c>
      <c r="B535">
        <v>58780</v>
      </c>
      <c r="C535">
        <v>30</v>
      </c>
      <c r="D535">
        <v>25</v>
      </c>
      <c r="E535">
        <v>35</v>
      </c>
      <c r="F535">
        <v>10</v>
      </c>
      <c r="G535">
        <v>10</v>
      </c>
      <c r="H535">
        <v>70</v>
      </c>
    </row>
    <row r="536" spans="1:8" x14ac:dyDescent="0.2">
      <c r="A536">
        <v>2181</v>
      </c>
      <c r="B536">
        <v>59460</v>
      </c>
      <c r="C536">
        <v>30</v>
      </c>
      <c r="D536">
        <v>30</v>
      </c>
      <c r="E536">
        <v>30</v>
      </c>
      <c r="F536">
        <v>10</v>
      </c>
      <c r="G536">
        <v>10</v>
      </c>
      <c r="H536">
        <v>60</v>
      </c>
    </row>
    <row r="537" spans="1:8" x14ac:dyDescent="0.2">
      <c r="A537">
        <v>2182</v>
      </c>
      <c r="B537">
        <v>58330</v>
      </c>
      <c r="C537">
        <v>30</v>
      </c>
      <c r="D537">
        <v>30</v>
      </c>
      <c r="E537">
        <v>30</v>
      </c>
      <c r="F537">
        <v>10</v>
      </c>
      <c r="G537">
        <v>10</v>
      </c>
      <c r="H537">
        <v>30</v>
      </c>
    </row>
    <row r="538" spans="1:8" x14ac:dyDescent="0.2">
      <c r="A538">
        <v>2183</v>
      </c>
      <c r="B538">
        <v>58775</v>
      </c>
      <c r="C538">
        <v>30</v>
      </c>
      <c r="D538">
        <v>25</v>
      </c>
      <c r="E538">
        <v>35</v>
      </c>
      <c r="F538">
        <v>10</v>
      </c>
      <c r="G538">
        <v>10</v>
      </c>
      <c r="H538">
        <v>40</v>
      </c>
    </row>
    <row r="539" spans="1:8" x14ac:dyDescent="0.2">
      <c r="A539">
        <v>2205</v>
      </c>
      <c r="B539">
        <v>45665</v>
      </c>
      <c r="C539">
        <v>40</v>
      </c>
      <c r="D539">
        <v>25</v>
      </c>
      <c r="E539">
        <v>25</v>
      </c>
      <c r="F539">
        <v>10</v>
      </c>
      <c r="G539">
        <v>10</v>
      </c>
      <c r="H539">
        <v>60</v>
      </c>
    </row>
    <row r="540" spans="1:8" x14ac:dyDescent="0.2">
      <c r="A540">
        <v>2207</v>
      </c>
      <c r="B540">
        <v>45400</v>
      </c>
      <c r="C540">
        <v>35</v>
      </c>
      <c r="D540">
        <v>25</v>
      </c>
      <c r="E540">
        <v>15</v>
      </c>
      <c r="F540">
        <v>25</v>
      </c>
      <c r="G540">
        <v>25</v>
      </c>
      <c r="H540">
        <v>80</v>
      </c>
    </row>
    <row r="541" spans="1:8" x14ac:dyDescent="0.2">
      <c r="A541">
        <v>2208</v>
      </c>
      <c r="B541">
        <v>45060</v>
      </c>
      <c r="C541">
        <v>40</v>
      </c>
      <c r="D541">
        <v>40</v>
      </c>
      <c r="E541">
        <v>10</v>
      </c>
      <c r="F541">
        <v>10</v>
      </c>
      <c r="G541">
        <v>10</v>
      </c>
      <c r="H541">
        <v>70</v>
      </c>
    </row>
    <row r="542" spans="1:8" x14ac:dyDescent="0.2">
      <c r="A542">
        <v>2220</v>
      </c>
      <c r="B542">
        <v>51595</v>
      </c>
      <c r="C542">
        <v>40</v>
      </c>
      <c r="D542">
        <v>25</v>
      </c>
      <c r="E542">
        <v>25</v>
      </c>
      <c r="F542">
        <v>10</v>
      </c>
      <c r="G542">
        <v>10</v>
      </c>
      <c r="H542">
        <v>80</v>
      </c>
    </row>
    <row r="543" spans="1:8" x14ac:dyDescent="0.2">
      <c r="A543">
        <v>2221</v>
      </c>
      <c r="B543">
        <v>51130</v>
      </c>
      <c r="C543">
        <v>40</v>
      </c>
      <c r="D543">
        <v>30</v>
      </c>
      <c r="E543">
        <v>20</v>
      </c>
      <c r="F543">
        <v>10</v>
      </c>
      <c r="G543">
        <v>10</v>
      </c>
      <c r="H543">
        <v>100</v>
      </c>
    </row>
    <row r="544" spans="1:8" x14ac:dyDescent="0.2">
      <c r="A544">
        <v>2222</v>
      </c>
      <c r="B544">
        <v>45145</v>
      </c>
      <c r="C544">
        <v>40</v>
      </c>
      <c r="D544">
        <v>25</v>
      </c>
      <c r="E544">
        <v>25</v>
      </c>
      <c r="F544">
        <v>10</v>
      </c>
      <c r="G544">
        <v>10</v>
      </c>
      <c r="H544">
        <v>40</v>
      </c>
    </row>
    <row r="545" spans="1:8" x14ac:dyDescent="0.2">
      <c r="A545">
        <v>2223</v>
      </c>
      <c r="B545">
        <v>48325</v>
      </c>
      <c r="C545">
        <v>40</v>
      </c>
      <c r="D545">
        <v>25</v>
      </c>
      <c r="E545">
        <v>25</v>
      </c>
      <c r="F545">
        <v>10</v>
      </c>
      <c r="G545">
        <v>10</v>
      </c>
      <c r="H545">
        <v>55</v>
      </c>
    </row>
    <row r="546" spans="1:8" x14ac:dyDescent="0.2">
      <c r="A546">
        <v>2224</v>
      </c>
      <c r="B546">
        <v>46365</v>
      </c>
      <c r="C546">
        <v>40</v>
      </c>
      <c r="D546">
        <v>25</v>
      </c>
      <c r="E546">
        <v>25</v>
      </c>
      <c r="F546">
        <v>10</v>
      </c>
      <c r="G546">
        <v>10</v>
      </c>
      <c r="H546">
        <v>20</v>
      </c>
    </row>
    <row r="547" spans="1:8" x14ac:dyDescent="0.2">
      <c r="A547">
        <v>2225</v>
      </c>
      <c r="B547">
        <v>46830</v>
      </c>
      <c r="C547">
        <v>40</v>
      </c>
      <c r="D547">
        <v>25</v>
      </c>
      <c r="E547">
        <v>25</v>
      </c>
      <c r="F547">
        <v>10</v>
      </c>
      <c r="G547">
        <v>10</v>
      </c>
      <c r="H547">
        <v>20</v>
      </c>
    </row>
    <row r="548" spans="1:8" x14ac:dyDescent="0.2">
      <c r="A548">
        <v>2226</v>
      </c>
      <c r="B548">
        <v>55625</v>
      </c>
      <c r="C548">
        <v>40</v>
      </c>
      <c r="D548">
        <v>25</v>
      </c>
      <c r="E548">
        <v>25</v>
      </c>
      <c r="F548">
        <v>0</v>
      </c>
      <c r="G548">
        <v>10</v>
      </c>
      <c r="H548">
        <v>60</v>
      </c>
    </row>
    <row r="549" spans="1:8" x14ac:dyDescent="0.2">
      <c r="A549">
        <v>2227</v>
      </c>
      <c r="B549">
        <v>46115</v>
      </c>
      <c r="C549">
        <v>40</v>
      </c>
      <c r="D549">
        <v>25</v>
      </c>
      <c r="E549">
        <v>25</v>
      </c>
      <c r="F549">
        <v>10</v>
      </c>
      <c r="G549">
        <v>10</v>
      </c>
      <c r="H549">
        <v>20</v>
      </c>
    </row>
    <row r="550" spans="1:8" x14ac:dyDescent="0.2">
      <c r="A550">
        <v>2229</v>
      </c>
      <c r="B550">
        <v>56030</v>
      </c>
      <c r="C550">
        <v>40</v>
      </c>
      <c r="D550">
        <v>25</v>
      </c>
      <c r="E550">
        <v>25</v>
      </c>
      <c r="F550">
        <v>0</v>
      </c>
      <c r="G550">
        <v>10</v>
      </c>
      <c r="H550">
        <v>35</v>
      </c>
    </row>
    <row r="551" spans="1:8" x14ac:dyDescent="0.2">
      <c r="A551">
        <v>2231</v>
      </c>
      <c r="B551">
        <v>45345</v>
      </c>
      <c r="C551">
        <v>40</v>
      </c>
      <c r="D551">
        <v>25</v>
      </c>
      <c r="E551">
        <v>25</v>
      </c>
      <c r="F551">
        <v>10</v>
      </c>
      <c r="G551">
        <v>10</v>
      </c>
      <c r="H551">
        <v>40</v>
      </c>
    </row>
    <row r="552" spans="1:8" x14ac:dyDescent="0.2">
      <c r="A552">
        <v>2233</v>
      </c>
      <c r="B552">
        <v>46930</v>
      </c>
      <c r="C552">
        <v>40</v>
      </c>
      <c r="D552">
        <v>25</v>
      </c>
      <c r="E552">
        <v>25</v>
      </c>
      <c r="F552">
        <v>10</v>
      </c>
      <c r="G552">
        <v>10</v>
      </c>
      <c r="H552">
        <v>60</v>
      </c>
    </row>
    <row r="553" spans="1:8" x14ac:dyDescent="0.2">
      <c r="A553">
        <v>2234</v>
      </c>
      <c r="B553">
        <v>46575</v>
      </c>
      <c r="C553">
        <v>40</v>
      </c>
      <c r="D553">
        <v>25</v>
      </c>
      <c r="E553">
        <v>25</v>
      </c>
      <c r="F553">
        <v>10</v>
      </c>
      <c r="G553">
        <v>10</v>
      </c>
      <c r="H553">
        <v>30</v>
      </c>
    </row>
    <row r="554" spans="1:8" x14ac:dyDescent="0.2">
      <c r="A554">
        <v>2252</v>
      </c>
      <c r="B554">
        <v>56170</v>
      </c>
      <c r="C554">
        <v>40</v>
      </c>
      <c r="D554">
        <v>25</v>
      </c>
      <c r="E554">
        <v>25</v>
      </c>
      <c r="F554">
        <v>0</v>
      </c>
      <c r="G554">
        <v>10</v>
      </c>
      <c r="H554">
        <v>70</v>
      </c>
    </row>
    <row r="555" spans="1:8" x14ac:dyDescent="0.2">
      <c r="A555">
        <v>2255</v>
      </c>
      <c r="B555">
        <v>55010</v>
      </c>
      <c r="C555">
        <v>40</v>
      </c>
      <c r="D555">
        <v>25</v>
      </c>
      <c r="E555">
        <v>25</v>
      </c>
      <c r="F555">
        <v>0</v>
      </c>
      <c r="G555">
        <v>10</v>
      </c>
      <c r="H555">
        <v>35</v>
      </c>
    </row>
    <row r="556" spans="1:8" x14ac:dyDescent="0.2">
      <c r="A556">
        <v>2256</v>
      </c>
      <c r="B556">
        <v>63155</v>
      </c>
      <c r="C556">
        <v>40</v>
      </c>
      <c r="D556">
        <v>25</v>
      </c>
      <c r="E556">
        <v>25</v>
      </c>
      <c r="F556">
        <v>0</v>
      </c>
      <c r="G556">
        <v>10</v>
      </c>
      <c r="H556">
        <v>30</v>
      </c>
    </row>
    <row r="557" spans="1:8" x14ac:dyDescent="0.2">
      <c r="A557">
        <v>2257</v>
      </c>
      <c r="B557">
        <v>58170</v>
      </c>
      <c r="C557">
        <v>40</v>
      </c>
      <c r="D557">
        <v>25</v>
      </c>
      <c r="E557">
        <v>25</v>
      </c>
      <c r="F557">
        <v>0</v>
      </c>
      <c r="G557">
        <v>10</v>
      </c>
      <c r="H557">
        <v>35</v>
      </c>
    </row>
    <row r="558" spans="1:8" x14ac:dyDescent="0.2">
      <c r="A558">
        <v>2258</v>
      </c>
      <c r="B558">
        <v>60670</v>
      </c>
      <c r="C558">
        <v>40</v>
      </c>
      <c r="D558">
        <v>25</v>
      </c>
      <c r="E558">
        <v>25</v>
      </c>
      <c r="F558">
        <v>0</v>
      </c>
      <c r="G558">
        <v>10</v>
      </c>
      <c r="H558">
        <v>20</v>
      </c>
    </row>
    <row r="559" spans="1:8" x14ac:dyDescent="0.2">
      <c r="A559">
        <v>2261</v>
      </c>
      <c r="B559">
        <v>46530</v>
      </c>
      <c r="C559">
        <v>40</v>
      </c>
      <c r="D559">
        <v>30</v>
      </c>
      <c r="E559">
        <v>20</v>
      </c>
      <c r="F559">
        <v>10</v>
      </c>
      <c r="G559">
        <v>10</v>
      </c>
      <c r="H559">
        <v>45</v>
      </c>
    </row>
    <row r="560" spans="1:8" x14ac:dyDescent="0.2">
      <c r="A560">
        <v>2262</v>
      </c>
      <c r="B560">
        <v>49130</v>
      </c>
      <c r="C560">
        <v>40</v>
      </c>
      <c r="D560">
        <v>30</v>
      </c>
      <c r="E560">
        <v>20</v>
      </c>
      <c r="F560">
        <v>10</v>
      </c>
      <c r="G560">
        <v>10</v>
      </c>
      <c r="H560">
        <v>45</v>
      </c>
    </row>
    <row r="561" spans="1:8" x14ac:dyDescent="0.2">
      <c r="A561">
        <v>2263</v>
      </c>
      <c r="B561">
        <v>50940</v>
      </c>
      <c r="C561">
        <v>40</v>
      </c>
      <c r="D561">
        <v>30</v>
      </c>
      <c r="E561">
        <v>20</v>
      </c>
      <c r="F561">
        <v>10</v>
      </c>
      <c r="G561">
        <v>10</v>
      </c>
      <c r="H561">
        <v>60</v>
      </c>
    </row>
    <row r="562" spans="1:8" x14ac:dyDescent="0.2">
      <c r="A562">
        <v>2264</v>
      </c>
      <c r="B562">
        <v>47660</v>
      </c>
      <c r="C562">
        <v>40</v>
      </c>
      <c r="D562">
        <v>35</v>
      </c>
      <c r="E562">
        <v>15</v>
      </c>
      <c r="F562">
        <v>10</v>
      </c>
      <c r="G562">
        <v>10</v>
      </c>
      <c r="H562">
        <v>45</v>
      </c>
    </row>
    <row r="563" spans="1:8" x14ac:dyDescent="0.2">
      <c r="A563">
        <v>2265</v>
      </c>
      <c r="B563">
        <v>49790</v>
      </c>
      <c r="C563">
        <v>40</v>
      </c>
      <c r="D563">
        <v>30</v>
      </c>
      <c r="E563">
        <v>20</v>
      </c>
      <c r="F563">
        <v>10</v>
      </c>
      <c r="G563">
        <v>10</v>
      </c>
      <c r="H563">
        <v>80</v>
      </c>
    </row>
    <row r="564" spans="1:8" x14ac:dyDescent="0.2">
      <c r="A564">
        <v>2266</v>
      </c>
      <c r="B564">
        <v>52240</v>
      </c>
      <c r="C564">
        <v>40</v>
      </c>
      <c r="D564">
        <v>25</v>
      </c>
      <c r="E564">
        <v>15</v>
      </c>
      <c r="F564">
        <v>20</v>
      </c>
      <c r="G564">
        <v>20</v>
      </c>
      <c r="H564">
        <v>60</v>
      </c>
    </row>
    <row r="565" spans="1:8" x14ac:dyDescent="0.2">
      <c r="A565">
        <v>2270</v>
      </c>
      <c r="B565">
        <v>45330</v>
      </c>
      <c r="C565">
        <v>40</v>
      </c>
      <c r="D565">
        <v>20</v>
      </c>
      <c r="E565">
        <v>25</v>
      </c>
      <c r="F565">
        <v>0</v>
      </c>
      <c r="G565">
        <v>15</v>
      </c>
      <c r="H565">
        <v>70</v>
      </c>
    </row>
    <row r="566" spans="1:8" x14ac:dyDescent="0.2">
      <c r="A566">
        <v>2272</v>
      </c>
      <c r="B566">
        <v>46350</v>
      </c>
      <c r="C566">
        <v>40</v>
      </c>
      <c r="D566">
        <v>20</v>
      </c>
      <c r="E566">
        <v>30</v>
      </c>
      <c r="F566">
        <v>10</v>
      </c>
      <c r="G566">
        <v>10</v>
      </c>
      <c r="H566">
        <v>100</v>
      </c>
    </row>
    <row r="567" spans="1:8" x14ac:dyDescent="0.2">
      <c r="A567">
        <v>2273</v>
      </c>
      <c r="B567">
        <v>47110</v>
      </c>
      <c r="C567">
        <v>40</v>
      </c>
      <c r="D567">
        <v>20</v>
      </c>
      <c r="E567">
        <v>30</v>
      </c>
      <c r="F567">
        <v>10</v>
      </c>
      <c r="G567">
        <v>10</v>
      </c>
      <c r="H567">
        <v>40</v>
      </c>
    </row>
    <row r="568" spans="1:8" x14ac:dyDescent="0.2">
      <c r="A568">
        <v>2274</v>
      </c>
      <c r="B568">
        <v>47720</v>
      </c>
      <c r="C568">
        <v>40</v>
      </c>
      <c r="D568">
        <v>20</v>
      </c>
      <c r="E568">
        <v>30</v>
      </c>
      <c r="F568">
        <v>10</v>
      </c>
      <c r="G568">
        <v>10</v>
      </c>
      <c r="H568">
        <v>40</v>
      </c>
    </row>
    <row r="569" spans="1:8" x14ac:dyDescent="0.2">
      <c r="A569">
        <v>2275</v>
      </c>
      <c r="B569">
        <v>46120</v>
      </c>
      <c r="C569">
        <v>40</v>
      </c>
      <c r="D569">
        <v>20</v>
      </c>
      <c r="E569">
        <v>30</v>
      </c>
      <c r="F569">
        <v>10</v>
      </c>
      <c r="G569">
        <v>10</v>
      </c>
      <c r="H569">
        <v>60</v>
      </c>
    </row>
    <row r="570" spans="1:8" x14ac:dyDescent="0.2">
      <c r="A570">
        <v>2276</v>
      </c>
      <c r="B570">
        <v>46630</v>
      </c>
      <c r="C570">
        <v>40</v>
      </c>
      <c r="D570">
        <v>20</v>
      </c>
      <c r="E570">
        <v>30</v>
      </c>
      <c r="F570">
        <v>10</v>
      </c>
      <c r="G570">
        <v>10</v>
      </c>
      <c r="H570">
        <v>40</v>
      </c>
    </row>
    <row r="571" spans="1:8" x14ac:dyDescent="0.2">
      <c r="A571">
        <v>2277</v>
      </c>
      <c r="B571">
        <v>51360</v>
      </c>
      <c r="C571">
        <v>40</v>
      </c>
      <c r="D571">
        <v>20</v>
      </c>
      <c r="E571">
        <v>30</v>
      </c>
      <c r="F571">
        <v>10</v>
      </c>
      <c r="G571">
        <v>10</v>
      </c>
      <c r="H571">
        <v>60</v>
      </c>
    </row>
    <row r="572" spans="1:8" x14ac:dyDescent="0.2">
      <c r="A572">
        <v>2278</v>
      </c>
      <c r="B572">
        <v>47000</v>
      </c>
      <c r="C572">
        <v>40</v>
      </c>
      <c r="D572">
        <v>20</v>
      </c>
      <c r="E572">
        <v>30</v>
      </c>
      <c r="F572">
        <v>10</v>
      </c>
      <c r="G572">
        <v>10</v>
      </c>
      <c r="H572">
        <v>30</v>
      </c>
    </row>
    <row r="573" spans="1:8" x14ac:dyDescent="0.2">
      <c r="A573">
        <v>2279</v>
      </c>
      <c r="B573">
        <v>50840</v>
      </c>
      <c r="C573">
        <v>40</v>
      </c>
      <c r="D573">
        <v>20</v>
      </c>
      <c r="E573">
        <v>30</v>
      </c>
      <c r="F573">
        <v>10</v>
      </c>
      <c r="G573">
        <v>10</v>
      </c>
      <c r="H573">
        <v>30</v>
      </c>
    </row>
    <row r="574" spans="1:8" x14ac:dyDescent="0.2">
      <c r="A574">
        <v>2280</v>
      </c>
      <c r="B574">
        <v>48480</v>
      </c>
      <c r="C574">
        <v>40</v>
      </c>
      <c r="D574">
        <v>20</v>
      </c>
      <c r="E574">
        <v>30</v>
      </c>
      <c r="F574">
        <v>10</v>
      </c>
      <c r="G574">
        <v>10</v>
      </c>
      <c r="H574">
        <v>30</v>
      </c>
    </row>
    <row r="575" spans="1:8" x14ac:dyDescent="0.2">
      <c r="A575">
        <v>2281</v>
      </c>
      <c r="B575">
        <v>45780</v>
      </c>
      <c r="C575">
        <v>40</v>
      </c>
      <c r="D575">
        <v>20</v>
      </c>
      <c r="E575">
        <v>30</v>
      </c>
      <c r="F575">
        <v>10</v>
      </c>
      <c r="G575">
        <v>10</v>
      </c>
      <c r="H575">
        <v>40</v>
      </c>
    </row>
    <row r="576" spans="1:8" x14ac:dyDescent="0.2">
      <c r="A576">
        <v>2283</v>
      </c>
      <c r="B576">
        <v>51830</v>
      </c>
      <c r="C576">
        <v>40</v>
      </c>
      <c r="D576">
        <v>20</v>
      </c>
      <c r="E576">
        <v>30</v>
      </c>
      <c r="F576">
        <v>10</v>
      </c>
      <c r="G576">
        <v>10</v>
      </c>
      <c r="H576">
        <v>40</v>
      </c>
    </row>
    <row r="577" spans="1:8" x14ac:dyDescent="0.2">
      <c r="A577">
        <v>2284</v>
      </c>
      <c r="B577">
        <v>45950</v>
      </c>
      <c r="C577">
        <v>40</v>
      </c>
      <c r="D577">
        <v>20</v>
      </c>
      <c r="E577">
        <v>30</v>
      </c>
      <c r="F577">
        <v>10</v>
      </c>
      <c r="G577">
        <v>10</v>
      </c>
      <c r="H577">
        <v>40</v>
      </c>
    </row>
    <row r="578" spans="1:8" x14ac:dyDescent="0.2">
      <c r="A578">
        <v>2285</v>
      </c>
      <c r="B578">
        <v>45410</v>
      </c>
      <c r="C578">
        <v>40</v>
      </c>
      <c r="D578">
        <v>20</v>
      </c>
      <c r="E578">
        <v>30</v>
      </c>
      <c r="F578">
        <v>10</v>
      </c>
      <c r="G578">
        <v>10</v>
      </c>
      <c r="H578">
        <v>40</v>
      </c>
    </row>
    <row r="579" spans="1:8" x14ac:dyDescent="0.2">
      <c r="A579">
        <v>2286</v>
      </c>
      <c r="B579">
        <v>45000</v>
      </c>
      <c r="C579">
        <v>40</v>
      </c>
      <c r="D579">
        <v>20</v>
      </c>
      <c r="E579">
        <v>30</v>
      </c>
      <c r="F579">
        <v>10</v>
      </c>
      <c r="G579">
        <v>10</v>
      </c>
      <c r="H579">
        <v>40</v>
      </c>
    </row>
    <row r="580" spans="1:8" x14ac:dyDescent="0.2">
      <c r="A580">
        <v>2287</v>
      </c>
      <c r="B580">
        <v>45250</v>
      </c>
      <c r="C580">
        <v>40</v>
      </c>
      <c r="D580">
        <v>20</v>
      </c>
      <c r="E580">
        <v>30</v>
      </c>
      <c r="F580">
        <v>10</v>
      </c>
      <c r="G580">
        <v>10</v>
      </c>
      <c r="H580">
        <v>40</v>
      </c>
    </row>
    <row r="581" spans="1:8" x14ac:dyDescent="0.2">
      <c r="A581">
        <v>2289</v>
      </c>
      <c r="B581">
        <v>47170</v>
      </c>
      <c r="C581">
        <v>40</v>
      </c>
      <c r="D581">
        <v>20</v>
      </c>
      <c r="E581">
        <v>30</v>
      </c>
      <c r="F581">
        <v>10</v>
      </c>
      <c r="G581">
        <v>10</v>
      </c>
      <c r="H581">
        <v>40</v>
      </c>
    </row>
    <row r="582" spans="1:8" x14ac:dyDescent="0.2">
      <c r="A582">
        <v>2292</v>
      </c>
      <c r="B582">
        <v>45080</v>
      </c>
      <c r="C582">
        <v>40</v>
      </c>
      <c r="D582">
        <v>30</v>
      </c>
      <c r="E582">
        <v>20</v>
      </c>
      <c r="F582">
        <v>10</v>
      </c>
      <c r="G582">
        <v>10</v>
      </c>
      <c r="H582">
        <v>40</v>
      </c>
    </row>
    <row r="583" spans="1:8" x14ac:dyDescent="0.2">
      <c r="A583">
        <v>2293</v>
      </c>
      <c r="B583">
        <v>45030</v>
      </c>
      <c r="C583">
        <v>40</v>
      </c>
      <c r="D583">
        <v>30</v>
      </c>
      <c r="E583">
        <v>20</v>
      </c>
      <c r="F583">
        <v>10</v>
      </c>
      <c r="G583">
        <v>10</v>
      </c>
      <c r="H583">
        <v>40</v>
      </c>
    </row>
    <row r="584" spans="1:8" x14ac:dyDescent="0.2">
      <c r="A584">
        <v>2294</v>
      </c>
      <c r="B584">
        <v>47080</v>
      </c>
      <c r="C584">
        <v>40</v>
      </c>
      <c r="D584">
        <v>25</v>
      </c>
      <c r="E584">
        <v>25</v>
      </c>
      <c r="F584">
        <v>10</v>
      </c>
      <c r="G584">
        <v>10</v>
      </c>
      <c r="H584">
        <v>80</v>
      </c>
    </row>
    <row r="585" spans="1:8" x14ac:dyDescent="0.2">
      <c r="A585">
        <v>2295</v>
      </c>
      <c r="B585">
        <v>45530</v>
      </c>
      <c r="C585">
        <v>40</v>
      </c>
      <c r="D585">
        <v>30</v>
      </c>
      <c r="E585">
        <v>20</v>
      </c>
      <c r="F585">
        <v>10</v>
      </c>
      <c r="G585">
        <v>10</v>
      </c>
      <c r="H585">
        <v>50</v>
      </c>
    </row>
    <row r="586" spans="1:8" x14ac:dyDescent="0.2">
      <c r="A586">
        <v>2297</v>
      </c>
      <c r="B586">
        <v>45025</v>
      </c>
      <c r="C586">
        <v>35</v>
      </c>
      <c r="D586">
        <v>25</v>
      </c>
      <c r="E586">
        <v>15</v>
      </c>
      <c r="F586">
        <v>25</v>
      </c>
      <c r="G586">
        <v>25</v>
      </c>
      <c r="H586">
        <v>40</v>
      </c>
    </row>
    <row r="587" spans="1:8" x14ac:dyDescent="0.2">
      <c r="A587">
        <v>2298</v>
      </c>
      <c r="B587">
        <v>45270</v>
      </c>
      <c r="C587">
        <v>40</v>
      </c>
      <c r="D587">
        <v>20</v>
      </c>
      <c r="E587">
        <v>30</v>
      </c>
      <c r="F587">
        <v>10</v>
      </c>
      <c r="G587">
        <v>10</v>
      </c>
      <c r="H587">
        <v>40</v>
      </c>
    </row>
    <row r="588" spans="1:8" x14ac:dyDescent="0.2">
      <c r="A588">
        <v>2302</v>
      </c>
      <c r="B588">
        <v>50220</v>
      </c>
      <c r="C588">
        <v>40</v>
      </c>
      <c r="D588">
        <v>30</v>
      </c>
      <c r="E588">
        <v>20</v>
      </c>
      <c r="F588">
        <v>10</v>
      </c>
      <c r="G588">
        <v>0</v>
      </c>
      <c r="H588">
        <v>35</v>
      </c>
    </row>
    <row r="589" spans="1:8" x14ac:dyDescent="0.2">
      <c r="A589">
        <v>2307</v>
      </c>
      <c r="B589">
        <v>47780</v>
      </c>
      <c r="C589">
        <v>40</v>
      </c>
      <c r="D589">
        <v>20</v>
      </c>
      <c r="E589">
        <v>20</v>
      </c>
      <c r="F589">
        <v>0</v>
      </c>
      <c r="G589">
        <v>20</v>
      </c>
      <c r="H589">
        <v>35</v>
      </c>
    </row>
    <row r="590" spans="1:8" x14ac:dyDescent="0.2">
      <c r="A590">
        <v>2309</v>
      </c>
      <c r="B590">
        <v>48095</v>
      </c>
      <c r="C590">
        <v>40</v>
      </c>
      <c r="D590">
        <v>15</v>
      </c>
      <c r="E590">
        <v>35</v>
      </c>
      <c r="F590">
        <v>0</v>
      </c>
      <c r="G590">
        <v>10</v>
      </c>
      <c r="H590">
        <v>50</v>
      </c>
    </row>
    <row r="591" spans="1:8" x14ac:dyDescent="0.2">
      <c r="A591">
        <v>2310</v>
      </c>
      <c r="B591">
        <v>48740</v>
      </c>
      <c r="C591">
        <v>40</v>
      </c>
      <c r="D591">
        <v>30</v>
      </c>
      <c r="E591">
        <v>20</v>
      </c>
      <c r="F591">
        <v>10</v>
      </c>
      <c r="G591">
        <v>0</v>
      </c>
      <c r="H591">
        <v>35</v>
      </c>
    </row>
    <row r="592" spans="1:8" x14ac:dyDescent="0.2">
      <c r="A592">
        <v>2312</v>
      </c>
      <c r="B592">
        <v>47930</v>
      </c>
      <c r="C592">
        <v>40</v>
      </c>
      <c r="D592">
        <v>15</v>
      </c>
      <c r="E592">
        <v>35</v>
      </c>
      <c r="F592">
        <v>0</v>
      </c>
      <c r="G592">
        <v>10</v>
      </c>
      <c r="H592">
        <v>80</v>
      </c>
    </row>
    <row r="593" spans="1:8" x14ac:dyDescent="0.2">
      <c r="A593">
        <v>2313</v>
      </c>
      <c r="B593">
        <v>47695</v>
      </c>
      <c r="C593">
        <v>35</v>
      </c>
      <c r="D593">
        <v>20</v>
      </c>
      <c r="E593">
        <v>35</v>
      </c>
      <c r="F593">
        <v>10</v>
      </c>
      <c r="G593">
        <v>10</v>
      </c>
      <c r="H593">
        <v>50</v>
      </c>
    </row>
    <row r="594" spans="1:8" x14ac:dyDescent="0.2">
      <c r="A594">
        <v>2315</v>
      </c>
      <c r="B594">
        <v>50585</v>
      </c>
      <c r="C594">
        <v>30</v>
      </c>
      <c r="D594">
        <v>35</v>
      </c>
      <c r="E594">
        <v>15</v>
      </c>
      <c r="F594">
        <v>20</v>
      </c>
      <c r="G594">
        <v>0</v>
      </c>
      <c r="H594">
        <v>40</v>
      </c>
    </row>
    <row r="595" spans="1:8" x14ac:dyDescent="0.2">
      <c r="A595">
        <v>2316</v>
      </c>
      <c r="B595">
        <v>52395</v>
      </c>
      <c r="C595">
        <v>35</v>
      </c>
      <c r="D595">
        <v>30</v>
      </c>
      <c r="E595">
        <v>15</v>
      </c>
      <c r="F595">
        <v>20</v>
      </c>
      <c r="G595">
        <v>0</v>
      </c>
      <c r="H595">
        <v>80</v>
      </c>
    </row>
    <row r="596" spans="1:8" x14ac:dyDescent="0.2">
      <c r="A596">
        <v>2318</v>
      </c>
      <c r="B596">
        <v>47655</v>
      </c>
      <c r="C596">
        <v>35</v>
      </c>
      <c r="D596">
        <v>30</v>
      </c>
      <c r="E596">
        <v>15</v>
      </c>
      <c r="F596">
        <v>20</v>
      </c>
      <c r="G596">
        <v>0</v>
      </c>
      <c r="H596">
        <v>100</v>
      </c>
    </row>
    <row r="597" spans="1:8" x14ac:dyDescent="0.2">
      <c r="A597">
        <v>2323</v>
      </c>
      <c r="B597">
        <v>48480</v>
      </c>
      <c r="C597">
        <v>40</v>
      </c>
      <c r="D597">
        <v>20</v>
      </c>
      <c r="E597">
        <v>20</v>
      </c>
      <c r="F597">
        <v>0</v>
      </c>
      <c r="G597">
        <v>20</v>
      </c>
      <c r="H597">
        <v>25</v>
      </c>
    </row>
    <row r="598" spans="1:8" x14ac:dyDescent="0.2">
      <c r="A598">
        <v>2324</v>
      </c>
      <c r="B598">
        <v>47865</v>
      </c>
      <c r="C598">
        <v>40</v>
      </c>
      <c r="D598">
        <v>15</v>
      </c>
      <c r="E598">
        <v>35</v>
      </c>
      <c r="F598">
        <v>0</v>
      </c>
      <c r="G598">
        <v>10</v>
      </c>
      <c r="H598">
        <v>50</v>
      </c>
    </row>
    <row r="599" spans="1:8" x14ac:dyDescent="0.2">
      <c r="A599">
        <v>2325</v>
      </c>
      <c r="B599">
        <v>50000</v>
      </c>
      <c r="C599">
        <v>30</v>
      </c>
      <c r="D599">
        <v>25</v>
      </c>
      <c r="E599">
        <v>35</v>
      </c>
      <c r="F599">
        <v>10</v>
      </c>
      <c r="G599">
        <v>0</v>
      </c>
      <c r="H599">
        <v>60</v>
      </c>
    </row>
    <row r="600" spans="1:8" x14ac:dyDescent="0.2">
      <c r="A600">
        <v>2326</v>
      </c>
      <c r="B600">
        <v>55305</v>
      </c>
      <c r="C600">
        <v>40</v>
      </c>
      <c r="D600">
        <v>15</v>
      </c>
      <c r="E600">
        <v>25</v>
      </c>
      <c r="F600">
        <v>0</v>
      </c>
      <c r="G600">
        <v>20</v>
      </c>
      <c r="H600">
        <v>50</v>
      </c>
    </row>
    <row r="601" spans="1:8" x14ac:dyDescent="0.2">
      <c r="A601">
        <v>2327</v>
      </c>
      <c r="B601">
        <v>47680</v>
      </c>
      <c r="C601">
        <v>40</v>
      </c>
      <c r="D601">
        <v>20</v>
      </c>
      <c r="E601">
        <v>20</v>
      </c>
      <c r="F601">
        <v>0</v>
      </c>
      <c r="G601">
        <v>20</v>
      </c>
      <c r="H601">
        <v>30</v>
      </c>
    </row>
    <row r="602" spans="1:8" x14ac:dyDescent="0.2">
      <c r="A602">
        <v>2328</v>
      </c>
      <c r="B602">
        <v>47750</v>
      </c>
      <c r="C602">
        <v>40</v>
      </c>
      <c r="D602">
        <v>30</v>
      </c>
      <c r="E602">
        <v>20</v>
      </c>
      <c r="F602">
        <v>10</v>
      </c>
      <c r="G602">
        <v>0</v>
      </c>
      <c r="H602">
        <v>40</v>
      </c>
    </row>
    <row r="603" spans="1:8" x14ac:dyDescent="0.2">
      <c r="A603">
        <v>2329</v>
      </c>
      <c r="B603">
        <v>47810</v>
      </c>
      <c r="C603">
        <v>40</v>
      </c>
      <c r="D603">
        <v>30</v>
      </c>
      <c r="E603">
        <v>20</v>
      </c>
      <c r="F603">
        <v>10</v>
      </c>
      <c r="G603">
        <v>0</v>
      </c>
      <c r="H603">
        <v>60</v>
      </c>
    </row>
    <row r="604" spans="1:8" x14ac:dyDescent="0.2">
      <c r="A604">
        <v>2346</v>
      </c>
      <c r="B604">
        <v>47515</v>
      </c>
      <c r="C604">
        <v>35</v>
      </c>
      <c r="D604">
        <v>20</v>
      </c>
      <c r="E604">
        <v>20</v>
      </c>
      <c r="F604">
        <v>0</v>
      </c>
      <c r="G604">
        <v>25</v>
      </c>
      <c r="H604">
        <v>25</v>
      </c>
    </row>
    <row r="605" spans="1:8" x14ac:dyDescent="0.2">
      <c r="A605">
        <v>2347</v>
      </c>
      <c r="B605">
        <v>50025</v>
      </c>
      <c r="C605">
        <v>40</v>
      </c>
      <c r="D605">
        <v>20</v>
      </c>
      <c r="E605">
        <v>25</v>
      </c>
      <c r="F605">
        <v>0</v>
      </c>
      <c r="G605">
        <v>15</v>
      </c>
      <c r="H605">
        <v>50</v>
      </c>
    </row>
    <row r="606" spans="1:8" x14ac:dyDescent="0.2">
      <c r="A606">
        <v>2348</v>
      </c>
      <c r="B606">
        <v>48260</v>
      </c>
      <c r="C606">
        <v>40</v>
      </c>
      <c r="D606">
        <v>15</v>
      </c>
      <c r="E606">
        <v>35</v>
      </c>
      <c r="F606">
        <v>0</v>
      </c>
      <c r="G606">
        <v>10</v>
      </c>
      <c r="H606">
        <v>80</v>
      </c>
    </row>
    <row r="607" spans="1:8" x14ac:dyDescent="0.2">
      <c r="A607">
        <v>2351</v>
      </c>
      <c r="B607">
        <v>48095</v>
      </c>
      <c r="C607">
        <v>40</v>
      </c>
      <c r="D607">
        <v>15</v>
      </c>
      <c r="E607">
        <v>35</v>
      </c>
      <c r="F607">
        <v>0</v>
      </c>
      <c r="G607">
        <v>10</v>
      </c>
      <c r="H607">
        <v>50</v>
      </c>
    </row>
    <row r="608" spans="1:8" x14ac:dyDescent="0.2">
      <c r="A608">
        <v>2352</v>
      </c>
      <c r="B608">
        <v>49400</v>
      </c>
      <c r="C608">
        <v>40</v>
      </c>
      <c r="D608">
        <v>25</v>
      </c>
      <c r="E608">
        <v>25</v>
      </c>
      <c r="F608">
        <v>0</v>
      </c>
      <c r="G608">
        <v>10</v>
      </c>
      <c r="H608">
        <v>35</v>
      </c>
    </row>
    <row r="609" spans="1:8" x14ac:dyDescent="0.2">
      <c r="A609">
        <v>2354</v>
      </c>
      <c r="B609">
        <v>47885</v>
      </c>
      <c r="C609">
        <v>35</v>
      </c>
      <c r="D609">
        <v>35</v>
      </c>
      <c r="E609">
        <v>20</v>
      </c>
      <c r="F609">
        <v>10</v>
      </c>
      <c r="G609">
        <v>0</v>
      </c>
      <c r="H609">
        <v>35</v>
      </c>
    </row>
    <row r="610" spans="1:8" x14ac:dyDescent="0.2">
      <c r="A610">
        <v>2355</v>
      </c>
      <c r="B610">
        <v>47575</v>
      </c>
      <c r="C610">
        <v>40</v>
      </c>
      <c r="D610">
        <v>25</v>
      </c>
      <c r="E610">
        <v>25</v>
      </c>
      <c r="F610">
        <v>0</v>
      </c>
      <c r="G610">
        <v>10</v>
      </c>
      <c r="H610">
        <v>35</v>
      </c>
    </row>
    <row r="611" spans="1:8" x14ac:dyDescent="0.2">
      <c r="A611">
        <v>2356</v>
      </c>
      <c r="B611">
        <v>50055</v>
      </c>
      <c r="C611">
        <v>35</v>
      </c>
      <c r="D611">
        <v>20</v>
      </c>
      <c r="E611">
        <v>20</v>
      </c>
      <c r="F611">
        <v>0</v>
      </c>
      <c r="G611">
        <v>25</v>
      </c>
      <c r="H611">
        <v>50</v>
      </c>
    </row>
    <row r="612" spans="1:8" x14ac:dyDescent="0.2">
      <c r="A612">
        <v>2357</v>
      </c>
      <c r="B612">
        <v>48085</v>
      </c>
      <c r="C612">
        <v>40</v>
      </c>
      <c r="D612">
        <v>15</v>
      </c>
      <c r="E612">
        <v>35</v>
      </c>
      <c r="F612">
        <v>0</v>
      </c>
      <c r="G612">
        <v>10</v>
      </c>
      <c r="H612">
        <v>50</v>
      </c>
    </row>
    <row r="613" spans="1:8" x14ac:dyDescent="0.2">
      <c r="A613">
        <v>2358</v>
      </c>
      <c r="B613">
        <v>47695</v>
      </c>
      <c r="C613">
        <v>40</v>
      </c>
      <c r="D613">
        <v>15</v>
      </c>
      <c r="E613">
        <v>35</v>
      </c>
      <c r="F613">
        <v>0</v>
      </c>
      <c r="G613">
        <v>10</v>
      </c>
      <c r="H613">
        <v>50</v>
      </c>
    </row>
    <row r="614" spans="1:8" x14ac:dyDescent="0.2">
      <c r="A614">
        <v>2359</v>
      </c>
      <c r="B614">
        <v>48060</v>
      </c>
      <c r="C614">
        <v>30</v>
      </c>
      <c r="D614">
        <v>35</v>
      </c>
      <c r="E614">
        <v>15</v>
      </c>
      <c r="F614">
        <v>20</v>
      </c>
      <c r="G614">
        <v>0</v>
      </c>
      <c r="H614">
        <v>40</v>
      </c>
    </row>
    <row r="615" spans="1:8" x14ac:dyDescent="0.2">
      <c r="A615">
        <v>2360</v>
      </c>
      <c r="B615">
        <v>55925</v>
      </c>
      <c r="C615">
        <v>40</v>
      </c>
      <c r="D615">
        <v>15</v>
      </c>
      <c r="E615">
        <v>25</v>
      </c>
      <c r="F615">
        <v>0</v>
      </c>
      <c r="G615">
        <v>20</v>
      </c>
      <c r="H615">
        <v>50</v>
      </c>
    </row>
    <row r="616" spans="1:8" x14ac:dyDescent="0.2">
      <c r="A616">
        <v>2361</v>
      </c>
      <c r="B616">
        <v>53005</v>
      </c>
      <c r="C616">
        <v>40</v>
      </c>
      <c r="D616">
        <v>25</v>
      </c>
      <c r="E616">
        <v>10</v>
      </c>
      <c r="F616">
        <v>25</v>
      </c>
      <c r="G616">
        <v>25</v>
      </c>
      <c r="H616">
        <v>50</v>
      </c>
    </row>
    <row r="617" spans="1:8" x14ac:dyDescent="0.2">
      <c r="A617">
        <v>2362</v>
      </c>
      <c r="B617">
        <v>47660</v>
      </c>
      <c r="C617">
        <v>30</v>
      </c>
      <c r="D617">
        <v>30</v>
      </c>
      <c r="E617">
        <v>30</v>
      </c>
      <c r="F617">
        <v>10</v>
      </c>
      <c r="G617">
        <v>0</v>
      </c>
      <c r="H617">
        <v>35</v>
      </c>
    </row>
    <row r="618" spans="1:8" x14ac:dyDescent="0.2">
      <c r="A618">
        <v>2363</v>
      </c>
      <c r="B618">
        <v>47750</v>
      </c>
      <c r="C618">
        <v>30</v>
      </c>
      <c r="D618">
        <v>30</v>
      </c>
      <c r="E618">
        <v>30</v>
      </c>
      <c r="F618">
        <v>10</v>
      </c>
      <c r="G618">
        <v>0</v>
      </c>
      <c r="H618">
        <v>35</v>
      </c>
    </row>
    <row r="619" spans="1:8" x14ac:dyDescent="0.2">
      <c r="A619">
        <v>2365</v>
      </c>
      <c r="B619">
        <v>55480</v>
      </c>
      <c r="C619">
        <v>40</v>
      </c>
      <c r="D619">
        <v>15</v>
      </c>
      <c r="E619">
        <v>25</v>
      </c>
      <c r="F619">
        <v>0</v>
      </c>
      <c r="G619">
        <v>20</v>
      </c>
      <c r="H619">
        <v>50</v>
      </c>
    </row>
    <row r="620" spans="1:8" x14ac:dyDescent="0.2">
      <c r="A620">
        <v>2368</v>
      </c>
      <c r="B620">
        <v>54805</v>
      </c>
      <c r="C620">
        <v>40</v>
      </c>
      <c r="D620">
        <v>15</v>
      </c>
      <c r="E620">
        <v>25</v>
      </c>
      <c r="F620">
        <v>0</v>
      </c>
      <c r="G620">
        <v>20</v>
      </c>
      <c r="H620">
        <v>60</v>
      </c>
    </row>
    <row r="621" spans="1:8" x14ac:dyDescent="0.2">
      <c r="A621">
        <v>2401</v>
      </c>
      <c r="B621">
        <v>51380</v>
      </c>
      <c r="C621">
        <v>40</v>
      </c>
      <c r="D621">
        <v>30</v>
      </c>
      <c r="E621">
        <v>20</v>
      </c>
      <c r="F621">
        <v>10</v>
      </c>
      <c r="G621">
        <v>0</v>
      </c>
      <c r="H621">
        <v>40</v>
      </c>
    </row>
    <row r="622" spans="1:8" x14ac:dyDescent="0.2">
      <c r="A622">
        <v>2402</v>
      </c>
      <c r="B622">
        <v>47230</v>
      </c>
      <c r="C622">
        <v>40</v>
      </c>
      <c r="D622">
        <v>30</v>
      </c>
      <c r="E622">
        <v>20</v>
      </c>
      <c r="F622">
        <v>10</v>
      </c>
      <c r="G622">
        <v>0</v>
      </c>
      <c r="H622">
        <v>40</v>
      </c>
    </row>
    <row r="623" spans="1:8" x14ac:dyDescent="0.2">
      <c r="A623">
        <v>2403</v>
      </c>
      <c r="B623">
        <v>58110</v>
      </c>
      <c r="C623">
        <v>40</v>
      </c>
      <c r="D623">
        <v>25</v>
      </c>
      <c r="E623">
        <v>25</v>
      </c>
      <c r="F623">
        <v>0</v>
      </c>
      <c r="G623">
        <v>10</v>
      </c>
      <c r="H623">
        <v>60</v>
      </c>
    </row>
    <row r="624" spans="1:8" x14ac:dyDescent="0.2">
      <c r="A624">
        <v>2408</v>
      </c>
      <c r="B624">
        <v>44430</v>
      </c>
      <c r="C624">
        <v>40</v>
      </c>
      <c r="D624">
        <v>20</v>
      </c>
      <c r="E624">
        <v>30</v>
      </c>
      <c r="F624">
        <v>10</v>
      </c>
      <c r="G624">
        <v>10</v>
      </c>
      <c r="H624">
        <v>30</v>
      </c>
    </row>
    <row r="625" spans="1:8" x14ac:dyDescent="0.2">
      <c r="A625">
        <v>2411</v>
      </c>
      <c r="B625">
        <v>61415</v>
      </c>
      <c r="C625">
        <v>40</v>
      </c>
      <c r="D625">
        <v>25</v>
      </c>
      <c r="E625">
        <v>25</v>
      </c>
      <c r="F625">
        <v>0</v>
      </c>
      <c r="G625">
        <v>10</v>
      </c>
      <c r="H625">
        <v>45</v>
      </c>
    </row>
    <row r="626" spans="1:8" x14ac:dyDescent="0.2">
      <c r="A626">
        <v>2413</v>
      </c>
      <c r="B626">
        <v>57520</v>
      </c>
      <c r="C626">
        <v>40</v>
      </c>
      <c r="D626">
        <v>25</v>
      </c>
      <c r="E626">
        <v>25</v>
      </c>
      <c r="F626">
        <v>0</v>
      </c>
      <c r="G626">
        <v>10</v>
      </c>
      <c r="H626">
        <v>45</v>
      </c>
    </row>
    <row r="627" spans="1:8" x14ac:dyDescent="0.2">
      <c r="A627">
        <v>2417</v>
      </c>
      <c r="B627">
        <v>51150</v>
      </c>
      <c r="C627">
        <v>40</v>
      </c>
      <c r="D627">
        <v>30</v>
      </c>
      <c r="E627">
        <v>20</v>
      </c>
      <c r="F627">
        <v>10</v>
      </c>
      <c r="G627">
        <v>0</v>
      </c>
      <c r="H627">
        <v>40</v>
      </c>
    </row>
    <row r="628" spans="1:8" x14ac:dyDescent="0.2">
      <c r="A628">
        <v>2433</v>
      </c>
      <c r="B628">
        <v>58570</v>
      </c>
      <c r="C628">
        <v>40</v>
      </c>
      <c r="D628">
        <v>25</v>
      </c>
      <c r="E628">
        <v>25</v>
      </c>
      <c r="F628">
        <v>0</v>
      </c>
      <c r="G628">
        <v>10</v>
      </c>
      <c r="H628">
        <v>45</v>
      </c>
    </row>
    <row r="629" spans="1:8" x14ac:dyDescent="0.2">
      <c r="A629">
        <v>2437</v>
      </c>
      <c r="B629">
        <v>42910</v>
      </c>
      <c r="C629">
        <v>40</v>
      </c>
      <c r="D629">
        <v>20</v>
      </c>
      <c r="E629">
        <v>30</v>
      </c>
      <c r="F629">
        <v>10</v>
      </c>
      <c r="G629">
        <v>10</v>
      </c>
      <c r="H629">
        <v>30</v>
      </c>
    </row>
    <row r="630" spans="1:8" x14ac:dyDescent="0.2">
      <c r="A630">
        <v>2438</v>
      </c>
      <c r="B630">
        <v>41540</v>
      </c>
      <c r="C630">
        <v>40</v>
      </c>
      <c r="D630">
        <v>20</v>
      </c>
      <c r="E630">
        <v>30</v>
      </c>
      <c r="F630">
        <v>10</v>
      </c>
      <c r="G630">
        <v>10</v>
      </c>
      <c r="H630">
        <v>400</v>
      </c>
    </row>
    <row r="631" spans="1:8" x14ac:dyDescent="0.2">
      <c r="A631">
        <v>2440</v>
      </c>
      <c r="B631">
        <v>56680</v>
      </c>
      <c r="C631">
        <v>40</v>
      </c>
      <c r="D631">
        <v>40</v>
      </c>
      <c r="E631">
        <v>10</v>
      </c>
      <c r="F631">
        <v>10</v>
      </c>
      <c r="G631">
        <v>0</v>
      </c>
      <c r="H631">
        <v>70</v>
      </c>
    </row>
    <row r="632" spans="1:8" x14ac:dyDescent="0.2">
      <c r="A632">
        <v>2441</v>
      </c>
      <c r="B632">
        <v>44060</v>
      </c>
      <c r="C632">
        <v>40</v>
      </c>
      <c r="D632">
        <v>20</v>
      </c>
      <c r="E632">
        <v>30</v>
      </c>
      <c r="F632">
        <v>10</v>
      </c>
      <c r="G632">
        <v>10</v>
      </c>
      <c r="H632">
        <v>40</v>
      </c>
    </row>
    <row r="633" spans="1:8" x14ac:dyDescent="0.2">
      <c r="A633">
        <v>2444</v>
      </c>
      <c r="B633">
        <v>42980</v>
      </c>
      <c r="C633">
        <v>40</v>
      </c>
      <c r="D633">
        <v>20</v>
      </c>
      <c r="E633">
        <v>30</v>
      </c>
      <c r="F633">
        <v>10</v>
      </c>
      <c r="G633">
        <v>10</v>
      </c>
      <c r="H633">
        <v>30</v>
      </c>
    </row>
    <row r="634" spans="1:8" x14ac:dyDescent="0.2">
      <c r="A634">
        <v>2445</v>
      </c>
      <c r="B634">
        <v>45980</v>
      </c>
      <c r="C634">
        <v>40</v>
      </c>
      <c r="D634">
        <v>30</v>
      </c>
      <c r="E634">
        <v>20</v>
      </c>
      <c r="F634">
        <v>10</v>
      </c>
      <c r="G634">
        <v>0</v>
      </c>
      <c r="H634">
        <v>40</v>
      </c>
    </row>
    <row r="635" spans="1:8" x14ac:dyDescent="0.2">
      <c r="A635">
        <v>2446</v>
      </c>
      <c r="B635">
        <v>43580</v>
      </c>
      <c r="C635">
        <v>40</v>
      </c>
      <c r="D635">
        <v>30</v>
      </c>
      <c r="E635">
        <v>20</v>
      </c>
      <c r="F635">
        <v>10</v>
      </c>
      <c r="G635">
        <v>0</v>
      </c>
      <c r="H635">
        <v>40</v>
      </c>
    </row>
    <row r="636" spans="1:8" x14ac:dyDescent="0.2">
      <c r="A636">
        <v>2447</v>
      </c>
      <c r="B636">
        <v>70665</v>
      </c>
      <c r="C636">
        <v>40</v>
      </c>
      <c r="D636">
        <v>25</v>
      </c>
      <c r="E636">
        <v>25</v>
      </c>
      <c r="F636">
        <v>0</v>
      </c>
      <c r="G636">
        <v>10</v>
      </c>
      <c r="H636">
        <v>60</v>
      </c>
    </row>
    <row r="637" spans="1:8" x14ac:dyDescent="0.2">
      <c r="A637">
        <v>2448</v>
      </c>
      <c r="B637">
        <v>67420</v>
      </c>
      <c r="C637">
        <v>40</v>
      </c>
      <c r="D637">
        <v>25</v>
      </c>
      <c r="E637">
        <v>25</v>
      </c>
      <c r="F637">
        <v>0</v>
      </c>
      <c r="G637">
        <v>10</v>
      </c>
      <c r="H637">
        <v>65</v>
      </c>
    </row>
    <row r="638" spans="1:8" x14ac:dyDescent="0.2">
      <c r="A638">
        <v>2449</v>
      </c>
      <c r="B638">
        <v>44560</v>
      </c>
      <c r="C638">
        <v>40</v>
      </c>
      <c r="D638">
        <v>20</v>
      </c>
      <c r="E638">
        <v>30</v>
      </c>
      <c r="F638">
        <v>10</v>
      </c>
      <c r="G638">
        <v>10</v>
      </c>
      <c r="H638">
        <v>30</v>
      </c>
    </row>
    <row r="639" spans="1:8" x14ac:dyDescent="0.2">
      <c r="A639">
        <v>2451</v>
      </c>
      <c r="B639">
        <v>46660</v>
      </c>
      <c r="C639">
        <v>40</v>
      </c>
      <c r="D639">
        <v>30</v>
      </c>
      <c r="E639">
        <v>20</v>
      </c>
      <c r="F639">
        <v>10</v>
      </c>
      <c r="G639">
        <v>0</v>
      </c>
      <c r="H639">
        <v>40</v>
      </c>
    </row>
    <row r="640" spans="1:8" x14ac:dyDescent="0.2">
      <c r="A640">
        <v>2452</v>
      </c>
      <c r="B640">
        <v>50720</v>
      </c>
      <c r="C640">
        <v>40</v>
      </c>
      <c r="D640">
        <v>30</v>
      </c>
      <c r="E640">
        <v>20</v>
      </c>
      <c r="F640">
        <v>10</v>
      </c>
      <c r="G640">
        <v>0</v>
      </c>
      <c r="H640">
        <v>40</v>
      </c>
    </row>
    <row r="641" spans="1:8" x14ac:dyDescent="0.2">
      <c r="A641">
        <v>2453</v>
      </c>
      <c r="B641">
        <v>49800</v>
      </c>
      <c r="C641">
        <v>40</v>
      </c>
      <c r="D641">
        <v>30</v>
      </c>
      <c r="E641">
        <v>20</v>
      </c>
      <c r="F641">
        <v>10</v>
      </c>
      <c r="G641">
        <v>10</v>
      </c>
      <c r="H641">
        <v>30</v>
      </c>
    </row>
    <row r="642" spans="1:8" x14ac:dyDescent="0.2">
      <c r="A642">
        <v>2454</v>
      </c>
      <c r="B642">
        <v>51090</v>
      </c>
      <c r="C642">
        <v>40</v>
      </c>
      <c r="D642">
        <v>30</v>
      </c>
      <c r="E642">
        <v>20</v>
      </c>
      <c r="F642">
        <v>10</v>
      </c>
      <c r="G642">
        <v>10</v>
      </c>
      <c r="H642">
        <v>30</v>
      </c>
    </row>
    <row r="643" spans="1:8" x14ac:dyDescent="0.2">
      <c r="A643">
        <v>2455</v>
      </c>
      <c r="B643">
        <v>44470</v>
      </c>
      <c r="C643">
        <v>40</v>
      </c>
      <c r="D643">
        <v>20</v>
      </c>
      <c r="E643">
        <v>30</v>
      </c>
      <c r="F643">
        <v>10</v>
      </c>
      <c r="G643">
        <v>10</v>
      </c>
      <c r="H643">
        <v>40</v>
      </c>
    </row>
    <row r="644" spans="1:8" x14ac:dyDescent="0.2">
      <c r="A644">
        <v>2458</v>
      </c>
      <c r="B644">
        <v>53205</v>
      </c>
      <c r="C644">
        <v>40</v>
      </c>
      <c r="D644">
        <v>25</v>
      </c>
      <c r="E644">
        <v>25</v>
      </c>
      <c r="F644">
        <v>0</v>
      </c>
      <c r="G644">
        <v>10</v>
      </c>
      <c r="H644">
        <v>35</v>
      </c>
    </row>
    <row r="645" spans="1:8" x14ac:dyDescent="0.2">
      <c r="A645">
        <v>2459</v>
      </c>
      <c r="B645">
        <v>45825</v>
      </c>
      <c r="C645">
        <v>40</v>
      </c>
      <c r="D645">
        <v>25</v>
      </c>
      <c r="E645">
        <v>25</v>
      </c>
      <c r="F645">
        <v>0</v>
      </c>
      <c r="G645">
        <v>10</v>
      </c>
      <c r="H645">
        <v>35</v>
      </c>
    </row>
    <row r="646" spans="1:8" x14ac:dyDescent="0.2">
      <c r="A646">
        <v>2460</v>
      </c>
      <c r="B646">
        <v>51030</v>
      </c>
      <c r="C646">
        <v>40</v>
      </c>
      <c r="D646">
        <v>25</v>
      </c>
      <c r="E646">
        <v>25</v>
      </c>
      <c r="F646">
        <v>10</v>
      </c>
      <c r="G646">
        <v>10</v>
      </c>
      <c r="H646">
        <v>20</v>
      </c>
    </row>
    <row r="647" spans="1:8" x14ac:dyDescent="0.2">
      <c r="A647">
        <v>2461</v>
      </c>
      <c r="B647">
        <v>48280</v>
      </c>
      <c r="C647">
        <v>40</v>
      </c>
      <c r="D647">
        <v>30</v>
      </c>
      <c r="E647">
        <v>20</v>
      </c>
      <c r="F647">
        <v>10</v>
      </c>
      <c r="G647">
        <v>10</v>
      </c>
      <c r="H647">
        <v>30</v>
      </c>
    </row>
    <row r="648" spans="1:8" x14ac:dyDescent="0.2">
      <c r="A648">
        <v>2462</v>
      </c>
      <c r="B648">
        <v>58590</v>
      </c>
      <c r="C648">
        <v>40</v>
      </c>
      <c r="D648">
        <v>25</v>
      </c>
      <c r="E648">
        <v>25</v>
      </c>
      <c r="F648">
        <v>10</v>
      </c>
      <c r="G648">
        <v>10</v>
      </c>
      <c r="H648">
        <v>35</v>
      </c>
    </row>
    <row r="649" spans="1:8" x14ac:dyDescent="0.2">
      <c r="A649">
        <v>2500</v>
      </c>
      <c r="B649">
        <v>58010</v>
      </c>
      <c r="C649">
        <v>25</v>
      </c>
      <c r="D649">
        <v>20</v>
      </c>
      <c r="E649">
        <v>40</v>
      </c>
      <c r="F649">
        <v>0</v>
      </c>
      <c r="G649">
        <v>15</v>
      </c>
      <c r="H649">
        <v>225</v>
      </c>
    </row>
    <row r="650" spans="1:8" x14ac:dyDescent="0.2">
      <c r="A650">
        <v>2510</v>
      </c>
      <c r="B650">
        <v>52535</v>
      </c>
      <c r="C650">
        <v>25</v>
      </c>
      <c r="D650">
        <v>20</v>
      </c>
      <c r="E650">
        <v>40</v>
      </c>
      <c r="F650">
        <v>0</v>
      </c>
      <c r="G650">
        <v>15</v>
      </c>
      <c r="H650">
        <v>90</v>
      </c>
    </row>
    <row r="651" spans="1:8" x14ac:dyDescent="0.2">
      <c r="A651">
        <v>2512</v>
      </c>
      <c r="B651">
        <v>50860</v>
      </c>
      <c r="C651">
        <v>25</v>
      </c>
      <c r="D651">
        <v>20</v>
      </c>
      <c r="E651">
        <v>40</v>
      </c>
      <c r="F651">
        <v>0</v>
      </c>
      <c r="G651">
        <v>15</v>
      </c>
      <c r="H651">
        <v>80</v>
      </c>
    </row>
    <row r="652" spans="1:8" x14ac:dyDescent="0.2">
      <c r="A652">
        <v>2513</v>
      </c>
      <c r="B652">
        <v>53905</v>
      </c>
      <c r="C652">
        <v>25</v>
      </c>
      <c r="D652">
        <v>20</v>
      </c>
      <c r="E652">
        <v>40</v>
      </c>
      <c r="F652">
        <v>0</v>
      </c>
      <c r="G652">
        <v>15</v>
      </c>
      <c r="H652">
        <v>80</v>
      </c>
    </row>
    <row r="653" spans="1:8" x14ac:dyDescent="0.2">
      <c r="A653">
        <v>2514</v>
      </c>
      <c r="B653">
        <v>51840</v>
      </c>
      <c r="C653">
        <v>20</v>
      </c>
      <c r="D653">
        <v>15</v>
      </c>
      <c r="E653">
        <v>40</v>
      </c>
      <c r="F653">
        <v>0</v>
      </c>
      <c r="G653">
        <v>25</v>
      </c>
      <c r="H653">
        <v>50</v>
      </c>
    </row>
    <row r="654" spans="1:8" x14ac:dyDescent="0.2">
      <c r="A654">
        <v>2515</v>
      </c>
      <c r="B654">
        <v>57220</v>
      </c>
      <c r="C654">
        <v>20</v>
      </c>
      <c r="D654">
        <v>35</v>
      </c>
      <c r="E654">
        <v>35</v>
      </c>
      <c r="F654">
        <v>10</v>
      </c>
      <c r="G654">
        <v>10</v>
      </c>
      <c r="H654">
        <v>80</v>
      </c>
    </row>
    <row r="655" spans="1:8" x14ac:dyDescent="0.2">
      <c r="A655">
        <v>2521</v>
      </c>
      <c r="B655">
        <v>52765</v>
      </c>
      <c r="C655">
        <v>25</v>
      </c>
      <c r="D655">
        <v>25</v>
      </c>
      <c r="E655">
        <v>40</v>
      </c>
      <c r="F655">
        <v>0</v>
      </c>
      <c r="G655">
        <v>10</v>
      </c>
      <c r="H655">
        <v>30</v>
      </c>
    </row>
    <row r="656" spans="1:8" x14ac:dyDescent="0.2">
      <c r="A656">
        <v>2524</v>
      </c>
      <c r="B656">
        <v>53380</v>
      </c>
      <c r="C656">
        <v>25</v>
      </c>
      <c r="D656">
        <v>20</v>
      </c>
      <c r="E656">
        <v>25</v>
      </c>
      <c r="F656">
        <v>0</v>
      </c>
      <c r="G656">
        <v>30</v>
      </c>
      <c r="H656">
        <v>40</v>
      </c>
    </row>
    <row r="657" spans="1:8" x14ac:dyDescent="0.2">
      <c r="A657">
        <v>2525</v>
      </c>
      <c r="B657">
        <v>49740</v>
      </c>
      <c r="C657">
        <v>25</v>
      </c>
      <c r="D657">
        <v>20</v>
      </c>
      <c r="E657">
        <v>25</v>
      </c>
      <c r="F657">
        <v>0</v>
      </c>
      <c r="G657">
        <v>30</v>
      </c>
      <c r="H657">
        <v>30</v>
      </c>
    </row>
    <row r="658" spans="1:8" x14ac:dyDescent="0.2">
      <c r="A658">
        <v>2526</v>
      </c>
      <c r="B658">
        <v>51660</v>
      </c>
      <c r="C658">
        <v>25</v>
      </c>
      <c r="D658">
        <v>20</v>
      </c>
      <c r="E658">
        <v>25</v>
      </c>
      <c r="F658">
        <v>0</v>
      </c>
      <c r="G658">
        <v>30</v>
      </c>
      <c r="H658">
        <v>30</v>
      </c>
    </row>
    <row r="659" spans="1:8" x14ac:dyDescent="0.2">
      <c r="A659">
        <v>2530</v>
      </c>
      <c r="B659">
        <v>55040</v>
      </c>
      <c r="C659">
        <v>30</v>
      </c>
      <c r="D659">
        <v>20</v>
      </c>
      <c r="E659">
        <v>25</v>
      </c>
      <c r="F659">
        <v>0</v>
      </c>
      <c r="G659">
        <v>25</v>
      </c>
      <c r="H659">
        <v>50</v>
      </c>
    </row>
    <row r="660" spans="1:8" x14ac:dyDescent="0.2">
      <c r="A660">
        <v>2531</v>
      </c>
      <c r="B660">
        <v>53685</v>
      </c>
      <c r="C660">
        <v>25</v>
      </c>
      <c r="D660">
        <v>20</v>
      </c>
      <c r="E660">
        <v>30</v>
      </c>
      <c r="F660">
        <v>0</v>
      </c>
      <c r="G660">
        <v>25</v>
      </c>
      <c r="H660">
        <v>50</v>
      </c>
    </row>
    <row r="661" spans="1:8" x14ac:dyDescent="0.2">
      <c r="A661">
        <v>2533</v>
      </c>
      <c r="B661">
        <v>60610</v>
      </c>
      <c r="C661">
        <v>30</v>
      </c>
      <c r="D661">
        <v>25</v>
      </c>
      <c r="E661">
        <v>20</v>
      </c>
      <c r="F661">
        <v>0</v>
      </c>
      <c r="G661">
        <v>25</v>
      </c>
      <c r="H661">
        <v>45</v>
      </c>
    </row>
    <row r="662" spans="1:8" x14ac:dyDescent="0.2">
      <c r="A662">
        <v>2534</v>
      </c>
      <c r="B662">
        <v>56890</v>
      </c>
      <c r="C662">
        <v>30</v>
      </c>
      <c r="D662">
        <v>25</v>
      </c>
      <c r="E662">
        <v>35</v>
      </c>
      <c r="F662">
        <v>10</v>
      </c>
      <c r="G662">
        <v>10</v>
      </c>
      <c r="H662">
        <v>40</v>
      </c>
    </row>
    <row r="663" spans="1:8" x14ac:dyDescent="0.2">
      <c r="A663">
        <v>2541</v>
      </c>
      <c r="B663">
        <v>57960</v>
      </c>
      <c r="C663">
        <v>30</v>
      </c>
      <c r="D663">
        <v>50</v>
      </c>
      <c r="E663">
        <v>10</v>
      </c>
      <c r="F663">
        <v>10</v>
      </c>
      <c r="G663">
        <v>0</v>
      </c>
      <c r="H663">
        <v>40</v>
      </c>
    </row>
    <row r="664" spans="1:8" x14ac:dyDescent="0.2">
      <c r="A664">
        <v>2542</v>
      </c>
      <c r="B664">
        <v>60200</v>
      </c>
      <c r="C664">
        <v>40</v>
      </c>
      <c r="D664">
        <v>20</v>
      </c>
      <c r="E664">
        <v>10</v>
      </c>
      <c r="F664">
        <v>30</v>
      </c>
      <c r="G664">
        <v>0</v>
      </c>
      <c r="H664">
        <v>40</v>
      </c>
    </row>
    <row r="665" spans="1:8" x14ac:dyDescent="0.2">
      <c r="A665">
        <v>2543</v>
      </c>
      <c r="B665">
        <v>56240</v>
      </c>
      <c r="C665">
        <v>25</v>
      </c>
      <c r="D665">
        <v>45</v>
      </c>
      <c r="E665">
        <v>20</v>
      </c>
      <c r="F665">
        <v>10</v>
      </c>
      <c r="G665">
        <v>0</v>
      </c>
      <c r="H665">
        <v>35</v>
      </c>
    </row>
    <row r="666" spans="1:8" x14ac:dyDescent="0.2">
      <c r="A666">
        <v>2544</v>
      </c>
      <c r="B666">
        <v>54540</v>
      </c>
      <c r="C666">
        <v>40</v>
      </c>
      <c r="D666">
        <v>25</v>
      </c>
      <c r="E666">
        <v>25</v>
      </c>
      <c r="F666">
        <v>10</v>
      </c>
      <c r="G666">
        <v>0</v>
      </c>
      <c r="H666">
        <v>35</v>
      </c>
    </row>
    <row r="667" spans="1:8" x14ac:dyDescent="0.2">
      <c r="A667">
        <v>2546</v>
      </c>
      <c r="B667">
        <v>54350</v>
      </c>
      <c r="C667">
        <v>30</v>
      </c>
      <c r="D667">
        <v>30</v>
      </c>
      <c r="E667">
        <v>30</v>
      </c>
      <c r="F667">
        <v>10</v>
      </c>
      <c r="G667">
        <v>0</v>
      </c>
      <c r="H667">
        <v>20</v>
      </c>
    </row>
    <row r="668" spans="1:8" x14ac:dyDescent="0.2">
      <c r="A668">
        <v>2550</v>
      </c>
      <c r="B668">
        <v>53855</v>
      </c>
      <c r="C668">
        <v>30</v>
      </c>
      <c r="D668">
        <v>30</v>
      </c>
      <c r="E668">
        <v>25</v>
      </c>
      <c r="F668">
        <v>15</v>
      </c>
      <c r="G668">
        <v>0</v>
      </c>
      <c r="H668">
        <v>40</v>
      </c>
    </row>
    <row r="669" spans="1:8" x14ac:dyDescent="0.2">
      <c r="A669">
        <v>2551</v>
      </c>
      <c r="B669">
        <v>55480</v>
      </c>
      <c r="C669">
        <v>30</v>
      </c>
      <c r="D669">
        <v>30</v>
      </c>
      <c r="E669">
        <v>25</v>
      </c>
      <c r="F669">
        <v>15</v>
      </c>
      <c r="G669">
        <v>0</v>
      </c>
      <c r="H669">
        <v>40</v>
      </c>
    </row>
    <row r="670" spans="1:8" x14ac:dyDescent="0.2">
      <c r="A670">
        <v>2552</v>
      </c>
      <c r="B670">
        <v>55410</v>
      </c>
      <c r="C670">
        <v>30</v>
      </c>
      <c r="D670">
        <v>30</v>
      </c>
      <c r="E670">
        <v>25</v>
      </c>
      <c r="F670">
        <v>15</v>
      </c>
      <c r="G670">
        <v>0</v>
      </c>
      <c r="H670">
        <v>40</v>
      </c>
    </row>
    <row r="671" spans="1:8" x14ac:dyDescent="0.2">
      <c r="A671">
        <v>2553</v>
      </c>
      <c r="B671">
        <v>52475</v>
      </c>
      <c r="C671">
        <v>30</v>
      </c>
      <c r="D671">
        <v>30</v>
      </c>
      <c r="E671">
        <v>25</v>
      </c>
      <c r="F671">
        <v>15</v>
      </c>
      <c r="G671">
        <v>0</v>
      </c>
      <c r="H671">
        <v>30</v>
      </c>
    </row>
    <row r="672" spans="1:8" x14ac:dyDescent="0.2">
      <c r="A672">
        <v>2561</v>
      </c>
      <c r="B672">
        <v>55220</v>
      </c>
      <c r="C672">
        <v>40</v>
      </c>
      <c r="D672">
        <v>20</v>
      </c>
      <c r="E672">
        <v>30</v>
      </c>
      <c r="F672">
        <v>10</v>
      </c>
      <c r="G672">
        <v>10</v>
      </c>
      <c r="H672">
        <v>55</v>
      </c>
    </row>
    <row r="673" spans="1:8" x14ac:dyDescent="0.2">
      <c r="A673">
        <v>2562</v>
      </c>
      <c r="B673">
        <v>53340</v>
      </c>
      <c r="C673">
        <v>30</v>
      </c>
      <c r="D673">
        <v>20</v>
      </c>
      <c r="E673">
        <v>30</v>
      </c>
      <c r="F673">
        <v>20</v>
      </c>
      <c r="G673">
        <v>20</v>
      </c>
      <c r="H673">
        <v>40</v>
      </c>
    </row>
    <row r="674" spans="1:8" x14ac:dyDescent="0.2">
      <c r="A674">
        <v>2563</v>
      </c>
      <c r="B674">
        <v>56120</v>
      </c>
      <c r="C674">
        <v>25</v>
      </c>
      <c r="D674">
        <v>50</v>
      </c>
      <c r="E674">
        <v>15</v>
      </c>
      <c r="F674">
        <v>10</v>
      </c>
      <c r="G674">
        <v>0</v>
      </c>
      <c r="H674">
        <v>20</v>
      </c>
    </row>
    <row r="675" spans="1:8" x14ac:dyDescent="0.2">
      <c r="A675">
        <v>2564</v>
      </c>
      <c r="B675">
        <v>59405</v>
      </c>
      <c r="C675">
        <v>30</v>
      </c>
      <c r="D675">
        <v>25</v>
      </c>
      <c r="E675">
        <v>25</v>
      </c>
      <c r="F675">
        <v>20</v>
      </c>
      <c r="G675">
        <v>20</v>
      </c>
      <c r="H675">
        <v>45</v>
      </c>
    </row>
    <row r="676" spans="1:8" x14ac:dyDescent="0.2">
      <c r="A676">
        <v>2565</v>
      </c>
      <c r="B676">
        <v>56420</v>
      </c>
      <c r="C676">
        <v>30</v>
      </c>
      <c r="D676">
        <v>30</v>
      </c>
      <c r="E676">
        <v>10</v>
      </c>
      <c r="F676">
        <v>30</v>
      </c>
      <c r="G676">
        <v>0</v>
      </c>
      <c r="H676">
        <v>45</v>
      </c>
    </row>
    <row r="677" spans="1:8" x14ac:dyDescent="0.2">
      <c r="A677">
        <v>2566</v>
      </c>
      <c r="B677">
        <v>55340</v>
      </c>
      <c r="C677">
        <v>30</v>
      </c>
      <c r="D677">
        <v>30</v>
      </c>
      <c r="E677">
        <v>30</v>
      </c>
      <c r="F677">
        <v>10</v>
      </c>
      <c r="G677">
        <v>10</v>
      </c>
      <c r="H677">
        <v>50</v>
      </c>
    </row>
    <row r="678" spans="1:8" x14ac:dyDescent="0.2">
      <c r="A678">
        <v>2567</v>
      </c>
      <c r="B678">
        <v>55820</v>
      </c>
      <c r="C678">
        <v>30</v>
      </c>
      <c r="D678">
        <v>20</v>
      </c>
      <c r="E678">
        <v>40</v>
      </c>
      <c r="F678">
        <v>10</v>
      </c>
      <c r="G678">
        <v>10</v>
      </c>
      <c r="H678">
        <v>65</v>
      </c>
    </row>
    <row r="679" spans="1:8" x14ac:dyDescent="0.2">
      <c r="A679">
        <v>2600</v>
      </c>
      <c r="B679">
        <v>53380</v>
      </c>
      <c r="C679">
        <v>20</v>
      </c>
      <c r="D679">
        <v>40</v>
      </c>
      <c r="E679">
        <v>30</v>
      </c>
      <c r="F679">
        <v>10</v>
      </c>
      <c r="G679">
        <v>10</v>
      </c>
      <c r="H679">
        <v>35</v>
      </c>
    </row>
    <row r="680" spans="1:8" x14ac:dyDescent="0.2">
      <c r="A680">
        <v>2604</v>
      </c>
      <c r="B680">
        <v>49810</v>
      </c>
      <c r="C680">
        <v>20</v>
      </c>
      <c r="D680">
        <v>40</v>
      </c>
      <c r="E680">
        <v>30</v>
      </c>
      <c r="F680">
        <v>10</v>
      </c>
      <c r="G680">
        <v>10</v>
      </c>
      <c r="H680">
        <v>20</v>
      </c>
    </row>
    <row r="681" spans="1:8" x14ac:dyDescent="0.2">
      <c r="A681">
        <v>2605</v>
      </c>
      <c r="B681">
        <v>56440</v>
      </c>
      <c r="C681">
        <v>20</v>
      </c>
      <c r="D681">
        <v>40</v>
      </c>
      <c r="E681">
        <v>30</v>
      </c>
      <c r="F681">
        <v>10</v>
      </c>
      <c r="G681">
        <v>10</v>
      </c>
      <c r="H681">
        <v>35</v>
      </c>
    </row>
    <row r="682" spans="1:8" x14ac:dyDescent="0.2">
      <c r="A682">
        <v>2606</v>
      </c>
      <c r="B682">
        <v>53160</v>
      </c>
      <c r="C682">
        <v>20</v>
      </c>
      <c r="D682">
        <v>40</v>
      </c>
      <c r="E682">
        <v>30</v>
      </c>
      <c r="F682">
        <v>10</v>
      </c>
      <c r="G682">
        <v>10</v>
      </c>
      <c r="H682">
        <v>26</v>
      </c>
    </row>
    <row r="683" spans="1:8" x14ac:dyDescent="0.2">
      <c r="A683">
        <v>2607</v>
      </c>
      <c r="B683">
        <v>54500</v>
      </c>
      <c r="C683">
        <v>20</v>
      </c>
      <c r="D683">
        <v>40</v>
      </c>
      <c r="E683">
        <v>30</v>
      </c>
      <c r="F683">
        <v>0</v>
      </c>
      <c r="G683">
        <v>10</v>
      </c>
      <c r="H683">
        <v>30</v>
      </c>
    </row>
    <row r="684" spans="1:8" x14ac:dyDescent="0.2">
      <c r="A684">
        <v>2608</v>
      </c>
      <c r="B684">
        <v>50280</v>
      </c>
      <c r="C684">
        <v>20</v>
      </c>
      <c r="D684">
        <v>40</v>
      </c>
      <c r="E684">
        <v>30</v>
      </c>
      <c r="F684">
        <v>0</v>
      </c>
      <c r="G684">
        <v>10</v>
      </c>
      <c r="H684">
        <v>20</v>
      </c>
    </row>
    <row r="685" spans="1:8" x14ac:dyDescent="0.2">
      <c r="A685">
        <v>2609</v>
      </c>
      <c r="B685">
        <v>53710</v>
      </c>
      <c r="C685">
        <v>20</v>
      </c>
      <c r="D685">
        <v>50</v>
      </c>
      <c r="E685">
        <v>20</v>
      </c>
      <c r="F685">
        <v>10</v>
      </c>
      <c r="G685">
        <v>0</v>
      </c>
      <c r="H685">
        <v>32</v>
      </c>
    </row>
    <row r="686" spans="1:8" x14ac:dyDescent="0.2">
      <c r="A686">
        <v>2610</v>
      </c>
      <c r="B686">
        <v>57870</v>
      </c>
      <c r="C686">
        <v>20</v>
      </c>
      <c r="D686">
        <v>50</v>
      </c>
      <c r="E686">
        <v>20</v>
      </c>
      <c r="F686">
        <v>10</v>
      </c>
      <c r="G686">
        <v>0</v>
      </c>
      <c r="H686">
        <v>30</v>
      </c>
    </row>
    <row r="687" spans="1:8" x14ac:dyDescent="0.2">
      <c r="A687">
        <v>2614</v>
      </c>
      <c r="B687">
        <v>53230</v>
      </c>
      <c r="C687">
        <v>20</v>
      </c>
      <c r="D687">
        <v>40</v>
      </c>
      <c r="E687">
        <v>30</v>
      </c>
      <c r="F687">
        <v>10</v>
      </c>
      <c r="G687">
        <v>10</v>
      </c>
      <c r="H687">
        <v>20</v>
      </c>
    </row>
    <row r="688" spans="1:8" x14ac:dyDescent="0.2">
      <c r="A688">
        <v>2625</v>
      </c>
      <c r="B688">
        <v>57830</v>
      </c>
      <c r="C688">
        <v>20</v>
      </c>
      <c r="D688">
        <v>50</v>
      </c>
      <c r="E688">
        <v>20</v>
      </c>
      <c r="F688">
        <v>10</v>
      </c>
      <c r="G688">
        <v>0</v>
      </c>
      <c r="H688">
        <v>35</v>
      </c>
    </row>
    <row r="689" spans="1:8" x14ac:dyDescent="0.2">
      <c r="A689">
        <v>2627</v>
      </c>
      <c r="B689">
        <v>52570</v>
      </c>
      <c r="C689">
        <v>20</v>
      </c>
      <c r="D689">
        <v>40</v>
      </c>
      <c r="E689">
        <v>30</v>
      </c>
      <c r="F689">
        <v>10</v>
      </c>
      <c r="G689">
        <v>10</v>
      </c>
      <c r="H689">
        <v>20</v>
      </c>
    </row>
    <row r="690" spans="1:8" x14ac:dyDescent="0.2">
      <c r="A690">
        <v>2629</v>
      </c>
      <c r="B690">
        <v>57190</v>
      </c>
      <c r="C690">
        <v>20</v>
      </c>
      <c r="D690">
        <v>50</v>
      </c>
      <c r="E690">
        <v>20</v>
      </c>
      <c r="F690">
        <v>10</v>
      </c>
      <c r="G690">
        <v>10</v>
      </c>
      <c r="H690">
        <v>33</v>
      </c>
    </row>
    <row r="691" spans="1:8" x14ac:dyDescent="0.2">
      <c r="A691">
        <v>2630</v>
      </c>
      <c r="B691">
        <v>56070</v>
      </c>
      <c r="C691">
        <v>20</v>
      </c>
      <c r="D691">
        <v>40</v>
      </c>
      <c r="E691">
        <v>30</v>
      </c>
      <c r="F691">
        <v>10</v>
      </c>
      <c r="G691">
        <v>0</v>
      </c>
      <c r="H691">
        <v>22</v>
      </c>
    </row>
    <row r="692" spans="1:8" x14ac:dyDescent="0.2">
      <c r="A692">
        <v>2632</v>
      </c>
      <c r="B692">
        <v>57610</v>
      </c>
      <c r="C692">
        <v>20</v>
      </c>
      <c r="D692">
        <v>40</v>
      </c>
      <c r="E692">
        <v>30</v>
      </c>
      <c r="F692">
        <v>10</v>
      </c>
      <c r="G692">
        <v>0</v>
      </c>
      <c r="H692">
        <v>20</v>
      </c>
    </row>
    <row r="693" spans="1:8" x14ac:dyDescent="0.2">
      <c r="A693">
        <v>2638</v>
      </c>
      <c r="B693">
        <v>53930</v>
      </c>
      <c r="C693">
        <v>20</v>
      </c>
      <c r="D693">
        <v>35</v>
      </c>
      <c r="E693">
        <v>35</v>
      </c>
      <c r="F693">
        <v>10</v>
      </c>
      <c r="G693">
        <v>10</v>
      </c>
      <c r="H693">
        <v>20</v>
      </c>
    </row>
    <row r="694" spans="1:8" x14ac:dyDescent="0.2">
      <c r="A694">
        <v>2639</v>
      </c>
      <c r="B694">
        <v>57410</v>
      </c>
      <c r="C694">
        <v>20</v>
      </c>
      <c r="D694">
        <v>35</v>
      </c>
      <c r="E694">
        <v>35</v>
      </c>
      <c r="F694">
        <v>10</v>
      </c>
      <c r="G694">
        <v>10</v>
      </c>
      <c r="H694">
        <v>20</v>
      </c>
    </row>
    <row r="695" spans="1:8" x14ac:dyDescent="0.2">
      <c r="A695">
        <v>2640</v>
      </c>
      <c r="B695">
        <v>57210</v>
      </c>
      <c r="C695">
        <v>20</v>
      </c>
      <c r="D695">
        <v>40</v>
      </c>
      <c r="E695">
        <v>30</v>
      </c>
      <c r="F695">
        <v>10</v>
      </c>
      <c r="G695">
        <v>10</v>
      </c>
      <c r="H695">
        <v>25</v>
      </c>
    </row>
    <row r="696" spans="1:8" x14ac:dyDescent="0.2">
      <c r="A696">
        <v>2643</v>
      </c>
      <c r="B696">
        <v>51940</v>
      </c>
      <c r="C696">
        <v>20</v>
      </c>
      <c r="D696">
        <v>35</v>
      </c>
      <c r="E696">
        <v>35</v>
      </c>
      <c r="F696">
        <v>10</v>
      </c>
      <c r="G696">
        <v>10</v>
      </c>
      <c r="H696">
        <v>20</v>
      </c>
    </row>
    <row r="697" spans="1:8" x14ac:dyDescent="0.2">
      <c r="A697">
        <v>2645</v>
      </c>
      <c r="B697">
        <v>55610</v>
      </c>
      <c r="C697">
        <v>20</v>
      </c>
      <c r="D697">
        <v>40</v>
      </c>
      <c r="E697">
        <v>30</v>
      </c>
      <c r="F697">
        <v>10</v>
      </c>
      <c r="G697">
        <v>10</v>
      </c>
      <c r="H697">
        <v>32</v>
      </c>
    </row>
    <row r="698" spans="1:8" x14ac:dyDescent="0.2">
      <c r="A698">
        <v>2647</v>
      </c>
      <c r="B698">
        <v>56900</v>
      </c>
      <c r="C698">
        <v>20</v>
      </c>
      <c r="D698">
        <v>40</v>
      </c>
      <c r="E698">
        <v>30</v>
      </c>
      <c r="F698">
        <v>10</v>
      </c>
      <c r="G698">
        <v>10</v>
      </c>
      <c r="H698">
        <v>32</v>
      </c>
    </row>
    <row r="699" spans="1:8" x14ac:dyDescent="0.2">
      <c r="A699">
        <v>2650</v>
      </c>
      <c r="B699">
        <v>60010</v>
      </c>
      <c r="C699">
        <v>20</v>
      </c>
      <c r="D699">
        <v>50</v>
      </c>
      <c r="E699">
        <v>20</v>
      </c>
      <c r="F699">
        <v>10</v>
      </c>
      <c r="G699">
        <v>0</v>
      </c>
      <c r="H699">
        <v>30</v>
      </c>
    </row>
    <row r="700" spans="1:8" x14ac:dyDescent="0.2">
      <c r="A700">
        <v>2654</v>
      </c>
      <c r="B700">
        <v>54280</v>
      </c>
      <c r="C700">
        <v>20</v>
      </c>
      <c r="D700">
        <v>40</v>
      </c>
      <c r="E700">
        <v>30</v>
      </c>
      <c r="F700">
        <v>10</v>
      </c>
      <c r="G700">
        <v>10</v>
      </c>
      <c r="H700">
        <v>20</v>
      </c>
    </row>
    <row r="701" spans="1:8" x14ac:dyDescent="0.2">
      <c r="A701">
        <v>2655</v>
      </c>
      <c r="B701">
        <v>55345</v>
      </c>
      <c r="C701">
        <v>20</v>
      </c>
      <c r="D701">
        <v>45</v>
      </c>
      <c r="E701">
        <v>25</v>
      </c>
      <c r="F701">
        <v>10</v>
      </c>
      <c r="G701">
        <v>0</v>
      </c>
      <c r="H701">
        <v>20</v>
      </c>
    </row>
    <row r="702" spans="1:8" x14ac:dyDescent="0.2">
      <c r="A702">
        <v>2659</v>
      </c>
      <c r="B702">
        <v>52850</v>
      </c>
      <c r="C702">
        <v>20</v>
      </c>
      <c r="D702">
        <v>50</v>
      </c>
      <c r="E702">
        <v>20</v>
      </c>
      <c r="F702">
        <v>10</v>
      </c>
      <c r="G702">
        <v>0</v>
      </c>
      <c r="H702">
        <v>30</v>
      </c>
    </row>
    <row r="703" spans="1:8" x14ac:dyDescent="0.2">
      <c r="A703">
        <v>2660</v>
      </c>
      <c r="B703">
        <v>54890</v>
      </c>
      <c r="C703">
        <v>20</v>
      </c>
      <c r="D703">
        <v>30</v>
      </c>
      <c r="E703">
        <v>40</v>
      </c>
      <c r="F703">
        <v>0</v>
      </c>
      <c r="G703">
        <v>10</v>
      </c>
      <c r="H703">
        <v>35</v>
      </c>
    </row>
    <row r="704" spans="1:8" x14ac:dyDescent="0.2">
      <c r="A704">
        <v>2662</v>
      </c>
      <c r="B704">
        <v>52850</v>
      </c>
      <c r="C704">
        <v>20</v>
      </c>
      <c r="D704">
        <v>30</v>
      </c>
      <c r="E704">
        <v>40</v>
      </c>
      <c r="F704">
        <v>0</v>
      </c>
      <c r="G704">
        <v>10</v>
      </c>
      <c r="H704">
        <v>30</v>
      </c>
    </row>
    <row r="705" spans="1:8" x14ac:dyDescent="0.2">
      <c r="A705">
        <v>2663</v>
      </c>
      <c r="B705">
        <v>55300</v>
      </c>
      <c r="C705">
        <v>20</v>
      </c>
      <c r="D705">
        <v>30</v>
      </c>
      <c r="E705">
        <v>40</v>
      </c>
      <c r="F705">
        <v>0</v>
      </c>
      <c r="G705">
        <v>10</v>
      </c>
      <c r="H705">
        <v>30</v>
      </c>
    </row>
    <row r="706" spans="1:8" x14ac:dyDescent="0.2">
      <c r="A706">
        <v>2664</v>
      </c>
      <c r="B706">
        <v>53030</v>
      </c>
      <c r="C706">
        <v>20</v>
      </c>
      <c r="D706">
        <v>30</v>
      </c>
      <c r="E706">
        <v>40</v>
      </c>
      <c r="F706">
        <v>0</v>
      </c>
      <c r="G706">
        <v>10</v>
      </c>
      <c r="H706">
        <v>25</v>
      </c>
    </row>
    <row r="707" spans="1:8" x14ac:dyDescent="0.2">
      <c r="A707">
        <v>2666</v>
      </c>
      <c r="B707">
        <v>47230</v>
      </c>
      <c r="C707">
        <v>20</v>
      </c>
      <c r="D707">
        <v>30</v>
      </c>
      <c r="E707">
        <v>40</v>
      </c>
      <c r="F707">
        <v>0</v>
      </c>
      <c r="G707">
        <v>10</v>
      </c>
      <c r="H707">
        <v>20</v>
      </c>
    </row>
    <row r="708" spans="1:8" x14ac:dyDescent="0.2">
      <c r="A708">
        <v>2667</v>
      </c>
      <c r="B708">
        <v>53490</v>
      </c>
      <c r="C708">
        <v>20</v>
      </c>
      <c r="D708">
        <v>30</v>
      </c>
      <c r="E708">
        <v>40</v>
      </c>
      <c r="F708">
        <v>0</v>
      </c>
      <c r="G708">
        <v>10</v>
      </c>
      <c r="H708">
        <v>35</v>
      </c>
    </row>
    <row r="709" spans="1:8" x14ac:dyDescent="0.2">
      <c r="A709">
        <v>2668</v>
      </c>
      <c r="B709">
        <v>49000</v>
      </c>
      <c r="C709">
        <v>20</v>
      </c>
      <c r="D709">
        <v>30</v>
      </c>
      <c r="E709">
        <v>40</v>
      </c>
      <c r="F709">
        <v>0</v>
      </c>
      <c r="G709">
        <v>10</v>
      </c>
      <c r="H709">
        <v>20</v>
      </c>
    </row>
    <row r="710" spans="1:8" x14ac:dyDescent="0.2">
      <c r="A710">
        <v>2670</v>
      </c>
      <c r="B710">
        <v>52630</v>
      </c>
      <c r="C710">
        <v>20</v>
      </c>
      <c r="D710">
        <v>30</v>
      </c>
      <c r="E710">
        <v>40</v>
      </c>
      <c r="F710">
        <v>0</v>
      </c>
      <c r="G710">
        <v>10</v>
      </c>
      <c r="H710">
        <v>25</v>
      </c>
    </row>
    <row r="711" spans="1:8" x14ac:dyDescent="0.2">
      <c r="A711">
        <v>2671</v>
      </c>
      <c r="B711">
        <v>59840</v>
      </c>
      <c r="C711">
        <v>20</v>
      </c>
      <c r="D711">
        <v>30</v>
      </c>
      <c r="E711">
        <v>40</v>
      </c>
      <c r="F711">
        <v>0</v>
      </c>
      <c r="G711">
        <v>10</v>
      </c>
      <c r="H711">
        <v>35</v>
      </c>
    </row>
    <row r="712" spans="1:8" x14ac:dyDescent="0.2">
      <c r="A712">
        <v>2672</v>
      </c>
      <c r="B712">
        <v>46950</v>
      </c>
      <c r="C712">
        <v>20</v>
      </c>
      <c r="D712">
        <v>30</v>
      </c>
      <c r="E712">
        <v>40</v>
      </c>
      <c r="F712">
        <v>0</v>
      </c>
      <c r="G712">
        <v>10</v>
      </c>
      <c r="H712">
        <v>20</v>
      </c>
    </row>
    <row r="713" spans="1:8" x14ac:dyDescent="0.2">
      <c r="A713">
        <v>2673</v>
      </c>
      <c r="B713">
        <v>53080</v>
      </c>
      <c r="C713">
        <v>20</v>
      </c>
      <c r="D713">
        <v>30</v>
      </c>
      <c r="E713">
        <v>40</v>
      </c>
      <c r="F713">
        <v>0</v>
      </c>
      <c r="G713">
        <v>10</v>
      </c>
      <c r="H713">
        <v>30</v>
      </c>
    </row>
    <row r="714" spans="1:8" x14ac:dyDescent="0.2">
      <c r="A714">
        <v>2680</v>
      </c>
      <c r="B714">
        <v>52730</v>
      </c>
      <c r="C714">
        <v>20</v>
      </c>
      <c r="D714">
        <v>45</v>
      </c>
      <c r="E714">
        <v>25</v>
      </c>
      <c r="F714">
        <v>10</v>
      </c>
      <c r="G714">
        <v>10</v>
      </c>
      <c r="H714">
        <v>30</v>
      </c>
    </row>
    <row r="715" spans="1:8" x14ac:dyDescent="0.2">
      <c r="A715">
        <v>2682</v>
      </c>
      <c r="B715">
        <v>58440</v>
      </c>
      <c r="C715">
        <v>20</v>
      </c>
      <c r="D715">
        <v>50</v>
      </c>
      <c r="E715">
        <v>20</v>
      </c>
      <c r="F715">
        <v>10</v>
      </c>
      <c r="G715">
        <v>0</v>
      </c>
      <c r="H715">
        <v>30</v>
      </c>
    </row>
    <row r="716" spans="1:8" x14ac:dyDescent="0.2">
      <c r="A716">
        <v>2693</v>
      </c>
      <c r="B716">
        <v>60170</v>
      </c>
      <c r="C716">
        <v>20</v>
      </c>
      <c r="D716">
        <v>40</v>
      </c>
      <c r="E716">
        <v>30</v>
      </c>
      <c r="F716">
        <v>10</v>
      </c>
      <c r="G716">
        <v>10</v>
      </c>
      <c r="H716">
        <v>30</v>
      </c>
    </row>
    <row r="717" spans="1:8" x14ac:dyDescent="0.2">
      <c r="A717">
        <v>2694</v>
      </c>
      <c r="B717">
        <v>62580</v>
      </c>
      <c r="C717">
        <v>20</v>
      </c>
      <c r="D717">
        <v>40</v>
      </c>
      <c r="E717">
        <v>30</v>
      </c>
      <c r="F717">
        <v>0</v>
      </c>
      <c r="G717">
        <v>10</v>
      </c>
      <c r="H717">
        <v>35</v>
      </c>
    </row>
    <row r="718" spans="1:8" x14ac:dyDescent="0.2">
      <c r="A718">
        <v>2695</v>
      </c>
      <c r="B718">
        <v>55090</v>
      </c>
      <c r="C718">
        <v>20</v>
      </c>
      <c r="D718">
        <v>40</v>
      </c>
      <c r="E718">
        <v>30</v>
      </c>
      <c r="F718">
        <v>10</v>
      </c>
      <c r="G718">
        <v>10</v>
      </c>
      <c r="H718">
        <v>25</v>
      </c>
    </row>
    <row r="719" spans="1:8" x14ac:dyDescent="0.2">
      <c r="A719">
        <v>2696</v>
      </c>
      <c r="B719">
        <v>58560</v>
      </c>
      <c r="C719">
        <v>20</v>
      </c>
      <c r="D719">
        <v>40</v>
      </c>
      <c r="E719">
        <v>30</v>
      </c>
      <c r="F719">
        <v>10</v>
      </c>
      <c r="G719">
        <v>0</v>
      </c>
      <c r="H719">
        <v>30</v>
      </c>
    </row>
    <row r="720" spans="1:8" x14ac:dyDescent="0.2">
      <c r="A720">
        <v>2697</v>
      </c>
      <c r="B720">
        <v>61285</v>
      </c>
      <c r="C720">
        <v>20</v>
      </c>
      <c r="D720">
        <v>50</v>
      </c>
      <c r="E720">
        <v>20</v>
      </c>
      <c r="F720">
        <v>10</v>
      </c>
      <c r="G720">
        <v>0</v>
      </c>
      <c r="H720">
        <v>20</v>
      </c>
    </row>
    <row r="721" spans="1:8" x14ac:dyDescent="0.2">
      <c r="A721">
        <v>2698</v>
      </c>
      <c r="B721">
        <v>56820</v>
      </c>
      <c r="C721">
        <v>20</v>
      </c>
      <c r="D721">
        <v>50</v>
      </c>
      <c r="E721">
        <v>20</v>
      </c>
      <c r="F721">
        <v>10</v>
      </c>
      <c r="G721">
        <v>0</v>
      </c>
      <c r="H721">
        <v>32</v>
      </c>
    </row>
    <row r="722" spans="1:8" x14ac:dyDescent="0.2">
      <c r="A722">
        <v>2699</v>
      </c>
      <c r="B722">
        <v>47760</v>
      </c>
      <c r="C722">
        <v>20</v>
      </c>
      <c r="D722">
        <v>30</v>
      </c>
      <c r="E722">
        <v>40</v>
      </c>
      <c r="F722">
        <v>0</v>
      </c>
      <c r="G722">
        <v>10</v>
      </c>
      <c r="H722">
        <v>20</v>
      </c>
    </row>
    <row r="723" spans="1:8" x14ac:dyDescent="0.2">
      <c r="A723">
        <v>2701</v>
      </c>
      <c r="B723">
        <v>52870</v>
      </c>
      <c r="C723">
        <v>40</v>
      </c>
      <c r="D723">
        <v>20</v>
      </c>
      <c r="E723">
        <v>30</v>
      </c>
      <c r="F723">
        <v>0</v>
      </c>
      <c r="G723">
        <v>10</v>
      </c>
      <c r="H723">
        <v>50</v>
      </c>
    </row>
    <row r="724" spans="1:8" x14ac:dyDescent="0.2">
      <c r="A724">
        <v>2703</v>
      </c>
      <c r="B724">
        <v>45950</v>
      </c>
      <c r="C724">
        <v>40</v>
      </c>
      <c r="D724">
        <v>20</v>
      </c>
      <c r="E724">
        <v>30</v>
      </c>
      <c r="F724">
        <v>0</v>
      </c>
      <c r="G724">
        <v>10</v>
      </c>
      <c r="H724">
        <v>45</v>
      </c>
    </row>
    <row r="725" spans="1:8" x14ac:dyDescent="0.2">
      <c r="A725">
        <v>2704</v>
      </c>
      <c r="B725">
        <v>45680</v>
      </c>
      <c r="C725">
        <v>40</v>
      </c>
      <c r="D725">
        <v>20</v>
      </c>
      <c r="E725">
        <v>30</v>
      </c>
      <c r="F725">
        <v>0</v>
      </c>
      <c r="G725">
        <v>10</v>
      </c>
      <c r="H725">
        <v>45</v>
      </c>
    </row>
    <row r="726" spans="1:8" x14ac:dyDescent="0.2">
      <c r="A726">
        <v>2705</v>
      </c>
      <c r="B726">
        <v>46290</v>
      </c>
      <c r="C726">
        <v>40</v>
      </c>
      <c r="D726">
        <v>20</v>
      </c>
      <c r="E726">
        <v>30</v>
      </c>
      <c r="F726">
        <v>0</v>
      </c>
      <c r="G726">
        <v>10</v>
      </c>
      <c r="H726">
        <v>50</v>
      </c>
    </row>
    <row r="727" spans="1:8" x14ac:dyDescent="0.2">
      <c r="A727">
        <v>2709</v>
      </c>
      <c r="B727">
        <v>56510</v>
      </c>
      <c r="C727">
        <v>40</v>
      </c>
      <c r="D727">
        <v>20</v>
      </c>
      <c r="E727">
        <v>30</v>
      </c>
      <c r="F727">
        <v>0</v>
      </c>
      <c r="G727">
        <v>10</v>
      </c>
      <c r="H727">
        <v>25</v>
      </c>
    </row>
    <row r="728" spans="1:8" x14ac:dyDescent="0.2">
      <c r="A728">
        <v>2721</v>
      </c>
      <c r="B728">
        <v>51560</v>
      </c>
      <c r="C728">
        <v>40</v>
      </c>
      <c r="D728">
        <v>25</v>
      </c>
      <c r="E728">
        <v>25</v>
      </c>
      <c r="F728">
        <v>10</v>
      </c>
      <c r="G728">
        <v>0</v>
      </c>
      <c r="H728">
        <v>30</v>
      </c>
    </row>
    <row r="729" spans="1:8" x14ac:dyDescent="0.2">
      <c r="A729">
        <v>2723</v>
      </c>
      <c r="B729">
        <v>48925</v>
      </c>
      <c r="C729">
        <v>40</v>
      </c>
      <c r="D729">
        <v>25</v>
      </c>
      <c r="E729">
        <v>25</v>
      </c>
      <c r="F729">
        <v>10</v>
      </c>
      <c r="G729">
        <v>0</v>
      </c>
      <c r="H729">
        <v>35</v>
      </c>
    </row>
    <row r="730" spans="1:8" x14ac:dyDescent="0.2">
      <c r="A730">
        <v>2727</v>
      </c>
      <c r="B730">
        <v>45035</v>
      </c>
      <c r="C730">
        <v>40</v>
      </c>
      <c r="D730">
        <v>25</v>
      </c>
      <c r="E730">
        <v>25</v>
      </c>
      <c r="F730">
        <v>10</v>
      </c>
      <c r="G730">
        <v>0</v>
      </c>
      <c r="H730">
        <v>30</v>
      </c>
    </row>
    <row r="731" spans="1:8" x14ac:dyDescent="0.2">
      <c r="A731">
        <v>2728</v>
      </c>
      <c r="B731">
        <v>45725</v>
      </c>
      <c r="C731">
        <v>40</v>
      </c>
      <c r="D731">
        <v>25</v>
      </c>
      <c r="E731">
        <v>25</v>
      </c>
      <c r="F731">
        <v>10</v>
      </c>
      <c r="G731">
        <v>0</v>
      </c>
      <c r="H731">
        <v>20</v>
      </c>
    </row>
    <row r="732" spans="1:8" x14ac:dyDescent="0.2">
      <c r="A732">
        <v>2729</v>
      </c>
      <c r="B732">
        <v>50125</v>
      </c>
      <c r="C732">
        <v>40</v>
      </c>
      <c r="D732">
        <v>25</v>
      </c>
      <c r="E732">
        <v>25</v>
      </c>
      <c r="F732">
        <v>10</v>
      </c>
      <c r="G732">
        <v>0</v>
      </c>
      <c r="H732">
        <v>20</v>
      </c>
    </row>
    <row r="733" spans="1:8" x14ac:dyDescent="0.2">
      <c r="A733">
        <v>2730</v>
      </c>
      <c r="B733">
        <v>47120</v>
      </c>
      <c r="C733">
        <v>30</v>
      </c>
      <c r="D733">
        <v>20</v>
      </c>
      <c r="E733">
        <v>40</v>
      </c>
      <c r="F733">
        <v>10</v>
      </c>
      <c r="G733">
        <v>10</v>
      </c>
      <c r="H733">
        <v>25</v>
      </c>
    </row>
    <row r="734" spans="1:8" x14ac:dyDescent="0.2">
      <c r="A734">
        <v>2731</v>
      </c>
      <c r="B734">
        <v>47770</v>
      </c>
      <c r="C734">
        <v>30</v>
      </c>
      <c r="D734">
        <v>20</v>
      </c>
      <c r="E734">
        <v>40</v>
      </c>
      <c r="F734">
        <v>10</v>
      </c>
      <c r="G734">
        <v>10</v>
      </c>
      <c r="H734">
        <v>25</v>
      </c>
    </row>
    <row r="735" spans="1:8" x14ac:dyDescent="0.2">
      <c r="A735">
        <v>2732</v>
      </c>
      <c r="B735">
        <v>45500</v>
      </c>
      <c r="C735">
        <v>30</v>
      </c>
      <c r="D735">
        <v>20</v>
      </c>
      <c r="E735">
        <v>40</v>
      </c>
      <c r="F735">
        <v>10</v>
      </c>
      <c r="G735">
        <v>10</v>
      </c>
      <c r="H735">
        <v>25</v>
      </c>
    </row>
    <row r="736" spans="1:8" x14ac:dyDescent="0.2">
      <c r="A736">
        <v>2733</v>
      </c>
      <c r="B736">
        <v>45180</v>
      </c>
      <c r="C736">
        <v>30</v>
      </c>
      <c r="D736">
        <v>20</v>
      </c>
      <c r="E736">
        <v>40</v>
      </c>
      <c r="F736">
        <v>10</v>
      </c>
      <c r="G736">
        <v>10</v>
      </c>
      <c r="H736">
        <v>25</v>
      </c>
    </row>
    <row r="737" spans="1:8" x14ac:dyDescent="0.2">
      <c r="A737">
        <v>2734</v>
      </c>
      <c r="B737">
        <v>45810</v>
      </c>
      <c r="C737">
        <v>30</v>
      </c>
      <c r="D737">
        <v>20</v>
      </c>
      <c r="E737">
        <v>40</v>
      </c>
      <c r="F737">
        <v>10</v>
      </c>
      <c r="G737">
        <v>10</v>
      </c>
      <c r="H737">
        <v>25</v>
      </c>
    </row>
    <row r="738" spans="1:8" x14ac:dyDescent="0.2">
      <c r="A738">
        <v>2735</v>
      </c>
      <c r="B738">
        <v>45390</v>
      </c>
      <c r="C738">
        <v>30</v>
      </c>
      <c r="D738">
        <v>20</v>
      </c>
      <c r="E738">
        <v>40</v>
      </c>
      <c r="F738">
        <v>10</v>
      </c>
      <c r="G738">
        <v>10</v>
      </c>
      <c r="H738">
        <v>25</v>
      </c>
    </row>
    <row r="739" spans="1:8" x14ac:dyDescent="0.2">
      <c r="A739">
        <v>2736</v>
      </c>
      <c r="B739">
        <v>45830</v>
      </c>
      <c r="C739">
        <v>30</v>
      </c>
      <c r="D739">
        <v>20</v>
      </c>
      <c r="E739">
        <v>40</v>
      </c>
      <c r="F739">
        <v>10</v>
      </c>
      <c r="G739">
        <v>10</v>
      </c>
      <c r="H739">
        <v>25</v>
      </c>
    </row>
    <row r="740" spans="1:8" x14ac:dyDescent="0.2">
      <c r="A740">
        <v>2740</v>
      </c>
      <c r="B740">
        <v>54410</v>
      </c>
      <c r="C740">
        <v>30</v>
      </c>
      <c r="D740">
        <v>30</v>
      </c>
      <c r="E740">
        <v>20</v>
      </c>
      <c r="F740">
        <v>20</v>
      </c>
      <c r="G740">
        <v>0</v>
      </c>
      <c r="H740">
        <v>60</v>
      </c>
    </row>
    <row r="741" spans="1:8" x14ac:dyDescent="0.2">
      <c r="A741">
        <v>2743</v>
      </c>
      <c r="B741">
        <v>50580</v>
      </c>
      <c r="C741">
        <v>30</v>
      </c>
      <c r="D741">
        <v>30</v>
      </c>
      <c r="E741">
        <v>20</v>
      </c>
      <c r="F741">
        <v>20</v>
      </c>
      <c r="G741">
        <v>0</v>
      </c>
      <c r="H741">
        <v>40</v>
      </c>
    </row>
    <row r="742" spans="1:8" x14ac:dyDescent="0.2">
      <c r="A742">
        <v>2760</v>
      </c>
      <c r="B742">
        <v>49340</v>
      </c>
      <c r="C742">
        <v>40</v>
      </c>
      <c r="D742">
        <v>20</v>
      </c>
      <c r="E742">
        <v>30</v>
      </c>
      <c r="F742">
        <v>0</v>
      </c>
      <c r="G742">
        <v>10</v>
      </c>
      <c r="H742">
        <v>10</v>
      </c>
    </row>
    <row r="743" spans="1:8" x14ac:dyDescent="0.2">
      <c r="A743">
        <v>2761</v>
      </c>
      <c r="B743">
        <v>46410</v>
      </c>
      <c r="C743">
        <v>40</v>
      </c>
      <c r="D743">
        <v>20</v>
      </c>
      <c r="E743">
        <v>30</v>
      </c>
      <c r="F743">
        <v>0</v>
      </c>
      <c r="G743">
        <v>10</v>
      </c>
      <c r="H743">
        <v>10</v>
      </c>
    </row>
    <row r="744" spans="1:8" x14ac:dyDescent="0.2">
      <c r="A744">
        <v>2762</v>
      </c>
      <c r="B744">
        <v>47920</v>
      </c>
      <c r="C744">
        <v>40</v>
      </c>
      <c r="D744">
        <v>20</v>
      </c>
      <c r="E744">
        <v>30</v>
      </c>
      <c r="F744">
        <v>0</v>
      </c>
      <c r="G744">
        <v>10</v>
      </c>
      <c r="H744">
        <v>10</v>
      </c>
    </row>
    <row r="745" spans="1:8" x14ac:dyDescent="0.2">
      <c r="A745">
        <v>2901</v>
      </c>
      <c r="B745">
        <v>58665</v>
      </c>
      <c r="C745">
        <v>25</v>
      </c>
      <c r="D745">
        <v>30</v>
      </c>
      <c r="E745">
        <v>30</v>
      </c>
      <c r="F745">
        <v>15</v>
      </c>
      <c r="G745">
        <v>0</v>
      </c>
      <c r="H745">
        <v>85</v>
      </c>
    </row>
    <row r="746" spans="1:8" x14ac:dyDescent="0.2">
      <c r="A746">
        <v>2904</v>
      </c>
      <c r="B746">
        <v>56295</v>
      </c>
      <c r="C746">
        <v>25</v>
      </c>
      <c r="D746">
        <v>40</v>
      </c>
      <c r="E746">
        <v>20</v>
      </c>
      <c r="F746">
        <v>15</v>
      </c>
      <c r="G746">
        <v>0</v>
      </c>
      <c r="H746">
        <v>50</v>
      </c>
    </row>
    <row r="747" spans="1:8" x14ac:dyDescent="0.2">
      <c r="A747">
        <v>2905</v>
      </c>
      <c r="B747">
        <v>55240</v>
      </c>
      <c r="C747">
        <v>20</v>
      </c>
      <c r="D747">
        <v>20</v>
      </c>
      <c r="E747">
        <v>40</v>
      </c>
      <c r="F747">
        <v>0</v>
      </c>
      <c r="G747">
        <v>20</v>
      </c>
      <c r="H747">
        <v>80</v>
      </c>
    </row>
    <row r="748" spans="1:8" x14ac:dyDescent="0.2">
      <c r="A748">
        <v>2910</v>
      </c>
      <c r="B748">
        <v>56950</v>
      </c>
      <c r="C748">
        <v>40</v>
      </c>
      <c r="D748">
        <v>30</v>
      </c>
      <c r="E748">
        <v>10</v>
      </c>
      <c r="F748">
        <v>20</v>
      </c>
      <c r="G748">
        <v>0</v>
      </c>
      <c r="H748">
        <v>40</v>
      </c>
    </row>
    <row r="749" spans="1:8" x14ac:dyDescent="0.2">
      <c r="A749">
        <v>2915</v>
      </c>
      <c r="B749">
        <v>52915</v>
      </c>
      <c r="C749">
        <v>35</v>
      </c>
      <c r="D749">
        <v>20</v>
      </c>
      <c r="E749">
        <v>30</v>
      </c>
      <c r="F749">
        <v>0</v>
      </c>
      <c r="G749">
        <v>15</v>
      </c>
      <c r="H749">
        <v>40</v>
      </c>
    </row>
    <row r="750" spans="1:8" x14ac:dyDescent="0.2">
      <c r="A750">
        <v>2918</v>
      </c>
      <c r="B750">
        <v>53025</v>
      </c>
      <c r="C750">
        <v>35</v>
      </c>
      <c r="D750">
        <v>15</v>
      </c>
      <c r="E750">
        <v>40</v>
      </c>
      <c r="F750">
        <v>10</v>
      </c>
      <c r="G750">
        <v>10</v>
      </c>
      <c r="H750">
        <v>30</v>
      </c>
    </row>
    <row r="751" spans="1:8" x14ac:dyDescent="0.2">
      <c r="A751">
        <v>2920</v>
      </c>
      <c r="B751">
        <v>61970</v>
      </c>
      <c r="C751">
        <v>40</v>
      </c>
      <c r="D751">
        <v>10</v>
      </c>
      <c r="E751">
        <v>40</v>
      </c>
      <c r="F751">
        <v>0</v>
      </c>
      <c r="G751">
        <v>10</v>
      </c>
      <c r="H751">
        <v>100</v>
      </c>
    </row>
    <row r="752" spans="1:8" x14ac:dyDescent="0.2">
      <c r="A752">
        <v>2921</v>
      </c>
      <c r="B752">
        <v>59950</v>
      </c>
      <c r="C752">
        <v>40</v>
      </c>
      <c r="D752">
        <v>10</v>
      </c>
      <c r="E752">
        <v>40</v>
      </c>
      <c r="F752">
        <v>0</v>
      </c>
      <c r="G752">
        <v>10</v>
      </c>
      <c r="H752">
        <v>80</v>
      </c>
    </row>
    <row r="753" spans="1:8" x14ac:dyDescent="0.2">
      <c r="A753">
        <v>2924</v>
      </c>
      <c r="B753">
        <v>51530</v>
      </c>
      <c r="C753">
        <v>40</v>
      </c>
      <c r="D753">
        <v>10</v>
      </c>
      <c r="E753">
        <v>40</v>
      </c>
      <c r="F753">
        <v>0</v>
      </c>
      <c r="G753">
        <v>10</v>
      </c>
      <c r="H753">
        <v>40</v>
      </c>
    </row>
    <row r="754" spans="1:8" x14ac:dyDescent="0.2">
      <c r="A754">
        <v>2926</v>
      </c>
      <c r="B754">
        <v>56660</v>
      </c>
      <c r="C754">
        <v>40</v>
      </c>
      <c r="D754">
        <v>10</v>
      </c>
      <c r="E754">
        <v>40</v>
      </c>
      <c r="F754">
        <v>0</v>
      </c>
      <c r="G754">
        <v>10</v>
      </c>
      <c r="H754">
        <v>60</v>
      </c>
    </row>
    <row r="755" spans="1:8" x14ac:dyDescent="0.2">
      <c r="A755">
        <v>2927</v>
      </c>
      <c r="B755">
        <v>57035</v>
      </c>
      <c r="C755">
        <v>35</v>
      </c>
      <c r="D755">
        <v>20</v>
      </c>
      <c r="E755">
        <v>35</v>
      </c>
      <c r="F755">
        <v>10</v>
      </c>
      <c r="G755">
        <v>10</v>
      </c>
      <c r="H755">
        <v>80</v>
      </c>
    </row>
    <row r="756" spans="1:8" x14ac:dyDescent="0.2">
      <c r="A756">
        <v>2928</v>
      </c>
      <c r="B756">
        <v>55310</v>
      </c>
      <c r="C756">
        <v>40</v>
      </c>
      <c r="D756">
        <v>10</v>
      </c>
      <c r="E756">
        <v>40</v>
      </c>
      <c r="F756">
        <v>0</v>
      </c>
      <c r="G756">
        <v>10</v>
      </c>
      <c r="H756">
        <v>65</v>
      </c>
    </row>
    <row r="757" spans="1:8" x14ac:dyDescent="0.2">
      <c r="A757">
        <v>2930</v>
      </c>
      <c r="B757">
        <v>53750</v>
      </c>
      <c r="C757">
        <v>40</v>
      </c>
      <c r="D757">
        <v>10</v>
      </c>
      <c r="E757">
        <v>40</v>
      </c>
      <c r="F757">
        <v>0</v>
      </c>
      <c r="G757">
        <v>10</v>
      </c>
      <c r="H757">
        <v>60</v>
      </c>
    </row>
    <row r="758" spans="1:8" x14ac:dyDescent="0.2">
      <c r="A758">
        <v>2932</v>
      </c>
      <c r="B758">
        <v>52500</v>
      </c>
      <c r="C758">
        <v>40</v>
      </c>
      <c r="D758">
        <v>10</v>
      </c>
      <c r="E758">
        <v>40</v>
      </c>
      <c r="F758">
        <v>0</v>
      </c>
      <c r="G758">
        <v>10</v>
      </c>
      <c r="H758">
        <v>80</v>
      </c>
    </row>
    <row r="759" spans="1:8" x14ac:dyDescent="0.2">
      <c r="A759">
        <v>2935</v>
      </c>
      <c r="B759">
        <v>53180</v>
      </c>
      <c r="C759">
        <v>40</v>
      </c>
      <c r="D759">
        <v>10</v>
      </c>
      <c r="E759">
        <v>40</v>
      </c>
      <c r="F759">
        <v>0</v>
      </c>
      <c r="G759">
        <v>10</v>
      </c>
      <c r="H759">
        <v>60</v>
      </c>
    </row>
    <row r="760" spans="1:8" x14ac:dyDescent="0.2">
      <c r="A760">
        <v>2937</v>
      </c>
      <c r="B760">
        <v>54640</v>
      </c>
      <c r="C760">
        <v>25</v>
      </c>
      <c r="D760">
        <v>20</v>
      </c>
      <c r="E760">
        <v>45</v>
      </c>
      <c r="F760">
        <v>10</v>
      </c>
      <c r="G760">
        <v>10</v>
      </c>
      <c r="H760">
        <v>80</v>
      </c>
    </row>
    <row r="761" spans="1:8" x14ac:dyDescent="0.2">
      <c r="A761">
        <v>2945</v>
      </c>
      <c r="B761">
        <v>53560</v>
      </c>
      <c r="C761">
        <v>40</v>
      </c>
      <c r="D761">
        <v>15</v>
      </c>
      <c r="E761">
        <v>35</v>
      </c>
      <c r="F761">
        <v>10</v>
      </c>
      <c r="G761">
        <v>0</v>
      </c>
      <c r="H761">
        <v>70</v>
      </c>
    </row>
    <row r="762" spans="1:8" x14ac:dyDescent="0.2">
      <c r="A762">
        <v>2949</v>
      </c>
      <c r="B762">
        <v>55435</v>
      </c>
      <c r="C762">
        <v>35</v>
      </c>
      <c r="D762">
        <v>15</v>
      </c>
      <c r="E762">
        <v>35</v>
      </c>
      <c r="F762">
        <v>15</v>
      </c>
      <c r="G762">
        <v>0</v>
      </c>
      <c r="H762">
        <v>80</v>
      </c>
    </row>
    <row r="763" spans="1:8" x14ac:dyDescent="0.2">
      <c r="A763">
        <v>2951</v>
      </c>
      <c r="B763">
        <v>55285</v>
      </c>
      <c r="C763">
        <v>40</v>
      </c>
      <c r="D763">
        <v>15</v>
      </c>
      <c r="E763">
        <v>30</v>
      </c>
      <c r="F763">
        <v>0</v>
      </c>
      <c r="G763">
        <v>15</v>
      </c>
      <c r="H763">
        <v>50</v>
      </c>
    </row>
    <row r="764" spans="1:8" x14ac:dyDescent="0.2">
      <c r="A764">
        <v>2952</v>
      </c>
      <c r="B764">
        <v>61950</v>
      </c>
      <c r="C764">
        <v>30</v>
      </c>
      <c r="D764">
        <v>25</v>
      </c>
      <c r="E764">
        <v>25</v>
      </c>
      <c r="F764">
        <v>0</v>
      </c>
      <c r="G764">
        <v>20</v>
      </c>
      <c r="H764">
        <v>60</v>
      </c>
    </row>
    <row r="765" spans="1:8" x14ac:dyDescent="0.2">
      <c r="A765">
        <v>2954</v>
      </c>
      <c r="B765">
        <v>59750</v>
      </c>
      <c r="C765">
        <v>30</v>
      </c>
      <c r="D765">
        <v>20</v>
      </c>
      <c r="E765">
        <v>20</v>
      </c>
      <c r="F765">
        <v>0</v>
      </c>
      <c r="G765">
        <v>30</v>
      </c>
      <c r="H765">
        <v>47</v>
      </c>
    </row>
    <row r="766" spans="1:8" x14ac:dyDescent="0.2">
      <c r="A766">
        <v>2955</v>
      </c>
      <c r="B766">
        <v>61700</v>
      </c>
      <c r="C766">
        <v>30</v>
      </c>
      <c r="D766">
        <v>30</v>
      </c>
      <c r="E766">
        <v>20</v>
      </c>
      <c r="F766">
        <v>0</v>
      </c>
      <c r="G766">
        <v>20</v>
      </c>
      <c r="H766">
        <v>45</v>
      </c>
    </row>
    <row r="767" spans="1:8" x14ac:dyDescent="0.2">
      <c r="A767">
        <v>2957</v>
      </c>
      <c r="B767">
        <v>56555</v>
      </c>
      <c r="C767">
        <v>35</v>
      </c>
      <c r="D767">
        <v>20</v>
      </c>
      <c r="E767">
        <v>35</v>
      </c>
      <c r="F767">
        <v>10</v>
      </c>
      <c r="G767">
        <v>10</v>
      </c>
      <c r="H767">
        <v>60</v>
      </c>
    </row>
    <row r="768" spans="1:8" x14ac:dyDescent="0.2">
      <c r="A768">
        <v>2959</v>
      </c>
      <c r="B768">
        <v>55410</v>
      </c>
      <c r="C768">
        <v>35</v>
      </c>
      <c r="D768">
        <v>15</v>
      </c>
      <c r="E768">
        <v>35</v>
      </c>
      <c r="F768">
        <v>15</v>
      </c>
      <c r="G768">
        <v>0</v>
      </c>
      <c r="H768">
        <v>50</v>
      </c>
    </row>
    <row r="769" spans="1:8" x14ac:dyDescent="0.2">
      <c r="A769">
        <v>2963</v>
      </c>
      <c r="B769">
        <v>53375</v>
      </c>
      <c r="C769">
        <v>40</v>
      </c>
      <c r="D769">
        <v>15</v>
      </c>
      <c r="E769">
        <v>35</v>
      </c>
      <c r="F769">
        <v>10</v>
      </c>
      <c r="G769">
        <v>0</v>
      </c>
      <c r="H769">
        <v>50</v>
      </c>
    </row>
    <row r="770" spans="1:8" x14ac:dyDescent="0.2">
      <c r="A770">
        <v>2964</v>
      </c>
      <c r="B770">
        <v>56150</v>
      </c>
      <c r="C770">
        <v>25</v>
      </c>
      <c r="D770">
        <v>40</v>
      </c>
      <c r="E770">
        <v>20</v>
      </c>
      <c r="F770">
        <v>15</v>
      </c>
      <c r="G770">
        <v>0</v>
      </c>
      <c r="H770">
        <v>40</v>
      </c>
    </row>
    <row r="771" spans="1:8" x14ac:dyDescent="0.2">
      <c r="A771">
        <v>2966</v>
      </c>
      <c r="B771">
        <v>57550</v>
      </c>
      <c r="C771">
        <v>40</v>
      </c>
      <c r="D771">
        <v>30</v>
      </c>
      <c r="E771">
        <v>10</v>
      </c>
      <c r="F771">
        <v>20</v>
      </c>
      <c r="G771">
        <v>0</v>
      </c>
      <c r="H771">
        <v>45</v>
      </c>
    </row>
    <row r="772" spans="1:8" x14ac:dyDescent="0.2">
      <c r="A772">
        <v>2967</v>
      </c>
      <c r="B772">
        <v>61000</v>
      </c>
      <c r="C772">
        <v>30</v>
      </c>
      <c r="D772">
        <v>25</v>
      </c>
      <c r="E772">
        <v>10</v>
      </c>
      <c r="F772">
        <v>35</v>
      </c>
      <c r="G772">
        <v>35</v>
      </c>
      <c r="H772">
        <v>40</v>
      </c>
    </row>
    <row r="773" spans="1:8" x14ac:dyDescent="0.2">
      <c r="A773">
        <v>2968</v>
      </c>
      <c r="B773">
        <v>54390</v>
      </c>
      <c r="C773">
        <v>35</v>
      </c>
      <c r="D773">
        <v>20</v>
      </c>
      <c r="E773">
        <v>30</v>
      </c>
      <c r="F773">
        <v>0</v>
      </c>
      <c r="G773">
        <v>15</v>
      </c>
      <c r="H773">
        <v>30</v>
      </c>
    </row>
    <row r="774" spans="1:8" x14ac:dyDescent="0.2">
      <c r="A774">
        <v>2971</v>
      </c>
      <c r="B774">
        <v>56500</v>
      </c>
      <c r="C774">
        <v>30</v>
      </c>
      <c r="D774">
        <v>25</v>
      </c>
      <c r="E774">
        <v>25</v>
      </c>
      <c r="F774">
        <v>20</v>
      </c>
      <c r="G774">
        <v>20</v>
      </c>
      <c r="H774">
        <v>45</v>
      </c>
    </row>
    <row r="775" spans="1:8" x14ac:dyDescent="0.2">
      <c r="A775">
        <v>2972</v>
      </c>
      <c r="B775">
        <v>56350</v>
      </c>
      <c r="C775">
        <v>30</v>
      </c>
      <c r="D775">
        <v>40</v>
      </c>
      <c r="E775">
        <v>20</v>
      </c>
      <c r="F775">
        <v>10</v>
      </c>
      <c r="G775">
        <v>0</v>
      </c>
      <c r="H775">
        <v>45</v>
      </c>
    </row>
    <row r="776" spans="1:8" x14ac:dyDescent="0.2">
      <c r="A776">
        <v>2973</v>
      </c>
      <c r="B776">
        <v>54260</v>
      </c>
      <c r="C776">
        <v>30</v>
      </c>
      <c r="D776">
        <v>20</v>
      </c>
      <c r="E776">
        <v>30</v>
      </c>
      <c r="F776">
        <v>0</v>
      </c>
      <c r="G776">
        <v>20</v>
      </c>
      <c r="H776">
        <v>70</v>
      </c>
    </row>
    <row r="777" spans="1:8" x14ac:dyDescent="0.2">
      <c r="A777">
        <v>2976</v>
      </c>
      <c r="B777">
        <v>57605</v>
      </c>
      <c r="C777">
        <v>25</v>
      </c>
      <c r="D777">
        <v>45</v>
      </c>
      <c r="E777">
        <v>15</v>
      </c>
      <c r="F777">
        <v>15</v>
      </c>
      <c r="G777">
        <v>0</v>
      </c>
      <c r="H777">
        <v>40</v>
      </c>
    </row>
    <row r="778" spans="1:8" x14ac:dyDescent="0.2">
      <c r="A778">
        <v>2978</v>
      </c>
      <c r="B778">
        <v>59410</v>
      </c>
      <c r="C778">
        <v>20</v>
      </c>
      <c r="D778">
        <v>40</v>
      </c>
      <c r="E778">
        <v>10</v>
      </c>
      <c r="F778">
        <v>30</v>
      </c>
      <c r="G778">
        <v>0</v>
      </c>
      <c r="H778">
        <v>45</v>
      </c>
    </row>
    <row r="779" spans="1:8" x14ac:dyDescent="0.2">
      <c r="A779">
        <v>2980</v>
      </c>
      <c r="B779">
        <v>52930</v>
      </c>
      <c r="C779">
        <v>30</v>
      </c>
      <c r="D779">
        <v>30</v>
      </c>
      <c r="E779">
        <v>20</v>
      </c>
      <c r="F779">
        <v>20</v>
      </c>
      <c r="G779">
        <v>0</v>
      </c>
      <c r="H779">
        <v>40</v>
      </c>
    </row>
    <row r="780" spans="1:8" x14ac:dyDescent="0.2">
      <c r="A780">
        <v>2982</v>
      </c>
      <c r="B780">
        <v>53725</v>
      </c>
      <c r="C780">
        <v>25</v>
      </c>
      <c r="D780">
        <v>40</v>
      </c>
      <c r="E780">
        <v>20</v>
      </c>
      <c r="F780">
        <v>15</v>
      </c>
      <c r="G780">
        <v>0</v>
      </c>
      <c r="H780">
        <v>80</v>
      </c>
    </row>
    <row r="781" spans="1:8" x14ac:dyDescent="0.2">
      <c r="A781">
        <v>2986</v>
      </c>
      <c r="B781">
        <v>55550</v>
      </c>
      <c r="C781">
        <v>30</v>
      </c>
      <c r="D781">
        <v>20</v>
      </c>
      <c r="E781">
        <v>40</v>
      </c>
      <c r="F781">
        <v>0</v>
      </c>
      <c r="G781">
        <v>10</v>
      </c>
      <c r="H781">
        <v>50</v>
      </c>
    </row>
    <row r="782" spans="1:8" x14ac:dyDescent="0.2">
      <c r="A782">
        <v>3000</v>
      </c>
      <c r="B782">
        <v>54360</v>
      </c>
      <c r="C782">
        <v>20</v>
      </c>
      <c r="D782">
        <v>20</v>
      </c>
      <c r="E782">
        <v>40</v>
      </c>
      <c r="F782">
        <v>20</v>
      </c>
      <c r="G782">
        <v>0</v>
      </c>
      <c r="H782">
        <v>50</v>
      </c>
    </row>
    <row r="783" spans="1:8" x14ac:dyDescent="0.2">
      <c r="A783">
        <v>3002</v>
      </c>
      <c r="B783">
        <v>56060</v>
      </c>
      <c r="C783">
        <v>20</v>
      </c>
      <c r="D783">
        <v>20</v>
      </c>
      <c r="E783">
        <v>40</v>
      </c>
      <c r="F783">
        <v>0</v>
      </c>
      <c r="G783">
        <v>20</v>
      </c>
      <c r="H783">
        <v>70</v>
      </c>
    </row>
    <row r="784" spans="1:8" x14ac:dyDescent="0.2">
      <c r="A784">
        <v>3004</v>
      </c>
      <c r="B784">
        <v>53800</v>
      </c>
      <c r="C784">
        <v>20</v>
      </c>
      <c r="D784">
        <v>20</v>
      </c>
      <c r="E784">
        <v>40</v>
      </c>
      <c r="F784">
        <v>0</v>
      </c>
      <c r="G784">
        <v>20</v>
      </c>
      <c r="H784">
        <v>30</v>
      </c>
    </row>
    <row r="785" spans="1:8" x14ac:dyDescent="0.2">
      <c r="A785">
        <v>3007</v>
      </c>
      <c r="B785">
        <v>56700</v>
      </c>
      <c r="C785">
        <v>20</v>
      </c>
      <c r="D785">
        <v>20</v>
      </c>
      <c r="E785">
        <v>40</v>
      </c>
      <c r="F785">
        <v>0</v>
      </c>
      <c r="G785">
        <v>20</v>
      </c>
      <c r="H785">
        <v>70</v>
      </c>
    </row>
    <row r="786" spans="1:8" x14ac:dyDescent="0.2">
      <c r="A786">
        <v>3012</v>
      </c>
      <c r="B786">
        <v>55840</v>
      </c>
      <c r="C786">
        <v>20</v>
      </c>
      <c r="D786">
        <v>20</v>
      </c>
      <c r="E786">
        <v>40</v>
      </c>
      <c r="F786">
        <v>0</v>
      </c>
      <c r="G786">
        <v>20</v>
      </c>
      <c r="H786">
        <v>30</v>
      </c>
    </row>
    <row r="787" spans="1:8" x14ac:dyDescent="0.2">
      <c r="A787">
        <v>3020</v>
      </c>
      <c r="B787">
        <v>63500</v>
      </c>
      <c r="C787">
        <v>20</v>
      </c>
      <c r="D787">
        <v>30</v>
      </c>
      <c r="E787">
        <v>30</v>
      </c>
      <c r="F787">
        <v>0</v>
      </c>
      <c r="G787">
        <v>20</v>
      </c>
      <c r="H787">
        <v>61</v>
      </c>
    </row>
    <row r="788" spans="1:8" x14ac:dyDescent="0.2">
      <c r="A788">
        <v>3021</v>
      </c>
      <c r="B788">
        <v>63210</v>
      </c>
      <c r="C788">
        <v>20</v>
      </c>
      <c r="D788">
        <v>35</v>
      </c>
      <c r="E788">
        <v>25</v>
      </c>
      <c r="F788">
        <v>0</v>
      </c>
      <c r="G788">
        <v>20</v>
      </c>
      <c r="H788">
        <v>44</v>
      </c>
    </row>
    <row r="789" spans="1:8" x14ac:dyDescent="0.2">
      <c r="A789">
        <v>3023</v>
      </c>
      <c r="B789">
        <v>65220</v>
      </c>
      <c r="C789">
        <v>20</v>
      </c>
      <c r="D789">
        <v>30</v>
      </c>
      <c r="E789">
        <v>30</v>
      </c>
      <c r="F789">
        <v>0</v>
      </c>
      <c r="G789">
        <v>20</v>
      </c>
      <c r="H789">
        <v>51</v>
      </c>
    </row>
    <row r="790" spans="1:8" x14ac:dyDescent="0.2">
      <c r="A790">
        <v>3026</v>
      </c>
      <c r="B790">
        <v>72710</v>
      </c>
      <c r="C790">
        <v>20</v>
      </c>
      <c r="D790">
        <v>30</v>
      </c>
      <c r="E790">
        <v>30</v>
      </c>
      <c r="F790">
        <v>0</v>
      </c>
      <c r="G790">
        <v>20</v>
      </c>
      <c r="H790">
        <v>56</v>
      </c>
    </row>
    <row r="791" spans="1:8" x14ac:dyDescent="0.2">
      <c r="A791">
        <v>3029</v>
      </c>
      <c r="B791">
        <v>61110</v>
      </c>
      <c r="C791">
        <v>20</v>
      </c>
      <c r="D791">
        <v>30</v>
      </c>
      <c r="E791">
        <v>30</v>
      </c>
      <c r="F791">
        <v>0</v>
      </c>
      <c r="G791">
        <v>20</v>
      </c>
      <c r="H791">
        <v>41</v>
      </c>
    </row>
    <row r="792" spans="1:8" x14ac:dyDescent="0.2">
      <c r="A792">
        <v>3032</v>
      </c>
      <c r="B792">
        <v>61390</v>
      </c>
      <c r="C792">
        <v>20</v>
      </c>
      <c r="D792">
        <v>30</v>
      </c>
      <c r="E792">
        <v>30</v>
      </c>
      <c r="F792">
        <v>0</v>
      </c>
      <c r="G792">
        <v>20</v>
      </c>
      <c r="H792">
        <v>33</v>
      </c>
    </row>
    <row r="793" spans="1:8" x14ac:dyDescent="0.2">
      <c r="A793">
        <v>3033</v>
      </c>
      <c r="B793">
        <v>69230</v>
      </c>
      <c r="C793">
        <v>20</v>
      </c>
      <c r="D793">
        <v>30</v>
      </c>
      <c r="E793">
        <v>30</v>
      </c>
      <c r="F793">
        <v>0</v>
      </c>
      <c r="G793">
        <v>20</v>
      </c>
      <c r="H793">
        <v>64</v>
      </c>
    </row>
    <row r="794" spans="1:8" x14ac:dyDescent="0.2">
      <c r="A794">
        <v>3035</v>
      </c>
      <c r="B794">
        <v>65450</v>
      </c>
      <c r="C794">
        <v>20</v>
      </c>
      <c r="D794">
        <v>30</v>
      </c>
      <c r="E794">
        <v>30</v>
      </c>
      <c r="F794">
        <v>0</v>
      </c>
      <c r="G794">
        <v>20</v>
      </c>
      <c r="H794">
        <v>41</v>
      </c>
    </row>
    <row r="795" spans="1:8" x14ac:dyDescent="0.2">
      <c r="A795">
        <v>3044</v>
      </c>
      <c r="B795">
        <v>57260</v>
      </c>
      <c r="C795">
        <v>20</v>
      </c>
      <c r="D795">
        <v>40</v>
      </c>
      <c r="E795">
        <v>20</v>
      </c>
      <c r="F795">
        <v>20</v>
      </c>
      <c r="G795">
        <v>0</v>
      </c>
      <c r="H795">
        <v>40</v>
      </c>
    </row>
    <row r="796" spans="1:8" x14ac:dyDescent="0.2">
      <c r="A796">
        <v>3047</v>
      </c>
      <c r="B796">
        <v>55445</v>
      </c>
      <c r="C796">
        <v>20</v>
      </c>
      <c r="D796">
        <v>35</v>
      </c>
      <c r="E796">
        <v>25</v>
      </c>
      <c r="F796">
        <v>20</v>
      </c>
      <c r="G796">
        <v>20</v>
      </c>
      <c r="H796">
        <v>50</v>
      </c>
    </row>
    <row r="797" spans="1:8" x14ac:dyDescent="0.2">
      <c r="A797">
        <v>3055</v>
      </c>
      <c r="B797">
        <v>60180</v>
      </c>
      <c r="C797">
        <v>20</v>
      </c>
      <c r="D797">
        <v>35</v>
      </c>
      <c r="E797">
        <v>25</v>
      </c>
      <c r="F797">
        <v>20</v>
      </c>
      <c r="G797">
        <v>0</v>
      </c>
      <c r="H797">
        <v>35</v>
      </c>
    </row>
    <row r="798" spans="1:8" x14ac:dyDescent="0.2">
      <c r="A798">
        <v>3058</v>
      </c>
      <c r="B798">
        <v>57090</v>
      </c>
      <c r="C798">
        <v>20</v>
      </c>
      <c r="D798">
        <v>25</v>
      </c>
      <c r="E798">
        <v>35</v>
      </c>
      <c r="F798">
        <v>0</v>
      </c>
      <c r="G798">
        <v>20</v>
      </c>
      <c r="H798">
        <v>40</v>
      </c>
    </row>
    <row r="799" spans="1:8" x14ac:dyDescent="0.2">
      <c r="A799">
        <v>3060</v>
      </c>
      <c r="B799">
        <v>53750</v>
      </c>
      <c r="C799">
        <v>20</v>
      </c>
      <c r="D799">
        <v>25</v>
      </c>
      <c r="E799">
        <v>35</v>
      </c>
      <c r="F799">
        <v>0</v>
      </c>
      <c r="G799">
        <v>20</v>
      </c>
      <c r="H799">
        <v>70</v>
      </c>
    </row>
    <row r="800" spans="1:8" x14ac:dyDescent="0.2">
      <c r="A800">
        <v>3064</v>
      </c>
      <c r="B800">
        <v>61145</v>
      </c>
      <c r="C800">
        <v>20</v>
      </c>
      <c r="D800">
        <v>35</v>
      </c>
      <c r="E800">
        <v>25</v>
      </c>
      <c r="F800">
        <v>20</v>
      </c>
      <c r="G800">
        <v>20</v>
      </c>
      <c r="H800">
        <v>50</v>
      </c>
    </row>
    <row r="801" spans="1:8" x14ac:dyDescent="0.2">
      <c r="A801">
        <v>3067</v>
      </c>
      <c r="B801">
        <v>56165</v>
      </c>
      <c r="C801">
        <v>20</v>
      </c>
      <c r="D801">
        <v>35</v>
      </c>
      <c r="E801">
        <v>25</v>
      </c>
      <c r="F801">
        <v>20</v>
      </c>
      <c r="G801">
        <v>0</v>
      </c>
      <c r="H801">
        <v>40</v>
      </c>
    </row>
    <row r="802" spans="1:8" x14ac:dyDescent="0.2">
      <c r="A802">
        <v>3068</v>
      </c>
      <c r="B802">
        <v>59000</v>
      </c>
      <c r="C802">
        <v>20</v>
      </c>
      <c r="D802">
        <v>30</v>
      </c>
      <c r="E802">
        <v>30</v>
      </c>
      <c r="F802">
        <v>0</v>
      </c>
      <c r="G802">
        <v>20</v>
      </c>
      <c r="H802">
        <v>45</v>
      </c>
    </row>
    <row r="803" spans="1:8" x14ac:dyDescent="0.2">
      <c r="A803">
        <v>3069</v>
      </c>
      <c r="B803">
        <v>51000</v>
      </c>
      <c r="C803">
        <v>20</v>
      </c>
      <c r="D803">
        <v>30</v>
      </c>
      <c r="E803">
        <v>30</v>
      </c>
      <c r="F803">
        <v>0</v>
      </c>
      <c r="G803">
        <v>20</v>
      </c>
      <c r="H803">
        <v>35</v>
      </c>
    </row>
    <row r="804" spans="1:8" x14ac:dyDescent="0.2">
      <c r="A804">
        <v>3070</v>
      </c>
      <c r="B804">
        <v>53020</v>
      </c>
      <c r="C804">
        <v>20</v>
      </c>
      <c r="D804">
        <v>30</v>
      </c>
      <c r="E804">
        <v>30</v>
      </c>
      <c r="F804">
        <v>0</v>
      </c>
      <c r="G804">
        <v>20</v>
      </c>
      <c r="H804">
        <v>50</v>
      </c>
    </row>
    <row r="805" spans="1:8" x14ac:dyDescent="0.2">
      <c r="A805">
        <v>3074</v>
      </c>
      <c r="B805">
        <v>51940</v>
      </c>
      <c r="C805">
        <v>20</v>
      </c>
      <c r="D805">
        <v>20</v>
      </c>
      <c r="E805">
        <v>40</v>
      </c>
      <c r="F805">
        <v>0</v>
      </c>
      <c r="G805">
        <v>20</v>
      </c>
      <c r="H805">
        <v>40</v>
      </c>
    </row>
    <row r="806" spans="1:8" x14ac:dyDescent="0.2">
      <c r="A806">
        <v>3075</v>
      </c>
      <c r="B806">
        <v>53940</v>
      </c>
      <c r="C806">
        <v>20</v>
      </c>
      <c r="D806">
        <v>20</v>
      </c>
      <c r="E806">
        <v>40</v>
      </c>
      <c r="F806">
        <v>0</v>
      </c>
      <c r="G806">
        <v>20</v>
      </c>
      <c r="H806">
        <v>40</v>
      </c>
    </row>
    <row r="807" spans="1:8" x14ac:dyDescent="0.2">
      <c r="A807">
        <v>3076</v>
      </c>
      <c r="B807">
        <v>56620</v>
      </c>
      <c r="C807">
        <v>20</v>
      </c>
      <c r="D807">
        <v>20</v>
      </c>
      <c r="E807">
        <v>40</v>
      </c>
      <c r="F807">
        <v>0</v>
      </c>
      <c r="G807">
        <v>20</v>
      </c>
      <c r="H807">
        <v>60</v>
      </c>
    </row>
    <row r="808" spans="1:8" x14ac:dyDescent="0.2">
      <c r="A808">
        <v>3077</v>
      </c>
      <c r="B808">
        <v>53020</v>
      </c>
      <c r="C808">
        <v>20</v>
      </c>
      <c r="D808">
        <v>20</v>
      </c>
      <c r="E808">
        <v>40</v>
      </c>
      <c r="F808">
        <v>0</v>
      </c>
      <c r="G808">
        <v>20</v>
      </c>
      <c r="H808">
        <v>30</v>
      </c>
    </row>
    <row r="809" spans="1:8" x14ac:dyDescent="0.2">
      <c r="A809">
        <v>3078</v>
      </c>
      <c r="B809">
        <v>52140</v>
      </c>
      <c r="C809">
        <v>20</v>
      </c>
      <c r="D809">
        <v>20</v>
      </c>
      <c r="E809">
        <v>40</v>
      </c>
      <c r="F809">
        <v>0</v>
      </c>
      <c r="G809">
        <v>20</v>
      </c>
      <c r="H809">
        <v>25</v>
      </c>
    </row>
    <row r="810" spans="1:8" x14ac:dyDescent="0.2">
      <c r="A810">
        <v>3079</v>
      </c>
      <c r="B810">
        <v>52260</v>
      </c>
      <c r="C810">
        <v>20</v>
      </c>
      <c r="D810">
        <v>20</v>
      </c>
      <c r="E810">
        <v>40</v>
      </c>
      <c r="F810">
        <v>0</v>
      </c>
      <c r="G810">
        <v>20</v>
      </c>
      <c r="H810">
        <v>30</v>
      </c>
    </row>
    <row r="811" spans="1:8" x14ac:dyDescent="0.2">
      <c r="A811">
        <v>3080</v>
      </c>
      <c r="B811">
        <v>55480</v>
      </c>
      <c r="C811">
        <v>20</v>
      </c>
      <c r="D811">
        <v>20</v>
      </c>
      <c r="E811">
        <v>40</v>
      </c>
      <c r="F811">
        <v>0</v>
      </c>
      <c r="G811">
        <v>20</v>
      </c>
      <c r="H811">
        <v>40</v>
      </c>
    </row>
    <row r="812" spans="1:8" x14ac:dyDescent="0.2">
      <c r="A812">
        <v>3081</v>
      </c>
      <c r="B812">
        <v>52900</v>
      </c>
      <c r="C812">
        <v>20</v>
      </c>
      <c r="D812">
        <v>20</v>
      </c>
      <c r="E812">
        <v>40</v>
      </c>
      <c r="F812">
        <v>0</v>
      </c>
      <c r="G812">
        <v>20</v>
      </c>
      <c r="H812">
        <v>30</v>
      </c>
    </row>
    <row r="813" spans="1:8" x14ac:dyDescent="0.2">
      <c r="A813">
        <v>3085</v>
      </c>
      <c r="B813">
        <v>56160</v>
      </c>
      <c r="C813">
        <v>20</v>
      </c>
      <c r="D813">
        <v>20</v>
      </c>
      <c r="E813">
        <v>40</v>
      </c>
      <c r="F813">
        <v>20</v>
      </c>
      <c r="G813">
        <v>0</v>
      </c>
      <c r="H813">
        <v>70</v>
      </c>
    </row>
    <row r="814" spans="1:8" x14ac:dyDescent="0.2">
      <c r="A814">
        <v>3086</v>
      </c>
      <c r="B814">
        <v>53740</v>
      </c>
      <c r="C814">
        <v>20</v>
      </c>
      <c r="D814">
        <v>20</v>
      </c>
      <c r="E814">
        <v>40</v>
      </c>
      <c r="F814">
        <v>0</v>
      </c>
      <c r="G814">
        <v>20</v>
      </c>
      <c r="H814">
        <v>50</v>
      </c>
    </row>
    <row r="815" spans="1:8" x14ac:dyDescent="0.2">
      <c r="A815">
        <v>3091</v>
      </c>
      <c r="B815">
        <v>55160</v>
      </c>
      <c r="C815">
        <v>20</v>
      </c>
      <c r="D815">
        <v>40</v>
      </c>
      <c r="E815">
        <v>20</v>
      </c>
      <c r="F815">
        <v>20</v>
      </c>
      <c r="G815">
        <v>0</v>
      </c>
      <c r="H815">
        <v>35</v>
      </c>
    </row>
    <row r="816" spans="1:8" x14ac:dyDescent="0.2">
      <c r="A816">
        <v>3092</v>
      </c>
      <c r="B816">
        <v>58135</v>
      </c>
      <c r="C816">
        <v>20</v>
      </c>
      <c r="D816">
        <v>35</v>
      </c>
      <c r="E816">
        <v>25</v>
      </c>
      <c r="F816">
        <v>20</v>
      </c>
      <c r="G816">
        <v>0</v>
      </c>
      <c r="H816">
        <v>35</v>
      </c>
    </row>
    <row r="817" spans="1:8" x14ac:dyDescent="0.2">
      <c r="A817">
        <v>3200</v>
      </c>
      <c r="B817">
        <v>50560</v>
      </c>
      <c r="C817">
        <v>30</v>
      </c>
      <c r="D817">
        <v>30</v>
      </c>
      <c r="E817">
        <v>30</v>
      </c>
      <c r="F817">
        <v>10</v>
      </c>
      <c r="G817">
        <v>10</v>
      </c>
      <c r="H817">
        <v>40</v>
      </c>
    </row>
    <row r="818" spans="1:8" x14ac:dyDescent="0.2">
      <c r="A818">
        <v>3211</v>
      </c>
      <c r="B818">
        <v>46825</v>
      </c>
      <c r="C818">
        <v>30</v>
      </c>
      <c r="D818">
        <v>25</v>
      </c>
      <c r="E818">
        <v>30</v>
      </c>
      <c r="F818">
        <v>15</v>
      </c>
      <c r="G818">
        <v>0</v>
      </c>
      <c r="H818">
        <v>40</v>
      </c>
    </row>
    <row r="819" spans="1:8" x14ac:dyDescent="0.2">
      <c r="A819">
        <v>3212</v>
      </c>
      <c r="B819">
        <v>48470</v>
      </c>
      <c r="C819">
        <v>30</v>
      </c>
      <c r="D819">
        <v>20</v>
      </c>
      <c r="E819">
        <v>35</v>
      </c>
      <c r="F819">
        <v>15</v>
      </c>
      <c r="G819">
        <v>0</v>
      </c>
      <c r="H819">
        <v>40</v>
      </c>
    </row>
    <row r="820" spans="1:8" x14ac:dyDescent="0.2">
      <c r="A820">
        <v>3213</v>
      </c>
      <c r="B820">
        <v>43870</v>
      </c>
      <c r="C820">
        <v>30</v>
      </c>
      <c r="D820">
        <v>25</v>
      </c>
      <c r="E820">
        <v>30</v>
      </c>
      <c r="F820">
        <v>15</v>
      </c>
      <c r="G820">
        <v>0</v>
      </c>
      <c r="H820">
        <v>40</v>
      </c>
    </row>
    <row r="821" spans="1:8" x14ac:dyDescent="0.2">
      <c r="A821">
        <v>3214</v>
      </c>
      <c r="B821">
        <v>53565</v>
      </c>
      <c r="C821">
        <v>25</v>
      </c>
      <c r="D821">
        <v>30</v>
      </c>
      <c r="E821">
        <v>15</v>
      </c>
      <c r="F821">
        <v>30</v>
      </c>
      <c r="G821">
        <v>0</v>
      </c>
      <c r="H821">
        <v>40</v>
      </c>
    </row>
    <row r="822" spans="1:8" x14ac:dyDescent="0.2">
      <c r="A822">
        <v>3218</v>
      </c>
      <c r="B822">
        <v>50330</v>
      </c>
      <c r="C822">
        <v>30</v>
      </c>
      <c r="D822">
        <v>15</v>
      </c>
      <c r="E822">
        <v>40</v>
      </c>
      <c r="F822">
        <v>15</v>
      </c>
      <c r="G822">
        <v>15</v>
      </c>
      <c r="H822">
        <v>40</v>
      </c>
    </row>
    <row r="823" spans="1:8" x14ac:dyDescent="0.2">
      <c r="A823">
        <v>3219</v>
      </c>
      <c r="B823">
        <v>44490</v>
      </c>
      <c r="C823">
        <v>30</v>
      </c>
      <c r="D823">
        <v>10</v>
      </c>
      <c r="E823">
        <v>30</v>
      </c>
      <c r="F823">
        <v>0</v>
      </c>
      <c r="G823">
        <v>30</v>
      </c>
      <c r="H823">
        <v>35</v>
      </c>
    </row>
    <row r="824" spans="1:8" x14ac:dyDescent="0.2">
      <c r="A824">
        <v>3223</v>
      </c>
      <c r="B824">
        <v>43035</v>
      </c>
      <c r="C824">
        <v>25</v>
      </c>
      <c r="D824">
        <v>30</v>
      </c>
      <c r="E824">
        <v>30</v>
      </c>
      <c r="F824">
        <v>0</v>
      </c>
      <c r="G824">
        <v>15</v>
      </c>
      <c r="H824">
        <v>40</v>
      </c>
    </row>
    <row r="825" spans="1:8" x14ac:dyDescent="0.2">
      <c r="A825">
        <v>3225</v>
      </c>
      <c r="B825">
        <v>46645</v>
      </c>
      <c r="C825">
        <v>20</v>
      </c>
      <c r="D825">
        <v>25</v>
      </c>
      <c r="E825">
        <v>30</v>
      </c>
      <c r="F825">
        <v>0</v>
      </c>
      <c r="G825">
        <v>25</v>
      </c>
      <c r="H825">
        <v>40</v>
      </c>
    </row>
    <row r="826" spans="1:8" x14ac:dyDescent="0.2">
      <c r="A826">
        <v>3226</v>
      </c>
      <c r="B826">
        <v>46515</v>
      </c>
      <c r="C826">
        <v>20</v>
      </c>
      <c r="D826">
        <v>25</v>
      </c>
      <c r="E826">
        <v>30</v>
      </c>
      <c r="F826">
        <v>0</v>
      </c>
      <c r="G826">
        <v>25</v>
      </c>
      <c r="H826">
        <v>40</v>
      </c>
    </row>
    <row r="827" spans="1:8" x14ac:dyDescent="0.2">
      <c r="A827">
        <v>3229</v>
      </c>
      <c r="B827">
        <v>53555</v>
      </c>
      <c r="C827">
        <v>25</v>
      </c>
      <c r="D827">
        <v>30</v>
      </c>
      <c r="E827">
        <v>30</v>
      </c>
      <c r="F827">
        <v>0</v>
      </c>
      <c r="G827">
        <v>15</v>
      </c>
      <c r="H827">
        <v>40</v>
      </c>
    </row>
    <row r="828" spans="1:8" x14ac:dyDescent="0.2">
      <c r="A828">
        <v>3234</v>
      </c>
      <c r="B828">
        <v>56025</v>
      </c>
      <c r="C828">
        <v>30</v>
      </c>
      <c r="D828">
        <v>25</v>
      </c>
      <c r="E828">
        <v>20</v>
      </c>
      <c r="F828">
        <v>25</v>
      </c>
      <c r="G828">
        <v>0</v>
      </c>
      <c r="H828">
        <v>30</v>
      </c>
    </row>
    <row r="829" spans="1:8" x14ac:dyDescent="0.2">
      <c r="A829">
        <v>3237</v>
      </c>
      <c r="B829">
        <v>50355</v>
      </c>
      <c r="C829">
        <v>30</v>
      </c>
      <c r="D829">
        <v>20</v>
      </c>
      <c r="E829">
        <v>35</v>
      </c>
      <c r="F829">
        <v>0</v>
      </c>
      <c r="G829">
        <v>15</v>
      </c>
      <c r="H829">
        <v>30</v>
      </c>
    </row>
    <row r="830" spans="1:8" x14ac:dyDescent="0.2">
      <c r="A830">
        <v>3239</v>
      </c>
      <c r="B830">
        <v>52365</v>
      </c>
      <c r="C830">
        <v>30</v>
      </c>
      <c r="D830">
        <v>35</v>
      </c>
      <c r="E830">
        <v>10</v>
      </c>
      <c r="F830">
        <v>25</v>
      </c>
      <c r="G830">
        <v>0</v>
      </c>
      <c r="H830">
        <v>30</v>
      </c>
    </row>
    <row r="831" spans="1:8" x14ac:dyDescent="0.2">
      <c r="A831">
        <v>3242</v>
      </c>
      <c r="B831">
        <v>54270</v>
      </c>
      <c r="C831">
        <v>25</v>
      </c>
      <c r="D831">
        <v>40</v>
      </c>
      <c r="E831">
        <v>20</v>
      </c>
      <c r="F831">
        <v>15</v>
      </c>
      <c r="G831">
        <v>0</v>
      </c>
      <c r="H831">
        <v>35</v>
      </c>
    </row>
    <row r="832" spans="1:8" x14ac:dyDescent="0.2">
      <c r="A832">
        <v>3243</v>
      </c>
      <c r="B832">
        <v>53605</v>
      </c>
      <c r="C832">
        <v>25</v>
      </c>
      <c r="D832">
        <v>40</v>
      </c>
      <c r="E832">
        <v>10</v>
      </c>
      <c r="F832">
        <v>25</v>
      </c>
      <c r="G832">
        <v>0</v>
      </c>
      <c r="H832">
        <v>35</v>
      </c>
    </row>
    <row r="833" spans="1:8" x14ac:dyDescent="0.2">
      <c r="A833">
        <v>3244</v>
      </c>
      <c r="B833">
        <v>49085</v>
      </c>
      <c r="C833">
        <v>30</v>
      </c>
      <c r="D833">
        <v>35</v>
      </c>
      <c r="E833">
        <v>25</v>
      </c>
      <c r="F833">
        <v>10</v>
      </c>
      <c r="G833">
        <v>10</v>
      </c>
      <c r="H833">
        <v>60</v>
      </c>
    </row>
    <row r="834" spans="1:8" x14ac:dyDescent="0.2">
      <c r="A834">
        <v>3245</v>
      </c>
      <c r="B834">
        <v>50945</v>
      </c>
      <c r="C834">
        <v>30</v>
      </c>
      <c r="D834">
        <v>35</v>
      </c>
      <c r="E834">
        <v>10</v>
      </c>
      <c r="F834">
        <v>25</v>
      </c>
      <c r="G834">
        <v>0</v>
      </c>
      <c r="H834">
        <v>30</v>
      </c>
    </row>
    <row r="835" spans="1:8" x14ac:dyDescent="0.2">
      <c r="A835">
        <v>3246</v>
      </c>
      <c r="B835">
        <v>51240</v>
      </c>
      <c r="C835">
        <v>25</v>
      </c>
      <c r="D835">
        <v>35</v>
      </c>
      <c r="E835">
        <v>25</v>
      </c>
      <c r="F835">
        <v>15</v>
      </c>
      <c r="G835">
        <v>0</v>
      </c>
      <c r="H835">
        <v>30</v>
      </c>
    </row>
    <row r="836" spans="1:8" x14ac:dyDescent="0.2">
      <c r="A836">
        <v>3248</v>
      </c>
      <c r="B836">
        <v>49835</v>
      </c>
      <c r="C836">
        <v>25</v>
      </c>
      <c r="D836">
        <v>35</v>
      </c>
      <c r="E836">
        <v>30</v>
      </c>
      <c r="F836">
        <v>10</v>
      </c>
      <c r="G836">
        <v>0</v>
      </c>
      <c r="H836">
        <v>35</v>
      </c>
    </row>
    <row r="837" spans="1:8" x14ac:dyDescent="0.2">
      <c r="A837">
        <v>3251</v>
      </c>
      <c r="B837">
        <v>48395</v>
      </c>
      <c r="C837">
        <v>30</v>
      </c>
      <c r="D837">
        <v>40</v>
      </c>
      <c r="E837">
        <v>15</v>
      </c>
      <c r="F837">
        <v>15</v>
      </c>
      <c r="G837">
        <v>0</v>
      </c>
      <c r="H837">
        <v>35</v>
      </c>
    </row>
    <row r="838" spans="1:8" x14ac:dyDescent="0.2">
      <c r="A838">
        <v>3252</v>
      </c>
      <c r="B838">
        <v>51800</v>
      </c>
      <c r="C838">
        <v>25</v>
      </c>
      <c r="D838">
        <v>35</v>
      </c>
      <c r="E838">
        <v>25</v>
      </c>
      <c r="F838">
        <v>15</v>
      </c>
      <c r="G838">
        <v>0</v>
      </c>
      <c r="H838">
        <v>35</v>
      </c>
    </row>
    <row r="839" spans="1:8" x14ac:dyDescent="0.2">
      <c r="A839">
        <v>3261</v>
      </c>
      <c r="B839">
        <v>50780</v>
      </c>
      <c r="C839">
        <v>30</v>
      </c>
      <c r="D839">
        <v>30</v>
      </c>
      <c r="E839">
        <v>20</v>
      </c>
      <c r="F839">
        <v>20</v>
      </c>
      <c r="G839">
        <v>0</v>
      </c>
      <c r="H839">
        <v>40</v>
      </c>
    </row>
    <row r="840" spans="1:8" x14ac:dyDescent="0.2">
      <c r="A840">
        <v>3269</v>
      </c>
      <c r="B840">
        <v>43345</v>
      </c>
      <c r="C840">
        <v>20</v>
      </c>
      <c r="D840">
        <v>25</v>
      </c>
      <c r="E840">
        <v>30</v>
      </c>
      <c r="F840">
        <v>0</v>
      </c>
      <c r="G840">
        <v>25</v>
      </c>
      <c r="H840">
        <v>30</v>
      </c>
    </row>
    <row r="841" spans="1:8" x14ac:dyDescent="0.2">
      <c r="A841">
        <v>3296</v>
      </c>
      <c r="B841">
        <v>48750</v>
      </c>
      <c r="C841">
        <v>30</v>
      </c>
      <c r="D841">
        <v>30</v>
      </c>
      <c r="E841">
        <v>30</v>
      </c>
      <c r="F841">
        <v>10</v>
      </c>
      <c r="G841">
        <v>10</v>
      </c>
      <c r="H841">
        <v>35</v>
      </c>
    </row>
    <row r="842" spans="1:8" x14ac:dyDescent="0.2">
      <c r="A842">
        <v>3305</v>
      </c>
      <c r="B842">
        <v>49000</v>
      </c>
      <c r="C842">
        <v>30</v>
      </c>
      <c r="D842">
        <v>20</v>
      </c>
      <c r="E842">
        <v>40</v>
      </c>
      <c r="F842">
        <v>0</v>
      </c>
      <c r="G842">
        <v>10</v>
      </c>
      <c r="H842">
        <v>60</v>
      </c>
    </row>
    <row r="843" spans="1:8" x14ac:dyDescent="0.2">
      <c r="A843">
        <v>3309</v>
      </c>
      <c r="B843">
        <v>49660</v>
      </c>
      <c r="C843">
        <v>40</v>
      </c>
      <c r="D843">
        <v>25</v>
      </c>
      <c r="E843">
        <v>25</v>
      </c>
      <c r="F843">
        <v>10</v>
      </c>
      <c r="G843">
        <v>0</v>
      </c>
      <c r="H843">
        <v>30</v>
      </c>
    </row>
    <row r="844" spans="1:8" x14ac:dyDescent="0.2">
      <c r="A844">
        <v>3314</v>
      </c>
      <c r="B844">
        <v>45810</v>
      </c>
      <c r="C844">
        <v>30</v>
      </c>
      <c r="D844">
        <v>20</v>
      </c>
      <c r="E844">
        <v>30</v>
      </c>
      <c r="F844">
        <v>0</v>
      </c>
      <c r="G844">
        <v>20</v>
      </c>
      <c r="H844">
        <v>30</v>
      </c>
    </row>
    <row r="845" spans="1:8" x14ac:dyDescent="0.2">
      <c r="A845">
        <v>3323</v>
      </c>
      <c r="B845">
        <v>52500</v>
      </c>
      <c r="C845">
        <v>30</v>
      </c>
      <c r="D845">
        <v>25</v>
      </c>
      <c r="E845">
        <v>25</v>
      </c>
      <c r="F845">
        <v>0</v>
      </c>
      <c r="G845">
        <v>20</v>
      </c>
      <c r="H845">
        <v>50</v>
      </c>
    </row>
    <row r="846" spans="1:8" x14ac:dyDescent="0.2">
      <c r="A846">
        <v>3324</v>
      </c>
      <c r="B846">
        <v>43050</v>
      </c>
      <c r="C846">
        <v>30</v>
      </c>
      <c r="D846">
        <v>25</v>
      </c>
      <c r="E846">
        <v>20</v>
      </c>
      <c r="F846">
        <v>0</v>
      </c>
      <c r="G846">
        <v>25</v>
      </c>
      <c r="H846">
        <v>50</v>
      </c>
    </row>
    <row r="847" spans="1:8" x14ac:dyDescent="0.2">
      <c r="A847">
        <v>3325</v>
      </c>
      <c r="B847">
        <v>51015</v>
      </c>
      <c r="C847">
        <v>35</v>
      </c>
      <c r="D847">
        <v>35</v>
      </c>
      <c r="E847">
        <v>20</v>
      </c>
      <c r="F847">
        <v>10</v>
      </c>
      <c r="G847">
        <v>0</v>
      </c>
      <c r="H847">
        <v>40</v>
      </c>
    </row>
    <row r="848" spans="1:8" x14ac:dyDescent="0.2">
      <c r="A848">
        <v>3327</v>
      </c>
      <c r="B848">
        <v>45795</v>
      </c>
      <c r="C848">
        <v>40</v>
      </c>
      <c r="D848">
        <v>25</v>
      </c>
      <c r="E848">
        <v>25</v>
      </c>
      <c r="F848">
        <v>10</v>
      </c>
      <c r="G848">
        <v>0</v>
      </c>
      <c r="H848">
        <v>25</v>
      </c>
    </row>
    <row r="849" spans="1:8" x14ac:dyDescent="0.2">
      <c r="A849">
        <v>3329</v>
      </c>
      <c r="B849">
        <v>45240</v>
      </c>
      <c r="C849">
        <v>40</v>
      </c>
      <c r="D849">
        <v>25</v>
      </c>
      <c r="E849">
        <v>25</v>
      </c>
      <c r="F849">
        <v>10</v>
      </c>
      <c r="G849">
        <v>0</v>
      </c>
      <c r="H849">
        <v>25</v>
      </c>
    </row>
    <row r="850" spans="1:8" x14ac:dyDescent="0.2">
      <c r="A850">
        <v>3330</v>
      </c>
      <c r="B850">
        <v>46115</v>
      </c>
      <c r="C850">
        <v>30</v>
      </c>
      <c r="D850">
        <v>25</v>
      </c>
      <c r="E850">
        <v>30</v>
      </c>
      <c r="F850">
        <v>15</v>
      </c>
      <c r="G850">
        <v>0</v>
      </c>
      <c r="H850">
        <v>35</v>
      </c>
    </row>
    <row r="851" spans="1:8" x14ac:dyDescent="0.2">
      <c r="A851">
        <v>3331</v>
      </c>
      <c r="B851">
        <v>49850</v>
      </c>
      <c r="C851">
        <v>30</v>
      </c>
      <c r="D851">
        <v>30</v>
      </c>
      <c r="E851">
        <v>30</v>
      </c>
      <c r="F851">
        <v>0</v>
      </c>
      <c r="G851">
        <v>10</v>
      </c>
      <c r="H851">
        <v>25</v>
      </c>
    </row>
    <row r="852" spans="1:8" x14ac:dyDescent="0.2">
      <c r="A852">
        <v>3332</v>
      </c>
      <c r="B852">
        <v>53045</v>
      </c>
      <c r="C852">
        <v>35</v>
      </c>
      <c r="D852">
        <v>40</v>
      </c>
      <c r="E852">
        <v>15</v>
      </c>
      <c r="F852">
        <v>10</v>
      </c>
      <c r="G852">
        <v>0</v>
      </c>
      <c r="H852">
        <v>30</v>
      </c>
    </row>
    <row r="853" spans="1:8" x14ac:dyDescent="0.2">
      <c r="A853">
        <v>3333</v>
      </c>
      <c r="B853">
        <v>45610</v>
      </c>
      <c r="C853">
        <v>35</v>
      </c>
      <c r="D853">
        <v>40</v>
      </c>
      <c r="E853">
        <v>15</v>
      </c>
      <c r="F853">
        <v>10</v>
      </c>
      <c r="G853">
        <v>0</v>
      </c>
      <c r="H853">
        <v>30</v>
      </c>
    </row>
    <row r="854" spans="1:8" x14ac:dyDescent="0.2">
      <c r="A854">
        <v>3335</v>
      </c>
      <c r="B854">
        <v>44430</v>
      </c>
      <c r="C854">
        <v>40</v>
      </c>
      <c r="D854">
        <v>30</v>
      </c>
      <c r="E854">
        <v>20</v>
      </c>
      <c r="F854">
        <v>10</v>
      </c>
      <c r="G854">
        <v>0</v>
      </c>
      <c r="H854">
        <v>35</v>
      </c>
    </row>
    <row r="855" spans="1:8" x14ac:dyDescent="0.2">
      <c r="A855">
        <v>3336</v>
      </c>
      <c r="B855">
        <v>45490</v>
      </c>
      <c r="C855">
        <v>30</v>
      </c>
      <c r="D855">
        <v>25</v>
      </c>
      <c r="E855">
        <v>25</v>
      </c>
      <c r="F855">
        <v>0</v>
      </c>
      <c r="G855">
        <v>20</v>
      </c>
      <c r="H855">
        <v>30</v>
      </c>
    </row>
    <row r="856" spans="1:8" x14ac:dyDescent="0.2">
      <c r="A856">
        <v>3338</v>
      </c>
      <c r="B856">
        <v>48825</v>
      </c>
      <c r="C856">
        <v>30</v>
      </c>
      <c r="D856">
        <v>25</v>
      </c>
      <c r="E856">
        <v>25</v>
      </c>
      <c r="F856">
        <v>0</v>
      </c>
      <c r="G856">
        <v>20</v>
      </c>
      <c r="H856">
        <v>30</v>
      </c>
    </row>
    <row r="857" spans="1:8" x14ac:dyDescent="0.2">
      <c r="A857">
        <v>3360</v>
      </c>
      <c r="B857">
        <v>53210</v>
      </c>
      <c r="C857">
        <v>30</v>
      </c>
      <c r="D857">
        <v>30</v>
      </c>
      <c r="E857">
        <v>20</v>
      </c>
      <c r="F857">
        <v>0</v>
      </c>
      <c r="G857">
        <v>20</v>
      </c>
      <c r="H857">
        <v>50</v>
      </c>
    </row>
    <row r="858" spans="1:8" x14ac:dyDescent="0.2">
      <c r="A858">
        <v>3361</v>
      </c>
      <c r="B858">
        <v>46090</v>
      </c>
      <c r="C858">
        <v>30</v>
      </c>
      <c r="D858">
        <v>20</v>
      </c>
      <c r="E858">
        <v>40</v>
      </c>
      <c r="F858">
        <v>0</v>
      </c>
      <c r="G858">
        <v>10</v>
      </c>
      <c r="H858">
        <v>50</v>
      </c>
    </row>
    <row r="859" spans="1:8" x14ac:dyDescent="0.2">
      <c r="A859">
        <v>3370</v>
      </c>
      <c r="B859">
        <v>46860</v>
      </c>
      <c r="C859">
        <v>30</v>
      </c>
      <c r="D859">
        <v>20</v>
      </c>
      <c r="E859">
        <v>40</v>
      </c>
      <c r="F859">
        <v>0</v>
      </c>
      <c r="G859">
        <v>10</v>
      </c>
      <c r="H859">
        <v>30</v>
      </c>
    </row>
    <row r="860" spans="1:8" x14ac:dyDescent="0.2">
      <c r="A860">
        <v>3378</v>
      </c>
      <c r="B860">
        <v>44990</v>
      </c>
      <c r="C860">
        <v>30</v>
      </c>
      <c r="D860">
        <v>30</v>
      </c>
      <c r="E860">
        <v>25</v>
      </c>
      <c r="F860">
        <v>15</v>
      </c>
      <c r="G860">
        <v>15</v>
      </c>
      <c r="H860">
        <v>60</v>
      </c>
    </row>
    <row r="861" spans="1:8" x14ac:dyDescent="0.2">
      <c r="A861">
        <v>3379</v>
      </c>
      <c r="B861">
        <v>44770</v>
      </c>
      <c r="C861">
        <v>35</v>
      </c>
      <c r="D861">
        <v>35</v>
      </c>
      <c r="E861">
        <v>15</v>
      </c>
      <c r="F861">
        <v>0</v>
      </c>
      <c r="G861">
        <v>15</v>
      </c>
      <c r="H861">
        <v>35</v>
      </c>
    </row>
    <row r="862" spans="1:8" x14ac:dyDescent="0.2">
      <c r="A862">
        <v>3381</v>
      </c>
      <c r="B862">
        <v>44080</v>
      </c>
      <c r="C862">
        <v>35</v>
      </c>
      <c r="D862">
        <v>45</v>
      </c>
      <c r="E862">
        <v>10</v>
      </c>
      <c r="F862">
        <v>10</v>
      </c>
      <c r="G862">
        <v>0</v>
      </c>
      <c r="H862">
        <v>35</v>
      </c>
    </row>
    <row r="863" spans="1:8" x14ac:dyDescent="0.2">
      <c r="A863">
        <v>3382</v>
      </c>
      <c r="B863">
        <v>46300</v>
      </c>
      <c r="C863">
        <v>30</v>
      </c>
      <c r="D863">
        <v>50</v>
      </c>
      <c r="E863">
        <v>10</v>
      </c>
      <c r="F863">
        <v>10</v>
      </c>
      <c r="G863">
        <v>0</v>
      </c>
      <c r="H863">
        <v>25</v>
      </c>
    </row>
    <row r="864" spans="1:8" x14ac:dyDescent="0.2">
      <c r="A864">
        <v>3383</v>
      </c>
      <c r="B864">
        <v>52100</v>
      </c>
      <c r="C864">
        <v>30</v>
      </c>
      <c r="D864">
        <v>30</v>
      </c>
      <c r="E864">
        <v>10</v>
      </c>
      <c r="F864">
        <v>30</v>
      </c>
      <c r="G864">
        <v>0</v>
      </c>
      <c r="H864">
        <v>25</v>
      </c>
    </row>
    <row r="865" spans="1:8" x14ac:dyDescent="0.2">
      <c r="A865">
        <v>3384</v>
      </c>
      <c r="B865">
        <v>49030</v>
      </c>
      <c r="C865">
        <v>30</v>
      </c>
      <c r="D865">
        <v>30</v>
      </c>
      <c r="E865">
        <v>15</v>
      </c>
      <c r="F865">
        <v>0</v>
      </c>
      <c r="G865">
        <v>25</v>
      </c>
      <c r="H865">
        <v>25</v>
      </c>
    </row>
    <row r="866" spans="1:8" x14ac:dyDescent="0.2">
      <c r="A866">
        <v>3402</v>
      </c>
      <c r="B866">
        <v>49665</v>
      </c>
      <c r="C866">
        <v>35</v>
      </c>
      <c r="D866">
        <v>25</v>
      </c>
      <c r="E866">
        <v>30</v>
      </c>
      <c r="F866">
        <v>0</v>
      </c>
      <c r="G866">
        <v>10</v>
      </c>
      <c r="H866">
        <v>50</v>
      </c>
    </row>
    <row r="867" spans="1:8" x14ac:dyDescent="0.2">
      <c r="A867">
        <v>3403</v>
      </c>
      <c r="B867">
        <v>56815</v>
      </c>
      <c r="C867">
        <v>35</v>
      </c>
      <c r="D867">
        <v>20</v>
      </c>
      <c r="E867">
        <v>30</v>
      </c>
      <c r="F867">
        <v>0</v>
      </c>
      <c r="G867">
        <v>15</v>
      </c>
      <c r="H867">
        <v>80</v>
      </c>
    </row>
    <row r="868" spans="1:8" x14ac:dyDescent="0.2">
      <c r="A868">
        <v>3406</v>
      </c>
      <c r="B868">
        <v>60255</v>
      </c>
      <c r="C868">
        <v>35</v>
      </c>
      <c r="D868">
        <v>20</v>
      </c>
      <c r="E868">
        <v>30</v>
      </c>
      <c r="F868">
        <v>0</v>
      </c>
      <c r="G868">
        <v>15</v>
      </c>
      <c r="H868">
        <v>70</v>
      </c>
    </row>
    <row r="869" spans="1:8" x14ac:dyDescent="0.2">
      <c r="A869">
        <v>3407</v>
      </c>
      <c r="B869">
        <v>53850</v>
      </c>
      <c r="C869">
        <v>35</v>
      </c>
      <c r="D869">
        <v>20</v>
      </c>
      <c r="E869">
        <v>30</v>
      </c>
      <c r="F869">
        <v>0</v>
      </c>
      <c r="G869">
        <v>15</v>
      </c>
      <c r="H869">
        <v>70</v>
      </c>
    </row>
    <row r="870" spans="1:8" x14ac:dyDescent="0.2">
      <c r="A870">
        <v>3409</v>
      </c>
      <c r="B870">
        <v>59115</v>
      </c>
      <c r="C870">
        <v>35</v>
      </c>
      <c r="D870">
        <v>20</v>
      </c>
      <c r="E870">
        <v>30</v>
      </c>
      <c r="F870">
        <v>0</v>
      </c>
      <c r="G870">
        <v>15</v>
      </c>
      <c r="H870">
        <v>40</v>
      </c>
    </row>
    <row r="871" spans="1:8" x14ac:dyDescent="0.2">
      <c r="A871">
        <v>3411</v>
      </c>
      <c r="B871">
        <v>55330</v>
      </c>
      <c r="C871">
        <v>35</v>
      </c>
      <c r="D871">
        <v>20</v>
      </c>
      <c r="E871">
        <v>30</v>
      </c>
      <c r="F871">
        <v>15</v>
      </c>
      <c r="G871">
        <v>0</v>
      </c>
      <c r="H871">
        <v>80</v>
      </c>
    </row>
    <row r="872" spans="1:8" x14ac:dyDescent="0.2">
      <c r="A872">
        <v>3418</v>
      </c>
      <c r="B872">
        <v>57230</v>
      </c>
      <c r="C872">
        <v>35</v>
      </c>
      <c r="D872">
        <v>20</v>
      </c>
      <c r="E872">
        <v>30</v>
      </c>
      <c r="F872">
        <v>15</v>
      </c>
      <c r="G872">
        <v>0</v>
      </c>
      <c r="H872">
        <v>110</v>
      </c>
    </row>
    <row r="873" spans="1:8" x14ac:dyDescent="0.2">
      <c r="A873">
        <v>3419</v>
      </c>
      <c r="B873">
        <v>56380</v>
      </c>
      <c r="C873">
        <v>35</v>
      </c>
      <c r="D873">
        <v>20</v>
      </c>
      <c r="E873">
        <v>30</v>
      </c>
      <c r="F873">
        <v>15</v>
      </c>
      <c r="G873">
        <v>0</v>
      </c>
      <c r="H873">
        <v>50</v>
      </c>
    </row>
    <row r="874" spans="1:8" x14ac:dyDescent="0.2">
      <c r="A874">
        <v>3422</v>
      </c>
      <c r="B874">
        <v>64250</v>
      </c>
      <c r="C874">
        <v>35</v>
      </c>
      <c r="D874">
        <v>20</v>
      </c>
      <c r="E874">
        <v>25</v>
      </c>
      <c r="F874">
        <v>0</v>
      </c>
      <c r="G874">
        <v>20</v>
      </c>
      <c r="H874">
        <v>50</v>
      </c>
    </row>
    <row r="875" spans="1:8" x14ac:dyDescent="0.2">
      <c r="A875">
        <v>3423</v>
      </c>
      <c r="B875">
        <v>69315</v>
      </c>
      <c r="C875">
        <v>35</v>
      </c>
      <c r="D875">
        <v>25</v>
      </c>
      <c r="E875">
        <v>20</v>
      </c>
      <c r="F875">
        <v>0</v>
      </c>
      <c r="G875">
        <v>20</v>
      </c>
      <c r="H875">
        <v>70</v>
      </c>
    </row>
    <row r="876" spans="1:8" x14ac:dyDescent="0.2">
      <c r="A876">
        <v>3424</v>
      </c>
      <c r="B876">
        <v>64650</v>
      </c>
      <c r="C876">
        <v>35</v>
      </c>
      <c r="D876">
        <v>20</v>
      </c>
      <c r="E876">
        <v>25</v>
      </c>
      <c r="F876">
        <v>0</v>
      </c>
      <c r="G876">
        <v>20</v>
      </c>
      <c r="H876">
        <v>50</v>
      </c>
    </row>
    <row r="877" spans="1:8" x14ac:dyDescent="0.2">
      <c r="A877">
        <v>3425</v>
      </c>
      <c r="B877">
        <v>62850</v>
      </c>
      <c r="C877">
        <v>35</v>
      </c>
      <c r="D877">
        <v>20</v>
      </c>
      <c r="E877">
        <v>25</v>
      </c>
      <c r="F877">
        <v>0</v>
      </c>
      <c r="G877">
        <v>20</v>
      </c>
      <c r="H877">
        <v>50</v>
      </c>
    </row>
    <row r="878" spans="1:8" x14ac:dyDescent="0.2">
      <c r="A878">
        <v>3441</v>
      </c>
      <c r="B878">
        <v>60465</v>
      </c>
      <c r="C878">
        <v>35</v>
      </c>
      <c r="D878">
        <v>25</v>
      </c>
      <c r="E878">
        <v>25</v>
      </c>
      <c r="F878">
        <v>15</v>
      </c>
      <c r="G878">
        <v>15</v>
      </c>
      <c r="H878">
        <v>70</v>
      </c>
    </row>
    <row r="879" spans="1:8" x14ac:dyDescent="0.2">
      <c r="A879">
        <v>3451</v>
      </c>
      <c r="B879">
        <v>63795</v>
      </c>
      <c r="C879">
        <v>35</v>
      </c>
      <c r="D879">
        <v>40</v>
      </c>
      <c r="E879">
        <v>10</v>
      </c>
      <c r="F879">
        <v>15</v>
      </c>
      <c r="G879">
        <v>0</v>
      </c>
      <c r="H879">
        <v>100</v>
      </c>
    </row>
    <row r="880" spans="1:8" x14ac:dyDescent="0.2">
      <c r="A880">
        <v>3460</v>
      </c>
      <c r="B880">
        <v>57600</v>
      </c>
      <c r="C880">
        <v>35</v>
      </c>
      <c r="D880">
        <v>25</v>
      </c>
      <c r="E880">
        <v>30</v>
      </c>
      <c r="F880">
        <v>10</v>
      </c>
      <c r="G880">
        <v>0</v>
      </c>
      <c r="H880">
        <v>80</v>
      </c>
    </row>
    <row r="881" spans="1:8" x14ac:dyDescent="0.2">
      <c r="A881">
        <v>3462</v>
      </c>
      <c r="B881">
        <v>55760</v>
      </c>
      <c r="C881">
        <v>35</v>
      </c>
      <c r="D881">
        <v>25</v>
      </c>
      <c r="E881">
        <v>30</v>
      </c>
      <c r="F881">
        <v>10</v>
      </c>
      <c r="G881">
        <v>0</v>
      </c>
      <c r="H881">
        <v>50</v>
      </c>
    </row>
    <row r="882" spans="1:8" x14ac:dyDescent="0.2">
      <c r="A882">
        <v>3463</v>
      </c>
      <c r="B882">
        <v>50740</v>
      </c>
      <c r="C882">
        <v>35</v>
      </c>
      <c r="D882">
        <v>35</v>
      </c>
      <c r="E882">
        <v>15</v>
      </c>
      <c r="F882">
        <v>15</v>
      </c>
      <c r="G882">
        <v>0</v>
      </c>
      <c r="H882">
        <v>20</v>
      </c>
    </row>
    <row r="883" spans="1:8" x14ac:dyDescent="0.2">
      <c r="A883">
        <v>3464</v>
      </c>
      <c r="B883">
        <v>54750</v>
      </c>
      <c r="C883">
        <v>35</v>
      </c>
      <c r="D883">
        <v>20</v>
      </c>
      <c r="E883">
        <v>30</v>
      </c>
      <c r="F883">
        <v>0</v>
      </c>
      <c r="G883">
        <v>15</v>
      </c>
      <c r="H883">
        <v>50</v>
      </c>
    </row>
    <row r="884" spans="1:8" x14ac:dyDescent="0.2">
      <c r="A884">
        <v>3465</v>
      </c>
      <c r="B884">
        <v>53050</v>
      </c>
      <c r="C884">
        <v>35</v>
      </c>
      <c r="D884">
        <v>20</v>
      </c>
      <c r="E884">
        <v>30</v>
      </c>
      <c r="F884">
        <v>0</v>
      </c>
      <c r="G884">
        <v>15</v>
      </c>
      <c r="H884">
        <v>50</v>
      </c>
    </row>
    <row r="885" spans="1:8" x14ac:dyDescent="0.2">
      <c r="A885">
        <v>3466</v>
      </c>
      <c r="B885">
        <v>52130</v>
      </c>
      <c r="C885">
        <v>35</v>
      </c>
      <c r="D885">
        <v>20</v>
      </c>
      <c r="E885">
        <v>30</v>
      </c>
      <c r="F885">
        <v>0</v>
      </c>
      <c r="G885">
        <v>15</v>
      </c>
      <c r="H885">
        <v>50</v>
      </c>
    </row>
    <row r="886" spans="1:8" x14ac:dyDescent="0.2">
      <c r="A886">
        <v>3501</v>
      </c>
      <c r="B886">
        <v>64550</v>
      </c>
      <c r="C886">
        <v>35</v>
      </c>
      <c r="D886">
        <v>10</v>
      </c>
      <c r="E886">
        <v>35</v>
      </c>
      <c r="F886">
        <v>0</v>
      </c>
      <c r="G886">
        <v>20</v>
      </c>
      <c r="H886">
        <v>65</v>
      </c>
    </row>
    <row r="887" spans="1:8" x14ac:dyDescent="0.2">
      <c r="A887">
        <v>3502</v>
      </c>
      <c r="B887">
        <v>63795</v>
      </c>
      <c r="C887">
        <v>30</v>
      </c>
      <c r="D887">
        <v>25</v>
      </c>
      <c r="E887">
        <v>30</v>
      </c>
      <c r="F887">
        <v>0</v>
      </c>
      <c r="G887">
        <v>15</v>
      </c>
      <c r="H887">
        <v>65</v>
      </c>
    </row>
    <row r="888" spans="1:8" x14ac:dyDescent="0.2">
      <c r="A888">
        <v>3504</v>
      </c>
      <c r="B888">
        <v>59055</v>
      </c>
      <c r="C888">
        <v>35</v>
      </c>
      <c r="D888">
        <v>30</v>
      </c>
      <c r="E888">
        <v>25</v>
      </c>
      <c r="F888">
        <v>0</v>
      </c>
      <c r="G888">
        <v>10</v>
      </c>
      <c r="H888">
        <v>60</v>
      </c>
    </row>
    <row r="889" spans="1:8" x14ac:dyDescent="0.2">
      <c r="A889">
        <v>3505</v>
      </c>
      <c r="B889">
        <v>71970</v>
      </c>
      <c r="C889">
        <v>30</v>
      </c>
      <c r="D889">
        <v>20</v>
      </c>
      <c r="E889">
        <v>30</v>
      </c>
      <c r="F889">
        <v>0</v>
      </c>
      <c r="G889">
        <v>20</v>
      </c>
      <c r="H889">
        <v>60</v>
      </c>
    </row>
    <row r="890" spans="1:8" x14ac:dyDescent="0.2">
      <c r="A890">
        <v>3511</v>
      </c>
      <c r="B890">
        <v>56900</v>
      </c>
      <c r="C890">
        <v>30</v>
      </c>
      <c r="D890">
        <v>30</v>
      </c>
      <c r="E890">
        <v>30</v>
      </c>
      <c r="F890">
        <v>0</v>
      </c>
      <c r="G890">
        <v>10</v>
      </c>
      <c r="H890">
        <v>65</v>
      </c>
    </row>
    <row r="891" spans="1:8" x14ac:dyDescent="0.2">
      <c r="A891">
        <v>3513</v>
      </c>
      <c r="B891">
        <v>52935</v>
      </c>
      <c r="C891">
        <v>25</v>
      </c>
      <c r="D891">
        <v>30</v>
      </c>
      <c r="E891">
        <v>15</v>
      </c>
      <c r="F891">
        <v>30</v>
      </c>
      <c r="G891">
        <v>0</v>
      </c>
      <c r="H891">
        <v>45</v>
      </c>
    </row>
    <row r="892" spans="1:8" x14ac:dyDescent="0.2">
      <c r="A892">
        <v>3515</v>
      </c>
      <c r="B892">
        <v>56450</v>
      </c>
      <c r="C892">
        <v>40</v>
      </c>
      <c r="D892">
        <v>25</v>
      </c>
      <c r="E892">
        <v>25</v>
      </c>
      <c r="F892">
        <v>10</v>
      </c>
      <c r="G892">
        <v>0</v>
      </c>
      <c r="H892">
        <v>55</v>
      </c>
    </row>
    <row r="893" spans="1:8" x14ac:dyDescent="0.2">
      <c r="A893">
        <v>3516</v>
      </c>
      <c r="B893">
        <v>56865</v>
      </c>
      <c r="C893">
        <v>35</v>
      </c>
      <c r="D893">
        <v>20</v>
      </c>
      <c r="E893">
        <v>25</v>
      </c>
      <c r="F893">
        <v>0</v>
      </c>
      <c r="G893">
        <v>20</v>
      </c>
      <c r="H893">
        <v>80</v>
      </c>
    </row>
    <row r="894" spans="1:8" x14ac:dyDescent="0.2">
      <c r="A894">
        <v>3517</v>
      </c>
      <c r="B894">
        <v>56975</v>
      </c>
      <c r="C894">
        <v>35</v>
      </c>
      <c r="D894">
        <v>20</v>
      </c>
      <c r="E894">
        <v>25</v>
      </c>
      <c r="F894">
        <v>0</v>
      </c>
      <c r="G894">
        <v>20</v>
      </c>
      <c r="H894">
        <v>50</v>
      </c>
    </row>
    <row r="895" spans="1:8" x14ac:dyDescent="0.2">
      <c r="A895">
        <v>3518</v>
      </c>
      <c r="B895">
        <v>56385</v>
      </c>
      <c r="C895">
        <v>40</v>
      </c>
      <c r="D895">
        <v>25</v>
      </c>
      <c r="E895">
        <v>25</v>
      </c>
      <c r="F895">
        <v>10</v>
      </c>
      <c r="G895">
        <v>0</v>
      </c>
      <c r="H895">
        <v>55</v>
      </c>
    </row>
    <row r="896" spans="1:8" x14ac:dyDescent="0.2">
      <c r="A896">
        <v>3519</v>
      </c>
      <c r="B896">
        <v>57710</v>
      </c>
      <c r="C896">
        <v>40</v>
      </c>
      <c r="D896">
        <v>30</v>
      </c>
      <c r="E896">
        <v>20</v>
      </c>
      <c r="F896">
        <v>10</v>
      </c>
      <c r="G896">
        <v>0</v>
      </c>
      <c r="H896">
        <v>60</v>
      </c>
    </row>
    <row r="897" spans="1:8" x14ac:dyDescent="0.2">
      <c r="A897">
        <v>3520</v>
      </c>
      <c r="B897">
        <v>56475</v>
      </c>
      <c r="C897">
        <v>40</v>
      </c>
      <c r="D897">
        <v>25</v>
      </c>
      <c r="E897">
        <v>25</v>
      </c>
      <c r="F897">
        <v>0</v>
      </c>
      <c r="G897">
        <v>10</v>
      </c>
      <c r="H897">
        <v>55</v>
      </c>
    </row>
    <row r="898" spans="1:8" x14ac:dyDescent="0.2">
      <c r="A898">
        <v>3521</v>
      </c>
      <c r="B898">
        <v>53725</v>
      </c>
      <c r="C898">
        <v>35</v>
      </c>
      <c r="D898">
        <v>30</v>
      </c>
      <c r="E898">
        <v>25</v>
      </c>
      <c r="F898">
        <v>10</v>
      </c>
      <c r="G898">
        <v>0</v>
      </c>
      <c r="H898">
        <v>50</v>
      </c>
    </row>
    <row r="899" spans="1:8" x14ac:dyDescent="0.2">
      <c r="A899">
        <v>3529</v>
      </c>
      <c r="B899">
        <v>54225</v>
      </c>
      <c r="C899">
        <v>30</v>
      </c>
      <c r="D899">
        <v>20</v>
      </c>
      <c r="E899">
        <v>35</v>
      </c>
      <c r="F899">
        <v>0</v>
      </c>
      <c r="G899">
        <v>15</v>
      </c>
      <c r="H899">
        <v>65</v>
      </c>
    </row>
    <row r="900" spans="1:8" x14ac:dyDescent="0.2">
      <c r="A900">
        <v>3532</v>
      </c>
      <c r="B900">
        <v>51720</v>
      </c>
      <c r="C900">
        <v>40</v>
      </c>
      <c r="D900">
        <v>20</v>
      </c>
      <c r="E900">
        <v>30</v>
      </c>
      <c r="F900">
        <v>0</v>
      </c>
      <c r="G900">
        <v>10</v>
      </c>
      <c r="H900">
        <v>55</v>
      </c>
    </row>
    <row r="901" spans="1:8" x14ac:dyDescent="0.2">
      <c r="A901">
        <v>3540</v>
      </c>
      <c r="B901">
        <v>55540</v>
      </c>
      <c r="C901">
        <v>35</v>
      </c>
      <c r="D901">
        <v>20</v>
      </c>
      <c r="E901">
        <v>35</v>
      </c>
      <c r="F901">
        <v>0</v>
      </c>
      <c r="G901">
        <v>10</v>
      </c>
      <c r="H901">
        <v>75</v>
      </c>
    </row>
    <row r="902" spans="1:8" x14ac:dyDescent="0.2">
      <c r="A902">
        <v>3541</v>
      </c>
      <c r="B902">
        <v>56260</v>
      </c>
      <c r="C902">
        <v>30</v>
      </c>
      <c r="D902">
        <v>20</v>
      </c>
      <c r="E902">
        <v>40</v>
      </c>
      <c r="F902">
        <v>0</v>
      </c>
      <c r="G902">
        <v>10</v>
      </c>
      <c r="H902">
        <v>75</v>
      </c>
    </row>
    <row r="903" spans="1:8" x14ac:dyDescent="0.2">
      <c r="A903">
        <v>3552</v>
      </c>
      <c r="B903">
        <v>56930</v>
      </c>
      <c r="C903">
        <v>35</v>
      </c>
      <c r="D903">
        <v>30</v>
      </c>
      <c r="E903">
        <v>20</v>
      </c>
      <c r="F903">
        <v>15</v>
      </c>
      <c r="G903">
        <v>0</v>
      </c>
      <c r="H903">
        <v>55</v>
      </c>
    </row>
    <row r="904" spans="1:8" x14ac:dyDescent="0.2">
      <c r="A904">
        <v>3601</v>
      </c>
      <c r="B904">
        <v>61535</v>
      </c>
      <c r="C904">
        <v>25</v>
      </c>
      <c r="D904">
        <v>35</v>
      </c>
      <c r="E904">
        <v>15</v>
      </c>
      <c r="F904">
        <v>25</v>
      </c>
      <c r="G904">
        <v>0</v>
      </c>
      <c r="H904">
        <v>100</v>
      </c>
    </row>
    <row r="905" spans="1:8" x14ac:dyDescent="0.2">
      <c r="A905">
        <v>3602</v>
      </c>
      <c r="B905">
        <v>51090</v>
      </c>
      <c r="C905">
        <v>30</v>
      </c>
      <c r="D905">
        <v>30</v>
      </c>
      <c r="E905">
        <v>30</v>
      </c>
      <c r="F905">
        <v>0</v>
      </c>
      <c r="G905">
        <v>10</v>
      </c>
      <c r="H905">
        <v>60</v>
      </c>
    </row>
    <row r="906" spans="1:8" x14ac:dyDescent="0.2">
      <c r="A906">
        <v>3609</v>
      </c>
      <c r="B906">
        <v>51690</v>
      </c>
      <c r="C906">
        <v>30</v>
      </c>
      <c r="D906">
        <v>30</v>
      </c>
      <c r="E906">
        <v>20</v>
      </c>
      <c r="F906">
        <v>20</v>
      </c>
      <c r="G906">
        <v>0</v>
      </c>
      <c r="H906">
        <v>60</v>
      </c>
    </row>
    <row r="907" spans="1:8" x14ac:dyDescent="0.2">
      <c r="A907">
        <v>3610</v>
      </c>
      <c r="B907">
        <v>54160</v>
      </c>
      <c r="C907">
        <v>30</v>
      </c>
      <c r="D907">
        <v>30</v>
      </c>
      <c r="E907">
        <v>30</v>
      </c>
      <c r="F907">
        <v>10</v>
      </c>
      <c r="G907">
        <v>0</v>
      </c>
      <c r="H907">
        <v>60</v>
      </c>
    </row>
    <row r="908" spans="1:8" x14ac:dyDescent="0.2">
      <c r="A908">
        <v>3611</v>
      </c>
      <c r="B908">
        <v>53690</v>
      </c>
      <c r="C908">
        <v>30</v>
      </c>
      <c r="D908">
        <v>30</v>
      </c>
      <c r="E908">
        <v>20</v>
      </c>
      <c r="F908">
        <v>20</v>
      </c>
      <c r="G908">
        <v>0</v>
      </c>
      <c r="H908">
        <v>60</v>
      </c>
    </row>
    <row r="909" spans="1:8" x14ac:dyDescent="0.2">
      <c r="A909">
        <v>3612</v>
      </c>
      <c r="B909">
        <v>54480</v>
      </c>
      <c r="C909">
        <v>40</v>
      </c>
      <c r="D909">
        <v>20</v>
      </c>
      <c r="E909">
        <v>30</v>
      </c>
      <c r="F909">
        <v>10</v>
      </c>
      <c r="G909">
        <v>10</v>
      </c>
      <c r="H909">
        <v>80</v>
      </c>
    </row>
    <row r="910" spans="1:8" x14ac:dyDescent="0.2">
      <c r="A910">
        <v>3615</v>
      </c>
      <c r="B910">
        <v>43240</v>
      </c>
      <c r="C910">
        <v>30</v>
      </c>
      <c r="D910">
        <v>30</v>
      </c>
      <c r="E910">
        <v>20</v>
      </c>
      <c r="F910">
        <v>20</v>
      </c>
      <c r="G910">
        <v>0</v>
      </c>
      <c r="H910">
        <v>35</v>
      </c>
    </row>
    <row r="911" spans="1:8" x14ac:dyDescent="0.2">
      <c r="A911">
        <v>3616</v>
      </c>
      <c r="B911">
        <v>51310</v>
      </c>
      <c r="C911">
        <v>40</v>
      </c>
      <c r="D911">
        <v>20</v>
      </c>
      <c r="E911">
        <v>30</v>
      </c>
      <c r="F911">
        <v>10</v>
      </c>
      <c r="G911">
        <v>10</v>
      </c>
      <c r="H911">
        <v>60</v>
      </c>
    </row>
    <row r="912" spans="1:8" x14ac:dyDescent="0.2">
      <c r="A912">
        <v>3620</v>
      </c>
      <c r="B912">
        <v>72560</v>
      </c>
      <c r="C912">
        <v>30</v>
      </c>
      <c r="D912">
        <v>20</v>
      </c>
      <c r="E912">
        <v>30</v>
      </c>
      <c r="F912">
        <v>0</v>
      </c>
      <c r="G912">
        <v>20</v>
      </c>
      <c r="H912">
        <v>50</v>
      </c>
    </row>
    <row r="913" spans="1:8" x14ac:dyDescent="0.2">
      <c r="A913">
        <v>3621</v>
      </c>
      <c r="B913">
        <v>62170</v>
      </c>
      <c r="C913">
        <v>30</v>
      </c>
      <c r="D913">
        <v>20</v>
      </c>
      <c r="E913">
        <v>30</v>
      </c>
      <c r="F913">
        <v>0</v>
      </c>
      <c r="G913">
        <v>20</v>
      </c>
      <c r="H913">
        <v>70</v>
      </c>
    </row>
    <row r="914" spans="1:8" x14ac:dyDescent="0.2">
      <c r="A914">
        <v>3629</v>
      </c>
      <c r="B914">
        <v>51140</v>
      </c>
      <c r="C914">
        <v>30</v>
      </c>
      <c r="D914">
        <v>20</v>
      </c>
      <c r="E914">
        <v>40</v>
      </c>
      <c r="F914">
        <v>0</v>
      </c>
      <c r="G914">
        <v>10</v>
      </c>
      <c r="H914">
        <v>100</v>
      </c>
    </row>
    <row r="915" spans="1:8" x14ac:dyDescent="0.2">
      <c r="A915">
        <v>3630</v>
      </c>
      <c r="B915">
        <v>54280</v>
      </c>
      <c r="C915">
        <v>30</v>
      </c>
      <c r="D915">
        <v>20</v>
      </c>
      <c r="E915">
        <v>40</v>
      </c>
      <c r="F915">
        <v>0</v>
      </c>
      <c r="G915">
        <v>10</v>
      </c>
      <c r="H915">
        <v>100</v>
      </c>
    </row>
    <row r="916" spans="1:8" x14ac:dyDescent="0.2">
      <c r="A916">
        <v>3631</v>
      </c>
      <c r="B916">
        <v>50890</v>
      </c>
      <c r="C916">
        <v>30</v>
      </c>
      <c r="D916">
        <v>20</v>
      </c>
      <c r="E916">
        <v>40</v>
      </c>
      <c r="F916">
        <v>0</v>
      </c>
      <c r="G916">
        <v>10</v>
      </c>
      <c r="H916">
        <v>100</v>
      </c>
    </row>
    <row r="917" spans="1:8" x14ac:dyDescent="0.2">
      <c r="A917">
        <v>3650</v>
      </c>
      <c r="B917">
        <v>55080</v>
      </c>
      <c r="C917">
        <v>30</v>
      </c>
      <c r="D917">
        <v>30</v>
      </c>
      <c r="E917">
        <v>20</v>
      </c>
      <c r="F917">
        <v>20</v>
      </c>
      <c r="G917">
        <v>0</v>
      </c>
      <c r="H917">
        <v>70</v>
      </c>
    </row>
    <row r="918" spans="1:8" x14ac:dyDescent="0.2">
      <c r="A918">
        <v>3651</v>
      </c>
      <c r="B918">
        <v>60480</v>
      </c>
      <c r="C918">
        <v>30</v>
      </c>
      <c r="D918">
        <v>20</v>
      </c>
      <c r="E918">
        <v>30</v>
      </c>
      <c r="F918">
        <v>0</v>
      </c>
      <c r="G918">
        <v>20</v>
      </c>
      <c r="H918">
        <v>50</v>
      </c>
    </row>
    <row r="919" spans="1:8" x14ac:dyDescent="0.2">
      <c r="A919">
        <v>3652</v>
      </c>
      <c r="B919">
        <v>56190</v>
      </c>
      <c r="C919">
        <v>30</v>
      </c>
      <c r="D919">
        <v>30</v>
      </c>
      <c r="E919">
        <v>20</v>
      </c>
      <c r="F919">
        <v>20</v>
      </c>
      <c r="G919">
        <v>0</v>
      </c>
      <c r="H919">
        <v>60</v>
      </c>
    </row>
    <row r="920" spans="1:8" x14ac:dyDescent="0.2">
      <c r="A920">
        <v>3653</v>
      </c>
      <c r="B920">
        <v>55030</v>
      </c>
      <c r="C920">
        <v>30</v>
      </c>
      <c r="D920">
        <v>30</v>
      </c>
      <c r="E920">
        <v>20</v>
      </c>
      <c r="F920">
        <v>20</v>
      </c>
      <c r="G920">
        <v>0</v>
      </c>
      <c r="H920">
        <v>60</v>
      </c>
    </row>
    <row r="921" spans="1:8" x14ac:dyDescent="0.2">
      <c r="A921">
        <v>3654</v>
      </c>
      <c r="B921">
        <v>46260</v>
      </c>
      <c r="C921">
        <v>25</v>
      </c>
      <c r="D921">
        <v>40</v>
      </c>
      <c r="E921">
        <v>20</v>
      </c>
      <c r="F921">
        <v>15</v>
      </c>
      <c r="G921">
        <v>0</v>
      </c>
      <c r="H921">
        <v>25</v>
      </c>
    </row>
    <row r="922" spans="1:8" x14ac:dyDescent="0.2">
      <c r="A922">
        <v>3655</v>
      </c>
      <c r="B922">
        <v>53510</v>
      </c>
      <c r="C922">
        <v>25</v>
      </c>
      <c r="D922">
        <v>40</v>
      </c>
      <c r="E922">
        <v>20</v>
      </c>
      <c r="F922">
        <v>15</v>
      </c>
      <c r="G922">
        <v>15</v>
      </c>
      <c r="H922">
        <v>25</v>
      </c>
    </row>
    <row r="923" spans="1:8" x14ac:dyDescent="0.2">
      <c r="A923">
        <v>3656</v>
      </c>
      <c r="B923">
        <v>53850</v>
      </c>
      <c r="C923">
        <v>30</v>
      </c>
      <c r="D923">
        <v>30</v>
      </c>
      <c r="E923">
        <v>30</v>
      </c>
      <c r="F923">
        <v>0</v>
      </c>
      <c r="G923">
        <v>10</v>
      </c>
      <c r="H923">
        <v>50</v>
      </c>
    </row>
    <row r="924" spans="1:8" x14ac:dyDescent="0.2">
      <c r="A924">
        <v>3657</v>
      </c>
      <c r="B924">
        <v>55410</v>
      </c>
      <c r="C924">
        <v>30</v>
      </c>
      <c r="D924">
        <v>25</v>
      </c>
      <c r="E924">
        <v>25</v>
      </c>
      <c r="F924">
        <v>0</v>
      </c>
      <c r="G924">
        <v>20</v>
      </c>
      <c r="H924">
        <v>30</v>
      </c>
    </row>
    <row r="925" spans="1:8" x14ac:dyDescent="0.2">
      <c r="A925">
        <v>3658</v>
      </c>
      <c r="B925">
        <v>55160</v>
      </c>
      <c r="C925">
        <v>40</v>
      </c>
      <c r="D925">
        <v>20</v>
      </c>
      <c r="E925">
        <v>30</v>
      </c>
      <c r="F925">
        <v>0</v>
      </c>
      <c r="G925">
        <v>10</v>
      </c>
      <c r="H925">
        <v>35</v>
      </c>
    </row>
    <row r="926" spans="1:8" x14ac:dyDescent="0.2">
      <c r="A926">
        <v>3659</v>
      </c>
      <c r="B926">
        <v>50280</v>
      </c>
      <c r="C926">
        <v>30</v>
      </c>
      <c r="D926">
        <v>20</v>
      </c>
      <c r="E926">
        <v>40</v>
      </c>
      <c r="F926">
        <v>10</v>
      </c>
      <c r="G926">
        <v>10</v>
      </c>
      <c r="H926">
        <v>40</v>
      </c>
    </row>
    <row r="927" spans="1:8" x14ac:dyDescent="0.2">
      <c r="A927">
        <v>3660</v>
      </c>
      <c r="B927">
        <v>51480</v>
      </c>
      <c r="C927">
        <v>30</v>
      </c>
      <c r="D927">
        <v>20</v>
      </c>
      <c r="E927">
        <v>40</v>
      </c>
      <c r="F927">
        <v>10</v>
      </c>
      <c r="G927">
        <v>10</v>
      </c>
      <c r="H927">
        <v>40</v>
      </c>
    </row>
    <row r="928" spans="1:8" x14ac:dyDescent="0.2">
      <c r="A928">
        <v>3661</v>
      </c>
      <c r="B928">
        <v>58790</v>
      </c>
      <c r="C928">
        <v>30</v>
      </c>
      <c r="D928">
        <v>25</v>
      </c>
      <c r="E928">
        <v>15</v>
      </c>
      <c r="F928">
        <v>30</v>
      </c>
      <c r="G928">
        <v>0</v>
      </c>
      <c r="H928">
        <v>40</v>
      </c>
    </row>
    <row r="929" spans="1:8" x14ac:dyDescent="0.2">
      <c r="A929">
        <v>3701</v>
      </c>
      <c r="B929">
        <v>52875</v>
      </c>
      <c r="C929">
        <v>35</v>
      </c>
      <c r="D929">
        <v>30</v>
      </c>
      <c r="E929">
        <v>25</v>
      </c>
      <c r="F929">
        <v>10</v>
      </c>
      <c r="G929">
        <v>0</v>
      </c>
      <c r="H929">
        <v>50</v>
      </c>
    </row>
    <row r="930" spans="1:8" x14ac:dyDescent="0.2">
      <c r="A930">
        <v>3702</v>
      </c>
      <c r="B930">
        <v>47785</v>
      </c>
      <c r="C930">
        <v>35</v>
      </c>
      <c r="D930">
        <v>25</v>
      </c>
      <c r="E930">
        <v>30</v>
      </c>
      <c r="F930">
        <v>10</v>
      </c>
      <c r="G930">
        <v>0</v>
      </c>
      <c r="H930">
        <v>50</v>
      </c>
    </row>
    <row r="931" spans="1:8" x14ac:dyDescent="0.2">
      <c r="A931">
        <v>3704</v>
      </c>
      <c r="B931">
        <v>53200</v>
      </c>
      <c r="C931">
        <v>35</v>
      </c>
      <c r="D931">
        <v>30</v>
      </c>
      <c r="E931">
        <v>20</v>
      </c>
      <c r="F931">
        <v>15</v>
      </c>
      <c r="G931">
        <v>0</v>
      </c>
      <c r="H931">
        <v>65</v>
      </c>
    </row>
    <row r="932" spans="1:8" x14ac:dyDescent="0.2">
      <c r="A932">
        <v>3705</v>
      </c>
      <c r="B932">
        <v>48640</v>
      </c>
      <c r="C932">
        <v>40</v>
      </c>
      <c r="D932">
        <v>30</v>
      </c>
      <c r="E932">
        <v>15</v>
      </c>
      <c r="F932">
        <v>15</v>
      </c>
      <c r="G932">
        <v>0</v>
      </c>
      <c r="H932">
        <v>30</v>
      </c>
    </row>
    <row r="933" spans="1:8" x14ac:dyDescent="0.2">
      <c r="A933">
        <v>3711</v>
      </c>
      <c r="B933">
        <v>54995</v>
      </c>
      <c r="C933">
        <v>35</v>
      </c>
      <c r="D933">
        <v>25</v>
      </c>
      <c r="E933">
        <v>15</v>
      </c>
      <c r="F933">
        <v>0</v>
      </c>
      <c r="G933">
        <v>25</v>
      </c>
      <c r="H933">
        <v>100</v>
      </c>
    </row>
    <row r="934" spans="1:8" x14ac:dyDescent="0.2">
      <c r="A934">
        <v>3712</v>
      </c>
      <c r="B934">
        <v>47720</v>
      </c>
      <c r="C934">
        <v>40</v>
      </c>
      <c r="D934">
        <v>20</v>
      </c>
      <c r="E934">
        <v>25</v>
      </c>
      <c r="F934">
        <v>0</v>
      </c>
      <c r="G934">
        <v>15</v>
      </c>
      <c r="H934">
        <v>60</v>
      </c>
    </row>
    <row r="935" spans="1:8" x14ac:dyDescent="0.2">
      <c r="A935">
        <v>3713</v>
      </c>
      <c r="B935">
        <v>47805</v>
      </c>
      <c r="C935">
        <v>35</v>
      </c>
      <c r="D935">
        <v>15</v>
      </c>
      <c r="E935">
        <v>40</v>
      </c>
      <c r="F935">
        <v>0</v>
      </c>
      <c r="G935">
        <v>10</v>
      </c>
      <c r="H935">
        <v>45</v>
      </c>
    </row>
    <row r="936" spans="1:8" x14ac:dyDescent="0.2">
      <c r="A936">
        <v>3714</v>
      </c>
      <c r="B936">
        <v>47720</v>
      </c>
      <c r="C936">
        <v>40</v>
      </c>
      <c r="D936">
        <v>20</v>
      </c>
      <c r="E936">
        <v>20</v>
      </c>
      <c r="F936">
        <v>0</v>
      </c>
      <c r="G936">
        <v>20</v>
      </c>
      <c r="H936">
        <v>60</v>
      </c>
    </row>
    <row r="937" spans="1:8" x14ac:dyDescent="0.2">
      <c r="A937">
        <v>3717</v>
      </c>
      <c r="B937">
        <v>47505</v>
      </c>
      <c r="C937">
        <v>35</v>
      </c>
      <c r="D937">
        <v>25</v>
      </c>
      <c r="E937">
        <v>20</v>
      </c>
      <c r="F937">
        <v>0</v>
      </c>
      <c r="G937">
        <v>20</v>
      </c>
      <c r="H937">
        <v>40</v>
      </c>
    </row>
    <row r="938" spans="1:8" x14ac:dyDescent="0.2">
      <c r="A938">
        <v>3718</v>
      </c>
      <c r="B938">
        <v>47665</v>
      </c>
      <c r="C938">
        <v>35</v>
      </c>
      <c r="D938">
        <v>15</v>
      </c>
      <c r="E938">
        <v>40</v>
      </c>
      <c r="F938">
        <v>0</v>
      </c>
      <c r="G938">
        <v>10</v>
      </c>
      <c r="H938">
        <v>100</v>
      </c>
    </row>
    <row r="939" spans="1:8" x14ac:dyDescent="0.2">
      <c r="A939">
        <v>3719</v>
      </c>
      <c r="B939">
        <v>47820</v>
      </c>
      <c r="C939">
        <v>35</v>
      </c>
      <c r="D939">
        <v>15</v>
      </c>
      <c r="E939">
        <v>40</v>
      </c>
      <c r="F939">
        <v>0</v>
      </c>
      <c r="G939">
        <v>10</v>
      </c>
      <c r="H939">
        <v>60</v>
      </c>
    </row>
    <row r="940" spans="1:8" x14ac:dyDescent="0.2">
      <c r="A940">
        <v>3722</v>
      </c>
      <c r="B940">
        <v>52560</v>
      </c>
      <c r="C940">
        <v>40</v>
      </c>
      <c r="D940">
        <v>25</v>
      </c>
      <c r="E940">
        <v>25</v>
      </c>
      <c r="F940">
        <v>10</v>
      </c>
      <c r="G940">
        <v>0</v>
      </c>
      <c r="H940">
        <v>75</v>
      </c>
    </row>
    <row r="941" spans="1:8" x14ac:dyDescent="0.2">
      <c r="A941">
        <v>3723</v>
      </c>
      <c r="B941">
        <v>47530</v>
      </c>
      <c r="C941">
        <v>40</v>
      </c>
      <c r="D941">
        <v>30</v>
      </c>
      <c r="E941">
        <v>20</v>
      </c>
      <c r="F941">
        <v>10</v>
      </c>
      <c r="G941">
        <v>0</v>
      </c>
      <c r="H941">
        <v>60</v>
      </c>
    </row>
    <row r="942" spans="1:8" x14ac:dyDescent="0.2">
      <c r="A942">
        <v>3724</v>
      </c>
      <c r="B942">
        <v>47605</v>
      </c>
      <c r="C942">
        <v>35</v>
      </c>
      <c r="D942">
        <v>20</v>
      </c>
      <c r="E942">
        <v>30</v>
      </c>
      <c r="F942">
        <v>0</v>
      </c>
      <c r="G942">
        <v>15</v>
      </c>
      <c r="H942">
        <v>75</v>
      </c>
    </row>
    <row r="943" spans="1:8" x14ac:dyDescent="0.2">
      <c r="A943">
        <v>3726</v>
      </c>
      <c r="B943">
        <v>53720</v>
      </c>
      <c r="C943">
        <v>40</v>
      </c>
      <c r="D943">
        <v>30</v>
      </c>
      <c r="E943">
        <v>20</v>
      </c>
      <c r="F943">
        <v>10</v>
      </c>
      <c r="G943">
        <v>0</v>
      </c>
      <c r="H943">
        <v>90</v>
      </c>
    </row>
    <row r="944" spans="1:8" x14ac:dyDescent="0.2">
      <c r="A944">
        <v>3727</v>
      </c>
      <c r="B944">
        <v>48525</v>
      </c>
      <c r="C944">
        <v>35</v>
      </c>
      <c r="D944">
        <v>30</v>
      </c>
      <c r="E944">
        <v>25</v>
      </c>
      <c r="F944">
        <v>0</v>
      </c>
      <c r="G944">
        <v>10</v>
      </c>
      <c r="H944">
        <v>60</v>
      </c>
    </row>
    <row r="945" spans="1:8" x14ac:dyDescent="0.2">
      <c r="A945">
        <v>3728</v>
      </c>
      <c r="B945">
        <v>47595</v>
      </c>
      <c r="C945">
        <v>40</v>
      </c>
      <c r="D945">
        <v>30</v>
      </c>
      <c r="E945">
        <v>15</v>
      </c>
      <c r="F945">
        <v>15</v>
      </c>
      <c r="G945">
        <v>0</v>
      </c>
      <c r="H945">
        <v>15</v>
      </c>
    </row>
    <row r="946" spans="1:8" x14ac:dyDescent="0.2">
      <c r="A946">
        <v>3729</v>
      </c>
      <c r="B946">
        <v>47930</v>
      </c>
      <c r="C946">
        <v>35</v>
      </c>
      <c r="D946">
        <v>20</v>
      </c>
      <c r="E946">
        <v>35</v>
      </c>
      <c r="F946">
        <v>0</v>
      </c>
      <c r="G946">
        <v>10</v>
      </c>
      <c r="H946">
        <v>75</v>
      </c>
    </row>
    <row r="947" spans="1:8" x14ac:dyDescent="0.2">
      <c r="A947">
        <v>3730</v>
      </c>
      <c r="B947">
        <v>47865</v>
      </c>
      <c r="C947">
        <v>40</v>
      </c>
      <c r="D947">
        <v>20</v>
      </c>
      <c r="E947">
        <v>25</v>
      </c>
      <c r="F947">
        <v>0</v>
      </c>
      <c r="G947">
        <v>15</v>
      </c>
      <c r="H947">
        <v>30</v>
      </c>
    </row>
    <row r="948" spans="1:8" x14ac:dyDescent="0.2">
      <c r="A948">
        <v>3733</v>
      </c>
      <c r="B948">
        <v>48320</v>
      </c>
      <c r="C948">
        <v>40</v>
      </c>
      <c r="D948">
        <v>20</v>
      </c>
      <c r="E948">
        <v>20</v>
      </c>
      <c r="F948">
        <v>0</v>
      </c>
      <c r="G948">
        <v>20</v>
      </c>
      <c r="H948">
        <v>30</v>
      </c>
    </row>
    <row r="949" spans="1:8" x14ac:dyDescent="0.2">
      <c r="A949">
        <v>3735</v>
      </c>
      <c r="B949">
        <v>49930</v>
      </c>
      <c r="C949">
        <v>35</v>
      </c>
      <c r="D949">
        <v>25</v>
      </c>
      <c r="E949">
        <v>25</v>
      </c>
      <c r="F949">
        <v>15</v>
      </c>
      <c r="G949">
        <v>0</v>
      </c>
      <c r="H949">
        <v>50</v>
      </c>
    </row>
    <row r="950" spans="1:8" x14ac:dyDescent="0.2">
      <c r="A950">
        <v>3740</v>
      </c>
      <c r="B950">
        <v>60245</v>
      </c>
      <c r="C950">
        <v>35</v>
      </c>
      <c r="D950">
        <v>35</v>
      </c>
      <c r="E950">
        <v>20</v>
      </c>
      <c r="F950">
        <v>10</v>
      </c>
      <c r="G950">
        <v>0</v>
      </c>
      <c r="H950">
        <v>100</v>
      </c>
    </row>
    <row r="951" spans="1:8" x14ac:dyDescent="0.2">
      <c r="A951">
        <v>3745</v>
      </c>
      <c r="B951">
        <v>49780</v>
      </c>
      <c r="C951">
        <v>40</v>
      </c>
      <c r="D951">
        <v>25</v>
      </c>
      <c r="E951">
        <v>25</v>
      </c>
      <c r="F951">
        <v>10</v>
      </c>
      <c r="G951">
        <v>0</v>
      </c>
      <c r="H951">
        <v>20</v>
      </c>
    </row>
  </sheetData>
  <mergeCells count="1">
    <mergeCell ref="K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EB835-991E-034E-ABCE-1413715D0A19}">
  <dimension ref="A1:O5250"/>
  <sheetViews>
    <sheetView workbookViewId="0">
      <selection activeCell="F2" sqref="F2"/>
    </sheetView>
  </sheetViews>
  <sheetFormatPr baseColWidth="10" defaultRowHeight="16" x14ac:dyDescent="0.2"/>
  <cols>
    <col min="4" max="4" width="20.33203125" customWidth="1"/>
    <col min="13" max="13" width="47.1640625" customWidth="1"/>
  </cols>
  <sheetData>
    <row r="1" spans="1:15" x14ac:dyDescent="0.2">
      <c r="A1" t="s">
        <v>8</v>
      </c>
      <c r="B1" t="s">
        <v>9</v>
      </c>
      <c r="C1" t="s">
        <v>0</v>
      </c>
      <c r="D1" t="s">
        <v>14</v>
      </c>
      <c r="E1" t="s">
        <v>13</v>
      </c>
      <c r="F1" t="s">
        <v>12</v>
      </c>
      <c r="G1" t="s">
        <v>10</v>
      </c>
      <c r="H1" t="s">
        <v>11</v>
      </c>
      <c r="I1" t="s">
        <v>447</v>
      </c>
    </row>
    <row r="2" spans="1:15" x14ac:dyDescent="0.2">
      <c r="A2">
        <v>26573</v>
      </c>
      <c r="B2">
        <v>1</v>
      </c>
      <c r="C2">
        <v>1324</v>
      </c>
      <c r="D2">
        <v>62590</v>
      </c>
      <c r="E2">
        <v>25</v>
      </c>
      <c r="F2" t="s">
        <v>21</v>
      </c>
      <c r="G2" t="s">
        <v>63</v>
      </c>
      <c r="H2" t="s">
        <v>20</v>
      </c>
      <c r="I2">
        <v>8</v>
      </c>
      <c r="L2" s="7" t="s">
        <v>449</v>
      </c>
      <c r="M2" s="7"/>
    </row>
    <row r="3" spans="1:15" x14ac:dyDescent="0.2">
      <c r="A3">
        <v>26573</v>
      </c>
      <c r="B3">
        <v>2</v>
      </c>
      <c r="C3">
        <v>1326</v>
      </c>
      <c r="D3">
        <v>62590</v>
      </c>
      <c r="E3">
        <v>24</v>
      </c>
      <c r="F3" t="s">
        <v>21</v>
      </c>
      <c r="G3" t="s">
        <v>72</v>
      </c>
      <c r="H3" t="s">
        <v>20</v>
      </c>
      <c r="I3">
        <v>8</v>
      </c>
      <c r="L3" t="s">
        <v>8</v>
      </c>
      <c r="M3" t="s">
        <v>450</v>
      </c>
    </row>
    <row r="4" spans="1:15" x14ac:dyDescent="0.2">
      <c r="A4">
        <v>26573</v>
      </c>
      <c r="B4">
        <v>3</v>
      </c>
      <c r="C4">
        <v>3740</v>
      </c>
      <c r="D4">
        <v>0</v>
      </c>
      <c r="E4">
        <v>26</v>
      </c>
      <c r="F4" t="s">
        <v>116</v>
      </c>
      <c r="G4" t="s">
        <v>63</v>
      </c>
      <c r="H4" t="s">
        <v>61</v>
      </c>
      <c r="I4">
        <v>9</v>
      </c>
      <c r="L4" t="s">
        <v>9</v>
      </c>
      <c r="M4" t="s">
        <v>451</v>
      </c>
    </row>
    <row r="5" spans="1:15" x14ac:dyDescent="0.2">
      <c r="A5">
        <v>113800</v>
      </c>
      <c r="B5">
        <v>1</v>
      </c>
      <c r="C5">
        <v>1777</v>
      </c>
      <c r="D5">
        <v>53440</v>
      </c>
      <c r="E5">
        <v>25</v>
      </c>
      <c r="F5" t="s">
        <v>57</v>
      </c>
      <c r="G5" t="s">
        <v>88</v>
      </c>
      <c r="H5" t="s">
        <v>69</v>
      </c>
      <c r="I5">
        <v>10</v>
      </c>
      <c r="L5" t="s">
        <v>0</v>
      </c>
      <c r="M5" t="s">
        <v>452</v>
      </c>
    </row>
    <row r="6" spans="1:15" x14ac:dyDescent="0.2">
      <c r="A6">
        <v>113800</v>
      </c>
      <c r="B6">
        <v>2</v>
      </c>
      <c r="C6">
        <v>3740</v>
      </c>
      <c r="D6">
        <v>51815</v>
      </c>
      <c r="E6">
        <v>25</v>
      </c>
      <c r="F6" t="s">
        <v>116</v>
      </c>
      <c r="G6" t="s">
        <v>63</v>
      </c>
      <c r="H6" t="s">
        <v>61</v>
      </c>
      <c r="I6">
        <v>9</v>
      </c>
      <c r="L6" t="s">
        <v>14</v>
      </c>
      <c r="M6" t="s">
        <v>453</v>
      </c>
    </row>
    <row r="7" spans="1:15" x14ac:dyDescent="0.2">
      <c r="A7">
        <v>113800</v>
      </c>
      <c r="B7">
        <v>3</v>
      </c>
      <c r="C7">
        <v>3701</v>
      </c>
      <c r="D7">
        <v>51495</v>
      </c>
      <c r="E7">
        <v>25</v>
      </c>
      <c r="F7" t="s">
        <v>116</v>
      </c>
      <c r="G7" t="s">
        <v>117</v>
      </c>
      <c r="H7" t="s">
        <v>61</v>
      </c>
      <c r="I7">
        <v>9</v>
      </c>
      <c r="L7" t="s">
        <v>13</v>
      </c>
      <c r="M7" t="s">
        <v>465</v>
      </c>
    </row>
    <row r="8" spans="1:15" x14ac:dyDescent="0.2">
      <c r="A8">
        <v>113800</v>
      </c>
      <c r="B8">
        <v>4</v>
      </c>
      <c r="C8">
        <v>3234</v>
      </c>
      <c r="D8">
        <v>53120</v>
      </c>
      <c r="E8">
        <v>25</v>
      </c>
      <c r="F8" t="s">
        <v>47</v>
      </c>
      <c r="G8" t="s">
        <v>76</v>
      </c>
      <c r="H8" t="s">
        <v>46</v>
      </c>
      <c r="I8">
        <v>10</v>
      </c>
      <c r="L8" t="s">
        <v>12</v>
      </c>
      <c r="M8" t="s">
        <v>454</v>
      </c>
    </row>
    <row r="9" spans="1:15" x14ac:dyDescent="0.2">
      <c r="A9">
        <v>113800</v>
      </c>
      <c r="B9">
        <v>5</v>
      </c>
      <c r="C9">
        <v>1754</v>
      </c>
      <c r="D9">
        <v>51870</v>
      </c>
      <c r="E9">
        <v>25</v>
      </c>
      <c r="F9" t="s">
        <v>57</v>
      </c>
      <c r="G9" t="s">
        <v>85</v>
      </c>
      <c r="H9" t="s">
        <v>69</v>
      </c>
      <c r="I9">
        <v>10</v>
      </c>
      <c r="L9" t="s">
        <v>11</v>
      </c>
      <c r="M9" t="s">
        <v>455</v>
      </c>
    </row>
    <row r="10" spans="1:15" x14ac:dyDescent="0.2">
      <c r="A10">
        <v>165859</v>
      </c>
      <c r="B10">
        <v>1</v>
      </c>
      <c r="C10">
        <v>3261</v>
      </c>
      <c r="D10">
        <v>47270</v>
      </c>
      <c r="E10">
        <v>25</v>
      </c>
      <c r="F10" t="s">
        <v>47</v>
      </c>
      <c r="G10" t="s">
        <v>93</v>
      </c>
      <c r="H10" t="s">
        <v>46</v>
      </c>
      <c r="I10">
        <v>10</v>
      </c>
      <c r="L10" t="s">
        <v>447</v>
      </c>
      <c r="M10" t="s">
        <v>456</v>
      </c>
    </row>
    <row r="11" spans="1:15" ht="16" customHeight="1" x14ac:dyDescent="0.2">
      <c r="A11">
        <v>165859</v>
      </c>
      <c r="B11">
        <v>2</v>
      </c>
      <c r="C11">
        <v>3252</v>
      </c>
      <c r="D11">
        <v>47160</v>
      </c>
      <c r="E11">
        <v>25</v>
      </c>
      <c r="F11" t="s">
        <v>47</v>
      </c>
      <c r="G11" t="s">
        <v>45</v>
      </c>
      <c r="H11" t="s">
        <v>46</v>
      </c>
      <c r="I11">
        <v>10</v>
      </c>
      <c r="N11" s="2"/>
      <c r="O11" s="2"/>
    </row>
    <row r="12" spans="1:15" x14ac:dyDescent="0.2">
      <c r="A12">
        <v>165859</v>
      </c>
      <c r="B12">
        <v>3</v>
      </c>
      <c r="C12">
        <v>3243</v>
      </c>
      <c r="D12">
        <v>47965</v>
      </c>
      <c r="E12">
        <v>25</v>
      </c>
      <c r="F12" t="s">
        <v>47</v>
      </c>
      <c r="G12" t="s">
        <v>75</v>
      </c>
      <c r="H12" t="s">
        <v>46</v>
      </c>
      <c r="I12">
        <v>10</v>
      </c>
      <c r="L12" s="8" t="s">
        <v>457</v>
      </c>
      <c r="M12" s="8"/>
      <c r="N12" s="2"/>
      <c r="O12" s="2"/>
    </row>
    <row r="13" spans="1:15" x14ac:dyDescent="0.2">
      <c r="A13">
        <v>214754</v>
      </c>
      <c r="B13">
        <v>1</v>
      </c>
      <c r="C13">
        <v>3212</v>
      </c>
      <c r="D13">
        <v>45635</v>
      </c>
      <c r="E13">
        <v>25</v>
      </c>
      <c r="F13" t="s">
        <v>47</v>
      </c>
      <c r="G13" t="s">
        <v>84</v>
      </c>
      <c r="H13" t="s">
        <v>46</v>
      </c>
      <c r="I13">
        <v>10</v>
      </c>
      <c r="L13" s="8"/>
      <c r="M13" s="8"/>
      <c r="N13" s="2"/>
      <c r="O13" s="2"/>
    </row>
    <row r="14" spans="1:15" x14ac:dyDescent="0.2">
      <c r="A14">
        <v>214754</v>
      </c>
      <c r="B14">
        <v>2</v>
      </c>
      <c r="C14">
        <v>3200</v>
      </c>
      <c r="D14">
        <v>45650</v>
      </c>
      <c r="E14">
        <v>25</v>
      </c>
      <c r="F14" t="s">
        <v>47</v>
      </c>
      <c r="G14" t="s">
        <v>18</v>
      </c>
      <c r="H14" t="s">
        <v>46</v>
      </c>
      <c r="I14">
        <v>10</v>
      </c>
      <c r="L14" s="8"/>
      <c r="M14" s="8"/>
    </row>
    <row r="15" spans="1:15" x14ac:dyDescent="0.2">
      <c r="A15">
        <v>214754</v>
      </c>
      <c r="B15">
        <v>3</v>
      </c>
      <c r="C15">
        <v>3239</v>
      </c>
      <c r="D15">
        <v>47915</v>
      </c>
      <c r="E15">
        <v>25</v>
      </c>
      <c r="F15" t="s">
        <v>47</v>
      </c>
      <c r="G15" t="s">
        <v>107</v>
      </c>
      <c r="H15" t="s">
        <v>46</v>
      </c>
      <c r="I15">
        <v>10</v>
      </c>
    </row>
    <row r="16" spans="1:15" x14ac:dyDescent="0.2">
      <c r="A16">
        <v>214754</v>
      </c>
      <c r="B16">
        <v>4</v>
      </c>
      <c r="C16">
        <v>3296</v>
      </c>
      <c r="D16">
        <v>45650</v>
      </c>
      <c r="E16">
        <v>25</v>
      </c>
      <c r="F16" t="s">
        <v>47</v>
      </c>
      <c r="G16" t="s">
        <v>100</v>
      </c>
      <c r="H16" t="s">
        <v>46</v>
      </c>
      <c r="I16">
        <v>10</v>
      </c>
    </row>
    <row r="17" spans="1:9" x14ac:dyDescent="0.2">
      <c r="A17">
        <v>214754</v>
      </c>
      <c r="B17">
        <v>5</v>
      </c>
      <c r="C17">
        <v>3211</v>
      </c>
      <c r="D17">
        <v>45965</v>
      </c>
      <c r="E17">
        <v>25</v>
      </c>
      <c r="F17" t="s">
        <v>47</v>
      </c>
      <c r="G17" t="s">
        <v>99</v>
      </c>
      <c r="H17" t="s">
        <v>46</v>
      </c>
      <c r="I17">
        <v>10</v>
      </c>
    </row>
    <row r="18" spans="1:9" x14ac:dyDescent="0.2">
      <c r="A18">
        <v>214754</v>
      </c>
      <c r="B18">
        <v>6</v>
      </c>
      <c r="C18">
        <v>3261</v>
      </c>
      <c r="D18">
        <v>46940</v>
      </c>
      <c r="E18">
        <v>25</v>
      </c>
      <c r="F18" t="s">
        <v>47</v>
      </c>
      <c r="G18" t="s">
        <v>93</v>
      </c>
      <c r="H18" t="s">
        <v>46</v>
      </c>
      <c r="I18">
        <v>10</v>
      </c>
    </row>
    <row r="19" spans="1:9" x14ac:dyDescent="0.2">
      <c r="A19">
        <v>214754</v>
      </c>
      <c r="B19">
        <v>7</v>
      </c>
      <c r="C19">
        <v>3213</v>
      </c>
      <c r="D19">
        <v>45965</v>
      </c>
      <c r="E19">
        <v>24</v>
      </c>
      <c r="F19" t="s">
        <v>47</v>
      </c>
      <c r="G19" t="s">
        <v>158</v>
      </c>
      <c r="H19" t="s">
        <v>74</v>
      </c>
      <c r="I19">
        <v>10</v>
      </c>
    </row>
    <row r="20" spans="1:9" x14ac:dyDescent="0.2">
      <c r="A20">
        <v>214754</v>
      </c>
      <c r="B20">
        <v>8</v>
      </c>
      <c r="C20">
        <v>3214</v>
      </c>
      <c r="D20">
        <v>0</v>
      </c>
      <c r="E20">
        <v>26</v>
      </c>
      <c r="F20" t="s">
        <v>47</v>
      </c>
      <c r="G20" t="s">
        <v>98</v>
      </c>
      <c r="H20" t="s">
        <v>74</v>
      </c>
      <c r="I20">
        <v>10</v>
      </c>
    </row>
    <row r="21" spans="1:9" x14ac:dyDescent="0.2">
      <c r="A21">
        <v>216508</v>
      </c>
      <c r="B21">
        <v>1</v>
      </c>
      <c r="C21">
        <v>3242</v>
      </c>
      <c r="D21">
        <v>54680</v>
      </c>
      <c r="E21">
        <v>24</v>
      </c>
      <c r="F21" t="s">
        <v>47</v>
      </c>
      <c r="G21" t="s">
        <v>90</v>
      </c>
      <c r="H21" t="s">
        <v>46</v>
      </c>
      <c r="I21">
        <v>10</v>
      </c>
    </row>
    <row r="22" spans="1:9" x14ac:dyDescent="0.2">
      <c r="A22">
        <v>216508</v>
      </c>
      <c r="B22">
        <v>2</v>
      </c>
      <c r="C22">
        <v>3225</v>
      </c>
      <c r="D22">
        <v>0</v>
      </c>
      <c r="E22">
        <v>26</v>
      </c>
      <c r="F22" t="s">
        <v>47</v>
      </c>
      <c r="G22" t="s">
        <v>106</v>
      </c>
      <c r="H22" t="s">
        <v>46</v>
      </c>
      <c r="I22">
        <v>10</v>
      </c>
    </row>
    <row r="23" spans="1:9" x14ac:dyDescent="0.2">
      <c r="A23">
        <v>250308</v>
      </c>
      <c r="B23">
        <v>1</v>
      </c>
      <c r="C23">
        <v>1302</v>
      </c>
      <c r="D23">
        <v>58565</v>
      </c>
      <c r="E23">
        <v>24</v>
      </c>
      <c r="F23" t="s">
        <v>21</v>
      </c>
      <c r="G23" t="s">
        <v>271</v>
      </c>
      <c r="H23" t="s">
        <v>20</v>
      </c>
      <c r="I23">
        <v>8</v>
      </c>
    </row>
    <row r="24" spans="1:9" x14ac:dyDescent="0.2">
      <c r="A24">
        <v>250308</v>
      </c>
      <c r="B24">
        <v>2</v>
      </c>
      <c r="C24">
        <v>2673</v>
      </c>
      <c r="D24">
        <v>0</v>
      </c>
      <c r="E24">
        <v>26</v>
      </c>
      <c r="F24" t="s">
        <v>71</v>
      </c>
      <c r="G24" t="s">
        <v>272</v>
      </c>
      <c r="H24" t="s">
        <v>24</v>
      </c>
      <c r="I24">
        <v>5</v>
      </c>
    </row>
    <row r="25" spans="1:9" x14ac:dyDescent="0.2">
      <c r="A25">
        <v>250308</v>
      </c>
      <c r="B25">
        <v>3</v>
      </c>
      <c r="C25">
        <v>3058</v>
      </c>
      <c r="D25">
        <v>0</v>
      </c>
      <c r="E25">
        <v>26</v>
      </c>
      <c r="F25" t="s">
        <v>44</v>
      </c>
      <c r="G25" t="s">
        <v>53</v>
      </c>
      <c r="H25" t="s">
        <v>52</v>
      </c>
      <c r="I25">
        <v>9</v>
      </c>
    </row>
    <row r="26" spans="1:9" x14ac:dyDescent="0.2">
      <c r="A26">
        <v>250308</v>
      </c>
      <c r="B26">
        <v>4</v>
      </c>
      <c r="C26">
        <v>3729</v>
      </c>
      <c r="D26">
        <v>0</v>
      </c>
      <c r="E26">
        <v>26</v>
      </c>
      <c r="F26" t="s">
        <v>116</v>
      </c>
      <c r="G26" t="s">
        <v>273</v>
      </c>
      <c r="H26" t="s">
        <v>61</v>
      </c>
      <c r="I26">
        <v>9</v>
      </c>
    </row>
    <row r="27" spans="1:9" x14ac:dyDescent="0.2">
      <c r="A27">
        <v>300203</v>
      </c>
      <c r="B27">
        <v>1</v>
      </c>
      <c r="C27">
        <v>1700</v>
      </c>
      <c r="D27">
        <v>57660</v>
      </c>
      <c r="E27">
        <v>24</v>
      </c>
      <c r="F27" t="s">
        <v>57</v>
      </c>
      <c r="G27" t="s">
        <v>58</v>
      </c>
      <c r="H27" t="s">
        <v>69</v>
      </c>
      <c r="I27">
        <v>10</v>
      </c>
    </row>
    <row r="28" spans="1:9" x14ac:dyDescent="0.2">
      <c r="A28">
        <v>305114</v>
      </c>
      <c r="B28">
        <v>1</v>
      </c>
      <c r="C28">
        <v>3212</v>
      </c>
      <c r="D28">
        <v>51435</v>
      </c>
      <c r="E28">
        <v>24</v>
      </c>
      <c r="F28" t="s">
        <v>47</v>
      </c>
      <c r="G28" t="s">
        <v>84</v>
      </c>
      <c r="H28" t="s">
        <v>46</v>
      </c>
      <c r="I28">
        <v>10</v>
      </c>
    </row>
    <row r="29" spans="1:9" x14ac:dyDescent="0.2">
      <c r="A29">
        <v>305114</v>
      </c>
      <c r="B29">
        <v>2</v>
      </c>
      <c r="C29">
        <v>3213</v>
      </c>
      <c r="D29">
        <v>0</v>
      </c>
      <c r="E29">
        <v>26</v>
      </c>
      <c r="F29" t="s">
        <v>47</v>
      </c>
      <c r="G29" t="s">
        <v>158</v>
      </c>
      <c r="H29" t="s">
        <v>74</v>
      </c>
      <c r="I29">
        <v>10</v>
      </c>
    </row>
    <row r="30" spans="1:9" x14ac:dyDescent="0.2">
      <c r="A30">
        <v>339125</v>
      </c>
      <c r="B30">
        <v>1</v>
      </c>
      <c r="C30">
        <v>1700</v>
      </c>
      <c r="D30">
        <v>52340</v>
      </c>
      <c r="E30">
        <v>25</v>
      </c>
      <c r="F30" t="s">
        <v>57</v>
      </c>
      <c r="G30" t="s">
        <v>58</v>
      </c>
      <c r="H30" t="s">
        <v>69</v>
      </c>
      <c r="I30">
        <v>10</v>
      </c>
    </row>
    <row r="31" spans="1:9" x14ac:dyDescent="0.2">
      <c r="A31">
        <v>339125</v>
      </c>
      <c r="B31">
        <v>2</v>
      </c>
      <c r="C31">
        <v>1710</v>
      </c>
      <c r="D31">
        <v>52375</v>
      </c>
      <c r="E31">
        <v>24</v>
      </c>
      <c r="F31" t="s">
        <v>57</v>
      </c>
      <c r="G31" t="s">
        <v>169</v>
      </c>
      <c r="H31" t="s">
        <v>69</v>
      </c>
      <c r="I31">
        <v>10</v>
      </c>
    </row>
    <row r="32" spans="1:9" x14ac:dyDescent="0.2">
      <c r="A32">
        <v>339125</v>
      </c>
      <c r="B32">
        <v>3</v>
      </c>
      <c r="C32">
        <v>3070</v>
      </c>
      <c r="D32">
        <v>0</v>
      </c>
      <c r="E32">
        <v>26</v>
      </c>
      <c r="F32" t="s">
        <v>44</v>
      </c>
      <c r="G32" t="s">
        <v>58</v>
      </c>
      <c r="H32" t="s">
        <v>59</v>
      </c>
      <c r="I32">
        <v>9</v>
      </c>
    </row>
    <row r="33" spans="1:9" x14ac:dyDescent="0.2">
      <c r="A33">
        <v>339125</v>
      </c>
      <c r="B33">
        <v>4</v>
      </c>
      <c r="C33">
        <v>3223</v>
      </c>
      <c r="D33">
        <v>0</v>
      </c>
      <c r="E33">
        <v>26</v>
      </c>
      <c r="F33" t="s">
        <v>47</v>
      </c>
      <c r="G33" t="s">
        <v>105</v>
      </c>
      <c r="H33" t="s">
        <v>46</v>
      </c>
      <c r="I33">
        <v>10</v>
      </c>
    </row>
    <row r="34" spans="1:9" x14ac:dyDescent="0.2">
      <c r="A34">
        <v>339125</v>
      </c>
      <c r="B34">
        <v>5</v>
      </c>
      <c r="C34">
        <v>3229</v>
      </c>
      <c r="D34">
        <v>0</v>
      </c>
      <c r="E34">
        <v>26</v>
      </c>
      <c r="F34" t="s">
        <v>47</v>
      </c>
      <c r="G34" t="s">
        <v>101</v>
      </c>
      <c r="H34" t="s">
        <v>46</v>
      </c>
      <c r="I34">
        <v>10</v>
      </c>
    </row>
    <row r="35" spans="1:9" x14ac:dyDescent="0.2">
      <c r="A35">
        <v>339125</v>
      </c>
      <c r="B35">
        <v>6</v>
      </c>
      <c r="C35">
        <v>3226</v>
      </c>
      <c r="D35">
        <v>0</v>
      </c>
      <c r="E35">
        <v>26</v>
      </c>
      <c r="F35" t="s">
        <v>47</v>
      </c>
      <c r="G35" t="s">
        <v>96</v>
      </c>
      <c r="H35" t="s">
        <v>46</v>
      </c>
      <c r="I35">
        <v>10</v>
      </c>
    </row>
    <row r="36" spans="1:9" x14ac:dyDescent="0.2">
      <c r="A36">
        <v>339125</v>
      </c>
      <c r="B36">
        <v>7</v>
      </c>
      <c r="C36">
        <v>3237</v>
      </c>
      <c r="D36">
        <v>0</v>
      </c>
      <c r="E36">
        <v>26</v>
      </c>
      <c r="F36" t="s">
        <v>47</v>
      </c>
      <c r="G36" t="s">
        <v>181</v>
      </c>
      <c r="H36" t="s">
        <v>46</v>
      </c>
      <c r="I36">
        <v>10</v>
      </c>
    </row>
    <row r="37" spans="1:9" x14ac:dyDescent="0.2">
      <c r="A37">
        <v>339125</v>
      </c>
      <c r="B37">
        <v>8</v>
      </c>
      <c r="C37">
        <v>2562</v>
      </c>
      <c r="D37">
        <v>0</v>
      </c>
      <c r="E37">
        <v>26</v>
      </c>
      <c r="F37" t="s">
        <v>175</v>
      </c>
      <c r="G37" t="s">
        <v>402</v>
      </c>
      <c r="H37" t="s">
        <v>213</v>
      </c>
      <c r="I37">
        <v>4</v>
      </c>
    </row>
    <row r="38" spans="1:9" x14ac:dyDescent="0.2">
      <c r="A38">
        <v>354176</v>
      </c>
      <c r="B38">
        <v>1</v>
      </c>
      <c r="C38">
        <v>3261</v>
      </c>
      <c r="D38">
        <v>46880</v>
      </c>
      <c r="E38">
        <v>25</v>
      </c>
      <c r="F38" t="s">
        <v>47</v>
      </c>
      <c r="G38" t="s">
        <v>93</v>
      </c>
      <c r="H38" t="s">
        <v>46</v>
      </c>
      <c r="I38">
        <v>10</v>
      </c>
    </row>
    <row r="39" spans="1:9" x14ac:dyDescent="0.2">
      <c r="A39">
        <v>354176</v>
      </c>
      <c r="B39">
        <v>2</v>
      </c>
      <c r="C39">
        <v>3252</v>
      </c>
      <c r="D39">
        <v>47225</v>
      </c>
      <c r="E39">
        <v>25</v>
      </c>
      <c r="F39" t="s">
        <v>47</v>
      </c>
      <c r="G39" t="s">
        <v>45</v>
      </c>
      <c r="H39" t="s">
        <v>46</v>
      </c>
      <c r="I39">
        <v>10</v>
      </c>
    </row>
    <row r="40" spans="1:9" x14ac:dyDescent="0.2">
      <c r="A40">
        <v>354176</v>
      </c>
      <c r="B40">
        <v>3</v>
      </c>
      <c r="C40">
        <v>3248</v>
      </c>
      <c r="D40">
        <v>47330</v>
      </c>
      <c r="E40">
        <v>25</v>
      </c>
      <c r="F40" t="s">
        <v>47</v>
      </c>
      <c r="G40" t="s">
        <v>92</v>
      </c>
      <c r="H40" t="s">
        <v>46</v>
      </c>
      <c r="I40">
        <v>10</v>
      </c>
    </row>
    <row r="41" spans="1:9" x14ac:dyDescent="0.2">
      <c r="A41">
        <v>354176</v>
      </c>
      <c r="B41">
        <v>4</v>
      </c>
      <c r="C41">
        <v>3251</v>
      </c>
      <c r="D41">
        <v>46875</v>
      </c>
      <c r="E41">
        <v>25</v>
      </c>
      <c r="F41" t="s">
        <v>47</v>
      </c>
      <c r="G41" t="s">
        <v>48</v>
      </c>
      <c r="H41" t="s">
        <v>46</v>
      </c>
      <c r="I41">
        <v>10</v>
      </c>
    </row>
    <row r="42" spans="1:9" x14ac:dyDescent="0.2">
      <c r="A42">
        <v>401848</v>
      </c>
      <c r="B42">
        <v>1</v>
      </c>
      <c r="C42">
        <v>1302</v>
      </c>
      <c r="D42">
        <v>80205</v>
      </c>
      <c r="E42">
        <v>24</v>
      </c>
      <c r="F42" t="s">
        <v>21</v>
      </c>
      <c r="G42" t="s">
        <v>271</v>
      </c>
      <c r="H42" t="s">
        <v>20</v>
      </c>
      <c r="I42">
        <v>8</v>
      </c>
    </row>
    <row r="43" spans="1:9" x14ac:dyDescent="0.2">
      <c r="A43">
        <v>401848</v>
      </c>
      <c r="B43">
        <v>2</v>
      </c>
      <c r="C43">
        <v>1145</v>
      </c>
      <c r="D43">
        <v>0</v>
      </c>
      <c r="E43">
        <v>26</v>
      </c>
      <c r="F43" t="s">
        <v>17</v>
      </c>
      <c r="G43" t="s">
        <v>159</v>
      </c>
      <c r="H43" t="s">
        <v>16</v>
      </c>
      <c r="I43" t="s">
        <v>448</v>
      </c>
    </row>
    <row r="44" spans="1:9" x14ac:dyDescent="0.2">
      <c r="A44">
        <v>416597</v>
      </c>
      <c r="B44">
        <v>1</v>
      </c>
      <c r="C44">
        <v>1782</v>
      </c>
      <c r="D44">
        <v>57335</v>
      </c>
      <c r="E44">
        <v>25</v>
      </c>
      <c r="F44" t="s">
        <v>57</v>
      </c>
      <c r="G44" t="s">
        <v>63</v>
      </c>
      <c r="H44" t="s">
        <v>69</v>
      </c>
      <c r="I44">
        <v>10</v>
      </c>
    </row>
    <row r="45" spans="1:9" x14ac:dyDescent="0.2">
      <c r="A45">
        <v>416597</v>
      </c>
      <c r="B45">
        <v>2</v>
      </c>
      <c r="C45">
        <v>1777</v>
      </c>
      <c r="D45">
        <v>57505</v>
      </c>
      <c r="E45">
        <v>25</v>
      </c>
      <c r="F45" t="s">
        <v>57</v>
      </c>
      <c r="G45" t="s">
        <v>88</v>
      </c>
      <c r="H45" t="s">
        <v>69</v>
      </c>
      <c r="I45">
        <v>10</v>
      </c>
    </row>
    <row r="46" spans="1:9" x14ac:dyDescent="0.2">
      <c r="A46">
        <v>416597</v>
      </c>
      <c r="B46">
        <v>3</v>
      </c>
      <c r="C46">
        <v>1774</v>
      </c>
      <c r="D46">
        <v>56795</v>
      </c>
      <c r="E46">
        <v>24</v>
      </c>
      <c r="F46" t="s">
        <v>57</v>
      </c>
      <c r="G46" t="s">
        <v>296</v>
      </c>
      <c r="H46" t="s">
        <v>69</v>
      </c>
      <c r="I46">
        <v>10</v>
      </c>
    </row>
    <row r="47" spans="1:9" x14ac:dyDescent="0.2">
      <c r="A47">
        <v>416597</v>
      </c>
      <c r="B47">
        <v>4</v>
      </c>
      <c r="C47">
        <v>1729</v>
      </c>
      <c r="D47">
        <v>0</v>
      </c>
      <c r="E47">
        <v>26</v>
      </c>
      <c r="F47" t="s">
        <v>57</v>
      </c>
      <c r="G47" t="s">
        <v>72</v>
      </c>
      <c r="H47" t="s">
        <v>69</v>
      </c>
      <c r="I47">
        <v>10</v>
      </c>
    </row>
    <row r="48" spans="1:9" x14ac:dyDescent="0.2">
      <c r="A48">
        <v>416597</v>
      </c>
      <c r="B48">
        <v>5</v>
      </c>
      <c r="C48">
        <v>1776</v>
      </c>
      <c r="D48">
        <v>0</v>
      </c>
      <c r="E48">
        <v>26</v>
      </c>
      <c r="F48" t="s">
        <v>57</v>
      </c>
      <c r="G48" t="s">
        <v>124</v>
      </c>
      <c r="H48" t="s">
        <v>125</v>
      </c>
      <c r="I48">
        <v>10</v>
      </c>
    </row>
    <row r="49" spans="1:9" x14ac:dyDescent="0.2">
      <c r="A49">
        <v>416597</v>
      </c>
      <c r="B49">
        <v>6</v>
      </c>
      <c r="C49">
        <v>1700</v>
      </c>
      <c r="D49">
        <v>0</v>
      </c>
      <c r="E49">
        <v>13</v>
      </c>
      <c r="F49" t="s">
        <v>57</v>
      </c>
      <c r="G49" t="s">
        <v>58</v>
      </c>
      <c r="H49" t="s">
        <v>69</v>
      </c>
      <c r="I49">
        <v>10</v>
      </c>
    </row>
    <row r="50" spans="1:9" x14ac:dyDescent="0.2">
      <c r="A50">
        <v>416597</v>
      </c>
      <c r="B50">
        <v>7</v>
      </c>
      <c r="C50">
        <v>1704</v>
      </c>
      <c r="D50">
        <v>0</v>
      </c>
      <c r="E50">
        <v>13</v>
      </c>
      <c r="F50" t="s">
        <v>57</v>
      </c>
      <c r="G50" t="s">
        <v>82</v>
      </c>
      <c r="H50" t="s">
        <v>79</v>
      </c>
      <c r="I50">
        <v>10</v>
      </c>
    </row>
    <row r="51" spans="1:9" x14ac:dyDescent="0.2">
      <c r="A51">
        <v>490431</v>
      </c>
      <c r="B51">
        <v>1</v>
      </c>
      <c r="C51">
        <v>3237</v>
      </c>
      <c r="D51">
        <v>54590</v>
      </c>
      <c r="E51">
        <v>24</v>
      </c>
      <c r="F51" t="s">
        <v>47</v>
      </c>
      <c r="G51" t="s">
        <v>181</v>
      </c>
      <c r="H51" t="s">
        <v>46</v>
      </c>
      <c r="I51">
        <v>10</v>
      </c>
    </row>
    <row r="52" spans="1:9" x14ac:dyDescent="0.2">
      <c r="A52">
        <v>490431</v>
      </c>
      <c r="B52">
        <v>2</v>
      </c>
      <c r="C52">
        <v>3200</v>
      </c>
      <c r="D52">
        <v>0</v>
      </c>
      <c r="E52">
        <v>26</v>
      </c>
      <c r="F52" t="s">
        <v>47</v>
      </c>
      <c r="G52" t="s">
        <v>18</v>
      </c>
      <c r="H52" t="s">
        <v>46</v>
      </c>
      <c r="I52">
        <v>10</v>
      </c>
    </row>
    <row r="53" spans="1:9" x14ac:dyDescent="0.2">
      <c r="A53">
        <v>490431</v>
      </c>
      <c r="B53">
        <v>3</v>
      </c>
      <c r="C53">
        <v>3229</v>
      </c>
      <c r="D53">
        <v>0</v>
      </c>
      <c r="E53">
        <v>26</v>
      </c>
      <c r="F53" t="s">
        <v>47</v>
      </c>
      <c r="G53" t="s">
        <v>101</v>
      </c>
      <c r="H53" t="s">
        <v>46</v>
      </c>
      <c r="I53">
        <v>10</v>
      </c>
    </row>
    <row r="54" spans="1:9" x14ac:dyDescent="0.2">
      <c r="A54">
        <v>490431</v>
      </c>
      <c r="B54">
        <v>4</v>
      </c>
      <c r="C54">
        <v>2973</v>
      </c>
      <c r="D54">
        <v>0</v>
      </c>
      <c r="E54">
        <v>26</v>
      </c>
      <c r="F54" t="s">
        <v>119</v>
      </c>
      <c r="G54" t="s">
        <v>182</v>
      </c>
      <c r="H54" t="s">
        <v>136</v>
      </c>
      <c r="I54">
        <v>8</v>
      </c>
    </row>
    <row r="55" spans="1:9" x14ac:dyDescent="0.2">
      <c r="A55">
        <v>490431</v>
      </c>
      <c r="B55">
        <v>5</v>
      </c>
      <c r="C55">
        <v>2986</v>
      </c>
      <c r="D55">
        <v>0</v>
      </c>
      <c r="E55">
        <v>26</v>
      </c>
      <c r="F55" t="s">
        <v>119</v>
      </c>
      <c r="G55" t="s">
        <v>183</v>
      </c>
      <c r="H55" t="s">
        <v>136</v>
      </c>
      <c r="I55">
        <v>8</v>
      </c>
    </row>
    <row r="56" spans="1:9" x14ac:dyDescent="0.2">
      <c r="A56">
        <v>490773</v>
      </c>
      <c r="B56">
        <v>1</v>
      </c>
      <c r="C56">
        <v>3226</v>
      </c>
      <c r="D56">
        <v>0</v>
      </c>
      <c r="E56">
        <v>36</v>
      </c>
      <c r="F56" t="s">
        <v>47</v>
      </c>
      <c r="G56" t="s">
        <v>96</v>
      </c>
      <c r="H56" t="s">
        <v>46</v>
      </c>
      <c r="I56">
        <v>10</v>
      </c>
    </row>
    <row r="57" spans="1:9" x14ac:dyDescent="0.2">
      <c r="A57">
        <v>490773</v>
      </c>
      <c r="B57">
        <v>2</v>
      </c>
      <c r="C57">
        <v>3229</v>
      </c>
      <c r="D57">
        <v>0</v>
      </c>
      <c r="E57">
        <v>36</v>
      </c>
      <c r="F57" t="s">
        <v>47</v>
      </c>
      <c r="G57" t="s">
        <v>101</v>
      </c>
      <c r="H57" t="s">
        <v>46</v>
      </c>
      <c r="I57">
        <v>10</v>
      </c>
    </row>
    <row r="58" spans="1:9" x14ac:dyDescent="0.2">
      <c r="A58">
        <v>490773</v>
      </c>
      <c r="B58">
        <v>3</v>
      </c>
      <c r="C58">
        <v>1700</v>
      </c>
      <c r="D58">
        <v>0</v>
      </c>
      <c r="E58">
        <v>36</v>
      </c>
      <c r="F58" t="s">
        <v>57</v>
      </c>
      <c r="G58" t="s">
        <v>58</v>
      </c>
      <c r="H58" t="s">
        <v>69</v>
      </c>
      <c r="I58">
        <v>10</v>
      </c>
    </row>
    <row r="59" spans="1:9" x14ac:dyDescent="0.2">
      <c r="A59">
        <v>490773</v>
      </c>
      <c r="B59">
        <v>4</v>
      </c>
      <c r="C59">
        <v>1787</v>
      </c>
      <c r="D59">
        <v>0</v>
      </c>
      <c r="E59">
        <v>36</v>
      </c>
      <c r="F59" t="s">
        <v>57</v>
      </c>
      <c r="G59" t="s">
        <v>49</v>
      </c>
      <c r="H59" t="s">
        <v>56</v>
      </c>
      <c r="I59">
        <v>10</v>
      </c>
    </row>
    <row r="60" spans="1:9" x14ac:dyDescent="0.2">
      <c r="A60">
        <v>490773</v>
      </c>
      <c r="B60">
        <v>5</v>
      </c>
      <c r="C60">
        <v>1775</v>
      </c>
      <c r="D60">
        <v>0</v>
      </c>
      <c r="E60">
        <v>36</v>
      </c>
      <c r="F60" t="s">
        <v>57</v>
      </c>
      <c r="G60" t="s">
        <v>94</v>
      </c>
      <c r="H60" t="s">
        <v>69</v>
      </c>
      <c r="I60">
        <v>10</v>
      </c>
    </row>
    <row r="61" spans="1:9" x14ac:dyDescent="0.2">
      <c r="A61">
        <v>490773</v>
      </c>
      <c r="B61">
        <v>6</v>
      </c>
      <c r="C61">
        <v>3248</v>
      </c>
      <c r="D61">
        <v>0</v>
      </c>
      <c r="E61">
        <v>36</v>
      </c>
      <c r="F61" t="s">
        <v>47</v>
      </c>
      <c r="G61" t="s">
        <v>92</v>
      </c>
      <c r="H61" t="s">
        <v>46</v>
      </c>
      <c r="I61">
        <v>10</v>
      </c>
    </row>
    <row r="62" spans="1:9" x14ac:dyDescent="0.2">
      <c r="A62">
        <v>490773</v>
      </c>
      <c r="B62">
        <v>7</v>
      </c>
      <c r="C62">
        <v>3261</v>
      </c>
      <c r="D62">
        <v>0</v>
      </c>
      <c r="E62">
        <v>36</v>
      </c>
      <c r="F62" t="s">
        <v>47</v>
      </c>
      <c r="G62" t="s">
        <v>93</v>
      </c>
      <c r="H62" t="s">
        <v>46</v>
      </c>
      <c r="I62">
        <v>10</v>
      </c>
    </row>
    <row r="63" spans="1:9" x14ac:dyDescent="0.2">
      <c r="A63">
        <v>490773</v>
      </c>
      <c r="B63">
        <v>8</v>
      </c>
      <c r="C63">
        <v>1729</v>
      </c>
      <c r="D63">
        <v>0</v>
      </c>
      <c r="E63">
        <v>36</v>
      </c>
      <c r="F63" t="s">
        <v>57</v>
      </c>
      <c r="G63" t="s">
        <v>72</v>
      </c>
      <c r="H63" t="s">
        <v>69</v>
      </c>
      <c r="I63">
        <v>10</v>
      </c>
    </row>
    <row r="64" spans="1:9" x14ac:dyDescent="0.2">
      <c r="A64">
        <v>546257</v>
      </c>
      <c r="B64">
        <v>1</v>
      </c>
      <c r="C64">
        <v>1358</v>
      </c>
      <c r="D64">
        <v>57815</v>
      </c>
      <c r="E64">
        <v>25</v>
      </c>
      <c r="F64" t="s">
        <v>21</v>
      </c>
      <c r="G64" t="s">
        <v>210</v>
      </c>
      <c r="H64" t="s">
        <v>20</v>
      </c>
      <c r="I64">
        <v>8</v>
      </c>
    </row>
    <row r="65" spans="1:9" x14ac:dyDescent="0.2">
      <c r="A65">
        <v>546257</v>
      </c>
      <c r="B65">
        <v>2</v>
      </c>
      <c r="C65">
        <v>3735</v>
      </c>
      <c r="D65">
        <v>56825</v>
      </c>
      <c r="E65">
        <v>24</v>
      </c>
      <c r="F65" t="s">
        <v>116</v>
      </c>
      <c r="G65" t="s">
        <v>187</v>
      </c>
      <c r="H65" t="s">
        <v>61</v>
      </c>
      <c r="I65">
        <v>9</v>
      </c>
    </row>
    <row r="66" spans="1:9" x14ac:dyDescent="0.2">
      <c r="A66">
        <v>573763</v>
      </c>
      <c r="B66">
        <v>1</v>
      </c>
      <c r="C66">
        <v>1782</v>
      </c>
      <c r="D66">
        <v>61715</v>
      </c>
      <c r="E66">
        <v>24</v>
      </c>
      <c r="F66" t="s">
        <v>57</v>
      </c>
      <c r="G66" t="s">
        <v>63</v>
      </c>
      <c r="H66" t="s">
        <v>69</v>
      </c>
      <c r="I66">
        <v>10</v>
      </c>
    </row>
    <row r="67" spans="1:9" x14ac:dyDescent="0.2">
      <c r="A67">
        <v>573763</v>
      </c>
      <c r="B67">
        <v>2</v>
      </c>
      <c r="C67">
        <v>1784</v>
      </c>
      <c r="D67">
        <v>0</v>
      </c>
      <c r="E67">
        <v>26</v>
      </c>
      <c r="F67" t="s">
        <v>57</v>
      </c>
      <c r="G67" t="s">
        <v>87</v>
      </c>
      <c r="H67" t="s">
        <v>69</v>
      </c>
      <c r="I67">
        <v>10</v>
      </c>
    </row>
    <row r="68" spans="1:9" x14ac:dyDescent="0.2">
      <c r="A68">
        <v>573763</v>
      </c>
      <c r="B68">
        <v>3</v>
      </c>
      <c r="C68">
        <v>1777</v>
      </c>
      <c r="D68">
        <v>0</v>
      </c>
      <c r="E68">
        <v>26</v>
      </c>
      <c r="F68" t="s">
        <v>57</v>
      </c>
      <c r="G68" t="s">
        <v>88</v>
      </c>
      <c r="H68" t="s">
        <v>69</v>
      </c>
      <c r="I68">
        <v>10</v>
      </c>
    </row>
    <row r="69" spans="1:9" x14ac:dyDescent="0.2">
      <c r="A69">
        <v>573763</v>
      </c>
      <c r="B69">
        <v>4</v>
      </c>
      <c r="C69">
        <v>1756</v>
      </c>
      <c r="D69">
        <v>0</v>
      </c>
      <c r="E69">
        <v>26</v>
      </c>
      <c r="F69" t="s">
        <v>57</v>
      </c>
      <c r="G69" t="s">
        <v>89</v>
      </c>
      <c r="H69" t="s">
        <v>69</v>
      </c>
      <c r="I69">
        <v>10</v>
      </c>
    </row>
    <row r="70" spans="1:9" x14ac:dyDescent="0.2">
      <c r="A70">
        <v>573763</v>
      </c>
      <c r="B70">
        <v>5</v>
      </c>
      <c r="C70">
        <v>3740</v>
      </c>
      <c r="D70">
        <v>0</v>
      </c>
      <c r="E70">
        <v>26</v>
      </c>
      <c r="F70" t="s">
        <v>116</v>
      </c>
      <c r="G70" t="s">
        <v>63</v>
      </c>
      <c r="H70" t="s">
        <v>61</v>
      </c>
      <c r="I70">
        <v>9</v>
      </c>
    </row>
    <row r="71" spans="1:9" x14ac:dyDescent="0.2">
      <c r="A71">
        <v>589832</v>
      </c>
      <c r="B71">
        <v>1</v>
      </c>
      <c r="C71">
        <v>1776</v>
      </c>
      <c r="D71">
        <v>59330</v>
      </c>
      <c r="E71">
        <v>25</v>
      </c>
      <c r="F71" t="s">
        <v>57</v>
      </c>
      <c r="G71" t="s">
        <v>124</v>
      </c>
      <c r="H71" t="s">
        <v>125</v>
      </c>
      <c r="I71">
        <v>10</v>
      </c>
    </row>
    <row r="72" spans="1:9" x14ac:dyDescent="0.2">
      <c r="A72">
        <v>589832</v>
      </c>
      <c r="B72">
        <v>2</v>
      </c>
      <c r="C72">
        <v>1715</v>
      </c>
      <c r="D72">
        <v>60025</v>
      </c>
      <c r="E72">
        <v>25</v>
      </c>
      <c r="F72" t="s">
        <v>57</v>
      </c>
      <c r="G72" t="s">
        <v>151</v>
      </c>
      <c r="H72" t="s">
        <v>69</v>
      </c>
      <c r="I72">
        <v>10</v>
      </c>
    </row>
    <row r="73" spans="1:9" x14ac:dyDescent="0.2">
      <c r="A73">
        <v>589832</v>
      </c>
      <c r="B73">
        <v>3</v>
      </c>
      <c r="C73">
        <v>1714</v>
      </c>
      <c r="D73">
        <v>59330</v>
      </c>
      <c r="E73">
        <v>24</v>
      </c>
      <c r="F73" t="s">
        <v>57</v>
      </c>
      <c r="G73" t="s">
        <v>95</v>
      </c>
      <c r="H73" t="s">
        <v>69</v>
      </c>
      <c r="I73">
        <v>10</v>
      </c>
    </row>
    <row r="74" spans="1:9" x14ac:dyDescent="0.2">
      <c r="A74">
        <v>590990</v>
      </c>
      <c r="B74">
        <v>1</v>
      </c>
      <c r="C74">
        <v>3211</v>
      </c>
      <c r="D74">
        <v>54515</v>
      </c>
      <c r="E74">
        <v>24</v>
      </c>
      <c r="F74" t="s">
        <v>47</v>
      </c>
      <c r="G74" t="s">
        <v>99</v>
      </c>
      <c r="H74" t="s">
        <v>46</v>
      </c>
      <c r="I74">
        <v>10</v>
      </c>
    </row>
    <row r="75" spans="1:9" x14ac:dyDescent="0.2">
      <c r="A75">
        <v>590990</v>
      </c>
      <c r="B75">
        <v>2</v>
      </c>
      <c r="C75">
        <v>1703</v>
      </c>
      <c r="D75">
        <v>0</v>
      </c>
      <c r="E75">
        <v>26</v>
      </c>
      <c r="F75" t="s">
        <v>57</v>
      </c>
      <c r="G75" t="s">
        <v>109</v>
      </c>
      <c r="H75" t="s">
        <v>69</v>
      </c>
      <c r="I75">
        <v>10</v>
      </c>
    </row>
    <row r="76" spans="1:9" x14ac:dyDescent="0.2">
      <c r="A76">
        <v>590990</v>
      </c>
      <c r="B76">
        <v>3</v>
      </c>
      <c r="C76">
        <v>3252</v>
      </c>
      <c r="D76">
        <v>0</v>
      </c>
      <c r="E76">
        <v>26</v>
      </c>
      <c r="F76" t="s">
        <v>47</v>
      </c>
      <c r="G76" t="s">
        <v>45</v>
      </c>
      <c r="H76" t="s">
        <v>46</v>
      </c>
      <c r="I76">
        <v>10</v>
      </c>
    </row>
    <row r="77" spans="1:9" x14ac:dyDescent="0.2">
      <c r="A77">
        <v>590990</v>
      </c>
      <c r="B77">
        <v>4</v>
      </c>
      <c r="C77">
        <v>3246</v>
      </c>
      <c r="D77">
        <v>0</v>
      </c>
      <c r="E77">
        <v>26</v>
      </c>
      <c r="F77" t="s">
        <v>47</v>
      </c>
      <c r="G77" t="s">
        <v>91</v>
      </c>
      <c r="H77" t="s">
        <v>74</v>
      </c>
      <c r="I77">
        <v>10</v>
      </c>
    </row>
    <row r="78" spans="1:9" x14ac:dyDescent="0.2">
      <c r="A78">
        <v>606862</v>
      </c>
      <c r="B78">
        <v>1</v>
      </c>
      <c r="C78">
        <v>1705</v>
      </c>
      <c r="D78">
        <v>55110</v>
      </c>
      <c r="E78">
        <v>25</v>
      </c>
      <c r="F78" t="s">
        <v>57</v>
      </c>
      <c r="G78" t="s">
        <v>102</v>
      </c>
      <c r="H78" t="s">
        <v>69</v>
      </c>
      <c r="I78">
        <v>10</v>
      </c>
    </row>
    <row r="79" spans="1:9" x14ac:dyDescent="0.2">
      <c r="A79">
        <v>606862</v>
      </c>
      <c r="B79">
        <v>2</v>
      </c>
      <c r="C79">
        <v>1257</v>
      </c>
      <c r="D79">
        <v>54885</v>
      </c>
      <c r="E79">
        <v>25</v>
      </c>
      <c r="F79" t="s">
        <v>19</v>
      </c>
      <c r="G79" t="s">
        <v>199</v>
      </c>
      <c r="H79" t="s">
        <v>16</v>
      </c>
      <c r="I79" t="s">
        <v>448</v>
      </c>
    </row>
    <row r="80" spans="1:9" x14ac:dyDescent="0.2">
      <c r="A80">
        <v>606862</v>
      </c>
      <c r="B80">
        <v>3</v>
      </c>
      <c r="C80">
        <v>1715</v>
      </c>
      <c r="D80">
        <v>55675</v>
      </c>
      <c r="E80">
        <v>25</v>
      </c>
      <c r="F80" t="s">
        <v>57</v>
      </c>
      <c r="G80" t="s">
        <v>151</v>
      </c>
      <c r="H80" t="s">
        <v>69</v>
      </c>
      <c r="I80">
        <v>10</v>
      </c>
    </row>
    <row r="81" spans="1:9" x14ac:dyDescent="0.2">
      <c r="A81">
        <v>606862</v>
      </c>
      <c r="B81">
        <v>4</v>
      </c>
      <c r="C81">
        <v>3020</v>
      </c>
      <c r="D81">
        <v>55110</v>
      </c>
      <c r="E81">
        <v>25</v>
      </c>
      <c r="F81" t="s">
        <v>44</v>
      </c>
      <c r="G81" t="s">
        <v>102</v>
      </c>
      <c r="H81" t="s">
        <v>50</v>
      </c>
      <c r="I81">
        <v>9</v>
      </c>
    </row>
    <row r="82" spans="1:9" x14ac:dyDescent="0.2">
      <c r="A82">
        <v>606862</v>
      </c>
      <c r="B82">
        <v>5</v>
      </c>
      <c r="C82">
        <v>2326</v>
      </c>
      <c r="D82">
        <v>56295</v>
      </c>
      <c r="E82">
        <v>24</v>
      </c>
      <c r="F82" t="s">
        <v>39</v>
      </c>
      <c r="G82" t="s">
        <v>102</v>
      </c>
      <c r="H82" t="s">
        <v>38</v>
      </c>
      <c r="I82">
        <v>1</v>
      </c>
    </row>
    <row r="83" spans="1:9" x14ac:dyDescent="0.2">
      <c r="A83">
        <v>614724</v>
      </c>
      <c r="B83">
        <v>1</v>
      </c>
      <c r="C83">
        <v>3212</v>
      </c>
      <c r="D83">
        <v>47865</v>
      </c>
      <c r="E83">
        <v>25</v>
      </c>
      <c r="F83" t="s">
        <v>47</v>
      </c>
      <c r="G83" t="s">
        <v>84</v>
      </c>
      <c r="H83" t="s">
        <v>46</v>
      </c>
      <c r="I83">
        <v>10</v>
      </c>
    </row>
    <row r="84" spans="1:9" x14ac:dyDescent="0.2">
      <c r="A84">
        <v>614724</v>
      </c>
      <c r="B84">
        <v>2</v>
      </c>
      <c r="C84">
        <v>3211</v>
      </c>
      <c r="D84">
        <v>47660</v>
      </c>
      <c r="E84">
        <v>24</v>
      </c>
      <c r="F84" t="s">
        <v>47</v>
      </c>
      <c r="G84" t="s">
        <v>99</v>
      </c>
      <c r="H84" t="s">
        <v>46</v>
      </c>
      <c r="I84">
        <v>10</v>
      </c>
    </row>
    <row r="85" spans="1:9" x14ac:dyDescent="0.2">
      <c r="A85">
        <v>632544</v>
      </c>
      <c r="B85">
        <v>1</v>
      </c>
      <c r="C85">
        <v>1239</v>
      </c>
      <c r="D85">
        <v>73950</v>
      </c>
      <c r="E85">
        <v>25</v>
      </c>
      <c r="F85" t="s">
        <v>19</v>
      </c>
      <c r="G85" t="s">
        <v>160</v>
      </c>
      <c r="H85" t="s">
        <v>16</v>
      </c>
      <c r="I85" t="s">
        <v>448</v>
      </c>
    </row>
    <row r="86" spans="1:9" x14ac:dyDescent="0.2">
      <c r="A86">
        <v>632544</v>
      </c>
      <c r="B86">
        <v>2</v>
      </c>
      <c r="C86">
        <v>1145</v>
      </c>
      <c r="D86">
        <v>73950</v>
      </c>
      <c r="E86">
        <v>24</v>
      </c>
      <c r="F86" t="s">
        <v>17</v>
      </c>
      <c r="G86" t="s">
        <v>159</v>
      </c>
      <c r="H86" t="s">
        <v>16</v>
      </c>
      <c r="I86" t="s">
        <v>448</v>
      </c>
    </row>
    <row r="87" spans="1:9" x14ac:dyDescent="0.2">
      <c r="A87">
        <v>632544</v>
      </c>
      <c r="B87">
        <v>3</v>
      </c>
      <c r="C87">
        <v>1507</v>
      </c>
      <c r="D87">
        <v>0</v>
      </c>
      <c r="E87">
        <v>26</v>
      </c>
      <c r="F87" t="s">
        <v>142</v>
      </c>
      <c r="G87" t="s">
        <v>66</v>
      </c>
      <c r="H87" t="s">
        <v>31</v>
      </c>
      <c r="I87">
        <v>5</v>
      </c>
    </row>
    <row r="88" spans="1:9" x14ac:dyDescent="0.2">
      <c r="A88">
        <v>656089</v>
      </c>
      <c r="B88">
        <v>1</v>
      </c>
      <c r="C88">
        <v>1381</v>
      </c>
      <c r="D88">
        <v>57830</v>
      </c>
      <c r="E88">
        <v>25</v>
      </c>
      <c r="F88" t="s">
        <v>21</v>
      </c>
      <c r="G88" t="s">
        <v>103</v>
      </c>
      <c r="H88" t="s">
        <v>20</v>
      </c>
      <c r="I88">
        <v>8</v>
      </c>
    </row>
    <row r="89" spans="1:9" x14ac:dyDescent="0.2">
      <c r="A89">
        <v>656089</v>
      </c>
      <c r="B89">
        <v>2</v>
      </c>
      <c r="C89">
        <v>1786</v>
      </c>
      <c r="D89">
        <v>56925</v>
      </c>
      <c r="E89">
        <v>25</v>
      </c>
      <c r="F89" t="s">
        <v>57</v>
      </c>
      <c r="G89" t="s">
        <v>103</v>
      </c>
      <c r="H89" t="s">
        <v>56</v>
      </c>
      <c r="I89">
        <v>10</v>
      </c>
    </row>
    <row r="90" spans="1:9" x14ac:dyDescent="0.2">
      <c r="A90">
        <v>656089</v>
      </c>
      <c r="B90">
        <v>3</v>
      </c>
      <c r="C90">
        <v>3422</v>
      </c>
      <c r="D90">
        <v>57295</v>
      </c>
      <c r="E90">
        <v>25</v>
      </c>
      <c r="F90" t="s">
        <v>36</v>
      </c>
      <c r="G90" t="s">
        <v>103</v>
      </c>
      <c r="H90" t="s">
        <v>35</v>
      </c>
      <c r="I90">
        <v>7</v>
      </c>
    </row>
    <row r="91" spans="1:9" x14ac:dyDescent="0.2">
      <c r="A91">
        <v>656089</v>
      </c>
      <c r="B91">
        <v>4</v>
      </c>
      <c r="C91">
        <v>1388</v>
      </c>
      <c r="D91">
        <v>57290</v>
      </c>
      <c r="E91">
        <v>25</v>
      </c>
      <c r="F91" t="s">
        <v>21</v>
      </c>
      <c r="G91" t="s">
        <v>151</v>
      </c>
      <c r="H91" t="s">
        <v>20</v>
      </c>
      <c r="I91">
        <v>8</v>
      </c>
    </row>
    <row r="92" spans="1:9" x14ac:dyDescent="0.2">
      <c r="A92">
        <v>656089</v>
      </c>
      <c r="B92">
        <v>5</v>
      </c>
      <c r="C92">
        <v>2952</v>
      </c>
      <c r="D92">
        <v>57105</v>
      </c>
      <c r="E92">
        <v>25</v>
      </c>
      <c r="F92" t="s">
        <v>119</v>
      </c>
      <c r="G92" t="s">
        <v>102</v>
      </c>
      <c r="H92" t="s">
        <v>136</v>
      </c>
      <c r="I92">
        <v>8</v>
      </c>
    </row>
    <row r="93" spans="1:9" x14ac:dyDescent="0.2">
      <c r="A93">
        <v>656089</v>
      </c>
      <c r="B93">
        <v>6</v>
      </c>
      <c r="C93">
        <v>1995</v>
      </c>
      <c r="D93">
        <v>57815</v>
      </c>
      <c r="E93">
        <v>25</v>
      </c>
      <c r="F93" t="s">
        <v>32</v>
      </c>
      <c r="G93" t="s">
        <v>112</v>
      </c>
      <c r="H93" t="s">
        <v>113</v>
      </c>
      <c r="I93">
        <v>5</v>
      </c>
    </row>
    <row r="94" spans="1:9" x14ac:dyDescent="0.2">
      <c r="A94">
        <v>656089</v>
      </c>
      <c r="B94">
        <v>7</v>
      </c>
      <c r="C94">
        <v>1993</v>
      </c>
      <c r="D94">
        <v>57815</v>
      </c>
      <c r="E94">
        <v>24</v>
      </c>
      <c r="F94" t="s">
        <v>32</v>
      </c>
      <c r="G94" t="s">
        <v>110</v>
      </c>
      <c r="H94" t="s">
        <v>111</v>
      </c>
      <c r="I94">
        <v>5</v>
      </c>
    </row>
    <row r="95" spans="1:9" x14ac:dyDescent="0.2">
      <c r="A95">
        <v>656089</v>
      </c>
      <c r="B95">
        <v>8</v>
      </c>
      <c r="C95">
        <v>1690</v>
      </c>
      <c r="D95">
        <v>0</v>
      </c>
      <c r="E95">
        <v>26</v>
      </c>
      <c r="F95" t="s">
        <v>128</v>
      </c>
      <c r="G95" t="s">
        <v>401</v>
      </c>
      <c r="H95" t="s">
        <v>127</v>
      </c>
      <c r="I95" t="s">
        <v>448</v>
      </c>
    </row>
    <row r="96" spans="1:9" x14ac:dyDescent="0.2">
      <c r="A96">
        <v>662802</v>
      </c>
      <c r="B96">
        <v>1</v>
      </c>
      <c r="C96">
        <v>3243</v>
      </c>
      <c r="D96">
        <v>47955</v>
      </c>
      <c r="E96">
        <v>25</v>
      </c>
      <c r="F96" t="s">
        <v>47</v>
      </c>
      <c r="G96" t="s">
        <v>75</v>
      </c>
      <c r="H96" t="s">
        <v>46</v>
      </c>
      <c r="I96">
        <v>10</v>
      </c>
    </row>
    <row r="97" spans="1:9" x14ac:dyDescent="0.2">
      <c r="A97">
        <v>662802</v>
      </c>
      <c r="B97">
        <v>2</v>
      </c>
      <c r="C97">
        <v>3234</v>
      </c>
      <c r="D97">
        <v>49085</v>
      </c>
      <c r="E97">
        <v>25</v>
      </c>
      <c r="F97" t="s">
        <v>47</v>
      </c>
      <c r="G97" t="s">
        <v>76</v>
      </c>
      <c r="H97" t="s">
        <v>46</v>
      </c>
      <c r="I97">
        <v>10</v>
      </c>
    </row>
    <row r="98" spans="1:9" x14ac:dyDescent="0.2">
      <c r="A98">
        <v>662802</v>
      </c>
      <c r="B98">
        <v>3</v>
      </c>
      <c r="C98">
        <v>3248</v>
      </c>
      <c r="D98">
        <v>48600</v>
      </c>
      <c r="E98">
        <v>25</v>
      </c>
      <c r="F98" t="s">
        <v>47</v>
      </c>
      <c r="G98" t="s">
        <v>92</v>
      </c>
      <c r="H98" t="s">
        <v>46</v>
      </c>
      <c r="I98">
        <v>10</v>
      </c>
    </row>
    <row r="99" spans="1:9" x14ac:dyDescent="0.2">
      <c r="A99">
        <v>662802</v>
      </c>
      <c r="B99">
        <v>4</v>
      </c>
      <c r="C99">
        <v>3261</v>
      </c>
      <c r="D99">
        <v>48880</v>
      </c>
      <c r="E99">
        <v>25</v>
      </c>
      <c r="F99" t="s">
        <v>47</v>
      </c>
      <c r="G99" t="s">
        <v>93</v>
      </c>
      <c r="H99" t="s">
        <v>46</v>
      </c>
      <c r="I99">
        <v>10</v>
      </c>
    </row>
    <row r="100" spans="1:9" x14ac:dyDescent="0.2">
      <c r="A100">
        <v>662802</v>
      </c>
      <c r="B100">
        <v>5</v>
      </c>
      <c r="C100">
        <v>3225</v>
      </c>
      <c r="D100">
        <v>46515</v>
      </c>
      <c r="E100">
        <v>25</v>
      </c>
      <c r="F100" t="s">
        <v>47</v>
      </c>
      <c r="G100" t="s">
        <v>106</v>
      </c>
      <c r="H100" t="s">
        <v>46</v>
      </c>
      <c r="I100">
        <v>10</v>
      </c>
    </row>
    <row r="101" spans="1:9" x14ac:dyDescent="0.2">
      <c r="A101">
        <v>662802</v>
      </c>
      <c r="B101">
        <v>6</v>
      </c>
      <c r="C101">
        <v>3226</v>
      </c>
      <c r="D101">
        <v>46515</v>
      </c>
      <c r="E101">
        <v>24</v>
      </c>
      <c r="F101" t="s">
        <v>47</v>
      </c>
      <c r="G101" t="s">
        <v>96</v>
      </c>
      <c r="H101" t="s">
        <v>46</v>
      </c>
      <c r="I101">
        <v>10</v>
      </c>
    </row>
    <row r="102" spans="1:9" x14ac:dyDescent="0.2">
      <c r="A102">
        <v>662802</v>
      </c>
      <c r="B102">
        <v>7</v>
      </c>
      <c r="C102">
        <v>3252</v>
      </c>
      <c r="D102">
        <v>0</v>
      </c>
      <c r="E102">
        <v>26</v>
      </c>
      <c r="F102" t="s">
        <v>47</v>
      </c>
      <c r="G102" t="s">
        <v>45</v>
      </c>
      <c r="H102" t="s">
        <v>46</v>
      </c>
      <c r="I102">
        <v>10</v>
      </c>
    </row>
    <row r="103" spans="1:9" x14ac:dyDescent="0.2">
      <c r="A103">
        <v>733576</v>
      </c>
      <c r="B103">
        <v>1</v>
      </c>
      <c r="C103">
        <v>1765</v>
      </c>
      <c r="D103">
        <v>52900</v>
      </c>
      <c r="E103">
        <v>25</v>
      </c>
      <c r="F103" t="s">
        <v>57</v>
      </c>
      <c r="G103" t="s">
        <v>68</v>
      </c>
      <c r="H103" t="s">
        <v>69</v>
      </c>
      <c r="I103">
        <v>10</v>
      </c>
    </row>
    <row r="104" spans="1:9" x14ac:dyDescent="0.2">
      <c r="A104">
        <v>733576</v>
      </c>
      <c r="B104">
        <v>2</v>
      </c>
      <c r="C104">
        <v>1354</v>
      </c>
      <c r="D104">
        <v>52860</v>
      </c>
      <c r="E104">
        <v>25</v>
      </c>
      <c r="F104" t="s">
        <v>21</v>
      </c>
      <c r="G104" t="s">
        <v>253</v>
      </c>
      <c r="H104" t="s">
        <v>20</v>
      </c>
      <c r="I104">
        <v>8</v>
      </c>
    </row>
    <row r="105" spans="1:9" x14ac:dyDescent="0.2">
      <c r="A105">
        <v>733576</v>
      </c>
      <c r="B105">
        <v>3</v>
      </c>
      <c r="C105">
        <v>1324</v>
      </c>
      <c r="D105">
        <v>52395</v>
      </c>
      <c r="E105">
        <v>25</v>
      </c>
      <c r="F105" t="s">
        <v>21</v>
      </c>
      <c r="G105" t="s">
        <v>63</v>
      </c>
      <c r="H105" t="s">
        <v>20</v>
      </c>
      <c r="I105">
        <v>8</v>
      </c>
    </row>
    <row r="106" spans="1:9" x14ac:dyDescent="0.2">
      <c r="A106">
        <v>733576</v>
      </c>
      <c r="B106">
        <v>4</v>
      </c>
      <c r="C106">
        <v>3601</v>
      </c>
      <c r="D106">
        <v>53225</v>
      </c>
      <c r="E106">
        <v>25</v>
      </c>
      <c r="F106" t="s">
        <v>108</v>
      </c>
      <c r="G106" t="s">
        <v>63</v>
      </c>
      <c r="H106" t="s">
        <v>20</v>
      </c>
      <c r="I106">
        <v>8</v>
      </c>
    </row>
    <row r="107" spans="1:9" x14ac:dyDescent="0.2">
      <c r="A107">
        <v>733576</v>
      </c>
      <c r="B107">
        <v>5</v>
      </c>
      <c r="C107">
        <v>3740</v>
      </c>
      <c r="D107">
        <v>52485</v>
      </c>
      <c r="E107">
        <v>25</v>
      </c>
      <c r="F107" t="s">
        <v>116</v>
      </c>
      <c r="G107" t="s">
        <v>63</v>
      </c>
      <c r="H107" t="s">
        <v>61</v>
      </c>
      <c r="I107">
        <v>9</v>
      </c>
    </row>
    <row r="108" spans="1:9" x14ac:dyDescent="0.2">
      <c r="A108">
        <v>733576</v>
      </c>
      <c r="B108">
        <v>6</v>
      </c>
      <c r="C108">
        <v>3705</v>
      </c>
      <c r="D108">
        <v>52390</v>
      </c>
      <c r="E108">
        <v>24</v>
      </c>
      <c r="F108" t="s">
        <v>116</v>
      </c>
      <c r="G108" t="s">
        <v>68</v>
      </c>
      <c r="H108" t="s">
        <v>61</v>
      </c>
      <c r="I108">
        <v>9</v>
      </c>
    </row>
    <row r="109" spans="1:9" x14ac:dyDescent="0.2">
      <c r="A109">
        <v>738180</v>
      </c>
      <c r="B109">
        <v>1</v>
      </c>
      <c r="C109">
        <v>1787</v>
      </c>
      <c r="D109">
        <v>51925</v>
      </c>
      <c r="E109">
        <v>25</v>
      </c>
      <c r="F109" t="s">
        <v>57</v>
      </c>
      <c r="G109" t="s">
        <v>49</v>
      </c>
      <c r="H109" t="s">
        <v>56</v>
      </c>
      <c r="I109">
        <v>10</v>
      </c>
    </row>
    <row r="110" spans="1:9" x14ac:dyDescent="0.2">
      <c r="A110">
        <v>738180</v>
      </c>
      <c r="B110">
        <v>2</v>
      </c>
      <c r="C110">
        <v>3229</v>
      </c>
      <c r="D110">
        <v>51535</v>
      </c>
      <c r="E110">
        <v>25</v>
      </c>
      <c r="F110" t="s">
        <v>47</v>
      </c>
      <c r="G110" t="s">
        <v>101</v>
      </c>
      <c r="H110" t="s">
        <v>46</v>
      </c>
      <c r="I110">
        <v>10</v>
      </c>
    </row>
    <row r="111" spans="1:9" x14ac:dyDescent="0.2">
      <c r="A111">
        <v>738180</v>
      </c>
      <c r="B111">
        <v>3</v>
      </c>
      <c r="C111">
        <v>3225</v>
      </c>
      <c r="D111">
        <v>51740</v>
      </c>
      <c r="E111">
        <v>24</v>
      </c>
      <c r="F111" t="s">
        <v>47</v>
      </c>
      <c r="G111" t="s">
        <v>106</v>
      </c>
      <c r="H111" t="s">
        <v>46</v>
      </c>
      <c r="I111">
        <v>10</v>
      </c>
    </row>
    <row r="112" spans="1:9" x14ac:dyDescent="0.2">
      <c r="A112">
        <v>738180</v>
      </c>
      <c r="B112">
        <v>4</v>
      </c>
      <c r="C112">
        <v>3223</v>
      </c>
      <c r="D112">
        <v>0</v>
      </c>
      <c r="E112">
        <v>26</v>
      </c>
      <c r="F112" t="s">
        <v>47</v>
      </c>
      <c r="G112" t="s">
        <v>105</v>
      </c>
      <c r="H112" t="s">
        <v>46</v>
      </c>
      <c r="I112">
        <v>10</v>
      </c>
    </row>
    <row r="113" spans="1:9" x14ac:dyDescent="0.2">
      <c r="A113">
        <v>738180</v>
      </c>
      <c r="B113">
        <v>5</v>
      </c>
      <c r="C113">
        <v>3226</v>
      </c>
      <c r="D113">
        <v>0</v>
      </c>
      <c r="E113">
        <v>26</v>
      </c>
      <c r="F113" t="s">
        <v>47</v>
      </c>
      <c r="G113" t="s">
        <v>96</v>
      </c>
      <c r="H113" t="s">
        <v>46</v>
      </c>
      <c r="I113">
        <v>10</v>
      </c>
    </row>
    <row r="114" spans="1:9" x14ac:dyDescent="0.2">
      <c r="A114">
        <v>738180</v>
      </c>
      <c r="B114">
        <v>6</v>
      </c>
      <c r="C114">
        <v>1786</v>
      </c>
      <c r="D114">
        <v>0</v>
      </c>
      <c r="E114">
        <v>26</v>
      </c>
      <c r="F114" t="s">
        <v>57</v>
      </c>
      <c r="G114" t="s">
        <v>103</v>
      </c>
      <c r="H114" t="s">
        <v>56</v>
      </c>
      <c r="I114">
        <v>10</v>
      </c>
    </row>
    <row r="115" spans="1:9" x14ac:dyDescent="0.2">
      <c r="A115">
        <v>738180</v>
      </c>
      <c r="B115">
        <v>7</v>
      </c>
      <c r="C115">
        <v>1705</v>
      </c>
      <c r="D115">
        <v>0</v>
      </c>
      <c r="E115">
        <v>26</v>
      </c>
      <c r="F115" t="s">
        <v>57</v>
      </c>
      <c r="G115" t="s">
        <v>102</v>
      </c>
      <c r="H115" t="s">
        <v>69</v>
      </c>
      <c r="I115">
        <v>10</v>
      </c>
    </row>
    <row r="116" spans="1:9" x14ac:dyDescent="0.2">
      <c r="A116">
        <v>749000</v>
      </c>
      <c r="B116">
        <v>1</v>
      </c>
      <c r="C116">
        <v>3234</v>
      </c>
      <c r="D116">
        <v>52850</v>
      </c>
      <c r="E116">
        <v>25</v>
      </c>
      <c r="F116" t="s">
        <v>47</v>
      </c>
      <c r="G116" t="s">
        <v>76</v>
      </c>
      <c r="H116" t="s">
        <v>46</v>
      </c>
      <c r="I116">
        <v>10</v>
      </c>
    </row>
    <row r="117" spans="1:9" x14ac:dyDescent="0.2">
      <c r="A117">
        <v>749000</v>
      </c>
      <c r="B117">
        <v>2</v>
      </c>
      <c r="C117">
        <v>3212</v>
      </c>
      <c r="D117">
        <v>53040</v>
      </c>
      <c r="E117">
        <v>24</v>
      </c>
      <c r="F117" t="s">
        <v>47</v>
      </c>
      <c r="G117" t="s">
        <v>84</v>
      </c>
      <c r="H117" t="s">
        <v>46</v>
      </c>
      <c r="I117">
        <v>10</v>
      </c>
    </row>
    <row r="118" spans="1:9" x14ac:dyDescent="0.2">
      <c r="A118">
        <v>749000</v>
      </c>
      <c r="B118">
        <v>3</v>
      </c>
      <c r="C118">
        <v>3239</v>
      </c>
      <c r="D118">
        <v>0</v>
      </c>
      <c r="E118">
        <v>26</v>
      </c>
      <c r="F118" t="s">
        <v>47</v>
      </c>
      <c r="G118" t="s">
        <v>107</v>
      </c>
      <c r="H118" t="s">
        <v>46</v>
      </c>
      <c r="I118">
        <v>10</v>
      </c>
    </row>
    <row r="119" spans="1:9" x14ac:dyDescent="0.2">
      <c r="A119">
        <v>749000</v>
      </c>
      <c r="B119">
        <v>4</v>
      </c>
      <c r="C119">
        <v>3296</v>
      </c>
      <c r="D119">
        <v>0</v>
      </c>
      <c r="E119">
        <v>26</v>
      </c>
      <c r="F119" t="s">
        <v>47</v>
      </c>
      <c r="G119" t="s">
        <v>100</v>
      </c>
      <c r="H119" t="s">
        <v>46</v>
      </c>
      <c r="I119">
        <v>10</v>
      </c>
    </row>
    <row r="120" spans="1:9" x14ac:dyDescent="0.2">
      <c r="A120">
        <v>749000</v>
      </c>
      <c r="B120">
        <v>5</v>
      </c>
      <c r="C120">
        <v>3226</v>
      </c>
      <c r="D120">
        <v>0</v>
      </c>
      <c r="E120">
        <v>26</v>
      </c>
      <c r="F120" t="s">
        <v>47</v>
      </c>
      <c r="G120" t="s">
        <v>96</v>
      </c>
      <c r="H120" t="s">
        <v>46</v>
      </c>
      <c r="I120">
        <v>10</v>
      </c>
    </row>
    <row r="121" spans="1:9" x14ac:dyDescent="0.2">
      <c r="A121">
        <v>749000</v>
      </c>
      <c r="B121">
        <v>6</v>
      </c>
      <c r="C121">
        <v>3223</v>
      </c>
      <c r="D121">
        <v>0</v>
      </c>
      <c r="E121">
        <v>26</v>
      </c>
      <c r="F121" t="s">
        <v>47</v>
      </c>
      <c r="G121" t="s">
        <v>105</v>
      </c>
      <c r="H121" t="s">
        <v>46</v>
      </c>
      <c r="I121">
        <v>10</v>
      </c>
    </row>
    <row r="122" spans="1:9" x14ac:dyDescent="0.2">
      <c r="A122">
        <v>749000</v>
      </c>
      <c r="B122">
        <v>7</v>
      </c>
      <c r="C122">
        <v>3229</v>
      </c>
      <c r="D122">
        <v>0</v>
      </c>
      <c r="E122">
        <v>26</v>
      </c>
      <c r="F122" t="s">
        <v>47</v>
      </c>
      <c r="G122" t="s">
        <v>101</v>
      </c>
      <c r="H122" t="s">
        <v>46</v>
      </c>
      <c r="I122">
        <v>10</v>
      </c>
    </row>
    <row r="123" spans="1:9" x14ac:dyDescent="0.2">
      <c r="A123">
        <v>749000</v>
      </c>
      <c r="B123">
        <v>8</v>
      </c>
      <c r="C123">
        <v>3225</v>
      </c>
      <c r="D123">
        <v>0</v>
      </c>
      <c r="E123">
        <v>26</v>
      </c>
      <c r="F123" t="s">
        <v>47</v>
      </c>
      <c r="G123" t="s">
        <v>106</v>
      </c>
      <c r="H123" t="s">
        <v>46</v>
      </c>
      <c r="I123">
        <v>10</v>
      </c>
    </row>
    <row r="124" spans="1:9" x14ac:dyDescent="0.2">
      <c r="A124">
        <v>766666</v>
      </c>
      <c r="B124">
        <v>1</v>
      </c>
      <c r="C124">
        <v>1711</v>
      </c>
      <c r="D124">
        <v>63940</v>
      </c>
      <c r="E124">
        <v>24</v>
      </c>
      <c r="F124" t="s">
        <v>57</v>
      </c>
      <c r="G124" t="s">
        <v>201</v>
      </c>
      <c r="H124" t="s">
        <v>69</v>
      </c>
      <c r="I124">
        <v>10</v>
      </c>
    </row>
    <row r="125" spans="1:9" x14ac:dyDescent="0.2">
      <c r="A125">
        <v>766666</v>
      </c>
      <c r="B125">
        <v>2</v>
      </c>
      <c r="C125">
        <v>1728</v>
      </c>
      <c r="D125">
        <v>0</v>
      </c>
      <c r="E125">
        <v>26</v>
      </c>
      <c r="F125" t="s">
        <v>57</v>
      </c>
      <c r="G125" t="s">
        <v>103</v>
      </c>
      <c r="H125" t="s">
        <v>69</v>
      </c>
      <c r="I125">
        <v>10</v>
      </c>
    </row>
    <row r="126" spans="1:9" x14ac:dyDescent="0.2">
      <c r="A126">
        <v>766666</v>
      </c>
      <c r="B126">
        <v>3</v>
      </c>
      <c r="C126">
        <v>1786</v>
      </c>
      <c r="D126">
        <v>0</v>
      </c>
      <c r="E126">
        <v>26</v>
      </c>
      <c r="F126" t="s">
        <v>57</v>
      </c>
      <c r="G126" t="s">
        <v>103</v>
      </c>
      <c r="H126" t="s">
        <v>56</v>
      </c>
      <c r="I126">
        <v>10</v>
      </c>
    </row>
    <row r="127" spans="1:9" x14ac:dyDescent="0.2">
      <c r="A127">
        <v>820493</v>
      </c>
      <c r="B127">
        <v>1</v>
      </c>
      <c r="C127">
        <v>1705</v>
      </c>
      <c r="D127">
        <v>62320</v>
      </c>
      <c r="E127">
        <v>24</v>
      </c>
      <c r="F127" t="s">
        <v>57</v>
      </c>
      <c r="G127" t="s">
        <v>102</v>
      </c>
      <c r="H127" t="s">
        <v>69</v>
      </c>
      <c r="I127">
        <v>10</v>
      </c>
    </row>
    <row r="128" spans="1:9" x14ac:dyDescent="0.2">
      <c r="A128">
        <v>820493</v>
      </c>
      <c r="B128">
        <v>2</v>
      </c>
      <c r="C128">
        <v>1715</v>
      </c>
      <c r="D128">
        <v>0</v>
      </c>
      <c r="E128">
        <v>26</v>
      </c>
      <c r="F128" t="s">
        <v>57</v>
      </c>
      <c r="G128" t="s">
        <v>151</v>
      </c>
      <c r="H128" t="s">
        <v>69</v>
      </c>
      <c r="I128">
        <v>10</v>
      </c>
    </row>
    <row r="129" spans="1:9" x14ac:dyDescent="0.2">
      <c r="A129">
        <v>820493</v>
      </c>
      <c r="B129">
        <v>3</v>
      </c>
      <c r="C129">
        <v>1776</v>
      </c>
      <c r="D129">
        <v>0</v>
      </c>
      <c r="E129">
        <v>26</v>
      </c>
      <c r="F129" t="s">
        <v>57</v>
      </c>
      <c r="G129" t="s">
        <v>124</v>
      </c>
      <c r="H129" t="s">
        <v>125</v>
      </c>
      <c r="I129">
        <v>10</v>
      </c>
    </row>
    <row r="130" spans="1:9" x14ac:dyDescent="0.2">
      <c r="A130">
        <v>820493</v>
      </c>
      <c r="B130">
        <v>4</v>
      </c>
      <c r="C130">
        <v>1728</v>
      </c>
      <c r="D130">
        <v>0</v>
      </c>
      <c r="E130">
        <v>26</v>
      </c>
      <c r="F130" t="s">
        <v>57</v>
      </c>
      <c r="G130" t="s">
        <v>103</v>
      </c>
      <c r="H130" t="s">
        <v>69</v>
      </c>
      <c r="I130">
        <v>10</v>
      </c>
    </row>
    <row r="131" spans="1:9" x14ac:dyDescent="0.2">
      <c r="A131">
        <v>820493</v>
      </c>
      <c r="B131">
        <v>5</v>
      </c>
      <c r="C131">
        <v>1734</v>
      </c>
      <c r="D131">
        <v>0</v>
      </c>
      <c r="E131">
        <v>26</v>
      </c>
      <c r="F131" t="s">
        <v>57</v>
      </c>
      <c r="G131" t="s">
        <v>81</v>
      </c>
      <c r="H131" t="s">
        <v>69</v>
      </c>
      <c r="I131">
        <v>10</v>
      </c>
    </row>
    <row r="132" spans="1:9" x14ac:dyDescent="0.2">
      <c r="A132">
        <v>878415</v>
      </c>
      <c r="B132">
        <v>1</v>
      </c>
      <c r="C132">
        <v>1258</v>
      </c>
      <c r="D132">
        <v>74445</v>
      </c>
      <c r="E132">
        <v>25</v>
      </c>
      <c r="F132" t="s">
        <v>19</v>
      </c>
      <c r="G132" t="s">
        <v>170</v>
      </c>
      <c r="H132" t="s">
        <v>16</v>
      </c>
      <c r="I132" t="s">
        <v>448</v>
      </c>
    </row>
    <row r="133" spans="1:9" x14ac:dyDescent="0.2">
      <c r="A133">
        <v>878415</v>
      </c>
      <c r="B133">
        <v>2</v>
      </c>
      <c r="C133">
        <v>1183</v>
      </c>
      <c r="D133">
        <v>74585</v>
      </c>
      <c r="E133">
        <v>25</v>
      </c>
      <c r="F133" t="s">
        <v>17</v>
      </c>
      <c r="G133" t="s">
        <v>171</v>
      </c>
      <c r="H133" t="s">
        <v>16</v>
      </c>
      <c r="I133" t="s">
        <v>448</v>
      </c>
    </row>
    <row r="134" spans="1:9" x14ac:dyDescent="0.2">
      <c r="A134">
        <v>878415</v>
      </c>
      <c r="B134">
        <v>3</v>
      </c>
      <c r="C134">
        <v>1211</v>
      </c>
      <c r="D134">
        <v>74630</v>
      </c>
      <c r="E134">
        <v>24</v>
      </c>
      <c r="F134" t="s">
        <v>19</v>
      </c>
      <c r="G134" t="s">
        <v>204</v>
      </c>
      <c r="H134" t="s">
        <v>16</v>
      </c>
      <c r="I134" t="s">
        <v>448</v>
      </c>
    </row>
    <row r="135" spans="1:9" x14ac:dyDescent="0.2">
      <c r="A135">
        <v>878415</v>
      </c>
      <c r="B135">
        <v>4</v>
      </c>
      <c r="C135">
        <v>1691</v>
      </c>
      <c r="D135">
        <v>0</v>
      </c>
      <c r="E135">
        <v>26</v>
      </c>
      <c r="F135" t="s">
        <v>128</v>
      </c>
      <c r="G135" t="s">
        <v>170</v>
      </c>
      <c r="H135" t="s">
        <v>127</v>
      </c>
      <c r="I135" t="s">
        <v>448</v>
      </c>
    </row>
    <row r="136" spans="1:9" x14ac:dyDescent="0.2">
      <c r="A136">
        <v>906004</v>
      </c>
      <c r="B136">
        <v>1</v>
      </c>
      <c r="C136">
        <v>3225</v>
      </c>
      <c r="D136">
        <v>46645</v>
      </c>
      <c r="E136">
        <v>24</v>
      </c>
      <c r="F136" t="s">
        <v>47</v>
      </c>
      <c r="G136" t="s">
        <v>106</v>
      </c>
      <c r="H136" t="s">
        <v>46</v>
      </c>
      <c r="I136">
        <v>10</v>
      </c>
    </row>
    <row r="137" spans="1:9" x14ac:dyDescent="0.2">
      <c r="A137">
        <v>906004</v>
      </c>
      <c r="B137">
        <v>2</v>
      </c>
      <c r="C137">
        <v>3269</v>
      </c>
      <c r="D137">
        <v>0</v>
      </c>
      <c r="E137">
        <v>26</v>
      </c>
      <c r="F137" t="s">
        <v>47</v>
      </c>
      <c r="G137" t="s">
        <v>180</v>
      </c>
      <c r="H137" t="s">
        <v>46</v>
      </c>
      <c r="I137">
        <v>10</v>
      </c>
    </row>
    <row r="138" spans="1:9" x14ac:dyDescent="0.2">
      <c r="A138">
        <v>906004</v>
      </c>
      <c r="B138">
        <v>3</v>
      </c>
      <c r="C138">
        <v>3242</v>
      </c>
      <c r="D138">
        <v>0</v>
      </c>
      <c r="E138">
        <v>26</v>
      </c>
      <c r="F138" t="s">
        <v>47</v>
      </c>
      <c r="G138" t="s">
        <v>90</v>
      </c>
      <c r="H138" t="s">
        <v>46</v>
      </c>
      <c r="I138">
        <v>10</v>
      </c>
    </row>
    <row r="139" spans="1:9" x14ac:dyDescent="0.2">
      <c r="A139">
        <v>906004</v>
      </c>
      <c r="B139">
        <v>4</v>
      </c>
      <c r="C139">
        <v>3223</v>
      </c>
      <c r="D139">
        <v>0</v>
      </c>
      <c r="E139">
        <v>26</v>
      </c>
      <c r="F139" t="s">
        <v>47</v>
      </c>
      <c r="G139" t="s">
        <v>105</v>
      </c>
      <c r="H139" t="s">
        <v>46</v>
      </c>
      <c r="I139">
        <v>10</v>
      </c>
    </row>
    <row r="140" spans="1:9" x14ac:dyDescent="0.2">
      <c r="A140">
        <v>924241</v>
      </c>
      <c r="B140">
        <v>1</v>
      </c>
      <c r="C140">
        <v>1331</v>
      </c>
      <c r="D140">
        <v>55840</v>
      </c>
      <c r="E140">
        <v>25</v>
      </c>
      <c r="F140" t="s">
        <v>21</v>
      </c>
      <c r="G140" t="s">
        <v>89</v>
      </c>
      <c r="H140" t="s">
        <v>20</v>
      </c>
      <c r="I140">
        <v>8</v>
      </c>
    </row>
    <row r="141" spans="1:9" x14ac:dyDescent="0.2">
      <c r="A141">
        <v>924241</v>
      </c>
      <c r="B141">
        <v>2</v>
      </c>
      <c r="C141">
        <v>1246</v>
      </c>
      <c r="D141">
        <v>55700</v>
      </c>
      <c r="E141">
        <v>25</v>
      </c>
      <c r="F141" t="s">
        <v>19</v>
      </c>
      <c r="G141" t="s">
        <v>245</v>
      </c>
      <c r="H141" t="s">
        <v>16</v>
      </c>
      <c r="I141" t="s">
        <v>448</v>
      </c>
    </row>
    <row r="142" spans="1:9" x14ac:dyDescent="0.2">
      <c r="A142">
        <v>924241</v>
      </c>
      <c r="B142">
        <v>3</v>
      </c>
      <c r="C142">
        <v>1756</v>
      </c>
      <c r="D142">
        <v>55990</v>
      </c>
      <c r="E142">
        <v>24</v>
      </c>
      <c r="F142" t="s">
        <v>57</v>
      </c>
      <c r="G142" t="s">
        <v>89</v>
      </c>
      <c r="H142" t="s">
        <v>69</v>
      </c>
      <c r="I142">
        <v>10</v>
      </c>
    </row>
    <row r="143" spans="1:9" x14ac:dyDescent="0.2">
      <c r="A143">
        <v>926732</v>
      </c>
      <c r="B143">
        <v>1</v>
      </c>
      <c r="C143">
        <v>3248</v>
      </c>
      <c r="D143">
        <v>52325</v>
      </c>
      <c r="E143">
        <v>24</v>
      </c>
      <c r="F143" t="s">
        <v>47</v>
      </c>
      <c r="G143" t="s">
        <v>92</v>
      </c>
      <c r="H143" t="s">
        <v>46</v>
      </c>
      <c r="I143">
        <v>10</v>
      </c>
    </row>
    <row r="144" spans="1:9" x14ac:dyDescent="0.2">
      <c r="A144">
        <v>926732</v>
      </c>
      <c r="B144">
        <v>2</v>
      </c>
      <c r="C144">
        <v>1788</v>
      </c>
      <c r="D144">
        <v>0</v>
      </c>
      <c r="E144">
        <v>26</v>
      </c>
      <c r="F144" t="s">
        <v>57</v>
      </c>
      <c r="G144" t="s">
        <v>97</v>
      </c>
      <c r="H144" t="s">
        <v>56</v>
      </c>
      <c r="I144">
        <v>10</v>
      </c>
    </row>
    <row r="145" spans="1:9" x14ac:dyDescent="0.2">
      <c r="A145">
        <v>926732</v>
      </c>
      <c r="B145">
        <v>3</v>
      </c>
      <c r="C145">
        <v>3243</v>
      </c>
      <c r="D145">
        <v>0</v>
      </c>
      <c r="E145">
        <v>26</v>
      </c>
      <c r="F145" t="s">
        <v>47</v>
      </c>
      <c r="G145" t="s">
        <v>75</v>
      </c>
      <c r="H145" t="s">
        <v>46</v>
      </c>
      <c r="I145">
        <v>10</v>
      </c>
    </row>
    <row r="146" spans="1:9" x14ac:dyDescent="0.2">
      <c r="A146">
        <v>926732</v>
      </c>
      <c r="B146">
        <v>4</v>
      </c>
      <c r="C146">
        <v>3261</v>
      </c>
      <c r="D146">
        <v>0</v>
      </c>
      <c r="E146">
        <v>26</v>
      </c>
      <c r="F146" t="s">
        <v>47</v>
      </c>
      <c r="G146" t="s">
        <v>93</v>
      </c>
      <c r="H146" t="s">
        <v>46</v>
      </c>
      <c r="I146">
        <v>10</v>
      </c>
    </row>
    <row r="147" spans="1:9" x14ac:dyDescent="0.2">
      <c r="A147">
        <v>940023</v>
      </c>
      <c r="B147">
        <v>1</v>
      </c>
      <c r="C147">
        <v>3229</v>
      </c>
      <c r="D147">
        <v>55675</v>
      </c>
      <c r="E147">
        <v>24</v>
      </c>
      <c r="F147" t="s">
        <v>47</v>
      </c>
      <c r="G147" t="s">
        <v>101</v>
      </c>
      <c r="H147" t="s">
        <v>46</v>
      </c>
      <c r="I147">
        <v>10</v>
      </c>
    </row>
    <row r="148" spans="1:9" x14ac:dyDescent="0.2">
      <c r="A148">
        <v>940023</v>
      </c>
      <c r="B148">
        <v>2</v>
      </c>
      <c r="C148">
        <v>3223</v>
      </c>
      <c r="D148">
        <v>0</v>
      </c>
      <c r="E148">
        <v>26</v>
      </c>
      <c r="F148" t="s">
        <v>47</v>
      </c>
      <c r="G148" t="s">
        <v>105</v>
      </c>
      <c r="H148" t="s">
        <v>46</v>
      </c>
      <c r="I148">
        <v>10</v>
      </c>
    </row>
    <row r="149" spans="1:9" x14ac:dyDescent="0.2">
      <c r="A149">
        <v>940023</v>
      </c>
      <c r="B149">
        <v>3</v>
      </c>
      <c r="C149">
        <v>1776</v>
      </c>
      <c r="D149">
        <v>0</v>
      </c>
      <c r="E149">
        <v>26</v>
      </c>
      <c r="F149" t="s">
        <v>57</v>
      </c>
      <c r="G149" t="s">
        <v>124</v>
      </c>
      <c r="H149" t="s">
        <v>125</v>
      </c>
      <c r="I149">
        <v>10</v>
      </c>
    </row>
    <row r="150" spans="1:9" x14ac:dyDescent="0.2">
      <c r="A150">
        <v>940023</v>
      </c>
      <c r="B150">
        <v>4</v>
      </c>
      <c r="C150">
        <v>3296</v>
      </c>
      <c r="D150">
        <v>0</v>
      </c>
      <c r="E150">
        <v>26</v>
      </c>
      <c r="F150" t="s">
        <v>47</v>
      </c>
      <c r="G150" t="s">
        <v>100</v>
      </c>
      <c r="H150" t="s">
        <v>46</v>
      </c>
      <c r="I150">
        <v>10</v>
      </c>
    </row>
    <row r="151" spans="1:9" x14ac:dyDescent="0.2">
      <c r="A151">
        <v>940023</v>
      </c>
      <c r="B151">
        <v>5</v>
      </c>
      <c r="C151">
        <v>3200</v>
      </c>
      <c r="D151">
        <v>0</v>
      </c>
      <c r="E151">
        <v>26</v>
      </c>
      <c r="F151" t="s">
        <v>47</v>
      </c>
      <c r="G151" t="s">
        <v>18</v>
      </c>
      <c r="H151" t="s">
        <v>46</v>
      </c>
      <c r="I151">
        <v>10</v>
      </c>
    </row>
    <row r="152" spans="1:9" x14ac:dyDescent="0.2">
      <c r="A152">
        <v>940023</v>
      </c>
      <c r="B152">
        <v>6</v>
      </c>
      <c r="C152">
        <v>3225</v>
      </c>
      <c r="D152">
        <v>0</v>
      </c>
      <c r="E152">
        <v>26</v>
      </c>
      <c r="F152" t="s">
        <v>47</v>
      </c>
      <c r="G152" t="s">
        <v>106</v>
      </c>
      <c r="H152" t="s">
        <v>46</v>
      </c>
      <c r="I152">
        <v>10</v>
      </c>
    </row>
    <row r="153" spans="1:9" x14ac:dyDescent="0.2">
      <c r="A153">
        <v>940023</v>
      </c>
      <c r="B153">
        <v>7</v>
      </c>
      <c r="C153">
        <v>1705</v>
      </c>
      <c r="D153">
        <v>0</v>
      </c>
      <c r="E153">
        <v>26</v>
      </c>
      <c r="F153" t="s">
        <v>57</v>
      </c>
      <c r="G153" t="s">
        <v>102</v>
      </c>
      <c r="H153" t="s">
        <v>69</v>
      </c>
      <c r="I153">
        <v>10</v>
      </c>
    </row>
    <row r="154" spans="1:9" x14ac:dyDescent="0.2">
      <c r="A154">
        <v>940023</v>
      </c>
      <c r="B154">
        <v>8</v>
      </c>
      <c r="C154">
        <v>1728</v>
      </c>
      <c r="D154">
        <v>0</v>
      </c>
      <c r="E154">
        <v>26</v>
      </c>
      <c r="F154" t="s">
        <v>57</v>
      </c>
      <c r="G154" t="s">
        <v>103</v>
      </c>
      <c r="H154" t="s">
        <v>69</v>
      </c>
      <c r="I154">
        <v>10</v>
      </c>
    </row>
    <row r="155" spans="1:9" x14ac:dyDescent="0.2">
      <c r="A155">
        <v>966093</v>
      </c>
      <c r="B155">
        <v>1</v>
      </c>
      <c r="C155">
        <v>3243</v>
      </c>
      <c r="D155">
        <v>56550</v>
      </c>
      <c r="E155">
        <v>24</v>
      </c>
      <c r="F155" t="s">
        <v>47</v>
      </c>
      <c r="G155" t="s">
        <v>75</v>
      </c>
      <c r="H155" t="s">
        <v>46</v>
      </c>
      <c r="I155">
        <v>10</v>
      </c>
    </row>
    <row r="156" spans="1:9" x14ac:dyDescent="0.2">
      <c r="A156">
        <v>966093</v>
      </c>
      <c r="B156">
        <v>2</v>
      </c>
      <c r="C156">
        <v>3252</v>
      </c>
      <c r="D156">
        <v>0</v>
      </c>
      <c r="E156">
        <v>26</v>
      </c>
      <c r="F156" t="s">
        <v>47</v>
      </c>
      <c r="G156" t="s">
        <v>45</v>
      </c>
      <c r="H156" t="s">
        <v>46</v>
      </c>
      <c r="I156">
        <v>10</v>
      </c>
    </row>
    <row r="157" spans="1:9" x14ac:dyDescent="0.2">
      <c r="A157">
        <v>966093</v>
      </c>
      <c r="B157">
        <v>3</v>
      </c>
      <c r="C157">
        <v>3261</v>
      </c>
      <c r="D157">
        <v>0</v>
      </c>
      <c r="E157">
        <v>26</v>
      </c>
      <c r="F157" t="s">
        <v>47</v>
      </c>
      <c r="G157" t="s">
        <v>93</v>
      </c>
      <c r="H157" t="s">
        <v>46</v>
      </c>
      <c r="I157">
        <v>10</v>
      </c>
    </row>
    <row r="158" spans="1:9" x14ac:dyDescent="0.2">
      <c r="A158">
        <v>984864</v>
      </c>
      <c r="B158">
        <v>1</v>
      </c>
      <c r="C158">
        <v>1506</v>
      </c>
      <c r="D158">
        <v>55840</v>
      </c>
      <c r="E158">
        <v>25</v>
      </c>
      <c r="F158" t="s">
        <v>142</v>
      </c>
      <c r="G158" t="s">
        <v>78</v>
      </c>
      <c r="H158" t="s">
        <v>31</v>
      </c>
      <c r="I158">
        <v>5</v>
      </c>
    </row>
    <row r="159" spans="1:9" x14ac:dyDescent="0.2">
      <c r="A159">
        <v>984864</v>
      </c>
      <c r="B159">
        <v>2</v>
      </c>
      <c r="C159">
        <v>3213</v>
      </c>
      <c r="D159">
        <v>55770</v>
      </c>
      <c r="E159">
        <v>24</v>
      </c>
      <c r="F159" t="s">
        <v>47</v>
      </c>
      <c r="G159" t="s">
        <v>158</v>
      </c>
      <c r="H159" t="s">
        <v>74</v>
      </c>
      <c r="I159">
        <v>10</v>
      </c>
    </row>
    <row r="160" spans="1:9" x14ac:dyDescent="0.2">
      <c r="A160">
        <v>984864</v>
      </c>
      <c r="B160">
        <v>3</v>
      </c>
      <c r="C160">
        <v>1503</v>
      </c>
      <c r="D160">
        <v>0</v>
      </c>
      <c r="E160">
        <v>26</v>
      </c>
      <c r="F160" t="s">
        <v>142</v>
      </c>
      <c r="G160" t="s">
        <v>161</v>
      </c>
      <c r="H160" t="s">
        <v>31</v>
      </c>
      <c r="I160">
        <v>5</v>
      </c>
    </row>
    <row r="161" spans="1:9" x14ac:dyDescent="0.2">
      <c r="A161">
        <v>984864</v>
      </c>
      <c r="B161">
        <v>4</v>
      </c>
      <c r="C161">
        <v>1520</v>
      </c>
      <c r="D161">
        <v>0</v>
      </c>
      <c r="E161">
        <v>26</v>
      </c>
      <c r="F161" t="s">
        <v>142</v>
      </c>
      <c r="G161" t="s">
        <v>84</v>
      </c>
      <c r="H161" t="s">
        <v>31</v>
      </c>
      <c r="I161">
        <v>5</v>
      </c>
    </row>
    <row r="162" spans="1:9" x14ac:dyDescent="0.2">
      <c r="A162">
        <v>984864</v>
      </c>
      <c r="B162">
        <v>5</v>
      </c>
      <c r="C162">
        <v>1778</v>
      </c>
      <c r="D162">
        <v>0</v>
      </c>
      <c r="E162">
        <v>26</v>
      </c>
      <c r="F162" t="s">
        <v>57</v>
      </c>
      <c r="G162" t="s">
        <v>84</v>
      </c>
      <c r="H162" t="s">
        <v>56</v>
      </c>
      <c r="I162">
        <v>10</v>
      </c>
    </row>
    <row r="163" spans="1:9" x14ac:dyDescent="0.2">
      <c r="A163">
        <v>984864</v>
      </c>
      <c r="B163">
        <v>6</v>
      </c>
      <c r="C163">
        <v>1965</v>
      </c>
      <c r="D163">
        <v>0</v>
      </c>
      <c r="E163">
        <v>26</v>
      </c>
      <c r="F163" t="s">
        <v>32</v>
      </c>
      <c r="G163" t="s">
        <v>345</v>
      </c>
      <c r="H163" t="s">
        <v>31</v>
      </c>
      <c r="I163">
        <v>5</v>
      </c>
    </row>
    <row r="164" spans="1:9" x14ac:dyDescent="0.2">
      <c r="A164">
        <v>984864</v>
      </c>
      <c r="B164">
        <v>7</v>
      </c>
      <c r="C164">
        <v>1754</v>
      </c>
      <c r="D164">
        <v>0</v>
      </c>
      <c r="E164">
        <v>26</v>
      </c>
      <c r="F164" t="s">
        <v>57</v>
      </c>
      <c r="G164" t="s">
        <v>85</v>
      </c>
      <c r="H164" t="s">
        <v>69</v>
      </c>
      <c r="I164">
        <v>10</v>
      </c>
    </row>
    <row r="165" spans="1:9" x14ac:dyDescent="0.2">
      <c r="A165">
        <v>984864</v>
      </c>
      <c r="B165">
        <v>8</v>
      </c>
      <c r="C165">
        <v>3239</v>
      </c>
      <c r="D165">
        <v>0</v>
      </c>
      <c r="E165">
        <v>26</v>
      </c>
      <c r="F165" t="s">
        <v>47</v>
      </c>
      <c r="G165" t="s">
        <v>107</v>
      </c>
      <c r="H165" t="s">
        <v>46</v>
      </c>
      <c r="I165">
        <v>10</v>
      </c>
    </row>
    <row r="166" spans="1:9" x14ac:dyDescent="0.2">
      <c r="A166">
        <v>994961</v>
      </c>
      <c r="B166">
        <v>1</v>
      </c>
      <c r="C166">
        <v>1784</v>
      </c>
      <c r="D166">
        <v>0</v>
      </c>
      <c r="E166">
        <v>31</v>
      </c>
      <c r="F166" t="s">
        <v>57</v>
      </c>
      <c r="G166" t="s">
        <v>87</v>
      </c>
      <c r="H166" t="s">
        <v>69</v>
      </c>
      <c r="I166">
        <v>10</v>
      </c>
    </row>
    <row r="167" spans="1:9" x14ac:dyDescent="0.2">
      <c r="A167">
        <v>1006213</v>
      </c>
      <c r="B167">
        <v>1</v>
      </c>
      <c r="C167">
        <v>3239</v>
      </c>
      <c r="D167">
        <v>49740</v>
      </c>
      <c r="E167">
        <v>25</v>
      </c>
      <c r="F167" t="s">
        <v>47</v>
      </c>
      <c r="G167" t="s">
        <v>107</v>
      </c>
      <c r="H167" t="s">
        <v>46</v>
      </c>
      <c r="I167">
        <v>10</v>
      </c>
    </row>
    <row r="168" spans="1:9" x14ac:dyDescent="0.2">
      <c r="A168">
        <v>1006213</v>
      </c>
      <c r="B168">
        <v>2</v>
      </c>
      <c r="C168">
        <v>3252</v>
      </c>
      <c r="D168">
        <v>50510</v>
      </c>
      <c r="E168">
        <v>25</v>
      </c>
      <c r="F168" t="s">
        <v>47</v>
      </c>
      <c r="G168" t="s">
        <v>45</v>
      </c>
      <c r="H168" t="s">
        <v>46</v>
      </c>
      <c r="I168">
        <v>10</v>
      </c>
    </row>
    <row r="169" spans="1:9" x14ac:dyDescent="0.2">
      <c r="A169">
        <v>1007522</v>
      </c>
      <c r="B169">
        <v>1</v>
      </c>
      <c r="C169">
        <v>1221</v>
      </c>
      <c r="D169">
        <v>69870</v>
      </c>
      <c r="E169">
        <v>24</v>
      </c>
      <c r="F169" t="s">
        <v>19</v>
      </c>
      <c r="G169" t="s">
        <v>63</v>
      </c>
      <c r="H169" t="s">
        <v>16</v>
      </c>
      <c r="I169" t="s">
        <v>448</v>
      </c>
    </row>
    <row r="170" spans="1:9" x14ac:dyDescent="0.2">
      <c r="A170">
        <v>1007522</v>
      </c>
      <c r="B170">
        <v>2</v>
      </c>
      <c r="C170">
        <v>1155</v>
      </c>
      <c r="D170">
        <v>0</v>
      </c>
      <c r="E170">
        <v>26</v>
      </c>
      <c r="F170" t="s">
        <v>17</v>
      </c>
      <c r="G170" t="s">
        <v>62</v>
      </c>
      <c r="H170" t="s">
        <v>16</v>
      </c>
      <c r="I170" t="s">
        <v>448</v>
      </c>
    </row>
    <row r="171" spans="1:9" x14ac:dyDescent="0.2">
      <c r="A171">
        <v>1007522</v>
      </c>
      <c r="B171">
        <v>3</v>
      </c>
      <c r="C171">
        <v>1220</v>
      </c>
      <c r="D171">
        <v>0</v>
      </c>
      <c r="E171">
        <v>26</v>
      </c>
      <c r="F171" t="s">
        <v>19</v>
      </c>
      <c r="G171" t="s">
        <v>244</v>
      </c>
      <c r="H171" t="s">
        <v>16</v>
      </c>
      <c r="I171" t="s">
        <v>448</v>
      </c>
    </row>
    <row r="172" spans="1:9" x14ac:dyDescent="0.2">
      <c r="A172">
        <v>1007522</v>
      </c>
      <c r="B172">
        <v>4</v>
      </c>
      <c r="C172">
        <v>1178</v>
      </c>
      <c r="D172">
        <v>0</v>
      </c>
      <c r="E172">
        <v>26</v>
      </c>
      <c r="F172" t="s">
        <v>17</v>
      </c>
      <c r="G172" t="s">
        <v>238</v>
      </c>
      <c r="H172" t="s">
        <v>16</v>
      </c>
      <c r="I172" t="s">
        <v>448</v>
      </c>
    </row>
    <row r="173" spans="1:9" x14ac:dyDescent="0.2">
      <c r="A173">
        <v>1022725</v>
      </c>
      <c r="B173">
        <v>1</v>
      </c>
      <c r="C173">
        <v>3252</v>
      </c>
      <c r="D173">
        <v>0</v>
      </c>
      <c r="E173">
        <v>36</v>
      </c>
      <c r="F173" t="s">
        <v>47</v>
      </c>
      <c r="G173" t="s">
        <v>45</v>
      </c>
      <c r="H173" t="s">
        <v>46</v>
      </c>
      <c r="I173">
        <v>10</v>
      </c>
    </row>
    <row r="174" spans="1:9" x14ac:dyDescent="0.2">
      <c r="A174">
        <v>1022725</v>
      </c>
      <c r="B174">
        <v>2</v>
      </c>
      <c r="C174">
        <v>3248</v>
      </c>
      <c r="D174">
        <v>0</v>
      </c>
      <c r="E174">
        <v>36</v>
      </c>
      <c r="F174" t="s">
        <v>47</v>
      </c>
      <c r="G174" t="s">
        <v>92</v>
      </c>
      <c r="H174" t="s">
        <v>46</v>
      </c>
      <c r="I174">
        <v>10</v>
      </c>
    </row>
    <row r="175" spans="1:9" x14ac:dyDescent="0.2">
      <c r="A175">
        <v>1022725</v>
      </c>
      <c r="B175">
        <v>3</v>
      </c>
      <c r="C175">
        <v>3251</v>
      </c>
      <c r="D175">
        <v>0</v>
      </c>
      <c r="E175">
        <v>36</v>
      </c>
      <c r="F175" t="s">
        <v>47</v>
      </c>
      <c r="G175" t="s">
        <v>48</v>
      </c>
      <c r="H175" t="s">
        <v>46</v>
      </c>
      <c r="I175">
        <v>10</v>
      </c>
    </row>
    <row r="176" spans="1:9" x14ac:dyDescent="0.2">
      <c r="A176">
        <v>1022725</v>
      </c>
      <c r="B176">
        <v>4</v>
      </c>
      <c r="C176">
        <v>3261</v>
      </c>
      <c r="D176">
        <v>0</v>
      </c>
      <c r="E176">
        <v>36</v>
      </c>
      <c r="F176" t="s">
        <v>47</v>
      </c>
      <c r="G176" t="s">
        <v>93</v>
      </c>
      <c r="H176" t="s">
        <v>46</v>
      </c>
      <c r="I176">
        <v>10</v>
      </c>
    </row>
    <row r="177" spans="1:9" x14ac:dyDescent="0.2">
      <c r="A177">
        <v>1022725</v>
      </c>
      <c r="B177">
        <v>5</v>
      </c>
      <c r="C177">
        <v>3234</v>
      </c>
      <c r="D177">
        <v>0</v>
      </c>
      <c r="E177">
        <v>36</v>
      </c>
      <c r="F177" t="s">
        <v>47</v>
      </c>
      <c r="G177" t="s">
        <v>76</v>
      </c>
      <c r="H177" t="s">
        <v>46</v>
      </c>
      <c r="I177">
        <v>10</v>
      </c>
    </row>
    <row r="178" spans="1:9" x14ac:dyDescent="0.2">
      <c r="A178">
        <v>1022725</v>
      </c>
      <c r="B178">
        <v>6</v>
      </c>
      <c r="C178">
        <v>3243</v>
      </c>
      <c r="D178">
        <v>0</v>
      </c>
      <c r="E178">
        <v>36</v>
      </c>
      <c r="F178" t="s">
        <v>47</v>
      </c>
      <c r="G178" t="s">
        <v>75</v>
      </c>
      <c r="H178" t="s">
        <v>46</v>
      </c>
      <c r="I178">
        <v>10</v>
      </c>
    </row>
    <row r="179" spans="1:9" x14ac:dyDescent="0.2">
      <c r="A179">
        <v>1022725</v>
      </c>
      <c r="B179">
        <v>7</v>
      </c>
      <c r="C179">
        <v>3225</v>
      </c>
      <c r="D179">
        <v>0</v>
      </c>
      <c r="E179">
        <v>36</v>
      </c>
      <c r="F179" t="s">
        <v>47</v>
      </c>
      <c r="G179" t="s">
        <v>106</v>
      </c>
      <c r="H179" t="s">
        <v>46</v>
      </c>
      <c r="I179">
        <v>10</v>
      </c>
    </row>
    <row r="180" spans="1:9" x14ac:dyDescent="0.2">
      <c r="A180">
        <v>1039737</v>
      </c>
      <c r="B180">
        <v>1</v>
      </c>
      <c r="C180">
        <v>1258</v>
      </c>
      <c r="D180">
        <v>50140</v>
      </c>
      <c r="E180">
        <v>25</v>
      </c>
      <c r="F180" t="s">
        <v>19</v>
      </c>
      <c r="G180" t="s">
        <v>170</v>
      </c>
      <c r="H180" t="s">
        <v>16</v>
      </c>
      <c r="I180" t="s">
        <v>448</v>
      </c>
    </row>
    <row r="181" spans="1:9" x14ac:dyDescent="0.2">
      <c r="A181">
        <v>1039737</v>
      </c>
      <c r="B181">
        <v>2</v>
      </c>
      <c r="C181">
        <v>2447</v>
      </c>
      <c r="D181">
        <v>53275</v>
      </c>
      <c r="E181">
        <v>25</v>
      </c>
      <c r="F181" t="s">
        <v>42</v>
      </c>
      <c r="G181" t="s">
        <v>170</v>
      </c>
      <c r="H181" t="s">
        <v>220</v>
      </c>
      <c r="I181">
        <v>2</v>
      </c>
    </row>
    <row r="182" spans="1:9" x14ac:dyDescent="0.2">
      <c r="A182">
        <v>1039737</v>
      </c>
      <c r="B182">
        <v>3</v>
      </c>
      <c r="C182">
        <v>3505</v>
      </c>
      <c r="D182">
        <v>51360</v>
      </c>
      <c r="E182">
        <v>25</v>
      </c>
      <c r="F182" t="s">
        <v>234</v>
      </c>
      <c r="G182" t="s">
        <v>170</v>
      </c>
      <c r="H182" t="s">
        <v>35</v>
      </c>
      <c r="I182">
        <v>7</v>
      </c>
    </row>
    <row r="183" spans="1:9" x14ac:dyDescent="0.2">
      <c r="A183">
        <v>1039737</v>
      </c>
      <c r="B183">
        <v>4</v>
      </c>
      <c r="C183">
        <v>3026</v>
      </c>
      <c r="D183">
        <v>0</v>
      </c>
      <c r="E183">
        <v>31</v>
      </c>
      <c r="F183" t="s">
        <v>44</v>
      </c>
      <c r="G183" t="s">
        <v>170</v>
      </c>
      <c r="H183" t="s">
        <v>50</v>
      </c>
      <c r="I183">
        <v>9</v>
      </c>
    </row>
    <row r="184" spans="1:9" x14ac:dyDescent="0.2">
      <c r="A184">
        <v>1039737</v>
      </c>
      <c r="B184">
        <v>5</v>
      </c>
      <c r="C184">
        <v>1713</v>
      </c>
      <c r="D184">
        <v>0</v>
      </c>
      <c r="E184">
        <v>31</v>
      </c>
      <c r="F184" t="s">
        <v>57</v>
      </c>
      <c r="G184" t="s">
        <v>170</v>
      </c>
      <c r="H184" t="s">
        <v>69</v>
      </c>
      <c r="I184">
        <v>10</v>
      </c>
    </row>
    <row r="185" spans="1:9" x14ac:dyDescent="0.2">
      <c r="A185">
        <v>1039737</v>
      </c>
      <c r="B185">
        <v>6</v>
      </c>
      <c r="C185">
        <v>1386</v>
      </c>
      <c r="D185">
        <v>0</v>
      </c>
      <c r="E185">
        <v>17</v>
      </c>
      <c r="F185" t="s">
        <v>21</v>
      </c>
      <c r="G185" t="s">
        <v>170</v>
      </c>
      <c r="H185" t="s">
        <v>20</v>
      </c>
      <c r="I185">
        <v>8</v>
      </c>
    </row>
    <row r="186" spans="1:9" x14ac:dyDescent="0.2">
      <c r="A186">
        <v>1109934</v>
      </c>
      <c r="B186">
        <v>1</v>
      </c>
      <c r="C186">
        <v>1713</v>
      </c>
      <c r="D186">
        <v>60150</v>
      </c>
      <c r="E186">
        <v>25</v>
      </c>
      <c r="F186" t="s">
        <v>57</v>
      </c>
      <c r="G186" t="s">
        <v>170</v>
      </c>
      <c r="H186" t="s">
        <v>69</v>
      </c>
      <c r="I186">
        <v>10</v>
      </c>
    </row>
    <row r="187" spans="1:9" x14ac:dyDescent="0.2">
      <c r="A187">
        <v>1109934</v>
      </c>
      <c r="B187">
        <v>2</v>
      </c>
      <c r="C187">
        <v>1731</v>
      </c>
      <c r="D187">
        <v>60150</v>
      </c>
      <c r="E187">
        <v>25</v>
      </c>
      <c r="F187" t="s">
        <v>57</v>
      </c>
      <c r="G187" t="s">
        <v>172</v>
      </c>
      <c r="H187" t="s">
        <v>69</v>
      </c>
      <c r="I187">
        <v>10</v>
      </c>
    </row>
    <row r="188" spans="1:9" x14ac:dyDescent="0.2">
      <c r="A188">
        <v>1109934</v>
      </c>
      <c r="B188">
        <v>3</v>
      </c>
      <c r="C188">
        <v>1386</v>
      </c>
      <c r="D188">
        <v>60685</v>
      </c>
      <c r="E188">
        <v>25</v>
      </c>
      <c r="F188" t="s">
        <v>21</v>
      </c>
      <c r="G188" t="s">
        <v>170</v>
      </c>
      <c r="H188" t="s">
        <v>20</v>
      </c>
      <c r="I188">
        <v>8</v>
      </c>
    </row>
    <row r="189" spans="1:9" x14ac:dyDescent="0.2">
      <c r="A189">
        <v>1109934</v>
      </c>
      <c r="B189">
        <v>4</v>
      </c>
      <c r="C189">
        <v>1940</v>
      </c>
      <c r="D189">
        <v>60110</v>
      </c>
      <c r="E189">
        <v>25</v>
      </c>
      <c r="F189" t="s">
        <v>32</v>
      </c>
      <c r="G189" t="s">
        <v>170</v>
      </c>
      <c r="H189" t="s">
        <v>31</v>
      </c>
      <c r="I189">
        <v>5</v>
      </c>
    </row>
    <row r="190" spans="1:9" x14ac:dyDescent="0.2">
      <c r="A190">
        <v>1109934</v>
      </c>
      <c r="B190">
        <v>5</v>
      </c>
      <c r="C190">
        <v>1939</v>
      </c>
      <c r="D190">
        <v>60110</v>
      </c>
      <c r="E190">
        <v>25</v>
      </c>
      <c r="F190" t="s">
        <v>32</v>
      </c>
      <c r="G190" t="s">
        <v>170</v>
      </c>
      <c r="H190" t="s">
        <v>239</v>
      </c>
      <c r="I190">
        <v>5</v>
      </c>
    </row>
    <row r="191" spans="1:9" x14ac:dyDescent="0.2">
      <c r="A191">
        <v>1109934</v>
      </c>
      <c r="B191">
        <v>6</v>
      </c>
      <c r="C191">
        <v>3026</v>
      </c>
      <c r="D191">
        <v>59850</v>
      </c>
      <c r="E191">
        <v>25</v>
      </c>
      <c r="F191" t="s">
        <v>44</v>
      </c>
      <c r="G191" t="s">
        <v>170</v>
      </c>
      <c r="H191" t="s">
        <v>50</v>
      </c>
      <c r="I191">
        <v>9</v>
      </c>
    </row>
    <row r="192" spans="1:9" x14ac:dyDescent="0.2">
      <c r="A192">
        <v>1109934</v>
      </c>
      <c r="B192">
        <v>7</v>
      </c>
      <c r="C192">
        <v>3505</v>
      </c>
      <c r="D192">
        <v>59840</v>
      </c>
      <c r="E192">
        <v>25</v>
      </c>
      <c r="F192" t="s">
        <v>234</v>
      </c>
      <c r="G192" t="s">
        <v>170</v>
      </c>
      <c r="H192" t="s">
        <v>35</v>
      </c>
      <c r="I192">
        <v>7</v>
      </c>
    </row>
    <row r="193" spans="1:9" x14ac:dyDescent="0.2">
      <c r="A193">
        <v>1109934</v>
      </c>
      <c r="B193">
        <v>8</v>
      </c>
      <c r="C193">
        <v>2447</v>
      </c>
      <c r="D193">
        <v>58735</v>
      </c>
      <c r="E193">
        <v>25</v>
      </c>
      <c r="F193" t="s">
        <v>42</v>
      </c>
      <c r="G193" t="s">
        <v>170</v>
      </c>
      <c r="H193" t="s">
        <v>220</v>
      </c>
      <c r="I193">
        <v>2</v>
      </c>
    </row>
    <row r="194" spans="1:9" x14ac:dyDescent="0.2">
      <c r="A194">
        <v>1123862</v>
      </c>
      <c r="B194">
        <v>1</v>
      </c>
      <c r="C194">
        <v>1776</v>
      </c>
      <c r="D194">
        <v>55370</v>
      </c>
      <c r="E194">
        <v>25</v>
      </c>
      <c r="F194" t="s">
        <v>57</v>
      </c>
      <c r="G194" t="s">
        <v>124</v>
      </c>
      <c r="H194" t="s">
        <v>125</v>
      </c>
      <c r="I194">
        <v>10</v>
      </c>
    </row>
    <row r="195" spans="1:9" x14ac:dyDescent="0.2">
      <c r="A195">
        <v>1123862</v>
      </c>
      <c r="B195">
        <v>2</v>
      </c>
      <c r="C195">
        <v>1705</v>
      </c>
      <c r="D195">
        <v>54370</v>
      </c>
      <c r="E195">
        <v>25</v>
      </c>
      <c r="F195" t="s">
        <v>57</v>
      </c>
      <c r="G195" t="s">
        <v>102</v>
      </c>
      <c r="H195" t="s">
        <v>69</v>
      </c>
      <c r="I195">
        <v>10</v>
      </c>
    </row>
    <row r="196" spans="1:9" x14ac:dyDescent="0.2">
      <c r="A196">
        <v>1123862</v>
      </c>
      <c r="B196">
        <v>3</v>
      </c>
      <c r="C196">
        <v>3229</v>
      </c>
      <c r="D196">
        <v>54395</v>
      </c>
      <c r="E196">
        <v>24</v>
      </c>
      <c r="F196" t="s">
        <v>47</v>
      </c>
      <c r="G196" t="s">
        <v>101</v>
      </c>
      <c r="H196" t="s">
        <v>46</v>
      </c>
      <c r="I196">
        <v>10</v>
      </c>
    </row>
    <row r="197" spans="1:9" x14ac:dyDescent="0.2">
      <c r="A197">
        <v>1123862</v>
      </c>
      <c r="B197">
        <v>4</v>
      </c>
      <c r="C197">
        <v>1732</v>
      </c>
      <c r="D197">
        <v>0</v>
      </c>
      <c r="E197">
        <v>26</v>
      </c>
      <c r="F197" t="s">
        <v>57</v>
      </c>
      <c r="G197" t="s">
        <v>104</v>
      </c>
      <c r="H197" t="s">
        <v>69</v>
      </c>
      <c r="I197">
        <v>10</v>
      </c>
    </row>
    <row r="198" spans="1:9" x14ac:dyDescent="0.2">
      <c r="A198">
        <v>1123862</v>
      </c>
      <c r="B198">
        <v>5</v>
      </c>
      <c r="C198">
        <v>3023</v>
      </c>
      <c r="D198">
        <v>0</v>
      </c>
      <c r="E198">
        <v>26</v>
      </c>
      <c r="F198" t="s">
        <v>44</v>
      </c>
      <c r="G198" t="s">
        <v>124</v>
      </c>
      <c r="H198" t="s">
        <v>50</v>
      </c>
      <c r="I198">
        <v>9</v>
      </c>
    </row>
    <row r="199" spans="1:9" x14ac:dyDescent="0.2">
      <c r="A199">
        <v>1123862</v>
      </c>
      <c r="B199">
        <v>6</v>
      </c>
      <c r="C199">
        <v>3226</v>
      </c>
      <c r="D199">
        <v>0</v>
      </c>
      <c r="E199">
        <v>26</v>
      </c>
      <c r="F199" t="s">
        <v>47</v>
      </c>
      <c r="G199" t="s">
        <v>96</v>
      </c>
      <c r="H199" t="s">
        <v>46</v>
      </c>
      <c r="I199">
        <v>10</v>
      </c>
    </row>
    <row r="200" spans="1:9" x14ac:dyDescent="0.2">
      <c r="A200">
        <v>1123862</v>
      </c>
      <c r="B200">
        <v>7</v>
      </c>
      <c r="C200">
        <v>1383</v>
      </c>
      <c r="D200">
        <v>0</v>
      </c>
      <c r="E200">
        <v>26</v>
      </c>
      <c r="F200" t="s">
        <v>21</v>
      </c>
      <c r="G200" t="s">
        <v>124</v>
      </c>
      <c r="H200" t="s">
        <v>20</v>
      </c>
      <c r="I200">
        <v>8</v>
      </c>
    </row>
    <row r="201" spans="1:9" x14ac:dyDescent="0.2">
      <c r="A201">
        <v>1125017</v>
      </c>
      <c r="B201">
        <v>1</v>
      </c>
      <c r="C201">
        <v>1854</v>
      </c>
      <c r="D201">
        <v>62170</v>
      </c>
      <c r="E201">
        <v>24</v>
      </c>
      <c r="F201" t="s">
        <v>223</v>
      </c>
      <c r="G201" t="s">
        <v>304</v>
      </c>
      <c r="H201" t="s">
        <v>41</v>
      </c>
      <c r="I201">
        <v>2</v>
      </c>
    </row>
    <row r="202" spans="1:9" x14ac:dyDescent="0.2">
      <c r="A202">
        <v>1125017</v>
      </c>
      <c r="B202">
        <v>2</v>
      </c>
      <c r="C202">
        <v>1869</v>
      </c>
      <c r="D202">
        <v>0</v>
      </c>
      <c r="E202">
        <v>26</v>
      </c>
      <c r="F202" t="s">
        <v>223</v>
      </c>
      <c r="G202" t="s">
        <v>323</v>
      </c>
      <c r="H202" t="s">
        <v>41</v>
      </c>
      <c r="I202">
        <v>2</v>
      </c>
    </row>
    <row r="203" spans="1:9" x14ac:dyDescent="0.2">
      <c r="A203">
        <v>1125017</v>
      </c>
      <c r="B203">
        <v>3</v>
      </c>
      <c r="C203">
        <v>1855</v>
      </c>
      <c r="D203">
        <v>0</v>
      </c>
      <c r="E203">
        <v>26</v>
      </c>
      <c r="F203" t="s">
        <v>223</v>
      </c>
      <c r="G203" t="s">
        <v>308</v>
      </c>
      <c r="H203" t="s">
        <v>41</v>
      </c>
      <c r="I203">
        <v>2</v>
      </c>
    </row>
    <row r="204" spans="1:9" x14ac:dyDescent="0.2">
      <c r="A204">
        <v>1146554</v>
      </c>
      <c r="B204">
        <v>1</v>
      </c>
      <c r="C204">
        <v>1237</v>
      </c>
      <c r="D204">
        <v>50445</v>
      </c>
      <c r="E204">
        <v>25</v>
      </c>
      <c r="F204" t="s">
        <v>19</v>
      </c>
      <c r="G204" t="s">
        <v>65</v>
      </c>
      <c r="H204" t="s">
        <v>16</v>
      </c>
      <c r="I204" t="s">
        <v>448</v>
      </c>
    </row>
    <row r="205" spans="1:9" x14ac:dyDescent="0.2">
      <c r="A205">
        <v>1146554</v>
      </c>
      <c r="B205">
        <v>2</v>
      </c>
      <c r="C205">
        <v>3214</v>
      </c>
      <c r="D205">
        <v>52235</v>
      </c>
      <c r="E205">
        <v>25</v>
      </c>
      <c r="F205" t="s">
        <v>47</v>
      </c>
      <c r="G205" t="s">
        <v>98</v>
      </c>
      <c r="H205" t="s">
        <v>74</v>
      </c>
      <c r="I205">
        <v>10</v>
      </c>
    </row>
    <row r="206" spans="1:9" x14ac:dyDescent="0.2">
      <c r="A206">
        <v>1146554</v>
      </c>
      <c r="B206">
        <v>3</v>
      </c>
      <c r="C206">
        <v>1788</v>
      </c>
      <c r="D206">
        <v>50040</v>
      </c>
      <c r="E206">
        <v>25</v>
      </c>
      <c r="F206" t="s">
        <v>57</v>
      </c>
      <c r="G206" t="s">
        <v>97</v>
      </c>
      <c r="H206" t="s">
        <v>56</v>
      </c>
      <c r="I206">
        <v>10</v>
      </c>
    </row>
    <row r="207" spans="1:9" x14ac:dyDescent="0.2">
      <c r="A207">
        <v>1146554</v>
      </c>
      <c r="B207">
        <v>4</v>
      </c>
      <c r="C207">
        <v>3234</v>
      </c>
      <c r="D207">
        <v>51200</v>
      </c>
      <c r="E207">
        <v>25</v>
      </c>
      <c r="F207" t="s">
        <v>47</v>
      </c>
      <c r="G207" t="s">
        <v>76</v>
      </c>
      <c r="H207" t="s">
        <v>46</v>
      </c>
      <c r="I207">
        <v>10</v>
      </c>
    </row>
    <row r="208" spans="1:9" x14ac:dyDescent="0.2">
      <c r="A208">
        <v>1146554</v>
      </c>
      <c r="B208">
        <v>5</v>
      </c>
      <c r="C208">
        <v>3242</v>
      </c>
      <c r="D208">
        <v>51755</v>
      </c>
      <c r="E208">
        <v>25</v>
      </c>
      <c r="F208" t="s">
        <v>47</v>
      </c>
      <c r="G208" t="s">
        <v>90</v>
      </c>
      <c r="H208" t="s">
        <v>46</v>
      </c>
      <c r="I208">
        <v>10</v>
      </c>
    </row>
    <row r="209" spans="1:9" x14ac:dyDescent="0.2">
      <c r="A209">
        <v>1152907</v>
      </c>
      <c r="B209">
        <v>1</v>
      </c>
      <c r="C209">
        <v>3248</v>
      </c>
      <c r="D209">
        <v>0</v>
      </c>
      <c r="E209">
        <v>36</v>
      </c>
      <c r="F209" t="s">
        <v>47</v>
      </c>
      <c r="G209" t="s">
        <v>92</v>
      </c>
      <c r="H209" t="s">
        <v>46</v>
      </c>
      <c r="I209">
        <v>10</v>
      </c>
    </row>
    <row r="210" spans="1:9" x14ac:dyDescent="0.2">
      <c r="A210">
        <v>1152907</v>
      </c>
      <c r="B210">
        <v>2</v>
      </c>
      <c r="C210">
        <v>3269</v>
      </c>
      <c r="D210">
        <v>0</v>
      </c>
      <c r="E210">
        <v>36</v>
      </c>
      <c r="F210" t="s">
        <v>47</v>
      </c>
      <c r="G210" t="s">
        <v>180</v>
      </c>
      <c r="H210" t="s">
        <v>46</v>
      </c>
      <c r="I210">
        <v>10</v>
      </c>
    </row>
    <row r="211" spans="1:9" x14ac:dyDescent="0.2">
      <c r="A211">
        <v>1152907</v>
      </c>
      <c r="B211">
        <v>3</v>
      </c>
      <c r="C211">
        <v>3226</v>
      </c>
      <c r="D211">
        <v>0</v>
      </c>
      <c r="E211">
        <v>36</v>
      </c>
      <c r="F211" t="s">
        <v>47</v>
      </c>
      <c r="G211" t="s">
        <v>96</v>
      </c>
      <c r="H211" t="s">
        <v>46</v>
      </c>
      <c r="I211">
        <v>10</v>
      </c>
    </row>
    <row r="212" spans="1:9" x14ac:dyDescent="0.2">
      <c r="A212">
        <v>1152907</v>
      </c>
      <c r="B212">
        <v>4</v>
      </c>
      <c r="C212">
        <v>3225</v>
      </c>
      <c r="D212">
        <v>0</v>
      </c>
      <c r="E212">
        <v>36</v>
      </c>
      <c r="F212" t="s">
        <v>47</v>
      </c>
      <c r="G212" t="s">
        <v>106</v>
      </c>
      <c r="H212" t="s">
        <v>46</v>
      </c>
      <c r="I212">
        <v>10</v>
      </c>
    </row>
    <row r="213" spans="1:9" x14ac:dyDescent="0.2">
      <c r="A213">
        <v>1152907</v>
      </c>
      <c r="B213">
        <v>5</v>
      </c>
      <c r="C213">
        <v>3252</v>
      </c>
      <c r="D213">
        <v>0</v>
      </c>
      <c r="E213">
        <v>36</v>
      </c>
      <c r="F213" t="s">
        <v>47</v>
      </c>
      <c r="G213" t="s">
        <v>45</v>
      </c>
      <c r="H213" t="s">
        <v>46</v>
      </c>
      <c r="I213">
        <v>10</v>
      </c>
    </row>
    <row r="214" spans="1:9" x14ac:dyDescent="0.2">
      <c r="A214">
        <v>1165986</v>
      </c>
      <c r="B214">
        <v>1</v>
      </c>
      <c r="C214">
        <v>3234</v>
      </c>
      <c r="D214">
        <v>51405</v>
      </c>
      <c r="E214">
        <v>25</v>
      </c>
      <c r="F214" t="s">
        <v>47</v>
      </c>
      <c r="G214" t="s">
        <v>76</v>
      </c>
      <c r="H214" t="s">
        <v>46</v>
      </c>
      <c r="I214">
        <v>10</v>
      </c>
    </row>
    <row r="215" spans="1:9" x14ac:dyDescent="0.2">
      <c r="A215">
        <v>1165986</v>
      </c>
      <c r="B215">
        <v>2</v>
      </c>
      <c r="C215">
        <v>1777</v>
      </c>
      <c r="D215">
        <v>51500</v>
      </c>
      <c r="E215">
        <v>25</v>
      </c>
      <c r="F215" t="s">
        <v>57</v>
      </c>
      <c r="G215" t="s">
        <v>88</v>
      </c>
      <c r="H215" t="s">
        <v>69</v>
      </c>
      <c r="I215">
        <v>10</v>
      </c>
    </row>
    <row r="216" spans="1:9" x14ac:dyDescent="0.2">
      <c r="A216">
        <v>1165986</v>
      </c>
      <c r="B216">
        <v>3</v>
      </c>
      <c r="C216">
        <v>1729</v>
      </c>
      <c r="D216">
        <v>52035</v>
      </c>
      <c r="E216">
        <v>25</v>
      </c>
      <c r="F216" t="s">
        <v>57</v>
      </c>
      <c r="G216" t="s">
        <v>72</v>
      </c>
      <c r="H216" t="s">
        <v>69</v>
      </c>
      <c r="I216">
        <v>10</v>
      </c>
    </row>
    <row r="217" spans="1:9" x14ac:dyDescent="0.2">
      <c r="A217">
        <v>1165986</v>
      </c>
      <c r="B217">
        <v>4</v>
      </c>
      <c r="C217">
        <v>3252</v>
      </c>
      <c r="D217">
        <v>50395</v>
      </c>
      <c r="E217">
        <v>25</v>
      </c>
      <c r="F217" t="s">
        <v>47</v>
      </c>
      <c r="G217" t="s">
        <v>45</v>
      </c>
      <c r="H217" t="s">
        <v>46</v>
      </c>
      <c r="I217">
        <v>10</v>
      </c>
    </row>
    <row r="218" spans="1:9" x14ac:dyDescent="0.2">
      <c r="A218">
        <v>1165986</v>
      </c>
      <c r="B218">
        <v>5</v>
      </c>
      <c r="C218">
        <v>3243</v>
      </c>
      <c r="D218">
        <v>51710</v>
      </c>
      <c r="E218">
        <v>25</v>
      </c>
      <c r="F218" t="s">
        <v>47</v>
      </c>
      <c r="G218" t="s">
        <v>75</v>
      </c>
      <c r="H218" t="s">
        <v>46</v>
      </c>
      <c r="I218">
        <v>10</v>
      </c>
    </row>
    <row r="219" spans="1:9" x14ac:dyDescent="0.2">
      <c r="A219">
        <v>1165986</v>
      </c>
      <c r="B219">
        <v>6</v>
      </c>
      <c r="C219">
        <v>1788</v>
      </c>
      <c r="D219">
        <v>50185</v>
      </c>
      <c r="E219">
        <v>25</v>
      </c>
      <c r="F219" t="s">
        <v>57</v>
      </c>
      <c r="G219" t="s">
        <v>97</v>
      </c>
      <c r="H219" t="s">
        <v>56</v>
      </c>
      <c r="I219">
        <v>10</v>
      </c>
    </row>
    <row r="220" spans="1:9" x14ac:dyDescent="0.2">
      <c r="A220">
        <v>1165986</v>
      </c>
      <c r="B220">
        <v>7</v>
      </c>
      <c r="C220">
        <v>1756</v>
      </c>
      <c r="D220">
        <v>50890</v>
      </c>
      <c r="E220">
        <v>25</v>
      </c>
      <c r="F220" t="s">
        <v>57</v>
      </c>
      <c r="G220" t="s">
        <v>89</v>
      </c>
      <c r="H220" t="s">
        <v>69</v>
      </c>
      <c r="I220">
        <v>10</v>
      </c>
    </row>
    <row r="221" spans="1:9" x14ac:dyDescent="0.2">
      <c r="A221">
        <v>1165986</v>
      </c>
      <c r="B221">
        <v>8</v>
      </c>
      <c r="C221">
        <v>1754</v>
      </c>
      <c r="D221">
        <v>49765</v>
      </c>
      <c r="E221">
        <v>25</v>
      </c>
      <c r="F221" t="s">
        <v>57</v>
      </c>
      <c r="G221" t="s">
        <v>85</v>
      </c>
      <c r="H221" t="s">
        <v>69</v>
      </c>
      <c r="I221">
        <v>10</v>
      </c>
    </row>
    <row r="222" spans="1:9" x14ac:dyDescent="0.2">
      <c r="A222">
        <v>1166596</v>
      </c>
      <c r="B222">
        <v>1</v>
      </c>
      <c r="C222">
        <v>1666</v>
      </c>
      <c r="D222">
        <v>0</v>
      </c>
      <c r="E222">
        <v>17</v>
      </c>
      <c r="F222" t="s">
        <v>128</v>
      </c>
      <c r="G222" t="s">
        <v>303</v>
      </c>
      <c r="H222" t="s">
        <v>127</v>
      </c>
      <c r="I222" t="s">
        <v>448</v>
      </c>
    </row>
    <row r="223" spans="1:9" x14ac:dyDescent="0.2">
      <c r="A223">
        <v>1167797</v>
      </c>
      <c r="B223">
        <v>1</v>
      </c>
      <c r="C223">
        <v>3225</v>
      </c>
      <c r="D223">
        <v>0</v>
      </c>
      <c r="E223">
        <v>36</v>
      </c>
      <c r="F223" t="s">
        <v>47</v>
      </c>
      <c r="G223" t="s">
        <v>106</v>
      </c>
      <c r="H223" t="s">
        <v>46</v>
      </c>
      <c r="I223">
        <v>10</v>
      </c>
    </row>
    <row r="224" spans="1:9" x14ac:dyDescent="0.2">
      <c r="A224">
        <v>1167797</v>
      </c>
      <c r="B224">
        <v>2</v>
      </c>
      <c r="C224">
        <v>3269</v>
      </c>
      <c r="D224">
        <v>0</v>
      </c>
      <c r="E224">
        <v>36</v>
      </c>
      <c r="F224" t="s">
        <v>47</v>
      </c>
      <c r="G224" t="s">
        <v>180</v>
      </c>
      <c r="H224" t="s">
        <v>46</v>
      </c>
      <c r="I224">
        <v>10</v>
      </c>
    </row>
    <row r="225" spans="1:9" x14ac:dyDescent="0.2">
      <c r="A225">
        <v>1167797</v>
      </c>
      <c r="B225">
        <v>3</v>
      </c>
      <c r="C225">
        <v>3212</v>
      </c>
      <c r="D225">
        <v>0</v>
      </c>
      <c r="E225">
        <v>36</v>
      </c>
      <c r="F225" t="s">
        <v>47</v>
      </c>
      <c r="G225" t="s">
        <v>84</v>
      </c>
      <c r="H225" t="s">
        <v>46</v>
      </c>
      <c r="I225">
        <v>10</v>
      </c>
    </row>
    <row r="226" spans="1:9" x14ac:dyDescent="0.2">
      <c r="A226">
        <v>1181487</v>
      </c>
      <c r="B226">
        <v>1</v>
      </c>
      <c r="C226">
        <v>3211</v>
      </c>
      <c r="D226">
        <v>54400</v>
      </c>
      <c r="E226">
        <v>24</v>
      </c>
      <c r="F226" t="s">
        <v>47</v>
      </c>
      <c r="G226" t="s">
        <v>99</v>
      </c>
      <c r="H226" t="s">
        <v>46</v>
      </c>
      <c r="I226">
        <v>10</v>
      </c>
    </row>
    <row r="227" spans="1:9" x14ac:dyDescent="0.2">
      <c r="A227">
        <v>1181487</v>
      </c>
      <c r="B227">
        <v>2</v>
      </c>
      <c r="C227">
        <v>3212</v>
      </c>
      <c r="D227">
        <v>0</v>
      </c>
      <c r="E227">
        <v>26</v>
      </c>
      <c r="F227" t="s">
        <v>47</v>
      </c>
      <c r="G227" t="s">
        <v>84</v>
      </c>
      <c r="H227" t="s">
        <v>46</v>
      </c>
      <c r="I227">
        <v>10</v>
      </c>
    </row>
    <row r="228" spans="1:9" x14ac:dyDescent="0.2">
      <c r="A228">
        <v>1181487</v>
      </c>
      <c r="B228">
        <v>3</v>
      </c>
      <c r="C228">
        <v>3214</v>
      </c>
      <c r="D228">
        <v>0</v>
      </c>
      <c r="E228">
        <v>26</v>
      </c>
      <c r="F228" t="s">
        <v>47</v>
      </c>
      <c r="G228" t="s">
        <v>98</v>
      </c>
      <c r="H228" t="s">
        <v>74</v>
      </c>
      <c r="I228">
        <v>10</v>
      </c>
    </row>
    <row r="229" spans="1:9" x14ac:dyDescent="0.2">
      <c r="A229">
        <v>1197931</v>
      </c>
      <c r="B229">
        <v>1</v>
      </c>
      <c r="C229">
        <v>1779</v>
      </c>
      <c r="D229">
        <v>57440</v>
      </c>
      <c r="E229">
        <v>24</v>
      </c>
      <c r="F229" t="s">
        <v>57</v>
      </c>
      <c r="G229" t="s">
        <v>162</v>
      </c>
      <c r="H229" t="s">
        <v>79</v>
      </c>
      <c r="I229">
        <v>10</v>
      </c>
    </row>
    <row r="230" spans="1:9" x14ac:dyDescent="0.2">
      <c r="A230">
        <v>1197931</v>
      </c>
      <c r="B230">
        <v>2</v>
      </c>
      <c r="C230">
        <v>1374</v>
      </c>
      <c r="D230">
        <v>0</v>
      </c>
      <c r="E230">
        <v>26</v>
      </c>
      <c r="F230" t="s">
        <v>21</v>
      </c>
      <c r="G230" t="s">
        <v>162</v>
      </c>
      <c r="H230" t="s">
        <v>20</v>
      </c>
      <c r="I230">
        <v>8</v>
      </c>
    </row>
    <row r="231" spans="1:9" x14ac:dyDescent="0.2">
      <c r="A231">
        <v>1197931</v>
      </c>
      <c r="B231">
        <v>3</v>
      </c>
      <c r="C231">
        <v>1370</v>
      </c>
      <c r="D231">
        <v>0</v>
      </c>
      <c r="E231">
        <v>26</v>
      </c>
      <c r="F231" t="s">
        <v>21</v>
      </c>
      <c r="G231" t="s">
        <v>120</v>
      </c>
      <c r="H231" t="s">
        <v>20</v>
      </c>
      <c r="I231">
        <v>8</v>
      </c>
    </row>
    <row r="232" spans="1:9" x14ac:dyDescent="0.2">
      <c r="A232">
        <v>1197931</v>
      </c>
      <c r="B232">
        <v>4</v>
      </c>
      <c r="C232">
        <v>2926</v>
      </c>
      <c r="D232">
        <v>0</v>
      </c>
      <c r="E232">
        <v>26</v>
      </c>
      <c r="F232" t="s">
        <v>119</v>
      </c>
      <c r="G232" t="s">
        <v>162</v>
      </c>
      <c r="H232" t="s">
        <v>20</v>
      </c>
      <c r="I232">
        <v>8</v>
      </c>
    </row>
    <row r="233" spans="1:9" x14ac:dyDescent="0.2">
      <c r="A233">
        <v>1197931</v>
      </c>
      <c r="B233">
        <v>5</v>
      </c>
      <c r="C233">
        <v>1465</v>
      </c>
      <c r="D233">
        <v>0</v>
      </c>
      <c r="E233">
        <v>26</v>
      </c>
      <c r="F233" t="s">
        <v>25</v>
      </c>
      <c r="G233" t="s">
        <v>265</v>
      </c>
      <c r="H233" t="s">
        <v>24</v>
      </c>
      <c r="I233">
        <v>5</v>
      </c>
    </row>
    <row r="234" spans="1:9" x14ac:dyDescent="0.2">
      <c r="A234">
        <v>1197931</v>
      </c>
      <c r="B234">
        <v>6</v>
      </c>
      <c r="C234">
        <v>1461</v>
      </c>
      <c r="D234">
        <v>0</v>
      </c>
      <c r="E234">
        <v>26</v>
      </c>
      <c r="F234" t="s">
        <v>25</v>
      </c>
      <c r="G234" t="s">
        <v>266</v>
      </c>
      <c r="H234" t="s">
        <v>24</v>
      </c>
      <c r="I234">
        <v>5</v>
      </c>
    </row>
    <row r="235" spans="1:9" x14ac:dyDescent="0.2">
      <c r="A235">
        <v>1197931</v>
      </c>
      <c r="B235">
        <v>7</v>
      </c>
      <c r="C235">
        <v>3659</v>
      </c>
      <c r="D235">
        <v>0</v>
      </c>
      <c r="E235">
        <v>26</v>
      </c>
      <c r="F235" t="s">
        <v>108</v>
      </c>
      <c r="G235" t="s">
        <v>267</v>
      </c>
      <c r="H235" t="s">
        <v>20</v>
      </c>
      <c r="I235">
        <v>8</v>
      </c>
    </row>
    <row r="236" spans="1:9" x14ac:dyDescent="0.2">
      <c r="A236">
        <v>1197931</v>
      </c>
      <c r="B236">
        <v>8</v>
      </c>
      <c r="C236">
        <v>1509</v>
      </c>
      <c r="D236">
        <v>0</v>
      </c>
      <c r="E236">
        <v>26</v>
      </c>
      <c r="F236" t="s">
        <v>142</v>
      </c>
      <c r="G236" t="s">
        <v>162</v>
      </c>
      <c r="H236" t="s">
        <v>31</v>
      </c>
      <c r="I236">
        <v>5</v>
      </c>
    </row>
    <row r="237" spans="1:9" x14ac:dyDescent="0.2">
      <c r="A237">
        <v>1253583</v>
      </c>
      <c r="B237">
        <v>1</v>
      </c>
      <c r="C237">
        <v>1354</v>
      </c>
      <c r="D237">
        <v>0</v>
      </c>
      <c r="E237">
        <v>36</v>
      </c>
      <c r="F237" t="s">
        <v>21</v>
      </c>
      <c r="G237" t="s">
        <v>253</v>
      </c>
      <c r="H237" t="s">
        <v>20</v>
      </c>
      <c r="I237">
        <v>8</v>
      </c>
    </row>
    <row r="238" spans="1:9" x14ac:dyDescent="0.2">
      <c r="A238">
        <v>1253583</v>
      </c>
      <c r="B238">
        <v>2</v>
      </c>
      <c r="C238">
        <v>1377</v>
      </c>
      <c r="D238">
        <v>0</v>
      </c>
      <c r="E238">
        <v>36</v>
      </c>
      <c r="F238" t="s">
        <v>21</v>
      </c>
      <c r="G238" t="s">
        <v>251</v>
      </c>
      <c r="H238" t="s">
        <v>20</v>
      </c>
      <c r="I238">
        <v>8</v>
      </c>
    </row>
    <row r="239" spans="1:9" x14ac:dyDescent="0.2">
      <c r="A239">
        <v>1253583</v>
      </c>
      <c r="B239">
        <v>3</v>
      </c>
      <c r="C239">
        <v>3261</v>
      </c>
      <c r="D239">
        <v>0</v>
      </c>
      <c r="E239">
        <v>36</v>
      </c>
      <c r="F239" t="s">
        <v>47</v>
      </c>
      <c r="G239" t="s">
        <v>93</v>
      </c>
      <c r="H239" t="s">
        <v>46</v>
      </c>
      <c r="I239">
        <v>10</v>
      </c>
    </row>
    <row r="240" spans="1:9" x14ac:dyDescent="0.2">
      <c r="A240">
        <v>1253583</v>
      </c>
      <c r="B240">
        <v>4</v>
      </c>
      <c r="C240">
        <v>1666</v>
      </c>
      <c r="D240">
        <v>0</v>
      </c>
      <c r="E240">
        <v>36</v>
      </c>
      <c r="F240" t="s">
        <v>128</v>
      </c>
      <c r="G240" t="s">
        <v>303</v>
      </c>
      <c r="H240" t="s">
        <v>127</v>
      </c>
      <c r="I240" t="s">
        <v>448</v>
      </c>
    </row>
    <row r="241" spans="1:9" x14ac:dyDescent="0.2">
      <c r="A241">
        <v>1283084</v>
      </c>
      <c r="B241">
        <v>1</v>
      </c>
      <c r="C241">
        <v>1237</v>
      </c>
      <c r="D241">
        <v>75435</v>
      </c>
      <c r="E241">
        <v>24</v>
      </c>
      <c r="F241" t="s">
        <v>19</v>
      </c>
      <c r="G241" t="s">
        <v>65</v>
      </c>
      <c r="H241" t="s">
        <v>16</v>
      </c>
      <c r="I241" t="s">
        <v>448</v>
      </c>
    </row>
    <row r="242" spans="1:9" x14ac:dyDescent="0.2">
      <c r="A242">
        <v>1283084</v>
      </c>
      <c r="B242">
        <v>2</v>
      </c>
      <c r="C242">
        <v>1155</v>
      </c>
      <c r="D242">
        <v>0</v>
      </c>
      <c r="E242">
        <v>26</v>
      </c>
      <c r="F242" t="s">
        <v>17</v>
      </c>
      <c r="G242" t="s">
        <v>62</v>
      </c>
      <c r="H242" t="s">
        <v>16</v>
      </c>
      <c r="I242" t="s">
        <v>448</v>
      </c>
    </row>
    <row r="243" spans="1:9" x14ac:dyDescent="0.2">
      <c r="A243">
        <v>1283084</v>
      </c>
      <c r="B243">
        <v>3</v>
      </c>
      <c r="C243">
        <v>1221</v>
      </c>
      <c r="D243">
        <v>0</v>
      </c>
      <c r="E243">
        <v>26</v>
      </c>
      <c r="F243" t="s">
        <v>19</v>
      </c>
      <c r="G243" t="s">
        <v>63</v>
      </c>
      <c r="H243" t="s">
        <v>16</v>
      </c>
      <c r="I243" t="s">
        <v>448</v>
      </c>
    </row>
    <row r="244" spans="1:9" x14ac:dyDescent="0.2">
      <c r="A244">
        <v>1283084</v>
      </c>
      <c r="B244">
        <v>4</v>
      </c>
      <c r="C244">
        <v>1140</v>
      </c>
      <c r="D244">
        <v>0</v>
      </c>
      <c r="E244">
        <v>26</v>
      </c>
      <c r="F244" t="s">
        <v>17</v>
      </c>
      <c r="G244" t="s">
        <v>363</v>
      </c>
      <c r="H244" t="s">
        <v>16</v>
      </c>
      <c r="I244" t="s">
        <v>448</v>
      </c>
    </row>
    <row r="245" spans="1:9" x14ac:dyDescent="0.2">
      <c r="A245">
        <v>1283084</v>
      </c>
      <c r="B245">
        <v>5</v>
      </c>
      <c r="C245">
        <v>1324</v>
      </c>
      <c r="D245">
        <v>0</v>
      </c>
      <c r="E245">
        <v>26</v>
      </c>
      <c r="F245" t="s">
        <v>21</v>
      </c>
      <c r="G245" t="s">
        <v>63</v>
      </c>
      <c r="H245" t="s">
        <v>20</v>
      </c>
      <c r="I245">
        <v>8</v>
      </c>
    </row>
    <row r="246" spans="1:9" x14ac:dyDescent="0.2">
      <c r="A246">
        <v>1283085</v>
      </c>
      <c r="B246">
        <v>1</v>
      </c>
      <c r="C246">
        <v>3002</v>
      </c>
      <c r="D246">
        <v>56920</v>
      </c>
      <c r="E246">
        <v>24</v>
      </c>
      <c r="F246" t="s">
        <v>44</v>
      </c>
      <c r="G246" t="s">
        <v>147</v>
      </c>
      <c r="H246" t="s">
        <v>55</v>
      </c>
      <c r="I246">
        <v>9</v>
      </c>
    </row>
    <row r="247" spans="1:9" x14ac:dyDescent="0.2">
      <c r="A247">
        <v>1283085</v>
      </c>
      <c r="B247">
        <v>2</v>
      </c>
      <c r="C247">
        <v>2920</v>
      </c>
      <c r="D247">
        <v>0</v>
      </c>
      <c r="E247">
        <v>26</v>
      </c>
      <c r="F247" t="s">
        <v>119</v>
      </c>
      <c r="G247" t="s">
        <v>67</v>
      </c>
      <c r="H247" t="s">
        <v>20</v>
      </c>
      <c r="I247">
        <v>8</v>
      </c>
    </row>
    <row r="248" spans="1:9" x14ac:dyDescent="0.2">
      <c r="A248">
        <v>1283085</v>
      </c>
      <c r="B248">
        <v>3</v>
      </c>
      <c r="C248">
        <v>3630</v>
      </c>
      <c r="D248">
        <v>0</v>
      </c>
      <c r="E248">
        <v>26</v>
      </c>
      <c r="F248" t="s">
        <v>108</v>
      </c>
      <c r="G248" t="s">
        <v>66</v>
      </c>
      <c r="H248" t="s">
        <v>20</v>
      </c>
      <c r="I248">
        <v>8</v>
      </c>
    </row>
    <row r="249" spans="1:9" x14ac:dyDescent="0.2">
      <c r="A249">
        <v>1283085</v>
      </c>
      <c r="B249">
        <v>4</v>
      </c>
      <c r="C249">
        <v>2144</v>
      </c>
      <c r="D249">
        <v>0</v>
      </c>
      <c r="E249">
        <v>26</v>
      </c>
      <c r="F249" t="s">
        <v>193</v>
      </c>
      <c r="G249" t="s">
        <v>424</v>
      </c>
      <c r="H249" t="s">
        <v>192</v>
      </c>
      <c r="I249" t="s">
        <v>448</v>
      </c>
    </row>
    <row r="250" spans="1:9" x14ac:dyDescent="0.2">
      <c r="A250">
        <v>1283085</v>
      </c>
      <c r="B250">
        <v>5</v>
      </c>
      <c r="C250">
        <v>1708</v>
      </c>
      <c r="D250">
        <v>0</v>
      </c>
      <c r="E250">
        <v>26</v>
      </c>
      <c r="F250" t="s">
        <v>57</v>
      </c>
      <c r="G250" t="s">
        <v>80</v>
      </c>
      <c r="H250" t="s">
        <v>79</v>
      </c>
      <c r="I250">
        <v>10</v>
      </c>
    </row>
    <row r="251" spans="1:9" x14ac:dyDescent="0.2">
      <c r="A251">
        <v>1351714</v>
      </c>
      <c r="B251">
        <v>1</v>
      </c>
      <c r="C251">
        <v>3225</v>
      </c>
      <c r="D251">
        <v>49040</v>
      </c>
      <c r="E251">
        <v>24</v>
      </c>
      <c r="F251" t="s">
        <v>47</v>
      </c>
      <c r="G251" t="s">
        <v>106</v>
      </c>
      <c r="H251" t="s">
        <v>46</v>
      </c>
      <c r="I251">
        <v>10</v>
      </c>
    </row>
    <row r="252" spans="1:9" x14ac:dyDescent="0.2">
      <c r="A252">
        <v>1351714</v>
      </c>
      <c r="B252">
        <v>2</v>
      </c>
      <c r="C252">
        <v>3269</v>
      </c>
      <c r="D252">
        <v>0</v>
      </c>
      <c r="E252">
        <v>26</v>
      </c>
      <c r="F252" t="s">
        <v>47</v>
      </c>
      <c r="G252" t="s">
        <v>180</v>
      </c>
      <c r="H252" t="s">
        <v>46</v>
      </c>
      <c r="I252">
        <v>10</v>
      </c>
    </row>
    <row r="253" spans="1:9" x14ac:dyDescent="0.2">
      <c r="A253">
        <v>1351714</v>
      </c>
      <c r="B253">
        <v>3</v>
      </c>
      <c r="C253">
        <v>3211</v>
      </c>
      <c r="D253">
        <v>0</v>
      </c>
      <c r="E253">
        <v>26</v>
      </c>
      <c r="F253" t="s">
        <v>47</v>
      </c>
      <c r="G253" t="s">
        <v>99</v>
      </c>
      <c r="H253" t="s">
        <v>46</v>
      </c>
      <c r="I253">
        <v>10</v>
      </c>
    </row>
    <row r="254" spans="1:9" x14ac:dyDescent="0.2">
      <c r="A254">
        <v>1351714</v>
      </c>
      <c r="B254">
        <v>4</v>
      </c>
      <c r="C254">
        <v>3212</v>
      </c>
      <c r="D254">
        <v>0</v>
      </c>
      <c r="E254">
        <v>26</v>
      </c>
      <c r="F254" t="s">
        <v>47</v>
      </c>
      <c r="G254" t="s">
        <v>84</v>
      </c>
      <c r="H254" t="s">
        <v>46</v>
      </c>
      <c r="I254">
        <v>10</v>
      </c>
    </row>
    <row r="255" spans="1:9" x14ac:dyDescent="0.2">
      <c r="A255">
        <v>1369636</v>
      </c>
      <c r="B255">
        <v>1</v>
      </c>
      <c r="C255">
        <v>3269</v>
      </c>
      <c r="D255">
        <v>50965</v>
      </c>
      <c r="E255">
        <v>24</v>
      </c>
      <c r="F255" t="s">
        <v>47</v>
      </c>
      <c r="G255" t="s">
        <v>180</v>
      </c>
      <c r="H255" t="s">
        <v>46</v>
      </c>
      <c r="I255">
        <v>10</v>
      </c>
    </row>
    <row r="256" spans="1:9" x14ac:dyDescent="0.2">
      <c r="A256">
        <v>1369636</v>
      </c>
      <c r="B256">
        <v>2</v>
      </c>
      <c r="C256">
        <v>3296</v>
      </c>
      <c r="D256">
        <v>0</v>
      </c>
      <c r="E256">
        <v>26</v>
      </c>
      <c r="F256" t="s">
        <v>47</v>
      </c>
      <c r="G256" t="s">
        <v>100</v>
      </c>
      <c r="H256" t="s">
        <v>46</v>
      </c>
      <c r="I256">
        <v>10</v>
      </c>
    </row>
    <row r="257" spans="1:9" x14ac:dyDescent="0.2">
      <c r="A257">
        <v>1369636</v>
      </c>
      <c r="B257">
        <v>3</v>
      </c>
      <c r="C257">
        <v>3229</v>
      </c>
      <c r="D257">
        <v>0</v>
      </c>
      <c r="E257">
        <v>26</v>
      </c>
      <c r="F257" t="s">
        <v>47</v>
      </c>
      <c r="G257" t="s">
        <v>101</v>
      </c>
      <c r="H257" t="s">
        <v>46</v>
      </c>
      <c r="I257">
        <v>10</v>
      </c>
    </row>
    <row r="258" spans="1:9" x14ac:dyDescent="0.2">
      <c r="A258">
        <v>1369636</v>
      </c>
      <c r="B258">
        <v>4</v>
      </c>
      <c r="C258">
        <v>3212</v>
      </c>
      <c r="D258">
        <v>0</v>
      </c>
      <c r="E258">
        <v>26</v>
      </c>
      <c r="F258" t="s">
        <v>47</v>
      </c>
      <c r="G258" t="s">
        <v>84</v>
      </c>
      <c r="H258" t="s">
        <v>46</v>
      </c>
      <c r="I258">
        <v>10</v>
      </c>
    </row>
    <row r="259" spans="1:9" x14ac:dyDescent="0.2">
      <c r="A259">
        <v>1369636</v>
      </c>
      <c r="B259">
        <v>5</v>
      </c>
      <c r="C259">
        <v>3261</v>
      </c>
      <c r="D259">
        <v>0</v>
      </c>
      <c r="E259">
        <v>26</v>
      </c>
      <c r="F259" t="s">
        <v>47</v>
      </c>
      <c r="G259" t="s">
        <v>93</v>
      </c>
      <c r="H259" t="s">
        <v>46</v>
      </c>
      <c r="I259">
        <v>10</v>
      </c>
    </row>
    <row r="260" spans="1:9" x14ac:dyDescent="0.2">
      <c r="A260">
        <v>1369636</v>
      </c>
      <c r="B260">
        <v>6</v>
      </c>
      <c r="C260">
        <v>3200</v>
      </c>
      <c r="D260">
        <v>0</v>
      </c>
      <c r="E260">
        <v>26</v>
      </c>
      <c r="F260" t="s">
        <v>47</v>
      </c>
      <c r="G260" t="s">
        <v>18</v>
      </c>
      <c r="H260" t="s">
        <v>46</v>
      </c>
      <c r="I260">
        <v>10</v>
      </c>
    </row>
    <row r="261" spans="1:9" x14ac:dyDescent="0.2">
      <c r="A261">
        <v>1369636</v>
      </c>
      <c r="B261">
        <v>7</v>
      </c>
      <c r="C261">
        <v>3239</v>
      </c>
      <c r="D261">
        <v>0</v>
      </c>
      <c r="E261">
        <v>26</v>
      </c>
      <c r="F261" t="s">
        <v>47</v>
      </c>
      <c r="G261" t="s">
        <v>107</v>
      </c>
      <c r="H261" t="s">
        <v>46</v>
      </c>
      <c r="I261">
        <v>10</v>
      </c>
    </row>
    <row r="262" spans="1:9" x14ac:dyDescent="0.2">
      <c r="A262">
        <v>1369636</v>
      </c>
      <c r="B262">
        <v>8</v>
      </c>
      <c r="C262">
        <v>3225</v>
      </c>
      <c r="D262">
        <v>0</v>
      </c>
      <c r="E262">
        <v>26</v>
      </c>
      <c r="F262" t="s">
        <v>47</v>
      </c>
      <c r="G262" t="s">
        <v>106</v>
      </c>
      <c r="H262" t="s">
        <v>46</v>
      </c>
      <c r="I262">
        <v>10</v>
      </c>
    </row>
    <row r="263" spans="1:9" x14ac:dyDescent="0.2">
      <c r="A263">
        <v>1393624</v>
      </c>
      <c r="B263">
        <v>1</v>
      </c>
      <c r="C263">
        <v>3226</v>
      </c>
      <c r="D263">
        <v>45280</v>
      </c>
      <c r="E263">
        <v>25</v>
      </c>
      <c r="F263" t="s">
        <v>47</v>
      </c>
      <c r="G263" t="s">
        <v>96</v>
      </c>
      <c r="H263" t="s">
        <v>46</v>
      </c>
      <c r="I263">
        <v>10</v>
      </c>
    </row>
    <row r="264" spans="1:9" x14ac:dyDescent="0.2">
      <c r="A264">
        <v>1393624</v>
      </c>
      <c r="B264">
        <v>2</v>
      </c>
      <c r="C264">
        <v>3225</v>
      </c>
      <c r="D264">
        <v>45280</v>
      </c>
      <c r="E264">
        <v>25</v>
      </c>
      <c r="F264" t="s">
        <v>47</v>
      </c>
      <c r="G264" t="s">
        <v>106</v>
      </c>
      <c r="H264" t="s">
        <v>46</v>
      </c>
      <c r="I264">
        <v>10</v>
      </c>
    </row>
    <row r="265" spans="1:9" x14ac:dyDescent="0.2">
      <c r="A265">
        <v>1393624</v>
      </c>
      <c r="B265">
        <v>3</v>
      </c>
      <c r="C265">
        <v>3239</v>
      </c>
      <c r="D265">
        <v>46365</v>
      </c>
      <c r="E265">
        <v>25</v>
      </c>
      <c r="F265" t="s">
        <v>47</v>
      </c>
      <c r="G265" t="s">
        <v>107</v>
      </c>
      <c r="H265" t="s">
        <v>46</v>
      </c>
      <c r="I265">
        <v>10</v>
      </c>
    </row>
    <row r="266" spans="1:9" x14ac:dyDescent="0.2">
      <c r="A266">
        <v>1430656</v>
      </c>
      <c r="B266">
        <v>1</v>
      </c>
      <c r="C266">
        <v>3021</v>
      </c>
      <c r="D266">
        <v>55440</v>
      </c>
      <c r="E266">
        <v>25</v>
      </c>
      <c r="F266" t="s">
        <v>44</v>
      </c>
      <c r="G266" t="s">
        <v>49</v>
      </c>
      <c r="H266" t="s">
        <v>50</v>
      </c>
      <c r="I266">
        <v>9</v>
      </c>
    </row>
    <row r="267" spans="1:9" x14ac:dyDescent="0.2">
      <c r="A267">
        <v>1430656</v>
      </c>
      <c r="B267">
        <v>2</v>
      </c>
      <c r="C267">
        <v>3060</v>
      </c>
      <c r="D267">
        <v>55000</v>
      </c>
      <c r="E267">
        <v>24</v>
      </c>
      <c r="F267" t="s">
        <v>44</v>
      </c>
      <c r="G267" t="s">
        <v>51</v>
      </c>
      <c r="H267" t="s">
        <v>52</v>
      </c>
      <c r="I267">
        <v>9</v>
      </c>
    </row>
    <row r="268" spans="1:9" x14ac:dyDescent="0.2">
      <c r="A268">
        <v>1430656</v>
      </c>
      <c r="B268">
        <v>3</v>
      </c>
      <c r="C268">
        <v>3058</v>
      </c>
      <c r="D268">
        <v>0</v>
      </c>
      <c r="E268">
        <v>26</v>
      </c>
      <c r="F268" t="s">
        <v>44</v>
      </c>
      <c r="G268" t="s">
        <v>53</v>
      </c>
      <c r="H268" t="s">
        <v>52</v>
      </c>
      <c r="I268">
        <v>9</v>
      </c>
    </row>
    <row r="269" spans="1:9" x14ac:dyDescent="0.2">
      <c r="A269">
        <v>1430656</v>
      </c>
      <c r="B269">
        <v>4</v>
      </c>
      <c r="C269">
        <v>3007</v>
      </c>
      <c r="D269">
        <v>0</v>
      </c>
      <c r="E269">
        <v>26</v>
      </c>
      <c r="F269" t="s">
        <v>44</v>
      </c>
      <c r="G269" t="s">
        <v>54</v>
      </c>
      <c r="H269" t="s">
        <v>55</v>
      </c>
      <c r="I269">
        <v>9</v>
      </c>
    </row>
    <row r="270" spans="1:9" x14ac:dyDescent="0.2">
      <c r="A270">
        <v>1430656</v>
      </c>
      <c r="B270">
        <v>5</v>
      </c>
      <c r="C270">
        <v>1787</v>
      </c>
      <c r="D270">
        <v>0</v>
      </c>
      <c r="E270">
        <v>26</v>
      </c>
      <c r="F270" t="s">
        <v>57</v>
      </c>
      <c r="G270" t="s">
        <v>49</v>
      </c>
      <c r="H270" t="s">
        <v>56</v>
      </c>
      <c r="I270">
        <v>10</v>
      </c>
    </row>
    <row r="271" spans="1:9" x14ac:dyDescent="0.2">
      <c r="A271">
        <v>1430656</v>
      </c>
      <c r="B271">
        <v>6</v>
      </c>
      <c r="C271">
        <v>3070</v>
      </c>
      <c r="D271">
        <v>0</v>
      </c>
      <c r="E271">
        <v>26</v>
      </c>
      <c r="F271" t="s">
        <v>44</v>
      </c>
      <c r="G271" t="s">
        <v>58</v>
      </c>
      <c r="H271" t="s">
        <v>59</v>
      </c>
      <c r="I271">
        <v>9</v>
      </c>
    </row>
    <row r="272" spans="1:9" x14ac:dyDescent="0.2">
      <c r="A272">
        <v>1430656</v>
      </c>
      <c r="B272">
        <v>7</v>
      </c>
      <c r="C272">
        <v>3076</v>
      </c>
      <c r="D272">
        <v>0</v>
      </c>
      <c r="E272">
        <v>26</v>
      </c>
      <c r="F272" t="s">
        <v>44</v>
      </c>
      <c r="G272" t="s">
        <v>60</v>
      </c>
      <c r="H272" t="s">
        <v>61</v>
      </c>
      <c r="I272">
        <v>9</v>
      </c>
    </row>
    <row r="273" spans="1:9" x14ac:dyDescent="0.2">
      <c r="A273">
        <v>1430656</v>
      </c>
      <c r="B273">
        <v>8</v>
      </c>
      <c r="C273">
        <v>3068</v>
      </c>
      <c r="D273">
        <v>0</v>
      </c>
      <c r="E273">
        <v>26</v>
      </c>
      <c r="F273" t="s">
        <v>44</v>
      </c>
      <c r="G273" t="s">
        <v>40</v>
      </c>
      <c r="H273" t="s">
        <v>43</v>
      </c>
      <c r="I273">
        <v>9</v>
      </c>
    </row>
    <row r="274" spans="1:9" x14ac:dyDescent="0.2">
      <c r="A274">
        <v>1469113</v>
      </c>
      <c r="B274">
        <v>1</v>
      </c>
      <c r="C274">
        <v>1237</v>
      </c>
      <c r="D274">
        <v>70560</v>
      </c>
      <c r="E274">
        <v>24</v>
      </c>
      <c r="F274" t="s">
        <v>19</v>
      </c>
      <c r="G274" t="s">
        <v>65</v>
      </c>
      <c r="H274" t="s">
        <v>16</v>
      </c>
      <c r="I274" t="s">
        <v>448</v>
      </c>
    </row>
    <row r="275" spans="1:9" x14ac:dyDescent="0.2">
      <c r="A275">
        <v>1469113</v>
      </c>
      <c r="B275">
        <v>2</v>
      </c>
      <c r="C275">
        <v>1140</v>
      </c>
      <c r="D275">
        <v>0</v>
      </c>
      <c r="E275">
        <v>26</v>
      </c>
      <c r="F275" t="s">
        <v>17</v>
      </c>
      <c r="G275" t="s">
        <v>363</v>
      </c>
      <c r="H275" t="s">
        <v>16</v>
      </c>
      <c r="I275" t="s">
        <v>448</v>
      </c>
    </row>
    <row r="276" spans="1:9" x14ac:dyDescent="0.2">
      <c r="A276">
        <v>1469113</v>
      </c>
      <c r="B276">
        <v>3</v>
      </c>
      <c r="C276">
        <v>1323</v>
      </c>
      <c r="D276">
        <v>0</v>
      </c>
      <c r="E276">
        <v>26</v>
      </c>
      <c r="F276" t="s">
        <v>21</v>
      </c>
      <c r="G276" t="s">
        <v>98</v>
      </c>
      <c r="H276" t="s">
        <v>20</v>
      </c>
      <c r="I276">
        <v>8</v>
      </c>
    </row>
    <row r="277" spans="1:9" x14ac:dyDescent="0.2">
      <c r="A277">
        <v>1469113</v>
      </c>
      <c r="B277">
        <v>4</v>
      </c>
      <c r="C277">
        <v>1235</v>
      </c>
      <c r="D277">
        <v>0</v>
      </c>
      <c r="E277">
        <v>26</v>
      </c>
      <c r="F277" t="s">
        <v>19</v>
      </c>
      <c r="G277" t="s">
        <v>179</v>
      </c>
      <c r="H277" t="s">
        <v>16</v>
      </c>
      <c r="I277" t="s">
        <v>448</v>
      </c>
    </row>
    <row r="278" spans="1:9" x14ac:dyDescent="0.2">
      <c r="A278">
        <v>1469113</v>
      </c>
      <c r="B278">
        <v>5</v>
      </c>
      <c r="C278">
        <v>1359</v>
      </c>
      <c r="D278">
        <v>0</v>
      </c>
      <c r="E278">
        <v>26</v>
      </c>
      <c r="F278" t="s">
        <v>21</v>
      </c>
      <c r="G278" t="s">
        <v>214</v>
      </c>
      <c r="H278" t="s">
        <v>20</v>
      </c>
      <c r="I278">
        <v>8</v>
      </c>
    </row>
    <row r="279" spans="1:9" x14ac:dyDescent="0.2">
      <c r="A279">
        <v>1474049</v>
      </c>
      <c r="B279">
        <v>1</v>
      </c>
      <c r="C279">
        <v>1412</v>
      </c>
      <c r="D279">
        <v>61700</v>
      </c>
      <c r="E279">
        <v>25</v>
      </c>
      <c r="F279" t="s">
        <v>25</v>
      </c>
      <c r="G279" t="s">
        <v>269</v>
      </c>
      <c r="H279" t="s">
        <v>24</v>
      </c>
      <c r="I279">
        <v>5</v>
      </c>
    </row>
    <row r="280" spans="1:9" x14ac:dyDescent="0.2">
      <c r="A280">
        <v>1474049</v>
      </c>
      <c r="B280">
        <v>2</v>
      </c>
      <c r="C280">
        <v>1460</v>
      </c>
      <c r="D280">
        <v>61620</v>
      </c>
      <c r="E280">
        <v>24</v>
      </c>
      <c r="F280" t="s">
        <v>25</v>
      </c>
      <c r="G280" t="s">
        <v>346</v>
      </c>
      <c r="H280" t="s">
        <v>24</v>
      </c>
      <c r="I280">
        <v>5</v>
      </c>
    </row>
    <row r="281" spans="1:9" x14ac:dyDescent="0.2">
      <c r="A281">
        <v>1474049</v>
      </c>
      <c r="B281">
        <v>3</v>
      </c>
      <c r="C281">
        <v>1702</v>
      </c>
      <c r="D281">
        <v>0</v>
      </c>
      <c r="E281">
        <v>26</v>
      </c>
      <c r="F281" t="s">
        <v>57</v>
      </c>
      <c r="G281" t="s">
        <v>164</v>
      </c>
      <c r="H281" t="s">
        <v>69</v>
      </c>
      <c r="I281">
        <v>10</v>
      </c>
    </row>
    <row r="282" spans="1:9" x14ac:dyDescent="0.2">
      <c r="A282">
        <v>1474049</v>
      </c>
      <c r="B282">
        <v>4</v>
      </c>
      <c r="C282">
        <v>1734</v>
      </c>
      <c r="D282">
        <v>0</v>
      </c>
      <c r="E282">
        <v>26</v>
      </c>
      <c r="F282" t="s">
        <v>57</v>
      </c>
      <c r="G282" t="s">
        <v>81</v>
      </c>
      <c r="H282" t="s">
        <v>69</v>
      </c>
      <c r="I282">
        <v>10</v>
      </c>
    </row>
    <row r="283" spans="1:9" x14ac:dyDescent="0.2">
      <c r="A283">
        <v>1500119</v>
      </c>
      <c r="B283">
        <v>1</v>
      </c>
      <c r="C283">
        <v>1503</v>
      </c>
      <c r="D283">
        <v>64045</v>
      </c>
      <c r="E283">
        <v>24</v>
      </c>
      <c r="F283" t="s">
        <v>142</v>
      </c>
      <c r="G283" t="s">
        <v>161</v>
      </c>
      <c r="H283" t="s">
        <v>31</v>
      </c>
      <c r="I283">
        <v>5</v>
      </c>
    </row>
    <row r="284" spans="1:9" x14ac:dyDescent="0.2">
      <c r="A284">
        <v>1501418</v>
      </c>
      <c r="B284">
        <v>1</v>
      </c>
      <c r="C284">
        <v>1155</v>
      </c>
      <c r="D284">
        <v>64850</v>
      </c>
      <c r="E284">
        <v>25</v>
      </c>
      <c r="F284" t="s">
        <v>17</v>
      </c>
      <c r="G284" t="s">
        <v>62</v>
      </c>
      <c r="H284" t="s">
        <v>16</v>
      </c>
      <c r="I284" t="s">
        <v>448</v>
      </c>
    </row>
    <row r="285" spans="1:9" x14ac:dyDescent="0.2">
      <c r="A285">
        <v>1501418</v>
      </c>
      <c r="B285">
        <v>2</v>
      </c>
      <c r="C285">
        <v>1221</v>
      </c>
      <c r="D285">
        <v>64850</v>
      </c>
      <c r="E285">
        <v>25</v>
      </c>
      <c r="F285" t="s">
        <v>19</v>
      </c>
      <c r="G285" t="s">
        <v>63</v>
      </c>
      <c r="H285" t="s">
        <v>16</v>
      </c>
      <c r="I285" t="s">
        <v>448</v>
      </c>
    </row>
    <row r="286" spans="1:9" x14ac:dyDescent="0.2">
      <c r="A286">
        <v>1501418</v>
      </c>
      <c r="B286">
        <v>3</v>
      </c>
      <c r="C286">
        <v>1246</v>
      </c>
      <c r="D286">
        <v>63860</v>
      </c>
      <c r="E286">
        <v>25</v>
      </c>
      <c r="F286" t="s">
        <v>19</v>
      </c>
      <c r="G286" t="s">
        <v>245</v>
      </c>
      <c r="H286" t="s">
        <v>16</v>
      </c>
      <c r="I286" t="s">
        <v>448</v>
      </c>
    </row>
    <row r="287" spans="1:9" x14ac:dyDescent="0.2">
      <c r="A287">
        <v>1501418</v>
      </c>
      <c r="B287">
        <v>4</v>
      </c>
      <c r="C287">
        <v>1168</v>
      </c>
      <c r="D287">
        <v>64340</v>
      </c>
      <c r="E287">
        <v>25</v>
      </c>
      <c r="F287" t="s">
        <v>17</v>
      </c>
      <c r="G287" t="s">
        <v>246</v>
      </c>
      <c r="H287" t="s">
        <v>16</v>
      </c>
      <c r="I287" t="s">
        <v>448</v>
      </c>
    </row>
    <row r="288" spans="1:9" x14ac:dyDescent="0.2">
      <c r="A288">
        <v>1501418</v>
      </c>
      <c r="B288">
        <v>5</v>
      </c>
      <c r="C288">
        <v>1178</v>
      </c>
      <c r="D288">
        <v>0</v>
      </c>
      <c r="E288">
        <v>16</v>
      </c>
      <c r="F288" t="s">
        <v>17</v>
      </c>
      <c r="G288" t="s">
        <v>238</v>
      </c>
      <c r="H288" t="s">
        <v>16</v>
      </c>
      <c r="I288" t="s">
        <v>448</v>
      </c>
    </row>
    <row r="289" spans="1:9" x14ac:dyDescent="0.2">
      <c r="A289">
        <v>1501418</v>
      </c>
      <c r="B289">
        <v>6</v>
      </c>
      <c r="C289">
        <v>1220</v>
      </c>
      <c r="D289">
        <v>0</v>
      </c>
      <c r="E289">
        <v>16</v>
      </c>
      <c r="F289" t="s">
        <v>19</v>
      </c>
      <c r="G289" t="s">
        <v>244</v>
      </c>
      <c r="H289" t="s">
        <v>16</v>
      </c>
      <c r="I289" t="s">
        <v>448</v>
      </c>
    </row>
    <row r="290" spans="1:9" x14ac:dyDescent="0.2">
      <c r="A290">
        <v>1527242</v>
      </c>
      <c r="B290">
        <v>1</v>
      </c>
      <c r="C290">
        <v>3229</v>
      </c>
      <c r="D290">
        <v>47965</v>
      </c>
      <c r="E290">
        <v>25</v>
      </c>
      <c r="F290" t="s">
        <v>47</v>
      </c>
      <c r="G290" t="s">
        <v>101</v>
      </c>
      <c r="H290" t="s">
        <v>46</v>
      </c>
      <c r="I290">
        <v>10</v>
      </c>
    </row>
    <row r="291" spans="1:9" x14ac:dyDescent="0.2">
      <c r="A291">
        <v>1527242</v>
      </c>
      <c r="B291">
        <v>2</v>
      </c>
      <c r="C291">
        <v>3223</v>
      </c>
      <c r="D291">
        <v>47965</v>
      </c>
      <c r="E291">
        <v>24</v>
      </c>
      <c r="F291" t="s">
        <v>47</v>
      </c>
      <c r="G291" t="s">
        <v>105</v>
      </c>
      <c r="H291" t="s">
        <v>46</v>
      </c>
      <c r="I291">
        <v>10</v>
      </c>
    </row>
    <row r="292" spans="1:9" x14ac:dyDescent="0.2">
      <c r="A292">
        <v>1527242</v>
      </c>
      <c r="B292">
        <v>3</v>
      </c>
      <c r="C292">
        <v>1715</v>
      </c>
      <c r="D292">
        <v>0</v>
      </c>
      <c r="E292">
        <v>26</v>
      </c>
      <c r="F292" t="s">
        <v>57</v>
      </c>
      <c r="G292" t="s">
        <v>151</v>
      </c>
      <c r="H292" t="s">
        <v>69</v>
      </c>
      <c r="I292">
        <v>10</v>
      </c>
    </row>
    <row r="293" spans="1:9" x14ac:dyDescent="0.2">
      <c r="A293">
        <v>1527242</v>
      </c>
      <c r="B293">
        <v>4</v>
      </c>
      <c r="C293">
        <v>1705</v>
      </c>
      <c r="D293">
        <v>0</v>
      </c>
      <c r="E293">
        <v>26</v>
      </c>
      <c r="F293" t="s">
        <v>57</v>
      </c>
      <c r="G293" t="s">
        <v>102</v>
      </c>
      <c r="H293" t="s">
        <v>69</v>
      </c>
      <c r="I293">
        <v>10</v>
      </c>
    </row>
    <row r="294" spans="1:9" x14ac:dyDescent="0.2">
      <c r="A294">
        <v>1527242</v>
      </c>
      <c r="B294">
        <v>5</v>
      </c>
      <c r="C294">
        <v>1753</v>
      </c>
      <c r="D294">
        <v>0</v>
      </c>
      <c r="E294">
        <v>26</v>
      </c>
      <c r="F294" t="s">
        <v>57</v>
      </c>
      <c r="G294" t="s">
        <v>105</v>
      </c>
      <c r="H294" t="s">
        <v>69</v>
      </c>
      <c r="I294">
        <v>10</v>
      </c>
    </row>
    <row r="295" spans="1:9" x14ac:dyDescent="0.2">
      <c r="A295">
        <v>1527242</v>
      </c>
      <c r="B295">
        <v>6</v>
      </c>
      <c r="C295">
        <v>1776</v>
      </c>
      <c r="D295">
        <v>0</v>
      </c>
      <c r="E295">
        <v>26</v>
      </c>
      <c r="F295" t="s">
        <v>57</v>
      </c>
      <c r="G295" t="s">
        <v>124</v>
      </c>
      <c r="H295" t="s">
        <v>125</v>
      </c>
      <c r="I295">
        <v>10</v>
      </c>
    </row>
    <row r="296" spans="1:9" x14ac:dyDescent="0.2">
      <c r="A296">
        <v>1527242</v>
      </c>
      <c r="B296">
        <v>7</v>
      </c>
      <c r="C296">
        <v>1754</v>
      </c>
      <c r="D296">
        <v>0</v>
      </c>
      <c r="E296">
        <v>26</v>
      </c>
      <c r="F296" t="s">
        <v>57</v>
      </c>
      <c r="G296" t="s">
        <v>85</v>
      </c>
      <c r="H296" t="s">
        <v>69</v>
      </c>
      <c r="I296">
        <v>10</v>
      </c>
    </row>
    <row r="297" spans="1:9" x14ac:dyDescent="0.2">
      <c r="A297">
        <v>1527242</v>
      </c>
      <c r="B297">
        <v>8</v>
      </c>
      <c r="C297">
        <v>1752</v>
      </c>
      <c r="D297">
        <v>0</v>
      </c>
      <c r="E297">
        <v>13</v>
      </c>
      <c r="F297" t="s">
        <v>57</v>
      </c>
      <c r="G297" t="s">
        <v>66</v>
      </c>
      <c r="H297" t="s">
        <v>56</v>
      </c>
      <c r="I297">
        <v>10</v>
      </c>
    </row>
    <row r="298" spans="1:9" x14ac:dyDescent="0.2">
      <c r="A298">
        <v>1534573</v>
      </c>
      <c r="B298">
        <v>1</v>
      </c>
      <c r="C298">
        <v>3229</v>
      </c>
      <c r="D298">
        <v>51480</v>
      </c>
      <c r="E298">
        <v>25</v>
      </c>
      <c r="F298" t="s">
        <v>47</v>
      </c>
      <c r="G298" t="s">
        <v>101</v>
      </c>
      <c r="H298" t="s">
        <v>46</v>
      </c>
      <c r="I298">
        <v>10</v>
      </c>
    </row>
    <row r="299" spans="1:9" x14ac:dyDescent="0.2">
      <c r="A299">
        <v>1534573</v>
      </c>
      <c r="B299">
        <v>2</v>
      </c>
      <c r="C299">
        <v>1705</v>
      </c>
      <c r="D299">
        <v>51330</v>
      </c>
      <c r="E299">
        <v>25</v>
      </c>
      <c r="F299" t="s">
        <v>57</v>
      </c>
      <c r="G299" t="s">
        <v>102</v>
      </c>
      <c r="H299" t="s">
        <v>69</v>
      </c>
      <c r="I299">
        <v>10</v>
      </c>
    </row>
    <row r="300" spans="1:9" x14ac:dyDescent="0.2">
      <c r="A300">
        <v>1534573</v>
      </c>
      <c r="B300">
        <v>3</v>
      </c>
      <c r="C300">
        <v>1776</v>
      </c>
      <c r="D300">
        <v>51970</v>
      </c>
      <c r="E300">
        <v>25</v>
      </c>
      <c r="F300" t="s">
        <v>57</v>
      </c>
      <c r="G300" t="s">
        <v>124</v>
      </c>
      <c r="H300" t="s">
        <v>125</v>
      </c>
      <c r="I300">
        <v>10</v>
      </c>
    </row>
    <row r="301" spans="1:9" x14ac:dyDescent="0.2">
      <c r="A301">
        <v>1534573</v>
      </c>
      <c r="B301">
        <v>4</v>
      </c>
      <c r="C301">
        <v>1787</v>
      </c>
      <c r="D301">
        <v>51825</v>
      </c>
      <c r="E301">
        <v>25</v>
      </c>
      <c r="F301" t="s">
        <v>57</v>
      </c>
      <c r="G301" t="s">
        <v>49</v>
      </c>
      <c r="H301" t="s">
        <v>56</v>
      </c>
      <c r="I301">
        <v>10</v>
      </c>
    </row>
    <row r="302" spans="1:9" x14ac:dyDescent="0.2">
      <c r="A302">
        <v>1534573</v>
      </c>
      <c r="B302">
        <v>5</v>
      </c>
      <c r="C302">
        <v>1715</v>
      </c>
      <c r="D302">
        <v>51825</v>
      </c>
      <c r="E302">
        <v>25</v>
      </c>
      <c r="F302" t="s">
        <v>57</v>
      </c>
      <c r="G302" t="s">
        <v>151</v>
      </c>
      <c r="H302" t="s">
        <v>69</v>
      </c>
      <c r="I302">
        <v>10</v>
      </c>
    </row>
    <row r="303" spans="1:9" x14ac:dyDescent="0.2">
      <c r="A303">
        <v>1534573</v>
      </c>
      <c r="B303">
        <v>6</v>
      </c>
      <c r="C303">
        <v>1714</v>
      </c>
      <c r="D303">
        <v>51970</v>
      </c>
      <c r="E303">
        <v>25</v>
      </c>
      <c r="F303" t="s">
        <v>57</v>
      </c>
      <c r="G303" t="s">
        <v>95</v>
      </c>
      <c r="H303" t="s">
        <v>69</v>
      </c>
      <c r="I303">
        <v>10</v>
      </c>
    </row>
    <row r="304" spans="1:9" x14ac:dyDescent="0.2">
      <c r="A304">
        <v>1534573</v>
      </c>
      <c r="B304">
        <v>7</v>
      </c>
      <c r="C304">
        <v>3226</v>
      </c>
      <c r="D304">
        <v>51650</v>
      </c>
      <c r="E304">
        <v>24</v>
      </c>
      <c r="F304" t="s">
        <v>47</v>
      </c>
      <c r="G304" t="s">
        <v>96</v>
      </c>
      <c r="H304" t="s">
        <v>46</v>
      </c>
      <c r="I304">
        <v>10</v>
      </c>
    </row>
    <row r="305" spans="1:9" x14ac:dyDescent="0.2">
      <c r="A305">
        <v>1557926</v>
      </c>
      <c r="B305">
        <v>1</v>
      </c>
      <c r="C305">
        <v>3212</v>
      </c>
      <c r="D305">
        <v>58635</v>
      </c>
      <c r="E305">
        <v>24</v>
      </c>
      <c r="F305" t="s">
        <v>47</v>
      </c>
      <c r="G305" t="s">
        <v>84</v>
      </c>
      <c r="H305" t="s">
        <v>46</v>
      </c>
      <c r="I305">
        <v>10</v>
      </c>
    </row>
    <row r="306" spans="1:9" x14ac:dyDescent="0.2">
      <c r="A306">
        <v>1557926</v>
      </c>
      <c r="B306">
        <v>2</v>
      </c>
      <c r="C306">
        <v>3211</v>
      </c>
      <c r="D306">
        <v>0</v>
      </c>
      <c r="E306">
        <v>26</v>
      </c>
      <c r="F306" t="s">
        <v>47</v>
      </c>
      <c r="G306" t="s">
        <v>99</v>
      </c>
      <c r="H306" t="s">
        <v>46</v>
      </c>
      <c r="I306">
        <v>10</v>
      </c>
    </row>
    <row r="307" spans="1:9" x14ac:dyDescent="0.2">
      <c r="A307">
        <v>1557926</v>
      </c>
      <c r="B307">
        <v>3</v>
      </c>
      <c r="C307">
        <v>3239</v>
      </c>
      <c r="D307">
        <v>0</v>
      </c>
      <c r="E307">
        <v>26</v>
      </c>
      <c r="F307" t="s">
        <v>47</v>
      </c>
      <c r="G307" t="s">
        <v>107</v>
      </c>
      <c r="H307" t="s">
        <v>46</v>
      </c>
      <c r="I307">
        <v>10</v>
      </c>
    </row>
    <row r="308" spans="1:9" x14ac:dyDescent="0.2">
      <c r="A308">
        <v>1557926</v>
      </c>
      <c r="B308">
        <v>4</v>
      </c>
      <c r="C308">
        <v>3252</v>
      </c>
      <c r="D308">
        <v>0</v>
      </c>
      <c r="E308">
        <v>26</v>
      </c>
      <c r="F308" t="s">
        <v>47</v>
      </c>
      <c r="G308" t="s">
        <v>45</v>
      </c>
      <c r="H308" t="s">
        <v>46</v>
      </c>
      <c r="I308">
        <v>10</v>
      </c>
    </row>
    <row r="309" spans="1:9" x14ac:dyDescent="0.2">
      <c r="A309">
        <v>1557926</v>
      </c>
      <c r="B309">
        <v>5</v>
      </c>
      <c r="C309">
        <v>1709</v>
      </c>
      <c r="D309">
        <v>0</v>
      </c>
      <c r="E309">
        <v>26</v>
      </c>
      <c r="F309" t="s">
        <v>57</v>
      </c>
      <c r="G309" t="s">
        <v>84</v>
      </c>
      <c r="H309" t="s">
        <v>69</v>
      </c>
      <c r="I309">
        <v>10</v>
      </c>
    </row>
    <row r="310" spans="1:9" x14ac:dyDescent="0.2">
      <c r="A310">
        <v>1557927</v>
      </c>
      <c r="B310">
        <v>1</v>
      </c>
      <c r="C310">
        <v>3601</v>
      </c>
      <c r="D310">
        <v>58465</v>
      </c>
      <c r="E310">
        <v>25</v>
      </c>
      <c r="F310" t="s">
        <v>108</v>
      </c>
      <c r="G310" t="s">
        <v>63</v>
      </c>
      <c r="H310" t="s">
        <v>20</v>
      </c>
      <c r="I310">
        <v>8</v>
      </c>
    </row>
    <row r="311" spans="1:9" x14ac:dyDescent="0.2">
      <c r="A311">
        <v>1557927</v>
      </c>
      <c r="B311">
        <v>2</v>
      </c>
      <c r="C311">
        <v>3740</v>
      </c>
      <c r="D311">
        <v>55975</v>
      </c>
      <c r="E311">
        <v>25</v>
      </c>
      <c r="F311" t="s">
        <v>116</v>
      </c>
      <c r="G311" t="s">
        <v>63</v>
      </c>
      <c r="H311" t="s">
        <v>61</v>
      </c>
      <c r="I311">
        <v>9</v>
      </c>
    </row>
    <row r="312" spans="1:9" x14ac:dyDescent="0.2">
      <c r="A312">
        <v>1557927</v>
      </c>
      <c r="B312">
        <v>3</v>
      </c>
      <c r="C312">
        <v>1782</v>
      </c>
      <c r="D312">
        <v>58015</v>
      </c>
      <c r="E312">
        <v>25</v>
      </c>
      <c r="F312" t="s">
        <v>57</v>
      </c>
      <c r="G312" t="s">
        <v>63</v>
      </c>
      <c r="H312" t="s">
        <v>69</v>
      </c>
      <c r="I312">
        <v>10</v>
      </c>
    </row>
    <row r="313" spans="1:9" x14ac:dyDescent="0.2">
      <c r="A313">
        <v>1557927</v>
      </c>
      <c r="B313">
        <v>4</v>
      </c>
      <c r="C313">
        <v>1709</v>
      </c>
      <c r="D313">
        <v>54760</v>
      </c>
      <c r="E313">
        <v>25</v>
      </c>
      <c r="F313" t="s">
        <v>57</v>
      </c>
      <c r="G313" t="s">
        <v>84</v>
      </c>
      <c r="H313" t="s">
        <v>69</v>
      </c>
      <c r="I313">
        <v>10</v>
      </c>
    </row>
    <row r="314" spans="1:9" x14ac:dyDescent="0.2">
      <c r="A314">
        <v>1557927</v>
      </c>
      <c r="B314">
        <v>5</v>
      </c>
      <c r="C314">
        <v>1733</v>
      </c>
      <c r="D314">
        <v>55950</v>
      </c>
      <c r="E314">
        <v>24</v>
      </c>
      <c r="F314" t="s">
        <v>57</v>
      </c>
      <c r="G314" t="s">
        <v>18</v>
      </c>
      <c r="H314" t="s">
        <v>69</v>
      </c>
      <c r="I314">
        <v>10</v>
      </c>
    </row>
    <row r="315" spans="1:9" x14ac:dyDescent="0.2">
      <c r="A315">
        <v>1573930</v>
      </c>
      <c r="B315">
        <v>1</v>
      </c>
      <c r="C315">
        <v>3296</v>
      </c>
      <c r="D315">
        <v>0</v>
      </c>
      <c r="E315">
        <v>36</v>
      </c>
      <c r="F315" t="s">
        <v>47</v>
      </c>
      <c r="G315" t="s">
        <v>100</v>
      </c>
      <c r="H315" t="s">
        <v>46</v>
      </c>
      <c r="I315">
        <v>10</v>
      </c>
    </row>
    <row r="316" spans="1:9" x14ac:dyDescent="0.2">
      <c r="A316">
        <v>1644275</v>
      </c>
      <c r="B316">
        <v>1</v>
      </c>
      <c r="C316">
        <v>1520</v>
      </c>
      <c r="D316">
        <v>67345</v>
      </c>
      <c r="E316">
        <v>24</v>
      </c>
      <c r="F316" t="s">
        <v>142</v>
      </c>
      <c r="G316" t="s">
        <v>84</v>
      </c>
      <c r="H316" t="s">
        <v>31</v>
      </c>
      <c r="I316">
        <v>5</v>
      </c>
    </row>
    <row r="317" spans="1:9" x14ac:dyDescent="0.2">
      <c r="A317">
        <v>1644275</v>
      </c>
      <c r="B317">
        <v>2</v>
      </c>
      <c r="C317">
        <v>1405</v>
      </c>
      <c r="D317">
        <v>0</v>
      </c>
      <c r="E317">
        <v>26</v>
      </c>
      <c r="F317" t="s">
        <v>25</v>
      </c>
      <c r="G317" t="s">
        <v>84</v>
      </c>
      <c r="H317" t="s">
        <v>24</v>
      </c>
      <c r="I317">
        <v>5</v>
      </c>
    </row>
    <row r="318" spans="1:9" x14ac:dyDescent="0.2">
      <c r="A318">
        <v>1644275</v>
      </c>
      <c r="B318">
        <v>3</v>
      </c>
      <c r="C318">
        <v>1960</v>
      </c>
      <c r="D318">
        <v>0</v>
      </c>
      <c r="E318">
        <v>26</v>
      </c>
      <c r="F318" t="s">
        <v>32</v>
      </c>
      <c r="G318" t="s">
        <v>84</v>
      </c>
      <c r="H318" t="s">
        <v>31</v>
      </c>
      <c r="I318">
        <v>5</v>
      </c>
    </row>
    <row r="319" spans="1:9" x14ac:dyDescent="0.2">
      <c r="A319">
        <v>1700025</v>
      </c>
      <c r="B319">
        <v>1</v>
      </c>
      <c r="C319">
        <v>1503</v>
      </c>
      <c r="D319">
        <v>62375</v>
      </c>
      <c r="E319">
        <v>25</v>
      </c>
      <c r="F319" t="s">
        <v>142</v>
      </c>
      <c r="G319" t="s">
        <v>161</v>
      </c>
      <c r="H319" t="s">
        <v>31</v>
      </c>
      <c r="I319">
        <v>5</v>
      </c>
    </row>
    <row r="320" spans="1:9" x14ac:dyDescent="0.2">
      <c r="A320">
        <v>1700025</v>
      </c>
      <c r="B320">
        <v>2</v>
      </c>
      <c r="C320">
        <v>1509</v>
      </c>
      <c r="D320">
        <v>62375</v>
      </c>
      <c r="E320">
        <v>25</v>
      </c>
      <c r="F320" t="s">
        <v>142</v>
      </c>
      <c r="G320" t="s">
        <v>162</v>
      </c>
      <c r="H320" t="s">
        <v>31</v>
      </c>
      <c r="I320">
        <v>5</v>
      </c>
    </row>
    <row r="321" spans="1:9" x14ac:dyDescent="0.2">
      <c r="A321">
        <v>1700025</v>
      </c>
      <c r="B321">
        <v>3</v>
      </c>
      <c r="C321">
        <v>1463</v>
      </c>
      <c r="D321">
        <v>62215</v>
      </c>
      <c r="E321">
        <v>25</v>
      </c>
      <c r="F321" t="s">
        <v>25</v>
      </c>
      <c r="G321" t="s">
        <v>66</v>
      </c>
      <c r="H321" t="s">
        <v>24</v>
      </c>
      <c r="I321">
        <v>5</v>
      </c>
    </row>
    <row r="322" spans="1:9" x14ac:dyDescent="0.2">
      <c r="A322">
        <v>1700025</v>
      </c>
      <c r="B322">
        <v>4</v>
      </c>
      <c r="C322">
        <v>1409</v>
      </c>
      <c r="D322">
        <v>61425</v>
      </c>
      <c r="E322">
        <v>24</v>
      </c>
      <c r="F322" t="s">
        <v>25</v>
      </c>
      <c r="G322" t="s">
        <v>248</v>
      </c>
      <c r="H322" t="s">
        <v>24</v>
      </c>
      <c r="I322">
        <v>5</v>
      </c>
    </row>
    <row r="323" spans="1:9" x14ac:dyDescent="0.2">
      <c r="A323">
        <v>1700025</v>
      </c>
      <c r="B323">
        <v>5</v>
      </c>
      <c r="C323">
        <v>1372</v>
      </c>
      <c r="D323">
        <v>0</v>
      </c>
      <c r="E323">
        <v>26</v>
      </c>
      <c r="F323" t="s">
        <v>21</v>
      </c>
      <c r="G323" t="s">
        <v>66</v>
      </c>
      <c r="H323" t="s">
        <v>20</v>
      </c>
      <c r="I323">
        <v>8</v>
      </c>
    </row>
    <row r="324" spans="1:9" x14ac:dyDescent="0.2">
      <c r="A324">
        <v>1700581</v>
      </c>
      <c r="B324">
        <v>1</v>
      </c>
      <c r="C324">
        <v>1789</v>
      </c>
      <c r="D324">
        <v>67810</v>
      </c>
      <c r="E324">
        <v>25</v>
      </c>
      <c r="F324" t="s">
        <v>57</v>
      </c>
      <c r="G324" t="s">
        <v>122</v>
      </c>
      <c r="H324" t="s">
        <v>69</v>
      </c>
      <c r="I324">
        <v>10</v>
      </c>
    </row>
    <row r="325" spans="1:9" x14ac:dyDescent="0.2">
      <c r="A325">
        <v>1700581</v>
      </c>
      <c r="B325">
        <v>2</v>
      </c>
      <c r="C325">
        <v>1257</v>
      </c>
      <c r="D325">
        <v>67360</v>
      </c>
      <c r="E325">
        <v>24</v>
      </c>
      <c r="F325" t="s">
        <v>19</v>
      </c>
      <c r="G325" t="s">
        <v>199</v>
      </c>
      <c r="H325" t="s">
        <v>16</v>
      </c>
      <c r="I325" t="s">
        <v>448</v>
      </c>
    </row>
    <row r="326" spans="1:9" x14ac:dyDescent="0.2">
      <c r="A326">
        <v>1700581</v>
      </c>
      <c r="B326">
        <v>3</v>
      </c>
      <c r="C326">
        <v>1415</v>
      </c>
      <c r="D326">
        <v>0</v>
      </c>
      <c r="E326">
        <v>26</v>
      </c>
      <c r="F326" t="s">
        <v>25</v>
      </c>
      <c r="G326" t="s">
        <v>233</v>
      </c>
      <c r="H326" t="s">
        <v>24</v>
      </c>
      <c r="I326">
        <v>5</v>
      </c>
    </row>
    <row r="327" spans="1:9" x14ac:dyDescent="0.2">
      <c r="A327">
        <v>1700581</v>
      </c>
      <c r="B327">
        <v>4</v>
      </c>
      <c r="C327">
        <v>1776</v>
      </c>
      <c r="D327">
        <v>0</v>
      </c>
      <c r="E327">
        <v>26</v>
      </c>
      <c r="F327" t="s">
        <v>57</v>
      </c>
      <c r="G327" t="s">
        <v>124</v>
      </c>
      <c r="H327" t="s">
        <v>125</v>
      </c>
      <c r="I327">
        <v>10</v>
      </c>
    </row>
    <row r="328" spans="1:9" x14ac:dyDescent="0.2">
      <c r="A328">
        <v>1700581</v>
      </c>
      <c r="B328">
        <v>5</v>
      </c>
      <c r="C328">
        <v>1705</v>
      </c>
      <c r="D328">
        <v>0</v>
      </c>
      <c r="E328">
        <v>26</v>
      </c>
      <c r="F328" t="s">
        <v>57</v>
      </c>
      <c r="G328" t="s">
        <v>102</v>
      </c>
      <c r="H328" t="s">
        <v>69</v>
      </c>
      <c r="I328">
        <v>10</v>
      </c>
    </row>
    <row r="329" spans="1:9" x14ac:dyDescent="0.2">
      <c r="A329">
        <v>1700820</v>
      </c>
      <c r="B329">
        <v>1</v>
      </c>
      <c r="C329">
        <v>1789</v>
      </c>
      <c r="D329">
        <v>65465</v>
      </c>
      <c r="E329">
        <v>25</v>
      </c>
      <c r="F329" t="s">
        <v>57</v>
      </c>
      <c r="G329" t="s">
        <v>122</v>
      </c>
      <c r="H329" t="s">
        <v>69</v>
      </c>
      <c r="I329">
        <v>10</v>
      </c>
    </row>
    <row r="330" spans="1:9" x14ac:dyDescent="0.2">
      <c r="A330">
        <v>1700820</v>
      </c>
      <c r="B330">
        <v>2</v>
      </c>
      <c r="C330">
        <v>1713</v>
      </c>
      <c r="D330">
        <v>65465</v>
      </c>
      <c r="E330">
        <v>25</v>
      </c>
      <c r="F330" t="s">
        <v>57</v>
      </c>
      <c r="G330" t="s">
        <v>170</v>
      </c>
      <c r="H330" t="s">
        <v>69</v>
      </c>
      <c r="I330">
        <v>10</v>
      </c>
    </row>
    <row r="331" spans="1:9" x14ac:dyDescent="0.2">
      <c r="A331">
        <v>1700820</v>
      </c>
      <c r="B331">
        <v>3</v>
      </c>
      <c r="C331">
        <v>1731</v>
      </c>
      <c r="D331">
        <v>65465</v>
      </c>
      <c r="E331">
        <v>25</v>
      </c>
      <c r="F331" t="s">
        <v>57</v>
      </c>
      <c r="G331" t="s">
        <v>172</v>
      </c>
      <c r="H331" t="s">
        <v>69</v>
      </c>
      <c r="I331">
        <v>10</v>
      </c>
    </row>
    <row r="332" spans="1:9" x14ac:dyDescent="0.2">
      <c r="A332">
        <v>1700820</v>
      </c>
      <c r="B332">
        <v>4</v>
      </c>
      <c r="C332">
        <v>1705</v>
      </c>
      <c r="D332">
        <v>65680</v>
      </c>
      <c r="E332">
        <v>24</v>
      </c>
      <c r="F332" t="s">
        <v>57</v>
      </c>
      <c r="G332" t="s">
        <v>102</v>
      </c>
      <c r="H332" t="s">
        <v>69</v>
      </c>
      <c r="I332">
        <v>10</v>
      </c>
    </row>
    <row r="333" spans="1:9" x14ac:dyDescent="0.2">
      <c r="A333">
        <v>1700820</v>
      </c>
      <c r="B333">
        <v>5</v>
      </c>
      <c r="C333">
        <v>3020</v>
      </c>
      <c r="D333">
        <v>0</v>
      </c>
      <c r="E333">
        <v>26</v>
      </c>
      <c r="F333" t="s">
        <v>44</v>
      </c>
      <c r="G333" t="s">
        <v>102</v>
      </c>
      <c r="H333" t="s">
        <v>50</v>
      </c>
      <c r="I333">
        <v>9</v>
      </c>
    </row>
    <row r="334" spans="1:9" x14ac:dyDescent="0.2">
      <c r="A334">
        <v>1700820</v>
      </c>
      <c r="B334">
        <v>6</v>
      </c>
      <c r="C334">
        <v>1715</v>
      </c>
      <c r="D334">
        <v>0</v>
      </c>
      <c r="E334">
        <v>26</v>
      </c>
      <c r="F334" t="s">
        <v>57</v>
      </c>
      <c r="G334" t="s">
        <v>151</v>
      </c>
      <c r="H334" t="s">
        <v>69</v>
      </c>
      <c r="I334">
        <v>10</v>
      </c>
    </row>
    <row r="335" spans="1:9" x14ac:dyDescent="0.2">
      <c r="A335">
        <v>1700820</v>
      </c>
      <c r="B335">
        <v>7</v>
      </c>
      <c r="C335">
        <v>3032</v>
      </c>
      <c r="D335">
        <v>0</v>
      </c>
      <c r="E335">
        <v>26</v>
      </c>
      <c r="F335" t="s">
        <v>44</v>
      </c>
      <c r="G335" t="s">
        <v>151</v>
      </c>
      <c r="H335" t="s">
        <v>50</v>
      </c>
      <c r="I335">
        <v>9</v>
      </c>
    </row>
    <row r="336" spans="1:9" x14ac:dyDescent="0.2">
      <c r="A336">
        <v>1711896</v>
      </c>
      <c r="B336">
        <v>1</v>
      </c>
      <c r="C336">
        <v>1403</v>
      </c>
      <c r="D336">
        <v>55780</v>
      </c>
      <c r="E336">
        <v>25</v>
      </c>
      <c r="F336" t="s">
        <v>25</v>
      </c>
      <c r="G336" t="s">
        <v>141</v>
      </c>
      <c r="H336" t="s">
        <v>24</v>
      </c>
      <c r="I336">
        <v>5</v>
      </c>
    </row>
    <row r="337" spans="1:9" x14ac:dyDescent="0.2">
      <c r="A337">
        <v>1711896</v>
      </c>
      <c r="B337">
        <v>2</v>
      </c>
      <c r="C337">
        <v>1922</v>
      </c>
      <c r="D337">
        <v>55835</v>
      </c>
      <c r="E337">
        <v>25</v>
      </c>
      <c r="F337" t="s">
        <v>32</v>
      </c>
      <c r="G337" t="s">
        <v>145</v>
      </c>
      <c r="H337" t="s">
        <v>31</v>
      </c>
      <c r="I337">
        <v>5</v>
      </c>
    </row>
    <row r="338" spans="1:9" x14ac:dyDescent="0.2">
      <c r="A338">
        <v>1711896</v>
      </c>
      <c r="B338">
        <v>3</v>
      </c>
      <c r="C338">
        <v>1920</v>
      </c>
      <c r="D338">
        <v>55835</v>
      </c>
      <c r="E338">
        <v>25</v>
      </c>
      <c r="F338" t="s">
        <v>32</v>
      </c>
      <c r="G338" t="s">
        <v>18</v>
      </c>
      <c r="H338" t="s">
        <v>31</v>
      </c>
      <c r="I338">
        <v>5</v>
      </c>
    </row>
    <row r="339" spans="1:9" x14ac:dyDescent="0.2">
      <c r="A339">
        <v>1711896</v>
      </c>
      <c r="B339">
        <v>4</v>
      </c>
      <c r="C339">
        <v>1960</v>
      </c>
      <c r="D339">
        <v>55945</v>
      </c>
      <c r="E339">
        <v>25</v>
      </c>
      <c r="F339" t="s">
        <v>32</v>
      </c>
      <c r="G339" t="s">
        <v>84</v>
      </c>
      <c r="H339" t="s">
        <v>31</v>
      </c>
      <c r="I339">
        <v>5</v>
      </c>
    </row>
    <row r="340" spans="1:9" x14ac:dyDescent="0.2">
      <c r="A340">
        <v>1711896</v>
      </c>
      <c r="B340">
        <v>5</v>
      </c>
      <c r="C340">
        <v>1931</v>
      </c>
      <c r="D340">
        <v>55835</v>
      </c>
      <c r="E340">
        <v>25</v>
      </c>
      <c r="F340" t="s">
        <v>32</v>
      </c>
      <c r="G340" t="s">
        <v>93</v>
      </c>
      <c r="H340" t="s">
        <v>31</v>
      </c>
      <c r="I340">
        <v>5</v>
      </c>
    </row>
    <row r="341" spans="1:9" x14ac:dyDescent="0.2">
      <c r="A341">
        <v>1711896</v>
      </c>
      <c r="B341">
        <v>6</v>
      </c>
      <c r="C341">
        <v>1331</v>
      </c>
      <c r="D341">
        <v>55725</v>
      </c>
      <c r="E341">
        <v>25</v>
      </c>
      <c r="F341" t="s">
        <v>21</v>
      </c>
      <c r="G341" t="s">
        <v>89</v>
      </c>
      <c r="H341" t="s">
        <v>20</v>
      </c>
      <c r="I341">
        <v>8</v>
      </c>
    </row>
    <row r="342" spans="1:9" x14ac:dyDescent="0.2">
      <c r="A342">
        <v>1711896</v>
      </c>
      <c r="B342">
        <v>7</v>
      </c>
      <c r="C342">
        <v>1733</v>
      </c>
      <c r="D342">
        <v>55890</v>
      </c>
      <c r="E342">
        <v>24</v>
      </c>
      <c r="F342" t="s">
        <v>57</v>
      </c>
      <c r="G342" t="s">
        <v>18</v>
      </c>
      <c r="H342" t="s">
        <v>69</v>
      </c>
      <c r="I342">
        <v>10</v>
      </c>
    </row>
    <row r="343" spans="1:9" x14ac:dyDescent="0.2">
      <c r="A343">
        <v>1711896</v>
      </c>
      <c r="B343">
        <v>8</v>
      </c>
      <c r="C343">
        <v>3261</v>
      </c>
      <c r="D343">
        <v>0</v>
      </c>
      <c r="E343">
        <v>26</v>
      </c>
      <c r="F343" t="s">
        <v>47</v>
      </c>
      <c r="G343" t="s">
        <v>93</v>
      </c>
      <c r="H343" t="s">
        <v>46</v>
      </c>
      <c r="I343">
        <v>10</v>
      </c>
    </row>
    <row r="344" spans="1:9" x14ac:dyDescent="0.2">
      <c r="A344">
        <v>1731941</v>
      </c>
      <c r="B344">
        <v>1</v>
      </c>
      <c r="C344">
        <v>1704</v>
      </c>
      <c r="D344">
        <v>62515</v>
      </c>
      <c r="E344">
        <v>24</v>
      </c>
      <c r="F344" t="s">
        <v>57</v>
      </c>
      <c r="G344" t="s">
        <v>82</v>
      </c>
      <c r="H344" t="s">
        <v>79</v>
      </c>
      <c r="I344">
        <v>10</v>
      </c>
    </row>
    <row r="345" spans="1:9" x14ac:dyDescent="0.2">
      <c r="A345">
        <v>1731941</v>
      </c>
      <c r="B345">
        <v>2</v>
      </c>
      <c r="C345">
        <v>1369</v>
      </c>
      <c r="D345">
        <v>0</v>
      </c>
      <c r="E345">
        <v>26</v>
      </c>
      <c r="F345" t="s">
        <v>21</v>
      </c>
      <c r="G345" t="s">
        <v>121</v>
      </c>
      <c r="H345" t="s">
        <v>20</v>
      </c>
      <c r="I345">
        <v>8</v>
      </c>
    </row>
    <row r="346" spans="1:9" x14ac:dyDescent="0.2">
      <c r="A346">
        <v>1731941</v>
      </c>
      <c r="B346">
        <v>3</v>
      </c>
      <c r="C346">
        <v>1752</v>
      </c>
      <c r="D346">
        <v>0</v>
      </c>
      <c r="E346">
        <v>26</v>
      </c>
      <c r="F346" t="s">
        <v>57</v>
      </c>
      <c r="G346" t="s">
        <v>66</v>
      </c>
      <c r="H346" t="s">
        <v>56</v>
      </c>
      <c r="I346">
        <v>10</v>
      </c>
    </row>
    <row r="347" spans="1:9" x14ac:dyDescent="0.2">
      <c r="A347">
        <v>1731941</v>
      </c>
      <c r="B347">
        <v>4</v>
      </c>
      <c r="C347">
        <v>3218</v>
      </c>
      <c r="D347">
        <v>0</v>
      </c>
      <c r="E347">
        <v>26</v>
      </c>
      <c r="F347" t="s">
        <v>47</v>
      </c>
      <c r="G347" t="s">
        <v>66</v>
      </c>
      <c r="H347" t="s">
        <v>74</v>
      </c>
      <c r="I347">
        <v>10</v>
      </c>
    </row>
    <row r="348" spans="1:9" x14ac:dyDescent="0.2">
      <c r="A348">
        <v>1731941</v>
      </c>
      <c r="B348">
        <v>5</v>
      </c>
      <c r="C348">
        <v>3242</v>
      </c>
      <c r="D348">
        <v>0</v>
      </c>
      <c r="E348">
        <v>26</v>
      </c>
      <c r="F348" t="s">
        <v>47</v>
      </c>
      <c r="G348" t="s">
        <v>90</v>
      </c>
      <c r="H348" t="s">
        <v>46</v>
      </c>
      <c r="I348">
        <v>10</v>
      </c>
    </row>
    <row r="349" spans="1:9" x14ac:dyDescent="0.2">
      <c r="A349">
        <v>1731941</v>
      </c>
      <c r="B349">
        <v>6</v>
      </c>
      <c r="C349">
        <v>1372</v>
      </c>
      <c r="D349">
        <v>0</v>
      </c>
      <c r="E349">
        <v>26</v>
      </c>
      <c r="F349" t="s">
        <v>21</v>
      </c>
      <c r="G349" t="s">
        <v>66</v>
      </c>
      <c r="H349" t="s">
        <v>20</v>
      </c>
      <c r="I349">
        <v>8</v>
      </c>
    </row>
    <row r="350" spans="1:9" x14ac:dyDescent="0.2">
      <c r="A350">
        <v>1731941</v>
      </c>
      <c r="B350">
        <v>7</v>
      </c>
      <c r="C350">
        <v>3245</v>
      </c>
      <c r="D350">
        <v>0</v>
      </c>
      <c r="E350">
        <v>26</v>
      </c>
      <c r="F350" t="s">
        <v>47</v>
      </c>
      <c r="G350" t="s">
        <v>157</v>
      </c>
      <c r="H350" t="s">
        <v>74</v>
      </c>
      <c r="I350">
        <v>10</v>
      </c>
    </row>
    <row r="351" spans="1:9" x14ac:dyDescent="0.2">
      <c r="A351">
        <v>1731941</v>
      </c>
      <c r="B351">
        <v>8</v>
      </c>
      <c r="C351">
        <v>1778</v>
      </c>
      <c r="D351">
        <v>0</v>
      </c>
      <c r="E351">
        <v>26</v>
      </c>
      <c r="F351" t="s">
        <v>57</v>
      </c>
      <c r="G351" t="s">
        <v>84</v>
      </c>
      <c r="H351" t="s">
        <v>56</v>
      </c>
      <c r="I351">
        <v>10</v>
      </c>
    </row>
    <row r="352" spans="1:9" x14ac:dyDescent="0.2">
      <c r="A352">
        <v>1803435</v>
      </c>
      <c r="B352">
        <v>1</v>
      </c>
      <c r="C352">
        <v>1789</v>
      </c>
      <c r="D352">
        <v>63425</v>
      </c>
      <c r="E352">
        <v>25</v>
      </c>
      <c r="F352" t="s">
        <v>57</v>
      </c>
      <c r="G352" t="s">
        <v>122</v>
      </c>
      <c r="H352" t="s">
        <v>69</v>
      </c>
      <c r="I352">
        <v>10</v>
      </c>
    </row>
    <row r="353" spans="1:9" x14ac:dyDescent="0.2">
      <c r="A353">
        <v>1803435</v>
      </c>
      <c r="B353">
        <v>2</v>
      </c>
      <c r="C353">
        <v>1728</v>
      </c>
      <c r="D353">
        <v>63425</v>
      </c>
      <c r="E353">
        <v>24</v>
      </c>
      <c r="F353" t="s">
        <v>57</v>
      </c>
      <c r="G353" t="s">
        <v>103</v>
      </c>
      <c r="H353" t="s">
        <v>69</v>
      </c>
      <c r="I353">
        <v>10</v>
      </c>
    </row>
    <row r="354" spans="1:9" x14ac:dyDescent="0.2">
      <c r="A354">
        <v>1803435</v>
      </c>
      <c r="B354">
        <v>3</v>
      </c>
      <c r="C354">
        <v>1786</v>
      </c>
      <c r="D354">
        <v>0</v>
      </c>
      <c r="E354">
        <v>26</v>
      </c>
      <c r="F354" t="s">
        <v>57</v>
      </c>
      <c r="G354" t="s">
        <v>103</v>
      </c>
      <c r="H354" t="s">
        <v>56</v>
      </c>
      <c r="I354">
        <v>10</v>
      </c>
    </row>
    <row r="355" spans="1:9" x14ac:dyDescent="0.2">
      <c r="A355">
        <v>1803435</v>
      </c>
      <c r="B355">
        <v>4</v>
      </c>
      <c r="C355">
        <v>1349</v>
      </c>
      <c r="D355">
        <v>0</v>
      </c>
      <c r="E355">
        <v>26</v>
      </c>
      <c r="F355" t="s">
        <v>21</v>
      </c>
      <c r="G355" t="s">
        <v>81</v>
      </c>
      <c r="H355" t="s">
        <v>20</v>
      </c>
      <c r="I355">
        <v>8</v>
      </c>
    </row>
    <row r="356" spans="1:9" x14ac:dyDescent="0.2">
      <c r="A356">
        <v>1803435</v>
      </c>
      <c r="B356">
        <v>5</v>
      </c>
      <c r="C356">
        <v>1734</v>
      </c>
      <c r="D356">
        <v>0</v>
      </c>
      <c r="E356">
        <v>26</v>
      </c>
      <c r="F356" t="s">
        <v>57</v>
      </c>
      <c r="G356" t="s">
        <v>81</v>
      </c>
      <c r="H356" t="s">
        <v>69</v>
      </c>
      <c r="I356">
        <v>10</v>
      </c>
    </row>
    <row r="357" spans="1:9" x14ac:dyDescent="0.2">
      <c r="A357">
        <v>1803435</v>
      </c>
      <c r="B357">
        <v>6</v>
      </c>
      <c r="C357">
        <v>1387</v>
      </c>
      <c r="D357">
        <v>0</v>
      </c>
      <c r="E357">
        <v>26</v>
      </c>
      <c r="F357" t="s">
        <v>21</v>
      </c>
      <c r="G357" t="s">
        <v>102</v>
      </c>
      <c r="H357" t="s">
        <v>20</v>
      </c>
      <c r="I357">
        <v>8</v>
      </c>
    </row>
    <row r="358" spans="1:9" x14ac:dyDescent="0.2">
      <c r="A358">
        <v>1803435</v>
      </c>
      <c r="B358">
        <v>7</v>
      </c>
      <c r="C358">
        <v>3020</v>
      </c>
      <c r="D358">
        <v>0</v>
      </c>
      <c r="E358">
        <v>26</v>
      </c>
      <c r="F358" t="s">
        <v>44</v>
      </c>
      <c r="G358" t="s">
        <v>102</v>
      </c>
      <c r="H358" t="s">
        <v>50</v>
      </c>
      <c r="I358">
        <v>9</v>
      </c>
    </row>
    <row r="359" spans="1:9" x14ac:dyDescent="0.2">
      <c r="A359">
        <v>1803435</v>
      </c>
      <c r="B359">
        <v>8</v>
      </c>
      <c r="C359">
        <v>1705</v>
      </c>
      <c r="D359">
        <v>0</v>
      </c>
      <c r="E359">
        <v>26</v>
      </c>
      <c r="F359" t="s">
        <v>57</v>
      </c>
      <c r="G359" t="s">
        <v>102</v>
      </c>
      <c r="H359" t="s">
        <v>69</v>
      </c>
      <c r="I359">
        <v>10</v>
      </c>
    </row>
    <row r="360" spans="1:9" x14ac:dyDescent="0.2">
      <c r="A360">
        <v>1806217</v>
      </c>
      <c r="B360">
        <v>1</v>
      </c>
      <c r="C360">
        <v>1221</v>
      </c>
      <c r="D360">
        <v>59450</v>
      </c>
      <c r="E360">
        <v>25</v>
      </c>
      <c r="F360" t="s">
        <v>19</v>
      </c>
      <c r="G360" t="s">
        <v>63</v>
      </c>
      <c r="H360" t="s">
        <v>16</v>
      </c>
      <c r="I360" t="s">
        <v>448</v>
      </c>
    </row>
    <row r="361" spans="1:9" x14ac:dyDescent="0.2">
      <c r="A361">
        <v>1806217</v>
      </c>
      <c r="B361">
        <v>2</v>
      </c>
      <c r="C361">
        <v>1155</v>
      </c>
      <c r="D361">
        <v>0</v>
      </c>
      <c r="E361">
        <v>17</v>
      </c>
      <c r="F361" t="s">
        <v>17</v>
      </c>
      <c r="G361" t="s">
        <v>62</v>
      </c>
      <c r="H361" t="s">
        <v>16</v>
      </c>
      <c r="I361" t="s">
        <v>448</v>
      </c>
    </row>
    <row r="362" spans="1:9" x14ac:dyDescent="0.2">
      <c r="A362">
        <v>1806217</v>
      </c>
      <c r="B362">
        <v>3</v>
      </c>
      <c r="C362">
        <v>1219</v>
      </c>
      <c r="D362">
        <v>58800</v>
      </c>
      <c r="E362">
        <v>25</v>
      </c>
      <c r="F362" t="s">
        <v>19</v>
      </c>
      <c r="G362" t="s">
        <v>347</v>
      </c>
      <c r="H362" t="s">
        <v>16</v>
      </c>
      <c r="I362" t="s">
        <v>448</v>
      </c>
    </row>
    <row r="363" spans="1:9" x14ac:dyDescent="0.2">
      <c r="A363">
        <v>1806217</v>
      </c>
      <c r="B363">
        <v>4</v>
      </c>
      <c r="C363">
        <v>1217</v>
      </c>
      <c r="D363">
        <v>58800</v>
      </c>
      <c r="E363">
        <v>25</v>
      </c>
      <c r="F363" t="s">
        <v>19</v>
      </c>
      <c r="G363" t="s">
        <v>22</v>
      </c>
      <c r="H363" t="s">
        <v>16</v>
      </c>
      <c r="I363" t="s">
        <v>448</v>
      </c>
    </row>
    <row r="364" spans="1:9" x14ac:dyDescent="0.2">
      <c r="A364">
        <v>1806217</v>
      </c>
      <c r="B364">
        <v>5</v>
      </c>
      <c r="C364">
        <v>1634</v>
      </c>
      <c r="D364">
        <v>0</v>
      </c>
      <c r="E364">
        <v>17</v>
      </c>
      <c r="F364" t="s">
        <v>128</v>
      </c>
      <c r="G364" t="s">
        <v>373</v>
      </c>
      <c r="H364" t="s">
        <v>127</v>
      </c>
      <c r="I364" t="s">
        <v>448</v>
      </c>
    </row>
    <row r="365" spans="1:9" x14ac:dyDescent="0.2">
      <c r="A365">
        <v>1806217</v>
      </c>
      <c r="B365">
        <v>6</v>
      </c>
      <c r="C365">
        <v>1430</v>
      </c>
      <c r="D365">
        <v>58305</v>
      </c>
      <c r="E365">
        <v>25</v>
      </c>
      <c r="F365" t="s">
        <v>25</v>
      </c>
      <c r="G365" t="s">
        <v>63</v>
      </c>
      <c r="H365" t="s">
        <v>24</v>
      </c>
      <c r="I365">
        <v>5</v>
      </c>
    </row>
    <row r="366" spans="1:9" x14ac:dyDescent="0.2">
      <c r="A366">
        <v>1806217</v>
      </c>
      <c r="B366">
        <v>7</v>
      </c>
      <c r="C366">
        <v>1324</v>
      </c>
      <c r="D366">
        <v>58800</v>
      </c>
      <c r="E366">
        <v>25</v>
      </c>
      <c r="F366" t="s">
        <v>21</v>
      </c>
      <c r="G366" t="s">
        <v>63</v>
      </c>
      <c r="H366" t="s">
        <v>20</v>
      </c>
      <c r="I366">
        <v>8</v>
      </c>
    </row>
    <row r="367" spans="1:9" x14ac:dyDescent="0.2">
      <c r="A367">
        <v>1806217</v>
      </c>
      <c r="B367">
        <v>8</v>
      </c>
      <c r="C367">
        <v>3601</v>
      </c>
      <c r="D367">
        <v>58595</v>
      </c>
      <c r="E367">
        <v>25</v>
      </c>
      <c r="F367" t="s">
        <v>108</v>
      </c>
      <c r="G367" t="s">
        <v>63</v>
      </c>
      <c r="H367" t="s">
        <v>20</v>
      </c>
      <c r="I367">
        <v>8</v>
      </c>
    </row>
    <row r="368" spans="1:9" x14ac:dyDescent="0.2">
      <c r="A368">
        <v>1817149</v>
      </c>
      <c r="B368">
        <v>1</v>
      </c>
      <c r="C368">
        <v>1787</v>
      </c>
      <c r="D368">
        <v>58450</v>
      </c>
      <c r="E368">
        <v>24</v>
      </c>
      <c r="F368" t="s">
        <v>57</v>
      </c>
      <c r="G368" t="s">
        <v>49</v>
      </c>
      <c r="H368" t="s">
        <v>56</v>
      </c>
      <c r="I368">
        <v>10</v>
      </c>
    </row>
    <row r="369" spans="1:9" x14ac:dyDescent="0.2">
      <c r="A369">
        <v>1817149</v>
      </c>
      <c r="B369">
        <v>2</v>
      </c>
      <c r="C369">
        <v>3727</v>
      </c>
      <c r="D369">
        <v>0</v>
      </c>
      <c r="E369">
        <v>26</v>
      </c>
      <c r="F369" t="s">
        <v>116</v>
      </c>
      <c r="G369" t="s">
        <v>318</v>
      </c>
      <c r="H369" t="s">
        <v>61</v>
      </c>
      <c r="I369">
        <v>9</v>
      </c>
    </row>
    <row r="370" spans="1:9" x14ac:dyDescent="0.2">
      <c r="A370">
        <v>1817149</v>
      </c>
      <c r="B370">
        <v>3</v>
      </c>
      <c r="C370">
        <v>1776</v>
      </c>
      <c r="D370">
        <v>0</v>
      </c>
      <c r="E370">
        <v>26</v>
      </c>
      <c r="F370" t="s">
        <v>57</v>
      </c>
      <c r="G370" t="s">
        <v>124</v>
      </c>
      <c r="H370" t="s">
        <v>125</v>
      </c>
      <c r="I370">
        <v>10</v>
      </c>
    </row>
    <row r="371" spans="1:9" x14ac:dyDescent="0.2">
      <c r="A371">
        <v>1817149</v>
      </c>
      <c r="B371">
        <v>4</v>
      </c>
      <c r="C371">
        <v>1732</v>
      </c>
      <c r="D371">
        <v>0</v>
      </c>
      <c r="E371">
        <v>26</v>
      </c>
      <c r="F371" t="s">
        <v>57</v>
      </c>
      <c r="G371" t="s">
        <v>104</v>
      </c>
      <c r="H371" t="s">
        <v>69</v>
      </c>
      <c r="I371">
        <v>10</v>
      </c>
    </row>
    <row r="372" spans="1:9" x14ac:dyDescent="0.2">
      <c r="A372">
        <v>1817513</v>
      </c>
      <c r="B372">
        <v>1</v>
      </c>
      <c r="C372">
        <v>3214</v>
      </c>
      <c r="D372">
        <v>0</v>
      </c>
      <c r="E372">
        <v>36</v>
      </c>
      <c r="F372" t="s">
        <v>47</v>
      </c>
      <c r="G372" t="s">
        <v>98</v>
      </c>
      <c r="H372" t="s">
        <v>74</v>
      </c>
      <c r="I372">
        <v>10</v>
      </c>
    </row>
    <row r="373" spans="1:9" x14ac:dyDescent="0.2">
      <c r="A373">
        <v>1817513</v>
      </c>
      <c r="B373">
        <v>2</v>
      </c>
      <c r="C373">
        <v>3234</v>
      </c>
      <c r="D373">
        <v>0</v>
      </c>
      <c r="E373">
        <v>36</v>
      </c>
      <c r="F373" t="s">
        <v>47</v>
      </c>
      <c r="G373" t="s">
        <v>76</v>
      </c>
      <c r="H373" t="s">
        <v>46</v>
      </c>
      <c r="I373">
        <v>10</v>
      </c>
    </row>
    <row r="374" spans="1:9" x14ac:dyDescent="0.2">
      <c r="A374">
        <v>1817513</v>
      </c>
      <c r="B374">
        <v>3</v>
      </c>
      <c r="C374">
        <v>3055</v>
      </c>
      <c r="D374">
        <v>0</v>
      </c>
      <c r="E374">
        <v>36</v>
      </c>
      <c r="F374" t="s">
        <v>44</v>
      </c>
      <c r="G374" t="s">
        <v>188</v>
      </c>
      <c r="H374" t="s">
        <v>52</v>
      </c>
      <c r="I374">
        <v>9</v>
      </c>
    </row>
    <row r="375" spans="1:9" x14ac:dyDescent="0.2">
      <c r="A375">
        <v>1817513</v>
      </c>
      <c r="B375">
        <v>4</v>
      </c>
      <c r="C375">
        <v>3092</v>
      </c>
      <c r="D375">
        <v>0</v>
      </c>
      <c r="E375">
        <v>36</v>
      </c>
      <c r="F375" t="s">
        <v>44</v>
      </c>
      <c r="G375" t="s">
        <v>251</v>
      </c>
      <c r="H375" t="s">
        <v>52</v>
      </c>
      <c r="I375">
        <v>9</v>
      </c>
    </row>
    <row r="376" spans="1:9" x14ac:dyDescent="0.2">
      <c r="A376">
        <v>1833741</v>
      </c>
      <c r="B376">
        <v>1</v>
      </c>
      <c r="C376">
        <v>3229</v>
      </c>
      <c r="D376">
        <v>50575</v>
      </c>
      <c r="E376">
        <v>25</v>
      </c>
      <c r="F376" t="s">
        <v>47</v>
      </c>
      <c r="G376" t="s">
        <v>101</v>
      </c>
      <c r="H376" t="s">
        <v>46</v>
      </c>
      <c r="I376">
        <v>10</v>
      </c>
    </row>
    <row r="377" spans="1:9" x14ac:dyDescent="0.2">
      <c r="A377">
        <v>1833741</v>
      </c>
      <c r="B377">
        <v>2</v>
      </c>
      <c r="C377">
        <v>3223</v>
      </c>
      <c r="D377">
        <v>50575</v>
      </c>
      <c r="E377">
        <v>24</v>
      </c>
      <c r="F377" t="s">
        <v>47</v>
      </c>
      <c r="G377" t="s">
        <v>105</v>
      </c>
      <c r="H377" t="s">
        <v>46</v>
      </c>
      <c r="I377">
        <v>10</v>
      </c>
    </row>
    <row r="378" spans="1:9" x14ac:dyDescent="0.2">
      <c r="A378">
        <v>1833741</v>
      </c>
      <c r="B378">
        <v>3</v>
      </c>
      <c r="C378">
        <v>3225</v>
      </c>
      <c r="D378">
        <v>0</v>
      </c>
      <c r="E378">
        <v>26</v>
      </c>
      <c r="F378" t="s">
        <v>47</v>
      </c>
      <c r="G378" t="s">
        <v>106</v>
      </c>
      <c r="H378" t="s">
        <v>46</v>
      </c>
      <c r="I378">
        <v>10</v>
      </c>
    </row>
    <row r="379" spans="1:9" x14ac:dyDescent="0.2">
      <c r="A379">
        <v>1833741</v>
      </c>
      <c r="B379">
        <v>4</v>
      </c>
      <c r="C379">
        <v>3269</v>
      </c>
      <c r="D379">
        <v>0</v>
      </c>
      <c r="E379">
        <v>26</v>
      </c>
      <c r="F379" t="s">
        <v>47</v>
      </c>
      <c r="G379" t="s">
        <v>180</v>
      </c>
      <c r="H379" t="s">
        <v>46</v>
      </c>
      <c r="I379">
        <v>10</v>
      </c>
    </row>
    <row r="380" spans="1:9" x14ac:dyDescent="0.2">
      <c r="A380">
        <v>1833741</v>
      </c>
      <c r="B380">
        <v>5</v>
      </c>
      <c r="C380">
        <v>3226</v>
      </c>
      <c r="D380">
        <v>0</v>
      </c>
      <c r="E380">
        <v>26</v>
      </c>
      <c r="F380" t="s">
        <v>47</v>
      </c>
      <c r="G380" t="s">
        <v>96</v>
      </c>
      <c r="H380" t="s">
        <v>46</v>
      </c>
      <c r="I380">
        <v>10</v>
      </c>
    </row>
    <row r="381" spans="1:9" x14ac:dyDescent="0.2">
      <c r="A381">
        <v>1902510</v>
      </c>
      <c r="B381">
        <v>1</v>
      </c>
      <c r="C381">
        <v>1235</v>
      </c>
      <c r="D381">
        <v>60425</v>
      </c>
      <c r="E381">
        <v>25</v>
      </c>
      <c r="F381" t="s">
        <v>19</v>
      </c>
      <c r="G381" t="s">
        <v>179</v>
      </c>
      <c r="H381" t="s">
        <v>16</v>
      </c>
      <c r="I381" t="s">
        <v>448</v>
      </c>
    </row>
    <row r="382" spans="1:9" x14ac:dyDescent="0.2">
      <c r="A382">
        <v>1902510</v>
      </c>
      <c r="B382">
        <v>2</v>
      </c>
      <c r="C382">
        <v>2076</v>
      </c>
      <c r="D382">
        <v>60430</v>
      </c>
      <c r="E382">
        <v>25</v>
      </c>
      <c r="F382" t="s">
        <v>132</v>
      </c>
      <c r="G382" t="s">
        <v>416</v>
      </c>
      <c r="H382" t="s">
        <v>322</v>
      </c>
      <c r="I382" t="s">
        <v>448</v>
      </c>
    </row>
    <row r="383" spans="1:9" x14ac:dyDescent="0.2">
      <c r="A383">
        <v>1902510</v>
      </c>
      <c r="B383">
        <v>3</v>
      </c>
      <c r="C383">
        <v>1651</v>
      </c>
      <c r="D383">
        <v>60725</v>
      </c>
      <c r="E383">
        <v>25</v>
      </c>
      <c r="F383" t="s">
        <v>128</v>
      </c>
      <c r="G383" t="s">
        <v>417</v>
      </c>
      <c r="H383" t="s">
        <v>127</v>
      </c>
      <c r="I383" t="s">
        <v>448</v>
      </c>
    </row>
    <row r="384" spans="1:9" x14ac:dyDescent="0.2">
      <c r="A384">
        <v>1902510</v>
      </c>
      <c r="B384">
        <v>4</v>
      </c>
      <c r="C384">
        <v>2086</v>
      </c>
      <c r="D384">
        <v>58780</v>
      </c>
      <c r="E384">
        <v>25</v>
      </c>
      <c r="F384" t="s">
        <v>132</v>
      </c>
      <c r="G384" t="s">
        <v>321</v>
      </c>
      <c r="H384" t="s">
        <v>322</v>
      </c>
      <c r="I384" t="s">
        <v>448</v>
      </c>
    </row>
    <row r="385" spans="1:9" x14ac:dyDescent="0.2">
      <c r="A385">
        <v>1902510</v>
      </c>
      <c r="B385">
        <v>5</v>
      </c>
      <c r="C385">
        <v>2050</v>
      </c>
      <c r="D385">
        <v>58680</v>
      </c>
      <c r="E385">
        <v>25</v>
      </c>
      <c r="F385" t="s">
        <v>132</v>
      </c>
      <c r="G385" t="s">
        <v>418</v>
      </c>
      <c r="H385" t="s">
        <v>300</v>
      </c>
      <c r="I385" t="s">
        <v>448</v>
      </c>
    </row>
    <row r="386" spans="1:9" x14ac:dyDescent="0.2">
      <c r="A386">
        <v>1902510</v>
      </c>
      <c r="B386">
        <v>6</v>
      </c>
      <c r="C386">
        <v>3234</v>
      </c>
      <c r="D386">
        <v>59845</v>
      </c>
      <c r="E386">
        <v>24</v>
      </c>
      <c r="F386" t="s">
        <v>47</v>
      </c>
      <c r="G386" t="s">
        <v>76</v>
      </c>
      <c r="H386" t="s">
        <v>46</v>
      </c>
      <c r="I386">
        <v>10</v>
      </c>
    </row>
    <row r="387" spans="1:9" x14ac:dyDescent="0.2">
      <c r="A387">
        <v>1902511</v>
      </c>
      <c r="B387">
        <v>1</v>
      </c>
      <c r="C387">
        <v>3242</v>
      </c>
      <c r="D387">
        <v>65990</v>
      </c>
      <c r="E387">
        <v>24</v>
      </c>
      <c r="F387" t="s">
        <v>47</v>
      </c>
      <c r="G387" t="s">
        <v>90</v>
      </c>
      <c r="H387" t="s">
        <v>46</v>
      </c>
      <c r="I387">
        <v>10</v>
      </c>
    </row>
    <row r="388" spans="1:9" x14ac:dyDescent="0.2">
      <c r="A388">
        <v>1902511</v>
      </c>
      <c r="B388">
        <v>2</v>
      </c>
      <c r="C388">
        <v>3261</v>
      </c>
      <c r="D388">
        <v>0</v>
      </c>
      <c r="E388">
        <v>26</v>
      </c>
      <c r="F388" t="s">
        <v>47</v>
      </c>
      <c r="G388" t="s">
        <v>93</v>
      </c>
      <c r="H388" t="s">
        <v>46</v>
      </c>
      <c r="I388">
        <v>10</v>
      </c>
    </row>
    <row r="389" spans="1:9" x14ac:dyDescent="0.2">
      <c r="A389">
        <v>1902511</v>
      </c>
      <c r="B389">
        <v>3</v>
      </c>
      <c r="C389">
        <v>3214</v>
      </c>
      <c r="D389">
        <v>0</v>
      </c>
      <c r="E389">
        <v>26</v>
      </c>
      <c r="F389" t="s">
        <v>47</v>
      </c>
      <c r="G389" t="s">
        <v>98</v>
      </c>
      <c r="H389" t="s">
        <v>74</v>
      </c>
      <c r="I389">
        <v>10</v>
      </c>
    </row>
    <row r="390" spans="1:9" x14ac:dyDescent="0.2">
      <c r="A390">
        <v>1902511</v>
      </c>
      <c r="B390">
        <v>4</v>
      </c>
      <c r="C390">
        <v>3234</v>
      </c>
      <c r="D390">
        <v>0</v>
      </c>
      <c r="E390">
        <v>26</v>
      </c>
      <c r="F390" t="s">
        <v>47</v>
      </c>
      <c r="G390" t="s">
        <v>76</v>
      </c>
      <c r="H390" t="s">
        <v>46</v>
      </c>
      <c r="I390">
        <v>10</v>
      </c>
    </row>
    <row r="391" spans="1:9" x14ac:dyDescent="0.2">
      <c r="A391">
        <v>1933578</v>
      </c>
      <c r="B391">
        <v>1</v>
      </c>
      <c r="C391">
        <v>1439</v>
      </c>
      <c r="D391">
        <v>58545</v>
      </c>
      <c r="E391">
        <v>25</v>
      </c>
      <c r="F391" t="s">
        <v>25</v>
      </c>
      <c r="G391" t="s">
        <v>29</v>
      </c>
      <c r="H391" t="s">
        <v>24</v>
      </c>
      <c r="I391">
        <v>5</v>
      </c>
    </row>
    <row r="392" spans="1:9" x14ac:dyDescent="0.2">
      <c r="A392">
        <v>1933578</v>
      </c>
      <c r="B392">
        <v>2</v>
      </c>
      <c r="C392">
        <v>2640</v>
      </c>
      <c r="D392">
        <v>57370</v>
      </c>
      <c r="E392">
        <v>24</v>
      </c>
      <c r="F392" t="s">
        <v>71</v>
      </c>
      <c r="G392" t="s">
        <v>184</v>
      </c>
      <c r="H392" t="s">
        <v>24</v>
      </c>
      <c r="I392">
        <v>5</v>
      </c>
    </row>
    <row r="393" spans="1:9" x14ac:dyDescent="0.2">
      <c r="A393">
        <v>1933578</v>
      </c>
      <c r="B393">
        <v>3</v>
      </c>
      <c r="C393">
        <v>1339</v>
      </c>
      <c r="D393">
        <v>0</v>
      </c>
      <c r="E393">
        <v>26</v>
      </c>
      <c r="F393" t="s">
        <v>21</v>
      </c>
      <c r="G393" t="s">
        <v>185</v>
      </c>
      <c r="H393" t="s">
        <v>20</v>
      </c>
      <c r="I393">
        <v>8</v>
      </c>
    </row>
    <row r="394" spans="1:9" x14ac:dyDescent="0.2">
      <c r="A394">
        <v>1933578</v>
      </c>
      <c r="B394">
        <v>4</v>
      </c>
      <c r="C394">
        <v>2544</v>
      </c>
      <c r="D394">
        <v>0</v>
      </c>
      <c r="E394">
        <v>26</v>
      </c>
      <c r="F394" t="s">
        <v>175</v>
      </c>
      <c r="G394" t="s">
        <v>185</v>
      </c>
      <c r="H394" t="s">
        <v>213</v>
      </c>
      <c r="I394">
        <v>4</v>
      </c>
    </row>
    <row r="395" spans="1:9" x14ac:dyDescent="0.2">
      <c r="A395">
        <v>1933578</v>
      </c>
      <c r="B395">
        <v>5</v>
      </c>
      <c r="C395">
        <v>2546</v>
      </c>
      <c r="D395">
        <v>0</v>
      </c>
      <c r="E395">
        <v>26</v>
      </c>
      <c r="F395" t="s">
        <v>175</v>
      </c>
      <c r="G395" t="s">
        <v>212</v>
      </c>
      <c r="H395" t="s">
        <v>213</v>
      </c>
      <c r="I395">
        <v>4</v>
      </c>
    </row>
    <row r="396" spans="1:9" x14ac:dyDescent="0.2">
      <c r="A396">
        <v>1935753</v>
      </c>
      <c r="B396">
        <v>1</v>
      </c>
      <c r="C396">
        <v>3261</v>
      </c>
      <c r="D396">
        <v>0</v>
      </c>
      <c r="E396">
        <v>36</v>
      </c>
      <c r="F396" t="s">
        <v>47</v>
      </c>
      <c r="G396" t="s">
        <v>93</v>
      </c>
      <c r="H396" t="s">
        <v>46</v>
      </c>
      <c r="I396">
        <v>10</v>
      </c>
    </row>
    <row r="397" spans="1:9" x14ac:dyDescent="0.2">
      <c r="A397">
        <v>1935754</v>
      </c>
      <c r="B397">
        <v>1</v>
      </c>
      <c r="C397">
        <v>3252</v>
      </c>
      <c r="D397">
        <v>50895</v>
      </c>
      <c r="E397">
        <v>25</v>
      </c>
      <c r="F397" t="s">
        <v>47</v>
      </c>
      <c r="G397" t="s">
        <v>45</v>
      </c>
      <c r="H397" t="s">
        <v>46</v>
      </c>
      <c r="I397">
        <v>10</v>
      </c>
    </row>
    <row r="398" spans="1:9" x14ac:dyDescent="0.2">
      <c r="A398">
        <v>1935754</v>
      </c>
      <c r="B398">
        <v>2</v>
      </c>
      <c r="C398">
        <v>3251</v>
      </c>
      <c r="D398">
        <v>51940</v>
      </c>
      <c r="E398">
        <v>24</v>
      </c>
      <c r="F398" t="s">
        <v>47</v>
      </c>
      <c r="G398" t="s">
        <v>48</v>
      </c>
      <c r="H398" t="s">
        <v>46</v>
      </c>
      <c r="I398">
        <v>10</v>
      </c>
    </row>
    <row r="399" spans="1:9" x14ac:dyDescent="0.2">
      <c r="A399">
        <v>1992082</v>
      </c>
      <c r="B399">
        <v>1</v>
      </c>
      <c r="C399">
        <v>3226</v>
      </c>
      <c r="D399">
        <v>0</v>
      </c>
      <c r="E399">
        <v>36</v>
      </c>
      <c r="F399" t="s">
        <v>47</v>
      </c>
      <c r="G399" t="s">
        <v>96</v>
      </c>
      <c r="H399" t="s">
        <v>46</v>
      </c>
      <c r="I399">
        <v>10</v>
      </c>
    </row>
    <row r="400" spans="1:9" x14ac:dyDescent="0.2">
      <c r="A400">
        <v>1992082</v>
      </c>
      <c r="B400">
        <v>2</v>
      </c>
      <c r="C400">
        <v>3229</v>
      </c>
      <c r="D400">
        <v>0</v>
      </c>
      <c r="E400">
        <v>36</v>
      </c>
      <c r="F400" t="s">
        <v>47</v>
      </c>
      <c r="G400" t="s">
        <v>101</v>
      </c>
      <c r="H400" t="s">
        <v>46</v>
      </c>
      <c r="I400">
        <v>10</v>
      </c>
    </row>
    <row r="401" spans="1:9" x14ac:dyDescent="0.2">
      <c r="A401">
        <v>1992082</v>
      </c>
      <c r="B401">
        <v>3</v>
      </c>
      <c r="C401">
        <v>3251</v>
      </c>
      <c r="D401">
        <v>0</v>
      </c>
      <c r="E401">
        <v>36</v>
      </c>
      <c r="F401" t="s">
        <v>47</v>
      </c>
      <c r="G401" t="s">
        <v>48</v>
      </c>
      <c r="H401" t="s">
        <v>46</v>
      </c>
      <c r="I401">
        <v>10</v>
      </c>
    </row>
    <row r="402" spans="1:9" x14ac:dyDescent="0.2">
      <c r="A402">
        <v>1992082</v>
      </c>
      <c r="B402">
        <v>4</v>
      </c>
      <c r="C402">
        <v>3244</v>
      </c>
      <c r="D402">
        <v>0</v>
      </c>
      <c r="E402">
        <v>36</v>
      </c>
      <c r="F402" t="s">
        <v>47</v>
      </c>
      <c r="G402" t="s">
        <v>73</v>
      </c>
      <c r="H402" t="s">
        <v>74</v>
      </c>
      <c r="I402">
        <v>10</v>
      </c>
    </row>
    <row r="403" spans="1:9" x14ac:dyDescent="0.2">
      <c r="A403">
        <v>1992082</v>
      </c>
      <c r="B403">
        <v>5</v>
      </c>
      <c r="C403">
        <v>3213</v>
      </c>
      <c r="D403">
        <v>0</v>
      </c>
      <c r="E403">
        <v>36</v>
      </c>
      <c r="F403" t="s">
        <v>47</v>
      </c>
      <c r="G403" t="s">
        <v>158</v>
      </c>
      <c r="H403" t="s">
        <v>74</v>
      </c>
      <c r="I403">
        <v>10</v>
      </c>
    </row>
    <row r="404" spans="1:9" x14ac:dyDescent="0.2">
      <c r="A404">
        <v>1992082</v>
      </c>
      <c r="B404">
        <v>6</v>
      </c>
      <c r="C404">
        <v>3212</v>
      </c>
      <c r="D404">
        <v>0</v>
      </c>
      <c r="E404">
        <v>36</v>
      </c>
      <c r="F404" t="s">
        <v>47</v>
      </c>
      <c r="G404" t="s">
        <v>84</v>
      </c>
      <c r="H404" t="s">
        <v>46</v>
      </c>
      <c r="I404">
        <v>10</v>
      </c>
    </row>
    <row r="405" spans="1:9" x14ac:dyDescent="0.2">
      <c r="A405">
        <v>1992082</v>
      </c>
      <c r="B405">
        <v>7</v>
      </c>
      <c r="C405">
        <v>3248</v>
      </c>
      <c r="D405">
        <v>0</v>
      </c>
      <c r="E405">
        <v>36</v>
      </c>
      <c r="F405" t="s">
        <v>47</v>
      </c>
      <c r="G405" t="s">
        <v>92</v>
      </c>
      <c r="H405" t="s">
        <v>46</v>
      </c>
      <c r="I405">
        <v>10</v>
      </c>
    </row>
    <row r="406" spans="1:9" x14ac:dyDescent="0.2">
      <c r="A406">
        <v>1992082</v>
      </c>
      <c r="B406">
        <v>8</v>
      </c>
      <c r="C406">
        <v>3225</v>
      </c>
      <c r="D406">
        <v>0</v>
      </c>
      <c r="E406">
        <v>36</v>
      </c>
      <c r="F406" t="s">
        <v>47</v>
      </c>
      <c r="G406" t="s">
        <v>106</v>
      </c>
      <c r="H406" t="s">
        <v>46</v>
      </c>
      <c r="I406">
        <v>10</v>
      </c>
    </row>
    <row r="407" spans="1:9" x14ac:dyDescent="0.2">
      <c r="A407">
        <v>2003202</v>
      </c>
      <c r="B407">
        <v>1</v>
      </c>
      <c r="C407">
        <v>1788</v>
      </c>
      <c r="D407">
        <v>50825</v>
      </c>
      <c r="E407">
        <v>25</v>
      </c>
      <c r="F407" t="s">
        <v>57</v>
      </c>
      <c r="G407" t="s">
        <v>97</v>
      </c>
      <c r="H407" t="s">
        <v>56</v>
      </c>
      <c r="I407">
        <v>10</v>
      </c>
    </row>
    <row r="408" spans="1:9" x14ac:dyDescent="0.2">
      <c r="A408">
        <v>2003202</v>
      </c>
      <c r="B408">
        <v>2</v>
      </c>
      <c r="C408">
        <v>3248</v>
      </c>
      <c r="D408">
        <v>50445</v>
      </c>
      <c r="E408">
        <v>24</v>
      </c>
      <c r="F408" t="s">
        <v>47</v>
      </c>
      <c r="G408" t="s">
        <v>92</v>
      </c>
      <c r="H408" t="s">
        <v>46</v>
      </c>
      <c r="I408">
        <v>10</v>
      </c>
    </row>
    <row r="409" spans="1:9" x14ac:dyDescent="0.2">
      <c r="A409">
        <v>2003202</v>
      </c>
      <c r="B409">
        <v>3</v>
      </c>
      <c r="C409">
        <v>3251</v>
      </c>
      <c r="D409">
        <v>0</v>
      </c>
      <c r="E409">
        <v>26</v>
      </c>
      <c r="F409" t="s">
        <v>47</v>
      </c>
      <c r="G409" t="s">
        <v>48</v>
      </c>
      <c r="H409" t="s">
        <v>46</v>
      </c>
      <c r="I409">
        <v>10</v>
      </c>
    </row>
    <row r="410" spans="1:9" x14ac:dyDescent="0.2">
      <c r="A410">
        <v>2003202</v>
      </c>
      <c r="B410">
        <v>4</v>
      </c>
      <c r="C410">
        <v>3261</v>
      </c>
      <c r="D410">
        <v>0</v>
      </c>
      <c r="E410">
        <v>26</v>
      </c>
      <c r="F410" t="s">
        <v>47</v>
      </c>
      <c r="G410" t="s">
        <v>93</v>
      </c>
      <c r="H410" t="s">
        <v>46</v>
      </c>
      <c r="I410">
        <v>10</v>
      </c>
    </row>
    <row r="411" spans="1:9" x14ac:dyDescent="0.2">
      <c r="A411">
        <v>2061889</v>
      </c>
      <c r="B411">
        <v>1</v>
      </c>
      <c r="C411">
        <v>3252</v>
      </c>
      <c r="D411">
        <v>50795</v>
      </c>
      <c r="E411">
        <v>25</v>
      </c>
      <c r="F411" t="s">
        <v>47</v>
      </c>
      <c r="G411" t="s">
        <v>45</v>
      </c>
      <c r="H411" t="s">
        <v>46</v>
      </c>
      <c r="I411">
        <v>10</v>
      </c>
    </row>
    <row r="412" spans="1:9" x14ac:dyDescent="0.2">
      <c r="A412">
        <v>2061889</v>
      </c>
      <c r="B412">
        <v>2</v>
      </c>
      <c r="C412">
        <v>3251</v>
      </c>
      <c r="D412">
        <v>51535</v>
      </c>
      <c r="E412">
        <v>24</v>
      </c>
      <c r="F412" t="s">
        <v>47</v>
      </c>
      <c r="G412" t="s">
        <v>48</v>
      </c>
      <c r="H412" t="s">
        <v>46</v>
      </c>
      <c r="I412">
        <v>10</v>
      </c>
    </row>
    <row r="413" spans="1:9" x14ac:dyDescent="0.2">
      <c r="A413">
        <v>2061889</v>
      </c>
      <c r="B413">
        <v>3</v>
      </c>
      <c r="C413">
        <v>3239</v>
      </c>
      <c r="D413">
        <v>0</v>
      </c>
      <c r="E413">
        <v>26</v>
      </c>
      <c r="F413" t="s">
        <v>47</v>
      </c>
      <c r="G413" t="s">
        <v>107</v>
      </c>
      <c r="H413" t="s">
        <v>46</v>
      </c>
      <c r="I413">
        <v>10</v>
      </c>
    </row>
    <row r="414" spans="1:9" x14ac:dyDescent="0.2">
      <c r="A414">
        <v>2061889</v>
      </c>
      <c r="B414">
        <v>4</v>
      </c>
      <c r="C414">
        <v>3248</v>
      </c>
      <c r="D414">
        <v>0</v>
      </c>
      <c r="E414">
        <v>26</v>
      </c>
      <c r="F414" t="s">
        <v>47</v>
      </c>
      <c r="G414" t="s">
        <v>92</v>
      </c>
      <c r="H414" t="s">
        <v>46</v>
      </c>
      <c r="I414">
        <v>10</v>
      </c>
    </row>
    <row r="415" spans="1:9" x14ac:dyDescent="0.2">
      <c r="A415">
        <v>2061889</v>
      </c>
      <c r="B415">
        <v>5</v>
      </c>
      <c r="C415">
        <v>3229</v>
      </c>
      <c r="D415">
        <v>0</v>
      </c>
      <c r="E415">
        <v>26</v>
      </c>
      <c r="F415" t="s">
        <v>47</v>
      </c>
      <c r="G415" t="s">
        <v>101</v>
      </c>
      <c r="H415" t="s">
        <v>46</v>
      </c>
      <c r="I415">
        <v>10</v>
      </c>
    </row>
    <row r="416" spans="1:9" x14ac:dyDescent="0.2">
      <c r="A416">
        <v>2061889</v>
      </c>
      <c r="B416">
        <v>6</v>
      </c>
      <c r="C416">
        <v>3244</v>
      </c>
      <c r="D416">
        <v>0</v>
      </c>
      <c r="E416">
        <v>26</v>
      </c>
      <c r="F416" t="s">
        <v>47</v>
      </c>
      <c r="G416" t="s">
        <v>73</v>
      </c>
      <c r="H416" t="s">
        <v>74</v>
      </c>
      <c r="I416">
        <v>10</v>
      </c>
    </row>
    <row r="417" spans="1:9" x14ac:dyDescent="0.2">
      <c r="A417">
        <v>2065956</v>
      </c>
      <c r="B417">
        <v>1</v>
      </c>
      <c r="C417">
        <v>1463</v>
      </c>
      <c r="D417">
        <v>71740</v>
      </c>
      <c r="E417">
        <v>24</v>
      </c>
      <c r="F417" t="s">
        <v>25</v>
      </c>
      <c r="G417" t="s">
        <v>66</v>
      </c>
      <c r="H417" t="s">
        <v>24</v>
      </c>
      <c r="I417">
        <v>5</v>
      </c>
    </row>
    <row r="418" spans="1:9" x14ac:dyDescent="0.2">
      <c r="A418">
        <v>2065956</v>
      </c>
      <c r="B418">
        <v>2</v>
      </c>
      <c r="C418">
        <v>1952</v>
      </c>
      <c r="D418">
        <v>0</v>
      </c>
      <c r="E418">
        <v>26</v>
      </c>
      <c r="F418" t="s">
        <v>32</v>
      </c>
      <c r="G418" t="s">
        <v>67</v>
      </c>
      <c r="H418" t="s">
        <v>31</v>
      </c>
      <c r="I418">
        <v>5</v>
      </c>
    </row>
    <row r="419" spans="1:9" x14ac:dyDescent="0.2">
      <c r="A419">
        <v>2077342</v>
      </c>
      <c r="B419">
        <v>1</v>
      </c>
      <c r="C419">
        <v>1776</v>
      </c>
      <c r="D419">
        <v>57310</v>
      </c>
      <c r="E419">
        <v>25</v>
      </c>
      <c r="F419" t="s">
        <v>57</v>
      </c>
      <c r="G419" t="s">
        <v>124</v>
      </c>
      <c r="H419" t="s">
        <v>125</v>
      </c>
      <c r="I419">
        <v>10</v>
      </c>
    </row>
    <row r="420" spans="1:9" x14ac:dyDescent="0.2">
      <c r="A420">
        <v>2090934</v>
      </c>
      <c r="B420">
        <v>1</v>
      </c>
      <c r="C420">
        <v>1183</v>
      </c>
      <c r="D420">
        <v>70215</v>
      </c>
      <c r="E420">
        <v>25</v>
      </c>
      <c r="F420" t="s">
        <v>17</v>
      </c>
      <c r="G420" t="s">
        <v>171</v>
      </c>
      <c r="H420" t="s">
        <v>16</v>
      </c>
      <c r="I420" t="s">
        <v>448</v>
      </c>
    </row>
    <row r="421" spans="1:9" x14ac:dyDescent="0.2">
      <c r="A421">
        <v>2090934</v>
      </c>
      <c r="B421">
        <v>2</v>
      </c>
      <c r="C421">
        <v>1203</v>
      </c>
      <c r="D421">
        <v>70235</v>
      </c>
      <c r="E421">
        <v>24</v>
      </c>
      <c r="F421" t="s">
        <v>19</v>
      </c>
      <c r="G421" t="s">
        <v>248</v>
      </c>
      <c r="H421" t="s">
        <v>16</v>
      </c>
      <c r="I421" t="s">
        <v>448</v>
      </c>
    </row>
    <row r="422" spans="1:9" x14ac:dyDescent="0.2">
      <c r="A422">
        <v>2090934</v>
      </c>
      <c r="B422">
        <v>3</v>
      </c>
      <c r="C422">
        <v>1178</v>
      </c>
      <c r="D422">
        <v>0</v>
      </c>
      <c r="E422">
        <v>26</v>
      </c>
      <c r="F422" t="s">
        <v>17</v>
      </c>
      <c r="G422" t="s">
        <v>238</v>
      </c>
      <c r="H422" t="s">
        <v>16</v>
      </c>
      <c r="I422" t="s">
        <v>448</v>
      </c>
    </row>
    <row r="423" spans="1:9" x14ac:dyDescent="0.2">
      <c r="A423">
        <v>2090934</v>
      </c>
      <c r="B423">
        <v>4</v>
      </c>
      <c r="C423">
        <v>1142</v>
      </c>
      <c r="D423">
        <v>0</v>
      </c>
      <c r="E423">
        <v>26</v>
      </c>
      <c r="F423" t="s">
        <v>17</v>
      </c>
      <c r="G423" t="s">
        <v>114</v>
      </c>
      <c r="H423" t="s">
        <v>16</v>
      </c>
      <c r="I423" t="s">
        <v>448</v>
      </c>
    </row>
    <row r="424" spans="1:9" x14ac:dyDescent="0.2">
      <c r="A424">
        <v>2090934</v>
      </c>
      <c r="B424">
        <v>5</v>
      </c>
      <c r="C424">
        <v>1713</v>
      </c>
      <c r="D424">
        <v>0</v>
      </c>
      <c r="E424">
        <v>26</v>
      </c>
      <c r="F424" t="s">
        <v>57</v>
      </c>
      <c r="G424" t="s">
        <v>170</v>
      </c>
      <c r="H424" t="s">
        <v>69</v>
      </c>
      <c r="I424">
        <v>10</v>
      </c>
    </row>
    <row r="425" spans="1:9" x14ac:dyDescent="0.2">
      <c r="A425">
        <v>2090934</v>
      </c>
      <c r="B425">
        <v>6</v>
      </c>
      <c r="C425">
        <v>1700</v>
      </c>
      <c r="D425">
        <v>0</v>
      </c>
      <c r="E425">
        <v>26</v>
      </c>
      <c r="F425" t="s">
        <v>57</v>
      </c>
      <c r="G425" t="s">
        <v>58</v>
      </c>
      <c r="H425" t="s">
        <v>69</v>
      </c>
      <c r="I425">
        <v>10</v>
      </c>
    </row>
    <row r="426" spans="1:9" x14ac:dyDescent="0.2">
      <c r="A426">
        <v>2109483</v>
      </c>
      <c r="B426">
        <v>1</v>
      </c>
      <c r="C426">
        <v>1714</v>
      </c>
      <c r="D426">
        <v>62640</v>
      </c>
      <c r="E426">
        <v>24</v>
      </c>
      <c r="F426" t="s">
        <v>57</v>
      </c>
      <c r="G426" t="s">
        <v>95</v>
      </c>
      <c r="H426" t="s">
        <v>69</v>
      </c>
      <c r="I426">
        <v>10</v>
      </c>
    </row>
    <row r="427" spans="1:9" x14ac:dyDescent="0.2">
      <c r="A427">
        <v>2109483</v>
      </c>
      <c r="B427">
        <v>2</v>
      </c>
      <c r="C427">
        <v>1711</v>
      </c>
      <c r="D427">
        <v>0</v>
      </c>
      <c r="E427">
        <v>26</v>
      </c>
      <c r="F427" t="s">
        <v>57</v>
      </c>
      <c r="G427" t="s">
        <v>201</v>
      </c>
      <c r="H427" t="s">
        <v>69</v>
      </c>
      <c r="I427">
        <v>10</v>
      </c>
    </row>
    <row r="428" spans="1:9" x14ac:dyDescent="0.2">
      <c r="A428">
        <v>2109483</v>
      </c>
      <c r="B428">
        <v>3</v>
      </c>
      <c r="C428">
        <v>1700</v>
      </c>
      <c r="D428">
        <v>0</v>
      </c>
      <c r="E428">
        <v>26</v>
      </c>
      <c r="F428" t="s">
        <v>57</v>
      </c>
      <c r="G428" t="s">
        <v>58</v>
      </c>
      <c r="H428" t="s">
        <v>69</v>
      </c>
      <c r="I428">
        <v>10</v>
      </c>
    </row>
    <row r="429" spans="1:9" x14ac:dyDescent="0.2">
      <c r="A429">
        <v>2109483</v>
      </c>
      <c r="B429">
        <v>4</v>
      </c>
      <c r="C429">
        <v>1728</v>
      </c>
      <c r="D429">
        <v>0</v>
      </c>
      <c r="E429">
        <v>26</v>
      </c>
      <c r="F429" t="s">
        <v>57</v>
      </c>
      <c r="G429" t="s">
        <v>103</v>
      </c>
      <c r="H429" t="s">
        <v>69</v>
      </c>
      <c r="I429">
        <v>10</v>
      </c>
    </row>
    <row r="430" spans="1:9" x14ac:dyDescent="0.2">
      <c r="A430">
        <v>2109483</v>
      </c>
      <c r="B430">
        <v>5</v>
      </c>
      <c r="C430">
        <v>1785</v>
      </c>
      <c r="D430">
        <v>0</v>
      </c>
      <c r="E430">
        <v>26</v>
      </c>
      <c r="F430" t="s">
        <v>57</v>
      </c>
      <c r="G430" t="s">
        <v>86</v>
      </c>
      <c r="H430" t="s">
        <v>69</v>
      </c>
      <c r="I430">
        <v>10</v>
      </c>
    </row>
    <row r="431" spans="1:9" x14ac:dyDescent="0.2">
      <c r="A431">
        <v>2112157</v>
      </c>
      <c r="B431">
        <v>1</v>
      </c>
      <c r="C431">
        <v>1145</v>
      </c>
      <c r="D431">
        <v>71650</v>
      </c>
      <c r="E431">
        <v>24</v>
      </c>
      <c r="F431" t="s">
        <v>17</v>
      </c>
      <c r="G431" t="s">
        <v>159</v>
      </c>
      <c r="H431" t="s">
        <v>16</v>
      </c>
      <c r="I431" t="s">
        <v>448</v>
      </c>
    </row>
    <row r="432" spans="1:9" x14ac:dyDescent="0.2">
      <c r="A432">
        <v>2112157</v>
      </c>
      <c r="B432">
        <v>2</v>
      </c>
      <c r="C432">
        <v>1239</v>
      </c>
      <c r="D432">
        <v>0</v>
      </c>
      <c r="E432">
        <v>26</v>
      </c>
      <c r="F432" t="s">
        <v>19</v>
      </c>
      <c r="G432" t="s">
        <v>160</v>
      </c>
      <c r="H432" t="s">
        <v>16</v>
      </c>
      <c r="I432" t="s">
        <v>448</v>
      </c>
    </row>
    <row r="433" spans="1:9" x14ac:dyDescent="0.2">
      <c r="A433">
        <v>2112157</v>
      </c>
      <c r="B433">
        <v>3</v>
      </c>
      <c r="C433">
        <v>1503</v>
      </c>
      <c r="D433">
        <v>0</v>
      </c>
      <c r="E433">
        <v>26</v>
      </c>
      <c r="F433" t="s">
        <v>142</v>
      </c>
      <c r="G433" t="s">
        <v>161</v>
      </c>
      <c r="H433" t="s">
        <v>31</v>
      </c>
      <c r="I433">
        <v>5</v>
      </c>
    </row>
    <row r="434" spans="1:9" x14ac:dyDescent="0.2">
      <c r="A434">
        <v>2112157</v>
      </c>
      <c r="B434">
        <v>4</v>
      </c>
      <c r="C434">
        <v>1509</v>
      </c>
      <c r="D434">
        <v>0</v>
      </c>
      <c r="E434">
        <v>26</v>
      </c>
      <c r="F434" t="s">
        <v>142</v>
      </c>
      <c r="G434" t="s">
        <v>162</v>
      </c>
      <c r="H434" t="s">
        <v>31</v>
      </c>
      <c r="I434">
        <v>5</v>
      </c>
    </row>
    <row r="435" spans="1:9" x14ac:dyDescent="0.2">
      <c r="A435">
        <v>2112157</v>
      </c>
      <c r="B435">
        <v>5</v>
      </c>
      <c r="C435">
        <v>1506</v>
      </c>
      <c r="D435">
        <v>0</v>
      </c>
      <c r="E435">
        <v>26</v>
      </c>
      <c r="F435" t="s">
        <v>142</v>
      </c>
      <c r="G435" t="s">
        <v>78</v>
      </c>
      <c r="H435" t="s">
        <v>31</v>
      </c>
      <c r="I435">
        <v>5</v>
      </c>
    </row>
    <row r="436" spans="1:9" x14ac:dyDescent="0.2">
      <c r="A436">
        <v>2112157</v>
      </c>
      <c r="B436">
        <v>6</v>
      </c>
      <c r="C436">
        <v>1511</v>
      </c>
      <c r="D436">
        <v>0</v>
      </c>
      <c r="E436">
        <v>26</v>
      </c>
      <c r="F436" t="s">
        <v>142</v>
      </c>
      <c r="G436" t="s">
        <v>163</v>
      </c>
      <c r="H436" t="s">
        <v>31</v>
      </c>
      <c r="I436">
        <v>5</v>
      </c>
    </row>
    <row r="437" spans="1:9" x14ac:dyDescent="0.2">
      <c r="A437">
        <v>2112157</v>
      </c>
      <c r="B437">
        <v>7</v>
      </c>
      <c r="C437">
        <v>1504</v>
      </c>
      <c r="D437">
        <v>0</v>
      </c>
      <c r="E437">
        <v>26</v>
      </c>
      <c r="F437" t="s">
        <v>142</v>
      </c>
      <c r="G437" t="s">
        <v>121</v>
      </c>
      <c r="H437" t="s">
        <v>31</v>
      </c>
      <c r="I437">
        <v>5</v>
      </c>
    </row>
    <row r="438" spans="1:9" x14ac:dyDescent="0.2">
      <c r="A438">
        <v>2112157</v>
      </c>
      <c r="B438">
        <v>8</v>
      </c>
      <c r="C438">
        <v>1368</v>
      </c>
      <c r="D438">
        <v>0</v>
      </c>
      <c r="E438">
        <v>26</v>
      </c>
      <c r="F438" t="s">
        <v>21</v>
      </c>
      <c r="G438" t="s">
        <v>140</v>
      </c>
      <c r="H438" t="s">
        <v>20</v>
      </c>
      <c r="I438">
        <v>8</v>
      </c>
    </row>
    <row r="439" spans="1:9" x14ac:dyDescent="0.2">
      <c r="A439">
        <v>2193773</v>
      </c>
      <c r="B439">
        <v>1</v>
      </c>
      <c r="C439">
        <v>1213</v>
      </c>
      <c r="D439">
        <v>65160</v>
      </c>
      <c r="E439">
        <v>24</v>
      </c>
      <c r="F439" t="s">
        <v>19</v>
      </c>
      <c r="G439" t="s">
        <v>155</v>
      </c>
      <c r="H439" t="s">
        <v>16</v>
      </c>
      <c r="I439" t="s">
        <v>448</v>
      </c>
    </row>
    <row r="440" spans="1:9" x14ac:dyDescent="0.2">
      <c r="A440">
        <v>2193773</v>
      </c>
      <c r="B440">
        <v>2</v>
      </c>
      <c r="C440">
        <v>1238</v>
      </c>
      <c r="D440">
        <v>0</v>
      </c>
      <c r="E440">
        <v>26</v>
      </c>
      <c r="F440" t="s">
        <v>19</v>
      </c>
      <c r="G440" t="s">
        <v>156</v>
      </c>
      <c r="H440" t="s">
        <v>16</v>
      </c>
      <c r="I440" t="s">
        <v>448</v>
      </c>
    </row>
    <row r="441" spans="1:9" x14ac:dyDescent="0.2">
      <c r="A441">
        <v>2194347</v>
      </c>
      <c r="B441">
        <v>1</v>
      </c>
      <c r="C441">
        <v>1778</v>
      </c>
      <c r="D441">
        <v>57880</v>
      </c>
      <c r="E441">
        <v>24</v>
      </c>
      <c r="F441" t="s">
        <v>57</v>
      </c>
      <c r="G441" t="s">
        <v>84</v>
      </c>
      <c r="H441" t="s">
        <v>56</v>
      </c>
      <c r="I441">
        <v>10</v>
      </c>
    </row>
    <row r="442" spans="1:9" x14ac:dyDescent="0.2">
      <c r="A442">
        <v>2194347</v>
      </c>
      <c r="B442">
        <v>2</v>
      </c>
      <c r="C442">
        <v>1709</v>
      </c>
      <c r="D442">
        <v>0</v>
      </c>
      <c r="E442">
        <v>26</v>
      </c>
      <c r="F442" t="s">
        <v>57</v>
      </c>
      <c r="G442" t="s">
        <v>84</v>
      </c>
      <c r="H442" t="s">
        <v>69</v>
      </c>
      <c r="I442">
        <v>10</v>
      </c>
    </row>
    <row r="443" spans="1:9" x14ac:dyDescent="0.2">
      <c r="A443">
        <v>2194347</v>
      </c>
      <c r="B443">
        <v>3</v>
      </c>
      <c r="C443">
        <v>3212</v>
      </c>
      <c r="D443">
        <v>0</v>
      </c>
      <c r="E443">
        <v>26</v>
      </c>
      <c r="F443" t="s">
        <v>47</v>
      </c>
      <c r="G443" t="s">
        <v>84</v>
      </c>
      <c r="H443" t="s">
        <v>46</v>
      </c>
      <c r="I443">
        <v>10</v>
      </c>
    </row>
    <row r="444" spans="1:9" x14ac:dyDescent="0.2">
      <c r="A444">
        <v>2194347</v>
      </c>
      <c r="B444">
        <v>4</v>
      </c>
      <c r="C444">
        <v>3085</v>
      </c>
      <c r="D444">
        <v>0</v>
      </c>
      <c r="E444">
        <v>26</v>
      </c>
      <c r="F444" t="s">
        <v>44</v>
      </c>
      <c r="G444" t="s">
        <v>84</v>
      </c>
      <c r="H444" t="s">
        <v>55</v>
      </c>
      <c r="I444">
        <v>9</v>
      </c>
    </row>
    <row r="445" spans="1:9" x14ac:dyDescent="0.2">
      <c r="A445">
        <v>2194347</v>
      </c>
      <c r="B445">
        <v>5</v>
      </c>
      <c r="C445">
        <v>1788</v>
      </c>
      <c r="D445">
        <v>0</v>
      </c>
      <c r="E445">
        <v>26</v>
      </c>
      <c r="F445" t="s">
        <v>57</v>
      </c>
      <c r="G445" t="s">
        <v>97</v>
      </c>
      <c r="H445" t="s">
        <v>56</v>
      </c>
      <c r="I445">
        <v>10</v>
      </c>
    </row>
    <row r="446" spans="1:9" x14ac:dyDescent="0.2">
      <c r="A446">
        <v>2194347</v>
      </c>
      <c r="B446">
        <v>6</v>
      </c>
      <c r="C446">
        <v>1754</v>
      </c>
      <c r="D446">
        <v>0</v>
      </c>
      <c r="E446">
        <v>26</v>
      </c>
      <c r="F446" t="s">
        <v>57</v>
      </c>
      <c r="G446" t="s">
        <v>85</v>
      </c>
      <c r="H446" t="s">
        <v>69</v>
      </c>
      <c r="I446">
        <v>10</v>
      </c>
    </row>
    <row r="447" spans="1:9" x14ac:dyDescent="0.2">
      <c r="A447">
        <v>2194347</v>
      </c>
      <c r="B447">
        <v>7</v>
      </c>
      <c r="C447">
        <v>3213</v>
      </c>
      <c r="D447">
        <v>0</v>
      </c>
      <c r="E447">
        <v>26</v>
      </c>
      <c r="F447" t="s">
        <v>47</v>
      </c>
      <c r="G447" t="s">
        <v>158</v>
      </c>
      <c r="H447" t="s">
        <v>74</v>
      </c>
      <c r="I447">
        <v>10</v>
      </c>
    </row>
    <row r="448" spans="1:9" x14ac:dyDescent="0.2">
      <c r="A448">
        <v>2194347</v>
      </c>
      <c r="B448">
        <v>8</v>
      </c>
      <c r="C448">
        <v>3092</v>
      </c>
      <c r="D448">
        <v>0</v>
      </c>
      <c r="E448">
        <v>26</v>
      </c>
      <c r="F448" t="s">
        <v>44</v>
      </c>
      <c r="G448" t="s">
        <v>251</v>
      </c>
      <c r="H448" t="s">
        <v>52</v>
      </c>
      <c r="I448">
        <v>9</v>
      </c>
    </row>
    <row r="449" spans="1:9" x14ac:dyDescent="0.2">
      <c r="A449">
        <v>2220207</v>
      </c>
      <c r="B449">
        <v>1</v>
      </c>
      <c r="C449">
        <v>1705</v>
      </c>
      <c r="D449">
        <v>52770</v>
      </c>
      <c r="E449">
        <v>25</v>
      </c>
      <c r="F449" t="s">
        <v>57</v>
      </c>
      <c r="G449" t="s">
        <v>102</v>
      </c>
      <c r="H449" t="s">
        <v>69</v>
      </c>
      <c r="I449">
        <v>10</v>
      </c>
    </row>
    <row r="450" spans="1:9" x14ac:dyDescent="0.2">
      <c r="A450">
        <v>2220207</v>
      </c>
      <c r="B450">
        <v>2</v>
      </c>
      <c r="C450">
        <v>3020</v>
      </c>
      <c r="D450">
        <v>52770</v>
      </c>
      <c r="E450">
        <v>25</v>
      </c>
      <c r="F450" t="s">
        <v>44</v>
      </c>
      <c r="G450" t="s">
        <v>102</v>
      </c>
      <c r="H450" t="s">
        <v>50</v>
      </c>
      <c r="I450">
        <v>9</v>
      </c>
    </row>
    <row r="451" spans="1:9" x14ac:dyDescent="0.2">
      <c r="A451">
        <v>2220207</v>
      </c>
      <c r="B451">
        <v>3</v>
      </c>
      <c r="C451">
        <v>1776</v>
      </c>
      <c r="D451">
        <v>53060</v>
      </c>
      <c r="E451">
        <v>25</v>
      </c>
      <c r="F451" t="s">
        <v>57</v>
      </c>
      <c r="G451" t="s">
        <v>124</v>
      </c>
      <c r="H451" t="s">
        <v>125</v>
      </c>
      <c r="I451">
        <v>10</v>
      </c>
    </row>
    <row r="452" spans="1:9" x14ac:dyDescent="0.2">
      <c r="A452">
        <v>2220207</v>
      </c>
      <c r="B452">
        <v>4</v>
      </c>
      <c r="C452">
        <v>1715</v>
      </c>
      <c r="D452">
        <v>53250</v>
      </c>
      <c r="E452">
        <v>25</v>
      </c>
      <c r="F452" t="s">
        <v>57</v>
      </c>
      <c r="G452" t="s">
        <v>151</v>
      </c>
      <c r="H452" t="s">
        <v>69</v>
      </c>
      <c r="I452">
        <v>10</v>
      </c>
    </row>
    <row r="453" spans="1:9" x14ac:dyDescent="0.2">
      <c r="A453">
        <v>2220207</v>
      </c>
      <c r="B453">
        <v>5</v>
      </c>
      <c r="C453">
        <v>1711</v>
      </c>
      <c r="D453">
        <v>53770</v>
      </c>
      <c r="E453">
        <v>25</v>
      </c>
      <c r="F453" t="s">
        <v>57</v>
      </c>
      <c r="G453" t="s">
        <v>201</v>
      </c>
      <c r="H453" t="s">
        <v>69</v>
      </c>
      <c r="I453">
        <v>10</v>
      </c>
    </row>
    <row r="454" spans="1:9" x14ac:dyDescent="0.2">
      <c r="A454">
        <v>2220207</v>
      </c>
      <c r="B454">
        <v>6</v>
      </c>
      <c r="C454">
        <v>1732</v>
      </c>
      <c r="D454">
        <v>53025</v>
      </c>
      <c r="E454">
        <v>25</v>
      </c>
      <c r="F454" t="s">
        <v>57</v>
      </c>
      <c r="G454" t="s">
        <v>104</v>
      </c>
      <c r="H454" t="s">
        <v>69</v>
      </c>
      <c r="I454">
        <v>10</v>
      </c>
    </row>
    <row r="455" spans="1:9" x14ac:dyDescent="0.2">
      <c r="A455">
        <v>2220207</v>
      </c>
      <c r="B455">
        <v>7</v>
      </c>
      <c r="C455">
        <v>3032</v>
      </c>
      <c r="D455">
        <v>52770</v>
      </c>
      <c r="E455">
        <v>25</v>
      </c>
      <c r="F455" t="s">
        <v>44</v>
      </c>
      <c r="G455" t="s">
        <v>151</v>
      </c>
      <c r="H455" t="s">
        <v>50</v>
      </c>
      <c r="I455">
        <v>9</v>
      </c>
    </row>
    <row r="456" spans="1:9" x14ac:dyDescent="0.2">
      <c r="A456">
        <v>2220207</v>
      </c>
      <c r="B456">
        <v>8</v>
      </c>
      <c r="C456">
        <v>3023</v>
      </c>
      <c r="D456">
        <v>52770</v>
      </c>
      <c r="E456">
        <v>25</v>
      </c>
      <c r="F456" t="s">
        <v>44</v>
      </c>
      <c r="G456" t="s">
        <v>124</v>
      </c>
      <c r="H456" t="s">
        <v>50</v>
      </c>
      <c r="I456">
        <v>9</v>
      </c>
    </row>
    <row r="457" spans="1:9" x14ac:dyDescent="0.2">
      <c r="A457">
        <v>2238661</v>
      </c>
      <c r="B457">
        <v>1</v>
      </c>
      <c r="C457">
        <v>3242</v>
      </c>
      <c r="D457">
        <v>53890</v>
      </c>
      <c r="E457">
        <v>25</v>
      </c>
      <c r="F457" t="s">
        <v>47</v>
      </c>
      <c r="G457" t="s">
        <v>90</v>
      </c>
      <c r="H457" t="s">
        <v>46</v>
      </c>
      <c r="I457">
        <v>10</v>
      </c>
    </row>
    <row r="458" spans="1:9" x14ac:dyDescent="0.2">
      <c r="A458">
        <v>2238661</v>
      </c>
      <c r="B458">
        <v>2</v>
      </c>
      <c r="C458">
        <v>3234</v>
      </c>
      <c r="D458">
        <v>53725</v>
      </c>
      <c r="E458">
        <v>25</v>
      </c>
      <c r="F458" t="s">
        <v>47</v>
      </c>
      <c r="G458" t="s">
        <v>76</v>
      </c>
      <c r="H458" t="s">
        <v>46</v>
      </c>
      <c r="I458">
        <v>10</v>
      </c>
    </row>
    <row r="459" spans="1:9" x14ac:dyDescent="0.2">
      <c r="A459">
        <v>2238661</v>
      </c>
      <c r="B459">
        <v>3</v>
      </c>
      <c r="C459">
        <v>3243</v>
      </c>
      <c r="D459">
        <v>53390</v>
      </c>
      <c r="E459">
        <v>25</v>
      </c>
      <c r="F459" t="s">
        <v>47</v>
      </c>
      <c r="G459" t="s">
        <v>75</v>
      </c>
      <c r="H459" t="s">
        <v>46</v>
      </c>
      <c r="I459">
        <v>10</v>
      </c>
    </row>
    <row r="460" spans="1:9" x14ac:dyDescent="0.2">
      <c r="A460">
        <v>2238661</v>
      </c>
      <c r="B460">
        <v>4</v>
      </c>
      <c r="C460">
        <v>1785</v>
      </c>
      <c r="D460">
        <v>54085</v>
      </c>
      <c r="E460">
        <v>25</v>
      </c>
      <c r="F460" t="s">
        <v>57</v>
      </c>
      <c r="G460" t="s">
        <v>86</v>
      </c>
      <c r="H460" t="s">
        <v>69</v>
      </c>
      <c r="I460">
        <v>10</v>
      </c>
    </row>
    <row r="461" spans="1:9" x14ac:dyDescent="0.2">
      <c r="A461">
        <v>2238661</v>
      </c>
      <c r="B461">
        <v>5</v>
      </c>
      <c r="C461">
        <v>1777</v>
      </c>
      <c r="D461">
        <v>53680</v>
      </c>
      <c r="E461">
        <v>25</v>
      </c>
      <c r="F461" t="s">
        <v>57</v>
      </c>
      <c r="G461" t="s">
        <v>88</v>
      </c>
      <c r="H461" t="s">
        <v>69</v>
      </c>
      <c r="I461">
        <v>10</v>
      </c>
    </row>
    <row r="462" spans="1:9" x14ac:dyDescent="0.2">
      <c r="A462">
        <v>2238661</v>
      </c>
      <c r="B462">
        <v>6</v>
      </c>
      <c r="C462">
        <v>3212</v>
      </c>
      <c r="D462">
        <v>54270</v>
      </c>
      <c r="E462">
        <v>24</v>
      </c>
      <c r="F462" t="s">
        <v>47</v>
      </c>
      <c r="G462" t="s">
        <v>84</v>
      </c>
      <c r="H462" t="s">
        <v>46</v>
      </c>
      <c r="I462">
        <v>10</v>
      </c>
    </row>
    <row r="463" spans="1:9" x14ac:dyDescent="0.2">
      <c r="A463">
        <v>2238661</v>
      </c>
      <c r="B463">
        <v>7</v>
      </c>
      <c r="C463">
        <v>3735</v>
      </c>
      <c r="D463">
        <v>0</v>
      </c>
      <c r="E463">
        <v>26</v>
      </c>
      <c r="F463" t="s">
        <v>116</v>
      </c>
      <c r="G463" t="s">
        <v>187</v>
      </c>
      <c r="H463" t="s">
        <v>61</v>
      </c>
      <c r="I463">
        <v>9</v>
      </c>
    </row>
    <row r="464" spans="1:9" x14ac:dyDescent="0.2">
      <c r="A464">
        <v>2238661</v>
      </c>
      <c r="B464">
        <v>8</v>
      </c>
      <c r="C464">
        <v>3246</v>
      </c>
      <c r="D464">
        <v>0</v>
      </c>
      <c r="E464">
        <v>26</v>
      </c>
      <c r="F464" t="s">
        <v>47</v>
      </c>
      <c r="G464" t="s">
        <v>91</v>
      </c>
      <c r="H464" t="s">
        <v>74</v>
      </c>
      <c r="I464">
        <v>10</v>
      </c>
    </row>
    <row r="465" spans="1:9" x14ac:dyDescent="0.2">
      <c r="A465">
        <v>2239185</v>
      </c>
      <c r="B465">
        <v>1</v>
      </c>
      <c r="C465">
        <v>1777</v>
      </c>
      <c r="D465">
        <v>55235</v>
      </c>
      <c r="E465">
        <v>25</v>
      </c>
      <c r="F465" t="s">
        <v>57</v>
      </c>
      <c r="G465" t="s">
        <v>88</v>
      </c>
      <c r="H465" t="s">
        <v>69</v>
      </c>
      <c r="I465">
        <v>10</v>
      </c>
    </row>
    <row r="466" spans="1:9" x14ac:dyDescent="0.2">
      <c r="A466">
        <v>2239185</v>
      </c>
      <c r="B466">
        <v>2</v>
      </c>
      <c r="C466">
        <v>3234</v>
      </c>
      <c r="D466">
        <v>54970</v>
      </c>
      <c r="E466">
        <v>25</v>
      </c>
      <c r="F466" t="s">
        <v>47</v>
      </c>
      <c r="G466" t="s">
        <v>76</v>
      </c>
      <c r="H466" t="s">
        <v>46</v>
      </c>
      <c r="I466">
        <v>10</v>
      </c>
    </row>
    <row r="467" spans="1:9" x14ac:dyDescent="0.2">
      <c r="A467">
        <v>2239185</v>
      </c>
      <c r="B467">
        <v>3</v>
      </c>
      <c r="C467">
        <v>3055</v>
      </c>
      <c r="D467">
        <v>53815</v>
      </c>
      <c r="E467">
        <v>25</v>
      </c>
      <c r="F467" t="s">
        <v>44</v>
      </c>
      <c r="G467" t="s">
        <v>188</v>
      </c>
      <c r="H467" t="s">
        <v>52</v>
      </c>
      <c r="I467">
        <v>9</v>
      </c>
    </row>
    <row r="468" spans="1:9" x14ac:dyDescent="0.2">
      <c r="A468">
        <v>2239185</v>
      </c>
      <c r="B468">
        <v>4</v>
      </c>
      <c r="C468">
        <v>1788</v>
      </c>
      <c r="D468">
        <v>52680</v>
      </c>
      <c r="E468">
        <v>25</v>
      </c>
      <c r="F468" t="s">
        <v>57</v>
      </c>
      <c r="G468" t="s">
        <v>97</v>
      </c>
      <c r="H468" t="s">
        <v>56</v>
      </c>
      <c r="I468">
        <v>10</v>
      </c>
    </row>
    <row r="469" spans="1:9" x14ac:dyDescent="0.2">
      <c r="A469">
        <v>2239185</v>
      </c>
      <c r="B469">
        <v>5</v>
      </c>
      <c r="C469">
        <v>3214</v>
      </c>
      <c r="D469">
        <v>56110</v>
      </c>
      <c r="E469">
        <v>24</v>
      </c>
      <c r="F469" t="s">
        <v>47</v>
      </c>
      <c r="G469" t="s">
        <v>98</v>
      </c>
      <c r="H469" t="s">
        <v>74</v>
      </c>
      <c r="I469">
        <v>10</v>
      </c>
    </row>
    <row r="470" spans="1:9" x14ac:dyDescent="0.2">
      <c r="A470">
        <v>2239185</v>
      </c>
      <c r="B470">
        <v>6</v>
      </c>
      <c r="C470">
        <v>2318</v>
      </c>
      <c r="D470">
        <v>0</v>
      </c>
      <c r="E470">
        <v>26</v>
      </c>
      <c r="F470" t="s">
        <v>39</v>
      </c>
      <c r="G470" t="s">
        <v>63</v>
      </c>
      <c r="H470" t="s">
        <v>176</v>
      </c>
      <c r="I470">
        <v>1</v>
      </c>
    </row>
    <row r="471" spans="1:9" x14ac:dyDescent="0.2">
      <c r="A471">
        <v>2239185</v>
      </c>
      <c r="B471">
        <v>7</v>
      </c>
      <c r="C471">
        <v>3067</v>
      </c>
      <c r="D471">
        <v>0</v>
      </c>
      <c r="E471">
        <v>26</v>
      </c>
      <c r="F471" t="s">
        <v>44</v>
      </c>
      <c r="G471" t="s">
        <v>252</v>
      </c>
      <c r="H471" t="s">
        <v>52</v>
      </c>
      <c r="I471">
        <v>9</v>
      </c>
    </row>
    <row r="472" spans="1:9" x14ac:dyDescent="0.2">
      <c r="A472">
        <v>2239185</v>
      </c>
      <c r="B472">
        <v>8</v>
      </c>
      <c r="C472">
        <v>3704</v>
      </c>
      <c r="D472">
        <v>0</v>
      </c>
      <c r="E472">
        <v>26</v>
      </c>
      <c r="F472" t="s">
        <v>116</v>
      </c>
      <c r="G472" t="s">
        <v>93</v>
      </c>
      <c r="H472" t="s">
        <v>61</v>
      </c>
      <c r="I472">
        <v>9</v>
      </c>
    </row>
    <row r="473" spans="1:9" x14ac:dyDescent="0.2">
      <c r="A473">
        <v>2269014</v>
      </c>
      <c r="B473">
        <v>1</v>
      </c>
      <c r="C473">
        <v>3212</v>
      </c>
      <c r="D473">
        <v>50300</v>
      </c>
      <c r="E473">
        <v>24</v>
      </c>
      <c r="F473" t="s">
        <v>47</v>
      </c>
      <c r="G473" t="s">
        <v>84</v>
      </c>
      <c r="H473" t="s">
        <v>46</v>
      </c>
      <c r="I473">
        <v>10</v>
      </c>
    </row>
    <row r="474" spans="1:9" x14ac:dyDescent="0.2">
      <c r="A474">
        <v>2269014</v>
      </c>
      <c r="B474">
        <v>2</v>
      </c>
      <c r="C474">
        <v>3214</v>
      </c>
      <c r="D474">
        <v>0</v>
      </c>
      <c r="E474">
        <v>26</v>
      </c>
      <c r="F474" t="s">
        <v>47</v>
      </c>
      <c r="G474" t="s">
        <v>98</v>
      </c>
      <c r="H474" t="s">
        <v>74</v>
      </c>
      <c r="I474">
        <v>10</v>
      </c>
    </row>
    <row r="475" spans="1:9" x14ac:dyDescent="0.2">
      <c r="A475">
        <v>2269014</v>
      </c>
      <c r="B475">
        <v>3</v>
      </c>
      <c r="C475">
        <v>3211</v>
      </c>
      <c r="D475">
        <v>0</v>
      </c>
      <c r="E475">
        <v>26</v>
      </c>
      <c r="F475" t="s">
        <v>47</v>
      </c>
      <c r="G475" t="s">
        <v>99</v>
      </c>
      <c r="H475" t="s">
        <v>46</v>
      </c>
      <c r="I475">
        <v>10</v>
      </c>
    </row>
    <row r="476" spans="1:9" x14ac:dyDescent="0.2">
      <c r="A476">
        <v>2269014</v>
      </c>
      <c r="B476">
        <v>4</v>
      </c>
      <c r="C476">
        <v>3213</v>
      </c>
      <c r="D476">
        <v>0</v>
      </c>
      <c r="E476">
        <v>26</v>
      </c>
      <c r="F476" t="s">
        <v>47</v>
      </c>
      <c r="G476" t="s">
        <v>158</v>
      </c>
      <c r="H476" t="s">
        <v>74</v>
      </c>
      <c r="I476">
        <v>10</v>
      </c>
    </row>
    <row r="477" spans="1:9" x14ac:dyDescent="0.2">
      <c r="A477">
        <v>2283395</v>
      </c>
      <c r="B477">
        <v>1</v>
      </c>
      <c r="C477">
        <v>3261</v>
      </c>
      <c r="D477">
        <v>54800</v>
      </c>
      <c r="E477">
        <v>24</v>
      </c>
      <c r="F477" t="s">
        <v>47</v>
      </c>
      <c r="G477" t="s">
        <v>93</v>
      </c>
      <c r="H477" t="s">
        <v>46</v>
      </c>
      <c r="I477">
        <v>10</v>
      </c>
    </row>
    <row r="478" spans="1:9" x14ac:dyDescent="0.2">
      <c r="A478">
        <v>2283395</v>
      </c>
      <c r="B478">
        <v>2</v>
      </c>
      <c r="C478">
        <v>1788</v>
      </c>
      <c r="D478">
        <v>0</v>
      </c>
      <c r="E478">
        <v>26</v>
      </c>
      <c r="F478" t="s">
        <v>57</v>
      </c>
      <c r="G478" t="s">
        <v>97</v>
      </c>
      <c r="H478" t="s">
        <v>56</v>
      </c>
      <c r="I478">
        <v>10</v>
      </c>
    </row>
    <row r="479" spans="1:9" x14ac:dyDescent="0.2">
      <c r="A479">
        <v>2283395</v>
      </c>
      <c r="B479">
        <v>3</v>
      </c>
      <c r="C479">
        <v>3252</v>
      </c>
      <c r="D479">
        <v>0</v>
      </c>
      <c r="E479">
        <v>26</v>
      </c>
      <c r="F479" t="s">
        <v>47</v>
      </c>
      <c r="G479" t="s">
        <v>45</v>
      </c>
      <c r="H479" t="s">
        <v>46</v>
      </c>
      <c r="I479">
        <v>10</v>
      </c>
    </row>
    <row r="480" spans="1:9" x14ac:dyDescent="0.2">
      <c r="A480">
        <v>2294820</v>
      </c>
      <c r="B480">
        <v>1</v>
      </c>
      <c r="C480">
        <v>3296</v>
      </c>
      <c r="D480">
        <v>0</v>
      </c>
      <c r="E480">
        <v>36</v>
      </c>
      <c r="F480" t="s">
        <v>47</v>
      </c>
      <c r="G480" t="s">
        <v>100</v>
      </c>
      <c r="H480" t="s">
        <v>46</v>
      </c>
      <c r="I480">
        <v>10</v>
      </c>
    </row>
    <row r="481" spans="1:9" x14ac:dyDescent="0.2">
      <c r="A481">
        <v>2294820</v>
      </c>
      <c r="B481">
        <v>2</v>
      </c>
      <c r="C481">
        <v>3229</v>
      </c>
      <c r="D481">
        <v>0</v>
      </c>
      <c r="E481">
        <v>36</v>
      </c>
      <c r="F481" t="s">
        <v>47</v>
      </c>
      <c r="G481" t="s">
        <v>101</v>
      </c>
      <c r="H481" t="s">
        <v>46</v>
      </c>
      <c r="I481">
        <v>10</v>
      </c>
    </row>
    <row r="482" spans="1:9" x14ac:dyDescent="0.2">
      <c r="A482">
        <v>2322999</v>
      </c>
      <c r="B482">
        <v>1</v>
      </c>
      <c r="C482">
        <v>1573</v>
      </c>
      <c r="D482">
        <v>61900</v>
      </c>
      <c r="E482">
        <v>25</v>
      </c>
      <c r="F482" t="s">
        <v>142</v>
      </c>
      <c r="G482" t="s">
        <v>84</v>
      </c>
      <c r="H482" t="s">
        <v>113</v>
      </c>
      <c r="I482">
        <v>5</v>
      </c>
    </row>
    <row r="483" spans="1:9" x14ac:dyDescent="0.2">
      <c r="A483">
        <v>2322999</v>
      </c>
      <c r="B483">
        <v>2</v>
      </c>
      <c r="C483">
        <v>1709</v>
      </c>
      <c r="D483">
        <v>62190</v>
      </c>
      <c r="E483">
        <v>24</v>
      </c>
      <c r="F483" t="s">
        <v>57</v>
      </c>
      <c r="G483" t="s">
        <v>84</v>
      </c>
      <c r="H483" t="s">
        <v>69</v>
      </c>
      <c r="I483">
        <v>10</v>
      </c>
    </row>
    <row r="484" spans="1:9" x14ac:dyDescent="0.2">
      <c r="A484">
        <v>2322999</v>
      </c>
      <c r="B484">
        <v>3</v>
      </c>
      <c r="C484">
        <v>1778</v>
      </c>
      <c r="D484">
        <v>0</v>
      </c>
      <c r="E484">
        <v>26</v>
      </c>
      <c r="F484" t="s">
        <v>57</v>
      </c>
      <c r="G484" t="s">
        <v>84</v>
      </c>
      <c r="H484" t="s">
        <v>56</v>
      </c>
      <c r="I484">
        <v>10</v>
      </c>
    </row>
    <row r="485" spans="1:9" x14ac:dyDescent="0.2">
      <c r="A485">
        <v>2322999</v>
      </c>
      <c r="B485">
        <v>4</v>
      </c>
      <c r="C485">
        <v>1319</v>
      </c>
      <c r="D485">
        <v>0</v>
      </c>
      <c r="E485">
        <v>26</v>
      </c>
      <c r="F485" t="s">
        <v>21</v>
      </c>
      <c r="G485" t="s">
        <v>84</v>
      </c>
      <c r="H485" t="s">
        <v>20</v>
      </c>
      <c r="I485">
        <v>8</v>
      </c>
    </row>
    <row r="486" spans="1:9" x14ac:dyDescent="0.2">
      <c r="A486">
        <v>2322999</v>
      </c>
      <c r="B486">
        <v>5</v>
      </c>
      <c r="C486">
        <v>2313</v>
      </c>
      <c r="D486">
        <v>0</v>
      </c>
      <c r="E486">
        <v>26</v>
      </c>
      <c r="F486" t="s">
        <v>39</v>
      </c>
      <c r="G486" t="s">
        <v>84</v>
      </c>
      <c r="H486" t="s">
        <v>38</v>
      </c>
      <c r="I486">
        <v>1</v>
      </c>
    </row>
    <row r="487" spans="1:9" x14ac:dyDescent="0.2">
      <c r="A487">
        <v>2322999</v>
      </c>
      <c r="B487">
        <v>6</v>
      </c>
      <c r="C487">
        <v>1705</v>
      </c>
      <c r="D487">
        <v>0</v>
      </c>
      <c r="E487">
        <v>26</v>
      </c>
      <c r="F487" t="s">
        <v>57</v>
      </c>
      <c r="G487" t="s">
        <v>102</v>
      </c>
      <c r="H487" t="s">
        <v>69</v>
      </c>
      <c r="I487">
        <v>10</v>
      </c>
    </row>
    <row r="488" spans="1:9" x14ac:dyDescent="0.2">
      <c r="A488">
        <v>2322999</v>
      </c>
      <c r="B488">
        <v>7</v>
      </c>
      <c r="C488">
        <v>3237</v>
      </c>
      <c r="D488">
        <v>0</v>
      </c>
      <c r="E488">
        <v>26</v>
      </c>
      <c r="F488" t="s">
        <v>47</v>
      </c>
      <c r="G488" t="s">
        <v>181</v>
      </c>
      <c r="H488" t="s">
        <v>46</v>
      </c>
      <c r="I488">
        <v>10</v>
      </c>
    </row>
    <row r="489" spans="1:9" x14ac:dyDescent="0.2">
      <c r="A489">
        <v>2329184</v>
      </c>
      <c r="B489">
        <v>1</v>
      </c>
      <c r="C489">
        <v>1404</v>
      </c>
      <c r="D489">
        <v>58595</v>
      </c>
      <c r="E489">
        <v>25</v>
      </c>
      <c r="F489" t="s">
        <v>25</v>
      </c>
      <c r="G489" t="s">
        <v>23</v>
      </c>
      <c r="H489" t="s">
        <v>24</v>
      </c>
      <c r="I489">
        <v>5</v>
      </c>
    </row>
    <row r="490" spans="1:9" x14ac:dyDescent="0.2">
      <c r="A490">
        <v>2329184</v>
      </c>
      <c r="B490">
        <v>2</v>
      </c>
      <c r="C490">
        <v>1401</v>
      </c>
      <c r="D490">
        <v>58595</v>
      </c>
      <c r="E490">
        <v>24</v>
      </c>
      <c r="F490" t="s">
        <v>25</v>
      </c>
      <c r="G490" t="s">
        <v>26</v>
      </c>
      <c r="H490" t="s">
        <v>27</v>
      </c>
      <c r="I490">
        <v>5</v>
      </c>
    </row>
    <row r="491" spans="1:9" x14ac:dyDescent="0.2">
      <c r="A491">
        <v>2329184</v>
      </c>
      <c r="B491">
        <v>3</v>
      </c>
      <c r="C491">
        <v>1476</v>
      </c>
      <c r="D491">
        <v>0</v>
      </c>
      <c r="E491">
        <v>26</v>
      </c>
      <c r="F491" t="s">
        <v>25</v>
      </c>
      <c r="G491" t="s">
        <v>28</v>
      </c>
      <c r="H491" t="s">
        <v>24</v>
      </c>
      <c r="I491">
        <v>5</v>
      </c>
    </row>
    <row r="492" spans="1:9" x14ac:dyDescent="0.2">
      <c r="A492">
        <v>2329184</v>
      </c>
      <c r="B492">
        <v>4</v>
      </c>
      <c r="C492">
        <v>1439</v>
      </c>
      <c r="D492">
        <v>0</v>
      </c>
      <c r="E492">
        <v>26</v>
      </c>
      <c r="F492" t="s">
        <v>25</v>
      </c>
      <c r="G492" t="s">
        <v>29</v>
      </c>
      <c r="H492" t="s">
        <v>24</v>
      </c>
      <c r="I492">
        <v>5</v>
      </c>
    </row>
    <row r="493" spans="1:9" x14ac:dyDescent="0.2">
      <c r="A493">
        <v>2329184</v>
      </c>
      <c r="B493">
        <v>5</v>
      </c>
      <c r="C493">
        <v>1924</v>
      </c>
      <c r="D493">
        <v>0</v>
      </c>
      <c r="E493">
        <v>26</v>
      </c>
      <c r="F493" t="s">
        <v>32</v>
      </c>
      <c r="G493" t="s">
        <v>30</v>
      </c>
      <c r="H493" t="s">
        <v>31</v>
      </c>
      <c r="I493">
        <v>5</v>
      </c>
    </row>
    <row r="494" spans="1:9" x14ac:dyDescent="0.2">
      <c r="A494">
        <v>2350022</v>
      </c>
      <c r="B494">
        <v>1</v>
      </c>
      <c r="C494">
        <v>3239</v>
      </c>
      <c r="D494">
        <v>50300</v>
      </c>
      <c r="E494">
        <v>25</v>
      </c>
      <c r="F494" t="s">
        <v>47</v>
      </c>
      <c r="G494" t="s">
        <v>107</v>
      </c>
      <c r="H494" t="s">
        <v>46</v>
      </c>
      <c r="I494">
        <v>10</v>
      </c>
    </row>
    <row r="495" spans="1:9" x14ac:dyDescent="0.2">
      <c r="A495">
        <v>2350022</v>
      </c>
      <c r="B495">
        <v>2</v>
      </c>
      <c r="C495">
        <v>3245</v>
      </c>
      <c r="D495">
        <v>50300</v>
      </c>
      <c r="E495">
        <v>25</v>
      </c>
      <c r="F495" t="s">
        <v>47</v>
      </c>
      <c r="G495" t="s">
        <v>157</v>
      </c>
      <c r="H495" t="s">
        <v>74</v>
      </c>
      <c r="I495">
        <v>10</v>
      </c>
    </row>
    <row r="496" spans="1:9" x14ac:dyDescent="0.2">
      <c r="A496">
        <v>2350022</v>
      </c>
      <c r="B496">
        <v>3</v>
      </c>
      <c r="C496">
        <v>3234</v>
      </c>
      <c r="D496">
        <v>51370</v>
      </c>
      <c r="E496">
        <v>25</v>
      </c>
      <c r="F496" t="s">
        <v>47</v>
      </c>
      <c r="G496" t="s">
        <v>76</v>
      </c>
      <c r="H496" t="s">
        <v>46</v>
      </c>
      <c r="I496">
        <v>10</v>
      </c>
    </row>
    <row r="497" spans="1:9" x14ac:dyDescent="0.2">
      <c r="A497">
        <v>2350022</v>
      </c>
      <c r="B497">
        <v>4</v>
      </c>
      <c r="C497">
        <v>3200</v>
      </c>
      <c r="D497">
        <v>50280</v>
      </c>
      <c r="E497">
        <v>25</v>
      </c>
      <c r="F497" t="s">
        <v>47</v>
      </c>
      <c r="G497" t="s">
        <v>18</v>
      </c>
      <c r="H497" t="s">
        <v>46</v>
      </c>
      <c r="I497">
        <v>10</v>
      </c>
    </row>
    <row r="498" spans="1:9" x14ac:dyDescent="0.2">
      <c r="A498">
        <v>2350022</v>
      </c>
      <c r="B498">
        <v>5</v>
      </c>
      <c r="C498">
        <v>3296</v>
      </c>
      <c r="D498">
        <v>50280</v>
      </c>
      <c r="E498">
        <v>24</v>
      </c>
      <c r="F498" t="s">
        <v>47</v>
      </c>
      <c r="G498" t="s">
        <v>100</v>
      </c>
      <c r="H498" t="s">
        <v>46</v>
      </c>
      <c r="I498">
        <v>10</v>
      </c>
    </row>
    <row r="499" spans="1:9" x14ac:dyDescent="0.2">
      <c r="A499">
        <v>2350022</v>
      </c>
      <c r="B499">
        <v>6</v>
      </c>
      <c r="C499">
        <v>3252</v>
      </c>
      <c r="D499">
        <v>0</v>
      </c>
      <c r="E499">
        <v>26</v>
      </c>
      <c r="F499" t="s">
        <v>47</v>
      </c>
      <c r="G499" t="s">
        <v>45</v>
      </c>
      <c r="H499" t="s">
        <v>46</v>
      </c>
      <c r="I499">
        <v>10</v>
      </c>
    </row>
    <row r="500" spans="1:9" x14ac:dyDescent="0.2">
      <c r="A500">
        <v>2350022</v>
      </c>
      <c r="B500">
        <v>7</v>
      </c>
      <c r="C500">
        <v>3218</v>
      </c>
      <c r="D500">
        <v>0</v>
      </c>
      <c r="E500">
        <v>26</v>
      </c>
      <c r="F500" t="s">
        <v>47</v>
      </c>
      <c r="G500" t="s">
        <v>66</v>
      </c>
      <c r="H500" t="s">
        <v>74</v>
      </c>
      <c r="I500">
        <v>10</v>
      </c>
    </row>
    <row r="501" spans="1:9" x14ac:dyDescent="0.2">
      <c r="A501">
        <v>2365334</v>
      </c>
      <c r="B501">
        <v>1</v>
      </c>
      <c r="C501">
        <v>3237</v>
      </c>
      <c r="D501">
        <v>56775</v>
      </c>
      <c r="E501">
        <v>24</v>
      </c>
      <c r="F501" t="s">
        <v>47</v>
      </c>
      <c r="G501" t="s">
        <v>181</v>
      </c>
      <c r="H501" t="s">
        <v>46</v>
      </c>
      <c r="I501">
        <v>10</v>
      </c>
    </row>
    <row r="502" spans="1:9" x14ac:dyDescent="0.2">
      <c r="A502">
        <v>2365334</v>
      </c>
      <c r="B502">
        <v>2</v>
      </c>
      <c r="C502">
        <v>3244</v>
      </c>
      <c r="D502">
        <v>0</v>
      </c>
      <c r="E502">
        <v>26</v>
      </c>
      <c r="F502" t="s">
        <v>47</v>
      </c>
      <c r="G502" t="s">
        <v>73</v>
      </c>
      <c r="H502" t="s">
        <v>74</v>
      </c>
      <c r="I502">
        <v>10</v>
      </c>
    </row>
    <row r="503" spans="1:9" x14ac:dyDescent="0.2">
      <c r="A503">
        <v>2365334</v>
      </c>
      <c r="B503">
        <v>3</v>
      </c>
      <c r="C503">
        <v>1339</v>
      </c>
      <c r="D503">
        <v>0</v>
      </c>
      <c r="E503">
        <v>26</v>
      </c>
      <c r="F503" t="s">
        <v>21</v>
      </c>
      <c r="G503" t="s">
        <v>185</v>
      </c>
      <c r="H503" t="s">
        <v>20</v>
      </c>
      <c r="I503">
        <v>8</v>
      </c>
    </row>
    <row r="504" spans="1:9" x14ac:dyDescent="0.2">
      <c r="A504">
        <v>2365334</v>
      </c>
      <c r="B504">
        <v>4</v>
      </c>
      <c r="C504">
        <v>3223</v>
      </c>
      <c r="D504">
        <v>0</v>
      </c>
      <c r="E504">
        <v>26</v>
      </c>
      <c r="F504" t="s">
        <v>47</v>
      </c>
      <c r="G504" t="s">
        <v>105</v>
      </c>
      <c r="H504" t="s">
        <v>46</v>
      </c>
      <c r="I504">
        <v>10</v>
      </c>
    </row>
    <row r="505" spans="1:9" x14ac:dyDescent="0.2">
      <c r="A505">
        <v>2369132</v>
      </c>
      <c r="B505">
        <v>1</v>
      </c>
      <c r="C505">
        <v>3234</v>
      </c>
      <c r="D505">
        <v>54620</v>
      </c>
      <c r="E505">
        <v>25</v>
      </c>
      <c r="F505" t="s">
        <v>47</v>
      </c>
      <c r="G505" t="s">
        <v>76</v>
      </c>
      <c r="H505" t="s">
        <v>46</v>
      </c>
      <c r="I505">
        <v>10</v>
      </c>
    </row>
    <row r="506" spans="1:9" x14ac:dyDescent="0.2">
      <c r="A506">
        <v>2369132</v>
      </c>
      <c r="B506">
        <v>2</v>
      </c>
      <c r="C506">
        <v>3261</v>
      </c>
      <c r="D506">
        <v>54020</v>
      </c>
      <c r="E506">
        <v>24</v>
      </c>
      <c r="F506" t="s">
        <v>47</v>
      </c>
      <c r="G506" t="s">
        <v>93</v>
      </c>
      <c r="H506" t="s">
        <v>46</v>
      </c>
      <c r="I506">
        <v>10</v>
      </c>
    </row>
    <row r="507" spans="1:9" x14ac:dyDescent="0.2">
      <c r="A507">
        <v>2369132</v>
      </c>
      <c r="B507">
        <v>3</v>
      </c>
      <c r="C507">
        <v>3243</v>
      </c>
      <c r="D507">
        <v>0</v>
      </c>
      <c r="E507">
        <v>26</v>
      </c>
      <c r="F507" t="s">
        <v>47</v>
      </c>
      <c r="G507" t="s">
        <v>75</v>
      </c>
      <c r="H507" t="s">
        <v>46</v>
      </c>
      <c r="I507">
        <v>10</v>
      </c>
    </row>
    <row r="508" spans="1:9" x14ac:dyDescent="0.2">
      <c r="A508">
        <v>2369132</v>
      </c>
      <c r="B508">
        <v>4</v>
      </c>
      <c r="C508">
        <v>3252</v>
      </c>
      <c r="D508">
        <v>0</v>
      </c>
      <c r="E508">
        <v>26</v>
      </c>
      <c r="F508" t="s">
        <v>47</v>
      </c>
      <c r="G508" t="s">
        <v>45</v>
      </c>
      <c r="H508" t="s">
        <v>46</v>
      </c>
      <c r="I508">
        <v>10</v>
      </c>
    </row>
    <row r="509" spans="1:9" x14ac:dyDescent="0.2">
      <c r="A509">
        <v>2369132</v>
      </c>
      <c r="B509">
        <v>5</v>
      </c>
      <c r="C509">
        <v>3239</v>
      </c>
      <c r="D509">
        <v>0</v>
      </c>
      <c r="E509">
        <v>26</v>
      </c>
      <c r="F509" t="s">
        <v>47</v>
      </c>
      <c r="G509" t="s">
        <v>107</v>
      </c>
      <c r="H509" t="s">
        <v>46</v>
      </c>
      <c r="I509">
        <v>10</v>
      </c>
    </row>
    <row r="510" spans="1:9" x14ac:dyDescent="0.2">
      <c r="A510">
        <v>2369132</v>
      </c>
      <c r="B510">
        <v>6</v>
      </c>
      <c r="C510">
        <v>3248</v>
      </c>
      <c r="D510">
        <v>0</v>
      </c>
      <c r="E510">
        <v>26</v>
      </c>
      <c r="F510" t="s">
        <v>47</v>
      </c>
      <c r="G510" t="s">
        <v>92</v>
      </c>
      <c r="H510" t="s">
        <v>46</v>
      </c>
      <c r="I510">
        <v>10</v>
      </c>
    </row>
    <row r="511" spans="1:9" x14ac:dyDescent="0.2">
      <c r="A511">
        <v>2395429</v>
      </c>
      <c r="B511">
        <v>1</v>
      </c>
      <c r="C511">
        <v>3239</v>
      </c>
      <c r="D511">
        <v>52385</v>
      </c>
      <c r="E511">
        <v>24</v>
      </c>
      <c r="F511" t="s">
        <v>47</v>
      </c>
      <c r="G511" t="s">
        <v>107</v>
      </c>
      <c r="H511" t="s">
        <v>46</v>
      </c>
      <c r="I511">
        <v>10</v>
      </c>
    </row>
    <row r="512" spans="1:9" x14ac:dyDescent="0.2">
      <c r="A512">
        <v>2395429</v>
      </c>
      <c r="B512">
        <v>2</v>
      </c>
      <c r="C512">
        <v>3234</v>
      </c>
      <c r="D512">
        <v>0</v>
      </c>
      <c r="E512">
        <v>26</v>
      </c>
      <c r="F512" t="s">
        <v>47</v>
      </c>
      <c r="G512" t="s">
        <v>76</v>
      </c>
      <c r="H512" t="s">
        <v>46</v>
      </c>
      <c r="I512">
        <v>10</v>
      </c>
    </row>
    <row r="513" spans="1:9" x14ac:dyDescent="0.2">
      <c r="A513">
        <v>2395429</v>
      </c>
      <c r="B513">
        <v>3</v>
      </c>
      <c r="C513">
        <v>1774</v>
      </c>
      <c r="D513">
        <v>0</v>
      </c>
      <c r="E513">
        <v>26</v>
      </c>
      <c r="F513" t="s">
        <v>57</v>
      </c>
      <c r="G513" t="s">
        <v>296</v>
      </c>
      <c r="H513" t="s">
        <v>69</v>
      </c>
      <c r="I513">
        <v>10</v>
      </c>
    </row>
    <row r="514" spans="1:9" x14ac:dyDescent="0.2">
      <c r="A514">
        <v>2395429</v>
      </c>
      <c r="B514">
        <v>4</v>
      </c>
      <c r="C514">
        <v>1782</v>
      </c>
      <c r="D514">
        <v>0</v>
      </c>
      <c r="E514">
        <v>26</v>
      </c>
      <c r="F514" t="s">
        <v>57</v>
      </c>
      <c r="G514" t="s">
        <v>63</v>
      </c>
      <c r="H514" t="s">
        <v>69</v>
      </c>
      <c r="I514">
        <v>10</v>
      </c>
    </row>
    <row r="515" spans="1:9" x14ac:dyDescent="0.2">
      <c r="A515">
        <v>2395429</v>
      </c>
      <c r="B515">
        <v>5</v>
      </c>
      <c r="C515">
        <v>3243</v>
      </c>
      <c r="D515">
        <v>0</v>
      </c>
      <c r="E515">
        <v>26</v>
      </c>
      <c r="F515" t="s">
        <v>47</v>
      </c>
      <c r="G515" t="s">
        <v>75</v>
      </c>
      <c r="H515" t="s">
        <v>46</v>
      </c>
      <c r="I515">
        <v>10</v>
      </c>
    </row>
    <row r="516" spans="1:9" x14ac:dyDescent="0.2">
      <c r="A516">
        <v>2395429</v>
      </c>
      <c r="B516">
        <v>6</v>
      </c>
      <c r="C516">
        <v>3237</v>
      </c>
      <c r="D516">
        <v>0</v>
      </c>
      <c r="E516">
        <v>26</v>
      </c>
      <c r="F516" t="s">
        <v>47</v>
      </c>
      <c r="G516" t="s">
        <v>181</v>
      </c>
      <c r="H516" t="s">
        <v>46</v>
      </c>
      <c r="I516">
        <v>10</v>
      </c>
    </row>
    <row r="517" spans="1:9" x14ac:dyDescent="0.2">
      <c r="A517">
        <v>2395429</v>
      </c>
      <c r="B517">
        <v>7</v>
      </c>
      <c r="C517">
        <v>3212</v>
      </c>
      <c r="D517">
        <v>0</v>
      </c>
      <c r="E517">
        <v>26</v>
      </c>
      <c r="F517" t="s">
        <v>47</v>
      </c>
      <c r="G517" t="s">
        <v>84</v>
      </c>
      <c r="H517" t="s">
        <v>46</v>
      </c>
      <c r="I517">
        <v>10</v>
      </c>
    </row>
    <row r="518" spans="1:9" x14ac:dyDescent="0.2">
      <c r="A518">
        <v>2404829</v>
      </c>
      <c r="B518">
        <v>1</v>
      </c>
      <c r="C518">
        <v>3212</v>
      </c>
      <c r="D518">
        <v>47695</v>
      </c>
      <c r="E518">
        <v>25</v>
      </c>
      <c r="F518" t="s">
        <v>47</v>
      </c>
      <c r="G518" t="s">
        <v>84</v>
      </c>
      <c r="H518" t="s">
        <v>46</v>
      </c>
      <c r="I518">
        <v>10</v>
      </c>
    </row>
    <row r="519" spans="1:9" x14ac:dyDescent="0.2">
      <c r="A519">
        <v>2404829</v>
      </c>
      <c r="B519">
        <v>2</v>
      </c>
      <c r="C519">
        <v>3251</v>
      </c>
      <c r="D519">
        <v>46695</v>
      </c>
      <c r="E519">
        <v>25</v>
      </c>
      <c r="F519" t="s">
        <v>47</v>
      </c>
      <c r="G519" t="s">
        <v>48</v>
      </c>
      <c r="H519" t="s">
        <v>46</v>
      </c>
      <c r="I519">
        <v>10</v>
      </c>
    </row>
    <row r="520" spans="1:9" x14ac:dyDescent="0.2">
      <c r="A520">
        <v>2404829</v>
      </c>
      <c r="B520">
        <v>3</v>
      </c>
      <c r="C520">
        <v>3261</v>
      </c>
      <c r="D520">
        <v>47120</v>
      </c>
      <c r="E520">
        <v>25</v>
      </c>
      <c r="F520" t="s">
        <v>47</v>
      </c>
      <c r="G520" t="s">
        <v>93</v>
      </c>
      <c r="H520" t="s">
        <v>46</v>
      </c>
      <c r="I520">
        <v>10</v>
      </c>
    </row>
    <row r="521" spans="1:9" x14ac:dyDescent="0.2">
      <c r="A521">
        <v>2404829</v>
      </c>
      <c r="B521">
        <v>4</v>
      </c>
      <c r="C521">
        <v>3243</v>
      </c>
      <c r="D521">
        <v>46625</v>
      </c>
      <c r="E521">
        <v>25</v>
      </c>
      <c r="F521" t="s">
        <v>47</v>
      </c>
      <c r="G521" t="s">
        <v>75</v>
      </c>
      <c r="H521" t="s">
        <v>46</v>
      </c>
      <c r="I521">
        <v>10</v>
      </c>
    </row>
    <row r="522" spans="1:9" x14ac:dyDescent="0.2">
      <c r="A522">
        <v>2404829</v>
      </c>
      <c r="B522">
        <v>5</v>
      </c>
      <c r="C522">
        <v>3252</v>
      </c>
      <c r="D522">
        <v>47025</v>
      </c>
      <c r="E522">
        <v>25</v>
      </c>
      <c r="F522" t="s">
        <v>47</v>
      </c>
      <c r="G522" t="s">
        <v>45</v>
      </c>
      <c r="H522" t="s">
        <v>46</v>
      </c>
      <c r="I522">
        <v>10</v>
      </c>
    </row>
    <row r="523" spans="1:9" x14ac:dyDescent="0.2">
      <c r="A523">
        <v>2404829</v>
      </c>
      <c r="B523">
        <v>6</v>
      </c>
      <c r="C523">
        <v>3248</v>
      </c>
      <c r="D523">
        <v>47100</v>
      </c>
      <c r="E523">
        <v>25</v>
      </c>
      <c r="F523" t="s">
        <v>47</v>
      </c>
      <c r="G523" t="s">
        <v>92</v>
      </c>
      <c r="H523" t="s">
        <v>46</v>
      </c>
      <c r="I523">
        <v>10</v>
      </c>
    </row>
    <row r="524" spans="1:9" x14ac:dyDescent="0.2">
      <c r="A524">
        <v>2404829</v>
      </c>
      <c r="B524">
        <v>7</v>
      </c>
      <c r="C524">
        <v>3239</v>
      </c>
      <c r="D524">
        <v>46795</v>
      </c>
      <c r="E524">
        <v>25</v>
      </c>
      <c r="F524" t="s">
        <v>47</v>
      </c>
      <c r="G524" t="s">
        <v>107</v>
      </c>
      <c r="H524" t="s">
        <v>46</v>
      </c>
      <c r="I524">
        <v>10</v>
      </c>
    </row>
    <row r="525" spans="1:9" x14ac:dyDescent="0.2">
      <c r="A525">
        <v>2404829</v>
      </c>
      <c r="B525">
        <v>8</v>
      </c>
      <c r="C525">
        <v>3234</v>
      </c>
      <c r="D525">
        <v>47295</v>
      </c>
      <c r="E525">
        <v>25</v>
      </c>
      <c r="F525" t="s">
        <v>47</v>
      </c>
      <c r="G525" t="s">
        <v>76</v>
      </c>
      <c r="H525" t="s">
        <v>46</v>
      </c>
      <c r="I525">
        <v>10</v>
      </c>
    </row>
    <row r="526" spans="1:9" x14ac:dyDescent="0.2">
      <c r="A526">
        <v>2432425</v>
      </c>
      <c r="B526">
        <v>1</v>
      </c>
      <c r="C526">
        <v>1776</v>
      </c>
      <c r="D526">
        <v>52850</v>
      </c>
      <c r="E526">
        <v>25</v>
      </c>
      <c r="F526" t="s">
        <v>57</v>
      </c>
      <c r="G526" t="s">
        <v>124</v>
      </c>
      <c r="H526" t="s">
        <v>125</v>
      </c>
      <c r="I526">
        <v>10</v>
      </c>
    </row>
    <row r="527" spans="1:9" x14ac:dyDescent="0.2">
      <c r="A527">
        <v>2432425</v>
      </c>
      <c r="B527">
        <v>2</v>
      </c>
      <c r="C527">
        <v>1711</v>
      </c>
      <c r="D527">
        <v>53465</v>
      </c>
      <c r="E527">
        <v>25</v>
      </c>
      <c r="F527" t="s">
        <v>57</v>
      </c>
      <c r="G527" t="s">
        <v>201</v>
      </c>
      <c r="H527" t="s">
        <v>69</v>
      </c>
      <c r="I527">
        <v>10</v>
      </c>
    </row>
    <row r="528" spans="1:9" x14ac:dyDescent="0.2">
      <c r="A528">
        <v>2432425</v>
      </c>
      <c r="B528">
        <v>3</v>
      </c>
      <c r="C528">
        <v>1786</v>
      </c>
      <c r="D528">
        <v>53075</v>
      </c>
      <c r="E528">
        <v>25</v>
      </c>
      <c r="F528" t="s">
        <v>57</v>
      </c>
      <c r="G528" t="s">
        <v>103</v>
      </c>
      <c r="H528" t="s">
        <v>56</v>
      </c>
      <c r="I528">
        <v>10</v>
      </c>
    </row>
    <row r="529" spans="1:9" x14ac:dyDescent="0.2">
      <c r="A529">
        <v>2432425</v>
      </c>
      <c r="B529">
        <v>4</v>
      </c>
      <c r="C529">
        <v>1787</v>
      </c>
      <c r="D529">
        <v>53075</v>
      </c>
      <c r="E529">
        <v>25</v>
      </c>
      <c r="F529" t="s">
        <v>57</v>
      </c>
      <c r="G529" t="s">
        <v>49</v>
      </c>
      <c r="H529" t="s">
        <v>56</v>
      </c>
      <c r="I529">
        <v>10</v>
      </c>
    </row>
    <row r="530" spans="1:9" x14ac:dyDescent="0.2">
      <c r="A530">
        <v>2432425</v>
      </c>
      <c r="B530">
        <v>5</v>
      </c>
      <c r="C530">
        <v>1728</v>
      </c>
      <c r="D530">
        <v>53025</v>
      </c>
      <c r="E530">
        <v>25</v>
      </c>
      <c r="F530" t="s">
        <v>57</v>
      </c>
      <c r="G530" t="s">
        <v>103</v>
      </c>
      <c r="H530" t="s">
        <v>69</v>
      </c>
      <c r="I530">
        <v>10</v>
      </c>
    </row>
    <row r="531" spans="1:9" x14ac:dyDescent="0.2">
      <c r="A531">
        <v>2498249</v>
      </c>
      <c r="B531">
        <v>1</v>
      </c>
      <c r="C531">
        <v>3234</v>
      </c>
      <c r="D531">
        <v>57145</v>
      </c>
      <c r="E531">
        <v>24</v>
      </c>
      <c r="F531" t="s">
        <v>47</v>
      </c>
      <c r="G531" t="s">
        <v>76</v>
      </c>
      <c r="H531" t="s">
        <v>46</v>
      </c>
      <c r="I531">
        <v>10</v>
      </c>
    </row>
    <row r="532" spans="1:9" x14ac:dyDescent="0.2">
      <c r="A532">
        <v>2498249</v>
      </c>
      <c r="B532">
        <v>2</v>
      </c>
      <c r="C532">
        <v>1777</v>
      </c>
      <c r="D532">
        <v>0</v>
      </c>
      <c r="E532">
        <v>26</v>
      </c>
      <c r="F532" t="s">
        <v>57</v>
      </c>
      <c r="G532" t="s">
        <v>88</v>
      </c>
      <c r="H532" t="s">
        <v>69</v>
      </c>
      <c r="I532">
        <v>10</v>
      </c>
    </row>
    <row r="533" spans="1:9" x14ac:dyDescent="0.2">
      <c r="A533">
        <v>2498249</v>
      </c>
      <c r="B533">
        <v>3</v>
      </c>
      <c r="C533">
        <v>1436</v>
      </c>
      <c r="D533">
        <v>0</v>
      </c>
      <c r="E533">
        <v>26</v>
      </c>
      <c r="F533" t="s">
        <v>25</v>
      </c>
      <c r="G533" t="s">
        <v>178</v>
      </c>
      <c r="H533" t="s">
        <v>24</v>
      </c>
      <c r="I533">
        <v>5</v>
      </c>
    </row>
    <row r="534" spans="1:9" x14ac:dyDescent="0.2">
      <c r="A534">
        <v>2498249</v>
      </c>
      <c r="B534">
        <v>4</v>
      </c>
      <c r="C534">
        <v>1235</v>
      </c>
      <c r="D534">
        <v>0</v>
      </c>
      <c r="E534">
        <v>26</v>
      </c>
      <c r="F534" t="s">
        <v>19</v>
      </c>
      <c r="G534" t="s">
        <v>179</v>
      </c>
      <c r="H534" t="s">
        <v>16</v>
      </c>
      <c r="I534" t="s">
        <v>448</v>
      </c>
    </row>
    <row r="535" spans="1:9" x14ac:dyDescent="0.2">
      <c r="A535">
        <v>2498249</v>
      </c>
      <c r="B535">
        <v>5</v>
      </c>
      <c r="C535">
        <v>3218</v>
      </c>
      <c r="D535">
        <v>0</v>
      </c>
      <c r="E535">
        <v>26</v>
      </c>
      <c r="F535" t="s">
        <v>47</v>
      </c>
      <c r="G535" t="s">
        <v>66</v>
      </c>
      <c r="H535" t="s">
        <v>74</v>
      </c>
      <c r="I535">
        <v>10</v>
      </c>
    </row>
    <row r="536" spans="1:9" x14ac:dyDescent="0.2">
      <c r="A536">
        <v>2498249</v>
      </c>
      <c r="B536">
        <v>6</v>
      </c>
      <c r="C536">
        <v>1481</v>
      </c>
      <c r="D536">
        <v>0</v>
      </c>
      <c r="E536">
        <v>26</v>
      </c>
      <c r="F536" t="s">
        <v>25</v>
      </c>
      <c r="G536" t="s">
        <v>121</v>
      </c>
      <c r="H536" t="s">
        <v>24</v>
      </c>
      <c r="I536">
        <v>5</v>
      </c>
    </row>
    <row r="537" spans="1:9" x14ac:dyDescent="0.2">
      <c r="A537">
        <v>2498249</v>
      </c>
      <c r="B537">
        <v>7</v>
      </c>
      <c r="C537">
        <v>3242</v>
      </c>
      <c r="D537">
        <v>0</v>
      </c>
      <c r="E537">
        <v>26</v>
      </c>
      <c r="F537" t="s">
        <v>47</v>
      </c>
      <c r="G537" t="s">
        <v>90</v>
      </c>
      <c r="H537" t="s">
        <v>46</v>
      </c>
      <c r="I537">
        <v>10</v>
      </c>
    </row>
    <row r="538" spans="1:9" x14ac:dyDescent="0.2">
      <c r="A538">
        <v>2498249</v>
      </c>
      <c r="B538">
        <v>8</v>
      </c>
      <c r="C538">
        <v>3212</v>
      </c>
      <c r="D538">
        <v>0</v>
      </c>
      <c r="E538">
        <v>26</v>
      </c>
      <c r="F538" t="s">
        <v>47</v>
      </c>
      <c r="G538" t="s">
        <v>84</v>
      </c>
      <c r="H538" t="s">
        <v>46</v>
      </c>
      <c r="I538">
        <v>10</v>
      </c>
    </row>
    <row r="539" spans="1:9" x14ac:dyDescent="0.2">
      <c r="A539">
        <v>2526544</v>
      </c>
      <c r="B539">
        <v>1</v>
      </c>
      <c r="C539">
        <v>1787</v>
      </c>
      <c r="D539">
        <v>59150</v>
      </c>
      <c r="E539">
        <v>24</v>
      </c>
      <c r="F539" t="s">
        <v>57</v>
      </c>
      <c r="G539" t="s">
        <v>49</v>
      </c>
      <c r="H539" t="s">
        <v>56</v>
      </c>
      <c r="I539">
        <v>10</v>
      </c>
    </row>
    <row r="540" spans="1:9" x14ac:dyDescent="0.2">
      <c r="A540">
        <v>2526544</v>
      </c>
      <c r="B540">
        <v>2</v>
      </c>
      <c r="C540">
        <v>1732</v>
      </c>
      <c r="D540">
        <v>0</v>
      </c>
      <c r="E540">
        <v>26</v>
      </c>
      <c r="F540" t="s">
        <v>57</v>
      </c>
      <c r="G540" t="s">
        <v>104</v>
      </c>
      <c r="H540" t="s">
        <v>69</v>
      </c>
      <c r="I540">
        <v>10</v>
      </c>
    </row>
    <row r="541" spans="1:9" x14ac:dyDescent="0.2">
      <c r="A541">
        <v>2526544</v>
      </c>
      <c r="B541">
        <v>3</v>
      </c>
      <c r="C541">
        <v>1705</v>
      </c>
      <c r="D541">
        <v>0</v>
      </c>
      <c r="E541">
        <v>26</v>
      </c>
      <c r="F541" t="s">
        <v>57</v>
      </c>
      <c r="G541" t="s">
        <v>102</v>
      </c>
      <c r="H541" t="s">
        <v>69</v>
      </c>
      <c r="I541">
        <v>10</v>
      </c>
    </row>
    <row r="542" spans="1:9" x14ac:dyDescent="0.2">
      <c r="A542">
        <v>2538233</v>
      </c>
      <c r="B542">
        <v>1</v>
      </c>
      <c r="C542">
        <v>1714</v>
      </c>
      <c r="D542">
        <v>54470</v>
      </c>
      <c r="E542">
        <v>25</v>
      </c>
      <c r="F542" t="s">
        <v>57</v>
      </c>
      <c r="G542" t="s">
        <v>95</v>
      </c>
      <c r="H542" t="s">
        <v>69</v>
      </c>
      <c r="I542">
        <v>10</v>
      </c>
    </row>
    <row r="543" spans="1:9" x14ac:dyDescent="0.2">
      <c r="A543">
        <v>2538233</v>
      </c>
      <c r="B543">
        <v>2</v>
      </c>
      <c r="C543">
        <v>1702</v>
      </c>
      <c r="D543">
        <v>55750</v>
      </c>
      <c r="E543">
        <v>25</v>
      </c>
      <c r="F543" t="s">
        <v>57</v>
      </c>
      <c r="G543" t="s">
        <v>164</v>
      </c>
      <c r="H543" t="s">
        <v>69</v>
      </c>
      <c r="I543">
        <v>10</v>
      </c>
    </row>
    <row r="544" spans="1:9" x14ac:dyDescent="0.2">
      <c r="A544">
        <v>2538233</v>
      </c>
      <c r="B544">
        <v>3</v>
      </c>
      <c r="C544">
        <v>1710</v>
      </c>
      <c r="D544">
        <v>54975</v>
      </c>
      <c r="E544">
        <v>24</v>
      </c>
      <c r="F544" t="s">
        <v>57</v>
      </c>
      <c r="G544" t="s">
        <v>169</v>
      </c>
      <c r="H544" t="s">
        <v>69</v>
      </c>
      <c r="I544">
        <v>10</v>
      </c>
    </row>
    <row r="545" spans="1:9" x14ac:dyDescent="0.2">
      <c r="A545">
        <v>2538233</v>
      </c>
      <c r="B545">
        <v>4</v>
      </c>
      <c r="C545">
        <v>3026</v>
      </c>
      <c r="D545">
        <v>0</v>
      </c>
      <c r="E545">
        <v>26</v>
      </c>
      <c r="F545" t="s">
        <v>44</v>
      </c>
      <c r="G545" t="s">
        <v>170</v>
      </c>
      <c r="H545" t="s">
        <v>50</v>
      </c>
      <c r="I545">
        <v>9</v>
      </c>
    </row>
    <row r="546" spans="1:9" x14ac:dyDescent="0.2">
      <c r="A546">
        <v>2542544</v>
      </c>
      <c r="B546">
        <v>1</v>
      </c>
      <c r="C546">
        <v>1440</v>
      </c>
      <c r="D546">
        <v>64100</v>
      </c>
      <c r="E546">
        <v>25</v>
      </c>
      <c r="F546" t="s">
        <v>25</v>
      </c>
      <c r="G546" t="s">
        <v>22</v>
      </c>
      <c r="H546" t="s">
        <v>24</v>
      </c>
      <c r="I546">
        <v>5</v>
      </c>
    </row>
    <row r="547" spans="1:9" x14ac:dyDescent="0.2">
      <c r="A547">
        <v>2542544</v>
      </c>
      <c r="B547">
        <v>2</v>
      </c>
      <c r="C547">
        <v>3064</v>
      </c>
      <c r="D547">
        <v>64155</v>
      </c>
      <c r="E547">
        <v>24</v>
      </c>
      <c r="F547" t="s">
        <v>44</v>
      </c>
      <c r="G547" t="s">
        <v>97</v>
      </c>
      <c r="H547" t="s">
        <v>52</v>
      </c>
      <c r="I547">
        <v>9</v>
      </c>
    </row>
    <row r="548" spans="1:9" x14ac:dyDescent="0.2">
      <c r="A548">
        <v>2542544</v>
      </c>
      <c r="B548">
        <v>3</v>
      </c>
      <c r="C548">
        <v>3441</v>
      </c>
      <c r="D548">
        <v>0</v>
      </c>
      <c r="E548">
        <v>26</v>
      </c>
      <c r="F548" t="s">
        <v>36</v>
      </c>
      <c r="G548" t="s">
        <v>97</v>
      </c>
      <c r="H548" t="s">
        <v>35</v>
      </c>
      <c r="I548">
        <v>7</v>
      </c>
    </row>
    <row r="549" spans="1:9" x14ac:dyDescent="0.2">
      <c r="A549">
        <v>2542544</v>
      </c>
      <c r="B549">
        <v>4</v>
      </c>
      <c r="C549">
        <v>2967</v>
      </c>
      <c r="D549">
        <v>0</v>
      </c>
      <c r="E549">
        <v>26</v>
      </c>
      <c r="F549" t="s">
        <v>119</v>
      </c>
      <c r="G549" t="s">
        <v>97</v>
      </c>
      <c r="H549" t="s">
        <v>136</v>
      </c>
      <c r="I549">
        <v>8</v>
      </c>
    </row>
    <row r="550" spans="1:9" x14ac:dyDescent="0.2">
      <c r="A550">
        <v>2598038</v>
      </c>
      <c r="B550">
        <v>1</v>
      </c>
      <c r="C550">
        <v>1381</v>
      </c>
      <c r="D550">
        <v>64425</v>
      </c>
      <c r="E550">
        <v>25</v>
      </c>
      <c r="F550" t="s">
        <v>21</v>
      </c>
      <c r="G550" t="s">
        <v>103</v>
      </c>
      <c r="H550" t="s">
        <v>20</v>
      </c>
      <c r="I550">
        <v>8</v>
      </c>
    </row>
    <row r="551" spans="1:9" x14ac:dyDescent="0.2">
      <c r="A551">
        <v>2598038</v>
      </c>
      <c r="B551">
        <v>2</v>
      </c>
      <c r="C551">
        <v>1949</v>
      </c>
      <c r="D551">
        <v>64460</v>
      </c>
      <c r="E551">
        <v>24</v>
      </c>
      <c r="F551" t="s">
        <v>32</v>
      </c>
      <c r="G551" t="s">
        <v>103</v>
      </c>
      <c r="H551" t="s">
        <v>31</v>
      </c>
      <c r="I551">
        <v>5</v>
      </c>
    </row>
    <row r="552" spans="1:9" x14ac:dyDescent="0.2">
      <c r="A552">
        <v>2598038</v>
      </c>
      <c r="B552">
        <v>3</v>
      </c>
      <c r="C552">
        <v>3023</v>
      </c>
      <c r="D552">
        <v>0</v>
      </c>
      <c r="E552">
        <v>26</v>
      </c>
      <c r="F552" t="s">
        <v>44</v>
      </c>
      <c r="G552" t="s">
        <v>124</v>
      </c>
      <c r="H552" t="s">
        <v>50</v>
      </c>
      <c r="I552">
        <v>9</v>
      </c>
    </row>
    <row r="553" spans="1:9" x14ac:dyDescent="0.2">
      <c r="A553">
        <v>2598038</v>
      </c>
      <c r="B553">
        <v>4</v>
      </c>
      <c r="C553">
        <v>1943</v>
      </c>
      <c r="D553">
        <v>0</v>
      </c>
      <c r="E553">
        <v>26</v>
      </c>
      <c r="F553" t="s">
        <v>32</v>
      </c>
      <c r="G553" t="s">
        <v>233</v>
      </c>
      <c r="H553" t="s">
        <v>31</v>
      </c>
      <c r="I553">
        <v>5</v>
      </c>
    </row>
    <row r="554" spans="1:9" x14ac:dyDescent="0.2">
      <c r="A554">
        <v>2598038</v>
      </c>
      <c r="B554">
        <v>5</v>
      </c>
      <c r="C554">
        <v>1348</v>
      </c>
      <c r="D554">
        <v>0</v>
      </c>
      <c r="E554">
        <v>26</v>
      </c>
      <c r="F554" t="s">
        <v>21</v>
      </c>
      <c r="G554" t="s">
        <v>164</v>
      </c>
      <c r="H554" t="s">
        <v>20</v>
      </c>
      <c r="I554">
        <v>8</v>
      </c>
    </row>
    <row r="555" spans="1:9" x14ac:dyDescent="0.2">
      <c r="A555">
        <v>2598038</v>
      </c>
      <c r="B555">
        <v>6</v>
      </c>
      <c r="C555">
        <v>1946</v>
      </c>
      <c r="D555">
        <v>0</v>
      </c>
      <c r="E555">
        <v>26</v>
      </c>
      <c r="F555" t="s">
        <v>32</v>
      </c>
      <c r="G555" t="s">
        <v>49</v>
      </c>
      <c r="H555" t="s">
        <v>31</v>
      </c>
      <c r="I555">
        <v>5</v>
      </c>
    </row>
    <row r="556" spans="1:9" x14ac:dyDescent="0.2">
      <c r="A556">
        <v>2598038</v>
      </c>
      <c r="B556">
        <v>7</v>
      </c>
      <c r="C556">
        <v>1362</v>
      </c>
      <c r="D556">
        <v>0</v>
      </c>
      <c r="E556">
        <v>26</v>
      </c>
      <c r="F556" t="s">
        <v>21</v>
      </c>
      <c r="G556" t="s">
        <v>268</v>
      </c>
      <c r="H556" t="s">
        <v>20</v>
      </c>
      <c r="I556">
        <v>8</v>
      </c>
    </row>
    <row r="557" spans="1:9" x14ac:dyDescent="0.2">
      <c r="A557">
        <v>2598038</v>
      </c>
      <c r="B557">
        <v>8</v>
      </c>
      <c r="C557">
        <v>1412</v>
      </c>
      <c r="D557">
        <v>0</v>
      </c>
      <c r="E557">
        <v>16</v>
      </c>
      <c r="F557" t="s">
        <v>25</v>
      </c>
      <c r="G557" t="s">
        <v>269</v>
      </c>
      <c r="H557" t="s">
        <v>24</v>
      </c>
      <c r="I557">
        <v>5</v>
      </c>
    </row>
    <row r="558" spans="1:9" x14ac:dyDescent="0.2">
      <c r="A558">
        <v>2698690</v>
      </c>
      <c r="B558">
        <v>1</v>
      </c>
      <c r="C558">
        <v>3214</v>
      </c>
      <c r="D558">
        <v>0</v>
      </c>
      <c r="E558">
        <v>36</v>
      </c>
      <c r="F558" t="s">
        <v>47</v>
      </c>
      <c r="G558" t="s">
        <v>98</v>
      </c>
      <c r="H558" t="s">
        <v>74</v>
      </c>
      <c r="I558">
        <v>10</v>
      </c>
    </row>
    <row r="559" spans="1:9" x14ac:dyDescent="0.2">
      <c r="A559">
        <v>2726693</v>
      </c>
      <c r="B559">
        <v>1</v>
      </c>
      <c r="C559">
        <v>1437</v>
      </c>
      <c r="D559">
        <v>62360</v>
      </c>
      <c r="E559">
        <v>24</v>
      </c>
      <c r="F559" t="s">
        <v>25</v>
      </c>
      <c r="G559" t="s">
        <v>285</v>
      </c>
      <c r="H559" t="s">
        <v>24</v>
      </c>
      <c r="I559">
        <v>5</v>
      </c>
    </row>
    <row r="560" spans="1:9" x14ac:dyDescent="0.2">
      <c r="A560">
        <v>2726693</v>
      </c>
      <c r="B560">
        <v>2</v>
      </c>
      <c r="C560">
        <v>1439</v>
      </c>
      <c r="D560">
        <v>0</v>
      </c>
      <c r="E560">
        <v>26</v>
      </c>
      <c r="F560" t="s">
        <v>25</v>
      </c>
      <c r="G560" t="s">
        <v>29</v>
      </c>
      <c r="H560" t="s">
        <v>24</v>
      </c>
      <c r="I560">
        <v>5</v>
      </c>
    </row>
    <row r="561" spans="1:9" x14ac:dyDescent="0.2">
      <c r="A561">
        <v>2726693</v>
      </c>
      <c r="B561">
        <v>3</v>
      </c>
      <c r="C561">
        <v>1436</v>
      </c>
      <c r="D561">
        <v>0</v>
      </c>
      <c r="E561">
        <v>26</v>
      </c>
      <c r="F561" t="s">
        <v>25</v>
      </c>
      <c r="G561" t="s">
        <v>178</v>
      </c>
      <c r="H561" t="s">
        <v>24</v>
      </c>
      <c r="I561">
        <v>5</v>
      </c>
    </row>
    <row r="562" spans="1:9" x14ac:dyDescent="0.2">
      <c r="A562">
        <v>2726693</v>
      </c>
      <c r="B562">
        <v>4</v>
      </c>
      <c r="C562">
        <v>3242</v>
      </c>
      <c r="D562">
        <v>0</v>
      </c>
      <c r="E562">
        <v>26</v>
      </c>
      <c r="F562" t="s">
        <v>47</v>
      </c>
      <c r="G562" t="s">
        <v>90</v>
      </c>
      <c r="H562" t="s">
        <v>46</v>
      </c>
      <c r="I562">
        <v>10</v>
      </c>
    </row>
    <row r="563" spans="1:9" x14ac:dyDescent="0.2">
      <c r="A563">
        <v>2726693</v>
      </c>
      <c r="B563">
        <v>5</v>
      </c>
      <c r="C563">
        <v>3234</v>
      </c>
      <c r="D563">
        <v>0</v>
      </c>
      <c r="E563">
        <v>26</v>
      </c>
      <c r="F563" t="s">
        <v>47</v>
      </c>
      <c r="G563" t="s">
        <v>76</v>
      </c>
      <c r="H563" t="s">
        <v>46</v>
      </c>
      <c r="I563">
        <v>10</v>
      </c>
    </row>
    <row r="564" spans="1:9" x14ac:dyDescent="0.2">
      <c r="A564">
        <v>2726693</v>
      </c>
      <c r="B564">
        <v>6</v>
      </c>
      <c r="C564">
        <v>1357</v>
      </c>
      <c r="D564">
        <v>0</v>
      </c>
      <c r="E564">
        <v>26</v>
      </c>
      <c r="F564" t="s">
        <v>21</v>
      </c>
      <c r="G564" t="s">
        <v>380</v>
      </c>
      <c r="H564" t="s">
        <v>20</v>
      </c>
      <c r="I564">
        <v>8</v>
      </c>
    </row>
    <row r="565" spans="1:9" x14ac:dyDescent="0.2">
      <c r="A565">
        <v>2726693</v>
      </c>
      <c r="B565">
        <v>7</v>
      </c>
      <c r="C565">
        <v>1358</v>
      </c>
      <c r="D565">
        <v>0</v>
      </c>
      <c r="E565">
        <v>26</v>
      </c>
      <c r="F565" t="s">
        <v>21</v>
      </c>
      <c r="G565" t="s">
        <v>210</v>
      </c>
      <c r="H565" t="s">
        <v>20</v>
      </c>
      <c r="I565">
        <v>8</v>
      </c>
    </row>
    <row r="566" spans="1:9" x14ac:dyDescent="0.2">
      <c r="A566">
        <v>2726693</v>
      </c>
      <c r="B566">
        <v>8</v>
      </c>
      <c r="C566">
        <v>1404</v>
      </c>
      <c r="D566">
        <v>0</v>
      </c>
      <c r="E566">
        <v>16</v>
      </c>
      <c r="F566" t="s">
        <v>25</v>
      </c>
      <c r="G566" t="s">
        <v>23</v>
      </c>
      <c r="H566" t="s">
        <v>24</v>
      </c>
      <c r="I566">
        <v>5</v>
      </c>
    </row>
    <row r="567" spans="1:9" x14ac:dyDescent="0.2">
      <c r="A567">
        <v>2769077</v>
      </c>
      <c r="B567">
        <v>1</v>
      </c>
      <c r="C567">
        <v>3212</v>
      </c>
      <c r="D567">
        <v>46330</v>
      </c>
      <c r="E567">
        <v>25</v>
      </c>
      <c r="F567" t="s">
        <v>47</v>
      </c>
      <c r="G567" t="s">
        <v>84</v>
      </c>
      <c r="H567" t="s">
        <v>46</v>
      </c>
      <c r="I567">
        <v>10</v>
      </c>
    </row>
    <row r="568" spans="1:9" x14ac:dyDescent="0.2">
      <c r="A568">
        <v>2769077</v>
      </c>
      <c r="B568">
        <v>2</v>
      </c>
      <c r="C568">
        <v>3261</v>
      </c>
      <c r="D568">
        <v>45620</v>
      </c>
      <c r="E568">
        <v>25</v>
      </c>
      <c r="F568" t="s">
        <v>47</v>
      </c>
      <c r="G568" t="s">
        <v>93</v>
      </c>
      <c r="H568" t="s">
        <v>46</v>
      </c>
      <c r="I568">
        <v>10</v>
      </c>
    </row>
    <row r="569" spans="1:9" x14ac:dyDescent="0.2">
      <c r="A569">
        <v>2769077</v>
      </c>
      <c r="B569">
        <v>3</v>
      </c>
      <c r="C569">
        <v>3211</v>
      </c>
      <c r="D569">
        <v>46040</v>
      </c>
      <c r="E569">
        <v>25</v>
      </c>
      <c r="F569" t="s">
        <v>47</v>
      </c>
      <c r="G569" t="s">
        <v>99</v>
      </c>
      <c r="H569" t="s">
        <v>46</v>
      </c>
      <c r="I569">
        <v>10</v>
      </c>
    </row>
    <row r="570" spans="1:9" x14ac:dyDescent="0.2">
      <c r="A570">
        <v>2769077</v>
      </c>
      <c r="B570">
        <v>4</v>
      </c>
      <c r="C570">
        <v>3248</v>
      </c>
      <c r="D570">
        <v>45610</v>
      </c>
      <c r="E570">
        <v>25</v>
      </c>
      <c r="F570" t="s">
        <v>47</v>
      </c>
      <c r="G570" t="s">
        <v>92</v>
      </c>
      <c r="H570" t="s">
        <v>46</v>
      </c>
      <c r="I570">
        <v>10</v>
      </c>
    </row>
    <row r="571" spans="1:9" x14ac:dyDescent="0.2">
      <c r="A571">
        <v>2769077</v>
      </c>
      <c r="B571">
        <v>5</v>
      </c>
      <c r="C571">
        <v>3239</v>
      </c>
      <c r="D571">
        <v>45200</v>
      </c>
      <c r="E571">
        <v>25</v>
      </c>
      <c r="F571" t="s">
        <v>47</v>
      </c>
      <c r="G571" t="s">
        <v>107</v>
      </c>
      <c r="H571" t="s">
        <v>46</v>
      </c>
      <c r="I571">
        <v>10</v>
      </c>
    </row>
    <row r="572" spans="1:9" x14ac:dyDescent="0.2">
      <c r="A572">
        <v>2769077</v>
      </c>
      <c r="B572">
        <v>6</v>
      </c>
      <c r="C572">
        <v>3200</v>
      </c>
      <c r="D572">
        <v>45880</v>
      </c>
      <c r="E572">
        <v>25</v>
      </c>
      <c r="F572" t="s">
        <v>47</v>
      </c>
      <c r="G572" t="s">
        <v>18</v>
      </c>
      <c r="H572" t="s">
        <v>46</v>
      </c>
      <c r="I572">
        <v>10</v>
      </c>
    </row>
    <row r="573" spans="1:9" x14ac:dyDescent="0.2">
      <c r="A573">
        <v>2769406</v>
      </c>
      <c r="B573">
        <v>1</v>
      </c>
      <c r="C573">
        <v>2447</v>
      </c>
      <c r="D573">
        <v>65995</v>
      </c>
      <c r="E573">
        <v>25</v>
      </c>
      <c r="F573" t="s">
        <v>42</v>
      </c>
      <c r="G573" t="s">
        <v>170</v>
      </c>
      <c r="H573" t="s">
        <v>220</v>
      </c>
      <c r="I573">
        <v>2</v>
      </c>
    </row>
    <row r="574" spans="1:9" x14ac:dyDescent="0.2">
      <c r="A574">
        <v>2769406</v>
      </c>
      <c r="B574">
        <v>2</v>
      </c>
      <c r="C574">
        <v>1731</v>
      </c>
      <c r="D574">
        <v>67120</v>
      </c>
      <c r="E574">
        <v>25</v>
      </c>
      <c r="F574" t="s">
        <v>57</v>
      </c>
      <c r="G574" t="s">
        <v>172</v>
      </c>
      <c r="H574" t="s">
        <v>69</v>
      </c>
      <c r="I574">
        <v>10</v>
      </c>
    </row>
    <row r="575" spans="1:9" x14ac:dyDescent="0.2">
      <c r="A575">
        <v>2769406</v>
      </c>
      <c r="B575">
        <v>3</v>
      </c>
      <c r="C575">
        <v>3505</v>
      </c>
      <c r="D575">
        <v>66720</v>
      </c>
      <c r="E575">
        <v>25</v>
      </c>
      <c r="F575" t="s">
        <v>234</v>
      </c>
      <c r="G575" t="s">
        <v>170</v>
      </c>
      <c r="H575" t="s">
        <v>35</v>
      </c>
      <c r="I575">
        <v>7</v>
      </c>
    </row>
    <row r="576" spans="1:9" x14ac:dyDescent="0.2">
      <c r="A576">
        <v>2769406</v>
      </c>
      <c r="B576">
        <v>4</v>
      </c>
      <c r="C576">
        <v>1507</v>
      </c>
      <c r="D576">
        <v>66460</v>
      </c>
      <c r="E576">
        <v>25</v>
      </c>
      <c r="F576" t="s">
        <v>142</v>
      </c>
      <c r="G576" t="s">
        <v>66</v>
      </c>
      <c r="H576" t="s">
        <v>31</v>
      </c>
      <c r="I576">
        <v>5</v>
      </c>
    </row>
    <row r="577" spans="1:9" x14ac:dyDescent="0.2">
      <c r="A577">
        <v>2769406</v>
      </c>
      <c r="B577">
        <v>5</v>
      </c>
      <c r="C577">
        <v>1372</v>
      </c>
      <c r="D577">
        <v>66880</v>
      </c>
      <c r="E577">
        <v>25</v>
      </c>
      <c r="F577" t="s">
        <v>21</v>
      </c>
      <c r="G577" t="s">
        <v>66</v>
      </c>
      <c r="H577" t="s">
        <v>20</v>
      </c>
      <c r="I577">
        <v>8</v>
      </c>
    </row>
    <row r="578" spans="1:9" x14ac:dyDescent="0.2">
      <c r="A578">
        <v>2769406</v>
      </c>
      <c r="B578">
        <v>6</v>
      </c>
      <c r="C578">
        <v>1503</v>
      </c>
      <c r="D578">
        <v>66460</v>
      </c>
      <c r="E578">
        <v>24</v>
      </c>
      <c r="F578" t="s">
        <v>142</v>
      </c>
      <c r="G578" t="s">
        <v>161</v>
      </c>
      <c r="H578" t="s">
        <v>31</v>
      </c>
      <c r="I578">
        <v>5</v>
      </c>
    </row>
    <row r="579" spans="1:9" x14ac:dyDescent="0.2">
      <c r="A579">
        <v>2769406</v>
      </c>
      <c r="B579">
        <v>7</v>
      </c>
      <c r="C579">
        <v>1511</v>
      </c>
      <c r="D579">
        <v>0</v>
      </c>
      <c r="E579">
        <v>26</v>
      </c>
      <c r="F579" t="s">
        <v>142</v>
      </c>
      <c r="G579" t="s">
        <v>163</v>
      </c>
      <c r="H579" t="s">
        <v>31</v>
      </c>
      <c r="I579">
        <v>5</v>
      </c>
    </row>
    <row r="580" spans="1:9" x14ac:dyDescent="0.2">
      <c r="A580">
        <v>2769406</v>
      </c>
      <c r="B580">
        <v>8</v>
      </c>
      <c r="C580">
        <v>1789</v>
      </c>
      <c r="D580">
        <v>0</v>
      </c>
      <c r="E580">
        <v>26</v>
      </c>
      <c r="F580" t="s">
        <v>57</v>
      </c>
      <c r="G580" t="s">
        <v>122</v>
      </c>
      <c r="H580" t="s">
        <v>69</v>
      </c>
      <c r="I580">
        <v>10</v>
      </c>
    </row>
    <row r="581" spans="1:9" x14ac:dyDescent="0.2">
      <c r="A581">
        <v>2781669</v>
      </c>
      <c r="B581">
        <v>1</v>
      </c>
      <c r="C581">
        <v>3225</v>
      </c>
      <c r="D581">
        <v>49190</v>
      </c>
      <c r="E581">
        <v>24</v>
      </c>
      <c r="F581" t="s">
        <v>47</v>
      </c>
      <c r="G581" t="s">
        <v>106</v>
      </c>
      <c r="H581" t="s">
        <v>46</v>
      </c>
      <c r="I581">
        <v>10</v>
      </c>
    </row>
    <row r="582" spans="1:9" x14ac:dyDescent="0.2">
      <c r="A582">
        <v>2781669</v>
      </c>
      <c r="B582">
        <v>2</v>
      </c>
      <c r="C582">
        <v>3269</v>
      </c>
      <c r="D582">
        <v>0</v>
      </c>
      <c r="E582">
        <v>26</v>
      </c>
      <c r="F582" t="s">
        <v>47</v>
      </c>
      <c r="G582" t="s">
        <v>180</v>
      </c>
      <c r="H582" t="s">
        <v>46</v>
      </c>
      <c r="I582">
        <v>10</v>
      </c>
    </row>
    <row r="583" spans="1:9" x14ac:dyDescent="0.2">
      <c r="A583">
        <v>2792987</v>
      </c>
      <c r="B583">
        <v>1</v>
      </c>
      <c r="C583">
        <v>3237</v>
      </c>
      <c r="D583">
        <v>57920</v>
      </c>
      <c r="E583">
        <v>24</v>
      </c>
      <c r="F583" t="s">
        <v>47</v>
      </c>
      <c r="G583" t="s">
        <v>181</v>
      </c>
      <c r="H583" t="s">
        <v>46</v>
      </c>
      <c r="I583">
        <v>10</v>
      </c>
    </row>
    <row r="584" spans="1:9" x14ac:dyDescent="0.2">
      <c r="A584">
        <v>2792987</v>
      </c>
      <c r="B584">
        <v>2</v>
      </c>
      <c r="C584">
        <v>3234</v>
      </c>
      <c r="D584">
        <v>0</v>
      </c>
      <c r="E584">
        <v>26</v>
      </c>
      <c r="F584" t="s">
        <v>47</v>
      </c>
      <c r="G584" t="s">
        <v>76</v>
      </c>
      <c r="H584" t="s">
        <v>46</v>
      </c>
      <c r="I584">
        <v>10</v>
      </c>
    </row>
    <row r="585" spans="1:9" x14ac:dyDescent="0.2">
      <c r="A585">
        <v>2792987</v>
      </c>
      <c r="B585">
        <v>3</v>
      </c>
      <c r="C585">
        <v>3212</v>
      </c>
      <c r="D585">
        <v>0</v>
      </c>
      <c r="E585">
        <v>26</v>
      </c>
      <c r="F585" t="s">
        <v>47</v>
      </c>
      <c r="G585" t="s">
        <v>84</v>
      </c>
      <c r="H585" t="s">
        <v>46</v>
      </c>
      <c r="I585">
        <v>10</v>
      </c>
    </row>
    <row r="586" spans="1:9" x14ac:dyDescent="0.2">
      <c r="A586">
        <v>2792987</v>
      </c>
      <c r="B586">
        <v>4</v>
      </c>
      <c r="C586">
        <v>3225</v>
      </c>
      <c r="D586">
        <v>0</v>
      </c>
      <c r="E586">
        <v>26</v>
      </c>
      <c r="F586" t="s">
        <v>47</v>
      </c>
      <c r="G586" t="s">
        <v>106</v>
      </c>
      <c r="H586" t="s">
        <v>46</v>
      </c>
      <c r="I586">
        <v>10</v>
      </c>
    </row>
    <row r="587" spans="1:9" x14ac:dyDescent="0.2">
      <c r="A587">
        <v>2792987</v>
      </c>
      <c r="B587">
        <v>5</v>
      </c>
      <c r="C587">
        <v>3211</v>
      </c>
      <c r="D587">
        <v>0</v>
      </c>
      <c r="E587">
        <v>26</v>
      </c>
      <c r="F587" t="s">
        <v>47</v>
      </c>
      <c r="G587" t="s">
        <v>99</v>
      </c>
      <c r="H587" t="s">
        <v>46</v>
      </c>
      <c r="I587">
        <v>10</v>
      </c>
    </row>
    <row r="588" spans="1:9" x14ac:dyDescent="0.2">
      <c r="A588">
        <v>2792987</v>
      </c>
      <c r="B588">
        <v>6</v>
      </c>
      <c r="C588">
        <v>3261</v>
      </c>
      <c r="D588">
        <v>0</v>
      </c>
      <c r="E588">
        <v>26</v>
      </c>
      <c r="F588" t="s">
        <v>47</v>
      </c>
      <c r="G588" t="s">
        <v>93</v>
      </c>
      <c r="H588" t="s">
        <v>46</v>
      </c>
      <c r="I588">
        <v>10</v>
      </c>
    </row>
    <row r="589" spans="1:9" x14ac:dyDescent="0.2">
      <c r="A589">
        <v>2792987</v>
      </c>
      <c r="B589">
        <v>7</v>
      </c>
      <c r="C589">
        <v>3086</v>
      </c>
      <c r="D589">
        <v>0</v>
      </c>
      <c r="E589">
        <v>26</v>
      </c>
      <c r="F589" t="s">
        <v>44</v>
      </c>
      <c r="G589" t="s">
        <v>150</v>
      </c>
      <c r="H589" t="s">
        <v>55</v>
      </c>
      <c r="I589">
        <v>9</v>
      </c>
    </row>
    <row r="590" spans="1:9" x14ac:dyDescent="0.2">
      <c r="A590">
        <v>2792987</v>
      </c>
      <c r="B590">
        <v>8</v>
      </c>
      <c r="C590">
        <v>1729</v>
      </c>
      <c r="D590">
        <v>0</v>
      </c>
      <c r="E590">
        <v>26</v>
      </c>
      <c r="F590" t="s">
        <v>57</v>
      </c>
      <c r="G590" t="s">
        <v>72</v>
      </c>
      <c r="H590" t="s">
        <v>69</v>
      </c>
      <c r="I590">
        <v>10</v>
      </c>
    </row>
    <row r="591" spans="1:9" x14ac:dyDescent="0.2">
      <c r="A591">
        <v>2800967</v>
      </c>
      <c r="B591">
        <v>1</v>
      </c>
      <c r="C591">
        <v>3064</v>
      </c>
      <c r="D591">
        <v>60720</v>
      </c>
      <c r="E591">
        <v>25</v>
      </c>
      <c r="F591" t="s">
        <v>44</v>
      </c>
      <c r="G591" t="s">
        <v>97</v>
      </c>
      <c r="H591" t="s">
        <v>52</v>
      </c>
      <c r="I591">
        <v>9</v>
      </c>
    </row>
    <row r="592" spans="1:9" x14ac:dyDescent="0.2">
      <c r="A592">
        <v>2800967</v>
      </c>
      <c r="B592">
        <v>2</v>
      </c>
      <c r="C592">
        <v>1660</v>
      </c>
      <c r="D592">
        <v>61110</v>
      </c>
      <c r="E592">
        <v>25</v>
      </c>
      <c r="F592" t="s">
        <v>128</v>
      </c>
      <c r="G592" t="s">
        <v>97</v>
      </c>
      <c r="H592" t="s">
        <v>127</v>
      </c>
      <c r="I592" t="s">
        <v>448</v>
      </c>
    </row>
    <row r="593" spans="1:9" x14ac:dyDescent="0.2">
      <c r="A593">
        <v>2800967</v>
      </c>
      <c r="B593">
        <v>3</v>
      </c>
      <c r="C593">
        <v>1788</v>
      </c>
      <c r="D593">
        <v>60145</v>
      </c>
      <c r="E593">
        <v>24</v>
      </c>
      <c r="F593" t="s">
        <v>57</v>
      </c>
      <c r="G593" t="s">
        <v>97</v>
      </c>
      <c r="H593" t="s">
        <v>56</v>
      </c>
      <c r="I593">
        <v>10</v>
      </c>
    </row>
    <row r="594" spans="1:9" x14ac:dyDescent="0.2">
      <c r="A594">
        <v>2800967</v>
      </c>
      <c r="B594">
        <v>4</v>
      </c>
      <c r="C594">
        <v>3740</v>
      </c>
      <c r="D594">
        <v>0</v>
      </c>
      <c r="E594">
        <v>26</v>
      </c>
      <c r="F594" t="s">
        <v>116</v>
      </c>
      <c r="G594" t="s">
        <v>63</v>
      </c>
      <c r="H594" t="s">
        <v>61</v>
      </c>
      <c r="I594">
        <v>9</v>
      </c>
    </row>
    <row r="595" spans="1:9" x14ac:dyDescent="0.2">
      <c r="A595">
        <v>2800967</v>
      </c>
      <c r="B595">
        <v>5</v>
      </c>
      <c r="C595">
        <v>2967</v>
      </c>
      <c r="D595">
        <v>0</v>
      </c>
      <c r="E595">
        <v>26</v>
      </c>
      <c r="F595" t="s">
        <v>119</v>
      </c>
      <c r="G595" t="s">
        <v>97</v>
      </c>
      <c r="H595" t="s">
        <v>136</v>
      </c>
      <c r="I595">
        <v>8</v>
      </c>
    </row>
    <row r="596" spans="1:9" x14ac:dyDescent="0.2">
      <c r="A596">
        <v>2800967</v>
      </c>
      <c r="B596">
        <v>6</v>
      </c>
      <c r="C596">
        <v>1324</v>
      </c>
      <c r="D596">
        <v>0</v>
      </c>
      <c r="E596">
        <v>26</v>
      </c>
      <c r="F596" t="s">
        <v>21</v>
      </c>
      <c r="G596" t="s">
        <v>63</v>
      </c>
      <c r="H596" t="s">
        <v>20</v>
      </c>
      <c r="I596">
        <v>8</v>
      </c>
    </row>
    <row r="597" spans="1:9" x14ac:dyDescent="0.2">
      <c r="A597">
        <v>2800967</v>
      </c>
      <c r="B597">
        <v>7</v>
      </c>
      <c r="C597">
        <v>1782</v>
      </c>
      <c r="D597">
        <v>0</v>
      </c>
      <c r="E597">
        <v>26</v>
      </c>
      <c r="F597" t="s">
        <v>57</v>
      </c>
      <c r="G597" t="s">
        <v>63</v>
      </c>
      <c r="H597" t="s">
        <v>69</v>
      </c>
      <c r="I597">
        <v>10</v>
      </c>
    </row>
    <row r="598" spans="1:9" x14ac:dyDescent="0.2">
      <c r="A598">
        <v>2800967</v>
      </c>
      <c r="B598">
        <v>8</v>
      </c>
      <c r="C598">
        <v>3044</v>
      </c>
      <c r="D598">
        <v>0</v>
      </c>
      <c r="E598">
        <v>26</v>
      </c>
      <c r="F598" t="s">
        <v>44</v>
      </c>
      <c r="G598" t="s">
        <v>250</v>
      </c>
      <c r="H598" t="s">
        <v>52</v>
      </c>
      <c r="I598">
        <v>9</v>
      </c>
    </row>
    <row r="599" spans="1:9" x14ac:dyDescent="0.2">
      <c r="A599">
        <v>2850425</v>
      </c>
      <c r="B599">
        <v>1</v>
      </c>
      <c r="C599">
        <v>1733</v>
      </c>
      <c r="D599">
        <v>55840</v>
      </c>
      <c r="E599">
        <v>24</v>
      </c>
      <c r="F599" t="s">
        <v>57</v>
      </c>
      <c r="G599" t="s">
        <v>18</v>
      </c>
      <c r="H599" t="s">
        <v>69</v>
      </c>
      <c r="I599">
        <v>10</v>
      </c>
    </row>
    <row r="600" spans="1:9" x14ac:dyDescent="0.2">
      <c r="A600">
        <v>2850425</v>
      </c>
      <c r="B600">
        <v>2</v>
      </c>
      <c r="C600">
        <v>2901</v>
      </c>
      <c r="D600">
        <v>0</v>
      </c>
      <c r="E600">
        <v>26</v>
      </c>
      <c r="F600" t="s">
        <v>119</v>
      </c>
      <c r="G600" t="s">
        <v>18</v>
      </c>
      <c r="H600" t="s">
        <v>20</v>
      </c>
      <c r="I600">
        <v>8</v>
      </c>
    </row>
    <row r="601" spans="1:9" x14ac:dyDescent="0.2">
      <c r="A601">
        <v>2850425</v>
      </c>
      <c r="B601">
        <v>3</v>
      </c>
      <c r="C601">
        <v>3200</v>
      </c>
      <c r="D601">
        <v>0</v>
      </c>
      <c r="E601">
        <v>26</v>
      </c>
      <c r="F601" t="s">
        <v>47</v>
      </c>
      <c r="G601" t="s">
        <v>18</v>
      </c>
      <c r="H601" t="s">
        <v>46</v>
      </c>
      <c r="I601">
        <v>10</v>
      </c>
    </row>
    <row r="602" spans="1:9" x14ac:dyDescent="0.2">
      <c r="A602">
        <v>2850425</v>
      </c>
      <c r="B602">
        <v>4</v>
      </c>
      <c r="C602">
        <v>1402</v>
      </c>
      <c r="D602">
        <v>0</v>
      </c>
      <c r="E602">
        <v>26</v>
      </c>
      <c r="F602" t="s">
        <v>25</v>
      </c>
      <c r="G602" t="s">
        <v>18</v>
      </c>
      <c r="H602" t="s">
        <v>24</v>
      </c>
      <c r="I602">
        <v>5</v>
      </c>
    </row>
    <row r="603" spans="1:9" x14ac:dyDescent="0.2">
      <c r="A603">
        <v>2850425</v>
      </c>
      <c r="B603">
        <v>5</v>
      </c>
      <c r="C603">
        <v>1737</v>
      </c>
      <c r="D603">
        <v>0</v>
      </c>
      <c r="E603">
        <v>26</v>
      </c>
      <c r="F603" t="s">
        <v>57</v>
      </c>
      <c r="G603" t="s">
        <v>54</v>
      </c>
      <c r="H603" t="s">
        <v>79</v>
      </c>
      <c r="I603">
        <v>10</v>
      </c>
    </row>
    <row r="604" spans="1:9" x14ac:dyDescent="0.2">
      <c r="A604">
        <v>2850425</v>
      </c>
      <c r="B604">
        <v>6</v>
      </c>
      <c r="C604">
        <v>2930</v>
      </c>
      <c r="D604">
        <v>0</v>
      </c>
      <c r="E604">
        <v>26</v>
      </c>
      <c r="F604" t="s">
        <v>119</v>
      </c>
      <c r="G604" t="s">
        <v>118</v>
      </c>
      <c r="H604" t="s">
        <v>20</v>
      </c>
      <c r="I604">
        <v>8</v>
      </c>
    </row>
    <row r="605" spans="1:9" x14ac:dyDescent="0.2">
      <c r="A605">
        <v>2850425</v>
      </c>
      <c r="B605">
        <v>7</v>
      </c>
      <c r="C605">
        <v>1368</v>
      </c>
      <c r="D605">
        <v>0</v>
      </c>
      <c r="E605">
        <v>26</v>
      </c>
      <c r="F605" t="s">
        <v>21</v>
      </c>
      <c r="G605" t="s">
        <v>140</v>
      </c>
      <c r="H605" t="s">
        <v>20</v>
      </c>
      <c r="I605">
        <v>8</v>
      </c>
    </row>
    <row r="606" spans="1:9" x14ac:dyDescent="0.2">
      <c r="A606">
        <v>2850425</v>
      </c>
      <c r="B606">
        <v>8</v>
      </c>
      <c r="C606">
        <v>1403</v>
      </c>
      <c r="D606">
        <v>0</v>
      </c>
      <c r="E606">
        <v>16</v>
      </c>
      <c r="F606" t="s">
        <v>25</v>
      </c>
      <c r="G606" t="s">
        <v>141</v>
      </c>
      <c r="H606" t="s">
        <v>24</v>
      </c>
      <c r="I606">
        <v>5</v>
      </c>
    </row>
    <row r="607" spans="1:9" x14ac:dyDescent="0.2">
      <c r="A607">
        <v>2870001</v>
      </c>
      <c r="B607">
        <v>1</v>
      </c>
      <c r="C607">
        <v>1715</v>
      </c>
      <c r="D607">
        <v>59175</v>
      </c>
      <c r="E607">
        <v>25</v>
      </c>
      <c r="F607" t="s">
        <v>57</v>
      </c>
      <c r="G607" t="s">
        <v>151</v>
      </c>
      <c r="H607" t="s">
        <v>69</v>
      </c>
      <c r="I607">
        <v>10</v>
      </c>
    </row>
    <row r="608" spans="1:9" x14ac:dyDescent="0.2">
      <c r="A608">
        <v>2870001</v>
      </c>
      <c r="B608">
        <v>2</v>
      </c>
      <c r="C608">
        <v>1788</v>
      </c>
      <c r="D608">
        <v>61855</v>
      </c>
      <c r="E608">
        <v>24</v>
      </c>
      <c r="F608" t="s">
        <v>57</v>
      </c>
      <c r="G608" t="s">
        <v>97</v>
      </c>
      <c r="H608" t="s">
        <v>56</v>
      </c>
      <c r="I608">
        <v>10</v>
      </c>
    </row>
    <row r="609" spans="1:9" x14ac:dyDescent="0.2">
      <c r="A609">
        <v>2870001</v>
      </c>
      <c r="B609">
        <v>3</v>
      </c>
      <c r="C609">
        <v>1388</v>
      </c>
      <c r="D609">
        <v>0</v>
      </c>
      <c r="E609">
        <v>26</v>
      </c>
      <c r="F609" t="s">
        <v>21</v>
      </c>
      <c r="G609" t="s">
        <v>151</v>
      </c>
      <c r="H609" t="s">
        <v>20</v>
      </c>
      <c r="I609">
        <v>8</v>
      </c>
    </row>
    <row r="610" spans="1:9" x14ac:dyDescent="0.2">
      <c r="A610">
        <v>2870001</v>
      </c>
      <c r="B610">
        <v>4</v>
      </c>
      <c r="C610">
        <v>1782</v>
      </c>
      <c r="D610">
        <v>0</v>
      </c>
      <c r="E610">
        <v>26</v>
      </c>
      <c r="F610" t="s">
        <v>57</v>
      </c>
      <c r="G610" t="s">
        <v>63</v>
      </c>
      <c r="H610" t="s">
        <v>69</v>
      </c>
      <c r="I610">
        <v>10</v>
      </c>
    </row>
    <row r="611" spans="1:9" x14ac:dyDescent="0.2">
      <c r="A611">
        <v>2870001</v>
      </c>
      <c r="B611">
        <v>5</v>
      </c>
      <c r="C611">
        <v>3234</v>
      </c>
      <c r="D611">
        <v>0</v>
      </c>
      <c r="E611">
        <v>26</v>
      </c>
      <c r="F611" t="s">
        <v>47</v>
      </c>
      <c r="G611" t="s">
        <v>76</v>
      </c>
      <c r="H611" t="s">
        <v>46</v>
      </c>
      <c r="I611">
        <v>10</v>
      </c>
    </row>
    <row r="612" spans="1:9" x14ac:dyDescent="0.2">
      <c r="A612">
        <v>2870001</v>
      </c>
      <c r="B612">
        <v>6</v>
      </c>
      <c r="C612">
        <v>1777</v>
      </c>
      <c r="D612">
        <v>0</v>
      </c>
      <c r="E612">
        <v>26</v>
      </c>
      <c r="F612" t="s">
        <v>57</v>
      </c>
      <c r="G612" t="s">
        <v>88</v>
      </c>
      <c r="H612" t="s">
        <v>69</v>
      </c>
      <c r="I612">
        <v>10</v>
      </c>
    </row>
    <row r="613" spans="1:9" x14ac:dyDescent="0.2">
      <c r="A613">
        <v>2870001</v>
      </c>
      <c r="B613">
        <v>7</v>
      </c>
      <c r="C613">
        <v>1756</v>
      </c>
      <c r="D613">
        <v>0</v>
      </c>
      <c r="E613">
        <v>26</v>
      </c>
      <c r="F613" t="s">
        <v>57</v>
      </c>
      <c r="G613" t="s">
        <v>89</v>
      </c>
      <c r="H613" t="s">
        <v>69</v>
      </c>
      <c r="I613">
        <v>10</v>
      </c>
    </row>
    <row r="614" spans="1:9" x14ac:dyDescent="0.2">
      <c r="A614">
        <v>2870353</v>
      </c>
      <c r="B614">
        <v>1</v>
      </c>
      <c r="C614">
        <v>3243</v>
      </c>
      <c r="D614">
        <v>0</v>
      </c>
      <c r="E614">
        <v>36</v>
      </c>
      <c r="F614" t="s">
        <v>47</v>
      </c>
      <c r="G614" t="s">
        <v>75</v>
      </c>
      <c r="H614" t="s">
        <v>46</v>
      </c>
      <c r="I614">
        <v>10</v>
      </c>
    </row>
    <row r="615" spans="1:9" x14ac:dyDescent="0.2">
      <c r="A615">
        <v>2870353</v>
      </c>
      <c r="B615">
        <v>2</v>
      </c>
      <c r="C615">
        <v>3261</v>
      </c>
      <c r="D615">
        <v>0</v>
      </c>
      <c r="E615">
        <v>36</v>
      </c>
      <c r="F615" t="s">
        <v>47</v>
      </c>
      <c r="G615" t="s">
        <v>93</v>
      </c>
      <c r="H615" t="s">
        <v>46</v>
      </c>
      <c r="I615">
        <v>10</v>
      </c>
    </row>
    <row r="616" spans="1:9" x14ac:dyDescent="0.2">
      <c r="A616">
        <v>2870353</v>
      </c>
      <c r="B616">
        <v>3</v>
      </c>
      <c r="C616">
        <v>3234</v>
      </c>
      <c r="D616">
        <v>0</v>
      </c>
      <c r="E616">
        <v>36</v>
      </c>
      <c r="F616" t="s">
        <v>47</v>
      </c>
      <c r="G616" t="s">
        <v>76</v>
      </c>
      <c r="H616" t="s">
        <v>46</v>
      </c>
      <c r="I616">
        <v>10</v>
      </c>
    </row>
    <row r="617" spans="1:9" x14ac:dyDescent="0.2">
      <c r="A617">
        <v>2870353</v>
      </c>
      <c r="B617">
        <v>4</v>
      </c>
      <c r="C617">
        <v>3244</v>
      </c>
      <c r="D617">
        <v>0</v>
      </c>
      <c r="E617">
        <v>36</v>
      </c>
      <c r="F617" t="s">
        <v>47</v>
      </c>
      <c r="G617" t="s">
        <v>73</v>
      </c>
      <c r="H617" t="s">
        <v>74</v>
      </c>
      <c r="I617">
        <v>10</v>
      </c>
    </row>
    <row r="618" spans="1:9" x14ac:dyDescent="0.2">
      <c r="A618">
        <v>2870353</v>
      </c>
      <c r="B618">
        <v>5</v>
      </c>
      <c r="C618">
        <v>3251</v>
      </c>
      <c r="D618">
        <v>0</v>
      </c>
      <c r="E618">
        <v>36</v>
      </c>
      <c r="F618" t="s">
        <v>47</v>
      </c>
      <c r="G618" t="s">
        <v>48</v>
      </c>
      <c r="H618" t="s">
        <v>46</v>
      </c>
      <c r="I618">
        <v>10</v>
      </c>
    </row>
    <row r="619" spans="1:9" x14ac:dyDescent="0.2">
      <c r="A619">
        <v>2870353</v>
      </c>
      <c r="B619">
        <v>6</v>
      </c>
      <c r="C619">
        <v>3252</v>
      </c>
      <c r="D619">
        <v>0</v>
      </c>
      <c r="E619">
        <v>36</v>
      </c>
      <c r="F619" t="s">
        <v>47</v>
      </c>
      <c r="G619" t="s">
        <v>45</v>
      </c>
      <c r="H619" t="s">
        <v>46</v>
      </c>
      <c r="I619">
        <v>10</v>
      </c>
    </row>
    <row r="620" spans="1:9" x14ac:dyDescent="0.2">
      <c r="A620">
        <v>2874937</v>
      </c>
      <c r="B620">
        <v>1</v>
      </c>
      <c r="C620">
        <v>1373</v>
      </c>
      <c r="D620">
        <v>60225</v>
      </c>
      <c r="E620">
        <v>25</v>
      </c>
      <c r="F620" t="s">
        <v>21</v>
      </c>
      <c r="G620" t="s">
        <v>249</v>
      </c>
      <c r="H620" t="s">
        <v>20</v>
      </c>
      <c r="I620">
        <v>8</v>
      </c>
    </row>
    <row r="621" spans="1:9" x14ac:dyDescent="0.2">
      <c r="A621">
        <v>2874937</v>
      </c>
      <c r="B621">
        <v>2</v>
      </c>
      <c r="C621">
        <v>1368</v>
      </c>
      <c r="D621">
        <v>60225</v>
      </c>
      <c r="E621">
        <v>24</v>
      </c>
      <c r="F621" t="s">
        <v>21</v>
      </c>
      <c r="G621" t="s">
        <v>140</v>
      </c>
      <c r="H621" t="s">
        <v>20</v>
      </c>
      <c r="I621">
        <v>8</v>
      </c>
    </row>
    <row r="622" spans="1:9" x14ac:dyDescent="0.2">
      <c r="A622">
        <v>2874937</v>
      </c>
      <c r="B622">
        <v>3</v>
      </c>
      <c r="C622">
        <v>1708</v>
      </c>
      <c r="D622">
        <v>0</v>
      </c>
      <c r="E622">
        <v>26</v>
      </c>
      <c r="F622" t="s">
        <v>57</v>
      </c>
      <c r="G622" t="s">
        <v>80</v>
      </c>
      <c r="H622" t="s">
        <v>79</v>
      </c>
      <c r="I622">
        <v>10</v>
      </c>
    </row>
    <row r="623" spans="1:9" x14ac:dyDescent="0.2">
      <c r="A623">
        <v>2874937</v>
      </c>
      <c r="B623">
        <v>4</v>
      </c>
      <c r="C623">
        <v>1752</v>
      </c>
      <c r="D623">
        <v>0</v>
      </c>
      <c r="E623">
        <v>26</v>
      </c>
      <c r="F623" t="s">
        <v>57</v>
      </c>
      <c r="G623" t="s">
        <v>66</v>
      </c>
      <c r="H623" t="s">
        <v>56</v>
      </c>
      <c r="I623">
        <v>10</v>
      </c>
    </row>
    <row r="624" spans="1:9" x14ac:dyDescent="0.2">
      <c r="A624">
        <v>2874937</v>
      </c>
      <c r="B624">
        <v>5</v>
      </c>
      <c r="C624">
        <v>1508</v>
      </c>
      <c r="D624">
        <v>0</v>
      </c>
      <c r="E624">
        <v>26</v>
      </c>
      <c r="F624" t="s">
        <v>142</v>
      </c>
      <c r="G624" t="s">
        <v>249</v>
      </c>
      <c r="H624" t="s">
        <v>31</v>
      </c>
      <c r="I624">
        <v>5</v>
      </c>
    </row>
    <row r="625" spans="1:9" x14ac:dyDescent="0.2">
      <c r="A625">
        <v>2874937</v>
      </c>
      <c r="B625">
        <v>6</v>
      </c>
      <c r="C625">
        <v>1507</v>
      </c>
      <c r="D625">
        <v>0</v>
      </c>
      <c r="E625">
        <v>26</v>
      </c>
      <c r="F625" t="s">
        <v>142</v>
      </c>
      <c r="G625" t="s">
        <v>66</v>
      </c>
      <c r="H625" t="s">
        <v>31</v>
      </c>
      <c r="I625">
        <v>5</v>
      </c>
    </row>
    <row r="626" spans="1:9" x14ac:dyDescent="0.2">
      <c r="A626">
        <v>2874937</v>
      </c>
      <c r="B626">
        <v>7</v>
      </c>
      <c r="C626">
        <v>1575</v>
      </c>
      <c r="D626">
        <v>0</v>
      </c>
      <c r="E626">
        <v>26</v>
      </c>
      <c r="F626" t="s">
        <v>142</v>
      </c>
      <c r="G626" t="s">
        <v>249</v>
      </c>
      <c r="H626" t="s">
        <v>113</v>
      </c>
      <c r="I626">
        <v>5</v>
      </c>
    </row>
    <row r="627" spans="1:9" x14ac:dyDescent="0.2">
      <c r="A627">
        <v>2874937</v>
      </c>
      <c r="B627">
        <v>8</v>
      </c>
      <c r="C627">
        <v>3218</v>
      </c>
      <c r="D627">
        <v>0</v>
      </c>
      <c r="E627">
        <v>26</v>
      </c>
      <c r="F627" t="s">
        <v>47</v>
      </c>
      <c r="G627" t="s">
        <v>66</v>
      </c>
      <c r="H627" t="s">
        <v>74</v>
      </c>
      <c r="I627">
        <v>10</v>
      </c>
    </row>
    <row r="628" spans="1:9" x14ac:dyDescent="0.2">
      <c r="A628">
        <v>2892668</v>
      </c>
      <c r="B628">
        <v>1</v>
      </c>
      <c r="C628">
        <v>3252</v>
      </c>
      <c r="D628">
        <v>49195</v>
      </c>
      <c r="E628">
        <v>25</v>
      </c>
      <c r="F628" t="s">
        <v>47</v>
      </c>
      <c r="G628" t="s">
        <v>45</v>
      </c>
      <c r="H628" t="s">
        <v>46</v>
      </c>
      <c r="I628">
        <v>10</v>
      </c>
    </row>
    <row r="629" spans="1:9" x14ac:dyDescent="0.2">
      <c r="A629">
        <v>2892668</v>
      </c>
      <c r="B629">
        <v>2</v>
      </c>
      <c r="C629">
        <v>3261</v>
      </c>
      <c r="D629">
        <v>49610</v>
      </c>
      <c r="E629">
        <v>25</v>
      </c>
      <c r="F629" t="s">
        <v>47</v>
      </c>
      <c r="G629" t="s">
        <v>93</v>
      </c>
      <c r="H629" t="s">
        <v>46</v>
      </c>
      <c r="I629">
        <v>10</v>
      </c>
    </row>
    <row r="630" spans="1:9" x14ac:dyDescent="0.2">
      <c r="A630">
        <v>2903436</v>
      </c>
      <c r="B630">
        <v>1</v>
      </c>
      <c r="C630">
        <v>1525</v>
      </c>
      <c r="D630">
        <v>57260</v>
      </c>
      <c r="E630">
        <v>25</v>
      </c>
      <c r="F630" t="s">
        <v>142</v>
      </c>
      <c r="G630" t="s">
        <v>152</v>
      </c>
      <c r="H630" t="s">
        <v>31</v>
      </c>
      <c r="I630">
        <v>5</v>
      </c>
    </row>
    <row r="631" spans="1:9" x14ac:dyDescent="0.2">
      <c r="A631">
        <v>2903436</v>
      </c>
      <c r="B631">
        <v>2</v>
      </c>
      <c r="C631">
        <v>1462</v>
      </c>
      <c r="D631">
        <v>57420</v>
      </c>
      <c r="E631">
        <v>25</v>
      </c>
      <c r="F631" t="s">
        <v>25</v>
      </c>
      <c r="G631" t="s">
        <v>352</v>
      </c>
      <c r="H631" t="s">
        <v>24</v>
      </c>
      <c r="I631">
        <v>5</v>
      </c>
    </row>
    <row r="632" spans="1:9" x14ac:dyDescent="0.2">
      <c r="A632">
        <v>2903436</v>
      </c>
      <c r="B632">
        <v>3</v>
      </c>
      <c r="C632">
        <v>1464</v>
      </c>
      <c r="D632">
        <v>57420</v>
      </c>
      <c r="E632">
        <v>25</v>
      </c>
      <c r="F632" t="s">
        <v>25</v>
      </c>
      <c r="G632" t="s">
        <v>339</v>
      </c>
      <c r="H632" t="s">
        <v>24</v>
      </c>
      <c r="I632">
        <v>5</v>
      </c>
    </row>
    <row r="633" spans="1:9" x14ac:dyDescent="0.2">
      <c r="A633">
        <v>2903436</v>
      </c>
      <c r="B633">
        <v>4</v>
      </c>
      <c r="C633">
        <v>1985</v>
      </c>
      <c r="D633">
        <v>56920</v>
      </c>
      <c r="E633">
        <v>24</v>
      </c>
      <c r="F633" t="s">
        <v>32</v>
      </c>
      <c r="G633" t="s">
        <v>385</v>
      </c>
      <c r="H633" t="s">
        <v>31</v>
      </c>
      <c r="I633">
        <v>5</v>
      </c>
    </row>
    <row r="634" spans="1:9" x14ac:dyDescent="0.2">
      <c r="A634">
        <v>2903436</v>
      </c>
      <c r="B634">
        <v>5</v>
      </c>
      <c r="C634">
        <v>1364</v>
      </c>
      <c r="D634">
        <v>0</v>
      </c>
      <c r="E634">
        <v>26</v>
      </c>
      <c r="F634" t="s">
        <v>21</v>
      </c>
      <c r="G634" t="s">
        <v>386</v>
      </c>
      <c r="H634" t="s">
        <v>20</v>
      </c>
      <c r="I634">
        <v>8</v>
      </c>
    </row>
    <row r="635" spans="1:9" x14ac:dyDescent="0.2">
      <c r="A635">
        <v>2903436</v>
      </c>
      <c r="B635">
        <v>6</v>
      </c>
      <c r="C635">
        <v>1736</v>
      </c>
      <c r="D635">
        <v>0</v>
      </c>
      <c r="E635">
        <v>26</v>
      </c>
      <c r="F635" t="s">
        <v>57</v>
      </c>
      <c r="G635" t="s">
        <v>78</v>
      </c>
      <c r="H635" t="s">
        <v>79</v>
      </c>
      <c r="I635">
        <v>10</v>
      </c>
    </row>
    <row r="636" spans="1:9" x14ac:dyDescent="0.2">
      <c r="A636">
        <v>2903436</v>
      </c>
      <c r="B636">
        <v>7</v>
      </c>
      <c r="C636">
        <v>1708</v>
      </c>
      <c r="D636">
        <v>0</v>
      </c>
      <c r="E636">
        <v>26</v>
      </c>
      <c r="F636" t="s">
        <v>57</v>
      </c>
      <c r="G636" t="s">
        <v>80</v>
      </c>
      <c r="H636" t="s">
        <v>79</v>
      </c>
      <c r="I636">
        <v>10</v>
      </c>
    </row>
    <row r="637" spans="1:9" x14ac:dyDescent="0.2">
      <c r="A637">
        <v>2903436</v>
      </c>
      <c r="B637">
        <v>8</v>
      </c>
      <c r="C637">
        <v>1759</v>
      </c>
      <c r="D637">
        <v>0</v>
      </c>
      <c r="E637">
        <v>26</v>
      </c>
      <c r="F637" t="s">
        <v>57</v>
      </c>
      <c r="G637" t="s">
        <v>154</v>
      </c>
      <c r="H637" t="s">
        <v>56</v>
      </c>
      <c r="I637">
        <v>10</v>
      </c>
    </row>
    <row r="638" spans="1:9" x14ac:dyDescent="0.2">
      <c r="A638">
        <v>2942846</v>
      </c>
      <c r="B638">
        <v>1</v>
      </c>
      <c r="C638">
        <v>1607</v>
      </c>
      <c r="D638">
        <v>0</v>
      </c>
      <c r="E638">
        <v>17</v>
      </c>
      <c r="F638" t="s">
        <v>128</v>
      </c>
      <c r="G638" t="s">
        <v>440</v>
      </c>
      <c r="H638" t="s">
        <v>127</v>
      </c>
      <c r="I638" t="s">
        <v>448</v>
      </c>
    </row>
    <row r="639" spans="1:9" x14ac:dyDescent="0.2">
      <c r="A639">
        <v>2942846</v>
      </c>
      <c r="B639">
        <v>2</v>
      </c>
      <c r="C639">
        <v>3212</v>
      </c>
      <c r="D639">
        <v>0</v>
      </c>
      <c r="E639">
        <v>29</v>
      </c>
      <c r="F639" t="s">
        <v>47</v>
      </c>
      <c r="G639" t="s">
        <v>84</v>
      </c>
      <c r="H639" t="s">
        <v>46</v>
      </c>
      <c r="I639">
        <v>10</v>
      </c>
    </row>
    <row r="640" spans="1:9" x14ac:dyDescent="0.2">
      <c r="A640">
        <v>2942846</v>
      </c>
      <c r="B640">
        <v>3</v>
      </c>
      <c r="C640">
        <v>3218</v>
      </c>
      <c r="D640">
        <v>56980</v>
      </c>
      <c r="E640">
        <v>24</v>
      </c>
      <c r="F640" t="s">
        <v>47</v>
      </c>
      <c r="G640" t="s">
        <v>66</v>
      </c>
      <c r="H640" t="s">
        <v>74</v>
      </c>
      <c r="I640">
        <v>10</v>
      </c>
    </row>
    <row r="641" spans="1:9" x14ac:dyDescent="0.2">
      <c r="A641">
        <v>2942846</v>
      </c>
      <c r="B641">
        <v>4</v>
      </c>
      <c r="C641">
        <v>3225</v>
      </c>
      <c r="D641">
        <v>0</v>
      </c>
      <c r="E641">
        <v>26</v>
      </c>
      <c r="F641" t="s">
        <v>47</v>
      </c>
      <c r="G641" t="s">
        <v>106</v>
      </c>
      <c r="H641" t="s">
        <v>46</v>
      </c>
      <c r="I641">
        <v>10</v>
      </c>
    </row>
    <row r="642" spans="1:9" x14ac:dyDescent="0.2">
      <c r="A642">
        <v>2957587</v>
      </c>
      <c r="B642">
        <v>1</v>
      </c>
      <c r="C642">
        <v>3248</v>
      </c>
      <c r="D642">
        <v>51515</v>
      </c>
      <c r="E642">
        <v>24</v>
      </c>
      <c r="F642" t="s">
        <v>47</v>
      </c>
      <c r="G642" t="s">
        <v>92</v>
      </c>
      <c r="H642" t="s">
        <v>46</v>
      </c>
      <c r="I642">
        <v>10</v>
      </c>
    </row>
    <row r="643" spans="1:9" x14ac:dyDescent="0.2">
      <c r="A643">
        <v>2957587</v>
      </c>
      <c r="B643">
        <v>2</v>
      </c>
      <c r="C643">
        <v>3252</v>
      </c>
      <c r="D643">
        <v>0</v>
      </c>
      <c r="E643">
        <v>26</v>
      </c>
      <c r="F643" t="s">
        <v>47</v>
      </c>
      <c r="G643" t="s">
        <v>45</v>
      </c>
      <c r="H643" t="s">
        <v>46</v>
      </c>
      <c r="I643">
        <v>10</v>
      </c>
    </row>
    <row r="644" spans="1:9" x14ac:dyDescent="0.2">
      <c r="A644">
        <v>2957587</v>
      </c>
      <c r="B644">
        <v>3</v>
      </c>
      <c r="C644">
        <v>3243</v>
      </c>
      <c r="D644">
        <v>0</v>
      </c>
      <c r="E644">
        <v>26</v>
      </c>
      <c r="F644" t="s">
        <v>47</v>
      </c>
      <c r="G644" t="s">
        <v>75</v>
      </c>
      <c r="H644" t="s">
        <v>46</v>
      </c>
      <c r="I644">
        <v>10</v>
      </c>
    </row>
    <row r="645" spans="1:9" x14ac:dyDescent="0.2">
      <c r="A645">
        <v>2957587</v>
      </c>
      <c r="B645">
        <v>4</v>
      </c>
      <c r="C645">
        <v>3211</v>
      </c>
      <c r="D645">
        <v>0</v>
      </c>
      <c r="E645">
        <v>26</v>
      </c>
      <c r="F645" t="s">
        <v>47</v>
      </c>
      <c r="G645" t="s">
        <v>99</v>
      </c>
      <c r="H645" t="s">
        <v>46</v>
      </c>
      <c r="I645">
        <v>10</v>
      </c>
    </row>
    <row r="646" spans="1:9" x14ac:dyDescent="0.2">
      <c r="A646">
        <v>2958548</v>
      </c>
      <c r="B646">
        <v>1</v>
      </c>
      <c r="C646">
        <v>1782</v>
      </c>
      <c r="D646">
        <v>59035</v>
      </c>
      <c r="E646">
        <v>25</v>
      </c>
      <c r="F646" t="s">
        <v>57</v>
      </c>
      <c r="G646" t="s">
        <v>63</v>
      </c>
      <c r="H646" t="s">
        <v>69</v>
      </c>
      <c r="I646">
        <v>10</v>
      </c>
    </row>
    <row r="647" spans="1:9" x14ac:dyDescent="0.2">
      <c r="A647">
        <v>2958548</v>
      </c>
      <c r="B647">
        <v>2</v>
      </c>
      <c r="C647">
        <v>1729</v>
      </c>
      <c r="D647">
        <v>58925</v>
      </c>
      <c r="E647">
        <v>24</v>
      </c>
      <c r="F647" t="s">
        <v>57</v>
      </c>
      <c r="G647" t="s">
        <v>72</v>
      </c>
      <c r="H647" t="s">
        <v>69</v>
      </c>
      <c r="I647">
        <v>10</v>
      </c>
    </row>
    <row r="648" spans="1:9" x14ac:dyDescent="0.2">
      <c r="A648">
        <v>2958548</v>
      </c>
      <c r="B648">
        <v>3</v>
      </c>
      <c r="C648">
        <v>1756</v>
      </c>
      <c r="D648">
        <v>0</v>
      </c>
      <c r="E648">
        <v>26</v>
      </c>
      <c r="F648" t="s">
        <v>57</v>
      </c>
      <c r="G648" t="s">
        <v>89</v>
      </c>
      <c r="H648" t="s">
        <v>69</v>
      </c>
      <c r="I648">
        <v>10</v>
      </c>
    </row>
    <row r="649" spans="1:9" x14ac:dyDescent="0.2">
      <c r="A649">
        <v>2958548</v>
      </c>
      <c r="B649">
        <v>4</v>
      </c>
      <c r="C649">
        <v>1788</v>
      </c>
      <c r="D649">
        <v>0</v>
      </c>
      <c r="E649">
        <v>26</v>
      </c>
      <c r="F649" t="s">
        <v>57</v>
      </c>
      <c r="G649" t="s">
        <v>97</v>
      </c>
      <c r="H649" t="s">
        <v>56</v>
      </c>
      <c r="I649">
        <v>10</v>
      </c>
    </row>
    <row r="650" spans="1:9" x14ac:dyDescent="0.2">
      <c r="A650">
        <v>2958548</v>
      </c>
      <c r="B650">
        <v>5</v>
      </c>
      <c r="C650">
        <v>3248</v>
      </c>
      <c r="D650">
        <v>0</v>
      </c>
      <c r="E650">
        <v>26</v>
      </c>
      <c r="F650" t="s">
        <v>47</v>
      </c>
      <c r="G650" t="s">
        <v>92</v>
      </c>
      <c r="H650" t="s">
        <v>46</v>
      </c>
      <c r="I650">
        <v>10</v>
      </c>
    </row>
    <row r="651" spans="1:9" x14ac:dyDescent="0.2">
      <c r="A651">
        <v>2958548</v>
      </c>
      <c r="B651">
        <v>6</v>
      </c>
      <c r="C651">
        <v>3261</v>
      </c>
      <c r="D651">
        <v>0</v>
      </c>
      <c r="E651">
        <v>26</v>
      </c>
      <c r="F651" t="s">
        <v>47</v>
      </c>
      <c r="G651" t="s">
        <v>93</v>
      </c>
      <c r="H651" t="s">
        <v>46</v>
      </c>
      <c r="I651">
        <v>10</v>
      </c>
    </row>
    <row r="652" spans="1:9" x14ac:dyDescent="0.2">
      <c r="A652">
        <v>2958548</v>
      </c>
      <c r="B652">
        <v>7</v>
      </c>
      <c r="C652">
        <v>3243</v>
      </c>
      <c r="D652">
        <v>0</v>
      </c>
      <c r="E652">
        <v>26</v>
      </c>
      <c r="F652" t="s">
        <v>47</v>
      </c>
      <c r="G652" t="s">
        <v>75</v>
      </c>
      <c r="H652" t="s">
        <v>46</v>
      </c>
      <c r="I652">
        <v>10</v>
      </c>
    </row>
    <row r="653" spans="1:9" x14ac:dyDescent="0.2">
      <c r="A653">
        <v>2958548</v>
      </c>
      <c r="B653">
        <v>8</v>
      </c>
      <c r="C653">
        <v>3234</v>
      </c>
      <c r="D653">
        <v>0</v>
      </c>
      <c r="E653">
        <v>26</v>
      </c>
      <c r="F653" t="s">
        <v>47</v>
      </c>
      <c r="G653" t="s">
        <v>76</v>
      </c>
      <c r="H653" t="s">
        <v>46</v>
      </c>
      <c r="I653">
        <v>10</v>
      </c>
    </row>
    <row r="654" spans="1:9" x14ac:dyDescent="0.2">
      <c r="A654">
        <v>2976187</v>
      </c>
      <c r="B654">
        <v>1</v>
      </c>
      <c r="C654">
        <v>3252</v>
      </c>
      <c r="D654">
        <v>51340</v>
      </c>
      <c r="E654">
        <v>25</v>
      </c>
      <c r="F654" t="s">
        <v>47</v>
      </c>
      <c r="G654" t="s">
        <v>45</v>
      </c>
      <c r="H654" t="s">
        <v>46</v>
      </c>
      <c r="I654">
        <v>10</v>
      </c>
    </row>
    <row r="655" spans="1:9" x14ac:dyDescent="0.2">
      <c r="A655">
        <v>2976187</v>
      </c>
      <c r="B655">
        <v>2</v>
      </c>
      <c r="C655">
        <v>3211</v>
      </c>
      <c r="D655">
        <v>51195</v>
      </c>
      <c r="E655">
        <v>24</v>
      </c>
      <c r="F655" t="s">
        <v>47</v>
      </c>
      <c r="G655" t="s">
        <v>99</v>
      </c>
      <c r="H655" t="s">
        <v>46</v>
      </c>
      <c r="I655">
        <v>10</v>
      </c>
    </row>
    <row r="656" spans="1:9" x14ac:dyDescent="0.2">
      <c r="A656">
        <v>2976187</v>
      </c>
      <c r="B656">
        <v>3</v>
      </c>
      <c r="C656">
        <v>3248</v>
      </c>
      <c r="D656">
        <v>0</v>
      </c>
      <c r="E656">
        <v>26</v>
      </c>
      <c r="F656" t="s">
        <v>47</v>
      </c>
      <c r="G656" t="s">
        <v>92</v>
      </c>
      <c r="H656" t="s">
        <v>46</v>
      </c>
      <c r="I656">
        <v>10</v>
      </c>
    </row>
    <row r="657" spans="1:9" x14ac:dyDescent="0.2">
      <c r="A657">
        <v>2976187</v>
      </c>
      <c r="B657">
        <v>4</v>
      </c>
      <c r="C657">
        <v>3212</v>
      </c>
      <c r="D657">
        <v>0</v>
      </c>
      <c r="E657">
        <v>26</v>
      </c>
      <c r="F657" t="s">
        <v>47</v>
      </c>
      <c r="G657" t="s">
        <v>84</v>
      </c>
      <c r="H657" t="s">
        <v>46</v>
      </c>
      <c r="I657">
        <v>10</v>
      </c>
    </row>
    <row r="658" spans="1:9" x14ac:dyDescent="0.2">
      <c r="A658">
        <v>2976187</v>
      </c>
      <c r="B658">
        <v>5</v>
      </c>
      <c r="C658">
        <v>3243</v>
      </c>
      <c r="D658">
        <v>0</v>
      </c>
      <c r="E658">
        <v>26</v>
      </c>
      <c r="F658" t="s">
        <v>47</v>
      </c>
      <c r="G658" t="s">
        <v>75</v>
      </c>
      <c r="H658" t="s">
        <v>46</v>
      </c>
      <c r="I658">
        <v>10</v>
      </c>
    </row>
    <row r="659" spans="1:9" x14ac:dyDescent="0.2">
      <c r="A659">
        <v>2976187</v>
      </c>
      <c r="B659">
        <v>6</v>
      </c>
      <c r="C659">
        <v>3251</v>
      </c>
      <c r="D659">
        <v>0</v>
      </c>
      <c r="E659">
        <v>26</v>
      </c>
      <c r="F659" t="s">
        <v>47</v>
      </c>
      <c r="G659" t="s">
        <v>48</v>
      </c>
      <c r="H659" t="s">
        <v>46</v>
      </c>
      <c r="I659">
        <v>10</v>
      </c>
    </row>
    <row r="660" spans="1:9" x14ac:dyDescent="0.2">
      <c r="A660">
        <v>2976188</v>
      </c>
      <c r="B660">
        <v>1</v>
      </c>
      <c r="C660">
        <v>1713</v>
      </c>
      <c r="D660">
        <v>61275</v>
      </c>
      <c r="E660">
        <v>25</v>
      </c>
      <c r="F660" t="s">
        <v>57</v>
      </c>
      <c r="G660" t="s">
        <v>170</v>
      </c>
      <c r="H660" t="s">
        <v>69</v>
      </c>
      <c r="I660">
        <v>10</v>
      </c>
    </row>
    <row r="661" spans="1:9" x14ac:dyDescent="0.2">
      <c r="A661">
        <v>2976188</v>
      </c>
      <c r="B661">
        <v>2</v>
      </c>
      <c r="C661">
        <v>1731</v>
      </c>
      <c r="D661">
        <v>61275</v>
      </c>
      <c r="E661">
        <v>25</v>
      </c>
      <c r="F661" t="s">
        <v>57</v>
      </c>
      <c r="G661" t="s">
        <v>172</v>
      </c>
      <c r="H661" t="s">
        <v>69</v>
      </c>
      <c r="I661">
        <v>10</v>
      </c>
    </row>
    <row r="662" spans="1:9" x14ac:dyDescent="0.2">
      <c r="A662">
        <v>2976188</v>
      </c>
      <c r="B662">
        <v>3</v>
      </c>
      <c r="C662">
        <v>3026</v>
      </c>
      <c r="D662">
        <v>60170</v>
      </c>
      <c r="E662">
        <v>25</v>
      </c>
      <c r="F662" t="s">
        <v>44</v>
      </c>
      <c r="G662" t="s">
        <v>170</v>
      </c>
      <c r="H662" t="s">
        <v>50</v>
      </c>
      <c r="I662">
        <v>9</v>
      </c>
    </row>
    <row r="663" spans="1:9" x14ac:dyDescent="0.2">
      <c r="A663">
        <v>2976188</v>
      </c>
      <c r="B663">
        <v>4</v>
      </c>
      <c r="C663">
        <v>3620</v>
      </c>
      <c r="D663">
        <v>62050</v>
      </c>
      <c r="E663">
        <v>25</v>
      </c>
      <c r="F663" t="s">
        <v>108</v>
      </c>
      <c r="G663" t="s">
        <v>170</v>
      </c>
      <c r="H663" t="s">
        <v>20</v>
      </c>
      <c r="I663">
        <v>8</v>
      </c>
    </row>
    <row r="664" spans="1:9" x14ac:dyDescent="0.2">
      <c r="A664">
        <v>2976188</v>
      </c>
      <c r="B664">
        <v>5</v>
      </c>
      <c r="C664">
        <v>1789</v>
      </c>
      <c r="D664">
        <v>61275</v>
      </c>
      <c r="E664">
        <v>25</v>
      </c>
      <c r="F664" t="s">
        <v>57</v>
      </c>
      <c r="G664" t="s">
        <v>122</v>
      </c>
      <c r="H664" t="s">
        <v>69</v>
      </c>
      <c r="I664">
        <v>10</v>
      </c>
    </row>
    <row r="665" spans="1:9" x14ac:dyDescent="0.2">
      <c r="A665">
        <v>2976188</v>
      </c>
      <c r="B665">
        <v>6</v>
      </c>
      <c r="C665">
        <v>3033</v>
      </c>
      <c r="D665">
        <v>60170</v>
      </c>
      <c r="E665">
        <v>25</v>
      </c>
      <c r="F665" t="s">
        <v>44</v>
      </c>
      <c r="G665" t="s">
        <v>122</v>
      </c>
      <c r="H665" t="s">
        <v>50</v>
      </c>
      <c r="I665">
        <v>9</v>
      </c>
    </row>
    <row r="666" spans="1:9" x14ac:dyDescent="0.2">
      <c r="A666">
        <v>2976188</v>
      </c>
      <c r="B666">
        <v>7</v>
      </c>
      <c r="C666">
        <v>1705</v>
      </c>
      <c r="D666">
        <v>60170</v>
      </c>
      <c r="E666">
        <v>25</v>
      </c>
      <c r="F666" t="s">
        <v>57</v>
      </c>
      <c r="G666" t="s">
        <v>102</v>
      </c>
      <c r="H666" t="s">
        <v>69</v>
      </c>
      <c r="I666">
        <v>10</v>
      </c>
    </row>
    <row r="667" spans="1:9" x14ac:dyDescent="0.2">
      <c r="A667">
        <v>2976188</v>
      </c>
      <c r="B667">
        <v>8</v>
      </c>
      <c r="C667">
        <v>3020</v>
      </c>
      <c r="D667">
        <v>60170</v>
      </c>
      <c r="E667">
        <v>25</v>
      </c>
      <c r="F667" t="s">
        <v>44</v>
      </c>
      <c r="G667" t="s">
        <v>102</v>
      </c>
      <c r="H667" t="s">
        <v>50</v>
      </c>
      <c r="I667">
        <v>9</v>
      </c>
    </row>
    <row r="668" spans="1:9" x14ac:dyDescent="0.2">
      <c r="A668">
        <v>2988722</v>
      </c>
      <c r="B668">
        <v>1</v>
      </c>
      <c r="C668">
        <v>1930</v>
      </c>
      <c r="D668">
        <v>52185</v>
      </c>
      <c r="E668">
        <v>25</v>
      </c>
      <c r="F668" t="s">
        <v>32</v>
      </c>
      <c r="G668" t="s">
        <v>63</v>
      </c>
      <c r="H668" t="s">
        <v>31</v>
      </c>
      <c r="I668">
        <v>5</v>
      </c>
    </row>
    <row r="669" spans="1:9" x14ac:dyDescent="0.2">
      <c r="A669">
        <v>3002384</v>
      </c>
      <c r="B669">
        <v>1</v>
      </c>
      <c r="C669">
        <v>3296</v>
      </c>
      <c r="D669">
        <v>47440</v>
      </c>
      <c r="E669">
        <v>25</v>
      </c>
      <c r="F669" t="s">
        <v>47</v>
      </c>
      <c r="G669" t="s">
        <v>100</v>
      </c>
      <c r="H669" t="s">
        <v>46</v>
      </c>
      <c r="I669">
        <v>10</v>
      </c>
    </row>
    <row r="670" spans="1:9" x14ac:dyDescent="0.2">
      <c r="A670">
        <v>3002384</v>
      </c>
      <c r="B670">
        <v>2</v>
      </c>
      <c r="C670">
        <v>3252</v>
      </c>
      <c r="D670">
        <v>47310</v>
      </c>
      <c r="E670">
        <v>25</v>
      </c>
      <c r="F670" t="s">
        <v>47</v>
      </c>
      <c r="G670" t="s">
        <v>45</v>
      </c>
      <c r="H670" t="s">
        <v>46</v>
      </c>
      <c r="I670">
        <v>10</v>
      </c>
    </row>
    <row r="671" spans="1:9" x14ac:dyDescent="0.2">
      <c r="A671">
        <v>3002384</v>
      </c>
      <c r="B671">
        <v>3</v>
      </c>
      <c r="C671">
        <v>3234</v>
      </c>
      <c r="D671">
        <v>47185</v>
      </c>
      <c r="E671">
        <v>25</v>
      </c>
      <c r="F671" t="s">
        <v>47</v>
      </c>
      <c r="G671" t="s">
        <v>76</v>
      </c>
      <c r="H671" t="s">
        <v>46</v>
      </c>
      <c r="I671">
        <v>10</v>
      </c>
    </row>
    <row r="672" spans="1:9" x14ac:dyDescent="0.2">
      <c r="A672">
        <v>3003510</v>
      </c>
      <c r="B672">
        <v>1</v>
      </c>
      <c r="C672">
        <v>1183</v>
      </c>
      <c r="D672">
        <v>0</v>
      </c>
      <c r="E672">
        <v>36</v>
      </c>
      <c r="F672" t="s">
        <v>17</v>
      </c>
      <c r="G672" t="s">
        <v>171</v>
      </c>
      <c r="H672" t="s">
        <v>16</v>
      </c>
      <c r="I672" t="s">
        <v>448</v>
      </c>
    </row>
    <row r="673" spans="1:9" x14ac:dyDescent="0.2">
      <c r="A673">
        <v>3003510</v>
      </c>
      <c r="B673">
        <v>2</v>
      </c>
      <c r="C673">
        <v>1142</v>
      </c>
      <c r="D673">
        <v>0</v>
      </c>
      <c r="E673">
        <v>36</v>
      </c>
      <c r="F673" t="s">
        <v>17</v>
      </c>
      <c r="G673" t="s">
        <v>114</v>
      </c>
      <c r="H673" t="s">
        <v>16</v>
      </c>
      <c r="I673" t="s">
        <v>448</v>
      </c>
    </row>
    <row r="674" spans="1:9" x14ac:dyDescent="0.2">
      <c r="A674">
        <v>3076954</v>
      </c>
      <c r="B674">
        <v>1</v>
      </c>
      <c r="C674">
        <v>3239</v>
      </c>
      <c r="D674">
        <v>0</v>
      </c>
      <c r="E674">
        <v>36</v>
      </c>
      <c r="F674" t="s">
        <v>47</v>
      </c>
      <c r="G674" t="s">
        <v>107</v>
      </c>
      <c r="H674" t="s">
        <v>46</v>
      </c>
      <c r="I674">
        <v>10</v>
      </c>
    </row>
    <row r="675" spans="1:9" x14ac:dyDescent="0.2">
      <c r="A675">
        <v>3095825</v>
      </c>
      <c r="B675">
        <v>1</v>
      </c>
      <c r="C675">
        <v>3237</v>
      </c>
      <c r="D675">
        <v>43575</v>
      </c>
      <c r="E675">
        <v>25</v>
      </c>
      <c r="F675" t="s">
        <v>47</v>
      </c>
      <c r="G675" t="s">
        <v>181</v>
      </c>
      <c r="H675" t="s">
        <v>46</v>
      </c>
      <c r="I675">
        <v>10</v>
      </c>
    </row>
    <row r="676" spans="1:9" x14ac:dyDescent="0.2">
      <c r="A676">
        <v>3099476</v>
      </c>
      <c r="B676">
        <v>1</v>
      </c>
      <c r="C676">
        <v>1573</v>
      </c>
      <c r="D676">
        <v>57555</v>
      </c>
      <c r="E676">
        <v>25</v>
      </c>
      <c r="F676" t="s">
        <v>142</v>
      </c>
      <c r="G676" t="s">
        <v>84</v>
      </c>
      <c r="H676" t="s">
        <v>113</v>
      </c>
      <c r="I676">
        <v>5</v>
      </c>
    </row>
    <row r="677" spans="1:9" x14ac:dyDescent="0.2">
      <c r="A677">
        <v>3126076</v>
      </c>
      <c r="B677">
        <v>1</v>
      </c>
      <c r="C677">
        <v>1786</v>
      </c>
      <c r="D677">
        <v>61975</v>
      </c>
      <c r="E677">
        <v>24</v>
      </c>
      <c r="F677" t="s">
        <v>57</v>
      </c>
      <c r="G677" t="s">
        <v>103</v>
      </c>
      <c r="H677" t="s">
        <v>56</v>
      </c>
      <c r="I677">
        <v>10</v>
      </c>
    </row>
    <row r="678" spans="1:9" x14ac:dyDescent="0.2">
      <c r="A678">
        <v>3126076</v>
      </c>
      <c r="B678">
        <v>2</v>
      </c>
      <c r="C678">
        <v>1734</v>
      </c>
      <c r="D678">
        <v>0</v>
      </c>
      <c r="E678">
        <v>26</v>
      </c>
      <c r="F678" t="s">
        <v>57</v>
      </c>
      <c r="G678" t="s">
        <v>81</v>
      </c>
      <c r="H678" t="s">
        <v>69</v>
      </c>
      <c r="I678">
        <v>10</v>
      </c>
    </row>
    <row r="679" spans="1:9" x14ac:dyDescent="0.2">
      <c r="A679">
        <v>3126076</v>
      </c>
      <c r="B679">
        <v>3</v>
      </c>
      <c r="C679">
        <v>1705</v>
      </c>
      <c r="D679">
        <v>0</v>
      </c>
      <c r="E679">
        <v>26</v>
      </c>
      <c r="F679" t="s">
        <v>57</v>
      </c>
      <c r="G679" t="s">
        <v>102</v>
      </c>
      <c r="H679" t="s">
        <v>69</v>
      </c>
      <c r="I679">
        <v>10</v>
      </c>
    </row>
    <row r="680" spans="1:9" x14ac:dyDescent="0.2">
      <c r="A680">
        <v>3126076</v>
      </c>
      <c r="B680">
        <v>4</v>
      </c>
      <c r="C680">
        <v>1702</v>
      </c>
      <c r="D680">
        <v>0</v>
      </c>
      <c r="E680">
        <v>26</v>
      </c>
      <c r="F680" t="s">
        <v>57</v>
      </c>
      <c r="G680" t="s">
        <v>164</v>
      </c>
      <c r="H680" t="s">
        <v>69</v>
      </c>
      <c r="I680">
        <v>10</v>
      </c>
    </row>
    <row r="681" spans="1:9" x14ac:dyDescent="0.2">
      <c r="A681">
        <v>3126076</v>
      </c>
      <c r="B681">
        <v>5</v>
      </c>
      <c r="C681">
        <v>1728</v>
      </c>
      <c r="D681">
        <v>0</v>
      </c>
      <c r="E681">
        <v>26</v>
      </c>
      <c r="F681" t="s">
        <v>57</v>
      </c>
      <c r="G681" t="s">
        <v>103</v>
      </c>
      <c r="H681" t="s">
        <v>69</v>
      </c>
      <c r="I681">
        <v>10</v>
      </c>
    </row>
    <row r="682" spans="1:9" x14ac:dyDescent="0.2">
      <c r="A682">
        <v>3146201</v>
      </c>
      <c r="B682">
        <v>1</v>
      </c>
      <c r="C682">
        <v>1713</v>
      </c>
      <c r="D682">
        <v>66310</v>
      </c>
      <c r="E682">
        <v>25</v>
      </c>
      <c r="F682" t="s">
        <v>57</v>
      </c>
      <c r="G682" t="s">
        <v>170</v>
      </c>
      <c r="H682" t="s">
        <v>69</v>
      </c>
      <c r="I682">
        <v>10</v>
      </c>
    </row>
    <row r="683" spans="1:9" x14ac:dyDescent="0.2">
      <c r="A683">
        <v>3146201</v>
      </c>
      <c r="B683">
        <v>2</v>
      </c>
      <c r="C683">
        <v>1789</v>
      </c>
      <c r="D683">
        <v>66310</v>
      </c>
      <c r="E683">
        <v>25</v>
      </c>
      <c r="F683" t="s">
        <v>57</v>
      </c>
      <c r="G683" t="s">
        <v>122</v>
      </c>
      <c r="H683" t="s">
        <v>69</v>
      </c>
      <c r="I683">
        <v>10</v>
      </c>
    </row>
    <row r="684" spans="1:9" x14ac:dyDescent="0.2">
      <c r="A684">
        <v>3146201</v>
      </c>
      <c r="B684">
        <v>3</v>
      </c>
      <c r="C684">
        <v>1776</v>
      </c>
      <c r="D684">
        <v>66360</v>
      </c>
      <c r="E684">
        <v>24</v>
      </c>
      <c r="F684" t="s">
        <v>57</v>
      </c>
      <c r="G684" t="s">
        <v>124</v>
      </c>
      <c r="H684" t="s">
        <v>125</v>
      </c>
      <c r="I684">
        <v>10</v>
      </c>
    </row>
    <row r="685" spans="1:9" x14ac:dyDescent="0.2">
      <c r="A685">
        <v>3146201</v>
      </c>
      <c r="B685">
        <v>4</v>
      </c>
      <c r="C685">
        <v>1705</v>
      </c>
      <c r="D685">
        <v>0</v>
      </c>
      <c r="E685">
        <v>26</v>
      </c>
      <c r="F685" t="s">
        <v>57</v>
      </c>
      <c r="G685" t="s">
        <v>102</v>
      </c>
      <c r="H685" t="s">
        <v>69</v>
      </c>
      <c r="I685">
        <v>10</v>
      </c>
    </row>
    <row r="686" spans="1:9" x14ac:dyDescent="0.2">
      <c r="A686">
        <v>3158145</v>
      </c>
      <c r="B686">
        <v>1</v>
      </c>
      <c r="C686">
        <v>3239</v>
      </c>
      <c r="D686">
        <v>63290</v>
      </c>
      <c r="E686">
        <v>24</v>
      </c>
      <c r="F686" t="s">
        <v>47</v>
      </c>
      <c r="G686" t="s">
        <v>107</v>
      </c>
      <c r="H686" t="s">
        <v>46</v>
      </c>
      <c r="I686">
        <v>10</v>
      </c>
    </row>
    <row r="687" spans="1:9" x14ac:dyDescent="0.2">
      <c r="A687">
        <v>3158145</v>
      </c>
      <c r="B687">
        <v>2</v>
      </c>
      <c r="C687">
        <v>3214</v>
      </c>
      <c r="D687">
        <v>0</v>
      </c>
      <c r="E687">
        <v>26</v>
      </c>
      <c r="F687" t="s">
        <v>47</v>
      </c>
      <c r="G687" t="s">
        <v>98</v>
      </c>
      <c r="H687" t="s">
        <v>74</v>
      </c>
      <c r="I687">
        <v>10</v>
      </c>
    </row>
    <row r="688" spans="1:9" x14ac:dyDescent="0.2">
      <c r="A688">
        <v>3158145</v>
      </c>
      <c r="B688">
        <v>3</v>
      </c>
      <c r="C688">
        <v>3234</v>
      </c>
      <c r="D688">
        <v>0</v>
      </c>
      <c r="E688">
        <v>26</v>
      </c>
      <c r="F688" t="s">
        <v>47</v>
      </c>
      <c r="G688" t="s">
        <v>76</v>
      </c>
      <c r="H688" t="s">
        <v>46</v>
      </c>
      <c r="I688">
        <v>10</v>
      </c>
    </row>
    <row r="689" spans="1:9" x14ac:dyDescent="0.2">
      <c r="A689">
        <v>3158145</v>
      </c>
      <c r="B689">
        <v>4</v>
      </c>
      <c r="C689">
        <v>3244</v>
      </c>
      <c r="D689">
        <v>0</v>
      </c>
      <c r="E689">
        <v>26</v>
      </c>
      <c r="F689" t="s">
        <v>47</v>
      </c>
      <c r="G689" t="s">
        <v>73</v>
      </c>
      <c r="H689" t="s">
        <v>74</v>
      </c>
      <c r="I689">
        <v>10</v>
      </c>
    </row>
    <row r="690" spans="1:9" x14ac:dyDescent="0.2">
      <c r="A690">
        <v>3158145</v>
      </c>
      <c r="B690">
        <v>5</v>
      </c>
      <c r="C690">
        <v>3248</v>
      </c>
      <c r="D690">
        <v>0</v>
      </c>
      <c r="E690">
        <v>26</v>
      </c>
      <c r="F690" t="s">
        <v>47</v>
      </c>
      <c r="G690" t="s">
        <v>92</v>
      </c>
      <c r="H690" t="s">
        <v>46</v>
      </c>
      <c r="I690">
        <v>10</v>
      </c>
    </row>
    <row r="691" spans="1:9" x14ac:dyDescent="0.2">
      <c r="A691">
        <v>3158145</v>
      </c>
      <c r="B691">
        <v>6</v>
      </c>
      <c r="C691">
        <v>3252</v>
      </c>
      <c r="D691">
        <v>0</v>
      </c>
      <c r="E691">
        <v>26</v>
      </c>
      <c r="F691" t="s">
        <v>47</v>
      </c>
      <c r="G691" t="s">
        <v>45</v>
      </c>
      <c r="H691" t="s">
        <v>46</v>
      </c>
      <c r="I691">
        <v>10</v>
      </c>
    </row>
    <row r="692" spans="1:9" x14ac:dyDescent="0.2">
      <c r="A692">
        <v>3160919</v>
      </c>
      <c r="B692">
        <v>1</v>
      </c>
      <c r="C692">
        <v>1472</v>
      </c>
      <c r="D692">
        <v>55415</v>
      </c>
      <c r="E692">
        <v>25</v>
      </c>
      <c r="F692" t="s">
        <v>25</v>
      </c>
      <c r="G692" t="s">
        <v>327</v>
      </c>
      <c r="H692" t="s">
        <v>24</v>
      </c>
      <c r="I692">
        <v>5</v>
      </c>
    </row>
    <row r="693" spans="1:9" x14ac:dyDescent="0.2">
      <c r="A693">
        <v>3160919</v>
      </c>
      <c r="B693">
        <v>2</v>
      </c>
      <c r="C693">
        <v>1477</v>
      </c>
      <c r="D693">
        <v>55415</v>
      </c>
      <c r="E693">
        <v>24</v>
      </c>
      <c r="F693" t="s">
        <v>25</v>
      </c>
      <c r="G693" t="s">
        <v>106</v>
      </c>
      <c r="H693" t="s">
        <v>24</v>
      </c>
      <c r="I693">
        <v>5</v>
      </c>
    </row>
    <row r="694" spans="1:9" x14ac:dyDescent="0.2">
      <c r="A694">
        <v>3160919</v>
      </c>
      <c r="B694">
        <v>3</v>
      </c>
      <c r="C694">
        <v>1788</v>
      </c>
      <c r="D694">
        <v>0</v>
      </c>
      <c r="E694">
        <v>26</v>
      </c>
      <c r="F694" t="s">
        <v>57</v>
      </c>
      <c r="G694" t="s">
        <v>97</v>
      </c>
      <c r="H694" t="s">
        <v>56</v>
      </c>
      <c r="I694">
        <v>10</v>
      </c>
    </row>
    <row r="695" spans="1:9" x14ac:dyDescent="0.2">
      <c r="A695">
        <v>3160919</v>
      </c>
      <c r="B695">
        <v>4</v>
      </c>
      <c r="C695">
        <v>1563</v>
      </c>
      <c r="D695">
        <v>0</v>
      </c>
      <c r="E695">
        <v>26</v>
      </c>
      <c r="F695" t="s">
        <v>142</v>
      </c>
      <c r="G695" t="s">
        <v>328</v>
      </c>
      <c r="H695" t="s">
        <v>329</v>
      </c>
      <c r="I695">
        <v>5</v>
      </c>
    </row>
    <row r="696" spans="1:9" x14ac:dyDescent="0.2">
      <c r="A696">
        <v>3160919</v>
      </c>
      <c r="B696">
        <v>5</v>
      </c>
      <c r="C696">
        <v>1468</v>
      </c>
      <c r="D696">
        <v>0</v>
      </c>
      <c r="E696">
        <v>26</v>
      </c>
      <c r="F696" t="s">
        <v>25</v>
      </c>
      <c r="G696" t="s">
        <v>330</v>
      </c>
      <c r="H696" t="s">
        <v>24</v>
      </c>
      <c r="I696">
        <v>5</v>
      </c>
    </row>
    <row r="697" spans="1:9" x14ac:dyDescent="0.2">
      <c r="A697">
        <v>3160919</v>
      </c>
      <c r="B697">
        <v>6</v>
      </c>
      <c r="C697">
        <v>1480</v>
      </c>
      <c r="D697">
        <v>0</v>
      </c>
      <c r="E697">
        <v>26</v>
      </c>
      <c r="F697" t="s">
        <v>25</v>
      </c>
      <c r="G697" t="s">
        <v>331</v>
      </c>
      <c r="H697" t="s">
        <v>24</v>
      </c>
      <c r="I697">
        <v>5</v>
      </c>
    </row>
    <row r="698" spans="1:9" x14ac:dyDescent="0.2">
      <c r="A698">
        <v>3160919</v>
      </c>
      <c r="B698">
        <v>7</v>
      </c>
      <c r="C698">
        <v>1544</v>
      </c>
      <c r="D698">
        <v>0</v>
      </c>
      <c r="E698">
        <v>26</v>
      </c>
      <c r="F698" t="s">
        <v>142</v>
      </c>
      <c r="G698" t="s">
        <v>332</v>
      </c>
      <c r="H698" t="s">
        <v>241</v>
      </c>
      <c r="I698">
        <v>5</v>
      </c>
    </row>
    <row r="699" spans="1:9" x14ac:dyDescent="0.2">
      <c r="A699">
        <v>3234118</v>
      </c>
      <c r="B699">
        <v>1</v>
      </c>
      <c r="C699">
        <v>3269</v>
      </c>
      <c r="D699">
        <v>54275</v>
      </c>
      <c r="E699">
        <v>24</v>
      </c>
      <c r="F699" t="s">
        <v>47</v>
      </c>
      <c r="G699" t="s">
        <v>180</v>
      </c>
      <c r="H699" t="s">
        <v>46</v>
      </c>
      <c r="I699">
        <v>10</v>
      </c>
    </row>
    <row r="700" spans="1:9" x14ac:dyDescent="0.2">
      <c r="A700">
        <v>3234118</v>
      </c>
      <c r="B700">
        <v>2</v>
      </c>
      <c r="C700">
        <v>3225</v>
      </c>
      <c r="D700">
        <v>0</v>
      </c>
      <c r="E700">
        <v>26</v>
      </c>
      <c r="F700" t="s">
        <v>47</v>
      </c>
      <c r="G700" t="s">
        <v>106</v>
      </c>
      <c r="H700" t="s">
        <v>46</v>
      </c>
      <c r="I700">
        <v>10</v>
      </c>
    </row>
    <row r="701" spans="1:9" x14ac:dyDescent="0.2">
      <c r="A701">
        <v>3234118</v>
      </c>
      <c r="B701">
        <v>3</v>
      </c>
      <c r="C701">
        <v>3237</v>
      </c>
      <c r="D701">
        <v>0</v>
      </c>
      <c r="E701">
        <v>26</v>
      </c>
      <c r="F701" t="s">
        <v>47</v>
      </c>
      <c r="G701" t="s">
        <v>181</v>
      </c>
      <c r="H701" t="s">
        <v>46</v>
      </c>
      <c r="I701">
        <v>10</v>
      </c>
    </row>
    <row r="702" spans="1:9" x14ac:dyDescent="0.2">
      <c r="A702">
        <v>3234118</v>
      </c>
      <c r="B702">
        <v>4</v>
      </c>
      <c r="C702">
        <v>3248</v>
      </c>
      <c r="D702">
        <v>0</v>
      </c>
      <c r="E702">
        <v>26</v>
      </c>
      <c r="F702" t="s">
        <v>47</v>
      </c>
      <c r="G702" t="s">
        <v>92</v>
      </c>
      <c r="H702" t="s">
        <v>46</v>
      </c>
      <c r="I702">
        <v>10</v>
      </c>
    </row>
    <row r="703" spans="1:9" x14ac:dyDescent="0.2">
      <c r="A703">
        <v>3262196</v>
      </c>
      <c r="B703">
        <v>1</v>
      </c>
      <c r="C703">
        <v>1929</v>
      </c>
      <c r="D703">
        <v>56545</v>
      </c>
      <c r="E703">
        <v>24</v>
      </c>
      <c r="F703" t="s">
        <v>32</v>
      </c>
      <c r="G703" t="s">
        <v>232</v>
      </c>
      <c r="H703" t="s">
        <v>113</v>
      </c>
      <c r="I703">
        <v>5</v>
      </c>
    </row>
    <row r="704" spans="1:9" x14ac:dyDescent="0.2">
      <c r="A704">
        <v>3262196</v>
      </c>
      <c r="B704">
        <v>2</v>
      </c>
      <c r="C704">
        <v>3296</v>
      </c>
      <c r="D704">
        <v>0</v>
      </c>
      <c r="E704">
        <v>26</v>
      </c>
      <c r="F704" t="s">
        <v>47</v>
      </c>
      <c r="G704" t="s">
        <v>100</v>
      </c>
      <c r="H704" t="s">
        <v>46</v>
      </c>
      <c r="I704">
        <v>10</v>
      </c>
    </row>
    <row r="705" spans="1:9" x14ac:dyDescent="0.2">
      <c r="A705">
        <v>3262196</v>
      </c>
      <c r="B705">
        <v>3</v>
      </c>
      <c r="C705">
        <v>1765</v>
      </c>
      <c r="D705">
        <v>0</v>
      </c>
      <c r="E705">
        <v>26</v>
      </c>
      <c r="F705" t="s">
        <v>57</v>
      </c>
      <c r="G705" t="s">
        <v>68</v>
      </c>
      <c r="H705" t="s">
        <v>69</v>
      </c>
      <c r="I705">
        <v>10</v>
      </c>
    </row>
    <row r="706" spans="1:9" x14ac:dyDescent="0.2">
      <c r="A706">
        <v>3262196</v>
      </c>
      <c r="B706">
        <v>4</v>
      </c>
      <c r="C706">
        <v>1684</v>
      </c>
      <c r="D706">
        <v>0</v>
      </c>
      <c r="E706">
        <v>26</v>
      </c>
      <c r="F706" t="s">
        <v>128</v>
      </c>
      <c r="G706" t="s">
        <v>225</v>
      </c>
      <c r="H706" t="s">
        <v>127</v>
      </c>
      <c r="I706" t="s">
        <v>448</v>
      </c>
    </row>
    <row r="707" spans="1:9" x14ac:dyDescent="0.2">
      <c r="A707">
        <v>3262196</v>
      </c>
      <c r="B707">
        <v>5</v>
      </c>
      <c r="C707">
        <v>3243</v>
      </c>
      <c r="D707">
        <v>0</v>
      </c>
      <c r="E707">
        <v>26</v>
      </c>
      <c r="F707" t="s">
        <v>47</v>
      </c>
      <c r="G707" t="s">
        <v>75</v>
      </c>
      <c r="H707" t="s">
        <v>46</v>
      </c>
      <c r="I707">
        <v>10</v>
      </c>
    </row>
    <row r="708" spans="1:9" x14ac:dyDescent="0.2">
      <c r="A708">
        <v>3262196</v>
      </c>
      <c r="B708">
        <v>6</v>
      </c>
      <c r="C708">
        <v>3234</v>
      </c>
      <c r="D708">
        <v>0</v>
      </c>
      <c r="E708">
        <v>26</v>
      </c>
      <c r="F708" t="s">
        <v>47</v>
      </c>
      <c r="G708" t="s">
        <v>76</v>
      </c>
      <c r="H708" t="s">
        <v>46</v>
      </c>
      <c r="I708">
        <v>10</v>
      </c>
    </row>
    <row r="709" spans="1:9" x14ac:dyDescent="0.2">
      <c r="A709">
        <v>3262196</v>
      </c>
      <c r="B709">
        <v>7</v>
      </c>
      <c r="C709">
        <v>2182</v>
      </c>
      <c r="D709">
        <v>0</v>
      </c>
      <c r="E709">
        <v>16</v>
      </c>
      <c r="F709" t="s">
        <v>193</v>
      </c>
      <c r="G709" t="s">
        <v>230</v>
      </c>
      <c r="H709" t="s">
        <v>231</v>
      </c>
      <c r="I709" t="s">
        <v>448</v>
      </c>
    </row>
    <row r="710" spans="1:9" x14ac:dyDescent="0.2">
      <c r="A710">
        <v>3262196</v>
      </c>
      <c r="B710">
        <v>8</v>
      </c>
      <c r="C710">
        <v>2086</v>
      </c>
      <c r="D710">
        <v>0</v>
      </c>
      <c r="E710">
        <v>16</v>
      </c>
      <c r="F710" t="s">
        <v>132</v>
      </c>
      <c r="G710" t="s">
        <v>321</v>
      </c>
      <c r="H710" t="s">
        <v>322</v>
      </c>
      <c r="I710" t="s">
        <v>448</v>
      </c>
    </row>
    <row r="711" spans="1:9" x14ac:dyDescent="0.2">
      <c r="A711">
        <v>3273665</v>
      </c>
      <c r="B711">
        <v>1</v>
      </c>
      <c r="C711">
        <v>3012</v>
      </c>
      <c r="D711">
        <v>62700</v>
      </c>
      <c r="E711">
        <v>24</v>
      </c>
      <c r="F711" t="s">
        <v>44</v>
      </c>
      <c r="G711" t="s">
        <v>78</v>
      </c>
      <c r="H711" t="s">
        <v>55</v>
      </c>
      <c r="I711">
        <v>9</v>
      </c>
    </row>
    <row r="712" spans="1:9" x14ac:dyDescent="0.2">
      <c r="A712">
        <v>3273665</v>
      </c>
      <c r="B712">
        <v>2</v>
      </c>
      <c r="C712">
        <v>3002</v>
      </c>
      <c r="D712">
        <v>0</v>
      </c>
      <c r="E712">
        <v>26</v>
      </c>
      <c r="F712" t="s">
        <v>44</v>
      </c>
      <c r="G712" t="s">
        <v>147</v>
      </c>
      <c r="H712" t="s">
        <v>55</v>
      </c>
      <c r="I712">
        <v>9</v>
      </c>
    </row>
    <row r="713" spans="1:9" x14ac:dyDescent="0.2">
      <c r="A713">
        <v>3273665</v>
      </c>
      <c r="B713">
        <v>3</v>
      </c>
      <c r="C713">
        <v>3077</v>
      </c>
      <c r="D713">
        <v>0</v>
      </c>
      <c r="E713">
        <v>26</v>
      </c>
      <c r="F713" t="s">
        <v>44</v>
      </c>
      <c r="G713" t="s">
        <v>120</v>
      </c>
      <c r="H713" t="s">
        <v>61</v>
      </c>
      <c r="I713">
        <v>9</v>
      </c>
    </row>
    <row r="714" spans="1:9" x14ac:dyDescent="0.2">
      <c r="A714">
        <v>3273665</v>
      </c>
      <c r="B714">
        <v>4</v>
      </c>
      <c r="C714">
        <v>3074</v>
      </c>
      <c r="D714">
        <v>0</v>
      </c>
      <c r="E714">
        <v>26</v>
      </c>
      <c r="F714" t="s">
        <v>44</v>
      </c>
      <c r="G714" t="s">
        <v>152</v>
      </c>
      <c r="H714" t="s">
        <v>61</v>
      </c>
      <c r="I714">
        <v>9</v>
      </c>
    </row>
    <row r="715" spans="1:9" x14ac:dyDescent="0.2">
      <c r="A715">
        <v>3273665</v>
      </c>
      <c r="B715">
        <v>5</v>
      </c>
      <c r="C715">
        <v>3020</v>
      </c>
      <c r="D715">
        <v>0</v>
      </c>
      <c r="E715">
        <v>26</v>
      </c>
      <c r="F715" t="s">
        <v>44</v>
      </c>
      <c r="G715" t="s">
        <v>102</v>
      </c>
      <c r="H715" t="s">
        <v>50</v>
      </c>
      <c r="I715">
        <v>9</v>
      </c>
    </row>
    <row r="716" spans="1:9" x14ac:dyDescent="0.2">
      <c r="A716">
        <v>3273665</v>
      </c>
      <c r="B716">
        <v>6</v>
      </c>
      <c r="C716">
        <v>3032</v>
      </c>
      <c r="D716">
        <v>0</v>
      </c>
      <c r="E716">
        <v>26</v>
      </c>
      <c r="F716" t="s">
        <v>44</v>
      </c>
      <c r="G716" t="s">
        <v>151</v>
      </c>
      <c r="H716" t="s">
        <v>50</v>
      </c>
      <c r="I716">
        <v>9</v>
      </c>
    </row>
    <row r="717" spans="1:9" x14ac:dyDescent="0.2">
      <c r="A717">
        <v>3329433</v>
      </c>
      <c r="B717">
        <v>1</v>
      </c>
      <c r="C717">
        <v>1155</v>
      </c>
      <c r="D717">
        <v>62730</v>
      </c>
      <c r="E717">
        <v>25</v>
      </c>
      <c r="F717" t="s">
        <v>17</v>
      </c>
      <c r="G717" t="s">
        <v>62</v>
      </c>
      <c r="H717" t="s">
        <v>16</v>
      </c>
      <c r="I717" t="s">
        <v>448</v>
      </c>
    </row>
    <row r="718" spans="1:9" x14ac:dyDescent="0.2">
      <c r="A718">
        <v>3329433</v>
      </c>
      <c r="B718">
        <v>2</v>
      </c>
      <c r="C718">
        <v>1178</v>
      </c>
      <c r="D718">
        <v>60050</v>
      </c>
      <c r="E718">
        <v>25</v>
      </c>
      <c r="F718" t="s">
        <v>17</v>
      </c>
      <c r="G718" t="s">
        <v>238</v>
      </c>
      <c r="H718" t="s">
        <v>16</v>
      </c>
      <c r="I718" t="s">
        <v>448</v>
      </c>
    </row>
    <row r="719" spans="1:9" x14ac:dyDescent="0.2">
      <c r="A719">
        <v>3329433</v>
      </c>
      <c r="B719">
        <v>3</v>
      </c>
      <c r="C719">
        <v>1221</v>
      </c>
      <c r="D719">
        <v>62730</v>
      </c>
      <c r="E719">
        <v>25</v>
      </c>
      <c r="F719" t="s">
        <v>19</v>
      </c>
      <c r="G719" t="s">
        <v>63</v>
      </c>
      <c r="H719" t="s">
        <v>16</v>
      </c>
      <c r="I719" t="s">
        <v>448</v>
      </c>
    </row>
    <row r="720" spans="1:9" x14ac:dyDescent="0.2">
      <c r="A720">
        <v>3329433</v>
      </c>
      <c r="B720">
        <v>4</v>
      </c>
      <c r="C720">
        <v>1324</v>
      </c>
      <c r="D720">
        <v>61520</v>
      </c>
      <c r="E720">
        <v>25</v>
      </c>
      <c r="F720" t="s">
        <v>21</v>
      </c>
      <c r="G720" t="s">
        <v>63</v>
      </c>
      <c r="H720" t="s">
        <v>20</v>
      </c>
      <c r="I720">
        <v>8</v>
      </c>
    </row>
    <row r="721" spans="1:9" x14ac:dyDescent="0.2">
      <c r="A721">
        <v>3329433</v>
      </c>
      <c r="B721">
        <v>5</v>
      </c>
      <c r="C721">
        <v>1782</v>
      </c>
      <c r="D721">
        <v>61260</v>
      </c>
      <c r="E721">
        <v>24</v>
      </c>
      <c r="F721" t="s">
        <v>57</v>
      </c>
      <c r="G721" t="s">
        <v>63</v>
      </c>
      <c r="H721" t="s">
        <v>69</v>
      </c>
      <c r="I721">
        <v>10</v>
      </c>
    </row>
    <row r="722" spans="1:9" x14ac:dyDescent="0.2">
      <c r="A722">
        <v>3329433</v>
      </c>
      <c r="B722">
        <v>6</v>
      </c>
      <c r="C722">
        <v>3601</v>
      </c>
      <c r="D722">
        <v>0</v>
      </c>
      <c r="E722">
        <v>26</v>
      </c>
      <c r="F722" t="s">
        <v>108</v>
      </c>
      <c r="G722" t="s">
        <v>63</v>
      </c>
      <c r="H722" t="s">
        <v>20</v>
      </c>
      <c r="I722">
        <v>8</v>
      </c>
    </row>
    <row r="723" spans="1:9" x14ac:dyDescent="0.2">
      <c r="A723">
        <v>3362769</v>
      </c>
      <c r="B723">
        <v>1</v>
      </c>
      <c r="C723">
        <v>3243</v>
      </c>
      <c r="D723">
        <v>50840</v>
      </c>
      <c r="E723">
        <v>25</v>
      </c>
      <c r="F723" t="s">
        <v>47</v>
      </c>
      <c r="G723" t="s">
        <v>75</v>
      </c>
      <c r="H723" t="s">
        <v>46</v>
      </c>
      <c r="I723">
        <v>10</v>
      </c>
    </row>
    <row r="724" spans="1:9" x14ac:dyDescent="0.2">
      <c r="A724">
        <v>3362769</v>
      </c>
      <c r="B724">
        <v>2</v>
      </c>
      <c r="C724">
        <v>3252</v>
      </c>
      <c r="D724">
        <v>48325</v>
      </c>
      <c r="E724">
        <v>25</v>
      </c>
      <c r="F724" t="s">
        <v>47</v>
      </c>
      <c r="G724" t="s">
        <v>45</v>
      </c>
      <c r="H724" t="s">
        <v>46</v>
      </c>
      <c r="I724">
        <v>10</v>
      </c>
    </row>
    <row r="725" spans="1:9" x14ac:dyDescent="0.2">
      <c r="A725">
        <v>3362769</v>
      </c>
      <c r="B725">
        <v>3</v>
      </c>
      <c r="C725">
        <v>3251</v>
      </c>
      <c r="D725">
        <v>49625</v>
      </c>
      <c r="E725">
        <v>24</v>
      </c>
      <c r="F725" t="s">
        <v>47</v>
      </c>
      <c r="G725" t="s">
        <v>48</v>
      </c>
      <c r="H725" t="s">
        <v>46</v>
      </c>
      <c r="I725">
        <v>10</v>
      </c>
    </row>
    <row r="726" spans="1:9" x14ac:dyDescent="0.2">
      <c r="A726">
        <v>3384677</v>
      </c>
      <c r="B726">
        <v>1</v>
      </c>
      <c r="C726">
        <v>1714</v>
      </c>
      <c r="D726">
        <v>0</v>
      </c>
      <c r="E726">
        <v>30</v>
      </c>
      <c r="F726" t="s">
        <v>57</v>
      </c>
      <c r="G726" t="s">
        <v>95</v>
      </c>
      <c r="H726" t="s">
        <v>69</v>
      </c>
      <c r="I726">
        <v>10</v>
      </c>
    </row>
    <row r="727" spans="1:9" x14ac:dyDescent="0.2">
      <c r="A727">
        <v>3384678</v>
      </c>
      <c r="B727">
        <v>1</v>
      </c>
      <c r="C727">
        <v>1785</v>
      </c>
      <c r="D727">
        <v>53780</v>
      </c>
      <c r="E727">
        <v>25</v>
      </c>
      <c r="F727" t="s">
        <v>57</v>
      </c>
      <c r="G727" t="s">
        <v>86</v>
      </c>
      <c r="H727" t="s">
        <v>69</v>
      </c>
      <c r="I727">
        <v>10</v>
      </c>
    </row>
    <row r="728" spans="1:9" x14ac:dyDescent="0.2">
      <c r="A728">
        <v>3384678</v>
      </c>
      <c r="B728">
        <v>2</v>
      </c>
      <c r="C728">
        <v>3726</v>
      </c>
      <c r="D728">
        <v>54580</v>
      </c>
      <c r="E728">
        <v>24</v>
      </c>
      <c r="F728" t="s">
        <v>116</v>
      </c>
      <c r="G728" t="s">
        <v>287</v>
      </c>
      <c r="H728" t="s">
        <v>61</v>
      </c>
      <c r="I728">
        <v>9</v>
      </c>
    </row>
    <row r="729" spans="1:9" x14ac:dyDescent="0.2">
      <c r="A729">
        <v>3384678</v>
      </c>
      <c r="B729">
        <v>3</v>
      </c>
      <c r="C729">
        <v>3078</v>
      </c>
      <c r="D729">
        <v>0</v>
      </c>
      <c r="E729">
        <v>26</v>
      </c>
      <c r="F729" t="s">
        <v>44</v>
      </c>
      <c r="G729" t="s">
        <v>149</v>
      </c>
      <c r="H729" t="s">
        <v>61</v>
      </c>
      <c r="I729">
        <v>9</v>
      </c>
    </row>
    <row r="730" spans="1:9" x14ac:dyDescent="0.2">
      <c r="A730">
        <v>3384678</v>
      </c>
      <c r="B730">
        <v>4</v>
      </c>
      <c r="C730">
        <v>1703</v>
      </c>
      <c r="D730">
        <v>0</v>
      </c>
      <c r="E730">
        <v>26</v>
      </c>
      <c r="F730" t="s">
        <v>57</v>
      </c>
      <c r="G730" t="s">
        <v>109</v>
      </c>
      <c r="H730" t="s">
        <v>69</v>
      </c>
      <c r="I730">
        <v>10</v>
      </c>
    </row>
    <row r="731" spans="1:9" x14ac:dyDescent="0.2">
      <c r="A731">
        <v>3384678</v>
      </c>
      <c r="B731">
        <v>5</v>
      </c>
      <c r="C731">
        <v>3000</v>
      </c>
      <c r="D731">
        <v>0</v>
      </c>
      <c r="E731">
        <v>26</v>
      </c>
      <c r="F731" t="s">
        <v>44</v>
      </c>
      <c r="G731" t="s">
        <v>99</v>
      </c>
      <c r="H731" t="s">
        <v>55</v>
      </c>
      <c r="I731">
        <v>9</v>
      </c>
    </row>
    <row r="732" spans="1:9" x14ac:dyDescent="0.2">
      <c r="A732">
        <v>3384678</v>
      </c>
      <c r="B732">
        <v>6</v>
      </c>
      <c r="C732">
        <v>3242</v>
      </c>
      <c r="D732">
        <v>0</v>
      </c>
      <c r="E732">
        <v>26</v>
      </c>
      <c r="F732" t="s">
        <v>47</v>
      </c>
      <c r="G732" t="s">
        <v>90</v>
      </c>
      <c r="H732" t="s">
        <v>46</v>
      </c>
      <c r="I732">
        <v>10</v>
      </c>
    </row>
    <row r="733" spans="1:9" x14ac:dyDescent="0.2">
      <c r="A733">
        <v>3390702</v>
      </c>
      <c r="B733">
        <v>1</v>
      </c>
      <c r="C733">
        <v>1402</v>
      </c>
      <c r="D733">
        <v>58825</v>
      </c>
      <c r="E733">
        <v>25</v>
      </c>
      <c r="F733" t="s">
        <v>25</v>
      </c>
      <c r="G733" t="s">
        <v>18</v>
      </c>
      <c r="H733" t="s">
        <v>24</v>
      </c>
      <c r="I733">
        <v>5</v>
      </c>
    </row>
    <row r="734" spans="1:9" x14ac:dyDescent="0.2">
      <c r="A734">
        <v>3390702</v>
      </c>
      <c r="B734">
        <v>2</v>
      </c>
      <c r="C734">
        <v>1920</v>
      </c>
      <c r="D734">
        <v>58110</v>
      </c>
      <c r="E734">
        <v>25</v>
      </c>
      <c r="F734" t="s">
        <v>32</v>
      </c>
      <c r="G734" t="s">
        <v>18</v>
      </c>
      <c r="H734" t="s">
        <v>31</v>
      </c>
      <c r="I734">
        <v>5</v>
      </c>
    </row>
    <row r="735" spans="1:9" x14ac:dyDescent="0.2">
      <c r="A735">
        <v>3390702</v>
      </c>
      <c r="B735">
        <v>3</v>
      </c>
      <c r="C735">
        <v>1733</v>
      </c>
      <c r="D735">
        <v>58270</v>
      </c>
      <c r="E735">
        <v>24</v>
      </c>
      <c r="F735" t="s">
        <v>57</v>
      </c>
      <c r="G735" t="s">
        <v>18</v>
      </c>
      <c r="H735" t="s">
        <v>69</v>
      </c>
      <c r="I735">
        <v>10</v>
      </c>
    </row>
    <row r="736" spans="1:9" x14ac:dyDescent="0.2">
      <c r="A736">
        <v>3455649</v>
      </c>
      <c r="B736">
        <v>1</v>
      </c>
      <c r="C736">
        <v>3225</v>
      </c>
      <c r="D736">
        <v>51750</v>
      </c>
      <c r="E736">
        <v>24</v>
      </c>
      <c r="F736" t="s">
        <v>47</v>
      </c>
      <c r="G736" t="s">
        <v>106</v>
      </c>
      <c r="H736" t="s">
        <v>46</v>
      </c>
      <c r="I736">
        <v>10</v>
      </c>
    </row>
    <row r="737" spans="1:9" x14ac:dyDescent="0.2">
      <c r="A737">
        <v>3455649</v>
      </c>
      <c r="B737">
        <v>2</v>
      </c>
      <c r="C737">
        <v>1758</v>
      </c>
      <c r="D737">
        <v>0</v>
      </c>
      <c r="E737">
        <v>26</v>
      </c>
      <c r="F737" t="s">
        <v>57</v>
      </c>
      <c r="G737" t="s">
        <v>106</v>
      </c>
      <c r="H737" t="s">
        <v>56</v>
      </c>
      <c r="I737">
        <v>10</v>
      </c>
    </row>
    <row r="738" spans="1:9" x14ac:dyDescent="0.2">
      <c r="A738">
        <v>3455649</v>
      </c>
      <c r="B738">
        <v>3</v>
      </c>
      <c r="C738">
        <v>3223</v>
      </c>
      <c r="D738">
        <v>0</v>
      </c>
      <c r="E738">
        <v>26</v>
      </c>
      <c r="F738" t="s">
        <v>47</v>
      </c>
      <c r="G738" t="s">
        <v>105</v>
      </c>
      <c r="H738" t="s">
        <v>46</v>
      </c>
      <c r="I738">
        <v>10</v>
      </c>
    </row>
    <row r="739" spans="1:9" x14ac:dyDescent="0.2">
      <c r="A739">
        <v>3455649</v>
      </c>
      <c r="B739">
        <v>4</v>
      </c>
      <c r="C739">
        <v>1714</v>
      </c>
      <c r="D739">
        <v>0</v>
      </c>
      <c r="E739">
        <v>26</v>
      </c>
      <c r="F739" t="s">
        <v>57</v>
      </c>
      <c r="G739" t="s">
        <v>95</v>
      </c>
      <c r="H739" t="s">
        <v>69</v>
      </c>
      <c r="I739">
        <v>10</v>
      </c>
    </row>
    <row r="740" spans="1:9" x14ac:dyDescent="0.2">
      <c r="A740">
        <v>3536619</v>
      </c>
      <c r="B740">
        <v>1</v>
      </c>
      <c r="C740">
        <v>1759</v>
      </c>
      <c r="D740">
        <v>60345</v>
      </c>
      <c r="E740">
        <v>24</v>
      </c>
      <c r="F740" t="s">
        <v>57</v>
      </c>
      <c r="G740" t="s">
        <v>154</v>
      </c>
      <c r="H740" t="s">
        <v>56</v>
      </c>
      <c r="I740">
        <v>10</v>
      </c>
    </row>
    <row r="741" spans="1:9" x14ac:dyDescent="0.2">
      <c r="A741">
        <v>3536619</v>
      </c>
      <c r="B741">
        <v>2</v>
      </c>
      <c r="C741">
        <v>1752</v>
      </c>
      <c r="D741">
        <v>0</v>
      </c>
      <c r="E741">
        <v>26</v>
      </c>
      <c r="F741" t="s">
        <v>57</v>
      </c>
      <c r="G741" t="s">
        <v>66</v>
      </c>
      <c r="H741" t="s">
        <v>56</v>
      </c>
      <c r="I741">
        <v>10</v>
      </c>
    </row>
    <row r="742" spans="1:9" x14ac:dyDescent="0.2">
      <c r="A742">
        <v>3576511</v>
      </c>
      <c r="B742">
        <v>1</v>
      </c>
      <c r="C742">
        <v>3244</v>
      </c>
      <c r="D742">
        <v>0</v>
      </c>
      <c r="E742">
        <v>36</v>
      </c>
      <c r="F742" t="s">
        <v>47</v>
      </c>
      <c r="G742" t="s">
        <v>73</v>
      </c>
      <c r="H742" t="s">
        <v>74</v>
      </c>
      <c r="I742">
        <v>10</v>
      </c>
    </row>
    <row r="743" spans="1:9" x14ac:dyDescent="0.2">
      <c r="A743">
        <v>3576511</v>
      </c>
      <c r="B743">
        <v>2</v>
      </c>
      <c r="C743">
        <v>3261</v>
      </c>
      <c r="D743">
        <v>0</v>
      </c>
      <c r="E743">
        <v>36</v>
      </c>
      <c r="F743" t="s">
        <v>47</v>
      </c>
      <c r="G743" t="s">
        <v>93</v>
      </c>
      <c r="H743" t="s">
        <v>46</v>
      </c>
      <c r="I743">
        <v>10</v>
      </c>
    </row>
    <row r="744" spans="1:9" x14ac:dyDescent="0.2">
      <c r="A744">
        <v>3576511</v>
      </c>
      <c r="B744">
        <v>3</v>
      </c>
      <c r="C744">
        <v>3251</v>
      </c>
      <c r="D744">
        <v>0</v>
      </c>
      <c r="E744">
        <v>36</v>
      </c>
      <c r="F744" t="s">
        <v>47</v>
      </c>
      <c r="G744" t="s">
        <v>48</v>
      </c>
      <c r="H744" t="s">
        <v>46</v>
      </c>
      <c r="I744">
        <v>10</v>
      </c>
    </row>
    <row r="745" spans="1:9" x14ac:dyDescent="0.2">
      <c r="A745">
        <v>3576511</v>
      </c>
      <c r="B745">
        <v>4</v>
      </c>
      <c r="C745">
        <v>3248</v>
      </c>
      <c r="D745">
        <v>0</v>
      </c>
      <c r="E745">
        <v>36</v>
      </c>
      <c r="F745" t="s">
        <v>47</v>
      </c>
      <c r="G745" t="s">
        <v>92</v>
      </c>
      <c r="H745" t="s">
        <v>46</v>
      </c>
      <c r="I745">
        <v>10</v>
      </c>
    </row>
    <row r="746" spans="1:9" x14ac:dyDescent="0.2">
      <c r="A746">
        <v>3576511</v>
      </c>
      <c r="B746">
        <v>5</v>
      </c>
      <c r="C746">
        <v>3296</v>
      </c>
      <c r="D746">
        <v>0</v>
      </c>
      <c r="E746">
        <v>36</v>
      </c>
      <c r="F746" t="s">
        <v>47</v>
      </c>
      <c r="G746" t="s">
        <v>100</v>
      </c>
      <c r="H746" t="s">
        <v>46</v>
      </c>
      <c r="I746">
        <v>10</v>
      </c>
    </row>
    <row r="747" spans="1:9" x14ac:dyDescent="0.2">
      <c r="A747">
        <v>3576511</v>
      </c>
      <c r="B747">
        <v>6</v>
      </c>
      <c r="C747">
        <v>3211</v>
      </c>
      <c r="D747">
        <v>0</v>
      </c>
      <c r="E747">
        <v>36</v>
      </c>
      <c r="F747" t="s">
        <v>47</v>
      </c>
      <c r="G747" t="s">
        <v>99</v>
      </c>
      <c r="H747" t="s">
        <v>46</v>
      </c>
      <c r="I747">
        <v>10</v>
      </c>
    </row>
    <row r="748" spans="1:9" x14ac:dyDescent="0.2">
      <c r="A748">
        <v>3576511</v>
      </c>
      <c r="B748">
        <v>7</v>
      </c>
      <c r="C748">
        <v>3200</v>
      </c>
      <c r="D748">
        <v>0</v>
      </c>
      <c r="E748">
        <v>36</v>
      </c>
      <c r="F748" t="s">
        <v>47</v>
      </c>
      <c r="G748" t="s">
        <v>18</v>
      </c>
      <c r="H748" t="s">
        <v>46</v>
      </c>
      <c r="I748">
        <v>10</v>
      </c>
    </row>
    <row r="749" spans="1:9" x14ac:dyDescent="0.2">
      <c r="A749">
        <v>3576511</v>
      </c>
      <c r="B749">
        <v>8</v>
      </c>
      <c r="C749">
        <v>3212</v>
      </c>
      <c r="D749">
        <v>0</v>
      </c>
      <c r="E749">
        <v>36</v>
      </c>
      <c r="F749" t="s">
        <v>47</v>
      </c>
      <c r="G749" t="s">
        <v>84</v>
      </c>
      <c r="H749" t="s">
        <v>46</v>
      </c>
      <c r="I749">
        <v>10</v>
      </c>
    </row>
    <row r="750" spans="1:9" x14ac:dyDescent="0.2">
      <c r="A750">
        <v>3595296</v>
      </c>
      <c r="B750">
        <v>1</v>
      </c>
      <c r="C750">
        <v>3226</v>
      </c>
      <c r="D750">
        <v>53145</v>
      </c>
      <c r="E750">
        <v>24</v>
      </c>
      <c r="F750" t="s">
        <v>47</v>
      </c>
      <c r="G750" t="s">
        <v>96</v>
      </c>
      <c r="H750" t="s">
        <v>46</v>
      </c>
      <c r="I750">
        <v>10</v>
      </c>
    </row>
    <row r="751" spans="1:9" x14ac:dyDescent="0.2">
      <c r="A751">
        <v>3595296</v>
      </c>
      <c r="B751">
        <v>2</v>
      </c>
      <c r="C751">
        <v>3225</v>
      </c>
      <c r="D751">
        <v>0</v>
      </c>
      <c r="E751">
        <v>26</v>
      </c>
      <c r="F751" t="s">
        <v>47</v>
      </c>
      <c r="G751" t="s">
        <v>106</v>
      </c>
      <c r="H751" t="s">
        <v>46</v>
      </c>
      <c r="I751">
        <v>10</v>
      </c>
    </row>
    <row r="752" spans="1:9" x14ac:dyDescent="0.2">
      <c r="A752">
        <v>3595296</v>
      </c>
      <c r="B752">
        <v>3</v>
      </c>
      <c r="C752">
        <v>3218</v>
      </c>
      <c r="D752">
        <v>0</v>
      </c>
      <c r="E752">
        <v>26</v>
      </c>
      <c r="F752" t="s">
        <v>47</v>
      </c>
      <c r="G752" t="s">
        <v>66</v>
      </c>
      <c r="H752" t="s">
        <v>74</v>
      </c>
      <c r="I752">
        <v>10</v>
      </c>
    </row>
    <row r="753" spans="1:9" x14ac:dyDescent="0.2">
      <c r="A753">
        <v>3608859</v>
      </c>
      <c r="B753">
        <v>1</v>
      </c>
      <c r="C753">
        <v>3601</v>
      </c>
      <c r="D753">
        <v>62560</v>
      </c>
      <c r="E753">
        <v>24</v>
      </c>
      <c r="F753" t="s">
        <v>108</v>
      </c>
      <c r="G753" t="s">
        <v>63</v>
      </c>
      <c r="H753" t="s">
        <v>20</v>
      </c>
      <c r="I753">
        <v>8</v>
      </c>
    </row>
    <row r="754" spans="1:9" x14ac:dyDescent="0.2">
      <c r="A754">
        <v>3608859</v>
      </c>
      <c r="B754">
        <v>2</v>
      </c>
      <c r="C754">
        <v>1782</v>
      </c>
      <c r="D754">
        <v>0</v>
      </c>
      <c r="E754">
        <v>26</v>
      </c>
      <c r="F754" t="s">
        <v>57</v>
      </c>
      <c r="G754" t="s">
        <v>63</v>
      </c>
      <c r="H754" t="s">
        <v>69</v>
      </c>
      <c r="I754">
        <v>10</v>
      </c>
    </row>
    <row r="755" spans="1:9" x14ac:dyDescent="0.2">
      <c r="A755">
        <v>3608859</v>
      </c>
      <c r="B755">
        <v>3</v>
      </c>
      <c r="C755">
        <v>1323</v>
      </c>
      <c r="D755">
        <v>0</v>
      </c>
      <c r="E755">
        <v>26</v>
      </c>
      <c r="F755" t="s">
        <v>21</v>
      </c>
      <c r="G755" t="s">
        <v>98</v>
      </c>
      <c r="H755" t="s">
        <v>20</v>
      </c>
      <c r="I755">
        <v>8</v>
      </c>
    </row>
    <row r="756" spans="1:9" x14ac:dyDescent="0.2">
      <c r="A756">
        <v>3611203</v>
      </c>
      <c r="B756">
        <v>1</v>
      </c>
      <c r="C756">
        <v>1779</v>
      </c>
      <c r="D756">
        <v>48860</v>
      </c>
      <c r="E756">
        <v>25</v>
      </c>
      <c r="F756" t="s">
        <v>57</v>
      </c>
      <c r="G756" t="s">
        <v>162</v>
      </c>
      <c r="H756" t="s">
        <v>79</v>
      </c>
      <c r="I756">
        <v>10</v>
      </c>
    </row>
    <row r="757" spans="1:9" x14ac:dyDescent="0.2">
      <c r="A757">
        <v>3611203</v>
      </c>
      <c r="B757">
        <v>2</v>
      </c>
      <c r="C757">
        <v>1736</v>
      </c>
      <c r="D757">
        <v>48860</v>
      </c>
      <c r="E757">
        <v>25</v>
      </c>
      <c r="F757" t="s">
        <v>57</v>
      </c>
      <c r="G757" t="s">
        <v>78</v>
      </c>
      <c r="H757" t="s">
        <v>79</v>
      </c>
      <c r="I757">
        <v>10</v>
      </c>
    </row>
    <row r="758" spans="1:9" x14ac:dyDescent="0.2">
      <c r="A758">
        <v>3652937</v>
      </c>
      <c r="B758">
        <v>1</v>
      </c>
      <c r="C758">
        <v>3252</v>
      </c>
      <c r="D758">
        <v>53615</v>
      </c>
      <c r="E758">
        <v>24</v>
      </c>
      <c r="F758" t="s">
        <v>47</v>
      </c>
      <c r="G758" t="s">
        <v>45</v>
      </c>
      <c r="H758" t="s">
        <v>46</v>
      </c>
      <c r="I758">
        <v>10</v>
      </c>
    </row>
    <row r="759" spans="1:9" x14ac:dyDescent="0.2">
      <c r="A759">
        <v>3652937</v>
      </c>
      <c r="B759">
        <v>2</v>
      </c>
      <c r="C759">
        <v>2605</v>
      </c>
      <c r="D759">
        <v>0</v>
      </c>
      <c r="E759">
        <v>26</v>
      </c>
      <c r="F759" t="s">
        <v>71</v>
      </c>
      <c r="G759" t="s">
        <v>123</v>
      </c>
      <c r="H759" t="s">
        <v>24</v>
      </c>
      <c r="I759">
        <v>5</v>
      </c>
    </row>
    <row r="760" spans="1:9" x14ac:dyDescent="0.2">
      <c r="A760">
        <v>3652937</v>
      </c>
      <c r="B760">
        <v>3</v>
      </c>
      <c r="C760">
        <v>1705</v>
      </c>
      <c r="D760">
        <v>0</v>
      </c>
      <c r="E760">
        <v>26</v>
      </c>
      <c r="F760" t="s">
        <v>57</v>
      </c>
      <c r="G760" t="s">
        <v>102</v>
      </c>
      <c r="H760" t="s">
        <v>69</v>
      </c>
      <c r="I760">
        <v>10</v>
      </c>
    </row>
    <row r="761" spans="1:9" x14ac:dyDescent="0.2">
      <c r="A761">
        <v>3652937</v>
      </c>
      <c r="B761">
        <v>4</v>
      </c>
      <c r="C761">
        <v>1776</v>
      </c>
      <c r="D761">
        <v>0</v>
      </c>
      <c r="E761">
        <v>26</v>
      </c>
      <c r="F761" t="s">
        <v>57</v>
      </c>
      <c r="G761" t="s">
        <v>124</v>
      </c>
      <c r="H761" t="s">
        <v>125</v>
      </c>
      <c r="I761">
        <v>10</v>
      </c>
    </row>
    <row r="762" spans="1:9" x14ac:dyDescent="0.2">
      <c r="A762">
        <v>3652937</v>
      </c>
      <c r="B762">
        <v>5</v>
      </c>
      <c r="C762">
        <v>3243</v>
      </c>
      <c r="D762">
        <v>0</v>
      </c>
      <c r="E762">
        <v>26</v>
      </c>
      <c r="F762" t="s">
        <v>47</v>
      </c>
      <c r="G762" t="s">
        <v>75</v>
      </c>
      <c r="H762" t="s">
        <v>46</v>
      </c>
      <c r="I762">
        <v>10</v>
      </c>
    </row>
    <row r="763" spans="1:9" x14ac:dyDescent="0.2">
      <c r="A763">
        <v>3652937</v>
      </c>
      <c r="B763">
        <v>6</v>
      </c>
      <c r="C763">
        <v>3239</v>
      </c>
      <c r="D763">
        <v>0</v>
      </c>
      <c r="E763">
        <v>26</v>
      </c>
      <c r="F763" t="s">
        <v>47</v>
      </c>
      <c r="G763" t="s">
        <v>107</v>
      </c>
      <c r="H763" t="s">
        <v>46</v>
      </c>
      <c r="I763">
        <v>10</v>
      </c>
    </row>
    <row r="764" spans="1:9" x14ac:dyDescent="0.2">
      <c r="A764">
        <v>3665136</v>
      </c>
      <c r="B764">
        <v>1</v>
      </c>
      <c r="C764">
        <v>3214</v>
      </c>
      <c r="D764">
        <v>61880</v>
      </c>
      <c r="E764">
        <v>24</v>
      </c>
      <c r="F764" t="s">
        <v>47</v>
      </c>
      <c r="G764" t="s">
        <v>98</v>
      </c>
      <c r="H764" t="s">
        <v>74</v>
      </c>
      <c r="I764">
        <v>10</v>
      </c>
    </row>
    <row r="765" spans="1:9" x14ac:dyDescent="0.2">
      <c r="A765">
        <v>3665136</v>
      </c>
      <c r="B765">
        <v>2</v>
      </c>
      <c r="C765">
        <v>1323</v>
      </c>
      <c r="D765">
        <v>0</v>
      </c>
      <c r="E765">
        <v>26</v>
      </c>
      <c r="F765" t="s">
        <v>21</v>
      </c>
      <c r="G765" t="s">
        <v>98</v>
      </c>
      <c r="H765" t="s">
        <v>20</v>
      </c>
      <c r="I765">
        <v>8</v>
      </c>
    </row>
    <row r="766" spans="1:9" x14ac:dyDescent="0.2">
      <c r="A766">
        <v>3665136</v>
      </c>
      <c r="B766">
        <v>3</v>
      </c>
      <c r="C766">
        <v>3740</v>
      </c>
      <c r="D766">
        <v>0</v>
      </c>
      <c r="E766">
        <v>26</v>
      </c>
      <c r="F766" t="s">
        <v>116</v>
      </c>
      <c r="G766" t="s">
        <v>63</v>
      </c>
      <c r="H766" t="s">
        <v>61</v>
      </c>
      <c r="I766">
        <v>9</v>
      </c>
    </row>
    <row r="767" spans="1:9" x14ac:dyDescent="0.2">
      <c r="A767">
        <v>3665136</v>
      </c>
      <c r="B767">
        <v>4</v>
      </c>
      <c r="C767">
        <v>1709</v>
      </c>
      <c r="D767">
        <v>0</v>
      </c>
      <c r="E767">
        <v>26</v>
      </c>
      <c r="F767" t="s">
        <v>57</v>
      </c>
      <c r="G767" t="s">
        <v>84</v>
      </c>
      <c r="H767" t="s">
        <v>69</v>
      </c>
      <c r="I767">
        <v>10</v>
      </c>
    </row>
    <row r="768" spans="1:9" x14ac:dyDescent="0.2">
      <c r="A768">
        <v>3665136</v>
      </c>
      <c r="B768">
        <v>5</v>
      </c>
      <c r="C768">
        <v>1777</v>
      </c>
      <c r="D768">
        <v>0</v>
      </c>
      <c r="E768">
        <v>26</v>
      </c>
      <c r="F768" t="s">
        <v>57</v>
      </c>
      <c r="G768" t="s">
        <v>88</v>
      </c>
      <c r="H768" t="s">
        <v>69</v>
      </c>
      <c r="I768">
        <v>10</v>
      </c>
    </row>
    <row r="769" spans="1:9" x14ac:dyDescent="0.2">
      <c r="A769">
        <v>3665136</v>
      </c>
      <c r="B769">
        <v>6</v>
      </c>
      <c r="C769">
        <v>1729</v>
      </c>
      <c r="D769">
        <v>0</v>
      </c>
      <c r="E769">
        <v>26</v>
      </c>
      <c r="F769" t="s">
        <v>57</v>
      </c>
      <c r="G769" t="s">
        <v>72</v>
      </c>
      <c r="H769" t="s">
        <v>69</v>
      </c>
      <c r="I769">
        <v>10</v>
      </c>
    </row>
    <row r="770" spans="1:9" x14ac:dyDescent="0.2">
      <c r="A770">
        <v>3665136</v>
      </c>
      <c r="B770">
        <v>7</v>
      </c>
      <c r="C770">
        <v>1703</v>
      </c>
      <c r="D770">
        <v>0</v>
      </c>
      <c r="E770">
        <v>26</v>
      </c>
      <c r="F770" t="s">
        <v>57</v>
      </c>
      <c r="G770" t="s">
        <v>109</v>
      </c>
      <c r="H770" t="s">
        <v>69</v>
      </c>
      <c r="I770">
        <v>10</v>
      </c>
    </row>
    <row r="771" spans="1:9" x14ac:dyDescent="0.2">
      <c r="A771">
        <v>3665136</v>
      </c>
      <c r="B771">
        <v>8</v>
      </c>
      <c r="C771">
        <v>1965</v>
      </c>
      <c r="D771">
        <v>0</v>
      </c>
      <c r="E771">
        <v>26</v>
      </c>
      <c r="F771" t="s">
        <v>32</v>
      </c>
      <c r="G771" t="s">
        <v>345</v>
      </c>
      <c r="H771" t="s">
        <v>31</v>
      </c>
      <c r="I771">
        <v>5</v>
      </c>
    </row>
    <row r="772" spans="1:9" x14ac:dyDescent="0.2">
      <c r="A772">
        <v>3678757</v>
      </c>
      <c r="B772">
        <v>1</v>
      </c>
      <c r="C772">
        <v>1714</v>
      </c>
      <c r="D772">
        <v>0</v>
      </c>
      <c r="E772">
        <v>36</v>
      </c>
      <c r="F772" t="s">
        <v>57</v>
      </c>
      <c r="G772" t="s">
        <v>95</v>
      </c>
      <c r="H772" t="s">
        <v>69</v>
      </c>
      <c r="I772">
        <v>10</v>
      </c>
    </row>
    <row r="773" spans="1:9" x14ac:dyDescent="0.2">
      <c r="A773">
        <v>3678757</v>
      </c>
      <c r="B773">
        <v>2</v>
      </c>
      <c r="C773">
        <v>3225</v>
      </c>
      <c r="D773">
        <v>0</v>
      </c>
      <c r="E773">
        <v>36</v>
      </c>
      <c r="F773" t="s">
        <v>47</v>
      </c>
      <c r="G773" t="s">
        <v>106</v>
      </c>
      <c r="H773" t="s">
        <v>46</v>
      </c>
      <c r="I773">
        <v>10</v>
      </c>
    </row>
    <row r="774" spans="1:9" x14ac:dyDescent="0.2">
      <c r="A774">
        <v>3678757</v>
      </c>
      <c r="B774">
        <v>3</v>
      </c>
      <c r="C774">
        <v>3242</v>
      </c>
      <c r="D774">
        <v>0</v>
      </c>
      <c r="E774">
        <v>36</v>
      </c>
      <c r="F774" t="s">
        <v>47</v>
      </c>
      <c r="G774" t="s">
        <v>90</v>
      </c>
      <c r="H774" t="s">
        <v>46</v>
      </c>
      <c r="I774">
        <v>10</v>
      </c>
    </row>
    <row r="775" spans="1:9" x14ac:dyDescent="0.2">
      <c r="A775">
        <v>3678757</v>
      </c>
      <c r="B775">
        <v>4</v>
      </c>
      <c r="C775">
        <v>3711</v>
      </c>
      <c r="D775">
        <v>0</v>
      </c>
      <c r="E775">
        <v>36</v>
      </c>
      <c r="F775" t="s">
        <v>116</v>
      </c>
      <c r="G775" t="s">
        <v>95</v>
      </c>
      <c r="H775" t="s">
        <v>61</v>
      </c>
      <c r="I775">
        <v>9</v>
      </c>
    </row>
    <row r="776" spans="1:9" x14ac:dyDescent="0.2">
      <c r="A776">
        <v>3678757</v>
      </c>
      <c r="B776">
        <v>5</v>
      </c>
      <c r="C776">
        <v>3735</v>
      </c>
      <c r="D776">
        <v>0</v>
      </c>
      <c r="E776">
        <v>36</v>
      </c>
      <c r="F776" t="s">
        <v>116</v>
      </c>
      <c r="G776" t="s">
        <v>187</v>
      </c>
      <c r="H776" t="s">
        <v>61</v>
      </c>
      <c r="I776">
        <v>9</v>
      </c>
    </row>
    <row r="777" spans="1:9" x14ac:dyDescent="0.2">
      <c r="A777">
        <v>3678757</v>
      </c>
      <c r="B777">
        <v>6</v>
      </c>
      <c r="C777">
        <v>3229</v>
      </c>
      <c r="D777">
        <v>0</v>
      </c>
      <c r="E777">
        <v>36</v>
      </c>
      <c r="F777" t="s">
        <v>47</v>
      </c>
      <c r="G777" t="s">
        <v>101</v>
      </c>
      <c r="H777" t="s">
        <v>46</v>
      </c>
      <c r="I777">
        <v>10</v>
      </c>
    </row>
    <row r="778" spans="1:9" x14ac:dyDescent="0.2">
      <c r="A778">
        <v>3686004</v>
      </c>
      <c r="B778">
        <v>1</v>
      </c>
      <c r="C778">
        <v>3239</v>
      </c>
      <c r="D778">
        <v>0</v>
      </c>
      <c r="E778">
        <v>36</v>
      </c>
      <c r="F778" t="s">
        <v>47</v>
      </c>
      <c r="G778" t="s">
        <v>107</v>
      </c>
      <c r="H778" t="s">
        <v>46</v>
      </c>
      <c r="I778">
        <v>10</v>
      </c>
    </row>
    <row r="779" spans="1:9" x14ac:dyDescent="0.2">
      <c r="A779">
        <v>3686004</v>
      </c>
      <c r="B779">
        <v>2</v>
      </c>
      <c r="C779">
        <v>3296</v>
      </c>
      <c r="D779">
        <v>0</v>
      </c>
      <c r="E779">
        <v>36</v>
      </c>
      <c r="F779" t="s">
        <v>47</v>
      </c>
      <c r="G779" t="s">
        <v>100</v>
      </c>
      <c r="H779" t="s">
        <v>46</v>
      </c>
      <c r="I779">
        <v>10</v>
      </c>
    </row>
    <row r="780" spans="1:9" x14ac:dyDescent="0.2">
      <c r="A780">
        <v>3686004</v>
      </c>
      <c r="B780">
        <v>3</v>
      </c>
      <c r="C780">
        <v>3234</v>
      </c>
      <c r="D780">
        <v>0</v>
      </c>
      <c r="E780">
        <v>36</v>
      </c>
      <c r="F780" t="s">
        <v>47</v>
      </c>
      <c r="G780" t="s">
        <v>76</v>
      </c>
      <c r="H780" t="s">
        <v>46</v>
      </c>
      <c r="I780">
        <v>10</v>
      </c>
    </row>
    <row r="781" spans="1:9" x14ac:dyDescent="0.2">
      <c r="A781">
        <v>3695847</v>
      </c>
      <c r="B781">
        <v>1</v>
      </c>
      <c r="C781">
        <v>1709</v>
      </c>
      <c r="D781">
        <v>56420</v>
      </c>
      <c r="E781">
        <v>24</v>
      </c>
      <c r="F781" t="s">
        <v>57</v>
      </c>
      <c r="G781" t="s">
        <v>84</v>
      </c>
      <c r="H781" t="s">
        <v>69</v>
      </c>
      <c r="I781">
        <v>10</v>
      </c>
    </row>
    <row r="782" spans="1:9" x14ac:dyDescent="0.2">
      <c r="A782">
        <v>3695847</v>
      </c>
      <c r="B782">
        <v>2</v>
      </c>
      <c r="C782">
        <v>1778</v>
      </c>
      <c r="D782">
        <v>0</v>
      </c>
      <c r="E782">
        <v>26</v>
      </c>
      <c r="F782" t="s">
        <v>57</v>
      </c>
      <c r="G782" t="s">
        <v>84</v>
      </c>
      <c r="H782" t="s">
        <v>56</v>
      </c>
      <c r="I782">
        <v>10</v>
      </c>
    </row>
    <row r="783" spans="1:9" x14ac:dyDescent="0.2">
      <c r="A783">
        <v>3695847</v>
      </c>
      <c r="B783">
        <v>3</v>
      </c>
      <c r="C783">
        <v>1703</v>
      </c>
      <c r="D783">
        <v>0</v>
      </c>
      <c r="E783">
        <v>26</v>
      </c>
      <c r="F783" t="s">
        <v>57</v>
      </c>
      <c r="G783" t="s">
        <v>109</v>
      </c>
      <c r="H783" t="s">
        <v>69</v>
      </c>
      <c r="I783">
        <v>10</v>
      </c>
    </row>
    <row r="784" spans="1:9" x14ac:dyDescent="0.2">
      <c r="A784">
        <v>3695847</v>
      </c>
      <c r="B784">
        <v>4</v>
      </c>
      <c r="C784">
        <v>1754</v>
      </c>
      <c r="D784">
        <v>0</v>
      </c>
      <c r="E784">
        <v>26</v>
      </c>
      <c r="F784" t="s">
        <v>57</v>
      </c>
      <c r="G784" t="s">
        <v>85</v>
      </c>
      <c r="H784" t="s">
        <v>69</v>
      </c>
      <c r="I784">
        <v>10</v>
      </c>
    </row>
    <row r="785" spans="1:9" x14ac:dyDescent="0.2">
      <c r="A785">
        <v>3695847</v>
      </c>
      <c r="B785">
        <v>5</v>
      </c>
      <c r="C785">
        <v>1756</v>
      </c>
      <c r="D785">
        <v>0</v>
      </c>
      <c r="E785">
        <v>26</v>
      </c>
      <c r="F785" t="s">
        <v>57</v>
      </c>
      <c r="G785" t="s">
        <v>89</v>
      </c>
      <c r="H785" t="s">
        <v>69</v>
      </c>
      <c r="I785">
        <v>10</v>
      </c>
    </row>
    <row r="786" spans="1:9" x14ac:dyDescent="0.2">
      <c r="A786">
        <v>3710914</v>
      </c>
      <c r="B786">
        <v>1</v>
      </c>
      <c r="C786">
        <v>3269</v>
      </c>
      <c r="D786">
        <v>0</v>
      </c>
      <c r="E786">
        <v>30</v>
      </c>
      <c r="F786" t="s">
        <v>47</v>
      </c>
      <c r="G786" t="s">
        <v>180</v>
      </c>
      <c r="H786" t="s">
        <v>46</v>
      </c>
      <c r="I786">
        <v>10</v>
      </c>
    </row>
    <row r="787" spans="1:9" x14ac:dyDescent="0.2">
      <c r="A787">
        <v>3710914</v>
      </c>
      <c r="B787">
        <v>2</v>
      </c>
      <c r="C787">
        <v>3234</v>
      </c>
      <c r="D787">
        <v>54085</v>
      </c>
      <c r="E787">
        <v>25</v>
      </c>
      <c r="F787" t="s">
        <v>47</v>
      </c>
      <c r="G787" t="s">
        <v>76</v>
      </c>
      <c r="H787" t="s">
        <v>46</v>
      </c>
      <c r="I787">
        <v>10</v>
      </c>
    </row>
    <row r="788" spans="1:9" x14ac:dyDescent="0.2">
      <c r="A788">
        <v>3710914</v>
      </c>
      <c r="B788">
        <v>3</v>
      </c>
      <c r="C788">
        <v>3243</v>
      </c>
      <c r="D788">
        <v>54050</v>
      </c>
      <c r="E788">
        <v>24</v>
      </c>
      <c r="F788" t="s">
        <v>47</v>
      </c>
      <c r="G788" t="s">
        <v>75</v>
      </c>
      <c r="H788" t="s">
        <v>46</v>
      </c>
      <c r="I788">
        <v>10</v>
      </c>
    </row>
    <row r="789" spans="1:9" x14ac:dyDescent="0.2">
      <c r="A789">
        <v>3710914</v>
      </c>
      <c r="B789">
        <v>4</v>
      </c>
      <c r="C789">
        <v>3252</v>
      </c>
      <c r="D789">
        <v>0</v>
      </c>
      <c r="E789">
        <v>26</v>
      </c>
      <c r="F789" t="s">
        <v>47</v>
      </c>
      <c r="G789" t="s">
        <v>45</v>
      </c>
      <c r="H789" t="s">
        <v>46</v>
      </c>
      <c r="I789">
        <v>10</v>
      </c>
    </row>
    <row r="790" spans="1:9" x14ac:dyDescent="0.2">
      <c r="A790">
        <v>3710914</v>
      </c>
      <c r="B790">
        <v>5</v>
      </c>
      <c r="C790">
        <v>3261</v>
      </c>
      <c r="D790">
        <v>0</v>
      </c>
      <c r="E790">
        <v>26</v>
      </c>
      <c r="F790" t="s">
        <v>47</v>
      </c>
      <c r="G790" t="s">
        <v>93</v>
      </c>
      <c r="H790" t="s">
        <v>46</v>
      </c>
      <c r="I790">
        <v>10</v>
      </c>
    </row>
    <row r="791" spans="1:9" x14ac:dyDescent="0.2">
      <c r="A791">
        <v>3722336</v>
      </c>
      <c r="B791">
        <v>1</v>
      </c>
      <c r="C791">
        <v>3223</v>
      </c>
      <c r="D791">
        <v>0</v>
      </c>
      <c r="E791">
        <v>36</v>
      </c>
      <c r="F791" t="s">
        <v>47</v>
      </c>
      <c r="G791" t="s">
        <v>105</v>
      </c>
      <c r="H791" t="s">
        <v>46</v>
      </c>
      <c r="I791">
        <v>10</v>
      </c>
    </row>
    <row r="792" spans="1:9" x14ac:dyDescent="0.2">
      <c r="A792">
        <v>3722336</v>
      </c>
      <c r="B792">
        <v>2</v>
      </c>
      <c r="C792">
        <v>3229</v>
      </c>
      <c r="D792">
        <v>0</v>
      </c>
      <c r="E792">
        <v>36</v>
      </c>
      <c r="F792" t="s">
        <v>47</v>
      </c>
      <c r="G792" t="s">
        <v>101</v>
      </c>
      <c r="H792" t="s">
        <v>46</v>
      </c>
      <c r="I792">
        <v>10</v>
      </c>
    </row>
    <row r="793" spans="1:9" x14ac:dyDescent="0.2">
      <c r="A793">
        <v>3722336</v>
      </c>
      <c r="B793">
        <v>3</v>
      </c>
      <c r="C793">
        <v>3219</v>
      </c>
      <c r="D793">
        <v>0</v>
      </c>
      <c r="E793">
        <v>36</v>
      </c>
      <c r="F793" t="s">
        <v>47</v>
      </c>
      <c r="G793" t="s">
        <v>205</v>
      </c>
      <c r="H793" t="s">
        <v>74</v>
      </c>
      <c r="I793">
        <v>10</v>
      </c>
    </row>
    <row r="794" spans="1:9" x14ac:dyDescent="0.2">
      <c r="A794">
        <v>3736360</v>
      </c>
      <c r="B794">
        <v>1</v>
      </c>
      <c r="C794">
        <v>3702</v>
      </c>
      <c r="D794">
        <v>58005</v>
      </c>
      <c r="E794">
        <v>24</v>
      </c>
      <c r="F794" t="s">
        <v>116</v>
      </c>
      <c r="G794" t="s">
        <v>235</v>
      </c>
      <c r="H794" t="s">
        <v>61</v>
      </c>
      <c r="I794">
        <v>9</v>
      </c>
    </row>
    <row r="795" spans="1:9" x14ac:dyDescent="0.2">
      <c r="A795">
        <v>3736360</v>
      </c>
      <c r="B795">
        <v>2</v>
      </c>
      <c r="C795">
        <v>2904</v>
      </c>
      <c r="D795">
        <v>0</v>
      </c>
      <c r="E795">
        <v>26</v>
      </c>
      <c r="F795" t="s">
        <v>119</v>
      </c>
      <c r="G795" t="s">
        <v>146</v>
      </c>
      <c r="H795" t="s">
        <v>20</v>
      </c>
      <c r="I795">
        <v>8</v>
      </c>
    </row>
    <row r="796" spans="1:9" x14ac:dyDescent="0.2">
      <c r="A796">
        <v>3736360</v>
      </c>
      <c r="B796">
        <v>3</v>
      </c>
      <c r="C796">
        <v>1922</v>
      </c>
      <c r="D796">
        <v>0</v>
      </c>
      <c r="E796">
        <v>26</v>
      </c>
      <c r="F796" t="s">
        <v>32</v>
      </c>
      <c r="G796" t="s">
        <v>145</v>
      </c>
      <c r="H796" t="s">
        <v>31</v>
      </c>
      <c r="I796">
        <v>5</v>
      </c>
    </row>
    <row r="797" spans="1:9" x14ac:dyDescent="0.2">
      <c r="A797">
        <v>3736360</v>
      </c>
      <c r="B797">
        <v>4</v>
      </c>
      <c r="C797">
        <v>2123</v>
      </c>
      <c r="D797">
        <v>0</v>
      </c>
      <c r="E797">
        <v>26</v>
      </c>
      <c r="F797" t="s">
        <v>193</v>
      </c>
      <c r="G797" t="s">
        <v>215</v>
      </c>
      <c r="H797" t="s">
        <v>216</v>
      </c>
      <c r="I797" t="s">
        <v>448</v>
      </c>
    </row>
    <row r="798" spans="1:9" x14ac:dyDescent="0.2">
      <c r="A798">
        <v>3736360</v>
      </c>
      <c r="B798">
        <v>5</v>
      </c>
      <c r="C798">
        <v>3296</v>
      </c>
      <c r="D798">
        <v>0</v>
      </c>
      <c r="E798">
        <v>26</v>
      </c>
      <c r="F798" t="s">
        <v>47</v>
      </c>
      <c r="G798" t="s">
        <v>100</v>
      </c>
      <c r="H798" t="s">
        <v>46</v>
      </c>
      <c r="I798">
        <v>10</v>
      </c>
    </row>
    <row r="799" spans="1:9" x14ac:dyDescent="0.2">
      <c r="A799">
        <v>3764676</v>
      </c>
      <c r="B799">
        <v>1</v>
      </c>
      <c r="C799">
        <v>1214</v>
      </c>
      <c r="D799">
        <v>68020</v>
      </c>
      <c r="E799">
        <v>25</v>
      </c>
      <c r="F799" t="s">
        <v>19</v>
      </c>
      <c r="G799" t="s">
        <v>112</v>
      </c>
      <c r="H799" t="s">
        <v>16</v>
      </c>
      <c r="I799" t="s">
        <v>448</v>
      </c>
    </row>
    <row r="800" spans="1:9" x14ac:dyDescent="0.2">
      <c r="A800">
        <v>3764676</v>
      </c>
      <c r="B800">
        <v>2</v>
      </c>
      <c r="C800">
        <v>1142</v>
      </c>
      <c r="D800">
        <v>68020</v>
      </c>
      <c r="E800">
        <v>25</v>
      </c>
      <c r="F800" t="s">
        <v>17</v>
      </c>
      <c r="G800" t="s">
        <v>114</v>
      </c>
      <c r="H800" t="s">
        <v>16</v>
      </c>
      <c r="I800" t="s">
        <v>448</v>
      </c>
    </row>
    <row r="801" spans="1:9" x14ac:dyDescent="0.2">
      <c r="A801">
        <v>3764676</v>
      </c>
      <c r="B801">
        <v>3</v>
      </c>
      <c r="C801">
        <v>1573</v>
      </c>
      <c r="D801">
        <v>69220</v>
      </c>
      <c r="E801">
        <v>24</v>
      </c>
      <c r="F801" t="s">
        <v>142</v>
      </c>
      <c r="G801" t="s">
        <v>84</v>
      </c>
      <c r="H801" t="s">
        <v>113</v>
      </c>
      <c r="I801">
        <v>5</v>
      </c>
    </row>
    <row r="802" spans="1:9" x14ac:dyDescent="0.2">
      <c r="A802">
        <v>3764676</v>
      </c>
      <c r="B802">
        <v>4</v>
      </c>
      <c r="C802">
        <v>1635</v>
      </c>
      <c r="D802">
        <v>0</v>
      </c>
      <c r="E802">
        <v>26</v>
      </c>
      <c r="F802" t="s">
        <v>128</v>
      </c>
      <c r="G802" t="s">
        <v>84</v>
      </c>
      <c r="H802" t="s">
        <v>127</v>
      </c>
      <c r="I802" t="s">
        <v>448</v>
      </c>
    </row>
    <row r="803" spans="1:9" x14ac:dyDescent="0.2">
      <c r="A803">
        <v>3766110</v>
      </c>
      <c r="B803">
        <v>1</v>
      </c>
      <c r="C803">
        <v>1101</v>
      </c>
      <c r="D803">
        <v>0</v>
      </c>
      <c r="E803">
        <v>17</v>
      </c>
      <c r="F803" t="s">
        <v>17</v>
      </c>
      <c r="G803" t="s">
        <v>15</v>
      </c>
      <c r="H803" t="s">
        <v>16</v>
      </c>
      <c r="I803" t="s">
        <v>448</v>
      </c>
    </row>
    <row r="804" spans="1:9" x14ac:dyDescent="0.2">
      <c r="A804">
        <v>3767574</v>
      </c>
      <c r="B804">
        <v>1</v>
      </c>
      <c r="C804">
        <v>3239</v>
      </c>
      <c r="D804">
        <v>0</v>
      </c>
      <c r="E804">
        <v>36</v>
      </c>
      <c r="F804" t="s">
        <v>47</v>
      </c>
      <c r="G804" t="s">
        <v>107</v>
      </c>
      <c r="H804" t="s">
        <v>46</v>
      </c>
      <c r="I804">
        <v>10</v>
      </c>
    </row>
    <row r="805" spans="1:9" x14ac:dyDescent="0.2">
      <c r="A805">
        <v>3781438</v>
      </c>
      <c r="B805">
        <v>1</v>
      </c>
      <c r="C805">
        <v>2515</v>
      </c>
      <c r="D805">
        <v>60560</v>
      </c>
      <c r="E805">
        <v>24</v>
      </c>
      <c r="F805" t="s">
        <v>175</v>
      </c>
      <c r="G805" t="s">
        <v>18</v>
      </c>
      <c r="H805" t="s">
        <v>213</v>
      </c>
      <c r="I805">
        <v>4</v>
      </c>
    </row>
    <row r="806" spans="1:9" x14ac:dyDescent="0.2">
      <c r="A806">
        <v>3781438</v>
      </c>
      <c r="B806">
        <v>2</v>
      </c>
      <c r="C806">
        <v>1765</v>
      </c>
      <c r="D806">
        <v>0</v>
      </c>
      <c r="E806">
        <v>26</v>
      </c>
      <c r="F806" t="s">
        <v>57</v>
      </c>
      <c r="G806" t="s">
        <v>68</v>
      </c>
      <c r="H806" t="s">
        <v>69</v>
      </c>
      <c r="I806">
        <v>10</v>
      </c>
    </row>
    <row r="807" spans="1:9" x14ac:dyDescent="0.2">
      <c r="A807">
        <v>3781438</v>
      </c>
      <c r="B807">
        <v>3</v>
      </c>
      <c r="C807">
        <v>1733</v>
      </c>
      <c r="D807">
        <v>0</v>
      </c>
      <c r="E807">
        <v>26</v>
      </c>
      <c r="F807" t="s">
        <v>57</v>
      </c>
      <c r="G807" t="s">
        <v>18</v>
      </c>
      <c r="H807" t="s">
        <v>69</v>
      </c>
      <c r="I807">
        <v>10</v>
      </c>
    </row>
    <row r="808" spans="1:9" x14ac:dyDescent="0.2">
      <c r="A808">
        <v>3781438</v>
      </c>
      <c r="B808">
        <v>4</v>
      </c>
      <c r="C808">
        <v>1380</v>
      </c>
      <c r="D808">
        <v>0</v>
      </c>
      <c r="E808">
        <v>26</v>
      </c>
      <c r="F808" t="s">
        <v>21</v>
      </c>
      <c r="G808" t="s">
        <v>18</v>
      </c>
      <c r="H808" t="s">
        <v>20</v>
      </c>
      <c r="I808">
        <v>8</v>
      </c>
    </row>
    <row r="809" spans="1:9" x14ac:dyDescent="0.2">
      <c r="A809">
        <v>3781438</v>
      </c>
      <c r="B809">
        <v>5</v>
      </c>
      <c r="C809">
        <v>3200</v>
      </c>
      <c r="D809">
        <v>0</v>
      </c>
      <c r="E809">
        <v>26</v>
      </c>
      <c r="F809" t="s">
        <v>47</v>
      </c>
      <c r="G809" t="s">
        <v>18</v>
      </c>
      <c r="H809" t="s">
        <v>46</v>
      </c>
      <c r="I809">
        <v>10</v>
      </c>
    </row>
    <row r="810" spans="1:9" x14ac:dyDescent="0.2">
      <c r="A810">
        <v>3797339</v>
      </c>
      <c r="B810">
        <v>1</v>
      </c>
      <c r="C810">
        <v>1776</v>
      </c>
      <c r="D810">
        <v>58060</v>
      </c>
      <c r="E810">
        <v>25</v>
      </c>
      <c r="F810" t="s">
        <v>57</v>
      </c>
      <c r="G810" t="s">
        <v>124</v>
      </c>
      <c r="H810" t="s">
        <v>125</v>
      </c>
      <c r="I810">
        <v>10</v>
      </c>
    </row>
    <row r="811" spans="1:9" x14ac:dyDescent="0.2">
      <c r="A811">
        <v>3797339</v>
      </c>
      <c r="B811">
        <v>2</v>
      </c>
      <c r="C811">
        <v>2181</v>
      </c>
      <c r="D811">
        <v>61350</v>
      </c>
      <c r="E811">
        <v>24</v>
      </c>
      <c r="F811" t="s">
        <v>193</v>
      </c>
      <c r="G811" t="s">
        <v>365</v>
      </c>
      <c r="H811" t="s">
        <v>231</v>
      </c>
      <c r="I811" t="s">
        <v>448</v>
      </c>
    </row>
    <row r="812" spans="1:9" x14ac:dyDescent="0.2">
      <c r="A812">
        <v>3797339</v>
      </c>
      <c r="B812">
        <v>3</v>
      </c>
      <c r="C812">
        <v>1709</v>
      </c>
      <c r="D812">
        <v>0</v>
      </c>
      <c r="E812">
        <v>26</v>
      </c>
      <c r="F812" t="s">
        <v>57</v>
      </c>
      <c r="G812" t="s">
        <v>84</v>
      </c>
      <c r="H812" t="s">
        <v>69</v>
      </c>
      <c r="I812">
        <v>10</v>
      </c>
    </row>
    <row r="813" spans="1:9" x14ac:dyDescent="0.2">
      <c r="A813">
        <v>3797339</v>
      </c>
      <c r="B813">
        <v>4</v>
      </c>
      <c r="C813">
        <v>1705</v>
      </c>
      <c r="D813">
        <v>0</v>
      </c>
      <c r="E813">
        <v>26</v>
      </c>
      <c r="F813" t="s">
        <v>57</v>
      </c>
      <c r="G813" t="s">
        <v>102</v>
      </c>
      <c r="H813" t="s">
        <v>69</v>
      </c>
      <c r="I813">
        <v>10</v>
      </c>
    </row>
    <row r="814" spans="1:9" x14ac:dyDescent="0.2">
      <c r="A814">
        <v>3797339</v>
      </c>
      <c r="B814">
        <v>5</v>
      </c>
      <c r="C814">
        <v>1573</v>
      </c>
      <c r="D814">
        <v>0</v>
      </c>
      <c r="E814">
        <v>26</v>
      </c>
      <c r="F814" t="s">
        <v>142</v>
      </c>
      <c r="G814" t="s">
        <v>84</v>
      </c>
      <c r="H814" t="s">
        <v>113</v>
      </c>
      <c r="I814">
        <v>5</v>
      </c>
    </row>
    <row r="815" spans="1:9" x14ac:dyDescent="0.2">
      <c r="A815">
        <v>3797339</v>
      </c>
      <c r="B815">
        <v>6</v>
      </c>
      <c r="C815">
        <v>3225</v>
      </c>
      <c r="D815">
        <v>0</v>
      </c>
      <c r="E815">
        <v>26</v>
      </c>
      <c r="F815" t="s">
        <v>47</v>
      </c>
      <c r="G815" t="s">
        <v>106</v>
      </c>
      <c r="H815" t="s">
        <v>46</v>
      </c>
      <c r="I815">
        <v>10</v>
      </c>
    </row>
    <row r="816" spans="1:9" x14ac:dyDescent="0.2">
      <c r="A816">
        <v>3838990</v>
      </c>
      <c r="B816">
        <v>1</v>
      </c>
      <c r="C816">
        <v>3244</v>
      </c>
      <c r="D816">
        <v>50460</v>
      </c>
      <c r="E816">
        <v>24</v>
      </c>
      <c r="F816" t="s">
        <v>47</v>
      </c>
      <c r="G816" t="s">
        <v>73</v>
      </c>
      <c r="H816" t="s">
        <v>74</v>
      </c>
      <c r="I816">
        <v>10</v>
      </c>
    </row>
    <row r="817" spans="1:9" x14ac:dyDescent="0.2">
      <c r="A817">
        <v>3838990</v>
      </c>
      <c r="B817">
        <v>2</v>
      </c>
      <c r="C817">
        <v>3296</v>
      </c>
      <c r="D817">
        <v>0</v>
      </c>
      <c r="E817">
        <v>26</v>
      </c>
      <c r="F817" t="s">
        <v>47</v>
      </c>
      <c r="G817" t="s">
        <v>100</v>
      </c>
      <c r="H817" t="s">
        <v>46</v>
      </c>
      <c r="I817">
        <v>10</v>
      </c>
    </row>
    <row r="818" spans="1:9" x14ac:dyDescent="0.2">
      <c r="A818">
        <v>3838990</v>
      </c>
      <c r="B818">
        <v>3</v>
      </c>
      <c r="C818">
        <v>3239</v>
      </c>
      <c r="D818">
        <v>0</v>
      </c>
      <c r="E818">
        <v>26</v>
      </c>
      <c r="F818" t="s">
        <v>47</v>
      </c>
      <c r="G818" t="s">
        <v>107</v>
      </c>
      <c r="H818" t="s">
        <v>46</v>
      </c>
      <c r="I818">
        <v>10</v>
      </c>
    </row>
    <row r="819" spans="1:9" x14ac:dyDescent="0.2">
      <c r="A819">
        <v>3838990</v>
      </c>
      <c r="B819">
        <v>4</v>
      </c>
      <c r="C819">
        <v>3211</v>
      </c>
      <c r="D819">
        <v>0</v>
      </c>
      <c r="E819">
        <v>26</v>
      </c>
      <c r="F819" t="s">
        <v>47</v>
      </c>
      <c r="G819" t="s">
        <v>99</v>
      </c>
      <c r="H819" t="s">
        <v>46</v>
      </c>
      <c r="I819">
        <v>10</v>
      </c>
    </row>
    <row r="820" spans="1:9" x14ac:dyDescent="0.2">
      <c r="A820">
        <v>3838990</v>
      </c>
      <c r="B820">
        <v>5</v>
      </c>
      <c r="C820">
        <v>3252</v>
      </c>
      <c r="D820">
        <v>0</v>
      </c>
      <c r="E820">
        <v>26</v>
      </c>
      <c r="F820" t="s">
        <v>47</v>
      </c>
      <c r="G820" t="s">
        <v>45</v>
      </c>
      <c r="H820" t="s">
        <v>46</v>
      </c>
      <c r="I820">
        <v>10</v>
      </c>
    </row>
    <row r="821" spans="1:9" x14ac:dyDescent="0.2">
      <c r="A821">
        <v>3838990</v>
      </c>
      <c r="B821">
        <v>6</v>
      </c>
      <c r="C821">
        <v>3234</v>
      </c>
      <c r="D821">
        <v>0</v>
      </c>
      <c r="E821">
        <v>26</v>
      </c>
      <c r="F821" t="s">
        <v>47</v>
      </c>
      <c r="G821" t="s">
        <v>76</v>
      </c>
      <c r="H821" t="s">
        <v>46</v>
      </c>
      <c r="I821">
        <v>10</v>
      </c>
    </row>
    <row r="822" spans="1:9" x14ac:dyDescent="0.2">
      <c r="A822">
        <v>3838990</v>
      </c>
      <c r="B822">
        <v>7</v>
      </c>
      <c r="C822">
        <v>1729</v>
      </c>
      <c r="D822">
        <v>0</v>
      </c>
      <c r="E822">
        <v>26</v>
      </c>
      <c r="F822" t="s">
        <v>57</v>
      </c>
      <c r="G822" t="s">
        <v>72</v>
      </c>
      <c r="H822" t="s">
        <v>69</v>
      </c>
      <c r="I822">
        <v>10</v>
      </c>
    </row>
    <row r="823" spans="1:9" x14ac:dyDescent="0.2">
      <c r="A823">
        <v>3838990</v>
      </c>
      <c r="B823">
        <v>8</v>
      </c>
      <c r="C823">
        <v>3243</v>
      </c>
      <c r="D823">
        <v>0</v>
      </c>
      <c r="E823">
        <v>26</v>
      </c>
      <c r="F823" t="s">
        <v>47</v>
      </c>
      <c r="G823" t="s">
        <v>75</v>
      </c>
      <c r="H823" t="s">
        <v>46</v>
      </c>
      <c r="I823">
        <v>10</v>
      </c>
    </row>
    <row r="824" spans="1:9" x14ac:dyDescent="0.2">
      <c r="A824">
        <v>3854993</v>
      </c>
      <c r="B824">
        <v>1</v>
      </c>
      <c r="C824">
        <v>3242</v>
      </c>
      <c r="D824">
        <v>52865</v>
      </c>
      <c r="E824">
        <v>25</v>
      </c>
      <c r="F824" t="s">
        <v>47</v>
      </c>
      <c r="G824" t="s">
        <v>90</v>
      </c>
      <c r="H824" t="s">
        <v>46</v>
      </c>
      <c r="I824">
        <v>10</v>
      </c>
    </row>
    <row r="825" spans="1:9" x14ac:dyDescent="0.2">
      <c r="A825">
        <v>3854993</v>
      </c>
      <c r="B825">
        <v>2</v>
      </c>
      <c r="C825">
        <v>3726</v>
      </c>
      <c r="D825">
        <v>0</v>
      </c>
      <c r="E825">
        <v>31</v>
      </c>
      <c r="F825" t="s">
        <v>116</v>
      </c>
      <c r="G825" t="s">
        <v>287</v>
      </c>
      <c r="H825" t="s">
        <v>61</v>
      </c>
      <c r="I825">
        <v>9</v>
      </c>
    </row>
    <row r="826" spans="1:9" x14ac:dyDescent="0.2">
      <c r="A826">
        <v>3854993</v>
      </c>
      <c r="B826">
        <v>3</v>
      </c>
      <c r="C826">
        <v>3246</v>
      </c>
      <c r="D826">
        <v>52905</v>
      </c>
      <c r="E826">
        <v>24</v>
      </c>
      <c r="F826" t="s">
        <v>47</v>
      </c>
      <c r="G826" t="s">
        <v>91</v>
      </c>
      <c r="H826" t="s">
        <v>74</v>
      </c>
      <c r="I826">
        <v>10</v>
      </c>
    </row>
    <row r="827" spans="1:9" x14ac:dyDescent="0.2">
      <c r="A827">
        <v>3867763</v>
      </c>
      <c r="B827">
        <v>1</v>
      </c>
      <c r="C827">
        <v>3212</v>
      </c>
      <c r="D827">
        <v>55575</v>
      </c>
      <c r="E827">
        <v>24</v>
      </c>
      <c r="F827" t="s">
        <v>47</v>
      </c>
      <c r="G827" t="s">
        <v>84</v>
      </c>
      <c r="H827" t="s">
        <v>46</v>
      </c>
      <c r="I827">
        <v>10</v>
      </c>
    </row>
    <row r="828" spans="1:9" x14ac:dyDescent="0.2">
      <c r="A828">
        <v>3867763</v>
      </c>
      <c r="B828">
        <v>2</v>
      </c>
      <c r="C828">
        <v>3252</v>
      </c>
      <c r="D828">
        <v>0</v>
      </c>
      <c r="E828">
        <v>26</v>
      </c>
      <c r="F828" t="s">
        <v>47</v>
      </c>
      <c r="G828" t="s">
        <v>45</v>
      </c>
      <c r="H828" t="s">
        <v>46</v>
      </c>
      <c r="I828">
        <v>10</v>
      </c>
    </row>
    <row r="829" spans="1:9" x14ac:dyDescent="0.2">
      <c r="A829">
        <v>3870235</v>
      </c>
      <c r="B829">
        <v>1</v>
      </c>
      <c r="C829">
        <v>1239</v>
      </c>
      <c r="D829">
        <v>79710</v>
      </c>
      <c r="E829">
        <v>24</v>
      </c>
      <c r="F829" t="s">
        <v>19</v>
      </c>
      <c r="G829" t="s">
        <v>160</v>
      </c>
      <c r="H829" t="s">
        <v>16</v>
      </c>
      <c r="I829" t="s">
        <v>448</v>
      </c>
    </row>
    <row r="830" spans="1:9" x14ac:dyDescent="0.2">
      <c r="A830">
        <v>3870235</v>
      </c>
      <c r="B830">
        <v>2</v>
      </c>
      <c r="C830">
        <v>1145</v>
      </c>
      <c r="D830">
        <v>0</v>
      </c>
      <c r="E830">
        <v>26</v>
      </c>
      <c r="F830" t="s">
        <v>17</v>
      </c>
      <c r="G830" t="s">
        <v>159</v>
      </c>
      <c r="H830" t="s">
        <v>16</v>
      </c>
      <c r="I830" t="s">
        <v>448</v>
      </c>
    </row>
    <row r="831" spans="1:9" x14ac:dyDescent="0.2">
      <c r="A831">
        <v>3870235</v>
      </c>
      <c r="B831">
        <v>3</v>
      </c>
      <c r="C831">
        <v>1376</v>
      </c>
      <c r="D831">
        <v>0</v>
      </c>
      <c r="E831">
        <v>26</v>
      </c>
      <c r="F831" t="s">
        <v>21</v>
      </c>
      <c r="G831" t="s">
        <v>163</v>
      </c>
      <c r="H831" t="s">
        <v>20</v>
      </c>
      <c r="I831">
        <v>8</v>
      </c>
    </row>
    <row r="832" spans="1:9" x14ac:dyDescent="0.2">
      <c r="A832">
        <v>3870236</v>
      </c>
      <c r="B832">
        <v>1</v>
      </c>
      <c r="C832">
        <v>1555</v>
      </c>
      <c r="D832">
        <v>54360</v>
      </c>
      <c r="E832">
        <v>24</v>
      </c>
      <c r="F832" t="s">
        <v>142</v>
      </c>
      <c r="G832" t="s">
        <v>381</v>
      </c>
      <c r="H832" t="s">
        <v>329</v>
      </c>
      <c r="I832">
        <v>5</v>
      </c>
    </row>
    <row r="833" spans="1:9" x14ac:dyDescent="0.2">
      <c r="A833">
        <v>3870236</v>
      </c>
      <c r="B833">
        <v>2</v>
      </c>
      <c r="C833">
        <v>3225</v>
      </c>
      <c r="D833">
        <v>0</v>
      </c>
      <c r="E833">
        <v>26</v>
      </c>
      <c r="F833" t="s">
        <v>47</v>
      </c>
      <c r="G833" t="s">
        <v>106</v>
      </c>
      <c r="H833" t="s">
        <v>46</v>
      </c>
      <c r="I833">
        <v>10</v>
      </c>
    </row>
    <row r="834" spans="1:9" x14ac:dyDescent="0.2">
      <c r="A834">
        <v>3870236</v>
      </c>
      <c r="B834">
        <v>3</v>
      </c>
      <c r="C834">
        <v>1560</v>
      </c>
      <c r="D834">
        <v>0</v>
      </c>
      <c r="E834">
        <v>26</v>
      </c>
      <c r="F834" t="s">
        <v>142</v>
      </c>
      <c r="G834" t="s">
        <v>382</v>
      </c>
      <c r="H834" t="s">
        <v>329</v>
      </c>
      <c r="I834">
        <v>5</v>
      </c>
    </row>
    <row r="835" spans="1:9" x14ac:dyDescent="0.2">
      <c r="A835">
        <v>3953827</v>
      </c>
      <c r="B835">
        <v>1</v>
      </c>
      <c r="C835">
        <v>3243</v>
      </c>
      <c r="D835">
        <v>56135</v>
      </c>
      <c r="E835">
        <v>24</v>
      </c>
      <c r="F835" t="s">
        <v>47</v>
      </c>
      <c r="G835" t="s">
        <v>75</v>
      </c>
      <c r="H835" t="s">
        <v>46</v>
      </c>
      <c r="I835">
        <v>10</v>
      </c>
    </row>
    <row r="836" spans="1:9" x14ac:dyDescent="0.2">
      <c r="A836">
        <v>3953827</v>
      </c>
      <c r="B836">
        <v>2</v>
      </c>
      <c r="C836">
        <v>3252</v>
      </c>
      <c r="D836">
        <v>0</v>
      </c>
      <c r="E836">
        <v>26</v>
      </c>
      <c r="F836" t="s">
        <v>47</v>
      </c>
      <c r="G836" t="s">
        <v>45</v>
      </c>
      <c r="H836" t="s">
        <v>46</v>
      </c>
      <c r="I836">
        <v>10</v>
      </c>
    </row>
    <row r="837" spans="1:9" x14ac:dyDescent="0.2">
      <c r="A837">
        <v>3953827</v>
      </c>
      <c r="B837">
        <v>3</v>
      </c>
      <c r="C837">
        <v>3251</v>
      </c>
      <c r="D837">
        <v>0</v>
      </c>
      <c r="E837">
        <v>26</v>
      </c>
      <c r="F837" t="s">
        <v>47</v>
      </c>
      <c r="G837" t="s">
        <v>48</v>
      </c>
      <c r="H837" t="s">
        <v>46</v>
      </c>
      <c r="I837">
        <v>10</v>
      </c>
    </row>
    <row r="838" spans="1:9" x14ac:dyDescent="0.2">
      <c r="A838">
        <v>3969360</v>
      </c>
      <c r="B838">
        <v>1</v>
      </c>
      <c r="C838">
        <v>1203</v>
      </c>
      <c r="D838">
        <v>57390</v>
      </c>
      <c r="E838">
        <v>25</v>
      </c>
      <c r="F838" t="s">
        <v>19</v>
      </c>
      <c r="G838" t="s">
        <v>248</v>
      </c>
      <c r="H838" t="s">
        <v>16</v>
      </c>
      <c r="I838" t="s">
        <v>448</v>
      </c>
    </row>
    <row r="839" spans="1:9" x14ac:dyDescent="0.2">
      <c r="A839">
        <v>3969360</v>
      </c>
      <c r="B839">
        <v>2</v>
      </c>
      <c r="C839">
        <v>1139</v>
      </c>
      <c r="D839">
        <v>0</v>
      </c>
      <c r="E839">
        <v>17</v>
      </c>
      <c r="F839" t="s">
        <v>17</v>
      </c>
      <c r="G839" t="s">
        <v>391</v>
      </c>
      <c r="H839" t="s">
        <v>16</v>
      </c>
      <c r="I839" t="s">
        <v>448</v>
      </c>
    </row>
    <row r="840" spans="1:9" x14ac:dyDescent="0.2">
      <c r="A840">
        <v>3969360</v>
      </c>
      <c r="B840">
        <v>3</v>
      </c>
      <c r="C840">
        <v>1776</v>
      </c>
      <c r="D840">
        <v>55720</v>
      </c>
      <c r="E840">
        <v>25</v>
      </c>
      <c r="F840" t="s">
        <v>57</v>
      </c>
      <c r="G840" t="s">
        <v>124</v>
      </c>
      <c r="H840" t="s">
        <v>125</v>
      </c>
      <c r="I840">
        <v>10</v>
      </c>
    </row>
    <row r="841" spans="1:9" x14ac:dyDescent="0.2">
      <c r="A841">
        <v>3969360</v>
      </c>
      <c r="B841">
        <v>4</v>
      </c>
      <c r="C841">
        <v>1711</v>
      </c>
      <c r="D841">
        <v>57685</v>
      </c>
      <c r="E841">
        <v>24</v>
      </c>
      <c r="F841" t="s">
        <v>57</v>
      </c>
      <c r="G841" t="s">
        <v>201</v>
      </c>
      <c r="H841" t="s">
        <v>69</v>
      </c>
      <c r="I841">
        <v>10</v>
      </c>
    </row>
    <row r="842" spans="1:9" x14ac:dyDescent="0.2">
      <c r="A842">
        <v>3969360</v>
      </c>
      <c r="B842">
        <v>5</v>
      </c>
      <c r="C842">
        <v>1728</v>
      </c>
      <c r="D842">
        <v>0</v>
      </c>
      <c r="E842">
        <v>26</v>
      </c>
      <c r="F842" t="s">
        <v>57</v>
      </c>
      <c r="G842" t="s">
        <v>103</v>
      </c>
      <c r="H842" t="s">
        <v>69</v>
      </c>
      <c r="I842">
        <v>10</v>
      </c>
    </row>
    <row r="843" spans="1:9" x14ac:dyDescent="0.2">
      <c r="A843">
        <v>3969360</v>
      </c>
      <c r="B843">
        <v>6</v>
      </c>
      <c r="C843">
        <v>1786</v>
      </c>
      <c r="D843">
        <v>0</v>
      </c>
      <c r="E843">
        <v>26</v>
      </c>
      <c r="F843" t="s">
        <v>57</v>
      </c>
      <c r="G843" t="s">
        <v>103</v>
      </c>
      <c r="H843" t="s">
        <v>56</v>
      </c>
      <c r="I843">
        <v>10</v>
      </c>
    </row>
    <row r="844" spans="1:9" x14ac:dyDescent="0.2">
      <c r="A844">
        <v>3969360</v>
      </c>
      <c r="B844">
        <v>7</v>
      </c>
      <c r="C844">
        <v>1732</v>
      </c>
      <c r="D844">
        <v>0</v>
      </c>
      <c r="E844">
        <v>26</v>
      </c>
      <c r="F844" t="s">
        <v>57</v>
      </c>
      <c r="G844" t="s">
        <v>104</v>
      </c>
      <c r="H844" t="s">
        <v>69</v>
      </c>
      <c r="I844">
        <v>10</v>
      </c>
    </row>
    <row r="845" spans="1:9" x14ac:dyDescent="0.2">
      <c r="A845">
        <v>3971528</v>
      </c>
      <c r="B845">
        <v>1</v>
      </c>
      <c r="C845">
        <v>1709</v>
      </c>
      <c r="D845">
        <v>61580</v>
      </c>
      <c r="E845">
        <v>24</v>
      </c>
      <c r="F845" t="s">
        <v>57</v>
      </c>
      <c r="G845" t="s">
        <v>84</v>
      </c>
      <c r="H845" t="s">
        <v>69</v>
      </c>
      <c r="I845">
        <v>10</v>
      </c>
    </row>
    <row r="846" spans="1:9" x14ac:dyDescent="0.2">
      <c r="A846">
        <v>3971528</v>
      </c>
      <c r="B846">
        <v>2</v>
      </c>
      <c r="C846">
        <v>3719</v>
      </c>
      <c r="D846">
        <v>0</v>
      </c>
      <c r="E846">
        <v>26</v>
      </c>
      <c r="F846" t="s">
        <v>116</v>
      </c>
      <c r="G846" t="s">
        <v>66</v>
      </c>
      <c r="H846" t="s">
        <v>61</v>
      </c>
      <c r="I846">
        <v>9</v>
      </c>
    </row>
    <row r="847" spans="1:9" x14ac:dyDescent="0.2">
      <c r="A847">
        <v>3971528</v>
      </c>
      <c r="B847">
        <v>3</v>
      </c>
      <c r="C847">
        <v>1737</v>
      </c>
      <c r="D847">
        <v>0</v>
      </c>
      <c r="E847">
        <v>26</v>
      </c>
      <c r="F847" t="s">
        <v>57</v>
      </c>
      <c r="G847" t="s">
        <v>54</v>
      </c>
      <c r="H847" t="s">
        <v>79</v>
      </c>
      <c r="I847">
        <v>10</v>
      </c>
    </row>
    <row r="848" spans="1:9" x14ac:dyDescent="0.2">
      <c r="A848">
        <v>3971528</v>
      </c>
      <c r="B848">
        <v>4</v>
      </c>
      <c r="C848">
        <v>1752</v>
      </c>
      <c r="D848">
        <v>0</v>
      </c>
      <c r="E848">
        <v>26</v>
      </c>
      <c r="F848" t="s">
        <v>57</v>
      </c>
      <c r="G848" t="s">
        <v>66</v>
      </c>
      <c r="H848" t="s">
        <v>56</v>
      </c>
      <c r="I848">
        <v>10</v>
      </c>
    </row>
    <row r="849" spans="1:9" x14ac:dyDescent="0.2">
      <c r="A849">
        <v>3971528</v>
      </c>
      <c r="B849">
        <v>5</v>
      </c>
      <c r="C849">
        <v>1372</v>
      </c>
      <c r="D849">
        <v>0</v>
      </c>
      <c r="E849">
        <v>26</v>
      </c>
      <c r="F849" t="s">
        <v>21</v>
      </c>
      <c r="G849" t="s">
        <v>66</v>
      </c>
      <c r="H849" t="s">
        <v>20</v>
      </c>
      <c r="I849">
        <v>8</v>
      </c>
    </row>
    <row r="850" spans="1:9" x14ac:dyDescent="0.2">
      <c r="A850">
        <v>3971528</v>
      </c>
      <c r="B850">
        <v>6</v>
      </c>
      <c r="C850">
        <v>1603</v>
      </c>
      <c r="D850">
        <v>0</v>
      </c>
      <c r="E850">
        <v>26</v>
      </c>
      <c r="F850" t="s">
        <v>128</v>
      </c>
      <c r="G850" t="s">
        <v>254</v>
      </c>
      <c r="H850" t="s">
        <v>127</v>
      </c>
      <c r="I850" t="s">
        <v>448</v>
      </c>
    </row>
    <row r="851" spans="1:9" x14ac:dyDescent="0.2">
      <c r="A851">
        <v>3971528</v>
      </c>
      <c r="B851">
        <v>7</v>
      </c>
      <c r="C851">
        <v>1319</v>
      </c>
      <c r="D851">
        <v>0</v>
      </c>
      <c r="E851">
        <v>26</v>
      </c>
      <c r="F851" t="s">
        <v>21</v>
      </c>
      <c r="G851" t="s">
        <v>84</v>
      </c>
      <c r="H851" t="s">
        <v>20</v>
      </c>
      <c r="I851">
        <v>8</v>
      </c>
    </row>
    <row r="852" spans="1:9" x14ac:dyDescent="0.2">
      <c r="A852">
        <v>3971528</v>
      </c>
      <c r="B852">
        <v>8</v>
      </c>
      <c r="C852">
        <v>1714</v>
      </c>
      <c r="D852">
        <v>0</v>
      </c>
      <c r="E852">
        <v>26</v>
      </c>
      <c r="F852" t="s">
        <v>57</v>
      </c>
      <c r="G852" t="s">
        <v>95</v>
      </c>
      <c r="H852" t="s">
        <v>69</v>
      </c>
      <c r="I852">
        <v>10</v>
      </c>
    </row>
    <row r="853" spans="1:9" x14ac:dyDescent="0.2">
      <c r="A853">
        <v>4025506</v>
      </c>
      <c r="B853">
        <v>1</v>
      </c>
      <c r="C853">
        <v>3243</v>
      </c>
      <c r="D853">
        <v>53985</v>
      </c>
      <c r="E853">
        <v>24</v>
      </c>
      <c r="F853" t="s">
        <v>47</v>
      </c>
      <c r="G853" t="s">
        <v>75</v>
      </c>
      <c r="H853" t="s">
        <v>46</v>
      </c>
      <c r="I853">
        <v>10</v>
      </c>
    </row>
    <row r="854" spans="1:9" x14ac:dyDescent="0.2">
      <c r="A854">
        <v>4025506</v>
      </c>
      <c r="B854">
        <v>2</v>
      </c>
      <c r="C854">
        <v>3252</v>
      </c>
      <c r="D854">
        <v>0</v>
      </c>
      <c r="E854">
        <v>26</v>
      </c>
      <c r="F854" t="s">
        <v>47</v>
      </c>
      <c r="G854" t="s">
        <v>45</v>
      </c>
      <c r="H854" t="s">
        <v>46</v>
      </c>
      <c r="I854">
        <v>10</v>
      </c>
    </row>
    <row r="855" spans="1:9" x14ac:dyDescent="0.2">
      <c r="A855">
        <v>4025506</v>
      </c>
      <c r="B855">
        <v>3</v>
      </c>
      <c r="C855">
        <v>3234</v>
      </c>
      <c r="D855">
        <v>0</v>
      </c>
      <c r="E855">
        <v>26</v>
      </c>
      <c r="F855" t="s">
        <v>47</v>
      </c>
      <c r="G855" t="s">
        <v>76</v>
      </c>
      <c r="H855" t="s">
        <v>46</v>
      </c>
      <c r="I855">
        <v>10</v>
      </c>
    </row>
    <row r="856" spans="1:9" x14ac:dyDescent="0.2">
      <c r="A856">
        <v>4025506</v>
      </c>
      <c r="B856">
        <v>4</v>
      </c>
      <c r="C856">
        <v>3251</v>
      </c>
      <c r="D856">
        <v>0</v>
      </c>
      <c r="E856">
        <v>26</v>
      </c>
      <c r="F856" t="s">
        <v>47</v>
      </c>
      <c r="G856" t="s">
        <v>48</v>
      </c>
      <c r="H856" t="s">
        <v>46</v>
      </c>
      <c r="I856">
        <v>10</v>
      </c>
    </row>
    <row r="857" spans="1:9" x14ac:dyDescent="0.2">
      <c r="A857">
        <v>4025506</v>
      </c>
      <c r="B857">
        <v>5</v>
      </c>
      <c r="C857">
        <v>3261</v>
      </c>
      <c r="D857">
        <v>0</v>
      </c>
      <c r="E857">
        <v>26</v>
      </c>
      <c r="F857" t="s">
        <v>47</v>
      </c>
      <c r="G857" t="s">
        <v>93</v>
      </c>
      <c r="H857" t="s">
        <v>46</v>
      </c>
      <c r="I857">
        <v>10</v>
      </c>
    </row>
    <row r="858" spans="1:9" x14ac:dyDescent="0.2">
      <c r="A858">
        <v>4025506</v>
      </c>
      <c r="B858">
        <v>6</v>
      </c>
      <c r="C858">
        <v>3242</v>
      </c>
      <c r="D858">
        <v>0</v>
      </c>
      <c r="E858">
        <v>26</v>
      </c>
      <c r="F858" t="s">
        <v>47</v>
      </c>
      <c r="G858" t="s">
        <v>90</v>
      </c>
      <c r="H858" t="s">
        <v>46</v>
      </c>
      <c r="I858">
        <v>10</v>
      </c>
    </row>
    <row r="859" spans="1:9" x14ac:dyDescent="0.2">
      <c r="A859">
        <v>4025506</v>
      </c>
      <c r="B859">
        <v>7</v>
      </c>
      <c r="C859">
        <v>1784</v>
      </c>
      <c r="D859">
        <v>0</v>
      </c>
      <c r="E859">
        <v>26</v>
      </c>
      <c r="F859" t="s">
        <v>57</v>
      </c>
      <c r="G859" t="s">
        <v>87</v>
      </c>
      <c r="H859" t="s">
        <v>69</v>
      </c>
      <c r="I859">
        <v>10</v>
      </c>
    </row>
    <row r="860" spans="1:9" x14ac:dyDescent="0.2">
      <c r="A860">
        <v>4025506</v>
      </c>
      <c r="B860">
        <v>8</v>
      </c>
      <c r="C860">
        <v>1777</v>
      </c>
      <c r="D860">
        <v>0</v>
      </c>
      <c r="E860">
        <v>26</v>
      </c>
      <c r="F860" t="s">
        <v>57</v>
      </c>
      <c r="G860" t="s">
        <v>88</v>
      </c>
      <c r="H860" t="s">
        <v>69</v>
      </c>
      <c r="I860">
        <v>10</v>
      </c>
    </row>
    <row r="861" spans="1:9" x14ac:dyDescent="0.2">
      <c r="A861">
        <v>4026474</v>
      </c>
      <c r="B861">
        <v>1</v>
      </c>
      <c r="C861">
        <v>1713</v>
      </c>
      <c r="D861">
        <v>64605</v>
      </c>
      <c r="E861">
        <v>25</v>
      </c>
      <c r="F861" t="s">
        <v>57</v>
      </c>
      <c r="G861" t="s">
        <v>170</v>
      </c>
      <c r="H861" t="s">
        <v>69</v>
      </c>
      <c r="I861">
        <v>10</v>
      </c>
    </row>
    <row r="862" spans="1:9" x14ac:dyDescent="0.2">
      <c r="A862">
        <v>4026474</v>
      </c>
      <c r="B862">
        <v>2</v>
      </c>
      <c r="C862">
        <v>1752</v>
      </c>
      <c r="D862">
        <v>66395</v>
      </c>
      <c r="E862">
        <v>24</v>
      </c>
      <c r="F862" t="s">
        <v>57</v>
      </c>
      <c r="G862" t="s">
        <v>66</v>
      </c>
      <c r="H862" t="s">
        <v>56</v>
      </c>
      <c r="I862">
        <v>10</v>
      </c>
    </row>
    <row r="863" spans="1:9" x14ac:dyDescent="0.2">
      <c r="A863">
        <v>4026474</v>
      </c>
      <c r="B863">
        <v>3</v>
      </c>
      <c r="C863">
        <v>3225</v>
      </c>
      <c r="D863">
        <v>0</v>
      </c>
      <c r="E863">
        <v>26</v>
      </c>
      <c r="F863" t="s">
        <v>47</v>
      </c>
      <c r="G863" t="s">
        <v>106</v>
      </c>
      <c r="H863" t="s">
        <v>46</v>
      </c>
      <c r="I863">
        <v>10</v>
      </c>
    </row>
    <row r="864" spans="1:9" x14ac:dyDescent="0.2">
      <c r="A864">
        <v>4026474</v>
      </c>
      <c r="B864">
        <v>4</v>
      </c>
      <c r="C864">
        <v>1714</v>
      </c>
      <c r="D864">
        <v>0</v>
      </c>
      <c r="E864">
        <v>26</v>
      </c>
      <c r="F864" t="s">
        <v>57</v>
      </c>
      <c r="G864" t="s">
        <v>95</v>
      </c>
      <c r="H864" t="s">
        <v>69</v>
      </c>
      <c r="I864">
        <v>10</v>
      </c>
    </row>
    <row r="865" spans="1:9" x14ac:dyDescent="0.2">
      <c r="A865">
        <v>4026474</v>
      </c>
      <c r="B865">
        <v>5</v>
      </c>
      <c r="C865">
        <v>1782</v>
      </c>
      <c r="D865">
        <v>0</v>
      </c>
      <c r="E865">
        <v>26</v>
      </c>
      <c r="F865" t="s">
        <v>57</v>
      </c>
      <c r="G865" t="s">
        <v>63</v>
      </c>
      <c r="H865" t="s">
        <v>69</v>
      </c>
      <c r="I865">
        <v>10</v>
      </c>
    </row>
    <row r="866" spans="1:9" x14ac:dyDescent="0.2">
      <c r="A866">
        <v>4026474</v>
      </c>
      <c r="B866">
        <v>6</v>
      </c>
      <c r="C866">
        <v>1736</v>
      </c>
      <c r="D866">
        <v>0</v>
      </c>
      <c r="E866">
        <v>26</v>
      </c>
      <c r="F866" t="s">
        <v>57</v>
      </c>
      <c r="G866" t="s">
        <v>78</v>
      </c>
      <c r="H866" t="s">
        <v>79</v>
      </c>
      <c r="I866">
        <v>10</v>
      </c>
    </row>
    <row r="867" spans="1:9" x14ac:dyDescent="0.2">
      <c r="A867">
        <v>4026474</v>
      </c>
      <c r="B867">
        <v>7</v>
      </c>
      <c r="C867">
        <v>1617</v>
      </c>
      <c r="D867">
        <v>0</v>
      </c>
      <c r="E867">
        <v>26</v>
      </c>
      <c r="F867" t="s">
        <v>128</v>
      </c>
      <c r="G867" t="s">
        <v>153</v>
      </c>
      <c r="H867" t="s">
        <v>127</v>
      </c>
      <c r="I867" t="s">
        <v>448</v>
      </c>
    </row>
    <row r="868" spans="1:9" x14ac:dyDescent="0.2">
      <c r="A868">
        <v>4026474</v>
      </c>
      <c r="B868">
        <v>8</v>
      </c>
      <c r="C868">
        <v>3077</v>
      </c>
      <c r="D868">
        <v>0</v>
      </c>
      <c r="E868">
        <v>26</v>
      </c>
      <c r="F868" t="s">
        <v>44</v>
      </c>
      <c r="G868" t="s">
        <v>120</v>
      </c>
      <c r="H868" t="s">
        <v>61</v>
      </c>
      <c r="I868">
        <v>9</v>
      </c>
    </row>
    <row r="869" spans="1:9" x14ac:dyDescent="0.2">
      <c r="A869">
        <v>4111534</v>
      </c>
      <c r="B869">
        <v>1</v>
      </c>
      <c r="C869">
        <v>3214</v>
      </c>
      <c r="D869">
        <v>64200</v>
      </c>
      <c r="E869">
        <v>24</v>
      </c>
      <c r="F869" t="s">
        <v>47</v>
      </c>
      <c r="G869" t="s">
        <v>98</v>
      </c>
      <c r="H869" t="s">
        <v>74</v>
      </c>
      <c r="I869">
        <v>10</v>
      </c>
    </row>
    <row r="870" spans="1:9" x14ac:dyDescent="0.2">
      <c r="A870">
        <v>4111534</v>
      </c>
      <c r="B870">
        <v>2</v>
      </c>
      <c r="C870">
        <v>1782</v>
      </c>
      <c r="D870">
        <v>0</v>
      </c>
      <c r="E870">
        <v>26</v>
      </c>
      <c r="F870" t="s">
        <v>57</v>
      </c>
      <c r="G870" t="s">
        <v>63</v>
      </c>
      <c r="H870" t="s">
        <v>69</v>
      </c>
      <c r="I870">
        <v>10</v>
      </c>
    </row>
    <row r="871" spans="1:9" x14ac:dyDescent="0.2">
      <c r="A871">
        <v>4111534</v>
      </c>
      <c r="B871">
        <v>3</v>
      </c>
      <c r="C871">
        <v>3212</v>
      </c>
      <c r="D871">
        <v>0</v>
      </c>
      <c r="E871">
        <v>26</v>
      </c>
      <c r="F871" t="s">
        <v>47</v>
      </c>
      <c r="G871" t="s">
        <v>84</v>
      </c>
      <c r="H871" t="s">
        <v>46</v>
      </c>
      <c r="I871">
        <v>10</v>
      </c>
    </row>
    <row r="872" spans="1:9" x14ac:dyDescent="0.2">
      <c r="A872">
        <v>4111534</v>
      </c>
      <c r="B872">
        <v>4</v>
      </c>
      <c r="C872">
        <v>1709</v>
      </c>
      <c r="D872">
        <v>0</v>
      </c>
      <c r="E872">
        <v>26</v>
      </c>
      <c r="F872" t="s">
        <v>57</v>
      </c>
      <c r="G872" t="s">
        <v>84</v>
      </c>
      <c r="H872" t="s">
        <v>69</v>
      </c>
      <c r="I872">
        <v>10</v>
      </c>
    </row>
    <row r="873" spans="1:9" x14ac:dyDescent="0.2">
      <c r="A873">
        <v>4111534</v>
      </c>
      <c r="B873">
        <v>5</v>
      </c>
      <c r="C873">
        <v>3213</v>
      </c>
      <c r="D873">
        <v>0</v>
      </c>
      <c r="E873">
        <v>26</v>
      </c>
      <c r="F873" t="s">
        <v>47</v>
      </c>
      <c r="G873" t="s">
        <v>158</v>
      </c>
      <c r="H873" t="s">
        <v>74</v>
      </c>
      <c r="I873">
        <v>10</v>
      </c>
    </row>
    <row r="874" spans="1:9" x14ac:dyDescent="0.2">
      <c r="A874">
        <v>4111534</v>
      </c>
      <c r="B874">
        <v>6</v>
      </c>
      <c r="C874">
        <v>3218</v>
      </c>
      <c r="D874">
        <v>0</v>
      </c>
      <c r="E874">
        <v>26</v>
      </c>
      <c r="F874" t="s">
        <v>47</v>
      </c>
      <c r="G874" t="s">
        <v>66</v>
      </c>
      <c r="H874" t="s">
        <v>74</v>
      </c>
      <c r="I874">
        <v>10</v>
      </c>
    </row>
    <row r="875" spans="1:9" x14ac:dyDescent="0.2">
      <c r="A875">
        <v>4111534</v>
      </c>
      <c r="B875">
        <v>7</v>
      </c>
      <c r="C875">
        <v>1729</v>
      </c>
      <c r="D875">
        <v>0</v>
      </c>
      <c r="E875">
        <v>26</v>
      </c>
      <c r="F875" t="s">
        <v>57</v>
      </c>
      <c r="G875" t="s">
        <v>72</v>
      </c>
      <c r="H875" t="s">
        <v>69</v>
      </c>
      <c r="I875">
        <v>10</v>
      </c>
    </row>
    <row r="876" spans="1:9" x14ac:dyDescent="0.2">
      <c r="A876">
        <v>4111534</v>
      </c>
      <c r="B876">
        <v>8</v>
      </c>
      <c r="C876">
        <v>3243</v>
      </c>
      <c r="D876">
        <v>0</v>
      </c>
      <c r="E876">
        <v>26</v>
      </c>
      <c r="F876" t="s">
        <v>47</v>
      </c>
      <c r="G876" t="s">
        <v>75</v>
      </c>
      <c r="H876" t="s">
        <v>46</v>
      </c>
      <c r="I876">
        <v>10</v>
      </c>
    </row>
    <row r="877" spans="1:9" x14ac:dyDescent="0.2">
      <c r="A877">
        <v>4111958</v>
      </c>
      <c r="B877">
        <v>1</v>
      </c>
      <c r="C877">
        <v>1531</v>
      </c>
      <c r="D877">
        <v>54925</v>
      </c>
      <c r="E877">
        <v>24</v>
      </c>
      <c r="F877" t="s">
        <v>142</v>
      </c>
      <c r="G877" t="s">
        <v>240</v>
      </c>
      <c r="H877" t="s">
        <v>241</v>
      </c>
      <c r="I877">
        <v>5</v>
      </c>
    </row>
    <row r="878" spans="1:9" x14ac:dyDescent="0.2">
      <c r="A878">
        <v>4111958</v>
      </c>
      <c r="B878">
        <v>2</v>
      </c>
      <c r="C878">
        <v>1704</v>
      </c>
      <c r="D878">
        <v>0</v>
      </c>
      <c r="E878">
        <v>26</v>
      </c>
      <c r="F878" t="s">
        <v>57</v>
      </c>
      <c r="G878" t="s">
        <v>82</v>
      </c>
      <c r="H878" t="s">
        <v>79</v>
      </c>
      <c r="I878">
        <v>10</v>
      </c>
    </row>
    <row r="879" spans="1:9" x14ac:dyDescent="0.2">
      <c r="A879">
        <v>4111958</v>
      </c>
      <c r="B879">
        <v>3</v>
      </c>
      <c r="C879">
        <v>1737</v>
      </c>
      <c r="D879">
        <v>0</v>
      </c>
      <c r="E879">
        <v>26</v>
      </c>
      <c r="F879" t="s">
        <v>57</v>
      </c>
      <c r="G879" t="s">
        <v>54</v>
      </c>
      <c r="H879" t="s">
        <v>79</v>
      </c>
      <c r="I879">
        <v>10</v>
      </c>
    </row>
    <row r="880" spans="1:9" x14ac:dyDescent="0.2">
      <c r="A880">
        <v>4111958</v>
      </c>
      <c r="B880">
        <v>4</v>
      </c>
      <c r="C880">
        <v>1709</v>
      </c>
      <c r="D880">
        <v>0</v>
      </c>
      <c r="E880">
        <v>26</v>
      </c>
      <c r="F880" t="s">
        <v>57</v>
      </c>
      <c r="G880" t="s">
        <v>84</v>
      </c>
      <c r="H880" t="s">
        <v>69</v>
      </c>
      <c r="I880">
        <v>10</v>
      </c>
    </row>
    <row r="881" spans="1:9" x14ac:dyDescent="0.2">
      <c r="A881">
        <v>4111958</v>
      </c>
      <c r="B881">
        <v>5</v>
      </c>
      <c r="C881">
        <v>1714</v>
      </c>
      <c r="D881">
        <v>0</v>
      </c>
      <c r="E881">
        <v>26</v>
      </c>
      <c r="F881" t="s">
        <v>57</v>
      </c>
      <c r="G881" t="s">
        <v>95</v>
      </c>
      <c r="H881" t="s">
        <v>69</v>
      </c>
      <c r="I881">
        <v>10</v>
      </c>
    </row>
    <row r="882" spans="1:9" x14ac:dyDescent="0.2">
      <c r="A882">
        <v>4113205</v>
      </c>
      <c r="B882">
        <v>1</v>
      </c>
      <c r="C882">
        <v>3252</v>
      </c>
      <c r="D882">
        <v>48420</v>
      </c>
      <c r="E882">
        <v>25</v>
      </c>
      <c r="F882" t="s">
        <v>47</v>
      </c>
      <c r="G882" t="s">
        <v>45</v>
      </c>
      <c r="H882" t="s">
        <v>46</v>
      </c>
      <c r="I882">
        <v>10</v>
      </c>
    </row>
    <row r="883" spans="1:9" x14ac:dyDescent="0.2">
      <c r="A883">
        <v>4113205</v>
      </c>
      <c r="B883">
        <v>2</v>
      </c>
      <c r="C883">
        <v>3248</v>
      </c>
      <c r="D883">
        <v>48855</v>
      </c>
      <c r="E883">
        <v>25</v>
      </c>
      <c r="F883" t="s">
        <v>47</v>
      </c>
      <c r="G883" t="s">
        <v>92</v>
      </c>
      <c r="H883" t="s">
        <v>46</v>
      </c>
      <c r="I883">
        <v>10</v>
      </c>
    </row>
    <row r="884" spans="1:9" x14ac:dyDescent="0.2">
      <c r="A884">
        <v>4113205</v>
      </c>
      <c r="B884">
        <v>3</v>
      </c>
      <c r="C884">
        <v>3251</v>
      </c>
      <c r="D884">
        <v>48395</v>
      </c>
      <c r="E884">
        <v>24</v>
      </c>
      <c r="F884" t="s">
        <v>47</v>
      </c>
      <c r="G884" t="s">
        <v>48</v>
      </c>
      <c r="H884" t="s">
        <v>46</v>
      </c>
      <c r="I884">
        <v>10</v>
      </c>
    </row>
    <row r="885" spans="1:9" x14ac:dyDescent="0.2">
      <c r="A885">
        <v>4144800</v>
      </c>
      <c r="B885">
        <v>1</v>
      </c>
      <c r="C885">
        <v>1705</v>
      </c>
      <c r="D885">
        <v>53110</v>
      </c>
      <c r="E885">
        <v>25</v>
      </c>
      <c r="F885" t="s">
        <v>57</v>
      </c>
      <c r="G885" t="s">
        <v>102</v>
      </c>
      <c r="H885" t="s">
        <v>69</v>
      </c>
      <c r="I885">
        <v>10</v>
      </c>
    </row>
    <row r="886" spans="1:9" x14ac:dyDescent="0.2">
      <c r="A886">
        <v>4144800</v>
      </c>
      <c r="B886">
        <v>2</v>
      </c>
      <c r="C886">
        <v>1787</v>
      </c>
      <c r="D886">
        <v>52975</v>
      </c>
      <c r="E886">
        <v>25</v>
      </c>
      <c r="F886" t="s">
        <v>57</v>
      </c>
      <c r="G886" t="s">
        <v>49</v>
      </c>
      <c r="H886" t="s">
        <v>56</v>
      </c>
      <c r="I886">
        <v>10</v>
      </c>
    </row>
    <row r="887" spans="1:9" x14ac:dyDescent="0.2">
      <c r="A887">
        <v>4155043</v>
      </c>
      <c r="B887">
        <v>1</v>
      </c>
      <c r="C887">
        <v>1388</v>
      </c>
      <c r="D887">
        <v>62295</v>
      </c>
      <c r="E887">
        <v>24</v>
      </c>
      <c r="F887" t="s">
        <v>21</v>
      </c>
      <c r="G887" t="s">
        <v>151</v>
      </c>
      <c r="H887" t="s">
        <v>20</v>
      </c>
      <c r="I887">
        <v>8</v>
      </c>
    </row>
    <row r="888" spans="1:9" x14ac:dyDescent="0.2">
      <c r="A888">
        <v>4155043</v>
      </c>
      <c r="B888">
        <v>2</v>
      </c>
      <c r="C888">
        <v>1387</v>
      </c>
      <c r="D888">
        <v>0</v>
      </c>
      <c r="E888">
        <v>26</v>
      </c>
      <c r="F888" t="s">
        <v>21</v>
      </c>
      <c r="G888" t="s">
        <v>102</v>
      </c>
      <c r="H888" t="s">
        <v>20</v>
      </c>
      <c r="I888">
        <v>8</v>
      </c>
    </row>
    <row r="889" spans="1:9" x14ac:dyDescent="0.2">
      <c r="A889">
        <v>4155043</v>
      </c>
      <c r="B889">
        <v>3</v>
      </c>
      <c r="C889">
        <v>1311</v>
      </c>
      <c r="D889">
        <v>0</v>
      </c>
      <c r="E889">
        <v>26</v>
      </c>
      <c r="F889" t="s">
        <v>21</v>
      </c>
      <c r="G889" t="s">
        <v>95</v>
      </c>
      <c r="H889" t="s">
        <v>20</v>
      </c>
      <c r="I889">
        <v>8</v>
      </c>
    </row>
    <row r="890" spans="1:9" x14ac:dyDescent="0.2">
      <c r="A890">
        <v>4155043</v>
      </c>
      <c r="B890">
        <v>4</v>
      </c>
      <c r="C890">
        <v>1348</v>
      </c>
      <c r="D890">
        <v>0</v>
      </c>
      <c r="E890">
        <v>26</v>
      </c>
      <c r="F890" t="s">
        <v>21</v>
      </c>
      <c r="G890" t="s">
        <v>164</v>
      </c>
      <c r="H890" t="s">
        <v>20</v>
      </c>
      <c r="I890">
        <v>8</v>
      </c>
    </row>
    <row r="891" spans="1:9" x14ac:dyDescent="0.2">
      <c r="A891">
        <v>4155043</v>
      </c>
      <c r="B891">
        <v>5</v>
      </c>
      <c r="C891">
        <v>1358</v>
      </c>
      <c r="D891">
        <v>0</v>
      </c>
      <c r="E891">
        <v>26</v>
      </c>
      <c r="F891" t="s">
        <v>21</v>
      </c>
      <c r="G891" t="s">
        <v>210</v>
      </c>
      <c r="H891" t="s">
        <v>20</v>
      </c>
      <c r="I891">
        <v>8</v>
      </c>
    </row>
    <row r="892" spans="1:9" x14ac:dyDescent="0.2">
      <c r="A892">
        <v>4155043</v>
      </c>
      <c r="B892">
        <v>6</v>
      </c>
      <c r="C892">
        <v>1702</v>
      </c>
      <c r="D892">
        <v>0</v>
      </c>
      <c r="E892">
        <v>26</v>
      </c>
      <c r="F892" t="s">
        <v>57</v>
      </c>
      <c r="G892" t="s">
        <v>164</v>
      </c>
      <c r="H892" t="s">
        <v>69</v>
      </c>
      <c r="I892">
        <v>10</v>
      </c>
    </row>
    <row r="893" spans="1:9" x14ac:dyDescent="0.2">
      <c r="A893">
        <v>4155043</v>
      </c>
      <c r="B893">
        <v>7</v>
      </c>
      <c r="C893">
        <v>1705</v>
      </c>
      <c r="D893">
        <v>0</v>
      </c>
      <c r="E893">
        <v>26</v>
      </c>
      <c r="F893" t="s">
        <v>57</v>
      </c>
      <c r="G893" t="s">
        <v>102</v>
      </c>
      <c r="H893" t="s">
        <v>69</v>
      </c>
      <c r="I893">
        <v>10</v>
      </c>
    </row>
    <row r="894" spans="1:9" x14ac:dyDescent="0.2">
      <c r="A894">
        <v>4155043</v>
      </c>
      <c r="B894">
        <v>8</v>
      </c>
      <c r="C894">
        <v>1731</v>
      </c>
      <c r="D894">
        <v>0</v>
      </c>
      <c r="E894">
        <v>26</v>
      </c>
      <c r="F894" t="s">
        <v>57</v>
      </c>
      <c r="G894" t="s">
        <v>172</v>
      </c>
      <c r="H894" t="s">
        <v>69</v>
      </c>
      <c r="I894">
        <v>10</v>
      </c>
    </row>
    <row r="895" spans="1:9" x14ac:dyDescent="0.2">
      <c r="A895">
        <v>4155620</v>
      </c>
      <c r="B895">
        <v>1</v>
      </c>
      <c r="C895">
        <v>3248</v>
      </c>
      <c r="D895">
        <v>47960</v>
      </c>
      <c r="E895">
        <v>25</v>
      </c>
      <c r="F895" t="s">
        <v>47</v>
      </c>
      <c r="G895" t="s">
        <v>92</v>
      </c>
      <c r="H895" t="s">
        <v>46</v>
      </c>
      <c r="I895">
        <v>10</v>
      </c>
    </row>
    <row r="896" spans="1:9" x14ac:dyDescent="0.2">
      <c r="A896">
        <v>4155620</v>
      </c>
      <c r="B896">
        <v>2</v>
      </c>
      <c r="C896">
        <v>3251</v>
      </c>
      <c r="D896">
        <v>47880</v>
      </c>
      <c r="E896">
        <v>25</v>
      </c>
      <c r="F896" t="s">
        <v>47</v>
      </c>
      <c r="G896" t="s">
        <v>48</v>
      </c>
      <c r="H896" t="s">
        <v>46</v>
      </c>
      <c r="I896">
        <v>10</v>
      </c>
    </row>
    <row r="897" spans="1:9" x14ac:dyDescent="0.2">
      <c r="A897">
        <v>4155620</v>
      </c>
      <c r="B897">
        <v>3</v>
      </c>
      <c r="C897">
        <v>3252</v>
      </c>
      <c r="D897">
        <v>47700</v>
      </c>
      <c r="E897">
        <v>25</v>
      </c>
      <c r="F897" t="s">
        <v>47</v>
      </c>
      <c r="G897" t="s">
        <v>45</v>
      </c>
      <c r="H897" t="s">
        <v>46</v>
      </c>
      <c r="I897">
        <v>10</v>
      </c>
    </row>
    <row r="898" spans="1:9" x14ac:dyDescent="0.2">
      <c r="A898">
        <v>4155620</v>
      </c>
      <c r="B898">
        <v>4</v>
      </c>
      <c r="C898">
        <v>3261</v>
      </c>
      <c r="D898">
        <v>48040</v>
      </c>
      <c r="E898">
        <v>25</v>
      </c>
      <c r="F898" t="s">
        <v>47</v>
      </c>
      <c r="G898" t="s">
        <v>93</v>
      </c>
      <c r="H898" t="s">
        <v>46</v>
      </c>
      <c r="I898">
        <v>10</v>
      </c>
    </row>
    <row r="899" spans="1:9" x14ac:dyDescent="0.2">
      <c r="A899">
        <v>4155620</v>
      </c>
      <c r="B899">
        <v>5</v>
      </c>
      <c r="C899">
        <v>3239</v>
      </c>
      <c r="D899">
        <v>47570</v>
      </c>
      <c r="E899">
        <v>25</v>
      </c>
      <c r="F899" t="s">
        <v>47</v>
      </c>
      <c r="G899" t="s">
        <v>107</v>
      </c>
      <c r="H899" t="s">
        <v>46</v>
      </c>
      <c r="I899">
        <v>10</v>
      </c>
    </row>
    <row r="900" spans="1:9" x14ac:dyDescent="0.2">
      <c r="A900">
        <v>4155620</v>
      </c>
      <c r="B900">
        <v>6</v>
      </c>
      <c r="C900">
        <v>3243</v>
      </c>
      <c r="D900">
        <v>46970</v>
      </c>
      <c r="E900">
        <v>25</v>
      </c>
      <c r="F900" t="s">
        <v>47</v>
      </c>
      <c r="G900" t="s">
        <v>75</v>
      </c>
      <c r="H900" t="s">
        <v>46</v>
      </c>
      <c r="I900">
        <v>10</v>
      </c>
    </row>
    <row r="901" spans="1:9" x14ac:dyDescent="0.2">
      <c r="A901">
        <v>4155620</v>
      </c>
      <c r="B901">
        <v>7</v>
      </c>
      <c r="C901">
        <v>3245</v>
      </c>
      <c r="D901">
        <v>47570</v>
      </c>
      <c r="E901">
        <v>25</v>
      </c>
      <c r="F901" t="s">
        <v>47</v>
      </c>
      <c r="G901" t="s">
        <v>157</v>
      </c>
      <c r="H901" t="s">
        <v>74</v>
      </c>
      <c r="I901">
        <v>10</v>
      </c>
    </row>
    <row r="902" spans="1:9" x14ac:dyDescent="0.2">
      <c r="A902">
        <v>4155620</v>
      </c>
      <c r="B902">
        <v>8</v>
      </c>
      <c r="C902">
        <v>3246</v>
      </c>
      <c r="D902">
        <v>47700</v>
      </c>
      <c r="E902">
        <v>25</v>
      </c>
      <c r="F902" t="s">
        <v>47</v>
      </c>
      <c r="G902" t="s">
        <v>91</v>
      </c>
      <c r="H902" t="s">
        <v>74</v>
      </c>
      <c r="I902">
        <v>10</v>
      </c>
    </row>
    <row r="903" spans="1:9" x14ac:dyDescent="0.2">
      <c r="A903">
        <v>4167382</v>
      </c>
      <c r="B903">
        <v>1</v>
      </c>
      <c r="C903">
        <v>1258</v>
      </c>
      <c r="D903">
        <v>78940</v>
      </c>
      <c r="E903">
        <v>24</v>
      </c>
      <c r="F903" t="s">
        <v>19</v>
      </c>
      <c r="G903" t="s">
        <v>170</v>
      </c>
      <c r="H903" t="s">
        <v>16</v>
      </c>
      <c r="I903" t="s">
        <v>448</v>
      </c>
    </row>
    <row r="904" spans="1:9" x14ac:dyDescent="0.2">
      <c r="A904">
        <v>4167382</v>
      </c>
      <c r="B904">
        <v>2</v>
      </c>
      <c r="C904">
        <v>1183</v>
      </c>
      <c r="D904">
        <v>0</v>
      </c>
      <c r="E904">
        <v>26</v>
      </c>
      <c r="F904" t="s">
        <v>17</v>
      </c>
      <c r="G904" t="s">
        <v>171</v>
      </c>
      <c r="H904" t="s">
        <v>16</v>
      </c>
      <c r="I904" t="s">
        <v>448</v>
      </c>
    </row>
    <row r="905" spans="1:9" x14ac:dyDescent="0.2">
      <c r="A905">
        <v>4167382</v>
      </c>
      <c r="B905">
        <v>3</v>
      </c>
      <c r="C905">
        <v>1713</v>
      </c>
      <c r="D905">
        <v>0</v>
      </c>
      <c r="E905">
        <v>26</v>
      </c>
      <c r="F905" t="s">
        <v>57</v>
      </c>
      <c r="G905" t="s">
        <v>170</v>
      </c>
      <c r="H905" t="s">
        <v>69</v>
      </c>
      <c r="I905">
        <v>10</v>
      </c>
    </row>
    <row r="906" spans="1:9" x14ac:dyDescent="0.2">
      <c r="A906">
        <v>4167382</v>
      </c>
      <c r="B906">
        <v>4</v>
      </c>
      <c r="C906">
        <v>1691</v>
      </c>
      <c r="D906">
        <v>0</v>
      </c>
      <c r="E906">
        <v>26</v>
      </c>
      <c r="F906" t="s">
        <v>128</v>
      </c>
      <c r="G906" t="s">
        <v>170</v>
      </c>
      <c r="H906" t="s">
        <v>127</v>
      </c>
      <c r="I906" t="s">
        <v>448</v>
      </c>
    </row>
    <row r="907" spans="1:9" x14ac:dyDescent="0.2">
      <c r="A907">
        <v>4167382</v>
      </c>
      <c r="B907">
        <v>5</v>
      </c>
      <c r="C907">
        <v>1573</v>
      </c>
      <c r="D907">
        <v>0</v>
      </c>
      <c r="E907">
        <v>26</v>
      </c>
      <c r="F907" t="s">
        <v>142</v>
      </c>
      <c r="G907" t="s">
        <v>84</v>
      </c>
      <c r="H907" t="s">
        <v>113</v>
      </c>
      <c r="I907">
        <v>5</v>
      </c>
    </row>
    <row r="908" spans="1:9" x14ac:dyDescent="0.2">
      <c r="A908">
        <v>4167382</v>
      </c>
      <c r="B908">
        <v>6</v>
      </c>
      <c r="C908">
        <v>1574</v>
      </c>
      <c r="D908">
        <v>0</v>
      </c>
      <c r="E908">
        <v>26</v>
      </c>
      <c r="F908" t="s">
        <v>142</v>
      </c>
      <c r="G908" t="s">
        <v>263</v>
      </c>
      <c r="H908" t="s">
        <v>113</v>
      </c>
      <c r="I908">
        <v>5</v>
      </c>
    </row>
    <row r="909" spans="1:9" x14ac:dyDescent="0.2">
      <c r="A909">
        <v>4167382</v>
      </c>
      <c r="B909">
        <v>7</v>
      </c>
      <c r="C909">
        <v>1700</v>
      </c>
      <c r="D909">
        <v>0</v>
      </c>
      <c r="E909">
        <v>26</v>
      </c>
      <c r="F909" t="s">
        <v>57</v>
      </c>
      <c r="G909" t="s">
        <v>58</v>
      </c>
      <c r="H909" t="s">
        <v>69</v>
      </c>
      <c r="I909">
        <v>10</v>
      </c>
    </row>
    <row r="910" spans="1:9" x14ac:dyDescent="0.2">
      <c r="A910">
        <v>4189905</v>
      </c>
      <c r="B910">
        <v>1</v>
      </c>
      <c r="C910">
        <v>1756</v>
      </c>
      <c r="D910">
        <v>49780</v>
      </c>
      <c r="E910">
        <v>25</v>
      </c>
      <c r="F910" t="s">
        <v>57</v>
      </c>
      <c r="G910" t="s">
        <v>89</v>
      </c>
      <c r="H910" t="s">
        <v>69</v>
      </c>
      <c r="I910">
        <v>10</v>
      </c>
    </row>
    <row r="911" spans="1:9" x14ac:dyDescent="0.2">
      <c r="A911">
        <v>4189905</v>
      </c>
      <c r="B911">
        <v>2</v>
      </c>
      <c r="C911">
        <v>3248</v>
      </c>
      <c r="D911">
        <v>48970</v>
      </c>
      <c r="E911">
        <v>25</v>
      </c>
      <c r="F911" t="s">
        <v>47</v>
      </c>
      <c r="G911" t="s">
        <v>92</v>
      </c>
      <c r="H911" t="s">
        <v>46</v>
      </c>
      <c r="I911">
        <v>10</v>
      </c>
    </row>
    <row r="912" spans="1:9" x14ac:dyDescent="0.2">
      <c r="A912">
        <v>4189905</v>
      </c>
      <c r="B912">
        <v>3</v>
      </c>
      <c r="C912">
        <v>3296</v>
      </c>
      <c r="D912">
        <v>48880</v>
      </c>
      <c r="E912">
        <v>24</v>
      </c>
      <c r="F912" t="s">
        <v>47</v>
      </c>
      <c r="G912" t="s">
        <v>100</v>
      </c>
      <c r="H912" t="s">
        <v>46</v>
      </c>
      <c r="I912">
        <v>10</v>
      </c>
    </row>
    <row r="913" spans="1:9" x14ac:dyDescent="0.2">
      <c r="A913">
        <v>4224558</v>
      </c>
      <c r="B913">
        <v>1</v>
      </c>
      <c r="C913">
        <v>3212</v>
      </c>
      <c r="D913">
        <v>0</v>
      </c>
      <c r="E913">
        <v>36</v>
      </c>
      <c r="F913" t="s">
        <v>47</v>
      </c>
      <c r="G913" t="s">
        <v>84</v>
      </c>
      <c r="H913" t="s">
        <v>46</v>
      </c>
      <c r="I913">
        <v>10</v>
      </c>
    </row>
    <row r="914" spans="1:9" x14ac:dyDescent="0.2">
      <c r="A914">
        <v>4224558</v>
      </c>
      <c r="B914">
        <v>2</v>
      </c>
      <c r="C914">
        <v>3213</v>
      </c>
      <c r="D914">
        <v>0</v>
      </c>
      <c r="E914">
        <v>36</v>
      </c>
      <c r="F914" t="s">
        <v>47</v>
      </c>
      <c r="G914" t="s">
        <v>158</v>
      </c>
      <c r="H914" t="s">
        <v>74</v>
      </c>
      <c r="I914">
        <v>10</v>
      </c>
    </row>
    <row r="915" spans="1:9" x14ac:dyDescent="0.2">
      <c r="A915">
        <v>4224558</v>
      </c>
      <c r="B915">
        <v>3</v>
      </c>
      <c r="C915">
        <v>3211</v>
      </c>
      <c r="D915">
        <v>0</v>
      </c>
      <c r="E915">
        <v>36</v>
      </c>
      <c r="F915" t="s">
        <v>47</v>
      </c>
      <c r="G915" t="s">
        <v>99</v>
      </c>
      <c r="H915" t="s">
        <v>46</v>
      </c>
      <c r="I915">
        <v>10</v>
      </c>
    </row>
    <row r="916" spans="1:9" x14ac:dyDescent="0.2">
      <c r="A916">
        <v>4224558</v>
      </c>
      <c r="B916">
        <v>4</v>
      </c>
      <c r="C916">
        <v>1778</v>
      </c>
      <c r="D916">
        <v>0</v>
      </c>
      <c r="E916">
        <v>36</v>
      </c>
      <c r="F916" t="s">
        <v>57</v>
      </c>
      <c r="G916" t="s">
        <v>84</v>
      </c>
      <c r="H916" t="s">
        <v>56</v>
      </c>
      <c r="I916">
        <v>10</v>
      </c>
    </row>
    <row r="917" spans="1:9" x14ac:dyDescent="0.2">
      <c r="A917">
        <v>4224558</v>
      </c>
      <c r="B917">
        <v>5</v>
      </c>
      <c r="C917">
        <v>3252</v>
      </c>
      <c r="D917">
        <v>0</v>
      </c>
      <c r="E917">
        <v>36</v>
      </c>
      <c r="F917" t="s">
        <v>47</v>
      </c>
      <c r="G917" t="s">
        <v>45</v>
      </c>
      <c r="H917" t="s">
        <v>46</v>
      </c>
      <c r="I917">
        <v>10</v>
      </c>
    </row>
    <row r="918" spans="1:9" x14ac:dyDescent="0.2">
      <c r="A918">
        <v>4224558</v>
      </c>
      <c r="B918">
        <v>6</v>
      </c>
      <c r="C918">
        <v>3248</v>
      </c>
      <c r="D918">
        <v>0</v>
      </c>
      <c r="E918">
        <v>36</v>
      </c>
      <c r="F918" t="s">
        <v>47</v>
      </c>
      <c r="G918" t="s">
        <v>92</v>
      </c>
      <c r="H918" t="s">
        <v>46</v>
      </c>
      <c r="I918">
        <v>10</v>
      </c>
    </row>
    <row r="919" spans="1:9" x14ac:dyDescent="0.2">
      <c r="A919">
        <v>4224558</v>
      </c>
      <c r="B919">
        <v>7</v>
      </c>
      <c r="C919">
        <v>3251</v>
      </c>
      <c r="D919">
        <v>0</v>
      </c>
      <c r="E919">
        <v>36</v>
      </c>
      <c r="F919" t="s">
        <v>47</v>
      </c>
      <c r="G919" t="s">
        <v>48</v>
      </c>
      <c r="H919" t="s">
        <v>46</v>
      </c>
      <c r="I919">
        <v>10</v>
      </c>
    </row>
    <row r="920" spans="1:9" x14ac:dyDescent="0.2">
      <c r="A920">
        <v>4227432</v>
      </c>
      <c r="B920">
        <v>1</v>
      </c>
      <c r="C920">
        <v>3035</v>
      </c>
      <c r="D920">
        <v>67630</v>
      </c>
      <c r="E920">
        <v>24</v>
      </c>
      <c r="F920" t="s">
        <v>44</v>
      </c>
      <c r="G920" t="s">
        <v>103</v>
      </c>
      <c r="H920" t="s">
        <v>50</v>
      </c>
      <c r="I920">
        <v>9</v>
      </c>
    </row>
    <row r="921" spans="1:9" x14ac:dyDescent="0.2">
      <c r="A921">
        <v>4227432</v>
      </c>
      <c r="B921">
        <v>2</v>
      </c>
      <c r="C921">
        <v>3032</v>
      </c>
      <c r="D921">
        <v>0</v>
      </c>
      <c r="E921">
        <v>26</v>
      </c>
      <c r="F921" t="s">
        <v>44</v>
      </c>
      <c r="G921" t="s">
        <v>151</v>
      </c>
      <c r="H921" t="s">
        <v>50</v>
      </c>
      <c r="I921">
        <v>9</v>
      </c>
    </row>
    <row r="922" spans="1:9" x14ac:dyDescent="0.2">
      <c r="A922">
        <v>4227432</v>
      </c>
      <c r="B922">
        <v>3</v>
      </c>
      <c r="C922">
        <v>3020</v>
      </c>
      <c r="D922">
        <v>0</v>
      </c>
      <c r="E922">
        <v>26</v>
      </c>
      <c r="F922" t="s">
        <v>44</v>
      </c>
      <c r="G922" t="s">
        <v>102</v>
      </c>
      <c r="H922" t="s">
        <v>50</v>
      </c>
      <c r="I922">
        <v>9</v>
      </c>
    </row>
    <row r="923" spans="1:9" x14ac:dyDescent="0.2">
      <c r="A923">
        <v>4227432</v>
      </c>
      <c r="B923">
        <v>4</v>
      </c>
      <c r="C923">
        <v>3060</v>
      </c>
      <c r="D923">
        <v>0</v>
      </c>
      <c r="E923">
        <v>26</v>
      </c>
      <c r="F923" t="s">
        <v>44</v>
      </c>
      <c r="G923" t="s">
        <v>51</v>
      </c>
      <c r="H923" t="s">
        <v>52</v>
      </c>
      <c r="I923">
        <v>9</v>
      </c>
    </row>
    <row r="924" spans="1:9" x14ac:dyDescent="0.2">
      <c r="A924">
        <v>4227432</v>
      </c>
      <c r="B924">
        <v>5</v>
      </c>
      <c r="C924">
        <v>3002</v>
      </c>
      <c r="D924">
        <v>0</v>
      </c>
      <c r="E924">
        <v>26</v>
      </c>
      <c r="F924" t="s">
        <v>44</v>
      </c>
      <c r="G924" t="s">
        <v>147</v>
      </c>
      <c r="H924" t="s">
        <v>55</v>
      </c>
      <c r="I924">
        <v>9</v>
      </c>
    </row>
    <row r="925" spans="1:9" x14ac:dyDescent="0.2">
      <c r="A925">
        <v>4262906</v>
      </c>
      <c r="B925">
        <v>1</v>
      </c>
      <c r="C925">
        <v>1702</v>
      </c>
      <c r="D925">
        <v>61960</v>
      </c>
      <c r="E925">
        <v>25</v>
      </c>
      <c r="F925" t="s">
        <v>57</v>
      </c>
      <c r="G925" t="s">
        <v>164</v>
      </c>
      <c r="H925" t="s">
        <v>69</v>
      </c>
      <c r="I925">
        <v>10</v>
      </c>
    </row>
    <row r="926" spans="1:9" x14ac:dyDescent="0.2">
      <c r="A926">
        <v>4262906</v>
      </c>
      <c r="B926">
        <v>2</v>
      </c>
      <c r="C926">
        <v>1734</v>
      </c>
      <c r="D926">
        <v>62125</v>
      </c>
      <c r="E926">
        <v>25</v>
      </c>
      <c r="F926" t="s">
        <v>57</v>
      </c>
      <c r="G926" t="s">
        <v>81</v>
      </c>
      <c r="H926" t="s">
        <v>69</v>
      </c>
      <c r="I926">
        <v>10</v>
      </c>
    </row>
    <row r="927" spans="1:9" x14ac:dyDescent="0.2">
      <c r="A927">
        <v>4262906</v>
      </c>
      <c r="B927">
        <v>3</v>
      </c>
      <c r="C927">
        <v>1728</v>
      </c>
      <c r="D927">
        <v>62655</v>
      </c>
      <c r="E927">
        <v>25</v>
      </c>
      <c r="F927" t="s">
        <v>57</v>
      </c>
      <c r="G927" t="s">
        <v>103</v>
      </c>
      <c r="H927" t="s">
        <v>69</v>
      </c>
      <c r="I927">
        <v>10</v>
      </c>
    </row>
    <row r="928" spans="1:9" x14ac:dyDescent="0.2">
      <c r="A928">
        <v>4357288</v>
      </c>
      <c r="B928">
        <v>1</v>
      </c>
      <c r="C928">
        <v>1950</v>
      </c>
      <c r="D928">
        <v>65980</v>
      </c>
      <c r="E928">
        <v>25</v>
      </c>
      <c r="F928" t="s">
        <v>32</v>
      </c>
      <c r="G928" t="s">
        <v>122</v>
      </c>
      <c r="H928" t="s">
        <v>31</v>
      </c>
      <c r="I928">
        <v>5</v>
      </c>
    </row>
    <row r="929" spans="1:9" x14ac:dyDescent="0.2">
      <c r="A929">
        <v>4357288</v>
      </c>
      <c r="B929">
        <v>2</v>
      </c>
      <c r="C929">
        <v>1391</v>
      </c>
      <c r="D929">
        <v>67140</v>
      </c>
      <c r="E929">
        <v>25</v>
      </c>
      <c r="F929" t="s">
        <v>21</v>
      </c>
      <c r="G929" t="s">
        <v>122</v>
      </c>
      <c r="H929" t="s">
        <v>20</v>
      </c>
      <c r="I929">
        <v>8</v>
      </c>
    </row>
    <row r="930" spans="1:9" x14ac:dyDescent="0.2">
      <c r="A930">
        <v>4357288</v>
      </c>
      <c r="B930">
        <v>3</v>
      </c>
      <c r="C930">
        <v>1789</v>
      </c>
      <c r="D930">
        <v>66620</v>
      </c>
      <c r="E930">
        <v>25</v>
      </c>
      <c r="F930" t="s">
        <v>57</v>
      </c>
      <c r="G930" t="s">
        <v>122</v>
      </c>
      <c r="H930" t="s">
        <v>69</v>
      </c>
      <c r="I930">
        <v>10</v>
      </c>
    </row>
    <row r="931" spans="1:9" x14ac:dyDescent="0.2">
      <c r="A931">
        <v>4386209</v>
      </c>
      <c r="B931">
        <v>1</v>
      </c>
      <c r="C931">
        <v>3252</v>
      </c>
      <c r="D931">
        <v>56085</v>
      </c>
      <c r="E931">
        <v>24</v>
      </c>
      <c r="F931" t="s">
        <v>47</v>
      </c>
      <c r="G931" t="s">
        <v>45</v>
      </c>
      <c r="H931" t="s">
        <v>46</v>
      </c>
      <c r="I931">
        <v>10</v>
      </c>
    </row>
    <row r="932" spans="1:9" x14ac:dyDescent="0.2">
      <c r="A932">
        <v>4386209</v>
      </c>
      <c r="B932">
        <v>2</v>
      </c>
      <c r="C932">
        <v>3248</v>
      </c>
      <c r="D932">
        <v>0</v>
      </c>
      <c r="E932">
        <v>26</v>
      </c>
      <c r="F932" t="s">
        <v>47</v>
      </c>
      <c r="G932" t="s">
        <v>92</v>
      </c>
      <c r="H932" t="s">
        <v>46</v>
      </c>
      <c r="I932">
        <v>10</v>
      </c>
    </row>
    <row r="933" spans="1:9" x14ac:dyDescent="0.2">
      <c r="A933">
        <v>4386209</v>
      </c>
      <c r="B933">
        <v>3</v>
      </c>
      <c r="C933">
        <v>3261</v>
      </c>
      <c r="D933">
        <v>0</v>
      </c>
      <c r="E933">
        <v>26</v>
      </c>
      <c r="F933" t="s">
        <v>47</v>
      </c>
      <c r="G933" t="s">
        <v>93</v>
      </c>
      <c r="H933" t="s">
        <v>46</v>
      </c>
      <c r="I933">
        <v>10</v>
      </c>
    </row>
    <row r="934" spans="1:9" x14ac:dyDescent="0.2">
      <c r="A934">
        <v>4399863</v>
      </c>
      <c r="B934">
        <v>1</v>
      </c>
      <c r="C934">
        <v>1506</v>
      </c>
      <c r="D934">
        <v>67880</v>
      </c>
      <c r="E934">
        <v>24</v>
      </c>
      <c r="F934" t="s">
        <v>142</v>
      </c>
      <c r="G934" t="s">
        <v>78</v>
      </c>
      <c r="H934" t="s">
        <v>31</v>
      </c>
      <c r="I934">
        <v>5</v>
      </c>
    </row>
    <row r="935" spans="1:9" x14ac:dyDescent="0.2">
      <c r="A935">
        <v>4399863</v>
      </c>
      <c r="B935">
        <v>2</v>
      </c>
      <c r="C935">
        <v>1525</v>
      </c>
      <c r="D935">
        <v>0</v>
      </c>
      <c r="E935">
        <v>26</v>
      </c>
      <c r="F935" t="s">
        <v>142</v>
      </c>
      <c r="G935" t="s">
        <v>152</v>
      </c>
      <c r="H935" t="s">
        <v>31</v>
      </c>
      <c r="I935">
        <v>5</v>
      </c>
    </row>
    <row r="936" spans="1:9" x14ac:dyDescent="0.2">
      <c r="A936">
        <v>4399863</v>
      </c>
      <c r="B936">
        <v>3</v>
      </c>
      <c r="C936">
        <v>1504</v>
      </c>
      <c r="D936">
        <v>0</v>
      </c>
      <c r="E936">
        <v>26</v>
      </c>
      <c r="F936" t="s">
        <v>142</v>
      </c>
      <c r="G936" t="s">
        <v>121</v>
      </c>
      <c r="H936" t="s">
        <v>31</v>
      </c>
      <c r="I936">
        <v>5</v>
      </c>
    </row>
    <row r="937" spans="1:9" x14ac:dyDescent="0.2">
      <c r="A937">
        <v>4399863</v>
      </c>
      <c r="B937">
        <v>4</v>
      </c>
      <c r="C937">
        <v>1503</v>
      </c>
      <c r="D937">
        <v>0</v>
      </c>
      <c r="E937">
        <v>26</v>
      </c>
      <c r="F937" t="s">
        <v>142</v>
      </c>
      <c r="G937" t="s">
        <v>161</v>
      </c>
      <c r="H937" t="s">
        <v>31</v>
      </c>
      <c r="I937">
        <v>5</v>
      </c>
    </row>
    <row r="938" spans="1:9" x14ac:dyDescent="0.2">
      <c r="A938">
        <v>4403857</v>
      </c>
      <c r="B938">
        <v>1</v>
      </c>
      <c r="C938">
        <v>3242</v>
      </c>
      <c r="D938">
        <v>50530</v>
      </c>
      <c r="E938">
        <v>25</v>
      </c>
      <c r="F938" t="s">
        <v>47</v>
      </c>
      <c r="G938" t="s">
        <v>90</v>
      </c>
      <c r="H938" t="s">
        <v>46</v>
      </c>
      <c r="I938">
        <v>10</v>
      </c>
    </row>
    <row r="939" spans="1:9" x14ac:dyDescent="0.2">
      <c r="A939">
        <v>4414814</v>
      </c>
      <c r="B939">
        <v>1</v>
      </c>
      <c r="C939">
        <v>3064</v>
      </c>
      <c r="D939">
        <v>58745</v>
      </c>
      <c r="E939">
        <v>25</v>
      </c>
      <c r="F939" t="s">
        <v>44</v>
      </c>
      <c r="G939" t="s">
        <v>97</v>
      </c>
      <c r="H939" t="s">
        <v>52</v>
      </c>
      <c r="I939">
        <v>9</v>
      </c>
    </row>
    <row r="940" spans="1:9" x14ac:dyDescent="0.2">
      <c r="A940">
        <v>4414814</v>
      </c>
      <c r="B940">
        <v>2</v>
      </c>
      <c r="C940">
        <v>1440</v>
      </c>
      <c r="D940">
        <v>59550</v>
      </c>
      <c r="E940">
        <v>25</v>
      </c>
      <c r="F940" t="s">
        <v>25</v>
      </c>
      <c r="G940" t="s">
        <v>22</v>
      </c>
      <c r="H940" t="s">
        <v>24</v>
      </c>
      <c r="I940">
        <v>5</v>
      </c>
    </row>
    <row r="941" spans="1:9" x14ac:dyDescent="0.2">
      <c r="A941">
        <v>4414814</v>
      </c>
      <c r="B941">
        <v>3</v>
      </c>
      <c r="C941">
        <v>1433</v>
      </c>
      <c r="D941">
        <v>59550</v>
      </c>
      <c r="E941">
        <v>24</v>
      </c>
      <c r="F941" t="s">
        <v>25</v>
      </c>
      <c r="G941" t="s">
        <v>413</v>
      </c>
      <c r="H941" t="s">
        <v>24</v>
      </c>
      <c r="I941">
        <v>5</v>
      </c>
    </row>
    <row r="942" spans="1:9" x14ac:dyDescent="0.2">
      <c r="A942">
        <v>4414814</v>
      </c>
      <c r="B942">
        <v>4</v>
      </c>
      <c r="C942">
        <v>3722</v>
      </c>
      <c r="D942">
        <v>0</v>
      </c>
      <c r="E942">
        <v>26</v>
      </c>
      <c r="F942" t="s">
        <v>116</v>
      </c>
      <c r="G942" t="s">
        <v>198</v>
      </c>
      <c r="H942" t="s">
        <v>61</v>
      </c>
      <c r="I942">
        <v>9</v>
      </c>
    </row>
    <row r="943" spans="1:9" x14ac:dyDescent="0.2">
      <c r="A943">
        <v>4414814</v>
      </c>
      <c r="B943">
        <v>5</v>
      </c>
      <c r="C943">
        <v>3704</v>
      </c>
      <c r="D943">
        <v>0</v>
      </c>
      <c r="E943">
        <v>26</v>
      </c>
      <c r="F943" t="s">
        <v>116</v>
      </c>
      <c r="G943" t="s">
        <v>93</v>
      </c>
      <c r="H943" t="s">
        <v>61</v>
      </c>
      <c r="I943">
        <v>9</v>
      </c>
    </row>
    <row r="944" spans="1:9" x14ac:dyDescent="0.2">
      <c r="A944">
        <v>4414814</v>
      </c>
      <c r="B944">
        <v>6</v>
      </c>
      <c r="C944">
        <v>1408</v>
      </c>
      <c r="D944">
        <v>0</v>
      </c>
      <c r="E944">
        <v>26</v>
      </c>
      <c r="F944" t="s">
        <v>25</v>
      </c>
      <c r="G944" t="s">
        <v>93</v>
      </c>
      <c r="H944" t="s">
        <v>24</v>
      </c>
      <c r="I944">
        <v>5</v>
      </c>
    </row>
    <row r="945" spans="1:9" x14ac:dyDescent="0.2">
      <c r="A945">
        <v>4414814</v>
      </c>
      <c r="B945">
        <v>7</v>
      </c>
      <c r="C945">
        <v>3067</v>
      </c>
      <c r="D945">
        <v>0</v>
      </c>
      <c r="E945">
        <v>26</v>
      </c>
      <c r="F945" t="s">
        <v>44</v>
      </c>
      <c r="G945" t="s">
        <v>252</v>
      </c>
      <c r="H945" t="s">
        <v>52</v>
      </c>
      <c r="I945">
        <v>9</v>
      </c>
    </row>
    <row r="946" spans="1:9" x14ac:dyDescent="0.2">
      <c r="A946">
        <v>4414814</v>
      </c>
      <c r="B946">
        <v>8</v>
      </c>
      <c r="C946">
        <v>3055</v>
      </c>
      <c r="D946">
        <v>0</v>
      </c>
      <c r="E946">
        <v>26</v>
      </c>
      <c r="F946" t="s">
        <v>44</v>
      </c>
      <c r="G946" t="s">
        <v>188</v>
      </c>
      <c r="H946" t="s">
        <v>52</v>
      </c>
      <c r="I946">
        <v>9</v>
      </c>
    </row>
    <row r="947" spans="1:9" x14ac:dyDescent="0.2">
      <c r="A947">
        <v>4476709</v>
      </c>
      <c r="B947">
        <v>1</v>
      </c>
      <c r="C947">
        <v>1733</v>
      </c>
      <c r="D947">
        <v>60280</v>
      </c>
      <c r="E947">
        <v>24</v>
      </c>
      <c r="F947" t="s">
        <v>57</v>
      </c>
      <c r="G947" t="s">
        <v>18</v>
      </c>
      <c r="H947" t="s">
        <v>69</v>
      </c>
      <c r="I947">
        <v>10</v>
      </c>
    </row>
    <row r="948" spans="1:9" x14ac:dyDescent="0.2">
      <c r="A948">
        <v>4476709</v>
      </c>
      <c r="B948">
        <v>2</v>
      </c>
      <c r="C948">
        <v>1319</v>
      </c>
      <c r="D948">
        <v>0</v>
      </c>
      <c r="E948">
        <v>26</v>
      </c>
      <c r="F948" t="s">
        <v>21</v>
      </c>
      <c r="G948" t="s">
        <v>84</v>
      </c>
      <c r="H948" t="s">
        <v>20</v>
      </c>
      <c r="I948">
        <v>8</v>
      </c>
    </row>
    <row r="949" spans="1:9" x14ac:dyDescent="0.2">
      <c r="A949">
        <v>4476709</v>
      </c>
      <c r="B949">
        <v>3</v>
      </c>
      <c r="C949">
        <v>1380</v>
      </c>
      <c r="D949">
        <v>0</v>
      </c>
      <c r="E949">
        <v>26</v>
      </c>
      <c r="F949" t="s">
        <v>21</v>
      </c>
      <c r="G949" t="s">
        <v>18</v>
      </c>
      <c r="H949" t="s">
        <v>20</v>
      </c>
      <c r="I949">
        <v>8</v>
      </c>
    </row>
    <row r="950" spans="1:9" x14ac:dyDescent="0.2">
      <c r="A950">
        <v>4476709</v>
      </c>
      <c r="B950">
        <v>4</v>
      </c>
      <c r="C950">
        <v>3200</v>
      </c>
      <c r="D950">
        <v>0</v>
      </c>
      <c r="E950">
        <v>26</v>
      </c>
      <c r="F950" t="s">
        <v>47</v>
      </c>
      <c r="G950" t="s">
        <v>18</v>
      </c>
      <c r="H950" t="s">
        <v>46</v>
      </c>
      <c r="I950">
        <v>10</v>
      </c>
    </row>
    <row r="951" spans="1:9" x14ac:dyDescent="0.2">
      <c r="A951">
        <v>4476709</v>
      </c>
      <c r="B951">
        <v>5</v>
      </c>
      <c r="C951">
        <v>1368</v>
      </c>
      <c r="D951">
        <v>0</v>
      </c>
      <c r="E951">
        <v>26</v>
      </c>
      <c r="F951" t="s">
        <v>21</v>
      </c>
      <c r="G951" t="s">
        <v>140</v>
      </c>
      <c r="H951" t="s">
        <v>20</v>
      </c>
      <c r="I951">
        <v>8</v>
      </c>
    </row>
    <row r="952" spans="1:9" x14ac:dyDescent="0.2">
      <c r="A952">
        <v>4476709</v>
      </c>
      <c r="B952">
        <v>6</v>
      </c>
      <c r="C952">
        <v>1709</v>
      </c>
      <c r="D952">
        <v>0</v>
      </c>
      <c r="E952">
        <v>26</v>
      </c>
      <c r="F952" t="s">
        <v>57</v>
      </c>
      <c r="G952" t="s">
        <v>84</v>
      </c>
      <c r="H952" t="s">
        <v>69</v>
      </c>
      <c r="I952">
        <v>10</v>
      </c>
    </row>
    <row r="953" spans="1:9" x14ac:dyDescent="0.2">
      <c r="A953">
        <v>4476709</v>
      </c>
      <c r="B953">
        <v>7</v>
      </c>
      <c r="C953">
        <v>1704</v>
      </c>
      <c r="D953">
        <v>0</v>
      </c>
      <c r="E953">
        <v>26</v>
      </c>
      <c r="F953" t="s">
        <v>57</v>
      </c>
      <c r="G953" t="s">
        <v>82</v>
      </c>
      <c r="H953" t="s">
        <v>79</v>
      </c>
      <c r="I953">
        <v>10</v>
      </c>
    </row>
    <row r="954" spans="1:9" x14ac:dyDescent="0.2">
      <c r="A954">
        <v>4476709</v>
      </c>
      <c r="B954">
        <v>8</v>
      </c>
      <c r="C954">
        <v>1471</v>
      </c>
      <c r="D954">
        <v>0</v>
      </c>
      <c r="E954">
        <v>16</v>
      </c>
      <c r="F954" t="s">
        <v>25</v>
      </c>
      <c r="G954" t="s">
        <v>144</v>
      </c>
      <c r="H954" t="s">
        <v>24</v>
      </c>
      <c r="I954">
        <v>5</v>
      </c>
    </row>
    <row r="955" spans="1:9" x14ac:dyDescent="0.2">
      <c r="A955">
        <v>4488949</v>
      </c>
      <c r="B955">
        <v>1</v>
      </c>
      <c r="C955">
        <v>1349</v>
      </c>
      <c r="D955">
        <v>53245</v>
      </c>
      <c r="E955">
        <v>25</v>
      </c>
      <c r="F955" t="s">
        <v>21</v>
      </c>
      <c r="G955" t="s">
        <v>81</v>
      </c>
      <c r="H955" t="s">
        <v>20</v>
      </c>
      <c r="I955">
        <v>8</v>
      </c>
    </row>
    <row r="956" spans="1:9" x14ac:dyDescent="0.2">
      <c r="A956">
        <v>4488949</v>
      </c>
      <c r="B956">
        <v>2</v>
      </c>
      <c r="C956">
        <v>1381</v>
      </c>
      <c r="D956">
        <v>52680</v>
      </c>
      <c r="E956">
        <v>25</v>
      </c>
      <c r="F956" t="s">
        <v>21</v>
      </c>
      <c r="G956" t="s">
        <v>103</v>
      </c>
      <c r="H956" t="s">
        <v>20</v>
      </c>
      <c r="I956">
        <v>8</v>
      </c>
    </row>
    <row r="957" spans="1:9" x14ac:dyDescent="0.2">
      <c r="A957">
        <v>4496875</v>
      </c>
      <c r="B957">
        <v>1</v>
      </c>
      <c r="C957">
        <v>1604</v>
      </c>
      <c r="D957">
        <v>0</v>
      </c>
      <c r="E957">
        <v>17</v>
      </c>
      <c r="F957" t="s">
        <v>128</v>
      </c>
      <c r="G957" t="s">
        <v>165</v>
      </c>
      <c r="H957" t="s">
        <v>127</v>
      </c>
      <c r="I957" t="s">
        <v>448</v>
      </c>
    </row>
    <row r="958" spans="1:9" x14ac:dyDescent="0.2">
      <c r="A958">
        <v>4496875</v>
      </c>
      <c r="B958">
        <v>2</v>
      </c>
      <c r="C958">
        <v>1605</v>
      </c>
      <c r="D958">
        <v>0</v>
      </c>
      <c r="E958">
        <v>17</v>
      </c>
      <c r="F958" t="s">
        <v>128</v>
      </c>
      <c r="G958" t="s">
        <v>166</v>
      </c>
      <c r="H958" t="s">
        <v>127</v>
      </c>
      <c r="I958" t="s">
        <v>448</v>
      </c>
    </row>
    <row r="959" spans="1:9" x14ac:dyDescent="0.2">
      <c r="A959">
        <v>4496875</v>
      </c>
      <c r="B959">
        <v>3</v>
      </c>
      <c r="C959">
        <v>1614</v>
      </c>
      <c r="D959">
        <v>0</v>
      </c>
      <c r="E959">
        <v>17</v>
      </c>
      <c r="F959" t="s">
        <v>128</v>
      </c>
      <c r="G959" t="s">
        <v>167</v>
      </c>
      <c r="H959" t="s">
        <v>127</v>
      </c>
      <c r="I959" t="s">
        <v>448</v>
      </c>
    </row>
    <row r="960" spans="1:9" x14ac:dyDescent="0.2">
      <c r="A960">
        <v>4496875</v>
      </c>
      <c r="B960">
        <v>4</v>
      </c>
      <c r="C960">
        <v>1636</v>
      </c>
      <c r="D960">
        <v>0</v>
      </c>
      <c r="E960">
        <v>17</v>
      </c>
      <c r="F960" t="s">
        <v>128</v>
      </c>
      <c r="G960" t="s">
        <v>168</v>
      </c>
      <c r="H960" t="s">
        <v>127</v>
      </c>
      <c r="I960" t="s">
        <v>448</v>
      </c>
    </row>
    <row r="961" spans="1:9" x14ac:dyDescent="0.2">
      <c r="A961">
        <v>4496875</v>
      </c>
      <c r="B961">
        <v>5</v>
      </c>
      <c r="C961">
        <v>1646</v>
      </c>
      <c r="D961">
        <v>0</v>
      </c>
      <c r="E961">
        <v>17</v>
      </c>
      <c r="F961" t="s">
        <v>128</v>
      </c>
      <c r="G961" t="s">
        <v>129</v>
      </c>
      <c r="H961" t="s">
        <v>127</v>
      </c>
      <c r="I961" t="s">
        <v>448</v>
      </c>
    </row>
    <row r="962" spans="1:9" x14ac:dyDescent="0.2">
      <c r="A962">
        <v>4516735</v>
      </c>
      <c r="B962">
        <v>1</v>
      </c>
      <c r="C962">
        <v>3200</v>
      </c>
      <c r="D962">
        <v>44020</v>
      </c>
      <c r="E962">
        <v>25</v>
      </c>
      <c r="F962" t="s">
        <v>47</v>
      </c>
      <c r="G962" t="s">
        <v>18</v>
      </c>
      <c r="H962" t="s">
        <v>46</v>
      </c>
      <c r="I962">
        <v>10</v>
      </c>
    </row>
    <row r="963" spans="1:9" x14ac:dyDescent="0.2">
      <c r="A963">
        <v>4516735</v>
      </c>
      <c r="B963">
        <v>2</v>
      </c>
      <c r="C963">
        <v>3296</v>
      </c>
      <c r="D963">
        <v>44020</v>
      </c>
      <c r="E963">
        <v>25</v>
      </c>
      <c r="F963" t="s">
        <v>47</v>
      </c>
      <c r="G963" t="s">
        <v>100</v>
      </c>
      <c r="H963" t="s">
        <v>46</v>
      </c>
      <c r="I963">
        <v>10</v>
      </c>
    </row>
    <row r="964" spans="1:9" x14ac:dyDescent="0.2">
      <c r="A964">
        <v>4516735</v>
      </c>
      <c r="B964">
        <v>3</v>
      </c>
      <c r="C964">
        <v>3212</v>
      </c>
      <c r="D964">
        <v>44470</v>
      </c>
      <c r="E964">
        <v>25</v>
      </c>
      <c r="F964" t="s">
        <v>47</v>
      </c>
      <c r="G964" t="s">
        <v>84</v>
      </c>
      <c r="H964" t="s">
        <v>46</v>
      </c>
      <c r="I964">
        <v>10</v>
      </c>
    </row>
    <row r="965" spans="1:9" x14ac:dyDescent="0.2">
      <c r="A965">
        <v>4516735</v>
      </c>
      <c r="B965">
        <v>4</v>
      </c>
      <c r="C965">
        <v>1214</v>
      </c>
      <c r="D965">
        <v>45180</v>
      </c>
      <c r="E965">
        <v>25</v>
      </c>
      <c r="F965" t="s">
        <v>19</v>
      </c>
      <c r="G965" t="s">
        <v>112</v>
      </c>
      <c r="H965" t="s">
        <v>16</v>
      </c>
      <c r="I965" t="s">
        <v>448</v>
      </c>
    </row>
    <row r="966" spans="1:9" x14ac:dyDescent="0.2">
      <c r="A966">
        <v>4516735</v>
      </c>
      <c r="B966">
        <v>5</v>
      </c>
      <c r="C966">
        <v>3211</v>
      </c>
      <c r="D966">
        <v>44180</v>
      </c>
      <c r="E966">
        <v>25</v>
      </c>
      <c r="F966" t="s">
        <v>47</v>
      </c>
      <c r="G966" t="s">
        <v>99</v>
      </c>
      <c r="H966" t="s">
        <v>46</v>
      </c>
      <c r="I966">
        <v>10</v>
      </c>
    </row>
    <row r="967" spans="1:9" x14ac:dyDescent="0.2">
      <c r="A967">
        <v>4516735</v>
      </c>
      <c r="B967">
        <v>6</v>
      </c>
      <c r="C967">
        <v>3261</v>
      </c>
      <c r="D967">
        <v>43760</v>
      </c>
      <c r="E967">
        <v>25</v>
      </c>
      <c r="F967" t="s">
        <v>47</v>
      </c>
      <c r="G967" t="s">
        <v>93</v>
      </c>
      <c r="H967" t="s">
        <v>46</v>
      </c>
      <c r="I967">
        <v>10</v>
      </c>
    </row>
    <row r="968" spans="1:9" x14ac:dyDescent="0.2">
      <c r="A968">
        <v>4544520</v>
      </c>
      <c r="B968">
        <v>1</v>
      </c>
      <c r="C968">
        <v>1511</v>
      </c>
      <c r="D968">
        <v>65410</v>
      </c>
      <c r="E968">
        <v>25</v>
      </c>
      <c r="F968" t="s">
        <v>142</v>
      </c>
      <c r="G968" t="s">
        <v>163</v>
      </c>
      <c r="H968" t="s">
        <v>31</v>
      </c>
      <c r="I968">
        <v>5</v>
      </c>
    </row>
    <row r="969" spans="1:9" x14ac:dyDescent="0.2">
      <c r="A969">
        <v>4544520</v>
      </c>
      <c r="B969">
        <v>2</v>
      </c>
      <c r="C969">
        <v>1609</v>
      </c>
      <c r="D969">
        <v>65340</v>
      </c>
      <c r="E969">
        <v>25</v>
      </c>
      <c r="F969" t="s">
        <v>128</v>
      </c>
      <c r="G969" t="s">
        <v>293</v>
      </c>
      <c r="H969" t="s">
        <v>127</v>
      </c>
      <c r="I969" t="s">
        <v>448</v>
      </c>
    </row>
    <row r="970" spans="1:9" x14ac:dyDescent="0.2">
      <c r="A970">
        <v>4544520</v>
      </c>
      <c r="B970">
        <v>3</v>
      </c>
      <c r="C970">
        <v>1467</v>
      </c>
      <c r="D970">
        <v>65400</v>
      </c>
      <c r="E970">
        <v>24</v>
      </c>
      <c r="F970" t="s">
        <v>25</v>
      </c>
      <c r="G970" t="s">
        <v>294</v>
      </c>
      <c r="H970" t="s">
        <v>24</v>
      </c>
      <c r="I970">
        <v>5</v>
      </c>
    </row>
    <row r="971" spans="1:9" x14ac:dyDescent="0.2">
      <c r="A971">
        <v>4544520</v>
      </c>
      <c r="B971">
        <v>4</v>
      </c>
      <c r="C971">
        <v>1180</v>
      </c>
      <c r="D971">
        <v>0</v>
      </c>
      <c r="E971">
        <v>26</v>
      </c>
      <c r="F971" t="s">
        <v>17</v>
      </c>
      <c r="G971" t="s">
        <v>203</v>
      </c>
      <c r="H971" t="s">
        <v>16</v>
      </c>
      <c r="I971" t="s">
        <v>448</v>
      </c>
    </row>
    <row r="972" spans="1:9" x14ac:dyDescent="0.2">
      <c r="A972">
        <v>4544520</v>
      </c>
      <c r="B972">
        <v>5</v>
      </c>
      <c r="C972">
        <v>1257</v>
      </c>
      <c r="D972">
        <v>0</v>
      </c>
      <c r="E972">
        <v>16</v>
      </c>
      <c r="F972" t="s">
        <v>19</v>
      </c>
      <c r="G972" t="s">
        <v>199</v>
      </c>
      <c r="H972" t="s">
        <v>16</v>
      </c>
      <c r="I972" t="s">
        <v>448</v>
      </c>
    </row>
    <row r="973" spans="1:9" x14ac:dyDescent="0.2">
      <c r="A973">
        <v>4544520</v>
      </c>
      <c r="B973">
        <v>6</v>
      </c>
      <c r="C973">
        <v>1387</v>
      </c>
      <c r="D973">
        <v>0</v>
      </c>
      <c r="E973">
        <v>26</v>
      </c>
      <c r="F973" t="s">
        <v>21</v>
      </c>
      <c r="G973" t="s">
        <v>102</v>
      </c>
      <c r="H973" t="s">
        <v>20</v>
      </c>
      <c r="I973">
        <v>8</v>
      </c>
    </row>
    <row r="974" spans="1:9" x14ac:dyDescent="0.2">
      <c r="A974">
        <v>4544520</v>
      </c>
      <c r="B974">
        <v>7</v>
      </c>
      <c r="C974">
        <v>1705</v>
      </c>
      <c r="D974">
        <v>0</v>
      </c>
      <c r="E974">
        <v>26</v>
      </c>
      <c r="F974" t="s">
        <v>57</v>
      </c>
      <c r="G974" t="s">
        <v>102</v>
      </c>
      <c r="H974" t="s">
        <v>69</v>
      </c>
      <c r="I974">
        <v>10</v>
      </c>
    </row>
    <row r="975" spans="1:9" x14ac:dyDescent="0.2">
      <c r="A975">
        <v>4544520</v>
      </c>
      <c r="B975">
        <v>8</v>
      </c>
      <c r="C975">
        <v>1714</v>
      </c>
      <c r="D975">
        <v>0</v>
      </c>
      <c r="E975">
        <v>26</v>
      </c>
      <c r="F975" t="s">
        <v>57</v>
      </c>
      <c r="G975" t="s">
        <v>95</v>
      </c>
      <c r="H975" t="s">
        <v>69</v>
      </c>
      <c r="I975">
        <v>10</v>
      </c>
    </row>
    <row r="976" spans="1:9" x14ac:dyDescent="0.2">
      <c r="A976">
        <v>4574254</v>
      </c>
      <c r="B976">
        <v>1</v>
      </c>
      <c r="C976">
        <v>3229</v>
      </c>
      <c r="D976">
        <v>51350</v>
      </c>
      <c r="E976">
        <v>25</v>
      </c>
      <c r="F976" t="s">
        <v>47</v>
      </c>
      <c r="G976" t="s">
        <v>101</v>
      </c>
      <c r="H976" t="s">
        <v>46</v>
      </c>
      <c r="I976">
        <v>10</v>
      </c>
    </row>
    <row r="977" spans="1:9" x14ac:dyDescent="0.2">
      <c r="A977">
        <v>4574254</v>
      </c>
      <c r="B977">
        <v>2</v>
      </c>
      <c r="C977">
        <v>3252</v>
      </c>
      <c r="D977">
        <v>54315</v>
      </c>
      <c r="E977">
        <v>24</v>
      </c>
      <c r="F977" t="s">
        <v>47</v>
      </c>
      <c r="G977" t="s">
        <v>45</v>
      </c>
      <c r="H977" t="s">
        <v>46</v>
      </c>
      <c r="I977">
        <v>10</v>
      </c>
    </row>
    <row r="978" spans="1:9" x14ac:dyDescent="0.2">
      <c r="A978">
        <v>4574254</v>
      </c>
      <c r="B978">
        <v>3</v>
      </c>
      <c r="C978">
        <v>3242</v>
      </c>
      <c r="D978">
        <v>0</v>
      </c>
      <c r="E978">
        <v>26</v>
      </c>
      <c r="F978" t="s">
        <v>47</v>
      </c>
      <c r="G978" t="s">
        <v>90</v>
      </c>
      <c r="H978" t="s">
        <v>46</v>
      </c>
      <c r="I978">
        <v>10</v>
      </c>
    </row>
    <row r="979" spans="1:9" x14ac:dyDescent="0.2">
      <c r="A979">
        <v>4574254</v>
      </c>
      <c r="B979">
        <v>4</v>
      </c>
      <c r="C979">
        <v>3214</v>
      </c>
      <c r="D979">
        <v>0</v>
      </c>
      <c r="E979">
        <v>26</v>
      </c>
      <c r="F979" t="s">
        <v>47</v>
      </c>
      <c r="G979" t="s">
        <v>98</v>
      </c>
      <c r="H979" t="s">
        <v>74</v>
      </c>
      <c r="I979">
        <v>10</v>
      </c>
    </row>
    <row r="980" spans="1:9" x14ac:dyDescent="0.2">
      <c r="A980">
        <v>4577889</v>
      </c>
      <c r="B980">
        <v>1</v>
      </c>
      <c r="C980">
        <v>1782</v>
      </c>
      <c r="D980">
        <v>60095</v>
      </c>
      <c r="E980">
        <v>25</v>
      </c>
      <c r="F980" t="s">
        <v>57</v>
      </c>
      <c r="G980" t="s">
        <v>63</v>
      </c>
      <c r="H980" t="s">
        <v>69</v>
      </c>
      <c r="I980">
        <v>10</v>
      </c>
    </row>
    <row r="981" spans="1:9" x14ac:dyDescent="0.2">
      <c r="A981">
        <v>4594711</v>
      </c>
      <c r="B981">
        <v>1</v>
      </c>
      <c r="C981">
        <v>1708</v>
      </c>
      <c r="D981">
        <v>50800</v>
      </c>
      <c r="E981">
        <v>25</v>
      </c>
      <c r="F981" t="s">
        <v>57</v>
      </c>
      <c r="G981" t="s">
        <v>80</v>
      </c>
      <c r="H981" t="s">
        <v>79</v>
      </c>
      <c r="I981">
        <v>10</v>
      </c>
    </row>
    <row r="982" spans="1:9" x14ac:dyDescent="0.2">
      <c r="A982">
        <v>4594711</v>
      </c>
      <c r="B982">
        <v>2</v>
      </c>
      <c r="C982">
        <v>1736</v>
      </c>
      <c r="D982">
        <v>50800</v>
      </c>
      <c r="E982">
        <v>25</v>
      </c>
      <c r="F982" t="s">
        <v>57</v>
      </c>
      <c r="G982" t="s">
        <v>78</v>
      </c>
      <c r="H982" t="s">
        <v>79</v>
      </c>
      <c r="I982">
        <v>10</v>
      </c>
    </row>
    <row r="983" spans="1:9" x14ac:dyDescent="0.2">
      <c r="A983">
        <v>4594711</v>
      </c>
      <c r="B983">
        <v>3</v>
      </c>
      <c r="C983">
        <v>1779</v>
      </c>
      <c r="D983">
        <v>50800</v>
      </c>
      <c r="E983">
        <v>24</v>
      </c>
      <c r="F983" t="s">
        <v>57</v>
      </c>
      <c r="G983" t="s">
        <v>162</v>
      </c>
      <c r="H983" t="s">
        <v>79</v>
      </c>
      <c r="I983">
        <v>10</v>
      </c>
    </row>
    <row r="984" spans="1:9" x14ac:dyDescent="0.2">
      <c r="A984">
        <v>4646930</v>
      </c>
      <c r="B984">
        <v>1</v>
      </c>
      <c r="C984">
        <v>1155</v>
      </c>
      <c r="D984">
        <v>71010</v>
      </c>
      <c r="E984">
        <v>24</v>
      </c>
      <c r="F984" t="s">
        <v>17</v>
      </c>
      <c r="G984" t="s">
        <v>62</v>
      </c>
      <c r="H984" t="s">
        <v>16</v>
      </c>
      <c r="I984" t="s">
        <v>448</v>
      </c>
    </row>
    <row r="985" spans="1:9" x14ac:dyDescent="0.2">
      <c r="A985">
        <v>4646930</v>
      </c>
      <c r="B985">
        <v>2</v>
      </c>
      <c r="C985">
        <v>1221</v>
      </c>
      <c r="D985">
        <v>0</v>
      </c>
      <c r="E985">
        <v>26</v>
      </c>
      <c r="F985" t="s">
        <v>19</v>
      </c>
      <c r="G985" t="s">
        <v>63</v>
      </c>
      <c r="H985" t="s">
        <v>16</v>
      </c>
      <c r="I985" t="s">
        <v>448</v>
      </c>
    </row>
    <row r="986" spans="1:9" x14ac:dyDescent="0.2">
      <c r="A986">
        <v>4646930</v>
      </c>
      <c r="B986">
        <v>3</v>
      </c>
      <c r="C986">
        <v>1324</v>
      </c>
      <c r="D986">
        <v>0</v>
      </c>
      <c r="E986">
        <v>26</v>
      </c>
      <c r="F986" t="s">
        <v>21</v>
      </c>
      <c r="G986" t="s">
        <v>63</v>
      </c>
      <c r="H986" t="s">
        <v>20</v>
      </c>
      <c r="I986">
        <v>8</v>
      </c>
    </row>
    <row r="987" spans="1:9" x14ac:dyDescent="0.2">
      <c r="A987">
        <v>4646930</v>
      </c>
      <c r="B987">
        <v>4</v>
      </c>
      <c r="C987">
        <v>1430</v>
      </c>
      <c r="D987">
        <v>0</v>
      </c>
      <c r="E987">
        <v>26</v>
      </c>
      <c r="F987" t="s">
        <v>25</v>
      </c>
      <c r="G987" t="s">
        <v>63</v>
      </c>
      <c r="H987" t="s">
        <v>24</v>
      </c>
      <c r="I987">
        <v>5</v>
      </c>
    </row>
    <row r="988" spans="1:9" x14ac:dyDescent="0.2">
      <c r="A988">
        <v>4652099</v>
      </c>
      <c r="B988">
        <v>1</v>
      </c>
      <c r="C988">
        <v>1705</v>
      </c>
      <c r="D988">
        <v>54180</v>
      </c>
      <c r="E988">
        <v>25</v>
      </c>
      <c r="F988" t="s">
        <v>57</v>
      </c>
      <c r="G988" t="s">
        <v>102</v>
      </c>
      <c r="H988" t="s">
        <v>69</v>
      </c>
      <c r="I988">
        <v>10</v>
      </c>
    </row>
    <row r="989" spans="1:9" x14ac:dyDescent="0.2">
      <c r="A989">
        <v>4652099</v>
      </c>
      <c r="B989">
        <v>2</v>
      </c>
      <c r="C989">
        <v>3229</v>
      </c>
      <c r="D989">
        <v>54070</v>
      </c>
      <c r="E989">
        <v>24</v>
      </c>
      <c r="F989" t="s">
        <v>47</v>
      </c>
      <c r="G989" t="s">
        <v>101</v>
      </c>
      <c r="H989" t="s">
        <v>46</v>
      </c>
      <c r="I989">
        <v>10</v>
      </c>
    </row>
    <row r="990" spans="1:9" x14ac:dyDescent="0.2">
      <c r="A990">
        <v>4652099</v>
      </c>
      <c r="B990">
        <v>3</v>
      </c>
      <c r="C990">
        <v>1786</v>
      </c>
      <c r="D990">
        <v>0</v>
      </c>
      <c r="E990">
        <v>26</v>
      </c>
      <c r="F990" t="s">
        <v>57</v>
      </c>
      <c r="G990" t="s">
        <v>103</v>
      </c>
      <c r="H990" t="s">
        <v>56</v>
      </c>
      <c r="I990">
        <v>10</v>
      </c>
    </row>
    <row r="991" spans="1:9" x14ac:dyDescent="0.2">
      <c r="A991">
        <v>4652099</v>
      </c>
      <c r="B991">
        <v>4</v>
      </c>
      <c r="C991">
        <v>1787</v>
      </c>
      <c r="D991">
        <v>0</v>
      </c>
      <c r="E991">
        <v>26</v>
      </c>
      <c r="F991" t="s">
        <v>57</v>
      </c>
      <c r="G991" t="s">
        <v>49</v>
      </c>
      <c r="H991" t="s">
        <v>56</v>
      </c>
      <c r="I991">
        <v>10</v>
      </c>
    </row>
    <row r="992" spans="1:9" x14ac:dyDescent="0.2">
      <c r="A992">
        <v>4652099</v>
      </c>
      <c r="B992">
        <v>5</v>
      </c>
      <c r="C992">
        <v>1732</v>
      </c>
      <c r="D992">
        <v>0</v>
      </c>
      <c r="E992">
        <v>26</v>
      </c>
      <c r="F992" t="s">
        <v>57</v>
      </c>
      <c r="G992" t="s">
        <v>104</v>
      </c>
      <c r="H992" t="s">
        <v>69</v>
      </c>
      <c r="I992">
        <v>10</v>
      </c>
    </row>
    <row r="993" spans="1:9" x14ac:dyDescent="0.2">
      <c r="A993">
        <v>4652099</v>
      </c>
      <c r="B993">
        <v>6</v>
      </c>
      <c r="C993">
        <v>3223</v>
      </c>
      <c r="D993">
        <v>0</v>
      </c>
      <c r="E993">
        <v>26</v>
      </c>
      <c r="F993" t="s">
        <v>47</v>
      </c>
      <c r="G993" t="s">
        <v>105</v>
      </c>
      <c r="H993" t="s">
        <v>46</v>
      </c>
      <c r="I993">
        <v>10</v>
      </c>
    </row>
    <row r="994" spans="1:9" x14ac:dyDescent="0.2">
      <c r="A994">
        <v>4652099</v>
      </c>
      <c r="B994">
        <v>7</v>
      </c>
      <c r="C994">
        <v>3225</v>
      </c>
      <c r="D994">
        <v>0</v>
      </c>
      <c r="E994">
        <v>26</v>
      </c>
      <c r="F994" t="s">
        <v>47</v>
      </c>
      <c r="G994" t="s">
        <v>106</v>
      </c>
      <c r="H994" t="s">
        <v>46</v>
      </c>
      <c r="I994">
        <v>10</v>
      </c>
    </row>
    <row r="995" spans="1:9" x14ac:dyDescent="0.2">
      <c r="A995">
        <v>4720393</v>
      </c>
      <c r="B995">
        <v>1</v>
      </c>
      <c r="C995">
        <v>1765</v>
      </c>
      <c r="D995">
        <v>56100</v>
      </c>
      <c r="E995">
        <v>24</v>
      </c>
      <c r="F995" t="s">
        <v>57</v>
      </c>
      <c r="G995" t="s">
        <v>68</v>
      </c>
      <c r="H995" t="s">
        <v>69</v>
      </c>
      <c r="I995">
        <v>10</v>
      </c>
    </row>
    <row r="996" spans="1:9" x14ac:dyDescent="0.2">
      <c r="A996">
        <v>4720393</v>
      </c>
      <c r="B996">
        <v>2</v>
      </c>
      <c r="C996">
        <v>2632</v>
      </c>
      <c r="D996">
        <v>0</v>
      </c>
      <c r="E996">
        <v>26</v>
      </c>
      <c r="F996" t="s">
        <v>71</v>
      </c>
      <c r="G996" t="s">
        <v>70</v>
      </c>
      <c r="H996" t="s">
        <v>24</v>
      </c>
      <c r="I996">
        <v>5</v>
      </c>
    </row>
    <row r="997" spans="1:9" x14ac:dyDescent="0.2">
      <c r="A997">
        <v>4720393</v>
      </c>
      <c r="B997">
        <v>3</v>
      </c>
      <c r="C997">
        <v>1729</v>
      </c>
      <c r="D997">
        <v>0</v>
      </c>
      <c r="E997">
        <v>26</v>
      </c>
      <c r="F997" t="s">
        <v>57</v>
      </c>
      <c r="G997" t="s">
        <v>72</v>
      </c>
      <c r="H997" t="s">
        <v>69</v>
      </c>
      <c r="I997">
        <v>10</v>
      </c>
    </row>
    <row r="998" spans="1:9" x14ac:dyDescent="0.2">
      <c r="A998">
        <v>4731769</v>
      </c>
      <c r="B998">
        <v>1</v>
      </c>
      <c r="C998">
        <v>1195</v>
      </c>
      <c r="D998">
        <v>64615</v>
      </c>
      <c r="E998">
        <v>25</v>
      </c>
      <c r="F998" t="s">
        <v>17</v>
      </c>
      <c r="G998" t="s">
        <v>353</v>
      </c>
      <c r="H998" t="s">
        <v>16</v>
      </c>
      <c r="I998" t="s">
        <v>448</v>
      </c>
    </row>
    <row r="999" spans="1:9" x14ac:dyDescent="0.2">
      <c r="A999">
        <v>4731769</v>
      </c>
      <c r="B999">
        <v>2</v>
      </c>
      <c r="C999">
        <v>1789</v>
      </c>
      <c r="D999">
        <v>64510</v>
      </c>
      <c r="E999">
        <v>25</v>
      </c>
      <c r="F999" t="s">
        <v>57</v>
      </c>
      <c r="G999" t="s">
        <v>122</v>
      </c>
      <c r="H999" t="s">
        <v>69</v>
      </c>
      <c r="I999">
        <v>10</v>
      </c>
    </row>
    <row r="1000" spans="1:9" x14ac:dyDescent="0.2">
      <c r="A1000">
        <v>4731769</v>
      </c>
      <c r="B1000">
        <v>3</v>
      </c>
      <c r="C1000">
        <v>1178</v>
      </c>
      <c r="D1000">
        <v>64020</v>
      </c>
      <c r="E1000">
        <v>25</v>
      </c>
      <c r="F1000" t="s">
        <v>17</v>
      </c>
      <c r="G1000" t="s">
        <v>238</v>
      </c>
      <c r="H1000" t="s">
        <v>16</v>
      </c>
      <c r="I1000" t="s">
        <v>448</v>
      </c>
    </row>
    <row r="1001" spans="1:9" x14ac:dyDescent="0.2">
      <c r="A1001">
        <v>4731769</v>
      </c>
      <c r="B1001">
        <v>4</v>
      </c>
      <c r="C1001">
        <v>1139</v>
      </c>
      <c r="D1001">
        <v>64670</v>
      </c>
      <c r="E1001">
        <v>25</v>
      </c>
      <c r="F1001" t="s">
        <v>17</v>
      </c>
      <c r="G1001" t="s">
        <v>391</v>
      </c>
      <c r="H1001" t="s">
        <v>16</v>
      </c>
      <c r="I1001" t="s">
        <v>448</v>
      </c>
    </row>
    <row r="1002" spans="1:9" x14ac:dyDescent="0.2">
      <c r="A1002">
        <v>4731769</v>
      </c>
      <c r="B1002">
        <v>5</v>
      </c>
      <c r="C1002">
        <v>1728</v>
      </c>
      <c r="D1002">
        <v>64510</v>
      </c>
      <c r="E1002">
        <v>24</v>
      </c>
      <c r="F1002" t="s">
        <v>57</v>
      </c>
      <c r="G1002" t="s">
        <v>103</v>
      </c>
      <c r="H1002" t="s">
        <v>69</v>
      </c>
      <c r="I1002">
        <v>10</v>
      </c>
    </row>
    <row r="1003" spans="1:9" x14ac:dyDescent="0.2">
      <c r="A1003">
        <v>4762432</v>
      </c>
      <c r="B1003">
        <v>1</v>
      </c>
      <c r="C1003">
        <v>3242</v>
      </c>
      <c r="D1003">
        <v>53245</v>
      </c>
      <c r="E1003">
        <v>25</v>
      </c>
      <c r="F1003" t="s">
        <v>47</v>
      </c>
      <c r="G1003" t="s">
        <v>90</v>
      </c>
      <c r="H1003" t="s">
        <v>46</v>
      </c>
      <c r="I1003">
        <v>10</v>
      </c>
    </row>
    <row r="1004" spans="1:9" x14ac:dyDescent="0.2">
      <c r="A1004">
        <v>4762432</v>
      </c>
      <c r="B1004">
        <v>2</v>
      </c>
      <c r="C1004">
        <v>3243</v>
      </c>
      <c r="D1004">
        <v>53575</v>
      </c>
      <c r="E1004">
        <v>25</v>
      </c>
      <c r="F1004" t="s">
        <v>47</v>
      </c>
      <c r="G1004" t="s">
        <v>75</v>
      </c>
      <c r="H1004" t="s">
        <v>46</v>
      </c>
      <c r="I1004">
        <v>10</v>
      </c>
    </row>
    <row r="1005" spans="1:9" x14ac:dyDescent="0.2">
      <c r="A1005">
        <v>4762432</v>
      </c>
      <c r="B1005">
        <v>3</v>
      </c>
      <c r="C1005">
        <v>3234</v>
      </c>
      <c r="D1005">
        <v>54130</v>
      </c>
      <c r="E1005">
        <v>25</v>
      </c>
      <c r="F1005" t="s">
        <v>47</v>
      </c>
      <c r="G1005" t="s">
        <v>76</v>
      </c>
      <c r="H1005" t="s">
        <v>46</v>
      </c>
      <c r="I1005">
        <v>10</v>
      </c>
    </row>
    <row r="1006" spans="1:9" x14ac:dyDescent="0.2">
      <c r="A1006">
        <v>4763519</v>
      </c>
      <c r="B1006">
        <v>1</v>
      </c>
      <c r="C1006">
        <v>1756</v>
      </c>
      <c r="D1006">
        <v>55350</v>
      </c>
      <c r="E1006">
        <v>24</v>
      </c>
      <c r="F1006" t="s">
        <v>57</v>
      </c>
      <c r="G1006" t="s">
        <v>89</v>
      </c>
      <c r="H1006" t="s">
        <v>69</v>
      </c>
      <c r="I1006">
        <v>10</v>
      </c>
    </row>
    <row r="1007" spans="1:9" x14ac:dyDescent="0.2">
      <c r="A1007">
        <v>4763519</v>
      </c>
      <c r="B1007">
        <v>2</v>
      </c>
      <c r="C1007">
        <v>1782</v>
      </c>
      <c r="D1007">
        <v>0</v>
      </c>
      <c r="E1007">
        <v>26</v>
      </c>
      <c r="F1007" t="s">
        <v>57</v>
      </c>
      <c r="G1007" t="s">
        <v>63</v>
      </c>
      <c r="H1007" t="s">
        <v>69</v>
      </c>
      <c r="I1007">
        <v>10</v>
      </c>
    </row>
    <row r="1008" spans="1:9" x14ac:dyDescent="0.2">
      <c r="A1008">
        <v>4763519</v>
      </c>
      <c r="B1008">
        <v>3</v>
      </c>
      <c r="C1008">
        <v>1788</v>
      </c>
      <c r="D1008">
        <v>0</v>
      </c>
      <c r="E1008">
        <v>26</v>
      </c>
      <c r="F1008" t="s">
        <v>57</v>
      </c>
      <c r="G1008" t="s">
        <v>97</v>
      </c>
      <c r="H1008" t="s">
        <v>56</v>
      </c>
      <c r="I1008">
        <v>10</v>
      </c>
    </row>
    <row r="1009" spans="1:9" x14ac:dyDescent="0.2">
      <c r="A1009">
        <v>4763519</v>
      </c>
      <c r="B1009">
        <v>4</v>
      </c>
      <c r="C1009">
        <v>1331</v>
      </c>
      <c r="D1009">
        <v>0</v>
      </c>
      <c r="E1009">
        <v>26</v>
      </c>
      <c r="F1009" t="s">
        <v>21</v>
      </c>
      <c r="G1009" t="s">
        <v>89</v>
      </c>
      <c r="H1009" t="s">
        <v>20</v>
      </c>
      <c r="I1009">
        <v>8</v>
      </c>
    </row>
    <row r="1010" spans="1:9" x14ac:dyDescent="0.2">
      <c r="A1010">
        <v>4763519</v>
      </c>
      <c r="B1010">
        <v>5</v>
      </c>
      <c r="C1010">
        <v>1324</v>
      </c>
      <c r="D1010">
        <v>0</v>
      </c>
      <c r="E1010">
        <v>26</v>
      </c>
      <c r="F1010" t="s">
        <v>21</v>
      </c>
      <c r="G1010" t="s">
        <v>63</v>
      </c>
      <c r="H1010" t="s">
        <v>20</v>
      </c>
      <c r="I1010">
        <v>8</v>
      </c>
    </row>
    <row r="1011" spans="1:9" x14ac:dyDescent="0.2">
      <c r="A1011">
        <v>4763519</v>
      </c>
      <c r="B1011">
        <v>6</v>
      </c>
      <c r="C1011">
        <v>3200</v>
      </c>
      <c r="D1011">
        <v>0</v>
      </c>
      <c r="E1011">
        <v>26</v>
      </c>
      <c r="F1011" t="s">
        <v>47</v>
      </c>
      <c r="G1011" t="s">
        <v>18</v>
      </c>
      <c r="H1011" t="s">
        <v>46</v>
      </c>
      <c r="I1011">
        <v>10</v>
      </c>
    </row>
    <row r="1012" spans="1:9" x14ac:dyDescent="0.2">
      <c r="A1012">
        <v>4763519</v>
      </c>
      <c r="B1012">
        <v>7</v>
      </c>
      <c r="C1012">
        <v>3261</v>
      </c>
      <c r="D1012">
        <v>0</v>
      </c>
      <c r="E1012">
        <v>26</v>
      </c>
      <c r="F1012" t="s">
        <v>47</v>
      </c>
      <c r="G1012" t="s">
        <v>93</v>
      </c>
      <c r="H1012" t="s">
        <v>46</v>
      </c>
      <c r="I1012">
        <v>10</v>
      </c>
    </row>
    <row r="1013" spans="1:9" x14ac:dyDescent="0.2">
      <c r="A1013">
        <v>4778313</v>
      </c>
      <c r="B1013">
        <v>1</v>
      </c>
      <c r="C1013">
        <v>1705</v>
      </c>
      <c r="D1013">
        <v>50000</v>
      </c>
      <c r="E1013">
        <v>25</v>
      </c>
      <c r="F1013" t="s">
        <v>57</v>
      </c>
      <c r="G1013" t="s">
        <v>102</v>
      </c>
      <c r="H1013" t="s">
        <v>69</v>
      </c>
      <c r="I1013">
        <v>10</v>
      </c>
    </row>
    <row r="1014" spans="1:9" x14ac:dyDescent="0.2">
      <c r="A1014">
        <v>4832546</v>
      </c>
      <c r="B1014">
        <v>1</v>
      </c>
      <c r="C1014">
        <v>1387</v>
      </c>
      <c r="D1014">
        <v>56580</v>
      </c>
      <c r="E1014">
        <v>25</v>
      </c>
      <c r="F1014" t="s">
        <v>21</v>
      </c>
      <c r="G1014" t="s">
        <v>102</v>
      </c>
      <c r="H1014" t="s">
        <v>20</v>
      </c>
      <c r="I1014">
        <v>8</v>
      </c>
    </row>
    <row r="1015" spans="1:9" x14ac:dyDescent="0.2">
      <c r="A1015">
        <v>4832546</v>
      </c>
      <c r="B1015">
        <v>2</v>
      </c>
      <c r="C1015">
        <v>1388</v>
      </c>
      <c r="D1015">
        <v>56465</v>
      </c>
      <c r="E1015">
        <v>25</v>
      </c>
      <c r="F1015" t="s">
        <v>21</v>
      </c>
      <c r="G1015" t="s">
        <v>151</v>
      </c>
      <c r="H1015" t="s">
        <v>20</v>
      </c>
      <c r="I1015">
        <v>8</v>
      </c>
    </row>
    <row r="1016" spans="1:9" x14ac:dyDescent="0.2">
      <c r="A1016">
        <v>4832546</v>
      </c>
      <c r="B1016">
        <v>3</v>
      </c>
      <c r="C1016">
        <v>3621</v>
      </c>
      <c r="D1016">
        <v>56050</v>
      </c>
      <c r="E1016">
        <v>25</v>
      </c>
      <c r="F1016" t="s">
        <v>108</v>
      </c>
      <c r="G1016" t="s">
        <v>102</v>
      </c>
      <c r="H1016" t="s">
        <v>20</v>
      </c>
      <c r="I1016">
        <v>8</v>
      </c>
    </row>
    <row r="1017" spans="1:9" x14ac:dyDescent="0.2">
      <c r="A1017">
        <v>4832546</v>
      </c>
      <c r="B1017">
        <v>4</v>
      </c>
      <c r="C1017">
        <v>3020</v>
      </c>
      <c r="D1017">
        <v>57110</v>
      </c>
      <c r="E1017">
        <v>25</v>
      </c>
      <c r="F1017" t="s">
        <v>44</v>
      </c>
      <c r="G1017" t="s">
        <v>102</v>
      </c>
      <c r="H1017" t="s">
        <v>50</v>
      </c>
      <c r="I1017">
        <v>9</v>
      </c>
    </row>
    <row r="1018" spans="1:9" x14ac:dyDescent="0.2">
      <c r="A1018">
        <v>4832546</v>
      </c>
      <c r="B1018">
        <v>5</v>
      </c>
      <c r="C1018">
        <v>3032</v>
      </c>
      <c r="D1018">
        <v>57110</v>
      </c>
      <c r="E1018">
        <v>25</v>
      </c>
      <c r="F1018" t="s">
        <v>44</v>
      </c>
      <c r="G1018" t="s">
        <v>151</v>
      </c>
      <c r="H1018" t="s">
        <v>50</v>
      </c>
      <c r="I1018">
        <v>9</v>
      </c>
    </row>
    <row r="1019" spans="1:9" x14ac:dyDescent="0.2">
      <c r="A1019">
        <v>4832546</v>
      </c>
      <c r="B1019">
        <v>6</v>
      </c>
      <c r="C1019">
        <v>1705</v>
      </c>
      <c r="D1019">
        <v>57110</v>
      </c>
      <c r="E1019">
        <v>25</v>
      </c>
      <c r="F1019" t="s">
        <v>57</v>
      </c>
      <c r="G1019" t="s">
        <v>102</v>
      </c>
      <c r="H1019" t="s">
        <v>69</v>
      </c>
      <c r="I1019">
        <v>10</v>
      </c>
    </row>
    <row r="1020" spans="1:9" x14ac:dyDescent="0.2">
      <c r="A1020">
        <v>4832546</v>
      </c>
      <c r="B1020">
        <v>7</v>
      </c>
      <c r="C1020">
        <v>1715</v>
      </c>
      <c r="D1020">
        <v>56550</v>
      </c>
      <c r="E1020">
        <v>25</v>
      </c>
      <c r="F1020" t="s">
        <v>57</v>
      </c>
      <c r="G1020" t="s">
        <v>151</v>
      </c>
      <c r="H1020" t="s">
        <v>69</v>
      </c>
      <c r="I1020">
        <v>10</v>
      </c>
    </row>
    <row r="1021" spans="1:9" x14ac:dyDescent="0.2">
      <c r="A1021">
        <v>4845782</v>
      </c>
      <c r="B1021">
        <v>1</v>
      </c>
      <c r="C1021">
        <v>3242</v>
      </c>
      <c r="D1021">
        <v>47650</v>
      </c>
      <c r="E1021">
        <v>25</v>
      </c>
      <c r="F1021" t="s">
        <v>47</v>
      </c>
      <c r="G1021" t="s">
        <v>90</v>
      </c>
      <c r="H1021" t="s">
        <v>46</v>
      </c>
      <c r="I1021">
        <v>10</v>
      </c>
    </row>
    <row r="1022" spans="1:9" x14ac:dyDescent="0.2">
      <c r="A1022">
        <v>4847236</v>
      </c>
      <c r="B1022">
        <v>1</v>
      </c>
      <c r="C1022">
        <v>1731</v>
      </c>
      <c r="D1022">
        <v>63690</v>
      </c>
      <c r="E1022">
        <v>25</v>
      </c>
      <c r="F1022" t="s">
        <v>57</v>
      </c>
      <c r="G1022" t="s">
        <v>172</v>
      </c>
      <c r="H1022" t="s">
        <v>69</v>
      </c>
      <c r="I1022">
        <v>10</v>
      </c>
    </row>
    <row r="1023" spans="1:9" x14ac:dyDescent="0.2">
      <c r="A1023">
        <v>4847236</v>
      </c>
      <c r="B1023">
        <v>2</v>
      </c>
      <c r="C1023">
        <v>1713</v>
      </c>
      <c r="D1023">
        <v>63690</v>
      </c>
      <c r="E1023">
        <v>25</v>
      </c>
      <c r="F1023" t="s">
        <v>57</v>
      </c>
      <c r="G1023" t="s">
        <v>170</v>
      </c>
      <c r="H1023" t="s">
        <v>69</v>
      </c>
      <c r="I1023">
        <v>10</v>
      </c>
    </row>
    <row r="1024" spans="1:9" x14ac:dyDescent="0.2">
      <c r="A1024">
        <v>4848901</v>
      </c>
      <c r="B1024">
        <v>1</v>
      </c>
      <c r="C1024">
        <v>1922</v>
      </c>
      <c r="D1024">
        <v>56055</v>
      </c>
      <c r="E1024">
        <v>25</v>
      </c>
      <c r="F1024" t="s">
        <v>32</v>
      </c>
      <c r="G1024" t="s">
        <v>145</v>
      </c>
      <c r="H1024" t="s">
        <v>31</v>
      </c>
      <c r="I1024">
        <v>5</v>
      </c>
    </row>
    <row r="1025" spans="1:9" x14ac:dyDescent="0.2">
      <c r="A1025">
        <v>4848901</v>
      </c>
      <c r="B1025">
        <v>2</v>
      </c>
      <c r="C1025">
        <v>1923</v>
      </c>
      <c r="D1025">
        <v>56055</v>
      </c>
      <c r="E1025">
        <v>24</v>
      </c>
      <c r="F1025" t="s">
        <v>32</v>
      </c>
      <c r="G1025" t="s">
        <v>354</v>
      </c>
      <c r="H1025" t="s">
        <v>31</v>
      </c>
      <c r="I1025">
        <v>5</v>
      </c>
    </row>
    <row r="1026" spans="1:9" x14ac:dyDescent="0.2">
      <c r="A1026">
        <v>4848901</v>
      </c>
      <c r="B1026">
        <v>3</v>
      </c>
      <c r="C1026">
        <v>3296</v>
      </c>
      <c r="D1026">
        <v>0</v>
      </c>
      <c r="E1026">
        <v>26</v>
      </c>
      <c r="F1026" t="s">
        <v>47</v>
      </c>
      <c r="G1026" t="s">
        <v>100</v>
      </c>
      <c r="H1026" t="s">
        <v>46</v>
      </c>
      <c r="I1026">
        <v>10</v>
      </c>
    </row>
    <row r="1027" spans="1:9" x14ac:dyDescent="0.2">
      <c r="A1027">
        <v>4848901</v>
      </c>
      <c r="B1027">
        <v>4</v>
      </c>
      <c r="C1027">
        <v>3248</v>
      </c>
      <c r="D1027">
        <v>0</v>
      </c>
      <c r="E1027">
        <v>26</v>
      </c>
      <c r="F1027" t="s">
        <v>47</v>
      </c>
      <c r="G1027" t="s">
        <v>92</v>
      </c>
      <c r="H1027" t="s">
        <v>46</v>
      </c>
      <c r="I1027">
        <v>10</v>
      </c>
    </row>
    <row r="1028" spans="1:9" x14ac:dyDescent="0.2">
      <c r="A1028">
        <v>4879759</v>
      </c>
      <c r="B1028">
        <v>1</v>
      </c>
      <c r="C1028">
        <v>3248</v>
      </c>
      <c r="D1028">
        <v>0</v>
      </c>
      <c r="E1028">
        <v>36</v>
      </c>
      <c r="F1028" t="s">
        <v>47</v>
      </c>
      <c r="G1028" t="s">
        <v>92</v>
      </c>
      <c r="H1028" t="s">
        <v>46</v>
      </c>
      <c r="I1028">
        <v>10</v>
      </c>
    </row>
    <row r="1029" spans="1:9" x14ac:dyDescent="0.2">
      <c r="A1029">
        <v>4906616</v>
      </c>
      <c r="B1029">
        <v>1</v>
      </c>
      <c r="C1029">
        <v>1380</v>
      </c>
      <c r="D1029">
        <v>55950</v>
      </c>
      <c r="E1029">
        <v>25</v>
      </c>
      <c r="F1029" t="s">
        <v>21</v>
      </c>
      <c r="G1029" t="s">
        <v>18</v>
      </c>
      <c r="H1029" t="s">
        <v>20</v>
      </c>
      <c r="I1029">
        <v>8</v>
      </c>
    </row>
    <row r="1030" spans="1:9" x14ac:dyDescent="0.2">
      <c r="A1030">
        <v>4906616</v>
      </c>
      <c r="B1030">
        <v>2</v>
      </c>
      <c r="C1030">
        <v>2901</v>
      </c>
      <c r="D1030">
        <v>55510</v>
      </c>
      <c r="E1030">
        <v>25</v>
      </c>
      <c r="F1030" t="s">
        <v>119</v>
      </c>
      <c r="G1030" t="s">
        <v>18</v>
      </c>
      <c r="H1030" t="s">
        <v>20</v>
      </c>
      <c r="I1030">
        <v>8</v>
      </c>
    </row>
    <row r="1031" spans="1:9" x14ac:dyDescent="0.2">
      <c r="A1031">
        <v>4906616</v>
      </c>
      <c r="B1031">
        <v>3</v>
      </c>
      <c r="C1031">
        <v>1733</v>
      </c>
      <c r="D1031">
        <v>54920</v>
      </c>
      <c r="E1031">
        <v>25</v>
      </c>
      <c r="F1031" t="s">
        <v>57</v>
      </c>
      <c r="G1031" t="s">
        <v>18</v>
      </c>
      <c r="H1031" t="s">
        <v>69</v>
      </c>
      <c r="I1031">
        <v>10</v>
      </c>
    </row>
    <row r="1032" spans="1:9" x14ac:dyDescent="0.2">
      <c r="A1032">
        <v>4906616</v>
      </c>
      <c r="B1032">
        <v>4</v>
      </c>
      <c r="C1032">
        <v>3200</v>
      </c>
      <c r="D1032">
        <v>54920</v>
      </c>
      <c r="E1032">
        <v>24</v>
      </c>
      <c r="F1032" t="s">
        <v>47</v>
      </c>
      <c r="G1032" t="s">
        <v>18</v>
      </c>
      <c r="H1032" t="s">
        <v>46</v>
      </c>
      <c r="I1032">
        <v>10</v>
      </c>
    </row>
    <row r="1033" spans="1:9" x14ac:dyDescent="0.2">
      <c r="A1033">
        <v>4906616</v>
      </c>
      <c r="B1033">
        <v>5</v>
      </c>
      <c r="C1033">
        <v>1358</v>
      </c>
      <c r="D1033">
        <v>0</v>
      </c>
      <c r="E1033">
        <v>26</v>
      </c>
      <c r="F1033" t="s">
        <v>21</v>
      </c>
      <c r="G1033" t="s">
        <v>210</v>
      </c>
      <c r="H1033" t="s">
        <v>20</v>
      </c>
      <c r="I1033">
        <v>8</v>
      </c>
    </row>
    <row r="1034" spans="1:9" x14ac:dyDescent="0.2">
      <c r="A1034">
        <v>4906616</v>
      </c>
      <c r="B1034">
        <v>6</v>
      </c>
      <c r="C1034">
        <v>3296</v>
      </c>
      <c r="D1034">
        <v>0</v>
      </c>
      <c r="E1034">
        <v>26</v>
      </c>
      <c r="F1034" t="s">
        <v>47</v>
      </c>
      <c r="G1034" t="s">
        <v>100</v>
      </c>
      <c r="H1034" t="s">
        <v>46</v>
      </c>
      <c r="I1034">
        <v>10</v>
      </c>
    </row>
    <row r="1035" spans="1:9" x14ac:dyDescent="0.2">
      <c r="A1035">
        <v>4906616</v>
      </c>
      <c r="B1035">
        <v>7</v>
      </c>
      <c r="C1035">
        <v>1754</v>
      </c>
      <c r="D1035">
        <v>0</v>
      </c>
      <c r="E1035">
        <v>26</v>
      </c>
      <c r="F1035" t="s">
        <v>57</v>
      </c>
      <c r="G1035" t="s">
        <v>85</v>
      </c>
      <c r="H1035" t="s">
        <v>69</v>
      </c>
      <c r="I1035">
        <v>10</v>
      </c>
    </row>
    <row r="1036" spans="1:9" x14ac:dyDescent="0.2">
      <c r="A1036">
        <v>4906616</v>
      </c>
      <c r="B1036">
        <v>8</v>
      </c>
      <c r="C1036">
        <v>1359</v>
      </c>
      <c r="D1036">
        <v>0</v>
      </c>
      <c r="E1036">
        <v>26</v>
      </c>
      <c r="F1036" t="s">
        <v>21</v>
      </c>
      <c r="G1036" t="s">
        <v>214</v>
      </c>
      <c r="H1036" t="s">
        <v>20</v>
      </c>
      <c r="I1036">
        <v>8</v>
      </c>
    </row>
    <row r="1037" spans="1:9" x14ac:dyDescent="0.2">
      <c r="A1037">
        <v>4932811</v>
      </c>
      <c r="B1037">
        <v>1</v>
      </c>
      <c r="C1037">
        <v>1734</v>
      </c>
      <c r="D1037">
        <v>53470</v>
      </c>
      <c r="E1037">
        <v>25</v>
      </c>
      <c r="F1037" t="s">
        <v>57</v>
      </c>
      <c r="G1037" t="s">
        <v>81</v>
      </c>
      <c r="H1037" t="s">
        <v>69</v>
      </c>
      <c r="I1037">
        <v>10</v>
      </c>
    </row>
    <row r="1038" spans="1:9" x14ac:dyDescent="0.2">
      <c r="A1038">
        <v>4932811</v>
      </c>
      <c r="B1038">
        <v>2</v>
      </c>
      <c r="C1038">
        <v>3225</v>
      </c>
      <c r="D1038">
        <v>53250</v>
      </c>
      <c r="E1038">
        <v>24</v>
      </c>
      <c r="F1038" t="s">
        <v>47</v>
      </c>
      <c r="G1038" t="s">
        <v>106</v>
      </c>
      <c r="H1038" t="s">
        <v>46</v>
      </c>
      <c r="I1038">
        <v>10</v>
      </c>
    </row>
    <row r="1039" spans="1:9" x14ac:dyDescent="0.2">
      <c r="A1039">
        <v>4932811</v>
      </c>
      <c r="B1039">
        <v>3</v>
      </c>
      <c r="C1039">
        <v>1703</v>
      </c>
      <c r="D1039">
        <v>0</v>
      </c>
      <c r="E1039">
        <v>26</v>
      </c>
      <c r="F1039" t="s">
        <v>57</v>
      </c>
      <c r="G1039" t="s">
        <v>109</v>
      </c>
      <c r="H1039" t="s">
        <v>69</v>
      </c>
      <c r="I1039">
        <v>10</v>
      </c>
    </row>
    <row r="1040" spans="1:9" x14ac:dyDescent="0.2">
      <c r="A1040">
        <v>4932811</v>
      </c>
      <c r="B1040">
        <v>4</v>
      </c>
      <c r="C1040">
        <v>1736</v>
      </c>
      <c r="D1040">
        <v>0</v>
      </c>
      <c r="E1040">
        <v>26</v>
      </c>
      <c r="F1040" t="s">
        <v>57</v>
      </c>
      <c r="G1040" t="s">
        <v>78</v>
      </c>
      <c r="H1040" t="s">
        <v>79</v>
      </c>
      <c r="I1040">
        <v>10</v>
      </c>
    </row>
    <row r="1041" spans="1:9" x14ac:dyDescent="0.2">
      <c r="A1041">
        <v>4932811</v>
      </c>
      <c r="B1041">
        <v>5</v>
      </c>
      <c r="C1041">
        <v>1737</v>
      </c>
      <c r="D1041">
        <v>0</v>
      </c>
      <c r="E1041">
        <v>26</v>
      </c>
      <c r="F1041" t="s">
        <v>57</v>
      </c>
      <c r="G1041" t="s">
        <v>54</v>
      </c>
      <c r="H1041" t="s">
        <v>79</v>
      </c>
      <c r="I1041">
        <v>10</v>
      </c>
    </row>
    <row r="1042" spans="1:9" x14ac:dyDescent="0.2">
      <c r="A1042">
        <v>4932811</v>
      </c>
      <c r="B1042">
        <v>6</v>
      </c>
      <c r="C1042">
        <v>1715</v>
      </c>
      <c r="D1042">
        <v>0</v>
      </c>
      <c r="E1042">
        <v>26</v>
      </c>
      <c r="F1042" t="s">
        <v>57</v>
      </c>
      <c r="G1042" t="s">
        <v>151</v>
      </c>
      <c r="H1042" t="s">
        <v>69</v>
      </c>
      <c r="I1042">
        <v>10</v>
      </c>
    </row>
    <row r="1043" spans="1:9" x14ac:dyDescent="0.2">
      <c r="A1043">
        <v>4932811</v>
      </c>
      <c r="B1043">
        <v>7</v>
      </c>
      <c r="C1043">
        <v>3223</v>
      </c>
      <c r="D1043">
        <v>0</v>
      </c>
      <c r="E1043">
        <v>26</v>
      </c>
      <c r="F1043" t="s">
        <v>47</v>
      </c>
      <c r="G1043" t="s">
        <v>105</v>
      </c>
      <c r="H1043" t="s">
        <v>46</v>
      </c>
      <c r="I1043">
        <v>10</v>
      </c>
    </row>
    <row r="1044" spans="1:9" x14ac:dyDescent="0.2">
      <c r="A1044">
        <v>4932811</v>
      </c>
      <c r="B1044">
        <v>8</v>
      </c>
      <c r="C1044">
        <v>3269</v>
      </c>
      <c r="D1044">
        <v>0</v>
      </c>
      <c r="E1044">
        <v>26</v>
      </c>
      <c r="F1044" t="s">
        <v>47</v>
      </c>
      <c r="G1044" t="s">
        <v>180</v>
      </c>
      <c r="H1044" t="s">
        <v>46</v>
      </c>
      <c r="I1044">
        <v>10</v>
      </c>
    </row>
    <row r="1045" spans="1:9" x14ac:dyDescent="0.2">
      <c r="A1045">
        <v>4937934</v>
      </c>
      <c r="B1045">
        <v>1</v>
      </c>
      <c r="C1045">
        <v>1324</v>
      </c>
      <c r="D1045">
        <v>56270</v>
      </c>
      <c r="E1045">
        <v>25</v>
      </c>
      <c r="F1045" t="s">
        <v>21</v>
      </c>
      <c r="G1045" t="s">
        <v>63</v>
      </c>
      <c r="H1045" t="s">
        <v>20</v>
      </c>
      <c r="I1045">
        <v>8</v>
      </c>
    </row>
    <row r="1046" spans="1:9" x14ac:dyDescent="0.2">
      <c r="A1046">
        <v>4937934</v>
      </c>
      <c r="B1046">
        <v>2</v>
      </c>
      <c r="C1046">
        <v>1782</v>
      </c>
      <c r="D1046">
        <v>56630</v>
      </c>
      <c r="E1046">
        <v>25</v>
      </c>
      <c r="F1046" t="s">
        <v>57</v>
      </c>
      <c r="G1046" t="s">
        <v>63</v>
      </c>
      <c r="H1046" t="s">
        <v>69</v>
      </c>
      <c r="I1046">
        <v>10</v>
      </c>
    </row>
    <row r="1047" spans="1:9" x14ac:dyDescent="0.2">
      <c r="A1047">
        <v>4937934</v>
      </c>
      <c r="B1047">
        <v>3</v>
      </c>
      <c r="C1047">
        <v>3740</v>
      </c>
      <c r="D1047">
        <v>56350</v>
      </c>
      <c r="E1047">
        <v>25</v>
      </c>
      <c r="F1047" t="s">
        <v>116</v>
      </c>
      <c r="G1047" t="s">
        <v>63</v>
      </c>
      <c r="H1047" t="s">
        <v>61</v>
      </c>
      <c r="I1047">
        <v>9</v>
      </c>
    </row>
    <row r="1048" spans="1:9" x14ac:dyDescent="0.2">
      <c r="A1048">
        <v>4937934</v>
      </c>
      <c r="B1048">
        <v>4</v>
      </c>
      <c r="C1048">
        <v>1430</v>
      </c>
      <c r="D1048">
        <v>56580</v>
      </c>
      <c r="E1048">
        <v>25</v>
      </c>
      <c r="F1048" t="s">
        <v>25</v>
      </c>
      <c r="G1048" t="s">
        <v>63</v>
      </c>
      <c r="H1048" t="s">
        <v>24</v>
      </c>
      <c r="I1048">
        <v>5</v>
      </c>
    </row>
    <row r="1049" spans="1:9" x14ac:dyDescent="0.2">
      <c r="A1049">
        <v>4937934</v>
      </c>
      <c r="B1049">
        <v>5</v>
      </c>
      <c r="C1049">
        <v>3601</v>
      </c>
      <c r="D1049">
        <v>56860</v>
      </c>
      <c r="E1049">
        <v>25</v>
      </c>
      <c r="F1049" t="s">
        <v>108</v>
      </c>
      <c r="G1049" t="s">
        <v>63</v>
      </c>
      <c r="H1049" t="s">
        <v>20</v>
      </c>
      <c r="I1049">
        <v>8</v>
      </c>
    </row>
    <row r="1050" spans="1:9" x14ac:dyDescent="0.2">
      <c r="A1050">
        <v>4937934</v>
      </c>
      <c r="B1050">
        <v>6</v>
      </c>
      <c r="C1050">
        <v>3451</v>
      </c>
      <c r="D1050">
        <v>56760</v>
      </c>
      <c r="E1050">
        <v>25</v>
      </c>
      <c r="F1050" t="s">
        <v>36</v>
      </c>
      <c r="G1050" t="s">
        <v>63</v>
      </c>
      <c r="H1050" t="s">
        <v>35</v>
      </c>
      <c r="I1050">
        <v>7</v>
      </c>
    </row>
    <row r="1051" spans="1:9" x14ac:dyDescent="0.2">
      <c r="A1051">
        <v>4937934</v>
      </c>
      <c r="B1051">
        <v>7</v>
      </c>
      <c r="C1051">
        <v>1329</v>
      </c>
      <c r="D1051">
        <v>56270</v>
      </c>
      <c r="E1051">
        <v>25</v>
      </c>
      <c r="F1051" t="s">
        <v>21</v>
      </c>
      <c r="G1051" t="s">
        <v>63</v>
      </c>
      <c r="H1051" t="s">
        <v>136</v>
      </c>
      <c r="I1051">
        <v>8</v>
      </c>
    </row>
    <row r="1052" spans="1:9" x14ac:dyDescent="0.2">
      <c r="A1052">
        <v>4937934</v>
      </c>
      <c r="B1052">
        <v>8</v>
      </c>
      <c r="C1052">
        <v>1930</v>
      </c>
      <c r="D1052">
        <v>56260</v>
      </c>
      <c r="E1052">
        <v>25</v>
      </c>
      <c r="F1052" t="s">
        <v>32</v>
      </c>
      <c r="G1052" t="s">
        <v>63</v>
      </c>
      <c r="H1052" t="s">
        <v>31</v>
      </c>
      <c r="I1052">
        <v>5</v>
      </c>
    </row>
    <row r="1053" spans="1:9" x14ac:dyDescent="0.2">
      <c r="A1053">
        <v>4964354</v>
      </c>
      <c r="B1053">
        <v>1</v>
      </c>
      <c r="C1053">
        <v>1740</v>
      </c>
      <c r="D1053">
        <v>51585</v>
      </c>
      <c r="E1053">
        <v>25</v>
      </c>
      <c r="F1053" t="s">
        <v>57</v>
      </c>
      <c r="G1053" t="s">
        <v>209</v>
      </c>
      <c r="H1053" t="s">
        <v>79</v>
      </c>
      <c r="I1053">
        <v>10</v>
      </c>
    </row>
    <row r="1054" spans="1:9" x14ac:dyDescent="0.2">
      <c r="A1054">
        <v>4964354</v>
      </c>
      <c r="B1054">
        <v>2</v>
      </c>
      <c r="C1054">
        <v>1737</v>
      </c>
      <c r="D1054">
        <v>51585</v>
      </c>
      <c r="E1054">
        <v>25</v>
      </c>
      <c r="F1054" t="s">
        <v>57</v>
      </c>
      <c r="G1054" t="s">
        <v>54</v>
      </c>
      <c r="H1054" t="s">
        <v>79</v>
      </c>
      <c r="I1054">
        <v>10</v>
      </c>
    </row>
    <row r="1055" spans="1:9" x14ac:dyDescent="0.2">
      <c r="A1055">
        <v>4964354</v>
      </c>
      <c r="B1055">
        <v>3</v>
      </c>
      <c r="C1055">
        <v>1736</v>
      </c>
      <c r="D1055">
        <v>51585</v>
      </c>
      <c r="E1055">
        <v>25</v>
      </c>
      <c r="F1055" t="s">
        <v>57</v>
      </c>
      <c r="G1055" t="s">
        <v>78</v>
      </c>
      <c r="H1055" t="s">
        <v>79</v>
      </c>
      <c r="I1055">
        <v>10</v>
      </c>
    </row>
    <row r="1056" spans="1:9" x14ac:dyDescent="0.2">
      <c r="A1056">
        <v>4964354</v>
      </c>
      <c r="B1056">
        <v>4</v>
      </c>
      <c r="C1056">
        <v>3086</v>
      </c>
      <c r="D1056">
        <v>52740</v>
      </c>
      <c r="E1056">
        <v>25</v>
      </c>
      <c r="F1056" t="s">
        <v>44</v>
      </c>
      <c r="G1056" t="s">
        <v>150</v>
      </c>
      <c r="H1056" t="s">
        <v>55</v>
      </c>
      <c r="I1056">
        <v>9</v>
      </c>
    </row>
    <row r="1057" spans="1:9" x14ac:dyDescent="0.2">
      <c r="A1057">
        <v>5007103</v>
      </c>
      <c r="B1057">
        <v>1</v>
      </c>
      <c r="C1057">
        <v>1786</v>
      </c>
      <c r="D1057">
        <v>52900</v>
      </c>
      <c r="E1057">
        <v>25</v>
      </c>
      <c r="F1057" t="s">
        <v>57</v>
      </c>
      <c r="G1057" t="s">
        <v>103</v>
      </c>
      <c r="H1057" t="s">
        <v>56</v>
      </c>
      <c r="I1057">
        <v>10</v>
      </c>
    </row>
    <row r="1058" spans="1:9" x14ac:dyDescent="0.2">
      <c r="A1058">
        <v>5007103</v>
      </c>
      <c r="B1058">
        <v>2</v>
      </c>
      <c r="C1058">
        <v>1776</v>
      </c>
      <c r="D1058">
        <v>53110</v>
      </c>
      <c r="E1058">
        <v>25</v>
      </c>
      <c r="F1058" t="s">
        <v>57</v>
      </c>
      <c r="G1058" t="s">
        <v>124</v>
      </c>
      <c r="H1058" t="s">
        <v>125</v>
      </c>
      <c r="I1058">
        <v>10</v>
      </c>
    </row>
    <row r="1059" spans="1:9" x14ac:dyDescent="0.2">
      <c r="A1059">
        <v>5007103</v>
      </c>
      <c r="B1059">
        <v>3</v>
      </c>
      <c r="C1059">
        <v>1701</v>
      </c>
      <c r="D1059">
        <v>54120</v>
      </c>
      <c r="E1059">
        <v>25</v>
      </c>
      <c r="F1059" t="s">
        <v>57</v>
      </c>
      <c r="G1059" t="s">
        <v>96</v>
      </c>
      <c r="H1059" t="s">
        <v>69</v>
      </c>
      <c r="I1059">
        <v>10</v>
      </c>
    </row>
    <row r="1060" spans="1:9" x14ac:dyDescent="0.2">
      <c r="A1060">
        <v>5007103</v>
      </c>
      <c r="B1060">
        <v>4</v>
      </c>
      <c r="C1060">
        <v>1705</v>
      </c>
      <c r="D1060">
        <v>52300</v>
      </c>
      <c r="E1060">
        <v>25</v>
      </c>
      <c r="F1060" t="s">
        <v>57</v>
      </c>
      <c r="G1060" t="s">
        <v>102</v>
      </c>
      <c r="H1060" t="s">
        <v>69</v>
      </c>
      <c r="I1060">
        <v>10</v>
      </c>
    </row>
    <row r="1061" spans="1:9" x14ac:dyDescent="0.2">
      <c r="A1061">
        <v>5007103</v>
      </c>
      <c r="B1061">
        <v>5</v>
      </c>
      <c r="C1061">
        <v>1711</v>
      </c>
      <c r="D1061">
        <v>54120</v>
      </c>
      <c r="E1061">
        <v>25</v>
      </c>
      <c r="F1061" t="s">
        <v>57</v>
      </c>
      <c r="G1061" t="s">
        <v>201</v>
      </c>
      <c r="H1061" t="s">
        <v>69</v>
      </c>
      <c r="I1061">
        <v>10</v>
      </c>
    </row>
    <row r="1062" spans="1:9" x14ac:dyDescent="0.2">
      <c r="A1062">
        <v>5021740</v>
      </c>
      <c r="B1062">
        <v>1</v>
      </c>
      <c r="C1062">
        <v>3239</v>
      </c>
      <c r="D1062">
        <v>46265</v>
      </c>
      <c r="E1062">
        <v>25</v>
      </c>
      <c r="F1062" t="s">
        <v>47</v>
      </c>
      <c r="G1062" t="s">
        <v>107</v>
      </c>
      <c r="H1062" t="s">
        <v>46</v>
      </c>
      <c r="I1062">
        <v>10</v>
      </c>
    </row>
    <row r="1063" spans="1:9" x14ac:dyDescent="0.2">
      <c r="A1063">
        <v>5021740</v>
      </c>
      <c r="B1063">
        <v>2</v>
      </c>
      <c r="C1063">
        <v>3261</v>
      </c>
      <c r="D1063">
        <v>46120</v>
      </c>
      <c r="E1063">
        <v>25</v>
      </c>
      <c r="F1063" t="s">
        <v>47</v>
      </c>
      <c r="G1063" t="s">
        <v>93</v>
      </c>
      <c r="H1063" t="s">
        <v>46</v>
      </c>
      <c r="I1063">
        <v>10</v>
      </c>
    </row>
    <row r="1064" spans="1:9" x14ac:dyDescent="0.2">
      <c r="A1064">
        <v>5021740</v>
      </c>
      <c r="B1064">
        <v>3</v>
      </c>
      <c r="C1064">
        <v>3246</v>
      </c>
      <c r="D1064">
        <v>46195</v>
      </c>
      <c r="E1064">
        <v>25</v>
      </c>
      <c r="F1064" t="s">
        <v>47</v>
      </c>
      <c r="G1064" t="s">
        <v>91</v>
      </c>
      <c r="H1064" t="s">
        <v>74</v>
      </c>
      <c r="I1064">
        <v>10</v>
      </c>
    </row>
    <row r="1065" spans="1:9" x14ac:dyDescent="0.2">
      <c r="A1065">
        <v>5021740</v>
      </c>
      <c r="B1065">
        <v>4</v>
      </c>
      <c r="C1065">
        <v>3252</v>
      </c>
      <c r="D1065">
        <v>46195</v>
      </c>
      <c r="E1065">
        <v>25</v>
      </c>
      <c r="F1065" t="s">
        <v>47</v>
      </c>
      <c r="G1065" t="s">
        <v>45</v>
      </c>
      <c r="H1065" t="s">
        <v>46</v>
      </c>
      <c r="I1065">
        <v>10</v>
      </c>
    </row>
    <row r="1066" spans="1:9" x14ac:dyDescent="0.2">
      <c r="A1066">
        <v>5021740</v>
      </c>
      <c r="B1066">
        <v>5</v>
      </c>
      <c r="C1066">
        <v>3248</v>
      </c>
      <c r="D1066">
        <v>46090</v>
      </c>
      <c r="E1066">
        <v>25</v>
      </c>
      <c r="F1066" t="s">
        <v>47</v>
      </c>
      <c r="G1066" t="s">
        <v>92</v>
      </c>
      <c r="H1066" t="s">
        <v>46</v>
      </c>
      <c r="I1066">
        <v>10</v>
      </c>
    </row>
    <row r="1067" spans="1:9" x14ac:dyDescent="0.2">
      <c r="A1067">
        <v>5022106</v>
      </c>
      <c r="B1067">
        <v>1</v>
      </c>
      <c r="C1067">
        <v>1782</v>
      </c>
      <c r="D1067">
        <v>61530</v>
      </c>
      <c r="E1067">
        <v>24</v>
      </c>
      <c r="F1067" t="s">
        <v>57</v>
      </c>
      <c r="G1067" t="s">
        <v>63</v>
      </c>
      <c r="H1067" t="s">
        <v>69</v>
      </c>
      <c r="I1067">
        <v>10</v>
      </c>
    </row>
    <row r="1068" spans="1:9" x14ac:dyDescent="0.2">
      <c r="A1068">
        <v>5022106</v>
      </c>
      <c r="B1068">
        <v>2</v>
      </c>
      <c r="C1068">
        <v>1733</v>
      </c>
      <c r="D1068">
        <v>0</v>
      </c>
      <c r="E1068">
        <v>26</v>
      </c>
      <c r="F1068" t="s">
        <v>57</v>
      </c>
      <c r="G1068" t="s">
        <v>18</v>
      </c>
      <c r="H1068" t="s">
        <v>69</v>
      </c>
      <c r="I1068">
        <v>10</v>
      </c>
    </row>
    <row r="1069" spans="1:9" x14ac:dyDescent="0.2">
      <c r="A1069">
        <v>5022106</v>
      </c>
      <c r="B1069">
        <v>3</v>
      </c>
      <c r="C1069">
        <v>1765</v>
      </c>
      <c r="D1069">
        <v>0</v>
      </c>
      <c r="E1069">
        <v>26</v>
      </c>
      <c r="F1069" t="s">
        <v>57</v>
      </c>
      <c r="G1069" t="s">
        <v>68</v>
      </c>
      <c r="H1069" t="s">
        <v>69</v>
      </c>
      <c r="I1069">
        <v>10</v>
      </c>
    </row>
    <row r="1070" spans="1:9" x14ac:dyDescent="0.2">
      <c r="A1070">
        <v>5022106</v>
      </c>
      <c r="B1070">
        <v>4</v>
      </c>
      <c r="C1070">
        <v>1756</v>
      </c>
      <c r="D1070">
        <v>0</v>
      </c>
      <c r="E1070">
        <v>26</v>
      </c>
      <c r="F1070" t="s">
        <v>57</v>
      </c>
      <c r="G1070" t="s">
        <v>89</v>
      </c>
      <c r="H1070" t="s">
        <v>69</v>
      </c>
      <c r="I1070">
        <v>10</v>
      </c>
    </row>
    <row r="1071" spans="1:9" x14ac:dyDescent="0.2">
      <c r="A1071">
        <v>5031459</v>
      </c>
      <c r="B1071">
        <v>1</v>
      </c>
      <c r="C1071">
        <v>3239</v>
      </c>
      <c r="D1071">
        <v>0</v>
      </c>
      <c r="E1071">
        <v>28</v>
      </c>
      <c r="F1071" t="s">
        <v>47</v>
      </c>
      <c r="G1071" t="s">
        <v>107</v>
      </c>
      <c r="H1071" t="s">
        <v>46</v>
      </c>
      <c r="I1071">
        <v>10</v>
      </c>
    </row>
    <row r="1072" spans="1:9" x14ac:dyDescent="0.2">
      <c r="A1072">
        <v>5031459</v>
      </c>
      <c r="B1072">
        <v>2</v>
      </c>
      <c r="C1072">
        <v>3225</v>
      </c>
      <c r="D1072">
        <v>0</v>
      </c>
      <c r="E1072">
        <v>28</v>
      </c>
      <c r="F1072" t="s">
        <v>47</v>
      </c>
      <c r="G1072" t="s">
        <v>106</v>
      </c>
      <c r="H1072" t="s">
        <v>46</v>
      </c>
      <c r="I1072">
        <v>10</v>
      </c>
    </row>
    <row r="1073" spans="1:9" x14ac:dyDescent="0.2">
      <c r="A1073">
        <v>5065676</v>
      </c>
      <c r="B1073">
        <v>1</v>
      </c>
      <c r="C1073">
        <v>1754</v>
      </c>
      <c r="D1073">
        <v>58640</v>
      </c>
      <c r="E1073">
        <v>24</v>
      </c>
      <c r="F1073" t="s">
        <v>57</v>
      </c>
      <c r="G1073" t="s">
        <v>85</v>
      </c>
      <c r="H1073" t="s">
        <v>69</v>
      </c>
      <c r="I1073">
        <v>10</v>
      </c>
    </row>
    <row r="1074" spans="1:9" x14ac:dyDescent="0.2">
      <c r="A1074">
        <v>5065676</v>
      </c>
      <c r="B1074">
        <v>2</v>
      </c>
      <c r="C1074">
        <v>1709</v>
      </c>
      <c r="D1074">
        <v>0</v>
      </c>
      <c r="E1074">
        <v>26</v>
      </c>
      <c r="F1074" t="s">
        <v>57</v>
      </c>
      <c r="G1074" t="s">
        <v>84</v>
      </c>
      <c r="H1074" t="s">
        <v>69</v>
      </c>
      <c r="I1074">
        <v>10</v>
      </c>
    </row>
    <row r="1075" spans="1:9" x14ac:dyDescent="0.2">
      <c r="A1075">
        <v>5065676</v>
      </c>
      <c r="B1075">
        <v>3</v>
      </c>
      <c r="C1075">
        <v>1756</v>
      </c>
      <c r="D1075">
        <v>0</v>
      </c>
      <c r="E1075">
        <v>26</v>
      </c>
      <c r="F1075" t="s">
        <v>57</v>
      </c>
      <c r="G1075" t="s">
        <v>89</v>
      </c>
      <c r="H1075" t="s">
        <v>69</v>
      </c>
      <c r="I1075">
        <v>10</v>
      </c>
    </row>
    <row r="1076" spans="1:9" x14ac:dyDescent="0.2">
      <c r="A1076">
        <v>5078683</v>
      </c>
      <c r="B1076">
        <v>1</v>
      </c>
      <c r="C1076">
        <v>3020</v>
      </c>
      <c r="D1076">
        <v>52970</v>
      </c>
      <c r="E1076">
        <v>25</v>
      </c>
      <c r="F1076" t="s">
        <v>44</v>
      </c>
      <c r="G1076" t="s">
        <v>102</v>
      </c>
      <c r="H1076" t="s">
        <v>50</v>
      </c>
      <c r="I1076">
        <v>9</v>
      </c>
    </row>
    <row r="1077" spans="1:9" x14ac:dyDescent="0.2">
      <c r="A1077">
        <v>5078683</v>
      </c>
      <c r="B1077">
        <v>2</v>
      </c>
      <c r="C1077">
        <v>3021</v>
      </c>
      <c r="D1077">
        <v>52755</v>
      </c>
      <c r="E1077">
        <v>25</v>
      </c>
      <c r="F1077" t="s">
        <v>44</v>
      </c>
      <c r="G1077" t="s">
        <v>49</v>
      </c>
      <c r="H1077" t="s">
        <v>50</v>
      </c>
      <c r="I1077">
        <v>9</v>
      </c>
    </row>
    <row r="1078" spans="1:9" x14ac:dyDescent="0.2">
      <c r="A1078">
        <v>5078683</v>
      </c>
      <c r="B1078">
        <v>3</v>
      </c>
      <c r="C1078">
        <v>3023</v>
      </c>
      <c r="D1078">
        <v>52970</v>
      </c>
      <c r="E1078">
        <v>25</v>
      </c>
      <c r="F1078" t="s">
        <v>44</v>
      </c>
      <c r="G1078" t="s">
        <v>124</v>
      </c>
      <c r="H1078" t="s">
        <v>50</v>
      </c>
      <c r="I1078">
        <v>9</v>
      </c>
    </row>
    <row r="1079" spans="1:9" x14ac:dyDescent="0.2">
      <c r="A1079">
        <v>5078683</v>
      </c>
      <c r="B1079">
        <v>4</v>
      </c>
      <c r="C1079">
        <v>3033</v>
      </c>
      <c r="D1079">
        <v>52970</v>
      </c>
      <c r="E1079">
        <v>25</v>
      </c>
      <c r="F1079" t="s">
        <v>44</v>
      </c>
      <c r="G1079" t="s">
        <v>122</v>
      </c>
      <c r="H1079" t="s">
        <v>50</v>
      </c>
      <c r="I1079">
        <v>9</v>
      </c>
    </row>
    <row r="1080" spans="1:9" x14ac:dyDescent="0.2">
      <c r="A1080">
        <v>5078683</v>
      </c>
      <c r="B1080">
        <v>5</v>
      </c>
      <c r="C1080">
        <v>3064</v>
      </c>
      <c r="D1080">
        <v>52755</v>
      </c>
      <c r="E1080">
        <v>25</v>
      </c>
      <c r="F1080" t="s">
        <v>44</v>
      </c>
      <c r="G1080" t="s">
        <v>97</v>
      </c>
      <c r="H1080" t="s">
        <v>52</v>
      </c>
      <c r="I1080">
        <v>9</v>
      </c>
    </row>
    <row r="1081" spans="1:9" x14ac:dyDescent="0.2">
      <c r="A1081">
        <v>5092164</v>
      </c>
      <c r="B1081">
        <v>1</v>
      </c>
      <c r="C1081">
        <v>1951</v>
      </c>
      <c r="D1081">
        <v>52830</v>
      </c>
      <c r="E1081">
        <v>25</v>
      </c>
      <c r="F1081" t="s">
        <v>32</v>
      </c>
      <c r="G1081" t="s">
        <v>228</v>
      </c>
      <c r="H1081" t="s">
        <v>113</v>
      </c>
      <c r="I1081">
        <v>5</v>
      </c>
    </row>
    <row r="1082" spans="1:9" x14ac:dyDescent="0.2">
      <c r="A1082">
        <v>5092164</v>
      </c>
      <c r="B1082">
        <v>2</v>
      </c>
      <c r="C1082">
        <v>1590</v>
      </c>
      <c r="D1082">
        <v>52880</v>
      </c>
      <c r="E1082">
        <v>25</v>
      </c>
      <c r="F1082" t="s">
        <v>142</v>
      </c>
      <c r="G1082" t="s">
        <v>229</v>
      </c>
      <c r="H1082" t="s">
        <v>113</v>
      </c>
      <c r="I1082">
        <v>5</v>
      </c>
    </row>
    <row r="1083" spans="1:9" x14ac:dyDescent="0.2">
      <c r="A1083">
        <v>5092164</v>
      </c>
      <c r="B1083">
        <v>3</v>
      </c>
      <c r="C1083">
        <v>2182</v>
      </c>
      <c r="D1083">
        <v>52830</v>
      </c>
      <c r="E1083">
        <v>25</v>
      </c>
      <c r="F1083" t="s">
        <v>193</v>
      </c>
      <c r="G1083" t="s">
        <v>230</v>
      </c>
      <c r="H1083" t="s">
        <v>231</v>
      </c>
      <c r="I1083" t="s">
        <v>448</v>
      </c>
    </row>
    <row r="1084" spans="1:9" x14ac:dyDescent="0.2">
      <c r="A1084">
        <v>5092164</v>
      </c>
      <c r="B1084">
        <v>4</v>
      </c>
      <c r="C1084">
        <v>1929</v>
      </c>
      <c r="D1084">
        <v>53110</v>
      </c>
      <c r="E1084">
        <v>25</v>
      </c>
      <c r="F1084" t="s">
        <v>32</v>
      </c>
      <c r="G1084" t="s">
        <v>232</v>
      </c>
      <c r="H1084" t="s">
        <v>113</v>
      </c>
      <c r="I1084">
        <v>5</v>
      </c>
    </row>
    <row r="1085" spans="1:9" x14ac:dyDescent="0.2">
      <c r="A1085">
        <v>5109324</v>
      </c>
      <c r="B1085">
        <v>1</v>
      </c>
      <c r="C1085">
        <v>3718</v>
      </c>
      <c r="D1085">
        <v>49260</v>
      </c>
      <c r="E1085">
        <v>24</v>
      </c>
      <c r="F1085" t="s">
        <v>116</v>
      </c>
      <c r="G1085" t="s">
        <v>80</v>
      </c>
      <c r="H1085" t="s">
        <v>61</v>
      </c>
      <c r="I1085">
        <v>9</v>
      </c>
    </row>
    <row r="1086" spans="1:9" x14ac:dyDescent="0.2">
      <c r="A1086">
        <v>5109324</v>
      </c>
      <c r="B1086">
        <v>2</v>
      </c>
      <c r="C1086">
        <v>3218</v>
      </c>
      <c r="D1086">
        <v>0</v>
      </c>
      <c r="E1086">
        <v>26</v>
      </c>
      <c r="F1086" t="s">
        <v>47</v>
      </c>
      <c r="G1086" t="s">
        <v>66</v>
      </c>
      <c r="H1086" t="s">
        <v>74</v>
      </c>
      <c r="I1086">
        <v>10</v>
      </c>
    </row>
    <row r="1087" spans="1:9" x14ac:dyDescent="0.2">
      <c r="A1087">
        <v>5109324</v>
      </c>
      <c r="B1087">
        <v>3</v>
      </c>
      <c r="C1087">
        <v>3719</v>
      </c>
      <c r="D1087">
        <v>0</v>
      </c>
      <c r="E1087">
        <v>26</v>
      </c>
      <c r="F1087" t="s">
        <v>116</v>
      </c>
      <c r="G1087" t="s">
        <v>66</v>
      </c>
      <c r="H1087" t="s">
        <v>61</v>
      </c>
      <c r="I1087">
        <v>9</v>
      </c>
    </row>
    <row r="1088" spans="1:9" x14ac:dyDescent="0.2">
      <c r="A1088">
        <v>5109324</v>
      </c>
      <c r="B1088">
        <v>4</v>
      </c>
      <c r="C1088">
        <v>3086</v>
      </c>
      <c r="D1088">
        <v>0</v>
      </c>
      <c r="E1088">
        <v>26</v>
      </c>
      <c r="F1088" t="s">
        <v>44</v>
      </c>
      <c r="G1088" t="s">
        <v>150</v>
      </c>
      <c r="H1088" t="s">
        <v>55</v>
      </c>
      <c r="I1088">
        <v>9</v>
      </c>
    </row>
    <row r="1089" spans="1:9" x14ac:dyDescent="0.2">
      <c r="A1089">
        <v>5109324</v>
      </c>
      <c r="B1089">
        <v>5</v>
      </c>
      <c r="C1089">
        <v>1730</v>
      </c>
      <c r="D1089">
        <v>0</v>
      </c>
      <c r="E1089">
        <v>26</v>
      </c>
      <c r="F1089" t="s">
        <v>57</v>
      </c>
      <c r="G1089" t="s">
        <v>83</v>
      </c>
      <c r="H1089" t="s">
        <v>79</v>
      </c>
      <c r="I1089">
        <v>10</v>
      </c>
    </row>
    <row r="1090" spans="1:9" x14ac:dyDescent="0.2">
      <c r="A1090">
        <v>5109324</v>
      </c>
      <c r="B1090">
        <v>6</v>
      </c>
      <c r="C1090">
        <v>3713</v>
      </c>
      <c r="D1090">
        <v>0</v>
      </c>
      <c r="E1090">
        <v>26</v>
      </c>
      <c r="F1090" t="s">
        <v>116</v>
      </c>
      <c r="G1090" t="s">
        <v>276</v>
      </c>
      <c r="H1090" t="s">
        <v>61</v>
      </c>
      <c r="I1090">
        <v>9</v>
      </c>
    </row>
    <row r="1091" spans="1:9" x14ac:dyDescent="0.2">
      <c r="A1091">
        <v>5109324</v>
      </c>
      <c r="B1091">
        <v>7</v>
      </c>
      <c r="C1091">
        <v>1759</v>
      </c>
      <c r="D1091">
        <v>0</v>
      </c>
      <c r="E1091">
        <v>26</v>
      </c>
      <c r="F1091" t="s">
        <v>57</v>
      </c>
      <c r="G1091" t="s">
        <v>154</v>
      </c>
      <c r="H1091" t="s">
        <v>56</v>
      </c>
      <c r="I1091">
        <v>10</v>
      </c>
    </row>
    <row r="1092" spans="1:9" x14ac:dyDescent="0.2">
      <c r="A1092">
        <v>5109324</v>
      </c>
      <c r="B1092">
        <v>8</v>
      </c>
      <c r="C1092">
        <v>1710</v>
      </c>
      <c r="D1092">
        <v>0</v>
      </c>
      <c r="E1092">
        <v>26</v>
      </c>
      <c r="F1092" t="s">
        <v>57</v>
      </c>
      <c r="G1092" t="s">
        <v>169</v>
      </c>
      <c r="H1092" t="s">
        <v>69</v>
      </c>
      <c r="I1092">
        <v>10</v>
      </c>
    </row>
    <row r="1093" spans="1:9" x14ac:dyDescent="0.2">
      <c r="A1093">
        <v>5125104</v>
      </c>
      <c r="B1093">
        <v>1</v>
      </c>
      <c r="C1093">
        <v>1666</v>
      </c>
      <c r="D1093">
        <v>0</v>
      </c>
      <c r="E1093">
        <v>17</v>
      </c>
      <c r="F1093" t="s">
        <v>128</v>
      </c>
      <c r="G1093" t="s">
        <v>303</v>
      </c>
      <c r="H1093" t="s">
        <v>127</v>
      </c>
      <c r="I1093" t="s">
        <v>448</v>
      </c>
    </row>
    <row r="1094" spans="1:9" x14ac:dyDescent="0.2">
      <c r="A1094">
        <v>5125104</v>
      </c>
      <c r="B1094">
        <v>2</v>
      </c>
      <c r="C1094">
        <v>1692</v>
      </c>
      <c r="D1094">
        <v>0</v>
      </c>
      <c r="E1094">
        <v>17</v>
      </c>
      <c r="F1094" t="s">
        <v>128</v>
      </c>
      <c r="G1094" t="s">
        <v>102</v>
      </c>
      <c r="H1094" t="s">
        <v>127</v>
      </c>
      <c r="I1094" t="s">
        <v>448</v>
      </c>
    </row>
    <row r="1095" spans="1:9" x14ac:dyDescent="0.2">
      <c r="A1095">
        <v>5125104</v>
      </c>
      <c r="B1095">
        <v>3</v>
      </c>
      <c r="C1095">
        <v>1691</v>
      </c>
      <c r="D1095">
        <v>0</v>
      </c>
      <c r="E1095">
        <v>17</v>
      </c>
      <c r="F1095" t="s">
        <v>128</v>
      </c>
      <c r="G1095" t="s">
        <v>170</v>
      </c>
      <c r="H1095" t="s">
        <v>127</v>
      </c>
      <c r="I1095" t="s">
        <v>448</v>
      </c>
    </row>
    <row r="1096" spans="1:9" x14ac:dyDescent="0.2">
      <c r="A1096">
        <v>5139343</v>
      </c>
      <c r="B1096">
        <v>1</v>
      </c>
      <c r="C1096">
        <v>3239</v>
      </c>
      <c r="D1096">
        <v>52265</v>
      </c>
      <c r="E1096">
        <v>25</v>
      </c>
      <c r="F1096" t="s">
        <v>47</v>
      </c>
      <c r="G1096" t="s">
        <v>107</v>
      </c>
      <c r="H1096" t="s">
        <v>46</v>
      </c>
      <c r="I1096">
        <v>10</v>
      </c>
    </row>
    <row r="1097" spans="1:9" x14ac:dyDescent="0.2">
      <c r="A1097">
        <v>5139343</v>
      </c>
      <c r="B1097">
        <v>2</v>
      </c>
      <c r="C1097">
        <v>3200</v>
      </c>
      <c r="D1097">
        <v>52100</v>
      </c>
      <c r="E1097">
        <v>24</v>
      </c>
      <c r="F1097" t="s">
        <v>47</v>
      </c>
      <c r="G1097" t="s">
        <v>18</v>
      </c>
      <c r="H1097" t="s">
        <v>46</v>
      </c>
      <c r="I1097">
        <v>10</v>
      </c>
    </row>
    <row r="1098" spans="1:9" x14ac:dyDescent="0.2">
      <c r="A1098">
        <v>5139343</v>
      </c>
      <c r="B1098">
        <v>3</v>
      </c>
      <c r="C1098">
        <v>3296</v>
      </c>
      <c r="D1098">
        <v>0</v>
      </c>
      <c r="E1098">
        <v>26</v>
      </c>
      <c r="F1098" t="s">
        <v>47</v>
      </c>
      <c r="G1098" t="s">
        <v>100</v>
      </c>
      <c r="H1098" t="s">
        <v>46</v>
      </c>
      <c r="I1098">
        <v>10</v>
      </c>
    </row>
    <row r="1099" spans="1:9" x14ac:dyDescent="0.2">
      <c r="A1099">
        <v>5139343</v>
      </c>
      <c r="B1099">
        <v>4</v>
      </c>
      <c r="C1099">
        <v>3242</v>
      </c>
      <c r="D1099">
        <v>0</v>
      </c>
      <c r="E1099">
        <v>26</v>
      </c>
      <c r="F1099" t="s">
        <v>47</v>
      </c>
      <c r="G1099" t="s">
        <v>90</v>
      </c>
      <c r="H1099" t="s">
        <v>46</v>
      </c>
      <c r="I1099">
        <v>10</v>
      </c>
    </row>
    <row r="1100" spans="1:9" x14ac:dyDescent="0.2">
      <c r="A1100">
        <v>5139343</v>
      </c>
      <c r="B1100">
        <v>5</v>
      </c>
      <c r="C1100">
        <v>3252</v>
      </c>
      <c r="D1100">
        <v>0</v>
      </c>
      <c r="E1100">
        <v>26</v>
      </c>
      <c r="F1100" t="s">
        <v>47</v>
      </c>
      <c r="G1100" t="s">
        <v>45</v>
      </c>
      <c r="H1100" t="s">
        <v>46</v>
      </c>
      <c r="I1100">
        <v>10</v>
      </c>
    </row>
    <row r="1101" spans="1:9" x14ac:dyDescent="0.2">
      <c r="A1101">
        <v>5139343</v>
      </c>
      <c r="B1101">
        <v>6</v>
      </c>
      <c r="C1101">
        <v>3234</v>
      </c>
      <c r="D1101">
        <v>0</v>
      </c>
      <c r="E1101">
        <v>26</v>
      </c>
      <c r="F1101" t="s">
        <v>47</v>
      </c>
      <c r="G1101" t="s">
        <v>76</v>
      </c>
      <c r="H1101" t="s">
        <v>46</v>
      </c>
      <c r="I1101">
        <v>10</v>
      </c>
    </row>
    <row r="1102" spans="1:9" x14ac:dyDescent="0.2">
      <c r="A1102">
        <v>5181273</v>
      </c>
      <c r="B1102">
        <v>1</v>
      </c>
      <c r="C1102">
        <v>1700</v>
      </c>
      <c r="D1102">
        <v>55260</v>
      </c>
      <c r="E1102">
        <v>24</v>
      </c>
      <c r="F1102" t="s">
        <v>57</v>
      </c>
      <c r="G1102" t="s">
        <v>58</v>
      </c>
      <c r="H1102" t="s">
        <v>69</v>
      </c>
      <c r="I1102">
        <v>10</v>
      </c>
    </row>
    <row r="1103" spans="1:9" x14ac:dyDescent="0.2">
      <c r="A1103">
        <v>5181273</v>
      </c>
      <c r="B1103">
        <v>2</v>
      </c>
      <c r="C1103">
        <v>1714</v>
      </c>
      <c r="D1103">
        <v>0</v>
      </c>
      <c r="E1103">
        <v>26</v>
      </c>
      <c r="F1103" t="s">
        <v>57</v>
      </c>
      <c r="G1103" t="s">
        <v>95</v>
      </c>
      <c r="H1103" t="s">
        <v>69</v>
      </c>
      <c r="I1103">
        <v>10</v>
      </c>
    </row>
    <row r="1104" spans="1:9" x14ac:dyDescent="0.2">
      <c r="A1104">
        <v>5212915</v>
      </c>
      <c r="B1104">
        <v>1</v>
      </c>
      <c r="C1104">
        <v>3229</v>
      </c>
      <c r="D1104">
        <v>56520</v>
      </c>
      <c r="E1104">
        <v>24</v>
      </c>
      <c r="F1104" t="s">
        <v>47</v>
      </c>
      <c r="G1104" t="s">
        <v>101</v>
      </c>
      <c r="H1104" t="s">
        <v>46</v>
      </c>
      <c r="I1104">
        <v>10</v>
      </c>
    </row>
    <row r="1105" spans="1:9" x14ac:dyDescent="0.2">
      <c r="A1105">
        <v>5212915</v>
      </c>
      <c r="B1105">
        <v>2</v>
      </c>
      <c r="C1105">
        <v>3223</v>
      </c>
      <c r="D1105">
        <v>0</v>
      </c>
      <c r="E1105">
        <v>26</v>
      </c>
      <c r="F1105" t="s">
        <v>47</v>
      </c>
      <c r="G1105" t="s">
        <v>105</v>
      </c>
      <c r="H1105" t="s">
        <v>46</v>
      </c>
      <c r="I1105">
        <v>10</v>
      </c>
    </row>
    <row r="1106" spans="1:9" x14ac:dyDescent="0.2">
      <c r="A1106">
        <v>5212915</v>
      </c>
      <c r="B1106">
        <v>3</v>
      </c>
      <c r="C1106">
        <v>3226</v>
      </c>
      <c r="D1106">
        <v>0</v>
      </c>
      <c r="E1106">
        <v>26</v>
      </c>
      <c r="F1106" t="s">
        <v>47</v>
      </c>
      <c r="G1106" t="s">
        <v>96</v>
      </c>
      <c r="H1106" t="s">
        <v>46</v>
      </c>
      <c r="I1106">
        <v>10</v>
      </c>
    </row>
    <row r="1107" spans="1:9" x14ac:dyDescent="0.2">
      <c r="A1107">
        <v>5239067</v>
      </c>
      <c r="B1107">
        <v>1</v>
      </c>
      <c r="C1107">
        <v>1788</v>
      </c>
      <c r="D1107">
        <v>54460</v>
      </c>
      <c r="E1107">
        <v>25</v>
      </c>
      <c r="F1107" t="s">
        <v>57</v>
      </c>
      <c r="G1107" t="s">
        <v>97</v>
      </c>
      <c r="H1107" t="s">
        <v>56</v>
      </c>
      <c r="I1107">
        <v>10</v>
      </c>
    </row>
    <row r="1108" spans="1:9" x14ac:dyDescent="0.2">
      <c r="A1108">
        <v>5239067</v>
      </c>
      <c r="B1108">
        <v>2</v>
      </c>
      <c r="C1108">
        <v>3064</v>
      </c>
      <c r="D1108">
        <v>55380</v>
      </c>
      <c r="E1108">
        <v>25</v>
      </c>
      <c r="F1108" t="s">
        <v>44</v>
      </c>
      <c r="G1108" t="s">
        <v>97</v>
      </c>
      <c r="H1108" t="s">
        <v>52</v>
      </c>
      <c r="I1108">
        <v>9</v>
      </c>
    </row>
    <row r="1109" spans="1:9" x14ac:dyDescent="0.2">
      <c r="A1109">
        <v>5239067</v>
      </c>
      <c r="B1109">
        <v>3</v>
      </c>
      <c r="C1109">
        <v>1782</v>
      </c>
      <c r="D1109">
        <v>55330</v>
      </c>
      <c r="E1109">
        <v>25</v>
      </c>
      <c r="F1109" t="s">
        <v>57</v>
      </c>
      <c r="G1109" t="s">
        <v>63</v>
      </c>
      <c r="H1109" t="s">
        <v>69</v>
      </c>
      <c r="I1109">
        <v>10</v>
      </c>
    </row>
    <row r="1110" spans="1:9" x14ac:dyDescent="0.2">
      <c r="A1110">
        <v>5239067</v>
      </c>
      <c r="B1110">
        <v>4</v>
      </c>
      <c r="C1110">
        <v>1785</v>
      </c>
      <c r="D1110">
        <v>55230</v>
      </c>
      <c r="E1110">
        <v>25</v>
      </c>
      <c r="F1110" t="s">
        <v>57</v>
      </c>
      <c r="G1110" t="s">
        <v>86</v>
      </c>
      <c r="H1110" t="s">
        <v>69</v>
      </c>
      <c r="I1110">
        <v>10</v>
      </c>
    </row>
    <row r="1111" spans="1:9" x14ac:dyDescent="0.2">
      <c r="A1111">
        <v>5239067</v>
      </c>
      <c r="B1111">
        <v>5</v>
      </c>
      <c r="C1111">
        <v>3740</v>
      </c>
      <c r="D1111">
        <v>55190</v>
      </c>
      <c r="E1111">
        <v>25</v>
      </c>
      <c r="F1111" t="s">
        <v>116</v>
      </c>
      <c r="G1111" t="s">
        <v>63</v>
      </c>
      <c r="H1111" t="s">
        <v>61</v>
      </c>
      <c r="I1111">
        <v>9</v>
      </c>
    </row>
    <row r="1112" spans="1:9" x14ac:dyDescent="0.2">
      <c r="A1112">
        <v>5239067</v>
      </c>
      <c r="B1112">
        <v>6</v>
      </c>
      <c r="C1112">
        <v>3378</v>
      </c>
      <c r="D1112">
        <v>54860</v>
      </c>
      <c r="E1112">
        <v>24</v>
      </c>
      <c r="F1112" t="s">
        <v>207</v>
      </c>
      <c r="G1112" t="s">
        <v>22</v>
      </c>
      <c r="H1112" t="s">
        <v>206</v>
      </c>
      <c r="I1112">
        <v>12</v>
      </c>
    </row>
    <row r="1113" spans="1:9" x14ac:dyDescent="0.2">
      <c r="A1113">
        <v>5239067</v>
      </c>
      <c r="B1113">
        <v>7</v>
      </c>
      <c r="C1113">
        <v>3325</v>
      </c>
      <c r="D1113">
        <v>0</v>
      </c>
      <c r="E1113">
        <v>26</v>
      </c>
      <c r="F1113" t="s">
        <v>207</v>
      </c>
      <c r="G1113" t="s">
        <v>63</v>
      </c>
      <c r="H1113" t="s">
        <v>421</v>
      </c>
      <c r="I1113">
        <v>12</v>
      </c>
    </row>
    <row r="1114" spans="1:9" x14ac:dyDescent="0.2">
      <c r="A1114">
        <v>5239067</v>
      </c>
      <c r="B1114">
        <v>8</v>
      </c>
      <c r="C1114">
        <v>3092</v>
      </c>
      <c r="D1114">
        <v>0</v>
      </c>
      <c r="E1114">
        <v>26</v>
      </c>
      <c r="F1114" t="s">
        <v>44</v>
      </c>
      <c r="G1114" t="s">
        <v>251</v>
      </c>
      <c r="H1114" t="s">
        <v>52</v>
      </c>
      <c r="I1114">
        <v>9</v>
      </c>
    </row>
    <row r="1115" spans="1:9" x14ac:dyDescent="0.2">
      <c r="A1115">
        <v>5266917</v>
      </c>
      <c r="B1115">
        <v>1</v>
      </c>
      <c r="C1115">
        <v>1734</v>
      </c>
      <c r="D1115">
        <v>57010</v>
      </c>
      <c r="E1115">
        <v>25</v>
      </c>
      <c r="F1115" t="s">
        <v>57</v>
      </c>
      <c r="G1115" t="s">
        <v>81</v>
      </c>
      <c r="H1115" t="s">
        <v>69</v>
      </c>
      <c r="I1115">
        <v>10</v>
      </c>
    </row>
    <row r="1116" spans="1:9" x14ac:dyDescent="0.2">
      <c r="A1116">
        <v>5266917</v>
      </c>
      <c r="B1116">
        <v>2</v>
      </c>
      <c r="C1116">
        <v>1786</v>
      </c>
      <c r="D1116">
        <v>55175</v>
      </c>
      <c r="E1116">
        <v>25</v>
      </c>
      <c r="F1116" t="s">
        <v>57</v>
      </c>
      <c r="G1116" t="s">
        <v>103</v>
      </c>
      <c r="H1116" t="s">
        <v>56</v>
      </c>
      <c r="I1116">
        <v>10</v>
      </c>
    </row>
    <row r="1117" spans="1:9" x14ac:dyDescent="0.2">
      <c r="A1117">
        <v>5266917</v>
      </c>
      <c r="B1117">
        <v>3</v>
      </c>
      <c r="C1117">
        <v>1702</v>
      </c>
      <c r="D1117">
        <v>57120</v>
      </c>
      <c r="E1117">
        <v>25</v>
      </c>
      <c r="F1117" t="s">
        <v>57</v>
      </c>
      <c r="G1117" t="s">
        <v>164</v>
      </c>
      <c r="H1117" t="s">
        <v>69</v>
      </c>
      <c r="I1117">
        <v>10</v>
      </c>
    </row>
    <row r="1118" spans="1:9" x14ac:dyDescent="0.2">
      <c r="A1118">
        <v>5266917</v>
      </c>
      <c r="B1118">
        <v>4</v>
      </c>
      <c r="C1118">
        <v>1787</v>
      </c>
      <c r="D1118">
        <v>55175</v>
      </c>
      <c r="E1118">
        <v>25</v>
      </c>
      <c r="F1118" t="s">
        <v>57</v>
      </c>
      <c r="G1118" t="s">
        <v>49</v>
      </c>
      <c r="H1118" t="s">
        <v>56</v>
      </c>
      <c r="I1118">
        <v>10</v>
      </c>
    </row>
    <row r="1119" spans="1:9" x14ac:dyDescent="0.2">
      <c r="A1119">
        <v>5266917</v>
      </c>
      <c r="B1119">
        <v>5</v>
      </c>
      <c r="C1119">
        <v>3226</v>
      </c>
      <c r="D1119">
        <v>55075</v>
      </c>
      <c r="E1119">
        <v>24</v>
      </c>
      <c r="F1119" t="s">
        <v>47</v>
      </c>
      <c r="G1119" t="s">
        <v>96</v>
      </c>
      <c r="H1119" t="s">
        <v>46</v>
      </c>
      <c r="I1119">
        <v>10</v>
      </c>
    </row>
    <row r="1120" spans="1:9" x14ac:dyDescent="0.2">
      <c r="A1120">
        <v>5266917</v>
      </c>
      <c r="B1120">
        <v>6</v>
      </c>
      <c r="C1120">
        <v>3229</v>
      </c>
      <c r="D1120">
        <v>0</v>
      </c>
      <c r="E1120">
        <v>26</v>
      </c>
      <c r="F1120" t="s">
        <v>47</v>
      </c>
      <c r="G1120" t="s">
        <v>101</v>
      </c>
      <c r="H1120" t="s">
        <v>46</v>
      </c>
      <c r="I1120">
        <v>10</v>
      </c>
    </row>
    <row r="1121" spans="1:9" x14ac:dyDescent="0.2">
      <c r="A1121">
        <v>5266917</v>
      </c>
      <c r="B1121">
        <v>7</v>
      </c>
      <c r="C1121">
        <v>3223</v>
      </c>
      <c r="D1121">
        <v>0</v>
      </c>
      <c r="E1121">
        <v>26</v>
      </c>
      <c r="F1121" t="s">
        <v>47</v>
      </c>
      <c r="G1121" t="s">
        <v>105</v>
      </c>
      <c r="H1121" t="s">
        <v>46</v>
      </c>
      <c r="I1121">
        <v>10</v>
      </c>
    </row>
    <row r="1122" spans="1:9" x14ac:dyDescent="0.2">
      <c r="A1122">
        <v>5266917</v>
      </c>
      <c r="B1122">
        <v>8</v>
      </c>
      <c r="C1122">
        <v>1711</v>
      </c>
      <c r="D1122">
        <v>0</v>
      </c>
      <c r="E1122">
        <v>26</v>
      </c>
      <c r="F1122" t="s">
        <v>57</v>
      </c>
      <c r="G1122" t="s">
        <v>201</v>
      </c>
      <c r="H1122" t="s">
        <v>69</v>
      </c>
      <c r="I1122">
        <v>10</v>
      </c>
    </row>
    <row r="1123" spans="1:9" x14ac:dyDescent="0.2">
      <c r="A1123">
        <v>5312856</v>
      </c>
      <c r="B1123">
        <v>1</v>
      </c>
      <c r="C1123">
        <v>1782</v>
      </c>
      <c r="D1123">
        <v>53920</v>
      </c>
      <c r="E1123">
        <v>25</v>
      </c>
      <c r="F1123" t="s">
        <v>57</v>
      </c>
      <c r="G1123" t="s">
        <v>63</v>
      </c>
      <c r="H1123" t="s">
        <v>69</v>
      </c>
      <c r="I1123">
        <v>10</v>
      </c>
    </row>
    <row r="1124" spans="1:9" x14ac:dyDescent="0.2">
      <c r="A1124">
        <v>5312856</v>
      </c>
      <c r="B1124">
        <v>2</v>
      </c>
      <c r="C1124">
        <v>3740</v>
      </c>
      <c r="D1124">
        <v>52130</v>
      </c>
      <c r="E1124">
        <v>25</v>
      </c>
      <c r="F1124" t="s">
        <v>116</v>
      </c>
      <c r="G1124" t="s">
        <v>63</v>
      </c>
      <c r="H1124" t="s">
        <v>61</v>
      </c>
      <c r="I1124">
        <v>9</v>
      </c>
    </row>
    <row r="1125" spans="1:9" x14ac:dyDescent="0.2">
      <c r="A1125">
        <v>5312856</v>
      </c>
      <c r="B1125">
        <v>3</v>
      </c>
      <c r="C1125">
        <v>1324</v>
      </c>
      <c r="D1125">
        <v>53150</v>
      </c>
      <c r="E1125">
        <v>25</v>
      </c>
      <c r="F1125" t="s">
        <v>21</v>
      </c>
      <c r="G1125" t="s">
        <v>63</v>
      </c>
      <c r="H1125" t="s">
        <v>20</v>
      </c>
      <c r="I1125">
        <v>8</v>
      </c>
    </row>
    <row r="1126" spans="1:9" x14ac:dyDescent="0.2">
      <c r="A1126">
        <v>5312856</v>
      </c>
      <c r="B1126">
        <v>4</v>
      </c>
      <c r="C1126">
        <v>1733</v>
      </c>
      <c r="D1126">
        <v>51940</v>
      </c>
      <c r="E1126">
        <v>25</v>
      </c>
      <c r="F1126" t="s">
        <v>57</v>
      </c>
      <c r="G1126" t="s">
        <v>18</v>
      </c>
      <c r="H1126" t="s">
        <v>69</v>
      </c>
      <c r="I1126">
        <v>10</v>
      </c>
    </row>
    <row r="1127" spans="1:9" x14ac:dyDescent="0.2">
      <c r="A1127">
        <v>5312856</v>
      </c>
      <c r="B1127">
        <v>5</v>
      </c>
      <c r="C1127">
        <v>3092</v>
      </c>
      <c r="D1127">
        <v>54115</v>
      </c>
      <c r="E1127">
        <v>25</v>
      </c>
      <c r="F1127" t="s">
        <v>44</v>
      </c>
      <c r="G1127" t="s">
        <v>251</v>
      </c>
      <c r="H1127" t="s">
        <v>52</v>
      </c>
      <c r="I1127">
        <v>9</v>
      </c>
    </row>
    <row r="1128" spans="1:9" x14ac:dyDescent="0.2">
      <c r="A1128">
        <v>5312856</v>
      </c>
      <c r="B1128">
        <v>6</v>
      </c>
      <c r="C1128">
        <v>1777</v>
      </c>
      <c r="D1128">
        <v>54040</v>
      </c>
      <c r="E1128">
        <v>25</v>
      </c>
      <c r="F1128" t="s">
        <v>57</v>
      </c>
      <c r="G1128" t="s">
        <v>88</v>
      </c>
      <c r="H1128" t="s">
        <v>69</v>
      </c>
      <c r="I1128">
        <v>10</v>
      </c>
    </row>
    <row r="1129" spans="1:9" x14ac:dyDescent="0.2">
      <c r="A1129">
        <v>5312856</v>
      </c>
      <c r="B1129">
        <v>7</v>
      </c>
      <c r="C1129">
        <v>1778</v>
      </c>
      <c r="D1129">
        <v>51170</v>
      </c>
      <c r="E1129">
        <v>25</v>
      </c>
      <c r="F1129" t="s">
        <v>57</v>
      </c>
      <c r="G1129" t="s">
        <v>84</v>
      </c>
      <c r="H1129" t="s">
        <v>56</v>
      </c>
      <c r="I1129">
        <v>10</v>
      </c>
    </row>
    <row r="1130" spans="1:9" x14ac:dyDescent="0.2">
      <c r="A1130">
        <v>5312856</v>
      </c>
      <c r="B1130">
        <v>8</v>
      </c>
      <c r="C1130">
        <v>3214</v>
      </c>
      <c r="D1130">
        <v>54935</v>
      </c>
      <c r="E1130">
        <v>24</v>
      </c>
      <c r="F1130" t="s">
        <v>47</v>
      </c>
      <c r="G1130" t="s">
        <v>98</v>
      </c>
      <c r="H1130" t="s">
        <v>74</v>
      </c>
      <c r="I1130">
        <v>10</v>
      </c>
    </row>
    <row r="1131" spans="1:9" x14ac:dyDescent="0.2">
      <c r="A1131">
        <v>5324283</v>
      </c>
      <c r="B1131">
        <v>1</v>
      </c>
      <c r="C1131">
        <v>3242</v>
      </c>
      <c r="D1131">
        <v>61560</v>
      </c>
      <c r="E1131">
        <v>24</v>
      </c>
      <c r="F1131" t="s">
        <v>47</v>
      </c>
      <c r="G1131" t="s">
        <v>90</v>
      </c>
      <c r="H1131" t="s">
        <v>46</v>
      </c>
      <c r="I1131">
        <v>10</v>
      </c>
    </row>
    <row r="1132" spans="1:9" x14ac:dyDescent="0.2">
      <c r="A1132">
        <v>5324283</v>
      </c>
      <c r="B1132">
        <v>2</v>
      </c>
      <c r="C1132">
        <v>1702</v>
      </c>
      <c r="D1132">
        <v>0</v>
      </c>
      <c r="E1132">
        <v>26</v>
      </c>
      <c r="F1132" t="s">
        <v>57</v>
      </c>
      <c r="G1132" t="s">
        <v>164</v>
      </c>
      <c r="H1132" t="s">
        <v>69</v>
      </c>
      <c r="I1132">
        <v>10</v>
      </c>
    </row>
    <row r="1133" spans="1:9" x14ac:dyDescent="0.2">
      <c r="A1133">
        <v>5324283</v>
      </c>
      <c r="B1133">
        <v>3</v>
      </c>
      <c r="C1133">
        <v>1786</v>
      </c>
      <c r="D1133">
        <v>0</v>
      </c>
      <c r="E1133">
        <v>26</v>
      </c>
      <c r="F1133" t="s">
        <v>57</v>
      </c>
      <c r="G1133" t="s">
        <v>103</v>
      </c>
      <c r="H1133" t="s">
        <v>56</v>
      </c>
      <c r="I1133">
        <v>10</v>
      </c>
    </row>
    <row r="1134" spans="1:9" x14ac:dyDescent="0.2">
      <c r="A1134">
        <v>5324283</v>
      </c>
      <c r="B1134">
        <v>4</v>
      </c>
      <c r="C1134">
        <v>3021</v>
      </c>
      <c r="D1134">
        <v>0</v>
      </c>
      <c r="E1134">
        <v>26</v>
      </c>
      <c r="F1134" t="s">
        <v>44</v>
      </c>
      <c r="G1134" t="s">
        <v>49</v>
      </c>
      <c r="H1134" t="s">
        <v>50</v>
      </c>
      <c r="I1134">
        <v>9</v>
      </c>
    </row>
    <row r="1135" spans="1:9" x14ac:dyDescent="0.2">
      <c r="A1135">
        <v>5324283</v>
      </c>
      <c r="B1135">
        <v>5</v>
      </c>
      <c r="C1135">
        <v>3740</v>
      </c>
      <c r="D1135">
        <v>0</v>
      </c>
      <c r="E1135">
        <v>26</v>
      </c>
      <c r="F1135" t="s">
        <v>116</v>
      </c>
      <c r="G1135" t="s">
        <v>63</v>
      </c>
      <c r="H1135" t="s">
        <v>61</v>
      </c>
      <c r="I1135">
        <v>9</v>
      </c>
    </row>
    <row r="1136" spans="1:9" x14ac:dyDescent="0.2">
      <c r="A1136">
        <v>5324284</v>
      </c>
      <c r="B1136">
        <v>1</v>
      </c>
      <c r="C1136">
        <v>1704</v>
      </c>
      <c r="D1136">
        <v>71890</v>
      </c>
      <c r="E1136">
        <v>24</v>
      </c>
      <c r="F1136" t="s">
        <v>57</v>
      </c>
      <c r="G1136" t="s">
        <v>82</v>
      </c>
      <c r="H1136" t="s">
        <v>79</v>
      </c>
      <c r="I1136">
        <v>10</v>
      </c>
    </row>
    <row r="1137" spans="1:9" x14ac:dyDescent="0.2">
      <c r="A1137">
        <v>5324284</v>
      </c>
      <c r="B1137">
        <v>2</v>
      </c>
      <c r="C1137">
        <v>1239</v>
      </c>
      <c r="D1137">
        <v>0</v>
      </c>
      <c r="E1137">
        <v>26</v>
      </c>
      <c r="F1137" t="s">
        <v>19</v>
      </c>
      <c r="G1137" t="s">
        <v>160</v>
      </c>
      <c r="H1137" t="s">
        <v>16</v>
      </c>
      <c r="I1137" t="s">
        <v>448</v>
      </c>
    </row>
    <row r="1138" spans="1:9" x14ac:dyDescent="0.2">
      <c r="A1138">
        <v>5324284</v>
      </c>
      <c r="B1138">
        <v>3</v>
      </c>
      <c r="C1138">
        <v>1145</v>
      </c>
      <c r="D1138">
        <v>0</v>
      </c>
      <c r="E1138">
        <v>26</v>
      </c>
      <c r="F1138" t="s">
        <v>17</v>
      </c>
      <c r="G1138" t="s">
        <v>159</v>
      </c>
      <c r="H1138" t="s">
        <v>16</v>
      </c>
      <c r="I1138" t="s">
        <v>448</v>
      </c>
    </row>
    <row r="1139" spans="1:9" x14ac:dyDescent="0.2">
      <c r="A1139">
        <v>5324284</v>
      </c>
      <c r="B1139">
        <v>4</v>
      </c>
      <c r="C1139">
        <v>1736</v>
      </c>
      <c r="D1139">
        <v>0</v>
      </c>
      <c r="E1139">
        <v>26</v>
      </c>
      <c r="F1139" t="s">
        <v>57</v>
      </c>
      <c r="G1139" t="s">
        <v>78</v>
      </c>
      <c r="H1139" t="s">
        <v>79</v>
      </c>
      <c r="I1139">
        <v>10</v>
      </c>
    </row>
    <row r="1140" spans="1:9" x14ac:dyDescent="0.2">
      <c r="A1140">
        <v>5369191</v>
      </c>
      <c r="B1140">
        <v>1</v>
      </c>
      <c r="C1140">
        <v>3234</v>
      </c>
      <c r="D1140">
        <v>49245</v>
      </c>
      <c r="E1140">
        <v>25</v>
      </c>
      <c r="F1140" t="s">
        <v>47</v>
      </c>
      <c r="G1140" t="s">
        <v>76</v>
      </c>
      <c r="H1140" t="s">
        <v>46</v>
      </c>
      <c r="I1140">
        <v>10</v>
      </c>
    </row>
    <row r="1141" spans="1:9" x14ac:dyDescent="0.2">
      <c r="A1141">
        <v>5369191</v>
      </c>
      <c r="B1141">
        <v>2</v>
      </c>
      <c r="C1141">
        <v>3212</v>
      </c>
      <c r="D1141">
        <v>48275</v>
      </c>
      <c r="E1141">
        <v>25</v>
      </c>
      <c r="F1141" t="s">
        <v>47</v>
      </c>
      <c r="G1141" t="s">
        <v>84</v>
      </c>
      <c r="H1141" t="s">
        <v>46</v>
      </c>
      <c r="I1141">
        <v>10</v>
      </c>
    </row>
    <row r="1142" spans="1:9" x14ac:dyDescent="0.2">
      <c r="A1142">
        <v>5369191</v>
      </c>
      <c r="B1142">
        <v>3</v>
      </c>
      <c r="C1142">
        <v>3296</v>
      </c>
      <c r="D1142">
        <v>48090</v>
      </c>
      <c r="E1142">
        <v>25</v>
      </c>
      <c r="F1142" t="s">
        <v>47</v>
      </c>
      <c r="G1142" t="s">
        <v>100</v>
      </c>
      <c r="H1142" t="s">
        <v>46</v>
      </c>
      <c r="I1142">
        <v>10</v>
      </c>
    </row>
    <row r="1143" spans="1:9" x14ac:dyDescent="0.2">
      <c r="A1143">
        <v>5372237</v>
      </c>
      <c r="B1143">
        <v>1</v>
      </c>
      <c r="C1143">
        <v>3740</v>
      </c>
      <c r="D1143">
        <v>62845</v>
      </c>
      <c r="E1143">
        <v>24</v>
      </c>
      <c r="F1143" t="s">
        <v>116</v>
      </c>
      <c r="G1143" t="s">
        <v>63</v>
      </c>
      <c r="H1143" t="s">
        <v>61</v>
      </c>
      <c r="I1143">
        <v>9</v>
      </c>
    </row>
    <row r="1144" spans="1:9" x14ac:dyDescent="0.2">
      <c r="A1144">
        <v>5372237</v>
      </c>
      <c r="B1144">
        <v>2</v>
      </c>
      <c r="C1144">
        <v>1324</v>
      </c>
      <c r="D1144">
        <v>0</v>
      </c>
      <c r="E1144">
        <v>26</v>
      </c>
      <c r="F1144" t="s">
        <v>21</v>
      </c>
      <c r="G1144" t="s">
        <v>63</v>
      </c>
      <c r="H1144" t="s">
        <v>20</v>
      </c>
      <c r="I1144">
        <v>8</v>
      </c>
    </row>
    <row r="1145" spans="1:9" x14ac:dyDescent="0.2">
      <c r="A1145">
        <v>5372237</v>
      </c>
      <c r="B1145">
        <v>3</v>
      </c>
      <c r="C1145">
        <v>1329</v>
      </c>
      <c r="D1145">
        <v>0</v>
      </c>
      <c r="E1145">
        <v>26</v>
      </c>
      <c r="F1145" t="s">
        <v>21</v>
      </c>
      <c r="G1145" t="s">
        <v>63</v>
      </c>
      <c r="H1145" t="s">
        <v>136</v>
      </c>
      <c r="I1145">
        <v>8</v>
      </c>
    </row>
    <row r="1146" spans="1:9" x14ac:dyDescent="0.2">
      <c r="A1146">
        <v>5372237</v>
      </c>
      <c r="B1146">
        <v>4</v>
      </c>
      <c r="C1146">
        <v>3601</v>
      </c>
      <c r="D1146">
        <v>0</v>
      </c>
      <c r="E1146">
        <v>26</v>
      </c>
      <c r="F1146" t="s">
        <v>108</v>
      </c>
      <c r="G1146" t="s">
        <v>63</v>
      </c>
      <c r="H1146" t="s">
        <v>20</v>
      </c>
      <c r="I1146">
        <v>8</v>
      </c>
    </row>
    <row r="1147" spans="1:9" x14ac:dyDescent="0.2">
      <c r="A1147">
        <v>5372237</v>
      </c>
      <c r="B1147">
        <v>5</v>
      </c>
      <c r="C1147">
        <v>1323</v>
      </c>
      <c r="D1147">
        <v>0</v>
      </c>
      <c r="E1147">
        <v>26</v>
      </c>
      <c r="F1147" t="s">
        <v>21</v>
      </c>
      <c r="G1147" t="s">
        <v>98</v>
      </c>
      <c r="H1147" t="s">
        <v>20</v>
      </c>
      <c r="I1147">
        <v>8</v>
      </c>
    </row>
    <row r="1148" spans="1:9" x14ac:dyDescent="0.2">
      <c r="A1148">
        <v>5425361</v>
      </c>
      <c r="B1148">
        <v>1</v>
      </c>
      <c r="C1148">
        <v>3251</v>
      </c>
      <c r="D1148">
        <v>50610</v>
      </c>
      <c r="E1148">
        <v>24</v>
      </c>
      <c r="F1148" t="s">
        <v>47</v>
      </c>
      <c r="G1148" t="s">
        <v>48</v>
      </c>
      <c r="H1148" t="s">
        <v>46</v>
      </c>
      <c r="I1148">
        <v>10</v>
      </c>
    </row>
    <row r="1149" spans="1:9" x14ac:dyDescent="0.2">
      <c r="A1149">
        <v>5425361</v>
      </c>
      <c r="B1149">
        <v>2</v>
      </c>
      <c r="C1149">
        <v>3248</v>
      </c>
      <c r="D1149">
        <v>0</v>
      </c>
      <c r="E1149">
        <v>26</v>
      </c>
      <c r="F1149" t="s">
        <v>47</v>
      </c>
      <c r="G1149" t="s">
        <v>92</v>
      </c>
      <c r="H1149" t="s">
        <v>46</v>
      </c>
      <c r="I1149">
        <v>10</v>
      </c>
    </row>
    <row r="1150" spans="1:9" x14ac:dyDescent="0.2">
      <c r="A1150">
        <v>5425361</v>
      </c>
      <c r="B1150">
        <v>3</v>
      </c>
      <c r="C1150">
        <v>3252</v>
      </c>
      <c r="D1150">
        <v>0</v>
      </c>
      <c r="E1150">
        <v>26</v>
      </c>
      <c r="F1150" t="s">
        <v>47</v>
      </c>
      <c r="G1150" t="s">
        <v>45</v>
      </c>
      <c r="H1150" t="s">
        <v>46</v>
      </c>
      <c r="I1150">
        <v>10</v>
      </c>
    </row>
    <row r="1151" spans="1:9" x14ac:dyDescent="0.2">
      <c r="A1151">
        <v>5425361</v>
      </c>
      <c r="B1151">
        <v>4</v>
      </c>
      <c r="C1151">
        <v>3261</v>
      </c>
      <c r="D1151">
        <v>0</v>
      </c>
      <c r="E1151">
        <v>26</v>
      </c>
      <c r="F1151" t="s">
        <v>47</v>
      </c>
      <c r="G1151" t="s">
        <v>93</v>
      </c>
      <c r="H1151" t="s">
        <v>46</v>
      </c>
      <c r="I1151">
        <v>10</v>
      </c>
    </row>
    <row r="1152" spans="1:9" x14ac:dyDescent="0.2">
      <c r="A1152">
        <v>5488200</v>
      </c>
      <c r="B1152">
        <v>1</v>
      </c>
      <c r="C1152">
        <v>3225</v>
      </c>
      <c r="D1152">
        <v>55815</v>
      </c>
      <c r="E1152">
        <v>24</v>
      </c>
      <c r="F1152" t="s">
        <v>47</v>
      </c>
      <c r="G1152" t="s">
        <v>106</v>
      </c>
      <c r="H1152" t="s">
        <v>46</v>
      </c>
      <c r="I1152">
        <v>10</v>
      </c>
    </row>
    <row r="1153" spans="1:9" x14ac:dyDescent="0.2">
      <c r="A1153">
        <v>5488200</v>
      </c>
      <c r="B1153">
        <v>2</v>
      </c>
      <c r="C1153">
        <v>3211</v>
      </c>
      <c r="D1153">
        <v>0</v>
      </c>
      <c r="E1153">
        <v>26</v>
      </c>
      <c r="F1153" t="s">
        <v>47</v>
      </c>
      <c r="G1153" t="s">
        <v>99</v>
      </c>
      <c r="H1153" t="s">
        <v>46</v>
      </c>
      <c r="I1153">
        <v>10</v>
      </c>
    </row>
    <row r="1154" spans="1:9" x14ac:dyDescent="0.2">
      <c r="A1154">
        <v>5488200</v>
      </c>
      <c r="B1154">
        <v>3</v>
      </c>
      <c r="C1154">
        <v>3237</v>
      </c>
      <c r="D1154">
        <v>0</v>
      </c>
      <c r="E1154">
        <v>26</v>
      </c>
      <c r="F1154" t="s">
        <v>47</v>
      </c>
      <c r="G1154" t="s">
        <v>181</v>
      </c>
      <c r="H1154" t="s">
        <v>46</v>
      </c>
      <c r="I1154">
        <v>10</v>
      </c>
    </row>
    <row r="1155" spans="1:9" x14ac:dyDescent="0.2">
      <c r="A1155">
        <v>5488200</v>
      </c>
      <c r="B1155">
        <v>4</v>
      </c>
      <c r="C1155">
        <v>3234</v>
      </c>
      <c r="D1155">
        <v>0</v>
      </c>
      <c r="E1155">
        <v>26</v>
      </c>
      <c r="F1155" t="s">
        <v>47</v>
      </c>
      <c r="G1155" t="s">
        <v>76</v>
      </c>
      <c r="H1155" t="s">
        <v>46</v>
      </c>
      <c r="I1155">
        <v>10</v>
      </c>
    </row>
    <row r="1156" spans="1:9" x14ac:dyDescent="0.2">
      <c r="A1156">
        <v>5488200</v>
      </c>
      <c r="B1156">
        <v>5</v>
      </c>
      <c r="C1156">
        <v>3218</v>
      </c>
      <c r="D1156">
        <v>0</v>
      </c>
      <c r="E1156">
        <v>26</v>
      </c>
      <c r="F1156" t="s">
        <v>47</v>
      </c>
      <c r="G1156" t="s">
        <v>66</v>
      </c>
      <c r="H1156" t="s">
        <v>74</v>
      </c>
      <c r="I1156">
        <v>10</v>
      </c>
    </row>
    <row r="1157" spans="1:9" x14ac:dyDescent="0.2">
      <c r="A1157">
        <v>5488200</v>
      </c>
      <c r="B1157">
        <v>6</v>
      </c>
      <c r="C1157">
        <v>1704</v>
      </c>
      <c r="D1157">
        <v>0</v>
      </c>
      <c r="E1157">
        <v>26</v>
      </c>
      <c r="F1157" t="s">
        <v>57</v>
      </c>
      <c r="G1157" t="s">
        <v>82</v>
      </c>
      <c r="H1157" t="s">
        <v>79</v>
      </c>
      <c r="I1157">
        <v>10</v>
      </c>
    </row>
    <row r="1158" spans="1:9" x14ac:dyDescent="0.2">
      <c r="A1158">
        <v>5488200</v>
      </c>
      <c r="B1158">
        <v>7</v>
      </c>
      <c r="C1158">
        <v>1779</v>
      </c>
      <c r="D1158">
        <v>0</v>
      </c>
      <c r="E1158">
        <v>26</v>
      </c>
      <c r="F1158" t="s">
        <v>57</v>
      </c>
      <c r="G1158" t="s">
        <v>162</v>
      </c>
      <c r="H1158" t="s">
        <v>79</v>
      </c>
      <c r="I1158">
        <v>10</v>
      </c>
    </row>
    <row r="1159" spans="1:9" x14ac:dyDescent="0.2">
      <c r="A1159">
        <v>5488200</v>
      </c>
      <c r="B1159">
        <v>8</v>
      </c>
      <c r="C1159">
        <v>1374</v>
      </c>
      <c r="D1159">
        <v>0</v>
      </c>
      <c r="E1159">
        <v>26</v>
      </c>
      <c r="F1159" t="s">
        <v>21</v>
      </c>
      <c r="G1159" t="s">
        <v>162</v>
      </c>
      <c r="H1159" t="s">
        <v>20</v>
      </c>
      <c r="I1159">
        <v>8</v>
      </c>
    </row>
    <row r="1160" spans="1:9" x14ac:dyDescent="0.2">
      <c r="A1160">
        <v>5502662</v>
      </c>
      <c r="B1160">
        <v>1</v>
      </c>
      <c r="C1160">
        <v>1507</v>
      </c>
      <c r="D1160">
        <v>68070</v>
      </c>
      <c r="E1160">
        <v>25</v>
      </c>
      <c r="F1160" t="s">
        <v>142</v>
      </c>
      <c r="G1160" t="s">
        <v>66</v>
      </c>
      <c r="H1160" t="s">
        <v>31</v>
      </c>
      <c r="I1160">
        <v>5</v>
      </c>
    </row>
    <row r="1161" spans="1:9" x14ac:dyDescent="0.2">
      <c r="A1161">
        <v>5502662</v>
      </c>
      <c r="B1161">
        <v>2</v>
      </c>
      <c r="C1161">
        <v>1504</v>
      </c>
      <c r="D1161">
        <v>68070</v>
      </c>
      <c r="E1161">
        <v>24</v>
      </c>
      <c r="F1161" t="s">
        <v>142</v>
      </c>
      <c r="G1161" t="s">
        <v>121</v>
      </c>
      <c r="H1161" t="s">
        <v>31</v>
      </c>
      <c r="I1161">
        <v>5</v>
      </c>
    </row>
    <row r="1162" spans="1:9" x14ac:dyDescent="0.2">
      <c r="A1162">
        <v>5502662</v>
      </c>
      <c r="B1162">
        <v>3</v>
      </c>
      <c r="C1162">
        <v>1506</v>
      </c>
      <c r="D1162">
        <v>0</v>
      </c>
      <c r="E1162">
        <v>26</v>
      </c>
      <c r="F1162" t="s">
        <v>142</v>
      </c>
      <c r="G1162" t="s">
        <v>78</v>
      </c>
      <c r="H1162" t="s">
        <v>31</v>
      </c>
      <c r="I1162">
        <v>5</v>
      </c>
    </row>
    <row r="1163" spans="1:9" x14ac:dyDescent="0.2">
      <c r="A1163">
        <v>5502662</v>
      </c>
      <c r="B1163">
        <v>4</v>
      </c>
      <c r="C1163">
        <v>1511</v>
      </c>
      <c r="D1163">
        <v>0</v>
      </c>
      <c r="E1163">
        <v>26</v>
      </c>
      <c r="F1163" t="s">
        <v>142</v>
      </c>
      <c r="G1163" t="s">
        <v>163</v>
      </c>
      <c r="H1163" t="s">
        <v>31</v>
      </c>
      <c r="I1163">
        <v>5</v>
      </c>
    </row>
    <row r="1164" spans="1:9" x14ac:dyDescent="0.2">
      <c r="A1164">
        <v>5502662</v>
      </c>
      <c r="B1164">
        <v>5</v>
      </c>
      <c r="C1164">
        <v>1503</v>
      </c>
      <c r="D1164">
        <v>0</v>
      </c>
      <c r="E1164">
        <v>26</v>
      </c>
      <c r="F1164" t="s">
        <v>142</v>
      </c>
      <c r="G1164" t="s">
        <v>161</v>
      </c>
      <c r="H1164" t="s">
        <v>31</v>
      </c>
      <c r="I1164">
        <v>5</v>
      </c>
    </row>
    <row r="1165" spans="1:9" x14ac:dyDescent="0.2">
      <c r="A1165">
        <v>5502662</v>
      </c>
      <c r="B1165">
        <v>6</v>
      </c>
      <c r="C1165">
        <v>1463</v>
      </c>
      <c r="D1165">
        <v>0</v>
      </c>
      <c r="E1165">
        <v>26</v>
      </c>
      <c r="F1165" t="s">
        <v>25</v>
      </c>
      <c r="G1165" t="s">
        <v>66</v>
      </c>
      <c r="H1165" t="s">
        <v>24</v>
      </c>
      <c r="I1165">
        <v>5</v>
      </c>
    </row>
    <row r="1166" spans="1:9" x14ac:dyDescent="0.2">
      <c r="A1166">
        <v>5502662</v>
      </c>
      <c r="B1166">
        <v>7</v>
      </c>
      <c r="C1166">
        <v>1467</v>
      </c>
      <c r="D1166">
        <v>0</v>
      </c>
      <c r="E1166">
        <v>16</v>
      </c>
      <c r="F1166" t="s">
        <v>25</v>
      </c>
      <c r="G1166" t="s">
        <v>294</v>
      </c>
      <c r="H1166" t="s">
        <v>24</v>
      </c>
      <c r="I1166">
        <v>5</v>
      </c>
    </row>
    <row r="1167" spans="1:9" x14ac:dyDescent="0.2">
      <c r="A1167">
        <v>5502662</v>
      </c>
      <c r="B1167">
        <v>8</v>
      </c>
      <c r="C1167">
        <v>1704</v>
      </c>
      <c r="D1167">
        <v>0</v>
      </c>
      <c r="E1167">
        <v>26</v>
      </c>
      <c r="F1167" t="s">
        <v>57</v>
      </c>
      <c r="G1167" t="s">
        <v>82</v>
      </c>
      <c r="H1167" t="s">
        <v>79</v>
      </c>
      <c r="I1167">
        <v>10</v>
      </c>
    </row>
    <row r="1168" spans="1:9" x14ac:dyDescent="0.2">
      <c r="A1168">
        <v>5508773</v>
      </c>
      <c r="B1168">
        <v>1</v>
      </c>
      <c r="C1168">
        <v>3229</v>
      </c>
      <c r="D1168">
        <v>53545</v>
      </c>
      <c r="E1168">
        <v>25</v>
      </c>
      <c r="F1168" t="s">
        <v>47</v>
      </c>
      <c r="G1168" t="s">
        <v>101</v>
      </c>
      <c r="H1168" t="s">
        <v>46</v>
      </c>
      <c r="I1168">
        <v>10</v>
      </c>
    </row>
    <row r="1169" spans="1:9" x14ac:dyDescent="0.2">
      <c r="A1169">
        <v>5508773</v>
      </c>
      <c r="B1169">
        <v>2</v>
      </c>
      <c r="C1169">
        <v>1732</v>
      </c>
      <c r="D1169">
        <v>54215</v>
      </c>
      <c r="E1169">
        <v>25</v>
      </c>
      <c r="F1169" t="s">
        <v>57</v>
      </c>
      <c r="G1169" t="s">
        <v>104</v>
      </c>
      <c r="H1169" t="s">
        <v>69</v>
      </c>
      <c r="I1169">
        <v>10</v>
      </c>
    </row>
    <row r="1170" spans="1:9" x14ac:dyDescent="0.2">
      <c r="A1170">
        <v>5508773</v>
      </c>
      <c r="B1170">
        <v>3</v>
      </c>
      <c r="C1170">
        <v>1787</v>
      </c>
      <c r="D1170">
        <v>53750</v>
      </c>
      <c r="E1170">
        <v>25</v>
      </c>
      <c r="F1170" t="s">
        <v>57</v>
      </c>
      <c r="G1170" t="s">
        <v>49</v>
      </c>
      <c r="H1170" t="s">
        <v>56</v>
      </c>
      <c r="I1170">
        <v>10</v>
      </c>
    </row>
    <row r="1171" spans="1:9" x14ac:dyDescent="0.2">
      <c r="A1171">
        <v>5508773</v>
      </c>
      <c r="B1171">
        <v>4</v>
      </c>
      <c r="C1171">
        <v>3223</v>
      </c>
      <c r="D1171">
        <v>53545</v>
      </c>
      <c r="E1171">
        <v>24</v>
      </c>
      <c r="F1171" t="s">
        <v>47</v>
      </c>
      <c r="G1171" t="s">
        <v>105</v>
      </c>
      <c r="H1171" t="s">
        <v>46</v>
      </c>
      <c r="I1171">
        <v>10</v>
      </c>
    </row>
    <row r="1172" spans="1:9" x14ac:dyDescent="0.2">
      <c r="A1172">
        <v>5537402</v>
      </c>
      <c r="B1172">
        <v>1</v>
      </c>
      <c r="C1172">
        <v>3225</v>
      </c>
      <c r="D1172">
        <v>50205</v>
      </c>
      <c r="E1172">
        <v>24</v>
      </c>
      <c r="F1172" t="s">
        <v>47</v>
      </c>
      <c r="G1172" t="s">
        <v>106</v>
      </c>
      <c r="H1172" t="s">
        <v>46</v>
      </c>
      <c r="I1172">
        <v>10</v>
      </c>
    </row>
    <row r="1173" spans="1:9" x14ac:dyDescent="0.2">
      <c r="A1173">
        <v>5537402</v>
      </c>
      <c r="B1173">
        <v>2</v>
      </c>
      <c r="C1173">
        <v>3269</v>
      </c>
      <c r="D1173">
        <v>0</v>
      </c>
      <c r="E1173">
        <v>26</v>
      </c>
      <c r="F1173" t="s">
        <v>47</v>
      </c>
      <c r="G1173" t="s">
        <v>180</v>
      </c>
      <c r="H1173" t="s">
        <v>46</v>
      </c>
      <c r="I1173">
        <v>10</v>
      </c>
    </row>
    <row r="1174" spans="1:9" x14ac:dyDescent="0.2">
      <c r="A1174">
        <v>5537402</v>
      </c>
      <c r="B1174">
        <v>3</v>
      </c>
      <c r="C1174">
        <v>3226</v>
      </c>
      <c r="D1174">
        <v>0</v>
      </c>
      <c r="E1174">
        <v>26</v>
      </c>
      <c r="F1174" t="s">
        <v>47</v>
      </c>
      <c r="G1174" t="s">
        <v>96</v>
      </c>
      <c r="H1174" t="s">
        <v>46</v>
      </c>
      <c r="I1174">
        <v>10</v>
      </c>
    </row>
    <row r="1175" spans="1:9" x14ac:dyDescent="0.2">
      <c r="A1175">
        <v>5537402</v>
      </c>
      <c r="B1175">
        <v>4</v>
      </c>
      <c r="C1175">
        <v>3229</v>
      </c>
      <c r="D1175">
        <v>0</v>
      </c>
      <c r="E1175">
        <v>26</v>
      </c>
      <c r="F1175" t="s">
        <v>47</v>
      </c>
      <c r="G1175" t="s">
        <v>101</v>
      </c>
      <c r="H1175" t="s">
        <v>46</v>
      </c>
      <c r="I1175">
        <v>10</v>
      </c>
    </row>
    <row r="1176" spans="1:9" x14ac:dyDescent="0.2">
      <c r="A1176">
        <v>5537402</v>
      </c>
      <c r="B1176">
        <v>5</v>
      </c>
      <c r="C1176">
        <v>3223</v>
      </c>
      <c r="D1176">
        <v>0</v>
      </c>
      <c r="E1176">
        <v>26</v>
      </c>
      <c r="F1176" t="s">
        <v>47</v>
      </c>
      <c r="G1176" t="s">
        <v>105</v>
      </c>
      <c r="H1176" t="s">
        <v>46</v>
      </c>
      <c r="I1176">
        <v>10</v>
      </c>
    </row>
    <row r="1177" spans="1:9" x14ac:dyDescent="0.2">
      <c r="A1177">
        <v>5556179</v>
      </c>
      <c r="B1177">
        <v>1</v>
      </c>
      <c r="C1177">
        <v>1776</v>
      </c>
      <c r="D1177">
        <v>0</v>
      </c>
      <c r="E1177">
        <v>36</v>
      </c>
      <c r="F1177" t="s">
        <v>57</v>
      </c>
      <c r="G1177" t="s">
        <v>124</v>
      </c>
      <c r="H1177" t="s">
        <v>125</v>
      </c>
      <c r="I1177">
        <v>10</v>
      </c>
    </row>
    <row r="1178" spans="1:9" x14ac:dyDescent="0.2">
      <c r="A1178">
        <v>5556179</v>
      </c>
      <c r="B1178">
        <v>2</v>
      </c>
      <c r="C1178">
        <v>1715</v>
      </c>
      <c r="D1178">
        <v>0</v>
      </c>
      <c r="E1178">
        <v>36</v>
      </c>
      <c r="F1178" t="s">
        <v>57</v>
      </c>
      <c r="G1178" t="s">
        <v>151</v>
      </c>
      <c r="H1178" t="s">
        <v>69</v>
      </c>
      <c r="I1178">
        <v>10</v>
      </c>
    </row>
    <row r="1179" spans="1:9" x14ac:dyDescent="0.2">
      <c r="A1179">
        <v>5556179</v>
      </c>
      <c r="B1179">
        <v>3</v>
      </c>
      <c r="C1179">
        <v>1789</v>
      </c>
      <c r="D1179">
        <v>0</v>
      </c>
      <c r="E1179">
        <v>36</v>
      </c>
      <c r="F1179" t="s">
        <v>57</v>
      </c>
      <c r="G1179" t="s">
        <v>122</v>
      </c>
      <c r="H1179" t="s">
        <v>69</v>
      </c>
      <c r="I1179">
        <v>10</v>
      </c>
    </row>
    <row r="1180" spans="1:9" x14ac:dyDescent="0.2">
      <c r="A1180">
        <v>5556179</v>
      </c>
      <c r="B1180">
        <v>4</v>
      </c>
      <c r="C1180">
        <v>1705</v>
      </c>
      <c r="D1180">
        <v>0</v>
      </c>
      <c r="E1180">
        <v>36</v>
      </c>
      <c r="F1180" t="s">
        <v>57</v>
      </c>
      <c r="G1180" t="s">
        <v>102</v>
      </c>
      <c r="H1180" t="s">
        <v>69</v>
      </c>
      <c r="I1180">
        <v>10</v>
      </c>
    </row>
    <row r="1181" spans="1:9" x14ac:dyDescent="0.2">
      <c r="A1181">
        <v>5556179</v>
      </c>
      <c r="B1181">
        <v>5</v>
      </c>
      <c r="C1181">
        <v>1332</v>
      </c>
      <c r="D1181">
        <v>0</v>
      </c>
      <c r="E1181">
        <v>36</v>
      </c>
      <c r="F1181" t="s">
        <v>21</v>
      </c>
      <c r="G1181" t="s">
        <v>422</v>
      </c>
      <c r="H1181" t="s">
        <v>20</v>
      </c>
      <c r="I1181">
        <v>8</v>
      </c>
    </row>
    <row r="1182" spans="1:9" x14ac:dyDescent="0.2">
      <c r="A1182">
        <v>5556179</v>
      </c>
      <c r="B1182">
        <v>6</v>
      </c>
      <c r="C1182">
        <v>1383</v>
      </c>
      <c r="D1182">
        <v>0</v>
      </c>
      <c r="E1182">
        <v>36</v>
      </c>
      <c r="F1182" t="s">
        <v>21</v>
      </c>
      <c r="G1182" t="s">
        <v>124</v>
      </c>
      <c r="H1182" t="s">
        <v>20</v>
      </c>
      <c r="I1182">
        <v>8</v>
      </c>
    </row>
    <row r="1183" spans="1:9" x14ac:dyDescent="0.2">
      <c r="A1183">
        <v>5556179</v>
      </c>
      <c r="B1183">
        <v>7</v>
      </c>
      <c r="C1183">
        <v>1388</v>
      </c>
      <c r="D1183">
        <v>0</v>
      </c>
      <c r="E1183">
        <v>36</v>
      </c>
      <c r="F1183" t="s">
        <v>21</v>
      </c>
      <c r="G1183" t="s">
        <v>151</v>
      </c>
      <c r="H1183" t="s">
        <v>20</v>
      </c>
      <c r="I1183">
        <v>8</v>
      </c>
    </row>
    <row r="1184" spans="1:9" x14ac:dyDescent="0.2">
      <c r="A1184">
        <v>5556179</v>
      </c>
      <c r="B1184">
        <v>8</v>
      </c>
      <c r="C1184">
        <v>1387</v>
      </c>
      <c r="D1184">
        <v>0</v>
      </c>
      <c r="E1184">
        <v>36</v>
      </c>
      <c r="F1184" t="s">
        <v>21</v>
      </c>
      <c r="G1184" t="s">
        <v>102</v>
      </c>
      <c r="H1184" t="s">
        <v>20</v>
      </c>
      <c r="I1184">
        <v>8</v>
      </c>
    </row>
    <row r="1185" spans="1:9" x14ac:dyDescent="0.2">
      <c r="A1185">
        <v>5571618</v>
      </c>
      <c r="B1185">
        <v>1</v>
      </c>
      <c r="C1185">
        <v>1590</v>
      </c>
      <c r="D1185">
        <v>57065</v>
      </c>
      <c r="E1185">
        <v>25</v>
      </c>
      <c r="F1185" t="s">
        <v>142</v>
      </c>
      <c r="G1185" t="s">
        <v>229</v>
      </c>
      <c r="H1185" t="s">
        <v>113</v>
      </c>
      <c r="I1185">
        <v>5</v>
      </c>
    </row>
    <row r="1186" spans="1:9" x14ac:dyDescent="0.2">
      <c r="A1186">
        <v>5571618</v>
      </c>
      <c r="B1186">
        <v>2</v>
      </c>
      <c r="C1186">
        <v>1419</v>
      </c>
      <c r="D1186">
        <v>56535</v>
      </c>
      <c r="E1186">
        <v>24</v>
      </c>
      <c r="F1186" t="s">
        <v>25</v>
      </c>
      <c r="G1186" t="s">
        <v>435</v>
      </c>
      <c r="H1186" t="s">
        <v>24</v>
      </c>
      <c r="I1186">
        <v>5</v>
      </c>
    </row>
    <row r="1187" spans="1:9" x14ac:dyDescent="0.2">
      <c r="A1187">
        <v>5571618</v>
      </c>
      <c r="B1187">
        <v>3</v>
      </c>
      <c r="C1187">
        <v>1366</v>
      </c>
      <c r="D1187">
        <v>0</v>
      </c>
      <c r="E1187">
        <v>26</v>
      </c>
      <c r="F1187" t="s">
        <v>21</v>
      </c>
      <c r="G1187" t="s">
        <v>436</v>
      </c>
      <c r="H1187" t="s">
        <v>20</v>
      </c>
      <c r="I1187">
        <v>8</v>
      </c>
    </row>
    <row r="1188" spans="1:9" x14ac:dyDescent="0.2">
      <c r="A1188">
        <v>5571618</v>
      </c>
      <c r="B1188">
        <v>4</v>
      </c>
      <c r="C1188">
        <v>1730</v>
      </c>
      <c r="D1188">
        <v>0</v>
      </c>
      <c r="E1188">
        <v>26</v>
      </c>
      <c r="F1188" t="s">
        <v>57</v>
      </c>
      <c r="G1188" t="s">
        <v>83</v>
      </c>
      <c r="H1188" t="s">
        <v>79</v>
      </c>
      <c r="I1188">
        <v>10</v>
      </c>
    </row>
    <row r="1189" spans="1:9" x14ac:dyDescent="0.2">
      <c r="A1189">
        <v>5573791</v>
      </c>
      <c r="B1189">
        <v>1</v>
      </c>
      <c r="C1189">
        <v>1437</v>
      </c>
      <c r="D1189">
        <v>57360</v>
      </c>
      <c r="E1189">
        <v>25</v>
      </c>
      <c r="F1189" t="s">
        <v>25</v>
      </c>
      <c r="G1189" t="s">
        <v>285</v>
      </c>
      <c r="H1189" t="s">
        <v>24</v>
      </c>
      <c r="I1189">
        <v>5</v>
      </c>
    </row>
    <row r="1190" spans="1:9" x14ac:dyDescent="0.2">
      <c r="A1190">
        <v>5573791</v>
      </c>
      <c r="B1190">
        <v>2</v>
      </c>
      <c r="C1190">
        <v>1438</v>
      </c>
      <c r="D1190">
        <v>57360</v>
      </c>
      <c r="E1190">
        <v>25</v>
      </c>
      <c r="F1190" t="s">
        <v>25</v>
      </c>
      <c r="G1190" t="s">
        <v>368</v>
      </c>
      <c r="H1190" t="s">
        <v>24</v>
      </c>
      <c r="I1190">
        <v>5</v>
      </c>
    </row>
    <row r="1191" spans="1:9" x14ac:dyDescent="0.2">
      <c r="A1191">
        <v>5573791</v>
      </c>
      <c r="B1191">
        <v>3</v>
      </c>
      <c r="C1191">
        <v>2625</v>
      </c>
      <c r="D1191">
        <v>57870</v>
      </c>
      <c r="E1191">
        <v>24</v>
      </c>
      <c r="F1191" t="s">
        <v>71</v>
      </c>
      <c r="G1191" t="s">
        <v>383</v>
      </c>
      <c r="H1191" t="s">
        <v>281</v>
      </c>
      <c r="I1191">
        <v>5</v>
      </c>
    </row>
    <row r="1192" spans="1:9" x14ac:dyDescent="0.2">
      <c r="A1192">
        <v>5573791</v>
      </c>
      <c r="B1192">
        <v>4</v>
      </c>
      <c r="C1192">
        <v>2629</v>
      </c>
      <c r="D1192">
        <v>0</v>
      </c>
      <c r="E1192">
        <v>26</v>
      </c>
      <c r="F1192" t="s">
        <v>71</v>
      </c>
      <c r="G1192" t="s">
        <v>280</v>
      </c>
      <c r="H1192" t="s">
        <v>281</v>
      </c>
      <c r="I1192">
        <v>5</v>
      </c>
    </row>
    <row r="1193" spans="1:9" x14ac:dyDescent="0.2">
      <c r="A1193">
        <v>5573791</v>
      </c>
      <c r="B1193">
        <v>5</v>
      </c>
      <c r="C1193">
        <v>1927</v>
      </c>
      <c r="D1193">
        <v>0</v>
      </c>
      <c r="E1193">
        <v>26</v>
      </c>
      <c r="F1193" t="s">
        <v>32</v>
      </c>
      <c r="G1193" t="s">
        <v>232</v>
      </c>
      <c r="H1193" t="s">
        <v>31</v>
      </c>
      <c r="I1193">
        <v>5</v>
      </c>
    </row>
    <row r="1194" spans="1:9" x14ac:dyDescent="0.2">
      <c r="A1194">
        <v>5573791</v>
      </c>
      <c r="B1194">
        <v>6</v>
      </c>
      <c r="C1194">
        <v>3242</v>
      </c>
      <c r="D1194">
        <v>0</v>
      </c>
      <c r="E1194">
        <v>26</v>
      </c>
      <c r="F1194" t="s">
        <v>47</v>
      </c>
      <c r="G1194" t="s">
        <v>90</v>
      </c>
      <c r="H1194" t="s">
        <v>46</v>
      </c>
      <c r="I1194">
        <v>10</v>
      </c>
    </row>
    <row r="1195" spans="1:9" x14ac:dyDescent="0.2">
      <c r="A1195">
        <v>5573791</v>
      </c>
      <c r="B1195">
        <v>7</v>
      </c>
      <c r="C1195">
        <v>2627</v>
      </c>
      <c r="D1195">
        <v>0</v>
      </c>
      <c r="E1195">
        <v>26</v>
      </c>
      <c r="F1195" t="s">
        <v>71</v>
      </c>
      <c r="G1195" t="s">
        <v>350</v>
      </c>
      <c r="H1195" t="s">
        <v>281</v>
      </c>
      <c r="I1195">
        <v>5</v>
      </c>
    </row>
    <row r="1196" spans="1:9" x14ac:dyDescent="0.2">
      <c r="A1196">
        <v>5582344</v>
      </c>
      <c r="B1196">
        <v>1</v>
      </c>
      <c r="C1196">
        <v>3212</v>
      </c>
      <c r="D1196">
        <v>47255</v>
      </c>
      <c r="E1196">
        <v>25</v>
      </c>
      <c r="F1196" t="s">
        <v>47</v>
      </c>
      <c r="G1196" t="s">
        <v>84</v>
      </c>
      <c r="H1196" t="s">
        <v>46</v>
      </c>
      <c r="I1196">
        <v>10</v>
      </c>
    </row>
    <row r="1197" spans="1:9" x14ac:dyDescent="0.2">
      <c r="A1197">
        <v>5582344</v>
      </c>
      <c r="B1197">
        <v>2</v>
      </c>
      <c r="C1197">
        <v>3200</v>
      </c>
      <c r="D1197">
        <v>47250</v>
      </c>
      <c r="E1197">
        <v>25</v>
      </c>
      <c r="F1197" t="s">
        <v>47</v>
      </c>
      <c r="G1197" t="s">
        <v>18</v>
      </c>
      <c r="H1197" t="s">
        <v>46</v>
      </c>
      <c r="I1197">
        <v>10</v>
      </c>
    </row>
    <row r="1198" spans="1:9" x14ac:dyDescent="0.2">
      <c r="A1198">
        <v>5582344</v>
      </c>
      <c r="B1198">
        <v>3</v>
      </c>
      <c r="C1198">
        <v>3234</v>
      </c>
      <c r="D1198">
        <v>47540</v>
      </c>
      <c r="E1198">
        <v>25</v>
      </c>
      <c r="F1198" t="s">
        <v>47</v>
      </c>
      <c r="G1198" t="s">
        <v>76</v>
      </c>
      <c r="H1198" t="s">
        <v>46</v>
      </c>
      <c r="I1198">
        <v>10</v>
      </c>
    </row>
    <row r="1199" spans="1:9" x14ac:dyDescent="0.2">
      <c r="A1199">
        <v>5582344</v>
      </c>
      <c r="B1199">
        <v>4</v>
      </c>
      <c r="C1199">
        <v>3239</v>
      </c>
      <c r="D1199">
        <v>47650</v>
      </c>
      <c r="E1199">
        <v>25</v>
      </c>
      <c r="F1199" t="s">
        <v>47</v>
      </c>
      <c r="G1199" t="s">
        <v>107</v>
      </c>
      <c r="H1199" t="s">
        <v>46</v>
      </c>
      <c r="I1199">
        <v>10</v>
      </c>
    </row>
    <row r="1200" spans="1:9" x14ac:dyDescent="0.2">
      <c r="A1200">
        <v>5582344</v>
      </c>
      <c r="B1200">
        <v>5</v>
      </c>
      <c r="C1200">
        <v>3218</v>
      </c>
      <c r="D1200">
        <v>47200</v>
      </c>
      <c r="E1200">
        <v>25</v>
      </c>
      <c r="F1200" t="s">
        <v>47</v>
      </c>
      <c r="G1200" t="s">
        <v>66</v>
      </c>
      <c r="H1200" t="s">
        <v>74</v>
      </c>
      <c r="I1200">
        <v>10</v>
      </c>
    </row>
    <row r="1201" spans="1:9" x14ac:dyDescent="0.2">
      <c r="A1201">
        <v>5582344</v>
      </c>
      <c r="B1201">
        <v>6</v>
      </c>
      <c r="C1201">
        <v>3243</v>
      </c>
      <c r="D1201">
        <v>47790</v>
      </c>
      <c r="E1201">
        <v>25</v>
      </c>
      <c r="F1201" t="s">
        <v>47</v>
      </c>
      <c r="G1201" t="s">
        <v>75</v>
      </c>
      <c r="H1201" t="s">
        <v>46</v>
      </c>
      <c r="I1201">
        <v>10</v>
      </c>
    </row>
    <row r="1202" spans="1:9" x14ac:dyDescent="0.2">
      <c r="A1202">
        <v>5582344</v>
      </c>
      <c r="B1202">
        <v>7</v>
      </c>
      <c r="C1202">
        <v>3261</v>
      </c>
      <c r="D1202">
        <v>47480</v>
      </c>
      <c r="E1202">
        <v>25</v>
      </c>
      <c r="F1202" t="s">
        <v>47</v>
      </c>
      <c r="G1202" t="s">
        <v>93</v>
      </c>
      <c r="H1202" t="s">
        <v>46</v>
      </c>
      <c r="I1202">
        <v>10</v>
      </c>
    </row>
    <row r="1203" spans="1:9" x14ac:dyDescent="0.2">
      <c r="A1203">
        <v>5582344</v>
      </c>
      <c r="B1203">
        <v>8</v>
      </c>
      <c r="C1203">
        <v>3214</v>
      </c>
      <c r="D1203">
        <v>47795</v>
      </c>
      <c r="E1203">
        <v>25</v>
      </c>
      <c r="F1203" t="s">
        <v>47</v>
      </c>
      <c r="G1203" t="s">
        <v>98</v>
      </c>
      <c r="H1203" t="s">
        <v>74</v>
      </c>
      <c r="I1203">
        <v>10</v>
      </c>
    </row>
    <row r="1204" spans="1:9" x14ac:dyDescent="0.2">
      <c r="A1204">
        <v>5742096</v>
      </c>
      <c r="B1204">
        <v>1</v>
      </c>
      <c r="C1204">
        <v>3064</v>
      </c>
      <c r="D1204">
        <v>57415</v>
      </c>
      <c r="E1204">
        <v>25</v>
      </c>
      <c r="F1204" t="s">
        <v>44</v>
      </c>
      <c r="G1204" t="s">
        <v>97</v>
      </c>
      <c r="H1204" t="s">
        <v>52</v>
      </c>
      <c r="I1204">
        <v>9</v>
      </c>
    </row>
    <row r="1205" spans="1:9" x14ac:dyDescent="0.2">
      <c r="A1205">
        <v>5742096</v>
      </c>
      <c r="B1205">
        <v>2</v>
      </c>
      <c r="C1205">
        <v>1169</v>
      </c>
      <c r="D1205">
        <v>0</v>
      </c>
      <c r="E1205">
        <v>17</v>
      </c>
      <c r="F1205" t="s">
        <v>17</v>
      </c>
      <c r="G1205" t="s">
        <v>295</v>
      </c>
      <c r="H1205" t="s">
        <v>16</v>
      </c>
      <c r="I1205" t="s">
        <v>448</v>
      </c>
    </row>
    <row r="1206" spans="1:9" x14ac:dyDescent="0.2">
      <c r="A1206">
        <v>5742096</v>
      </c>
      <c r="B1206">
        <v>3</v>
      </c>
      <c r="C1206">
        <v>1217</v>
      </c>
      <c r="D1206">
        <v>56050</v>
      </c>
      <c r="E1206">
        <v>25</v>
      </c>
      <c r="F1206" t="s">
        <v>19</v>
      </c>
      <c r="G1206" t="s">
        <v>22</v>
      </c>
      <c r="H1206" t="s">
        <v>16</v>
      </c>
      <c r="I1206" t="s">
        <v>448</v>
      </c>
    </row>
    <row r="1207" spans="1:9" x14ac:dyDescent="0.2">
      <c r="A1207">
        <v>5742096</v>
      </c>
      <c r="B1207">
        <v>4</v>
      </c>
      <c r="C1207">
        <v>1440</v>
      </c>
      <c r="D1207">
        <v>57220</v>
      </c>
      <c r="E1207">
        <v>25</v>
      </c>
      <c r="F1207" t="s">
        <v>25</v>
      </c>
      <c r="G1207" t="s">
        <v>22</v>
      </c>
      <c r="H1207" t="s">
        <v>24</v>
      </c>
      <c r="I1207">
        <v>5</v>
      </c>
    </row>
    <row r="1208" spans="1:9" x14ac:dyDescent="0.2">
      <c r="A1208">
        <v>5757311</v>
      </c>
      <c r="B1208">
        <v>1</v>
      </c>
      <c r="C1208">
        <v>1239</v>
      </c>
      <c r="D1208">
        <v>74360</v>
      </c>
      <c r="E1208">
        <v>24</v>
      </c>
      <c r="F1208" t="s">
        <v>19</v>
      </c>
      <c r="G1208" t="s">
        <v>160</v>
      </c>
      <c r="H1208" t="s">
        <v>16</v>
      </c>
      <c r="I1208" t="s">
        <v>448</v>
      </c>
    </row>
    <row r="1209" spans="1:9" x14ac:dyDescent="0.2">
      <c r="A1209">
        <v>5757311</v>
      </c>
      <c r="B1209">
        <v>2</v>
      </c>
      <c r="C1209">
        <v>1145</v>
      </c>
      <c r="D1209">
        <v>0</v>
      </c>
      <c r="E1209">
        <v>26</v>
      </c>
      <c r="F1209" t="s">
        <v>17</v>
      </c>
      <c r="G1209" t="s">
        <v>159</v>
      </c>
      <c r="H1209" t="s">
        <v>16</v>
      </c>
      <c r="I1209" t="s">
        <v>448</v>
      </c>
    </row>
    <row r="1210" spans="1:9" x14ac:dyDescent="0.2">
      <c r="A1210">
        <v>5757311</v>
      </c>
      <c r="B1210">
        <v>3</v>
      </c>
      <c r="C1210">
        <v>1571</v>
      </c>
      <c r="D1210">
        <v>0</v>
      </c>
      <c r="E1210">
        <v>26</v>
      </c>
      <c r="F1210" t="s">
        <v>142</v>
      </c>
      <c r="G1210" t="s">
        <v>264</v>
      </c>
      <c r="H1210" t="s">
        <v>113</v>
      </c>
      <c r="I1210">
        <v>5</v>
      </c>
    </row>
    <row r="1211" spans="1:9" x14ac:dyDescent="0.2">
      <c r="A1211">
        <v>5757311</v>
      </c>
      <c r="B1211">
        <v>4</v>
      </c>
      <c r="C1211">
        <v>1101</v>
      </c>
      <c r="D1211">
        <v>0</v>
      </c>
      <c r="E1211">
        <v>26</v>
      </c>
      <c r="F1211" t="s">
        <v>17</v>
      </c>
      <c r="G1211" t="s">
        <v>15</v>
      </c>
      <c r="H1211" t="s">
        <v>16</v>
      </c>
      <c r="I1211" t="s">
        <v>448</v>
      </c>
    </row>
    <row r="1212" spans="1:9" x14ac:dyDescent="0.2">
      <c r="A1212">
        <v>5757311</v>
      </c>
      <c r="B1212">
        <v>5</v>
      </c>
      <c r="C1212">
        <v>1730</v>
      </c>
      <c r="D1212">
        <v>0</v>
      </c>
      <c r="E1212">
        <v>26</v>
      </c>
      <c r="F1212" t="s">
        <v>57</v>
      </c>
      <c r="G1212" t="s">
        <v>83</v>
      </c>
      <c r="H1212" t="s">
        <v>79</v>
      </c>
      <c r="I1212">
        <v>10</v>
      </c>
    </row>
    <row r="1213" spans="1:9" x14ac:dyDescent="0.2">
      <c r="A1213">
        <v>5815079</v>
      </c>
      <c r="B1213">
        <v>1</v>
      </c>
      <c r="C1213">
        <v>1710</v>
      </c>
      <c r="D1213">
        <v>47425</v>
      </c>
      <c r="E1213">
        <v>25</v>
      </c>
      <c r="F1213" t="s">
        <v>57</v>
      </c>
      <c r="G1213" t="s">
        <v>169</v>
      </c>
      <c r="H1213" t="s">
        <v>69</v>
      </c>
      <c r="I1213">
        <v>10</v>
      </c>
    </row>
    <row r="1214" spans="1:9" x14ac:dyDescent="0.2">
      <c r="A1214">
        <v>5815079</v>
      </c>
      <c r="B1214">
        <v>2</v>
      </c>
      <c r="C1214">
        <v>1775</v>
      </c>
      <c r="D1214">
        <v>47425</v>
      </c>
      <c r="E1214">
        <v>25</v>
      </c>
      <c r="F1214" t="s">
        <v>57</v>
      </c>
      <c r="G1214" t="s">
        <v>94</v>
      </c>
      <c r="H1214" t="s">
        <v>69</v>
      </c>
      <c r="I1214">
        <v>10</v>
      </c>
    </row>
    <row r="1215" spans="1:9" x14ac:dyDescent="0.2">
      <c r="A1215">
        <v>5815079</v>
      </c>
      <c r="B1215">
        <v>3</v>
      </c>
      <c r="C1215">
        <v>1776</v>
      </c>
      <c r="D1215">
        <v>47120</v>
      </c>
      <c r="E1215">
        <v>25</v>
      </c>
      <c r="F1215" t="s">
        <v>57</v>
      </c>
      <c r="G1215" t="s">
        <v>124</v>
      </c>
      <c r="H1215" t="s">
        <v>125</v>
      </c>
      <c r="I1215">
        <v>10</v>
      </c>
    </row>
    <row r="1216" spans="1:9" x14ac:dyDescent="0.2">
      <c r="A1216">
        <v>5815079</v>
      </c>
      <c r="B1216">
        <v>4</v>
      </c>
      <c r="C1216">
        <v>1700</v>
      </c>
      <c r="D1216">
        <v>47910</v>
      </c>
      <c r="E1216">
        <v>25</v>
      </c>
      <c r="F1216" t="s">
        <v>57</v>
      </c>
      <c r="G1216" t="s">
        <v>58</v>
      </c>
      <c r="H1216" t="s">
        <v>69</v>
      </c>
      <c r="I1216">
        <v>10</v>
      </c>
    </row>
    <row r="1217" spans="1:9" x14ac:dyDescent="0.2">
      <c r="A1217">
        <v>5815079</v>
      </c>
      <c r="B1217">
        <v>5</v>
      </c>
      <c r="C1217">
        <v>1711</v>
      </c>
      <c r="D1217">
        <v>48395</v>
      </c>
      <c r="E1217">
        <v>25</v>
      </c>
      <c r="F1217" t="s">
        <v>57</v>
      </c>
      <c r="G1217" t="s">
        <v>201</v>
      </c>
      <c r="H1217" t="s">
        <v>69</v>
      </c>
      <c r="I1217">
        <v>10</v>
      </c>
    </row>
    <row r="1218" spans="1:9" x14ac:dyDescent="0.2">
      <c r="A1218">
        <v>5819647</v>
      </c>
      <c r="B1218">
        <v>1</v>
      </c>
      <c r="C1218">
        <v>1315</v>
      </c>
      <c r="D1218">
        <v>57225</v>
      </c>
      <c r="E1218">
        <v>25</v>
      </c>
      <c r="F1218" t="s">
        <v>21</v>
      </c>
      <c r="G1218" t="s">
        <v>304</v>
      </c>
      <c r="H1218" t="s">
        <v>20</v>
      </c>
      <c r="I1218">
        <v>8</v>
      </c>
    </row>
    <row r="1219" spans="1:9" x14ac:dyDescent="0.2">
      <c r="A1219">
        <v>5819647</v>
      </c>
      <c r="B1219">
        <v>2</v>
      </c>
      <c r="C1219">
        <v>1776</v>
      </c>
      <c r="D1219">
        <v>56810</v>
      </c>
      <c r="E1219">
        <v>25</v>
      </c>
      <c r="F1219" t="s">
        <v>57</v>
      </c>
      <c r="G1219" t="s">
        <v>124</v>
      </c>
      <c r="H1219" t="s">
        <v>125</v>
      </c>
      <c r="I1219">
        <v>10</v>
      </c>
    </row>
    <row r="1220" spans="1:9" x14ac:dyDescent="0.2">
      <c r="A1220">
        <v>5819647</v>
      </c>
      <c r="B1220">
        <v>3</v>
      </c>
      <c r="C1220">
        <v>3501</v>
      </c>
      <c r="D1220">
        <v>57890</v>
      </c>
      <c r="E1220">
        <v>25</v>
      </c>
      <c r="F1220" t="s">
        <v>234</v>
      </c>
      <c r="G1220" t="s">
        <v>124</v>
      </c>
      <c r="H1220" t="s">
        <v>35</v>
      </c>
      <c r="I1220">
        <v>7</v>
      </c>
    </row>
    <row r="1221" spans="1:9" x14ac:dyDescent="0.2">
      <c r="A1221">
        <v>5819647</v>
      </c>
      <c r="B1221">
        <v>4</v>
      </c>
      <c r="C1221">
        <v>3424</v>
      </c>
      <c r="D1221">
        <v>57250</v>
      </c>
      <c r="E1221">
        <v>25</v>
      </c>
      <c r="F1221" t="s">
        <v>36</v>
      </c>
      <c r="G1221" t="s">
        <v>124</v>
      </c>
      <c r="H1221" t="s">
        <v>35</v>
      </c>
      <c r="I1221">
        <v>7</v>
      </c>
    </row>
    <row r="1222" spans="1:9" x14ac:dyDescent="0.2">
      <c r="A1222">
        <v>5819647</v>
      </c>
      <c r="B1222">
        <v>5</v>
      </c>
      <c r="C1222">
        <v>3225</v>
      </c>
      <c r="D1222">
        <v>56605</v>
      </c>
      <c r="E1222">
        <v>24</v>
      </c>
      <c r="F1222" t="s">
        <v>47</v>
      </c>
      <c r="G1222" t="s">
        <v>106</v>
      </c>
      <c r="H1222" t="s">
        <v>46</v>
      </c>
      <c r="I1222">
        <v>10</v>
      </c>
    </row>
    <row r="1223" spans="1:9" x14ac:dyDescent="0.2">
      <c r="A1223">
        <v>5819647</v>
      </c>
      <c r="B1223">
        <v>6</v>
      </c>
      <c r="C1223">
        <v>3223</v>
      </c>
      <c r="D1223">
        <v>0</v>
      </c>
      <c r="E1223">
        <v>26</v>
      </c>
      <c r="F1223" t="s">
        <v>47</v>
      </c>
      <c r="G1223" t="s">
        <v>105</v>
      </c>
      <c r="H1223" t="s">
        <v>46</v>
      </c>
      <c r="I1223">
        <v>10</v>
      </c>
    </row>
    <row r="1224" spans="1:9" x14ac:dyDescent="0.2">
      <c r="A1224">
        <v>5832163</v>
      </c>
      <c r="B1224">
        <v>1</v>
      </c>
      <c r="C1224">
        <v>1359</v>
      </c>
      <c r="D1224">
        <v>56305</v>
      </c>
      <c r="E1224">
        <v>25</v>
      </c>
      <c r="F1224" t="s">
        <v>21</v>
      </c>
      <c r="G1224" t="s">
        <v>214</v>
      </c>
      <c r="H1224" t="s">
        <v>20</v>
      </c>
      <c r="I1224">
        <v>8</v>
      </c>
    </row>
    <row r="1225" spans="1:9" x14ac:dyDescent="0.2">
      <c r="A1225">
        <v>5832163</v>
      </c>
      <c r="B1225">
        <v>2</v>
      </c>
      <c r="C1225">
        <v>3661</v>
      </c>
      <c r="D1225">
        <v>55875</v>
      </c>
      <c r="E1225">
        <v>25</v>
      </c>
      <c r="F1225" t="s">
        <v>108</v>
      </c>
      <c r="G1225" t="s">
        <v>214</v>
      </c>
      <c r="H1225" t="s">
        <v>20</v>
      </c>
      <c r="I1225">
        <v>8</v>
      </c>
    </row>
    <row r="1226" spans="1:9" x14ac:dyDescent="0.2">
      <c r="A1226">
        <v>5832163</v>
      </c>
      <c r="B1226">
        <v>3</v>
      </c>
      <c r="C1226">
        <v>3701</v>
      </c>
      <c r="D1226">
        <v>54300</v>
      </c>
      <c r="E1226">
        <v>24</v>
      </c>
      <c r="F1226" t="s">
        <v>116</v>
      </c>
      <c r="G1226" t="s">
        <v>117</v>
      </c>
      <c r="H1226" t="s">
        <v>61</v>
      </c>
      <c r="I1226">
        <v>9</v>
      </c>
    </row>
    <row r="1227" spans="1:9" x14ac:dyDescent="0.2">
      <c r="A1227">
        <v>5832163</v>
      </c>
      <c r="B1227">
        <v>4</v>
      </c>
      <c r="C1227">
        <v>2221</v>
      </c>
      <c r="D1227">
        <v>0</v>
      </c>
      <c r="E1227">
        <v>26</v>
      </c>
      <c r="F1227" t="s">
        <v>177</v>
      </c>
      <c r="G1227" t="s">
        <v>63</v>
      </c>
      <c r="H1227" t="s">
        <v>371</v>
      </c>
      <c r="I1227">
        <v>2</v>
      </c>
    </row>
    <row r="1228" spans="1:9" x14ac:dyDescent="0.2">
      <c r="A1228">
        <v>5832163</v>
      </c>
      <c r="B1228">
        <v>5</v>
      </c>
      <c r="C1228">
        <v>3091</v>
      </c>
      <c r="D1228">
        <v>0</v>
      </c>
      <c r="E1228">
        <v>26</v>
      </c>
      <c r="F1228" t="s">
        <v>44</v>
      </c>
      <c r="G1228" t="s">
        <v>89</v>
      </c>
      <c r="H1228" t="s">
        <v>52</v>
      </c>
      <c r="I1228">
        <v>9</v>
      </c>
    </row>
    <row r="1229" spans="1:9" x14ac:dyDescent="0.2">
      <c r="A1229">
        <v>5832163</v>
      </c>
      <c r="B1229">
        <v>6</v>
      </c>
      <c r="C1229">
        <v>2220</v>
      </c>
      <c r="D1229">
        <v>0</v>
      </c>
      <c r="E1229">
        <v>26</v>
      </c>
      <c r="F1229" t="s">
        <v>177</v>
      </c>
      <c r="G1229" t="s">
        <v>97</v>
      </c>
      <c r="H1229" t="s">
        <v>371</v>
      </c>
      <c r="I1229">
        <v>2</v>
      </c>
    </row>
    <row r="1230" spans="1:9" x14ac:dyDescent="0.2">
      <c r="A1230">
        <v>5832163</v>
      </c>
      <c r="B1230">
        <v>7</v>
      </c>
      <c r="C1230">
        <v>3611</v>
      </c>
      <c r="D1230">
        <v>0</v>
      </c>
      <c r="E1230">
        <v>26</v>
      </c>
      <c r="F1230" t="s">
        <v>108</v>
      </c>
      <c r="G1230" t="s">
        <v>89</v>
      </c>
      <c r="H1230" t="s">
        <v>20</v>
      </c>
      <c r="I1230">
        <v>8</v>
      </c>
    </row>
    <row r="1231" spans="1:9" x14ac:dyDescent="0.2">
      <c r="A1231">
        <v>5832163</v>
      </c>
      <c r="B1231">
        <v>8</v>
      </c>
      <c r="C1231">
        <v>2266</v>
      </c>
      <c r="D1231">
        <v>0</v>
      </c>
      <c r="E1231">
        <v>26</v>
      </c>
      <c r="F1231" t="s">
        <v>177</v>
      </c>
      <c r="G1231" t="s">
        <v>372</v>
      </c>
      <c r="H1231" t="s">
        <v>371</v>
      </c>
      <c r="I1231">
        <v>2</v>
      </c>
    </row>
    <row r="1232" spans="1:9" x14ac:dyDescent="0.2">
      <c r="A1232">
        <v>5832164</v>
      </c>
      <c r="B1232">
        <v>1</v>
      </c>
      <c r="C1232">
        <v>1160</v>
      </c>
      <c r="D1232">
        <v>63090</v>
      </c>
      <c r="E1232">
        <v>25</v>
      </c>
      <c r="F1232" t="s">
        <v>17</v>
      </c>
      <c r="G1232" t="s">
        <v>355</v>
      </c>
      <c r="H1232" t="s">
        <v>16</v>
      </c>
      <c r="I1232" t="s">
        <v>448</v>
      </c>
    </row>
    <row r="1233" spans="1:9" x14ac:dyDescent="0.2">
      <c r="A1233">
        <v>5832164</v>
      </c>
      <c r="B1233">
        <v>2</v>
      </c>
      <c r="C1233">
        <v>1163</v>
      </c>
      <c r="D1233">
        <v>62525</v>
      </c>
      <c r="E1233">
        <v>25</v>
      </c>
      <c r="F1233" t="s">
        <v>17</v>
      </c>
      <c r="G1233" t="s">
        <v>64</v>
      </c>
      <c r="H1233" t="s">
        <v>16</v>
      </c>
      <c r="I1233" t="s">
        <v>448</v>
      </c>
    </row>
    <row r="1234" spans="1:9" x14ac:dyDescent="0.2">
      <c r="A1234">
        <v>5832164</v>
      </c>
      <c r="B1234">
        <v>3</v>
      </c>
      <c r="C1234">
        <v>1140</v>
      </c>
      <c r="D1234">
        <v>61515</v>
      </c>
      <c r="E1234">
        <v>25</v>
      </c>
      <c r="F1234" t="s">
        <v>17</v>
      </c>
      <c r="G1234" t="s">
        <v>363</v>
      </c>
      <c r="H1234" t="s">
        <v>16</v>
      </c>
      <c r="I1234" t="s">
        <v>448</v>
      </c>
    </row>
    <row r="1235" spans="1:9" x14ac:dyDescent="0.2">
      <c r="A1235">
        <v>5832164</v>
      </c>
      <c r="B1235">
        <v>4</v>
      </c>
      <c r="C1235">
        <v>1190</v>
      </c>
      <c r="D1235">
        <v>60310</v>
      </c>
      <c r="E1235">
        <v>25</v>
      </c>
      <c r="F1235" t="s">
        <v>17</v>
      </c>
      <c r="G1235" t="s">
        <v>364</v>
      </c>
      <c r="H1235" t="s">
        <v>16</v>
      </c>
      <c r="I1235" t="s">
        <v>448</v>
      </c>
    </row>
    <row r="1236" spans="1:9" x14ac:dyDescent="0.2">
      <c r="A1236">
        <v>5832164</v>
      </c>
      <c r="B1236">
        <v>5</v>
      </c>
      <c r="C1236">
        <v>1436</v>
      </c>
      <c r="D1236">
        <v>60545</v>
      </c>
      <c r="E1236">
        <v>25</v>
      </c>
      <c r="F1236" t="s">
        <v>25</v>
      </c>
      <c r="G1236" t="s">
        <v>178</v>
      </c>
      <c r="H1236" t="s">
        <v>24</v>
      </c>
      <c r="I1236">
        <v>5</v>
      </c>
    </row>
    <row r="1237" spans="1:9" x14ac:dyDescent="0.2">
      <c r="A1237">
        <v>5832164</v>
      </c>
      <c r="B1237">
        <v>6</v>
      </c>
      <c r="C1237">
        <v>1359</v>
      </c>
      <c r="D1237">
        <v>62315</v>
      </c>
      <c r="E1237">
        <v>24</v>
      </c>
      <c r="F1237" t="s">
        <v>21</v>
      </c>
      <c r="G1237" t="s">
        <v>214</v>
      </c>
      <c r="H1237" t="s">
        <v>20</v>
      </c>
      <c r="I1237">
        <v>8</v>
      </c>
    </row>
    <row r="1238" spans="1:9" x14ac:dyDescent="0.2">
      <c r="A1238">
        <v>5832164</v>
      </c>
      <c r="B1238">
        <v>7</v>
      </c>
      <c r="C1238">
        <v>1666</v>
      </c>
      <c r="D1238">
        <v>0</v>
      </c>
      <c r="E1238">
        <v>26</v>
      </c>
      <c r="F1238" t="s">
        <v>128</v>
      </c>
      <c r="G1238" t="s">
        <v>303</v>
      </c>
      <c r="H1238" t="s">
        <v>127</v>
      </c>
      <c r="I1238" t="s">
        <v>448</v>
      </c>
    </row>
    <row r="1239" spans="1:9" x14ac:dyDescent="0.2">
      <c r="A1239">
        <v>5832164</v>
      </c>
      <c r="B1239">
        <v>8</v>
      </c>
      <c r="C1239">
        <v>1729</v>
      </c>
      <c r="D1239">
        <v>0</v>
      </c>
      <c r="E1239">
        <v>26</v>
      </c>
      <c r="F1239" t="s">
        <v>57</v>
      </c>
      <c r="G1239" t="s">
        <v>72</v>
      </c>
      <c r="H1239" t="s">
        <v>69</v>
      </c>
      <c r="I1239">
        <v>10</v>
      </c>
    </row>
    <row r="1240" spans="1:9" x14ac:dyDescent="0.2">
      <c r="A1240">
        <v>5871701</v>
      </c>
      <c r="B1240">
        <v>1</v>
      </c>
      <c r="C1240">
        <v>1137</v>
      </c>
      <c r="D1240">
        <v>67785</v>
      </c>
      <c r="E1240">
        <v>24</v>
      </c>
      <c r="F1240" t="s">
        <v>17</v>
      </c>
      <c r="G1240" t="s">
        <v>291</v>
      </c>
      <c r="H1240" t="s">
        <v>16</v>
      </c>
      <c r="I1240" t="s">
        <v>448</v>
      </c>
    </row>
    <row r="1241" spans="1:9" x14ac:dyDescent="0.2">
      <c r="A1241">
        <v>5871701</v>
      </c>
      <c r="B1241">
        <v>2</v>
      </c>
      <c r="C1241">
        <v>1789</v>
      </c>
      <c r="D1241">
        <v>0</v>
      </c>
      <c r="E1241">
        <v>26</v>
      </c>
      <c r="F1241" t="s">
        <v>57</v>
      </c>
      <c r="G1241" t="s">
        <v>122</v>
      </c>
      <c r="H1241" t="s">
        <v>69</v>
      </c>
      <c r="I1241">
        <v>10</v>
      </c>
    </row>
    <row r="1242" spans="1:9" x14ac:dyDescent="0.2">
      <c r="A1242">
        <v>5871701</v>
      </c>
      <c r="B1242">
        <v>3</v>
      </c>
      <c r="C1242">
        <v>1255</v>
      </c>
      <c r="D1242">
        <v>0</v>
      </c>
      <c r="E1242">
        <v>26</v>
      </c>
      <c r="F1242" t="s">
        <v>19</v>
      </c>
      <c r="G1242" t="s">
        <v>292</v>
      </c>
      <c r="H1242" t="s">
        <v>16</v>
      </c>
      <c r="I1242" t="s">
        <v>448</v>
      </c>
    </row>
    <row r="1243" spans="1:9" x14ac:dyDescent="0.2">
      <c r="A1243">
        <v>5871701</v>
      </c>
      <c r="B1243">
        <v>4</v>
      </c>
      <c r="C1243">
        <v>1574</v>
      </c>
      <c r="D1243">
        <v>0</v>
      </c>
      <c r="E1243">
        <v>26</v>
      </c>
      <c r="F1243" t="s">
        <v>142</v>
      </c>
      <c r="G1243" t="s">
        <v>263</v>
      </c>
      <c r="H1243" t="s">
        <v>113</v>
      </c>
      <c r="I1243">
        <v>5</v>
      </c>
    </row>
    <row r="1244" spans="1:9" x14ac:dyDescent="0.2">
      <c r="A1244">
        <v>5871701</v>
      </c>
      <c r="B1244">
        <v>5</v>
      </c>
      <c r="C1244">
        <v>1609</v>
      </c>
      <c r="D1244">
        <v>0</v>
      </c>
      <c r="E1244">
        <v>26</v>
      </c>
      <c r="F1244" t="s">
        <v>128</v>
      </c>
      <c r="G1244" t="s">
        <v>293</v>
      </c>
      <c r="H1244" t="s">
        <v>127</v>
      </c>
      <c r="I1244" t="s">
        <v>448</v>
      </c>
    </row>
    <row r="1245" spans="1:9" x14ac:dyDescent="0.2">
      <c r="A1245">
        <v>5871701</v>
      </c>
      <c r="B1245">
        <v>6</v>
      </c>
      <c r="C1245">
        <v>1728</v>
      </c>
      <c r="D1245">
        <v>0</v>
      </c>
      <c r="E1245">
        <v>26</v>
      </c>
      <c r="F1245" t="s">
        <v>57</v>
      </c>
      <c r="G1245" t="s">
        <v>103</v>
      </c>
      <c r="H1245" t="s">
        <v>69</v>
      </c>
      <c r="I1245">
        <v>10</v>
      </c>
    </row>
    <row r="1246" spans="1:9" x14ac:dyDescent="0.2">
      <c r="A1246">
        <v>5871701</v>
      </c>
      <c r="B1246">
        <v>7</v>
      </c>
      <c r="C1246">
        <v>1734</v>
      </c>
      <c r="D1246">
        <v>0</v>
      </c>
      <c r="E1246">
        <v>26</v>
      </c>
      <c r="F1246" t="s">
        <v>57</v>
      </c>
      <c r="G1246" t="s">
        <v>81</v>
      </c>
      <c r="H1246" t="s">
        <v>69</v>
      </c>
      <c r="I1246">
        <v>10</v>
      </c>
    </row>
    <row r="1247" spans="1:9" x14ac:dyDescent="0.2">
      <c r="A1247">
        <v>5871701</v>
      </c>
      <c r="B1247">
        <v>8</v>
      </c>
      <c r="C1247">
        <v>1670</v>
      </c>
      <c r="D1247">
        <v>0</v>
      </c>
      <c r="E1247">
        <v>26</v>
      </c>
      <c r="F1247" t="s">
        <v>128</v>
      </c>
      <c r="G1247" t="s">
        <v>18</v>
      </c>
      <c r="H1247" t="s">
        <v>127</v>
      </c>
      <c r="I1247" t="s">
        <v>448</v>
      </c>
    </row>
    <row r="1248" spans="1:9" x14ac:dyDescent="0.2">
      <c r="A1248">
        <v>5901236</v>
      </c>
      <c r="B1248">
        <v>1</v>
      </c>
      <c r="C1248">
        <v>3242</v>
      </c>
      <c r="D1248">
        <v>54325</v>
      </c>
      <c r="E1248">
        <v>24</v>
      </c>
      <c r="F1248" t="s">
        <v>47</v>
      </c>
      <c r="G1248" t="s">
        <v>90</v>
      </c>
      <c r="H1248" t="s">
        <v>46</v>
      </c>
      <c r="I1248">
        <v>10</v>
      </c>
    </row>
    <row r="1249" spans="1:9" x14ac:dyDescent="0.2">
      <c r="A1249">
        <v>5901236</v>
      </c>
      <c r="B1249">
        <v>2</v>
      </c>
      <c r="C1249">
        <v>3234</v>
      </c>
      <c r="D1249">
        <v>0</v>
      </c>
      <c r="E1249">
        <v>26</v>
      </c>
      <c r="F1249" t="s">
        <v>47</v>
      </c>
      <c r="G1249" t="s">
        <v>76</v>
      </c>
      <c r="H1249" t="s">
        <v>46</v>
      </c>
      <c r="I1249">
        <v>10</v>
      </c>
    </row>
    <row r="1250" spans="1:9" x14ac:dyDescent="0.2">
      <c r="A1250">
        <v>5901236</v>
      </c>
      <c r="B1250">
        <v>3</v>
      </c>
      <c r="C1250">
        <v>3252</v>
      </c>
      <c r="D1250">
        <v>0</v>
      </c>
      <c r="E1250">
        <v>26</v>
      </c>
      <c r="F1250" t="s">
        <v>47</v>
      </c>
      <c r="G1250" t="s">
        <v>45</v>
      </c>
      <c r="H1250" t="s">
        <v>46</v>
      </c>
      <c r="I1250">
        <v>10</v>
      </c>
    </row>
    <row r="1251" spans="1:9" x14ac:dyDescent="0.2">
      <c r="A1251">
        <v>5901236</v>
      </c>
      <c r="B1251">
        <v>4</v>
      </c>
      <c r="C1251">
        <v>3251</v>
      </c>
      <c r="D1251">
        <v>0</v>
      </c>
      <c r="E1251">
        <v>26</v>
      </c>
      <c r="F1251" t="s">
        <v>47</v>
      </c>
      <c r="G1251" t="s">
        <v>48</v>
      </c>
      <c r="H1251" t="s">
        <v>46</v>
      </c>
      <c r="I1251">
        <v>10</v>
      </c>
    </row>
    <row r="1252" spans="1:9" x14ac:dyDescent="0.2">
      <c r="A1252">
        <v>5902287</v>
      </c>
      <c r="B1252">
        <v>1</v>
      </c>
      <c r="C1252">
        <v>1736</v>
      </c>
      <c r="D1252">
        <v>51510</v>
      </c>
      <c r="E1252">
        <v>25</v>
      </c>
      <c r="F1252" t="s">
        <v>57</v>
      </c>
      <c r="G1252" t="s">
        <v>78</v>
      </c>
      <c r="H1252" t="s">
        <v>79</v>
      </c>
      <c r="I1252">
        <v>10</v>
      </c>
    </row>
    <row r="1253" spans="1:9" x14ac:dyDescent="0.2">
      <c r="A1253">
        <v>5902287</v>
      </c>
      <c r="B1253">
        <v>2</v>
      </c>
      <c r="C1253">
        <v>1752</v>
      </c>
      <c r="D1253">
        <v>51510</v>
      </c>
      <c r="E1253">
        <v>25</v>
      </c>
      <c r="F1253" t="s">
        <v>57</v>
      </c>
      <c r="G1253" t="s">
        <v>66</v>
      </c>
      <c r="H1253" t="s">
        <v>56</v>
      </c>
      <c r="I1253">
        <v>10</v>
      </c>
    </row>
    <row r="1254" spans="1:9" x14ac:dyDescent="0.2">
      <c r="A1254">
        <v>5902287</v>
      </c>
      <c r="B1254">
        <v>3</v>
      </c>
      <c r="C1254">
        <v>1737</v>
      </c>
      <c r="D1254">
        <v>51510</v>
      </c>
      <c r="E1254">
        <v>25</v>
      </c>
      <c r="F1254" t="s">
        <v>57</v>
      </c>
      <c r="G1254" t="s">
        <v>54</v>
      </c>
      <c r="H1254" t="s">
        <v>79</v>
      </c>
      <c r="I1254">
        <v>10</v>
      </c>
    </row>
    <row r="1255" spans="1:9" x14ac:dyDescent="0.2">
      <c r="A1255">
        <v>5916596</v>
      </c>
      <c r="B1255">
        <v>1</v>
      </c>
      <c r="C1255">
        <v>3261</v>
      </c>
      <c r="D1255">
        <v>52060</v>
      </c>
      <c r="E1255">
        <v>24</v>
      </c>
      <c r="F1255" t="s">
        <v>47</v>
      </c>
      <c r="G1255" t="s">
        <v>93</v>
      </c>
      <c r="H1255" t="s">
        <v>46</v>
      </c>
      <c r="I1255">
        <v>10</v>
      </c>
    </row>
    <row r="1256" spans="1:9" x14ac:dyDescent="0.2">
      <c r="A1256">
        <v>5916596</v>
      </c>
      <c r="B1256">
        <v>2</v>
      </c>
      <c r="C1256">
        <v>3248</v>
      </c>
      <c r="D1256">
        <v>0</v>
      </c>
      <c r="E1256">
        <v>26</v>
      </c>
      <c r="F1256" t="s">
        <v>47</v>
      </c>
      <c r="G1256" t="s">
        <v>92</v>
      </c>
      <c r="H1256" t="s">
        <v>46</v>
      </c>
      <c r="I1256">
        <v>10</v>
      </c>
    </row>
    <row r="1257" spans="1:9" x14ac:dyDescent="0.2">
      <c r="A1257">
        <v>5916596</v>
      </c>
      <c r="B1257">
        <v>3</v>
      </c>
      <c r="C1257">
        <v>3252</v>
      </c>
      <c r="D1257">
        <v>0</v>
      </c>
      <c r="E1257">
        <v>26</v>
      </c>
      <c r="F1257" t="s">
        <v>47</v>
      </c>
      <c r="G1257" t="s">
        <v>45</v>
      </c>
      <c r="H1257" t="s">
        <v>46</v>
      </c>
      <c r="I1257">
        <v>10</v>
      </c>
    </row>
    <row r="1258" spans="1:9" x14ac:dyDescent="0.2">
      <c r="A1258">
        <v>5916596</v>
      </c>
      <c r="B1258">
        <v>4</v>
      </c>
      <c r="C1258">
        <v>3234</v>
      </c>
      <c r="D1258">
        <v>0</v>
      </c>
      <c r="E1258">
        <v>26</v>
      </c>
      <c r="F1258" t="s">
        <v>47</v>
      </c>
      <c r="G1258" t="s">
        <v>76</v>
      </c>
      <c r="H1258" t="s">
        <v>46</v>
      </c>
      <c r="I1258">
        <v>10</v>
      </c>
    </row>
    <row r="1259" spans="1:9" x14ac:dyDescent="0.2">
      <c r="A1259">
        <v>5916596</v>
      </c>
      <c r="B1259">
        <v>5</v>
      </c>
      <c r="C1259">
        <v>3701</v>
      </c>
      <c r="D1259">
        <v>0</v>
      </c>
      <c r="E1259">
        <v>26</v>
      </c>
      <c r="F1259" t="s">
        <v>116</v>
      </c>
      <c r="G1259" t="s">
        <v>117</v>
      </c>
      <c r="H1259" t="s">
        <v>61</v>
      </c>
      <c r="I1259">
        <v>9</v>
      </c>
    </row>
    <row r="1260" spans="1:9" x14ac:dyDescent="0.2">
      <c r="A1260">
        <v>5919195</v>
      </c>
      <c r="B1260">
        <v>1</v>
      </c>
      <c r="C1260">
        <v>1776</v>
      </c>
      <c r="D1260">
        <v>51940</v>
      </c>
      <c r="E1260">
        <v>25</v>
      </c>
      <c r="F1260" t="s">
        <v>57</v>
      </c>
      <c r="G1260" t="s">
        <v>124</v>
      </c>
      <c r="H1260" t="s">
        <v>125</v>
      </c>
      <c r="I1260">
        <v>10</v>
      </c>
    </row>
    <row r="1261" spans="1:9" x14ac:dyDescent="0.2">
      <c r="A1261">
        <v>5919195</v>
      </c>
      <c r="B1261">
        <v>2</v>
      </c>
      <c r="C1261">
        <v>3023</v>
      </c>
      <c r="D1261">
        <v>52510</v>
      </c>
      <c r="E1261">
        <v>25</v>
      </c>
      <c r="F1261" t="s">
        <v>44</v>
      </c>
      <c r="G1261" t="s">
        <v>124</v>
      </c>
      <c r="H1261" t="s">
        <v>50</v>
      </c>
      <c r="I1261">
        <v>9</v>
      </c>
    </row>
    <row r="1262" spans="1:9" x14ac:dyDescent="0.2">
      <c r="A1262">
        <v>5919195</v>
      </c>
      <c r="B1262">
        <v>3</v>
      </c>
      <c r="C1262">
        <v>1383</v>
      </c>
      <c r="D1262">
        <v>52850</v>
      </c>
      <c r="E1262">
        <v>25</v>
      </c>
      <c r="F1262" t="s">
        <v>21</v>
      </c>
      <c r="G1262" t="s">
        <v>124</v>
      </c>
      <c r="H1262" t="s">
        <v>20</v>
      </c>
      <c r="I1262">
        <v>8</v>
      </c>
    </row>
    <row r="1263" spans="1:9" x14ac:dyDescent="0.2">
      <c r="A1263">
        <v>5948444</v>
      </c>
      <c r="B1263">
        <v>1</v>
      </c>
      <c r="C1263">
        <v>3243</v>
      </c>
      <c r="D1263">
        <v>54965</v>
      </c>
      <c r="E1263">
        <v>24</v>
      </c>
      <c r="F1263" t="s">
        <v>47</v>
      </c>
      <c r="G1263" t="s">
        <v>75</v>
      </c>
      <c r="H1263" t="s">
        <v>46</v>
      </c>
      <c r="I1263">
        <v>10</v>
      </c>
    </row>
    <row r="1264" spans="1:9" x14ac:dyDescent="0.2">
      <c r="A1264">
        <v>5948444</v>
      </c>
      <c r="B1264">
        <v>2</v>
      </c>
      <c r="C1264">
        <v>3242</v>
      </c>
      <c r="D1264">
        <v>0</v>
      </c>
      <c r="E1264">
        <v>26</v>
      </c>
      <c r="F1264" t="s">
        <v>47</v>
      </c>
      <c r="G1264" t="s">
        <v>90</v>
      </c>
      <c r="H1264" t="s">
        <v>46</v>
      </c>
      <c r="I1264">
        <v>10</v>
      </c>
    </row>
    <row r="1265" spans="1:9" x14ac:dyDescent="0.2">
      <c r="A1265">
        <v>5948444</v>
      </c>
      <c r="B1265">
        <v>3</v>
      </c>
      <c r="C1265">
        <v>3261</v>
      </c>
      <c r="D1265">
        <v>0</v>
      </c>
      <c r="E1265">
        <v>26</v>
      </c>
      <c r="F1265" t="s">
        <v>47</v>
      </c>
      <c r="G1265" t="s">
        <v>93</v>
      </c>
      <c r="H1265" t="s">
        <v>46</v>
      </c>
      <c r="I1265">
        <v>10</v>
      </c>
    </row>
    <row r="1266" spans="1:9" x14ac:dyDescent="0.2">
      <c r="A1266">
        <v>5959429</v>
      </c>
      <c r="B1266">
        <v>1</v>
      </c>
      <c r="C1266">
        <v>1509</v>
      </c>
      <c r="D1266">
        <v>56810</v>
      </c>
      <c r="E1266">
        <v>25</v>
      </c>
      <c r="F1266" t="s">
        <v>142</v>
      </c>
      <c r="G1266" t="s">
        <v>162</v>
      </c>
      <c r="H1266" t="s">
        <v>31</v>
      </c>
      <c r="I1266">
        <v>5</v>
      </c>
    </row>
    <row r="1267" spans="1:9" x14ac:dyDescent="0.2">
      <c r="A1267">
        <v>5959429</v>
      </c>
      <c r="B1267">
        <v>2</v>
      </c>
      <c r="C1267">
        <v>1779</v>
      </c>
      <c r="D1267">
        <v>55565</v>
      </c>
      <c r="E1267">
        <v>24</v>
      </c>
      <c r="F1267" t="s">
        <v>57</v>
      </c>
      <c r="G1267" t="s">
        <v>162</v>
      </c>
      <c r="H1267" t="s">
        <v>79</v>
      </c>
      <c r="I1267">
        <v>10</v>
      </c>
    </row>
    <row r="1268" spans="1:9" x14ac:dyDescent="0.2">
      <c r="A1268">
        <v>5959429</v>
      </c>
      <c r="B1268">
        <v>3</v>
      </c>
      <c r="C1268">
        <v>1545</v>
      </c>
      <c r="D1268">
        <v>0</v>
      </c>
      <c r="E1268">
        <v>26</v>
      </c>
      <c r="F1268" t="s">
        <v>142</v>
      </c>
      <c r="G1268" t="s">
        <v>341</v>
      </c>
      <c r="H1268" t="s">
        <v>241</v>
      </c>
      <c r="I1268">
        <v>5</v>
      </c>
    </row>
    <row r="1269" spans="1:9" x14ac:dyDescent="0.2">
      <c r="A1269">
        <v>5960475</v>
      </c>
      <c r="B1269">
        <v>1</v>
      </c>
      <c r="C1269">
        <v>3239</v>
      </c>
      <c r="D1269">
        <v>52665</v>
      </c>
      <c r="E1269">
        <v>24</v>
      </c>
      <c r="F1269" t="s">
        <v>47</v>
      </c>
      <c r="G1269" t="s">
        <v>107</v>
      </c>
      <c r="H1269" t="s">
        <v>46</v>
      </c>
      <c r="I1269">
        <v>10</v>
      </c>
    </row>
    <row r="1270" spans="1:9" x14ac:dyDescent="0.2">
      <c r="A1270">
        <v>5960475</v>
      </c>
      <c r="B1270">
        <v>2</v>
      </c>
      <c r="C1270">
        <v>3245</v>
      </c>
      <c r="D1270">
        <v>0</v>
      </c>
      <c r="E1270">
        <v>26</v>
      </c>
      <c r="F1270" t="s">
        <v>47</v>
      </c>
      <c r="G1270" t="s">
        <v>157</v>
      </c>
      <c r="H1270" t="s">
        <v>74</v>
      </c>
      <c r="I1270">
        <v>10</v>
      </c>
    </row>
    <row r="1271" spans="1:9" x14ac:dyDescent="0.2">
      <c r="A1271">
        <v>5960475</v>
      </c>
      <c r="B1271">
        <v>3</v>
      </c>
      <c r="C1271">
        <v>3243</v>
      </c>
      <c r="D1271">
        <v>0</v>
      </c>
      <c r="E1271">
        <v>26</v>
      </c>
      <c r="F1271" t="s">
        <v>47</v>
      </c>
      <c r="G1271" t="s">
        <v>75</v>
      </c>
      <c r="H1271" t="s">
        <v>46</v>
      </c>
      <c r="I1271">
        <v>10</v>
      </c>
    </row>
    <row r="1272" spans="1:9" x14ac:dyDescent="0.2">
      <c r="A1272">
        <v>5960475</v>
      </c>
      <c r="B1272">
        <v>4</v>
      </c>
      <c r="C1272">
        <v>3234</v>
      </c>
      <c r="D1272">
        <v>0</v>
      </c>
      <c r="E1272">
        <v>26</v>
      </c>
      <c r="F1272" t="s">
        <v>47</v>
      </c>
      <c r="G1272" t="s">
        <v>76</v>
      </c>
      <c r="H1272" t="s">
        <v>46</v>
      </c>
      <c r="I1272">
        <v>10</v>
      </c>
    </row>
    <row r="1273" spans="1:9" x14ac:dyDescent="0.2">
      <c r="A1273">
        <v>6006608</v>
      </c>
      <c r="B1273">
        <v>1</v>
      </c>
      <c r="C1273">
        <v>3225</v>
      </c>
      <c r="D1273">
        <v>51145</v>
      </c>
      <c r="E1273">
        <v>24</v>
      </c>
      <c r="F1273" t="s">
        <v>47</v>
      </c>
      <c r="G1273" t="s">
        <v>106</v>
      </c>
      <c r="H1273" t="s">
        <v>46</v>
      </c>
      <c r="I1273">
        <v>10</v>
      </c>
    </row>
    <row r="1274" spans="1:9" x14ac:dyDescent="0.2">
      <c r="A1274">
        <v>6006608</v>
      </c>
      <c r="B1274">
        <v>2</v>
      </c>
      <c r="C1274">
        <v>3212</v>
      </c>
      <c r="D1274">
        <v>0</v>
      </c>
      <c r="E1274">
        <v>26</v>
      </c>
      <c r="F1274" t="s">
        <v>47</v>
      </c>
      <c r="G1274" t="s">
        <v>84</v>
      </c>
      <c r="H1274" t="s">
        <v>46</v>
      </c>
      <c r="I1274">
        <v>10</v>
      </c>
    </row>
    <row r="1275" spans="1:9" x14ac:dyDescent="0.2">
      <c r="A1275">
        <v>6006608</v>
      </c>
      <c r="B1275">
        <v>3</v>
      </c>
      <c r="C1275">
        <v>3211</v>
      </c>
      <c r="D1275">
        <v>0</v>
      </c>
      <c r="E1275">
        <v>26</v>
      </c>
      <c r="F1275" t="s">
        <v>47</v>
      </c>
      <c r="G1275" t="s">
        <v>99</v>
      </c>
      <c r="H1275" t="s">
        <v>46</v>
      </c>
      <c r="I1275">
        <v>10</v>
      </c>
    </row>
    <row r="1276" spans="1:9" x14ac:dyDescent="0.2">
      <c r="A1276">
        <v>6006608</v>
      </c>
      <c r="B1276">
        <v>4</v>
      </c>
      <c r="C1276">
        <v>3269</v>
      </c>
      <c r="D1276">
        <v>0</v>
      </c>
      <c r="E1276">
        <v>26</v>
      </c>
      <c r="F1276" t="s">
        <v>47</v>
      </c>
      <c r="G1276" t="s">
        <v>180</v>
      </c>
      <c r="H1276" t="s">
        <v>46</v>
      </c>
      <c r="I1276">
        <v>10</v>
      </c>
    </row>
    <row r="1277" spans="1:9" x14ac:dyDescent="0.2">
      <c r="A1277">
        <v>6006608</v>
      </c>
      <c r="B1277">
        <v>5</v>
      </c>
      <c r="C1277">
        <v>3219</v>
      </c>
      <c r="D1277">
        <v>0</v>
      </c>
      <c r="E1277">
        <v>26</v>
      </c>
      <c r="F1277" t="s">
        <v>47</v>
      </c>
      <c r="G1277" t="s">
        <v>205</v>
      </c>
      <c r="H1277" t="s">
        <v>74</v>
      </c>
      <c r="I1277">
        <v>10</v>
      </c>
    </row>
    <row r="1278" spans="1:9" x14ac:dyDescent="0.2">
      <c r="A1278">
        <v>6006608</v>
      </c>
      <c r="B1278">
        <v>6</v>
      </c>
      <c r="C1278">
        <v>3000</v>
      </c>
      <c r="D1278">
        <v>0</v>
      </c>
      <c r="E1278">
        <v>26</v>
      </c>
      <c r="F1278" t="s">
        <v>44</v>
      </c>
      <c r="G1278" t="s">
        <v>99</v>
      </c>
      <c r="H1278" t="s">
        <v>55</v>
      </c>
      <c r="I1278">
        <v>9</v>
      </c>
    </row>
    <row r="1279" spans="1:9" x14ac:dyDescent="0.2">
      <c r="A1279">
        <v>6079426</v>
      </c>
      <c r="B1279">
        <v>1</v>
      </c>
      <c r="C1279">
        <v>3234</v>
      </c>
      <c r="D1279">
        <v>53930</v>
      </c>
      <c r="E1279">
        <v>25</v>
      </c>
      <c r="F1279" t="s">
        <v>47</v>
      </c>
      <c r="G1279" t="s">
        <v>76</v>
      </c>
      <c r="H1279" t="s">
        <v>46</v>
      </c>
      <c r="I1279">
        <v>10</v>
      </c>
    </row>
    <row r="1280" spans="1:9" x14ac:dyDescent="0.2">
      <c r="A1280">
        <v>6079426</v>
      </c>
      <c r="B1280">
        <v>2</v>
      </c>
      <c r="C1280">
        <v>3242</v>
      </c>
      <c r="D1280">
        <v>54285</v>
      </c>
      <c r="E1280">
        <v>24</v>
      </c>
      <c r="F1280" t="s">
        <v>47</v>
      </c>
      <c r="G1280" t="s">
        <v>90</v>
      </c>
      <c r="H1280" t="s">
        <v>46</v>
      </c>
      <c r="I1280">
        <v>10</v>
      </c>
    </row>
    <row r="1281" spans="1:9" x14ac:dyDescent="0.2">
      <c r="A1281">
        <v>6079426</v>
      </c>
      <c r="B1281">
        <v>3</v>
      </c>
      <c r="C1281">
        <v>3519</v>
      </c>
      <c r="D1281">
        <v>0</v>
      </c>
      <c r="E1281">
        <v>26</v>
      </c>
      <c r="F1281" t="s">
        <v>234</v>
      </c>
      <c r="G1281" t="s">
        <v>380</v>
      </c>
      <c r="H1281" t="s">
        <v>35</v>
      </c>
      <c r="I1281">
        <v>7</v>
      </c>
    </row>
    <row r="1282" spans="1:9" x14ac:dyDescent="0.2">
      <c r="A1282">
        <v>6079426</v>
      </c>
      <c r="B1282">
        <v>4</v>
      </c>
      <c r="C1282">
        <v>1777</v>
      </c>
      <c r="D1282">
        <v>0</v>
      </c>
      <c r="E1282">
        <v>26</v>
      </c>
      <c r="F1282" t="s">
        <v>57</v>
      </c>
      <c r="G1282" t="s">
        <v>88</v>
      </c>
      <c r="H1282" t="s">
        <v>69</v>
      </c>
      <c r="I1282">
        <v>10</v>
      </c>
    </row>
    <row r="1283" spans="1:9" x14ac:dyDescent="0.2">
      <c r="A1283">
        <v>6079426</v>
      </c>
      <c r="B1283">
        <v>5</v>
      </c>
      <c r="C1283">
        <v>1785</v>
      </c>
      <c r="D1283">
        <v>0</v>
      </c>
      <c r="E1283">
        <v>26</v>
      </c>
      <c r="F1283" t="s">
        <v>57</v>
      </c>
      <c r="G1283" t="s">
        <v>86</v>
      </c>
      <c r="H1283" t="s">
        <v>69</v>
      </c>
      <c r="I1283">
        <v>10</v>
      </c>
    </row>
    <row r="1284" spans="1:9" x14ac:dyDescent="0.2">
      <c r="A1284">
        <v>6079426</v>
      </c>
      <c r="B1284">
        <v>6</v>
      </c>
      <c r="C1284">
        <v>3055</v>
      </c>
      <c r="D1284">
        <v>0</v>
      </c>
      <c r="E1284">
        <v>26</v>
      </c>
      <c r="F1284" t="s">
        <v>44</v>
      </c>
      <c r="G1284" t="s">
        <v>188</v>
      </c>
      <c r="H1284" t="s">
        <v>52</v>
      </c>
      <c r="I1284">
        <v>9</v>
      </c>
    </row>
    <row r="1285" spans="1:9" x14ac:dyDescent="0.2">
      <c r="A1285">
        <v>6079426</v>
      </c>
      <c r="B1285">
        <v>7</v>
      </c>
      <c r="C1285">
        <v>3212</v>
      </c>
      <c r="D1285">
        <v>0</v>
      </c>
      <c r="E1285">
        <v>26</v>
      </c>
      <c r="F1285" t="s">
        <v>47</v>
      </c>
      <c r="G1285" t="s">
        <v>84</v>
      </c>
      <c r="H1285" t="s">
        <v>46</v>
      </c>
      <c r="I1285">
        <v>10</v>
      </c>
    </row>
    <row r="1286" spans="1:9" x14ac:dyDescent="0.2">
      <c r="A1286">
        <v>6079426</v>
      </c>
      <c r="B1286">
        <v>8</v>
      </c>
      <c r="C1286">
        <v>3418</v>
      </c>
      <c r="D1286">
        <v>0</v>
      </c>
      <c r="E1286">
        <v>26</v>
      </c>
      <c r="F1286" t="s">
        <v>36</v>
      </c>
      <c r="G1286" t="s">
        <v>84</v>
      </c>
      <c r="H1286" t="s">
        <v>35</v>
      </c>
      <c r="I1286">
        <v>7</v>
      </c>
    </row>
    <row r="1287" spans="1:9" x14ac:dyDescent="0.2">
      <c r="A1287">
        <v>6090294</v>
      </c>
      <c r="B1287">
        <v>1</v>
      </c>
      <c r="C1287">
        <v>1728</v>
      </c>
      <c r="D1287">
        <v>62240</v>
      </c>
      <c r="E1287">
        <v>25</v>
      </c>
      <c r="F1287" t="s">
        <v>57</v>
      </c>
      <c r="G1287" t="s">
        <v>103</v>
      </c>
      <c r="H1287" t="s">
        <v>69</v>
      </c>
      <c r="I1287">
        <v>10</v>
      </c>
    </row>
    <row r="1288" spans="1:9" x14ac:dyDescent="0.2">
      <c r="A1288">
        <v>6090294</v>
      </c>
      <c r="B1288">
        <v>2</v>
      </c>
      <c r="C1288">
        <v>1705</v>
      </c>
      <c r="D1288">
        <v>60750</v>
      </c>
      <c r="E1288">
        <v>25</v>
      </c>
      <c r="F1288" t="s">
        <v>57</v>
      </c>
      <c r="G1288" t="s">
        <v>102</v>
      </c>
      <c r="H1288" t="s">
        <v>69</v>
      </c>
      <c r="I1288">
        <v>10</v>
      </c>
    </row>
    <row r="1289" spans="1:9" x14ac:dyDescent="0.2">
      <c r="A1289">
        <v>6090294</v>
      </c>
      <c r="B1289">
        <v>3</v>
      </c>
      <c r="C1289">
        <v>1715</v>
      </c>
      <c r="D1289">
        <v>61800</v>
      </c>
      <c r="E1289">
        <v>24</v>
      </c>
      <c r="F1289" t="s">
        <v>57</v>
      </c>
      <c r="G1289" t="s">
        <v>151</v>
      </c>
      <c r="H1289" t="s">
        <v>69</v>
      </c>
      <c r="I1289">
        <v>10</v>
      </c>
    </row>
    <row r="1290" spans="1:9" x14ac:dyDescent="0.2">
      <c r="A1290">
        <v>6090294</v>
      </c>
      <c r="B1290">
        <v>4</v>
      </c>
      <c r="C1290">
        <v>1711</v>
      </c>
      <c r="D1290">
        <v>0</v>
      </c>
      <c r="E1290">
        <v>26</v>
      </c>
      <c r="F1290" t="s">
        <v>57</v>
      </c>
      <c r="G1290" t="s">
        <v>201</v>
      </c>
      <c r="H1290" t="s">
        <v>69</v>
      </c>
      <c r="I1290">
        <v>10</v>
      </c>
    </row>
    <row r="1291" spans="1:9" x14ac:dyDescent="0.2">
      <c r="A1291">
        <v>6091641</v>
      </c>
      <c r="B1291">
        <v>1</v>
      </c>
      <c r="C1291">
        <v>1309</v>
      </c>
      <c r="D1291">
        <v>51500</v>
      </c>
      <c r="E1291">
        <v>24</v>
      </c>
      <c r="F1291" t="s">
        <v>21</v>
      </c>
      <c r="G1291" t="s">
        <v>173</v>
      </c>
      <c r="H1291" t="s">
        <v>136</v>
      </c>
      <c r="I1291">
        <v>8</v>
      </c>
    </row>
    <row r="1292" spans="1:9" x14ac:dyDescent="0.2">
      <c r="A1292">
        <v>6091641</v>
      </c>
      <c r="B1292">
        <v>2</v>
      </c>
      <c r="C1292">
        <v>1306</v>
      </c>
      <c r="D1292">
        <v>0</v>
      </c>
      <c r="E1292">
        <v>26</v>
      </c>
      <c r="F1292" t="s">
        <v>21</v>
      </c>
      <c r="G1292" t="s">
        <v>58</v>
      </c>
      <c r="H1292" t="s">
        <v>136</v>
      </c>
      <c r="I1292">
        <v>8</v>
      </c>
    </row>
    <row r="1293" spans="1:9" x14ac:dyDescent="0.2">
      <c r="A1293">
        <v>6091641</v>
      </c>
      <c r="B1293">
        <v>3</v>
      </c>
      <c r="C1293">
        <v>1700</v>
      </c>
      <c r="D1293">
        <v>0</v>
      </c>
      <c r="E1293">
        <v>26</v>
      </c>
      <c r="F1293" t="s">
        <v>57</v>
      </c>
      <c r="G1293" t="s">
        <v>58</v>
      </c>
      <c r="H1293" t="s">
        <v>69</v>
      </c>
      <c r="I1293">
        <v>10</v>
      </c>
    </row>
    <row r="1294" spans="1:9" x14ac:dyDescent="0.2">
      <c r="A1294">
        <v>6091641</v>
      </c>
      <c r="B1294">
        <v>4</v>
      </c>
      <c r="C1294">
        <v>3225</v>
      </c>
      <c r="D1294">
        <v>0</v>
      </c>
      <c r="E1294">
        <v>26</v>
      </c>
      <c r="F1294" t="s">
        <v>47</v>
      </c>
      <c r="G1294" t="s">
        <v>106</v>
      </c>
      <c r="H1294" t="s">
        <v>46</v>
      </c>
      <c r="I1294">
        <v>10</v>
      </c>
    </row>
    <row r="1295" spans="1:9" x14ac:dyDescent="0.2">
      <c r="A1295">
        <v>6091641</v>
      </c>
      <c r="B1295">
        <v>5</v>
      </c>
      <c r="C1295">
        <v>1714</v>
      </c>
      <c r="D1295">
        <v>0</v>
      </c>
      <c r="E1295">
        <v>26</v>
      </c>
      <c r="F1295" t="s">
        <v>57</v>
      </c>
      <c r="G1295" t="s">
        <v>95</v>
      </c>
      <c r="H1295" t="s">
        <v>69</v>
      </c>
      <c r="I1295">
        <v>10</v>
      </c>
    </row>
    <row r="1296" spans="1:9" x14ac:dyDescent="0.2">
      <c r="A1296">
        <v>6091641</v>
      </c>
      <c r="B1296">
        <v>6</v>
      </c>
      <c r="C1296">
        <v>1307</v>
      </c>
      <c r="D1296">
        <v>0</v>
      </c>
      <c r="E1296">
        <v>26</v>
      </c>
      <c r="F1296" t="s">
        <v>21</v>
      </c>
      <c r="G1296" t="s">
        <v>95</v>
      </c>
      <c r="H1296" t="s">
        <v>136</v>
      </c>
      <c r="I1296">
        <v>8</v>
      </c>
    </row>
    <row r="1297" spans="1:9" x14ac:dyDescent="0.2">
      <c r="A1297">
        <v>6105763</v>
      </c>
      <c r="B1297">
        <v>1</v>
      </c>
      <c r="C1297">
        <v>3239</v>
      </c>
      <c r="D1297">
        <v>0</v>
      </c>
      <c r="E1297">
        <v>29</v>
      </c>
      <c r="F1297" t="s">
        <v>47</v>
      </c>
      <c r="G1297" t="s">
        <v>107</v>
      </c>
      <c r="H1297" t="s">
        <v>46</v>
      </c>
      <c r="I1297">
        <v>10</v>
      </c>
    </row>
    <row r="1298" spans="1:9" x14ac:dyDescent="0.2">
      <c r="A1298">
        <v>6105763</v>
      </c>
      <c r="B1298">
        <v>2</v>
      </c>
      <c r="C1298">
        <v>1559</v>
      </c>
      <c r="D1298">
        <v>60215</v>
      </c>
      <c r="E1298">
        <v>24</v>
      </c>
      <c r="F1298" t="s">
        <v>142</v>
      </c>
      <c r="G1298" t="s">
        <v>282</v>
      </c>
      <c r="H1298" t="s">
        <v>329</v>
      </c>
      <c r="I1298">
        <v>5</v>
      </c>
    </row>
    <row r="1299" spans="1:9" x14ac:dyDescent="0.2">
      <c r="A1299">
        <v>6105763</v>
      </c>
      <c r="B1299">
        <v>3</v>
      </c>
      <c r="C1299">
        <v>1537</v>
      </c>
      <c r="D1299">
        <v>0</v>
      </c>
      <c r="E1299">
        <v>26</v>
      </c>
      <c r="F1299" t="s">
        <v>142</v>
      </c>
      <c r="G1299" t="s">
        <v>282</v>
      </c>
      <c r="H1299" t="s">
        <v>241</v>
      </c>
      <c r="I1299">
        <v>5</v>
      </c>
    </row>
    <row r="1300" spans="1:9" x14ac:dyDescent="0.2">
      <c r="A1300">
        <v>6105763</v>
      </c>
      <c r="B1300">
        <v>4</v>
      </c>
      <c r="C1300">
        <v>1560</v>
      </c>
      <c r="D1300">
        <v>0</v>
      </c>
      <c r="E1300">
        <v>26</v>
      </c>
      <c r="F1300" t="s">
        <v>142</v>
      </c>
      <c r="G1300" t="s">
        <v>382</v>
      </c>
      <c r="H1300" t="s">
        <v>329</v>
      </c>
      <c r="I1300">
        <v>5</v>
      </c>
    </row>
    <row r="1301" spans="1:9" x14ac:dyDescent="0.2">
      <c r="A1301">
        <v>6105763</v>
      </c>
      <c r="B1301">
        <v>5</v>
      </c>
      <c r="C1301">
        <v>1538</v>
      </c>
      <c r="D1301">
        <v>0</v>
      </c>
      <c r="E1301">
        <v>26</v>
      </c>
      <c r="F1301" t="s">
        <v>142</v>
      </c>
      <c r="G1301" t="s">
        <v>382</v>
      </c>
      <c r="H1301" t="s">
        <v>241</v>
      </c>
      <c r="I1301">
        <v>5</v>
      </c>
    </row>
    <row r="1302" spans="1:9" x14ac:dyDescent="0.2">
      <c r="A1302">
        <v>6307375</v>
      </c>
      <c r="B1302">
        <v>1</v>
      </c>
      <c r="C1302">
        <v>1705</v>
      </c>
      <c r="D1302">
        <v>61310</v>
      </c>
      <c r="E1302">
        <v>25</v>
      </c>
      <c r="F1302" t="s">
        <v>57</v>
      </c>
      <c r="G1302" t="s">
        <v>102</v>
      </c>
      <c r="H1302" t="s">
        <v>69</v>
      </c>
      <c r="I1302">
        <v>10</v>
      </c>
    </row>
    <row r="1303" spans="1:9" x14ac:dyDescent="0.2">
      <c r="A1303">
        <v>6307375</v>
      </c>
      <c r="B1303">
        <v>2</v>
      </c>
      <c r="C1303">
        <v>1734</v>
      </c>
      <c r="D1303">
        <v>62245</v>
      </c>
      <c r="E1303">
        <v>24</v>
      </c>
      <c r="F1303" t="s">
        <v>57</v>
      </c>
      <c r="G1303" t="s">
        <v>81</v>
      </c>
      <c r="H1303" t="s">
        <v>69</v>
      </c>
      <c r="I1303">
        <v>10</v>
      </c>
    </row>
    <row r="1304" spans="1:9" x14ac:dyDescent="0.2">
      <c r="A1304">
        <v>6307375</v>
      </c>
      <c r="B1304">
        <v>3</v>
      </c>
      <c r="C1304">
        <v>1728</v>
      </c>
      <c r="D1304">
        <v>0</v>
      </c>
      <c r="E1304">
        <v>26</v>
      </c>
      <c r="F1304" t="s">
        <v>57</v>
      </c>
      <c r="G1304" t="s">
        <v>103</v>
      </c>
      <c r="H1304" t="s">
        <v>69</v>
      </c>
      <c r="I1304">
        <v>10</v>
      </c>
    </row>
    <row r="1305" spans="1:9" x14ac:dyDescent="0.2">
      <c r="A1305">
        <v>6307375</v>
      </c>
      <c r="B1305">
        <v>4</v>
      </c>
      <c r="C1305">
        <v>1715</v>
      </c>
      <c r="D1305">
        <v>0</v>
      </c>
      <c r="E1305">
        <v>26</v>
      </c>
      <c r="F1305" t="s">
        <v>57</v>
      </c>
      <c r="G1305" t="s">
        <v>151</v>
      </c>
      <c r="H1305" t="s">
        <v>69</v>
      </c>
      <c r="I1305">
        <v>10</v>
      </c>
    </row>
    <row r="1306" spans="1:9" x14ac:dyDescent="0.2">
      <c r="A1306">
        <v>6307375</v>
      </c>
      <c r="B1306">
        <v>5</v>
      </c>
      <c r="C1306">
        <v>1732</v>
      </c>
      <c r="D1306">
        <v>0</v>
      </c>
      <c r="E1306">
        <v>26</v>
      </c>
      <c r="F1306" t="s">
        <v>57</v>
      </c>
      <c r="G1306" t="s">
        <v>104</v>
      </c>
      <c r="H1306" t="s">
        <v>69</v>
      </c>
      <c r="I1306">
        <v>10</v>
      </c>
    </row>
    <row r="1307" spans="1:9" x14ac:dyDescent="0.2">
      <c r="A1307">
        <v>6370953</v>
      </c>
      <c r="B1307">
        <v>1</v>
      </c>
      <c r="C1307">
        <v>3252</v>
      </c>
      <c r="D1307">
        <v>50960</v>
      </c>
      <c r="E1307">
        <v>25</v>
      </c>
      <c r="F1307" t="s">
        <v>47</v>
      </c>
      <c r="G1307" t="s">
        <v>45</v>
      </c>
      <c r="H1307" t="s">
        <v>46</v>
      </c>
      <c r="I1307">
        <v>10</v>
      </c>
    </row>
    <row r="1308" spans="1:9" x14ac:dyDescent="0.2">
      <c r="A1308">
        <v>6370953</v>
      </c>
      <c r="B1308">
        <v>2</v>
      </c>
      <c r="C1308">
        <v>3200</v>
      </c>
      <c r="D1308">
        <v>50340</v>
      </c>
      <c r="E1308">
        <v>25</v>
      </c>
      <c r="F1308" t="s">
        <v>47</v>
      </c>
      <c r="G1308" t="s">
        <v>18</v>
      </c>
      <c r="H1308" t="s">
        <v>46</v>
      </c>
      <c r="I1308">
        <v>10</v>
      </c>
    </row>
    <row r="1309" spans="1:9" x14ac:dyDescent="0.2">
      <c r="A1309">
        <v>6370953</v>
      </c>
      <c r="B1309">
        <v>3</v>
      </c>
      <c r="C1309">
        <v>3246</v>
      </c>
      <c r="D1309">
        <v>50960</v>
      </c>
      <c r="E1309">
        <v>25</v>
      </c>
      <c r="F1309" t="s">
        <v>47</v>
      </c>
      <c r="G1309" t="s">
        <v>91</v>
      </c>
      <c r="H1309" t="s">
        <v>74</v>
      </c>
      <c r="I1309">
        <v>10</v>
      </c>
    </row>
    <row r="1310" spans="1:9" x14ac:dyDescent="0.2">
      <c r="A1310">
        <v>6370953</v>
      </c>
      <c r="B1310">
        <v>4</v>
      </c>
      <c r="C1310">
        <v>1777</v>
      </c>
      <c r="D1310">
        <v>50670</v>
      </c>
      <c r="E1310">
        <v>25</v>
      </c>
      <c r="F1310" t="s">
        <v>57</v>
      </c>
      <c r="G1310" t="s">
        <v>88</v>
      </c>
      <c r="H1310" t="s">
        <v>69</v>
      </c>
      <c r="I1310">
        <v>10</v>
      </c>
    </row>
    <row r="1311" spans="1:9" x14ac:dyDescent="0.2">
      <c r="A1311">
        <v>6370953</v>
      </c>
      <c r="B1311">
        <v>5</v>
      </c>
      <c r="C1311">
        <v>3244</v>
      </c>
      <c r="D1311">
        <v>50655</v>
      </c>
      <c r="E1311">
        <v>24</v>
      </c>
      <c r="F1311" t="s">
        <v>47</v>
      </c>
      <c r="G1311" t="s">
        <v>73</v>
      </c>
      <c r="H1311" t="s">
        <v>74</v>
      </c>
      <c r="I1311">
        <v>10</v>
      </c>
    </row>
    <row r="1312" spans="1:9" x14ac:dyDescent="0.2">
      <c r="A1312">
        <v>6398589</v>
      </c>
      <c r="B1312">
        <v>1</v>
      </c>
      <c r="C1312">
        <v>1463</v>
      </c>
      <c r="D1312">
        <v>60040</v>
      </c>
      <c r="E1312">
        <v>25</v>
      </c>
      <c r="F1312" t="s">
        <v>25</v>
      </c>
      <c r="G1312" t="s">
        <v>66</v>
      </c>
      <c r="H1312" t="s">
        <v>24</v>
      </c>
      <c r="I1312">
        <v>5</v>
      </c>
    </row>
    <row r="1313" spans="1:9" x14ac:dyDescent="0.2">
      <c r="A1313">
        <v>6398589</v>
      </c>
      <c r="B1313">
        <v>2</v>
      </c>
      <c r="C1313">
        <v>1464</v>
      </c>
      <c r="D1313">
        <v>60040</v>
      </c>
      <c r="E1313">
        <v>25</v>
      </c>
      <c r="F1313" t="s">
        <v>25</v>
      </c>
      <c r="G1313" t="s">
        <v>339</v>
      </c>
      <c r="H1313" t="s">
        <v>24</v>
      </c>
      <c r="I1313">
        <v>5</v>
      </c>
    </row>
    <row r="1314" spans="1:9" x14ac:dyDescent="0.2">
      <c r="A1314">
        <v>6398589</v>
      </c>
      <c r="B1314">
        <v>3</v>
      </c>
      <c r="C1314">
        <v>1481</v>
      </c>
      <c r="D1314">
        <v>60040</v>
      </c>
      <c r="E1314">
        <v>25</v>
      </c>
      <c r="F1314" t="s">
        <v>25</v>
      </c>
      <c r="G1314" t="s">
        <v>121</v>
      </c>
      <c r="H1314" t="s">
        <v>24</v>
      </c>
      <c r="I1314">
        <v>5</v>
      </c>
    </row>
    <row r="1315" spans="1:9" x14ac:dyDescent="0.2">
      <c r="A1315">
        <v>6398589</v>
      </c>
      <c r="B1315">
        <v>4</v>
      </c>
      <c r="C1315">
        <v>1462</v>
      </c>
      <c r="D1315">
        <v>60040</v>
      </c>
      <c r="E1315">
        <v>24</v>
      </c>
      <c r="F1315" t="s">
        <v>25</v>
      </c>
      <c r="G1315" t="s">
        <v>352</v>
      </c>
      <c r="H1315" t="s">
        <v>24</v>
      </c>
      <c r="I1315">
        <v>5</v>
      </c>
    </row>
    <row r="1316" spans="1:9" x14ac:dyDescent="0.2">
      <c r="A1316">
        <v>6398589</v>
      </c>
      <c r="B1316">
        <v>5</v>
      </c>
      <c r="C1316">
        <v>1952</v>
      </c>
      <c r="D1316">
        <v>0</v>
      </c>
      <c r="E1316">
        <v>26</v>
      </c>
      <c r="F1316" t="s">
        <v>32</v>
      </c>
      <c r="G1316" t="s">
        <v>67</v>
      </c>
      <c r="H1316" t="s">
        <v>31</v>
      </c>
      <c r="I1316">
        <v>5</v>
      </c>
    </row>
    <row r="1317" spans="1:9" x14ac:dyDescent="0.2">
      <c r="A1317">
        <v>6398589</v>
      </c>
      <c r="B1317">
        <v>6</v>
      </c>
      <c r="C1317">
        <v>1985</v>
      </c>
      <c r="D1317">
        <v>0</v>
      </c>
      <c r="E1317">
        <v>26</v>
      </c>
      <c r="F1317" t="s">
        <v>32</v>
      </c>
      <c r="G1317" t="s">
        <v>385</v>
      </c>
      <c r="H1317" t="s">
        <v>31</v>
      </c>
      <c r="I1317">
        <v>5</v>
      </c>
    </row>
    <row r="1318" spans="1:9" x14ac:dyDescent="0.2">
      <c r="A1318">
        <v>6398589</v>
      </c>
      <c r="B1318">
        <v>7</v>
      </c>
      <c r="C1318">
        <v>1752</v>
      </c>
      <c r="D1318">
        <v>0</v>
      </c>
      <c r="E1318">
        <v>26</v>
      </c>
      <c r="F1318" t="s">
        <v>57</v>
      </c>
      <c r="G1318" t="s">
        <v>66</v>
      </c>
      <c r="H1318" t="s">
        <v>56</v>
      </c>
      <c r="I1318">
        <v>10</v>
      </c>
    </row>
    <row r="1319" spans="1:9" x14ac:dyDescent="0.2">
      <c r="A1319">
        <v>6418505</v>
      </c>
      <c r="B1319">
        <v>1</v>
      </c>
      <c r="C1319">
        <v>3211</v>
      </c>
      <c r="D1319">
        <v>49350</v>
      </c>
      <c r="E1319">
        <v>24</v>
      </c>
      <c r="F1319" t="s">
        <v>47</v>
      </c>
      <c r="G1319" t="s">
        <v>99</v>
      </c>
      <c r="H1319" t="s">
        <v>46</v>
      </c>
      <c r="I1319">
        <v>10</v>
      </c>
    </row>
    <row r="1320" spans="1:9" x14ac:dyDescent="0.2">
      <c r="A1320">
        <v>6418505</v>
      </c>
      <c r="B1320">
        <v>2</v>
      </c>
      <c r="C1320">
        <v>3212</v>
      </c>
      <c r="D1320">
        <v>0</v>
      </c>
      <c r="E1320">
        <v>26</v>
      </c>
      <c r="F1320" t="s">
        <v>47</v>
      </c>
      <c r="G1320" t="s">
        <v>84</v>
      </c>
      <c r="H1320" t="s">
        <v>46</v>
      </c>
      <c r="I1320">
        <v>10</v>
      </c>
    </row>
    <row r="1321" spans="1:9" x14ac:dyDescent="0.2">
      <c r="A1321">
        <v>6418505</v>
      </c>
      <c r="B1321">
        <v>3</v>
      </c>
      <c r="C1321">
        <v>3296</v>
      </c>
      <c r="D1321">
        <v>0</v>
      </c>
      <c r="E1321">
        <v>26</v>
      </c>
      <c r="F1321" t="s">
        <v>47</v>
      </c>
      <c r="G1321" t="s">
        <v>100</v>
      </c>
      <c r="H1321" t="s">
        <v>46</v>
      </c>
      <c r="I1321">
        <v>10</v>
      </c>
    </row>
    <row r="1322" spans="1:9" x14ac:dyDescent="0.2">
      <c r="A1322">
        <v>6418505</v>
      </c>
      <c r="B1322">
        <v>4</v>
      </c>
      <c r="C1322">
        <v>3200</v>
      </c>
      <c r="D1322">
        <v>0</v>
      </c>
      <c r="E1322">
        <v>26</v>
      </c>
      <c r="F1322" t="s">
        <v>47</v>
      </c>
      <c r="G1322" t="s">
        <v>18</v>
      </c>
      <c r="H1322" t="s">
        <v>46</v>
      </c>
      <c r="I1322">
        <v>10</v>
      </c>
    </row>
    <row r="1323" spans="1:9" x14ac:dyDescent="0.2">
      <c r="A1323">
        <v>6418505</v>
      </c>
      <c r="B1323">
        <v>5</v>
      </c>
      <c r="C1323">
        <v>3252</v>
      </c>
      <c r="D1323">
        <v>0</v>
      </c>
      <c r="E1323">
        <v>26</v>
      </c>
      <c r="F1323" t="s">
        <v>47</v>
      </c>
      <c r="G1323" t="s">
        <v>45</v>
      </c>
      <c r="H1323" t="s">
        <v>46</v>
      </c>
      <c r="I1323">
        <v>10</v>
      </c>
    </row>
    <row r="1324" spans="1:9" x14ac:dyDescent="0.2">
      <c r="A1324">
        <v>6418505</v>
      </c>
      <c r="B1324">
        <v>6</v>
      </c>
      <c r="C1324">
        <v>3239</v>
      </c>
      <c r="D1324">
        <v>0</v>
      </c>
      <c r="E1324">
        <v>26</v>
      </c>
      <c r="F1324" t="s">
        <v>47</v>
      </c>
      <c r="G1324" t="s">
        <v>107</v>
      </c>
      <c r="H1324" t="s">
        <v>46</v>
      </c>
      <c r="I1324">
        <v>10</v>
      </c>
    </row>
    <row r="1325" spans="1:9" x14ac:dyDescent="0.2">
      <c r="A1325">
        <v>6418505</v>
      </c>
      <c r="B1325">
        <v>7</v>
      </c>
      <c r="C1325">
        <v>3234</v>
      </c>
      <c r="D1325">
        <v>0</v>
      </c>
      <c r="E1325">
        <v>26</v>
      </c>
      <c r="F1325" t="s">
        <v>47</v>
      </c>
      <c r="G1325" t="s">
        <v>76</v>
      </c>
      <c r="H1325" t="s">
        <v>46</v>
      </c>
      <c r="I1325">
        <v>10</v>
      </c>
    </row>
    <row r="1326" spans="1:9" x14ac:dyDescent="0.2">
      <c r="A1326">
        <v>6418505</v>
      </c>
      <c r="B1326">
        <v>8</v>
      </c>
      <c r="C1326">
        <v>3242</v>
      </c>
      <c r="D1326">
        <v>0</v>
      </c>
      <c r="E1326">
        <v>26</v>
      </c>
      <c r="F1326" t="s">
        <v>47</v>
      </c>
      <c r="G1326" t="s">
        <v>90</v>
      </c>
      <c r="H1326" t="s">
        <v>46</v>
      </c>
      <c r="I1326">
        <v>10</v>
      </c>
    </row>
    <row r="1327" spans="1:9" x14ac:dyDescent="0.2">
      <c r="A1327">
        <v>6431312</v>
      </c>
      <c r="B1327">
        <v>1</v>
      </c>
      <c r="C1327">
        <v>1731</v>
      </c>
      <c r="D1327">
        <v>67135</v>
      </c>
      <c r="E1327">
        <v>25</v>
      </c>
      <c r="F1327" t="s">
        <v>57</v>
      </c>
      <c r="G1327" t="s">
        <v>172</v>
      </c>
      <c r="H1327" t="s">
        <v>69</v>
      </c>
      <c r="I1327">
        <v>10</v>
      </c>
    </row>
    <row r="1328" spans="1:9" x14ac:dyDescent="0.2">
      <c r="A1328">
        <v>6431312</v>
      </c>
      <c r="B1328">
        <v>2</v>
      </c>
      <c r="C1328">
        <v>1789</v>
      </c>
      <c r="D1328">
        <v>67135</v>
      </c>
      <c r="E1328">
        <v>25</v>
      </c>
      <c r="F1328" t="s">
        <v>57</v>
      </c>
      <c r="G1328" t="s">
        <v>122</v>
      </c>
      <c r="H1328" t="s">
        <v>69</v>
      </c>
      <c r="I1328">
        <v>10</v>
      </c>
    </row>
    <row r="1329" spans="1:9" x14ac:dyDescent="0.2">
      <c r="A1329">
        <v>6431312</v>
      </c>
      <c r="B1329">
        <v>3</v>
      </c>
      <c r="C1329">
        <v>1776</v>
      </c>
      <c r="D1329">
        <v>67260</v>
      </c>
      <c r="E1329">
        <v>24</v>
      </c>
      <c r="F1329" t="s">
        <v>57</v>
      </c>
      <c r="G1329" t="s">
        <v>124</v>
      </c>
      <c r="H1329" t="s">
        <v>125</v>
      </c>
      <c r="I1329">
        <v>10</v>
      </c>
    </row>
    <row r="1330" spans="1:9" x14ac:dyDescent="0.2">
      <c r="A1330">
        <v>6431312</v>
      </c>
      <c r="B1330">
        <v>4</v>
      </c>
      <c r="C1330">
        <v>1728</v>
      </c>
      <c r="D1330">
        <v>0</v>
      </c>
      <c r="E1330">
        <v>26</v>
      </c>
      <c r="F1330" t="s">
        <v>57</v>
      </c>
      <c r="G1330" t="s">
        <v>103</v>
      </c>
      <c r="H1330" t="s">
        <v>69</v>
      </c>
      <c r="I1330">
        <v>10</v>
      </c>
    </row>
    <row r="1331" spans="1:9" x14ac:dyDescent="0.2">
      <c r="A1331">
        <v>6431312</v>
      </c>
      <c r="B1331">
        <v>5</v>
      </c>
      <c r="C1331">
        <v>1734</v>
      </c>
      <c r="D1331">
        <v>0</v>
      </c>
      <c r="E1331">
        <v>26</v>
      </c>
      <c r="F1331" t="s">
        <v>57</v>
      </c>
      <c r="G1331" t="s">
        <v>81</v>
      </c>
      <c r="H1331" t="s">
        <v>69</v>
      </c>
      <c r="I1331">
        <v>10</v>
      </c>
    </row>
    <row r="1332" spans="1:9" x14ac:dyDescent="0.2">
      <c r="A1332">
        <v>6431312</v>
      </c>
      <c r="B1332">
        <v>6</v>
      </c>
      <c r="C1332">
        <v>1702</v>
      </c>
      <c r="D1332">
        <v>0</v>
      </c>
      <c r="E1332">
        <v>13</v>
      </c>
      <c r="F1332" t="s">
        <v>57</v>
      </c>
      <c r="G1332" t="s">
        <v>164</v>
      </c>
      <c r="H1332" t="s">
        <v>69</v>
      </c>
      <c r="I1332">
        <v>10</v>
      </c>
    </row>
    <row r="1333" spans="1:9" x14ac:dyDescent="0.2">
      <c r="A1333">
        <v>6431312</v>
      </c>
      <c r="B1333">
        <v>7</v>
      </c>
      <c r="C1333">
        <v>1714</v>
      </c>
      <c r="D1333">
        <v>0</v>
      </c>
      <c r="E1333">
        <v>13</v>
      </c>
      <c r="F1333" t="s">
        <v>57</v>
      </c>
      <c r="G1333" t="s">
        <v>95</v>
      </c>
      <c r="H1333" t="s">
        <v>69</v>
      </c>
      <c r="I1333">
        <v>10</v>
      </c>
    </row>
    <row r="1334" spans="1:9" x14ac:dyDescent="0.2">
      <c r="A1334">
        <v>6431312</v>
      </c>
      <c r="B1334">
        <v>8</v>
      </c>
      <c r="C1334">
        <v>1732</v>
      </c>
      <c r="D1334">
        <v>0</v>
      </c>
      <c r="E1334">
        <v>13</v>
      </c>
      <c r="F1334" t="s">
        <v>57</v>
      </c>
      <c r="G1334" t="s">
        <v>104</v>
      </c>
      <c r="H1334" t="s">
        <v>69</v>
      </c>
      <c r="I1334">
        <v>10</v>
      </c>
    </row>
    <row r="1335" spans="1:9" x14ac:dyDescent="0.2">
      <c r="A1335">
        <v>6462211</v>
      </c>
      <c r="B1335">
        <v>1</v>
      </c>
      <c r="C1335">
        <v>3002</v>
      </c>
      <c r="D1335">
        <v>56260</v>
      </c>
      <c r="E1335">
        <v>24</v>
      </c>
      <c r="F1335" t="s">
        <v>44</v>
      </c>
      <c r="G1335" t="s">
        <v>147</v>
      </c>
      <c r="H1335" t="s">
        <v>55</v>
      </c>
      <c r="I1335">
        <v>9</v>
      </c>
    </row>
    <row r="1336" spans="1:9" x14ac:dyDescent="0.2">
      <c r="A1336">
        <v>6462211</v>
      </c>
      <c r="B1336">
        <v>2</v>
      </c>
      <c r="C1336">
        <v>3075</v>
      </c>
      <c r="D1336">
        <v>0</v>
      </c>
      <c r="E1336">
        <v>26</v>
      </c>
      <c r="F1336" t="s">
        <v>44</v>
      </c>
      <c r="G1336" t="s">
        <v>148</v>
      </c>
      <c r="H1336" t="s">
        <v>61</v>
      </c>
      <c r="I1336">
        <v>9</v>
      </c>
    </row>
    <row r="1337" spans="1:9" x14ac:dyDescent="0.2">
      <c r="A1337">
        <v>6462211</v>
      </c>
      <c r="B1337">
        <v>3</v>
      </c>
      <c r="C1337">
        <v>3076</v>
      </c>
      <c r="D1337">
        <v>0</v>
      </c>
      <c r="E1337">
        <v>26</v>
      </c>
      <c r="F1337" t="s">
        <v>44</v>
      </c>
      <c r="G1337" t="s">
        <v>60</v>
      </c>
      <c r="H1337" t="s">
        <v>61</v>
      </c>
      <c r="I1337">
        <v>9</v>
      </c>
    </row>
    <row r="1338" spans="1:9" x14ac:dyDescent="0.2">
      <c r="A1338">
        <v>6462211</v>
      </c>
      <c r="B1338">
        <v>4</v>
      </c>
      <c r="C1338">
        <v>3078</v>
      </c>
      <c r="D1338">
        <v>0</v>
      </c>
      <c r="E1338">
        <v>26</v>
      </c>
      <c r="F1338" t="s">
        <v>44</v>
      </c>
      <c r="G1338" t="s">
        <v>149</v>
      </c>
      <c r="H1338" t="s">
        <v>61</v>
      </c>
      <c r="I1338">
        <v>9</v>
      </c>
    </row>
    <row r="1339" spans="1:9" x14ac:dyDescent="0.2">
      <c r="A1339">
        <v>6462211</v>
      </c>
      <c r="B1339">
        <v>5</v>
      </c>
      <c r="C1339">
        <v>3086</v>
      </c>
      <c r="D1339">
        <v>0</v>
      </c>
      <c r="E1339">
        <v>26</v>
      </c>
      <c r="F1339" t="s">
        <v>44</v>
      </c>
      <c r="G1339" t="s">
        <v>150</v>
      </c>
      <c r="H1339" t="s">
        <v>55</v>
      </c>
      <c r="I1339">
        <v>9</v>
      </c>
    </row>
    <row r="1340" spans="1:9" x14ac:dyDescent="0.2">
      <c r="A1340">
        <v>6462211</v>
      </c>
      <c r="B1340">
        <v>6</v>
      </c>
      <c r="C1340">
        <v>3058</v>
      </c>
      <c r="D1340">
        <v>0</v>
      </c>
      <c r="E1340">
        <v>26</v>
      </c>
      <c r="F1340" t="s">
        <v>44</v>
      </c>
      <c r="G1340" t="s">
        <v>53</v>
      </c>
      <c r="H1340" t="s">
        <v>52</v>
      </c>
      <c r="I1340">
        <v>9</v>
      </c>
    </row>
    <row r="1341" spans="1:9" x14ac:dyDescent="0.2">
      <c r="A1341">
        <v>6467706</v>
      </c>
      <c r="B1341">
        <v>1</v>
      </c>
      <c r="C1341">
        <v>3237</v>
      </c>
      <c r="D1341">
        <v>60435</v>
      </c>
      <c r="E1341">
        <v>24</v>
      </c>
      <c r="F1341" t="s">
        <v>47</v>
      </c>
      <c r="G1341" t="s">
        <v>181</v>
      </c>
      <c r="H1341" t="s">
        <v>46</v>
      </c>
      <c r="I1341">
        <v>10</v>
      </c>
    </row>
    <row r="1342" spans="1:9" x14ac:dyDescent="0.2">
      <c r="A1342">
        <v>6467706</v>
      </c>
      <c r="B1342">
        <v>2</v>
      </c>
      <c r="C1342">
        <v>3331</v>
      </c>
      <c r="D1342">
        <v>0</v>
      </c>
      <c r="E1342">
        <v>26</v>
      </c>
      <c r="F1342" t="s">
        <v>207</v>
      </c>
      <c r="G1342" t="s">
        <v>369</v>
      </c>
      <c r="H1342" t="s">
        <v>206</v>
      </c>
      <c r="I1342">
        <v>12</v>
      </c>
    </row>
    <row r="1343" spans="1:9" x14ac:dyDescent="0.2">
      <c r="A1343">
        <v>6467706</v>
      </c>
      <c r="B1343">
        <v>3</v>
      </c>
      <c r="C1343">
        <v>3323</v>
      </c>
      <c r="D1343">
        <v>0</v>
      </c>
      <c r="E1343">
        <v>26</v>
      </c>
      <c r="F1343" t="s">
        <v>207</v>
      </c>
      <c r="G1343" t="s">
        <v>124</v>
      </c>
      <c r="H1343" t="s">
        <v>206</v>
      </c>
      <c r="I1343">
        <v>12</v>
      </c>
    </row>
    <row r="1344" spans="1:9" x14ac:dyDescent="0.2">
      <c r="A1344">
        <v>6467706</v>
      </c>
      <c r="B1344">
        <v>4</v>
      </c>
      <c r="C1344">
        <v>3229</v>
      </c>
      <c r="D1344">
        <v>0</v>
      </c>
      <c r="E1344">
        <v>26</v>
      </c>
      <c r="F1344" t="s">
        <v>47</v>
      </c>
      <c r="G1344" t="s">
        <v>101</v>
      </c>
      <c r="H1344" t="s">
        <v>46</v>
      </c>
      <c r="I1344">
        <v>10</v>
      </c>
    </row>
    <row r="1345" spans="1:9" x14ac:dyDescent="0.2">
      <c r="A1345">
        <v>6473504</v>
      </c>
      <c r="B1345">
        <v>1</v>
      </c>
      <c r="C1345">
        <v>3021</v>
      </c>
      <c r="D1345">
        <v>0</v>
      </c>
      <c r="E1345">
        <v>17</v>
      </c>
      <c r="F1345" t="s">
        <v>44</v>
      </c>
      <c r="G1345" t="s">
        <v>49</v>
      </c>
      <c r="H1345" t="s">
        <v>50</v>
      </c>
      <c r="I1345">
        <v>9</v>
      </c>
    </row>
    <row r="1346" spans="1:9" x14ac:dyDescent="0.2">
      <c r="A1346">
        <v>6473504</v>
      </c>
      <c r="B1346">
        <v>2</v>
      </c>
      <c r="C1346">
        <v>1787</v>
      </c>
      <c r="D1346">
        <v>47700</v>
      </c>
      <c r="E1346">
        <v>25</v>
      </c>
      <c r="F1346" t="s">
        <v>57</v>
      </c>
      <c r="G1346" t="s">
        <v>49</v>
      </c>
      <c r="H1346" t="s">
        <v>56</v>
      </c>
      <c r="I1346">
        <v>10</v>
      </c>
    </row>
    <row r="1347" spans="1:9" x14ac:dyDescent="0.2">
      <c r="A1347">
        <v>6473504</v>
      </c>
      <c r="B1347">
        <v>3</v>
      </c>
      <c r="C1347">
        <v>3064</v>
      </c>
      <c r="D1347">
        <v>51945</v>
      </c>
      <c r="E1347">
        <v>25</v>
      </c>
      <c r="F1347" t="s">
        <v>44</v>
      </c>
      <c r="G1347" t="s">
        <v>97</v>
      </c>
      <c r="H1347" t="s">
        <v>52</v>
      </c>
      <c r="I1347">
        <v>9</v>
      </c>
    </row>
    <row r="1348" spans="1:9" x14ac:dyDescent="0.2">
      <c r="A1348">
        <v>6473504</v>
      </c>
      <c r="B1348">
        <v>4</v>
      </c>
      <c r="C1348">
        <v>1732</v>
      </c>
      <c r="D1348">
        <v>46965</v>
      </c>
      <c r="E1348">
        <v>25</v>
      </c>
      <c r="F1348" t="s">
        <v>57</v>
      </c>
      <c r="G1348" t="s">
        <v>104</v>
      </c>
      <c r="H1348" t="s">
        <v>69</v>
      </c>
      <c r="I1348">
        <v>10</v>
      </c>
    </row>
    <row r="1349" spans="1:9" x14ac:dyDescent="0.2">
      <c r="A1349">
        <v>6473504</v>
      </c>
      <c r="B1349">
        <v>5</v>
      </c>
      <c r="C1349">
        <v>1788</v>
      </c>
      <c r="D1349">
        <v>51805</v>
      </c>
      <c r="E1349">
        <v>25</v>
      </c>
      <c r="F1349" t="s">
        <v>57</v>
      </c>
      <c r="G1349" t="s">
        <v>97</v>
      </c>
      <c r="H1349" t="s">
        <v>56</v>
      </c>
      <c r="I1349">
        <v>10</v>
      </c>
    </row>
    <row r="1350" spans="1:9" x14ac:dyDescent="0.2">
      <c r="A1350">
        <v>6473504</v>
      </c>
      <c r="B1350">
        <v>6</v>
      </c>
      <c r="C1350">
        <v>3044</v>
      </c>
      <c r="D1350">
        <v>52040</v>
      </c>
      <c r="E1350">
        <v>25</v>
      </c>
      <c r="F1350" t="s">
        <v>44</v>
      </c>
      <c r="G1350" t="s">
        <v>250</v>
      </c>
      <c r="H1350" t="s">
        <v>52</v>
      </c>
      <c r="I1350">
        <v>9</v>
      </c>
    </row>
    <row r="1351" spans="1:9" x14ac:dyDescent="0.2">
      <c r="A1351">
        <v>6473504</v>
      </c>
      <c r="B1351">
        <v>7</v>
      </c>
      <c r="C1351">
        <v>1705</v>
      </c>
      <c r="D1351">
        <v>47950</v>
      </c>
      <c r="E1351">
        <v>25</v>
      </c>
      <c r="F1351" t="s">
        <v>57</v>
      </c>
      <c r="G1351" t="s">
        <v>102</v>
      </c>
      <c r="H1351" t="s">
        <v>69</v>
      </c>
      <c r="I1351">
        <v>10</v>
      </c>
    </row>
    <row r="1352" spans="1:9" x14ac:dyDescent="0.2">
      <c r="A1352">
        <v>6494070</v>
      </c>
      <c r="B1352">
        <v>1</v>
      </c>
      <c r="C1352">
        <v>3239</v>
      </c>
      <c r="D1352">
        <v>53250</v>
      </c>
      <c r="E1352">
        <v>24</v>
      </c>
      <c r="F1352" t="s">
        <v>47</v>
      </c>
      <c r="G1352" t="s">
        <v>107</v>
      </c>
      <c r="H1352" t="s">
        <v>46</v>
      </c>
      <c r="I1352">
        <v>10</v>
      </c>
    </row>
    <row r="1353" spans="1:9" x14ac:dyDescent="0.2">
      <c r="A1353">
        <v>6494070</v>
      </c>
      <c r="B1353">
        <v>2</v>
      </c>
      <c r="C1353">
        <v>3252</v>
      </c>
      <c r="D1353">
        <v>0</v>
      </c>
      <c r="E1353">
        <v>26</v>
      </c>
      <c r="F1353" t="s">
        <v>47</v>
      </c>
      <c r="G1353" t="s">
        <v>45</v>
      </c>
      <c r="H1353" t="s">
        <v>46</v>
      </c>
      <c r="I1353">
        <v>10</v>
      </c>
    </row>
    <row r="1354" spans="1:9" x14ac:dyDescent="0.2">
      <c r="A1354">
        <v>6494070</v>
      </c>
      <c r="B1354">
        <v>3</v>
      </c>
      <c r="C1354">
        <v>3212</v>
      </c>
      <c r="D1354">
        <v>0</v>
      </c>
      <c r="E1354">
        <v>26</v>
      </c>
      <c r="F1354" t="s">
        <v>47</v>
      </c>
      <c r="G1354" t="s">
        <v>84</v>
      </c>
      <c r="H1354" t="s">
        <v>46</v>
      </c>
      <c r="I1354">
        <v>10</v>
      </c>
    </row>
    <row r="1355" spans="1:9" x14ac:dyDescent="0.2">
      <c r="A1355">
        <v>6494070</v>
      </c>
      <c r="B1355">
        <v>4</v>
      </c>
      <c r="C1355">
        <v>3200</v>
      </c>
      <c r="D1355">
        <v>0</v>
      </c>
      <c r="E1355">
        <v>26</v>
      </c>
      <c r="F1355" t="s">
        <v>47</v>
      </c>
      <c r="G1355" t="s">
        <v>18</v>
      </c>
      <c r="H1355" t="s">
        <v>46</v>
      </c>
      <c r="I1355">
        <v>10</v>
      </c>
    </row>
    <row r="1356" spans="1:9" x14ac:dyDescent="0.2">
      <c r="A1356">
        <v>6494070</v>
      </c>
      <c r="B1356">
        <v>5</v>
      </c>
      <c r="C1356">
        <v>3296</v>
      </c>
      <c r="D1356">
        <v>0</v>
      </c>
      <c r="E1356">
        <v>26</v>
      </c>
      <c r="F1356" t="s">
        <v>47</v>
      </c>
      <c r="G1356" t="s">
        <v>100</v>
      </c>
      <c r="H1356" t="s">
        <v>46</v>
      </c>
      <c r="I1356">
        <v>10</v>
      </c>
    </row>
    <row r="1357" spans="1:9" x14ac:dyDescent="0.2">
      <c r="A1357">
        <v>6494553</v>
      </c>
      <c r="B1357">
        <v>1</v>
      </c>
      <c r="C1357">
        <v>3261</v>
      </c>
      <c r="D1357">
        <v>45420</v>
      </c>
      <c r="E1357">
        <v>25</v>
      </c>
      <c r="F1357" t="s">
        <v>47</v>
      </c>
      <c r="G1357" t="s">
        <v>93</v>
      </c>
      <c r="H1357" t="s">
        <v>46</v>
      </c>
      <c r="I1357">
        <v>10</v>
      </c>
    </row>
    <row r="1358" spans="1:9" x14ac:dyDescent="0.2">
      <c r="A1358">
        <v>6494553</v>
      </c>
      <c r="B1358">
        <v>2</v>
      </c>
      <c r="C1358">
        <v>3296</v>
      </c>
      <c r="D1358">
        <v>45490</v>
      </c>
      <c r="E1358">
        <v>25</v>
      </c>
      <c r="F1358" t="s">
        <v>47</v>
      </c>
      <c r="G1358" t="s">
        <v>100</v>
      </c>
      <c r="H1358" t="s">
        <v>46</v>
      </c>
      <c r="I1358">
        <v>10</v>
      </c>
    </row>
    <row r="1359" spans="1:9" x14ac:dyDescent="0.2">
      <c r="A1359">
        <v>6513067</v>
      </c>
      <c r="B1359">
        <v>1</v>
      </c>
      <c r="C1359">
        <v>3200</v>
      </c>
      <c r="D1359">
        <v>47250</v>
      </c>
      <c r="E1359">
        <v>25</v>
      </c>
      <c r="F1359" t="s">
        <v>47</v>
      </c>
      <c r="G1359" t="s">
        <v>18</v>
      </c>
      <c r="H1359" t="s">
        <v>46</v>
      </c>
      <c r="I1359">
        <v>10</v>
      </c>
    </row>
    <row r="1360" spans="1:9" x14ac:dyDescent="0.2">
      <c r="A1360">
        <v>6576932</v>
      </c>
      <c r="B1360">
        <v>1</v>
      </c>
      <c r="C1360">
        <v>3252</v>
      </c>
      <c r="D1360">
        <v>53625</v>
      </c>
      <c r="E1360">
        <v>24</v>
      </c>
      <c r="F1360" t="s">
        <v>47</v>
      </c>
      <c r="G1360" t="s">
        <v>45</v>
      </c>
      <c r="H1360" t="s">
        <v>46</v>
      </c>
      <c r="I1360">
        <v>10</v>
      </c>
    </row>
    <row r="1361" spans="1:9" x14ac:dyDescent="0.2">
      <c r="A1361">
        <v>6576932</v>
      </c>
      <c r="B1361">
        <v>2</v>
      </c>
      <c r="C1361">
        <v>3251</v>
      </c>
      <c r="D1361">
        <v>0</v>
      </c>
      <c r="E1361">
        <v>26</v>
      </c>
      <c r="F1361" t="s">
        <v>47</v>
      </c>
      <c r="G1361" t="s">
        <v>48</v>
      </c>
      <c r="H1361" t="s">
        <v>46</v>
      </c>
      <c r="I1361">
        <v>10</v>
      </c>
    </row>
    <row r="1362" spans="1:9" x14ac:dyDescent="0.2">
      <c r="A1362">
        <v>6576932</v>
      </c>
      <c r="B1362">
        <v>3</v>
      </c>
      <c r="C1362">
        <v>3239</v>
      </c>
      <c r="D1362">
        <v>0</v>
      </c>
      <c r="E1362">
        <v>26</v>
      </c>
      <c r="F1362" t="s">
        <v>47</v>
      </c>
      <c r="G1362" t="s">
        <v>107</v>
      </c>
      <c r="H1362" t="s">
        <v>46</v>
      </c>
      <c r="I1362">
        <v>10</v>
      </c>
    </row>
    <row r="1363" spans="1:9" x14ac:dyDescent="0.2">
      <c r="A1363">
        <v>6576932</v>
      </c>
      <c r="B1363">
        <v>4</v>
      </c>
      <c r="C1363">
        <v>3243</v>
      </c>
      <c r="D1363">
        <v>0</v>
      </c>
      <c r="E1363">
        <v>26</v>
      </c>
      <c r="F1363" t="s">
        <v>47</v>
      </c>
      <c r="G1363" t="s">
        <v>75</v>
      </c>
      <c r="H1363" t="s">
        <v>46</v>
      </c>
      <c r="I1363">
        <v>10</v>
      </c>
    </row>
    <row r="1364" spans="1:9" x14ac:dyDescent="0.2">
      <c r="A1364">
        <v>6576932</v>
      </c>
      <c r="B1364">
        <v>5</v>
      </c>
      <c r="C1364">
        <v>3234</v>
      </c>
      <c r="D1364">
        <v>0</v>
      </c>
      <c r="E1364">
        <v>26</v>
      </c>
      <c r="F1364" t="s">
        <v>47</v>
      </c>
      <c r="G1364" t="s">
        <v>76</v>
      </c>
      <c r="H1364" t="s">
        <v>46</v>
      </c>
      <c r="I1364">
        <v>10</v>
      </c>
    </row>
    <row r="1365" spans="1:9" x14ac:dyDescent="0.2">
      <c r="A1365">
        <v>6576932</v>
      </c>
      <c r="B1365">
        <v>6</v>
      </c>
      <c r="C1365">
        <v>3248</v>
      </c>
      <c r="D1365">
        <v>0</v>
      </c>
      <c r="E1365">
        <v>26</v>
      </c>
      <c r="F1365" t="s">
        <v>47</v>
      </c>
      <c r="G1365" t="s">
        <v>92</v>
      </c>
      <c r="H1365" t="s">
        <v>46</v>
      </c>
      <c r="I1365">
        <v>10</v>
      </c>
    </row>
    <row r="1366" spans="1:9" x14ac:dyDescent="0.2">
      <c r="A1366">
        <v>6624179</v>
      </c>
      <c r="B1366">
        <v>1</v>
      </c>
      <c r="C1366">
        <v>1734</v>
      </c>
      <c r="D1366">
        <v>63030</v>
      </c>
      <c r="E1366">
        <v>24</v>
      </c>
      <c r="F1366" t="s">
        <v>57</v>
      </c>
      <c r="G1366" t="s">
        <v>81</v>
      </c>
      <c r="H1366" t="s">
        <v>69</v>
      </c>
      <c r="I1366">
        <v>10</v>
      </c>
    </row>
    <row r="1367" spans="1:9" x14ac:dyDescent="0.2">
      <c r="A1367">
        <v>6624179</v>
      </c>
      <c r="B1367">
        <v>2</v>
      </c>
      <c r="C1367">
        <v>1702</v>
      </c>
      <c r="D1367">
        <v>0</v>
      </c>
      <c r="E1367">
        <v>26</v>
      </c>
      <c r="F1367" t="s">
        <v>57</v>
      </c>
      <c r="G1367" t="s">
        <v>164</v>
      </c>
      <c r="H1367" t="s">
        <v>69</v>
      </c>
      <c r="I1367">
        <v>10</v>
      </c>
    </row>
    <row r="1368" spans="1:9" x14ac:dyDescent="0.2">
      <c r="A1368">
        <v>6624179</v>
      </c>
      <c r="B1368">
        <v>3</v>
      </c>
      <c r="C1368">
        <v>1711</v>
      </c>
      <c r="D1368">
        <v>0</v>
      </c>
      <c r="E1368">
        <v>26</v>
      </c>
      <c r="F1368" t="s">
        <v>57</v>
      </c>
      <c r="G1368" t="s">
        <v>201</v>
      </c>
      <c r="H1368" t="s">
        <v>69</v>
      </c>
      <c r="I1368">
        <v>10</v>
      </c>
    </row>
    <row r="1369" spans="1:9" x14ac:dyDescent="0.2">
      <c r="A1369">
        <v>6624179</v>
      </c>
      <c r="B1369">
        <v>4</v>
      </c>
      <c r="C1369">
        <v>1705</v>
      </c>
      <c r="D1369">
        <v>0</v>
      </c>
      <c r="E1369">
        <v>26</v>
      </c>
      <c r="F1369" t="s">
        <v>57</v>
      </c>
      <c r="G1369" t="s">
        <v>102</v>
      </c>
      <c r="H1369" t="s">
        <v>69</v>
      </c>
      <c r="I1369">
        <v>10</v>
      </c>
    </row>
    <row r="1370" spans="1:9" x14ac:dyDescent="0.2">
      <c r="A1370">
        <v>6624179</v>
      </c>
      <c r="B1370">
        <v>5</v>
      </c>
      <c r="C1370">
        <v>1776</v>
      </c>
      <c r="D1370">
        <v>0</v>
      </c>
      <c r="E1370">
        <v>26</v>
      </c>
      <c r="F1370" t="s">
        <v>57</v>
      </c>
      <c r="G1370" t="s">
        <v>124</v>
      </c>
      <c r="H1370" t="s">
        <v>125</v>
      </c>
      <c r="I1370">
        <v>10</v>
      </c>
    </row>
    <row r="1371" spans="1:9" x14ac:dyDescent="0.2">
      <c r="A1371">
        <v>6641904</v>
      </c>
      <c r="B1371">
        <v>1</v>
      </c>
      <c r="C1371">
        <v>1183</v>
      </c>
      <c r="D1371">
        <v>73115</v>
      </c>
      <c r="E1371">
        <v>25</v>
      </c>
      <c r="F1371" t="s">
        <v>17</v>
      </c>
      <c r="G1371" t="s">
        <v>171</v>
      </c>
      <c r="H1371" t="s">
        <v>16</v>
      </c>
      <c r="I1371" t="s">
        <v>448</v>
      </c>
    </row>
    <row r="1372" spans="1:9" x14ac:dyDescent="0.2">
      <c r="A1372">
        <v>6641904</v>
      </c>
      <c r="B1372">
        <v>2</v>
      </c>
      <c r="C1372">
        <v>1203</v>
      </c>
      <c r="D1372">
        <v>73425</v>
      </c>
      <c r="E1372">
        <v>24</v>
      </c>
      <c r="F1372" t="s">
        <v>19</v>
      </c>
      <c r="G1372" t="s">
        <v>248</v>
      </c>
      <c r="H1372" t="s">
        <v>16</v>
      </c>
      <c r="I1372" t="s">
        <v>448</v>
      </c>
    </row>
    <row r="1373" spans="1:9" x14ac:dyDescent="0.2">
      <c r="A1373">
        <v>6641905</v>
      </c>
      <c r="B1373">
        <v>1</v>
      </c>
      <c r="C1373">
        <v>3078</v>
      </c>
      <c r="D1373">
        <v>51280</v>
      </c>
      <c r="E1373">
        <v>25</v>
      </c>
      <c r="F1373" t="s">
        <v>44</v>
      </c>
      <c r="G1373" t="s">
        <v>149</v>
      </c>
      <c r="H1373" t="s">
        <v>61</v>
      </c>
      <c r="I1373">
        <v>9</v>
      </c>
    </row>
    <row r="1374" spans="1:9" x14ac:dyDescent="0.2">
      <c r="A1374">
        <v>6641905</v>
      </c>
      <c r="B1374">
        <v>2</v>
      </c>
      <c r="C1374">
        <v>3075</v>
      </c>
      <c r="D1374">
        <v>51280</v>
      </c>
      <c r="E1374">
        <v>25</v>
      </c>
      <c r="F1374" t="s">
        <v>44</v>
      </c>
      <c r="G1374" t="s">
        <v>148</v>
      </c>
      <c r="H1374" t="s">
        <v>61</v>
      </c>
      <c r="I1374">
        <v>9</v>
      </c>
    </row>
    <row r="1375" spans="1:9" x14ac:dyDescent="0.2">
      <c r="A1375">
        <v>6641905</v>
      </c>
      <c r="B1375">
        <v>3</v>
      </c>
      <c r="C1375">
        <v>3077</v>
      </c>
      <c r="D1375">
        <v>51280</v>
      </c>
      <c r="E1375">
        <v>25</v>
      </c>
      <c r="F1375" t="s">
        <v>44</v>
      </c>
      <c r="G1375" t="s">
        <v>120</v>
      </c>
      <c r="H1375" t="s">
        <v>61</v>
      </c>
      <c r="I1375">
        <v>9</v>
      </c>
    </row>
    <row r="1376" spans="1:9" x14ac:dyDescent="0.2">
      <c r="A1376">
        <v>6641905</v>
      </c>
      <c r="B1376">
        <v>4</v>
      </c>
      <c r="C1376">
        <v>3074</v>
      </c>
      <c r="D1376">
        <v>51280</v>
      </c>
      <c r="E1376">
        <v>25</v>
      </c>
      <c r="F1376" t="s">
        <v>44</v>
      </c>
      <c r="G1376" t="s">
        <v>152</v>
      </c>
      <c r="H1376" t="s">
        <v>61</v>
      </c>
      <c r="I1376">
        <v>9</v>
      </c>
    </row>
    <row r="1377" spans="1:9" x14ac:dyDescent="0.2">
      <c r="A1377">
        <v>6641905</v>
      </c>
      <c r="B1377">
        <v>5</v>
      </c>
      <c r="C1377">
        <v>3076</v>
      </c>
      <c r="D1377">
        <v>51280</v>
      </c>
      <c r="E1377">
        <v>25</v>
      </c>
      <c r="F1377" t="s">
        <v>44</v>
      </c>
      <c r="G1377" t="s">
        <v>60</v>
      </c>
      <c r="H1377" t="s">
        <v>61</v>
      </c>
      <c r="I1377">
        <v>9</v>
      </c>
    </row>
    <row r="1378" spans="1:9" x14ac:dyDescent="0.2">
      <c r="A1378">
        <v>6641905</v>
      </c>
      <c r="B1378">
        <v>6</v>
      </c>
      <c r="C1378">
        <v>3081</v>
      </c>
      <c r="D1378">
        <v>51280</v>
      </c>
      <c r="E1378">
        <v>25</v>
      </c>
      <c r="F1378" t="s">
        <v>44</v>
      </c>
      <c r="G1378" t="s">
        <v>337</v>
      </c>
      <c r="H1378" t="s">
        <v>55</v>
      </c>
      <c r="I1378">
        <v>9</v>
      </c>
    </row>
    <row r="1379" spans="1:9" x14ac:dyDescent="0.2">
      <c r="A1379">
        <v>6641905</v>
      </c>
      <c r="B1379">
        <v>7</v>
      </c>
      <c r="C1379">
        <v>1736</v>
      </c>
      <c r="D1379">
        <v>52450</v>
      </c>
      <c r="E1379">
        <v>24</v>
      </c>
      <c r="F1379" t="s">
        <v>57</v>
      </c>
      <c r="G1379" t="s">
        <v>78</v>
      </c>
      <c r="H1379" t="s">
        <v>79</v>
      </c>
      <c r="I1379">
        <v>10</v>
      </c>
    </row>
    <row r="1380" spans="1:9" x14ac:dyDescent="0.2">
      <c r="A1380">
        <v>6641905</v>
      </c>
      <c r="B1380">
        <v>8</v>
      </c>
      <c r="C1380">
        <v>1737</v>
      </c>
      <c r="D1380">
        <v>0</v>
      </c>
      <c r="E1380">
        <v>26</v>
      </c>
      <c r="F1380" t="s">
        <v>57</v>
      </c>
      <c r="G1380" t="s">
        <v>54</v>
      </c>
      <c r="H1380" t="s">
        <v>79</v>
      </c>
      <c r="I1380">
        <v>10</v>
      </c>
    </row>
    <row r="1381" spans="1:9" x14ac:dyDescent="0.2">
      <c r="A1381">
        <v>6653389</v>
      </c>
      <c r="B1381">
        <v>1</v>
      </c>
      <c r="C1381">
        <v>3251</v>
      </c>
      <c r="D1381">
        <v>0</v>
      </c>
      <c r="E1381">
        <v>36</v>
      </c>
      <c r="F1381" t="s">
        <v>47</v>
      </c>
      <c r="G1381" t="s">
        <v>48</v>
      </c>
      <c r="H1381" t="s">
        <v>46</v>
      </c>
      <c r="I1381">
        <v>10</v>
      </c>
    </row>
    <row r="1382" spans="1:9" x14ac:dyDescent="0.2">
      <c r="A1382">
        <v>6653390</v>
      </c>
      <c r="B1382">
        <v>1</v>
      </c>
      <c r="C1382">
        <v>1383</v>
      </c>
      <c r="D1382">
        <v>52680</v>
      </c>
      <c r="E1382">
        <v>25</v>
      </c>
      <c r="F1382" t="s">
        <v>21</v>
      </c>
      <c r="G1382" t="s">
        <v>124</v>
      </c>
      <c r="H1382" t="s">
        <v>20</v>
      </c>
      <c r="I1382">
        <v>8</v>
      </c>
    </row>
    <row r="1383" spans="1:9" x14ac:dyDescent="0.2">
      <c r="A1383">
        <v>6653390</v>
      </c>
      <c r="B1383">
        <v>2</v>
      </c>
      <c r="C1383">
        <v>1776</v>
      </c>
      <c r="D1383">
        <v>52100</v>
      </c>
      <c r="E1383">
        <v>25</v>
      </c>
      <c r="F1383" t="s">
        <v>57</v>
      </c>
      <c r="G1383" t="s">
        <v>124</v>
      </c>
      <c r="H1383" t="s">
        <v>125</v>
      </c>
      <c r="I1383">
        <v>10</v>
      </c>
    </row>
    <row r="1384" spans="1:9" x14ac:dyDescent="0.2">
      <c r="A1384">
        <v>6653390</v>
      </c>
      <c r="B1384">
        <v>3</v>
      </c>
      <c r="C1384">
        <v>1311</v>
      </c>
      <c r="D1384">
        <v>52690</v>
      </c>
      <c r="E1384">
        <v>25</v>
      </c>
      <c r="F1384" t="s">
        <v>21</v>
      </c>
      <c r="G1384" t="s">
        <v>95</v>
      </c>
      <c r="H1384" t="s">
        <v>20</v>
      </c>
      <c r="I1384">
        <v>8</v>
      </c>
    </row>
    <row r="1385" spans="1:9" x14ac:dyDescent="0.2">
      <c r="A1385">
        <v>6653390</v>
      </c>
      <c r="B1385">
        <v>4</v>
      </c>
      <c r="C1385">
        <v>3711</v>
      </c>
      <c r="D1385">
        <v>53910</v>
      </c>
      <c r="E1385">
        <v>25</v>
      </c>
      <c r="F1385" t="s">
        <v>116</v>
      </c>
      <c r="G1385" t="s">
        <v>95</v>
      </c>
      <c r="H1385" t="s">
        <v>61</v>
      </c>
      <c r="I1385">
        <v>9</v>
      </c>
    </row>
    <row r="1386" spans="1:9" x14ac:dyDescent="0.2">
      <c r="A1386">
        <v>6653390</v>
      </c>
      <c r="B1386">
        <v>5</v>
      </c>
      <c r="C1386">
        <v>1714</v>
      </c>
      <c r="D1386">
        <v>52100</v>
      </c>
      <c r="E1386">
        <v>25</v>
      </c>
      <c r="F1386" t="s">
        <v>57</v>
      </c>
      <c r="G1386" t="s">
        <v>95</v>
      </c>
      <c r="H1386" t="s">
        <v>69</v>
      </c>
      <c r="I1386">
        <v>10</v>
      </c>
    </row>
    <row r="1387" spans="1:9" x14ac:dyDescent="0.2">
      <c r="A1387">
        <v>6653390</v>
      </c>
      <c r="B1387">
        <v>6</v>
      </c>
      <c r="C1387">
        <v>1324</v>
      </c>
      <c r="D1387">
        <v>53660</v>
      </c>
      <c r="E1387">
        <v>25</v>
      </c>
      <c r="F1387" t="s">
        <v>21</v>
      </c>
      <c r="G1387" t="s">
        <v>63</v>
      </c>
      <c r="H1387" t="s">
        <v>20</v>
      </c>
      <c r="I1387">
        <v>8</v>
      </c>
    </row>
    <row r="1388" spans="1:9" x14ac:dyDescent="0.2">
      <c r="A1388">
        <v>6653390</v>
      </c>
      <c r="B1388">
        <v>7</v>
      </c>
      <c r="C1388">
        <v>1782</v>
      </c>
      <c r="D1388">
        <v>53600</v>
      </c>
      <c r="E1388">
        <v>25</v>
      </c>
      <c r="F1388" t="s">
        <v>57</v>
      </c>
      <c r="G1388" t="s">
        <v>63</v>
      </c>
      <c r="H1388" t="s">
        <v>69</v>
      </c>
      <c r="I1388">
        <v>10</v>
      </c>
    </row>
    <row r="1389" spans="1:9" x14ac:dyDescent="0.2">
      <c r="A1389">
        <v>6653390</v>
      </c>
      <c r="B1389">
        <v>8</v>
      </c>
      <c r="C1389">
        <v>1350</v>
      </c>
      <c r="D1389">
        <v>51950</v>
      </c>
      <c r="E1389">
        <v>25</v>
      </c>
      <c r="F1389" t="s">
        <v>21</v>
      </c>
      <c r="G1389" t="s">
        <v>247</v>
      </c>
      <c r="H1389" t="s">
        <v>20</v>
      </c>
      <c r="I1389">
        <v>8</v>
      </c>
    </row>
    <row r="1390" spans="1:9" x14ac:dyDescent="0.2">
      <c r="A1390">
        <v>6671585</v>
      </c>
      <c r="B1390">
        <v>1</v>
      </c>
      <c r="C1390">
        <v>1705</v>
      </c>
      <c r="D1390">
        <v>54410</v>
      </c>
      <c r="E1390">
        <v>25</v>
      </c>
      <c r="F1390" t="s">
        <v>57</v>
      </c>
      <c r="G1390" t="s">
        <v>102</v>
      </c>
      <c r="H1390" t="s">
        <v>69</v>
      </c>
      <c r="I1390">
        <v>10</v>
      </c>
    </row>
    <row r="1391" spans="1:9" x14ac:dyDescent="0.2">
      <c r="A1391">
        <v>6671585</v>
      </c>
      <c r="B1391">
        <v>2</v>
      </c>
      <c r="C1391">
        <v>1715</v>
      </c>
      <c r="D1391">
        <v>55175</v>
      </c>
      <c r="E1391">
        <v>25</v>
      </c>
      <c r="F1391" t="s">
        <v>57</v>
      </c>
      <c r="G1391" t="s">
        <v>151</v>
      </c>
      <c r="H1391" t="s">
        <v>69</v>
      </c>
      <c r="I1391">
        <v>10</v>
      </c>
    </row>
    <row r="1392" spans="1:9" x14ac:dyDescent="0.2">
      <c r="A1392">
        <v>6671585</v>
      </c>
      <c r="B1392">
        <v>3</v>
      </c>
      <c r="C1392">
        <v>1776</v>
      </c>
      <c r="D1392">
        <v>54700</v>
      </c>
      <c r="E1392">
        <v>25</v>
      </c>
      <c r="F1392" t="s">
        <v>57</v>
      </c>
      <c r="G1392" t="s">
        <v>124</v>
      </c>
      <c r="H1392" t="s">
        <v>125</v>
      </c>
      <c r="I1392">
        <v>10</v>
      </c>
    </row>
    <row r="1393" spans="1:9" x14ac:dyDescent="0.2">
      <c r="A1393">
        <v>6671585</v>
      </c>
      <c r="B1393">
        <v>4</v>
      </c>
      <c r="C1393">
        <v>1714</v>
      </c>
      <c r="D1393">
        <v>54700</v>
      </c>
      <c r="E1393">
        <v>25</v>
      </c>
      <c r="F1393" t="s">
        <v>57</v>
      </c>
      <c r="G1393" t="s">
        <v>95</v>
      </c>
      <c r="H1393" t="s">
        <v>69</v>
      </c>
      <c r="I1393">
        <v>10</v>
      </c>
    </row>
    <row r="1394" spans="1:9" x14ac:dyDescent="0.2">
      <c r="A1394">
        <v>6671585</v>
      </c>
      <c r="B1394">
        <v>5</v>
      </c>
      <c r="C1394">
        <v>3229</v>
      </c>
      <c r="D1394">
        <v>54920</v>
      </c>
      <c r="E1394">
        <v>24</v>
      </c>
      <c r="F1394" t="s">
        <v>47</v>
      </c>
      <c r="G1394" t="s">
        <v>101</v>
      </c>
      <c r="H1394" t="s">
        <v>46</v>
      </c>
      <c r="I1394">
        <v>10</v>
      </c>
    </row>
    <row r="1395" spans="1:9" x14ac:dyDescent="0.2">
      <c r="A1395">
        <v>6697708</v>
      </c>
      <c r="B1395">
        <v>1</v>
      </c>
      <c r="C1395">
        <v>2515</v>
      </c>
      <c r="D1395">
        <v>53675</v>
      </c>
      <c r="E1395">
        <v>25</v>
      </c>
      <c r="F1395" t="s">
        <v>175</v>
      </c>
      <c r="G1395" t="s">
        <v>18</v>
      </c>
      <c r="H1395" t="s">
        <v>213</v>
      </c>
      <c r="I1395">
        <v>4</v>
      </c>
    </row>
    <row r="1396" spans="1:9" x14ac:dyDescent="0.2">
      <c r="A1396">
        <v>6697708</v>
      </c>
      <c r="B1396">
        <v>2</v>
      </c>
      <c r="C1396">
        <v>1204</v>
      </c>
      <c r="D1396">
        <v>52895</v>
      </c>
      <c r="E1396">
        <v>25</v>
      </c>
      <c r="F1396" t="s">
        <v>19</v>
      </c>
      <c r="G1396" t="s">
        <v>18</v>
      </c>
      <c r="H1396" t="s">
        <v>16</v>
      </c>
      <c r="I1396" t="s">
        <v>448</v>
      </c>
    </row>
    <row r="1397" spans="1:9" x14ac:dyDescent="0.2">
      <c r="A1397">
        <v>6697708</v>
      </c>
      <c r="B1397">
        <v>3</v>
      </c>
      <c r="C1397">
        <v>1221</v>
      </c>
      <c r="D1397">
        <v>57110</v>
      </c>
      <c r="E1397">
        <v>25</v>
      </c>
      <c r="F1397" t="s">
        <v>19</v>
      </c>
      <c r="G1397" t="s">
        <v>63</v>
      </c>
      <c r="H1397" t="s">
        <v>16</v>
      </c>
      <c r="I1397" t="s">
        <v>448</v>
      </c>
    </row>
    <row r="1398" spans="1:9" x14ac:dyDescent="0.2">
      <c r="A1398">
        <v>6697708</v>
      </c>
      <c r="B1398">
        <v>4</v>
      </c>
      <c r="C1398">
        <v>1883</v>
      </c>
      <c r="D1398">
        <v>59150</v>
      </c>
      <c r="E1398">
        <v>25</v>
      </c>
      <c r="F1398" t="s">
        <v>223</v>
      </c>
      <c r="G1398" t="s">
        <v>63</v>
      </c>
      <c r="H1398" t="s">
        <v>174</v>
      </c>
      <c r="I1398">
        <v>2</v>
      </c>
    </row>
    <row r="1399" spans="1:9" x14ac:dyDescent="0.2">
      <c r="A1399">
        <v>6697708</v>
      </c>
      <c r="B1399">
        <v>5</v>
      </c>
      <c r="C1399">
        <v>2565</v>
      </c>
      <c r="D1399">
        <v>59570</v>
      </c>
      <c r="E1399">
        <v>24</v>
      </c>
      <c r="F1399" t="s">
        <v>175</v>
      </c>
      <c r="G1399" t="s">
        <v>89</v>
      </c>
      <c r="H1399" t="s">
        <v>213</v>
      </c>
      <c r="I1399">
        <v>4</v>
      </c>
    </row>
    <row r="1400" spans="1:9" x14ac:dyDescent="0.2">
      <c r="A1400">
        <v>6697708</v>
      </c>
      <c r="B1400">
        <v>6</v>
      </c>
      <c r="C1400">
        <v>1884</v>
      </c>
      <c r="D1400">
        <v>0</v>
      </c>
      <c r="E1400">
        <v>26</v>
      </c>
      <c r="F1400" t="s">
        <v>223</v>
      </c>
      <c r="G1400" t="s">
        <v>84</v>
      </c>
      <c r="H1400" t="s">
        <v>174</v>
      </c>
      <c r="I1400">
        <v>2</v>
      </c>
    </row>
    <row r="1401" spans="1:9" x14ac:dyDescent="0.2">
      <c r="A1401">
        <v>6697708</v>
      </c>
      <c r="B1401">
        <v>7</v>
      </c>
      <c r="C1401">
        <v>2567</v>
      </c>
      <c r="D1401">
        <v>0</v>
      </c>
      <c r="E1401">
        <v>26</v>
      </c>
      <c r="F1401" t="s">
        <v>175</v>
      </c>
      <c r="G1401" t="s">
        <v>224</v>
      </c>
      <c r="H1401" t="s">
        <v>213</v>
      </c>
      <c r="I1401">
        <v>4</v>
      </c>
    </row>
    <row r="1402" spans="1:9" x14ac:dyDescent="0.2">
      <c r="A1402">
        <v>6697708</v>
      </c>
      <c r="B1402">
        <v>8</v>
      </c>
      <c r="C1402">
        <v>1684</v>
      </c>
      <c r="D1402">
        <v>0</v>
      </c>
      <c r="E1402">
        <v>26</v>
      </c>
      <c r="F1402" t="s">
        <v>128</v>
      </c>
      <c r="G1402" t="s">
        <v>225</v>
      </c>
      <c r="H1402" t="s">
        <v>127</v>
      </c>
      <c r="I1402" t="s">
        <v>448</v>
      </c>
    </row>
    <row r="1403" spans="1:9" x14ac:dyDescent="0.2">
      <c r="A1403">
        <v>6714030</v>
      </c>
      <c r="B1403">
        <v>1</v>
      </c>
      <c r="C1403">
        <v>3229</v>
      </c>
      <c r="D1403">
        <v>52315</v>
      </c>
      <c r="E1403">
        <v>25</v>
      </c>
      <c r="F1403" t="s">
        <v>47</v>
      </c>
      <c r="G1403" t="s">
        <v>101</v>
      </c>
      <c r="H1403" t="s">
        <v>46</v>
      </c>
      <c r="I1403">
        <v>10</v>
      </c>
    </row>
    <row r="1404" spans="1:9" x14ac:dyDescent="0.2">
      <c r="A1404">
        <v>6714030</v>
      </c>
      <c r="B1404">
        <v>2</v>
      </c>
      <c r="C1404">
        <v>3248</v>
      </c>
      <c r="D1404">
        <v>53025</v>
      </c>
      <c r="E1404">
        <v>24</v>
      </c>
      <c r="F1404" t="s">
        <v>47</v>
      </c>
      <c r="G1404" t="s">
        <v>92</v>
      </c>
      <c r="H1404" t="s">
        <v>46</v>
      </c>
      <c r="I1404">
        <v>10</v>
      </c>
    </row>
    <row r="1405" spans="1:9" x14ac:dyDescent="0.2">
      <c r="A1405">
        <v>6714352</v>
      </c>
      <c r="B1405">
        <v>1</v>
      </c>
      <c r="C1405">
        <v>3243</v>
      </c>
      <c r="D1405">
        <v>55025</v>
      </c>
      <c r="E1405">
        <v>24</v>
      </c>
      <c r="F1405" t="s">
        <v>47</v>
      </c>
      <c r="G1405" t="s">
        <v>75</v>
      </c>
      <c r="H1405" t="s">
        <v>46</v>
      </c>
      <c r="I1405">
        <v>10</v>
      </c>
    </row>
    <row r="1406" spans="1:9" x14ac:dyDescent="0.2">
      <c r="A1406">
        <v>6714352</v>
      </c>
      <c r="B1406">
        <v>2</v>
      </c>
      <c r="C1406">
        <v>1784</v>
      </c>
      <c r="D1406">
        <v>0</v>
      </c>
      <c r="E1406">
        <v>26</v>
      </c>
      <c r="F1406" t="s">
        <v>57</v>
      </c>
      <c r="G1406" t="s">
        <v>87</v>
      </c>
      <c r="H1406" t="s">
        <v>69</v>
      </c>
      <c r="I1406">
        <v>10</v>
      </c>
    </row>
    <row r="1407" spans="1:9" x14ac:dyDescent="0.2">
      <c r="A1407">
        <v>6718065</v>
      </c>
      <c r="B1407">
        <v>1</v>
      </c>
      <c r="C1407">
        <v>3244</v>
      </c>
      <c r="D1407">
        <v>46630</v>
      </c>
      <c r="E1407">
        <v>25</v>
      </c>
      <c r="F1407" t="s">
        <v>47</v>
      </c>
      <c r="G1407" t="s">
        <v>73</v>
      </c>
      <c r="H1407" t="s">
        <v>74</v>
      </c>
      <c r="I1407">
        <v>10</v>
      </c>
    </row>
    <row r="1408" spans="1:9" x14ac:dyDescent="0.2">
      <c r="A1408">
        <v>6718065</v>
      </c>
      <c r="B1408">
        <v>2</v>
      </c>
      <c r="C1408">
        <v>3243</v>
      </c>
      <c r="D1408">
        <v>49345</v>
      </c>
      <c r="E1408">
        <v>25</v>
      </c>
      <c r="F1408" t="s">
        <v>47</v>
      </c>
      <c r="G1408" t="s">
        <v>75</v>
      </c>
      <c r="H1408" t="s">
        <v>46</v>
      </c>
      <c r="I1408">
        <v>10</v>
      </c>
    </row>
    <row r="1409" spans="1:9" x14ac:dyDescent="0.2">
      <c r="A1409">
        <v>6718065</v>
      </c>
      <c r="B1409">
        <v>3</v>
      </c>
      <c r="C1409">
        <v>3234</v>
      </c>
      <c r="D1409">
        <v>47385</v>
      </c>
      <c r="E1409">
        <v>25</v>
      </c>
      <c r="F1409" t="s">
        <v>47</v>
      </c>
      <c r="G1409" t="s">
        <v>76</v>
      </c>
      <c r="H1409" t="s">
        <v>46</v>
      </c>
      <c r="I1409">
        <v>10</v>
      </c>
    </row>
    <row r="1410" spans="1:9" x14ac:dyDescent="0.2">
      <c r="A1410">
        <v>6726135</v>
      </c>
      <c r="B1410">
        <v>1</v>
      </c>
      <c r="C1410">
        <v>2098</v>
      </c>
      <c r="D1410">
        <v>60090</v>
      </c>
      <c r="E1410">
        <v>25</v>
      </c>
      <c r="F1410" t="s">
        <v>132</v>
      </c>
      <c r="G1410" t="s">
        <v>124</v>
      </c>
      <c r="H1410" t="s">
        <v>311</v>
      </c>
      <c r="I1410" t="s">
        <v>448</v>
      </c>
    </row>
    <row r="1411" spans="1:9" x14ac:dyDescent="0.2">
      <c r="A1411">
        <v>6726135</v>
      </c>
      <c r="B1411">
        <v>2</v>
      </c>
      <c r="C1411">
        <v>3501</v>
      </c>
      <c r="D1411">
        <v>61110</v>
      </c>
      <c r="E1411">
        <v>25</v>
      </c>
      <c r="F1411" t="s">
        <v>234</v>
      </c>
      <c r="G1411" t="s">
        <v>124</v>
      </c>
      <c r="H1411" t="s">
        <v>35</v>
      </c>
      <c r="I1411">
        <v>7</v>
      </c>
    </row>
    <row r="1412" spans="1:9" x14ac:dyDescent="0.2">
      <c r="A1412">
        <v>6726135</v>
      </c>
      <c r="B1412">
        <v>3</v>
      </c>
      <c r="C1412">
        <v>1776</v>
      </c>
      <c r="D1412">
        <v>59090</v>
      </c>
      <c r="E1412">
        <v>25</v>
      </c>
      <c r="F1412" t="s">
        <v>57</v>
      </c>
      <c r="G1412" t="s">
        <v>124</v>
      </c>
      <c r="H1412" t="s">
        <v>125</v>
      </c>
      <c r="I1412">
        <v>10</v>
      </c>
    </row>
    <row r="1413" spans="1:9" x14ac:dyDescent="0.2">
      <c r="A1413">
        <v>6726135</v>
      </c>
      <c r="B1413">
        <v>4</v>
      </c>
      <c r="C1413">
        <v>3505</v>
      </c>
      <c r="D1413">
        <v>60160</v>
      </c>
      <c r="E1413">
        <v>25</v>
      </c>
      <c r="F1413" t="s">
        <v>234</v>
      </c>
      <c r="G1413" t="s">
        <v>170</v>
      </c>
      <c r="H1413" t="s">
        <v>35</v>
      </c>
      <c r="I1413">
        <v>7</v>
      </c>
    </row>
    <row r="1414" spans="1:9" x14ac:dyDescent="0.2">
      <c r="A1414">
        <v>6726135</v>
      </c>
      <c r="B1414">
        <v>5</v>
      </c>
      <c r="C1414">
        <v>1705</v>
      </c>
      <c r="D1414">
        <v>58710</v>
      </c>
      <c r="E1414">
        <v>25</v>
      </c>
      <c r="F1414" t="s">
        <v>57</v>
      </c>
      <c r="G1414" t="s">
        <v>102</v>
      </c>
      <c r="H1414" t="s">
        <v>69</v>
      </c>
      <c r="I1414">
        <v>10</v>
      </c>
    </row>
    <row r="1415" spans="1:9" x14ac:dyDescent="0.2">
      <c r="A1415">
        <v>6726135</v>
      </c>
      <c r="B1415">
        <v>6</v>
      </c>
      <c r="C1415">
        <v>3502</v>
      </c>
      <c r="D1415">
        <v>59970</v>
      </c>
      <c r="E1415">
        <v>25</v>
      </c>
      <c r="F1415" t="s">
        <v>234</v>
      </c>
      <c r="G1415" t="s">
        <v>102</v>
      </c>
      <c r="H1415" t="s">
        <v>35</v>
      </c>
      <c r="I1415">
        <v>7</v>
      </c>
    </row>
    <row r="1416" spans="1:9" x14ac:dyDescent="0.2">
      <c r="A1416">
        <v>6726135</v>
      </c>
      <c r="B1416">
        <v>7</v>
      </c>
      <c r="C1416">
        <v>1728</v>
      </c>
      <c r="D1416">
        <v>59590</v>
      </c>
      <c r="E1416">
        <v>25</v>
      </c>
      <c r="F1416" t="s">
        <v>57</v>
      </c>
      <c r="G1416" t="s">
        <v>103</v>
      </c>
      <c r="H1416" t="s">
        <v>69</v>
      </c>
      <c r="I1416">
        <v>10</v>
      </c>
    </row>
    <row r="1417" spans="1:9" x14ac:dyDescent="0.2">
      <c r="A1417">
        <v>6726135</v>
      </c>
      <c r="B1417">
        <v>8</v>
      </c>
      <c r="C1417">
        <v>3068</v>
      </c>
      <c r="D1417">
        <v>58710</v>
      </c>
      <c r="E1417">
        <v>25</v>
      </c>
      <c r="F1417" t="s">
        <v>44</v>
      </c>
      <c r="G1417" t="s">
        <v>40</v>
      </c>
      <c r="H1417" t="s">
        <v>43</v>
      </c>
      <c r="I1417">
        <v>9</v>
      </c>
    </row>
    <row r="1418" spans="1:9" x14ac:dyDescent="0.2">
      <c r="A1418">
        <v>6759394</v>
      </c>
      <c r="B1418">
        <v>1</v>
      </c>
      <c r="C1418">
        <v>1645</v>
      </c>
      <c r="D1418">
        <v>58225</v>
      </c>
      <c r="E1418">
        <v>25</v>
      </c>
      <c r="F1418" t="s">
        <v>128</v>
      </c>
      <c r="G1418" t="s">
        <v>126</v>
      </c>
      <c r="H1418" t="s">
        <v>127</v>
      </c>
      <c r="I1418" t="s">
        <v>448</v>
      </c>
    </row>
    <row r="1419" spans="1:9" x14ac:dyDescent="0.2">
      <c r="A1419">
        <v>6759394</v>
      </c>
      <c r="B1419">
        <v>2</v>
      </c>
      <c r="C1419">
        <v>1646</v>
      </c>
      <c r="D1419">
        <v>58575</v>
      </c>
      <c r="E1419">
        <v>25</v>
      </c>
      <c r="F1419" t="s">
        <v>128</v>
      </c>
      <c r="G1419" t="s">
        <v>129</v>
      </c>
      <c r="H1419" t="s">
        <v>127</v>
      </c>
      <c r="I1419" t="s">
        <v>448</v>
      </c>
    </row>
    <row r="1420" spans="1:9" x14ac:dyDescent="0.2">
      <c r="A1420">
        <v>6759394</v>
      </c>
      <c r="B1420">
        <v>3</v>
      </c>
      <c r="C1420">
        <v>2024</v>
      </c>
      <c r="D1420">
        <v>57540</v>
      </c>
      <c r="E1420">
        <v>25</v>
      </c>
      <c r="F1420" t="s">
        <v>132</v>
      </c>
      <c r="G1420" t="s">
        <v>130</v>
      </c>
      <c r="H1420" t="s">
        <v>131</v>
      </c>
      <c r="I1420" t="s">
        <v>448</v>
      </c>
    </row>
    <row r="1421" spans="1:9" x14ac:dyDescent="0.2">
      <c r="A1421">
        <v>6759394</v>
      </c>
      <c r="B1421">
        <v>4</v>
      </c>
      <c r="C1421">
        <v>1689</v>
      </c>
      <c r="D1421">
        <v>57510</v>
      </c>
      <c r="E1421">
        <v>25</v>
      </c>
      <c r="F1421" t="s">
        <v>128</v>
      </c>
      <c r="G1421" t="s">
        <v>133</v>
      </c>
      <c r="H1421" t="s">
        <v>127</v>
      </c>
      <c r="I1421" t="s">
        <v>448</v>
      </c>
    </row>
    <row r="1422" spans="1:9" x14ac:dyDescent="0.2">
      <c r="A1422">
        <v>6778744</v>
      </c>
      <c r="B1422">
        <v>1</v>
      </c>
      <c r="C1422">
        <v>1358</v>
      </c>
      <c r="D1422">
        <v>54050</v>
      </c>
      <c r="E1422">
        <v>25</v>
      </c>
      <c r="F1422" t="s">
        <v>21</v>
      </c>
      <c r="G1422" t="s">
        <v>210</v>
      </c>
      <c r="H1422" t="s">
        <v>20</v>
      </c>
      <c r="I1422">
        <v>8</v>
      </c>
    </row>
    <row r="1423" spans="1:9" x14ac:dyDescent="0.2">
      <c r="A1423">
        <v>6778744</v>
      </c>
      <c r="B1423">
        <v>2</v>
      </c>
      <c r="C1423">
        <v>3735</v>
      </c>
      <c r="D1423">
        <v>53350</v>
      </c>
      <c r="E1423">
        <v>24</v>
      </c>
      <c r="F1423" t="s">
        <v>116</v>
      </c>
      <c r="G1423" t="s">
        <v>187</v>
      </c>
      <c r="H1423" t="s">
        <v>61</v>
      </c>
      <c r="I1423">
        <v>9</v>
      </c>
    </row>
    <row r="1424" spans="1:9" x14ac:dyDescent="0.2">
      <c r="A1424">
        <v>6778744</v>
      </c>
      <c r="B1424">
        <v>3</v>
      </c>
      <c r="C1424">
        <v>1785</v>
      </c>
      <c r="D1424">
        <v>0</v>
      </c>
      <c r="E1424">
        <v>26</v>
      </c>
      <c r="F1424" t="s">
        <v>57</v>
      </c>
      <c r="G1424" t="s">
        <v>86</v>
      </c>
      <c r="H1424" t="s">
        <v>69</v>
      </c>
      <c r="I1424">
        <v>10</v>
      </c>
    </row>
    <row r="1425" spans="1:9" x14ac:dyDescent="0.2">
      <c r="A1425">
        <v>6778744</v>
      </c>
      <c r="B1425">
        <v>4</v>
      </c>
      <c r="C1425">
        <v>3242</v>
      </c>
      <c r="D1425">
        <v>0</v>
      </c>
      <c r="E1425">
        <v>26</v>
      </c>
      <c r="F1425" t="s">
        <v>47</v>
      </c>
      <c r="G1425" t="s">
        <v>90</v>
      </c>
      <c r="H1425" t="s">
        <v>46</v>
      </c>
      <c r="I1425">
        <v>10</v>
      </c>
    </row>
    <row r="1426" spans="1:9" x14ac:dyDescent="0.2">
      <c r="A1426">
        <v>6813961</v>
      </c>
      <c r="B1426">
        <v>1</v>
      </c>
      <c r="C1426">
        <v>1711</v>
      </c>
      <c r="D1426">
        <v>54455</v>
      </c>
      <c r="E1426">
        <v>25</v>
      </c>
      <c r="F1426" t="s">
        <v>57</v>
      </c>
      <c r="G1426" t="s">
        <v>201</v>
      </c>
      <c r="H1426" t="s">
        <v>69</v>
      </c>
      <c r="I1426">
        <v>10</v>
      </c>
    </row>
    <row r="1427" spans="1:9" x14ac:dyDescent="0.2">
      <c r="A1427">
        <v>6813961</v>
      </c>
      <c r="B1427">
        <v>2</v>
      </c>
      <c r="C1427">
        <v>3621</v>
      </c>
      <c r="D1427">
        <v>54390</v>
      </c>
      <c r="E1427">
        <v>25</v>
      </c>
      <c r="F1427" t="s">
        <v>108</v>
      </c>
      <c r="G1427" t="s">
        <v>102</v>
      </c>
      <c r="H1427" t="s">
        <v>20</v>
      </c>
      <c r="I1427">
        <v>8</v>
      </c>
    </row>
    <row r="1428" spans="1:9" x14ac:dyDescent="0.2">
      <c r="A1428">
        <v>6813961</v>
      </c>
      <c r="B1428">
        <v>3</v>
      </c>
      <c r="C1428">
        <v>1314</v>
      </c>
      <c r="D1428">
        <v>53550</v>
      </c>
      <c r="E1428">
        <v>25</v>
      </c>
      <c r="F1428" t="s">
        <v>21</v>
      </c>
      <c r="G1428" t="s">
        <v>37</v>
      </c>
      <c r="H1428" t="s">
        <v>20</v>
      </c>
      <c r="I1428">
        <v>8</v>
      </c>
    </row>
    <row r="1429" spans="1:9" x14ac:dyDescent="0.2">
      <c r="A1429">
        <v>6813962</v>
      </c>
      <c r="B1429">
        <v>1</v>
      </c>
      <c r="C1429">
        <v>1778</v>
      </c>
      <c r="D1429">
        <v>49160</v>
      </c>
      <c r="E1429">
        <v>25</v>
      </c>
      <c r="F1429" t="s">
        <v>57</v>
      </c>
      <c r="G1429" t="s">
        <v>84</v>
      </c>
      <c r="H1429" t="s">
        <v>56</v>
      </c>
      <c r="I1429">
        <v>10</v>
      </c>
    </row>
    <row r="1430" spans="1:9" x14ac:dyDescent="0.2">
      <c r="A1430">
        <v>6813962</v>
      </c>
      <c r="B1430">
        <v>2</v>
      </c>
      <c r="C1430">
        <v>3212</v>
      </c>
      <c r="D1430">
        <v>49160</v>
      </c>
      <c r="E1430">
        <v>24</v>
      </c>
      <c r="F1430" t="s">
        <v>47</v>
      </c>
      <c r="G1430" t="s">
        <v>84</v>
      </c>
      <c r="H1430" t="s">
        <v>46</v>
      </c>
      <c r="I1430">
        <v>10</v>
      </c>
    </row>
    <row r="1431" spans="1:9" x14ac:dyDescent="0.2">
      <c r="A1431">
        <v>6857774</v>
      </c>
      <c r="B1431">
        <v>1</v>
      </c>
      <c r="C1431">
        <v>1700</v>
      </c>
      <c r="D1431">
        <v>63020</v>
      </c>
      <c r="E1431">
        <v>24</v>
      </c>
      <c r="F1431" t="s">
        <v>57</v>
      </c>
      <c r="G1431" t="s">
        <v>58</v>
      </c>
      <c r="H1431" t="s">
        <v>69</v>
      </c>
      <c r="I1431">
        <v>10</v>
      </c>
    </row>
    <row r="1432" spans="1:9" x14ac:dyDescent="0.2">
      <c r="A1432">
        <v>6878597</v>
      </c>
      <c r="B1432">
        <v>1</v>
      </c>
      <c r="C1432">
        <v>3223</v>
      </c>
      <c r="D1432">
        <v>53285</v>
      </c>
      <c r="E1432">
        <v>24</v>
      </c>
      <c r="F1432" t="s">
        <v>47</v>
      </c>
      <c r="G1432" t="s">
        <v>105</v>
      </c>
      <c r="H1432" t="s">
        <v>46</v>
      </c>
      <c r="I1432">
        <v>10</v>
      </c>
    </row>
    <row r="1433" spans="1:9" x14ac:dyDescent="0.2">
      <c r="A1433">
        <v>6878597</v>
      </c>
      <c r="B1433">
        <v>2</v>
      </c>
      <c r="C1433">
        <v>3237</v>
      </c>
      <c r="D1433">
        <v>0</v>
      </c>
      <c r="E1433">
        <v>26</v>
      </c>
      <c r="F1433" t="s">
        <v>47</v>
      </c>
      <c r="G1433" t="s">
        <v>181</v>
      </c>
      <c r="H1433" t="s">
        <v>46</v>
      </c>
      <c r="I1433">
        <v>10</v>
      </c>
    </row>
    <row r="1434" spans="1:9" x14ac:dyDescent="0.2">
      <c r="A1434">
        <v>6878597</v>
      </c>
      <c r="B1434">
        <v>3</v>
      </c>
      <c r="C1434">
        <v>3200</v>
      </c>
      <c r="D1434">
        <v>0</v>
      </c>
      <c r="E1434">
        <v>26</v>
      </c>
      <c r="F1434" t="s">
        <v>47</v>
      </c>
      <c r="G1434" t="s">
        <v>18</v>
      </c>
      <c r="H1434" t="s">
        <v>46</v>
      </c>
      <c r="I1434">
        <v>10</v>
      </c>
    </row>
    <row r="1435" spans="1:9" x14ac:dyDescent="0.2">
      <c r="A1435">
        <v>6878597</v>
      </c>
      <c r="B1435">
        <v>4</v>
      </c>
      <c r="C1435">
        <v>3212</v>
      </c>
      <c r="D1435">
        <v>0</v>
      </c>
      <c r="E1435">
        <v>26</v>
      </c>
      <c r="F1435" t="s">
        <v>47</v>
      </c>
      <c r="G1435" t="s">
        <v>84</v>
      </c>
      <c r="H1435" t="s">
        <v>46</v>
      </c>
      <c r="I1435">
        <v>10</v>
      </c>
    </row>
    <row r="1436" spans="1:9" x14ac:dyDescent="0.2">
      <c r="A1436">
        <v>6887537</v>
      </c>
      <c r="B1436">
        <v>1</v>
      </c>
      <c r="C1436">
        <v>3023</v>
      </c>
      <c r="D1436">
        <v>0</v>
      </c>
      <c r="E1436">
        <v>36</v>
      </c>
      <c r="F1436" t="s">
        <v>44</v>
      </c>
      <c r="G1436" t="s">
        <v>124</v>
      </c>
      <c r="H1436" t="s">
        <v>50</v>
      </c>
      <c r="I1436">
        <v>9</v>
      </c>
    </row>
    <row r="1437" spans="1:9" x14ac:dyDescent="0.2">
      <c r="A1437">
        <v>6972024</v>
      </c>
      <c r="B1437">
        <v>1</v>
      </c>
      <c r="C1437">
        <v>1705</v>
      </c>
      <c r="D1437">
        <v>51110</v>
      </c>
      <c r="E1437">
        <v>25</v>
      </c>
      <c r="F1437" t="s">
        <v>57</v>
      </c>
      <c r="G1437" t="s">
        <v>102</v>
      </c>
      <c r="H1437" t="s">
        <v>69</v>
      </c>
      <c r="I1437">
        <v>10</v>
      </c>
    </row>
    <row r="1438" spans="1:9" x14ac:dyDescent="0.2">
      <c r="A1438">
        <v>6972024</v>
      </c>
      <c r="B1438">
        <v>2</v>
      </c>
      <c r="C1438">
        <v>3020</v>
      </c>
      <c r="D1438">
        <v>51110</v>
      </c>
      <c r="E1438">
        <v>25</v>
      </c>
      <c r="F1438" t="s">
        <v>44</v>
      </c>
      <c r="G1438" t="s">
        <v>102</v>
      </c>
      <c r="H1438" t="s">
        <v>50</v>
      </c>
      <c r="I1438">
        <v>9</v>
      </c>
    </row>
    <row r="1439" spans="1:9" x14ac:dyDescent="0.2">
      <c r="A1439">
        <v>6972024</v>
      </c>
      <c r="B1439">
        <v>3</v>
      </c>
      <c r="C1439">
        <v>1715</v>
      </c>
      <c r="D1439">
        <v>51850</v>
      </c>
      <c r="E1439">
        <v>25</v>
      </c>
      <c r="F1439" t="s">
        <v>57</v>
      </c>
      <c r="G1439" t="s">
        <v>151</v>
      </c>
      <c r="H1439" t="s">
        <v>69</v>
      </c>
      <c r="I1439">
        <v>10</v>
      </c>
    </row>
    <row r="1440" spans="1:9" x14ac:dyDescent="0.2">
      <c r="A1440">
        <v>6972024</v>
      </c>
      <c r="B1440">
        <v>4</v>
      </c>
      <c r="C1440">
        <v>3032</v>
      </c>
      <c r="D1440">
        <v>51110</v>
      </c>
      <c r="E1440">
        <v>25</v>
      </c>
      <c r="F1440" t="s">
        <v>44</v>
      </c>
      <c r="G1440" t="s">
        <v>151</v>
      </c>
      <c r="H1440" t="s">
        <v>50</v>
      </c>
      <c r="I1440">
        <v>9</v>
      </c>
    </row>
    <row r="1441" spans="1:9" x14ac:dyDescent="0.2">
      <c r="A1441">
        <v>6972024</v>
      </c>
      <c r="B1441">
        <v>5</v>
      </c>
      <c r="C1441">
        <v>1734</v>
      </c>
      <c r="D1441">
        <v>53175</v>
      </c>
      <c r="E1441">
        <v>25</v>
      </c>
      <c r="F1441" t="s">
        <v>57</v>
      </c>
      <c r="G1441" t="s">
        <v>81</v>
      </c>
      <c r="H1441" t="s">
        <v>69</v>
      </c>
      <c r="I1441">
        <v>10</v>
      </c>
    </row>
    <row r="1442" spans="1:9" x14ac:dyDescent="0.2">
      <c r="A1442">
        <v>6972024</v>
      </c>
      <c r="B1442">
        <v>6</v>
      </c>
      <c r="C1442">
        <v>1702</v>
      </c>
      <c r="D1442">
        <v>52605</v>
      </c>
      <c r="E1442">
        <v>25</v>
      </c>
      <c r="F1442" t="s">
        <v>57</v>
      </c>
      <c r="G1442" t="s">
        <v>164</v>
      </c>
      <c r="H1442" t="s">
        <v>69</v>
      </c>
      <c r="I1442">
        <v>10</v>
      </c>
    </row>
    <row r="1443" spans="1:9" x14ac:dyDescent="0.2">
      <c r="A1443">
        <v>6972024</v>
      </c>
      <c r="B1443">
        <v>7</v>
      </c>
      <c r="C1443">
        <v>1728</v>
      </c>
      <c r="D1443">
        <v>51925</v>
      </c>
      <c r="E1443">
        <v>25</v>
      </c>
      <c r="F1443" t="s">
        <v>57</v>
      </c>
      <c r="G1443" t="s">
        <v>103</v>
      </c>
      <c r="H1443" t="s">
        <v>69</v>
      </c>
      <c r="I1443">
        <v>10</v>
      </c>
    </row>
    <row r="1444" spans="1:9" x14ac:dyDescent="0.2">
      <c r="A1444">
        <v>6972024</v>
      </c>
      <c r="B1444">
        <v>8</v>
      </c>
      <c r="C1444">
        <v>3064</v>
      </c>
      <c r="D1444">
        <v>51055</v>
      </c>
      <c r="E1444">
        <v>25</v>
      </c>
      <c r="F1444" t="s">
        <v>44</v>
      </c>
      <c r="G1444" t="s">
        <v>97</v>
      </c>
      <c r="H1444" t="s">
        <v>52</v>
      </c>
      <c r="I1444">
        <v>9</v>
      </c>
    </row>
    <row r="1445" spans="1:9" x14ac:dyDescent="0.2">
      <c r="A1445">
        <v>6983772</v>
      </c>
      <c r="B1445">
        <v>1</v>
      </c>
      <c r="C1445">
        <v>1734</v>
      </c>
      <c r="D1445">
        <v>63810</v>
      </c>
      <c r="E1445">
        <v>24</v>
      </c>
      <c r="F1445" t="s">
        <v>57</v>
      </c>
      <c r="G1445" t="s">
        <v>81</v>
      </c>
      <c r="H1445" t="s">
        <v>69</v>
      </c>
      <c r="I1445">
        <v>10</v>
      </c>
    </row>
    <row r="1446" spans="1:9" x14ac:dyDescent="0.2">
      <c r="A1446">
        <v>6983772</v>
      </c>
      <c r="B1446">
        <v>2</v>
      </c>
      <c r="C1446">
        <v>1349</v>
      </c>
      <c r="D1446">
        <v>0</v>
      </c>
      <c r="E1446">
        <v>26</v>
      </c>
      <c r="F1446" t="s">
        <v>21</v>
      </c>
      <c r="G1446" t="s">
        <v>81</v>
      </c>
      <c r="H1446" t="s">
        <v>20</v>
      </c>
      <c r="I1446">
        <v>8</v>
      </c>
    </row>
    <row r="1447" spans="1:9" x14ac:dyDescent="0.2">
      <c r="A1447">
        <v>6983772</v>
      </c>
      <c r="B1447">
        <v>3</v>
      </c>
      <c r="C1447">
        <v>1705</v>
      </c>
      <c r="D1447">
        <v>0</v>
      </c>
      <c r="E1447">
        <v>26</v>
      </c>
      <c r="F1447" t="s">
        <v>57</v>
      </c>
      <c r="G1447" t="s">
        <v>102</v>
      </c>
      <c r="H1447" t="s">
        <v>69</v>
      </c>
      <c r="I1447">
        <v>10</v>
      </c>
    </row>
    <row r="1448" spans="1:9" x14ac:dyDescent="0.2">
      <c r="A1448">
        <v>6983772</v>
      </c>
      <c r="B1448">
        <v>4</v>
      </c>
      <c r="C1448">
        <v>3621</v>
      </c>
      <c r="D1448">
        <v>0</v>
      </c>
      <c r="E1448">
        <v>26</v>
      </c>
      <c r="F1448" t="s">
        <v>108</v>
      </c>
      <c r="G1448" t="s">
        <v>102</v>
      </c>
      <c r="H1448" t="s">
        <v>20</v>
      </c>
      <c r="I1448">
        <v>8</v>
      </c>
    </row>
    <row r="1449" spans="1:9" x14ac:dyDescent="0.2">
      <c r="A1449">
        <v>6983772</v>
      </c>
      <c r="B1449">
        <v>5</v>
      </c>
      <c r="C1449">
        <v>1350</v>
      </c>
      <c r="D1449">
        <v>0</v>
      </c>
      <c r="E1449">
        <v>26</v>
      </c>
      <c r="F1449" t="s">
        <v>21</v>
      </c>
      <c r="G1449" t="s">
        <v>247</v>
      </c>
      <c r="H1449" t="s">
        <v>20</v>
      </c>
      <c r="I1449">
        <v>8</v>
      </c>
    </row>
    <row r="1450" spans="1:9" x14ac:dyDescent="0.2">
      <c r="A1450">
        <v>6983772</v>
      </c>
      <c r="B1450">
        <v>6</v>
      </c>
      <c r="C1450">
        <v>3651</v>
      </c>
      <c r="D1450">
        <v>0</v>
      </c>
      <c r="E1450">
        <v>26</v>
      </c>
      <c r="F1450" t="s">
        <v>108</v>
      </c>
      <c r="G1450" t="s">
        <v>247</v>
      </c>
      <c r="H1450" t="s">
        <v>20</v>
      </c>
      <c r="I1450">
        <v>8</v>
      </c>
    </row>
    <row r="1451" spans="1:9" x14ac:dyDescent="0.2">
      <c r="A1451">
        <v>6983772</v>
      </c>
      <c r="B1451">
        <v>7</v>
      </c>
      <c r="C1451">
        <v>1388</v>
      </c>
      <c r="D1451">
        <v>0</v>
      </c>
      <c r="E1451">
        <v>26</v>
      </c>
      <c r="F1451" t="s">
        <v>21</v>
      </c>
      <c r="G1451" t="s">
        <v>151</v>
      </c>
      <c r="H1451" t="s">
        <v>20</v>
      </c>
      <c r="I1451">
        <v>8</v>
      </c>
    </row>
    <row r="1452" spans="1:9" x14ac:dyDescent="0.2">
      <c r="A1452">
        <v>6983772</v>
      </c>
      <c r="B1452">
        <v>8</v>
      </c>
      <c r="C1452">
        <v>1715</v>
      </c>
      <c r="D1452">
        <v>0</v>
      </c>
      <c r="E1452">
        <v>26</v>
      </c>
      <c r="F1452" t="s">
        <v>57</v>
      </c>
      <c r="G1452" t="s">
        <v>151</v>
      </c>
      <c r="H1452" t="s">
        <v>69</v>
      </c>
      <c r="I1452">
        <v>10</v>
      </c>
    </row>
    <row r="1453" spans="1:9" x14ac:dyDescent="0.2">
      <c r="A1453">
        <v>7000538</v>
      </c>
      <c r="B1453">
        <v>1</v>
      </c>
      <c r="C1453">
        <v>3044</v>
      </c>
      <c r="D1453">
        <v>54160</v>
      </c>
      <c r="E1453">
        <v>25</v>
      </c>
      <c r="F1453" t="s">
        <v>44</v>
      </c>
      <c r="G1453" t="s">
        <v>250</v>
      </c>
      <c r="H1453" t="s">
        <v>52</v>
      </c>
      <c r="I1453">
        <v>9</v>
      </c>
    </row>
    <row r="1454" spans="1:9" x14ac:dyDescent="0.2">
      <c r="A1454">
        <v>7000538</v>
      </c>
      <c r="B1454">
        <v>2</v>
      </c>
      <c r="C1454">
        <v>1784</v>
      </c>
      <c r="D1454">
        <v>53290</v>
      </c>
      <c r="E1454">
        <v>25</v>
      </c>
      <c r="F1454" t="s">
        <v>57</v>
      </c>
      <c r="G1454" t="s">
        <v>87</v>
      </c>
      <c r="H1454" t="s">
        <v>69</v>
      </c>
      <c r="I1454">
        <v>10</v>
      </c>
    </row>
    <row r="1455" spans="1:9" x14ac:dyDescent="0.2">
      <c r="A1455">
        <v>7000538</v>
      </c>
      <c r="B1455">
        <v>3</v>
      </c>
      <c r="C1455">
        <v>3653</v>
      </c>
      <c r="D1455">
        <v>53200</v>
      </c>
      <c r="E1455">
        <v>25</v>
      </c>
      <c r="F1455" t="s">
        <v>108</v>
      </c>
      <c r="G1455" t="s">
        <v>283</v>
      </c>
      <c r="H1455" t="s">
        <v>20</v>
      </c>
      <c r="I1455">
        <v>8</v>
      </c>
    </row>
    <row r="1456" spans="1:9" x14ac:dyDescent="0.2">
      <c r="A1456">
        <v>7000538</v>
      </c>
      <c r="B1456">
        <v>4</v>
      </c>
      <c r="C1456">
        <v>1431</v>
      </c>
      <c r="D1456">
        <v>53150</v>
      </c>
      <c r="E1456">
        <v>25</v>
      </c>
      <c r="F1456" t="s">
        <v>25</v>
      </c>
      <c r="G1456" t="s">
        <v>284</v>
      </c>
      <c r="H1456" t="s">
        <v>24</v>
      </c>
      <c r="I1456">
        <v>5</v>
      </c>
    </row>
    <row r="1457" spans="1:9" x14ac:dyDescent="0.2">
      <c r="A1457">
        <v>7000538</v>
      </c>
      <c r="B1457">
        <v>5</v>
      </c>
      <c r="C1457">
        <v>1437</v>
      </c>
      <c r="D1457">
        <v>53150</v>
      </c>
      <c r="E1457">
        <v>25</v>
      </c>
      <c r="F1457" t="s">
        <v>25</v>
      </c>
      <c r="G1457" t="s">
        <v>285</v>
      </c>
      <c r="H1457" t="s">
        <v>24</v>
      </c>
      <c r="I1457">
        <v>5</v>
      </c>
    </row>
    <row r="1458" spans="1:9" x14ac:dyDescent="0.2">
      <c r="A1458">
        <v>7000538</v>
      </c>
      <c r="B1458">
        <v>6</v>
      </c>
      <c r="C1458">
        <v>2541</v>
      </c>
      <c r="D1458">
        <v>52710</v>
      </c>
      <c r="E1458">
        <v>25</v>
      </c>
      <c r="F1458" t="s">
        <v>175</v>
      </c>
      <c r="G1458" t="s">
        <v>286</v>
      </c>
      <c r="H1458" t="s">
        <v>213</v>
      </c>
      <c r="I1458">
        <v>4</v>
      </c>
    </row>
    <row r="1459" spans="1:9" x14ac:dyDescent="0.2">
      <c r="A1459">
        <v>7000538</v>
      </c>
      <c r="B1459">
        <v>7</v>
      </c>
      <c r="C1459">
        <v>1358</v>
      </c>
      <c r="D1459">
        <v>51855</v>
      </c>
      <c r="E1459">
        <v>25</v>
      </c>
      <c r="F1459" t="s">
        <v>21</v>
      </c>
      <c r="G1459" t="s">
        <v>210</v>
      </c>
      <c r="H1459" t="s">
        <v>20</v>
      </c>
      <c r="I1459">
        <v>8</v>
      </c>
    </row>
    <row r="1460" spans="1:9" x14ac:dyDescent="0.2">
      <c r="A1460">
        <v>7000538</v>
      </c>
      <c r="B1460">
        <v>8</v>
      </c>
      <c r="C1460">
        <v>3726</v>
      </c>
      <c r="D1460">
        <v>51180</v>
      </c>
      <c r="E1460">
        <v>25</v>
      </c>
      <c r="F1460" t="s">
        <v>116</v>
      </c>
      <c r="G1460" t="s">
        <v>287</v>
      </c>
      <c r="H1460" t="s">
        <v>61</v>
      </c>
      <c r="I1460">
        <v>9</v>
      </c>
    </row>
    <row r="1461" spans="1:9" x14ac:dyDescent="0.2">
      <c r="A1461">
        <v>7042515</v>
      </c>
      <c r="B1461">
        <v>1</v>
      </c>
      <c r="C1461">
        <v>1440</v>
      </c>
      <c r="D1461">
        <v>60825</v>
      </c>
      <c r="E1461">
        <v>25</v>
      </c>
      <c r="F1461" t="s">
        <v>25</v>
      </c>
      <c r="G1461" t="s">
        <v>22</v>
      </c>
      <c r="H1461" t="s">
        <v>24</v>
      </c>
      <c r="I1461">
        <v>5</v>
      </c>
    </row>
    <row r="1462" spans="1:9" x14ac:dyDescent="0.2">
      <c r="A1462">
        <v>7042515</v>
      </c>
      <c r="B1462">
        <v>2</v>
      </c>
      <c r="C1462">
        <v>1945</v>
      </c>
      <c r="D1462">
        <v>61530</v>
      </c>
      <c r="E1462">
        <v>25</v>
      </c>
      <c r="F1462" t="s">
        <v>32</v>
      </c>
      <c r="G1462" t="s">
        <v>97</v>
      </c>
      <c r="H1462" t="s">
        <v>31</v>
      </c>
      <c r="I1462">
        <v>5</v>
      </c>
    </row>
    <row r="1463" spans="1:9" x14ac:dyDescent="0.2">
      <c r="A1463">
        <v>7042515</v>
      </c>
      <c r="B1463">
        <v>3</v>
      </c>
      <c r="C1463">
        <v>1912</v>
      </c>
      <c r="D1463">
        <v>62810</v>
      </c>
      <c r="E1463">
        <v>24</v>
      </c>
      <c r="F1463" t="s">
        <v>32</v>
      </c>
      <c r="G1463" t="s">
        <v>347</v>
      </c>
      <c r="H1463" t="s">
        <v>31</v>
      </c>
      <c r="I1463">
        <v>5</v>
      </c>
    </row>
    <row r="1464" spans="1:9" x14ac:dyDescent="0.2">
      <c r="A1464">
        <v>7042515</v>
      </c>
      <c r="B1464">
        <v>4</v>
      </c>
      <c r="C1464">
        <v>1407</v>
      </c>
      <c r="D1464">
        <v>0</v>
      </c>
      <c r="E1464">
        <v>26</v>
      </c>
      <c r="F1464" t="s">
        <v>25</v>
      </c>
      <c r="G1464" t="s">
        <v>89</v>
      </c>
      <c r="H1464" t="s">
        <v>24</v>
      </c>
      <c r="I1464">
        <v>5</v>
      </c>
    </row>
    <row r="1465" spans="1:9" x14ac:dyDescent="0.2">
      <c r="A1465">
        <v>7042515</v>
      </c>
      <c r="B1465">
        <v>5</v>
      </c>
      <c r="C1465">
        <v>1430</v>
      </c>
      <c r="D1465">
        <v>0</v>
      </c>
      <c r="E1465">
        <v>26</v>
      </c>
      <c r="F1465" t="s">
        <v>25</v>
      </c>
      <c r="G1465" t="s">
        <v>63</v>
      </c>
      <c r="H1465" t="s">
        <v>24</v>
      </c>
      <c r="I1465">
        <v>5</v>
      </c>
    </row>
    <row r="1466" spans="1:9" x14ac:dyDescent="0.2">
      <c r="A1466">
        <v>7042515</v>
      </c>
      <c r="B1466">
        <v>6</v>
      </c>
      <c r="C1466">
        <v>1964</v>
      </c>
      <c r="D1466">
        <v>0</v>
      </c>
      <c r="E1466">
        <v>26</v>
      </c>
      <c r="F1466" t="s">
        <v>32</v>
      </c>
      <c r="G1466" t="s">
        <v>348</v>
      </c>
      <c r="H1466" t="s">
        <v>31</v>
      </c>
      <c r="I1466">
        <v>5</v>
      </c>
    </row>
    <row r="1467" spans="1:9" x14ac:dyDescent="0.2">
      <c r="A1467">
        <v>7057293</v>
      </c>
      <c r="B1467">
        <v>1</v>
      </c>
      <c r="C1467">
        <v>1142</v>
      </c>
      <c r="D1467">
        <v>68600</v>
      </c>
      <c r="E1467">
        <v>25</v>
      </c>
      <c r="F1467" t="s">
        <v>17</v>
      </c>
      <c r="G1467" t="s">
        <v>114</v>
      </c>
      <c r="H1467" t="s">
        <v>16</v>
      </c>
      <c r="I1467" t="s">
        <v>448</v>
      </c>
    </row>
    <row r="1468" spans="1:9" x14ac:dyDescent="0.2">
      <c r="A1468">
        <v>7057293</v>
      </c>
      <c r="B1468">
        <v>2</v>
      </c>
      <c r="C1468">
        <v>1214</v>
      </c>
      <c r="D1468">
        <v>68600</v>
      </c>
      <c r="E1468">
        <v>25</v>
      </c>
      <c r="F1468" t="s">
        <v>19</v>
      </c>
      <c r="G1468" t="s">
        <v>112</v>
      </c>
      <c r="H1468" t="s">
        <v>16</v>
      </c>
      <c r="I1468" t="s">
        <v>448</v>
      </c>
    </row>
    <row r="1469" spans="1:9" x14ac:dyDescent="0.2">
      <c r="A1469">
        <v>7057293</v>
      </c>
      <c r="B1469">
        <v>3</v>
      </c>
      <c r="C1469">
        <v>1141</v>
      </c>
      <c r="D1469">
        <v>68600</v>
      </c>
      <c r="E1469">
        <v>24</v>
      </c>
      <c r="F1469" t="s">
        <v>17</v>
      </c>
      <c r="G1469" t="s">
        <v>115</v>
      </c>
      <c r="H1469" t="s">
        <v>16</v>
      </c>
      <c r="I1469" t="s">
        <v>448</v>
      </c>
    </row>
    <row r="1470" spans="1:9" x14ac:dyDescent="0.2">
      <c r="A1470">
        <v>7073039</v>
      </c>
      <c r="B1470">
        <v>1</v>
      </c>
      <c r="C1470">
        <v>3244</v>
      </c>
      <c r="D1470">
        <v>58200</v>
      </c>
      <c r="E1470">
        <v>24</v>
      </c>
      <c r="F1470" t="s">
        <v>47</v>
      </c>
      <c r="G1470" t="s">
        <v>73</v>
      </c>
      <c r="H1470" t="s">
        <v>74</v>
      </c>
      <c r="I1470">
        <v>10</v>
      </c>
    </row>
    <row r="1471" spans="1:9" x14ac:dyDescent="0.2">
      <c r="A1471">
        <v>7073039</v>
      </c>
      <c r="B1471">
        <v>2</v>
      </c>
      <c r="C1471">
        <v>3234</v>
      </c>
      <c r="D1471">
        <v>0</v>
      </c>
      <c r="E1471">
        <v>26</v>
      </c>
      <c r="F1471" t="s">
        <v>47</v>
      </c>
      <c r="G1471" t="s">
        <v>76</v>
      </c>
      <c r="H1471" t="s">
        <v>46</v>
      </c>
      <c r="I1471">
        <v>10</v>
      </c>
    </row>
    <row r="1472" spans="1:9" x14ac:dyDescent="0.2">
      <c r="A1472">
        <v>7073039</v>
      </c>
      <c r="B1472">
        <v>3</v>
      </c>
      <c r="C1472">
        <v>1729</v>
      </c>
      <c r="D1472">
        <v>0</v>
      </c>
      <c r="E1472">
        <v>26</v>
      </c>
      <c r="F1472" t="s">
        <v>57</v>
      </c>
      <c r="G1472" t="s">
        <v>72</v>
      </c>
      <c r="H1472" t="s">
        <v>69</v>
      </c>
      <c r="I1472">
        <v>10</v>
      </c>
    </row>
    <row r="1473" spans="1:9" x14ac:dyDescent="0.2">
      <c r="A1473">
        <v>7073039</v>
      </c>
      <c r="B1473">
        <v>4</v>
      </c>
      <c r="C1473">
        <v>1788</v>
      </c>
      <c r="D1473">
        <v>0</v>
      </c>
      <c r="E1473">
        <v>26</v>
      </c>
      <c r="F1473" t="s">
        <v>57</v>
      </c>
      <c r="G1473" t="s">
        <v>97</v>
      </c>
      <c r="H1473" t="s">
        <v>56</v>
      </c>
      <c r="I1473">
        <v>10</v>
      </c>
    </row>
    <row r="1474" spans="1:9" x14ac:dyDescent="0.2">
      <c r="A1474">
        <v>7073039</v>
      </c>
      <c r="B1474">
        <v>5</v>
      </c>
      <c r="C1474">
        <v>1782</v>
      </c>
      <c r="D1474">
        <v>0</v>
      </c>
      <c r="E1474">
        <v>26</v>
      </c>
      <c r="F1474" t="s">
        <v>57</v>
      </c>
      <c r="G1474" t="s">
        <v>63</v>
      </c>
      <c r="H1474" t="s">
        <v>69</v>
      </c>
      <c r="I1474">
        <v>10</v>
      </c>
    </row>
    <row r="1475" spans="1:9" x14ac:dyDescent="0.2">
      <c r="A1475">
        <v>7073039</v>
      </c>
      <c r="B1475">
        <v>6</v>
      </c>
      <c r="C1475">
        <v>1765</v>
      </c>
      <c r="D1475">
        <v>0</v>
      </c>
      <c r="E1475">
        <v>26</v>
      </c>
      <c r="F1475" t="s">
        <v>57</v>
      </c>
      <c r="G1475" t="s">
        <v>68</v>
      </c>
      <c r="H1475" t="s">
        <v>69</v>
      </c>
      <c r="I1475">
        <v>10</v>
      </c>
    </row>
    <row r="1476" spans="1:9" x14ac:dyDescent="0.2">
      <c r="A1476">
        <v>7073039</v>
      </c>
      <c r="B1476">
        <v>7</v>
      </c>
      <c r="C1476">
        <v>1733</v>
      </c>
      <c r="D1476">
        <v>0</v>
      </c>
      <c r="E1476">
        <v>26</v>
      </c>
      <c r="F1476" t="s">
        <v>57</v>
      </c>
      <c r="G1476" t="s">
        <v>18</v>
      </c>
      <c r="H1476" t="s">
        <v>69</v>
      </c>
      <c r="I1476">
        <v>10</v>
      </c>
    </row>
    <row r="1477" spans="1:9" x14ac:dyDescent="0.2">
      <c r="A1477">
        <v>7127111</v>
      </c>
      <c r="B1477">
        <v>1</v>
      </c>
      <c r="C1477">
        <v>3085</v>
      </c>
      <c r="D1477">
        <v>62480</v>
      </c>
      <c r="E1477">
        <v>24</v>
      </c>
      <c r="F1477" t="s">
        <v>44</v>
      </c>
      <c r="G1477" t="s">
        <v>84</v>
      </c>
      <c r="H1477" t="s">
        <v>55</v>
      </c>
      <c r="I1477">
        <v>9</v>
      </c>
    </row>
    <row r="1478" spans="1:9" x14ac:dyDescent="0.2">
      <c r="A1478">
        <v>7127111</v>
      </c>
      <c r="B1478">
        <v>2</v>
      </c>
      <c r="C1478">
        <v>3064</v>
      </c>
      <c r="D1478">
        <v>0</v>
      </c>
      <c r="E1478">
        <v>26</v>
      </c>
      <c r="F1478" t="s">
        <v>44</v>
      </c>
      <c r="G1478" t="s">
        <v>97</v>
      </c>
      <c r="H1478" t="s">
        <v>52</v>
      </c>
      <c r="I1478">
        <v>9</v>
      </c>
    </row>
    <row r="1479" spans="1:9" x14ac:dyDescent="0.2">
      <c r="A1479">
        <v>7127111</v>
      </c>
      <c r="B1479">
        <v>3</v>
      </c>
      <c r="C1479">
        <v>1319</v>
      </c>
      <c r="D1479">
        <v>0</v>
      </c>
      <c r="E1479">
        <v>26</v>
      </c>
      <c r="F1479" t="s">
        <v>21</v>
      </c>
      <c r="G1479" t="s">
        <v>84</v>
      </c>
      <c r="H1479" t="s">
        <v>20</v>
      </c>
      <c r="I1479">
        <v>8</v>
      </c>
    </row>
    <row r="1480" spans="1:9" x14ac:dyDescent="0.2">
      <c r="A1480">
        <v>7131009</v>
      </c>
      <c r="B1480">
        <v>1</v>
      </c>
      <c r="C1480">
        <v>1705</v>
      </c>
      <c r="D1480">
        <v>59710</v>
      </c>
      <c r="E1480">
        <v>25</v>
      </c>
      <c r="F1480" t="s">
        <v>57</v>
      </c>
      <c r="G1480" t="s">
        <v>102</v>
      </c>
      <c r="H1480" t="s">
        <v>69</v>
      </c>
      <c r="I1480">
        <v>10</v>
      </c>
    </row>
    <row r="1481" spans="1:9" x14ac:dyDescent="0.2">
      <c r="A1481">
        <v>7131009</v>
      </c>
      <c r="B1481">
        <v>2</v>
      </c>
      <c r="C1481">
        <v>1715</v>
      </c>
      <c r="D1481">
        <v>59975</v>
      </c>
      <c r="E1481">
        <v>25</v>
      </c>
      <c r="F1481" t="s">
        <v>57</v>
      </c>
      <c r="G1481" t="s">
        <v>151</v>
      </c>
      <c r="H1481" t="s">
        <v>69</v>
      </c>
      <c r="I1481">
        <v>10</v>
      </c>
    </row>
    <row r="1482" spans="1:9" x14ac:dyDescent="0.2">
      <c r="A1482">
        <v>7131009</v>
      </c>
      <c r="B1482">
        <v>3</v>
      </c>
      <c r="C1482">
        <v>1728</v>
      </c>
      <c r="D1482">
        <v>59995</v>
      </c>
      <c r="E1482">
        <v>25</v>
      </c>
      <c r="F1482" t="s">
        <v>57</v>
      </c>
      <c r="G1482" t="s">
        <v>103</v>
      </c>
      <c r="H1482" t="s">
        <v>69</v>
      </c>
      <c r="I1482">
        <v>10</v>
      </c>
    </row>
    <row r="1483" spans="1:9" x14ac:dyDescent="0.2">
      <c r="A1483">
        <v>7131009</v>
      </c>
      <c r="B1483">
        <v>4</v>
      </c>
      <c r="C1483">
        <v>1711</v>
      </c>
      <c r="D1483">
        <v>59805</v>
      </c>
      <c r="E1483">
        <v>24</v>
      </c>
      <c r="F1483" t="s">
        <v>57</v>
      </c>
      <c r="G1483" t="s">
        <v>201</v>
      </c>
      <c r="H1483" t="s">
        <v>69</v>
      </c>
      <c r="I1483">
        <v>10</v>
      </c>
    </row>
    <row r="1484" spans="1:9" x14ac:dyDescent="0.2">
      <c r="A1484">
        <v>7131009</v>
      </c>
      <c r="B1484">
        <v>5</v>
      </c>
      <c r="C1484">
        <v>3020</v>
      </c>
      <c r="D1484">
        <v>0</v>
      </c>
      <c r="E1484">
        <v>26</v>
      </c>
      <c r="F1484" t="s">
        <v>44</v>
      </c>
      <c r="G1484" t="s">
        <v>102</v>
      </c>
      <c r="H1484" t="s">
        <v>50</v>
      </c>
      <c r="I1484">
        <v>9</v>
      </c>
    </row>
    <row r="1485" spans="1:9" x14ac:dyDescent="0.2">
      <c r="A1485">
        <v>7139023</v>
      </c>
      <c r="B1485">
        <v>1</v>
      </c>
      <c r="C1485">
        <v>1237</v>
      </c>
      <c r="D1485">
        <v>53190</v>
      </c>
      <c r="E1485">
        <v>25</v>
      </c>
      <c r="F1485" t="s">
        <v>19</v>
      </c>
      <c r="G1485" t="s">
        <v>65</v>
      </c>
      <c r="H1485" t="s">
        <v>16</v>
      </c>
      <c r="I1485" t="s">
        <v>448</v>
      </c>
    </row>
    <row r="1486" spans="1:9" x14ac:dyDescent="0.2">
      <c r="A1486">
        <v>7139023</v>
      </c>
      <c r="B1486">
        <v>2</v>
      </c>
      <c r="C1486">
        <v>1323</v>
      </c>
      <c r="D1486">
        <v>53555</v>
      </c>
      <c r="E1486">
        <v>25</v>
      </c>
      <c r="F1486" t="s">
        <v>21</v>
      </c>
      <c r="G1486" t="s">
        <v>98</v>
      </c>
      <c r="H1486" t="s">
        <v>20</v>
      </c>
      <c r="I1486">
        <v>8</v>
      </c>
    </row>
    <row r="1487" spans="1:9" x14ac:dyDescent="0.2">
      <c r="A1487">
        <v>7139023</v>
      </c>
      <c r="B1487">
        <v>3</v>
      </c>
      <c r="C1487">
        <v>3214</v>
      </c>
      <c r="D1487">
        <v>53455</v>
      </c>
      <c r="E1487">
        <v>25</v>
      </c>
      <c r="F1487" t="s">
        <v>47</v>
      </c>
      <c r="G1487" t="s">
        <v>98</v>
      </c>
      <c r="H1487" t="s">
        <v>74</v>
      </c>
      <c r="I1487">
        <v>10</v>
      </c>
    </row>
    <row r="1488" spans="1:9" x14ac:dyDescent="0.2">
      <c r="A1488">
        <v>7139023</v>
      </c>
      <c r="B1488">
        <v>4</v>
      </c>
      <c r="C1488">
        <v>1905</v>
      </c>
      <c r="D1488">
        <v>52365</v>
      </c>
      <c r="E1488">
        <v>25</v>
      </c>
      <c r="F1488" t="s">
        <v>32</v>
      </c>
      <c r="G1488" t="s">
        <v>275</v>
      </c>
      <c r="H1488" t="s">
        <v>113</v>
      </c>
      <c r="I1488">
        <v>5</v>
      </c>
    </row>
    <row r="1489" spans="1:9" x14ac:dyDescent="0.2">
      <c r="A1489">
        <v>7139023</v>
      </c>
      <c r="B1489">
        <v>5</v>
      </c>
      <c r="C1489">
        <v>1951</v>
      </c>
      <c r="D1489">
        <v>52520</v>
      </c>
      <c r="E1489">
        <v>25</v>
      </c>
      <c r="F1489" t="s">
        <v>32</v>
      </c>
      <c r="G1489" t="s">
        <v>228</v>
      </c>
      <c r="H1489" t="s">
        <v>113</v>
      </c>
      <c r="I1489">
        <v>5</v>
      </c>
    </row>
    <row r="1490" spans="1:9" x14ac:dyDescent="0.2">
      <c r="A1490">
        <v>7139023</v>
      </c>
      <c r="B1490">
        <v>6</v>
      </c>
      <c r="C1490">
        <v>3213</v>
      </c>
      <c r="D1490">
        <v>52885</v>
      </c>
      <c r="E1490">
        <v>24</v>
      </c>
      <c r="F1490" t="s">
        <v>47</v>
      </c>
      <c r="G1490" t="s">
        <v>158</v>
      </c>
      <c r="H1490" t="s">
        <v>74</v>
      </c>
      <c r="I1490">
        <v>10</v>
      </c>
    </row>
    <row r="1491" spans="1:9" x14ac:dyDescent="0.2">
      <c r="A1491">
        <v>7139023</v>
      </c>
      <c r="B1491">
        <v>7</v>
      </c>
      <c r="C1491">
        <v>2696</v>
      </c>
      <c r="D1491">
        <v>0</v>
      </c>
      <c r="E1491">
        <v>26</v>
      </c>
      <c r="F1491" t="s">
        <v>71</v>
      </c>
      <c r="G1491" t="s">
        <v>434</v>
      </c>
      <c r="H1491" t="s">
        <v>24</v>
      </c>
      <c r="I1491">
        <v>5</v>
      </c>
    </row>
    <row r="1492" spans="1:9" x14ac:dyDescent="0.2">
      <c r="A1492">
        <v>7139023</v>
      </c>
      <c r="B1492">
        <v>8</v>
      </c>
      <c r="C1492">
        <v>1367</v>
      </c>
      <c r="D1492">
        <v>0</v>
      </c>
      <c r="E1492">
        <v>26</v>
      </c>
      <c r="F1492" t="s">
        <v>21</v>
      </c>
      <c r="G1492" t="s">
        <v>97</v>
      </c>
      <c r="H1492" t="s">
        <v>20</v>
      </c>
      <c r="I1492">
        <v>8</v>
      </c>
    </row>
    <row r="1493" spans="1:9" x14ac:dyDescent="0.2">
      <c r="A1493">
        <v>7142127</v>
      </c>
      <c r="B1493">
        <v>1</v>
      </c>
      <c r="C1493">
        <v>1713</v>
      </c>
      <c r="D1493">
        <v>63050</v>
      </c>
      <c r="E1493">
        <v>25</v>
      </c>
      <c r="F1493" t="s">
        <v>57</v>
      </c>
      <c r="G1493" t="s">
        <v>170</v>
      </c>
      <c r="H1493" t="s">
        <v>69</v>
      </c>
      <c r="I1493">
        <v>10</v>
      </c>
    </row>
    <row r="1494" spans="1:9" x14ac:dyDescent="0.2">
      <c r="A1494">
        <v>7142127</v>
      </c>
      <c r="B1494">
        <v>2</v>
      </c>
      <c r="C1494">
        <v>1731</v>
      </c>
      <c r="D1494">
        <v>63050</v>
      </c>
      <c r="E1494">
        <v>25</v>
      </c>
      <c r="F1494" t="s">
        <v>57</v>
      </c>
      <c r="G1494" t="s">
        <v>172</v>
      </c>
      <c r="H1494" t="s">
        <v>69</v>
      </c>
      <c r="I1494">
        <v>10</v>
      </c>
    </row>
    <row r="1495" spans="1:9" x14ac:dyDescent="0.2">
      <c r="A1495">
        <v>7142127</v>
      </c>
      <c r="B1495">
        <v>3</v>
      </c>
      <c r="C1495">
        <v>1734</v>
      </c>
      <c r="D1495">
        <v>62990</v>
      </c>
      <c r="E1495">
        <v>24</v>
      </c>
      <c r="F1495" t="s">
        <v>57</v>
      </c>
      <c r="G1495" t="s">
        <v>81</v>
      </c>
      <c r="H1495" t="s">
        <v>69</v>
      </c>
      <c r="I1495">
        <v>10</v>
      </c>
    </row>
    <row r="1496" spans="1:9" x14ac:dyDescent="0.2">
      <c r="A1496">
        <v>7142127</v>
      </c>
      <c r="B1496">
        <v>4</v>
      </c>
      <c r="C1496">
        <v>1708</v>
      </c>
      <c r="D1496">
        <v>0</v>
      </c>
      <c r="E1496">
        <v>26</v>
      </c>
      <c r="F1496" t="s">
        <v>57</v>
      </c>
      <c r="G1496" t="s">
        <v>80</v>
      </c>
      <c r="H1496" t="s">
        <v>79</v>
      </c>
      <c r="I1496">
        <v>10</v>
      </c>
    </row>
    <row r="1497" spans="1:9" x14ac:dyDescent="0.2">
      <c r="A1497">
        <v>7142127</v>
      </c>
      <c r="B1497">
        <v>5</v>
      </c>
      <c r="C1497">
        <v>1704</v>
      </c>
      <c r="D1497">
        <v>0</v>
      </c>
      <c r="E1497">
        <v>26</v>
      </c>
      <c r="F1497" t="s">
        <v>57</v>
      </c>
      <c r="G1497" t="s">
        <v>82</v>
      </c>
      <c r="H1497" t="s">
        <v>79</v>
      </c>
      <c r="I1497">
        <v>10</v>
      </c>
    </row>
    <row r="1498" spans="1:9" x14ac:dyDescent="0.2">
      <c r="A1498">
        <v>7144307</v>
      </c>
      <c r="B1498">
        <v>1</v>
      </c>
      <c r="C1498">
        <v>1705</v>
      </c>
      <c r="D1498">
        <v>55730</v>
      </c>
      <c r="E1498">
        <v>25</v>
      </c>
      <c r="F1498" t="s">
        <v>57</v>
      </c>
      <c r="G1498" t="s">
        <v>102</v>
      </c>
      <c r="H1498" t="s">
        <v>69</v>
      </c>
      <c r="I1498">
        <v>10</v>
      </c>
    </row>
    <row r="1499" spans="1:9" x14ac:dyDescent="0.2">
      <c r="A1499">
        <v>7144307</v>
      </c>
      <c r="B1499">
        <v>2</v>
      </c>
      <c r="C1499">
        <v>1776</v>
      </c>
      <c r="D1499">
        <v>55960</v>
      </c>
      <c r="E1499">
        <v>25</v>
      </c>
      <c r="F1499" t="s">
        <v>57</v>
      </c>
      <c r="G1499" t="s">
        <v>124</v>
      </c>
      <c r="H1499" t="s">
        <v>125</v>
      </c>
      <c r="I1499">
        <v>10</v>
      </c>
    </row>
    <row r="1500" spans="1:9" x14ac:dyDescent="0.2">
      <c r="A1500">
        <v>7144307</v>
      </c>
      <c r="B1500">
        <v>3</v>
      </c>
      <c r="C1500">
        <v>1728</v>
      </c>
      <c r="D1500">
        <v>55965</v>
      </c>
      <c r="E1500">
        <v>25</v>
      </c>
      <c r="F1500" t="s">
        <v>57</v>
      </c>
      <c r="G1500" t="s">
        <v>103</v>
      </c>
      <c r="H1500" t="s">
        <v>69</v>
      </c>
      <c r="I1500">
        <v>10</v>
      </c>
    </row>
    <row r="1501" spans="1:9" x14ac:dyDescent="0.2">
      <c r="A1501">
        <v>7158261</v>
      </c>
      <c r="B1501">
        <v>1</v>
      </c>
      <c r="C1501">
        <v>1142</v>
      </c>
      <c r="D1501">
        <v>60520</v>
      </c>
      <c r="E1501">
        <v>25</v>
      </c>
      <c r="F1501" t="s">
        <v>17</v>
      </c>
      <c r="G1501" t="s">
        <v>114</v>
      </c>
      <c r="H1501" t="s">
        <v>16</v>
      </c>
      <c r="I1501" t="s">
        <v>448</v>
      </c>
    </row>
    <row r="1502" spans="1:9" x14ac:dyDescent="0.2">
      <c r="A1502">
        <v>7158261</v>
      </c>
      <c r="B1502">
        <v>2</v>
      </c>
      <c r="C1502">
        <v>1573</v>
      </c>
      <c r="D1502">
        <v>60175</v>
      </c>
      <c r="E1502">
        <v>25</v>
      </c>
      <c r="F1502" t="s">
        <v>142</v>
      </c>
      <c r="G1502" t="s">
        <v>84</v>
      </c>
      <c r="H1502" t="s">
        <v>113</v>
      </c>
      <c r="I1502">
        <v>5</v>
      </c>
    </row>
    <row r="1503" spans="1:9" x14ac:dyDescent="0.2">
      <c r="A1503">
        <v>7175492</v>
      </c>
      <c r="B1503">
        <v>1</v>
      </c>
      <c r="C1503">
        <v>3735</v>
      </c>
      <c r="D1503">
        <v>53700</v>
      </c>
      <c r="E1503">
        <v>24</v>
      </c>
      <c r="F1503" t="s">
        <v>116</v>
      </c>
      <c r="G1503" t="s">
        <v>187</v>
      </c>
      <c r="H1503" t="s">
        <v>61</v>
      </c>
      <c r="I1503">
        <v>9</v>
      </c>
    </row>
    <row r="1504" spans="1:9" x14ac:dyDescent="0.2">
      <c r="A1504">
        <v>7175492</v>
      </c>
      <c r="B1504">
        <v>2</v>
      </c>
      <c r="C1504">
        <v>2629</v>
      </c>
      <c r="D1504">
        <v>0</v>
      </c>
      <c r="E1504">
        <v>26</v>
      </c>
      <c r="F1504" t="s">
        <v>71</v>
      </c>
      <c r="G1504" t="s">
        <v>280</v>
      </c>
      <c r="H1504" t="s">
        <v>281</v>
      </c>
      <c r="I1504">
        <v>5</v>
      </c>
    </row>
    <row r="1505" spans="1:9" x14ac:dyDescent="0.2">
      <c r="A1505">
        <v>7175492</v>
      </c>
      <c r="B1505">
        <v>3</v>
      </c>
      <c r="C1505">
        <v>1438</v>
      </c>
      <c r="D1505">
        <v>0</v>
      </c>
      <c r="E1505">
        <v>26</v>
      </c>
      <c r="F1505" t="s">
        <v>25</v>
      </c>
      <c r="G1505" t="s">
        <v>368</v>
      </c>
      <c r="H1505" t="s">
        <v>24</v>
      </c>
      <c r="I1505">
        <v>5</v>
      </c>
    </row>
    <row r="1506" spans="1:9" x14ac:dyDescent="0.2">
      <c r="A1506">
        <v>7175492</v>
      </c>
      <c r="B1506">
        <v>4</v>
      </c>
      <c r="C1506">
        <v>1358</v>
      </c>
      <c r="D1506">
        <v>0</v>
      </c>
      <c r="E1506">
        <v>26</v>
      </c>
      <c r="F1506" t="s">
        <v>21</v>
      </c>
      <c r="G1506" t="s">
        <v>210</v>
      </c>
      <c r="H1506" t="s">
        <v>20</v>
      </c>
      <c r="I1506">
        <v>8</v>
      </c>
    </row>
    <row r="1507" spans="1:9" x14ac:dyDescent="0.2">
      <c r="A1507">
        <v>7175492</v>
      </c>
      <c r="B1507">
        <v>5</v>
      </c>
      <c r="C1507">
        <v>3067</v>
      </c>
      <c r="D1507">
        <v>0</v>
      </c>
      <c r="E1507">
        <v>26</v>
      </c>
      <c r="F1507" t="s">
        <v>44</v>
      </c>
      <c r="G1507" t="s">
        <v>252</v>
      </c>
      <c r="H1507" t="s">
        <v>52</v>
      </c>
      <c r="I1507">
        <v>9</v>
      </c>
    </row>
    <row r="1508" spans="1:9" x14ac:dyDescent="0.2">
      <c r="A1508">
        <v>7175492</v>
      </c>
      <c r="B1508">
        <v>6</v>
      </c>
      <c r="C1508">
        <v>3704</v>
      </c>
      <c r="D1508">
        <v>0</v>
      </c>
      <c r="E1508">
        <v>26</v>
      </c>
      <c r="F1508" t="s">
        <v>116</v>
      </c>
      <c r="G1508" t="s">
        <v>93</v>
      </c>
      <c r="H1508" t="s">
        <v>61</v>
      </c>
      <c r="I1508">
        <v>9</v>
      </c>
    </row>
    <row r="1509" spans="1:9" x14ac:dyDescent="0.2">
      <c r="A1509">
        <v>7175492</v>
      </c>
      <c r="B1509">
        <v>7</v>
      </c>
      <c r="C1509">
        <v>3242</v>
      </c>
      <c r="D1509">
        <v>0</v>
      </c>
      <c r="E1509">
        <v>26</v>
      </c>
      <c r="F1509" t="s">
        <v>47</v>
      </c>
      <c r="G1509" t="s">
        <v>90</v>
      </c>
      <c r="H1509" t="s">
        <v>46</v>
      </c>
      <c r="I1509">
        <v>10</v>
      </c>
    </row>
    <row r="1510" spans="1:9" x14ac:dyDescent="0.2">
      <c r="A1510">
        <v>7175493</v>
      </c>
      <c r="B1510">
        <v>1</v>
      </c>
      <c r="C1510">
        <v>1700</v>
      </c>
      <c r="D1510">
        <v>50600</v>
      </c>
      <c r="E1510">
        <v>25</v>
      </c>
      <c r="F1510" t="s">
        <v>57</v>
      </c>
      <c r="G1510" t="s">
        <v>58</v>
      </c>
      <c r="H1510" t="s">
        <v>69</v>
      </c>
      <c r="I1510">
        <v>10</v>
      </c>
    </row>
    <row r="1511" spans="1:9" x14ac:dyDescent="0.2">
      <c r="A1511">
        <v>7175493</v>
      </c>
      <c r="B1511">
        <v>2</v>
      </c>
      <c r="C1511">
        <v>1710</v>
      </c>
      <c r="D1511">
        <v>50425</v>
      </c>
      <c r="E1511">
        <v>24</v>
      </c>
      <c r="F1511" t="s">
        <v>57</v>
      </c>
      <c r="G1511" t="s">
        <v>169</v>
      </c>
      <c r="H1511" t="s">
        <v>69</v>
      </c>
      <c r="I1511">
        <v>10</v>
      </c>
    </row>
    <row r="1512" spans="1:9" x14ac:dyDescent="0.2">
      <c r="A1512">
        <v>7175493</v>
      </c>
      <c r="B1512">
        <v>3</v>
      </c>
      <c r="C1512">
        <v>1775</v>
      </c>
      <c r="D1512">
        <v>0</v>
      </c>
      <c r="E1512">
        <v>26</v>
      </c>
      <c r="F1512" t="s">
        <v>57</v>
      </c>
      <c r="G1512" t="s">
        <v>94</v>
      </c>
      <c r="H1512" t="s">
        <v>69</v>
      </c>
      <c r="I1512">
        <v>10</v>
      </c>
    </row>
    <row r="1513" spans="1:9" x14ac:dyDescent="0.2">
      <c r="A1513">
        <v>7243918</v>
      </c>
      <c r="B1513">
        <v>1</v>
      </c>
      <c r="C1513">
        <v>3360</v>
      </c>
      <c r="D1513">
        <v>48240</v>
      </c>
      <c r="E1513">
        <v>25</v>
      </c>
      <c r="F1513" t="s">
        <v>207</v>
      </c>
      <c r="G1513" t="s">
        <v>199</v>
      </c>
      <c r="H1513" t="s">
        <v>206</v>
      </c>
      <c r="I1513">
        <v>12</v>
      </c>
    </row>
    <row r="1514" spans="1:9" x14ac:dyDescent="0.2">
      <c r="A1514">
        <v>7243918</v>
      </c>
      <c r="B1514">
        <v>2</v>
      </c>
      <c r="C1514">
        <v>1705</v>
      </c>
      <c r="D1514">
        <v>47660</v>
      </c>
      <c r="E1514">
        <v>25</v>
      </c>
      <c r="F1514" t="s">
        <v>57</v>
      </c>
      <c r="G1514" t="s">
        <v>102</v>
      </c>
      <c r="H1514" t="s">
        <v>69</v>
      </c>
      <c r="I1514">
        <v>10</v>
      </c>
    </row>
    <row r="1515" spans="1:9" x14ac:dyDescent="0.2">
      <c r="A1515">
        <v>7243918</v>
      </c>
      <c r="B1515">
        <v>3</v>
      </c>
      <c r="C1515">
        <v>3381</v>
      </c>
      <c r="D1515">
        <v>51350</v>
      </c>
      <c r="E1515">
        <v>24</v>
      </c>
      <c r="F1515" t="s">
        <v>207</v>
      </c>
      <c r="G1515" t="s">
        <v>397</v>
      </c>
      <c r="H1515" t="s">
        <v>206</v>
      </c>
      <c r="I1515">
        <v>12</v>
      </c>
    </row>
    <row r="1516" spans="1:9" x14ac:dyDescent="0.2">
      <c r="A1516">
        <v>7243918</v>
      </c>
      <c r="B1516">
        <v>4</v>
      </c>
      <c r="C1516">
        <v>1776</v>
      </c>
      <c r="D1516">
        <v>0</v>
      </c>
      <c r="E1516">
        <v>26</v>
      </c>
      <c r="F1516" t="s">
        <v>57</v>
      </c>
      <c r="G1516" t="s">
        <v>124</v>
      </c>
      <c r="H1516" t="s">
        <v>125</v>
      </c>
      <c r="I1516">
        <v>10</v>
      </c>
    </row>
    <row r="1517" spans="1:9" x14ac:dyDescent="0.2">
      <c r="A1517">
        <v>7243918</v>
      </c>
      <c r="B1517">
        <v>5</v>
      </c>
      <c r="C1517">
        <v>3323</v>
      </c>
      <c r="D1517">
        <v>0</v>
      </c>
      <c r="E1517">
        <v>26</v>
      </c>
      <c r="F1517" t="s">
        <v>207</v>
      </c>
      <c r="G1517" t="s">
        <v>124</v>
      </c>
      <c r="H1517" t="s">
        <v>206</v>
      </c>
      <c r="I1517">
        <v>12</v>
      </c>
    </row>
    <row r="1518" spans="1:9" x14ac:dyDescent="0.2">
      <c r="A1518">
        <v>7243918</v>
      </c>
      <c r="B1518">
        <v>6</v>
      </c>
      <c r="C1518">
        <v>1786</v>
      </c>
      <c r="D1518">
        <v>0</v>
      </c>
      <c r="E1518">
        <v>26</v>
      </c>
      <c r="F1518" t="s">
        <v>57</v>
      </c>
      <c r="G1518" t="s">
        <v>103</v>
      </c>
      <c r="H1518" t="s">
        <v>56</v>
      </c>
      <c r="I1518">
        <v>10</v>
      </c>
    </row>
    <row r="1519" spans="1:9" x14ac:dyDescent="0.2">
      <c r="A1519">
        <v>7275188</v>
      </c>
      <c r="B1519">
        <v>1</v>
      </c>
      <c r="C1519">
        <v>1713</v>
      </c>
      <c r="D1519">
        <v>58990</v>
      </c>
      <c r="E1519">
        <v>25</v>
      </c>
      <c r="F1519" t="s">
        <v>57</v>
      </c>
      <c r="G1519" t="s">
        <v>170</v>
      </c>
      <c r="H1519" t="s">
        <v>69</v>
      </c>
      <c r="I1519">
        <v>10</v>
      </c>
    </row>
    <row r="1520" spans="1:9" x14ac:dyDescent="0.2">
      <c r="A1520">
        <v>7275188</v>
      </c>
      <c r="B1520">
        <v>2</v>
      </c>
      <c r="C1520">
        <v>1789</v>
      </c>
      <c r="D1520">
        <v>58990</v>
      </c>
      <c r="E1520">
        <v>25</v>
      </c>
      <c r="F1520" t="s">
        <v>57</v>
      </c>
      <c r="G1520" t="s">
        <v>122</v>
      </c>
      <c r="H1520" t="s">
        <v>69</v>
      </c>
      <c r="I1520">
        <v>10</v>
      </c>
    </row>
    <row r="1521" spans="1:9" x14ac:dyDescent="0.2">
      <c r="A1521">
        <v>7275188</v>
      </c>
      <c r="B1521">
        <v>3</v>
      </c>
      <c r="C1521">
        <v>1714</v>
      </c>
      <c r="D1521">
        <v>58300</v>
      </c>
      <c r="E1521">
        <v>25</v>
      </c>
      <c r="F1521" t="s">
        <v>57</v>
      </c>
      <c r="G1521" t="s">
        <v>95</v>
      </c>
      <c r="H1521" t="s">
        <v>69</v>
      </c>
      <c r="I1521">
        <v>10</v>
      </c>
    </row>
    <row r="1522" spans="1:9" x14ac:dyDescent="0.2">
      <c r="A1522">
        <v>7275188</v>
      </c>
      <c r="B1522">
        <v>4</v>
      </c>
      <c r="C1522">
        <v>1734</v>
      </c>
      <c r="D1522">
        <v>59410</v>
      </c>
      <c r="E1522">
        <v>25</v>
      </c>
      <c r="F1522" t="s">
        <v>57</v>
      </c>
      <c r="G1522" t="s">
        <v>81</v>
      </c>
      <c r="H1522" t="s">
        <v>69</v>
      </c>
      <c r="I1522">
        <v>10</v>
      </c>
    </row>
    <row r="1523" spans="1:9" x14ac:dyDescent="0.2">
      <c r="A1523">
        <v>7275188</v>
      </c>
      <c r="B1523">
        <v>5</v>
      </c>
      <c r="C1523">
        <v>1736</v>
      </c>
      <c r="D1523">
        <v>58960</v>
      </c>
      <c r="E1523">
        <v>24</v>
      </c>
      <c r="F1523" t="s">
        <v>57</v>
      </c>
      <c r="G1523" t="s">
        <v>78</v>
      </c>
      <c r="H1523" t="s">
        <v>79</v>
      </c>
      <c r="I1523">
        <v>10</v>
      </c>
    </row>
    <row r="1524" spans="1:9" x14ac:dyDescent="0.2">
      <c r="A1524">
        <v>7275189</v>
      </c>
      <c r="B1524">
        <v>1</v>
      </c>
      <c r="C1524">
        <v>1733</v>
      </c>
      <c r="D1524">
        <v>56110</v>
      </c>
      <c r="E1524">
        <v>24</v>
      </c>
      <c r="F1524" t="s">
        <v>57</v>
      </c>
      <c r="G1524" t="s">
        <v>18</v>
      </c>
      <c r="H1524" t="s">
        <v>69</v>
      </c>
      <c r="I1524">
        <v>10</v>
      </c>
    </row>
    <row r="1525" spans="1:9" x14ac:dyDescent="0.2">
      <c r="A1525">
        <v>7275189</v>
      </c>
      <c r="B1525">
        <v>2</v>
      </c>
      <c r="C1525">
        <v>3200</v>
      </c>
      <c r="D1525">
        <v>0</v>
      </c>
      <c r="E1525">
        <v>26</v>
      </c>
      <c r="F1525" t="s">
        <v>47</v>
      </c>
      <c r="G1525" t="s">
        <v>18</v>
      </c>
      <c r="H1525" t="s">
        <v>46</v>
      </c>
      <c r="I1525">
        <v>10</v>
      </c>
    </row>
    <row r="1526" spans="1:9" x14ac:dyDescent="0.2">
      <c r="A1526">
        <v>7275189</v>
      </c>
      <c r="B1526">
        <v>3</v>
      </c>
      <c r="C1526">
        <v>2901</v>
      </c>
      <c r="D1526">
        <v>0</v>
      </c>
      <c r="E1526">
        <v>26</v>
      </c>
      <c r="F1526" t="s">
        <v>119</v>
      </c>
      <c r="G1526" t="s">
        <v>18</v>
      </c>
      <c r="H1526" t="s">
        <v>20</v>
      </c>
      <c r="I1526">
        <v>8</v>
      </c>
    </row>
    <row r="1527" spans="1:9" x14ac:dyDescent="0.2">
      <c r="A1527">
        <v>7275189</v>
      </c>
      <c r="B1527">
        <v>4</v>
      </c>
      <c r="C1527">
        <v>1380</v>
      </c>
      <c r="D1527">
        <v>0</v>
      </c>
      <c r="E1527">
        <v>26</v>
      </c>
      <c r="F1527" t="s">
        <v>21</v>
      </c>
      <c r="G1527" t="s">
        <v>18</v>
      </c>
      <c r="H1527" t="s">
        <v>20</v>
      </c>
      <c r="I1527">
        <v>8</v>
      </c>
    </row>
    <row r="1528" spans="1:9" x14ac:dyDescent="0.2">
      <c r="A1528">
        <v>7275189</v>
      </c>
      <c r="B1528">
        <v>5</v>
      </c>
      <c r="C1528">
        <v>1920</v>
      </c>
      <c r="D1528">
        <v>0</v>
      </c>
      <c r="E1528">
        <v>26</v>
      </c>
      <c r="F1528" t="s">
        <v>32</v>
      </c>
      <c r="G1528" t="s">
        <v>18</v>
      </c>
      <c r="H1528" t="s">
        <v>31</v>
      </c>
      <c r="I1528">
        <v>5</v>
      </c>
    </row>
    <row r="1529" spans="1:9" x14ac:dyDescent="0.2">
      <c r="A1529">
        <v>7275189</v>
      </c>
      <c r="B1529">
        <v>6</v>
      </c>
      <c r="C1529">
        <v>3296</v>
      </c>
      <c r="D1529">
        <v>0</v>
      </c>
      <c r="E1529">
        <v>26</v>
      </c>
      <c r="F1529" t="s">
        <v>47</v>
      </c>
      <c r="G1529" t="s">
        <v>100</v>
      </c>
      <c r="H1529" t="s">
        <v>46</v>
      </c>
      <c r="I1529">
        <v>10</v>
      </c>
    </row>
    <row r="1530" spans="1:9" x14ac:dyDescent="0.2">
      <c r="A1530">
        <v>7275189</v>
      </c>
      <c r="B1530">
        <v>7</v>
      </c>
      <c r="C1530">
        <v>2639</v>
      </c>
      <c r="D1530">
        <v>0</v>
      </c>
      <c r="E1530">
        <v>26</v>
      </c>
      <c r="F1530" t="s">
        <v>71</v>
      </c>
      <c r="G1530" t="s">
        <v>260</v>
      </c>
      <c r="H1530" t="s">
        <v>24</v>
      </c>
      <c r="I1530">
        <v>5</v>
      </c>
    </row>
    <row r="1531" spans="1:9" x14ac:dyDescent="0.2">
      <c r="A1531">
        <v>7275189</v>
      </c>
      <c r="B1531">
        <v>8</v>
      </c>
      <c r="C1531">
        <v>2964</v>
      </c>
      <c r="D1531">
        <v>0</v>
      </c>
      <c r="E1531">
        <v>26</v>
      </c>
      <c r="F1531" t="s">
        <v>119</v>
      </c>
      <c r="G1531" t="s">
        <v>336</v>
      </c>
      <c r="H1531" t="s">
        <v>136</v>
      </c>
      <c r="I1531">
        <v>8</v>
      </c>
    </row>
    <row r="1532" spans="1:9" x14ac:dyDescent="0.2">
      <c r="A1532">
        <v>7301763</v>
      </c>
      <c r="B1532">
        <v>1</v>
      </c>
      <c r="C1532">
        <v>1776</v>
      </c>
      <c r="D1532">
        <v>55680</v>
      </c>
      <c r="E1532">
        <v>25</v>
      </c>
      <c r="F1532" t="s">
        <v>57</v>
      </c>
      <c r="G1532" t="s">
        <v>124</v>
      </c>
      <c r="H1532" t="s">
        <v>125</v>
      </c>
      <c r="I1532">
        <v>10</v>
      </c>
    </row>
    <row r="1533" spans="1:9" x14ac:dyDescent="0.2">
      <c r="A1533">
        <v>7301763</v>
      </c>
      <c r="B1533">
        <v>2</v>
      </c>
      <c r="C1533">
        <v>1786</v>
      </c>
      <c r="D1533">
        <v>55775</v>
      </c>
      <c r="E1533">
        <v>25</v>
      </c>
      <c r="F1533" t="s">
        <v>57</v>
      </c>
      <c r="G1533" t="s">
        <v>103</v>
      </c>
      <c r="H1533" t="s">
        <v>56</v>
      </c>
      <c r="I1533">
        <v>10</v>
      </c>
    </row>
    <row r="1534" spans="1:9" x14ac:dyDescent="0.2">
      <c r="A1534">
        <v>7301763</v>
      </c>
      <c r="B1534">
        <v>3</v>
      </c>
      <c r="C1534">
        <v>1702</v>
      </c>
      <c r="D1534">
        <v>55720</v>
      </c>
      <c r="E1534">
        <v>25</v>
      </c>
      <c r="F1534" t="s">
        <v>57</v>
      </c>
      <c r="G1534" t="s">
        <v>164</v>
      </c>
      <c r="H1534" t="s">
        <v>69</v>
      </c>
      <c r="I1534">
        <v>10</v>
      </c>
    </row>
    <row r="1535" spans="1:9" x14ac:dyDescent="0.2">
      <c r="A1535">
        <v>7301763</v>
      </c>
      <c r="B1535">
        <v>4</v>
      </c>
      <c r="C1535">
        <v>1705</v>
      </c>
      <c r="D1535">
        <v>55860</v>
      </c>
      <c r="E1535">
        <v>25</v>
      </c>
      <c r="F1535" t="s">
        <v>57</v>
      </c>
      <c r="G1535" t="s">
        <v>102</v>
      </c>
      <c r="H1535" t="s">
        <v>69</v>
      </c>
      <c r="I1535">
        <v>10</v>
      </c>
    </row>
    <row r="1536" spans="1:9" x14ac:dyDescent="0.2">
      <c r="A1536">
        <v>7301763</v>
      </c>
      <c r="B1536">
        <v>5</v>
      </c>
      <c r="C1536">
        <v>1734</v>
      </c>
      <c r="D1536">
        <v>55855</v>
      </c>
      <c r="E1536">
        <v>25</v>
      </c>
      <c r="F1536" t="s">
        <v>57</v>
      </c>
      <c r="G1536" t="s">
        <v>81</v>
      </c>
      <c r="H1536" t="s">
        <v>69</v>
      </c>
      <c r="I1536">
        <v>10</v>
      </c>
    </row>
    <row r="1537" spans="1:9" x14ac:dyDescent="0.2">
      <c r="A1537">
        <v>7315945</v>
      </c>
      <c r="B1537">
        <v>1</v>
      </c>
      <c r="C1537">
        <v>3234</v>
      </c>
      <c r="D1537">
        <v>0</v>
      </c>
      <c r="E1537">
        <v>36</v>
      </c>
      <c r="F1537" t="s">
        <v>47</v>
      </c>
      <c r="G1537" t="s">
        <v>76</v>
      </c>
      <c r="H1537" t="s">
        <v>46</v>
      </c>
      <c r="I1537">
        <v>10</v>
      </c>
    </row>
    <row r="1538" spans="1:9" x14ac:dyDescent="0.2">
      <c r="A1538">
        <v>7448552</v>
      </c>
      <c r="B1538">
        <v>1</v>
      </c>
      <c r="C1538">
        <v>3064</v>
      </c>
      <c r="D1538">
        <v>51635</v>
      </c>
      <c r="E1538">
        <v>25</v>
      </c>
      <c r="F1538" t="s">
        <v>44</v>
      </c>
      <c r="G1538" t="s">
        <v>97</v>
      </c>
      <c r="H1538" t="s">
        <v>52</v>
      </c>
      <c r="I1538">
        <v>9</v>
      </c>
    </row>
    <row r="1539" spans="1:9" x14ac:dyDescent="0.2">
      <c r="A1539">
        <v>7448552</v>
      </c>
      <c r="B1539">
        <v>2</v>
      </c>
      <c r="C1539">
        <v>3091</v>
      </c>
      <c r="D1539">
        <v>51600</v>
      </c>
      <c r="E1539">
        <v>25</v>
      </c>
      <c r="F1539" t="s">
        <v>44</v>
      </c>
      <c r="G1539" t="s">
        <v>89</v>
      </c>
      <c r="H1539" t="s">
        <v>52</v>
      </c>
      <c r="I1539">
        <v>9</v>
      </c>
    </row>
    <row r="1540" spans="1:9" x14ac:dyDescent="0.2">
      <c r="A1540">
        <v>7448552</v>
      </c>
      <c r="B1540">
        <v>3</v>
      </c>
      <c r="C1540">
        <v>3021</v>
      </c>
      <c r="D1540">
        <v>51415</v>
      </c>
      <c r="E1540">
        <v>25</v>
      </c>
      <c r="F1540" t="s">
        <v>44</v>
      </c>
      <c r="G1540" t="s">
        <v>49</v>
      </c>
      <c r="H1540" t="s">
        <v>50</v>
      </c>
      <c r="I1540">
        <v>9</v>
      </c>
    </row>
    <row r="1541" spans="1:9" x14ac:dyDescent="0.2">
      <c r="A1541">
        <v>7535175</v>
      </c>
      <c r="B1541">
        <v>1</v>
      </c>
      <c r="C1541">
        <v>1573</v>
      </c>
      <c r="D1541">
        <v>64865</v>
      </c>
      <c r="E1541">
        <v>25</v>
      </c>
      <c r="F1541" t="s">
        <v>142</v>
      </c>
      <c r="G1541" t="s">
        <v>84</v>
      </c>
      <c r="H1541" t="s">
        <v>113</v>
      </c>
      <c r="I1541">
        <v>5</v>
      </c>
    </row>
    <row r="1542" spans="1:9" x14ac:dyDescent="0.2">
      <c r="A1542">
        <v>7535175</v>
      </c>
      <c r="B1542">
        <v>2</v>
      </c>
      <c r="C1542">
        <v>1635</v>
      </c>
      <c r="D1542">
        <v>63995</v>
      </c>
      <c r="E1542">
        <v>25</v>
      </c>
      <c r="F1542" t="s">
        <v>128</v>
      </c>
      <c r="G1542" t="s">
        <v>84</v>
      </c>
      <c r="H1542" t="s">
        <v>127</v>
      </c>
      <c r="I1542" t="s">
        <v>448</v>
      </c>
    </row>
    <row r="1543" spans="1:9" x14ac:dyDescent="0.2">
      <c r="A1543">
        <v>7535175</v>
      </c>
      <c r="B1543">
        <v>3</v>
      </c>
      <c r="C1543">
        <v>1571</v>
      </c>
      <c r="D1543">
        <v>64865</v>
      </c>
      <c r="E1543">
        <v>25</v>
      </c>
      <c r="F1543" t="s">
        <v>142</v>
      </c>
      <c r="G1543" t="s">
        <v>264</v>
      </c>
      <c r="H1543" t="s">
        <v>113</v>
      </c>
      <c r="I1543">
        <v>5</v>
      </c>
    </row>
    <row r="1544" spans="1:9" x14ac:dyDescent="0.2">
      <c r="A1544">
        <v>7535175</v>
      </c>
      <c r="B1544">
        <v>4</v>
      </c>
      <c r="C1544">
        <v>1613</v>
      </c>
      <c r="D1544">
        <v>62070</v>
      </c>
      <c r="E1544">
        <v>25</v>
      </c>
      <c r="F1544" t="s">
        <v>128</v>
      </c>
      <c r="G1544" t="s">
        <v>360</v>
      </c>
      <c r="H1544" t="s">
        <v>127</v>
      </c>
      <c r="I1544" t="s">
        <v>448</v>
      </c>
    </row>
    <row r="1545" spans="1:9" x14ac:dyDescent="0.2">
      <c r="A1545">
        <v>7535175</v>
      </c>
      <c r="B1545">
        <v>5</v>
      </c>
      <c r="C1545">
        <v>1602</v>
      </c>
      <c r="D1545">
        <v>62070</v>
      </c>
      <c r="E1545">
        <v>24</v>
      </c>
      <c r="F1545" t="s">
        <v>128</v>
      </c>
      <c r="G1545" t="s">
        <v>361</v>
      </c>
      <c r="H1545" t="s">
        <v>127</v>
      </c>
      <c r="I1545" t="s">
        <v>448</v>
      </c>
    </row>
    <row r="1546" spans="1:9" x14ac:dyDescent="0.2">
      <c r="A1546">
        <v>7535175</v>
      </c>
      <c r="B1546">
        <v>6</v>
      </c>
      <c r="C1546">
        <v>1612</v>
      </c>
      <c r="D1546">
        <v>0</v>
      </c>
      <c r="E1546">
        <v>26</v>
      </c>
      <c r="F1546" t="s">
        <v>128</v>
      </c>
      <c r="G1546" t="s">
        <v>362</v>
      </c>
      <c r="H1546" t="s">
        <v>127</v>
      </c>
      <c r="I1546" t="s">
        <v>448</v>
      </c>
    </row>
    <row r="1547" spans="1:9" x14ac:dyDescent="0.2">
      <c r="A1547">
        <v>7535175</v>
      </c>
      <c r="B1547">
        <v>7</v>
      </c>
      <c r="C1547">
        <v>1636</v>
      </c>
      <c r="D1547">
        <v>0</v>
      </c>
      <c r="E1547">
        <v>26</v>
      </c>
      <c r="F1547" t="s">
        <v>128</v>
      </c>
      <c r="G1547" t="s">
        <v>168</v>
      </c>
      <c r="H1547" t="s">
        <v>127</v>
      </c>
      <c r="I1547" t="s">
        <v>448</v>
      </c>
    </row>
    <row r="1548" spans="1:9" x14ac:dyDescent="0.2">
      <c r="A1548">
        <v>7535175</v>
      </c>
      <c r="B1548">
        <v>8</v>
      </c>
      <c r="C1548">
        <v>2148</v>
      </c>
      <c r="D1548">
        <v>0</v>
      </c>
      <c r="E1548">
        <v>16</v>
      </c>
      <c r="F1548" t="s">
        <v>193</v>
      </c>
      <c r="G1548" t="s">
        <v>84</v>
      </c>
      <c r="H1548" t="s">
        <v>231</v>
      </c>
      <c r="I1548" t="s">
        <v>448</v>
      </c>
    </row>
    <row r="1549" spans="1:9" x14ac:dyDescent="0.2">
      <c r="A1549">
        <v>7576304</v>
      </c>
      <c r="B1549">
        <v>1</v>
      </c>
      <c r="C1549">
        <v>1714</v>
      </c>
      <c r="D1549">
        <v>57360</v>
      </c>
      <c r="E1549">
        <v>25</v>
      </c>
      <c r="F1549" t="s">
        <v>57</v>
      </c>
      <c r="G1549" t="s">
        <v>95</v>
      </c>
      <c r="H1549" t="s">
        <v>69</v>
      </c>
      <c r="I1549">
        <v>10</v>
      </c>
    </row>
    <row r="1550" spans="1:9" x14ac:dyDescent="0.2">
      <c r="A1550">
        <v>7576304</v>
      </c>
      <c r="B1550">
        <v>2</v>
      </c>
      <c r="C1550">
        <v>3711</v>
      </c>
      <c r="D1550">
        <v>57665</v>
      </c>
      <c r="E1550">
        <v>24</v>
      </c>
      <c r="F1550" t="s">
        <v>116</v>
      </c>
      <c r="G1550" t="s">
        <v>95</v>
      </c>
      <c r="H1550" t="s">
        <v>61</v>
      </c>
      <c r="I1550">
        <v>9</v>
      </c>
    </row>
    <row r="1551" spans="1:9" x14ac:dyDescent="0.2">
      <c r="A1551">
        <v>7576304</v>
      </c>
      <c r="B1551">
        <v>3</v>
      </c>
      <c r="C1551">
        <v>1728</v>
      </c>
      <c r="D1551">
        <v>0</v>
      </c>
      <c r="E1551">
        <v>26</v>
      </c>
      <c r="F1551" t="s">
        <v>57</v>
      </c>
      <c r="G1551" t="s">
        <v>103</v>
      </c>
      <c r="H1551" t="s">
        <v>69</v>
      </c>
      <c r="I1551">
        <v>10</v>
      </c>
    </row>
    <row r="1552" spans="1:9" x14ac:dyDescent="0.2">
      <c r="A1552">
        <v>7576304</v>
      </c>
      <c r="B1552">
        <v>4</v>
      </c>
      <c r="C1552">
        <v>1702</v>
      </c>
      <c r="D1552">
        <v>0</v>
      </c>
      <c r="E1552">
        <v>26</v>
      </c>
      <c r="F1552" t="s">
        <v>57</v>
      </c>
      <c r="G1552" t="s">
        <v>164</v>
      </c>
      <c r="H1552" t="s">
        <v>69</v>
      </c>
      <c r="I1552">
        <v>10</v>
      </c>
    </row>
    <row r="1553" spans="1:9" x14ac:dyDescent="0.2">
      <c r="A1553">
        <v>7576304</v>
      </c>
      <c r="B1553">
        <v>5</v>
      </c>
      <c r="C1553">
        <v>1787</v>
      </c>
      <c r="D1553">
        <v>0</v>
      </c>
      <c r="E1553">
        <v>26</v>
      </c>
      <c r="F1553" t="s">
        <v>57</v>
      </c>
      <c r="G1553" t="s">
        <v>49</v>
      </c>
      <c r="H1553" t="s">
        <v>56</v>
      </c>
      <c r="I1553">
        <v>10</v>
      </c>
    </row>
    <row r="1554" spans="1:9" x14ac:dyDescent="0.2">
      <c r="A1554">
        <v>7576304</v>
      </c>
      <c r="B1554">
        <v>6</v>
      </c>
      <c r="C1554">
        <v>1701</v>
      </c>
      <c r="D1554">
        <v>0</v>
      </c>
      <c r="E1554">
        <v>26</v>
      </c>
      <c r="F1554" t="s">
        <v>57</v>
      </c>
      <c r="G1554" t="s">
        <v>96</v>
      </c>
      <c r="H1554" t="s">
        <v>69</v>
      </c>
      <c r="I1554">
        <v>10</v>
      </c>
    </row>
    <row r="1555" spans="1:9" x14ac:dyDescent="0.2">
      <c r="A1555">
        <v>7576304</v>
      </c>
      <c r="B1555">
        <v>7</v>
      </c>
      <c r="C1555">
        <v>1734</v>
      </c>
      <c r="D1555">
        <v>0</v>
      </c>
      <c r="E1555">
        <v>13</v>
      </c>
      <c r="F1555" t="s">
        <v>57</v>
      </c>
      <c r="G1555" t="s">
        <v>81</v>
      </c>
      <c r="H1555" t="s">
        <v>69</v>
      </c>
      <c r="I1555">
        <v>10</v>
      </c>
    </row>
    <row r="1556" spans="1:9" x14ac:dyDescent="0.2">
      <c r="A1556">
        <v>7576304</v>
      </c>
      <c r="B1556">
        <v>8</v>
      </c>
      <c r="C1556">
        <v>1700</v>
      </c>
      <c r="D1556">
        <v>0</v>
      </c>
      <c r="E1556">
        <v>13</v>
      </c>
      <c r="F1556" t="s">
        <v>57</v>
      </c>
      <c r="G1556" t="s">
        <v>58</v>
      </c>
      <c r="H1556" t="s">
        <v>69</v>
      </c>
      <c r="I1556">
        <v>10</v>
      </c>
    </row>
    <row r="1557" spans="1:9" x14ac:dyDescent="0.2">
      <c r="A1557">
        <v>7577899</v>
      </c>
      <c r="B1557">
        <v>1</v>
      </c>
      <c r="C1557">
        <v>3212</v>
      </c>
      <c r="D1557">
        <v>48290</v>
      </c>
      <c r="E1557">
        <v>25</v>
      </c>
      <c r="F1557" t="s">
        <v>47</v>
      </c>
      <c r="G1557" t="s">
        <v>84</v>
      </c>
      <c r="H1557" t="s">
        <v>46</v>
      </c>
      <c r="I1557">
        <v>10</v>
      </c>
    </row>
    <row r="1558" spans="1:9" x14ac:dyDescent="0.2">
      <c r="A1558">
        <v>7577899</v>
      </c>
      <c r="B1558">
        <v>2</v>
      </c>
      <c r="C1558">
        <v>3296</v>
      </c>
      <c r="D1558">
        <v>48730</v>
      </c>
      <c r="E1558">
        <v>25</v>
      </c>
      <c r="F1558" t="s">
        <v>47</v>
      </c>
      <c r="G1558" t="s">
        <v>100</v>
      </c>
      <c r="H1558" t="s">
        <v>46</v>
      </c>
      <c r="I1558">
        <v>10</v>
      </c>
    </row>
    <row r="1559" spans="1:9" x14ac:dyDescent="0.2">
      <c r="A1559">
        <v>7577899</v>
      </c>
      <c r="B1559">
        <v>3</v>
      </c>
      <c r="C1559">
        <v>3261</v>
      </c>
      <c r="D1559">
        <v>48570</v>
      </c>
      <c r="E1559">
        <v>25</v>
      </c>
      <c r="F1559" t="s">
        <v>47</v>
      </c>
      <c r="G1559" t="s">
        <v>93</v>
      </c>
      <c r="H1559" t="s">
        <v>46</v>
      </c>
      <c r="I1559">
        <v>10</v>
      </c>
    </row>
    <row r="1560" spans="1:9" x14ac:dyDescent="0.2">
      <c r="A1560">
        <v>7577899</v>
      </c>
      <c r="B1560">
        <v>4</v>
      </c>
      <c r="C1560">
        <v>3211</v>
      </c>
      <c r="D1560">
        <v>48470</v>
      </c>
      <c r="E1560">
        <v>24</v>
      </c>
      <c r="F1560" t="s">
        <v>47</v>
      </c>
      <c r="G1560" t="s">
        <v>99</v>
      </c>
      <c r="H1560" t="s">
        <v>46</v>
      </c>
      <c r="I1560">
        <v>10</v>
      </c>
    </row>
    <row r="1561" spans="1:9" x14ac:dyDescent="0.2">
      <c r="A1561">
        <v>7577899</v>
      </c>
      <c r="B1561">
        <v>5</v>
      </c>
      <c r="C1561">
        <v>3200</v>
      </c>
      <c r="D1561">
        <v>0</v>
      </c>
      <c r="E1561">
        <v>26</v>
      </c>
      <c r="F1561" t="s">
        <v>47</v>
      </c>
      <c r="G1561" t="s">
        <v>18</v>
      </c>
      <c r="H1561" t="s">
        <v>46</v>
      </c>
      <c r="I1561">
        <v>10</v>
      </c>
    </row>
    <row r="1562" spans="1:9" x14ac:dyDescent="0.2">
      <c r="A1562">
        <v>7577899</v>
      </c>
      <c r="B1562">
        <v>6</v>
      </c>
      <c r="C1562">
        <v>3251</v>
      </c>
      <c r="D1562">
        <v>0</v>
      </c>
      <c r="E1562">
        <v>26</v>
      </c>
      <c r="F1562" t="s">
        <v>47</v>
      </c>
      <c r="G1562" t="s">
        <v>48</v>
      </c>
      <c r="H1562" t="s">
        <v>46</v>
      </c>
      <c r="I1562">
        <v>10</v>
      </c>
    </row>
    <row r="1563" spans="1:9" x14ac:dyDescent="0.2">
      <c r="A1563">
        <v>7577899</v>
      </c>
      <c r="B1563">
        <v>7</v>
      </c>
      <c r="C1563">
        <v>3213</v>
      </c>
      <c r="D1563">
        <v>0</v>
      </c>
      <c r="E1563">
        <v>26</v>
      </c>
      <c r="F1563" t="s">
        <v>47</v>
      </c>
      <c r="G1563" t="s">
        <v>158</v>
      </c>
      <c r="H1563" t="s">
        <v>74</v>
      </c>
      <c r="I1563">
        <v>10</v>
      </c>
    </row>
    <row r="1564" spans="1:9" x14ac:dyDescent="0.2">
      <c r="A1564">
        <v>7577899</v>
      </c>
      <c r="B1564">
        <v>8</v>
      </c>
      <c r="C1564">
        <v>3214</v>
      </c>
      <c r="D1564">
        <v>0</v>
      </c>
      <c r="E1564">
        <v>26</v>
      </c>
      <c r="F1564" t="s">
        <v>47</v>
      </c>
      <c r="G1564" t="s">
        <v>98</v>
      </c>
      <c r="H1564" t="s">
        <v>74</v>
      </c>
      <c r="I1564">
        <v>10</v>
      </c>
    </row>
    <row r="1565" spans="1:9" x14ac:dyDescent="0.2">
      <c r="A1565">
        <v>7592209</v>
      </c>
      <c r="B1565">
        <v>1</v>
      </c>
      <c r="C1565">
        <v>3214</v>
      </c>
      <c r="D1565">
        <v>54455</v>
      </c>
      <c r="E1565">
        <v>24</v>
      </c>
      <c r="F1565" t="s">
        <v>47</v>
      </c>
      <c r="G1565" t="s">
        <v>98</v>
      </c>
      <c r="H1565" t="s">
        <v>74</v>
      </c>
      <c r="I1565">
        <v>10</v>
      </c>
    </row>
    <row r="1566" spans="1:9" x14ac:dyDescent="0.2">
      <c r="A1566">
        <v>7592209</v>
      </c>
      <c r="B1566">
        <v>2</v>
      </c>
      <c r="C1566">
        <v>1323</v>
      </c>
      <c r="D1566">
        <v>0</v>
      </c>
      <c r="E1566">
        <v>26</v>
      </c>
      <c r="F1566" t="s">
        <v>21</v>
      </c>
      <c r="G1566" t="s">
        <v>98</v>
      </c>
      <c r="H1566" t="s">
        <v>20</v>
      </c>
      <c r="I1566">
        <v>8</v>
      </c>
    </row>
    <row r="1567" spans="1:9" x14ac:dyDescent="0.2">
      <c r="A1567">
        <v>7616779</v>
      </c>
      <c r="B1567">
        <v>1</v>
      </c>
      <c r="C1567">
        <v>1238</v>
      </c>
      <c r="D1567">
        <v>64830</v>
      </c>
      <c r="E1567">
        <v>24</v>
      </c>
      <c r="F1567" t="s">
        <v>19</v>
      </c>
      <c r="G1567" t="s">
        <v>156</v>
      </c>
      <c r="H1567" t="s">
        <v>16</v>
      </c>
      <c r="I1567" t="s">
        <v>448</v>
      </c>
    </row>
    <row r="1568" spans="1:9" x14ac:dyDescent="0.2">
      <c r="A1568">
        <v>7616779</v>
      </c>
      <c r="B1568">
        <v>2</v>
      </c>
      <c r="C1568">
        <v>2132</v>
      </c>
      <c r="D1568">
        <v>0</v>
      </c>
      <c r="E1568">
        <v>26</v>
      </c>
      <c r="F1568" t="s">
        <v>193</v>
      </c>
      <c r="G1568" t="s">
        <v>54</v>
      </c>
      <c r="H1568" t="s">
        <v>216</v>
      </c>
      <c r="I1568" t="s">
        <v>448</v>
      </c>
    </row>
    <row r="1569" spans="1:9" x14ac:dyDescent="0.2">
      <c r="A1569">
        <v>7616779</v>
      </c>
      <c r="B1569">
        <v>3</v>
      </c>
      <c r="C1569">
        <v>1737</v>
      </c>
      <c r="D1569">
        <v>0</v>
      </c>
      <c r="E1569">
        <v>26</v>
      </c>
      <c r="F1569" t="s">
        <v>57</v>
      </c>
      <c r="G1569" t="s">
        <v>54</v>
      </c>
      <c r="H1569" t="s">
        <v>79</v>
      </c>
      <c r="I1569">
        <v>10</v>
      </c>
    </row>
    <row r="1570" spans="1:9" x14ac:dyDescent="0.2">
      <c r="A1570">
        <v>7648323</v>
      </c>
      <c r="B1570">
        <v>1</v>
      </c>
      <c r="C1570">
        <v>3212</v>
      </c>
      <c r="D1570">
        <v>0</v>
      </c>
      <c r="E1570">
        <v>36</v>
      </c>
      <c r="F1570" t="s">
        <v>47</v>
      </c>
      <c r="G1570" t="s">
        <v>84</v>
      </c>
      <c r="H1570" t="s">
        <v>46</v>
      </c>
      <c r="I1570">
        <v>10</v>
      </c>
    </row>
    <row r="1571" spans="1:9" x14ac:dyDescent="0.2">
      <c r="A1571">
        <v>7677181</v>
      </c>
      <c r="B1571">
        <v>1</v>
      </c>
      <c r="C1571">
        <v>1728</v>
      </c>
      <c r="D1571">
        <v>62370</v>
      </c>
      <c r="E1571">
        <v>25</v>
      </c>
      <c r="F1571" t="s">
        <v>57</v>
      </c>
      <c r="G1571" t="s">
        <v>103</v>
      </c>
      <c r="H1571" t="s">
        <v>69</v>
      </c>
      <c r="I1571">
        <v>10</v>
      </c>
    </row>
    <row r="1572" spans="1:9" x14ac:dyDescent="0.2">
      <c r="A1572">
        <v>7677181</v>
      </c>
      <c r="B1572">
        <v>2</v>
      </c>
      <c r="C1572">
        <v>1776</v>
      </c>
      <c r="D1572">
        <v>62910</v>
      </c>
      <c r="E1572">
        <v>25</v>
      </c>
      <c r="F1572" t="s">
        <v>57</v>
      </c>
      <c r="G1572" t="s">
        <v>124</v>
      </c>
      <c r="H1572" t="s">
        <v>125</v>
      </c>
      <c r="I1572">
        <v>10</v>
      </c>
    </row>
    <row r="1573" spans="1:9" x14ac:dyDescent="0.2">
      <c r="A1573">
        <v>7677181</v>
      </c>
      <c r="B1573">
        <v>3</v>
      </c>
      <c r="C1573">
        <v>1702</v>
      </c>
      <c r="D1573">
        <v>62260</v>
      </c>
      <c r="E1573">
        <v>24</v>
      </c>
      <c r="F1573" t="s">
        <v>57</v>
      </c>
      <c r="G1573" t="s">
        <v>164</v>
      </c>
      <c r="H1573" t="s">
        <v>69</v>
      </c>
      <c r="I1573">
        <v>10</v>
      </c>
    </row>
    <row r="1574" spans="1:9" x14ac:dyDescent="0.2">
      <c r="A1574">
        <v>7677181</v>
      </c>
      <c r="B1574">
        <v>4</v>
      </c>
      <c r="C1574">
        <v>3035</v>
      </c>
      <c r="D1574">
        <v>0</v>
      </c>
      <c r="E1574">
        <v>26</v>
      </c>
      <c r="F1574" t="s">
        <v>44</v>
      </c>
      <c r="G1574" t="s">
        <v>103</v>
      </c>
      <c r="H1574" t="s">
        <v>50</v>
      </c>
      <c r="I1574">
        <v>9</v>
      </c>
    </row>
    <row r="1575" spans="1:9" x14ac:dyDescent="0.2">
      <c r="A1575">
        <v>7677181</v>
      </c>
      <c r="B1575">
        <v>5</v>
      </c>
      <c r="C1575">
        <v>3068</v>
      </c>
      <c r="D1575">
        <v>0</v>
      </c>
      <c r="E1575">
        <v>26</v>
      </c>
      <c r="F1575" t="s">
        <v>44</v>
      </c>
      <c r="G1575" t="s">
        <v>40</v>
      </c>
      <c r="H1575" t="s">
        <v>43</v>
      </c>
      <c r="I1575">
        <v>9</v>
      </c>
    </row>
    <row r="1576" spans="1:9" x14ac:dyDescent="0.2">
      <c r="A1576">
        <v>7693522</v>
      </c>
      <c r="B1576">
        <v>1</v>
      </c>
      <c r="C1576">
        <v>3064</v>
      </c>
      <c r="D1576">
        <v>56015</v>
      </c>
      <c r="E1576">
        <v>25</v>
      </c>
      <c r="F1576" t="s">
        <v>44</v>
      </c>
      <c r="G1576" t="s">
        <v>97</v>
      </c>
      <c r="H1576" t="s">
        <v>52</v>
      </c>
      <c r="I1576">
        <v>9</v>
      </c>
    </row>
    <row r="1577" spans="1:9" x14ac:dyDescent="0.2">
      <c r="A1577">
        <v>7693522</v>
      </c>
      <c r="B1577">
        <v>2</v>
      </c>
      <c r="C1577">
        <v>1788</v>
      </c>
      <c r="D1577">
        <v>55895</v>
      </c>
      <c r="E1577">
        <v>25</v>
      </c>
      <c r="F1577" t="s">
        <v>57</v>
      </c>
      <c r="G1577" t="s">
        <v>97</v>
      </c>
      <c r="H1577" t="s">
        <v>56</v>
      </c>
      <c r="I1577">
        <v>10</v>
      </c>
    </row>
    <row r="1578" spans="1:9" x14ac:dyDescent="0.2">
      <c r="A1578">
        <v>7693522</v>
      </c>
      <c r="B1578">
        <v>3</v>
      </c>
      <c r="C1578">
        <v>1782</v>
      </c>
      <c r="D1578">
        <v>56045</v>
      </c>
      <c r="E1578">
        <v>25</v>
      </c>
      <c r="F1578" t="s">
        <v>57</v>
      </c>
      <c r="G1578" t="s">
        <v>63</v>
      </c>
      <c r="H1578" t="s">
        <v>69</v>
      </c>
      <c r="I1578">
        <v>10</v>
      </c>
    </row>
    <row r="1579" spans="1:9" x14ac:dyDescent="0.2">
      <c r="A1579">
        <v>7693522</v>
      </c>
      <c r="B1579">
        <v>4</v>
      </c>
      <c r="C1579">
        <v>3740</v>
      </c>
      <c r="D1579">
        <v>55845</v>
      </c>
      <c r="E1579">
        <v>25</v>
      </c>
      <c r="F1579" t="s">
        <v>116</v>
      </c>
      <c r="G1579" t="s">
        <v>63</v>
      </c>
      <c r="H1579" t="s">
        <v>61</v>
      </c>
      <c r="I1579">
        <v>9</v>
      </c>
    </row>
    <row r="1580" spans="1:9" x14ac:dyDescent="0.2">
      <c r="A1580">
        <v>7693522</v>
      </c>
      <c r="B1580">
        <v>5</v>
      </c>
      <c r="C1580">
        <v>3441</v>
      </c>
      <c r="D1580">
        <v>55925</v>
      </c>
      <c r="E1580">
        <v>25</v>
      </c>
      <c r="F1580" t="s">
        <v>36</v>
      </c>
      <c r="G1580" t="s">
        <v>97</v>
      </c>
      <c r="H1580" t="s">
        <v>35</v>
      </c>
      <c r="I1580">
        <v>7</v>
      </c>
    </row>
    <row r="1581" spans="1:9" x14ac:dyDescent="0.2">
      <c r="A1581">
        <v>7721139</v>
      </c>
      <c r="B1581">
        <v>1</v>
      </c>
      <c r="C1581">
        <v>1737</v>
      </c>
      <c r="D1581">
        <v>64630</v>
      </c>
      <c r="E1581">
        <v>24</v>
      </c>
      <c r="F1581" t="s">
        <v>57</v>
      </c>
      <c r="G1581" t="s">
        <v>54</v>
      </c>
      <c r="H1581" t="s">
        <v>79</v>
      </c>
      <c r="I1581">
        <v>10</v>
      </c>
    </row>
    <row r="1582" spans="1:9" x14ac:dyDescent="0.2">
      <c r="A1582">
        <v>7721139</v>
      </c>
      <c r="B1582">
        <v>2</v>
      </c>
      <c r="C1582">
        <v>1704</v>
      </c>
      <c r="D1582">
        <v>0</v>
      </c>
      <c r="E1582">
        <v>26</v>
      </c>
      <c r="F1582" t="s">
        <v>57</v>
      </c>
      <c r="G1582" t="s">
        <v>82</v>
      </c>
      <c r="H1582" t="s">
        <v>79</v>
      </c>
      <c r="I1582">
        <v>10</v>
      </c>
    </row>
    <row r="1583" spans="1:9" x14ac:dyDescent="0.2">
      <c r="A1583">
        <v>7721139</v>
      </c>
      <c r="B1583">
        <v>3</v>
      </c>
      <c r="C1583">
        <v>1740</v>
      </c>
      <c r="D1583">
        <v>0</v>
      </c>
      <c r="E1583">
        <v>26</v>
      </c>
      <c r="F1583" t="s">
        <v>57</v>
      </c>
      <c r="G1583" t="s">
        <v>209</v>
      </c>
      <c r="H1583" t="s">
        <v>79</v>
      </c>
      <c r="I1583">
        <v>10</v>
      </c>
    </row>
    <row r="1584" spans="1:9" x14ac:dyDescent="0.2">
      <c r="A1584">
        <v>7721139</v>
      </c>
      <c r="B1584">
        <v>4</v>
      </c>
      <c r="C1584">
        <v>1708</v>
      </c>
      <c r="D1584">
        <v>0</v>
      </c>
      <c r="E1584">
        <v>26</v>
      </c>
      <c r="F1584" t="s">
        <v>57</v>
      </c>
      <c r="G1584" t="s">
        <v>80</v>
      </c>
      <c r="H1584" t="s">
        <v>79</v>
      </c>
      <c r="I1584">
        <v>10</v>
      </c>
    </row>
    <row r="1585" spans="1:9" x14ac:dyDescent="0.2">
      <c r="A1585">
        <v>7721139</v>
      </c>
      <c r="B1585">
        <v>5</v>
      </c>
      <c r="C1585">
        <v>1736</v>
      </c>
      <c r="D1585">
        <v>0</v>
      </c>
      <c r="E1585">
        <v>26</v>
      </c>
      <c r="F1585" t="s">
        <v>57</v>
      </c>
      <c r="G1585" t="s">
        <v>78</v>
      </c>
      <c r="H1585" t="s">
        <v>79</v>
      </c>
      <c r="I1585">
        <v>10</v>
      </c>
    </row>
    <row r="1586" spans="1:9" x14ac:dyDescent="0.2">
      <c r="A1586">
        <v>7760164</v>
      </c>
      <c r="B1586">
        <v>1</v>
      </c>
      <c r="C1586">
        <v>1924</v>
      </c>
      <c r="D1586">
        <v>52785</v>
      </c>
      <c r="E1586">
        <v>25</v>
      </c>
      <c r="F1586" t="s">
        <v>32</v>
      </c>
      <c r="G1586" t="s">
        <v>30</v>
      </c>
      <c r="H1586" t="s">
        <v>31</v>
      </c>
      <c r="I1586">
        <v>5</v>
      </c>
    </row>
    <row r="1587" spans="1:9" x14ac:dyDescent="0.2">
      <c r="A1587">
        <v>7760164</v>
      </c>
      <c r="B1587">
        <v>2</v>
      </c>
      <c r="C1587">
        <v>2639</v>
      </c>
      <c r="D1587">
        <v>51975</v>
      </c>
      <c r="E1587">
        <v>25</v>
      </c>
      <c r="F1587" t="s">
        <v>71</v>
      </c>
      <c r="G1587" t="s">
        <v>260</v>
      </c>
      <c r="H1587" t="s">
        <v>24</v>
      </c>
      <c r="I1587">
        <v>5</v>
      </c>
    </row>
    <row r="1588" spans="1:9" x14ac:dyDescent="0.2">
      <c r="A1588">
        <v>7760164</v>
      </c>
      <c r="B1588">
        <v>3</v>
      </c>
      <c r="C1588">
        <v>2632</v>
      </c>
      <c r="D1588">
        <v>52260</v>
      </c>
      <c r="E1588">
        <v>25</v>
      </c>
      <c r="F1588" t="s">
        <v>71</v>
      </c>
      <c r="G1588" t="s">
        <v>70</v>
      </c>
      <c r="H1588" t="s">
        <v>24</v>
      </c>
      <c r="I1588">
        <v>5</v>
      </c>
    </row>
    <row r="1589" spans="1:9" x14ac:dyDescent="0.2">
      <c r="A1589">
        <v>7760164</v>
      </c>
      <c r="B1589">
        <v>4</v>
      </c>
      <c r="C1589">
        <v>1404</v>
      </c>
      <c r="D1589">
        <v>52275</v>
      </c>
      <c r="E1589">
        <v>25</v>
      </c>
      <c r="F1589" t="s">
        <v>25</v>
      </c>
      <c r="G1589" t="s">
        <v>23</v>
      </c>
      <c r="H1589" t="s">
        <v>24</v>
      </c>
      <c r="I1589">
        <v>5</v>
      </c>
    </row>
    <row r="1590" spans="1:9" x14ac:dyDescent="0.2">
      <c r="A1590">
        <v>7760164</v>
      </c>
      <c r="B1590">
        <v>5</v>
      </c>
      <c r="C1590">
        <v>2123</v>
      </c>
      <c r="D1590">
        <v>0</v>
      </c>
      <c r="E1590">
        <v>31</v>
      </c>
      <c r="F1590" t="s">
        <v>193</v>
      </c>
      <c r="G1590" t="s">
        <v>215</v>
      </c>
      <c r="H1590" t="s">
        <v>216</v>
      </c>
      <c r="I1590" t="s">
        <v>448</v>
      </c>
    </row>
    <row r="1591" spans="1:9" x14ac:dyDescent="0.2">
      <c r="A1591">
        <v>7760164</v>
      </c>
      <c r="B1591">
        <v>6</v>
      </c>
      <c r="C1591">
        <v>1666</v>
      </c>
      <c r="D1591">
        <v>0</v>
      </c>
      <c r="E1591">
        <v>17</v>
      </c>
      <c r="F1591" t="s">
        <v>128</v>
      </c>
      <c r="G1591" t="s">
        <v>303</v>
      </c>
      <c r="H1591" t="s">
        <v>127</v>
      </c>
      <c r="I1591" t="s">
        <v>448</v>
      </c>
    </row>
    <row r="1592" spans="1:9" x14ac:dyDescent="0.2">
      <c r="A1592">
        <v>7793186</v>
      </c>
      <c r="B1592">
        <v>1</v>
      </c>
      <c r="C1592">
        <v>1122</v>
      </c>
      <c r="D1592">
        <v>60605</v>
      </c>
      <c r="E1592">
        <v>25</v>
      </c>
      <c r="F1592" t="s">
        <v>17</v>
      </c>
      <c r="G1592" t="s">
        <v>77</v>
      </c>
      <c r="H1592" t="s">
        <v>16</v>
      </c>
      <c r="I1592" t="s">
        <v>448</v>
      </c>
    </row>
    <row r="1593" spans="1:9" x14ac:dyDescent="0.2">
      <c r="A1593">
        <v>7793186</v>
      </c>
      <c r="B1593">
        <v>2</v>
      </c>
      <c r="C1593">
        <v>1213</v>
      </c>
      <c r="D1593">
        <v>60430</v>
      </c>
      <c r="E1593">
        <v>25</v>
      </c>
      <c r="F1593" t="s">
        <v>19</v>
      </c>
      <c r="G1593" t="s">
        <v>155</v>
      </c>
      <c r="H1593" t="s">
        <v>16</v>
      </c>
      <c r="I1593" t="s">
        <v>448</v>
      </c>
    </row>
    <row r="1594" spans="1:9" x14ac:dyDescent="0.2">
      <c r="A1594">
        <v>7793186</v>
      </c>
      <c r="B1594">
        <v>3</v>
      </c>
      <c r="C1594">
        <v>1120</v>
      </c>
      <c r="D1594">
        <v>60405</v>
      </c>
      <c r="E1594">
        <v>25</v>
      </c>
      <c r="F1594" t="s">
        <v>17</v>
      </c>
      <c r="G1594" t="s">
        <v>261</v>
      </c>
      <c r="H1594" t="s">
        <v>16</v>
      </c>
      <c r="I1594" t="s">
        <v>448</v>
      </c>
    </row>
    <row r="1595" spans="1:9" x14ac:dyDescent="0.2">
      <c r="A1595">
        <v>7793186</v>
      </c>
      <c r="B1595">
        <v>4</v>
      </c>
      <c r="C1595">
        <v>1184</v>
      </c>
      <c r="D1595">
        <v>60355</v>
      </c>
      <c r="E1595">
        <v>25</v>
      </c>
      <c r="F1595" t="s">
        <v>17</v>
      </c>
      <c r="G1595" t="s">
        <v>262</v>
      </c>
      <c r="H1595" t="s">
        <v>16</v>
      </c>
      <c r="I1595" t="s">
        <v>448</v>
      </c>
    </row>
    <row r="1596" spans="1:9" x14ac:dyDescent="0.2">
      <c r="A1596">
        <v>7793186</v>
      </c>
      <c r="B1596">
        <v>5</v>
      </c>
      <c r="C1596">
        <v>1754</v>
      </c>
      <c r="D1596">
        <v>59845</v>
      </c>
      <c r="E1596">
        <v>24</v>
      </c>
      <c r="F1596" t="s">
        <v>57</v>
      </c>
      <c r="G1596" t="s">
        <v>85</v>
      </c>
      <c r="H1596" t="s">
        <v>69</v>
      </c>
      <c r="I1596">
        <v>10</v>
      </c>
    </row>
    <row r="1597" spans="1:9" x14ac:dyDescent="0.2">
      <c r="A1597">
        <v>7808108</v>
      </c>
      <c r="B1597">
        <v>1</v>
      </c>
      <c r="C1597">
        <v>3601</v>
      </c>
      <c r="D1597">
        <v>61305</v>
      </c>
      <c r="E1597">
        <v>25</v>
      </c>
      <c r="F1597" t="s">
        <v>108</v>
      </c>
      <c r="G1597" t="s">
        <v>63</v>
      </c>
      <c r="H1597" t="s">
        <v>20</v>
      </c>
      <c r="I1597">
        <v>8</v>
      </c>
    </row>
    <row r="1598" spans="1:9" x14ac:dyDescent="0.2">
      <c r="A1598">
        <v>7808108</v>
      </c>
      <c r="B1598">
        <v>2</v>
      </c>
      <c r="C1598">
        <v>1430</v>
      </c>
      <c r="D1598">
        <v>60260</v>
      </c>
      <c r="E1598">
        <v>25</v>
      </c>
      <c r="F1598" t="s">
        <v>25</v>
      </c>
      <c r="G1598" t="s">
        <v>63</v>
      </c>
      <c r="H1598" t="s">
        <v>24</v>
      </c>
      <c r="I1598">
        <v>5</v>
      </c>
    </row>
    <row r="1599" spans="1:9" x14ac:dyDescent="0.2">
      <c r="A1599">
        <v>7808108</v>
      </c>
      <c r="B1599">
        <v>3</v>
      </c>
      <c r="C1599">
        <v>1324</v>
      </c>
      <c r="D1599">
        <v>60370</v>
      </c>
      <c r="E1599">
        <v>25</v>
      </c>
      <c r="F1599" t="s">
        <v>21</v>
      </c>
      <c r="G1599" t="s">
        <v>63</v>
      </c>
      <c r="H1599" t="s">
        <v>20</v>
      </c>
      <c r="I1599">
        <v>8</v>
      </c>
    </row>
    <row r="1600" spans="1:9" x14ac:dyDescent="0.2">
      <c r="A1600">
        <v>7808108</v>
      </c>
      <c r="B1600">
        <v>4</v>
      </c>
      <c r="C1600">
        <v>1155</v>
      </c>
      <c r="D1600">
        <v>62380</v>
      </c>
      <c r="E1600">
        <v>25</v>
      </c>
      <c r="F1600" t="s">
        <v>17</v>
      </c>
      <c r="G1600" t="s">
        <v>62</v>
      </c>
      <c r="H1600" t="s">
        <v>16</v>
      </c>
      <c r="I1600" t="s">
        <v>448</v>
      </c>
    </row>
    <row r="1601" spans="1:9" x14ac:dyDescent="0.2">
      <c r="A1601">
        <v>7808108</v>
      </c>
      <c r="B1601">
        <v>5</v>
      </c>
      <c r="C1601">
        <v>1221</v>
      </c>
      <c r="D1601">
        <v>0</v>
      </c>
      <c r="E1601">
        <v>16</v>
      </c>
      <c r="F1601" t="s">
        <v>19</v>
      </c>
      <c r="G1601" t="s">
        <v>63</v>
      </c>
      <c r="H1601" t="s">
        <v>16</v>
      </c>
      <c r="I1601" t="s">
        <v>448</v>
      </c>
    </row>
    <row r="1602" spans="1:9" x14ac:dyDescent="0.2">
      <c r="A1602">
        <v>7865847</v>
      </c>
      <c r="B1602">
        <v>1</v>
      </c>
      <c r="C1602">
        <v>3213</v>
      </c>
      <c r="D1602">
        <v>51630</v>
      </c>
      <c r="E1602">
        <v>24</v>
      </c>
      <c r="F1602" t="s">
        <v>47</v>
      </c>
      <c r="G1602" t="s">
        <v>158</v>
      </c>
      <c r="H1602" t="s">
        <v>74</v>
      </c>
      <c r="I1602">
        <v>10</v>
      </c>
    </row>
    <row r="1603" spans="1:9" x14ac:dyDescent="0.2">
      <c r="A1603">
        <v>7865847</v>
      </c>
      <c r="B1603">
        <v>2</v>
      </c>
      <c r="C1603">
        <v>3214</v>
      </c>
      <c r="D1603">
        <v>0</v>
      </c>
      <c r="E1603">
        <v>26</v>
      </c>
      <c r="F1603" t="s">
        <v>47</v>
      </c>
      <c r="G1603" t="s">
        <v>98</v>
      </c>
      <c r="H1603" t="s">
        <v>74</v>
      </c>
      <c r="I1603">
        <v>10</v>
      </c>
    </row>
    <row r="1604" spans="1:9" x14ac:dyDescent="0.2">
      <c r="A1604">
        <v>7865847</v>
      </c>
      <c r="B1604">
        <v>3</v>
      </c>
      <c r="C1604">
        <v>3212</v>
      </c>
      <c r="D1604">
        <v>0</v>
      </c>
      <c r="E1604">
        <v>26</v>
      </c>
      <c r="F1604" t="s">
        <v>47</v>
      </c>
      <c r="G1604" t="s">
        <v>84</v>
      </c>
      <c r="H1604" t="s">
        <v>46</v>
      </c>
      <c r="I1604">
        <v>10</v>
      </c>
    </row>
    <row r="1605" spans="1:9" x14ac:dyDescent="0.2">
      <c r="A1605">
        <v>7865847</v>
      </c>
      <c r="B1605">
        <v>4</v>
      </c>
      <c r="C1605">
        <v>1709</v>
      </c>
      <c r="D1605">
        <v>0</v>
      </c>
      <c r="E1605">
        <v>26</v>
      </c>
      <c r="F1605" t="s">
        <v>57</v>
      </c>
      <c r="G1605" t="s">
        <v>84</v>
      </c>
      <c r="H1605" t="s">
        <v>69</v>
      </c>
      <c r="I1605">
        <v>10</v>
      </c>
    </row>
    <row r="1606" spans="1:9" x14ac:dyDescent="0.2">
      <c r="A1606">
        <v>7865847</v>
      </c>
      <c r="B1606">
        <v>5</v>
      </c>
      <c r="C1606">
        <v>1754</v>
      </c>
      <c r="D1606">
        <v>0</v>
      </c>
      <c r="E1606">
        <v>26</v>
      </c>
      <c r="F1606" t="s">
        <v>57</v>
      </c>
      <c r="G1606" t="s">
        <v>85</v>
      </c>
      <c r="H1606" t="s">
        <v>69</v>
      </c>
      <c r="I1606">
        <v>10</v>
      </c>
    </row>
    <row r="1607" spans="1:9" x14ac:dyDescent="0.2">
      <c r="A1607">
        <v>7865847</v>
      </c>
      <c r="B1607">
        <v>6</v>
      </c>
      <c r="C1607">
        <v>3211</v>
      </c>
      <c r="D1607">
        <v>0</v>
      </c>
      <c r="E1607">
        <v>26</v>
      </c>
      <c r="F1607" t="s">
        <v>47</v>
      </c>
      <c r="G1607" t="s">
        <v>99</v>
      </c>
      <c r="H1607" t="s">
        <v>46</v>
      </c>
      <c r="I1607">
        <v>10</v>
      </c>
    </row>
    <row r="1608" spans="1:9" x14ac:dyDescent="0.2">
      <c r="A1608">
        <v>7865847</v>
      </c>
      <c r="B1608">
        <v>7</v>
      </c>
      <c r="C1608">
        <v>1782</v>
      </c>
      <c r="D1608">
        <v>0</v>
      </c>
      <c r="E1608">
        <v>26</v>
      </c>
      <c r="F1608" t="s">
        <v>57</v>
      </c>
      <c r="G1608" t="s">
        <v>63</v>
      </c>
      <c r="H1608" t="s">
        <v>69</v>
      </c>
      <c r="I1608">
        <v>10</v>
      </c>
    </row>
    <row r="1609" spans="1:9" x14ac:dyDescent="0.2">
      <c r="A1609">
        <v>7865847</v>
      </c>
      <c r="B1609">
        <v>8</v>
      </c>
      <c r="C1609">
        <v>3200</v>
      </c>
      <c r="D1609">
        <v>0</v>
      </c>
      <c r="E1609">
        <v>26</v>
      </c>
      <c r="F1609" t="s">
        <v>47</v>
      </c>
      <c r="G1609" t="s">
        <v>18</v>
      </c>
      <c r="H1609" t="s">
        <v>46</v>
      </c>
      <c r="I1609">
        <v>10</v>
      </c>
    </row>
    <row r="1610" spans="1:9" x14ac:dyDescent="0.2">
      <c r="A1610">
        <v>7893606</v>
      </c>
      <c r="B1610">
        <v>1</v>
      </c>
      <c r="C1610">
        <v>3252</v>
      </c>
      <c r="D1610">
        <v>0</v>
      </c>
      <c r="E1610">
        <v>36</v>
      </c>
      <c r="F1610" t="s">
        <v>47</v>
      </c>
      <c r="G1610" t="s">
        <v>45</v>
      </c>
      <c r="H1610" t="s">
        <v>46</v>
      </c>
      <c r="I1610">
        <v>10</v>
      </c>
    </row>
    <row r="1611" spans="1:9" x14ac:dyDescent="0.2">
      <c r="A1611">
        <v>7893606</v>
      </c>
      <c r="B1611">
        <v>2</v>
      </c>
      <c r="C1611">
        <v>3223</v>
      </c>
      <c r="D1611">
        <v>0</v>
      </c>
      <c r="E1611">
        <v>36</v>
      </c>
      <c r="F1611" t="s">
        <v>47</v>
      </c>
      <c r="G1611" t="s">
        <v>105</v>
      </c>
      <c r="H1611" t="s">
        <v>46</v>
      </c>
      <c r="I1611">
        <v>10</v>
      </c>
    </row>
    <row r="1612" spans="1:9" x14ac:dyDescent="0.2">
      <c r="A1612">
        <v>7893606</v>
      </c>
      <c r="B1612">
        <v>3</v>
      </c>
      <c r="C1612">
        <v>1788</v>
      </c>
      <c r="D1612">
        <v>0</v>
      </c>
      <c r="E1612">
        <v>36</v>
      </c>
      <c r="F1612" t="s">
        <v>57</v>
      </c>
      <c r="G1612" t="s">
        <v>97</v>
      </c>
      <c r="H1612" t="s">
        <v>56</v>
      </c>
      <c r="I1612">
        <v>10</v>
      </c>
    </row>
    <row r="1613" spans="1:9" x14ac:dyDescent="0.2">
      <c r="A1613">
        <v>7893606</v>
      </c>
      <c r="B1613">
        <v>4</v>
      </c>
      <c r="C1613">
        <v>3246</v>
      </c>
      <c r="D1613">
        <v>0</v>
      </c>
      <c r="E1613">
        <v>36</v>
      </c>
      <c r="F1613" t="s">
        <v>47</v>
      </c>
      <c r="G1613" t="s">
        <v>91</v>
      </c>
      <c r="H1613" t="s">
        <v>74</v>
      </c>
      <c r="I1613">
        <v>10</v>
      </c>
    </row>
    <row r="1614" spans="1:9" x14ac:dyDescent="0.2">
      <c r="A1614">
        <v>7893606</v>
      </c>
      <c r="B1614">
        <v>5</v>
      </c>
      <c r="C1614">
        <v>3243</v>
      </c>
      <c r="D1614">
        <v>0</v>
      </c>
      <c r="E1614">
        <v>36</v>
      </c>
      <c r="F1614" t="s">
        <v>47</v>
      </c>
      <c r="G1614" t="s">
        <v>75</v>
      </c>
      <c r="H1614" t="s">
        <v>46</v>
      </c>
      <c r="I1614">
        <v>10</v>
      </c>
    </row>
    <row r="1615" spans="1:9" x14ac:dyDescent="0.2">
      <c r="A1615">
        <v>7950435</v>
      </c>
      <c r="B1615">
        <v>1</v>
      </c>
      <c r="C1615">
        <v>1655</v>
      </c>
      <c r="D1615">
        <v>65195</v>
      </c>
      <c r="E1615">
        <v>24</v>
      </c>
      <c r="F1615" t="s">
        <v>128</v>
      </c>
      <c r="G1615" t="s">
        <v>89</v>
      </c>
      <c r="H1615" t="s">
        <v>127</v>
      </c>
      <c r="I1615" t="s">
        <v>448</v>
      </c>
    </row>
    <row r="1616" spans="1:9" x14ac:dyDescent="0.2">
      <c r="A1616">
        <v>7950435</v>
      </c>
      <c r="B1616">
        <v>2</v>
      </c>
      <c r="C1616">
        <v>1331</v>
      </c>
      <c r="D1616">
        <v>0</v>
      </c>
      <c r="E1616">
        <v>26</v>
      </c>
      <c r="F1616" t="s">
        <v>21</v>
      </c>
      <c r="G1616" t="s">
        <v>89</v>
      </c>
      <c r="H1616" t="s">
        <v>20</v>
      </c>
      <c r="I1616">
        <v>8</v>
      </c>
    </row>
    <row r="1617" spans="1:9" x14ac:dyDescent="0.2">
      <c r="A1617">
        <v>7950435</v>
      </c>
      <c r="B1617">
        <v>3</v>
      </c>
      <c r="C1617">
        <v>3091</v>
      </c>
      <c r="D1617">
        <v>0</v>
      </c>
      <c r="E1617">
        <v>26</v>
      </c>
      <c r="F1617" t="s">
        <v>44</v>
      </c>
      <c r="G1617" t="s">
        <v>89</v>
      </c>
      <c r="H1617" t="s">
        <v>52</v>
      </c>
      <c r="I1617">
        <v>9</v>
      </c>
    </row>
    <row r="1618" spans="1:9" x14ac:dyDescent="0.2">
      <c r="A1618">
        <v>7950435</v>
      </c>
      <c r="B1618">
        <v>4</v>
      </c>
      <c r="C1618">
        <v>1666</v>
      </c>
      <c r="D1618">
        <v>0</v>
      </c>
      <c r="E1618">
        <v>26</v>
      </c>
      <c r="F1618" t="s">
        <v>128</v>
      </c>
      <c r="G1618" t="s">
        <v>303</v>
      </c>
      <c r="H1618" t="s">
        <v>127</v>
      </c>
      <c r="I1618" t="s">
        <v>448</v>
      </c>
    </row>
    <row r="1619" spans="1:9" x14ac:dyDescent="0.2">
      <c r="A1619">
        <v>7950435</v>
      </c>
      <c r="B1619">
        <v>5</v>
      </c>
      <c r="C1619">
        <v>1756</v>
      </c>
      <c r="D1619">
        <v>0</v>
      </c>
      <c r="E1619">
        <v>26</v>
      </c>
      <c r="F1619" t="s">
        <v>57</v>
      </c>
      <c r="G1619" t="s">
        <v>89</v>
      </c>
      <c r="H1619" t="s">
        <v>69</v>
      </c>
      <c r="I1619">
        <v>10</v>
      </c>
    </row>
    <row r="1620" spans="1:9" x14ac:dyDescent="0.2">
      <c r="A1620">
        <v>7967901</v>
      </c>
      <c r="B1620">
        <v>1</v>
      </c>
      <c r="C1620">
        <v>1383</v>
      </c>
      <c r="D1620">
        <v>66865</v>
      </c>
      <c r="E1620">
        <v>25</v>
      </c>
      <c r="F1620" t="s">
        <v>21</v>
      </c>
      <c r="G1620" t="s">
        <v>124</v>
      </c>
      <c r="H1620" t="s">
        <v>20</v>
      </c>
      <c r="I1620">
        <v>8</v>
      </c>
    </row>
    <row r="1621" spans="1:9" x14ac:dyDescent="0.2">
      <c r="A1621">
        <v>7967901</v>
      </c>
      <c r="B1621">
        <v>2</v>
      </c>
      <c r="C1621">
        <v>1391</v>
      </c>
      <c r="D1621">
        <v>67840</v>
      </c>
      <c r="E1621">
        <v>25</v>
      </c>
      <c r="F1621" t="s">
        <v>21</v>
      </c>
      <c r="G1621" t="s">
        <v>122</v>
      </c>
      <c r="H1621" t="s">
        <v>20</v>
      </c>
      <c r="I1621">
        <v>8</v>
      </c>
    </row>
    <row r="1622" spans="1:9" x14ac:dyDescent="0.2">
      <c r="A1622">
        <v>7967901</v>
      </c>
      <c r="B1622">
        <v>3</v>
      </c>
      <c r="C1622">
        <v>3620</v>
      </c>
      <c r="D1622">
        <v>67360</v>
      </c>
      <c r="E1622">
        <v>25</v>
      </c>
      <c r="F1622" t="s">
        <v>108</v>
      </c>
      <c r="G1622" t="s">
        <v>170</v>
      </c>
      <c r="H1622" t="s">
        <v>20</v>
      </c>
      <c r="I1622">
        <v>8</v>
      </c>
    </row>
    <row r="1623" spans="1:9" x14ac:dyDescent="0.2">
      <c r="A1623">
        <v>7967901</v>
      </c>
      <c r="B1623">
        <v>4</v>
      </c>
      <c r="C1623">
        <v>1382</v>
      </c>
      <c r="D1623">
        <v>68035</v>
      </c>
      <c r="E1623">
        <v>24</v>
      </c>
      <c r="F1623" t="s">
        <v>21</v>
      </c>
      <c r="G1623" t="s">
        <v>49</v>
      </c>
      <c r="H1623" t="s">
        <v>20</v>
      </c>
      <c r="I1623">
        <v>8</v>
      </c>
    </row>
    <row r="1624" spans="1:9" x14ac:dyDescent="0.2">
      <c r="A1624">
        <v>7967901</v>
      </c>
      <c r="B1624">
        <v>5</v>
      </c>
      <c r="C1624">
        <v>1789</v>
      </c>
      <c r="D1624">
        <v>0</v>
      </c>
      <c r="E1624">
        <v>26</v>
      </c>
      <c r="F1624" t="s">
        <v>57</v>
      </c>
      <c r="G1624" t="s">
        <v>122</v>
      </c>
      <c r="H1624" t="s">
        <v>69</v>
      </c>
      <c r="I1624">
        <v>10</v>
      </c>
    </row>
    <row r="1625" spans="1:9" x14ac:dyDescent="0.2">
      <c r="A1625">
        <v>7967901</v>
      </c>
      <c r="B1625">
        <v>6</v>
      </c>
      <c r="C1625">
        <v>1350</v>
      </c>
      <c r="D1625">
        <v>0</v>
      </c>
      <c r="E1625">
        <v>26</v>
      </c>
      <c r="F1625" t="s">
        <v>21</v>
      </c>
      <c r="G1625" t="s">
        <v>247</v>
      </c>
      <c r="H1625" t="s">
        <v>20</v>
      </c>
      <c r="I1625">
        <v>8</v>
      </c>
    </row>
    <row r="1626" spans="1:9" x14ac:dyDescent="0.2">
      <c r="A1626">
        <v>7967901</v>
      </c>
      <c r="B1626">
        <v>7</v>
      </c>
      <c r="C1626">
        <v>1349</v>
      </c>
      <c r="D1626">
        <v>0</v>
      </c>
      <c r="E1626">
        <v>26</v>
      </c>
      <c r="F1626" t="s">
        <v>21</v>
      </c>
      <c r="G1626" t="s">
        <v>81</v>
      </c>
      <c r="H1626" t="s">
        <v>20</v>
      </c>
      <c r="I1626">
        <v>8</v>
      </c>
    </row>
    <row r="1627" spans="1:9" x14ac:dyDescent="0.2">
      <c r="A1627">
        <v>7967901</v>
      </c>
      <c r="B1627">
        <v>8</v>
      </c>
      <c r="C1627">
        <v>2921</v>
      </c>
      <c r="D1627">
        <v>0</v>
      </c>
      <c r="E1627">
        <v>26</v>
      </c>
      <c r="F1627" t="s">
        <v>119</v>
      </c>
      <c r="G1627" t="s">
        <v>121</v>
      </c>
      <c r="H1627" t="s">
        <v>20</v>
      </c>
      <c r="I1627">
        <v>8</v>
      </c>
    </row>
    <row r="1628" spans="1:9" x14ac:dyDescent="0.2">
      <c r="A1628">
        <v>7982794</v>
      </c>
      <c r="B1628">
        <v>1</v>
      </c>
      <c r="C1628">
        <v>1145</v>
      </c>
      <c r="D1628">
        <v>66690</v>
      </c>
      <c r="E1628">
        <v>25</v>
      </c>
      <c r="F1628" t="s">
        <v>17</v>
      </c>
      <c r="G1628" t="s">
        <v>159</v>
      </c>
      <c r="H1628" t="s">
        <v>16</v>
      </c>
      <c r="I1628" t="s">
        <v>448</v>
      </c>
    </row>
    <row r="1629" spans="1:9" x14ac:dyDescent="0.2">
      <c r="A1629">
        <v>7982794</v>
      </c>
      <c r="B1629">
        <v>2</v>
      </c>
      <c r="C1629">
        <v>1128</v>
      </c>
      <c r="D1629">
        <v>66040</v>
      </c>
      <c r="E1629">
        <v>24</v>
      </c>
      <c r="F1629" t="s">
        <v>17</v>
      </c>
      <c r="G1629" t="s">
        <v>270</v>
      </c>
      <c r="H1629" t="s">
        <v>16</v>
      </c>
      <c r="I1629" t="s">
        <v>448</v>
      </c>
    </row>
    <row r="1630" spans="1:9" x14ac:dyDescent="0.2">
      <c r="A1630">
        <v>7982794</v>
      </c>
      <c r="B1630">
        <v>3</v>
      </c>
      <c r="C1630">
        <v>1239</v>
      </c>
      <c r="D1630">
        <v>0</v>
      </c>
      <c r="E1630">
        <v>26</v>
      </c>
      <c r="F1630" t="s">
        <v>19</v>
      </c>
      <c r="G1630" t="s">
        <v>160</v>
      </c>
      <c r="H1630" t="s">
        <v>16</v>
      </c>
      <c r="I1630" t="s">
        <v>448</v>
      </c>
    </row>
    <row r="1631" spans="1:9" x14ac:dyDescent="0.2">
      <c r="A1631">
        <v>7982794</v>
      </c>
      <c r="B1631">
        <v>4</v>
      </c>
      <c r="C1631">
        <v>1203</v>
      </c>
      <c r="D1631">
        <v>0</v>
      </c>
      <c r="E1631">
        <v>26</v>
      </c>
      <c r="F1631" t="s">
        <v>19</v>
      </c>
      <c r="G1631" t="s">
        <v>248</v>
      </c>
      <c r="H1631" t="s">
        <v>16</v>
      </c>
      <c r="I1631" t="s">
        <v>448</v>
      </c>
    </row>
    <row r="1632" spans="1:9" x14ac:dyDescent="0.2">
      <c r="A1632">
        <v>7982794</v>
      </c>
      <c r="B1632">
        <v>5</v>
      </c>
      <c r="C1632">
        <v>1571</v>
      </c>
      <c r="D1632">
        <v>0</v>
      </c>
      <c r="E1632">
        <v>26</v>
      </c>
      <c r="F1632" t="s">
        <v>142</v>
      </c>
      <c r="G1632" t="s">
        <v>264</v>
      </c>
      <c r="H1632" t="s">
        <v>113</v>
      </c>
      <c r="I1632">
        <v>5</v>
      </c>
    </row>
    <row r="1633" spans="1:9" x14ac:dyDescent="0.2">
      <c r="A1633">
        <v>7982794</v>
      </c>
      <c r="B1633">
        <v>6</v>
      </c>
      <c r="C1633">
        <v>1609</v>
      </c>
      <c r="D1633">
        <v>0</v>
      </c>
      <c r="E1633">
        <v>26</v>
      </c>
      <c r="F1633" t="s">
        <v>128</v>
      </c>
      <c r="G1633" t="s">
        <v>293</v>
      </c>
      <c r="H1633" t="s">
        <v>127</v>
      </c>
      <c r="I1633" t="s">
        <v>448</v>
      </c>
    </row>
    <row r="1634" spans="1:9" x14ac:dyDescent="0.2">
      <c r="A1634">
        <v>7982794</v>
      </c>
      <c r="B1634">
        <v>7</v>
      </c>
      <c r="C1634">
        <v>1649</v>
      </c>
      <c r="D1634">
        <v>0</v>
      </c>
      <c r="E1634">
        <v>26</v>
      </c>
      <c r="F1634" t="s">
        <v>128</v>
      </c>
      <c r="G1634" t="s">
        <v>288</v>
      </c>
      <c r="H1634" t="s">
        <v>127</v>
      </c>
      <c r="I1634" t="s">
        <v>448</v>
      </c>
    </row>
    <row r="1635" spans="1:9" x14ac:dyDescent="0.2">
      <c r="A1635">
        <v>7982794</v>
      </c>
      <c r="B1635">
        <v>8</v>
      </c>
      <c r="C1635">
        <v>1642</v>
      </c>
      <c r="D1635">
        <v>0</v>
      </c>
      <c r="E1635">
        <v>26</v>
      </c>
      <c r="F1635" t="s">
        <v>128</v>
      </c>
      <c r="G1635" t="s">
        <v>333</v>
      </c>
      <c r="H1635" t="s">
        <v>127</v>
      </c>
      <c r="I1635" t="s">
        <v>448</v>
      </c>
    </row>
    <row r="1636" spans="1:9" x14ac:dyDescent="0.2">
      <c r="A1636">
        <v>8008764</v>
      </c>
      <c r="B1636">
        <v>1</v>
      </c>
      <c r="C1636">
        <v>3251</v>
      </c>
      <c r="D1636">
        <v>0</v>
      </c>
      <c r="E1636">
        <v>36</v>
      </c>
      <c r="F1636" t="s">
        <v>47</v>
      </c>
      <c r="G1636" t="s">
        <v>48</v>
      </c>
      <c r="H1636" t="s">
        <v>46</v>
      </c>
      <c r="I1636">
        <v>10</v>
      </c>
    </row>
    <row r="1637" spans="1:9" x14ac:dyDescent="0.2">
      <c r="A1637">
        <v>8008764</v>
      </c>
      <c r="B1637">
        <v>2</v>
      </c>
      <c r="C1637">
        <v>3261</v>
      </c>
      <c r="D1637">
        <v>0</v>
      </c>
      <c r="E1637">
        <v>36</v>
      </c>
      <c r="F1637" t="s">
        <v>47</v>
      </c>
      <c r="G1637" t="s">
        <v>93</v>
      </c>
      <c r="H1637" t="s">
        <v>46</v>
      </c>
      <c r="I1637">
        <v>10</v>
      </c>
    </row>
    <row r="1638" spans="1:9" x14ac:dyDescent="0.2">
      <c r="A1638">
        <v>8008764</v>
      </c>
      <c r="B1638">
        <v>3</v>
      </c>
      <c r="C1638">
        <v>1788</v>
      </c>
      <c r="D1638">
        <v>0</v>
      </c>
      <c r="E1638">
        <v>36</v>
      </c>
      <c r="F1638" t="s">
        <v>57</v>
      </c>
      <c r="G1638" t="s">
        <v>97</v>
      </c>
      <c r="H1638" t="s">
        <v>56</v>
      </c>
      <c r="I1638">
        <v>10</v>
      </c>
    </row>
    <row r="1639" spans="1:9" x14ac:dyDescent="0.2">
      <c r="A1639">
        <v>8008764</v>
      </c>
      <c r="B1639">
        <v>4</v>
      </c>
      <c r="C1639">
        <v>1327</v>
      </c>
      <c r="D1639">
        <v>0</v>
      </c>
      <c r="E1639">
        <v>36</v>
      </c>
      <c r="F1639" t="s">
        <v>21</v>
      </c>
      <c r="G1639" t="s">
        <v>48</v>
      </c>
      <c r="H1639" t="s">
        <v>20</v>
      </c>
      <c r="I1639">
        <v>8</v>
      </c>
    </row>
    <row r="1640" spans="1:9" x14ac:dyDescent="0.2">
      <c r="A1640">
        <v>8008764</v>
      </c>
      <c r="B1640">
        <v>5</v>
      </c>
      <c r="C1640">
        <v>1338</v>
      </c>
      <c r="D1640">
        <v>0</v>
      </c>
      <c r="E1640">
        <v>36</v>
      </c>
      <c r="F1640" t="s">
        <v>21</v>
      </c>
      <c r="G1640" t="s">
        <v>342</v>
      </c>
      <c r="H1640" t="s">
        <v>20</v>
      </c>
      <c r="I1640">
        <v>8</v>
      </c>
    </row>
    <row r="1641" spans="1:9" x14ac:dyDescent="0.2">
      <c r="A1641">
        <v>8008764</v>
      </c>
      <c r="B1641">
        <v>6</v>
      </c>
      <c r="C1641">
        <v>2207</v>
      </c>
      <c r="D1641">
        <v>0</v>
      </c>
      <c r="E1641">
        <v>36</v>
      </c>
      <c r="F1641" t="s">
        <v>177</v>
      </c>
      <c r="G1641" t="s">
        <v>93</v>
      </c>
      <c r="H1641" t="s">
        <v>371</v>
      </c>
      <c r="I1641">
        <v>2</v>
      </c>
    </row>
    <row r="1642" spans="1:9" x14ac:dyDescent="0.2">
      <c r="A1642">
        <v>8008764</v>
      </c>
      <c r="B1642">
        <v>7</v>
      </c>
      <c r="C1642">
        <v>3335</v>
      </c>
      <c r="D1642">
        <v>0</v>
      </c>
      <c r="E1642">
        <v>36</v>
      </c>
      <c r="F1642" t="s">
        <v>207</v>
      </c>
      <c r="G1642" t="s">
        <v>93</v>
      </c>
      <c r="H1642" t="s">
        <v>206</v>
      </c>
      <c r="I1642">
        <v>12</v>
      </c>
    </row>
    <row r="1643" spans="1:9" x14ac:dyDescent="0.2">
      <c r="A1643">
        <v>8008764</v>
      </c>
      <c r="B1643">
        <v>8</v>
      </c>
      <c r="C1643">
        <v>3378</v>
      </c>
      <c r="D1643">
        <v>0</v>
      </c>
      <c r="E1643">
        <v>36</v>
      </c>
      <c r="F1643" t="s">
        <v>207</v>
      </c>
      <c r="G1643" t="s">
        <v>22</v>
      </c>
      <c r="H1643" t="s">
        <v>206</v>
      </c>
      <c r="I1643">
        <v>12</v>
      </c>
    </row>
    <row r="1644" spans="1:9" x14ac:dyDescent="0.2">
      <c r="A1644">
        <v>8022115</v>
      </c>
      <c r="B1644">
        <v>1</v>
      </c>
      <c r="C1644">
        <v>1246</v>
      </c>
      <c r="D1644">
        <v>67200</v>
      </c>
      <c r="E1644">
        <v>24</v>
      </c>
      <c r="F1644" t="s">
        <v>19</v>
      </c>
      <c r="G1644" t="s">
        <v>245</v>
      </c>
      <c r="H1644" t="s">
        <v>16</v>
      </c>
      <c r="I1644" t="s">
        <v>448</v>
      </c>
    </row>
    <row r="1645" spans="1:9" x14ac:dyDescent="0.2">
      <c r="A1645">
        <v>8022115</v>
      </c>
      <c r="B1645">
        <v>2</v>
      </c>
      <c r="C1645">
        <v>1220</v>
      </c>
      <c r="D1645">
        <v>0</v>
      </c>
      <c r="E1645">
        <v>26</v>
      </c>
      <c r="F1645" t="s">
        <v>19</v>
      </c>
      <c r="G1645" t="s">
        <v>244</v>
      </c>
      <c r="H1645" t="s">
        <v>16</v>
      </c>
      <c r="I1645" t="s">
        <v>448</v>
      </c>
    </row>
    <row r="1646" spans="1:9" x14ac:dyDescent="0.2">
      <c r="A1646">
        <v>8022115</v>
      </c>
      <c r="B1646">
        <v>3</v>
      </c>
      <c r="C1646">
        <v>1168</v>
      </c>
      <c r="D1646">
        <v>0</v>
      </c>
      <c r="E1646">
        <v>26</v>
      </c>
      <c r="F1646" t="s">
        <v>17</v>
      </c>
      <c r="G1646" t="s">
        <v>246</v>
      </c>
      <c r="H1646" t="s">
        <v>16</v>
      </c>
      <c r="I1646" t="s">
        <v>448</v>
      </c>
    </row>
    <row r="1647" spans="1:9" x14ac:dyDescent="0.2">
      <c r="A1647">
        <v>8022115</v>
      </c>
      <c r="B1647">
        <v>4</v>
      </c>
      <c r="C1647">
        <v>1206</v>
      </c>
      <c r="D1647">
        <v>0</v>
      </c>
      <c r="E1647">
        <v>26</v>
      </c>
      <c r="F1647" t="s">
        <v>19</v>
      </c>
      <c r="G1647" t="s">
        <v>370</v>
      </c>
      <c r="H1647" t="s">
        <v>16</v>
      </c>
      <c r="I1647" t="s">
        <v>448</v>
      </c>
    </row>
    <row r="1648" spans="1:9" x14ac:dyDescent="0.2">
      <c r="A1648">
        <v>8022115</v>
      </c>
      <c r="B1648">
        <v>5</v>
      </c>
      <c r="C1648">
        <v>1237</v>
      </c>
      <c r="D1648">
        <v>0</v>
      </c>
      <c r="E1648">
        <v>16</v>
      </c>
      <c r="F1648" t="s">
        <v>19</v>
      </c>
      <c r="G1648" t="s">
        <v>65</v>
      </c>
      <c r="H1648" t="s">
        <v>16</v>
      </c>
      <c r="I1648" t="s">
        <v>448</v>
      </c>
    </row>
    <row r="1649" spans="1:9" x14ac:dyDescent="0.2">
      <c r="A1649">
        <v>8022115</v>
      </c>
      <c r="B1649">
        <v>6</v>
      </c>
      <c r="C1649">
        <v>1160</v>
      </c>
      <c r="D1649">
        <v>0</v>
      </c>
      <c r="E1649">
        <v>16</v>
      </c>
      <c r="F1649" t="s">
        <v>17</v>
      </c>
      <c r="G1649" t="s">
        <v>355</v>
      </c>
      <c r="H1649" t="s">
        <v>16</v>
      </c>
      <c r="I1649" t="s">
        <v>448</v>
      </c>
    </row>
    <row r="1650" spans="1:9" x14ac:dyDescent="0.2">
      <c r="A1650">
        <v>8022115</v>
      </c>
      <c r="B1650">
        <v>7</v>
      </c>
      <c r="C1650">
        <v>1104</v>
      </c>
      <c r="D1650">
        <v>0</v>
      </c>
      <c r="E1650">
        <v>16</v>
      </c>
      <c r="F1650" t="s">
        <v>17</v>
      </c>
      <c r="G1650" t="s">
        <v>390</v>
      </c>
      <c r="H1650" t="s">
        <v>16</v>
      </c>
      <c r="I1650" t="s">
        <v>448</v>
      </c>
    </row>
    <row r="1651" spans="1:9" x14ac:dyDescent="0.2">
      <c r="A1651">
        <v>8046346</v>
      </c>
      <c r="B1651">
        <v>1</v>
      </c>
      <c r="C1651">
        <v>2930</v>
      </c>
      <c r="D1651">
        <v>60820</v>
      </c>
      <c r="E1651">
        <v>24</v>
      </c>
      <c r="F1651" t="s">
        <v>119</v>
      </c>
      <c r="G1651" t="s">
        <v>118</v>
      </c>
      <c r="H1651" t="s">
        <v>20</v>
      </c>
      <c r="I1651">
        <v>8</v>
      </c>
    </row>
    <row r="1652" spans="1:9" x14ac:dyDescent="0.2">
      <c r="A1652">
        <v>8046346</v>
      </c>
      <c r="B1652">
        <v>2</v>
      </c>
      <c r="C1652">
        <v>1370</v>
      </c>
      <c r="D1652">
        <v>0</v>
      </c>
      <c r="E1652">
        <v>26</v>
      </c>
      <c r="F1652" t="s">
        <v>21</v>
      </c>
      <c r="G1652" t="s">
        <v>120</v>
      </c>
      <c r="H1652" t="s">
        <v>20</v>
      </c>
      <c r="I1652">
        <v>8</v>
      </c>
    </row>
    <row r="1653" spans="1:9" x14ac:dyDescent="0.2">
      <c r="A1653">
        <v>8046346</v>
      </c>
      <c r="B1653">
        <v>3</v>
      </c>
      <c r="C1653">
        <v>1704</v>
      </c>
      <c r="D1653">
        <v>0</v>
      </c>
      <c r="E1653">
        <v>26</v>
      </c>
      <c r="F1653" t="s">
        <v>57</v>
      </c>
      <c r="G1653" t="s">
        <v>82</v>
      </c>
      <c r="H1653" t="s">
        <v>79</v>
      </c>
      <c r="I1653">
        <v>10</v>
      </c>
    </row>
    <row r="1654" spans="1:9" x14ac:dyDescent="0.2">
      <c r="A1654">
        <v>8046346</v>
      </c>
      <c r="B1654">
        <v>4</v>
      </c>
      <c r="C1654">
        <v>3225</v>
      </c>
      <c r="D1654">
        <v>0</v>
      </c>
      <c r="E1654">
        <v>26</v>
      </c>
      <c r="F1654" t="s">
        <v>47</v>
      </c>
      <c r="G1654" t="s">
        <v>106</v>
      </c>
      <c r="H1654" t="s">
        <v>46</v>
      </c>
      <c r="I1654">
        <v>10</v>
      </c>
    </row>
    <row r="1655" spans="1:9" x14ac:dyDescent="0.2">
      <c r="A1655">
        <v>8046346</v>
      </c>
      <c r="B1655">
        <v>5</v>
      </c>
      <c r="C1655">
        <v>3200</v>
      </c>
      <c r="D1655">
        <v>0</v>
      </c>
      <c r="E1655">
        <v>26</v>
      </c>
      <c r="F1655" t="s">
        <v>47</v>
      </c>
      <c r="G1655" t="s">
        <v>18</v>
      </c>
      <c r="H1655" t="s">
        <v>46</v>
      </c>
      <c r="I1655">
        <v>10</v>
      </c>
    </row>
    <row r="1656" spans="1:9" x14ac:dyDescent="0.2">
      <c r="A1656">
        <v>8046346</v>
      </c>
      <c r="B1656">
        <v>6</v>
      </c>
      <c r="C1656">
        <v>3229</v>
      </c>
      <c r="D1656">
        <v>0</v>
      </c>
      <c r="E1656">
        <v>26</v>
      </c>
      <c r="F1656" t="s">
        <v>47</v>
      </c>
      <c r="G1656" t="s">
        <v>101</v>
      </c>
      <c r="H1656" t="s">
        <v>46</v>
      </c>
      <c r="I1656">
        <v>10</v>
      </c>
    </row>
    <row r="1657" spans="1:9" x14ac:dyDescent="0.2">
      <c r="A1657">
        <v>8046346</v>
      </c>
      <c r="B1657">
        <v>7</v>
      </c>
      <c r="C1657">
        <v>3629</v>
      </c>
      <c r="D1657">
        <v>0</v>
      </c>
      <c r="E1657">
        <v>26</v>
      </c>
      <c r="F1657" t="s">
        <v>108</v>
      </c>
      <c r="G1657" t="s">
        <v>121</v>
      </c>
      <c r="H1657" t="s">
        <v>20</v>
      </c>
      <c r="I1657">
        <v>8</v>
      </c>
    </row>
    <row r="1658" spans="1:9" x14ac:dyDescent="0.2">
      <c r="A1658">
        <v>8046346</v>
      </c>
      <c r="B1658">
        <v>8</v>
      </c>
      <c r="C1658">
        <v>3719</v>
      </c>
      <c r="D1658">
        <v>0</v>
      </c>
      <c r="E1658">
        <v>26</v>
      </c>
      <c r="F1658" t="s">
        <v>116</v>
      </c>
      <c r="G1658" t="s">
        <v>66</v>
      </c>
      <c r="H1658" t="s">
        <v>61</v>
      </c>
      <c r="I1658">
        <v>9</v>
      </c>
    </row>
    <row r="1659" spans="1:9" x14ac:dyDescent="0.2">
      <c r="A1659">
        <v>8060721</v>
      </c>
      <c r="B1659">
        <v>1</v>
      </c>
      <c r="C1659">
        <v>1774</v>
      </c>
      <c r="D1659">
        <v>0</v>
      </c>
      <c r="E1659">
        <v>36</v>
      </c>
      <c r="F1659" t="s">
        <v>57</v>
      </c>
      <c r="G1659" t="s">
        <v>296</v>
      </c>
      <c r="H1659" t="s">
        <v>69</v>
      </c>
      <c r="I1659">
        <v>10</v>
      </c>
    </row>
    <row r="1660" spans="1:9" x14ac:dyDescent="0.2">
      <c r="A1660">
        <v>8060721</v>
      </c>
      <c r="B1660">
        <v>2</v>
      </c>
      <c r="C1660">
        <v>3245</v>
      </c>
      <c r="D1660">
        <v>0</v>
      </c>
      <c r="E1660">
        <v>36</v>
      </c>
      <c r="F1660" t="s">
        <v>47</v>
      </c>
      <c r="G1660" t="s">
        <v>157</v>
      </c>
      <c r="H1660" t="s">
        <v>74</v>
      </c>
      <c r="I1660">
        <v>10</v>
      </c>
    </row>
    <row r="1661" spans="1:9" x14ac:dyDescent="0.2">
      <c r="A1661">
        <v>8060721</v>
      </c>
      <c r="B1661">
        <v>3</v>
      </c>
      <c r="C1661">
        <v>3239</v>
      </c>
      <c r="D1661">
        <v>0</v>
      </c>
      <c r="E1661">
        <v>36</v>
      </c>
      <c r="F1661" t="s">
        <v>47</v>
      </c>
      <c r="G1661" t="s">
        <v>107</v>
      </c>
      <c r="H1661" t="s">
        <v>46</v>
      </c>
      <c r="I1661">
        <v>10</v>
      </c>
    </row>
    <row r="1662" spans="1:9" x14ac:dyDescent="0.2">
      <c r="A1662">
        <v>8069513</v>
      </c>
      <c r="B1662">
        <v>1</v>
      </c>
      <c r="C1662">
        <v>3740</v>
      </c>
      <c r="D1662">
        <v>62420</v>
      </c>
      <c r="E1662">
        <v>24</v>
      </c>
      <c r="F1662" t="s">
        <v>116</v>
      </c>
      <c r="G1662" t="s">
        <v>63</v>
      </c>
      <c r="H1662" t="s">
        <v>61</v>
      </c>
      <c r="I1662">
        <v>9</v>
      </c>
    </row>
    <row r="1663" spans="1:9" x14ac:dyDescent="0.2">
      <c r="A1663">
        <v>8069513</v>
      </c>
      <c r="B1663">
        <v>2</v>
      </c>
      <c r="C1663">
        <v>3611</v>
      </c>
      <c r="D1663">
        <v>0</v>
      </c>
      <c r="E1663">
        <v>26</v>
      </c>
      <c r="F1663" t="s">
        <v>108</v>
      </c>
      <c r="G1663" t="s">
        <v>89</v>
      </c>
      <c r="H1663" t="s">
        <v>20</v>
      </c>
      <c r="I1663">
        <v>8</v>
      </c>
    </row>
    <row r="1664" spans="1:9" x14ac:dyDescent="0.2">
      <c r="A1664">
        <v>8069513</v>
      </c>
      <c r="B1664">
        <v>3</v>
      </c>
      <c r="C1664">
        <v>3601</v>
      </c>
      <c r="D1664">
        <v>0</v>
      </c>
      <c r="E1664">
        <v>26</v>
      </c>
      <c r="F1664" t="s">
        <v>108</v>
      </c>
      <c r="G1664" t="s">
        <v>63</v>
      </c>
      <c r="H1664" t="s">
        <v>20</v>
      </c>
      <c r="I1664">
        <v>8</v>
      </c>
    </row>
    <row r="1665" spans="1:9" x14ac:dyDescent="0.2">
      <c r="A1665">
        <v>8069513</v>
      </c>
      <c r="B1665">
        <v>4</v>
      </c>
      <c r="C1665">
        <v>1331</v>
      </c>
      <c r="D1665">
        <v>0</v>
      </c>
      <c r="E1665">
        <v>26</v>
      </c>
      <c r="F1665" t="s">
        <v>21</v>
      </c>
      <c r="G1665" t="s">
        <v>89</v>
      </c>
      <c r="H1665" t="s">
        <v>20</v>
      </c>
      <c r="I1665">
        <v>8</v>
      </c>
    </row>
    <row r="1666" spans="1:9" x14ac:dyDescent="0.2">
      <c r="A1666">
        <v>8069513</v>
      </c>
      <c r="B1666">
        <v>5</v>
      </c>
      <c r="C1666">
        <v>1323</v>
      </c>
      <c r="D1666">
        <v>0</v>
      </c>
      <c r="E1666">
        <v>26</v>
      </c>
      <c r="F1666" t="s">
        <v>21</v>
      </c>
      <c r="G1666" t="s">
        <v>98</v>
      </c>
      <c r="H1666" t="s">
        <v>20</v>
      </c>
      <c r="I1666">
        <v>8</v>
      </c>
    </row>
    <row r="1667" spans="1:9" x14ac:dyDescent="0.2">
      <c r="A1667">
        <v>8069513</v>
      </c>
      <c r="B1667">
        <v>6</v>
      </c>
      <c r="C1667">
        <v>1782</v>
      </c>
      <c r="D1667">
        <v>0</v>
      </c>
      <c r="E1667">
        <v>26</v>
      </c>
      <c r="F1667" t="s">
        <v>57</v>
      </c>
      <c r="G1667" t="s">
        <v>63</v>
      </c>
      <c r="H1667" t="s">
        <v>69</v>
      </c>
      <c r="I1667">
        <v>10</v>
      </c>
    </row>
    <row r="1668" spans="1:9" x14ac:dyDescent="0.2">
      <c r="A1668">
        <v>8077404</v>
      </c>
      <c r="B1668">
        <v>1</v>
      </c>
      <c r="C1668">
        <v>1122</v>
      </c>
      <c r="D1668">
        <v>64850</v>
      </c>
      <c r="E1668">
        <v>25</v>
      </c>
      <c r="F1668" t="s">
        <v>17</v>
      </c>
      <c r="G1668" t="s">
        <v>77</v>
      </c>
      <c r="H1668" t="s">
        <v>16</v>
      </c>
      <c r="I1668" t="s">
        <v>448</v>
      </c>
    </row>
    <row r="1669" spans="1:9" x14ac:dyDescent="0.2">
      <c r="A1669">
        <v>8094033</v>
      </c>
      <c r="B1669">
        <v>1</v>
      </c>
      <c r="C1669">
        <v>3463</v>
      </c>
      <c r="D1669">
        <v>66978</v>
      </c>
      <c r="E1669">
        <v>24</v>
      </c>
      <c r="F1669" t="s">
        <v>36</v>
      </c>
      <c r="G1669" t="s">
        <v>212</v>
      </c>
      <c r="H1669" t="s">
        <v>35</v>
      </c>
      <c r="I1669">
        <v>7</v>
      </c>
    </row>
    <row r="1670" spans="1:9" x14ac:dyDescent="0.2">
      <c r="A1670">
        <v>8094033</v>
      </c>
      <c r="B1670">
        <v>2</v>
      </c>
      <c r="C1670">
        <v>1733</v>
      </c>
      <c r="D1670">
        <v>0</v>
      </c>
      <c r="E1670">
        <v>26</v>
      </c>
      <c r="F1670" t="s">
        <v>57</v>
      </c>
      <c r="G1670" t="s">
        <v>18</v>
      </c>
      <c r="H1670" t="s">
        <v>69</v>
      </c>
      <c r="I1670">
        <v>10</v>
      </c>
    </row>
    <row r="1671" spans="1:9" x14ac:dyDescent="0.2">
      <c r="A1671">
        <v>8094033</v>
      </c>
      <c r="B1671">
        <v>3</v>
      </c>
      <c r="C1671">
        <v>3200</v>
      </c>
      <c r="D1671">
        <v>0</v>
      </c>
      <c r="E1671">
        <v>26</v>
      </c>
      <c r="F1671" t="s">
        <v>47</v>
      </c>
      <c r="G1671" t="s">
        <v>18</v>
      </c>
      <c r="H1671" t="s">
        <v>46</v>
      </c>
      <c r="I1671">
        <v>10</v>
      </c>
    </row>
    <row r="1672" spans="1:9" x14ac:dyDescent="0.2">
      <c r="A1672">
        <v>8094033</v>
      </c>
      <c r="B1672">
        <v>4</v>
      </c>
      <c r="C1672">
        <v>2901</v>
      </c>
      <c r="D1672">
        <v>0</v>
      </c>
      <c r="E1672">
        <v>26</v>
      </c>
      <c r="F1672" t="s">
        <v>119</v>
      </c>
      <c r="G1672" t="s">
        <v>18</v>
      </c>
      <c r="H1672" t="s">
        <v>20</v>
      </c>
      <c r="I1672">
        <v>8</v>
      </c>
    </row>
    <row r="1673" spans="1:9" x14ac:dyDescent="0.2">
      <c r="A1673">
        <v>8094033</v>
      </c>
      <c r="B1673">
        <v>5</v>
      </c>
      <c r="C1673">
        <v>1380</v>
      </c>
      <c r="D1673">
        <v>0</v>
      </c>
      <c r="E1673">
        <v>26</v>
      </c>
      <c r="F1673" t="s">
        <v>21</v>
      </c>
      <c r="G1673" t="s">
        <v>18</v>
      </c>
      <c r="H1673" t="s">
        <v>20</v>
      </c>
      <c r="I1673">
        <v>8</v>
      </c>
    </row>
    <row r="1674" spans="1:9" x14ac:dyDescent="0.2">
      <c r="A1674">
        <v>8096405</v>
      </c>
      <c r="B1674">
        <v>1</v>
      </c>
      <c r="C1674">
        <v>1753</v>
      </c>
      <c r="D1674">
        <v>48340</v>
      </c>
      <c r="E1674">
        <v>25</v>
      </c>
      <c r="F1674" t="s">
        <v>57</v>
      </c>
      <c r="G1674" t="s">
        <v>105</v>
      </c>
      <c r="H1674" t="s">
        <v>69</v>
      </c>
      <c r="I1674">
        <v>10</v>
      </c>
    </row>
    <row r="1675" spans="1:9" x14ac:dyDescent="0.2">
      <c r="A1675">
        <v>8096405</v>
      </c>
      <c r="B1675">
        <v>2</v>
      </c>
      <c r="C1675">
        <v>1734</v>
      </c>
      <c r="D1675">
        <v>48520</v>
      </c>
      <c r="E1675">
        <v>25</v>
      </c>
      <c r="F1675" t="s">
        <v>57</v>
      </c>
      <c r="G1675" t="s">
        <v>81</v>
      </c>
      <c r="H1675" t="s">
        <v>69</v>
      </c>
      <c r="I1675">
        <v>10</v>
      </c>
    </row>
    <row r="1676" spans="1:9" x14ac:dyDescent="0.2">
      <c r="A1676">
        <v>8096405</v>
      </c>
      <c r="B1676">
        <v>3</v>
      </c>
      <c r="C1676">
        <v>3223</v>
      </c>
      <c r="D1676">
        <v>48640</v>
      </c>
      <c r="E1676">
        <v>24</v>
      </c>
      <c r="F1676" t="s">
        <v>47</v>
      </c>
      <c r="G1676" t="s">
        <v>105</v>
      </c>
      <c r="H1676" t="s">
        <v>46</v>
      </c>
      <c r="I1676">
        <v>10</v>
      </c>
    </row>
    <row r="1677" spans="1:9" x14ac:dyDescent="0.2">
      <c r="A1677">
        <v>8096405</v>
      </c>
      <c r="B1677">
        <v>4</v>
      </c>
      <c r="C1677">
        <v>3229</v>
      </c>
      <c r="D1677">
        <v>0</v>
      </c>
      <c r="E1677">
        <v>26</v>
      </c>
      <c r="F1677" t="s">
        <v>47</v>
      </c>
      <c r="G1677" t="s">
        <v>101</v>
      </c>
      <c r="H1677" t="s">
        <v>46</v>
      </c>
      <c r="I1677">
        <v>10</v>
      </c>
    </row>
    <row r="1678" spans="1:9" x14ac:dyDescent="0.2">
      <c r="A1678">
        <v>8141441</v>
      </c>
      <c r="B1678">
        <v>1</v>
      </c>
      <c r="C1678">
        <v>1728</v>
      </c>
      <c r="D1678">
        <v>50220</v>
      </c>
      <c r="E1678">
        <v>25</v>
      </c>
      <c r="F1678" t="s">
        <v>57</v>
      </c>
      <c r="G1678" t="s">
        <v>103</v>
      </c>
      <c r="H1678" t="s">
        <v>69</v>
      </c>
      <c r="I1678">
        <v>10</v>
      </c>
    </row>
    <row r="1679" spans="1:9" x14ac:dyDescent="0.2">
      <c r="A1679">
        <v>8141441</v>
      </c>
      <c r="B1679">
        <v>2</v>
      </c>
      <c r="C1679">
        <v>1734</v>
      </c>
      <c r="D1679">
        <v>51340</v>
      </c>
      <c r="E1679">
        <v>25</v>
      </c>
      <c r="F1679" t="s">
        <v>57</v>
      </c>
      <c r="G1679" t="s">
        <v>81</v>
      </c>
      <c r="H1679" t="s">
        <v>69</v>
      </c>
      <c r="I1679">
        <v>10</v>
      </c>
    </row>
    <row r="1680" spans="1:9" x14ac:dyDescent="0.2">
      <c r="A1680">
        <v>8141441</v>
      </c>
      <c r="B1680">
        <v>3</v>
      </c>
      <c r="C1680">
        <v>1786</v>
      </c>
      <c r="D1680">
        <v>50375</v>
      </c>
      <c r="E1680">
        <v>25</v>
      </c>
      <c r="F1680" t="s">
        <v>57</v>
      </c>
      <c r="G1680" t="s">
        <v>103</v>
      </c>
      <c r="H1680" t="s">
        <v>56</v>
      </c>
      <c r="I1680">
        <v>10</v>
      </c>
    </row>
    <row r="1681" spans="1:9" x14ac:dyDescent="0.2">
      <c r="A1681">
        <v>8173311</v>
      </c>
      <c r="B1681">
        <v>1</v>
      </c>
      <c r="C1681">
        <v>1777</v>
      </c>
      <c r="D1681">
        <v>54515</v>
      </c>
      <c r="E1681">
        <v>25</v>
      </c>
      <c r="F1681" t="s">
        <v>57</v>
      </c>
      <c r="G1681" t="s">
        <v>88</v>
      </c>
      <c r="H1681" t="s">
        <v>69</v>
      </c>
      <c r="I1681">
        <v>10</v>
      </c>
    </row>
    <row r="1682" spans="1:9" x14ac:dyDescent="0.2">
      <c r="A1682">
        <v>8173311</v>
      </c>
      <c r="B1682">
        <v>2</v>
      </c>
      <c r="C1682">
        <v>3234</v>
      </c>
      <c r="D1682">
        <v>54065</v>
      </c>
      <c r="E1682">
        <v>25</v>
      </c>
      <c r="F1682" t="s">
        <v>47</v>
      </c>
      <c r="G1682" t="s">
        <v>76</v>
      </c>
      <c r="H1682" t="s">
        <v>46</v>
      </c>
      <c r="I1682">
        <v>10</v>
      </c>
    </row>
    <row r="1683" spans="1:9" x14ac:dyDescent="0.2">
      <c r="A1683">
        <v>8173311</v>
      </c>
      <c r="B1683">
        <v>3</v>
      </c>
      <c r="C1683">
        <v>1913</v>
      </c>
      <c r="D1683">
        <v>0</v>
      </c>
      <c r="E1683">
        <v>19</v>
      </c>
      <c r="F1683" t="s">
        <v>32</v>
      </c>
      <c r="G1683" t="s">
        <v>211</v>
      </c>
      <c r="H1683" t="s">
        <v>31</v>
      </c>
      <c r="I1683">
        <v>5</v>
      </c>
    </row>
    <row r="1684" spans="1:9" x14ac:dyDescent="0.2">
      <c r="A1684">
        <v>8173311</v>
      </c>
      <c r="B1684">
        <v>4</v>
      </c>
      <c r="C1684">
        <v>2546</v>
      </c>
      <c r="D1684">
        <v>52850</v>
      </c>
      <c r="E1684">
        <v>25</v>
      </c>
      <c r="F1684" t="s">
        <v>175</v>
      </c>
      <c r="G1684" t="s">
        <v>212</v>
      </c>
      <c r="H1684" t="s">
        <v>213</v>
      </c>
      <c r="I1684">
        <v>4</v>
      </c>
    </row>
    <row r="1685" spans="1:9" x14ac:dyDescent="0.2">
      <c r="A1685">
        <v>8173311</v>
      </c>
      <c r="B1685">
        <v>5</v>
      </c>
      <c r="C1685">
        <v>1359</v>
      </c>
      <c r="D1685">
        <v>54980</v>
      </c>
      <c r="E1685">
        <v>25</v>
      </c>
      <c r="F1685" t="s">
        <v>21</v>
      </c>
      <c r="G1685" t="s">
        <v>214</v>
      </c>
      <c r="H1685" t="s">
        <v>20</v>
      </c>
      <c r="I1685">
        <v>8</v>
      </c>
    </row>
    <row r="1686" spans="1:9" x14ac:dyDescent="0.2">
      <c r="A1686">
        <v>8173311</v>
      </c>
      <c r="B1686">
        <v>6</v>
      </c>
      <c r="C1686">
        <v>1782</v>
      </c>
      <c r="D1686">
        <v>54770</v>
      </c>
      <c r="E1686">
        <v>25</v>
      </c>
      <c r="F1686" t="s">
        <v>57</v>
      </c>
      <c r="G1686" t="s">
        <v>63</v>
      </c>
      <c r="H1686" t="s">
        <v>69</v>
      </c>
      <c r="I1686">
        <v>10</v>
      </c>
    </row>
    <row r="1687" spans="1:9" x14ac:dyDescent="0.2">
      <c r="A1687">
        <v>8173311</v>
      </c>
      <c r="B1687">
        <v>7</v>
      </c>
      <c r="C1687">
        <v>1436</v>
      </c>
      <c r="D1687">
        <v>0</v>
      </c>
      <c r="E1687">
        <v>16</v>
      </c>
      <c r="F1687" t="s">
        <v>25</v>
      </c>
      <c r="G1687" t="s">
        <v>178</v>
      </c>
      <c r="H1687" t="s">
        <v>24</v>
      </c>
      <c r="I1687">
        <v>5</v>
      </c>
    </row>
    <row r="1688" spans="1:9" x14ac:dyDescent="0.2">
      <c r="A1688">
        <v>8173311</v>
      </c>
      <c r="B1688">
        <v>8</v>
      </c>
      <c r="C1688">
        <v>3661</v>
      </c>
      <c r="D1688">
        <v>54620</v>
      </c>
      <c r="E1688">
        <v>25</v>
      </c>
      <c r="F1688" t="s">
        <v>108</v>
      </c>
      <c r="G1688" t="s">
        <v>214</v>
      </c>
      <c r="H1688" t="s">
        <v>20</v>
      </c>
      <c r="I1688">
        <v>8</v>
      </c>
    </row>
    <row r="1689" spans="1:9" x14ac:dyDescent="0.2">
      <c r="A1689">
        <v>8199647</v>
      </c>
      <c r="B1689">
        <v>1</v>
      </c>
      <c r="C1689">
        <v>1440</v>
      </c>
      <c r="D1689">
        <v>56450</v>
      </c>
      <c r="E1689">
        <v>25</v>
      </c>
      <c r="F1689" t="s">
        <v>25</v>
      </c>
      <c r="G1689" t="s">
        <v>22</v>
      </c>
      <c r="H1689" t="s">
        <v>24</v>
      </c>
      <c r="I1689">
        <v>5</v>
      </c>
    </row>
    <row r="1690" spans="1:9" x14ac:dyDescent="0.2">
      <c r="A1690">
        <v>8199647</v>
      </c>
      <c r="B1690">
        <v>2</v>
      </c>
      <c r="C1690">
        <v>1945</v>
      </c>
      <c r="D1690">
        <v>56720</v>
      </c>
      <c r="E1690">
        <v>25</v>
      </c>
      <c r="F1690" t="s">
        <v>32</v>
      </c>
      <c r="G1690" t="s">
        <v>97</v>
      </c>
      <c r="H1690" t="s">
        <v>31</v>
      </c>
      <c r="I1690">
        <v>5</v>
      </c>
    </row>
    <row r="1691" spans="1:9" x14ac:dyDescent="0.2">
      <c r="A1691">
        <v>8199647</v>
      </c>
      <c r="B1691">
        <v>3</v>
      </c>
      <c r="C1691">
        <v>1912</v>
      </c>
      <c r="D1691">
        <v>57660</v>
      </c>
      <c r="E1691">
        <v>25</v>
      </c>
      <c r="F1691" t="s">
        <v>32</v>
      </c>
      <c r="G1691" t="s">
        <v>347</v>
      </c>
      <c r="H1691" t="s">
        <v>31</v>
      </c>
      <c r="I1691">
        <v>5</v>
      </c>
    </row>
    <row r="1692" spans="1:9" x14ac:dyDescent="0.2">
      <c r="A1692">
        <v>8199647</v>
      </c>
      <c r="B1692">
        <v>4</v>
      </c>
      <c r="C1692">
        <v>3064</v>
      </c>
      <c r="D1692">
        <v>57205</v>
      </c>
      <c r="E1692">
        <v>25</v>
      </c>
      <c r="F1692" t="s">
        <v>44</v>
      </c>
      <c r="G1692" t="s">
        <v>97</v>
      </c>
      <c r="H1692" t="s">
        <v>52</v>
      </c>
      <c r="I1692">
        <v>9</v>
      </c>
    </row>
    <row r="1693" spans="1:9" x14ac:dyDescent="0.2">
      <c r="A1693">
        <v>8199647</v>
      </c>
      <c r="B1693">
        <v>5</v>
      </c>
      <c r="C1693">
        <v>1377</v>
      </c>
      <c r="D1693">
        <v>58230</v>
      </c>
      <c r="E1693">
        <v>25</v>
      </c>
      <c r="F1693" t="s">
        <v>21</v>
      </c>
      <c r="G1693" t="s">
        <v>251</v>
      </c>
      <c r="H1693" t="s">
        <v>20</v>
      </c>
      <c r="I1693">
        <v>8</v>
      </c>
    </row>
    <row r="1694" spans="1:9" x14ac:dyDescent="0.2">
      <c r="A1694">
        <v>8199647</v>
      </c>
      <c r="B1694">
        <v>6</v>
      </c>
      <c r="C1694">
        <v>1352</v>
      </c>
      <c r="D1694">
        <v>57475</v>
      </c>
      <c r="E1694">
        <v>25</v>
      </c>
      <c r="F1694" t="s">
        <v>21</v>
      </c>
      <c r="G1694" t="s">
        <v>279</v>
      </c>
      <c r="H1694" t="s">
        <v>20</v>
      </c>
      <c r="I1694">
        <v>8</v>
      </c>
    </row>
    <row r="1695" spans="1:9" x14ac:dyDescent="0.2">
      <c r="A1695">
        <v>8199647</v>
      </c>
      <c r="B1695">
        <v>7</v>
      </c>
      <c r="C1695">
        <v>1756</v>
      </c>
      <c r="D1695">
        <v>56720</v>
      </c>
      <c r="E1695">
        <v>24</v>
      </c>
      <c r="F1695" t="s">
        <v>57</v>
      </c>
      <c r="G1695" t="s">
        <v>89</v>
      </c>
      <c r="H1695" t="s">
        <v>69</v>
      </c>
      <c r="I1695">
        <v>10</v>
      </c>
    </row>
    <row r="1696" spans="1:9" x14ac:dyDescent="0.2">
      <c r="A1696">
        <v>8210371</v>
      </c>
      <c r="B1696">
        <v>1</v>
      </c>
      <c r="C1696">
        <v>1155</v>
      </c>
      <c r="D1696">
        <v>70880</v>
      </c>
      <c r="E1696">
        <v>24</v>
      </c>
      <c r="F1696" t="s">
        <v>17</v>
      </c>
      <c r="G1696" t="s">
        <v>62</v>
      </c>
      <c r="H1696" t="s">
        <v>16</v>
      </c>
      <c r="I1696" t="s">
        <v>448</v>
      </c>
    </row>
    <row r="1697" spans="1:9" x14ac:dyDescent="0.2">
      <c r="A1697">
        <v>8210371</v>
      </c>
      <c r="B1697">
        <v>2</v>
      </c>
      <c r="C1697">
        <v>1221</v>
      </c>
      <c r="D1697">
        <v>0</v>
      </c>
      <c r="E1697">
        <v>26</v>
      </c>
      <c r="F1697" t="s">
        <v>19</v>
      </c>
      <c r="G1697" t="s">
        <v>63</v>
      </c>
      <c r="H1697" t="s">
        <v>16</v>
      </c>
      <c r="I1697" t="s">
        <v>448</v>
      </c>
    </row>
    <row r="1698" spans="1:9" x14ac:dyDescent="0.2">
      <c r="A1698">
        <v>8210371</v>
      </c>
      <c r="B1698">
        <v>3</v>
      </c>
      <c r="C1698">
        <v>1324</v>
      </c>
      <c r="D1698">
        <v>0</v>
      </c>
      <c r="E1698">
        <v>26</v>
      </c>
      <c r="F1698" t="s">
        <v>21</v>
      </c>
      <c r="G1698" t="s">
        <v>63</v>
      </c>
      <c r="H1698" t="s">
        <v>20</v>
      </c>
      <c r="I1698">
        <v>8</v>
      </c>
    </row>
    <row r="1699" spans="1:9" x14ac:dyDescent="0.2">
      <c r="A1699">
        <v>8210371</v>
      </c>
      <c r="B1699">
        <v>4</v>
      </c>
      <c r="C1699">
        <v>1237</v>
      </c>
      <c r="D1699">
        <v>0</v>
      </c>
      <c r="E1699">
        <v>26</v>
      </c>
      <c r="F1699" t="s">
        <v>19</v>
      </c>
      <c r="G1699" t="s">
        <v>65</v>
      </c>
      <c r="H1699" t="s">
        <v>16</v>
      </c>
      <c r="I1699" t="s">
        <v>448</v>
      </c>
    </row>
    <row r="1700" spans="1:9" x14ac:dyDescent="0.2">
      <c r="A1700">
        <v>8210371</v>
      </c>
      <c r="B1700">
        <v>5</v>
      </c>
      <c r="C1700">
        <v>1782</v>
      </c>
      <c r="D1700">
        <v>0</v>
      </c>
      <c r="E1700">
        <v>26</v>
      </c>
      <c r="F1700" t="s">
        <v>57</v>
      </c>
      <c r="G1700" t="s">
        <v>63</v>
      </c>
      <c r="H1700" t="s">
        <v>69</v>
      </c>
      <c r="I1700">
        <v>10</v>
      </c>
    </row>
    <row r="1701" spans="1:9" x14ac:dyDescent="0.2">
      <c r="A1701">
        <v>8224713</v>
      </c>
      <c r="B1701">
        <v>1</v>
      </c>
      <c r="C1701">
        <v>1787</v>
      </c>
      <c r="D1701">
        <v>42875</v>
      </c>
      <c r="E1701">
        <v>25</v>
      </c>
      <c r="F1701" t="s">
        <v>57</v>
      </c>
      <c r="G1701" t="s">
        <v>49</v>
      </c>
      <c r="H1701" t="s">
        <v>56</v>
      </c>
      <c r="I1701">
        <v>10</v>
      </c>
    </row>
    <row r="1702" spans="1:9" x14ac:dyDescent="0.2">
      <c r="A1702">
        <v>8224713</v>
      </c>
      <c r="B1702">
        <v>2</v>
      </c>
      <c r="C1702">
        <v>1732</v>
      </c>
      <c r="D1702">
        <v>41935</v>
      </c>
      <c r="E1702">
        <v>25</v>
      </c>
      <c r="F1702" t="s">
        <v>57</v>
      </c>
      <c r="G1702" t="s">
        <v>104</v>
      </c>
      <c r="H1702" t="s">
        <v>69</v>
      </c>
      <c r="I1702">
        <v>10</v>
      </c>
    </row>
    <row r="1703" spans="1:9" x14ac:dyDescent="0.2">
      <c r="A1703">
        <v>8224713</v>
      </c>
      <c r="B1703">
        <v>3</v>
      </c>
      <c r="C1703">
        <v>2693</v>
      </c>
      <c r="D1703">
        <v>46030</v>
      </c>
      <c r="E1703">
        <v>25</v>
      </c>
      <c r="F1703" t="s">
        <v>71</v>
      </c>
      <c r="G1703" t="s">
        <v>208</v>
      </c>
      <c r="H1703" t="s">
        <v>24</v>
      </c>
      <c r="I1703">
        <v>5</v>
      </c>
    </row>
    <row r="1704" spans="1:9" x14ac:dyDescent="0.2">
      <c r="A1704">
        <v>8224713</v>
      </c>
      <c r="B1704">
        <v>4</v>
      </c>
      <c r="C1704">
        <v>1715</v>
      </c>
      <c r="D1704">
        <v>42875</v>
      </c>
      <c r="E1704">
        <v>25</v>
      </c>
      <c r="F1704" t="s">
        <v>57</v>
      </c>
      <c r="G1704" t="s">
        <v>151</v>
      </c>
      <c r="H1704" t="s">
        <v>69</v>
      </c>
      <c r="I1704">
        <v>10</v>
      </c>
    </row>
    <row r="1705" spans="1:9" x14ac:dyDescent="0.2">
      <c r="A1705">
        <v>8224713</v>
      </c>
      <c r="B1705">
        <v>5</v>
      </c>
      <c r="C1705">
        <v>3324</v>
      </c>
      <c r="D1705">
        <v>43050</v>
      </c>
      <c r="E1705">
        <v>24</v>
      </c>
      <c r="F1705" t="s">
        <v>207</v>
      </c>
      <c r="G1705" t="s">
        <v>104</v>
      </c>
      <c r="H1705" t="s">
        <v>206</v>
      </c>
      <c r="I1705">
        <v>12</v>
      </c>
    </row>
    <row r="1706" spans="1:9" x14ac:dyDescent="0.2">
      <c r="A1706">
        <v>8224713</v>
      </c>
      <c r="B1706">
        <v>6</v>
      </c>
      <c r="C1706">
        <v>1728</v>
      </c>
      <c r="D1706">
        <v>0</v>
      </c>
      <c r="E1706">
        <v>26</v>
      </c>
      <c r="F1706" t="s">
        <v>57</v>
      </c>
      <c r="G1706" t="s">
        <v>103</v>
      </c>
      <c r="H1706" t="s">
        <v>69</v>
      </c>
      <c r="I1706">
        <v>10</v>
      </c>
    </row>
    <row r="1707" spans="1:9" x14ac:dyDescent="0.2">
      <c r="A1707">
        <v>8226577</v>
      </c>
      <c r="B1707">
        <v>1</v>
      </c>
      <c r="C1707">
        <v>1574</v>
      </c>
      <c r="D1707">
        <v>61800</v>
      </c>
      <c r="E1707">
        <v>25</v>
      </c>
      <c r="F1707" t="s">
        <v>142</v>
      </c>
      <c r="G1707" t="s">
        <v>263</v>
      </c>
      <c r="H1707" t="s">
        <v>113</v>
      </c>
      <c r="I1707">
        <v>5</v>
      </c>
    </row>
    <row r="1708" spans="1:9" x14ac:dyDescent="0.2">
      <c r="A1708">
        <v>8226577</v>
      </c>
      <c r="B1708">
        <v>2</v>
      </c>
      <c r="C1708">
        <v>1503</v>
      </c>
      <c r="D1708">
        <v>61800</v>
      </c>
      <c r="E1708">
        <v>25</v>
      </c>
      <c r="F1708" t="s">
        <v>142</v>
      </c>
      <c r="G1708" t="s">
        <v>161</v>
      </c>
      <c r="H1708" t="s">
        <v>31</v>
      </c>
      <c r="I1708">
        <v>5</v>
      </c>
    </row>
    <row r="1709" spans="1:9" x14ac:dyDescent="0.2">
      <c r="A1709">
        <v>8226577</v>
      </c>
      <c r="B1709">
        <v>3</v>
      </c>
      <c r="C1709">
        <v>1571</v>
      </c>
      <c r="D1709">
        <v>61800</v>
      </c>
      <c r="E1709">
        <v>25</v>
      </c>
      <c r="F1709" t="s">
        <v>142</v>
      </c>
      <c r="G1709" t="s">
        <v>264</v>
      </c>
      <c r="H1709" t="s">
        <v>113</v>
      </c>
      <c r="I1709">
        <v>5</v>
      </c>
    </row>
    <row r="1710" spans="1:9" x14ac:dyDescent="0.2">
      <c r="A1710">
        <v>8295038</v>
      </c>
      <c r="B1710">
        <v>1</v>
      </c>
      <c r="C1710">
        <v>2904</v>
      </c>
      <c r="D1710">
        <v>57405</v>
      </c>
      <c r="E1710">
        <v>24</v>
      </c>
      <c r="F1710" t="s">
        <v>119</v>
      </c>
      <c r="G1710" t="s">
        <v>146</v>
      </c>
      <c r="H1710" t="s">
        <v>20</v>
      </c>
      <c r="I1710">
        <v>8</v>
      </c>
    </row>
    <row r="1711" spans="1:9" x14ac:dyDescent="0.2">
      <c r="A1711">
        <v>8295038</v>
      </c>
      <c r="B1711">
        <v>2</v>
      </c>
      <c r="C1711">
        <v>1733</v>
      </c>
      <c r="D1711">
        <v>0</v>
      </c>
      <c r="E1711">
        <v>26</v>
      </c>
      <c r="F1711" t="s">
        <v>57</v>
      </c>
      <c r="G1711" t="s">
        <v>18</v>
      </c>
      <c r="H1711" t="s">
        <v>69</v>
      </c>
      <c r="I1711">
        <v>10</v>
      </c>
    </row>
    <row r="1712" spans="1:9" x14ac:dyDescent="0.2">
      <c r="A1712">
        <v>8295038</v>
      </c>
      <c r="B1712">
        <v>3</v>
      </c>
      <c r="C1712">
        <v>3296</v>
      </c>
      <c r="D1712">
        <v>0</v>
      </c>
      <c r="E1712">
        <v>26</v>
      </c>
      <c r="F1712" t="s">
        <v>47</v>
      </c>
      <c r="G1712" t="s">
        <v>100</v>
      </c>
      <c r="H1712" t="s">
        <v>46</v>
      </c>
      <c r="I1712">
        <v>10</v>
      </c>
    </row>
    <row r="1713" spans="1:9" x14ac:dyDescent="0.2">
      <c r="A1713">
        <v>8311872</v>
      </c>
      <c r="B1713">
        <v>1</v>
      </c>
      <c r="C1713">
        <v>1787</v>
      </c>
      <c r="D1713">
        <v>61550</v>
      </c>
      <c r="E1713">
        <v>24</v>
      </c>
      <c r="F1713" t="s">
        <v>57</v>
      </c>
      <c r="G1713" t="s">
        <v>49</v>
      </c>
      <c r="H1713" t="s">
        <v>56</v>
      </c>
      <c r="I1713">
        <v>10</v>
      </c>
    </row>
    <row r="1714" spans="1:9" x14ac:dyDescent="0.2">
      <c r="A1714">
        <v>8317492</v>
      </c>
      <c r="B1714">
        <v>1</v>
      </c>
      <c r="C1714">
        <v>1145</v>
      </c>
      <c r="D1714">
        <v>68300</v>
      </c>
      <c r="E1714">
        <v>25</v>
      </c>
      <c r="F1714" t="s">
        <v>17</v>
      </c>
      <c r="G1714" t="s">
        <v>159</v>
      </c>
      <c r="H1714" t="s">
        <v>16</v>
      </c>
      <c r="I1714" t="s">
        <v>448</v>
      </c>
    </row>
    <row r="1715" spans="1:9" x14ac:dyDescent="0.2">
      <c r="A1715">
        <v>8317492</v>
      </c>
      <c r="B1715">
        <v>2</v>
      </c>
      <c r="C1715">
        <v>1178</v>
      </c>
      <c r="D1715">
        <v>65560</v>
      </c>
      <c r="E1715">
        <v>25</v>
      </c>
      <c r="F1715" t="s">
        <v>17</v>
      </c>
      <c r="G1715" t="s">
        <v>238</v>
      </c>
      <c r="H1715" t="s">
        <v>16</v>
      </c>
      <c r="I1715" t="s">
        <v>448</v>
      </c>
    </row>
    <row r="1716" spans="1:9" x14ac:dyDescent="0.2">
      <c r="A1716">
        <v>8317492</v>
      </c>
      <c r="B1716">
        <v>3</v>
      </c>
      <c r="C1716">
        <v>1608</v>
      </c>
      <c r="D1716">
        <v>67280</v>
      </c>
      <c r="E1716">
        <v>24</v>
      </c>
      <c r="F1716" t="s">
        <v>128</v>
      </c>
      <c r="G1716" t="s">
        <v>357</v>
      </c>
      <c r="H1716" t="s">
        <v>127</v>
      </c>
      <c r="I1716" t="s">
        <v>448</v>
      </c>
    </row>
    <row r="1717" spans="1:9" x14ac:dyDescent="0.2">
      <c r="A1717">
        <v>8317492</v>
      </c>
      <c r="B1717">
        <v>4</v>
      </c>
      <c r="C1717">
        <v>1503</v>
      </c>
      <c r="D1717">
        <v>0</v>
      </c>
      <c r="E1717">
        <v>26</v>
      </c>
      <c r="F1717" t="s">
        <v>142</v>
      </c>
      <c r="G1717" t="s">
        <v>161</v>
      </c>
      <c r="H1717" t="s">
        <v>31</v>
      </c>
      <c r="I1717">
        <v>5</v>
      </c>
    </row>
    <row r="1718" spans="1:9" x14ac:dyDescent="0.2">
      <c r="A1718">
        <v>8317492</v>
      </c>
      <c r="B1718">
        <v>5</v>
      </c>
      <c r="C1718">
        <v>1704</v>
      </c>
      <c r="D1718">
        <v>0</v>
      </c>
      <c r="E1718">
        <v>26</v>
      </c>
      <c r="F1718" t="s">
        <v>57</v>
      </c>
      <c r="G1718" t="s">
        <v>82</v>
      </c>
      <c r="H1718" t="s">
        <v>79</v>
      </c>
      <c r="I1718">
        <v>10</v>
      </c>
    </row>
    <row r="1719" spans="1:9" x14ac:dyDescent="0.2">
      <c r="A1719">
        <v>8317492</v>
      </c>
      <c r="B1719">
        <v>6</v>
      </c>
      <c r="C1719">
        <v>1737</v>
      </c>
      <c r="D1719">
        <v>0</v>
      </c>
      <c r="E1719">
        <v>26</v>
      </c>
      <c r="F1719" t="s">
        <v>57</v>
      </c>
      <c r="G1719" t="s">
        <v>54</v>
      </c>
      <c r="H1719" t="s">
        <v>79</v>
      </c>
      <c r="I1719">
        <v>10</v>
      </c>
    </row>
    <row r="1720" spans="1:9" x14ac:dyDescent="0.2">
      <c r="A1720">
        <v>8317492</v>
      </c>
      <c r="B1720">
        <v>7</v>
      </c>
      <c r="C1720">
        <v>1502</v>
      </c>
      <c r="D1720">
        <v>0</v>
      </c>
      <c r="E1720">
        <v>26</v>
      </c>
      <c r="F1720" t="s">
        <v>142</v>
      </c>
      <c r="G1720" t="s">
        <v>143</v>
      </c>
      <c r="H1720" t="s">
        <v>31</v>
      </c>
      <c r="I1720">
        <v>5</v>
      </c>
    </row>
    <row r="1721" spans="1:9" x14ac:dyDescent="0.2">
      <c r="A1721">
        <v>8333367</v>
      </c>
      <c r="B1721">
        <v>1</v>
      </c>
      <c r="C1721">
        <v>1789</v>
      </c>
      <c r="D1721">
        <v>63050</v>
      </c>
      <c r="E1721">
        <v>25</v>
      </c>
      <c r="F1721" t="s">
        <v>57</v>
      </c>
      <c r="G1721" t="s">
        <v>122</v>
      </c>
      <c r="H1721" t="s">
        <v>69</v>
      </c>
      <c r="I1721">
        <v>10</v>
      </c>
    </row>
    <row r="1722" spans="1:9" x14ac:dyDescent="0.2">
      <c r="A1722">
        <v>8333367</v>
      </c>
      <c r="B1722">
        <v>2</v>
      </c>
      <c r="C1722">
        <v>3033</v>
      </c>
      <c r="D1722">
        <v>62890</v>
      </c>
      <c r="E1722">
        <v>25</v>
      </c>
      <c r="F1722" t="s">
        <v>44</v>
      </c>
      <c r="G1722" t="s">
        <v>122</v>
      </c>
      <c r="H1722" t="s">
        <v>50</v>
      </c>
      <c r="I1722">
        <v>9</v>
      </c>
    </row>
    <row r="1723" spans="1:9" x14ac:dyDescent="0.2">
      <c r="A1723">
        <v>8333367</v>
      </c>
      <c r="B1723">
        <v>3</v>
      </c>
      <c r="C1723">
        <v>1391</v>
      </c>
      <c r="D1723">
        <v>62915</v>
      </c>
      <c r="E1723">
        <v>25</v>
      </c>
      <c r="F1723" t="s">
        <v>21</v>
      </c>
      <c r="G1723" t="s">
        <v>122</v>
      </c>
      <c r="H1723" t="s">
        <v>20</v>
      </c>
      <c r="I1723">
        <v>8</v>
      </c>
    </row>
    <row r="1724" spans="1:9" x14ac:dyDescent="0.2">
      <c r="A1724">
        <v>8333367</v>
      </c>
      <c r="B1724">
        <v>4</v>
      </c>
      <c r="C1724">
        <v>1709</v>
      </c>
      <c r="D1724">
        <v>62670</v>
      </c>
      <c r="E1724">
        <v>24</v>
      </c>
      <c r="F1724" t="s">
        <v>57</v>
      </c>
      <c r="G1724" t="s">
        <v>84</v>
      </c>
      <c r="H1724" t="s">
        <v>69</v>
      </c>
      <c r="I1724">
        <v>10</v>
      </c>
    </row>
    <row r="1725" spans="1:9" x14ac:dyDescent="0.2">
      <c r="A1725">
        <v>8333367</v>
      </c>
      <c r="B1725">
        <v>5</v>
      </c>
      <c r="C1725">
        <v>1702</v>
      </c>
      <c r="D1725">
        <v>0</v>
      </c>
      <c r="E1725">
        <v>26</v>
      </c>
      <c r="F1725" t="s">
        <v>57</v>
      </c>
      <c r="G1725" t="s">
        <v>164</v>
      </c>
      <c r="H1725" t="s">
        <v>69</v>
      </c>
      <c r="I1725">
        <v>10</v>
      </c>
    </row>
    <row r="1726" spans="1:9" x14ac:dyDescent="0.2">
      <c r="A1726">
        <v>8333367</v>
      </c>
      <c r="B1726">
        <v>6</v>
      </c>
      <c r="C1726">
        <v>1700</v>
      </c>
      <c r="D1726">
        <v>0</v>
      </c>
      <c r="E1726">
        <v>26</v>
      </c>
      <c r="F1726" t="s">
        <v>57</v>
      </c>
      <c r="G1726" t="s">
        <v>58</v>
      </c>
      <c r="H1726" t="s">
        <v>69</v>
      </c>
      <c r="I1726">
        <v>10</v>
      </c>
    </row>
    <row r="1727" spans="1:9" x14ac:dyDescent="0.2">
      <c r="A1727">
        <v>8343410</v>
      </c>
      <c r="B1727">
        <v>1</v>
      </c>
      <c r="C1727">
        <v>3211</v>
      </c>
      <c r="D1727">
        <v>51930</v>
      </c>
      <c r="E1727">
        <v>24</v>
      </c>
      <c r="F1727" t="s">
        <v>47</v>
      </c>
      <c r="G1727" t="s">
        <v>99</v>
      </c>
      <c r="H1727" t="s">
        <v>46</v>
      </c>
      <c r="I1727">
        <v>10</v>
      </c>
    </row>
    <row r="1728" spans="1:9" x14ac:dyDescent="0.2">
      <c r="A1728">
        <v>8343410</v>
      </c>
      <c r="B1728">
        <v>2</v>
      </c>
      <c r="C1728">
        <v>3239</v>
      </c>
      <c r="D1728">
        <v>0</v>
      </c>
      <c r="E1728">
        <v>26</v>
      </c>
      <c r="F1728" t="s">
        <v>47</v>
      </c>
      <c r="G1728" t="s">
        <v>107</v>
      </c>
      <c r="H1728" t="s">
        <v>46</v>
      </c>
      <c r="I1728">
        <v>10</v>
      </c>
    </row>
    <row r="1729" spans="1:9" x14ac:dyDescent="0.2">
      <c r="A1729">
        <v>8343410</v>
      </c>
      <c r="B1729">
        <v>3</v>
      </c>
      <c r="C1729">
        <v>3212</v>
      </c>
      <c r="D1729">
        <v>0</v>
      </c>
      <c r="E1729">
        <v>26</v>
      </c>
      <c r="F1729" t="s">
        <v>47</v>
      </c>
      <c r="G1729" t="s">
        <v>84</v>
      </c>
      <c r="H1729" t="s">
        <v>46</v>
      </c>
      <c r="I1729">
        <v>10</v>
      </c>
    </row>
    <row r="1730" spans="1:9" x14ac:dyDescent="0.2">
      <c r="A1730">
        <v>8343410</v>
      </c>
      <c r="B1730">
        <v>4</v>
      </c>
      <c r="C1730">
        <v>3218</v>
      </c>
      <c r="D1730">
        <v>0</v>
      </c>
      <c r="E1730">
        <v>26</v>
      </c>
      <c r="F1730" t="s">
        <v>47</v>
      </c>
      <c r="G1730" t="s">
        <v>66</v>
      </c>
      <c r="H1730" t="s">
        <v>74</v>
      </c>
      <c r="I1730">
        <v>10</v>
      </c>
    </row>
    <row r="1731" spans="1:9" x14ac:dyDescent="0.2">
      <c r="A1731">
        <v>8343410</v>
      </c>
      <c r="B1731">
        <v>5</v>
      </c>
      <c r="C1731">
        <v>1788</v>
      </c>
      <c r="D1731">
        <v>0</v>
      </c>
      <c r="E1731">
        <v>26</v>
      </c>
      <c r="F1731" t="s">
        <v>57</v>
      </c>
      <c r="G1731" t="s">
        <v>97</v>
      </c>
      <c r="H1731" t="s">
        <v>56</v>
      </c>
      <c r="I1731">
        <v>10</v>
      </c>
    </row>
    <row r="1732" spans="1:9" x14ac:dyDescent="0.2">
      <c r="A1732">
        <v>8380322</v>
      </c>
      <c r="B1732">
        <v>1</v>
      </c>
      <c r="C1732">
        <v>3211</v>
      </c>
      <c r="D1732">
        <v>60045</v>
      </c>
      <c r="E1732">
        <v>24</v>
      </c>
      <c r="F1732" t="s">
        <v>47</v>
      </c>
      <c r="G1732" t="s">
        <v>99</v>
      </c>
      <c r="H1732" t="s">
        <v>46</v>
      </c>
      <c r="I1732">
        <v>10</v>
      </c>
    </row>
    <row r="1733" spans="1:9" x14ac:dyDescent="0.2">
      <c r="A1733">
        <v>8380322</v>
      </c>
      <c r="B1733">
        <v>2</v>
      </c>
      <c r="C1733">
        <v>3212</v>
      </c>
      <c r="D1733">
        <v>0</v>
      </c>
      <c r="E1733">
        <v>26</v>
      </c>
      <c r="F1733" t="s">
        <v>47</v>
      </c>
      <c r="G1733" t="s">
        <v>84</v>
      </c>
      <c r="H1733" t="s">
        <v>46</v>
      </c>
      <c r="I1733">
        <v>10</v>
      </c>
    </row>
    <row r="1734" spans="1:9" x14ac:dyDescent="0.2">
      <c r="A1734">
        <v>8380322</v>
      </c>
      <c r="B1734">
        <v>3</v>
      </c>
      <c r="C1734">
        <v>3213</v>
      </c>
      <c r="D1734">
        <v>0</v>
      </c>
      <c r="E1734">
        <v>26</v>
      </c>
      <c r="F1734" t="s">
        <v>47</v>
      </c>
      <c r="G1734" t="s">
        <v>158</v>
      </c>
      <c r="H1734" t="s">
        <v>74</v>
      </c>
      <c r="I1734">
        <v>10</v>
      </c>
    </row>
    <row r="1735" spans="1:9" x14ac:dyDescent="0.2">
      <c r="A1735">
        <v>8380322</v>
      </c>
      <c r="B1735">
        <v>4</v>
      </c>
      <c r="C1735">
        <v>3218</v>
      </c>
      <c r="D1735">
        <v>0</v>
      </c>
      <c r="E1735">
        <v>26</v>
      </c>
      <c r="F1735" t="s">
        <v>47</v>
      </c>
      <c r="G1735" t="s">
        <v>66</v>
      </c>
      <c r="H1735" t="s">
        <v>74</v>
      </c>
      <c r="I1735">
        <v>10</v>
      </c>
    </row>
    <row r="1736" spans="1:9" x14ac:dyDescent="0.2">
      <c r="A1736">
        <v>8402566</v>
      </c>
      <c r="B1736">
        <v>1</v>
      </c>
      <c r="C1736">
        <v>1776</v>
      </c>
      <c r="D1736">
        <v>55750</v>
      </c>
      <c r="E1736">
        <v>25</v>
      </c>
      <c r="F1736" t="s">
        <v>57</v>
      </c>
      <c r="G1736" t="s">
        <v>124</v>
      </c>
      <c r="H1736" t="s">
        <v>125</v>
      </c>
      <c r="I1736">
        <v>10</v>
      </c>
    </row>
    <row r="1737" spans="1:9" x14ac:dyDescent="0.2">
      <c r="A1737">
        <v>8402566</v>
      </c>
      <c r="B1737">
        <v>2</v>
      </c>
      <c r="C1737">
        <v>1786</v>
      </c>
      <c r="D1737">
        <v>55875</v>
      </c>
      <c r="E1737">
        <v>25</v>
      </c>
      <c r="F1737" t="s">
        <v>57</v>
      </c>
      <c r="G1737" t="s">
        <v>103</v>
      </c>
      <c r="H1737" t="s">
        <v>56</v>
      </c>
      <c r="I1737">
        <v>10</v>
      </c>
    </row>
    <row r="1738" spans="1:9" x14ac:dyDescent="0.2">
      <c r="A1738">
        <v>8402566</v>
      </c>
      <c r="B1738">
        <v>3</v>
      </c>
      <c r="C1738">
        <v>1787</v>
      </c>
      <c r="D1738">
        <v>55875</v>
      </c>
      <c r="E1738">
        <v>25</v>
      </c>
      <c r="F1738" t="s">
        <v>57</v>
      </c>
      <c r="G1738" t="s">
        <v>49</v>
      </c>
      <c r="H1738" t="s">
        <v>56</v>
      </c>
      <c r="I1738">
        <v>10</v>
      </c>
    </row>
    <row r="1739" spans="1:9" x14ac:dyDescent="0.2">
      <c r="A1739">
        <v>8402566</v>
      </c>
      <c r="B1739">
        <v>4</v>
      </c>
      <c r="C1739">
        <v>1728</v>
      </c>
      <c r="D1739">
        <v>55575</v>
      </c>
      <c r="E1739">
        <v>25</v>
      </c>
      <c r="F1739" t="s">
        <v>57</v>
      </c>
      <c r="G1739" t="s">
        <v>103</v>
      </c>
      <c r="H1739" t="s">
        <v>69</v>
      </c>
      <c r="I1739">
        <v>10</v>
      </c>
    </row>
    <row r="1740" spans="1:9" x14ac:dyDescent="0.2">
      <c r="A1740">
        <v>8402566</v>
      </c>
      <c r="B1740">
        <v>5</v>
      </c>
      <c r="C1740">
        <v>1701</v>
      </c>
      <c r="D1740">
        <v>54905</v>
      </c>
      <c r="E1740">
        <v>24</v>
      </c>
      <c r="F1740" t="s">
        <v>57</v>
      </c>
      <c r="G1740" t="s">
        <v>96</v>
      </c>
      <c r="H1740" t="s">
        <v>69</v>
      </c>
      <c r="I1740">
        <v>10</v>
      </c>
    </row>
    <row r="1741" spans="1:9" x14ac:dyDescent="0.2">
      <c r="A1741">
        <v>8416044</v>
      </c>
      <c r="B1741">
        <v>1</v>
      </c>
      <c r="C1741">
        <v>3701</v>
      </c>
      <c r="D1741">
        <v>51495</v>
      </c>
      <c r="E1741">
        <v>25</v>
      </c>
      <c r="F1741" t="s">
        <v>116</v>
      </c>
      <c r="G1741" t="s">
        <v>117</v>
      </c>
      <c r="H1741" t="s">
        <v>61</v>
      </c>
      <c r="I1741">
        <v>9</v>
      </c>
    </row>
    <row r="1742" spans="1:9" x14ac:dyDescent="0.2">
      <c r="A1742">
        <v>8416044</v>
      </c>
      <c r="B1742">
        <v>2</v>
      </c>
      <c r="C1742">
        <v>3243</v>
      </c>
      <c r="D1742">
        <v>53270</v>
      </c>
      <c r="E1742">
        <v>25</v>
      </c>
      <c r="F1742" t="s">
        <v>47</v>
      </c>
      <c r="G1742" t="s">
        <v>75</v>
      </c>
      <c r="H1742" t="s">
        <v>46</v>
      </c>
      <c r="I1742">
        <v>10</v>
      </c>
    </row>
    <row r="1743" spans="1:9" x14ac:dyDescent="0.2">
      <c r="A1743">
        <v>8416044</v>
      </c>
      <c r="B1743">
        <v>3</v>
      </c>
      <c r="C1743">
        <v>3252</v>
      </c>
      <c r="D1743">
        <v>51525</v>
      </c>
      <c r="E1743">
        <v>25</v>
      </c>
      <c r="F1743" t="s">
        <v>47</v>
      </c>
      <c r="G1743" t="s">
        <v>45</v>
      </c>
      <c r="H1743" t="s">
        <v>46</v>
      </c>
      <c r="I1743">
        <v>10</v>
      </c>
    </row>
    <row r="1744" spans="1:9" x14ac:dyDescent="0.2">
      <c r="A1744">
        <v>8416044</v>
      </c>
      <c r="B1744">
        <v>4</v>
      </c>
      <c r="C1744">
        <v>3248</v>
      </c>
      <c r="D1744">
        <v>51060</v>
      </c>
      <c r="E1744">
        <v>24</v>
      </c>
      <c r="F1744" t="s">
        <v>47</v>
      </c>
      <c r="G1744" t="s">
        <v>92</v>
      </c>
      <c r="H1744" t="s">
        <v>46</v>
      </c>
      <c r="I1744">
        <v>10</v>
      </c>
    </row>
    <row r="1745" spans="1:9" x14ac:dyDescent="0.2">
      <c r="A1745">
        <v>8416044</v>
      </c>
      <c r="B1745">
        <v>5</v>
      </c>
      <c r="C1745">
        <v>3244</v>
      </c>
      <c r="D1745">
        <v>0</v>
      </c>
      <c r="E1745">
        <v>26</v>
      </c>
      <c r="F1745" t="s">
        <v>47</v>
      </c>
      <c r="G1745" t="s">
        <v>73</v>
      </c>
      <c r="H1745" t="s">
        <v>74</v>
      </c>
      <c r="I1745">
        <v>10</v>
      </c>
    </row>
    <row r="1746" spans="1:9" x14ac:dyDescent="0.2">
      <c r="A1746">
        <v>8416044</v>
      </c>
      <c r="B1746">
        <v>6</v>
      </c>
      <c r="C1746">
        <v>3214</v>
      </c>
      <c r="D1746">
        <v>0</v>
      </c>
      <c r="E1746">
        <v>26</v>
      </c>
      <c r="F1746" t="s">
        <v>47</v>
      </c>
      <c r="G1746" t="s">
        <v>98</v>
      </c>
      <c r="H1746" t="s">
        <v>74</v>
      </c>
      <c r="I1746">
        <v>10</v>
      </c>
    </row>
    <row r="1747" spans="1:9" x14ac:dyDescent="0.2">
      <c r="A1747">
        <v>8416044</v>
      </c>
      <c r="B1747">
        <v>7</v>
      </c>
      <c r="C1747">
        <v>3745</v>
      </c>
      <c r="D1747">
        <v>0</v>
      </c>
      <c r="E1747">
        <v>26</v>
      </c>
      <c r="F1747" t="s">
        <v>116</v>
      </c>
      <c r="G1747" t="s">
        <v>202</v>
      </c>
      <c r="H1747" t="s">
        <v>61</v>
      </c>
      <c r="I1747">
        <v>9</v>
      </c>
    </row>
    <row r="1748" spans="1:9" x14ac:dyDescent="0.2">
      <c r="A1748">
        <v>8416044</v>
      </c>
      <c r="B1748">
        <v>8</v>
      </c>
      <c r="C1748">
        <v>3261</v>
      </c>
      <c r="D1748">
        <v>0</v>
      </c>
      <c r="E1748">
        <v>26</v>
      </c>
      <c r="F1748" t="s">
        <v>47</v>
      </c>
      <c r="G1748" t="s">
        <v>93</v>
      </c>
      <c r="H1748" t="s">
        <v>46</v>
      </c>
      <c r="I1748">
        <v>10</v>
      </c>
    </row>
    <row r="1749" spans="1:9" x14ac:dyDescent="0.2">
      <c r="A1749">
        <v>8416929</v>
      </c>
      <c r="B1749">
        <v>1</v>
      </c>
      <c r="C1749">
        <v>1507</v>
      </c>
      <c r="D1749">
        <v>70170</v>
      </c>
      <c r="E1749">
        <v>24</v>
      </c>
      <c r="F1749" t="s">
        <v>142</v>
      </c>
      <c r="G1749" t="s">
        <v>66</v>
      </c>
      <c r="H1749" t="s">
        <v>31</v>
      </c>
      <c r="I1749">
        <v>5</v>
      </c>
    </row>
    <row r="1750" spans="1:9" x14ac:dyDescent="0.2">
      <c r="A1750">
        <v>8416929</v>
      </c>
      <c r="B1750">
        <v>2</v>
      </c>
      <c r="C1750">
        <v>1506</v>
      </c>
      <c r="D1750">
        <v>0</v>
      </c>
      <c r="E1750">
        <v>26</v>
      </c>
      <c r="F1750" t="s">
        <v>142</v>
      </c>
      <c r="G1750" t="s">
        <v>78</v>
      </c>
      <c r="H1750" t="s">
        <v>31</v>
      </c>
      <c r="I1750">
        <v>5</v>
      </c>
    </row>
    <row r="1751" spans="1:9" x14ac:dyDescent="0.2">
      <c r="A1751">
        <v>8416929</v>
      </c>
      <c r="B1751">
        <v>3</v>
      </c>
      <c r="C1751">
        <v>1510</v>
      </c>
      <c r="D1751">
        <v>0</v>
      </c>
      <c r="E1751">
        <v>26</v>
      </c>
      <c r="F1751" t="s">
        <v>142</v>
      </c>
      <c r="G1751" t="s">
        <v>323</v>
      </c>
      <c r="H1751" t="s">
        <v>31</v>
      </c>
      <c r="I1751">
        <v>5</v>
      </c>
    </row>
    <row r="1752" spans="1:9" x14ac:dyDescent="0.2">
      <c r="A1752">
        <v>8416929</v>
      </c>
      <c r="B1752">
        <v>4</v>
      </c>
      <c r="C1752">
        <v>1503</v>
      </c>
      <c r="D1752">
        <v>0</v>
      </c>
      <c r="E1752">
        <v>26</v>
      </c>
      <c r="F1752" t="s">
        <v>142</v>
      </c>
      <c r="G1752" t="s">
        <v>161</v>
      </c>
      <c r="H1752" t="s">
        <v>31</v>
      </c>
      <c r="I1752">
        <v>5</v>
      </c>
    </row>
    <row r="1753" spans="1:9" x14ac:dyDescent="0.2">
      <c r="A1753">
        <v>8443063</v>
      </c>
      <c r="B1753">
        <v>1</v>
      </c>
      <c r="C1753">
        <v>1740</v>
      </c>
      <c r="D1753">
        <v>56495</v>
      </c>
      <c r="E1753">
        <v>24</v>
      </c>
      <c r="F1753" t="s">
        <v>57</v>
      </c>
      <c r="G1753" t="s">
        <v>209</v>
      </c>
      <c r="H1753" t="s">
        <v>79</v>
      </c>
      <c r="I1753">
        <v>10</v>
      </c>
    </row>
    <row r="1754" spans="1:9" x14ac:dyDescent="0.2">
      <c r="A1754">
        <v>8443063</v>
      </c>
      <c r="B1754">
        <v>2</v>
      </c>
      <c r="C1754">
        <v>1737</v>
      </c>
      <c r="D1754">
        <v>0</v>
      </c>
      <c r="E1754">
        <v>26</v>
      </c>
      <c r="F1754" t="s">
        <v>57</v>
      </c>
      <c r="G1754" t="s">
        <v>54</v>
      </c>
      <c r="H1754" t="s">
        <v>79</v>
      </c>
      <c r="I1754">
        <v>10</v>
      </c>
    </row>
    <row r="1755" spans="1:9" x14ac:dyDescent="0.2">
      <c r="A1755">
        <v>8443063</v>
      </c>
      <c r="B1755">
        <v>3</v>
      </c>
      <c r="C1755">
        <v>1708</v>
      </c>
      <c r="D1755">
        <v>0</v>
      </c>
      <c r="E1755">
        <v>26</v>
      </c>
      <c r="F1755" t="s">
        <v>57</v>
      </c>
      <c r="G1755" t="s">
        <v>80</v>
      </c>
      <c r="H1755" t="s">
        <v>79</v>
      </c>
      <c r="I1755">
        <v>10</v>
      </c>
    </row>
    <row r="1756" spans="1:9" x14ac:dyDescent="0.2">
      <c r="A1756">
        <v>8443063</v>
      </c>
      <c r="B1756">
        <v>4</v>
      </c>
      <c r="C1756">
        <v>1736</v>
      </c>
      <c r="D1756">
        <v>0</v>
      </c>
      <c r="E1756">
        <v>26</v>
      </c>
      <c r="F1756" t="s">
        <v>57</v>
      </c>
      <c r="G1756" t="s">
        <v>78</v>
      </c>
      <c r="H1756" t="s">
        <v>79</v>
      </c>
      <c r="I1756">
        <v>10</v>
      </c>
    </row>
    <row r="1757" spans="1:9" x14ac:dyDescent="0.2">
      <c r="A1757">
        <v>8443063</v>
      </c>
      <c r="B1757">
        <v>5</v>
      </c>
      <c r="C1757">
        <v>1752</v>
      </c>
      <c r="D1757">
        <v>0</v>
      </c>
      <c r="E1757">
        <v>26</v>
      </c>
      <c r="F1757" t="s">
        <v>57</v>
      </c>
      <c r="G1757" t="s">
        <v>66</v>
      </c>
      <c r="H1757" t="s">
        <v>56</v>
      </c>
      <c r="I1757">
        <v>10</v>
      </c>
    </row>
    <row r="1758" spans="1:9" x14ac:dyDescent="0.2">
      <c r="A1758">
        <v>8443063</v>
      </c>
      <c r="B1758">
        <v>6</v>
      </c>
      <c r="C1758">
        <v>1759</v>
      </c>
      <c r="D1758">
        <v>0</v>
      </c>
      <c r="E1758">
        <v>13</v>
      </c>
      <c r="F1758" t="s">
        <v>57</v>
      </c>
      <c r="G1758" t="s">
        <v>154</v>
      </c>
      <c r="H1758" t="s">
        <v>56</v>
      </c>
      <c r="I1758">
        <v>10</v>
      </c>
    </row>
    <row r="1759" spans="1:9" x14ac:dyDescent="0.2">
      <c r="A1759">
        <v>8443063</v>
      </c>
      <c r="B1759">
        <v>7</v>
      </c>
      <c r="C1759">
        <v>1778</v>
      </c>
      <c r="D1759">
        <v>0</v>
      </c>
      <c r="E1759">
        <v>13</v>
      </c>
      <c r="F1759" t="s">
        <v>57</v>
      </c>
      <c r="G1759" t="s">
        <v>84</v>
      </c>
      <c r="H1759" t="s">
        <v>56</v>
      </c>
      <c r="I1759">
        <v>10</v>
      </c>
    </row>
    <row r="1760" spans="1:9" x14ac:dyDescent="0.2">
      <c r="A1760">
        <v>8469548</v>
      </c>
      <c r="B1760">
        <v>1</v>
      </c>
      <c r="C1760">
        <v>3243</v>
      </c>
      <c r="D1760">
        <v>65070</v>
      </c>
      <c r="E1760">
        <v>24</v>
      </c>
      <c r="F1760" t="s">
        <v>47</v>
      </c>
      <c r="G1760" t="s">
        <v>75</v>
      </c>
      <c r="H1760" t="s">
        <v>46</v>
      </c>
      <c r="I1760">
        <v>10</v>
      </c>
    </row>
    <row r="1761" spans="1:9" x14ac:dyDescent="0.2">
      <c r="A1761">
        <v>8469548</v>
      </c>
      <c r="B1761">
        <v>2</v>
      </c>
      <c r="C1761">
        <v>3242</v>
      </c>
      <c r="D1761">
        <v>0</v>
      </c>
      <c r="E1761">
        <v>26</v>
      </c>
      <c r="F1761" t="s">
        <v>47</v>
      </c>
      <c r="G1761" t="s">
        <v>90</v>
      </c>
      <c r="H1761" t="s">
        <v>46</v>
      </c>
      <c r="I1761">
        <v>10</v>
      </c>
    </row>
    <row r="1762" spans="1:9" x14ac:dyDescent="0.2">
      <c r="A1762">
        <v>8469548</v>
      </c>
      <c r="B1762">
        <v>3</v>
      </c>
      <c r="C1762">
        <v>3234</v>
      </c>
      <c r="D1762">
        <v>0</v>
      </c>
      <c r="E1762">
        <v>26</v>
      </c>
      <c r="F1762" t="s">
        <v>47</v>
      </c>
      <c r="G1762" t="s">
        <v>76</v>
      </c>
      <c r="H1762" t="s">
        <v>46</v>
      </c>
      <c r="I1762">
        <v>10</v>
      </c>
    </row>
    <row r="1763" spans="1:9" x14ac:dyDescent="0.2">
      <c r="A1763">
        <v>8469548</v>
      </c>
      <c r="B1763">
        <v>4</v>
      </c>
      <c r="C1763">
        <v>3252</v>
      </c>
      <c r="D1763">
        <v>0</v>
      </c>
      <c r="E1763">
        <v>26</v>
      </c>
      <c r="F1763" t="s">
        <v>47</v>
      </c>
      <c r="G1763" t="s">
        <v>45</v>
      </c>
      <c r="H1763" t="s">
        <v>46</v>
      </c>
      <c r="I1763">
        <v>10</v>
      </c>
    </row>
    <row r="1764" spans="1:9" x14ac:dyDescent="0.2">
      <c r="A1764">
        <v>8469548</v>
      </c>
      <c r="B1764">
        <v>5</v>
      </c>
      <c r="C1764">
        <v>3261</v>
      </c>
      <c r="D1764">
        <v>0</v>
      </c>
      <c r="E1764">
        <v>26</v>
      </c>
      <c r="F1764" t="s">
        <v>47</v>
      </c>
      <c r="G1764" t="s">
        <v>93</v>
      </c>
      <c r="H1764" t="s">
        <v>46</v>
      </c>
      <c r="I1764">
        <v>10</v>
      </c>
    </row>
    <row r="1765" spans="1:9" x14ac:dyDescent="0.2">
      <c r="A1765">
        <v>8469548</v>
      </c>
      <c r="B1765">
        <v>6</v>
      </c>
      <c r="C1765">
        <v>3225</v>
      </c>
      <c r="D1765">
        <v>0</v>
      </c>
      <c r="E1765">
        <v>26</v>
      </c>
      <c r="F1765" t="s">
        <v>47</v>
      </c>
      <c r="G1765" t="s">
        <v>106</v>
      </c>
      <c r="H1765" t="s">
        <v>46</v>
      </c>
      <c r="I1765">
        <v>10</v>
      </c>
    </row>
    <row r="1766" spans="1:9" x14ac:dyDescent="0.2">
      <c r="A1766">
        <v>8469548</v>
      </c>
      <c r="B1766">
        <v>7</v>
      </c>
      <c r="C1766">
        <v>1788</v>
      </c>
      <c r="D1766">
        <v>0</v>
      </c>
      <c r="E1766">
        <v>26</v>
      </c>
      <c r="F1766" t="s">
        <v>57</v>
      </c>
      <c r="G1766" t="s">
        <v>97</v>
      </c>
      <c r="H1766" t="s">
        <v>56</v>
      </c>
      <c r="I1766">
        <v>10</v>
      </c>
    </row>
    <row r="1767" spans="1:9" x14ac:dyDescent="0.2">
      <c r="A1767">
        <v>8469548</v>
      </c>
      <c r="B1767">
        <v>8</v>
      </c>
      <c r="C1767">
        <v>1756</v>
      </c>
      <c r="D1767">
        <v>0</v>
      </c>
      <c r="E1767">
        <v>26</v>
      </c>
      <c r="F1767" t="s">
        <v>57</v>
      </c>
      <c r="G1767" t="s">
        <v>89</v>
      </c>
      <c r="H1767" t="s">
        <v>69</v>
      </c>
      <c r="I1767">
        <v>10</v>
      </c>
    </row>
    <row r="1768" spans="1:9" x14ac:dyDescent="0.2">
      <c r="A1768">
        <v>8470086</v>
      </c>
      <c r="B1768">
        <v>1</v>
      </c>
      <c r="C1768">
        <v>1752</v>
      </c>
      <c r="D1768">
        <v>52115</v>
      </c>
      <c r="E1768">
        <v>25</v>
      </c>
      <c r="F1768" t="s">
        <v>57</v>
      </c>
      <c r="G1768" t="s">
        <v>66</v>
      </c>
      <c r="H1768" t="s">
        <v>56</v>
      </c>
      <c r="I1768">
        <v>10</v>
      </c>
    </row>
    <row r="1769" spans="1:9" x14ac:dyDescent="0.2">
      <c r="A1769">
        <v>8470086</v>
      </c>
      <c r="B1769">
        <v>2</v>
      </c>
      <c r="C1769">
        <v>1736</v>
      </c>
      <c r="D1769">
        <v>52115</v>
      </c>
      <c r="E1769">
        <v>24</v>
      </c>
      <c r="F1769" t="s">
        <v>57</v>
      </c>
      <c r="G1769" t="s">
        <v>78</v>
      </c>
      <c r="H1769" t="s">
        <v>79</v>
      </c>
      <c r="I1769">
        <v>10</v>
      </c>
    </row>
    <row r="1770" spans="1:9" x14ac:dyDescent="0.2">
      <c r="A1770">
        <v>8470086</v>
      </c>
      <c r="B1770">
        <v>3</v>
      </c>
      <c r="C1770">
        <v>1779</v>
      </c>
      <c r="D1770">
        <v>0</v>
      </c>
      <c r="E1770">
        <v>26</v>
      </c>
      <c r="F1770" t="s">
        <v>57</v>
      </c>
      <c r="G1770" t="s">
        <v>162</v>
      </c>
      <c r="H1770" t="s">
        <v>79</v>
      </c>
      <c r="I1770">
        <v>10</v>
      </c>
    </row>
    <row r="1771" spans="1:9" x14ac:dyDescent="0.2">
      <c r="A1771">
        <v>8470086</v>
      </c>
      <c r="B1771">
        <v>4</v>
      </c>
      <c r="C1771">
        <v>1371</v>
      </c>
      <c r="D1771">
        <v>0</v>
      </c>
      <c r="E1771">
        <v>26</v>
      </c>
      <c r="F1771" t="s">
        <v>21</v>
      </c>
      <c r="G1771" t="s">
        <v>78</v>
      </c>
      <c r="H1771" t="s">
        <v>20</v>
      </c>
      <c r="I1771">
        <v>8</v>
      </c>
    </row>
    <row r="1772" spans="1:9" x14ac:dyDescent="0.2">
      <c r="A1772">
        <v>8470086</v>
      </c>
      <c r="B1772">
        <v>5</v>
      </c>
      <c r="C1772">
        <v>1374</v>
      </c>
      <c r="D1772">
        <v>0</v>
      </c>
      <c r="E1772">
        <v>26</v>
      </c>
      <c r="F1772" t="s">
        <v>21</v>
      </c>
      <c r="G1772" t="s">
        <v>162</v>
      </c>
      <c r="H1772" t="s">
        <v>20</v>
      </c>
      <c r="I1772">
        <v>8</v>
      </c>
    </row>
    <row r="1773" spans="1:9" x14ac:dyDescent="0.2">
      <c r="A1773">
        <v>8470086</v>
      </c>
      <c r="B1773">
        <v>6</v>
      </c>
      <c r="C1773">
        <v>3012</v>
      </c>
      <c r="D1773">
        <v>0</v>
      </c>
      <c r="E1773">
        <v>26</v>
      </c>
      <c r="F1773" t="s">
        <v>44</v>
      </c>
      <c r="G1773" t="s">
        <v>78</v>
      </c>
      <c r="H1773" t="s">
        <v>55</v>
      </c>
      <c r="I1773">
        <v>9</v>
      </c>
    </row>
    <row r="1774" spans="1:9" x14ac:dyDescent="0.2">
      <c r="A1774">
        <v>8470086</v>
      </c>
      <c r="B1774">
        <v>7</v>
      </c>
      <c r="C1774">
        <v>1775</v>
      </c>
      <c r="D1774">
        <v>0</v>
      </c>
      <c r="E1774">
        <v>26</v>
      </c>
      <c r="F1774" t="s">
        <v>57</v>
      </c>
      <c r="G1774" t="s">
        <v>94</v>
      </c>
      <c r="H1774" t="s">
        <v>69</v>
      </c>
      <c r="I1774">
        <v>10</v>
      </c>
    </row>
    <row r="1775" spans="1:9" x14ac:dyDescent="0.2">
      <c r="A1775">
        <v>8484633</v>
      </c>
      <c r="B1775">
        <v>1</v>
      </c>
      <c r="C1775">
        <v>1700</v>
      </c>
      <c r="D1775">
        <v>53120</v>
      </c>
      <c r="E1775">
        <v>24</v>
      </c>
      <c r="F1775" t="s">
        <v>57</v>
      </c>
      <c r="G1775" t="s">
        <v>58</v>
      </c>
      <c r="H1775" t="s">
        <v>69</v>
      </c>
      <c r="I1775">
        <v>10</v>
      </c>
    </row>
    <row r="1776" spans="1:9" x14ac:dyDescent="0.2">
      <c r="A1776">
        <v>8484633</v>
      </c>
      <c r="B1776">
        <v>2</v>
      </c>
      <c r="C1776">
        <v>1782</v>
      </c>
      <c r="D1776">
        <v>0</v>
      </c>
      <c r="E1776">
        <v>26</v>
      </c>
      <c r="F1776" t="s">
        <v>57</v>
      </c>
      <c r="G1776" t="s">
        <v>63</v>
      </c>
      <c r="H1776" t="s">
        <v>69</v>
      </c>
      <c r="I1776">
        <v>10</v>
      </c>
    </row>
    <row r="1777" spans="1:9" x14ac:dyDescent="0.2">
      <c r="A1777">
        <v>8484633</v>
      </c>
      <c r="B1777">
        <v>3</v>
      </c>
      <c r="C1777">
        <v>3212</v>
      </c>
      <c r="D1777">
        <v>0</v>
      </c>
      <c r="E1777">
        <v>26</v>
      </c>
      <c r="F1777" t="s">
        <v>47</v>
      </c>
      <c r="G1777" t="s">
        <v>84</v>
      </c>
      <c r="H1777" t="s">
        <v>46</v>
      </c>
      <c r="I1777">
        <v>10</v>
      </c>
    </row>
    <row r="1778" spans="1:9" x14ac:dyDescent="0.2">
      <c r="A1778">
        <v>8484633</v>
      </c>
      <c r="B1778">
        <v>4</v>
      </c>
      <c r="C1778">
        <v>3211</v>
      </c>
      <c r="D1778">
        <v>0</v>
      </c>
      <c r="E1778">
        <v>26</v>
      </c>
      <c r="F1778" t="s">
        <v>47</v>
      </c>
      <c r="G1778" t="s">
        <v>99</v>
      </c>
      <c r="H1778" t="s">
        <v>46</v>
      </c>
      <c r="I1778">
        <v>10</v>
      </c>
    </row>
    <row r="1779" spans="1:9" x14ac:dyDescent="0.2">
      <c r="A1779">
        <v>8488131</v>
      </c>
      <c r="B1779">
        <v>1</v>
      </c>
      <c r="C1779">
        <v>1439</v>
      </c>
      <c r="D1779">
        <v>0</v>
      </c>
      <c r="E1779">
        <v>36</v>
      </c>
      <c r="F1779" t="s">
        <v>25</v>
      </c>
      <c r="G1779" t="s">
        <v>29</v>
      </c>
      <c r="H1779" t="s">
        <v>24</v>
      </c>
      <c r="I1779">
        <v>5</v>
      </c>
    </row>
    <row r="1780" spans="1:9" x14ac:dyDescent="0.2">
      <c r="A1780">
        <v>8558253</v>
      </c>
      <c r="B1780">
        <v>1</v>
      </c>
      <c r="C1780">
        <v>3239</v>
      </c>
      <c r="D1780">
        <v>50380</v>
      </c>
      <c r="E1780">
        <v>25</v>
      </c>
      <c r="F1780" t="s">
        <v>47</v>
      </c>
      <c r="G1780" t="s">
        <v>107</v>
      </c>
      <c r="H1780" t="s">
        <v>46</v>
      </c>
      <c r="I1780">
        <v>10</v>
      </c>
    </row>
    <row r="1781" spans="1:9" x14ac:dyDescent="0.2">
      <c r="A1781">
        <v>8558253</v>
      </c>
      <c r="B1781">
        <v>2</v>
      </c>
      <c r="C1781">
        <v>3234</v>
      </c>
      <c r="D1781">
        <v>49200</v>
      </c>
      <c r="E1781">
        <v>25</v>
      </c>
      <c r="F1781" t="s">
        <v>47</v>
      </c>
      <c r="G1781" t="s">
        <v>76</v>
      </c>
      <c r="H1781" t="s">
        <v>46</v>
      </c>
      <c r="I1781">
        <v>10</v>
      </c>
    </row>
    <row r="1782" spans="1:9" x14ac:dyDescent="0.2">
      <c r="A1782">
        <v>8558253</v>
      </c>
      <c r="B1782">
        <v>3</v>
      </c>
      <c r="C1782">
        <v>3243</v>
      </c>
      <c r="D1782">
        <v>50745</v>
      </c>
      <c r="E1782">
        <v>25</v>
      </c>
      <c r="F1782" t="s">
        <v>47</v>
      </c>
      <c r="G1782" t="s">
        <v>75</v>
      </c>
      <c r="H1782" t="s">
        <v>46</v>
      </c>
      <c r="I1782">
        <v>10</v>
      </c>
    </row>
    <row r="1783" spans="1:9" x14ac:dyDescent="0.2">
      <c r="A1783">
        <v>8558253</v>
      </c>
      <c r="B1783">
        <v>4</v>
      </c>
      <c r="C1783">
        <v>3252</v>
      </c>
      <c r="D1783">
        <v>48715</v>
      </c>
      <c r="E1783">
        <v>25</v>
      </c>
      <c r="F1783" t="s">
        <v>47</v>
      </c>
      <c r="G1783" t="s">
        <v>45</v>
      </c>
      <c r="H1783" t="s">
        <v>46</v>
      </c>
      <c r="I1783">
        <v>10</v>
      </c>
    </row>
    <row r="1784" spans="1:9" x14ac:dyDescent="0.2">
      <c r="A1784">
        <v>8558253</v>
      </c>
      <c r="B1784">
        <v>5</v>
      </c>
      <c r="C1784">
        <v>3213</v>
      </c>
      <c r="D1784">
        <v>47760</v>
      </c>
      <c r="E1784">
        <v>24</v>
      </c>
      <c r="F1784" t="s">
        <v>47</v>
      </c>
      <c r="G1784" t="s">
        <v>158</v>
      </c>
      <c r="H1784" t="s">
        <v>74</v>
      </c>
      <c r="I1784">
        <v>10</v>
      </c>
    </row>
    <row r="1785" spans="1:9" x14ac:dyDescent="0.2">
      <c r="A1785">
        <v>8558253</v>
      </c>
      <c r="B1785">
        <v>6</v>
      </c>
      <c r="C1785">
        <v>3212</v>
      </c>
      <c r="D1785">
        <v>0</v>
      </c>
      <c r="E1785">
        <v>26</v>
      </c>
      <c r="F1785" t="s">
        <v>47</v>
      </c>
      <c r="G1785" t="s">
        <v>84</v>
      </c>
      <c r="H1785" t="s">
        <v>46</v>
      </c>
      <c r="I1785">
        <v>10</v>
      </c>
    </row>
    <row r="1786" spans="1:9" x14ac:dyDescent="0.2">
      <c r="A1786">
        <v>8558253</v>
      </c>
      <c r="B1786">
        <v>7</v>
      </c>
      <c r="C1786">
        <v>3218</v>
      </c>
      <c r="D1786">
        <v>0</v>
      </c>
      <c r="E1786">
        <v>26</v>
      </c>
      <c r="F1786" t="s">
        <v>47</v>
      </c>
      <c r="G1786" t="s">
        <v>66</v>
      </c>
      <c r="H1786" t="s">
        <v>74</v>
      </c>
      <c r="I1786">
        <v>10</v>
      </c>
    </row>
    <row r="1787" spans="1:9" x14ac:dyDescent="0.2">
      <c r="A1787">
        <v>8558253</v>
      </c>
      <c r="B1787">
        <v>8</v>
      </c>
      <c r="C1787">
        <v>3211</v>
      </c>
      <c r="D1787">
        <v>0</v>
      </c>
      <c r="E1787">
        <v>26</v>
      </c>
      <c r="F1787" t="s">
        <v>47</v>
      </c>
      <c r="G1787" t="s">
        <v>99</v>
      </c>
      <c r="H1787" t="s">
        <v>46</v>
      </c>
      <c r="I1787">
        <v>10</v>
      </c>
    </row>
    <row r="1788" spans="1:9" x14ac:dyDescent="0.2">
      <c r="A1788">
        <v>8601508</v>
      </c>
      <c r="B1788">
        <v>1</v>
      </c>
      <c r="C1788">
        <v>1239</v>
      </c>
      <c r="D1788">
        <v>75000</v>
      </c>
      <c r="E1788">
        <v>24</v>
      </c>
      <c r="F1788" t="s">
        <v>19</v>
      </c>
      <c r="G1788" t="s">
        <v>160</v>
      </c>
      <c r="H1788" t="s">
        <v>16</v>
      </c>
      <c r="I1788" t="s">
        <v>448</v>
      </c>
    </row>
    <row r="1789" spans="1:9" x14ac:dyDescent="0.2">
      <c r="A1789">
        <v>8601508</v>
      </c>
      <c r="B1789">
        <v>2</v>
      </c>
      <c r="C1789">
        <v>1145</v>
      </c>
      <c r="D1789">
        <v>0</v>
      </c>
      <c r="E1789">
        <v>26</v>
      </c>
      <c r="F1789" t="s">
        <v>17</v>
      </c>
      <c r="G1789" t="s">
        <v>159</v>
      </c>
      <c r="H1789" t="s">
        <v>16</v>
      </c>
      <c r="I1789" t="s">
        <v>448</v>
      </c>
    </row>
    <row r="1790" spans="1:9" x14ac:dyDescent="0.2">
      <c r="A1790">
        <v>8601508</v>
      </c>
      <c r="B1790">
        <v>3</v>
      </c>
      <c r="C1790">
        <v>1214</v>
      </c>
      <c r="D1790">
        <v>0</v>
      </c>
      <c r="E1790">
        <v>26</v>
      </c>
      <c r="F1790" t="s">
        <v>19</v>
      </c>
      <c r="G1790" t="s">
        <v>112</v>
      </c>
      <c r="H1790" t="s">
        <v>16</v>
      </c>
      <c r="I1790" t="s">
        <v>448</v>
      </c>
    </row>
    <row r="1791" spans="1:9" x14ac:dyDescent="0.2">
      <c r="A1791">
        <v>8601508</v>
      </c>
      <c r="B1791">
        <v>4</v>
      </c>
      <c r="C1791">
        <v>1142</v>
      </c>
      <c r="D1791">
        <v>0</v>
      </c>
      <c r="E1791">
        <v>26</v>
      </c>
      <c r="F1791" t="s">
        <v>17</v>
      </c>
      <c r="G1791" t="s">
        <v>114</v>
      </c>
      <c r="H1791" t="s">
        <v>16</v>
      </c>
      <c r="I1791" t="s">
        <v>448</v>
      </c>
    </row>
    <row r="1792" spans="1:9" x14ac:dyDescent="0.2">
      <c r="A1792">
        <v>8618529</v>
      </c>
      <c r="B1792">
        <v>1</v>
      </c>
      <c r="C1792">
        <v>3237</v>
      </c>
      <c r="D1792">
        <v>54510</v>
      </c>
      <c r="E1792">
        <v>24</v>
      </c>
      <c r="F1792" t="s">
        <v>47</v>
      </c>
      <c r="G1792" t="s">
        <v>181</v>
      </c>
      <c r="H1792" t="s">
        <v>46</v>
      </c>
      <c r="I1792">
        <v>10</v>
      </c>
    </row>
    <row r="1793" spans="1:9" x14ac:dyDescent="0.2">
      <c r="A1793">
        <v>8618529</v>
      </c>
      <c r="B1793">
        <v>2</v>
      </c>
      <c r="C1793">
        <v>1475</v>
      </c>
      <c r="D1793">
        <v>0</v>
      </c>
      <c r="E1793">
        <v>26</v>
      </c>
      <c r="F1793" t="s">
        <v>25</v>
      </c>
      <c r="G1793" t="s">
        <v>334</v>
      </c>
      <c r="H1793" t="s">
        <v>24</v>
      </c>
      <c r="I1793">
        <v>5</v>
      </c>
    </row>
    <row r="1794" spans="1:9" x14ac:dyDescent="0.2">
      <c r="A1794">
        <v>8618529</v>
      </c>
      <c r="B1794">
        <v>3</v>
      </c>
      <c r="C1794">
        <v>1977</v>
      </c>
      <c r="D1794">
        <v>0</v>
      </c>
      <c r="E1794">
        <v>26</v>
      </c>
      <c r="F1794" t="s">
        <v>32</v>
      </c>
      <c r="G1794" t="s">
        <v>335</v>
      </c>
      <c r="H1794" t="s">
        <v>31</v>
      </c>
      <c r="I1794">
        <v>5</v>
      </c>
    </row>
    <row r="1795" spans="1:9" x14ac:dyDescent="0.2">
      <c r="A1795">
        <v>8618529</v>
      </c>
      <c r="B1795">
        <v>4</v>
      </c>
      <c r="C1795">
        <v>1730</v>
      </c>
      <c r="D1795">
        <v>0</v>
      </c>
      <c r="E1795">
        <v>26</v>
      </c>
      <c r="F1795" t="s">
        <v>57</v>
      </c>
      <c r="G1795" t="s">
        <v>83</v>
      </c>
      <c r="H1795" t="s">
        <v>79</v>
      </c>
      <c r="I1795">
        <v>10</v>
      </c>
    </row>
    <row r="1796" spans="1:9" x14ac:dyDescent="0.2">
      <c r="A1796">
        <v>8618529</v>
      </c>
      <c r="B1796">
        <v>5</v>
      </c>
      <c r="C1796">
        <v>1704</v>
      </c>
      <c r="D1796">
        <v>0</v>
      </c>
      <c r="E1796">
        <v>26</v>
      </c>
      <c r="F1796" t="s">
        <v>57</v>
      </c>
      <c r="G1796" t="s">
        <v>82</v>
      </c>
      <c r="H1796" t="s">
        <v>79</v>
      </c>
      <c r="I1796">
        <v>10</v>
      </c>
    </row>
    <row r="1797" spans="1:9" x14ac:dyDescent="0.2">
      <c r="A1797">
        <v>8643546</v>
      </c>
      <c r="B1797">
        <v>1</v>
      </c>
      <c r="C1797">
        <v>1235</v>
      </c>
      <c r="D1797">
        <v>54105</v>
      </c>
      <c r="E1797">
        <v>25</v>
      </c>
      <c r="F1797" t="s">
        <v>19</v>
      </c>
      <c r="G1797" t="s">
        <v>179</v>
      </c>
      <c r="H1797" t="s">
        <v>16</v>
      </c>
      <c r="I1797" t="s">
        <v>448</v>
      </c>
    </row>
    <row r="1798" spans="1:9" x14ac:dyDescent="0.2">
      <c r="A1798">
        <v>8643546</v>
      </c>
      <c r="B1798">
        <v>2</v>
      </c>
      <c r="C1798">
        <v>1777</v>
      </c>
      <c r="D1798">
        <v>53165</v>
      </c>
      <c r="E1798">
        <v>25</v>
      </c>
      <c r="F1798" t="s">
        <v>57</v>
      </c>
      <c r="G1798" t="s">
        <v>88</v>
      </c>
      <c r="H1798" t="s">
        <v>69</v>
      </c>
      <c r="I1798">
        <v>10</v>
      </c>
    </row>
    <row r="1799" spans="1:9" x14ac:dyDescent="0.2">
      <c r="A1799">
        <v>8643546</v>
      </c>
      <c r="B1799">
        <v>3</v>
      </c>
      <c r="C1799">
        <v>1729</v>
      </c>
      <c r="D1799">
        <v>53475</v>
      </c>
      <c r="E1799">
        <v>25</v>
      </c>
      <c r="F1799" t="s">
        <v>57</v>
      </c>
      <c r="G1799" t="s">
        <v>72</v>
      </c>
      <c r="H1799" t="s">
        <v>69</v>
      </c>
      <c r="I1799">
        <v>10</v>
      </c>
    </row>
    <row r="1800" spans="1:9" x14ac:dyDescent="0.2">
      <c r="A1800">
        <v>8643546</v>
      </c>
      <c r="B1800">
        <v>4</v>
      </c>
      <c r="C1800">
        <v>1221</v>
      </c>
      <c r="D1800">
        <v>53850</v>
      </c>
      <c r="E1800">
        <v>25</v>
      </c>
      <c r="F1800" t="s">
        <v>19</v>
      </c>
      <c r="G1800" t="s">
        <v>63</v>
      </c>
      <c r="H1800" t="s">
        <v>16</v>
      </c>
      <c r="I1800" t="s">
        <v>448</v>
      </c>
    </row>
    <row r="1801" spans="1:9" x14ac:dyDescent="0.2">
      <c r="A1801">
        <v>8643546</v>
      </c>
      <c r="B1801">
        <v>5</v>
      </c>
      <c r="C1801">
        <v>1788</v>
      </c>
      <c r="D1801">
        <v>51695</v>
      </c>
      <c r="E1801">
        <v>25</v>
      </c>
      <c r="F1801" t="s">
        <v>57</v>
      </c>
      <c r="G1801" t="s">
        <v>97</v>
      </c>
      <c r="H1801" t="s">
        <v>56</v>
      </c>
      <c r="I1801">
        <v>10</v>
      </c>
    </row>
    <row r="1802" spans="1:9" x14ac:dyDescent="0.2">
      <c r="A1802">
        <v>8643546</v>
      </c>
      <c r="B1802">
        <v>6</v>
      </c>
      <c r="C1802">
        <v>3234</v>
      </c>
      <c r="D1802">
        <v>52845</v>
      </c>
      <c r="E1802">
        <v>25</v>
      </c>
      <c r="F1802" t="s">
        <v>47</v>
      </c>
      <c r="G1802" t="s">
        <v>76</v>
      </c>
      <c r="H1802" t="s">
        <v>46</v>
      </c>
      <c r="I1802">
        <v>10</v>
      </c>
    </row>
    <row r="1803" spans="1:9" x14ac:dyDescent="0.2">
      <c r="A1803">
        <v>8653894</v>
      </c>
      <c r="B1803">
        <v>1</v>
      </c>
      <c r="C1803">
        <v>3212</v>
      </c>
      <c r="D1803">
        <v>46730</v>
      </c>
      <c r="E1803">
        <v>25</v>
      </c>
      <c r="F1803" t="s">
        <v>47</v>
      </c>
      <c r="G1803" t="s">
        <v>84</v>
      </c>
      <c r="H1803" t="s">
        <v>46</v>
      </c>
      <c r="I1803">
        <v>10</v>
      </c>
    </row>
    <row r="1804" spans="1:9" x14ac:dyDescent="0.2">
      <c r="A1804">
        <v>8653894</v>
      </c>
      <c r="B1804">
        <v>2</v>
      </c>
      <c r="C1804">
        <v>3211</v>
      </c>
      <c r="D1804">
        <v>46490</v>
      </c>
      <c r="E1804">
        <v>25</v>
      </c>
      <c r="F1804" t="s">
        <v>47</v>
      </c>
      <c r="G1804" t="s">
        <v>99</v>
      </c>
      <c r="H1804" t="s">
        <v>46</v>
      </c>
      <c r="I1804">
        <v>10</v>
      </c>
    </row>
    <row r="1805" spans="1:9" x14ac:dyDescent="0.2">
      <c r="A1805">
        <v>8653894</v>
      </c>
      <c r="B1805">
        <v>3</v>
      </c>
      <c r="C1805">
        <v>3612</v>
      </c>
      <c r="D1805">
        <v>45920</v>
      </c>
      <c r="E1805">
        <v>25</v>
      </c>
      <c r="F1805" t="s">
        <v>108</v>
      </c>
      <c r="G1805" t="s">
        <v>84</v>
      </c>
      <c r="H1805" t="s">
        <v>20</v>
      </c>
      <c r="I1805">
        <v>8</v>
      </c>
    </row>
    <row r="1806" spans="1:9" x14ac:dyDescent="0.2">
      <c r="A1806">
        <v>8653894</v>
      </c>
      <c r="B1806">
        <v>4</v>
      </c>
      <c r="C1806">
        <v>3616</v>
      </c>
      <c r="D1806">
        <v>45920</v>
      </c>
      <c r="E1806">
        <v>25</v>
      </c>
      <c r="F1806" t="s">
        <v>108</v>
      </c>
      <c r="G1806" t="s">
        <v>109</v>
      </c>
      <c r="H1806" t="s">
        <v>20</v>
      </c>
      <c r="I1806">
        <v>8</v>
      </c>
    </row>
    <row r="1807" spans="1:9" x14ac:dyDescent="0.2">
      <c r="A1807">
        <v>8653894</v>
      </c>
      <c r="B1807">
        <v>5</v>
      </c>
      <c r="C1807">
        <v>1993</v>
      </c>
      <c r="D1807">
        <v>46570</v>
      </c>
      <c r="E1807">
        <v>25</v>
      </c>
      <c r="F1807" t="s">
        <v>32</v>
      </c>
      <c r="G1807" t="s">
        <v>110</v>
      </c>
      <c r="H1807" t="s">
        <v>111</v>
      </c>
      <c r="I1807">
        <v>5</v>
      </c>
    </row>
    <row r="1808" spans="1:9" x14ac:dyDescent="0.2">
      <c r="A1808">
        <v>8653894</v>
      </c>
      <c r="B1808">
        <v>6</v>
      </c>
      <c r="C1808">
        <v>1995</v>
      </c>
      <c r="D1808">
        <v>46570</v>
      </c>
      <c r="E1808">
        <v>25</v>
      </c>
      <c r="F1808" t="s">
        <v>32</v>
      </c>
      <c r="G1808" t="s">
        <v>112</v>
      </c>
      <c r="H1808" t="s">
        <v>113</v>
      </c>
      <c r="I1808">
        <v>5</v>
      </c>
    </row>
    <row r="1809" spans="1:9" x14ac:dyDescent="0.2">
      <c r="A1809">
        <v>8653894</v>
      </c>
      <c r="B1809">
        <v>7</v>
      </c>
      <c r="C1809">
        <v>1703</v>
      </c>
      <c r="D1809">
        <v>46330</v>
      </c>
      <c r="E1809">
        <v>25</v>
      </c>
      <c r="F1809" t="s">
        <v>57</v>
      </c>
      <c r="G1809" t="s">
        <v>109</v>
      </c>
      <c r="H1809" t="s">
        <v>69</v>
      </c>
      <c r="I1809">
        <v>10</v>
      </c>
    </row>
    <row r="1810" spans="1:9" x14ac:dyDescent="0.2">
      <c r="A1810">
        <v>8653894</v>
      </c>
      <c r="B1810">
        <v>8</v>
      </c>
      <c r="C1810">
        <v>1709</v>
      </c>
      <c r="D1810">
        <v>46810</v>
      </c>
      <c r="E1810">
        <v>25</v>
      </c>
      <c r="F1810" t="s">
        <v>57</v>
      </c>
      <c r="G1810" t="s">
        <v>84</v>
      </c>
      <c r="H1810" t="s">
        <v>69</v>
      </c>
      <c r="I1810">
        <v>10</v>
      </c>
    </row>
    <row r="1811" spans="1:9" x14ac:dyDescent="0.2">
      <c r="A1811">
        <v>8658982</v>
      </c>
      <c r="B1811">
        <v>1</v>
      </c>
      <c r="C1811">
        <v>3200</v>
      </c>
      <c r="D1811">
        <v>49220</v>
      </c>
      <c r="E1811">
        <v>25</v>
      </c>
      <c r="F1811" t="s">
        <v>47</v>
      </c>
      <c r="G1811" t="s">
        <v>18</v>
      </c>
      <c r="H1811" t="s">
        <v>46</v>
      </c>
      <c r="I1811">
        <v>10</v>
      </c>
    </row>
    <row r="1812" spans="1:9" x14ac:dyDescent="0.2">
      <c r="A1812">
        <v>8658982</v>
      </c>
      <c r="B1812">
        <v>2</v>
      </c>
      <c r="C1812">
        <v>3212</v>
      </c>
      <c r="D1812">
        <v>49825</v>
      </c>
      <c r="E1812">
        <v>24</v>
      </c>
      <c r="F1812" t="s">
        <v>47</v>
      </c>
      <c r="G1812" t="s">
        <v>84</v>
      </c>
      <c r="H1812" t="s">
        <v>46</v>
      </c>
      <c r="I1812">
        <v>10</v>
      </c>
    </row>
    <row r="1813" spans="1:9" x14ac:dyDescent="0.2">
      <c r="A1813">
        <v>8658982</v>
      </c>
      <c r="B1813">
        <v>3</v>
      </c>
      <c r="C1813">
        <v>3211</v>
      </c>
      <c r="D1813">
        <v>0</v>
      </c>
      <c r="E1813">
        <v>26</v>
      </c>
      <c r="F1813" t="s">
        <v>47</v>
      </c>
      <c r="G1813" t="s">
        <v>99</v>
      </c>
      <c r="H1813" t="s">
        <v>46</v>
      </c>
      <c r="I1813">
        <v>10</v>
      </c>
    </row>
    <row r="1814" spans="1:9" x14ac:dyDescent="0.2">
      <c r="A1814">
        <v>8658982</v>
      </c>
      <c r="B1814">
        <v>4</v>
      </c>
      <c r="C1814">
        <v>3214</v>
      </c>
      <c r="D1814">
        <v>0</v>
      </c>
      <c r="E1814">
        <v>26</v>
      </c>
      <c r="F1814" t="s">
        <v>47</v>
      </c>
      <c r="G1814" t="s">
        <v>98</v>
      </c>
      <c r="H1814" t="s">
        <v>74</v>
      </c>
      <c r="I1814">
        <v>10</v>
      </c>
    </row>
    <row r="1815" spans="1:9" x14ac:dyDescent="0.2">
      <c r="A1815">
        <v>8658982</v>
      </c>
      <c r="B1815">
        <v>5</v>
      </c>
      <c r="C1815">
        <v>3213</v>
      </c>
      <c r="D1815">
        <v>0</v>
      </c>
      <c r="E1815">
        <v>26</v>
      </c>
      <c r="F1815" t="s">
        <v>47</v>
      </c>
      <c r="G1815" t="s">
        <v>158</v>
      </c>
      <c r="H1815" t="s">
        <v>74</v>
      </c>
      <c r="I1815">
        <v>10</v>
      </c>
    </row>
    <row r="1816" spans="1:9" x14ac:dyDescent="0.2">
      <c r="A1816">
        <v>8658982</v>
      </c>
      <c r="B1816">
        <v>6</v>
      </c>
      <c r="C1816">
        <v>1704</v>
      </c>
      <c r="D1816">
        <v>0</v>
      </c>
      <c r="E1816">
        <v>30</v>
      </c>
      <c r="F1816" t="s">
        <v>57</v>
      </c>
      <c r="G1816" t="s">
        <v>82</v>
      </c>
      <c r="H1816" t="s">
        <v>79</v>
      </c>
      <c r="I1816">
        <v>10</v>
      </c>
    </row>
    <row r="1817" spans="1:9" x14ac:dyDescent="0.2">
      <c r="A1817">
        <v>8658982</v>
      </c>
      <c r="B1817">
        <v>7</v>
      </c>
      <c r="C1817">
        <v>1782</v>
      </c>
      <c r="D1817">
        <v>0</v>
      </c>
      <c r="E1817">
        <v>31</v>
      </c>
      <c r="F1817" t="s">
        <v>57</v>
      </c>
      <c r="G1817" t="s">
        <v>63</v>
      </c>
      <c r="H1817" t="s">
        <v>69</v>
      </c>
      <c r="I1817">
        <v>10</v>
      </c>
    </row>
    <row r="1818" spans="1:9" x14ac:dyDescent="0.2">
      <c r="A1818">
        <v>8658982</v>
      </c>
      <c r="B1818">
        <v>8</v>
      </c>
      <c r="C1818">
        <v>1708</v>
      </c>
      <c r="D1818">
        <v>0</v>
      </c>
      <c r="E1818">
        <v>30</v>
      </c>
      <c r="F1818" t="s">
        <v>57</v>
      </c>
      <c r="G1818" t="s">
        <v>80</v>
      </c>
      <c r="H1818" t="s">
        <v>79</v>
      </c>
      <c r="I1818">
        <v>10</v>
      </c>
    </row>
    <row r="1819" spans="1:9" x14ac:dyDescent="0.2">
      <c r="A1819">
        <v>8670982</v>
      </c>
      <c r="B1819">
        <v>1</v>
      </c>
      <c r="C1819">
        <v>1713</v>
      </c>
      <c r="D1819">
        <v>60980</v>
      </c>
      <c r="E1819">
        <v>25</v>
      </c>
      <c r="F1819" t="s">
        <v>57</v>
      </c>
      <c r="G1819" t="s">
        <v>170</v>
      </c>
      <c r="H1819" t="s">
        <v>69</v>
      </c>
      <c r="I1819">
        <v>10</v>
      </c>
    </row>
    <row r="1820" spans="1:9" x14ac:dyDescent="0.2">
      <c r="A1820">
        <v>8670982</v>
      </c>
      <c r="B1820">
        <v>2</v>
      </c>
      <c r="C1820">
        <v>1789</v>
      </c>
      <c r="D1820">
        <v>60980</v>
      </c>
      <c r="E1820">
        <v>25</v>
      </c>
      <c r="F1820" t="s">
        <v>57</v>
      </c>
      <c r="G1820" t="s">
        <v>122</v>
      </c>
      <c r="H1820" t="s">
        <v>69</v>
      </c>
      <c r="I1820">
        <v>10</v>
      </c>
    </row>
    <row r="1821" spans="1:9" x14ac:dyDescent="0.2">
      <c r="A1821">
        <v>8670982</v>
      </c>
      <c r="B1821">
        <v>3</v>
      </c>
      <c r="C1821">
        <v>1734</v>
      </c>
      <c r="D1821">
        <v>61340</v>
      </c>
      <c r="E1821">
        <v>25</v>
      </c>
      <c r="F1821" t="s">
        <v>57</v>
      </c>
      <c r="G1821" t="s">
        <v>81</v>
      </c>
      <c r="H1821" t="s">
        <v>69</v>
      </c>
      <c r="I1821">
        <v>10</v>
      </c>
    </row>
    <row r="1822" spans="1:9" x14ac:dyDescent="0.2">
      <c r="A1822">
        <v>8670982</v>
      </c>
      <c r="B1822">
        <v>4</v>
      </c>
      <c r="C1822">
        <v>1702</v>
      </c>
      <c r="D1822">
        <v>61280</v>
      </c>
      <c r="E1822">
        <v>25</v>
      </c>
      <c r="F1822" t="s">
        <v>57</v>
      </c>
      <c r="G1822" t="s">
        <v>164</v>
      </c>
      <c r="H1822" t="s">
        <v>69</v>
      </c>
      <c r="I1822">
        <v>10</v>
      </c>
    </row>
    <row r="1823" spans="1:9" x14ac:dyDescent="0.2">
      <c r="A1823">
        <v>8670982</v>
      </c>
      <c r="B1823">
        <v>5</v>
      </c>
      <c r="C1823">
        <v>2447</v>
      </c>
      <c r="D1823">
        <v>61220</v>
      </c>
      <c r="E1823">
        <v>25</v>
      </c>
      <c r="F1823" t="s">
        <v>42</v>
      </c>
      <c r="G1823" t="s">
        <v>170</v>
      </c>
      <c r="H1823" t="s">
        <v>220</v>
      </c>
      <c r="I1823">
        <v>2</v>
      </c>
    </row>
    <row r="1824" spans="1:9" x14ac:dyDescent="0.2">
      <c r="A1824">
        <v>8670982</v>
      </c>
      <c r="B1824">
        <v>6</v>
      </c>
      <c r="C1824">
        <v>2448</v>
      </c>
      <c r="D1824">
        <v>61220</v>
      </c>
      <c r="E1824">
        <v>25</v>
      </c>
      <c r="F1824" t="s">
        <v>42</v>
      </c>
      <c r="G1824" t="s">
        <v>122</v>
      </c>
      <c r="H1824" t="s">
        <v>220</v>
      </c>
      <c r="I1824">
        <v>2</v>
      </c>
    </row>
    <row r="1825" spans="1:9" x14ac:dyDescent="0.2">
      <c r="A1825">
        <v>8670982</v>
      </c>
      <c r="B1825">
        <v>7</v>
      </c>
      <c r="C1825">
        <v>2458</v>
      </c>
      <c r="D1825">
        <v>61220</v>
      </c>
      <c r="E1825">
        <v>24</v>
      </c>
      <c r="F1825" t="s">
        <v>42</v>
      </c>
      <c r="G1825" t="s">
        <v>164</v>
      </c>
      <c r="H1825" t="s">
        <v>220</v>
      </c>
      <c r="I1825">
        <v>2</v>
      </c>
    </row>
    <row r="1826" spans="1:9" x14ac:dyDescent="0.2">
      <c r="A1826">
        <v>8670982</v>
      </c>
      <c r="B1826">
        <v>8</v>
      </c>
      <c r="C1826">
        <v>1710</v>
      </c>
      <c r="D1826">
        <v>0</v>
      </c>
      <c r="E1826">
        <v>26</v>
      </c>
      <c r="F1826" t="s">
        <v>57</v>
      </c>
      <c r="G1826" t="s">
        <v>169</v>
      </c>
      <c r="H1826" t="s">
        <v>69</v>
      </c>
      <c r="I1826">
        <v>10</v>
      </c>
    </row>
    <row r="1827" spans="1:9" x14ac:dyDescent="0.2">
      <c r="A1827">
        <v>8688144</v>
      </c>
      <c r="B1827">
        <v>1</v>
      </c>
      <c r="C1827">
        <v>1782</v>
      </c>
      <c r="D1827">
        <v>55840</v>
      </c>
      <c r="E1827">
        <v>25</v>
      </c>
      <c r="F1827" t="s">
        <v>57</v>
      </c>
      <c r="G1827" t="s">
        <v>63</v>
      </c>
      <c r="H1827" t="s">
        <v>69</v>
      </c>
      <c r="I1827">
        <v>10</v>
      </c>
    </row>
    <row r="1828" spans="1:9" x14ac:dyDescent="0.2">
      <c r="A1828">
        <v>8688144</v>
      </c>
      <c r="B1828">
        <v>2</v>
      </c>
      <c r="C1828">
        <v>3234</v>
      </c>
      <c r="D1828">
        <v>56790</v>
      </c>
      <c r="E1828">
        <v>24</v>
      </c>
      <c r="F1828" t="s">
        <v>47</v>
      </c>
      <c r="G1828" t="s">
        <v>76</v>
      </c>
      <c r="H1828" t="s">
        <v>46</v>
      </c>
      <c r="I1828">
        <v>10</v>
      </c>
    </row>
    <row r="1829" spans="1:9" x14ac:dyDescent="0.2">
      <c r="A1829">
        <v>8688144</v>
      </c>
      <c r="B1829">
        <v>3</v>
      </c>
      <c r="C1829">
        <v>1729</v>
      </c>
      <c r="D1829">
        <v>0</v>
      </c>
      <c r="E1829">
        <v>26</v>
      </c>
      <c r="F1829" t="s">
        <v>57</v>
      </c>
      <c r="G1829" t="s">
        <v>72</v>
      </c>
      <c r="H1829" t="s">
        <v>69</v>
      </c>
      <c r="I1829">
        <v>10</v>
      </c>
    </row>
    <row r="1830" spans="1:9" x14ac:dyDescent="0.2">
      <c r="A1830">
        <v>8688144</v>
      </c>
      <c r="B1830">
        <v>4</v>
      </c>
      <c r="C1830">
        <v>1788</v>
      </c>
      <c r="D1830">
        <v>0</v>
      </c>
      <c r="E1830">
        <v>26</v>
      </c>
      <c r="F1830" t="s">
        <v>57</v>
      </c>
      <c r="G1830" t="s">
        <v>97</v>
      </c>
      <c r="H1830" t="s">
        <v>56</v>
      </c>
      <c r="I1830">
        <v>10</v>
      </c>
    </row>
    <row r="1831" spans="1:9" x14ac:dyDescent="0.2">
      <c r="A1831">
        <v>8688144</v>
      </c>
      <c r="B1831">
        <v>5</v>
      </c>
      <c r="C1831">
        <v>3740</v>
      </c>
      <c r="D1831">
        <v>0</v>
      </c>
      <c r="E1831">
        <v>26</v>
      </c>
      <c r="F1831" t="s">
        <v>116</v>
      </c>
      <c r="G1831" t="s">
        <v>63</v>
      </c>
      <c r="H1831" t="s">
        <v>61</v>
      </c>
      <c r="I1831">
        <v>9</v>
      </c>
    </row>
    <row r="1832" spans="1:9" x14ac:dyDescent="0.2">
      <c r="A1832">
        <v>8688144</v>
      </c>
      <c r="B1832">
        <v>6</v>
      </c>
      <c r="C1832">
        <v>1756</v>
      </c>
      <c r="D1832">
        <v>0</v>
      </c>
      <c r="E1832">
        <v>26</v>
      </c>
      <c r="F1832" t="s">
        <v>57</v>
      </c>
      <c r="G1832" t="s">
        <v>89</v>
      </c>
      <c r="H1832" t="s">
        <v>69</v>
      </c>
      <c r="I1832">
        <v>10</v>
      </c>
    </row>
    <row r="1833" spans="1:9" x14ac:dyDescent="0.2">
      <c r="A1833">
        <v>8688144</v>
      </c>
      <c r="B1833">
        <v>7</v>
      </c>
      <c r="C1833">
        <v>3701</v>
      </c>
      <c r="D1833">
        <v>0</v>
      </c>
      <c r="E1833">
        <v>26</v>
      </c>
      <c r="F1833" t="s">
        <v>116</v>
      </c>
      <c r="G1833" t="s">
        <v>117</v>
      </c>
      <c r="H1833" t="s">
        <v>61</v>
      </c>
      <c r="I1833">
        <v>9</v>
      </c>
    </row>
    <row r="1834" spans="1:9" x14ac:dyDescent="0.2">
      <c r="A1834">
        <v>8688144</v>
      </c>
      <c r="B1834">
        <v>8</v>
      </c>
      <c r="C1834">
        <v>3261</v>
      </c>
      <c r="D1834">
        <v>0</v>
      </c>
      <c r="E1834">
        <v>26</v>
      </c>
      <c r="F1834" t="s">
        <v>47</v>
      </c>
      <c r="G1834" t="s">
        <v>93</v>
      </c>
      <c r="H1834" t="s">
        <v>46</v>
      </c>
      <c r="I1834">
        <v>10</v>
      </c>
    </row>
    <row r="1835" spans="1:9" x14ac:dyDescent="0.2">
      <c r="A1835">
        <v>8703721</v>
      </c>
      <c r="B1835">
        <v>1</v>
      </c>
      <c r="C1835">
        <v>3726</v>
      </c>
      <c r="D1835">
        <v>54930</v>
      </c>
      <c r="E1835">
        <v>24</v>
      </c>
      <c r="F1835" t="s">
        <v>116</v>
      </c>
      <c r="G1835" t="s">
        <v>287</v>
      </c>
      <c r="H1835" t="s">
        <v>61</v>
      </c>
      <c r="I1835">
        <v>9</v>
      </c>
    </row>
    <row r="1836" spans="1:9" x14ac:dyDescent="0.2">
      <c r="A1836">
        <v>8703721</v>
      </c>
      <c r="B1836">
        <v>2</v>
      </c>
      <c r="C1836">
        <v>3242</v>
      </c>
      <c r="D1836">
        <v>0</v>
      </c>
      <c r="E1836">
        <v>26</v>
      </c>
      <c r="F1836" t="s">
        <v>47</v>
      </c>
      <c r="G1836" t="s">
        <v>90</v>
      </c>
      <c r="H1836" t="s">
        <v>46</v>
      </c>
      <c r="I1836">
        <v>10</v>
      </c>
    </row>
    <row r="1837" spans="1:9" x14ac:dyDescent="0.2">
      <c r="A1837">
        <v>8760200</v>
      </c>
      <c r="B1837">
        <v>1</v>
      </c>
      <c r="C1837">
        <v>3239</v>
      </c>
      <c r="D1837">
        <v>50530</v>
      </c>
      <c r="E1837">
        <v>25</v>
      </c>
      <c r="F1837" t="s">
        <v>47</v>
      </c>
      <c r="G1837" t="s">
        <v>107</v>
      </c>
      <c r="H1837" t="s">
        <v>46</v>
      </c>
      <c r="I1837">
        <v>10</v>
      </c>
    </row>
    <row r="1838" spans="1:9" x14ac:dyDescent="0.2">
      <c r="A1838">
        <v>8760200</v>
      </c>
      <c r="B1838">
        <v>2</v>
      </c>
      <c r="C1838">
        <v>3212</v>
      </c>
      <c r="D1838">
        <v>52810</v>
      </c>
      <c r="E1838">
        <v>24</v>
      </c>
      <c r="F1838" t="s">
        <v>47</v>
      </c>
      <c r="G1838" t="s">
        <v>84</v>
      </c>
      <c r="H1838" t="s">
        <v>46</v>
      </c>
      <c r="I1838">
        <v>10</v>
      </c>
    </row>
    <row r="1839" spans="1:9" x14ac:dyDescent="0.2">
      <c r="A1839">
        <v>8760200</v>
      </c>
      <c r="B1839">
        <v>3</v>
      </c>
      <c r="C1839">
        <v>3200</v>
      </c>
      <c r="D1839">
        <v>0</v>
      </c>
      <c r="E1839">
        <v>26</v>
      </c>
      <c r="F1839" t="s">
        <v>47</v>
      </c>
      <c r="G1839" t="s">
        <v>18</v>
      </c>
      <c r="H1839" t="s">
        <v>46</v>
      </c>
      <c r="I1839">
        <v>10</v>
      </c>
    </row>
    <row r="1840" spans="1:9" x14ac:dyDescent="0.2">
      <c r="A1840">
        <v>8760200</v>
      </c>
      <c r="B1840">
        <v>4</v>
      </c>
      <c r="C1840">
        <v>3234</v>
      </c>
      <c r="D1840">
        <v>0</v>
      </c>
      <c r="E1840">
        <v>26</v>
      </c>
      <c r="F1840" t="s">
        <v>47</v>
      </c>
      <c r="G1840" t="s">
        <v>76</v>
      </c>
      <c r="H1840" t="s">
        <v>46</v>
      </c>
      <c r="I1840">
        <v>10</v>
      </c>
    </row>
    <row r="1841" spans="1:9" x14ac:dyDescent="0.2">
      <c r="A1841">
        <v>8775596</v>
      </c>
      <c r="B1841">
        <v>1</v>
      </c>
      <c r="C1841">
        <v>3242</v>
      </c>
      <c r="D1841">
        <v>51785</v>
      </c>
      <c r="E1841">
        <v>25</v>
      </c>
      <c r="F1841" t="s">
        <v>47</v>
      </c>
      <c r="G1841" t="s">
        <v>90</v>
      </c>
      <c r="H1841" t="s">
        <v>46</v>
      </c>
      <c r="I1841">
        <v>10</v>
      </c>
    </row>
    <row r="1842" spans="1:9" x14ac:dyDescent="0.2">
      <c r="A1842">
        <v>8775596</v>
      </c>
      <c r="B1842">
        <v>2</v>
      </c>
      <c r="C1842">
        <v>3243</v>
      </c>
      <c r="D1842">
        <v>51525</v>
      </c>
      <c r="E1842">
        <v>25</v>
      </c>
      <c r="F1842" t="s">
        <v>47</v>
      </c>
      <c r="G1842" t="s">
        <v>75</v>
      </c>
      <c r="H1842" t="s">
        <v>46</v>
      </c>
      <c r="I1842">
        <v>10</v>
      </c>
    </row>
    <row r="1843" spans="1:9" x14ac:dyDescent="0.2">
      <c r="A1843">
        <v>8775596</v>
      </c>
      <c r="B1843">
        <v>3</v>
      </c>
      <c r="C1843">
        <v>3261</v>
      </c>
      <c r="D1843">
        <v>51010</v>
      </c>
      <c r="E1843">
        <v>24</v>
      </c>
      <c r="F1843" t="s">
        <v>47</v>
      </c>
      <c r="G1843" t="s">
        <v>93</v>
      </c>
      <c r="H1843" t="s">
        <v>46</v>
      </c>
      <c r="I1843">
        <v>10</v>
      </c>
    </row>
    <row r="1844" spans="1:9" x14ac:dyDescent="0.2">
      <c r="A1844">
        <v>8775596</v>
      </c>
      <c r="B1844">
        <v>4</v>
      </c>
      <c r="C1844">
        <v>1785</v>
      </c>
      <c r="D1844">
        <v>0</v>
      </c>
      <c r="E1844">
        <v>26</v>
      </c>
      <c r="F1844" t="s">
        <v>57</v>
      </c>
      <c r="G1844" t="s">
        <v>86</v>
      </c>
      <c r="H1844" t="s">
        <v>69</v>
      </c>
      <c r="I1844">
        <v>10</v>
      </c>
    </row>
    <row r="1845" spans="1:9" x14ac:dyDescent="0.2">
      <c r="A1845">
        <v>8775596</v>
      </c>
      <c r="B1845">
        <v>5</v>
      </c>
      <c r="C1845">
        <v>1784</v>
      </c>
      <c r="D1845">
        <v>0</v>
      </c>
      <c r="E1845">
        <v>26</v>
      </c>
      <c r="F1845" t="s">
        <v>57</v>
      </c>
      <c r="G1845" t="s">
        <v>87</v>
      </c>
      <c r="H1845" t="s">
        <v>69</v>
      </c>
      <c r="I1845">
        <v>10</v>
      </c>
    </row>
    <row r="1846" spans="1:9" x14ac:dyDescent="0.2">
      <c r="A1846">
        <v>8776775</v>
      </c>
      <c r="B1846">
        <v>1</v>
      </c>
      <c r="C1846">
        <v>1779</v>
      </c>
      <c r="D1846">
        <v>51735</v>
      </c>
      <c r="E1846">
        <v>24</v>
      </c>
      <c r="F1846" t="s">
        <v>57</v>
      </c>
      <c r="G1846" t="s">
        <v>162</v>
      </c>
      <c r="H1846" t="s">
        <v>79</v>
      </c>
      <c r="I1846">
        <v>10</v>
      </c>
    </row>
    <row r="1847" spans="1:9" x14ac:dyDescent="0.2">
      <c r="A1847">
        <v>8776775</v>
      </c>
      <c r="B1847">
        <v>2</v>
      </c>
      <c r="C1847">
        <v>1740</v>
      </c>
      <c r="D1847">
        <v>0</v>
      </c>
      <c r="E1847">
        <v>26</v>
      </c>
      <c r="F1847" t="s">
        <v>57</v>
      </c>
      <c r="G1847" t="s">
        <v>209</v>
      </c>
      <c r="H1847" t="s">
        <v>79</v>
      </c>
      <c r="I1847">
        <v>10</v>
      </c>
    </row>
    <row r="1848" spans="1:9" x14ac:dyDescent="0.2">
      <c r="A1848">
        <v>8776775</v>
      </c>
      <c r="B1848">
        <v>3</v>
      </c>
      <c r="C1848">
        <v>1509</v>
      </c>
      <c r="D1848">
        <v>0</v>
      </c>
      <c r="E1848">
        <v>26</v>
      </c>
      <c r="F1848" t="s">
        <v>142</v>
      </c>
      <c r="G1848" t="s">
        <v>162</v>
      </c>
      <c r="H1848" t="s">
        <v>31</v>
      </c>
      <c r="I1848">
        <v>5</v>
      </c>
    </row>
    <row r="1849" spans="1:9" x14ac:dyDescent="0.2">
      <c r="A1849">
        <v>8776775</v>
      </c>
      <c r="B1849">
        <v>4</v>
      </c>
      <c r="C1849">
        <v>1559</v>
      </c>
      <c r="D1849">
        <v>0</v>
      </c>
      <c r="E1849">
        <v>26</v>
      </c>
      <c r="F1849" t="s">
        <v>142</v>
      </c>
      <c r="G1849" t="s">
        <v>282</v>
      </c>
      <c r="H1849" t="s">
        <v>329</v>
      </c>
      <c r="I1849">
        <v>5</v>
      </c>
    </row>
    <row r="1850" spans="1:9" x14ac:dyDescent="0.2">
      <c r="A1850">
        <v>8776775</v>
      </c>
      <c r="B1850">
        <v>5</v>
      </c>
      <c r="C1850">
        <v>3081</v>
      </c>
      <c r="D1850">
        <v>0</v>
      </c>
      <c r="E1850">
        <v>26</v>
      </c>
      <c r="F1850" t="s">
        <v>44</v>
      </c>
      <c r="G1850" t="s">
        <v>337</v>
      </c>
      <c r="H1850" t="s">
        <v>55</v>
      </c>
      <c r="I1850">
        <v>9</v>
      </c>
    </row>
    <row r="1851" spans="1:9" x14ac:dyDescent="0.2">
      <c r="A1851">
        <v>8790021</v>
      </c>
      <c r="B1851">
        <v>1</v>
      </c>
      <c r="C1851">
        <v>1239</v>
      </c>
      <c r="D1851">
        <v>70990</v>
      </c>
      <c r="E1851">
        <v>25</v>
      </c>
      <c r="F1851" t="s">
        <v>19</v>
      </c>
      <c r="G1851" t="s">
        <v>160</v>
      </c>
      <c r="H1851" t="s">
        <v>16</v>
      </c>
      <c r="I1851" t="s">
        <v>448</v>
      </c>
    </row>
    <row r="1852" spans="1:9" x14ac:dyDescent="0.2">
      <c r="A1852">
        <v>8790021</v>
      </c>
      <c r="B1852">
        <v>2</v>
      </c>
      <c r="C1852">
        <v>1203</v>
      </c>
      <c r="D1852">
        <v>70850</v>
      </c>
      <c r="E1852">
        <v>24</v>
      </c>
      <c r="F1852" t="s">
        <v>19</v>
      </c>
      <c r="G1852" t="s">
        <v>248</v>
      </c>
      <c r="H1852" t="s">
        <v>16</v>
      </c>
      <c r="I1852" t="s">
        <v>448</v>
      </c>
    </row>
    <row r="1853" spans="1:9" x14ac:dyDescent="0.2">
      <c r="A1853">
        <v>8790021</v>
      </c>
      <c r="B1853">
        <v>3</v>
      </c>
      <c r="C1853">
        <v>1145</v>
      </c>
      <c r="D1853">
        <v>0</v>
      </c>
      <c r="E1853">
        <v>26</v>
      </c>
      <c r="F1853" t="s">
        <v>17</v>
      </c>
      <c r="G1853" t="s">
        <v>159</v>
      </c>
      <c r="H1853" t="s">
        <v>16</v>
      </c>
      <c r="I1853" t="s">
        <v>448</v>
      </c>
    </row>
    <row r="1854" spans="1:9" x14ac:dyDescent="0.2">
      <c r="A1854">
        <v>8790021</v>
      </c>
      <c r="B1854">
        <v>4</v>
      </c>
      <c r="C1854">
        <v>1574</v>
      </c>
      <c r="D1854">
        <v>0</v>
      </c>
      <c r="E1854">
        <v>26</v>
      </c>
      <c r="F1854" t="s">
        <v>142</v>
      </c>
      <c r="G1854" t="s">
        <v>263</v>
      </c>
      <c r="H1854" t="s">
        <v>113</v>
      </c>
      <c r="I1854">
        <v>5</v>
      </c>
    </row>
    <row r="1855" spans="1:9" x14ac:dyDescent="0.2">
      <c r="A1855">
        <v>8830299</v>
      </c>
      <c r="B1855">
        <v>1</v>
      </c>
      <c r="C1855">
        <v>1785</v>
      </c>
      <c r="D1855">
        <v>61370</v>
      </c>
      <c r="E1855">
        <v>24</v>
      </c>
      <c r="F1855" t="s">
        <v>57</v>
      </c>
      <c r="G1855" t="s">
        <v>86</v>
      </c>
      <c r="H1855" t="s">
        <v>69</v>
      </c>
      <c r="I1855">
        <v>10</v>
      </c>
    </row>
    <row r="1856" spans="1:9" x14ac:dyDescent="0.2">
      <c r="A1856">
        <v>8830299</v>
      </c>
      <c r="B1856">
        <v>2</v>
      </c>
      <c r="C1856">
        <v>1784</v>
      </c>
      <c r="D1856">
        <v>0</v>
      </c>
      <c r="E1856">
        <v>26</v>
      </c>
      <c r="F1856" t="s">
        <v>57</v>
      </c>
      <c r="G1856" t="s">
        <v>87</v>
      </c>
      <c r="H1856" t="s">
        <v>69</v>
      </c>
      <c r="I1856">
        <v>10</v>
      </c>
    </row>
    <row r="1857" spans="1:9" x14ac:dyDescent="0.2">
      <c r="A1857">
        <v>8830299</v>
      </c>
      <c r="B1857">
        <v>3</v>
      </c>
      <c r="C1857">
        <v>3242</v>
      </c>
      <c r="D1857">
        <v>0</v>
      </c>
      <c r="E1857">
        <v>26</v>
      </c>
      <c r="F1857" t="s">
        <v>47</v>
      </c>
      <c r="G1857" t="s">
        <v>90</v>
      </c>
      <c r="H1857" t="s">
        <v>46</v>
      </c>
      <c r="I1857">
        <v>10</v>
      </c>
    </row>
    <row r="1858" spans="1:9" x14ac:dyDescent="0.2">
      <c r="A1858">
        <v>8830299</v>
      </c>
      <c r="B1858">
        <v>4</v>
      </c>
      <c r="C1858">
        <v>1756</v>
      </c>
      <c r="D1858">
        <v>0</v>
      </c>
      <c r="E1858">
        <v>26</v>
      </c>
      <c r="F1858" t="s">
        <v>57</v>
      </c>
      <c r="G1858" t="s">
        <v>89</v>
      </c>
      <c r="H1858" t="s">
        <v>69</v>
      </c>
      <c r="I1858">
        <v>10</v>
      </c>
    </row>
    <row r="1859" spans="1:9" x14ac:dyDescent="0.2">
      <c r="A1859">
        <v>8845583</v>
      </c>
      <c r="B1859">
        <v>1</v>
      </c>
      <c r="C1859">
        <v>1756</v>
      </c>
      <c r="D1859">
        <v>51170</v>
      </c>
      <c r="E1859">
        <v>25</v>
      </c>
      <c r="F1859" t="s">
        <v>57</v>
      </c>
      <c r="G1859" t="s">
        <v>89</v>
      </c>
      <c r="H1859" t="s">
        <v>69</v>
      </c>
      <c r="I1859">
        <v>10</v>
      </c>
    </row>
    <row r="1860" spans="1:9" x14ac:dyDescent="0.2">
      <c r="A1860">
        <v>8876232</v>
      </c>
      <c r="B1860">
        <v>1</v>
      </c>
      <c r="C1860">
        <v>1508</v>
      </c>
      <c r="D1860">
        <v>72270</v>
      </c>
      <c r="E1860">
        <v>24</v>
      </c>
      <c r="F1860" t="s">
        <v>142</v>
      </c>
      <c r="G1860" t="s">
        <v>249</v>
      </c>
      <c r="H1860" t="s">
        <v>31</v>
      </c>
      <c r="I1860">
        <v>5</v>
      </c>
    </row>
    <row r="1861" spans="1:9" x14ac:dyDescent="0.2">
      <c r="A1861">
        <v>8876232</v>
      </c>
      <c r="B1861">
        <v>2</v>
      </c>
      <c r="C1861">
        <v>1503</v>
      </c>
      <c r="D1861">
        <v>0</v>
      </c>
      <c r="E1861">
        <v>26</v>
      </c>
      <c r="F1861" t="s">
        <v>142</v>
      </c>
      <c r="G1861" t="s">
        <v>161</v>
      </c>
      <c r="H1861" t="s">
        <v>31</v>
      </c>
      <c r="I1861">
        <v>5</v>
      </c>
    </row>
    <row r="1862" spans="1:9" x14ac:dyDescent="0.2">
      <c r="A1862">
        <v>8877352</v>
      </c>
      <c r="B1862">
        <v>1</v>
      </c>
      <c r="C1862">
        <v>1777</v>
      </c>
      <c r="D1862">
        <v>51005</v>
      </c>
      <c r="E1862">
        <v>25</v>
      </c>
      <c r="F1862" t="s">
        <v>57</v>
      </c>
      <c r="G1862" t="s">
        <v>88</v>
      </c>
      <c r="H1862" t="s">
        <v>69</v>
      </c>
      <c r="I1862">
        <v>10</v>
      </c>
    </row>
    <row r="1863" spans="1:9" x14ac:dyDescent="0.2">
      <c r="A1863">
        <v>8877352</v>
      </c>
      <c r="B1863">
        <v>2</v>
      </c>
      <c r="C1863">
        <v>1784</v>
      </c>
      <c r="D1863">
        <v>51230</v>
      </c>
      <c r="E1863">
        <v>25</v>
      </c>
      <c r="F1863" t="s">
        <v>57</v>
      </c>
      <c r="G1863" t="s">
        <v>87</v>
      </c>
      <c r="H1863" t="s">
        <v>69</v>
      </c>
      <c r="I1863">
        <v>10</v>
      </c>
    </row>
    <row r="1864" spans="1:9" x14ac:dyDescent="0.2">
      <c r="A1864">
        <v>8877352</v>
      </c>
      <c r="B1864">
        <v>3</v>
      </c>
      <c r="C1864">
        <v>3234</v>
      </c>
      <c r="D1864">
        <v>51265</v>
      </c>
      <c r="E1864">
        <v>25</v>
      </c>
      <c r="F1864" t="s">
        <v>47</v>
      </c>
      <c r="G1864" t="s">
        <v>76</v>
      </c>
      <c r="H1864" t="s">
        <v>46</v>
      </c>
      <c r="I1864">
        <v>10</v>
      </c>
    </row>
    <row r="1865" spans="1:9" x14ac:dyDescent="0.2">
      <c r="A1865">
        <v>8877352</v>
      </c>
      <c r="B1865">
        <v>4</v>
      </c>
      <c r="C1865">
        <v>3243</v>
      </c>
      <c r="D1865">
        <v>50395</v>
      </c>
      <c r="E1865">
        <v>25</v>
      </c>
      <c r="F1865" t="s">
        <v>47</v>
      </c>
      <c r="G1865" t="s">
        <v>75</v>
      </c>
      <c r="H1865" t="s">
        <v>46</v>
      </c>
      <c r="I1865">
        <v>10</v>
      </c>
    </row>
    <row r="1866" spans="1:9" x14ac:dyDescent="0.2">
      <c r="A1866">
        <v>8877352</v>
      </c>
      <c r="B1866">
        <v>5</v>
      </c>
      <c r="C1866">
        <v>3252</v>
      </c>
      <c r="D1866">
        <v>51445</v>
      </c>
      <c r="E1866">
        <v>25</v>
      </c>
      <c r="F1866" t="s">
        <v>47</v>
      </c>
      <c r="G1866" t="s">
        <v>45</v>
      </c>
      <c r="H1866" t="s">
        <v>46</v>
      </c>
      <c r="I1866">
        <v>10</v>
      </c>
    </row>
    <row r="1867" spans="1:9" x14ac:dyDescent="0.2">
      <c r="A1867">
        <v>8877352</v>
      </c>
      <c r="B1867">
        <v>6</v>
      </c>
      <c r="C1867">
        <v>3251</v>
      </c>
      <c r="D1867">
        <v>51275</v>
      </c>
      <c r="E1867">
        <v>24</v>
      </c>
      <c r="F1867" t="s">
        <v>47</v>
      </c>
      <c r="G1867" t="s">
        <v>48</v>
      </c>
      <c r="H1867" t="s">
        <v>46</v>
      </c>
      <c r="I1867">
        <v>10</v>
      </c>
    </row>
    <row r="1868" spans="1:9" x14ac:dyDescent="0.2">
      <c r="A1868">
        <v>8877352</v>
      </c>
      <c r="B1868">
        <v>7</v>
      </c>
      <c r="C1868">
        <v>3261</v>
      </c>
      <c r="D1868">
        <v>0</v>
      </c>
      <c r="E1868">
        <v>26</v>
      </c>
      <c r="F1868" t="s">
        <v>47</v>
      </c>
      <c r="G1868" t="s">
        <v>93</v>
      </c>
      <c r="H1868" t="s">
        <v>46</v>
      </c>
      <c r="I1868">
        <v>10</v>
      </c>
    </row>
    <row r="1869" spans="1:9" x14ac:dyDescent="0.2">
      <c r="A1869">
        <v>8878399</v>
      </c>
      <c r="B1869">
        <v>1</v>
      </c>
      <c r="C1869">
        <v>3261</v>
      </c>
      <c r="D1869">
        <v>50280</v>
      </c>
      <c r="E1869">
        <v>25</v>
      </c>
      <c r="F1869" t="s">
        <v>47</v>
      </c>
      <c r="G1869" t="s">
        <v>93</v>
      </c>
      <c r="H1869" t="s">
        <v>46</v>
      </c>
      <c r="I1869">
        <v>10</v>
      </c>
    </row>
    <row r="1870" spans="1:9" x14ac:dyDescent="0.2">
      <c r="A1870">
        <v>8878399</v>
      </c>
      <c r="B1870">
        <v>2</v>
      </c>
      <c r="C1870">
        <v>3252</v>
      </c>
      <c r="D1870">
        <v>49910</v>
      </c>
      <c r="E1870">
        <v>25</v>
      </c>
      <c r="F1870" t="s">
        <v>47</v>
      </c>
      <c r="G1870" t="s">
        <v>45</v>
      </c>
      <c r="H1870" t="s">
        <v>46</v>
      </c>
      <c r="I1870">
        <v>10</v>
      </c>
    </row>
    <row r="1871" spans="1:9" x14ac:dyDescent="0.2">
      <c r="A1871">
        <v>8878399</v>
      </c>
      <c r="B1871">
        <v>3</v>
      </c>
      <c r="C1871">
        <v>3234</v>
      </c>
      <c r="D1871">
        <v>50175</v>
      </c>
      <c r="E1871">
        <v>25</v>
      </c>
      <c r="F1871" t="s">
        <v>47</v>
      </c>
      <c r="G1871" t="s">
        <v>76</v>
      </c>
      <c r="H1871" t="s">
        <v>46</v>
      </c>
      <c r="I1871">
        <v>10</v>
      </c>
    </row>
    <row r="1872" spans="1:9" x14ac:dyDescent="0.2">
      <c r="A1872">
        <v>8934102</v>
      </c>
      <c r="B1872">
        <v>1</v>
      </c>
      <c r="C1872">
        <v>1145</v>
      </c>
      <c r="D1872">
        <v>75110</v>
      </c>
      <c r="E1872">
        <v>24</v>
      </c>
      <c r="F1872" t="s">
        <v>17</v>
      </c>
      <c r="G1872" t="s">
        <v>159</v>
      </c>
      <c r="H1872" t="s">
        <v>16</v>
      </c>
      <c r="I1872" t="s">
        <v>448</v>
      </c>
    </row>
    <row r="1873" spans="1:9" x14ac:dyDescent="0.2">
      <c r="A1873">
        <v>8934102</v>
      </c>
      <c r="B1873">
        <v>2</v>
      </c>
      <c r="C1873">
        <v>1239</v>
      </c>
      <c r="D1873">
        <v>0</v>
      </c>
      <c r="E1873">
        <v>26</v>
      </c>
      <c r="F1873" t="s">
        <v>19</v>
      </c>
      <c r="G1873" t="s">
        <v>160</v>
      </c>
      <c r="H1873" t="s">
        <v>16</v>
      </c>
      <c r="I1873" t="s">
        <v>448</v>
      </c>
    </row>
    <row r="1874" spans="1:9" x14ac:dyDescent="0.2">
      <c r="A1874">
        <v>8934102</v>
      </c>
      <c r="B1874">
        <v>3</v>
      </c>
      <c r="C1874">
        <v>1133</v>
      </c>
      <c r="D1874">
        <v>0</v>
      </c>
      <c r="E1874">
        <v>26</v>
      </c>
      <c r="F1874" t="s">
        <v>17</v>
      </c>
      <c r="G1874" t="s">
        <v>324</v>
      </c>
      <c r="H1874" t="s">
        <v>16</v>
      </c>
      <c r="I1874" t="s">
        <v>448</v>
      </c>
    </row>
    <row r="1875" spans="1:9" x14ac:dyDescent="0.2">
      <c r="A1875">
        <v>8934102</v>
      </c>
      <c r="B1875">
        <v>4</v>
      </c>
      <c r="C1875">
        <v>1178</v>
      </c>
      <c r="D1875">
        <v>0</v>
      </c>
      <c r="E1875">
        <v>26</v>
      </c>
      <c r="F1875" t="s">
        <v>17</v>
      </c>
      <c r="G1875" t="s">
        <v>238</v>
      </c>
      <c r="H1875" t="s">
        <v>16</v>
      </c>
      <c r="I1875" t="s">
        <v>448</v>
      </c>
    </row>
    <row r="1876" spans="1:9" x14ac:dyDescent="0.2">
      <c r="A1876">
        <v>8935147</v>
      </c>
      <c r="B1876">
        <v>1</v>
      </c>
      <c r="C1876">
        <v>1713</v>
      </c>
      <c r="D1876">
        <v>73190</v>
      </c>
      <c r="E1876">
        <v>25</v>
      </c>
      <c r="F1876" t="s">
        <v>57</v>
      </c>
      <c r="G1876" t="s">
        <v>170</v>
      </c>
      <c r="H1876" t="s">
        <v>69</v>
      </c>
      <c r="I1876">
        <v>10</v>
      </c>
    </row>
    <row r="1877" spans="1:9" x14ac:dyDescent="0.2">
      <c r="A1877">
        <v>8935147</v>
      </c>
      <c r="B1877">
        <v>2</v>
      </c>
      <c r="C1877">
        <v>1731</v>
      </c>
      <c r="D1877">
        <v>73190</v>
      </c>
      <c r="E1877">
        <v>24</v>
      </c>
      <c r="F1877" t="s">
        <v>57</v>
      </c>
      <c r="G1877" t="s">
        <v>172</v>
      </c>
      <c r="H1877" t="s">
        <v>69</v>
      </c>
      <c r="I1877">
        <v>10</v>
      </c>
    </row>
    <row r="1878" spans="1:9" x14ac:dyDescent="0.2">
      <c r="A1878">
        <v>8935147</v>
      </c>
      <c r="B1878">
        <v>3</v>
      </c>
      <c r="C1878">
        <v>1691</v>
      </c>
      <c r="D1878">
        <v>0</v>
      </c>
      <c r="E1878">
        <v>26</v>
      </c>
      <c r="F1878" t="s">
        <v>128</v>
      </c>
      <c r="G1878" t="s">
        <v>170</v>
      </c>
      <c r="H1878" t="s">
        <v>127</v>
      </c>
      <c r="I1878" t="s">
        <v>448</v>
      </c>
    </row>
    <row r="1879" spans="1:9" x14ac:dyDescent="0.2">
      <c r="A1879">
        <v>8935147</v>
      </c>
      <c r="B1879">
        <v>4</v>
      </c>
      <c r="C1879">
        <v>1940</v>
      </c>
      <c r="D1879">
        <v>0</v>
      </c>
      <c r="E1879">
        <v>26</v>
      </c>
      <c r="F1879" t="s">
        <v>32</v>
      </c>
      <c r="G1879" t="s">
        <v>170</v>
      </c>
      <c r="H1879" t="s">
        <v>31</v>
      </c>
      <c r="I1879">
        <v>5</v>
      </c>
    </row>
    <row r="1880" spans="1:9" x14ac:dyDescent="0.2">
      <c r="A1880">
        <v>8935147</v>
      </c>
      <c r="B1880">
        <v>5</v>
      </c>
      <c r="C1880">
        <v>3026</v>
      </c>
      <c r="D1880">
        <v>0</v>
      </c>
      <c r="E1880">
        <v>26</v>
      </c>
      <c r="F1880" t="s">
        <v>44</v>
      </c>
      <c r="G1880" t="s">
        <v>170</v>
      </c>
      <c r="H1880" t="s">
        <v>50</v>
      </c>
      <c r="I1880">
        <v>9</v>
      </c>
    </row>
    <row r="1881" spans="1:9" x14ac:dyDescent="0.2">
      <c r="A1881">
        <v>8935147</v>
      </c>
      <c r="B1881">
        <v>6</v>
      </c>
      <c r="C1881">
        <v>1702</v>
      </c>
      <c r="D1881">
        <v>0</v>
      </c>
      <c r="E1881">
        <v>26</v>
      </c>
      <c r="F1881" t="s">
        <v>57</v>
      </c>
      <c r="G1881" t="s">
        <v>164</v>
      </c>
      <c r="H1881" t="s">
        <v>69</v>
      </c>
      <c r="I1881">
        <v>10</v>
      </c>
    </row>
    <row r="1882" spans="1:9" x14ac:dyDescent="0.2">
      <c r="A1882">
        <v>8935147</v>
      </c>
      <c r="B1882">
        <v>7</v>
      </c>
      <c r="C1882">
        <v>1708</v>
      </c>
      <c r="D1882">
        <v>0</v>
      </c>
      <c r="E1882">
        <v>26</v>
      </c>
      <c r="F1882" t="s">
        <v>57</v>
      </c>
      <c r="G1882" t="s">
        <v>80</v>
      </c>
      <c r="H1882" t="s">
        <v>79</v>
      </c>
      <c r="I1882">
        <v>10</v>
      </c>
    </row>
    <row r="1883" spans="1:9" x14ac:dyDescent="0.2">
      <c r="A1883">
        <v>8935147</v>
      </c>
      <c r="B1883">
        <v>8</v>
      </c>
      <c r="C1883">
        <v>1604</v>
      </c>
      <c r="D1883">
        <v>0</v>
      </c>
      <c r="E1883">
        <v>26</v>
      </c>
      <c r="F1883" t="s">
        <v>128</v>
      </c>
      <c r="G1883" t="s">
        <v>165</v>
      </c>
      <c r="H1883" t="s">
        <v>127</v>
      </c>
      <c r="I1883" t="s">
        <v>448</v>
      </c>
    </row>
    <row r="1884" spans="1:9" x14ac:dyDescent="0.2">
      <c r="A1884">
        <v>8953072</v>
      </c>
      <c r="B1884">
        <v>1</v>
      </c>
      <c r="C1884">
        <v>3211</v>
      </c>
      <c r="D1884">
        <v>54495</v>
      </c>
      <c r="E1884">
        <v>24</v>
      </c>
      <c r="F1884" t="s">
        <v>47</v>
      </c>
      <c r="G1884" t="s">
        <v>99</v>
      </c>
      <c r="H1884" t="s">
        <v>46</v>
      </c>
      <c r="I1884">
        <v>10</v>
      </c>
    </row>
    <row r="1885" spans="1:9" x14ac:dyDescent="0.2">
      <c r="A1885">
        <v>8953072</v>
      </c>
      <c r="B1885">
        <v>2</v>
      </c>
      <c r="C1885">
        <v>3296</v>
      </c>
      <c r="D1885">
        <v>0</v>
      </c>
      <c r="E1885">
        <v>26</v>
      </c>
      <c r="F1885" t="s">
        <v>47</v>
      </c>
      <c r="G1885" t="s">
        <v>100</v>
      </c>
      <c r="H1885" t="s">
        <v>46</v>
      </c>
      <c r="I1885">
        <v>10</v>
      </c>
    </row>
    <row r="1886" spans="1:9" x14ac:dyDescent="0.2">
      <c r="A1886">
        <v>8953072</v>
      </c>
      <c r="B1886">
        <v>3</v>
      </c>
      <c r="C1886">
        <v>3213</v>
      </c>
      <c r="D1886">
        <v>0</v>
      </c>
      <c r="E1886">
        <v>26</v>
      </c>
      <c r="F1886" t="s">
        <v>47</v>
      </c>
      <c r="G1886" t="s">
        <v>158</v>
      </c>
      <c r="H1886" t="s">
        <v>74</v>
      </c>
      <c r="I1886">
        <v>10</v>
      </c>
    </row>
    <row r="1887" spans="1:9" x14ac:dyDescent="0.2">
      <c r="A1887">
        <v>8953072</v>
      </c>
      <c r="B1887">
        <v>4</v>
      </c>
      <c r="C1887">
        <v>3212</v>
      </c>
      <c r="D1887">
        <v>0</v>
      </c>
      <c r="E1887">
        <v>26</v>
      </c>
      <c r="F1887" t="s">
        <v>47</v>
      </c>
      <c r="G1887" t="s">
        <v>84</v>
      </c>
      <c r="H1887" t="s">
        <v>46</v>
      </c>
      <c r="I1887">
        <v>10</v>
      </c>
    </row>
    <row r="1888" spans="1:9" x14ac:dyDescent="0.2">
      <c r="A1888">
        <v>8953072</v>
      </c>
      <c r="B1888">
        <v>5</v>
      </c>
      <c r="C1888">
        <v>3261</v>
      </c>
      <c r="D1888">
        <v>0</v>
      </c>
      <c r="E1888">
        <v>26</v>
      </c>
      <c r="F1888" t="s">
        <v>47</v>
      </c>
      <c r="G1888" t="s">
        <v>93</v>
      </c>
      <c r="H1888" t="s">
        <v>46</v>
      </c>
      <c r="I1888">
        <v>10</v>
      </c>
    </row>
    <row r="1889" spans="1:9" x14ac:dyDescent="0.2">
      <c r="A1889">
        <v>8957662</v>
      </c>
      <c r="B1889">
        <v>1</v>
      </c>
      <c r="C1889">
        <v>3242</v>
      </c>
      <c r="D1889">
        <v>61140</v>
      </c>
      <c r="E1889">
        <v>24</v>
      </c>
      <c r="F1889" t="s">
        <v>47</v>
      </c>
      <c r="G1889" t="s">
        <v>90</v>
      </c>
      <c r="H1889" t="s">
        <v>46</v>
      </c>
      <c r="I1889">
        <v>10</v>
      </c>
    </row>
    <row r="1890" spans="1:9" x14ac:dyDescent="0.2">
      <c r="A1890">
        <v>8957662</v>
      </c>
      <c r="B1890">
        <v>2</v>
      </c>
      <c r="C1890">
        <v>3243</v>
      </c>
      <c r="D1890">
        <v>0</v>
      </c>
      <c r="E1890">
        <v>26</v>
      </c>
      <c r="F1890" t="s">
        <v>47</v>
      </c>
      <c r="G1890" t="s">
        <v>75</v>
      </c>
      <c r="H1890" t="s">
        <v>46</v>
      </c>
      <c r="I1890">
        <v>10</v>
      </c>
    </row>
    <row r="1891" spans="1:9" x14ac:dyDescent="0.2">
      <c r="A1891">
        <v>8957662</v>
      </c>
      <c r="B1891">
        <v>3</v>
      </c>
      <c r="C1891">
        <v>1788</v>
      </c>
      <c r="D1891">
        <v>0</v>
      </c>
      <c r="E1891">
        <v>26</v>
      </c>
      <c r="F1891" t="s">
        <v>57</v>
      </c>
      <c r="G1891" t="s">
        <v>97</v>
      </c>
      <c r="H1891" t="s">
        <v>56</v>
      </c>
      <c r="I1891">
        <v>10</v>
      </c>
    </row>
    <row r="1892" spans="1:9" x14ac:dyDescent="0.2">
      <c r="A1892">
        <v>8957662</v>
      </c>
      <c r="B1892">
        <v>4</v>
      </c>
      <c r="C1892">
        <v>1785</v>
      </c>
      <c r="D1892">
        <v>0</v>
      </c>
      <c r="E1892">
        <v>26</v>
      </c>
      <c r="F1892" t="s">
        <v>57</v>
      </c>
      <c r="G1892" t="s">
        <v>86</v>
      </c>
      <c r="H1892" t="s">
        <v>69</v>
      </c>
      <c r="I1892">
        <v>10</v>
      </c>
    </row>
    <row r="1893" spans="1:9" x14ac:dyDescent="0.2">
      <c r="A1893">
        <v>8987469</v>
      </c>
      <c r="B1893">
        <v>1</v>
      </c>
      <c r="C1893">
        <v>1520</v>
      </c>
      <c r="D1893">
        <v>63980</v>
      </c>
      <c r="E1893">
        <v>25</v>
      </c>
      <c r="F1893" t="s">
        <v>142</v>
      </c>
      <c r="G1893" t="s">
        <v>84</v>
      </c>
      <c r="H1893" t="s">
        <v>31</v>
      </c>
      <c r="I1893">
        <v>5</v>
      </c>
    </row>
    <row r="1894" spans="1:9" x14ac:dyDescent="0.2">
      <c r="A1894">
        <v>8987469</v>
      </c>
      <c r="B1894">
        <v>2</v>
      </c>
      <c r="C1894">
        <v>1405</v>
      </c>
      <c r="D1894">
        <v>63170</v>
      </c>
      <c r="E1894">
        <v>24</v>
      </c>
      <c r="F1894" t="s">
        <v>25</v>
      </c>
      <c r="G1894" t="s">
        <v>84</v>
      </c>
      <c r="H1894" t="s">
        <v>24</v>
      </c>
      <c r="I1894">
        <v>5</v>
      </c>
    </row>
    <row r="1895" spans="1:9" x14ac:dyDescent="0.2">
      <c r="A1895">
        <v>8987469</v>
      </c>
      <c r="B1895">
        <v>3</v>
      </c>
      <c r="C1895">
        <v>1463</v>
      </c>
      <c r="D1895">
        <v>0</v>
      </c>
      <c r="E1895">
        <v>26</v>
      </c>
      <c r="F1895" t="s">
        <v>25</v>
      </c>
      <c r="G1895" t="s">
        <v>66</v>
      </c>
      <c r="H1895" t="s">
        <v>24</v>
      </c>
      <c r="I1895">
        <v>5</v>
      </c>
    </row>
    <row r="1896" spans="1:9" x14ac:dyDescent="0.2">
      <c r="A1896">
        <v>8987469</v>
      </c>
      <c r="B1896">
        <v>4</v>
      </c>
      <c r="C1896">
        <v>1503</v>
      </c>
      <c r="D1896">
        <v>0</v>
      </c>
      <c r="E1896">
        <v>26</v>
      </c>
      <c r="F1896" t="s">
        <v>142</v>
      </c>
      <c r="G1896" t="s">
        <v>161</v>
      </c>
      <c r="H1896" t="s">
        <v>31</v>
      </c>
      <c r="I1896">
        <v>5</v>
      </c>
    </row>
    <row r="1897" spans="1:9" x14ac:dyDescent="0.2">
      <c r="A1897">
        <v>8987469</v>
      </c>
      <c r="B1897">
        <v>5</v>
      </c>
      <c r="C1897">
        <v>1960</v>
      </c>
      <c r="D1897">
        <v>0</v>
      </c>
      <c r="E1897">
        <v>26</v>
      </c>
      <c r="F1897" t="s">
        <v>32</v>
      </c>
      <c r="G1897" t="s">
        <v>84</v>
      </c>
      <c r="H1897" t="s">
        <v>31</v>
      </c>
      <c r="I1897">
        <v>5</v>
      </c>
    </row>
    <row r="1898" spans="1:9" x14ac:dyDescent="0.2">
      <c r="A1898">
        <v>8987469</v>
      </c>
      <c r="B1898">
        <v>6</v>
      </c>
      <c r="C1898">
        <v>1952</v>
      </c>
      <c r="D1898">
        <v>0</v>
      </c>
      <c r="E1898">
        <v>26</v>
      </c>
      <c r="F1898" t="s">
        <v>32</v>
      </c>
      <c r="G1898" t="s">
        <v>67</v>
      </c>
      <c r="H1898" t="s">
        <v>31</v>
      </c>
      <c r="I1898">
        <v>5</v>
      </c>
    </row>
    <row r="1899" spans="1:9" x14ac:dyDescent="0.2">
      <c r="A1899">
        <v>9035183</v>
      </c>
      <c r="B1899">
        <v>1</v>
      </c>
      <c r="C1899">
        <v>3060</v>
      </c>
      <c r="D1899">
        <v>53605</v>
      </c>
      <c r="E1899">
        <v>25</v>
      </c>
      <c r="F1899" t="s">
        <v>44</v>
      </c>
      <c r="G1899" t="s">
        <v>51</v>
      </c>
      <c r="H1899" t="s">
        <v>52</v>
      </c>
      <c r="I1899">
        <v>9</v>
      </c>
    </row>
    <row r="1900" spans="1:9" x14ac:dyDescent="0.2">
      <c r="A1900">
        <v>9035183</v>
      </c>
      <c r="B1900">
        <v>2</v>
      </c>
      <c r="C1900">
        <v>2973</v>
      </c>
      <c r="D1900">
        <v>54260</v>
      </c>
      <c r="E1900">
        <v>24</v>
      </c>
      <c r="F1900" t="s">
        <v>119</v>
      </c>
      <c r="G1900" t="s">
        <v>182</v>
      </c>
      <c r="H1900" t="s">
        <v>136</v>
      </c>
      <c r="I1900">
        <v>8</v>
      </c>
    </row>
    <row r="1901" spans="1:9" x14ac:dyDescent="0.2">
      <c r="A1901">
        <v>9035183</v>
      </c>
      <c r="B1901">
        <v>3</v>
      </c>
      <c r="C1901">
        <v>3032</v>
      </c>
      <c r="D1901">
        <v>0</v>
      </c>
      <c r="E1901">
        <v>26</v>
      </c>
      <c r="F1901" t="s">
        <v>44</v>
      </c>
      <c r="G1901" t="s">
        <v>151</v>
      </c>
      <c r="H1901" t="s">
        <v>50</v>
      </c>
      <c r="I1901">
        <v>9</v>
      </c>
    </row>
    <row r="1902" spans="1:9" x14ac:dyDescent="0.2">
      <c r="A1902">
        <v>9035183</v>
      </c>
      <c r="B1902">
        <v>4</v>
      </c>
      <c r="C1902">
        <v>1786</v>
      </c>
      <c r="D1902">
        <v>0</v>
      </c>
      <c r="E1902">
        <v>26</v>
      </c>
      <c r="F1902" t="s">
        <v>57</v>
      </c>
      <c r="G1902" t="s">
        <v>103</v>
      </c>
      <c r="H1902" t="s">
        <v>56</v>
      </c>
      <c r="I1902">
        <v>10</v>
      </c>
    </row>
    <row r="1903" spans="1:9" x14ac:dyDescent="0.2">
      <c r="A1903">
        <v>9035183</v>
      </c>
      <c r="B1903">
        <v>5</v>
      </c>
      <c r="C1903">
        <v>1715</v>
      </c>
      <c r="D1903">
        <v>0</v>
      </c>
      <c r="E1903">
        <v>26</v>
      </c>
      <c r="F1903" t="s">
        <v>57</v>
      </c>
      <c r="G1903" t="s">
        <v>151</v>
      </c>
      <c r="H1903" t="s">
        <v>69</v>
      </c>
      <c r="I1903">
        <v>10</v>
      </c>
    </row>
    <row r="1904" spans="1:9" x14ac:dyDescent="0.2">
      <c r="A1904">
        <v>9035183</v>
      </c>
      <c r="B1904">
        <v>6</v>
      </c>
      <c r="C1904">
        <v>1710</v>
      </c>
      <c r="D1904">
        <v>0</v>
      </c>
      <c r="E1904">
        <v>26</v>
      </c>
      <c r="F1904" t="s">
        <v>57</v>
      </c>
      <c r="G1904" t="s">
        <v>169</v>
      </c>
      <c r="H1904" t="s">
        <v>69</v>
      </c>
      <c r="I1904">
        <v>10</v>
      </c>
    </row>
    <row r="1905" spans="1:9" x14ac:dyDescent="0.2">
      <c r="A1905">
        <v>9035183</v>
      </c>
      <c r="B1905">
        <v>7</v>
      </c>
      <c r="C1905">
        <v>1787</v>
      </c>
      <c r="D1905">
        <v>0</v>
      </c>
      <c r="E1905">
        <v>26</v>
      </c>
      <c r="F1905" t="s">
        <v>57</v>
      </c>
      <c r="G1905" t="s">
        <v>49</v>
      </c>
      <c r="H1905" t="s">
        <v>56</v>
      </c>
      <c r="I1905">
        <v>10</v>
      </c>
    </row>
    <row r="1906" spans="1:9" x14ac:dyDescent="0.2">
      <c r="A1906">
        <v>9035183</v>
      </c>
      <c r="B1906">
        <v>8</v>
      </c>
      <c r="C1906">
        <v>1775</v>
      </c>
      <c r="D1906">
        <v>0</v>
      </c>
      <c r="E1906">
        <v>26</v>
      </c>
      <c r="F1906" t="s">
        <v>57</v>
      </c>
      <c r="G1906" t="s">
        <v>94</v>
      </c>
      <c r="H1906" t="s">
        <v>69</v>
      </c>
      <c r="I1906">
        <v>10</v>
      </c>
    </row>
    <row r="1907" spans="1:9" x14ac:dyDescent="0.2">
      <c r="A1907">
        <v>9051192</v>
      </c>
      <c r="B1907">
        <v>1</v>
      </c>
      <c r="C1907">
        <v>1503</v>
      </c>
      <c r="D1907">
        <v>68260</v>
      </c>
      <c r="E1907">
        <v>24</v>
      </c>
      <c r="F1907" t="s">
        <v>142</v>
      </c>
      <c r="G1907" t="s">
        <v>161</v>
      </c>
      <c r="H1907" t="s">
        <v>31</v>
      </c>
      <c r="I1907">
        <v>5</v>
      </c>
    </row>
    <row r="1908" spans="1:9" x14ac:dyDescent="0.2">
      <c r="A1908">
        <v>9051192</v>
      </c>
      <c r="B1908">
        <v>2</v>
      </c>
      <c r="C1908">
        <v>1507</v>
      </c>
      <c r="D1908">
        <v>0</v>
      </c>
      <c r="E1908">
        <v>26</v>
      </c>
      <c r="F1908" t="s">
        <v>142</v>
      </c>
      <c r="G1908" t="s">
        <v>66</v>
      </c>
      <c r="H1908" t="s">
        <v>31</v>
      </c>
      <c r="I1908">
        <v>5</v>
      </c>
    </row>
    <row r="1909" spans="1:9" x14ac:dyDescent="0.2">
      <c r="A1909">
        <v>9051361</v>
      </c>
      <c r="B1909">
        <v>1</v>
      </c>
      <c r="C1909">
        <v>3234</v>
      </c>
      <c r="D1909">
        <v>54205</v>
      </c>
      <c r="E1909">
        <v>25</v>
      </c>
      <c r="F1909" t="s">
        <v>47</v>
      </c>
      <c r="G1909" t="s">
        <v>76</v>
      </c>
      <c r="H1909" t="s">
        <v>46</v>
      </c>
      <c r="I1909">
        <v>10</v>
      </c>
    </row>
    <row r="1910" spans="1:9" x14ac:dyDescent="0.2">
      <c r="A1910">
        <v>9051361</v>
      </c>
      <c r="B1910">
        <v>2</v>
      </c>
      <c r="C1910">
        <v>3261</v>
      </c>
      <c r="D1910">
        <v>53280</v>
      </c>
      <c r="E1910">
        <v>24</v>
      </c>
      <c r="F1910" t="s">
        <v>47</v>
      </c>
      <c r="G1910" t="s">
        <v>93</v>
      </c>
      <c r="H1910" t="s">
        <v>46</v>
      </c>
      <c r="I1910">
        <v>10</v>
      </c>
    </row>
    <row r="1911" spans="1:9" x14ac:dyDescent="0.2">
      <c r="A1911">
        <v>9051361</v>
      </c>
      <c r="B1911">
        <v>3</v>
      </c>
      <c r="C1911">
        <v>3252</v>
      </c>
      <c r="D1911">
        <v>0</v>
      </c>
      <c r="E1911">
        <v>26</v>
      </c>
      <c r="F1911" t="s">
        <v>47</v>
      </c>
      <c r="G1911" t="s">
        <v>45</v>
      </c>
      <c r="H1911" t="s">
        <v>46</v>
      </c>
      <c r="I1911">
        <v>10</v>
      </c>
    </row>
    <row r="1912" spans="1:9" x14ac:dyDescent="0.2">
      <c r="A1912">
        <v>9060967</v>
      </c>
      <c r="B1912">
        <v>1</v>
      </c>
      <c r="C1912">
        <v>3239</v>
      </c>
      <c r="D1912">
        <v>55835</v>
      </c>
      <c r="E1912">
        <v>24</v>
      </c>
      <c r="F1912" t="s">
        <v>47</v>
      </c>
      <c r="G1912" t="s">
        <v>107</v>
      </c>
      <c r="H1912" t="s">
        <v>46</v>
      </c>
      <c r="I1912">
        <v>10</v>
      </c>
    </row>
    <row r="1913" spans="1:9" x14ac:dyDescent="0.2">
      <c r="A1913">
        <v>9060967</v>
      </c>
      <c r="B1913">
        <v>2</v>
      </c>
      <c r="C1913">
        <v>3229</v>
      </c>
      <c r="D1913">
        <v>0</v>
      </c>
      <c r="E1913">
        <v>26</v>
      </c>
      <c r="F1913" t="s">
        <v>47</v>
      </c>
      <c r="G1913" t="s">
        <v>101</v>
      </c>
      <c r="H1913" t="s">
        <v>46</v>
      </c>
      <c r="I1913">
        <v>10</v>
      </c>
    </row>
    <row r="1914" spans="1:9" x14ac:dyDescent="0.2">
      <c r="A1914">
        <v>9060967</v>
      </c>
      <c r="B1914">
        <v>3</v>
      </c>
      <c r="C1914">
        <v>3245</v>
      </c>
      <c r="D1914">
        <v>0</v>
      </c>
      <c r="E1914">
        <v>26</v>
      </c>
      <c r="F1914" t="s">
        <v>47</v>
      </c>
      <c r="G1914" t="s">
        <v>157</v>
      </c>
      <c r="H1914" t="s">
        <v>74</v>
      </c>
      <c r="I1914">
        <v>10</v>
      </c>
    </row>
    <row r="1915" spans="1:9" x14ac:dyDescent="0.2">
      <c r="A1915">
        <v>9060967</v>
      </c>
      <c r="B1915">
        <v>4</v>
      </c>
      <c r="C1915">
        <v>3242</v>
      </c>
      <c r="D1915">
        <v>0</v>
      </c>
      <c r="E1915">
        <v>26</v>
      </c>
      <c r="F1915" t="s">
        <v>47</v>
      </c>
      <c r="G1915" t="s">
        <v>90</v>
      </c>
      <c r="H1915" t="s">
        <v>46</v>
      </c>
      <c r="I1915">
        <v>10</v>
      </c>
    </row>
    <row r="1916" spans="1:9" x14ac:dyDescent="0.2">
      <c r="A1916">
        <v>9060967</v>
      </c>
      <c r="B1916">
        <v>5</v>
      </c>
      <c r="C1916">
        <v>3248</v>
      </c>
      <c r="D1916">
        <v>0</v>
      </c>
      <c r="E1916">
        <v>26</v>
      </c>
      <c r="F1916" t="s">
        <v>47</v>
      </c>
      <c r="G1916" t="s">
        <v>92</v>
      </c>
      <c r="H1916" t="s">
        <v>46</v>
      </c>
      <c r="I1916">
        <v>10</v>
      </c>
    </row>
    <row r="1917" spans="1:9" x14ac:dyDescent="0.2">
      <c r="A1917">
        <v>9060967</v>
      </c>
      <c r="B1917">
        <v>6</v>
      </c>
      <c r="C1917">
        <v>3234</v>
      </c>
      <c r="D1917">
        <v>0</v>
      </c>
      <c r="E1917">
        <v>26</v>
      </c>
      <c r="F1917" t="s">
        <v>47</v>
      </c>
      <c r="G1917" t="s">
        <v>76</v>
      </c>
      <c r="H1917" t="s">
        <v>46</v>
      </c>
      <c r="I1917">
        <v>10</v>
      </c>
    </row>
    <row r="1918" spans="1:9" x14ac:dyDescent="0.2">
      <c r="A1918">
        <v>9060967</v>
      </c>
      <c r="B1918">
        <v>7</v>
      </c>
      <c r="C1918">
        <v>3223</v>
      </c>
      <c r="D1918">
        <v>0</v>
      </c>
      <c r="E1918">
        <v>26</v>
      </c>
      <c r="F1918" t="s">
        <v>47</v>
      </c>
      <c r="G1918" t="s">
        <v>105</v>
      </c>
      <c r="H1918" t="s">
        <v>46</v>
      </c>
      <c r="I1918">
        <v>10</v>
      </c>
    </row>
    <row r="1919" spans="1:9" x14ac:dyDescent="0.2">
      <c r="A1919">
        <v>9060967</v>
      </c>
      <c r="B1919">
        <v>8</v>
      </c>
      <c r="C1919">
        <v>3211</v>
      </c>
      <c r="D1919">
        <v>0</v>
      </c>
      <c r="E1919">
        <v>26</v>
      </c>
      <c r="F1919" t="s">
        <v>47</v>
      </c>
      <c r="G1919" t="s">
        <v>99</v>
      </c>
      <c r="H1919" t="s">
        <v>46</v>
      </c>
      <c r="I1919">
        <v>10</v>
      </c>
    </row>
    <row r="1920" spans="1:9" x14ac:dyDescent="0.2">
      <c r="A1920">
        <v>9092745</v>
      </c>
      <c r="B1920">
        <v>1</v>
      </c>
      <c r="C1920">
        <v>3229</v>
      </c>
      <c r="D1920">
        <v>59745</v>
      </c>
      <c r="E1920">
        <v>24</v>
      </c>
      <c r="F1920" t="s">
        <v>47</v>
      </c>
      <c r="G1920" t="s">
        <v>101</v>
      </c>
      <c r="H1920" t="s">
        <v>46</v>
      </c>
      <c r="I1920">
        <v>10</v>
      </c>
    </row>
    <row r="1921" spans="1:9" x14ac:dyDescent="0.2">
      <c r="A1921">
        <v>9092745</v>
      </c>
      <c r="B1921">
        <v>2</v>
      </c>
      <c r="C1921">
        <v>3248</v>
      </c>
      <c r="D1921">
        <v>0</v>
      </c>
      <c r="E1921">
        <v>26</v>
      </c>
      <c r="F1921" t="s">
        <v>47</v>
      </c>
      <c r="G1921" t="s">
        <v>92</v>
      </c>
      <c r="H1921" t="s">
        <v>46</v>
      </c>
      <c r="I1921">
        <v>10</v>
      </c>
    </row>
    <row r="1922" spans="1:9" x14ac:dyDescent="0.2">
      <c r="A1922">
        <v>9092745</v>
      </c>
      <c r="B1922">
        <v>3</v>
      </c>
      <c r="C1922">
        <v>3261</v>
      </c>
      <c r="D1922">
        <v>0</v>
      </c>
      <c r="E1922">
        <v>26</v>
      </c>
      <c r="F1922" t="s">
        <v>47</v>
      </c>
      <c r="G1922" t="s">
        <v>93</v>
      </c>
      <c r="H1922" t="s">
        <v>46</v>
      </c>
      <c r="I1922">
        <v>10</v>
      </c>
    </row>
    <row r="1923" spans="1:9" x14ac:dyDescent="0.2">
      <c r="A1923">
        <v>9092745</v>
      </c>
      <c r="B1923">
        <v>4</v>
      </c>
      <c r="C1923">
        <v>1732</v>
      </c>
      <c r="D1923">
        <v>0</v>
      </c>
      <c r="E1923">
        <v>26</v>
      </c>
      <c r="F1923" t="s">
        <v>57</v>
      </c>
      <c r="G1923" t="s">
        <v>104</v>
      </c>
      <c r="H1923" t="s">
        <v>69</v>
      </c>
      <c r="I1923">
        <v>10</v>
      </c>
    </row>
    <row r="1924" spans="1:9" x14ac:dyDescent="0.2">
      <c r="A1924">
        <v>9092745</v>
      </c>
      <c r="B1924">
        <v>5</v>
      </c>
      <c r="C1924">
        <v>1702</v>
      </c>
      <c r="D1924">
        <v>0</v>
      </c>
      <c r="E1924">
        <v>26</v>
      </c>
      <c r="F1924" t="s">
        <v>57</v>
      </c>
      <c r="G1924" t="s">
        <v>164</v>
      </c>
      <c r="H1924" t="s">
        <v>69</v>
      </c>
      <c r="I1924">
        <v>10</v>
      </c>
    </row>
    <row r="1925" spans="1:9" x14ac:dyDescent="0.2">
      <c r="A1925">
        <v>9092745</v>
      </c>
      <c r="B1925">
        <v>6</v>
      </c>
      <c r="C1925">
        <v>1715</v>
      </c>
      <c r="D1925">
        <v>0</v>
      </c>
      <c r="E1925">
        <v>26</v>
      </c>
      <c r="F1925" t="s">
        <v>57</v>
      </c>
      <c r="G1925" t="s">
        <v>151</v>
      </c>
      <c r="H1925" t="s">
        <v>69</v>
      </c>
      <c r="I1925">
        <v>10</v>
      </c>
    </row>
    <row r="1926" spans="1:9" x14ac:dyDescent="0.2">
      <c r="A1926">
        <v>9092745</v>
      </c>
      <c r="B1926">
        <v>7</v>
      </c>
      <c r="C1926">
        <v>1705</v>
      </c>
      <c r="D1926">
        <v>0</v>
      </c>
      <c r="E1926">
        <v>26</v>
      </c>
      <c r="F1926" t="s">
        <v>57</v>
      </c>
      <c r="G1926" t="s">
        <v>102</v>
      </c>
      <c r="H1926" t="s">
        <v>69</v>
      </c>
      <c r="I1926">
        <v>10</v>
      </c>
    </row>
    <row r="1927" spans="1:9" x14ac:dyDescent="0.2">
      <c r="A1927">
        <v>9123553</v>
      </c>
      <c r="B1927">
        <v>1</v>
      </c>
      <c r="C1927">
        <v>3251</v>
      </c>
      <c r="D1927">
        <v>0</v>
      </c>
      <c r="E1927">
        <v>36</v>
      </c>
      <c r="F1927" t="s">
        <v>47</v>
      </c>
      <c r="G1927" t="s">
        <v>48</v>
      </c>
      <c r="H1927" t="s">
        <v>46</v>
      </c>
      <c r="I1927">
        <v>10</v>
      </c>
    </row>
    <row r="1928" spans="1:9" x14ac:dyDescent="0.2">
      <c r="A1928">
        <v>9123553</v>
      </c>
      <c r="B1928">
        <v>2</v>
      </c>
      <c r="C1928">
        <v>3261</v>
      </c>
      <c r="D1928">
        <v>0</v>
      </c>
      <c r="E1928">
        <v>36</v>
      </c>
      <c r="F1928" t="s">
        <v>47</v>
      </c>
      <c r="G1928" t="s">
        <v>93</v>
      </c>
      <c r="H1928" t="s">
        <v>46</v>
      </c>
      <c r="I1928">
        <v>10</v>
      </c>
    </row>
    <row r="1929" spans="1:9" x14ac:dyDescent="0.2">
      <c r="A1929">
        <v>9123553</v>
      </c>
      <c r="B1929">
        <v>3</v>
      </c>
      <c r="C1929">
        <v>3252</v>
      </c>
      <c r="D1929">
        <v>0</v>
      </c>
      <c r="E1929">
        <v>36</v>
      </c>
      <c r="F1929" t="s">
        <v>47</v>
      </c>
      <c r="G1929" t="s">
        <v>45</v>
      </c>
      <c r="H1929" t="s">
        <v>46</v>
      </c>
      <c r="I1929">
        <v>10</v>
      </c>
    </row>
    <row r="1930" spans="1:9" x14ac:dyDescent="0.2">
      <c r="A1930">
        <v>9137965</v>
      </c>
      <c r="B1930">
        <v>1</v>
      </c>
      <c r="C1930">
        <v>1237</v>
      </c>
      <c r="D1930">
        <v>62125</v>
      </c>
      <c r="E1930">
        <v>25</v>
      </c>
      <c r="F1930" t="s">
        <v>19</v>
      </c>
      <c r="G1930" t="s">
        <v>65</v>
      </c>
      <c r="H1930" t="s">
        <v>16</v>
      </c>
      <c r="I1930" t="s">
        <v>448</v>
      </c>
    </row>
    <row r="1931" spans="1:9" x14ac:dyDescent="0.2">
      <c r="A1931">
        <v>9137965</v>
      </c>
      <c r="B1931">
        <v>2</v>
      </c>
      <c r="C1931">
        <v>1782</v>
      </c>
      <c r="D1931">
        <v>62815</v>
      </c>
      <c r="E1931">
        <v>24</v>
      </c>
      <c r="F1931" t="s">
        <v>57</v>
      </c>
      <c r="G1931" t="s">
        <v>63</v>
      </c>
      <c r="H1931" t="s">
        <v>69</v>
      </c>
      <c r="I1931">
        <v>10</v>
      </c>
    </row>
    <row r="1932" spans="1:9" x14ac:dyDescent="0.2">
      <c r="A1932">
        <v>9177839</v>
      </c>
      <c r="B1932">
        <v>1</v>
      </c>
      <c r="C1932">
        <v>1575</v>
      </c>
      <c r="D1932">
        <v>46540</v>
      </c>
      <c r="E1932">
        <v>25</v>
      </c>
      <c r="F1932" t="s">
        <v>142</v>
      </c>
      <c r="G1932" t="s">
        <v>249</v>
      </c>
      <c r="H1932" t="s">
        <v>113</v>
      </c>
      <c r="I1932">
        <v>5</v>
      </c>
    </row>
    <row r="1933" spans="1:9" x14ac:dyDescent="0.2">
      <c r="A1933">
        <v>9177839</v>
      </c>
      <c r="B1933">
        <v>2</v>
      </c>
      <c r="C1933">
        <v>3239</v>
      </c>
      <c r="D1933">
        <v>45270</v>
      </c>
      <c r="E1933">
        <v>25</v>
      </c>
      <c r="F1933" t="s">
        <v>47</v>
      </c>
      <c r="G1933" t="s">
        <v>107</v>
      </c>
      <c r="H1933" t="s">
        <v>46</v>
      </c>
      <c r="I1933">
        <v>10</v>
      </c>
    </row>
    <row r="1934" spans="1:9" x14ac:dyDescent="0.2">
      <c r="A1934">
        <v>9210868</v>
      </c>
      <c r="B1934">
        <v>1</v>
      </c>
      <c r="C1934">
        <v>1756</v>
      </c>
      <c r="D1934">
        <v>62470</v>
      </c>
      <c r="E1934">
        <v>24</v>
      </c>
      <c r="F1934" t="s">
        <v>57</v>
      </c>
      <c r="G1934" t="s">
        <v>89</v>
      </c>
      <c r="H1934" t="s">
        <v>69</v>
      </c>
      <c r="I1934">
        <v>10</v>
      </c>
    </row>
    <row r="1935" spans="1:9" x14ac:dyDescent="0.2">
      <c r="A1935">
        <v>9210868</v>
      </c>
      <c r="B1935">
        <v>2</v>
      </c>
      <c r="C1935">
        <v>1754</v>
      </c>
      <c r="D1935">
        <v>0</v>
      </c>
      <c r="E1935">
        <v>26</v>
      </c>
      <c r="F1935" t="s">
        <v>57</v>
      </c>
      <c r="G1935" t="s">
        <v>85</v>
      </c>
      <c r="H1935" t="s">
        <v>69</v>
      </c>
      <c r="I1935">
        <v>10</v>
      </c>
    </row>
    <row r="1936" spans="1:9" x14ac:dyDescent="0.2">
      <c r="A1936">
        <v>9210868</v>
      </c>
      <c r="B1936">
        <v>3</v>
      </c>
      <c r="C1936">
        <v>1782</v>
      </c>
      <c r="D1936">
        <v>0</v>
      </c>
      <c r="E1936">
        <v>26</v>
      </c>
      <c r="F1936" t="s">
        <v>57</v>
      </c>
      <c r="G1936" t="s">
        <v>63</v>
      </c>
      <c r="H1936" t="s">
        <v>69</v>
      </c>
      <c r="I1936">
        <v>10</v>
      </c>
    </row>
    <row r="1937" spans="1:9" x14ac:dyDescent="0.2">
      <c r="A1937">
        <v>9210868</v>
      </c>
      <c r="B1937">
        <v>4</v>
      </c>
      <c r="C1937">
        <v>1729</v>
      </c>
      <c r="D1937">
        <v>0</v>
      </c>
      <c r="E1937">
        <v>26</v>
      </c>
      <c r="F1937" t="s">
        <v>57</v>
      </c>
      <c r="G1937" t="s">
        <v>72</v>
      </c>
      <c r="H1937" t="s">
        <v>69</v>
      </c>
      <c r="I1937">
        <v>10</v>
      </c>
    </row>
    <row r="1938" spans="1:9" x14ac:dyDescent="0.2">
      <c r="A1938">
        <v>9226591</v>
      </c>
      <c r="B1938">
        <v>1</v>
      </c>
      <c r="C1938">
        <v>1731</v>
      </c>
      <c r="D1938">
        <v>71790</v>
      </c>
      <c r="E1938">
        <v>25</v>
      </c>
      <c r="F1938" t="s">
        <v>57</v>
      </c>
      <c r="G1938" t="s">
        <v>172</v>
      </c>
      <c r="H1938" t="s">
        <v>69</v>
      </c>
      <c r="I1938">
        <v>10</v>
      </c>
    </row>
    <row r="1939" spans="1:9" x14ac:dyDescent="0.2">
      <c r="A1939">
        <v>9226591</v>
      </c>
      <c r="B1939">
        <v>2</v>
      </c>
      <c r="C1939">
        <v>1713</v>
      </c>
      <c r="D1939">
        <v>71790</v>
      </c>
      <c r="E1939">
        <v>25</v>
      </c>
      <c r="F1939" t="s">
        <v>57</v>
      </c>
      <c r="G1939" t="s">
        <v>170</v>
      </c>
      <c r="H1939" t="s">
        <v>69</v>
      </c>
      <c r="I1939">
        <v>10</v>
      </c>
    </row>
    <row r="1940" spans="1:9" x14ac:dyDescent="0.2">
      <c r="A1940">
        <v>9226591</v>
      </c>
      <c r="B1940">
        <v>3</v>
      </c>
      <c r="C1940">
        <v>1789</v>
      </c>
      <c r="D1940">
        <v>71790</v>
      </c>
      <c r="E1940">
        <v>24</v>
      </c>
      <c r="F1940" t="s">
        <v>57</v>
      </c>
      <c r="G1940" t="s">
        <v>122</v>
      </c>
      <c r="H1940" t="s">
        <v>69</v>
      </c>
      <c r="I1940">
        <v>10</v>
      </c>
    </row>
    <row r="1941" spans="1:9" x14ac:dyDescent="0.2">
      <c r="A1941">
        <v>9226591</v>
      </c>
      <c r="B1941">
        <v>4</v>
      </c>
      <c r="C1941">
        <v>1203</v>
      </c>
      <c r="D1941">
        <v>0</v>
      </c>
      <c r="E1941">
        <v>26</v>
      </c>
      <c r="F1941" t="s">
        <v>19</v>
      </c>
      <c r="G1941" t="s">
        <v>248</v>
      </c>
      <c r="H1941" t="s">
        <v>16</v>
      </c>
      <c r="I1941" t="s">
        <v>448</v>
      </c>
    </row>
    <row r="1942" spans="1:9" x14ac:dyDescent="0.2">
      <c r="A1942">
        <v>9226591</v>
      </c>
      <c r="B1942">
        <v>5</v>
      </c>
      <c r="C1942">
        <v>1776</v>
      </c>
      <c r="D1942">
        <v>0</v>
      </c>
      <c r="E1942">
        <v>26</v>
      </c>
      <c r="F1942" t="s">
        <v>57</v>
      </c>
      <c r="G1942" t="s">
        <v>124</v>
      </c>
      <c r="H1942" t="s">
        <v>125</v>
      </c>
      <c r="I1942">
        <v>10</v>
      </c>
    </row>
    <row r="1943" spans="1:9" x14ac:dyDescent="0.2">
      <c r="A1943">
        <v>9226591</v>
      </c>
      <c r="B1943">
        <v>6</v>
      </c>
      <c r="C1943">
        <v>3023</v>
      </c>
      <c r="D1943">
        <v>0</v>
      </c>
      <c r="E1943">
        <v>26</v>
      </c>
      <c r="F1943" t="s">
        <v>44</v>
      </c>
      <c r="G1943" t="s">
        <v>124</v>
      </c>
      <c r="H1943" t="s">
        <v>50</v>
      </c>
      <c r="I1943">
        <v>9</v>
      </c>
    </row>
    <row r="1944" spans="1:9" x14ac:dyDescent="0.2">
      <c r="A1944">
        <v>9226591</v>
      </c>
      <c r="B1944">
        <v>7</v>
      </c>
      <c r="C1944">
        <v>1715</v>
      </c>
      <c r="D1944">
        <v>0</v>
      </c>
      <c r="E1944">
        <v>26</v>
      </c>
      <c r="F1944" t="s">
        <v>57</v>
      </c>
      <c r="G1944" t="s">
        <v>151</v>
      </c>
      <c r="H1944" t="s">
        <v>69</v>
      </c>
      <c r="I1944">
        <v>10</v>
      </c>
    </row>
    <row r="1945" spans="1:9" x14ac:dyDescent="0.2">
      <c r="A1945">
        <v>9226591</v>
      </c>
      <c r="B1945">
        <v>8</v>
      </c>
      <c r="C1945">
        <v>1939</v>
      </c>
      <c r="D1945">
        <v>0</v>
      </c>
      <c r="E1945">
        <v>26</v>
      </c>
      <c r="F1945" t="s">
        <v>32</v>
      </c>
      <c r="G1945" t="s">
        <v>170</v>
      </c>
      <c r="H1945" t="s">
        <v>239</v>
      </c>
      <c r="I1945">
        <v>5</v>
      </c>
    </row>
    <row r="1946" spans="1:9" x14ac:dyDescent="0.2">
      <c r="A1946">
        <v>9278998</v>
      </c>
      <c r="B1946">
        <v>1</v>
      </c>
      <c r="C1946">
        <v>3023</v>
      </c>
      <c r="D1946">
        <v>62320</v>
      </c>
      <c r="E1946">
        <v>25</v>
      </c>
      <c r="F1946" t="s">
        <v>44</v>
      </c>
      <c r="G1946" t="s">
        <v>124</v>
      </c>
      <c r="H1946" t="s">
        <v>50</v>
      </c>
      <c r="I1946">
        <v>9</v>
      </c>
    </row>
    <row r="1947" spans="1:9" x14ac:dyDescent="0.2">
      <c r="A1947">
        <v>9278998</v>
      </c>
      <c r="B1947">
        <v>2</v>
      </c>
      <c r="C1947">
        <v>1776</v>
      </c>
      <c r="D1947">
        <v>61580</v>
      </c>
      <c r="E1947">
        <v>25</v>
      </c>
      <c r="F1947" t="s">
        <v>57</v>
      </c>
      <c r="G1947" t="s">
        <v>124</v>
      </c>
      <c r="H1947" t="s">
        <v>125</v>
      </c>
      <c r="I1947">
        <v>10</v>
      </c>
    </row>
    <row r="1948" spans="1:9" x14ac:dyDescent="0.2">
      <c r="A1948">
        <v>9278998</v>
      </c>
      <c r="B1948">
        <v>3</v>
      </c>
      <c r="C1948">
        <v>1705</v>
      </c>
      <c r="D1948">
        <v>62320</v>
      </c>
      <c r="E1948">
        <v>24</v>
      </c>
      <c r="F1948" t="s">
        <v>57</v>
      </c>
      <c r="G1948" t="s">
        <v>102</v>
      </c>
      <c r="H1948" t="s">
        <v>69</v>
      </c>
      <c r="I1948">
        <v>10</v>
      </c>
    </row>
    <row r="1949" spans="1:9" x14ac:dyDescent="0.2">
      <c r="A1949">
        <v>9278998</v>
      </c>
      <c r="B1949">
        <v>4</v>
      </c>
      <c r="C1949">
        <v>3020</v>
      </c>
      <c r="D1949">
        <v>0</v>
      </c>
      <c r="E1949">
        <v>26</v>
      </c>
      <c r="F1949" t="s">
        <v>44</v>
      </c>
      <c r="G1949" t="s">
        <v>102</v>
      </c>
      <c r="H1949" t="s">
        <v>50</v>
      </c>
      <c r="I1949">
        <v>9</v>
      </c>
    </row>
    <row r="1950" spans="1:9" x14ac:dyDescent="0.2">
      <c r="A1950">
        <v>9278998</v>
      </c>
      <c r="B1950">
        <v>5</v>
      </c>
      <c r="C1950">
        <v>3021</v>
      </c>
      <c r="D1950">
        <v>0</v>
      </c>
      <c r="E1950">
        <v>26</v>
      </c>
      <c r="F1950" t="s">
        <v>44</v>
      </c>
      <c r="G1950" t="s">
        <v>49</v>
      </c>
      <c r="H1950" t="s">
        <v>50</v>
      </c>
      <c r="I1950">
        <v>9</v>
      </c>
    </row>
    <row r="1951" spans="1:9" x14ac:dyDescent="0.2">
      <c r="A1951">
        <v>9294492</v>
      </c>
      <c r="B1951">
        <v>1</v>
      </c>
      <c r="C1951">
        <v>3085</v>
      </c>
      <c r="D1951">
        <v>54360</v>
      </c>
      <c r="E1951">
        <v>25</v>
      </c>
      <c r="F1951" t="s">
        <v>44</v>
      </c>
      <c r="G1951" t="s">
        <v>84</v>
      </c>
      <c r="H1951" t="s">
        <v>55</v>
      </c>
      <c r="I1951">
        <v>9</v>
      </c>
    </row>
    <row r="1952" spans="1:9" x14ac:dyDescent="0.2">
      <c r="A1952">
        <v>9294492</v>
      </c>
      <c r="B1952">
        <v>2</v>
      </c>
      <c r="C1952">
        <v>3000</v>
      </c>
      <c r="D1952">
        <v>54360</v>
      </c>
      <c r="E1952">
        <v>24</v>
      </c>
      <c r="F1952" t="s">
        <v>44</v>
      </c>
      <c r="G1952" t="s">
        <v>99</v>
      </c>
      <c r="H1952" t="s">
        <v>55</v>
      </c>
      <c r="I1952">
        <v>9</v>
      </c>
    </row>
    <row r="1953" spans="1:9" x14ac:dyDescent="0.2">
      <c r="A1953">
        <v>9294492</v>
      </c>
      <c r="B1953">
        <v>3</v>
      </c>
      <c r="C1953">
        <v>3702</v>
      </c>
      <c r="D1953">
        <v>0</v>
      </c>
      <c r="E1953">
        <v>26</v>
      </c>
      <c r="F1953" t="s">
        <v>116</v>
      </c>
      <c r="G1953" t="s">
        <v>235</v>
      </c>
      <c r="H1953" t="s">
        <v>61</v>
      </c>
      <c r="I1953">
        <v>9</v>
      </c>
    </row>
    <row r="1954" spans="1:9" x14ac:dyDescent="0.2">
      <c r="A1954">
        <v>9294492</v>
      </c>
      <c r="B1954">
        <v>4</v>
      </c>
      <c r="C1954">
        <v>3067</v>
      </c>
      <c r="D1954">
        <v>0</v>
      </c>
      <c r="E1954">
        <v>26</v>
      </c>
      <c r="F1954" t="s">
        <v>44</v>
      </c>
      <c r="G1954" t="s">
        <v>252</v>
      </c>
      <c r="H1954" t="s">
        <v>52</v>
      </c>
      <c r="I1954">
        <v>9</v>
      </c>
    </row>
    <row r="1955" spans="1:9" x14ac:dyDescent="0.2">
      <c r="A1955">
        <v>9294492</v>
      </c>
      <c r="B1955">
        <v>5</v>
      </c>
      <c r="C1955">
        <v>3704</v>
      </c>
      <c r="D1955">
        <v>0</v>
      </c>
      <c r="E1955">
        <v>26</v>
      </c>
      <c r="F1955" t="s">
        <v>116</v>
      </c>
      <c r="G1955" t="s">
        <v>93</v>
      </c>
      <c r="H1955" t="s">
        <v>61</v>
      </c>
      <c r="I1955">
        <v>9</v>
      </c>
    </row>
    <row r="1956" spans="1:9" x14ac:dyDescent="0.2">
      <c r="A1956">
        <v>9294492</v>
      </c>
      <c r="B1956">
        <v>6</v>
      </c>
      <c r="C1956">
        <v>3092</v>
      </c>
      <c r="D1956">
        <v>0</v>
      </c>
      <c r="E1956">
        <v>26</v>
      </c>
      <c r="F1956" t="s">
        <v>44</v>
      </c>
      <c r="G1956" t="s">
        <v>251</v>
      </c>
      <c r="H1956" t="s">
        <v>52</v>
      </c>
      <c r="I1956">
        <v>9</v>
      </c>
    </row>
    <row r="1957" spans="1:9" x14ac:dyDescent="0.2">
      <c r="A1957">
        <v>9294492</v>
      </c>
      <c r="B1957">
        <v>7</v>
      </c>
      <c r="C1957">
        <v>3091</v>
      </c>
      <c r="D1957">
        <v>0</v>
      </c>
      <c r="E1957">
        <v>26</v>
      </c>
      <c r="F1957" t="s">
        <v>44</v>
      </c>
      <c r="G1957" t="s">
        <v>89</v>
      </c>
      <c r="H1957" t="s">
        <v>52</v>
      </c>
      <c r="I1957">
        <v>9</v>
      </c>
    </row>
    <row r="1958" spans="1:9" x14ac:dyDescent="0.2">
      <c r="A1958">
        <v>9317252</v>
      </c>
      <c r="B1958">
        <v>1</v>
      </c>
      <c r="C1958">
        <v>3225</v>
      </c>
      <c r="D1958">
        <v>0</v>
      </c>
      <c r="E1958">
        <v>36</v>
      </c>
      <c r="F1958" t="s">
        <v>47</v>
      </c>
      <c r="G1958" t="s">
        <v>106</v>
      </c>
      <c r="H1958" t="s">
        <v>46</v>
      </c>
      <c r="I1958">
        <v>10</v>
      </c>
    </row>
    <row r="1959" spans="1:9" x14ac:dyDescent="0.2">
      <c r="A1959">
        <v>9317252</v>
      </c>
      <c r="B1959">
        <v>2</v>
      </c>
      <c r="C1959">
        <v>3269</v>
      </c>
      <c r="D1959">
        <v>0</v>
      </c>
      <c r="E1959">
        <v>36</v>
      </c>
      <c r="F1959" t="s">
        <v>47</v>
      </c>
      <c r="G1959" t="s">
        <v>180</v>
      </c>
      <c r="H1959" t="s">
        <v>46</v>
      </c>
      <c r="I1959">
        <v>10</v>
      </c>
    </row>
    <row r="1960" spans="1:9" x14ac:dyDescent="0.2">
      <c r="A1960">
        <v>9323502</v>
      </c>
      <c r="B1960">
        <v>1</v>
      </c>
      <c r="C1960">
        <v>3248</v>
      </c>
      <c r="D1960">
        <v>47355</v>
      </c>
      <c r="E1960">
        <v>25</v>
      </c>
      <c r="F1960" t="s">
        <v>47</v>
      </c>
      <c r="G1960" t="s">
        <v>92</v>
      </c>
      <c r="H1960" t="s">
        <v>46</v>
      </c>
      <c r="I1960">
        <v>10</v>
      </c>
    </row>
    <row r="1961" spans="1:9" x14ac:dyDescent="0.2">
      <c r="A1961">
        <v>9323502</v>
      </c>
      <c r="B1961">
        <v>2</v>
      </c>
      <c r="C1961">
        <v>3245</v>
      </c>
      <c r="D1961">
        <v>48160</v>
      </c>
      <c r="E1961">
        <v>25</v>
      </c>
      <c r="F1961" t="s">
        <v>47</v>
      </c>
      <c r="G1961" t="s">
        <v>157</v>
      </c>
      <c r="H1961" t="s">
        <v>74</v>
      </c>
      <c r="I1961">
        <v>10</v>
      </c>
    </row>
    <row r="1962" spans="1:9" x14ac:dyDescent="0.2">
      <c r="A1962">
        <v>9323502</v>
      </c>
      <c r="B1962">
        <v>3</v>
      </c>
      <c r="C1962">
        <v>3252</v>
      </c>
      <c r="D1962">
        <v>47600</v>
      </c>
      <c r="E1962">
        <v>25</v>
      </c>
      <c r="F1962" t="s">
        <v>47</v>
      </c>
      <c r="G1962" t="s">
        <v>45</v>
      </c>
      <c r="H1962" t="s">
        <v>46</v>
      </c>
      <c r="I1962">
        <v>10</v>
      </c>
    </row>
    <row r="1963" spans="1:9" x14ac:dyDescent="0.2">
      <c r="A1963">
        <v>9323502</v>
      </c>
      <c r="B1963">
        <v>4</v>
      </c>
      <c r="C1963">
        <v>3246</v>
      </c>
      <c r="D1963">
        <v>47600</v>
      </c>
      <c r="E1963">
        <v>25</v>
      </c>
      <c r="F1963" t="s">
        <v>47</v>
      </c>
      <c r="G1963" t="s">
        <v>91</v>
      </c>
      <c r="H1963" t="s">
        <v>74</v>
      </c>
      <c r="I1963">
        <v>10</v>
      </c>
    </row>
    <row r="1964" spans="1:9" x14ac:dyDescent="0.2">
      <c r="A1964">
        <v>9323502</v>
      </c>
      <c r="B1964">
        <v>5</v>
      </c>
      <c r="C1964">
        <v>3239</v>
      </c>
      <c r="D1964">
        <v>48160</v>
      </c>
      <c r="E1964">
        <v>25</v>
      </c>
      <c r="F1964" t="s">
        <v>47</v>
      </c>
      <c r="G1964" t="s">
        <v>107</v>
      </c>
      <c r="H1964" t="s">
        <v>46</v>
      </c>
      <c r="I1964">
        <v>10</v>
      </c>
    </row>
    <row r="1965" spans="1:9" x14ac:dyDescent="0.2">
      <c r="A1965">
        <v>9323502</v>
      </c>
      <c r="B1965">
        <v>6</v>
      </c>
      <c r="C1965">
        <v>3242</v>
      </c>
      <c r="D1965">
        <v>47945</v>
      </c>
      <c r="E1965">
        <v>25</v>
      </c>
      <c r="F1965" t="s">
        <v>47</v>
      </c>
      <c r="G1965" t="s">
        <v>90</v>
      </c>
      <c r="H1965" t="s">
        <v>46</v>
      </c>
      <c r="I1965">
        <v>10</v>
      </c>
    </row>
    <row r="1966" spans="1:9" x14ac:dyDescent="0.2">
      <c r="A1966">
        <v>9323502</v>
      </c>
      <c r="B1966">
        <v>7</v>
      </c>
      <c r="C1966">
        <v>3244</v>
      </c>
      <c r="D1966">
        <v>47425</v>
      </c>
      <c r="E1966">
        <v>25</v>
      </c>
      <c r="F1966" t="s">
        <v>47</v>
      </c>
      <c r="G1966" t="s">
        <v>73</v>
      </c>
      <c r="H1966" t="s">
        <v>74</v>
      </c>
      <c r="I1966">
        <v>10</v>
      </c>
    </row>
    <row r="1967" spans="1:9" x14ac:dyDescent="0.2">
      <c r="A1967">
        <v>9323502</v>
      </c>
      <c r="B1967">
        <v>8</v>
      </c>
      <c r="C1967">
        <v>3251</v>
      </c>
      <c r="D1967">
        <v>48015</v>
      </c>
      <c r="E1967">
        <v>25</v>
      </c>
      <c r="F1967" t="s">
        <v>47</v>
      </c>
      <c r="G1967" t="s">
        <v>48</v>
      </c>
      <c r="H1967" t="s">
        <v>46</v>
      </c>
      <c r="I1967">
        <v>10</v>
      </c>
    </row>
    <row r="1968" spans="1:9" x14ac:dyDescent="0.2">
      <c r="A1968">
        <v>9351132</v>
      </c>
      <c r="B1968">
        <v>1</v>
      </c>
      <c r="C1968">
        <v>3225</v>
      </c>
      <c r="D1968">
        <v>52830</v>
      </c>
      <c r="E1968">
        <v>24</v>
      </c>
      <c r="F1968" t="s">
        <v>47</v>
      </c>
      <c r="G1968" t="s">
        <v>106</v>
      </c>
      <c r="H1968" t="s">
        <v>46</v>
      </c>
      <c r="I1968">
        <v>10</v>
      </c>
    </row>
    <row r="1969" spans="1:9" x14ac:dyDescent="0.2">
      <c r="A1969">
        <v>9351132</v>
      </c>
      <c r="B1969">
        <v>2</v>
      </c>
      <c r="C1969">
        <v>3234</v>
      </c>
      <c r="D1969">
        <v>0</v>
      </c>
      <c r="E1969">
        <v>26</v>
      </c>
      <c r="F1969" t="s">
        <v>47</v>
      </c>
      <c r="G1969" t="s">
        <v>76</v>
      </c>
      <c r="H1969" t="s">
        <v>46</v>
      </c>
      <c r="I1969">
        <v>10</v>
      </c>
    </row>
    <row r="1970" spans="1:9" x14ac:dyDescent="0.2">
      <c r="A1970">
        <v>9351132</v>
      </c>
      <c r="B1970">
        <v>3</v>
      </c>
      <c r="C1970">
        <v>3212</v>
      </c>
      <c r="D1970">
        <v>0</v>
      </c>
      <c r="E1970">
        <v>26</v>
      </c>
      <c r="F1970" t="s">
        <v>47</v>
      </c>
      <c r="G1970" t="s">
        <v>84</v>
      </c>
      <c r="H1970" t="s">
        <v>46</v>
      </c>
      <c r="I1970">
        <v>10</v>
      </c>
    </row>
    <row r="1971" spans="1:9" x14ac:dyDescent="0.2">
      <c r="A1971">
        <v>9351132</v>
      </c>
      <c r="B1971">
        <v>4</v>
      </c>
      <c r="C1971">
        <v>1788</v>
      </c>
      <c r="D1971">
        <v>0</v>
      </c>
      <c r="E1971">
        <v>26</v>
      </c>
      <c r="F1971" t="s">
        <v>57</v>
      </c>
      <c r="G1971" t="s">
        <v>97</v>
      </c>
      <c r="H1971" t="s">
        <v>56</v>
      </c>
      <c r="I1971">
        <v>10</v>
      </c>
    </row>
    <row r="1972" spans="1:9" x14ac:dyDescent="0.2">
      <c r="A1972">
        <v>9351132</v>
      </c>
      <c r="B1972">
        <v>5</v>
      </c>
      <c r="C1972">
        <v>1776</v>
      </c>
      <c r="D1972">
        <v>0</v>
      </c>
      <c r="E1972">
        <v>26</v>
      </c>
      <c r="F1972" t="s">
        <v>57</v>
      </c>
      <c r="G1972" t="s">
        <v>124</v>
      </c>
      <c r="H1972" t="s">
        <v>125</v>
      </c>
      <c r="I1972">
        <v>10</v>
      </c>
    </row>
    <row r="1973" spans="1:9" x14ac:dyDescent="0.2">
      <c r="A1973">
        <v>9351132</v>
      </c>
      <c r="B1973">
        <v>6</v>
      </c>
      <c r="C1973">
        <v>1753</v>
      </c>
      <c r="D1973">
        <v>0</v>
      </c>
      <c r="E1973">
        <v>26</v>
      </c>
      <c r="F1973" t="s">
        <v>57</v>
      </c>
      <c r="G1973" t="s">
        <v>105</v>
      </c>
      <c r="H1973" t="s">
        <v>69</v>
      </c>
      <c r="I1973">
        <v>10</v>
      </c>
    </row>
    <row r="1974" spans="1:9" x14ac:dyDescent="0.2">
      <c r="A1974">
        <v>9351132</v>
      </c>
      <c r="B1974">
        <v>7</v>
      </c>
      <c r="C1974">
        <v>3243</v>
      </c>
      <c r="D1974">
        <v>0</v>
      </c>
      <c r="E1974">
        <v>26</v>
      </c>
      <c r="F1974" t="s">
        <v>47</v>
      </c>
      <c r="G1974" t="s">
        <v>75</v>
      </c>
      <c r="H1974" t="s">
        <v>46</v>
      </c>
      <c r="I1974">
        <v>10</v>
      </c>
    </row>
    <row r="1975" spans="1:9" x14ac:dyDescent="0.2">
      <c r="A1975">
        <v>9351132</v>
      </c>
      <c r="B1975">
        <v>8</v>
      </c>
      <c r="C1975">
        <v>3261</v>
      </c>
      <c r="D1975">
        <v>0</v>
      </c>
      <c r="E1975">
        <v>26</v>
      </c>
      <c r="F1975" t="s">
        <v>47</v>
      </c>
      <c r="G1975" t="s">
        <v>93</v>
      </c>
      <c r="H1975" t="s">
        <v>46</v>
      </c>
      <c r="I1975">
        <v>10</v>
      </c>
    </row>
    <row r="1976" spans="1:9" x14ac:dyDescent="0.2">
      <c r="A1976">
        <v>9388024</v>
      </c>
      <c r="B1976">
        <v>1</v>
      </c>
      <c r="C1976">
        <v>1508</v>
      </c>
      <c r="D1976">
        <v>62905</v>
      </c>
      <c r="E1976">
        <v>25</v>
      </c>
      <c r="F1976" t="s">
        <v>142</v>
      </c>
      <c r="G1976" t="s">
        <v>249</v>
      </c>
      <c r="H1976" t="s">
        <v>31</v>
      </c>
      <c r="I1976">
        <v>5</v>
      </c>
    </row>
    <row r="1977" spans="1:9" x14ac:dyDescent="0.2">
      <c r="A1977">
        <v>9388024</v>
      </c>
      <c r="B1977">
        <v>2</v>
      </c>
      <c r="C1977">
        <v>1503</v>
      </c>
      <c r="D1977">
        <v>62905</v>
      </c>
      <c r="E1977">
        <v>25</v>
      </c>
      <c r="F1977" t="s">
        <v>142</v>
      </c>
      <c r="G1977" t="s">
        <v>161</v>
      </c>
      <c r="H1977" t="s">
        <v>31</v>
      </c>
      <c r="I1977">
        <v>5</v>
      </c>
    </row>
    <row r="1978" spans="1:9" x14ac:dyDescent="0.2">
      <c r="A1978">
        <v>9388024</v>
      </c>
      <c r="B1978">
        <v>3</v>
      </c>
      <c r="C1978">
        <v>1373</v>
      </c>
      <c r="D1978">
        <v>63305</v>
      </c>
      <c r="E1978">
        <v>24</v>
      </c>
      <c r="F1978" t="s">
        <v>21</v>
      </c>
      <c r="G1978" t="s">
        <v>249</v>
      </c>
      <c r="H1978" t="s">
        <v>20</v>
      </c>
      <c r="I1978">
        <v>8</v>
      </c>
    </row>
    <row r="1979" spans="1:9" x14ac:dyDescent="0.2">
      <c r="A1979">
        <v>9388024</v>
      </c>
      <c r="B1979">
        <v>4</v>
      </c>
      <c r="C1979">
        <v>1368</v>
      </c>
      <c r="D1979">
        <v>0</v>
      </c>
      <c r="E1979">
        <v>26</v>
      </c>
      <c r="F1979" t="s">
        <v>21</v>
      </c>
      <c r="G1979" t="s">
        <v>140</v>
      </c>
      <c r="H1979" t="s">
        <v>20</v>
      </c>
      <c r="I1979">
        <v>8</v>
      </c>
    </row>
    <row r="1980" spans="1:9" x14ac:dyDescent="0.2">
      <c r="A1980">
        <v>9388024</v>
      </c>
      <c r="B1980">
        <v>5</v>
      </c>
      <c r="C1980">
        <v>1708</v>
      </c>
      <c r="D1980">
        <v>0</v>
      </c>
      <c r="E1980">
        <v>26</v>
      </c>
      <c r="F1980" t="s">
        <v>57</v>
      </c>
      <c r="G1980" t="s">
        <v>80</v>
      </c>
      <c r="H1980" t="s">
        <v>79</v>
      </c>
      <c r="I1980">
        <v>10</v>
      </c>
    </row>
    <row r="1981" spans="1:9" x14ac:dyDescent="0.2">
      <c r="A1981">
        <v>9388024</v>
      </c>
      <c r="B1981">
        <v>6</v>
      </c>
      <c r="C1981">
        <v>1311</v>
      </c>
      <c r="D1981">
        <v>0</v>
      </c>
      <c r="E1981">
        <v>26</v>
      </c>
      <c r="F1981" t="s">
        <v>21</v>
      </c>
      <c r="G1981" t="s">
        <v>95</v>
      </c>
      <c r="H1981" t="s">
        <v>20</v>
      </c>
      <c r="I1981">
        <v>8</v>
      </c>
    </row>
    <row r="1982" spans="1:9" x14ac:dyDescent="0.2">
      <c r="A1982">
        <v>9388024</v>
      </c>
      <c r="B1982">
        <v>7</v>
      </c>
      <c r="C1982">
        <v>1714</v>
      </c>
      <c r="D1982">
        <v>0</v>
      </c>
      <c r="E1982">
        <v>26</v>
      </c>
      <c r="F1982" t="s">
        <v>57</v>
      </c>
      <c r="G1982" t="s">
        <v>95</v>
      </c>
      <c r="H1982" t="s">
        <v>69</v>
      </c>
      <c r="I1982">
        <v>10</v>
      </c>
    </row>
    <row r="1983" spans="1:9" x14ac:dyDescent="0.2">
      <c r="A1983">
        <v>9412633</v>
      </c>
      <c r="B1983">
        <v>1</v>
      </c>
      <c r="C1983">
        <v>1368</v>
      </c>
      <c r="D1983">
        <v>57210</v>
      </c>
      <c r="E1983">
        <v>25</v>
      </c>
      <c r="F1983" t="s">
        <v>21</v>
      </c>
      <c r="G1983" t="s">
        <v>140</v>
      </c>
      <c r="H1983" t="s">
        <v>20</v>
      </c>
      <c r="I1983">
        <v>8</v>
      </c>
    </row>
    <row r="1984" spans="1:9" x14ac:dyDescent="0.2">
      <c r="A1984">
        <v>9412633</v>
      </c>
      <c r="B1984">
        <v>2</v>
      </c>
      <c r="C1984">
        <v>1370</v>
      </c>
      <c r="D1984">
        <v>57210</v>
      </c>
      <c r="E1984">
        <v>25</v>
      </c>
      <c r="F1984" t="s">
        <v>21</v>
      </c>
      <c r="G1984" t="s">
        <v>120</v>
      </c>
      <c r="H1984" t="s">
        <v>20</v>
      </c>
      <c r="I1984">
        <v>8</v>
      </c>
    </row>
    <row r="1985" spans="1:9" x14ac:dyDescent="0.2">
      <c r="A1985">
        <v>9438846</v>
      </c>
      <c r="B1985">
        <v>1</v>
      </c>
      <c r="C1985">
        <v>3261</v>
      </c>
      <c r="D1985">
        <v>53760</v>
      </c>
      <c r="E1985">
        <v>24</v>
      </c>
      <c r="F1985" t="s">
        <v>47</v>
      </c>
      <c r="G1985" t="s">
        <v>93</v>
      </c>
      <c r="H1985" t="s">
        <v>46</v>
      </c>
      <c r="I1985">
        <v>10</v>
      </c>
    </row>
    <row r="1986" spans="1:9" x14ac:dyDescent="0.2">
      <c r="A1986">
        <v>9438846</v>
      </c>
      <c r="B1986">
        <v>2</v>
      </c>
      <c r="C1986">
        <v>3234</v>
      </c>
      <c r="D1986">
        <v>0</v>
      </c>
      <c r="E1986">
        <v>26</v>
      </c>
      <c r="F1986" t="s">
        <v>47</v>
      </c>
      <c r="G1986" t="s">
        <v>76</v>
      </c>
      <c r="H1986" t="s">
        <v>46</v>
      </c>
      <c r="I1986">
        <v>10</v>
      </c>
    </row>
    <row r="1987" spans="1:9" x14ac:dyDescent="0.2">
      <c r="A1987">
        <v>9438846</v>
      </c>
      <c r="B1987">
        <v>3</v>
      </c>
      <c r="C1987">
        <v>3243</v>
      </c>
      <c r="D1987">
        <v>0</v>
      </c>
      <c r="E1987">
        <v>26</v>
      </c>
      <c r="F1987" t="s">
        <v>47</v>
      </c>
      <c r="G1987" t="s">
        <v>75</v>
      </c>
      <c r="H1987" t="s">
        <v>46</v>
      </c>
      <c r="I1987">
        <v>10</v>
      </c>
    </row>
    <row r="1988" spans="1:9" x14ac:dyDescent="0.2">
      <c r="A1988">
        <v>9440674</v>
      </c>
      <c r="B1988">
        <v>1</v>
      </c>
      <c r="C1988">
        <v>1714</v>
      </c>
      <c r="D1988">
        <v>69510</v>
      </c>
      <c r="E1988">
        <v>24</v>
      </c>
      <c r="F1988" t="s">
        <v>57</v>
      </c>
      <c r="G1988" t="s">
        <v>95</v>
      </c>
      <c r="H1988" t="s">
        <v>69</v>
      </c>
      <c r="I1988">
        <v>10</v>
      </c>
    </row>
    <row r="1989" spans="1:9" x14ac:dyDescent="0.2">
      <c r="A1989">
        <v>9440674</v>
      </c>
      <c r="B1989">
        <v>2</v>
      </c>
      <c r="C1989">
        <v>1700</v>
      </c>
      <c r="D1989">
        <v>0</v>
      </c>
      <c r="E1989">
        <v>26</v>
      </c>
      <c r="F1989" t="s">
        <v>57</v>
      </c>
      <c r="G1989" t="s">
        <v>58</v>
      </c>
      <c r="H1989" t="s">
        <v>69</v>
      </c>
      <c r="I1989">
        <v>10</v>
      </c>
    </row>
    <row r="1990" spans="1:9" x14ac:dyDescent="0.2">
      <c r="A1990">
        <v>9469344</v>
      </c>
      <c r="B1990">
        <v>1</v>
      </c>
      <c r="C1990">
        <v>3212</v>
      </c>
      <c r="D1990">
        <v>54740</v>
      </c>
      <c r="E1990">
        <v>24</v>
      </c>
      <c r="F1990" t="s">
        <v>47</v>
      </c>
      <c r="G1990" t="s">
        <v>84</v>
      </c>
      <c r="H1990" t="s">
        <v>46</v>
      </c>
      <c r="I1990">
        <v>10</v>
      </c>
    </row>
    <row r="1991" spans="1:9" x14ac:dyDescent="0.2">
      <c r="A1991">
        <v>9469344</v>
      </c>
      <c r="B1991">
        <v>2</v>
      </c>
      <c r="C1991">
        <v>3214</v>
      </c>
      <c r="D1991">
        <v>0</v>
      </c>
      <c r="E1991">
        <v>26</v>
      </c>
      <c r="F1991" t="s">
        <v>47</v>
      </c>
      <c r="G1991" t="s">
        <v>98</v>
      </c>
      <c r="H1991" t="s">
        <v>74</v>
      </c>
      <c r="I1991">
        <v>10</v>
      </c>
    </row>
    <row r="1992" spans="1:9" x14ac:dyDescent="0.2">
      <c r="A1992">
        <v>9469344</v>
      </c>
      <c r="B1992">
        <v>3</v>
      </c>
      <c r="C1992">
        <v>1782</v>
      </c>
      <c r="D1992">
        <v>0</v>
      </c>
      <c r="E1992">
        <v>26</v>
      </c>
      <c r="F1992" t="s">
        <v>57</v>
      </c>
      <c r="G1992" t="s">
        <v>63</v>
      </c>
      <c r="H1992" t="s">
        <v>69</v>
      </c>
      <c r="I1992">
        <v>10</v>
      </c>
    </row>
    <row r="1993" spans="1:9" x14ac:dyDescent="0.2">
      <c r="A1993">
        <v>9522956</v>
      </c>
      <c r="B1993">
        <v>1</v>
      </c>
      <c r="C1993">
        <v>1782</v>
      </c>
      <c r="D1993">
        <v>62555</v>
      </c>
      <c r="E1993">
        <v>24</v>
      </c>
      <c r="F1993" t="s">
        <v>57</v>
      </c>
      <c r="G1993" t="s">
        <v>63</v>
      </c>
      <c r="H1993" t="s">
        <v>69</v>
      </c>
      <c r="I1993">
        <v>10</v>
      </c>
    </row>
    <row r="1994" spans="1:9" x14ac:dyDescent="0.2">
      <c r="A1994">
        <v>9522956</v>
      </c>
      <c r="B1994">
        <v>2</v>
      </c>
      <c r="C1994">
        <v>1709</v>
      </c>
      <c r="D1994">
        <v>0</v>
      </c>
      <c r="E1994">
        <v>26</v>
      </c>
      <c r="F1994" t="s">
        <v>57</v>
      </c>
      <c r="G1994" t="s">
        <v>84</v>
      </c>
      <c r="H1994" t="s">
        <v>69</v>
      </c>
      <c r="I1994">
        <v>10</v>
      </c>
    </row>
    <row r="1995" spans="1:9" x14ac:dyDescent="0.2">
      <c r="A1995">
        <v>9522956</v>
      </c>
      <c r="B1995">
        <v>3</v>
      </c>
      <c r="C1995">
        <v>1729</v>
      </c>
      <c r="D1995">
        <v>0</v>
      </c>
      <c r="E1995">
        <v>26</v>
      </c>
      <c r="F1995" t="s">
        <v>57</v>
      </c>
      <c r="G1995" t="s">
        <v>72</v>
      </c>
      <c r="H1995" t="s">
        <v>69</v>
      </c>
      <c r="I1995">
        <v>10</v>
      </c>
    </row>
    <row r="1996" spans="1:9" x14ac:dyDescent="0.2">
      <c r="A1996">
        <v>9575588</v>
      </c>
      <c r="B1996">
        <v>1</v>
      </c>
      <c r="C1996">
        <v>1608</v>
      </c>
      <c r="D1996">
        <v>61380</v>
      </c>
      <c r="E1996">
        <v>25</v>
      </c>
      <c r="F1996" t="s">
        <v>128</v>
      </c>
      <c r="G1996" t="s">
        <v>357</v>
      </c>
      <c r="H1996" t="s">
        <v>127</v>
      </c>
      <c r="I1996" t="s">
        <v>448</v>
      </c>
    </row>
    <row r="1997" spans="1:9" x14ac:dyDescent="0.2">
      <c r="A1997">
        <v>9575588</v>
      </c>
      <c r="B1997">
        <v>2</v>
      </c>
      <c r="C1997">
        <v>1607</v>
      </c>
      <c r="D1997">
        <v>61380</v>
      </c>
      <c r="E1997">
        <v>25</v>
      </c>
      <c r="F1997" t="s">
        <v>128</v>
      </c>
      <c r="G1997" t="s">
        <v>440</v>
      </c>
      <c r="H1997" t="s">
        <v>127</v>
      </c>
      <c r="I1997" t="s">
        <v>448</v>
      </c>
    </row>
    <row r="1998" spans="1:9" x14ac:dyDescent="0.2">
      <c r="A1998">
        <v>9575588</v>
      </c>
      <c r="B1998">
        <v>3</v>
      </c>
      <c r="C1998">
        <v>1605</v>
      </c>
      <c r="D1998">
        <v>61380</v>
      </c>
      <c r="E1998">
        <v>25</v>
      </c>
      <c r="F1998" t="s">
        <v>128</v>
      </c>
      <c r="G1998" t="s">
        <v>166</v>
      </c>
      <c r="H1998" t="s">
        <v>127</v>
      </c>
      <c r="I1998" t="s">
        <v>448</v>
      </c>
    </row>
    <row r="1999" spans="1:9" x14ac:dyDescent="0.2">
      <c r="A1999">
        <v>9575588</v>
      </c>
      <c r="B1999">
        <v>4</v>
      </c>
      <c r="C1999">
        <v>1601</v>
      </c>
      <c r="D1999">
        <v>61380</v>
      </c>
      <c r="E1999">
        <v>25</v>
      </c>
      <c r="F1999" t="s">
        <v>128</v>
      </c>
      <c r="G1999" t="s">
        <v>412</v>
      </c>
      <c r="H1999" t="s">
        <v>127</v>
      </c>
      <c r="I1999" t="s">
        <v>448</v>
      </c>
    </row>
    <row r="2000" spans="1:9" x14ac:dyDescent="0.2">
      <c r="A2000">
        <v>9575588</v>
      </c>
      <c r="B2000">
        <v>5</v>
      </c>
      <c r="C2000">
        <v>1606</v>
      </c>
      <c r="D2000">
        <v>61380</v>
      </c>
      <c r="E2000">
        <v>25</v>
      </c>
      <c r="F2000" t="s">
        <v>128</v>
      </c>
      <c r="G2000" t="s">
        <v>446</v>
      </c>
      <c r="H2000" t="s">
        <v>127</v>
      </c>
      <c r="I2000" t="s">
        <v>448</v>
      </c>
    </row>
    <row r="2001" spans="1:9" x14ac:dyDescent="0.2">
      <c r="A2001">
        <v>9582165</v>
      </c>
      <c r="B2001">
        <v>1</v>
      </c>
      <c r="C2001">
        <v>3243</v>
      </c>
      <c r="D2001">
        <v>47535</v>
      </c>
      <c r="E2001">
        <v>25</v>
      </c>
      <c r="F2001" t="s">
        <v>47</v>
      </c>
      <c r="G2001" t="s">
        <v>75</v>
      </c>
      <c r="H2001" t="s">
        <v>46</v>
      </c>
      <c r="I2001">
        <v>10</v>
      </c>
    </row>
    <row r="2002" spans="1:9" x14ac:dyDescent="0.2">
      <c r="A2002">
        <v>9582165</v>
      </c>
      <c r="B2002">
        <v>2</v>
      </c>
      <c r="C2002">
        <v>3244</v>
      </c>
      <c r="D2002">
        <v>45410</v>
      </c>
      <c r="E2002">
        <v>25</v>
      </c>
      <c r="F2002" t="s">
        <v>47</v>
      </c>
      <c r="G2002" t="s">
        <v>73</v>
      </c>
      <c r="H2002" t="s">
        <v>74</v>
      </c>
      <c r="I2002">
        <v>10</v>
      </c>
    </row>
    <row r="2003" spans="1:9" x14ac:dyDescent="0.2">
      <c r="A2003">
        <v>9582327</v>
      </c>
      <c r="B2003">
        <v>1</v>
      </c>
      <c r="C2003">
        <v>1220</v>
      </c>
      <c r="D2003">
        <v>66070</v>
      </c>
      <c r="E2003">
        <v>25</v>
      </c>
      <c r="F2003" t="s">
        <v>19</v>
      </c>
      <c r="G2003" t="s">
        <v>244</v>
      </c>
      <c r="H2003" t="s">
        <v>16</v>
      </c>
      <c r="I2003" t="s">
        <v>448</v>
      </c>
    </row>
    <row r="2004" spans="1:9" x14ac:dyDescent="0.2">
      <c r="A2004">
        <v>9582327</v>
      </c>
      <c r="B2004">
        <v>2</v>
      </c>
      <c r="C2004">
        <v>1246</v>
      </c>
      <c r="D2004">
        <v>65740</v>
      </c>
      <c r="E2004">
        <v>25</v>
      </c>
      <c r="F2004" t="s">
        <v>19</v>
      </c>
      <c r="G2004" t="s">
        <v>245</v>
      </c>
      <c r="H2004" t="s">
        <v>16</v>
      </c>
      <c r="I2004" t="s">
        <v>448</v>
      </c>
    </row>
    <row r="2005" spans="1:9" x14ac:dyDescent="0.2">
      <c r="A2005">
        <v>9582327</v>
      </c>
      <c r="B2005">
        <v>3</v>
      </c>
      <c r="C2005">
        <v>1208</v>
      </c>
      <c r="D2005">
        <v>66400</v>
      </c>
      <c r="E2005">
        <v>24</v>
      </c>
      <c r="F2005" t="s">
        <v>19</v>
      </c>
      <c r="G2005" t="s">
        <v>301</v>
      </c>
      <c r="H2005" t="s">
        <v>16</v>
      </c>
      <c r="I2005" t="s">
        <v>448</v>
      </c>
    </row>
    <row r="2006" spans="1:9" x14ac:dyDescent="0.2">
      <c r="A2006">
        <v>9607423</v>
      </c>
      <c r="B2006">
        <v>1</v>
      </c>
      <c r="C2006">
        <v>1736</v>
      </c>
      <c r="D2006">
        <v>0</v>
      </c>
      <c r="E2006">
        <v>31</v>
      </c>
      <c r="F2006" t="s">
        <v>57</v>
      </c>
      <c r="G2006" t="s">
        <v>78</v>
      </c>
      <c r="H2006" t="s">
        <v>79</v>
      </c>
      <c r="I2006">
        <v>10</v>
      </c>
    </row>
    <row r="2007" spans="1:9" x14ac:dyDescent="0.2">
      <c r="A2007">
        <v>9607423</v>
      </c>
      <c r="B2007">
        <v>2</v>
      </c>
      <c r="C2007">
        <v>1752</v>
      </c>
      <c r="D2007">
        <v>0</v>
      </c>
      <c r="E2007">
        <v>31</v>
      </c>
      <c r="F2007" t="s">
        <v>57</v>
      </c>
      <c r="G2007" t="s">
        <v>66</v>
      </c>
      <c r="H2007" t="s">
        <v>56</v>
      </c>
      <c r="I2007">
        <v>10</v>
      </c>
    </row>
    <row r="2008" spans="1:9" x14ac:dyDescent="0.2">
      <c r="A2008">
        <v>9607423</v>
      </c>
      <c r="B2008">
        <v>3</v>
      </c>
      <c r="C2008">
        <v>1759</v>
      </c>
      <c r="D2008">
        <v>0</v>
      </c>
      <c r="E2008">
        <v>31</v>
      </c>
      <c r="F2008" t="s">
        <v>57</v>
      </c>
      <c r="G2008" t="s">
        <v>154</v>
      </c>
      <c r="H2008" t="s">
        <v>56</v>
      </c>
      <c r="I2008">
        <v>10</v>
      </c>
    </row>
    <row r="2009" spans="1:9" x14ac:dyDescent="0.2">
      <c r="A2009">
        <v>9607423</v>
      </c>
      <c r="B2009">
        <v>4</v>
      </c>
      <c r="C2009">
        <v>1758</v>
      </c>
      <c r="D2009">
        <v>0</v>
      </c>
      <c r="E2009">
        <v>31</v>
      </c>
      <c r="F2009" t="s">
        <v>57</v>
      </c>
      <c r="G2009" t="s">
        <v>106</v>
      </c>
      <c r="H2009" t="s">
        <v>56</v>
      </c>
      <c r="I2009">
        <v>10</v>
      </c>
    </row>
    <row r="2010" spans="1:9" x14ac:dyDescent="0.2">
      <c r="A2010">
        <v>9607423</v>
      </c>
      <c r="B2010">
        <v>5</v>
      </c>
      <c r="C2010">
        <v>1778</v>
      </c>
      <c r="D2010">
        <v>0</v>
      </c>
      <c r="E2010">
        <v>31</v>
      </c>
      <c r="F2010" t="s">
        <v>57</v>
      </c>
      <c r="G2010" t="s">
        <v>84</v>
      </c>
      <c r="H2010" t="s">
        <v>56</v>
      </c>
      <c r="I2010">
        <v>10</v>
      </c>
    </row>
    <row r="2011" spans="1:9" x14ac:dyDescent="0.2">
      <c r="A2011">
        <v>9607423</v>
      </c>
      <c r="B2011">
        <v>6</v>
      </c>
      <c r="C2011">
        <v>2935</v>
      </c>
      <c r="D2011">
        <v>0</v>
      </c>
      <c r="E2011">
        <v>31</v>
      </c>
      <c r="F2011" t="s">
        <v>119</v>
      </c>
      <c r="G2011" t="s">
        <v>197</v>
      </c>
      <c r="H2011" t="s">
        <v>20</v>
      </c>
      <c r="I2011">
        <v>8</v>
      </c>
    </row>
    <row r="2012" spans="1:9" x14ac:dyDescent="0.2">
      <c r="A2012">
        <v>9640647</v>
      </c>
      <c r="B2012">
        <v>1</v>
      </c>
      <c r="C2012">
        <v>3226</v>
      </c>
      <c r="D2012">
        <v>54060</v>
      </c>
      <c r="E2012">
        <v>24</v>
      </c>
      <c r="F2012" t="s">
        <v>47</v>
      </c>
      <c r="G2012" t="s">
        <v>96</v>
      </c>
      <c r="H2012" t="s">
        <v>46</v>
      </c>
      <c r="I2012">
        <v>10</v>
      </c>
    </row>
    <row r="2013" spans="1:9" x14ac:dyDescent="0.2">
      <c r="A2013">
        <v>9640647</v>
      </c>
      <c r="B2013">
        <v>2</v>
      </c>
      <c r="C2013">
        <v>1700</v>
      </c>
      <c r="D2013">
        <v>0</v>
      </c>
      <c r="E2013">
        <v>26</v>
      </c>
      <c r="F2013" t="s">
        <v>57</v>
      </c>
      <c r="G2013" t="s">
        <v>58</v>
      </c>
      <c r="H2013" t="s">
        <v>69</v>
      </c>
      <c r="I2013">
        <v>10</v>
      </c>
    </row>
    <row r="2014" spans="1:9" x14ac:dyDescent="0.2">
      <c r="A2014">
        <v>9640647</v>
      </c>
      <c r="B2014">
        <v>3</v>
      </c>
      <c r="C2014">
        <v>1713</v>
      </c>
      <c r="D2014">
        <v>0</v>
      </c>
      <c r="E2014">
        <v>26</v>
      </c>
      <c r="F2014" t="s">
        <v>57</v>
      </c>
      <c r="G2014" t="s">
        <v>170</v>
      </c>
      <c r="H2014" t="s">
        <v>69</v>
      </c>
      <c r="I2014">
        <v>10</v>
      </c>
    </row>
    <row r="2015" spans="1:9" x14ac:dyDescent="0.2">
      <c r="A2015">
        <v>9640647</v>
      </c>
      <c r="B2015">
        <v>4</v>
      </c>
      <c r="C2015">
        <v>1714</v>
      </c>
      <c r="D2015">
        <v>0</v>
      </c>
      <c r="E2015">
        <v>26</v>
      </c>
      <c r="F2015" t="s">
        <v>57</v>
      </c>
      <c r="G2015" t="s">
        <v>95</v>
      </c>
      <c r="H2015" t="s">
        <v>69</v>
      </c>
      <c r="I2015">
        <v>10</v>
      </c>
    </row>
    <row r="2016" spans="1:9" x14ac:dyDescent="0.2">
      <c r="A2016">
        <v>9640647</v>
      </c>
      <c r="B2016">
        <v>5</v>
      </c>
      <c r="C2016">
        <v>1789</v>
      </c>
      <c r="D2016">
        <v>0</v>
      </c>
      <c r="E2016">
        <v>26</v>
      </c>
      <c r="F2016" t="s">
        <v>57</v>
      </c>
      <c r="G2016" t="s">
        <v>122</v>
      </c>
      <c r="H2016" t="s">
        <v>69</v>
      </c>
      <c r="I2016">
        <v>10</v>
      </c>
    </row>
    <row r="2017" spans="1:9" x14ac:dyDescent="0.2">
      <c r="A2017">
        <v>9640647</v>
      </c>
      <c r="B2017">
        <v>6</v>
      </c>
      <c r="C2017">
        <v>1737</v>
      </c>
      <c r="D2017">
        <v>0</v>
      </c>
      <c r="E2017">
        <v>26</v>
      </c>
      <c r="F2017" t="s">
        <v>57</v>
      </c>
      <c r="G2017" t="s">
        <v>54</v>
      </c>
      <c r="H2017" t="s">
        <v>79</v>
      </c>
      <c r="I2017">
        <v>10</v>
      </c>
    </row>
    <row r="2018" spans="1:9" x14ac:dyDescent="0.2">
      <c r="A2018">
        <v>9640647</v>
      </c>
      <c r="B2018">
        <v>7</v>
      </c>
      <c r="C2018">
        <v>3223</v>
      </c>
      <c r="D2018">
        <v>0</v>
      </c>
      <c r="E2018">
        <v>26</v>
      </c>
      <c r="F2018" t="s">
        <v>47</v>
      </c>
      <c r="G2018" t="s">
        <v>105</v>
      </c>
      <c r="H2018" t="s">
        <v>46</v>
      </c>
      <c r="I2018">
        <v>10</v>
      </c>
    </row>
    <row r="2019" spans="1:9" x14ac:dyDescent="0.2">
      <c r="A2019">
        <v>9640647</v>
      </c>
      <c r="B2019">
        <v>8</v>
      </c>
      <c r="C2019">
        <v>3225</v>
      </c>
      <c r="D2019">
        <v>0</v>
      </c>
      <c r="E2019">
        <v>26</v>
      </c>
      <c r="F2019" t="s">
        <v>47</v>
      </c>
      <c r="G2019" t="s">
        <v>106</v>
      </c>
      <c r="H2019" t="s">
        <v>46</v>
      </c>
      <c r="I2019">
        <v>10</v>
      </c>
    </row>
    <row r="2020" spans="1:9" x14ac:dyDescent="0.2">
      <c r="A2020">
        <v>9652857</v>
      </c>
      <c r="B2020">
        <v>1</v>
      </c>
      <c r="C2020">
        <v>3212</v>
      </c>
      <c r="D2020">
        <v>50525</v>
      </c>
      <c r="E2020">
        <v>24</v>
      </c>
      <c r="F2020" t="s">
        <v>47</v>
      </c>
      <c r="G2020" t="s">
        <v>84</v>
      </c>
      <c r="H2020" t="s">
        <v>46</v>
      </c>
      <c r="I2020">
        <v>10</v>
      </c>
    </row>
    <row r="2021" spans="1:9" x14ac:dyDescent="0.2">
      <c r="A2021">
        <v>9652857</v>
      </c>
      <c r="B2021">
        <v>2</v>
      </c>
      <c r="C2021">
        <v>3211</v>
      </c>
      <c r="D2021">
        <v>0</v>
      </c>
      <c r="E2021">
        <v>26</v>
      </c>
      <c r="F2021" t="s">
        <v>47</v>
      </c>
      <c r="G2021" t="s">
        <v>99</v>
      </c>
      <c r="H2021" t="s">
        <v>46</v>
      </c>
      <c r="I2021">
        <v>10</v>
      </c>
    </row>
    <row r="2022" spans="1:9" x14ac:dyDescent="0.2">
      <c r="A2022">
        <v>9652857</v>
      </c>
      <c r="B2022">
        <v>3</v>
      </c>
      <c r="C2022">
        <v>1709</v>
      </c>
      <c r="D2022">
        <v>0</v>
      </c>
      <c r="E2022">
        <v>26</v>
      </c>
      <c r="F2022" t="s">
        <v>57</v>
      </c>
      <c r="G2022" t="s">
        <v>84</v>
      </c>
      <c r="H2022" t="s">
        <v>69</v>
      </c>
      <c r="I2022">
        <v>10</v>
      </c>
    </row>
    <row r="2023" spans="1:9" x14ac:dyDescent="0.2">
      <c r="A2023">
        <v>9652857</v>
      </c>
      <c r="B2023">
        <v>4</v>
      </c>
      <c r="C2023">
        <v>1778</v>
      </c>
      <c r="D2023">
        <v>0</v>
      </c>
      <c r="E2023">
        <v>26</v>
      </c>
      <c r="F2023" t="s">
        <v>57</v>
      </c>
      <c r="G2023" t="s">
        <v>84</v>
      </c>
      <c r="H2023" t="s">
        <v>56</v>
      </c>
      <c r="I2023">
        <v>10</v>
      </c>
    </row>
    <row r="2024" spans="1:9" x14ac:dyDescent="0.2">
      <c r="A2024">
        <v>9652857</v>
      </c>
      <c r="B2024">
        <v>5</v>
      </c>
      <c r="C2024">
        <v>3085</v>
      </c>
      <c r="D2024">
        <v>0</v>
      </c>
      <c r="E2024">
        <v>26</v>
      </c>
      <c r="F2024" t="s">
        <v>44</v>
      </c>
      <c r="G2024" t="s">
        <v>84</v>
      </c>
      <c r="H2024" t="s">
        <v>55</v>
      </c>
      <c r="I2024">
        <v>9</v>
      </c>
    </row>
    <row r="2025" spans="1:9" x14ac:dyDescent="0.2">
      <c r="A2025">
        <v>9652857</v>
      </c>
      <c r="B2025">
        <v>6</v>
      </c>
      <c r="C2025">
        <v>3000</v>
      </c>
      <c r="D2025">
        <v>0</v>
      </c>
      <c r="E2025">
        <v>26</v>
      </c>
      <c r="F2025" t="s">
        <v>44</v>
      </c>
      <c r="G2025" t="s">
        <v>99</v>
      </c>
      <c r="H2025" t="s">
        <v>55</v>
      </c>
      <c r="I2025">
        <v>9</v>
      </c>
    </row>
    <row r="2026" spans="1:9" x14ac:dyDescent="0.2">
      <c r="A2026">
        <v>9652857</v>
      </c>
      <c r="B2026">
        <v>7</v>
      </c>
      <c r="C2026">
        <v>1703</v>
      </c>
      <c r="D2026">
        <v>0</v>
      </c>
      <c r="E2026">
        <v>26</v>
      </c>
      <c r="F2026" t="s">
        <v>57</v>
      </c>
      <c r="G2026" t="s">
        <v>109</v>
      </c>
      <c r="H2026" t="s">
        <v>69</v>
      </c>
      <c r="I2026">
        <v>10</v>
      </c>
    </row>
    <row r="2027" spans="1:9" x14ac:dyDescent="0.2">
      <c r="A2027">
        <v>9652857</v>
      </c>
      <c r="B2027">
        <v>8</v>
      </c>
      <c r="C2027">
        <v>1782</v>
      </c>
      <c r="D2027">
        <v>0</v>
      </c>
      <c r="E2027">
        <v>26</v>
      </c>
      <c r="F2027" t="s">
        <v>57</v>
      </c>
      <c r="G2027" t="s">
        <v>63</v>
      </c>
      <c r="H2027" t="s">
        <v>69</v>
      </c>
      <c r="I2027">
        <v>10</v>
      </c>
    </row>
    <row r="2028" spans="1:9" x14ac:dyDescent="0.2">
      <c r="A2028">
        <v>9727870</v>
      </c>
      <c r="B2028">
        <v>1</v>
      </c>
      <c r="C2028">
        <v>1705</v>
      </c>
      <c r="D2028">
        <v>53200</v>
      </c>
      <c r="E2028">
        <v>25</v>
      </c>
      <c r="F2028" t="s">
        <v>57</v>
      </c>
      <c r="G2028" t="s">
        <v>102</v>
      </c>
      <c r="H2028" t="s">
        <v>69</v>
      </c>
      <c r="I2028">
        <v>10</v>
      </c>
    </row>
    <row r="2029" spans="1:9" x14ac:dyDescent="0.2">
      <c r="A2029">
        <v>9727870</v>
      </c>
      <c r="B2029">
        <v>2</v>
      </c>
      <c r="C2029">
        <v>1257</v>
      </c>
      <c r="D2029">
        <v>52670</v>
      </c>
      <c r="E2029">
        <v>25</v>
      </c>
      <c r="F2029" t="s">
        <v>19</v>
      </c>
      <c r="G2029" t="s">
        <v>199</v>
      </c>
      <c r="H2029" t="s">
        <v>16</v>
      </c>
      <c r="I2029" t="s">
        <v>448</v>
      </c>
    </row>
    <row r="2030" spans="1:9" x14ac:dyDescent="0.2">
      <c r="A2030">
        <v>9727870</v>
      </c>
      <c r="B2030">
        <v>3</v>
      </c>
      <c r="C2030">
        <v>2952</v>
      </c>
      <c r="D2030">
        <v>54880</v>
      </c>
      <c r="E2030">
        <v>25</v>
      </c>
      <c r="F2030" t="s">
        <v>119</v>
      </c>
      <c r="G2030" t="s">
        <v>102</v>
      </c>
      <c r="H2030" t="s">
        <v>136</v>
      </c>
      <c r="I2030">
        <v>8</v>
      </c>
    </row>
    <row r="2031" spans="1:9" x14ac:dyDescent="0.2">
      <c r="A2031">
        <v>9727870</v>
      </c>
      <c r="B2031">
        <v>4</v>
      </c>
      <c r="C2031">
        <v>1728</v>
      </c>
      <c r="D2031">
        <v>53995</v>
      </c>
      <c r="E2031">
        <v>25</v>
      </c>
      <c r="F2031" t="s">
        <v>57</v>
      </c>
      <c r="G2031" t="s">
        <v>103</v>
      </c>
      <c r="H2031" t="s">
        <v>69</v>
      </c>
      <c r="I2031">
        <v>10</v>
      </c>
    </row>
    <row r="2032" spans="1:9" x14ac:dyDescent="0.2">
      <c r="A2032">
        <v>9727870</v>
      </c>
      <c r="B2032">
        <v>5</v>
      </c>
      <c r="C2032">
        <v>1786</v>
      </c>
      <c r="D2032">
        <v>54150</v>
      </c>
      <c r="E2032">
        <v>25</v>
      </c>
      <c r="F2032" t="s">
        <v>57</v>
      </c>
      <c r="G2032" t="s">
        <v>103</v>
      </c>
      <c r="H2032" t="s">
        <v>56</v>
      </c>
      <c r="I2032">
        <v>10</v>
      </c>
    </row>
    <row r="2033" spans="1:9" x14ac:dyDescent="0.2">
      <c r="A2033">
        <v>9727870</v>
      </c>
      <c r="B2033">
        <v>6</v>
      </c>
      <c r="C2033">
        <v>1787</v>
      </c>
      <c r="D2033">
        <v>54150</v>
      </c>
      <c r="E2033">
        <v>25</v>
      </c>
      <c r="F2033" t="s">
        <v>57</v>
      </c>
      <c r="G2033" t="s">
        <v>49</v>
      </c>
      <c r="H2033" t="s">
        <v>56</v>
      </c>
      <c r="I2033">
        <v>10</v>
      </c>
    </row>
    <row r="2034" spans="1:9" x14ac:dyDescent="0.2">
      <c r="A2034">
        <v>9727870</v>
      </c>
      <c r="B2034">
        <v>7</v>
      </c>
      <c r="C2034">
        <v>2955</v>
      </c>
      <c r="D2034">
        <v>55410</v>
      </c>
      <c r="E2034">
        <v>25</v>
      </c>
      <c r="F2034" t="s">
        <v>119</v>
      </c>
      <c r="G2034" t="s">
        <v>49</v>
      </c>
      <c r="H2034" t="s">
        <v>136</v>
      </c>
      <c r="I2034">
        <v>8</v>
      </c>
    </row>
    <row r="2035" spans="1:9" x14ac:dyDescent="0.2">
      <c r="A2035">
        <v>9728085</v>
      </c>
      <c r="B2035">
        <v>1</v>
      </c>
      <c r="C2035">
        <v>3243</v>
      </c>
      <c r="D2035">
        <v>60870</v>
      </c>
      <c r="E2035">
        <v>24</v>
      </c>
      <c r="F2035" t="s">
        <v>47</v>
      </c>
      <c r="G2035" t="s">
        <v>75</v>
      </c>
      <c r="H2035" t="s">
        <v>46</v>
      </c>
      <c r="I2035">
        <v>10</v>
      </c>
    </row>
    <row r="2036" spans="1:9" x14ac:dyDescent="0.2">
      <c r="A2036">
        <v>9728085</v>
      </c>
      <c r="B2036">
        <v>2</v>
      </c>
      <c r="C2036">
        <v>1784</v>
      </c>
      <c r="D2036">
        <v>0</v>
      </c>
      <c r="E2036">
        <v>26</v>
      </c>
      <c r="F2036" t="s">
        <v>57</v>
      </c>
      <c r="G2036" t="s">
        <v>87</v>
      </c>
      <c r="H2036" t="s">
        <v>69</v>
      </c>
      <c r="I2036">
        <v>10</v>
      </c>
    </row>
    <row r="2037" spans="1:9" x14ac:dyDescent="0.2">
      <c r="A2037">
        <v>9728085</v>
      </c>
      <c r="B2037">
        <v>3</v>
      </c>
      <c r="C2037">
        <v>3252</v>
      </c>
      <c r="D2037">
        <v>0</v>
      </c>
      <c r="E2037">
        <v>26</v>
      </c>
      <c r="F2037" t="s">
        <v>47</v>
      </c>
      <c r="G2037" t="s">
        <v>45</v>
      </c>
      <c r="H2037" t="s">
        <v>46</v>
      </c>
      <c r="I2037">
        <v>10</v>
      </c>
    </row>
    <row r="2038" spans="1:9" x14ac:dyDescent="0.2">
      <c r="A2038">
        <v>9728085</v>
      </c>
      <c r="B2038">
        <v>4</v>
      </c>
      <c r="C2038">
        <v>3261</v>
      </c>
      <c r="D2038">
        <v>0</v>
      </c>
      <c r="E2038">
        <v>26</v>
      </c>
      <c r="F2038" t="s">
        <v>47</v>
      </c>
      <c r="G2038" t="s">
        <v>93</v>
      </c>
      <c r="H2038" t="s">
        <v>46</v>
      </c>
      <c r="I2038">
        <v>10</v>
      </c>
    </row>
    <row r="2039" spans="1:9" x14ac:dyDescent="0.2">
      <c r="A2039">
        <v>9728751</v>
      </c>
      <c r="B2039">
        <v>1</v>
      </c>
      <c r="C2039">
        <v>1705</v>
      </c>
      <c r="D2039">
        <v>57740</v>
      </c>
      <c r="E2039">
        <v>25</v>
      </c>
      <c r="F2039" t="s">
        <v>57</v>
      </c>
      <c r="G2039" t="s">
        <v>102</v>
      </c>
      <c r="H2039" t="s">
        <v>69</v>
      </c>
      <c r="I2039">
        <v>10</v>
      </c>
    </row>
    <row r="2040" spans="1:9" x14ac:dyDescent="0.2">
      <c r="A2040">
        <v>9728751</v>
      </c>
      <c r="B2040">
        <v>2</v>
      </c>
      <c r="C2040">
        <v>1715</v>
      </c>
      <c r="D2040">
        <v>57550</v>
      </c>
      <c r="E2040">
        <v>25</v>
      </c>
      <c r="F2040" t="s">
        <v>57</v>
      </c>
      <c r="G2040" t="s">
        <v>151</v>
      </c>
      <c r="H2040" t="s">
        <v>69</v>
      </c>
      <c r="I2040">
        <v>10</v>
      </c>
    </row>
    <row r="2041" spans="1:9" x14ac:dyDescent="0.2">
      <c r="A2041">
        <v>9728751</v>
      </c>
      <c r="B2041">
        <v>3</v>
      </c>
      <c r="C2041">
        <v>1734</v>
      </c>
      <c r="D2041">
        <v>59100</v>
      </c>
      <c r="E2041">
        <v>25</v>
      </c>
      <c r="F2041" t="s">
        <v>57</v>
      </c>
      <c r="G2041" t="s">
        <v>81</v>
      </c>
      <c r="H2041" t="s">
        <v>69</v>
      </c>
      <c r="I2041">
        <v>10</v>
      </c>
    </row>
    <row r="2042" spans="1:9" x14ac:dyDescent="0.2">
      <c r="A2042">
        <v>9728751</v>
      </c>
      <c r="B2042">
        <v>4</v>
      </c>
      <c r="C2042">
        <v>1787</v>
      </c>
      <c r="D2042">
        <v>57550</v>
      </c>
      <c r="E2042">
        <v>24</v>
      </c>
      <c r="F2042" t="s">
        <v>57</v>
      </c>
      <c r="G2042" t="s">
        <v>49</v>
      </c>
      <c r="H2042" t="s">
        <v>56</v>
      </c>
      <c r="I2042">
        <v>10</v>
      </c>
    </row>
    <row r="2043" spans="1:9" x14ac:dyDescent="0.2">
      <c r="A2043">
        <v>9728751</v>
      </c>
      <c r="B2043">
        <v>5</v>
      </c>
      <c r="C2043">
        <v>2054</v>
      </c>
      <c r="D2043">
        <v>0</v>
      </c>
      <c r="E2043">
        <v>26</v>
      </c>
      <c r="F2043" t="s">
        <v>132</v>
      </c>
      <c r="G2043" t="s">
        <v>338</v>
      </c>
      <c r="H2043" t="s">
        <v>300</v>
      </c>
      <c r="I2043" t="s">
        <v>448</v>
      </c>
    </row>
    <row r="2044" spans="1:9" x14ac:dyDescent="0.2">
      <c r="A2044">
        <v>9728752</v>
      </c>
      <c r="B2044">
        <v>1</v>
      </c>
      <c r="C2044">
        <v>1525</v>
      </c>
      <c r="D2044">
        <v>60390</v>
      </c>
      <c r="E2044">
        <v>25</v>
      </c>
      <c r="F2044" t="s">
        <v>142</v>
      </c>
      <c r="G2044" t="s">
        <v>152</v>
      </c>
      <c r="H2044" t="s">
        <v>31</v>
      </c>
      <c r="I2044">
        <v>5</v>
      </c>
    </row>
    <row r="2045" spans="1:9" x14ac:dyDescent="0.2">
      <c r="A2045">
        <v>9728752</v>
      </c>
      <c r="B2045">
        <v>2</v>
      </c>
      <c r="C2045">
        <v>1462</v>
      </c>
      <c r="D2045">
        <v>60120</v>
      </c>
      <c r="E2045">
        <v>24</v>
      </c>
      <c r="F2045" t="s">
        <v>25</v>
      </c>
      <c r="G2045" t="s">
        <v>352</v>
      </c>
      <c r="H2045" t="s">
        <v>24</v>
      </c>
      <c r="I2045">
        <v>5</v>
      </c>
    </row>
    <row r="2046" spans="1:9" x14ac:dyDescent="0.2">
      <c r="A2046">
        <v>9728752</v>
      </c>
      <c r="B2046">
        <v>3</v>
      </c>
      <c r="C2046">
        <v>1461</v>
      </c>
      <c r="D2046">
        <v>0</v>
      </c>
      <c r="E2046">
        <v>26</v>
      </c>
      <c r="F2046" t="s">
        <v>25</v>
      </c>
      <c r="G2046" t="s">
        <v>266</v>
      </c>
      <c r="H2046" t="s">
        <v>24</v>
      </c>
      <c r="I2046">
        <v>5</v>
      </c>
    </row>
    <row r="2047" spans="1:9" x14ac:dyDescent="0.2">
      <c r="A2047">
        <v>9728752</v>
      </c>
      <c r="B2047">
        <v>4</v>
      </c>
      <c r="C2047">
        <v>3074</v>
      </c>
      <c r="D2047">
        <v>0</v>
      </c>
      <c r="E2047">
        <v>26</v>
      </c>
      <c r="F2047" t="s">
        <v>44</v>
      </c>
      <c r="G2047" t="s">
        <v>152</v>
      </c>
      <c r="H2047" t="s">
        <v>61</v>
      </c>
      <c r="I2047">
        <v>9</v>
      </c>
    </row>
    <row r="2048" spans="1:9" x14ac:dyDescent="0.2">
      <c r="A2048">
        <v>9728752</v>
      </c>
      <c r="B2048">
        <v>5</v>
      </c>
      <c r="C2048">
        <v>3012</v>
      </c>
      <c r="D2048">
        <v>0</v>
      </c>
      <c r="E2048">
        <v>26</v>
      </c>
      <c r="F2048" t="s">
        <v>44</v>
      </c>
      <c r="G2048" t="s">
        <v>78</v>
      </c>
      <c r="H2048" t="s">
        <v>55</v>
      </c>
      <c r="I2048">
        <v>9</v>
      </c>
    </row>
    <row r="2049" spans="1:9" x14ac:dyDescent="0.2">
      <c r="A2049">
        <v>9728752</v>
      </c>
      <c r="B2049">
        <v>6</v>
      </c>
      <c r="C2049">
        <v>3077</v>
      </c>
      <c r="D2049">
        <v>0</v>
      </c>
      <c r="E2049">
        <v>26</v>
      </c>
      <c r="F2049" t="s">
        <v>44</v>
      </c>
      <c r="G2049" t="s">
        <v>120</v>
      </c>
      <c r="H2049" t="s">
        <v>61</v>
      </c>
      <c r="I2049">
        <v>9</v>
      </c>
    </row>
    <row r="2050" spans="1:9" x14ac:dyDescent="0.2">
      <c r="A2050">
        <v>9744693</v>
      </c>
      <c r="B2050">
        <v>1</v>
      </c>
      <c r="C2050">
        <v>1430</v>
      </c>
      <c r="D2050">
        <v>66010</v>
      </c>
      <c r="E2050">
        <v>24</v>
      </c>
      <c r="F2050" t="s">
        <v>25</v>
      </c>
      <c r="G2050" t="s">
        <v>63</v>
      </c>
      <c r="H2050" t="s">
        <v>24</v>
      </c>
      <c r="I2050">
        <v>5</v>
      </c>
    </row>
    <row r="2051" spans="1:9" x14ac:dyDescent="0.2">
      <c r="A2051">
        <v>9744693</v>
      </c>
      <c r="B2051">
        <v>2</v>
      </c>
      <c r="C2051">
        <v>1324</v>
      </c>
      <c r="D2051">
        <v>0</v>
      </c>
      <c r="E2051">
        <v>26</v>
      </c>
      <c r="F2051" t="s">
        <v>21</v>
      </c>
      <c r="G2051" t="s">
        <v>63</v>
      </c>
      <c r="H2051" t="s">
        <v>20</v>
      </c>
      <c r="I2051">
        <v>8</v>
      </c>
    </row>
    <row r="2052" spans="1:9" x14ac:dyDescent="0.2">
      <c r="A2052">
        <v>9744693</v>
      </c>
      <c r="B2052">
        <v>3</v>
      </c>
      <c r="C2052">
        <v>1782</v>
      </c>
      <c r="D2052">
        <v>0</v>
      </c>
      <c r="E2052">
        <v>26</v>
      </c>
      <c r="F2052" t="s">
        <v>57</v>
      </c>
      <c r="G2052" t="s">
        <v>63</v>
      </c>
      <c r="H2052" t="s">
        <v>69</v>
      </c>
      <c r="I2052">
        <v>10</v>
      </c>
    </row>
    <row r="2053" spans="1:9" x14ac:dyDescent="0.2">
      <c r="A2053">
        <v>9744693</v>
      </c>
      <c r="B2053">
        <v>4</v>
      </c>
      <c r="C2053">
        <v>3740</v>
      </c>
      <c r="D2053">
        <v>0</v>
      </c>
      <c r="E2053">
        <v>26</v>
      </c>
      <c r="F2053" t="s">
        <v>116</v>
      </c>
      <c r="G2053" t="s">
        <v>63</v>
      </c>
      <c r="H2053" t="s">
        <v>61</v>
      </c>
      <c r="I2053">
        <v>9</v>
      </c>
    </row>
    <row r="2054" spans="1:9" x14ac:dyDescent="0.2">
      <c r="A2054">
        <v>9744693</v>
      </c>
      <c r="B2054">
        <v>5</v>
      </c>
      <c r="C2054">
        <v>1777</v>
      </c>
      <c r="D2054">
        <v>0</v>
      </c>
      <c r="E2054">
        <v>26</v>
      </c>
      <c r="F2054" t="s">
        <v>57</v>
      </c>
      <c r="G2054" t="s">
        <v>88</v>
      </c>
      <c r="H2054" t="s">
        <v>69</v>
      </c>
      <c r="I2054">
        <v>10</v>
      </c>
    </row>
    <row r="2055" spans="1:9" x14ac:dyDescent="0.2">
      <c r="A2055">
        <v>9744693</v>
      </c>
      <c r="B2055">
        <v>6</v>
      </c>
      <c r="C2055">
        <v>1377</v>
      </c>
      <c r="D2055">
        <v>0</v>
      </c>
      <c r="E2055">
        <v>26</v>
      </c>
      <c r="F2055" t="s">
        <v>21</v>
      </c>
      <c r="G2055" t="s">
        <v>251</v>
      </c>
      <c r="H2055" t="s">
        <v>20</v>
      </c>
      <c r="I2055">
        <v>8</v>
      </c>
    </row>
    <row r="2056" spans="1:9" x14ac:dyDescent="0.2">
      <c r="A2056">
        <v>9744693</v>
      </c>
      <c r="B2056">
        <v>7</v>
      </c>
      <c r="C2056">
        <v>1331</v>
      </c>
      <c r="D2056">
        <v>0</v>
      </c>
      <c r="E2056">
        <v>26</v>
      </c>
      <c r="F2056" t="s">
        <v>21</v>
      </c>
      <c r="G2056" t="s">
        <v>89</v>
      </c>
      <c r="H2056" t="s">
        <v>20</v>
      </c>
      <c r="I2056">
        <v>8</v>
      </c>
    </row>
    <row r="2057" spans="1:9" x14ac:dyDescent="0.2">
      <c r="A2057">
        <v>9744693</v>
      </c>
      <c r="B2057">
        <v>8</v>
      </c>
      <c r="C2057">
        <v>1733</v>
      </c>
      <c r="D2057">
        <v>0</v>
      </c>
      <c r="E2057">
        <v>26</v>
      </c>
      <c r="F2057" t="s">
        <v>57</v>
      </c>
      <c r="G2057" t="s">
        <v>18</v>
      </c>
      <c r="H2057" t="s">
        <v>69</v>
      </c>
      <c r="I2057">
        <v>10</v>
      </c>
    </row>
    <row r="2058" spans="1:9" x14ac:dyDescent="0.2">
      <c r="A2058">
        <v>9744694</v>
      </c>
      <c r="B2058">
        <v>1</v>
      </c>
      <c r="C2058">
        <v>3002</v>
      </c>
      <c r="D2058">
        <v>63180</v>
      </c>
      <c r="E2058">
        <v>24</v>
      </c>
      <c r="F2058" t="s">
        <v>44</v>
      </c>
      <c r="G2058" t="s">
        <v>147</v>
      </c>
      <c r="H2058" t="s">
        <v>55</v>
      </c>
      <c r="I2058">
        <v>9</v>
      </c>
    </row>
    <row r="2059" spans="1:9" x14ac:dyDescent="0.2">
      <c r="A2059">
        <v>9744694</v>
      </c>
      <c r="B2059">
        <v>2</v>
      </c>
      <c r="C2059">
        <v>3719</v>
      </c>
      <c r="D2059">
        <v>0</v>
      </c>
      <c r="E2059">
        <v>26</v>
      </c>
      <c r="F2059" t="s">
        <v>116</v>
      </c>
      <c r="G2059" t="s">
        <v>66</v>
      </c>
      <c r="H2059" t="s">
        <v>61</v>
      </c>
      <c r="I2059">
        <v>9</v>
      </c>
    </row>
    <row r="2060" spans="1:9" x14ac:dyDescent="0.2">
      <c r="A2060">
        <v>9744694</v>
      </c>
      <c r="B2060">
        <v>3</v>
      </c>
      <c r="C2060">
        <v>3076</v>
      </c>
      <c r="D2060">
        <v>0</v>
      </c>
      <c r="E2060">
        <v>26</v>
      </c>
      <c r="F2060" t="s">
        <v>44</v>
      </c>
      <c r="G2060" t="s">
        <v>60</v>
      </c>
      <c r="H2060" t="s">
        <v>61</v>
      </c>
      <c r="I2060">
        <v>9</v>
      </c>
    </row>
    <row r="2061" spans="1:9" x14ac:dyDescent="0.2">
      <c r="A2061">
        <v>9744694</v>
      </c>
      <c r="B2061">
        <v>4</v>
      </c>
      <c r="C2061">
        <v>3080</v>
      </c>
      <c r="D2061">
        <v>0</v>
      </c>
      <c r="E2061">
        <v>26</v>
      </c>
      <c r="F2061" t="s">
        <v>44</v>
      </c>
      <c r="G2061" t="s">
        <v>356</v>
      </c>
      <c r="H2061" t="s">
        <v>55</v>
      </c>
      <c r="I2061">
        <v>9</v>
      </c>
    </row>
    <row r="2062" spans="1:9" x14ac:dyDescent="0.2">
      <c r="A2062">
        <v>9744694</v>
      </c>
      <c r="B2062">
        <v>5</v>
      </c>
      <c r="C2062">
        <v>1503</v>
      </c>
      <c r="D2062">
        <v>0</v>
      </c>
      <c r="E2062">
        <v>26</v>
      </c>
      <c r="F2062" t="s">
        <v>142</v>
      </c>
      <c r="G2062" t="s">
        <v>161</v>
      </c>
      <c r="H2062" t="s">
        <v>31</v>
      </c>
      <c r="I2062">
        <v>5</v>
      </c>
    </row>
    <row r="2063" spans="1:9" x14ac:dyDescent="0.2">
      <c r="A2063">
        <v>9744694</v>
      </c>
      <c r="B2063">
        <v>6</v>
      </c>
      <c r="C2063">
        <v>1507</v>
      </c>
      <c r="D2063">
        <v>0</v>
      </c>
      <c r="E2063">
        <v>26</v>
      </c>
      <c r="F2063" t="s">
        <v>142</v>
      </c>
      <c r="G2063" t="s">
        <v>66</v>
      </c>
      <c r="H2063" t="s">
        <v>31</v>
      </c>
      <c r="I2063">
        <v>5</v>
      </c>
    </row>
    <row r="2064" spans="1:9" x14ac:dyDescent="0.2">
      <c r="A2064">
        <v>9758496</v>
      </c>
      <c r="B2064">
        <v>1</v>
      </c>
      <c r="C2064">
        <v>3223</v>
      </c>
      <c r="D2064">
        <v>54800</v>
      </c>
      <c r="E2064">
        <v>24</v>
      </c>
      <c r="F2064" t="s">
        <v>47</v>
      </c>
      <c r="G2064" t="s">
        <v>105</v>
      </c>
      <c r="H2064" t="s">
        <v>46</v>
      </c>
      <c r="I2064">
        <v>10</v>
      </c>
    </row>
    <row r="2065" spans="1:9" x14ac:dyDescent="0.2">
      <c r="A2065">
        <v>9758496</v>
      </c>
      <c r="B2065">
        <v>2</v>
      </c>
      <c r="C2065">
        <v>3229</v>
      </c>
      <c r="D2065">
        <v>0</v>
      </c>
      <c r="E2065">
        <v>26</v>
      </c>
      <c r="F2065" t="s">
        <v>47</v>
      </c>
      <c r="G2065" t="s">
        <v>101</v>
      </c>
      <c r="H2065" t="s">
        <v>46</v>
      </c>
      <c r="I2065">
        <v>10</v>
      </c>
    </row>
    <row r="2066" spans="1:9" x14ac:dyDescent="0.2">
      <c r="A2066">
        <v>9758496</v>
      </c>
      <c r="B2066">
        <v>3</v>
      </c>
      <c r="C2066">
        <v>1731</v>
      </c>
      <c r="D2066">
        <v>0</v>
      </c>
      <c r="E2066">
        <v>26</v>
      </c>
      <c r="F2066" t="s">
        <v>57</v>
      </c>
      <c r="G2066" t="s">
        <v>172</v>
      </c>
      <c r="H2066" t="s">
        <v>69</v>
      </c>
      <c r="I2066">
        <v>10</v>
      </c>
    </row>
    <row r="2067" spans="1:9" x14ac:dyDescent="0.2">
      <c r="A2067">
        <v>9758496</v>
      </c>
      <c r="B2067">
        <v>4</v>
      </c>
      <c r="C2067">
        <v>1776</v>
      </c>
      <c r="D2067">
        <v>0</v>
      </c>
      <c r="E2067">
        <v>26</v>
      </c>
      <c r="F2067" t="s">
        <v>57</v>
      </c>
      <c r="G2067" t="s">
        <v>124</v>
      </c>
      <c r="H2067" t="s">
        <v>125</v>
      </c>
      <c r="I2067">
        <v>10</v>
      </c>
    </row>
    <row r="2068" spans="1:9" x14ac:dyDescent="0.2">
      <c r="A2068">
        <v>9758496</v>
      </c>
      <c r="B2068">
        <v>5</v>
      </c>
      <c r="C2068">
        <v>1753</v>
      </c>
      <c r="D2068">
        <v>0</v>
      </c>
      <c r="E2068">
        <v>26</v>
      </c>
      <c r="F2068" t="s">
        <v>57</v>
      </c>
      <c r="G2068" t="s">
        <v>105</v>
      </c>
      <c r="H2068" t="s">
        <v>69</v>
      </c>
      <c r="I2068">
        <v>10</v>
      </c>
    </row>
    <row r="2069" spans="1:9" x14ac:dyDescent="0.2">
      <c r="A2069">
        <v>9758496</v>
      </c>
      <c r="B2069">
        <v>6</v>
      </c>
      <c r="C2069">
        <v>1713</v>
      </c>
      <c r="D2069">
        <v>0</v>
      </c>
      <c r="E2069">
        <v>26</v>
      </c>
      <c r="F2069" t="s">
        <v>57</v>
      </c>
      <c r="G2069" t="s">
        <v>170</v>
      </c>
      <c r="H2069" t="s">
        <v>69</v>
      </c>
      <c r="I2069">
        <v>10</v>
      </c>
    </row>
    <row r="2070" spans="1:9" x14ac:dyDescent="0.2">
      <c r="A2070">
        <v>9758496</v>
      </c>
      <c r="B2070">
        <v>7</v>
      </c>
      <c r="C2070">
        <v>1714</v>
      </c>
      <c r="D2070">
        <v>0</v>
      </c>
      <c r="E2070">
        <v>26</v>
      </c>
      <c r="F2070" t="s">
        <v>57</v>
      </c>
      <c r="G2070" t="s">
        <v>95</v>
      </c>
      <c r="H2070" t="s">
        <v>69</v>
      </c>
      <c r="I2070">
        <v>10</v>
      </c>
    </row>
    <row r="2071" spans="1:9" x14ac:dyDescent="0.2">
      <c r="A2071">
        <v>9828646</v>
      </c>
      <c r="B2071">
        <v>1</v>
      </c>
      <c r="C2071">
        <v>1714</v>
      </c>
      <c r="D2071">
        <v>54050</v>
      </c>
      <c r="E2071">
        <v>25</v>
      </c>
      <c r="F2071" t="s">
        <v>57</v>
      </c>
      <c r="G2071" t="s">
        <v>95</v>
      </c>
      <c r="H2071" t="s">
        <v>69</v>
      </c>
      <c r="I2071">
        <v>10</v>
      </c>
    </row>
    <row r="2072" spans="1:9" x14ac:dyDescent="0.2">
      <c r="A2072">
        <v>9828646</v>
      </c>
      <c r="B2072">
        <v>2</v>
      </c>
      <c r="C2072">
        <v>1732</v>
      </c>
      <c r="D2072">
        <v>53985</v>
      </c>
      <c r="E2072">
        <v>25</v>
      </c>
      <c r="F2072" t="s">
        <v>57</v>
      </c>
      <c r="G2072" t="s">
        <v>104</v>
      </c>
      <c r="H2072" t="s">
        <v>69</v>
      </c>
      <c r="I2072">
        <v>10</v>
      </c>
    </row>
    <row r="2073" spans="1:9" x14ac:dyDescent="0.2">
      <c r="A2073">
        <v>9828646</v>
      </c>
      <c r="B2073">
        <v>3</v>
      </c>
      <c r="C2073">
        <v>1311</v>
      </c>
      <c r="D2073">
        <v>53605</v>
      </c>
      <c r="E2073">
        <v>25</v>
      </c>
      <c r="F2073" t="s">
        <v>21</v>
      </c>
      <c r="G2073" t="s">
        <v>95</v>
      </c>
      <c r="H2073" t="s">
        <v>20</v>
      </c>
      <c r="I2073">
        <v>8</v>
      </c>
    </row>
    <row r="2074" spans="1:9" x14ac:dyDescent="0.2">
      <c r="A2074">
        <v>9828646</v>
      </c>
      <c r="B2074">
        <v>4</v>
      </c>
      <c r="C2074">
        <v>1307</v>
      </c>
      <c r="D2074">
        <v>53605</v>
      </c>
      <c r="E2074">
        <v>25</v>
      </c>
      <c r="F2074" t="s">
        <v>21</v>
      </c>
      <c r="G2074" t="s">
        <v>95</v>
      </c>
      <c r="H2074" t="s">
        <v>136</v>
      </c>
      <c r="I2074">
        <v>8</v>
      </c>
    </row>
    <row r="2075" spans="1:9" x14ac:dyDescent="0.2">
      <c r="A2075">
        <v>9828646</v>
      </c>
      <c r="B2075">
        <v>5</v>
      </c>
      <c r="C2075">
        <v>1776</v>
      </c>
      <c r="D2075">
        <v>54050</v>
      </c>
      <c r="E2075">
        <v>25</v>
      </c>
      <c r="F2075" t="s">
        <v>57</v>
      </c>
      <c r="G2075" t="s">
        <v>124</v>
      </c>
      <c r="H2075" t="s">
        <v>125</v>
      </c>
      <c r="I2075">
        <v>10</v>
      </c>
    </row>
    <row r="2076" spans="1:9" x14ac:dyDescent="0.2">
      <c r="A2076">
        <v>9828646</v>
      </c>
      <c r="B2076">
        <v>6</v>
      </c>
      <c r="C2076">
        <v>1382</v>
      </c>
      <c r="D2076">
        <v>53525</v>
      </c>
      <c r="E2076">
        <v>25</v>
      </c>
      <c r="F2076" t="s">
        <v>21</v>
      </c>
      <c r="G2076" t="s">
        <v>49</v>
      </c>
      <c r="H2076" t="s">
        <v>20</v>
      </c>
      <c r="I2076">
        <v>8</v>
      </c>
    </row>
    <row r="2077" spans="1:9" x14ac:dyDescent="0.2">
      <c r="A2077">
        <v>9828646</v>
      </c>
      <c r="B2077">
        <v>7</v>
      </c>
      <c r="C2077">
        <v>1383</v>
      </c>
      <c r="D2077">
        <v>53490</v>
      </c>
      <c r="E2077">
        <v>25</v>
      </c>
      <c r="F2077" t="s">
        <v>21</v>
      </c>
      <c r="G2077" t="s">
        <v>124</v>
      </c>
      <c r="H2077" t="s">
        <v>20</v>
      </c>
      <c r="I2077">
        <v>8</v>
      </c>
    </row>
    <row r="2078" spans="1:9" x14ac:dyDescent="0.2">
      <c r="A2078">
        <v>9828646</v>
      </c>
      <c r="B2078">
        <v>8</v>
      </c>
      <c r="C2078">
        <v>3269</v>
      </c>
      <c r="D2078">
        <v>53970</v>
      </c>
      <c r="E2078">
        <v>24</v>
      </c>
      <c r="F2078" t="s">
        <v>47</v>
      </c>
      <c r="G2078" t="s">
        <v>180</v>
      </c>
      <c r="H2078" t="s">
        <v>46</v>
      </c>
      <c r="I2078">
        <v>10</v>
      </c>
    </row>
    <row r="2079" spans="1:9" x14ac:dyDescent="0.2">
      <c r="A2079">
        <v>9843640</v>
      </c>
      <c r="B2079">
        <v>1</v>
      </c>
      <c r="C2079">
        <v>1660</v>
      </c>
      <c r="D2079">
        <v>65530</v>
      </c>
      <c r="E2079">
        <v>24</v>
      </c>
      <c r="F2079" t="s">
        <v>128</v>
      </c>
      <c r="G2079" t="s">
        <v>97</v>
      </c>
      <c r="H2079" t="s">
        <v>127</v>
      </c>
      <c r="I2079" t="s">
        <v>448</v>
      </c>
    </row>
    <row r="2080" spans="1:9" x14ac:dyDescent="0.2">
      <c r="A2080">
        <v>9843640</v>
      </c>
      <c r="B2080">
        <v>2</v>
      </c>
      <c r="C2080">
        <v>1169</v>
      </c>
      <c r="D2080">
        <v>0</v>
      </c>
      <c r="E2080">
        <v>26</v>
      </c>
      <c r="F2080" t="s">
        <v>17</v>
      </c>
      <c r="G2080" t="s">
        <v>295</v>
      </c>
      <c r="H2080" t="s">
        <v>16</v>
      </c>
      <c r="I2080" t="s">
        <v>448</v>
      </c>
    </row>
    <row r="2081" spans="1:9" x14ac:dyDescent="0.2">
      <c r="A2081">
        <v>9843640</v>
      </c>
      <c r="B2081">
        <v>3</v>
      </c>
      <c r="C2081">
        <v>1440</v>
      </c>
      <c r="D2081">
        <v>0</v>
      </c>
      <c r="E2081">
        <v>26</v>
      </c>
      <c r="F2081" t="s">
        <v>25</v>
      </c>
      <c r="G2081" t="s">
        <v>22</v>
      </c>
      <c r="H2081" t="s">
        <v>24</v>
      </c>
      <c r="I2081">
        <v>5</v>
      </c>
    </row>
    <row r="2082" spans="1:9" x14ac:dyDescent="0.2">
      <c r="A2082">
        <v>9843640</v>
      </c>
      <c r="B2082">
        <v>4</v>
      </c>
      <c r="C2082">
        <v>1634</v>
      </c>
      <c r="D2082">
        <v>0</v>
      </c>
      <c r="E2082">
        <v>26</v>
      </c>
      <c r="F2082" t="s">
        <v>128</v>
      </c>
      <c r="G2082" t="s">
        <v>373</v>
      </c>
      <c r="H2082" t="s">
        <v>127</v>
      </c>
      <c r="I2082" t="s">
        <v>448</v>
      </c>
    </row>
    <row r="2083" spans="1:9" x14ac:dyDescent="0.2">
      <c r="A2083">
        <v>9844777</v>
      </c>
      <c r="B2083">
        <v>1</v>
      </c>
      <c r="C2083">
        <v>3211</v>
      </c>
      <c r="D2083">
        <v>58480</v>
      </c>
      <c r="E2083">
        <v>24</v>
      </c>
      <c r="F2083" t="s">
        <v>47</v>
      </c>
      <c r="G2083" t="s">
        <v>99</v>
      </c>
      <c r="H2083" t="s">
        <v>46</v>
      </c>
      <c r="I2083">
        <v>10</v>
      </c>
    </row>
    <row r="2084" spans="1:9" x14ac:dyDescent="0.2">
      <c r="A2084">
        <v>9844777</v>
      </c>
      <c r="B2084">
        <v>2</v>
      </c>
      <c r="C2084">
        <v>3212</v>
      </c>
      <c r="D2084">
        <v>0</v>
      </c>
      <c r="E2084">
        <v>26</v>
      </c>
      <c r="F2084" t="s">
        <v>47</v>
      </c>
      <c r="G2084" t="s">
        <v>84</v>
      </c>
      <c r="H2084" t="s">
        <v>46</v>
      </c>
      <c r="I2084">
        <v>10</v>
      </c>
    </row>
    <row r="2085" spans="1:9" x14ac:dyDescent="0.2">
      <c r="A2085">
        <v>9844777</v>
      </c>
      <c r="B2085">
        <v>3</v>
      </c>
      <c r="C2085">
        <v>3200</v>
      </c>
      <c r="D2085">
        <v>0</v>
      </c>
      <c r="E2085">
        <v>26</v>
      </c>
      <c r="F2085" t="s">
        <v>47</v>
      </c>
      <c r="G2085" t="s">
        <v>18</v>
      </c>
      <c r="H2085" t="s">
        <v>46</v>
      </c>
      <c r="I2085">
        <v>10</v>
      </c>
    </row>
    <row r="2086" spans="1:9" x14ac:dyDescent="0.2">
      <c r="A2086">
        <v>9865579</v>
      </c>
      <c r="B2086">
        <v>1</v>
      </c>
      <c r="C2086">
        <v>3269</v>
      </c>
      <c r="D2086">
        <v>58490</v>
      </c>
      <c r="E2086">
        <v>24</v>
      </c>
      <c r="F2086" t="s">
        <v>47</v>
      </c>
      <c r="G2086" t="s">
        <v>180</v>
      </c>
      <c r="H2086" t="s">
        <v>46</v>
      </c>
      <c r="I2086">
        <v>10</v>
      </c>
    </row>
    <row r="2087" spans="1:9" x14ac:dyDescent="0.2">
      <c r="A2087">
        <v>9865579</v>
      </c>
      <c r="B2087">
        <v>2</v>
      </c>
      <c r="C2087">
        <v>3225</v>
      </c>
      <c r="D2087">
        <v>0</v>
      </c>
      <c r="E2087">
        <v>26</v>
      </c>
      <c r="F2087" t="s">
        <v>47</v>
      </c>
      <c r="G2087" t="s">
        <v>106</v>
      </c>
      <c r="H2087" t="s">
        <v>46</v>
      </c>
      <c r="I2087">
        <v>10</v>
      </c>
    </row>
    <row r="2088" spans="1:9" x14ac:dyDescent="0.2">
      <c r="A2088">
        <v>9865579</v>
      </c>
      <c r="B2088">
        <v>3</v>
      </c>
      <c r="C2088">
        <v>3730</v>
      </c>
      <c r="D2088">
        <v>0</v>
      </c>
      <c r="E2088">
        <v>26</v>
      </c>
      <c r="F2088" t="s">
        <v>116</v>
      </c>
      <c r="G2088" t="s">
        <v>180</v>
      </c>
      <c r="H2088" t="s">
        <v>61</v>
      </c>
      <c r="I2088">
        <v>9</v>
      </c>
    </row>
    <row r="2089" spans="1:9" x14ac:dyDescent="0.2">
      <c r="A2089">
        <v>9865579</v>
      </c>
      <c r="B2089">
        <v>4</v>
      </c>
      <c r="C2089">
        <v>1758</v>
      </c>
      <c r="D2089">
        <v>0</v>
      </c>
      <c r="E2089">
        <v>26</v>
      </c>
      <c r="F2089" t="s">
        <v>57</v>
      </c>
      <c r="G2089" t="s">
        <v>106</v>
      </c>
      <c r="H2089" t="s">
        <v>56</v>
      </c>
      <c r="I2089">
        <v>10</v>
      </c>
    </row>
    <row r="2090" spans="1:9" x14ac:dyDescent="0.2">
      <c r="A2090">
        <v>9865579</v>
      </c>
      <c r="B2090">
        <v>5</v>
      </c>
      <c r="C2090">
        <v>3712</v>
      </c>
      <c r="D2090">
        <v>0</v>
      </c>
      <c r="E2090">
        <v>26</v>
      </c>
      <c r="F2090" t="s">
        <v>116</v>
      </c>
      <c r="G2090" t="s">
        <v>106</v>
      </c>
      <c r="H2090" t="s">
        <v>61</v>
      </c>
      <c r="I2090">
        <v>9</v>
      </c>
    </row>
    <row r="2091" spans="1:9" x14ac:dyDescent="0.2">
      <c r="A2091">
        <v>9865579</v>
      </c>
      <c r="B2091">
        <v>6</v>
      </c>
      <c r="C2091">
        <v>1787</v>
      </c>
      <c r="D2091">
        <v>0</v>
      </c>
      <c r="E2091">
        <v>26</v>
      </c>
      <c r="F2091" t="s">
        <v>57</v>
      </c>
      <c r="G2091" t="s">
        <v>49</v>
      </c>
      <c r="H2091" t="s">
        <v>56</v>
      </c>
      <c r="I2091">
        <v>10</v>
      </c>
    </row>
    <row r="2092" spans="1:9" x14ac:dyDescent="0.2">
      <c r="A2092">
        <v>9865579</v>
      </c>
      <c r="B2092">
        <v>7</v>
      </c>
      <c r="C2092">
        <v>3711</v>
      </c>
      <c r="D2092">
        <v>0</v>
      </c>
      <c r="E2092">
        <v>26</v>
      </c>
      <c r="F2092" t="s">
        <v>116</v>
      </c>
      <c r="G2092" t="s">
        <v>95</v>
      </c>
      <c r="H2092" t="s">
        <v>61</v>
      </c>
      <c r="I2092">
        <v>9</v>
      </c>
    </row>
    <row r="2093" spans="1:9" x14ac:dyDescent="0.2">
      <c r="A2093">
        <v>9884890</v>
      </c>
      <c r="B2093">
        <v>1</v>
      </c>
      <c r="C2093">
        <v>1776</v>
      </c>
      <c r="D2093">
        <v>54440</v>
      </c>
      <c r="E2093">
        <v>25</v>
      </c>
      <c r="F2093" t="s">
        <v>57</v>
      </c>
      <c r="G2093" t="s">
        <v>124</v>
      </c>
      <c r="H2093" t="s">
        <v>125</v>
      </c>
      <c r="I2093">
        <v>10</v>
      </c>
    </row>
    <row r="2094" spans="1:9" x14ac:dyDescent="0.2">
      <c r="A2094">
        <v>9884890</v>
      </c>
      <c r="B2094">
        <v>2</v>
      </c>
      <c r="C2094">
        <v>3023</v>
      </c>
      <c r="D2094">
        <v>53830</v>
      </c>
      <c r="E2094">
        <v>25</v>
      </c>
      <c r="F2094" t="s">
        <v>44</v>
      </c>
      <c r="G2094" t="s">
        <v>124</v>
      </c>
      <c r="H2094" t="s">
        <v>50</v>
      </c>
      <c r="I2094">
        <v>9</v>
      </c>
    </row>
    <row r="2095" spans="1:9" x14ac:dyDescent="0.2">
      <c r="A2095">
        <v>9884890</v>
      </c>
      <c r="B2095">
        <v>3</v>
      </c>
      <c r="C2095">
        <v>1787</v>
      </c>
      <c r="D2095">
        <v>54600</v>
      </c>
      <c r="E2095">
        <v>25</v>
      </c>
      <c r="F2095" t="s">
        <v>57</v>
      </c>
      <c r="G2095" t="s">
        <v>49</v>
      </c>
      <c r="H2095" t="s">
        <v>56</v>
      </c>
      <c r="I2095">
        <v>10</v>
      </c>
    </row>
    <row r="2096" spans="1:9" x14ac:dyDescent="0.2">
      <c r="A2096">
        <v>9884890</v>
      </c>
      <c r="B2096">
        <v>4</v>
      </c>
      <c r="C2096">
        <v>3229</v>
      </c>
      <c r="D2096">
        <v>54185</v>
      </c>
      <c r="E2096">
        <v>24</v>
      </c>
      <c r="F2096" t="s">
        <v>47</v>
      </c>
      <c r="G2096" t="s">
        <v>101</v>
      </c>
      <c r="H2096" t="s">
        <v>46</v>
      </c>
      <c r="I2096">
        <v>10</v>
      </c>
    </row>
    <row r="2097" spans="1:9" x14ac:dyDescent="0.2">
      <c r="A2097">
        <v>9884890</v>
      </c>
      <c r="B2097">
        <v>5</v>
      </c>
      <c r="C2097">
        <v>1789</v>
      </c>
      <c r="D2097">
        <v>0</v>
      </c>
      <c r="E2097">
        <v>26</v>
      </c>
      <c r="F2097" t="s">
        <v>57</v>
      </c>
      <c r="G2097" t="s">
        <v>122</v>
      </c>
      <c r="H2097" t="s">
        <v>69</v>
      </c>
      <c r="I2097">
        <v>10</v>
      </c>
    </row>
    <row r="2098" spans="1:9" x14ac:dyDescent="0.2">
      <c r="A2098">
        <v>9884890</v>
      </c>
      <c r="B2098">
        <v>6</v>
      </c>
      <c r="C2098">
        <v>1786</v>
      </c>
      <c r="D2098">
        <v>0</v>
      </c>
      <c r="E2098">
        <v>26</v>
      </c>
      <c r="F2098" t="s">
        <v>57</v>
      </c>
      <c r="G2098" t="s">
        <v>103</v>
      </c>
      <c r="H2098" t="s">
        <v>56</v>
      </c>
      <c r="I2098">
        <v>10</v>
      </c>
    </row>
    <row r="2099" spans="1:9" x14ac:dyDescent="0.2">
      <c r="A2099">
        <v>9884890</v>
      </c>
      <c r="B2099">
        <v>7</v>
      </c>
      <c r="C2099">
        <v>1728</v>
      </c>
      <c r="D2099">
        <v>0</v>
      </c>
      <c r="E2099">
        <v>26</v>
      </c>
      <c r="F2099" t="s">
        <v>57</v>
      </c>
      <c r="G2099" t="s">
        <v>103</v>
      </c>
      <c r="H2099" t="s">
        <v>69</v>
      </c>
      <c r="I2099">
        <v>10</v>
      </c>
    </row>
    <row r="2100" spans="1:9" x14ac:dyDescent="0.2">
      <c r="A2100">
        <v>9884891</v>
      </c>
      <c r="B2100">
        <v>1</v>
      </c>
      <c r="C2100">
        <v>3212</v>
      </c>
      <c r="D2100">
        <v>0</v>
      </c>
      <c r="E2100">
        <v>36</v>
      </c>
      <c r="F2100" t="s">
        <v>47</v>
      </c>
      <c r="G2100" t="s">
        <v>84</v>
      </c>
      <c r="H2100" t="s">
        <v>46</v>
      </c>
      <c r="I2100">
        <v>10</v>
      </c>
    </row>
    <row r="2101" spans="1:9" x14ac:dyDescent="0.2">
      <c r="A2101">
        <v>9884891</v>
      </c>
      <c r="B2101">
        <v>2</v>
      </c>
      <c r="C2101">
        <v>3252</v>
      </c>
      <c r="D2101">
        <v>0</v>
      </c>
      <c r="E2101">
        <v>36</v>
      </c>
      <c r="F2101" t="s">
        <v>47</v>
      </c>
      <c r="G2101" t="s">
        <v>45</v>
      </c>
      <c r="H2101" t="s">
        <v>46</v>
      </c>
      <c r="I2101">
        <v>10</v>
      </c>
    </row>
    <row r="2102" spans="1:9" x14ac:dyDescent="0.2">
      <c r="A2102">
        <v>9884891</v>
      </c>
      <c r="B2102">
        <v>3</v>
      </c>
      <c r="C2102">
        <v>3213</v>
      </c>
      <c r="D2102">
        <v>0</v>
      </c>
      <c r="E2102">
        <v>36</v>
      </c>
      <c r="F2102" t="s">
        <v>47</v>
      </c>
      <c r="G2102" t="s">
        <v>158</v>
      </c>
      <c r="H2102" t="s">
        <v>74</v>
      </c>
      <c r="I2102">
        <v>10</v>
      </c>
    </row>
    <row r="2103" spans="1:9" x14ac:dyDescent="0.2">
      <c r="A2103">
        <v>9884891</v>
      </c>
      <c r="B2103">
        <v>4</v>
      </c>
      <c r="C2103">
        <v>3200</v>
      </c>
      <c r="D2103">
        <v>0</v>
      </c>
      <c r="E2103">
        <v>36</v>
      </c>
      <c r="F2103" t="s">
        <v>47</v>
      </c>
      <c r="G2103" t="s">
        <v>18</v>
      </c>
      <c r="H2103" t="s">
        <v>46</v>
      </c>
      <c r="I2103">
        <v>10</v>
      </c>
    </row>
    <row r="2104" spans="1:9" x14ac:dyDescent="0.2">
      <c r="A2104">
        <v>9900561</v>
      </c>
      <c r="B2104">
        <v>1</v>
      </c>
      <c r="C2104">
        <v>1752</v>
      </c>
      <c r="D2104">
        <v>57760</v>
      </c>
      <c r="E2104">
        <v>24</v>
      </c>
      <c r="F2104" t="s">
        <v>57</v>
      </c>
      <c r="G2104" t="s">
        <v>66</v>
      </c>
      <c r="H2104" t="s">
        <v>56</v>
      </c>
      <c r="I2104">
        <v>10</v>
      </c>
    </row>
    <row r="2105" spans="1:9" x14ac:dyDescent="0.2">
      <c r="A2105">
        <v>9900561</v>
      </c>
      <c r="B2105">
        <v>2</v>
      </c>
      <c r="C2105">
        <v>1704</v>
      </c>
      <c r="D2105">
        <v>0</v>
      </c>
      <c r="E2105">
        <v>26</v>
      </c>
      <c r="F2105" t="s">
        <v>57</v>
      </c>
      <c r="G2105" t="s">
        <v>82</v>
      </c>
      <c r="H2105" t="s">
        <v>79</v>
      </c>
      <c r="I2105">
        <v>10</v>
      </c>
    </row>
    <row r="2106" spans="1:9" x14ac:dyDescent="0.2">
      <c r="A2106">
        <v>9900561</v>
      </c>
      <c r="B2106">
        <v>3</v>
      </c>
      <c r="C2106">
        <v>1737</v>
      </c>
      <c r="D2106">
        <v>0</v>
      </c>
      <c r="E2106">
        <v>26</v>
      </c>
      <c r="F2106" t="s">
        <v>57</v>
      </c>
      <c r="G2106" t="s">
        <v>54</v>
      </c>
      <c r="H2106" t="s">
        <v>79</v>
      </c>
      <c r="I2106">
        <v>10</v>
      </c>
    </row>
    <row r="2107" spans="1:9" x14ac:dyDescent="0.2">
      <c r="A2107">
        <v>9900561</v>
      </c>
      <c r="B2107">
        <v>4</v>
      </c>
      <c r="C2107">
        <v>3218</v>
      </c>
      <c r="D2107">
        <v>0</v>
      </c>
      <c r="E2107">
        <v>26</v>
      </c>
      <c r="F2107" t="s">
        <v>47</v>
      </c>
      <c r="G2107" t="s">
        <v>66</v>
      </c>
      <c r="H2107" t="s">
        <v>74</v>
      </c>
      <c r="I2107">
        <v>10</v>
      </c>
    </row>
    <row r="2108" spans="1:9" x14ac:dyDescent="0.2">
      <c r="A2108">
        <v>9900561</v>
      </c>
      <c r="B2108">
        <v>5</v>
      </c>
      <c r="C2108">
        <v>1736</v>
      </c>
      <c r="D2108">
        <v>0</v>
      </c>
      <c r="E2108">
        <v>26</v>
      </c>
      <c r="F2108" t="s">
        <v>57</v>
      </c>
      <c r="G2108" t="s">
        <v>78</v>
      </c>
      <c r="H2108" t="s">
        <v>79</v>
      </c>
      <c r="I2108">
        <v>10</v>
      </c>
    </row>
    <row r="2109" spans="1:9" x14ac:dyDescent="0.2">
      <c r="A2109">
        <v>9900561</v>
      </c>
      <c r="B2109">
        <v>6</v>
      </c>
      <c r="C2109">
        <v>1703</v>
      </c>
      <c r="D2109">
        <v>0</v>
      </c>
      <c r="E2109">
        <v>26</v>
      </c>
      <c r="F2109" t="s">
        <v>57</v>
      </c>
      <c r="G2109" t="s">
        <v>109</v>
      </c>
      <c r="H2109" t="s">
        <v>69</v>
      </c>
      <c r="I2109">
        <v>10</v>
      </c>
    </row>
    <row r="2110" spans="1:9" x14ac:dyDescent="0.2">
      <c r="A2110">
        <v>9900561</v>
      </c>
      <c r="B2110">
        <v>7</v>
      </c>
      <c r="C2110">
        <v>2261</v>
      </c>
      <c r="D2110">
        <v>0</v>
      </c>
      <c r="E2110">
        <v>26</v>
      </c>
      <c r="F2110" t="s">
        <v>177</v>
      </c>
      <c r="G2110" t="s">
        <v>428</v>
      </c>
      <c r="H2110" t="s">
        <v>371</v>
      </c>
      <c r="I2110">
        <v>2</v>
      </c>
    </row>
    <row r="2111" spans="1:9" x14ac:dyDescent="0.2">
      <c r="A2111">
        <v>9900561</v>
      </c>
      <c r="B2111">
        <v>8</v>
      </c>
      <c r="C2111">
        <v>2226</v>
      </c>
      <c r="D2111">
        <v>0</v>
      </c>
      <c r="E2111">
        <v>26</v>
      </c>
      <c r="F2111" t="s">
        <v>177</v>
      </c>
      <c r="G2111" t="s">
        <v>102</v>
      </c>
      <c r="H2111" t="s">
        <v>371</v>
      </c>
      <c r="I2111">
        <v>2</v>
      </c>
    </row>
    <row r="2112" spans="1:9" x14ac:dyDescent="0.2">
      <c r="A2112">
        <v>9946404</v>
      </c>
      <c r="B2112">
        <v>1</v>
      </c>
      <c r="C2112">
        <v>2937</v>
      </c>
      <c r="D2112">
        <v>58175</v>
      </c>
      <c r="E2112">
        <v>24</v>
      </c>
      <c r="F2112" t="s">
        <v>119</v>
      </c>
      <c r="G2112" t="s">
        <v>384</v>
      </c>
      <c r="H2112" t="s">
        <v>20</v>
      </c>
      <c r="I2112">
        <v>8</v>
      </c>
    </row>
    <row r="2113" spans="1:9" x14ac:dyDescent="0.2">
      <c r="A2113">
        <v>9946404</v>
      </c>
      <c r="B2113">
        <v>2</v>
      </c>
      <c r="C2113">
        <v>1708</v>
      </c>
      <c r="D2113">
        <v>0</v>
      </c>
      <c r="E2113">
        <v>26</v>
      </c>
      <c r="F2113" t="s">
        <v>57</v>
      </c>
      <c r="G2113" t="s">
        <v>80</v>
      </c>
      <c r="H2113" t="s">
        <v>79</v>
      </c>
      <c r="I2113">
        <v>10</v>
      </c>
    </row>
    <row r="2114" spans="1:9" x14ac:dyDescent="0.2">
      <c r="A2114">
        <v>9946404</v>
      </c>
      <c r="B2114">
        <v>3</v>
      </c>
      <c r="C2114">
        <v>1759</v>
      </c>
      <c r="D2114">
        <v>0</v>
      </c>
      <c r="E2114">
        <v>26</v>
      </c>
      <c r="F2114" t="s">
        <v>57</v>
      </c>
      <c r="G2114" t="s">
        <v>154</v>
      </c>
      <c r="H2114" t="s">
        <v>56</v>
      </c>
      <c r="I2114">
        <v>10</v>
      </c>
    </row>
    <row r="2115" spans="1:9" x14ac:dyDescent="0.2">
      <c r="A2115">
        <v>9946404</v>
      </c>
      <c r="B2115">
        <v>4</v>
      </c>
      <c r="C2115">
        <v>3631</v>
      </c>
      <c r="D2115">
        <v>0</v>
      </c>
      <c r="E2115">
        <v>26</v>
      </c>
      <c r="F2115" t="s">
        <v>108</v>
      </c>
      <c r="G2115" t="s">
        <v>249</v>
      </c>
      <c r="H2115" t="s">
        <v>20</v>
      </c>
      <c r="I2115">
        <v>8</v>
      </c>
    </row>
    <row r="2116" spans="1:9" x14ac:dyDescent="0.2">
      <c r="A2116">
        <v>9987182</v>
      </c>
      <c r="B2116">
        <v>1</v>
      </c>
      <c r="C2116">
        <v>1704</v>
      </c>
      <c r="D2116">
        <v>53845</v>
      </c>
      <c r="E2116">
        <v>25</v>
      </c>
      <c r="F2116" t="s">
        <v>57</v>
      </c>
      <c r="G2116" t="s">
        <v>82</v>
      </c>
      <c r="H2116" t="s">
        <v>79</v>
      </c>
      <c r="I2116">
        <v>10</v>
      </c>
    </row>
    <row r="2117" spans="1:9" x14ac:dyDescent="0.2">
      <c r="A2117">
        <v>9987182</v>
      </c>
      <c r="B2117">
        <v>2</v>
      </c>
      <c r="C2117">
        <v>1752</v>
      </c>
      <c r="D2117">
        <v>53845</v>
      </c>
      <c r="E2117">
        <v>25</v>
      </c>
      <c r="F2117" t="s">
        <v>57</v>
      </c>
      <c r="G2117" t="s">
        <v>66</v>
      </c>
      <c r="H2117" t="s">
        <v>56</v>
      </c>
      <c r="I2117">
        <v>10</v>
      </c>
    </row>
    <row r="2118" spans="1:9" x14ac:dyDescent="0.2">
      <c r="A2118">
        <v>9987182</v>
      </c>
      <c r="B2118">
        <v>3</v>
      </c>
      <c r="C2118">
        <v>3218</v>
      </c>
      <c r="D2118">
        <v>54185</v>
      </c>
      <c r="E2118">
        <v>24</v>
      </c>
      <c r="F2118" t="s">
        <v>47</v>
      </c>
      <c r="G2118" t="s">
        <v>66</v>
      </c>
      <c r="H2118" t="s">
        <v>74</v>
      </c>
      <c r="I2118">
        <v>10</v>
      </c>
    </row>
    <row r="2119" spans="1:9" x14ac:dyDescent="0.2">
      <c r="A2119">
        <v>9987182</v>
      </c>
      <c r="B2119">
        <v>4</v>
      </c>
      <c r="C2119">
        <v>1702</v>
      </c>
      <c r="D2119">
        <v>0</v>
      </c>
      <c r="E2119">
        <v>26</v>
      </c>
      <c r="F2119" t="s">
        <v>57</v>
      </c>
      <c r="G2119" t="s">
        <v>164</v>
      </c>
      <c r="H2119" t="s">
        <v>69</v>
      </c>
      <c r="I2119">
        <v>10</v>
      </c>
    </row>
    <row r="2120" spans="1:9" x14ac:dyDescent="0.2">
      <c r="A2120">
        <v>9987182</v>
      </c>
      <c r="B2120">
        <v>5</v>
      </c>
      <c r="C2120">
        <v>1736</v>
      </c>
      <c r="D2120">
        <v>0</v>
      </c>
      <c r="E2120">
        <v>26</v>
      </c>
      <c r="F2120" t="s">
        <v>57</v>
      </c>
      <c r="G2120" t="s">
        <v>78</v>
      </c>
      <c r="H2120" t="s">
        <v>79</v>
      </c>
      <c r="I2120">
        <v>10</v>
      </c>
    </row>
    <row r="2121" spans="1:9" x14ac:dyDescent="0.2">
      <c r="A2121">
        <v>9987182</v>
      </c>
      <c r="B2121">
        <v>6</v>
      </c>
      <c r="C2121">
        <v>1709</v>
      </c>
      <c r="D2121">
        <v>0</v>
      </c>
      <c r="E2121">
        <v>26</v>
      </c>
      <c r="F2121" t="s">
        <v>57</v>
      </c>
      <c r="G2121" t="s">
        <v>84</v>
      </c>
      <c r="H2121" t="s">
        <v>69</v>
      </c>
      <c r="I2121">
        <v>10</v>
      </c>
    </row>
    <row r="2122" spans="1:9" x14ac:dyDescent="0.2">
      <c r="A2122">
        <v>9987182</v>
      </c>
      <c r="B2122">
        <v>7</v>
      </c>
      <c r="C2122">
        <v>3080</v>
      </c>
      <c r="D2122">
        <v>0</v>
      </c>
      <c r="E2122">
        <v>26</v>
      </c>
      <c r="F2122" t="s">
        <v>44</v>
      </c>
      <c r="G2122" t="s">
        <v>356</v>
      </c>
      <c r="H2122" t="s">
        <v>55</v>
      </c>
      <c r="I2122">
        <v>9</v>
      </c>
    </row>
    <row r="2123" spans="1:9" x14ac:dyDescent="0.2">
      <c r="A2123">
        <v>9987182</v>
      </c>
      <c r="B2123">
        <v>8</v>
      </c>
      <c r="C2123">
        <v>3033</v>
      </c>
      <c r="D2123">
        <v>0</v>
      </c>
      <c r="E2123">
        <v>26</v>
      </c>
      <c r="F2123" t="s">
        <v>44</v>
      </c>
      <c r="G2123" t="s">
        <v>122</v>
      </c>
      <c r="H2123" t="s">
        <v>50</v>
      </c>
      <c r="I2123">
        <v>9</v>
      </c>
    </row>
    <row r="2124" spans="1:9" x14ac:dyDescent="0.2">
      <c r="A2124">
        <v>10002950</v>
      </c>
      <c r="B2124">
        <v>1</v>
      </c>
      <c r="C2124">
        <v>1145</v>
      </c>
      <c r="D2124">
        <v>69640</v>
      </c>
      <c r="E2124">
        <v>25</v>
      </c>
      <c r="F2124" t="s">
        <v>17</v>
      </c>
      <c r="G2124" t="s">
        <v>159</v>
      </c>
      <c r="H2124" t="s">
        <v>16</v>
      </c>
      <c r="I2124" t="s">
        <v>448</v>
      </c>
    </row>
    <row r="2125" spans="1:9" x14ac:dyDescent="0.2">
      <c r="A2125">
        <v>10002950</v>
      </c>
      <c r="B2125">
        <v>2</v>
      </c>
      <c r="C2125">
        <v>1574</v>
      </c>
      <c r="D2125">
        <v>68150</v>
      </c>
      <c r="E2125">
        <v>25</v>
      </c>
      <c r="F2125" t="s">
        <v>142</v>
      </c>
      <c r="G2125" t="s">
        <v>263</v>
      </c>
      <c r="H2125" t="s">
        <v>113</v>
      </c>
      <c r="I2125">
        <v>5</v>
      </c>
    </row>
    <row r="2126" spans="1:9" x14ac:dyDescent="0.2">
      <c r="A2126">
        <v>10002950</v>
      </c>
      <c r="B2126">
        <v>3</v>
      </c>
      <c r="C2126">
        <v>1571</v>
      </c>
      <c r="D2126">
        <v>68150</v>
      </c>
      <c r="E2126">
        <v>24</v>
      </c>
      <c r="F2126" t="s">
        <v>142</v>
      </c>
      <c r="G2126" t="s">
        <v>264</v>
      </c>
      <c r="H2126" t="s">
        <v>113</v>
      </c>
      <c r="I2126">
        <v>5</v>
      </c>
    </row>
    <row r="2127" spans="1:9" x14ac:dyDescent="0.2">
      <c r="A2127">
        <v>10002950</v>
      </c>
      <c r="B2127">
        <v>4</v>
      </c>
      <c r="C2127">
        <v>1503</v>
      </c>
      <c r="D2127">
        <v>0</v>
      </c>
      <c r="E2127">
        <v>26</v>
      </c>
      <c r="F2127" t="s">
        <v>142</v>
      </c>
      <c r="G2127" t="s">
        <v>161</v>
      </c>
      <c r="H2127" t="s">
        <v>31</v>
      </c>
      <c r="I2127">
        <v>5</v>
      </c>
    </row>
    <row r="2128" spans="1:9" x14ac:dyDescent="0.2">
      <c r="A2128">
        <v>10002950</v>
      </c>
      <c r="B2128">
        <v>5</v>
      </c>
      <c r="C2128">
        <v>1603</v>
      </c>
      <c r="D2128">
        <v>0</v>
      </c>
      <c r="E2128">
        <v>26</v>
      </c>
      <c r="F2128" t="s">
        <v>128</v>
      </c>
      <c r="G2128" t="s">
        <v>254</v>
      </c>
      <c r="H2128" t="s">
        <v>127</v>
      </c>
      <c r="I2128" t="s">
        <v>448</v>
      </c>
    </row>
    <row r="2129" spans="1:9" x14ac:dyDescent="0.2">
      <c r="A2129">
        <v>10017777</v>
      </c>
      <c r="B2129">
        <v>1</v>
      </c>
      <c r="C2129">
        <v>3252</v>
      </c>
      <c r="D2129">
        <v>63940</v>
      </c>
      <c r="E2129">
        <v>24</v>
      </c>
      <c r="F2129" t="s">
        <v>47</v>
      </c>
      <c r="G2129" t="s">
        <v>45</v>
      </c>
      <c r="H2129" t="s">
        <v>46</v>
      </c>
      <c r="I2129">
        <v>10</v>
      </c>
    </row>
    <row r="2130" spans="1:9" x14ac:dyDescent="0.2">
      <c r="A2130">
        <v>10017777</v>
      </c>
      <c r="B2130">
        <v>2</v>
      </c>
      <c r="C2130">
        <v>3237</v>
      </c>
      <c r="D2130">
        <v>0</v>
      </c>
      <c r="E2130">
        <v>26</v>
      </c>
      <c r="F2130" t="s">
        <v>47</v>
      </c>
      <c r="G2130" t="s">
        <v>181</v>
      </c>
      <c r="H2130" t="s">
        <v>46</v>
      </c>
      <c r="I2130">
        <v>10</v>
      </c>
    </row>
    <row r="2131" spans="1:9" x14ac:dyDescent="0.2">
      <c r="A2131">
        <v>10017777</v>
      </c>
      <c r="B2131">
        <v>3</v>
      </c>
      <c r="C2131">
        <v>3243</v>
      </c>
      <c r="D2131">
        <v>0</v>
      </c>
      <c r="E2131">
        <v>26</v>
      </c>
      <c r="F2131" t="s">
        <v>47</v>
      </c>
      <c r="G2131" t="s">
        <v>75</v>
      </c>
      <c r="H2131" t="s">
        <v>46</v>
      </c>
      <c r="I2131">
        <v>10</v>
      </c>
    </row>
    <row r="2132" spans="1:9" x14ac:dyDescent="0.2">
      <c r="A2132">
        <v>10017777</v>
      </c>
      <c r="B2132">
        <v>4</v>
      </c>
      <c r="C2132">
        <v>3234</v>
      </c>
      <c r="D2132">
        <v>0</v>
      </c>
      <c r="E2132">
        <v>26</v>
      </c>
      <c r="F2132" t="s">
        <v>47</v>
      </c>
      <c r="G2132" t="s">
        <v>76</v>
      </c>
      <c r="H2132" t="s">
        <v>46</v>
      </c>
      <c r="I2132">
        <v>10</v>
      </c>
    </row>
    <row r="2133" spans="1:9" x14ac:dyDescent="0.2">
      <c r="A2133">
        <v>10017777</v>
      </c>
      <c r="B2133">
        <v>5</v>
      </c>
      <c r="C2133">
        <v>3239</v>
      </c>
      <c r="D2133">
        <v>0</v>
      </c>
      <c r="E2133">
        <v>26</v>
      </c>
      <c r="F2133" t="s">
        <v>47</v>
      </c>
      <c r="G2133" t="s">
        <v>107</v>
      </c>
      <c r="H2133" t="s">
        <v>46</v>
      </c>
      <c r="I2133">
        <v>10</v>
      </c>
    </row>
    <row r="2134" spans="1:9" x14ac:dyDescent="0.2">
      <c r="A2134">
        <v>10017777</v>
      </c>
      <c r="B2134">
        <v>6</v>
      </c>
      <c r="C2134">
        <v>3251</v>
      </c>
      <c r="D2134">
        <v>0</v>
      </c>
      <c r="E2134">
        <v>26</v>
      </c>
      <c r="F2134" t="s">
        <v>47</v>
      </c>
      <c r="G2134" t="s">
        <v>48</v>
      </c>
      <c r="H2134" t="s">
        <v>46</v>
      </c>
      <c r="I2134">
        <v>10</v>
      </c>
    </row>
    <row r="2135" spans="1:9" x14ac:dyDescent="0.2">
      <c r="A2135">
        <v>10017777</v>
      </c>
      <c r="B2135">
        <v>7</v>
      </c>
      <c r="C2135">
        <v>3212</v>
      </c>
      <c r="D2135">
        <v>0</v>
      </c>
      <c r="E2135">
        <v>26</v>
      </c>
      <c r="F2135" t="s">
        <v>47</v>
      </c>
      <c r="G2135" t="s">
        <v>84</v>
      </c>
      <c r="H2135" t="s">
        <v>46</v>
      </c>
      <c r="I2135">
        <v>10</v>
      </c>
    </row>
    <row r="2136" spans="1:9" x14ac:dyDescent="0.2">
      <c r="A2136">
        <v>10017777</v>
      </c>
      <c r="B2136">
        <v>8</v>
      </c>
      <c r="C2136">
        <v>3211</v>
      </c>
      <c r="D2136">
        <v>0</v>
      </c>
      <c r="E2136">
        <v>26</v>
      </c>
      <c r="F2136" t="s">
        <v>47</v>
      </c>
      <c r="G2136" t="s">
        <v>99</v>
      </c>
      <c r="H2136" t="s">
        <v>46</v>
      </c>
      <c r="I2136">
        <v>10</v>
      </c>
    </row>
    <row r="2137" spans="1:9" x14ac:dyDescent="0.2">
      <c r="A2137">
        <v>10088194</v>
      </c>
      <c r="B2137">
        <v>1</v>
      </c>
      <c r="C2137">
        <v>3033</v>
      </c>
      <c r="D2137">
        <v>59100</v>
      </c>
      <c r="E2137">
        <v>25</v>
      </c>
      <c r="F2137" t="s">
        <v>44</v>
      </c>
      <c r="G2137" t="s">
        <v>122</v>
      </c>
      <c r="H2137" t="s">
        <v>50</v>
      </c>
      <c r="I2137">
        <v>9</v>
      </c>
    </row>
    <row r="2138" spans="1:9" x14ac:dyDescent="0.2">
      <c r="A2138">
        <v>10088194</v>
      </c>
      <c r="B2138">
        <v>2</v>
      </c>
      <c r="C2138">
        <v>3023</v>
      </c>
      <c r="D2138">
        <v>59100</v>
      </c>
      <c r="E2138">
        <v>25</v>
      </c>
      <c r="F2138" t="s">
        <v>44</v>
      </c>
      <c r="G2138" t="s">
        <v>124</v>
      </c>
      <c r="H2138" t="s">
        <v>50</v>
      </c>
      <c r="I2138">
        <v>9</v>
      </c>
    </row>
    <row r="2139" spans="1:9" x14ac:dyDescent="0.2">
      <c r="A2139">
        <v>10088194</v>
      </c>
      <c r="B2139">
        <v>3</v>
      </c>
      <c r="C2139">
        <v>1776</v>
      </c>
      <c r="D2139">
        <v>58410</v>
      </c>
      <c r="E2139">
        <v>25</v>
      </c>
      <c r="F2139" t="s">
        <v>57</v>
      </c>
      <c r="G2139" t="s">
        <v>124</v>
      </c>
      <c r="H2139" t="s">
        <v>125</v>
      </c>
      <c r="I2139">
        <v>10</v>
      </c>
    </row>
    <row r="2140" spans="1:9" x14ac:dyDescent="0.2">
      <c r="A2140">
        <v>10088194</v>
      </c>
      <c r="B2140">
        <v>4</v>
      </c>
      <c r="C2140">
        <v>3035</v>
      </c>
      <c r="D2140">
        <v>59100</v>
      </c>
      <c r="E2140">
        <v>25</v>
      </c>
      <c r="F2140" t="s">
        <v>44</v>
      </c>
      <c r="G2140" t="s">
        <v>103</v>
      </c>
      <c r="H2140" t="s">
        <v>50</v>
      </c>
      <c r="I2140">
        <v>9</v>
      </c>
    </row>
    <row r="2141" spans="1:9" x14ac:dyDescent="0.2">
      <c r="A2141">
        <v>10088194</v>
      </c>
      <c r="B2141">
        <v>5</v>
      </c>
      <c r="C2141">
        <v>1728</v>
      </c>
      <c r="D2141">
        <v>58380</v>
      </c>
      <c r="E2141">
        <v>25</v>
      </c>
      <c r="F2141" t="s">
        <v>57</v>
      </c>
      <c r="G2141" t="s">
        <v>103</v>
      </c>
      <c r="H2141" t="s">
        <v>69</v>
      </c>
      <c r="I2141">
        <v>10</v>
      </c>
    </row>
    <row r="2142" spans="1:9" x14ac:dyDescent="0.2">
      <c r="A2142">
        <v>10175920</v>
      </c>
      <c r="B2142">
        <v>1</v>
      </c>
      <c r="C2142">
        <v>1155</v>
      </c>
      <c r="D2142">
        <v>68120</v>
      </c>
      <c r="E2142">
        <v>25</v>
      </c>
      <c r="F2142" t="s">
        <v>17</v>
      </c>
      <c r="G2142" t="s">
        <v>62</v>
      </c>
      <c r="H2142" t="s">
        <v>16</v>
      </c>
      <c r="I2142" t="s">
        <v>448</v>
      </c>
    </row>
    <row r="2143" spans="1:9" x14ac:dyDescent="0.2">
      <c r="A2143">
        <v>10175920</v>
      </c>
      <c r="B2143">
        <v>2</v>
      </c>
      <c r="C2143">
        <v>1168</v>
      </c>
      <c r="D2143">
        <v>67330</v>
      </c>
      <c r="E2143">
        <v>24</v>
      </c>
      <c r="F2143" t="s">
        <v>17</v>
      </c>
      <c r="G2143" t="s">
        <v>246</v>
      </c>
      <c r="H2143" t="s">
        <v>16</v>
      </c>
      <c r="I2143" t="s">
        <v>448</v>
      </c>
    </row>
    <row r="2144" spans="1:9" x14ac:dyDescent="0.2">
      <c r="A2144">
        <v>10175920</v>
      </c>
      <c r="B2144">
        <v>3</v>
      </c>
      <c r="C2144">
        <v>1782</v>
      </c>
      <c r="D2144">
        <v>0</v>
      </c>
      <c r="E2144">
        <v>26</v>
      </c>
      <c r="F2144" t="s">
        <v>57</v>
      </c>
      <c r="G2144" t="s">
        <v>63</v>
      </c>
      <c r="H2144" t="s">
        <v>69</v>
      </c>
      <c r="I2144">
        <v>10</v>
      </c>
    </row>
    <row r="2145" spans="1:9" x14ac:dyDescent="0.2">
      <c r="A2145">
        <v>10175920</v>
      </c>
      <c r="B2145">
        <v>4</v>
      </c>
      <c r="C2145">
        <v>1128</v>
      </c>
      <c r="D2145">
        <v>0</v>
      </c>
      <c r="E2145">
        <v>26</v>
      </c>
      <c r="F2145" t="s">
        <v>17</v>
      </c>
      <c r="G2145" t="s">
        <v>270</v>
      </c>
      <c r="H2145" t="s">
        <v>16</v>
      </c>
      <c r="I2145" t="s">
        <v>448</v>
      </c>
    </row>
    <row r="2146" spans="1:9" x14ac:dyDescent="0.2">
      <c r="A2146">
        <v>10205779</v>
      </c>
      <c r="B2146">
        <v>1</v>
      </c>
      <c r="C2146">
        <v>1214</v>
      </c>
      <c r="D2146">
        <v>71890</v>
      </c>
      <c r="E2146">
        <v>24</v>
      </c>
      <c r="F2146" t="s">
        <v>19</v>
      </c>
      <c r="G2146" t="s">
        <v>112</v>
      </c>
      <c r="H2146" t="s">
        <v>16</v>
      </c>
      <c r="I2146" t="s">
        <v>448</v>
      </c>
    </row>
    <row r="2147" spans="1:9" x14ac:dyDescent="0.2">
      <c r="A2147">
        <v>10205779</v>
      </c>
      <c r="B2147">
        <v>2</v>
      </c>
      <c r="C2147">
        <v>1203</v>
      </c>
      <c r="D2147">
        <v>0</v>
      </c>
      <c r="E2147">
        <v>26</v>
      </c>
      <c r="F2147" t="s">
        <v>19</v>
      </c>
      <c r="G2147" t="s">
        <v>248</v>
      </c>
      <c r="H2147" t="s">
        <v>16</v>
      </c>
      <c r="I2147" t="s">
        <v>448</v>
      </c>
    </row>
    <row r="2148" spans="1:9" x14ac:dyDescent="0.2">
      <c r="A2148">
        <v>10205779</v>
      </c>
      <c r="B2148">
        <v>3</v>
      </c>
      <c r="C2148">
        <v>1220</v>
      </c>
      <c r="D2148">
        <v>0</v>
      </c>
      <c r="E2148">
        <v>26</v>
      </c>
      <c r="F2148" t="s">
        <v>19</v>
      </c>
      <c r="G2148" t="s">
        <v>244</v>
      </c>
      <c r="H2148" t="s">
        <v>16</v>
      </c>
      <c r="I2148" t="s">
        <v>448</v>
      </c>
    </row>
    <row r="2149" spans="1:9" x14ac:dyDescent="0.2">
      <c r="A2149">
        <v>10205779</v>
      </c>
      <c r="B2149">
        <v>4</v>
      </c>
      <c r="C2149">
        <v>1142</v>
      </c>
      <c r="D2149">
        <v>0</v>
      </c>
      <c r="E2149">
        <v>26</v>
      </c>
      <c r="F2149" t="s">
        <v>17</v>
      </c>
      <c r="G2149" t="s">
        <v>114</v>
      </c>
      <c r="H2149" t="s">
        <v>16</v>
      </c>
      <c r="I2149" t="s">
        <v>448</v>
      </c>
    </row>
    <row r="2150" spans="1:9" x14ac:dyDescent="0.2">
      <c r="A2150">
        <v>10232105</v>
      </c>
      <c r="B2150">
        <v>1</v>
      </c>
      <c r="C2150">
        <v>3026</v>
      </c>
      <c r="D2150">
        <v>55650</v>
      </c>
      <c r="E2150">
        <v>25</v>
      </c>
      <c r="F2150" t="s">
        <v>44</v>
      </c>
      <c r="G2150" t="s">
        <v>170</v>
      </c>
      <c r="H2150" t="s">
        <v>50</v>
      </c>
      <c r="I2150">
        <v>9</v>
      </c>
    </row>
    <row r="2151" spans="1:9" x14ac:dyDescent="0.2">
      <c r="A2151">
        <v>10232105</v>
      </c>
      <c r="B2151">
        <v>2</v>
      </c>
      <c r="C2151">
        <v>3020</v>
      </c>
      <c r="D2151">
        <v>55650</v>
      </c>
      <c r="E2151">
        <v>25</v>
      </c>
      <c r="F2151" t="s">
        <v>44</v>
      </c>
      <c r="G2151" t="s">
        <v>102</v>
      </c>
      <c r="H2151" t="s">
        <v>50</v>
      </c>
      <c r="I2151">
        <v>9</v>
      </c>
    </row>
    <row r="2152" spans="1:9" x14ac:dyDescent="0.2">
      <c r="A2152">
        <v>10232105</v>
      </c>
      <c r="B2152">
        <v>3</v>
      </c>
      <c r="C2152">
        <v>3033</v>
      </c>
      <c r="D2152">
        <v>55650</v>
      </c>
      <c r="E2152">
        <v>25</v>
      </c>
      <c r="F2152" t="s">
        <v>44</v>
      </c>
      <c r="G2152" t="s">
        <v>122</v>
      </c>
      <c r="H2152" t="s">
        <v>50</v>
      </c>
      <c r="I2152">
        <v>9</v>
      </c>
    </row>
    <row r="2153" spans="1:9" x14ac:dyDescent="0.2">
      <c r="A2153">
        <v>10232105</v>
      </c>
      <c r="B2153">
        <v>4</v>
      </c>
      <c r="C2153">
        <v>1731</v>
      </c>
      <c r="D2153">
        <v>56645</v>
      </c>
      <c r="E2153">
        <v>25</v>
      </c>
      <c r="F2153" t="s">
        <v>57</v>
      </c>
      <c r="G2153" t="s">
        <v>172</v>
      </c>
      <c r="H2153" t="s">
        <v>69</v>
      </c>
      <c r="I2153">
        <v>10</v>
      </c>
    </row>
    <row r="2154" spans="1:9" x14ac:dyDescent="0.2">
      <c r="A2154">
        <v>10232105</v>
      </c>
      <c r="B2154">
        <v>5</v>
      </c>
      <c r="C2154">
        <v>1713</v>
      </c>
      <c r="D2154">
        <v>56645</v>
      </c>
      <c r="E2154">
        <v>25</v>
      </c>
      <c r="F2154" t="s">
        <v>57</v>
      </c>
      <c r="G2154" t="s">
        <v>170</v>
      </c>
      <c r="H2154" t="s">
        <v>69</v>
      </c>
      <c r="I2154">
        <v>10</v>
      </c>
    </row>
    <row r="2155" spans="1:9" x14ac:dyDescent="0.2">
      <c r="A2155">
        <v>10232105</v>
      </c>
      <c r="B2155">
        <v>6</v>
      </c>
      <c r="C2155">
        <v>1705</v>
      </c>
      <c r="D2155">
        <v>55650</v>
      </c>
      <c r="E2155">
        <v>25</v>
      </c>
      <c r="F2155" t="s">
        <v>57</v>
      </c>
      <c r="G2155" t="s">
        <v>102</v>
      </c>
      <c r="H2155" t="s">
        <v>69</v>
      </c>
      <c r="I2155">
        <v>10</v>
      </c>
    </row>
    <row r="2156" spans="1:9" x14ac:dyDescent="0.2">
      <c r="A2156">
        <v>10232105</v>
      </c>
      <c r="B2156">
        <v>7</v>
      </c>
      <c r="C2156">
        <v>1789</v>
      </c>
      <c r="D2156">
        <v>56645</v>
      </c>
      <c r="E2156">
        <v>25</v>
      </c>
      <c r="F2156" t="s">
        <v>57</v>
      </c>
      <c r="G2156" t="s">
        <v>122</v>
      </c>
      <c r="H2156" t="s">
        <v>69</v>
      </c>
      <c r="I2156">
        <v>10</v>
      </c>
    </row>
    <row r="2157" spans="1:9" x14ac:dyDescent="0.2">
      <c r="A2157">
        <v>10262723</v>
      </c>
      <c r="B2157">
        <v>1</v>
      </c>
      <c r="C2157">
        <v>1391</v>
      </c>
      <c r="D2157">
        <v>67675</v>
      </c>
      <c r="E2157">
        <v>25</v>
      </c>
      <c r="F2157" t="s">
        <v>21</v>
      </c>
      <c r="G2157" t="s">
        <v>122</v>
      </c>
      <c r="H2157" t="s">
        <v>20</v>
      </c>
      <c r="I2157">
        <v>8</v>
      </c>
    </row>
    <row r="2158" spans="1:9" x14ac:dyDescent="0.2">
      <c r="A2158">
        <v>10262723</v>
      </c>
      <c r="B2158">
        <v>2</v>
      </c>
      <c r="C2158">
        <v>1195</v>
      </c>
      <c r="D2158">
        <v>68005</v>
      </c>
      <c r="E2158">
        <v>25</v>
      </c>
      <c r="F2158" t="s">
        <v>17</v>
      </c>
      <c r="G2158" t="s">
        <v>353</v>
      </c>
      <c r="H2158" t="s">
        <v>16</v>
      </c>
      <c r="I2158" t="s">
        <v>448</v>
      </c>
    </row>
    <row r="2159" spans="1:9" x14ac:dyDescent="0.2">
      <c r="A2159">
        <v>10262723</v>
      </c>
      <c r="B2159">
        <v>3</v>
      </c>
      <c r="C2159">
        <v>1789</v>
      </c>
      <c r="D2159">
        <v>68210</v>
      </c>
      <c r="E2159">
        <v>25</v>
      </c>
      <c r="F2159" t="s">
        <v>57</v>
      </c>
      <c r="G2159" t="s">
        <v>122</v>
      </c>
      <c r="H2159" t="s">
        <v>69</v>
      </c>
      <c r="I2159">
        <v>10</v>
      </c>
    </row>
    <row r="2160" spans="1:9" x14ac:dyDescent="0.2">
      <c r="A2160">
        <v>10262723</v>
      </c>
      <c r="B2160">
        <v>4</v>
      </c>
      <c r="C2160">
        <v>1178</v>
      </c>
      <c r="D2160">
        <v>67410</v>
      </c>
      <c r="E2160">
        <v>25</v>
      </c>
      <c r="F2160" t="s">
        <v>17</v>
      </c>
      <c r="G2160" t="s">
        <v>238</v>
      </c>
      <c r="H2160" t="s">
        <v>16</v>
      </c>
      <c r="I2160" t="s">
        <v>448</v>
      </c>
    </row>
    <row r="2161" spans="1:9" x14ac:dyDescent="0.2">
      <c r="A2161">
        <v>10262723</v>
      </c>
      <c r="B2161">
        <v>5</v>
      </c>
      <c r="C2161">
        <v>1348</v>
      </c>
      <c r="D2161">
        <v>67010</v>
      </c>
      <c r="E2161">
        <v>24</v>
      </c>
      <c r="F2161" t="s">
        <v>21</v>
      </c>
      <c r="G2161" t="s">
        <v>164</v>
      </c>
      <c r="H2161" t="s">
        <v>20</v>
      </c>
      <c r="I2161">
        <v>8</v>
      </c>
    </row>
    <row r="2162" spans="1:9" x14ac:dyDescent="0.2">
      <c r="A2162">
        <v>10262723</v>
      </c>
      <c r="B2162">
        <v>6</v>
      </c>
      <c r="C2162">
        <v>1315</v>
      </c>
      <c r="D2162">
        <v>0</v>
      </c>
      <c r="E2162">
        <v>26</v>
      </c>
      <c r="F2162" t="s">
        <v>21</v>
      </c>
      <c r="G2162" t="s">
        <v>304</v>
      </c>
      <c r="H2162" t="s">
        <v>20</v>
      </c>
      <c r="I2162">
        <v>8</v>
      </c>
    </row>
    <row r="2163" spans="1:9" x14ac:dyDescent="0.2">
      <c r="A2163">
        <v>10262723</v>
      </c>
      <c r="B2163">
        <v>7</v>
      </c>
      <c r="C2163">
        <v>1702</v>
      </c>
      <c r="D2163">
        <v>0</v>
      </c>
      <c r="E2163">
        <v>26</v>
      </c>
      <c r="F2163" t="s">
        <v>57</v>
      </c>
      <c r="G2163" t="s">
        <v>164</v>
      </c>
      <c r="H2163" t="s">
        <v>69</v>
      </c>
      <c r="I2163">
        <v>10</v>
      </c>
    </row>
    <row r="2164" spans="1:9" x14ac:dyDescent="0.2">
      <c r="A2164">
        <v>10298890</v>
      </c>
      <c r="B2164">
        <v>1</v>
      </c>
      <c r="C2164">
        <v>3243</v>
      </c>
      <c r="D2164">
        <v>50630</v>
      </c>
      <c r="E2164">
        <v>25</v>
      </c>
      <c r="F2164" t="s">
        <v>47</v>
      </c>
      <c r="G2164" t="s">
        <v>75</v>
      </c>
      <c r="H2164" t="s">
        <v>46</v>
      </c>
      <c r="I2164">
        <v>10</v>
      </c>
    </row>
    <row r="2165" spans="1:9" x14ac:dyDescent="0.2">
      <c r="A2165">
        <v>10298890</v>
      </c>
      <c r="B2165">
        <v>2</v>
      </c>
      <c r="C2165">
        <v>3252</v>
      </c>
      <c r="D2165">
        <v>49185</v>
      </c>
      <c r="E2165">
        <v>25</v>
      </c>
      <c r="F2165" t="s">
        <v>47</v>
      </c>
      <c r="G2165" t="s">
        <v>45</v>
      </c>
      <c r="H2165" t="s">
        <v>46</v>
      </c>
      <c r="I2165">
        <v>10</v>
      </c>
    </row>
    <row r="2166" spans="1:9" x14ac:dyDescent="0.2">
      <c r="A2166">
        <v>10298890</v>
      </c>
      <c r="B2166">
        <v>3</v>
      </c>
      <c r="C2166">
        <v>3239</v>
      </c>
      <c r="D2166">
        <v>49625</v>
      </c>
      <c r="E2166">
        <v>25</v>
      </c>
      <c r="F2166" t="s">
        <v>47</v>
      </c>
      <c r="G2166" t="s">
        <v>107</v>
      </c>
      <c r="H2166" t="s">
        <v>46</v>
      </c>
      <c r="I2166">
        <v>10</v>
      </c>
    </row>
    <row r="2167" spans="1:9" x14ac:dyDescent="0.2">
      <c r="A2167">
        <v>10298890</v>
      </c>
      <c r="B2167">
        <v>4</v>
      </c>
      <c r="C2167">
        <v>3261</v>
      </c>
      <c r="D2167">
        <v>48710</v>
      </c>
      <c r="E2167">
        <v>25</v>
      </c>
      <c r="F2167" t="s">
        <v>47</v>
      </c>
      <c r="G2167" t="s">
        <v>93</v>
      </c>
      <c r="H2167" t="s">
        <v>46</v>
      </c>
      <c r="I2167">
        <v>10</v>
      </c>
    </row>
    <row r="2168" spans="1:9" x14ac:dyDescent="0.2">
      <c r="A2168">
        <v>10298890</v>
      </c>
      <c r="B2168">
        <v>5</v>
      </c>
      <c r="C2168">
        <v>3234</v>
      </c>
      <c r="D2168">
        <v>48855</v>
      </c>
      <c r="E2168">
        <v>25</v>
      </c>
      <c r="F2168" t="s">
        <v>47</v>
      </c>
      <c r="G2168" t="s">
        <v>76</v>
      </c>
      <c r="H2168" t="s">
        <v>46</v>
      </c>
      <c r="I2168">
        <v>10</v>
      </c>
    </row>
    <row r="2169" spans="1:9" x14ac:dyDescent="0.2">
      <c r="A2169">
        <v>10298890</v>
      </c>
      <c r="B2169">
        <v>6</v>
      </c>
      <c r="C2169">
        <v>3242</v>
      </c>
      <c r="D2169">
        <v>49570</v>
      </c>
      <c r="E2169">
        <v>25</v>
      </c>
      <c r="F2169" t="s">
        <v>47</v>
      </c>
      <c r="G2169" t="s">
        <v>90</v>
      </c>
      <c r="H2169" t="s">
        <v>46</v>
      </c>
      <c r="I2169">
        <v>10</v>
      </c>
    </row>
    <row r="2170" spans="1:9" x14ac:dyDescent="0.2">
      <c r="A2170">
        <v>10298890</v>
      </c>
      <c r="B2170">
        <v>7</v>
      </c>
      <c r="C2170">
        <v>3248</v>
      </c>
      <c r="D2170">
        <v>48655</v>
      </c>
      <c r="E2170">
        <v>25</v>
      </c>
      <c r="F2170" t="s">
        <v>47</v>
      </c>
      <c r="G2170" t="s">
        <v>92</v>
      </c>
      <c r="H2170" t="s">
        <v>46</v>
      </c>
      <c r="I2170">
        <v>10</v>
      </c>
    </row>
    <row r="2171" spans="1:9" x14ac:dyDescent="0.2">
      <c r="A2171">
        <v>10346838</v>
      </c>
      <c r="B2171">
        <v>1</v>
      </c>
      <c r="C2171">
        <v>1386</v>
      </c>
      <c r="D2171">
        <v>66160</v>
      </c>
      <c r="E2171">
        <v>25</v>
      </c>
      <c r="F2171" t="s">
        <v>21</v>
      </c>
      <c r="G2171" t="s">
        <v>170</v>
      </c>
      <c r="H2171" t="s">
        <v>20</v>
      </c>
      <c r="I2171">
        <v>8</v>
      </c>
    </row>
    <row r="2172" spans="1:9" x14ac:dyDescent="0.2">
      <c r="A2172">
        <v>10346838</v>
      </c>
      <c r="B2172">
        <v>2</v>
      </c>
      <c r="C2172">
        <v>3620</v>
      </c>
      <c r="D2172">
        <v>66050</v>
      </c>
      <c r="E2172">
        <v>25</v>
      </c>
      <c r="F2172" t="s">
        <v>108</v>
      </c>
      <c r="G2172" t="s">
        <v>170</v>
      </c>
      <c r="H2172" t="s">
        <v>20</v>
      </c>
      <c r="I2172">
        <v>8</v>
      </c>
    </row>
    <row r="2173" spans="1:9" x14ac:dyDescent="0.2">
      <c r="A2173">
        <v>10346838</v>
      </c>
      <c r="B2173">
        <v>3</v>
      </c>
      <c r="C2173">
        <v>1713</v>
      </c>
      <c r="D2173">
        <v>65905</v>
      </c>
      <c r="E2173">
        <v>25</v>
      </c>
      <c r="F2173" t="s">
        <v>57</v>
      </c>
      <c r="G2173" t="s">
        <v>170</v>
      </c>
      <c r="H2173" t="s">
        <v>69</v>
      </c>
      <c r="I2173">
        <v>10</v>
      </c>
    </row>
    <row r="2174" spans="1:9" x14ac:dyDescent="0.2">
      <c r="A2174">
        <v>10346838</v>
      </c>
      <c r="B2174">
        <v>4</v>
      </c>
      <c r="C2174">
        <v>1940</v>
      </c>
      <c r="D2174">
        <v>66355</v>
      </c>
      <c r="E2174">
        <v>25</v>
      </c>
      <c r="F2174" t="s">
        <v>32</v>
      </c>
      <c r="G2174" t="s">
        <v>170</v>
      </c>
      <c r="H2174" t="s">
        <v>31</v>
      </c>
      <c r="I2174">
        <v>5</v>
      </c>
    </row>
    <row r="2175" spans="1:9" x14ac:dyDescent="0.2">
      <c r="A2175">
        <v>10346838</v>
      </c>
      <c r="B2175">
        <v>5</v>
      </c>
      <c r="C2175">
        <v>3026</v>
      </c>
      <c r="D2175">
        <v>67110</v>
      </c>
      <c r="E2175">
        <v>25</v>
      </c>
      <c r="F2175" t="s">
        <v>44</v>
      </c>
      <c r="G2175" t="s">
        <v>170</v>
      </c>
      <c r="H2175" t="s">
        <v>50</v>
      </c>
      <c r="I2175">
        <v>9</v>
      </c>
    </row>
    <row r="2176" spans="1:9" x14ac:dyDescent="0.2">
      <c r="A2176">
        <v>10346838</v>
      </c>
      <c r="B2176">
        <v>6</v>
      </c>
      <c r="C2176">
        <v>1349</v>
      </c>
      <c r="D2176">
        <v>65985</v>
      </c>
      <c r="E2176">
        <v>24</v>
      </c>
      <c r="F2176" t="s">
        <v>21</v>
      </c>
      <c r="G2176" t="s">
        <v>81</v>
      </c>
      <c r="H2176" t="s">
        <v>20</v>
      </c>
      <c r="I2176">
        <v>8</v>
      </c>
    </row>
    <row r="2177" spans="1:9" x14ac:dyDescent="0.2">
      <c r="A2177">
        <v>10346838</v>
      </c>
      <c r="B2177">
        <v>7</v>
      </c>
      <c r="C2177">
        <v>1990</v>
      </c>
      <c r="D2177">
        <v>0</v>
      </c>
      <c r="E2177">
        <v>26</v>
      </c>
      <c r="F2177" t="s">
        <v>32</v>
      </c>
      <c r="G2177" t="s">
        <v>81</v>
      </c>
      <c r="H2177" t="s">
        <v>31</v>
      </c>
      <c r="I2177">
        <v>5</v>
      </c>
    </row>
    <row r="2178" spans="1:9" x14ac:dyDescent="0.2">
      <c r="A2178">
        <v>10346838</v>
      </c>
      <c r="B2178">
        <v>8</v>
      </c>
      <c r="C2178">
        <v>1734</v>
      </c>
      <c r="D2178">
        <v>0</v>
      </c>
      <c r="E2178">
        <v>26</v>
      </c>
      <c r="F2178" t="s">
        <v>57</v>
      </c>
      <c r="G2178" t="s">
        <v>81</v>
      </c>
      <c r="H2178" t="s">
        <v>69</v>
      </c>
      <c r="I2178">
        <v>10</v>
      </c>
    </row>
    <row r="2179" spans="1:9" x14ac:dyDescent="0.2">
      <c r="A2179">
        <v>10347634</v>
      </c>
      <c r="B2179">
        <v>1</v>
      </c>
      <c r="C2179">
        <v>3239</v>
      </c>
      <c r="D2179">
        <v>52270</v>
      </c>
      <c r="E2179">
        <v>25</v>
      </c>
      <c r="F2179" t="s">
        <v>47</v>
      </c>
      <c r="G2179" t="s">
        <v>107</v>
      </c>
      <c r="H2179" t="s">
        <v>46</v>
      </c>
      <c r="I2179">
        <v>10</v>
      </c>
    </row>
    <row r="2180" spans="1:9" x14ac:dyDescent="0.2">
      <c r="A2180">
        <v>10347687</v>
      </c>
      <c r="B2180">
        <v>1</v>
      </c>
      <c r="C2180">
        <v>3239</v>
      </c>
      <c r="D2180">
        <v>50700</v>
      </c>
      <c r="E2180">
        <v>25</v>
      </c>
      <c r="F2180" t="s">
        <v>47</v>
      </c>
      <c r="G2180" t="s">
        <v>107</v>
      </c>
      <c r="H2180" t="s">
        <v>46</v>
      </c>
      <c r="I2180">
        <v>10</v>
      </c>
    </row>
    <row r="2181" spans="1:9" x14ac:dyDescent="0.2">
      <c r="A2181">
        <v>10347687</v>
      </c>
      <c r="B2181">
        <v>2</v>
      </c>
      <c r="C2181">
        <v>3242</v>
      </c>
      <c r="D2181">
        <v>49965</v>
      </c>
      <c r="E2181">
        <v>25</v>
      </c>
      <c r="F2181" t="s">
        <v>47</v>
      </c>
      <c r="G2181" t="s">
        <v>90</v>
      </c>
      <c r="H2181" t="s">
        <v>46</v>
      </c>
      <c r="I2181">
        <v>10</v>
      </c>
    </row>
    <row r="2182" spans="1:9" x14ac:dyDescent="0.2">
      <c r="A2182">
        <v>10347687</v>
      </c>
      <c r="B2182">
        <v>3</v>
      </c>
      <c r="C2182">
        <v>3234</v>
      </c>
      <c r="D2182">
        <v>49900</v>
      </c>
      <c r="E2182">
        <v>25</v>
      </c>
      <c r="F2182" t="s">
        <v>47</v>
      </c>
      <c r="G2182" t="s">
        <v>76</v>
      </c>
      <c r="H2182" t="s">
        <v>46</v>
      </c>
      <c r="I2182">
        <v>10</v>
      </c>
    </row>
    <row r="2183" spans="1:9" x14ac:dyDescent="0.2">
      <c r="A2183">
        <v>10347687</v>
      </c>
      <c r="B2183">
        <v>4</v>
      </c>
      <c r="C2183">
        <v>3243</v>
      </c>
      <c r="D2183">
        <v>50825</v>
      </c>
      <c r="E2183">
        <v>25</v>
      </c>
      <c r="F2183" t="s">
        <v>47</v>
      </c>
      <c r="G2183" t="s">
        <v>75</v>
      </c>
      <c r="H2183" t="s">
        <v>46</v>
      </c>
      <c r="I2183">
        <v>10</v>
      </c>
    </row>
    <row r="2184" spans="1:9" x14ac:dyDescent="0.2">
      <c r="A2184">
        <v>10347687</v>
      </c>
      <c r="B2184">
        <v>5</v>
      </c>
      <c r="C2184">
        <v>3252</v>
      </c>
      <c r="D2184">
        <v>49565</v>
      </c>
      <c r="E2184">
        <v>25</v>
      </c>
      <c r="F2184" t="s">
        <v>47</v>
      </c>
      <c r="G2184" t="s">
        <v>45</v>
      </c>
      <c r="H2184" t="s">
        <v>46</v>
      </c>
      <c r="I2184">
        <v>10</v>
      </c>
    </row>
    <row r="2185" spans="1:9" x14ac:dyDescent="0.2">
      <c r="A2185">
        <v>10347687</v>
      </c>
      <c r="B2185">
        <v>6</v>
      </c>
      <c r="C2185">
        <v>3251</v>
      </c>
      <c r="D2185">
        <v>50240</v>
      </c>
      <c r="E2185">
        <v>24</v>
      </c>
      <c r="F2185" t="s">
        <v>47</v>
      </c>
      <c r="G2185" t="s">
        <v>48</v>
      </c>
      <c r="H2185" t="s">
        <v>46</v>
      </c>
      <c r="I2185">
        <v>10</v>
      </c>
    </row>
    <row r="2186" spans="1:9" x14ac:dyDescent="0.2">
      <c r="A2186">
        <v>10347687</v>
      </c>
      <c r="B2186">
        <v>7</v>
      </c>
      <c r="C2186">
        <v>3248</v>
      </c>
      <c r="D2186">
        <v>0</v>
      </c>
      <c r="E2186">
        <v>26</v>
      </c>
      <c r="F2186" t="s">
        <v>47</v>
      </c>
      <c r="G2186" t="s">
        <v>92</v>
      </c>
      <c r="H2186" t="s">
        <v>46</v>
      </c>
      <c r="I2186">
        <v>10</v>
      </c>
    </row>
    <row r="2187" spans="1:9" x14ac:dyDescent="0.2">
      <c r="A2187">
        <v>10362918</v>
      </c>
      <c r="B2187">
        <v>1</v>
      </c>
      <c r="C2187">
        <v>3214</v>
      </c>
      <c r="D2187">
        <v>54315</v>
      </c>
      <c r="E2187">
        <v>24</v>
      </c>
      <c r="F2187" t="s">
        <v>47</v>
      </c>
      <c r="G2187" t="s">
        <v>98</v>
      </c>
      <c r="H2187" t="s">
        <v>74</v>
      </c>
      <c r="I2187">
        <v>10</v>
      </c>
    </row>
    <row r="2188" spans="1:9" x14ac:dyDescent="0.2">
      <c r="A2188">
        <v>10362918</v>
      </c>
      <c r="B2188">
        <v>2</v>
      </c>
      <c r="C2188">
        <v>1782</v>
      </c>
      <c r="D2188">
        <v>0</v>
      </c>
      <c r="E2188">
        <v>26</v>
      </c>
      <c r="F2188" t="s">
        <v>57</v>
      </c>
      <c r="G2188" t="s">
        <v>63</v>
      </c>
      <c r="H2188" t="s">
        <v>69</v>
      </c>
      <c r="I2188">
        <v>10</v>
      </c>
    </row>
    <row r="2189" spans="1:9" x14ac:dyDescent="0.2">
      <c r="A2189">
        <v>10362918</v>
      </c>
      <c r="B2189">
        <v>3</v>
      </c>
      <c r="C2189">
        <v>1359</v>
      </c>
      <c r="D2189">
        <v>0</v>
      </c>
      <c r="E2189">
        <v>26</v>
      </c>
      <c r="F2189" t="s">
        <v>21</v>
      </c>
      <c r="G2189" t="s">
        <v>214</v>
      </c>
      <c r="H2189" t="s">
        <v>20</v>
      </c>
      <c r="I2189">
        <v>8</v>
      </c>
    </row>
    <row r="2190" spans="1:9" x14ac:dyDescent="0.2">
      <c r="A2190">
        <v>10362918</v>
      </c>
      <c r="B2190">
        <v>4</v>
      </c>
      <c r="C2190">
        <v>3601</v>
      </c>
      <c r="D2190">
        <v>0</v>
      </c>
      <c r="E2190">
        <v>26</v>
      </c>
      <c r="F2190" t="s">
        <v>108</v>
      </c>
      <c r="G2190" t="s">
        <v>63</v>
      </c>
      <c r="H2190" t="s">
        <v>20</v>
      </c>
      <c r="I2190">
        <v>8</v>
      </c>
    </row>
    <row r="2191" spans="1:9" x14ac:dyDescent="0.2">
      <c r="A2191">
        <v>10362918</v>
      </c>
      <c r="B2191">
        <v>5</v>
      </c>
      <c r="C2191">
        <v>1323</v>
      </c>
      <c r="D2191">
        <v>0</v>
      </c>
      <c r="E2191">
        <v>26</v>
      </c>
      <c r="F2191" t="s">
        <v>21</v>
      </c>
      <c r="G2191" t="s">
        <v>98</v>
      </c>
      <c r="H2191" t="s">
        <v>20</v>
      </c>
      <c r="I2191">
        <v>8</v>
      </c>
    </row>
    <row r="2192" spans="1:9" x14ac:dyDescent="0.2">
      <c r="A2192">
        <v>10362918</v>
      </c>
      <c r="B2192">
        <v>6</v>
      </c>
      <c r="C2192">
        <v>1352</v>
      </c>
      <c r="D2192">
        <v>0</v>
      </c>
      <c r="E2192">
        <v>26</v>
      </c>
      <c r="F2192" t="s">
        <v>21</v>
      </c>
      <c r="G2192" t="s">
        <v>279</v>
      </c>
      <c r="H2192" t="s">
        <v>20</v>
      </c>
      <c r="I2192">
        <v>8</v>
      </c>
    </row>
    <row r="2193" spans="1:9" x14ac:dyDescent="0.2">
      <c r="A2193">
        <v>10362918</v>
      </c>
      <c r="B2193">
        <v>7</v>
      </c>
      <c r="C2193">
        <v>3234</v>
      </c>
      <c r="D2193">
        <v>0</v>
      </c>
      <c r="E2193">
        <v>26</v>
      </c>
      <c r="F2193" t="s">
        <v>47</v>
      </c>
      <c r="G2193" t="s">
        <v>76</v>
      </c>
      <c r="H2193" t="s">
        <v>46</v>
      </c>
      <c r="I2193">
        <v>10</v>
      </c>
    </row>
    <row r="2194" spans="1:9" x14ac:dyDescent="0.2">
      <c r="A2194">
        <v>10362918</v>
      </c>
      <c r="B2194">
        <v>8</v>
      </c>
      <c r="C2194">
        <v>3242</v>
      </c>
      <c r="D2194">
        <v>0</v>
      </c>
      <c r="E2194">
        <v>26</v>
      </c>
      <c r="F2194" t="s">
        <v>47</v>
      </c>
      <c r="G2194" t="s">
        <v>90</v>
      </c>
      <c r="H2194" t="s">
        <v>46</v>
      </c>
      <c r="I2194">
        <v>10</v>
      </c>
    </row>
    <row r="2195" spans="1:9" x14ac:dyDescent="0.2">
      <c r="A2195">
        <v>10363644</v>
      </c>
      <c r="B2195">
        <v>1</v>
      </c>
      <c r="C2195">
        <v>3234</v>
      </c>
      <c r="D2195">
        <v>0</v>
      </c>
      <c r="E2195">
        <v>36</v>
      </c>
      <c r="F2195" t="s">
        <v>47</v>
      </c>
      <c r="G2195" t="s">
        <v>76</v>
      </c>
      <c r="H2195" t="s">
        <v>46</v>
      </c>
      <c r="I2195">
        <v>10</v>
      </c>
    </row>
    <row r="2196" spans="1:9" x14ac:dyDescent="0.2">
      <c r="A2196">
        <v>10363644</v>
      </c>
      <c r="B2196">
        <v>2</v>
      </c>
      <c r="C2196">
        <v>3261</v>
      </c>
      <c r="D2196">
        <v>0</v>
      </c>
      <c r="E2196">
        <v>36</v>
      </c>
      <c r="F2196" t="s">
        <v>47</v>
      </c>
      <c r="G2196" t="s">
        <v>93</v>
      </c>
      <c r="H2196" t="s">
        <v>46</v>
      </c>
      <c r="I2196">
        <v>10</v>
      </c>
    </row>
    <row r="2197" spans="1:9" x14ac:dyDescent="0.2">
      <c r="A2197">
        <v>10363644</v>
      </c>
      <c r="B2197">
        <v>3</v>
      </c>
      <c r="C2197">
        <v>3248</v>
      </c>
      <c r="D2197">
        <v>0</v>
      </c>
      <c r="E2197">
        <v>36</v>
      </c>
      <c r="F2197" t="s">
        <v>47</v>
      </c>
      <c r="G2197" t="s">
        <v>92</v>
      </c>
      <c r="H2197" t="s">
        <v>46</v>
      </c>
      <c r="I2197">
        <v>10</v>
      </c>
    </row>
    <row r="2198" spans="1:9" x14ac:dyDescent="0.2">
      <c r="A2198">
        <v>10363644</v>
      </c>
      <c r="B2198">
        <v>4</v>
      </c>
      <c r="C2198">
        <v>3251</v>
      </c>
      <c r="D2198">
        <v>0</v>
      </c>
      <c r="E2198">
        <v>36</v>
      </c>
      <c r="F2198" t="s">
        <v>47</v>
      </c>
      <c r="G2198" t="s">
        <v>48</v>
      </c>
      <c r="H2198" t="s">
        <v>46</v>
      </c>
      <c r="I2198">
        <v>10</v>
      </c>
    </row>
    <row r="2199" spans="1:9" x14ac:dyDescent="0.2">
      <c r="A2199">
        <v>10363644</v>
      </c>
      <c r="B2199">
        <v>5</v>
      </c>
      <c r="C2199">
        <v>3252</v>
      </c>
      <c r="D2199">
        <v>0</v>
      </c>
      <c r="E2199">
        <v>36</v>
      </c>
      <c r="F2199" t="s">
        <v>47</v>
      </c>
      <c r="G2199" t="s">
        <v>45</v>
      </c>
      <c r="H2199" t="s">
        <v>46</v>
      </c>
      <c r="I2199">
        <v>10</v>
      </c>
    </row>
    <row r="2200" spans="1:9" x14ac:dyDescent="0.2">
      <c r="A2200">
        <v>10378755</v>
      </c>
      <c r="B2200">
        <v>1</v>
      </c>
      <c r="C2200">
        <v>2011</v>
      </c>
      <c r="D2200">
        <v>0</v>
      </c>
      <c r="E2200">
        <v>19</v>
      </c>
      <c r="F2200" t="s">
        <v>132</v>
      </c>
      <c r="G2200" t="s">
        <v>310</v>
      </c>
      <c r="H2200" t="s">
        <v>311</v>
      </c>
      <c r="I2200" t="s">
        <v>448</v>
      </c>
    </row>
    <row r="2201" spans="1:9" x14ac:dyDescent="0.2">
      <c r="A2201">
        <v>10378755</v>
      </c>
      <c r="B2201">
        <v>2</v>
      </c>
      <c r="C2201">
        <v>1339</v>
      </c>
      <c r="D2201">
        <v>55625</v>
      </c>
      <c r="E2201">
        <v>25</v>
      </c>
      <c r="F2201" t="s">
        <v>21</v>
      </c>
      <c r="G2201" t="s">
        <v>185</v>
      </c>
      <c r="H2201" t="s">
        <v>20</v>
      </c>
      <c r="I2201">
        <v>8</v>
      </c>
    </row>
    <row r="2202" spans="1:9" x14ac:dyDescent="0.2">
      <c r="A2202">
        <v>10378755</v>
      </c>
      <c r="B2202">
        <v>3</v>
      </c>
      <c r="C2202">
        <v>1259</v>
      </c>
      <c r="D2202">
        <v>0</v>
      </c>
      <c r="E2202">
        <v>20</v>
      </c>
      <c r="F2202" t="s">
        <v>19</v>
      </c>
      <c r="G2202" t="s">
        <v>217</v>
      </c>
      <c r="H2202" t="s">
        <v>16</v>
      </c>
      <c r="I2202" t="s">
        <v>448</v>
      </c>
    </row>
    <row r="2203" spans="1:9" x14ac:dyDescent="0.2">
      <c r="A2203">
        <v>10378755</v>
      </c>
      <c r="B2203">
        <v>4</v>
      </c>
      <c r="C2203">
        <v>1221</v>
      </c>
      <c r="D2203">
        <v>55330</v>
      </c>
      <c r="E2203">
        <v>25</v>
      </c>
      <c r="F2203" t="s">
        <v>19</v>
      </c>
      <c r="G2203" t="s">
        <v>63</v>
      </c>
      <c r="H2203" t="s">
        <v>16</v>
      </c>
      <c r="I2203" t="s">
        <v>448</v>
      </c>
    </row>
    <row r="2204" spans="1:9" x14ac:dyDescent="0.2">
      <c r="A2204">
        <v>10378755</v>
      </c>
      <c r="B2204">
        <v>5</v>
      </c>
      <c r="C2204">
        <v>1324</v>
      </c>
      <c r="D2204">
        <v>55320</v>
      </c>
      <c r="E2204">
        <v>25</v>
      </c>
      <c r="F2204" t="s">
        <v>21</v>
      </c>
      <c r="G2204" t="s">
        <v>63</v>
      </c>
      <c r="H2204" t="s">
        <v>20</v>
      </c>
      <c r="I2204">
        <v>8</v>
      </c>
    </row>
    <row r="2205" spans="1:9" x14ac:dyDescent="0.2">
      <c r="A2205">
        <v>10378755</v>
      </c>
      <c r="B2205">
        <v>6</v>
      </c>
      <c r="C2205">
        <v>1326</v>
      </c>
      <c r="D2205">
        <v>55320</v>
      </c>
      <c r="E2205">
        <v>25</v>
      </c>
      <c r="F2205" t="s">
        <v>21</v>
      </c>
      <c r="G2205" t="s">
        <v>72</v>
      </c>
      <c r="H2205" t="s">
        <v>20</v>
      </c>
      <c r="I2205">
        <v>8</v>
      </c>
    </row>
    <row r="2206" spans="1:9" x14ac:dyDescent="0.2">
      <c r="A2206">
        <v>10399630</v>
      </c>
      <c r="B2206">
        <v>1</v>
      </c>
      <c r="C2206">
        <v>1239</v>
      </c>
      <c r="D2206">
        <v>70060</v>
      </c>
      <c r="E2206">
        <v>25</v>
      </c>
      <c r="F2206" t="s">
        <v>19</v>
      </c>
      <c r="G2206" t="s">
        <v>160</v>
      </c>
      <c r="H2206" t="s">
        <v>16</v>
      </c>
      <c r="I2206" t="s">
        <v>448</v>
      </c>
    </row>
    <row r="2207" spans="1:9" x14ac:dyDescent="0.2">
      <c r="A2207">
        <v>10399630</v>
      </c>
      <c r="B2207">
        <v>2</v>
      </c>
      <c r="C2207">
        <v>1203</v>
      </c>
      <c r="D2207">
        <v>69255</v>
      </c>
      <c r="E2207">
        <v>25</v>
      </c>
      <c r="F2207" t="s">
        <v>19</v>
      </c>
      <c r="G2207" t="s">
        <v>248</v>
      </c>
      <c r="H2207" t="s">
        <v>16</v>
      </c>
      <c r="I2207" t="s">
        <v>448</v>
      </c>
    </row>
    <row r="2208" spans="1:9" x14ac:dyDescent="0.2">
      <c r="A2208">
        <v>10399630</v>
      </c>
      <c r="B2208">
        <v>3</v>
      </c>
      <c r="C2208">
        <v>1145</v>
      </c>
      <c r="D2208">
        <v>70060</v>
      </c>
      <c r="E2208">
        <v>25</v>
      </c>
      <c r="F2208" t="s">
        <v>17</v>
      </c>
      <c r="G2208" t="s">
        <v>159</v>
      </c>
      <c r="H2208" t="s">
        <v>16</v>
      </c>
      <c r="I2208" t="s">
        <v>448</v>
      </c>
    </row>
    <row r="2209" spans="1:9" x14ac:dyDescent="0.2">
      <c r="A2209">
        <v>10399630</v>
      </c>
      <c r="B2209">
        <v>4</v>
      </c>
      <c r="C2209">
        <v>1178</v>
      </c>
      <c r="D2209">
        <v>68290</v>
      </c>
      <c r="E2209">
        <v>24</v>
      </c>
      <c r="F2209" t="s">
        <v>17</v>
      </c>
      <c r="G2209" t="s">
        <v>238</v>
      </c>
      <c r="H2209" t="s">
        <v>16</v>
      </c>
      <c r="I2209" t="s">
        <v>448</v>
      </c>
    </row>
    <row r="2210" spans="1:9" x14ac:dyDescent="0.2">
      <c r="A2210">
        <v>10399630</v>
      </c>
      <c r="B2210">
        <v>5</v>
      </c>
      <c r="C2210">
        <v>1503</v>
      </c>
      <c r="D2210">
        <v>0</v>
      </c>
      <c r="E2210">
        <v>26</v>
      </c>
      <c r="F2210" t="s">
        <v>142</v>
      </c>
      <c r="G2210" t="s">
        <v>161</v>
      </c>
      <c r="H2210" t="s">
        <v>31</v>
      </c>
      <c r="I2210">
        <v>5</v>
      </c>
    </row>
    <row r="2211" spans="1:9" x14ac:dyDescent="0.2">
      <c r="A2211">
        <v>10399630</v>
      </c>
      <c r="B2211">
        <v>6</v>
      </c>
      <c r="C2211">
        <v>1368</v>
      </c>
      <c r="D2211">
        <v>0</v>
      </c>
      <c r="E2211">
        <v>26</v>
      </c>
      <c r="F2211" t="s">
        <v>21</v>
      </c>
      <c r="G2211" t="s">
        <v>140</v>
      </c>
      <c r="H2211" t="s">
        <v>20</v>
      </c>
      <c r="I2211">
        <v>8</v>
      </c>
    </row>
    <row r="2212" spans="1:9" x14ac:dyDescent="0.2">
      <c r="A2212">
        <v>10463680</v>
      </c>
      <c r="B2212">
        <v>1</v>
      </c>
      <c r="C2212">
        <v>1777</v>
      </c>
      <c r="D2212">
        <v>57770</v>
      </c>
      <c r="E2212">
        <v>25</v>
      </c>
      <c r="F2212" t="s">
        <v>57</v>
      </c>
      <c r="G2212" t="s">
        <v>88</v>
      </c>
      <c r="H2212" t="s">
        <v>69</v>
      </c>
      <c r="I2212">
        <v>10</v>
      </c>
    </row>
    <row r="2213" spans="1:9" x14ac:dyDescent="0.2">
      <c r="A2213">
        <v>10463680</v>
      </c>
      <c r="B2213">
        <v>2</v>
      </c>
      <c r="C2213">
        <v>1782</v>
      </c>
      <c r="D2213">
        <v>57935</v>
      </c>
      <c r="E2213">
        <v>25</v>
      </c>
      <c r="F2213" t="s">
        <v>57</v>
      </c>
      <c r="G2213" t="s">
        <v>63</v>
      </c>
      <c r="H2213" t="s">
        <v>69</v>
      </c>
      <c r="I2213">
        <v>10</v>
      </c>
    </row>
    <row r="2214" spans="1:9" x14ac:dyDescent="0.2">
      <c r="A2214">
        <v>10463680</v>
      </c>
      <c r="B2214">
        <v>3</v>
      </c>
      <c r="C2214">
        <v>1784</v>
      </c>
      <c r="D2214">
        <v>57315</v>
      </c>
      <c r="E2214">
        <v>24</v>
      </c>
      <c r="F2214" t="s">
        <v>57</v>
      </c>
      <c r="G2214" t="s">
        <v>87</v>
      </c>
      <c r="H2214" t="s">
        <v>69</v>
      </c>
      <c r="I2214">
        <v>10</v>
      </c>
    </row>
    <row r="2215" spans="1:9" x14ac:dyDescent="0.2">
      <c r="A2215">
        <v>10463680</v>
      </c>
      <c r="B2215">
        <v>4</v>
      </c>
      <c r="C2215">
        <v>1729</v>
      </c>
      <c r="D2215">
        <v>0</v>
      </c>
      <c r="E2215">
        <v>26</v>
      </c>
      <c r="F2215" t="s">
        <v>57</v>
      </c>
      <c r="G2215" t="s">
        <v>72</v>
      </c>
      <c r="H2215" t="s">
        <v>69</v>
      </c>
      <c r="I2215">
        <v>10</v>
      </c>
    </row>
    <row r="2216" spans="1:9" x14ac:dyDescent="0.2">
      <c r="A2216">
        <v>10463680</v>
      </c>
      <c r="B2216">
        <v>5</v>
      </c>
      <c r="C2216">
        <v>1756</v>
      </c>
      <c r="D2216">
        <v>0</v>
      </c>
      <c r="E2216">
        <v>26</v>
      </c>
      <c r="F2216" t="s">
        <v>57</v>
      </c>
      <c r="G2216" t="s">
        <v>89</v>
      </c>
      <c r="H2216" t="s">
        <v>69</v>
      </c>
      <c r="I2216">
        <v>10</v>
      </c>
    </row>
    <row r="2217" spans="1:9" x14ac:dyDescent="0.2">
      <c r="A2217">
        <v>10474593</v>
      </c>
      <c r="B2217">
        <v>1</v>
      </c>
      <c r="C2217">
        <v>1729</v>
      </c>
      <c r="D2217">
        <v>58710</v>
      </c>
      <c r="E2217">
        <v>24</v>
      </c>
      <c r="F2217" t="s">
        <v>57</v>
      </c>
      <c r="G2217" t="s">
        <v>72</v>
      </c>
      <c r="H2217" t="s">
        <v>69</v>
      </c>
      <c r="I2217">
        <v>10</v>
      </c>
    </row>
    <row r="2218" spans="1:9" x14ac:dyDescent="0.2">
      <c r="A2218">
        <v>10474593</v>
      </c>
      <c r="B2218">
        <v>2</v>
      </c>
      <c r="C2218">
        <v>1754</v>
      </c>
      <c r="D2218">
        <v>0</v>
      </c>
      <c r="E2218">
        <v>26</v>
      </c>
      <c r="F2218" t="s">
        <v>57</v>
      </c>
      <c r="G2218" t="s">
        <v>85</v>
      </c>
      <c r="H2218" t="s">
        <v>69</v>
      </c>
      <c r="I2218">
        <v>10</v>
      </c>
    </row>
    <row r="2219" spans="1:9" x14ac:dyDescent="0.2">
      <c r="A2219">
        <v>10474593</v>
      </c>
      <c r="B2219">
        <v>3</v>
      </c>
      <c r="C2219">
        <v>3701</v>
      </c>
      <c r="D2219">
        <v>0</v>
      </c>
      <c r="E2219">
        <v>26</v>
      </c>
      <c r="F2219" t="s">
        <v>116</v>
      </c>
      <c r="G2219" t="s">
        <v>117</v>
      </c>
      <c r="H2219" t="s">
        <v>61</v>
      </c>
      <c r="I2219">
        <v>9</v>
      </c>
    </row>
    <row r="2220" spans="1:9" x14ac:dyDescent="0.2">
      <c r="A2220">
        <v>10474593</v>
      </c>
      <c r="B2220">
        <v>4</v>
      </c>
      <c r="C2220">
        <v>3296</v>
      </c>
      <c r="D2220">
        <v>0</v>
      </c>
      <c r="E2220">
        <v>26</v>
      </c>
      <c r="F2220" t="s">
        <v>47</v>
      </c>
      <c r="G2220" t="s">
        <v>100</v>
      </c>
      <c r="H2220" t="s">
        <v>46</v>
      </c>
      <c r="I2220">
        <v>10</v>
      </c>
    </row>
    <row r="2221" spans="1:9" x14ac:dyDescent="0.2">
      <c r="A2221">
        <v>10507068</v>
      </c>
      <c r="B2221">
        <v>1</v>
      </c>
      <c r="C2221">
        <v>3211</v>
      </c>
      <c r="D2221">
        <v>48755</v>
      </c>
      <c r="E2221">
        <v>24</v>
      </c>
      <c r="F2221" t="s">
        <v>47</v>
      </c>
      <c r="G2221" t="s">
        <v>99</v>
      </c>
      <c r="H2221" t="s">
        <v>46</v>
      </c>
      <c r="I2221">
        <v>10</v>
      </c>
    </row>
    <row r="2222" spans="1:9" x14ac:dyDescent="0.2">
      <c r="A2222">
        <v>10507068</v>
      </c>
      <c r="B2222">
        <v>2</v>
      </c>
      <c r="C2222">
        <v>3212</v>
      </c>
      <c r="D2222">
        <v>0</v>
      </c>
      <c r="E2222">
        <v>26</v>
      </c>
      <c r="F2222" t="s">
        <v>47</v>
      </c>
      <c r="G2222" t="s">
        <v>84</v>
      </c>
      <c r="H2222" t="s">
        <v>46</v>
      </c>
      <c r="I2222">
        <v>10</v>
      </c>
    </row>
    <row r="2223" spans="1:9" x14ac:dyDescent="0.2">
      <c r="A2223">
        <v>10507068</v>
      </c>
      <c r="B2223">
        <v>3</v>
      </c>
      <c r="C2223">
        <v>3239</v>
      </c>
      <c r="D2223">
        <v>0</v>
      </c>
      <c r="E2223">
        <v>26</v>
      </c>
      <c r="F2223" t="s">
        <v>47</v>
      </c>
      <c r="G2223" t="s">
        <v>107</v>
      </c>
      <c r="H2223" t="s">
        <v>46</v>
      </c>
      <c r="I2223">
        <v>10</v>
      </c>
    </row>
    <row r="2224" spans="1:9" x14ac:dyDescent="0.2">
      <c r="A2224">
        <v>10507068</v>
      </c>
      <c r="B2224">
        <v>4</v>
      </c>
      <c r="C2224">
        <v>1703</v>
      </c>
      <c r="D2224">
        <v>0</v>
      </c>
      <c r="E2224">
        <v>26</v>
      </c>
      <c r="F2224" t="s">
        <v>57</v>
      </c>
      <c r="G2224" t="s">
        <v>109</v>
      </c>
      <c r="H2224" t="s">
        <v>69</v>
      </c>
      <c r="I2224">
        <v>10</v>
      </c>
    </row>
    <row r="2225" spans="1:9" x14ac:dyDescent="0.2">
      <c r="A2225">
        <v>10507068</v>
      </c>
      <c r="B2225">
        <v>5</v>
      </c>
      <c r="C2225">
        <v>3252</v>
      </c>
      <c r="D2225">
        <v>0</v>
      </c>
      <c r="E2225">
        <v>26</v>
      </c>
      <c r="F2225" t="s">
        <v>47</v>
      </c>
      <c r="G2225" t="s">
        <v>45</v>
      </c>
      <c r="H2225" t="s">
        <v>46</v>
      </c>
      <c r="I2225">
        <v>10</v>
      </c>
    </row>
    <row r="2226" spans="1:9" x14ac:dyDescent="0.2">
      <c r="A2226">
        <v>10507068</v>
      </c>
      <c r="B2226">
        <v>6</v>
      </c>
      <c r="C2226">
        <v>3261</v>
      </c>
      <c r="D2226">
        <v>0</v>
      </c>
      <c r="E2226">
        <v>26</v>
      </c>
      <c r="F2226" t="s">
        <v>47</v>
      </c>
      <c r="G2226" t="s">
        <v>93</v>
      </c>
      <c r="H2226" t="s">
        <v>46</v>
      </c>
      <c r="I2226">
        <v>10</v>
      </c>
    </row>
    <row r="2227" spans="1:9" x14ac:dyDescent="0.2">
      <c r="A2227">
        <v>10518183</v>
      </c>
      <c r="B2227">
        <v>1</v>
      </c>
      <c r="C2227">
        <v>3237</v>
      </c>
      <c r="D2227">
        <v>50355</v>
      </c>
      <c r="E2227">
        <v>24</v>
      </c>
      <c r="F2227" t="s">
        <v>47</v>
      </c>
      <c r="G2227" t="s">
        <v>181</v>
      </c>
      <c r="H2227" t="s">
        <v>46</v>
      </c>
      <c r="I2227">
        <v>10</v>
      </c>
    </row>
    <row r="2228" spans="1:9" x14ac:dyDescent="0.2">
      <c r="A2228">
        <v>10519595</v>
      </c>
      <c r="B2228">
        <v>1</v>
      </c>
      <c r="C2228">
        <v>1705</v>
      </c>
      <c r="D2228">
        <v>63920</v>
      </c>
      <c r="E2228">
        <v>24</v>
      </c>
      <c r="F2228" t="s">
        <v>57</v>
      </c>
      <c r="G2228" t="s">
        <v>102</v>
      </c>
      <c r="H2228" t="s">
        <v>69</v>
      </c>
      <c r="I2228">
        <v>10</v>
      </c>
    </row>
    <row r="2229" spans="1:9" x14ac:dyDescent="0.2">
      <c r="A2229">
        <v>10519595</v>
      </c>
      <c r="B2229">
        <v>2</v>
      </c>
      <c r="C2229">
        <v>1180</v>
      </c>
      <c r="D2229">
        <v>0</v>
      </c>
      <c r="E2229">
        <v>26</v>
      </c>
      <c r="F2229" t="s">
        <v>17</v>
      </c>
      <c r="G2229" t="s">
        <v>203</v>
      </c>
      <c r="H2229" t="s">
        <v>16</v>
      </c>
      <c r="I2229" t="s">
        <v>448</v>
      </c>
    </row>
    <row r="2230" spans="1:9" x14ac:dyDescent="0.2">
      <c r="A2230">
        <v>10519595</v>
      </c>
      <c r="B2230">
        <v>3</v>
      </c>
      <c r="C2230">
        <v>1732</v>
      </c>
      <c r="D2230">
        <v>0</v>
      </c>
      <c r="E2230">
        <v>26</v>
      </c>
      <c r="F2230" t="s">
        <v>57</v>
      </c>
      <c r="G2230" t="s">
        <v>104</v>
      </c>
      <c r="H2230" t="s">
        <v>69</v>
      </c>
      <c r="I2230">
        <v>10</v>
      </c>
    </row>
    <row r="2231" spans="1:9" x14ac:dyDescent="0.2">
      <c r="A2231">
        <v>10519595</v>
      </c>
      <c r="B2231">
        <v>4</v>
      </c>
      <c r="C2231">
        <v>1715</v>
      </c>
      <c r="D2231">
        <v>0</v>
      </c>
      <c r="E2231">
        <v>26</v>
      </c>
      <c r="F2231" t="s">
        <v>57</v>
      </c>
      <c r="G2231" t="s">
        <v>151</v>
      </c>
      <c r="H2231" t="s">
        <v>69</v>
      </c>
      <c r="I2231">
        <v>10</v>
      </c>
    </row>
    <row r="2232" spans="1:9" x14ac:dyDescent="0.2">
      <c r="A2232">
        <v>10522603</v>
      </c>
      <c r="B2232">
        <v>1</v>
      </c>
      <c r="C2232">
        <v>2978</v>
      </c>
      <c r="D2232">
        <v>58490</v>
      </c>
      <c r="E2232">
        <v>25</v>
      </c>
      <c r="F2232" t="s">
        <v>119</v>
      </c>
      <c r="G2232" t="s">
        <v>256</v>
      </c>
      <c r="H2232" t="s">
        <v>136</v>
      </c>
      <c r="I2232">
        <v>8</v>
      </c>
    </row>
    <row r="2233" spans="1:9" x14ac:dyDescent="0.2">
      <c r="A2233">
        <v>10522603</v>
      </c>
      <c r="B2233">
        <v>2</v>
      </c>
      <c r="C2233">
        <v>1777</v>
      </c>
      <c r="D2233">
        <v>56575</v>
      </c>
      <c r="E2233">
        <v>25</v>
      </c>
      <c r="F2233" t="s">
        <v>57</v>
      </c>
      <c r="G2233" t="s">
        <v>88</v>
      </c>
      <c r="H2233" t="s">
        <v>69</v>
      </c>
      <c r="I2233">
        <v>10</v>
      </c>
    </row>
    <row r="2234" spans="1:9" x14ac:dyDescent="0.2">
      <c r="A2234">
        <v>10522603</v>
      </c>
      <c r="B2234">
        <v>3</v>
      </c>
      <c r="C2234">
        <v>3661</v>
      </c>
      <c r="D2234">
        <v>56965</v>
      </c>
      <c r="E2234">
        <v>25</v>
      </c>
      <c r="F2234" t="s">
        <v>108</v>
      </c>
      <c r="G2234" t="s">
        <v>214</v>
      </c>
      <c r="H2234" t="s">
        <v>20</v>
      </c>
      <c r="I2234">
        <v>8</v>
      </c>
    </row>
    <row r="2235" spans="1:9" x14ac:dyDescent="0.2">
      <c r="A2235">
        <v>10522603</v>
      </c>
      <c r="B2235">
        <v>4</v>
      </c>
      <c r="C2235">
        <v>1359</v>
      </c>
      <c r="D2235">
        <v>56250</v>
      </c>
      <c r="E2235">
        <v>25</v>
      </c>
      <c r="F2235" t="s">
        <v>21</v>
      </c>
      <c r="G2235" t="s">
        <v>214</v>
      </c>
      <c r="H2235" t="s">
        <v>20</v>
      </c>
      <c r="I2235">
        <v>8</v>
      </c>
    </row>
    <row r="2236" spans="1:9" x14ac:dyDescent="0.2">
      <c r="A2236">
        <v>10522603</v>
      </c>
      <c r="B2236">
        <v>5</v>
      </c>
      <c r="C2236">
        <v>3234</v>
      </c>
      <c r="D2236">
        <v>55590</v>
      </c>
      <c r="E2236">
        <v>25</v>
      </c>
      <c r="F2236" t="s">
        <v>47</v>
      </c>
      <c r="G2236" t="s">
        <v>76</v>
      </c>
      <c r="H2236" t="s">
        <v>46</v>
      </c>
      <c r="I2236">
        <v>10</v>
      </c>
    </row>
    <row r="2237" spans="1:9" x14ac:dyDescent="0.2">
      <c r="A2237">
        <v>10522603</v>
      </c>
      <c r="B2237">
        <v>6</v>
      </c>
      <c r="C2237">
        <v>2910</v>
      </c>
      <c r="D2237">
        <v>56630</v>
      </c>
      <c r="E2237">
        <v>25</v>
      </c>
      <c r="F2237" t="s">
        <v>119</v>
      </c>
      <c r="G2237" t="s">
        <v>93</v>
      </c>
      <c r="H2237" t="s">
        <v>20</v>
      </c>
      <c r="I2237">
        <v>8</v>
      </c>
    </row>
    <row r="2238" spans="1:9" x14ac:dyDescent="0.2">
      <c r="A2238">
        <v>10522603</v>
      </c>
      <c r="B2238">
        <v>7</v>
      </c>
      <c r="C2238">
        <v>1340</v>
      </c>
      <c r="D2238">
        <v>54875</v>
      </c>
      <c r="E2238">
        <v>25</v>
      </c>
      <c r="F2238" t="s">
        <v>21</v>
      </c>
      <c r="G2238" t="s">
        <v>256</v>
      </c>
      <c r="H2238" t="s">
        <v>20</v>
      </c>
      <c r="I2238">
        <v>8</v>
      </c>
    </row>
    <row r="2239" spans="1:9" x14ac:dyDescent="0.2">
      <c r="A2239">
        <v>10635934</v>
      </c>
      <c r="B2239">
        <v>1</v>
      </c>
      <c r="C2239">
        <v>1324</v>
      </c>
      <c r="D2239">
        <v>64405</v>
      </c>
      <c r="E2239">
        <v>24</v>
      </c>
      <c r="F2239" t="s">
        <v>21</v>
      </c>
      <c r="G2239" t="s">
        <v>63</v>
      </c>
      <c r="H2239" t="s">
        <v>20</v>
      </c>
      <c r="I2239">
        <v>8</v>
      </c>
    </row>
    <row r="2240" spans="1:9" x14ac:dyDescent="0.2">
      <c r="A2240">
        <v>10635934</v>
      </c>
      <c r="B2240">
        <v>2</v>
      </c>
      <c r="C2240">
        <v>1782</v>
      </c>
      <c r="D2240">
        <v>0</v>
      </c>
      <c r="E2240">
        <v>26</v>
      </c>
      <c r="F2240" t="s">
        <v>57</v>
      </c>
      <c r="G2240" t="s">
        <v>63</v>
      </c>
      <c r="H2240" t="s">
        <v>69</v>
      </c>
      <c r="I2240">
        <v>10</v>
      </c>
    </row>
    <row r="2241" spans="1:9" x14ac:dyDescent="0.2">
      <c r="A2241">
        <v>10635934</v>
      </c>
      <c r="B2241">
        <v>3</v>
      </c>
      <c r="C2241">
        <v>1329</v>
      </c>
      <c r="D2241">
        <v>0</v>
      </c>
      <c r="E2241">
        <v>26</v>
      </c>
      <c r="F2241" t="s">
        <v>21</v>
      </c>
      <c r="G2241" t="s">
        <v>63</v>
      </c>
      <c r="H2241" t="s">
        <v>136</v>
      </c>
      <c r="I2241">
        <v>8</v>
      </c>
    </row>
    <row r="2242" spans="1:9" x14ac:dyDescent="0.2">
      <c r="A2242">
        <v>10635934</v>
      </c>
      <c r="B2242">
        <v>4</v>
      </c>
      <c r="C2242">
        <v>1237</v>
      </c>
      <c r="D2242">
        <v>0</v>
      </c>
      <c r="E2242">
        <v>26</v>
      </c>
      <c r="F2242" t="s">
        <v>19</v>
      </c>
      <c r="G2242" t="s">
        <v>65</v>
      </c>
      <c r="H2242" t="s">
        <v>16</v>
      </c>
      <c r="I2242" t="s">
        <v>448</v>
      </c>
    </row>
    <row r="2243" spans="1:9" x14ac:dyDescent="0.2">
      <c r="A2243">
        <v>10635934</v>
      </c>
      <c r="B2243">
        <v>5</v>
      </c>
      <c r="C2243">
        <v>1436</v>
      </c>
      <c r="D2243">
        <v>0</v>
      </c>
      <c r="E2243">
        <v>26</v>
      </c>
      <c r="F2243" t="s">
        <v>25</v>
      </c>
      <c r="G2243" t="s">
        <v>178</v>
      </c>
      <c r="H2243" t="s">
        <v>24</v>
      </c>
      <c r="I2243">
        <v>5</v>
      </c>
    </row>
    <row r="2244" spans="1:9" x14ac:dyDescent="0.2">
      <c r="A2244">
        <v>10635934</v>
      </c>
      <c r="B2244">
        <v>6</v>
      </c>
      <c r="C2244">
        <v>2076</v>
      </c>
      <c r="D2244">
        <v>0</v>
      </c>
      <c r="E2244">
        <v>26</v>
      </c>
      <c r="F2244" t="s">
        <v>132</v>
      </c>
      <c r="G2244" t="s">
        <v>416</v>
      </c>
      <c r="H2244" t="s">
        <v>322</v>
      </c>
      <c r="I2244" t="s">
        <v>448</v>
      </c>
    </row>
    <row r="2245" spans="1:9" x14ac:dyDescent="0.2">
      <c r="A2245">
        <v>10637109</v>
      </c>
      <c r="B2245">
        <v>1</v>
      </c>
      <c r="C2245">
        <v>1776</v>
      </c>
      <c r="D2245">
        <v>53110</v>
      </c>
      <c r="E2245">
        <v>25</v>
      </c>
      <c r="F2245" t="s">
        <v>57</v>
      </c>
      <c r="G2245" t="s">
        <v>124</v>
      </c>
      <c r="H2245" t="s">
        <v>125</v>
      </c>
      <c r="I2245">
        <v>10</v>
      </c>
    </row>
    <row r="2246" spans="1:9" x14ac:dyDescent="0.2">
      <c r="A2246">
        <v>10637109</v>
      </c>
      <c r="B2246">
        <v>2</v>
      </c>
      <c r="C2246">
        <v>1383</v>
      </c>
      <c r="D2246">
        <v>53410</v>
      </c>
      <c r="E2246">
        <v>25</v>
      </c>
      <c r="F2246" t="s">
        <v>21</v>
      </c>
      <c r="G2246" t="s">
        <v>124</v>
      </c>
      <c r="H2246" t="s">
        <v>20</v>
      </c>
      <c r="I2246">
        <v>8</v>
      </c>
    </row>
    <row r="2247" spans="1:9" x14ac:dyDescent="0.2">
      <c r="A2247">
        <v>10637109</v>
      </c>
      <c r="B2247">
        <v>3</v>
      </c>
      <c r="C2247">
        <v>1728</v>
      </c>
      <c r="D2247">
        <v>53405</v>
      </c>
      <c r="E2247">
        <v>25</v>
      </c>
      <c r="F2247" t="s">
        <v>57</v>
      </c>
      <c r="G2247" t="s">
        <v>103</v>
      </c>
      <c r="H2247" t="s">
        <v>69</v>
      </c>
      <c r="I2247">
        <v>10</v>
      </c>
    </row>
    <row r="2248" spans="1:9" x14ac:dyDescent="0.2">
      <c r="A2248">
        <v>10637109</v>
      </c>
      <c r="B2248">
        <v>4</v>
      </c>
      <c r="C2248">
        <v>3226</v>
      </c>
      <c r="D2248">
        <v>52605</v>
      </c>
      <c r="E2248">
        <v>24</v>
      </c>
      <c r="F2248" t="s">
        <v>47</v>
      </c>
      <c r="G2248" t="s">
        <v>96</v>
      </c>
      <c r="H2248" t="s">
        <v>46</v>
      </c>
      <c r="I2248">
        <v>10</v>
      </c>
    </row>
    <row r="2249" spans="1:9" x14ac:dyDescent="0.2">
      <c r="A2249">
        <v>10637109</v>
      </c>
      <c r="B2249">
        <v>5</v>
      </c>
      <c r="C2249">
        <v>1373</v>
      </c>
      <c r="D2249">
        <v>0</v>
      </c>
      <c r="E2249">
        <v>26</v>
      </c>
      <c r="F2249" t="s">
        <v>21</v>
      </c>
      <c r="G2249" t="s">
        <v>249</v>
      </c>
      <c r="H2249" t="s">
        <v>20</v>
      </c>
      <c r="I2249">
        <v>8</v>
      </c>
    </row>
    <row r="2250" spans="1:9" x14ac:dyDescent="0.2">
      <c r="A2250">
        <v>10637109</v>
      </c>
      <c r="B2250">
        <v>6</v>
      </c>
      <c r="C2250">
        <v>3718</v>
      </c>
      <c r="D2250">
        <v>0</v>
      </c>
      <c r="E2250">
        <v>26</v>
      </c>
      <c r="F2250" t="s">
        <v>116</v>
      </c>
      <c r="G2250" t="s">
        <v>80</v>
      </c>
      <c r="H2250" t="s">
        <v>61</v>
      </c>
      <c r="I2250">
        <v>9</v>
      </c>
    </row>
    <row r="2251" spans="1:9" x14ac:dyDescent="0.2">
      <c r="A2251">
        <v>10637109</v>
      </c>
      <c r="B2251">
        <v>7</v>
      </c>
      <c r="C2251">
        <v>1734</v>
      </c>
      <c r="D2251">
        <v>0</v>
      </c>
      <c r="E2251">
        <v>26</v>
      </c>
      <c r="F2251" t="s">
        <v>57</v>
      </c>
      <c r="G2251" t="s">
        <v>81</v>
      </c>
      <c r="H2251" t="s">
        <v>69</v>
      </c>
      <c r="I2251">
        <v>10</v>
      </c>
    </row>
    <row r="2252" spans="1:9" x14ac:dyDescent="0.2">
      <c r="A2252">
        <v>10637109</v>
      </c>
      <c r="B2252">
        <v>8</v>
      </c>
      <c r="C2252">
        <v>1362</v>
      </c>
      <c r="D2252">
        <v>0</v>
      </c>
      <c r="E2252">
        <v>26</v>
      </c>
      <c r="F2252" t="s">
        <v>21</v>
      </c>
      <c r="G2252" t="s">
        <v>268</v>
      </c>
      <c r="H2252" t="s">
        <v>20</v>
      </c>
      <c r="I2252">
        <v>8</v>
      </c>
    </row>
    <row r="2253" spans="1:9" x14ac:dyDescent="0.2">
      <c r="A2253">
        <v>10675668</v>
      </c>
      <c r="B2253">
        <v>1</v>
      </c>
      <c r="C2253">
        <v>1235</v>
      </c>
      <c r="D2253">
        <v>75080</v>
      </c>
      <c r="E2253">
        <v>24</v>
      </c>
      <c r="F2253" t="s">
        <v>19</v>
      </c>
      <c r="G2253" t="s">
        <v>179</v>
      </c>
      <c r="H2253" t="s">
        <v>16</v>
      </c>
      <c r="I2253" t="s">
        <v>448</v>
      </c>
    </row>
    <row r="2254" spans="1:9" x14ac:dyDescent="0.2">
      <c r="A2254">
        <v>10675668</v>
      </c>
      <c r="B2254">
        <v>2</v>
      </c>
      <c r="C2254">
        <v>1221</v>
      </c>
      <c r="D2254">
        <v>0</v>
      </c>
      <c r="E2254">
        <v>26</v>
      </c>
      <c r="F2254" t="s">
        <v>19</v>
      </c>
      <c r="G2254" t="s">
        <v>63</v>
      </c>
      <c r="H2254" t="s">
        <v>16</v>
      </c>
      <c r="I2254" t="s">
        <v>448</v>
      </c>
    </row>
    <row r="2255" spans="1:9" x14ac:dyDescent="0.2">
      <c r="A2255">
        <v>10675668</v>
      </c>
      <c r="B2255">
        <v>3</v>
      </c>
      <c r="C2255">
        <v>1220</v>
      </c>
      <c r="D2255">
        <v>0</v>
      </c>
      <c r="E2255">
        <v>26</v>
      </c>
      <c r="F2255" t="s">
        <v>19</v>
      </c>
      <c r="G2255" t="s">
        <v>244</v>
      </c>
      <c r="H2255" t="s">
        <v>16</v>
      </c>
      <c r="I2255" t="s">
        <v>448</v>
      </c>
    </row>
    <row r="2256" spans="1:9" x14ac:dyDescent="0.2">
      <c r="A2256">
        <v>10675668</v>
      </c>
      <c r="B2256">
        <v>4</v>
      </c>
      <c r="C2256">
        <v>1155</v>
      </c>
      <c r="D2256">
        <v>0</v>
      </c>
      <c r="E2256">
        <v>26</v>
      </c>
      <c r="F2256" t="s">
        <v>17</v>
      </c>
      <c r="G2256" t="s">
        <v>62</v>
      </c>
      <c r="H2256" t="s">
        <v>16</v>
      </c>
      <c r="I2256" t="s">
        <v>448</v>
      </c>
    </row>
    <row r="2257" spans="1:9" x14ac:dyDescent="0.2">
      <c r="A2257">
        <v>10675668</v>
      </c>
      <c r="B2257">
        <v>5</v>
      </c>
      <c r="C2257">
        <v>1359</v>
      </c>
      <c r="D2257">
        <v>0</v>
      </c>
      <c r="E2257">
        <v>26</v>
      </c>
      <c r="F2257" t="s">
        <v>21</v>
      </c>
      <c r="G2257" t="s">
        <v>214</v>
      </c>
      <c r="H2257" t="s">
        <v>20</v>
      </c>
      <c r="I2257">
        <v>8</v>
      </c>
    </row>
    <row r="2258" spans="1:9" x14ac:dyDescent="0.2">
      <c r="A2258">
        <v>10675668</v>
      </c>
      <c r="B2258">
        <v>6</v>
      </c>
      <c r="C2258">
        <v>1324</v>
      </c>
      <c r="D2258">
        <v>0</v>
      </c>
      <c r="E2258">
        <v>26</v>
      </c>
      <c r="F2258" t="s">
        <v>21</v>
      </c>
      <c r="G2258" t="s">
        <v>63</v>
      </c>
      <c r="H2258" t="s">
        <v>20</v>
      </c>
      <c r="I2258">
        <v>8</v>
      </c>
    </row>
    <row r="2259" spans="1:9" x14ac:dyDescent="0.2">
      <c r="A2259">
        <v>10675668</v>
      </c>
      <c r="B2259">
        <v>7</v>
      </c>
      <c r="C2259">
        <v>1315</v>
      </c>
      <c r="D2259">
        <v>0</v>
      </c>
      <c r="E2259">
        <v>26</v>
      </c>
      <c r="F2259" t="s">
        <v>21</v>
      </c>
      <c r="G2259" t="s">
        <v>304</v>
      </c>
      <c r="H2259" t="s">
        <v>20</v>
      </c>
      <c r="I2259">
        <v>8</v>
      </c>
    </row>
    <row r="2260" spans="1:9" x14ac:dyDescent="0.2">
      <c r="A2260">
        <v>10675668</v>
      </c>
      <c r="B2260">
        <v>8</v>
      </c>
      <c r="C2260">
        <v>1355</v>
      </c>
      <c r="D2260">
        <v>0</v>
      </c>
      <c r="E2260">
        <v>26</v>
      </c>
      <c r="F2260" t="s">
        <v>21</v>
      </c>
      <c r="G2260" t="s">
        <v>289</v>
      </c>
      <c r="H2260" t="s">
        <v>20</v>
      </c>
      <c r="I2260">
        <v>8</v>
      </c>
    </row>
    <row r="2261" spans="1:9" x14ac:dyDescent="0.2">
      <c r="A2261">
        <v>10679406</v>
      </c>
      <c r="B2261">
        <v>1</v>
      </c>
      <c r="C2261">
        <v>3243</v>
      </c>
      <c r="D2261">
        <v>48485</v>
      </c>
      <c r="E2261">
        <v>25</v>
      </c>
      <c r="F2261" t="s">
        <v>47</v>
      </c>
      <c r="G2261" t="s">
        <v>75</v>
      </c>
      <c r="H2261" t="s">
        <v>46</v>
      </c>
      <c r="I2261">
        <v>10</v>
      </c>
    </row>
    <row r="2262" spans="1:9" x14ac:dyDescent="0.2">
      <c r="A2262">
        <v>10679406</v>
      </c>
      <c r="B2262">
        <v>2</v>
      </c>
      <c r="C2262">
        <v>3212</v>
      </c>
      <c r="D2262">
        <v>46390</v>
      </c>
      <c r="E2262">
        <v>25</v>
      </c>
      <c r="F2262" t="s">
        <v>47</v>
      </c>
      <c r="G2262" t="s">
        <v>84</v>
      </c>
      <c r="H2262" t="s">
        <v>46</v>
      </c>
      <c r="I2262">
        <v>10</v>
      </c>
    </row>
    <row r="2263" spans="1:9" x14ac:dyDescent="0.2">
      <c r="A2263">
        <v>10679406</v>
      </c>
      <c r="B2263">
        <v>3</v>
      </c>
      <c r="C2263">
        <v>3234</v>
      </c>
      <c r="D2263">
        <v>47350</v>
      </c>
      <c r="E2263">
        <v>25</v>
      </c>
      <c r="F2263" t="s">
        <v>47</v>
      </c>
      <c r="G2263" t="s">
        <v>76</v>
      </c>
      <c r="H2263" t="s">
        <v>46</v>
      </c>
      <c r="I2263">
        <v>10</v>
      </c>
    </row>
    <row r="2264" spans="1:9" x14ac:dyDescent="0.2">
      <c r="A2264">
        <v>10679406</v>
      </c>
      <c r="B2264">
        <v>4</v>
      </c>
      <c r="C2264">
        <v>3244</v>
      </c>
      <c r="D2264">
        <v>47030</v>
      </c>
      <c r="E2264">
        <v>25</v>
      </c>
      <c r="F2264" t="s">
        <v>47</v>
      </c>
      <c r="G2264" t="s">
        <v>73</v>
      </c>
      <c r="H2264" t="s">
        <v>74</v>
      </c>
      <c r="I2264">
        <v>10</v>
      </c>
    </row>
    <row r="2265" spans="1:9" x14ac:dyDescent="0.2">
      <c r="A2265">
        <v>10679406</v>
      </c>
      <c r="B2265">
        <v>5</v>
      </c>
      <c r="C2265">
        <v>3239</v>
      </c>
      <c r="D2265">
        <v>47990</v>
      </c>
      <c r="E2265">
        <v>25</v>
      </c>
      <c r="F2265" t="s">
        <v>47</v>
      </c>
      <c r="G2265" t="s">
        <v>107</v>
      </c>
      <c r="H2265" t="s">
        <v>46</v>
      </c>
      <c r="I2265">
        <v>10</v>
      </c>
    </row>
    <row r="2266" spans="1:9" x14ac:dyDescent="0.2">
      <c r="A2266">
        <v>10692785</v>
      </c>
      <c r="B2266">
        <v>1</v>
      </c>
      <c r="C2266">
        <v>1312</v>
      </c>
      <c r="D2266">
        <v>68770</v>
      </c>
      <c r="E2266">
        <v>24</v>
      </c>
      <c r="F2266" t="s">
        <v>21</v>
      </c>
      <c r="G2266" t="s">
        <v>33</v>
      </c>
      <c r="H2266" t="s">
        <v>20</v>
      </c>
      <c r="I2266">
        <v>8</v>
      </c>
    </row>
    <row r="2267" spans="1:9" x14ac:dyDescent="0.2">
      <c r="A2267">
        <v>10692785</v>
      </c>
      <c r="B2267">
        <v>2</v>
      </c>
      <c r="C2267">
        <v>1348</v>
      </c>
      <c r="D2267">
        <v>0</v>
      </c>
      <c r="E2267">
        <v>26</v>
      </c>
      <c r="F2267" t="s">
        <v>21</v>
      </c>
      <c r="G2267" t="s">
        <v>164</v>
      </c>
      <c r="H2267" t="s">
        <v>20</v>
      </c>
      <c r="I2267">
        <v>8</v>
      </c>
    </row>
    <row r="2268" spans="1:9" x14ac:dyDescent="0.2">
      <c r="A2268">
        <v>10692785</v>
      </c>
      <c r="B2268">
        <v>3</v>
      </c>
      <c r="C2268">
        <v>1702</v>
      </c>
      <c r="D2268">
        <v>0</v>
      </c>
      <c r="E2268">
        <v>26</v>
      </c>
      <c r="F2268" t="s">
        <v>57</v>
      </c>
      <c r="G2268" t="s">
        <v>164</v>
      </c>
      <c r="H2268" t="s">
        <v>69</v>
      </c>
      <c r="I2268">
        <v>10</v>
      </c>
    </row>
    <row r="2269" spans="1:9" x14ac:dyDescent="0.2">
      <c r="A2269">
        <v>10692785</v>
      </c>
      <c r="B2269">
        <v>4</v>
      </c>
      <c r="C2269">
        <v>1386</v>
      </c>
      <c r="D2269">
        <v>0</v>
      </c>
      <c r="E2269">
        <v>26</v>
      </c>
      <c r="F2269" t="s">
        <v>21</v>
      </c>
      <c r="G2269" t="s">
        <v>170</v>
      </c>
      <c r="H2269" t="s">
        <v>20</v>
      </c>
      <c r="I2269">
        <v>8</v>
      </c>
    </row>
    <row r="2270" spans="1:9" x14ac:dyDescent="0.2">
      <c r="A2270">
        <v>10692785</v>
      </c>
      <c r="B2270">
        <v>5</v>
      </c>
      <c r="C2270">
        <v>1731</v>
      </c>
      <c r="D2270">
        <v>0</v>
      </c>
      <c r="E2270">
        <v>26</v>
      </c>
      <c r="F2270" t="s">
        <v>57</v>
      </c>
      <c r="G2270" t="s">
        <v>172</v>
      </c>
      <c r="H2270" t="s">
        <v>69</v>
      </c>
      <c r="I2270">
        <v>10</v>
      </c>
    </row>
    <row r="2271" spans="1:9" x14ac:dyDescent="0.2">
      <c r="A2271">
        <v>10695009</v>
      </c>
      <c r="B2271">
        <v>1</v>
      </c>
      <c r="C2271">
        <v>1258</v>
      </c>
      <c r="D2271">
        <v>73325</v>
      </c>
      <c r="E2271">
        <v>25</v>
      </c>
      <c r="F2271" t="s">
        <v>19</v>
      </c>
      <c r="G2271" t="s">
        <v>170</v>
      </c>
      <c r="H2271" t="s">
        <v>16</v>
      </c>
      <c r="I2271" t="s">
        <v>448</v>
      </c>
    </row>
    <row r="2272" spans="1:9" x14ac:dyDescent="0.2">
      <c r="A2272">
        <v>10695009</v>
      </c>
      <c r="B2272">
        <v>2</v>
      </c>
      <c r="C2272">
        <v>1183</v>
      </c>
      <c r="D2272">
        <v>73420</v>
      </c>
      <c r="E2272">
        <v>25</v>
      </c>
      <c r="F2272" t="s">
        <v>17</v>
      </c>
      <c r="G2272" t="s">
        <v>171</v>
      </c>
      <c r="H2272" t="s">
        <v>16</v>
      </c>
      <c r="I2272" t="s">
        <v>448</v>
      </c>
    </row>
    <row r="2273" spans="1:9" x14ac:dyDescent="0.2">
      <c r="A2273">
        <v>10695009</v>
      </c>
      <c r="B2273">
        <v>3</v>
      </c>
      <c r="C2273">
        <v>1713</v>
      </c>
      <c r="D2273">
        <v>73455</v>
      </c>
      <c r="E2273">
        <v>24</v>
      </c>
      <c r="F2273" t="s">
        <v>57</v>
      </c>
      <c r="G2273" t="s">
        <v>170</v>
      </c>
      <c r="H2273" t="s">
        <v>69</v>
      </c>
      <c r="I2273">
        <v>10</v>
      </c>
    </row>
    <row r="2274" spans="1:9" x14ac:dyDescent="0.2">
      <c r="A2274">
        <v>10695009</v>
      </c>
      <c r="B2274">
        <v>4</v>
      </c>
      <c r="C2274">
        <v>1731</v>
      </c>
      <c r="D2274">
        <v>0</v>
      </c>
      <c r="E2274">
        <v>26</v>
      </c>
      <c r="F2274" t="s">
        <v>57</v>
      </c>
      <c r="G2274" t="s">
        <v>172</v>
      </c>
      <c r="H2274" t="s">
        <v>69</v>
      </c>
      <c r="I2274">
        <v>10</v>
      </c>
    </row>
    <row r="2275" spans="1:9" x14ac:dyDescent="0.2">
      <c r="A2275">
        <v>10703406</v>
      </c>
      <c r="B2275">
        <v>1</v>
      </c>
      <c r="C2275">
        <v>1779</v>
      </c>
      <c r="D2275">
        <v>53820</v>
      </c>
      <c r="E2275">
        <v>24</v>
      </c>
      <c r="F2275" t="s">
        <v>57</v>
      </c>
      <c r="G2275" t="s">
        <v>162</v>
      </c>
      <c r="H2275" t="s">
        <v>79</v>
      </c>
      <c r="I2275">
        <v>10</v>
      </c>
    </row>
    <row r="2276" spans="1:9" x14ac:dyDescent="0.2">
      <c r="A2276">
        <v>10703406</v>
      </c>
      <c r="B2276">
        <v>2</v>
      </c>
      <c r="C2276">
        <v>3081</v>
      </c>
      <c r="D2276">
        <v>0</v>
      </c>
      <c r="E2276">
        <v>26</v>
      </c>
      <c r="F2276" t="s">
        <v>44</v>
      </c>
      <c r="G2276" t="s">
        <v>337</v>
      </c>
      <c r="H2276" t="s">
        <v>55</v>
      </c>
      <c r="I2276">
        <v>9</v>
      </c>
    </row>
    <row r="2277" spans="1:9" x14ac:dyDescent="0.2">
      <c r="A2277">
        <v>10703406</v>
      </c>
      <c r="B2277">
        <v>3</v>
      </c>
      <c r="C2277">
        <v>2926</v>
      </c>
      <c r="D2277">
        <v>0</v>
      </c>
      <c r="E2277">
        <v>26</v>
      </c>
      <c r="F2277" t="s">
        <v>119</v>
      </c>
      <c r="G2277" t="s">
        <v>162</v>
      </c>
      <c r="H2277" t="s">
        <v>20</v>
      </c>
      <c r="I2277">
        <v>8</v>
      </c>
    </row>
    <row r="2278" spans="1:9" x14ac:dyDescent="0.2">
      <c r="A2278">
        <v>10703406</v>
      </c>
      <c r="B2278">
        <v>4</v>
      </c>
      <c r="C2278">
        <v>3631</v>
      </c>
      <c r="D2278">
        <v>0</v>
      </c>
      <c r="E2278">
        <v>26</v>
      </c>
      <c r="F2278" t="s">
        <v>108</v>
      </c>
      <c r="G2278" t="s">
        <v>249</v>
      </c>
      <c r="H2278" t="s">
        <v>20</v>
      </c>
      <c r="I2278">
        <v>8</v>
      </c>
    </row>
    <row r="2279" spans="1:9" x14ac:dyDescent="0.2">
      <c r="A2279">
        <v>10707243</v>
      </c>
      <c r="B2279">
        <v>1</v>
      </c>
      <c r="C2279">
        <v>1774</v>
      </c>
      <c r="D2279">
        <v>48985</v>
      </c>
      <c r="E2279">
        <v>25</v>
      </c>
      <c r="F2279" t="s">
        <v>57</v>
      </c>
      <c r="G2279" t="s">
        <v>296</v>
      </c>
      <c r="H2279" t="s">
        <v>69</v>
      </c>
      <c r="I2279">
        <v>10</v>
      </c>
    </row>
    <row r="2280" spans="1:9" x14ac:dyDescent="0.2">
      <c r="A2280">
        <v>10707243</v>
      </c>
      <c r="B2280">
        <v>2</v>
      </c>
      <c r="C2280">
        <v>3239</v>
      </c>
      <c r="D2280">
        <v>49780</v>
      </c>
      <c r="E2280">
        <v>25</v>
      </c>
      <c r="F2280" t="s">
        <v>47</v>
      </c>
      <c r="G2280" t="s">
        <v>107</v>
      </c>
      <c r="H2280" t="s">
        <v>46</v>
      </c>
      <c r="I2280">
        <v>10</v>
      </c>
    </row>
    <row r="2281" spans="1:9" x14ac:dyDescent="0.2">
      <c r="A2281">
        <v>10707243</v>
      </c>
      <c r="B2281">
        <v>3</v>
      </c>
      <c r="C2281">
        <v>3245</v>
      </c>
      <c r="D2281">
        <v>49780</v>
      </c>
      <c r="E2281">
        <v>25</v>
      </c>
      <c r="F2281" t="s">
        <v>47</v>
      </c>
      <c r="G2281" t="s">
        <v>157</v>
      </c>
      <c r="H2281" t="s">
        <v>74</v>
      </c>
      <c r="I2281">
        <v>10</v>
      </c>
    </row>
    <row r="2282" spans="1:9" x14ac:dyDescent="0.2">
      <c r="A2282">
        <v>10707243</v>
      </c>
      <c r="B2282">
        <v>4</v>
      </c>
      <c r="C2282">
        <v>1788</v>
      </c>
      <c r="D2282">
        <v>48740</v>
      </c>
      <c r="E2282">
        <v>25</v>
      </c>
      <c r="F2282" t="s">
        <v>57</v>
      </c>
      <c r="G2282" t="s">
        <v>97</v>
      </c>
      <c r="H2282" t="s">
        <v>56</v>
      </c>
      <c r="I2282">
        <v>10</v>
      </c>
    </row>
    <row r="2283" spans="1:9" x14ac:dyDescent="0.2">
      <c r="A2283">
        <v>10707243</v>
      </c>
      <c r="B2283">
        <v>5</v>
      </c>
      <c r="C2283">
        <v>2453</v>
      </c>
      <c r="D2283">
        <v>48540</v>
      </c>
      <c r="E2283">
        <v>25</v>
      </c>
      <c r="F2283" t="s">
        <v>42</v>
      </c>
      <c r="G2283" t="s">
        <v>396</v>
      </c>
      <c r="H2283" t="s">
        <v>220</v>
      </c>
      <c r="I2283">
        <v>2</v>
      </c>
    </row>
    <row r="2284" spans="1:9" x14ac:dyDescent="0.2">
      <c r="A2284">
        <v>10725767</v>
      </c>
      <c r="B2284">
        <v>1</v>
      </c>
      <c r="C2284">
        <v>1371</v>
      </c>
      <c r="D2284">
        <v>64545</v>
      </c>
      <c r="E2284">
        <v>24</v>
      </c>
      <c r="F2284" t="s">
        <v>21</v>
      </c>
      <c r="G2284" t="s">
        <v>78</v>
      </c>
      <c r="H2284" t="s">
        <v>20</v>
      </c>
      <c r="I2284">
        <v>8</v>
      </c>
    </row>
    <row r="2285" spans="1:9" x14ac:dyDescent="0.2">
      <c r="A2285">
        <v>10725767</v>
      </c>
      <c r="B2285">
        <v>2</v>
      </c>
      <c r="C2285">
        <v>1368</v>
      </c>
      <c r="D2285">
        <v>0</v>
      </c>
      <c r="E2285">
        <v>26</v>
      </c>
      <c r="F2285" t="s">
        <v>21</v>
      </c>
      <c r="G2285" t="s">
        <v>140</v>
      </c>
      <c r="H2285" t="s">
        <v>20</v>
      </c>
      <c r="I2285">
        <v>8</v>
      </c>
    </row>
    <row r="2286" spans="1:9" x14ac:dyDescent="0.2">
      <c r="A2286">
        <v>10725767</v>
      </c>
      <c r="B2286">
        <v>3</v>
      </c>
      <c r="C2286">
        <v>1370</v>
      </c>
      <c r="D2286">
        <v>0</v>
      </c>
      <c r="E2286">
        <v>26</v>
      </c>
      <c r="F2286" t="s">
        <v>21</v>
      </c>
      <c r="G2286" t="s">
        <v>120</v>
      </c>
      <c r="H2286" t="s">
        <v>20</v>
      </c>
      <c r="I2286">
        <v>8</v>
      </c>
    </row>
    <row r="2287" spans="1:9" x14ac:dyDescent="0.2">
      <c r="A2287">
        <v>10725767</v>
      </c>
      <c r="B2287">
        <v>4</v>
      </c>
      <c r="C2287">
        <v>1361</v>
      </c>
      <c r="D2287">
        <v>0</v>
      </c>
      <c r="E2287">
        <v>26</v>
      </c>
      <c r="F2287" t="s">
        <v>21</v>
      </c>
      <c r="G2287" t="s">
        <v>306</v>
      </c>
      <c r="H2287" t="s">
        <v>20</v>
      </c>
      <c r="I2287">
        <v>8</v>
      </c>
    </row>
    <row r="2288" spans="1:9" x14ac:dyDescent="0.2">
      <c r="A2288">
        <v>10725767</v>
      </c>
      <c r="B2288">
        <v>5</v>
      </c>
      <c r="C2288">
        <v>1305</v>
      </c>
      <c r="D2288">
        <v>0</v>
      </c>
      <c r="E2288">
        <v>26</v>
      </c>
      <c r="F2288" t="s">
        <v>21</v>
      </c>
      <c r="G2288" t="s">
        <v>243</v>
      </c>
      <c r="H2288" t="s">
        <v>20</v>
      </c>
      <c r="I2288">
        <v>8</v>
      </c>
    </row>
    <row r="2289" spans="1:9" x14ac:dyDescent="0.2">
      <c r="A2289">
        <v>10737679</v>
      </c>
      <c r="B2289">
        <v>1</v>
      </c>
      <c r="C2289">
        <v>1733</v>
      </c>
      <c r="D2289">
        <v>56960</v>
      </c>
      <c r="E2289">
        <v>24</v>
      </c>
      <c r="F2289" t="s">
        <v>57</v>
      </c>
      <c r="G2289" t="s">
        <v>18</v>
      </c>
      <c r="H2289" t="s">
        <v>69</v>
      </c>
      <c r="I2289">
        <v>10</v>
      </c>
    </row>
    <row r="2290" spans="1:9" x14ac:dyDescent="0.2">
      <c r="A2290">
        <v>10737679</v>
      </c>
      <c r="B2290">
        <v>2</v>
      </c>
      <c r="C2290">
        <v>3200</v>
      </c>
      <c r="D2290">
        <v>0</v>
      </c>
      <c r="E2290">
        <v>26</v>
      </c>
      <c r="F2290" t="s">
        <v>47</v>
      </c>
      <c r="G2290" t="s">
        <v>18</v>
      </c>
      <c r="H2290" t="s">
        <v>46</v>
      </c>
      <c r="I2290">
        <v>10</v>
      </c>
    </row>
    <row r="2291" spans="1:9" x14ac:dyDescent="0.2">
      <c r="A2291">
        <v>10737679</v>
      </c>
      <c r="B2291">
        <v>3</v>
      </c>
      <c r="C2291">
        <v>1920</v>
      </c>
      <c r="D2291">
        <v>0</v>
      </c>
      <c r="E2291">
        <v>26</v>
      </c>
      <c r="F2291" t="s">
        <v>32</v>
      </c>
      <c r="G2291" t="s">
        <v>18</v>
      </c>
      <c r="H2291" t="s">
        <v>31</v>
      </c>
      <c r="I2291">
        <v>5</v>
      </c>
    </row>
    <row r="2292" spans="1:9" x14ac:dyDescent="0.2">
      <c r="A2292">
        <v>10737679</v>
      </c>
      <c r="B2292">
        <v>4</v>
      </c>
      <c r="C2292">
        <v>1782</v>
      </c>
      <c r="D2292">
        <v>0</v>
      </c>
      <c r="E2292">
        <v>26</v>
      </c>
      <c r="F2292" t="s">
        <v>57</v>
      </c>
      <c r="G2292" t="s">
        <v>63</v>
      </c>
      <c r="H2292" t="s">
        <v>69</v>
      </c>
      <c r="I2292">
        <v>10</v>
      </c>
    </row>
    <row r="2293" spans="1:9" x14ac:dyDescent="0.2">
      <c r="A2293">
        <v>10737679</v>
      </c>
      <c r="B2293">
        <v>5</v>
      </c>
      <c r="C2293">
        <v>2325</v>
      </c>
      <c r="D2293">
        <v>0</v>
      </c>
      <c r="E2293">
        <v>26</v>
      </c>
      <c r="F2293" t="s">
        <v>39</v>
      </c>
      <c r="G2293" t="s">
        <v>18</v>
      </c>
      <c r="H2293" t="s">
        <v>38</v>
      </c>
      <c r="I2293">
        <v>1</v>
      </c>
    </row>
    <row r="2294" spans="1:9" x14ac:dyDescent="0.2">
      <c r="A2294">
        <v>10737679</v>
      </c>
      <c r="B2294">
        <v>6</v>
      </c>
      <c r="C2294">
        <v>1617</v>
      </c>
      <c r="D2294">
        <v>0</v>
      </c>
      <c r="E2294">
        <v>26</v>
      </c>
      <c r="F2294" t="s">
        <v>128</v>
      </c>
      <c r="G2294" t="s">
        <v>153</v>
      </c>
      <c r="H2294" t="s">
        <v>127</v>
      </c>
      <c r="I2294" t="s">
        <v>448</v>
      </c>
    </row>
    <row r="2295" spans="1:9" x14ac:dyDescent="0.2">
      <c r="A2295">
        <v>10754756</v>
      </c>
      <c r="B2295">
        <v>1</v>
      </c>
      <c r="C2295">
        <v>3012</v>
      </c>
      <c r="D2295">
        <v>65740</v>
      </c>
      <c r="E2295">
        <v>24</v>
      </c>
      <c r="F2295" t="s">
        <v>44</v>
      </c>
      <c r="G2295" t="s">
        <v>78</v>
      </c>
      <c r="H2295" t="s">
        <v>55</v>
      </c>
      <c r="I2295">
        <v>9</v>
      </c>
    </row>
    <row r="2296" spans="1:9" x14ac:dyDescent="0.2">
      <c r="A2296">
        <v>10754756</v>
      </c>
      <c r="B2296">
        <v>2</v>
      </c>
      <c r="C2296">
        <v>3078</v>
      </c>
      <c r="D2296">
        <v>0</v>
      </c>
      <c r="E2296">
        <v>26</v>
      </c>
      <c r="F2296" t="s">
        <v>44</v>
      </c>
      <c r="G2296" t="s">
        <v>149</v>
      </c>
      <c r="H2296" t="s">
        <v>61</v>
      </c>
      <c r="I2296">
        <v>9</v>
      </c>
    </row>
    <row r="2297" spans="1:9" x14ac:dyDescent="0.2">
      <c r="A2297">
        <v>10754756</v>
      </c>
      <c r="B2297">
        <v>3</v>
      </c>
      <c r="C2297">
        <v>3074</v>
      </c>
      <c r="D2297">
        <v>0</v>
      </c>
      <c r="E2297">
        <v>26</v>
      </c>
      <c r="F2297" t="s">
        <v>44</v>
      </c>
      <c r="G2297" t="s">
        <v>152</v>
      </c>
      <c r="H2297" t="s">
        <v>61</v>
      </c>
      <c r="I2297">
        <v>9</v>
      </c>
    </row>
    <row r="2298" spans="1:9" x14ac:dyDescent="0.2">
      <c r="A2298">
        <v>10754756</v>
      </c>
      <c r="B2298">
        <v>4</v>
      </c>
      <c r="C2298">
        <v>3060</v>
      </c>
      <c r="D2298">
        <v>0</v>
      </c>
      <c r="E2298">
        <v>26</v>
      </c>
      <c r="F2298" t="s">
        <v>44</v>
      </c>
      <c r="G2298" t="s">
        <v>51</v>
      </c>
      <c r="H2298" t="s">
        <v>52</v>
      </c>
      <c r="I2298">
        <v>9</v>
      </c>
    </row>
    <row r="2299" spans="1:9" x14ac:dyDescent="0.2">
      <c r="A2299">
        <v>10754756</v>
      </c>
      <c r="B2299">
        <v>5</v>
      </c>
      <c r="C2299">
        <v>3007</v>
      </c>
      <c r="D2299">
        <v>0</v>
      </c>
      <c r="E2299">
        <v>26</v>
      </c>
      <c r="F2299" t="s">
        <v>44</v>
      </c>
      <c r="G2299" t="s">
        <v>54</v>
      </c>
      <c r="H2299" t="s">
        <v>55</v>
      </c>
      <c r="I2299">
        <v>9</v>
      </c>
    </row>
    <row r="2300" spans="1:9" x14ac:dyDescent="0.2">
      <c r="A2300">
        <v>10754756</v>
      </c>
      <c r="B2300">
        <v>6</v>
      </c>
      <c r="C2300">
        <v>1736</v>
      </c>
      <c r="D2300">
        <v>0</v>
      </c>
      <c r="E2300">
        <v>26</v>
      </c>
      <c r="F2300" t="s">
        <v>57</v>
      </c>
      <c r="G2300" t="s">
        <v>78</v>
      </c>
      <c r="H2300" t="s">
        <v>79</v>
      </c>
      <c r="I2300">
        <v>10</v>
      </c>
    </row>
    <row r="2301" spans="1:9" x14ac:dyDescent="0.2">
      <c r="A2301">
        <v>10754756</v>
      </c>
      <c r="B2301">
        <v>7</v>
      </c>
      <c r="C2301">
        <v>3212</v>
      </c>
      <c r="D2301">
        <v>0</v>
      </c>
      <c r="E2301">
        <v>26</v>
      </c>
      <c r="F2301" t="s">
        <v>47</v>
      </c>
      <c r="G2301" t="s">
        <v>84</v>
      </c>
      <c r="H2301" t="s">
        <v>46</v>
      </c>
      <c r="I2301">
        <v>10</v>
      </c>
    </row>
    <row r="2302" spans="1:9" x14ac:dyDescent="0.2">
      <c r="A2302">
        <v>10754756</v>
      </c>
      <c r="B2302">
        <v>8</v>
      </c>
      <c r="C2302">
        <v>3237</v>
      </c>
      <c r="D2302">
        <v>0</v>
      </c>
      <c r="E2302">
        <v>26</v>
      </c>
      <c r="F2302" t="s">
        <v>47</v>
      </c>
      <c r="G2302" t="s">
        <v>181</v>
      </c>
      <c r="H2302" t="s">
        <v>46</v>
      </c>
      <c r="I2302">
        <v>10</v>
      </c>
    </row>
    <row r="2303" spans="1:9" x14ac:dyDescent="0.2">
      <c r="A2303">
        <v>10766753</v>
      </c>
      <c r="B2303">
        <v>1</v>
      </c>
      <c r="C2303">
        <v>1788</v>
      </c>
      <c r="D2303">
        <v>57735</v>
      </c>
      <c r="E2303">
        <v>24</v>
      </c>
      <c r="F2303" t="s">
        <v>57</v>
      </c>
      <c r="G2303" t="s">
        <v>97</v>
      </c>
      <c r="H2303" t="s">
        <v>56</v>
      </c>
      <c r="I2303">
        <v>10</v>
      </c>
    </row>
    <row r="2304" spans="1:9" x14ac:dyDescent="0.2">
      <c r="A2304">
        <v>10766753</v>
      </c>
      <c r="B2304">
        <v>2</v>
      </c>
      <c r="C2304">
        <v>3261</v>
      </c>
      <c r="D2304">
        <v>0</v>
      </c>
      <c r="E2304">
        <v>26</v>
      </c>
      <c r="F2304" t="s">
        <v>47</v>
      </c>
      <c r="G2304" t="s">
        <v>93</v>
      </c>
      <c r="H2304" t="s">
        <v>46</v>
      </c>
      <c r="I2304">
        <v>10</v>
      </c>
    </row>
    <row r="2305" spans="1:9" x14ac:dyDescent="0.2">
      <c r="A2305">
        <v>10766753</v>
      </c>
      <c r="B2305">
        <v>3</v>
      </c>
      <c r="C2305">
        <v>3234</v>
      </c>
      <c r="D2305">
        <v>0</v>
      </c>
      <c r="E2305">
        <v>26</v>
      </c>
      <c r="F2305" t="s">
        <v>47</v>
      </c>
      <c r="G2305" t="s">
        <v>76</v>
      </c>
      <c r="H2305" t="s">
        <v>46</v>
      </c>
      <c r="I2305">
        <v>10</v>
      </c>
    </row>
    <row r="2306" spans="1:9" x14ac:dyDescent="0.2">
      <c r="A2306">
        <v>10766753</v>
      </c>
      <c r="B2306">
        <v>4</v>
      </c>
      <c r="C2306">
        <v>3248</v>
      </c>
      <c r="D2306">
        <v>0</v>
      </c>
      <c r="E2306">
        <v>26</v>
      </c>
      <c r="F2306" t="s">
        <v>47</v>
      </c>
      <c r="G2306" t="s">
        <v>92</v>
      </c>
      <c r="H2306" t="s">
        <v>46</v>
      </c>
      <c r="I2306">
        <v>10</v>
      </c>
    </row>
    <row r="2307" spans="1:9" x14ac:dyDescent="0.2">
      <c r="A2307">
        <v>10766753</v>
      </c>
      <c r="B2307">
        <v>5</v>
      </c>
      <c r="C2307">
        <v>3252</v>
      </c>
      <c r="D2307">
        <v>0</v>
      </c>
      <c r="E2307">
        <v>26</v>
      </c>
      <c r="F2307" t="s">
        <v>47</v>
      </c>
      <c r="G2307" t="s">
        <v>45</v>
      </c>
      <c r="H2307" t="s">
        <v>46</v>
      </c>
      <c r="I2307">
        <v>10</v>
      </c>
    </row>
    <row r="2308" spans="1:9" x14ac:dyDescent="0.2">
      <c r="A2308">
        <v>10796953</v>
      </c>
      <c r="B2308">
        <v>1</v>
      </c>
      <c r="C2308">
        <v>3234</v>
      </c>
      <c r="D2308">
        <v>63425</v>
      </c>
      <c r="E2308">
        <v>24</v>
      </c>
      <c r="F2308" t="s">
        <v>47</v>
      </c>
      <c r="G2308" t="s">
        <v>76</v>
      </c>
      <c r="H2308" t="s">
        <v>46</v>
      </c>
      <c r="I2308">
        <v>10</v>
      </c>
    </row>
    <row r="2309" spans="1:9" x14ac:dyDescent="0.2">
      <c r="A2309">
        <v>10796953</v>
      </c>
      <c r="B2309">
        <v>2</v>
      </c>
      <c r="C2309">
        <v>1777</v>
      </c>
      <c r="D2309">
        <v>0</v>
      </c>
      <c r="E2309">
        <v>26</v>
      </c>
      <c r="F2309" t="s">
        <v>57</v>
      </c>
      <c r="G2309" t="s">
        <v>88</v>
      </c>
      <c r="H2309" t="s">
        <v>69</v>
      </c>
      <c r="I2309">
        <v>10</v>
      </c>
    </row>
    <row r="2310" spans="1:9" x14ac:dyDescent="0.2">
      <c r="A2310">
        <v>10796953</v>
      </c>
      <c r="B2310">
        <v>3</v>
      </c>
      <c r="C2310">
        <v>3214</v>
      </c>
      <c r="D2310">
        <v>0</v>
      </c>
      <c r="E2310">
        <v>26</v>
      </c>
      <c r="F2310" t="s">
        <v>47</v>
      </c>
      <c r="G2310" t="s">
        <v>98</v>
      </c>
      <c r="H2310" t="s">
        <v>74</v>
      </c>
      <c r="I2310">
        <v>10</v>
      </c>
    </row>
    <row r="2311" spans="1:9" x14ac:dyDescent="0.2">
      <c r="A2311">
        <v>10796953</v>
      </c>
      <c r="B2311">
        <v>4</v>
      </c>
      <c r="C2311">
        <v>1729</v>
      </c>
      <c r="D2311">
        <v>0</v>
      </c>
      <c r="E2311">
        <v>26</v>
      </c>
      <c r="F2311" t="s">
        <v>57</v>
      </c>
      <c r="G2311" t="s">
        <v>72</v>
      </c>
      <c r="H2311" t="s">
        <v>69</v>
      </c>
      <c r="I2311">
        <v>10</v>
      </c>
    </row>
    <row r="2312" spans="1:9" x14ac:dyDescent="0.2">
      <c r="A2312">
        <v>10796953</v>
      </c>
      <c r="B2312">
        <v>5</v>
      </c>
      <c r="C2312">
        <v>1782</v>
      </c>
      <c r="D2312">
        <v>0</v>
      </c>
      <c r="E2312">
        <v>26</v>
      </c>
      <c r="F2312" t="s">
        <v>57</v>
      </c>
      <c r="G2312" t="s">
        <v>63</v>
      </c>
      <c r="H2312" t="s">
        <v>69</v>
      </c>
      <c r="I2312">
        <v>10</v>
      </c>
    </row>
    <row r="2313" spans="1:9" x14ac:dyDescent="0.2">
      <c r="A2313">
        <v>10796953</v>
      </c>
      <c r="B2313">
        <v>6</v>
      </c>
      <c r="C2313">
        <v>1756</v>
      </c>
      <c r="D2313">
        <v>0</v>
      </c>
      <c r="E2313">
        <v>26</v>
      </c>
      <c r="F2313" t="s">
        <v>57</v>
      </c>
      <c r="G2313" t="s">
        <v>89</v>
      </c>
      <c r="H2313" t="s">
        <v>69</v>
      </c>
      <c r="I2313">
        <v>10</v>
      </c>
    </row>
    <row r="2314" spans="1:9" x14ac:dyDescent="0.2">
      <c r="A2314">
        <v>10796953</v>
      </c>
      <c r="B2314">
        <v>7</v>
      </c>
      <c r="C2314">
        <v>1788</v>
      </c>
      <c r="D2314">
        <v>0</v>
      </c>
      <c r="E2314">
        <v>26</v>
      </c>
      <c r="F2314" t="s">
        <v>57</v>
      </c>
      <c r="G2314" t="s">
        <v>97</v>
      </c>
      <c r="H2314" t="s">
        <v>56</v>
      </c>
      <c r="I2314">
        <v>10</v>
      </c>
    </row>
    <row r="2315" spans="1:9" x14ac:dyDescent="0.2">
      <c r="A2315">
        <v>10796953</v>
      </c>
      <c r="B2315">
        <v>8</v>
      </c>
      <c r="C2315">
        <v>3261</v>
      </c>
      <c r="D2315">
        <v>0</v>
      </c>
      <c r="E2315">
        <v>26</v>
      </c>
      <c r="F2315" t="s">
        <v>47</v>
      </c>
      <c r="G2315" t="s">
        <v>93</v>
      </c>
      <c r="H2315" t="s">
        <v>46</v>
      </c>
      <c r="I2315">
        <v>10</v>
      </c>
    </row>
    <row r="2316" spans="1:9" x14ac:dyDescent="0.2">
      <c r="A2316">
        <v>10797503</v>
      </c>
      <c r="B2316">
        <v>1</v>
      </c>
      <c r="C2316">
        <v>1324</v>
      </c>
      <c r="D2316">
        <v>61010</v>
      </c>
      <c r="E2316">
        <v>25</v>
      </c>
      <c r="F2316" t="s">
        <v>21</v>
      </c>
      <c r="G2316" t="s">
        <v>63</v>
      </c>
      <c r="H2316" t="s">
        <v>20</v>
      </c>
      <c r="I2316">
        <v>8</v>
      </c>
    </row>
    <row r="2317" spans="1:9" x14ac:dyDescent="0.2">
      <c r="A2317">
        <v>10797503</v>
      </c>
      <c r="B2317">
        <v>2</v>
      </c>
      <c r="C2317">
        <v>1782</v>
      </c>
      <c r="D2317">
        <v>60750</v>
      </c>
      <c r="E2317">
        <v>25</v>
      </c>
      <c r="F2317" t="s">
        <v>57</v>
      </c>
      <c r="G2317" t="s">
        <v>63</v>
      </c>
      <c r="H2317" t="s">
        <v>69</v>
      </c>
      <c r="I2317">
        <v>10</v>
      </c>
    </row>
    <row r="2318" spans="1:9" x14ac:dyDescent="0.2">
      <c r="A2318">
        <v>10797503</v>
      </c>
      <c r="B2318">
        <v>3</v>
      </c>
      <c r="C2318">
        <v>3601</v>
      </c>
      <c r="D2318">
        <v>60990</v>
      </c>
      <c r="E2318">
        <v>25</v>
      </c>
      <c r="F2318" t="s">
        <v>108</v>
      </c>
      <c r="G2318" t="s">
        <v>63</v>
      </c>
      <c r="H2318" t="s">
        <v>20</v>
      </c>
      <c r="I2318">
        <v>8</v>
      </c>
    </row>
    <row r="2319" spans="1:9" x14ac:dyDescent="0.2">
      <c r="A2319">
        <v>10797503</v>
      </c>
      <c r="B2319">
        <v>4</v>
      </c>
      <c r="C2319">
        <v>1709</v>
      </c>
      <c r="D2319">
        <v>59920</v>
      </c>
      <c r="E2319">
        <v>24</v>
      </c>
      <c r="F2319" t="s">
        <v>57</v>
      </c>
      <c r="G2319" t="s">
        <v>84</v>
      </c>
      <c r="H2319" t="s">
        <v>69</v>
      </c>
      <c r="I2319">
        <v>10</v>
      </c>
    </row>
    <row r="2320" spans="1:9" x14ac:dyDescent="0.2">
      <c r="A2320">
        <v>10797503</v>
      </c>
      <c r="B2320">
        <v>5</v>
      </c>
      <c r="C2320">
        <v>3085</v>
      </c>
      <c r="D2320">
        <v>0</v>
      </c>
      <c r="E2320">
        <v>26</v>
      </c>
      <c r="F2320" t="s">
        <v>44</v>
      </c>
      <c r="G2320" t="s">
        <v>84</v>
      </c>
      <c r="H2320" t="s">
        <v>55</v>
      </c>
      <c r="I2320">
        <v>9</v>
      </c>
    </row>
    <row r="2321" spans="1:9" x14ac:dyDescent="0.2">
      <c r="A2321">
        <v>10801449</v>
      </c>
      <c r="B2321">
        <v>1</v>
      </c>
      <c r="C2321">
        <v>1714</v>
      </c>
      <c r="D2321">
        <v>50580</v>
      </c>
      <c r="E2321">
        <v>25</v>
      </c>
      <c r="F2321" t="s">
        <v>57</v>
      </c>
      <c r="G2321" t="s">
        <v>95</v>
      </c>
      <c r="H2321" t="s">
        <v>69</v>
      </c>
      <c r="I2321">
        <v>10</v>
      </c>
    </row>
    <row r="2322" spans="1:9" x14ac:dyDescent="0.2">
      <c r="A2322">
        <v>10801449</v>
      </c>
      <c r="B2322">
        <v>2</v>
      </c>
      <c r="C2322">
        <v>1711</v>
      </c>
      <c r="D2322">
        <v>49380</v>
      </c>
      <c r="E2322">
        <v>25</v>
      </c>
      <c r="F2322" t="s">
        <v>57</v>
      </c>
      <c r="G2322" t="s">
        <v>201</v>
      </c>
      <c r="H2322" t="s">
        <v>69</v>
      </c>
      <c r="I2322">
        <v>10</v>
      </c>
    </row>
    <row r="2323" spans="1:9" x14ac:dyDescent="0.2">
      <c r="A2323">
        <v>10801449</v>
      </c>
      <c r="B2323">
        <v>3</v>
      </c>
      <c r="C2323">
        <v>1701</v>
      </c>
      <c r="D2323">
        <v>49380</v>
      </c>
      <c r="E2323">
        <v>25</v>
      </c>
      <c r="F2323" t="s">
        <v>57</v>
      </c>
      <c r="G2323" t="s">
        <v>96</v>
      </c>
      <c r="H2323" t="s">
        <v>69</v>
      </c>
      <c r="I2323">
        <v>10</v>
      </c>
    </row>
    <row r="2324" spans="1:9" x14ac:dyDescent="0.2">
      <c r="A2324">
        <v>10801449</v>
      </c>
      <c r="B2324">
        <v>4</v>
      </c>
      <c r="C2324">
        <v>1774</v>
      </c>
      <c r="D2324">
        <v>49920</v>
      </c>
      <c r="E2324">
        <v>25</v>
      </c>
      <c r="F2324" t="s">
        <v>57</v>
      </c>
      <c r="G2324" t="s">
        <v>296</v>
      </c>
      <c r="H2324" t="s">
        <v>69</v>
      </c>
      <c r="I2324">
        <v>10</v>
      </c>
    </row>
    <row r="2325" spans="1:9" x14ac:dyDescent="0.2">
      <c r="A2325">
        <v>10801449</v>
      </c>
      <c r="B2325">
        <v>5</v>
      </c>
      <c r="C2325">
        <v>1754</v>
      </c>
      <c r="D2325">
        <v>49375</v>
      </c>
      <c r="E2325">
        <v>25</v>
      </c>
      <c r="F2325" t="s">
        <v>57</v>
      </c>
      <c r="G2325" t="s">
        <v>85</v>
      </c>
      <c r="H2325" t="s">
        <v>69</v>
      </c>
      <c r="I2325">
        <v>10</v>
      </c>
    </row>
    <row r="2326" spans="1:9" x14ac:dyDescent="0.2">
      <c r="A2326">
        <v>10801449</v>
      </c>
      <c r="B2326">
        <v>6</v>
      </c>
      <c r="C2326">
        <v>1736</v>
      </c>
      <c r="D2326">
        <v>0</v>
      </c>
      <c r="E2326">
        <v>13</v>
      </c>
      <c r="F2326" t="s">
        <v>57</v>
      </c>
      <c r="G2326" t="s">
        <v>78</v>
      </c>
      <c r="H2326" t="s">
        <v>79</v>
      </c>
      <c r="I2326">
        <v>10</v>
      </c>
    </row>
    <row r="2327" spans="1:9" x14ac:dyDescent="0.2">
      <c r="A2327">
        <v>10801449</v>
      </c>
      <c r="B2327">
        <v>7</v>
      </c>
      <c r="C2327">
        <v>3223</v>
      </c>
      <c r="D2327">
        <v>49575</v>
      </c>
      <c r="E2327">
        <v>24</v>
      </c>
      <c r="F2327" t="s">
        <v>47</v>
      </c>
      <c r="G2327" t="s">
        <v>105</v>
      </c>
      <c r="H2327" t="s">
        <v>46</v>
      </c>
      <c r="I2327">
        <v>10</v>
      </c>
    </row>
    <row r="2328" spans="1:9" x14ac:dyDescent="0.2">
      <c r="A2328">
        <v>10801449</v>
      </c>
      <c r="B2328">
        <v>8</v>
      </c>
      <c r="C2328">
        <v>3200</v>
      </c>
      <c r="D2328">
        <v>0</v>
      </c>
      <c r="E2328">
        <v>26</v>
      </c>
      <c r="F2328" t="s">
        <v>47</v>
      </c>
      <c r="G2328" t="s">
        <v>18</v>
      </c>
      <c r="H2328" t="s">
        <v>46</v>
      </c>
      <c r="I2328">
        <v>10</v>
      </c>
    </row>
    <row r="2329" spans="1:9" x14ac:dyDescent="0.2">
      <c r="A2329">
        <v>10812924</v>
      </c>
      <c r="B2329">
        <v>1</v>
      </c>
      <c r="C2329">
        <v>1709</v>
      </c>
      <c r="D2329">
        <v>51150</v>
      </c>
      <c r="E2329">
        <v>25</v>
      </c>
      <c r="F2329" t="s">
        <v>57</v>
      </c>
      <c r="G2329" t="s">
        <v>84</v>
      </c>
      <c r="H2329" t="s">
        <v>69</v>
      </c>
      <c r="I2329">
        <v>10</v>
      </c>
    </row>
    <row r="2330" spans="1:9" x14ac:dyDescent="0.2">
      <c r="A2330">
        <v>10812924</v>
      </c>
      <c r="B2330">
        <v>2</v>
      </c>
      <c r="C2330">
        <v>3212</v>
      </c>
      <c r="D2330">
        <v>50575</v>
      </c>
      <c r="E2330">
        <v>24</v>
      </c>
      <c r="F2330" t="s">
        <v>47</v>
      </c>
      <c r="G2330" t="s">
        <v>84</v>
      </c>
      <c r="H2330" t="s">
        <v>46</v>
      </c>
      <c r="I2330">
        <v>10</v>
      </c>
    </row>
    <row r="2331" spans="1:9" x14ac:dyDescent="0.2">
      <c r="A2331">
        <v>10812924</v>
      </c>
      <c r="B2331">
        <v>3</v>
      </c>
      <c r="C2331">
        <v>1477</v>
      </c>
      <c r="D2331">
        <v>0</v>
      </c>
      <c r="E2331">
        <v>26</v>
      </c>
      <c r="F2331" t="s">
        <v>25</v>
      </c>
      <c r="G2331" t="s">
        <v>106</v>
      </c>
      <c r="H2331" t="s">
        <v>24</v>
      </c>
      <c r="I2331">
        <v>5</v>
      </c>
    </row>
    <row r="2332" spans="1:9" x14ac:dyDescent="0.2">
      <c r="A2332">
        <v>10812924</v>
      </c>
      <c r="B2332">
        <v>4</v>
      </c>
      <c r="C2332">
        <v>3213</v>
      </c>
      <c r="D2332">
        <v>0</v>
      </c>
      <c r="E2332">
        <v>26</v>
      </c>
      <c r="F2332" t="s">
        <v>47</v>
      </c>
      <c r="G2332" t="s">
        <v>158</v>
      </c>
      <c r="H2332" t="s">
        <v>74</v>
      </c>
      <c r="I2332">
        <v>10</v>
      </c>
    </row>
    <row r="2333" spans="1:9" x14ac:dyDescent="0.2">
      <c r="A2333">
        <v>10812924</v>
      </c>
      <c r="B2333">
        <v>5</v>
      </c>
      <c r="C2333">
        <v>3239</v>
      </c>
      <c r="D2333">
        <v>0</v>
      </c>
      <c r="E2333">
        <v>26</v>
      </c>
      <c r="F2333" t="s">
        <v>47</v>
      </c>
      <c r="G2333" t="s">
        <v>107</v>
      </c>
      <c r="H2333" t="s">
        <v>46</v>
      </c>
      <c r="I2333">
        <v>10</v>
      </c>
    </row>
    <row r="2334" spans="1:9" x14ac:dyDescent="0.2">
      <c r="A2334">
        <v>10812924</v>
      </c>
      <c r="B2334">
        <v>6</v>
      </c>
      <c r="C2334">
        <v>3211</v>
      </c>
      <c r="D2334">
        <v>0</v>
      </c>
      <c r="E2334">
        <v>26</v>
      </c>
      <c r="F2334" t="s">
        <v>47</v>
      </c>
      <c r="G2334" t="s">
        <v>99</v>
      </c>
      <c r="H2334" t="s">
        <v>46</v>
      </c>
      <c r="I2334">
        <v>10</v>
      </c>
    </row>
    <row r="2335" spans="1:9" x14ac:dyDescent="0.2">
      <c r="A2335">
        <v>10812924</v>
      </c>
      <c r="B2335">
        <v>7</v>
      </c>
      <c r="C2335">
        <v>3252</v>
      </c>
      <c r="D2335">
        <v>0</v>
      </c>
      <c r="E2335">
        <v>26</v>
      </c>
      <c r="F2335" t="s">
        <v>47</v>
      </c>
      <c r="G2335" t="s">
        <v>45</v>
      </c>
      <c r="H2335" t="s">
        <v>46</v>
      </c>
      <c r="I2335">
        <v>10</v>
      </c>
    </row>
    <row r="2336" spans="1:9" x14ac:dyDescent="0.2">
      <c r="A2336">
        <v>10812924</v>
      </c>
      <c r="B2336">
        <v>8</v>
      </c>
      <c r="C2336">
        <v>3085</v>
      </c>
      <c r="D2336">
        <v>0</v>
      </c>
      <c r="E2336">
        <v>26</v>
      </c>
      <c r="F2336" t="s">
        <v>44</v>
      </c>
      <c r="G2336" t="s">
        <v>84</v>
      </c>
      <c r="H2336" t="s">
        <v>55</v>
      </c>
      <c r="I2336">
        <v>9</v>
      </c>
    </row>
    <row r="2337" spans="1:9" x14ac:dyDescent="0.2">
      <c r="A2337">
        <v>10868137</v>
      </c>
      <c r="B2337">
        <v>1</v>
      </c>
      <c r="C2337">
        <v>1591</v>
      </c>
      <c r="D2337">
        <v>0</v>
      </c>
      <c r="E2337">
        <v>19</v>
      </c>
      <c r="F2337" t="s">
        <v>142</v>
      </c>
      <c r="G2337" t="s">
        <v>257</v>
      </c>
      <c r="H2337" t="s">
        <v>113</v>
      </c>
      <c r="I2337">
        <v>5</v>
      </c>
    </row>
    <row r="2338" spans="1:9" x14ac:dyDescent="0.2">
      <c r="A2338">
        <v>10868137</v>
      </c>
      <c r="B2338">
        <v>2</v>
      </c>
      <c r="C2338">
        <v>1590</v>
      </c>
      <c r="D2338">
        <v>58900</v>
      </c>
      <c r="E2338">
        <v>25</v>
      </c>
      <c r="F2338" t="s">
        <v>142</v>
      </c>
      <c r="G2338" t="s">
        <v>229</v>
      </c>
      <c r="H2338" t="s">
        <v>113</v>
      </c>
      <c r="I2338">
        <v>5</v>
      </c>
    </row>
    <row r="2339" spans="1:9" x14ac:dyDescent="0.2">
      <c r="A2339">
        <v>10896586</v>
      </c>
      <c r="B2339">
        <v>1</v>
      </c>
      <c r="C2339">
        <v>1734</v>
      </c>
      <c r="D2339">
        <v>60000</v>
      </c>
      <c r="E2339">
        <v>25</v>
      </c>
      <c r="F2339" t="s">
        <v>57</v>
      </c>
      <c r="G2339" t="s">
        <v>81</v>
      </c>
      <c r="H2339" t="s">
        <v>69</v>
      </c>
      <c r="I2339">
        <v>10</v>
      </c>
    </row>
    <row r="2340" spans="1:9" x14ac:dyDescent="0.2">
      <c r="A2340">
        <v>10896586</v>
      </c>
      <c r="B2340">
        <v>2</v>
      </c>
      <c r="C2340">
        <v>1702</v>
      </c>
      <c r="D2340">
        <v>60335</v>
      </c>
      <c r="E2340">
        <v>25</v>
      </c>
      <c r="F2340" t="s">
        <v>57</v>
      </c>
      <c r="G2340" t="s">
        <v>164</v>
      </c>
      <c r="H2340" t="s">
        <v>69</v>
      </c>
      <c r="I2340">
        <v>10</v>
      </c>
    </row>
    <row r="2341" spans="1:9" x14ac:dyDescent="0.2">
      <c r="A2341">
        <v>10896586</v>
      </c>
      <c r="B2341">
        <v>3</v>
      </c>
      <c r="C2341">
        <v>1255</v>
      </c>
      <c r="D2341">
        <v>61475</v>
      </c>
      <c r="E2341">
        <v>25</v>
      </c>
      <c r="F2341" t="s">
        <v>19</v>
      </c>
      <c r="G2341" t="s">
        <v>292</v>
      </c>
      <c r="H2341" t="s">
        <v>16</v>
      </c>
      <c r="I2341" t="s">
        <v>448</v>
      </c>
    </row>
    <row r="2342" spans="1:9" x14ac:dyDescent="0.2">
      <c r="A2342">
        <v>10896586</v>
      </c>
      <c r="B2342">
        <v>4</v>
      </c>
      <c r="C2342">
        <v>1137</v>
      </c>
      <c r="D2342">
        <v>60495</v>
      </c>
      <c r="E2342">
        <v>25</v>
      </c>
      <c r="F2342" t="s">
        <v>17</v>
      </c>
      <c r="G2342" t="s">
        <v>291</v>
      </c>
      <c r="H2342" t="s">
        <v>16</v>
      </c>
      <c r="I2342" t="s">
        <v>448</v>
      </c>
    </row>
    <row r="2343" spans="1:9" x14ac:dyDescent="0.2">
      <c r="A2343">
        <v>10896586</v>
      </c>
      <c r="B2343">
        <v>5</v>
      </c>
      <c r="C2343">
        <v>1711</v>
      </c>
      <c r="D2343">
        <v>59980</v>
      </c>
      <c r="E2343">
        <v>24</v>
      </c>
      <c r="F2343" t="s">
        <v>57</v>
      </c>
      <c r="G2343" t="s">
        <v>201</v>
      </c>
      <c r="H2343" t="s">
        <v>69</v>
      </c>
      <c r="I2343">
        <v>10</v>
      </c>
    </row>
    <row r="2344" spans="1:9" x14ac:dyDescent="0.2">
      <c r="A2344">
        <v>10896586</v>
      </c>
      <c r="B2344">
        <v>6</v>
      </c>
      <c r="C2344">
        <v>1701</v>
      </c>
      <c r="D2344">
        <v>0</v>
      </c>
      <c r="E2344">
        <v>26</v>
      </c>
      <c r="F2344" t="s">
        <v>57</v>
      </c>
      <c r="G2344" t="s">
        <v>96</v>
      </c>
      <c r="H2344" t="s">
        <v>69</v>
      </c>
      <c r="I2344">
        <v>10</v>
      </c>
    </row>
    <row r="2345" spans="1:9" x14ac:dyDescent="0.2">
      <c r="A2345">
        <v>10896586</v>
      </c>
      <c r="B2345">
        <v>7</v>
      </c>
      <c r="C2345">
        <v>1349</v>
      </c>
      <c r="D2345">
        <v>0</v>
      </c>
      <c r="E2345">
        <v>26</v>
      </c>
      <c r="F2345" t="s">
        <v>21</v>
      </c>
      <c r="G2345" t="s">
        <v>81</v>
      </c>
      <c r="H2345" t="s">
        <v>20</v>
      </c>
      <c r="I2345">
        <v>8</v>
      </c>
    </row>
    <row r="2346" spans="1:9" x14ac:dyDescent="0.2">
      <c r="A2346">
        <v>10896586</v>
      </c>
      <c r="B2346">
        <v>8</v>
      </c>
      <c r="C2346">
        <v>1990</v>
      </c>
      <c r="D2346">
        <v>0</v>
      </c>
      <c r="E2346">
        <v>26</v>
      </c>
      <c r="F2346" t="s">
        <v>32</v>
      </c>
      <c r="G2346" t="s">
        <v>81</v>
      </c>
      <c r="H2346" t="s">
        <v>31</v>
      </c>
      <c r="I2346">
        <v>5</v>
      </c>
    </row>
    <row r="2347" spans="1:9" x14ac:dyDescent="0.2">
      <c r="A2347">
        <v>10938244</v>
      </c>
      <c r="B2347">
        <v>1</v>
      </c>
      <c r="C2347">
        <v>3243</v>
      </c>
      <c r="D2347">
        <v>52285</v>
      </c>
      <c r="E2347">
        <v>25</v>
      </c>
      <c r="F2347" t="s">
        <v>47</v>
      </c>
      <c r="G2347" t="s">
        <v>75</v>
      </c>
      <c r="H2347" t="s">
        <v>46</v>
      </c>
      <c r="I2347">
        <v>10</v>
      </c>
    </row>
    <row r="2348" spans="1:9" x14ac:dyDescent="0.2">
      <c r="A2348">
        <v>10938244</v>
      </c>
      <c r="B2348">
        <v>2</v>
      </c>
      <c r="C2348">
        <v>3252</v>
      </c>
      <c r="D2348">
        <v>52300</v>
      </c>
      <c r="E2348">
        <v>24</v>
      </c>
      <c r="F2348" t="s">
        <v>47</v>
      </c>
      <c r="G2348" t="s">
        <v>45</v>
      </c>
      <c r="H2348" t="s">
        <v>46</v>
      </c>
      <c r="I2348">
        <v>10</v>
      </c>
    </row>
    <row r="2349" spans="1:9" x14ac:dyDescent="0.2">
      <c r="A2349">
        <v>10938244</v>
      </c>
      <c r="B2349">
        <v>3</v>
      </c>
      <c r="C2349">
        <v>3248</v>
      </c>
      <c r="D2349">
        <v>0</v>
      </c>
      <c r="E2349">
        <v>26</v>
      </c>
      <c r="F2349" t="s">
        <v>47</v>
      </c>
      <c r="G2349" t="s">
        <v>92</v>
      </c>
      <c r="H2349" t="s">
        <v>46</v>
      </c>
      <c r="I2349">
        <v>10</v>
      </c>
    </row>
    <row r="2350" spans="1:9" x14ac:dyDescent="0.2">
      <c r="A2350">
        <v>10938244</v>
      </c>
      <c r="B2350">
        <v>4</v>
      </c>
      <c r="C2350">
        <v>3296</v>
      </c>
      <c r="D2350">
        <v>0</v>
      </c>
      <c r="E2350">
        <v>26</v>
      </c>
      <c r="F2350" t="s">
        <v>47</v>
      </c>
      <c r="G2350" t="s">
        <v>100</v>
      </c>
      <c r="H2350" t="s">
        <v>46</v>
      </c>
      <c r="I2350">
        <v>10</v>
      </c>
    </row>
    <row r="2351" spans="1:9" x14ac:dyDescent="0.2">
      <c r="A2351">
        <v>10938244</v>
      </c>
      <c r="B2351">
        <v>5</v>
      </c>
      <c r="C2351">
        <v>3200</v>
      </c>
      <c r="D2351">
        <v>0</v>
      </c>
      <c r="E2351">
        <v>26</v>
      </c>
      <c r="F2351" t="s">
        <v>47</v>
      </c>
      <c r="G2351" t="s">
        <v>18</v>
      </c>
      <c r="H2351" t="s">
        <v>46</v>
      </c>
      <c r="I2351">
        <v>10</v>
      </c>
    </row>
    <row r="2352" spans="1:9" x14ac:dyDescent="0.2">
      <c r="A2352">
        <v>10938244</v>
      </c>
      <c r="B2352">
        <v>6</v>
      </c>
      <c r="C2352">
        <v>3261</v>
      </c>
      <c r="D2352">
        <v>0</v>
      </c>
      <c r="E2352">
        <v>26</v>
      </c>
      <c r="F2352" t="s">
        <v>47</v>
      </c>
      <c r="G2352" t="s">
        <v>93</v>
      </c>
      <c r="H2352" t="s">
        <v>46</v>
      </c>
      <c r="I2352">
        <v>10</v>
      </c>
    </row>
    <row r="2353" spans="1:9" x14ac:dyDescent="0.2">
      <c r="A2353">
        <v>10938244</v>
      </c>
      <c r="B2353">
        <v>7</v>
      </c>
      <c r="C2353">
        <v>3251</v>
      </c>
      <c r="D2353">
        <v>0</v>
      </c>
      <c r="E2353">
        <v>26</v>
      </c>
      <c r="F2353" t="s">
        <v>47</v>
      </c>
      <c r="G2353" t="s">
        <v>48</v>
      </c>
      <c r="H2353" t="s">
        <v>46</v>
      </c>
      <c r="I2353">
        <v>10</v>
      </c>
    </row>
    <row r="2354" spans="1:9" x14ac:dyDescent="0.2">
      <c r="A2354">
        <v>10938244</v>
      </c>
      <c r="B2354">
        <v>8</v>
      </c>
      <c r="C2354">
        <v>3212</v>
      </c>
      <c r="D2354">
        <v>0</v>
      </c>
      <c r="E2354">
        <v>26</v>
      </c>
      <c r="F2354" t="s">
        <v>47</v>
      </c>
      <c r="G2354" t="s">
        <v>84</v>
      </c>
      <c r="H2354" t="s">
        <v>46</v>
      </c>
      <c r="I2354">
        <v>10</v>
      </c>
    </row>
    <row r="2355" spans="1:9" x14ac:dyDescent="0.2">
      <c r="A2355">
        <v>10941980</v>
      </c>
      <c r="B2355">
        <v>1</v>
      </c>
      <c r="C2355">
        <v>1713</v>
      </c>
      <c r="D2355">
        <v>70380</v>
      </c>
      <c r="E2355">
        <v>25</v>
      </c>
      <c r="F2355" t="s">
        <v>57</v>
      </c>
      <c r="G2355" t="s">
        <v>170</v>
      </c>
      <c r="H2355" t="s">
        <v>69</v>
      </c>
      <c r="I2355">
        <v>10</v>
      </c>
    </row>
    <row r="2356" spans="1:9" x14ac:dyDescent="0.2">
      <c r="A2356">
        <v>10941980</v>
      </c>
      <c r="B2356">
        <v>2</v>
      </c>
      <c r="C2356">
        <v>1731</v>
      </c>
      <c r="D2356">
        <v>70380</v>
      </c>
      <c r="E2356">
        <v>25</v>
      </c>
      <c r="F2356" t="s">
        <v>57</v>
      </c>
      <c r="G2356" t="s">
        <v>172</v>
      </c>
      <c r="H2356" t="s">
        <v>69</v>
      </c>
      <c r="I2356">
        <v>10</v>
      </c>
    </row>
    <row r="2357" spans="1:9" x14ac:dyDescent="0.2">
      <c r="A2357">
        <v>10941980</v>
      </c>
      <c r="B2357">
        <v>3</v>
      </c>
      <c r="C2357">
        <v>1728</v>
      </c>
      <c r="D2357">
        <v>70380</v>
      </c>
      <c r="E2357">
        <v>24</v>
      </c>
      <c r="F2357" t="s">
        <v>57</v>
      </c>
      <c r="G2357" t="s">
        <v>103</v>
      </c>
      <c r="H2357" t="s">
        <v>69</v>
      </c>
      <c r="I2357">
        <v>10</v>
      </c>
    </row>
    <row r="2358" spans="1:9" x14ac:dyDescent="0.2">
      <c r="A2358">
        <v>10941980</v>
      </c>
      <c r="B2358">
        <v>4</v>
      </c>
      <c r="C2358">
        <v>1705</v>
      </c>
      <c r="D2358">
        <v>0</v>
      </c>
      <c r="E2358">
        <v>26</v>
      </c>
      <c r="F2358" t="s">
        <v>57</v>
      </c>
      <c r="G2358" t="s">
        <v>102</v>
      </c>
      <c r="H2358" t="s">
        <v>69</v>
      </c>
      <c r="I2358">
        <v>10</v>
      </c>
    </row>
    <row r="2359" spans="1:9" x14ac:dyDescent="0.2">
      <c r="A2359">
        <v>10986389</v>
      </c>
      <c r="B2359">
        <v>1</v>
      </c>
      <c r="C2359">
        <v>3077</v>
      </c>
      <c r="D2359">
        <v>68080</v>
      </c>
      <c r="E2359">
        <v>24</v>
      </c>
      <c r="F2359" t="s">
        <v>44</v>
      </c>
      <c r="G2359" t="s">
        <v>120</v>
      </c>
      <c r="H2359" t="s">
        <v>61</v>
      </c>
      <c r="I2359">
        <v>9</v>
      </c>
    </row>
    <row r="2360" spans="1:9" x14ac:dyDescent="0.2">
      <c r="A2360">
        <v>10986389</v>
      </c>
      <c r="B2360">
        <v>2</v>
      </c>
      <c r="C2360">
        <v>3012</v>
      </c>
      <c r="D2360">
        <v>0</v>
      </c>
      <c r="E2360">
        <v>26</v>
      </c>
      <c r="F2360" t="s">
        <v>44</v>
      </c>
      <c r="G2360" t="s">
        <v>78</v>
      </c>
      <c r="H2360" t="s">
        <v>55</v>
      </c>
      <c r="I2360">
        <v>9</v>
      </c>
    </row>
    <row r="2361" spans="1:9" x14ac:dyDescent="0.2">
      <c r="A2361">
        <v>10986389</v>
      </c>
      <c r="B2361">
        <v>3</v>
      </c>
      <c r="C2361">
        <v>3081</v>
      </c>
      <c r="D2361">
        <v>0</v>
      </c>
      <c r="E2361">
        <v>26</v>
      </c>
      <c r="F2361" t="s">
        <v>44</v>
      </c>
      <c r="G2361" t="s">
        <v>337</v>
      </c>
      <c r="H2361" t="s">
        <v>55</v>
      </c>
      <c r="I2361">
        <v>9</v>
      </c>
    </row>
    <row r="2362" spans="1:9" x14ac:dyDescent="0.2">
      <c r="A2362">
        <v>10986389</v>
      </c>
      <c r="B2362">
        <v>4</v>
      </c>
      <c r="C2362">
        <v>3060</v>
      </c>
      <c r="D2362">
        <v>0</v>
      </c>
      <c r="E2362">
        <v>26</v>
      </c>
      <c r="F2362" t="s">
        <v>44</v>
      </c>
      <c r="G2362" t="s">
        <v>51</v>
      </c>
      <c r="H2362" t="s">
        <v>52</v>
      </c>
      <c r="I2362">
        <v>9</v>
      </c>
    </row>
    <row r="2363" spans="1:9" x14ac:dyDescent="0.2">
      <c r="A2363">
        <v>10986389</v>
      </c>
      <c r="B2363">
        <v>5</v>
      </c>
      <c r="C2363">
        <v>3075</v>
      </c>
      <c r="D2363">
        <v>0</v>
      </c>
      <c r="E2363">
        <v>26</v>
      </c>
      <c r="F2363" t="s">
        <v>44</v>
      </c>
      <c r="G2363" t="s">
        <v>148</v>
      </c>
      <c r="H2363" t="s">
        <v>61</v>
      </c>
      <c r="I2363">
        <v>9</v>
      </c>
    </row>
    <row r="2364" spans="1:9" x14ac:dyDescent="0.2">
      <c r="A2364">
        <v>10986389</v>
      </c>
      <c r="B2364">
        <v>6</v>
      </c>
      <c r="C2364">
        <v>3007</v>
      </c>
      <c r="D2364">
        <v>0</v>
      </c>
      <c r="E2364">
        <v>26</v>
      </c>
      <c r="F2364" t="s">
        <v>44</v>
      </c>
      <c r="G2364" t="s">
        <v>54</v>
      </c>
      <c r="H2364" t="s">
        <v>55</v>
      </c>
      <c r="I2364">
        <v>9</v>
      </c>
    </row>
    <row r="2365" spans="1:9" x14ac:dyDescent="0.2">
      <c r="A2365">
        <v>10986389</v>
      </c>
      <c r="B2365">
        <v>7</v>
      </c>
      <c r="C2365">
        <v>3074</v>
      </c>
      <c r="D2365">
        <v>0</v>
      </c>
      <c r="E2365">
        <v>26</v>
      </c>
      <c r="F2365" t="s">
        <v>44</v>
      </c>
      <c r="G2365" t="s">
        <v>152</v>
      </c>
      <c r="H2365" t="s">
        <v>61</v>
      </c>
      <c r="I2365">
        <v>9</v>
      </c>
    </row>
    <row r="2366" spans="1:9" x14ac:dyDescent="0.2">
      <c r="A2366">
        <v>10986389</v>
      </c>
      <c r="B2366">
        <v>8</v>
      </c>
      <c r="C2366">
        <v>3086</v>
      </c>
      <c r="D2366">
        <v>0</v>
      </c>
      <c r="E2366">
        <v>26</v>
      </c>
      <c r="F2366" t="s">
        <v>44</v>
      </c>
      <c r="G2366" t="s">
        <v>150</v>
      </c>
      <c r="H2366" t="s">
        <v>55</v>
      </c>
      <c r="I2366">
        <v>9</v>
      </c>
    </row>
    <row r="2367" spans="1:9" x14ac:dyDescent="0.2">
      <c r="A2367">
        <v>10989095</v>
      </c>
      <c r="B2367">
        <v>1</v>
      </c>
      <c r="C2367">
        <v>1733</v>
      </c>
      <c r="D2367">
        <v>52580</v>
      </c>
      <c r="E2367">
        <v>25</v>
      </c>
      <c r="F2367" t="s">
        <v>57</v>
      </c>
      <c r="G2367" t="s">
        <v>18</v>
      </c>
      <c r="H2367" t="s">
        <v>69</v>
      </c>
      <c r="I2367">
        <v>10</v>
      </c>
    </row>
    <row r="2368" spans="1:9" x14ac:dyDescent="0.2">
      <c r="A2368">
        <v>10989095</v>
      </c>
      <c r="B2368">
        <v>2</v>
      </c>
      <c r="C2368">
        <v>1380</v>
      </c>
      <c r="D2368">
        <v>53345</v>
      </c>
      <c r="E2368">
        <v>25</v>
      </c>
      <c r="F2368" t="s">
        <v>21</v>
      </c>
      <c r="G2368" t="s">
        <v>18</v>
      </c>
      <c r="H2368" t="s">
        <v>20</v>
      </c>
      <c r="I2368">
        <v>8</v>
      </c>
    </row>
    <row r="2369" spans="1:9" x14ac:dyDescent="0.2">
      <c r="A2369">
        <v>10989095</v>
      </c>
      <c r="B2369">
        <v>3</v>
      </c>
      <c r="C2369">
        <v>1737</v>
      </c>
      <c r="D2369">
        <v>52130</v>
      </c>
      <c r="E2369">
        <v>25</v>
      </c>
      <c r="F2369" t="s">
        <v>57</v>
      </c>
      <c r="G2369" t="s">
        <v>54</v>
      </c>
      <c r="H2369" t="s">
        <v>79</v>
      </c>
      <c r="I2369">
        <v>10</v>
      </c>
    </row>
    <row r="2370" spans="1:9" x14ac:dyDescent="0.2">
      <c r="A2370">
        <v>10989095</v>
      </c>
      <c r="B2370">
        <v>4</v>
      </c>
      <c r="C2370">
        <v>3007</v>
      </c>
      <c r="D2370">
        <v>51520</v>
      </c>
      <c r="E2370">
        <v>25</v>
      </c>
      <c r="F2370" t="s">
        <v>44</v>
      </c>
      <c r="G2370" t="s">
        <v>54</v>
      </c>
      <c r="H2370" t="s">
        <v>55</v>
      </c>
      <c r="I2370">
        <v>9</v>
      </c>
    </row>
    <row r="2371" spans="1:9" x14ac:dyDescent="0.2">
      <c r="A2371">
        <v>10989095</v>
      </c>
      <c r="B2371">
        <v>5</v>
      </c>
      <c r="C2371">
        <v>1709</v>
      </c>
      <c r="D2371">
        <v>53190</v>
      </c>
      <c r="E2371">
        <v>25</v>
      </c>
      <c r="F2371" t="s">
        <v>57</v>
      </c>
      <c r="G2371" t="s">
        <v>84</v>
      </c>
      <c r="H2371" t="s">
        <v>69</v>
      </c>
      <c r="I2371">
        <v>10</v>
      </c>
    </row>
    <row r="2372" spans="1:9" x14ac:dyDescent="0.2">
      <c r="A2372">
        <v>10989095</v>
      </c>
      <c r="B2372">
        <v>6</v>
      </c>
      <c r="C2372">
        <v>3085</v>
      </c>
      <c r="D2372">
        <v>53500</v>
      </c>
      <c r="E2372">
        <v>25</v>
      </c>
      <c r="F2372" t="s">
        <v>44</v>
      </c>
      <c r="G2372" t="s">
        <v>84</v>
      </c>
      <c r="H2372" t="s">
        <v>55</v>
      </c>
      <c r="I2372">
        <v>9</v>
      </c>
    </row>
    <row r="2373" spans="1:9" x14ac:dyDescent="0.2">
      <c r="A2373">
        <v>10989095</v>
      </c>
      <c r="B2373">
        <v>7</v>
      </c>
      <c r="C2373">
        <v>3076</v>
      </c>
      <c r="D2373">
        <v>51520</v>
      </c>
      <c r="E2373">
        <v>25</v>
      </c>
      <c r="F2373" t="s">
        <v>44</v>
      </c>
      <c r="G2373" t="s">
        <v>60</v>
      </c>
      <c r="H2373" t="s">
        <v>61</v>
      </c>
      <c r="I2373">
        <v>9</v>
      </c>
    </row>
    <row r="2374" spans="1:9" x14ac:dyDescent="0.2">
      <c r="A2374">
        <v>10989095</v>
      </c>
      <c r="B2374">
        <v>8</v>
      </c>
      <c r="C2374">
        <v>3200</v>
      </c>
      <c r="D2374">
        <v>52580</v>
      </c>
      <c r="E2374">
        <v>24</v>
      </c>
      <c r="F2374" t="s">
        <v>47</v>
      </c>
      <c r="G2374" t="s">
        <v>18</v>
      </c>
      <c r="H2374" t="s">
        <v>46</v>
      </c>
      <c r="I2374">
        <v>10</v>
      </c>
    </row>
    <row r="2375" spans="1:9" x14ac:dyDescent="0.2">
      <c r="A2375">
        <v>10997192</v>
      </c>
      <c r="B2375">
        <v>1</v>
      </c>
      <c r="C2375">
        <v>3423</v>
      </c>
      <c r="D2375">
        <v>58235</v>
      </c>
      <c r="E2375">
        <v>25</v>
      </c>
      <c r="F2375" t="s">
        <v>36</v>
      </c>
      <c r="G2375" t="s">
        <v>122</v>
      </c>
      <c r="H2375" t="s">
        <v>35</v>
      </c>
      <c r="I2375">
        <v>7</v>
      </c>
    </row>
    <row r="2376" spans="1:9" x14ac:dyDescent="0.2">
      <c r="A2376">
        <v>10997192</v>
      </c>
      <c r="B2376">
        <v>2</v>
      </c>
      <c r="C2376">
        <v>3422</v>
      </c>
      <c r="D2376">
        <v>58405</v>
      </c>
      <c r="E2376">
        <v>25</v>
      </c>
      <c r="F2376" t="s">
        <v>36</v>
      </c>
      <c r="G2376" t="s">
        <v>103</v>
      </c>
      <c r="H2376" t="s">
        <v>35</v>
      </c>
      <c r="I2376">
        <v>7</v>
      </c>
    </row>
    <row r="2377" spans="1:9" x14ac:dyDescent="0.2">
      <c r="A2377">
        <v>10997192</v>
      </c>
      <c r="B2377">
        <v>3</v>
      </c>
      <c r="C2377">
        <v>1388</v>
      </c>
      <c r="D2377">
        <v>57895</v>
      </c>
      <c r="E2377">
        <v>25</v>
      </c>
      <c r="F2377" t="s">
        <v>21</v>
      </c>
      <c r="G2377" t="s">
        <v>151</v>
      </c>
      <c r="H2377" t="s">
        <v>20</v>
      </c>
      <c r="I2377">
        <v>8</v>
      </c>
    </row>
    <row r="2378" spans="1:9" x14ac:dyDescent="0.2">
      <c r="A2378">
        <v>10997192</v>
      </c>
      <c r="B2378">
        <v>4</v>
      </c>
      <c r="C2378">
        <v>3032</v>
      </c>
      <c r="D2378">
        <v>57540</v>
      </c>
      <c r="E2378">
        <v>25</v>
      </c>
      <c r="F2378" t="s">
        <v>44</v>
      </c>
      <c r="G2378" t="s">
        <v>151</v>
      </c>
      <c r="H2378" t="s">
        <v>50</v>
      </c>
      <c r="I2378">
        <v>9</v>
      </c>
    </row>
    <row r="2379" spans="1:9" x14ac:dyDescent="0.2">
      <c r="A2379">
        <v>10997192</v>
      </c>
      <c r="B2379">
        <v>5</v>
      </c>
      <c r="C2379">
        <v>1715</v>
      </c>
      <c r="D2379">
        <v>57725</v>
      </c>
      <c r="E2379">
        <v>25</v>
      </c>
      <c r="F2379" t="s">
        <v>57</v>
      </c>
      <c r="G2379" t="s">
        <v>151</v>
      </c>
      <c r="H2379" t="s">
        <v>69</v>
      </c>
      <c r="I2379">
        <v>10</v>
      </c>
    </row>
    <row r="2380" spans="1:9" x14ac:dyDescent="0.2">
      <c r="A2380">
        <v>10997192</v>
      </c>
      <c r="B2380">
        <v>6</v>
      </c>
      <c r="C2380">
        <v>1705</v>
      </c>
      <c r="D2380">
        <v>57540</v>
      </c>
      <c r="E2380">
        <v>25</v>
      </c>
      <c r="F2380" t="s">
        <v>57</v>
      </c>
      <c r="G2380" t="s">
        <v>102</v>
      </c>
      <c r="H2380" t="s">
        <v>69</v>
      </c>
      <c r="I2380">
        <v>10</v>
      </c>
    </row>
    <row r="2381" spans="1:9" x14ac:dyDescent="0.2">
      <c r="A2381">
        <v>10997192</v>
      </c>
      <c r="B2381">
        <v>7</v>
      </c>
      <c r="C2381">
        <v>1387</v>
      </c>
      <c r="D2381">
        <v>57885</v>
      </c>
      <c r="E2381">
        <v>25</v>
      </c>
      <c r="F2381" t="s">
        <v>21</v>
      </c>
      <c r="G2381" t="s">
        <v>102</v>
      </c>
      <c r="H2381" t="s">
        <v>20</v>
      </c>
      <c r="I2381">
        <v>8</v>
      </c>
    </row>
    <row r="2382" spans="1:9" x14ac:dyDescent="0.2">
      <c r="A2382">
        <v>10997192</v>
      </c>
      <c r="B2382">
        <v>8</v>
      </c>
      <c r="C2382">
        <v>3020</v>
      </c>
      <c r="D2382">
        <v>57540</v>
      </c>
      <c r="E2382">
        <v>25</v>
      </c>
      <c r="F2382" t="s">
        <v>44</v>
      </c>
      <c r="G2382" t="s">
        <v>102</v>
      </c>
      <c r="H2382" t="s">
        <v>50</v>
      </c>
      <c r="I2382">
        <v>9</v>
      </c>
    </row>
    <row r="2383" spans="1:9" x14ac:dyDescent="0.2">
      <c r="A2383">
        <v>11081520</v>
      </c>
      <c r="B2383">
        <v>1</v>
      </c>
      <c r="C2383">
        <v>3214</v>
      </c>
      <c r="D2383">
        <v>54960</v>
      </c>
      <c r="E2383">
        <v>24</v>
      </c>
      <c r="F2383" t="s">
        <v>47</v>
      </c>
      <c r="G2383" t="s">
        <v>98</v>
      </c>
      <c r="H2383" t="s">
        <v>74</v>
      </c>
      <c r="I2383">
        <v>10</v>
      </c>
    </row>
    <row r="2384" spans="1:9" x14ac:dyDescent="0.2">
      <c r="A2384">
        <v>11081520</v>
      </c>
      <c r="B2384">
        <v>2</v>
      </c>
      <c r="C2384">
        <v>1352</v>
      </c>
      <c r="D2384">
        <v>0</v>
      </c>
      <c r="E2384">
        <v>26</v>
      </c>
      <c r="F2384" t="s">
        <v>21</v>
      </c>
      <c r="G2384" t="s">
        <v>279</v>
      </c>
      <c r="H2384" t="s">
        <v>20</v>
      </c>
      <c r="I2384">
        <v>8</v>
      </c>
    </row>
    <row r="2385" spans="1:9" x14ac:dyDescent="0.2">
      <c r="A2385">
        <v>11081520</v>
      </c>
      <c r="B2385">
        <v>3</v>
      </c>
      <c r="C2385">
        <v>1777</v>
      </c>
      <c r="D2385">
        <v>0</v>
      </c>
      <c r="E2385">
        <v>26</v>
      </c>
      <c r="F2385" t="s">
        <v>57</v>
      </c>
      <c r="G2385" t="s">
        <v>88</v>
      </c>
      <c r="H2385" t="s">
        <v>69</v>
      </c>
      <c r="I2385">
        <v>10</v>
      </c>
    </row>
    <row r="2386" spans="1:9" x14ac:dyDescent="0.2">
      <c r="A2386">
        <v>11081520</v>
      </c>
      <c r="B2386">
        <v>4</v>
      </c>
      <c r="C2386">
        <v>2629</v>
      </c>
      <c r="D2386">
        <v>0</v>
      </c>
      <c r="E2386">
        <v>26</v>
      </c>
      <c r="F2386" t="s">
        <v>71</v>
      </c>
      <c r="G2386" t="s">
        <v>280</v>
      </c>
      <c r="H2386" t="s">
        <v>281</v>
      </c>
      <c r="I2386">
        <v>5</v>
      </c>
    </row>
    <row r="2387" spans="1:9" x14ac:dyDescent="0.2">
      <c r="A2387">
        <v>11081520</v>
      </c>
      <c r="B2387">
        <v>5</v>
      </c>
      <c r="C2387">
        <v>3735</v>
      </c>
      <c r="D2387">
        <v>0</v>
      </c>
      <c r="E2387">
        <v>26</v>
      </c>
      <c r="F2387" t="s">
        <v>116</v>
      </c>
      <c r="G2387" t="s">
        <v>187</v>
      </c>
      <c r="H2387" t="s">
        <v>61</v>
      </c>
      <c r="I2387">
        <v>9</v>
      </c>
    </row>
    <row r="2388" spans="1:9" x14ac:dyDescent="0.2">
      <c r="A2388">
        <v>11081520</v>
      </c>
      <c r="B2388">
        <v>6</v>
      </c>
      <c r="C2388">
        <v>1537</v>
      </c>
      <c r="D2388">
        <v>0</v>
      </c>
      <c r="E2388">
        <v>26</v>
      </c>
      <c r="F2388" t="s">
        <v>142</v>
      </c>
      <c r="G2388" t="s">
        <v>282</v>
      </c>
      <c r="H2388" t="s">
        <v>241</v>
      </c>
      <c r="I2388">
        <v>5</v>
      </c>
    </row>
    <row r="2389" spans="1:9" x14ac:dyDescent="0.2">
      <c r="A2389">
        <v>11081520</v>
      </c>
      <c r="B2389">
        <v>7</v>
      </c>
      <c r="C2389">
        <v>1736</v>
      </c>
      <c r="D2389">
        <v>0</v>
      </c>
      <c r="E2389">
        <v>26</v>
      </c>
      <c r="F2389" t="s">
        <v>57</v>
      </c>
      <c r="G2389" t="s">
        <v>78</v>
      </c>
      <c r="H2389" t="s">
        <v>79</v>
      </c>
      <c r="I2389">
        <v>10</v>
      </c>
    </row>
    <row r="2390" spans="1:9" x14ac:dyDescent="0.2">
      <c r="A2390">
        <v>11081520</v>
      </c>
      <c r="B2390">
        <v>8</v>
      </c>
      <c r="C2390">
        <v>3242</v>
      </c>
      <c r="D2390">
        <v>0</v>
      </c>
      <c r="E2390">
        <v>26</v>
      </c>
      <c r="F2390" t="s">
        <v>47</v>
      </c>
      <c r="G2390" t="s">
        <v>90</v>
      </c>
      <c r="H2390" t="s">
        <v>46</v>
      </c>
      <c r="I2390">
        <v>10</v>
      </c>
    </row>
    <row r="2391" spans="1:9" x14ac:dyDescent="0.2">
      <c r="A2391">
        <v>11097594</v>
      </c>
      <c r="B2391">
        <v>1</v>
      </c>
      <c r="C2391">
        <v>1246</v>
      </c>
      <c r="D2391">
        <v>70780</v>
      </c>
      <c r="E2391">
        <v>24</v>
      </c>
      <c r="F2391" t="s">
        <v>19</v>
      </c>
      <c r="G2391" t="s">
        <v>245</v>
      </c>
      <c r="H2391" t="s">
        <v>16</v>
      </c>
      <c r="I2391" t="s">
        <v>448</v>
      </c>
    </row>
    <row r="2392" spans="1:9" x14ac:dyDescent="0.2">
      <c r="A2392">
        <v>11097594</v>
      </c>
      <c r="B2392">
        <v>2</v>
      </c>
      <c r="C2392">
        <v>1168</v>
      </c>
      <c r="D2392">
        <v>0</v>
      </c>
      <c r="E2392">
        <v>26</v>
      </c>
      <c r="F2392" t="s">
        <v>17</v>
      </c>
      <c r="G2392" t="s">
        <v>246</v>
      </c>
      <c r="H2392" t="s">
        <v>16</v>
      </c>
      <c r="I2392" t="s">
        <v>448</v>
      </c>
    </row>
    <row r="2393" spans="1:9" x14ac:dyDescent="0.2">
      <c r="A2393">
        <v>11097594</v>
      </c>
      <c r="B2393">
        <v>3</v>
      </c>
      <c r="C2393">
        <v>1220</v>
      </c>
      <c r="D2393">
        <v>0</v>
      </c>
      <c r="E2393">
        <v>26</v>
      </c>
      <c r="F2393" t="s">
        <v>19</v>
      </c>
      <c r="G2393" t="s">
        <v>244</v>
      </c>
      <c r="H2393" t="s">
        <v>16</v>
      </c>
      <c r="I2393" t="s">
        <v>448</v>
      </c>
    </row>
    <row r="2394" spans="1:9" x14ac:dyDescent="0.2">
      <c r="A2394">
        <v>11097594</v>
      </c>
      <c r="B2394">
        <v>4</v>
      </c>
      <c r="C2394">
        <v>1161</v>
      </c>
      <c r="D2394">
        <v>0</v>
      </c>
      <c r="E2394">
        <v>26</v>
      </c>
      <c r="F2394" t="s">
        <v>17</v>
      </c>
      <c r="G2394" t="s">
        <v>388</v>
      </c>
      <c r="H2394" t="s">
        <v>16</v>
      </c>
      <c r="I2394" t="s">
        <v>448</v>
      </c>
    </row>
    <row r="2395" spans="1:9" x14ac:dyDescent="0.2">
      <c r="A2395">
        <v>11097594</v>
      </c>
      <c r="B2395">
        <v>5</v>
      </c>
      <c r="C2395">
        <v>1111</v>
      </c>
      <c r="D2395">
        <v>0</v>
      </c>
      <c r="E2395">
        <v>16</v>
      </c>
      <c r="F2395" t="s">
        <v>17</v>
      </c>
      <c r="G2395" t="s">
        <v>429</v>
      </c>
      <c r="H2395" t="s">
        <v>16</v>
      </c>
      <c r="I2395" t="s">
        <v>448</v>
      </c>
    </row>
    <row r="2396" spans="1:9" x14ac:dyDescent="0.2">
      <c r="A2396">
        <v>11097594</v>
      </c>
      <c r="B2396">
        <v>6</v>
      </c>
      <c r="C2396">
        <v>1205</v>
      </c>
      <c r="D2396">
        <v>0</v>
      </c>
      <c r="E2396">
        <v>16</v>
      </c>
      <c r="F2396" t="s">
        <v>19</v>
      </c>
      <c r="G2396" t="s">
        <v>23</v>
      </c>
      <c r="H2396" t="s">
        <v>16</v>
      </c>
      <c r="I2396" t="s">
        <v>448</v>
      </c>
    </row>
    <row r="2397" spans="1:9" x14ac:dyDescent="0.2">
      <c r="A2397">
        <v>11155111</v>
      </c>
      <c r="B2397">
        <v>1</v>
      </c>
      <c r="C2397">
        <v>1779</v>
      </c>
      <c r="D2397">
        <v>68420</v>
      </c>
      <c r="E2397">
        <v>24</v>
      </c>
      <c r="F2397" t="s">
        <v>57</v>
      </c>
      <c r="G2397" t="s">
        <v>162</v>
      </c>
      <c r="H2397" t="s">
        <v>79</v>
      </c>
      <c r="I2397">
        <v>10</v>
      </c>
    </row>
    <row r="2398" spans="1:9" x14ac:dyDescent="0.2">
      <c r="A2398">
        <v>11155111</v>
      </c>
      <c r="B2398">
        <v>2</v>
      </c>
      <c r="C2398">
        <v>3223</v>
      </c>
      <c r="D2398">
        <v>0</v>
      </c>
      <c r="E2398">
        <v>26</v>
      </c>
      <c r="F2398" t="s">
        <v>47</v>
      </c>
      <c r="G2398" t="s">
        <v>105</v>
      </c>
      <c r="H2398" t="s">
        <v>46</v>
      </c>
      <c r="I2398">
        <v>10</v>
      </c>
    </row>
    <row r="2399" spans="1:9" x14ac:dyDescent="0.2">
      <c r="A2399">
        <v>11155111</v>
      </c>
      <c r="B2399">
        <v>3</v>
      </c>
      <c r="C2399">
        <v>1737</v>
      </c>
      <c r="D2399">
        <v>0</v>
      </c>
      <c r="E2399">
        <v>26</v>
      </c>
      <c r="F2399" t="s">
        <v>57</v>
      </c>
      <c r="G2399" t="s">
        <v>54</v>
      </c>
      <c r="H2399" t="s">
        <v>79</v>
      </c>
      <c r="I2399">
        <v>10</v>
      </c>
    </row>
    <row r="2400" spans="1:9" x14ac:dyDescent="0.2">
      <c r="A2400">
        <v>11155111</v>
      </c>
      <c r="B2400">
        <v>4</v>
      </c>
      <c r="C2400">
        <v>3218</v>
      </c>
      <c r="D2400">
        <v>0</v>
      </c>
      <c r="E2400">
        <v>26</v>
      </c>
      <c r="F2400" t="s">
        <v>47</v>
      </c>
      <c r="G2400" t="s">
        <v>66</v>
      </c>
      <c r="H2400" t="s">
        <v>74</v>
      </c>
      <c r="I2400">
        <v>10</v>
      </c>
    </row>
    <row r="2401" spans="1:9" x14ac:dyDescent="0.2">
      <c r="A2401">
        <v>11155111</v>
      </c>
      <c r="B2401">
        <v>5</v>
      </c>
      <c r="C2401">
        <v>3225</v>
      </c>
      <c r="D2401">
        <v>0</v>
      </c>
      <c r="E2401">
        <v>26</v>
      </c>
      <c r="F2401" t="s">
        <v>47</v>
      </c>
      <c r="G2401" t="s">
        <v>106</v>
      </c>
      <c r="H2401" t="s">
        <v>46</v>
      </c>
      <c r="I2401">
        <v>10</v>
      </c>
    </row>
    <row r="2402" spans="1:9" x14ac:dyDescent="0.2">
      <c r="A2402">
        <v>11155111</v>
      </c>
      <c r="B2402">
        <v>6</v>
      </c>
      <c r="C2402">
        <v>3237</v>
      </c>
      <c r="D2402">
        <v>0</v>
      </c>
      <c r="E2402">
        <v>26</v>
      </c>
      <c r="F2402" t="s">
        <v>47</v>
      </c>
      <c r="G2402" t="s">
        <v>181</v>
      </c>
      <c r="H2402" t="s">
        <v>46</v>
      </c>
      <c r="I2402">
        <v>10</v>
      </c>
    </row>
    <row r="2403" spans="1:9" x14ac:dyDescent="0.2">
      <c r="A2403">
        <v>11256722</v>
      </c>
      <c r="B2403">
        <v>1</v>
      </c>
      <c r="C2403">
        <v>3064</v>
      </c>
      <c r="D2403">
        <v>53680</v>
      </c>
      <c r="E2403">
        <v>25</v>
      </c>
      <c r="F2403" t="s">
        <v>44</v>
      </c>
      <c r="G2403" t="s">
        <v>97</v>
      </c>
      <c r="H2403" t="s">
        <v>52</v>
      </c>
      <c r="I2403">
        <v>9</v>
      </c>
    </row>
    <row r="2404" spans="1:9" x14ac:dyDescent="0.2">
      <c r="A2404">
        <v>11256722</v>
      </c>
      <c r="B2404">
        <v>2</v>
      </c>
      <c r="C2404">
        <v>3067</v>
      </c>
      <c r="D2404">
        <v>53680</v>
      </c>
      <c r="E2404">
        <v>25</v>
      </c>
      <c r="F2404" t="s">
        <v>44</v>
      </c>
      <c r="G2404" t="s">
        <v>252</v>
      </c>
      <c r="H2404" t="s">
        <v>52</v>
      </c>
      <c r="I2404">
        <v>9</v>
      </c>
    </row>
    <row r="2405" spans="1:9" x14ac:dyDescent="0.2">
      <c r="A2405">
        <v>11256722</v>
      </c>
      <c r="B2405">
        <v>3</v>
      </c>
      <c r="C2405">
        <v>3091</v>
      </c>
      <c r="D2405">
        <v>53320</v>
      </c>
      <c r="E2405">
        <v>25</v>
      </c>
      <c r="F2405" t="s">
        <v>44</v>
      </c>
      <c r="G2405" t="s">
        <v>89</v>
      </c>
      <c r="H2405" t="s">
        <v>52</v>
      </c>
      <c r="I2405">
        <v>9</v>
      </c>
    </row>
    <row r="2406" spans="1:9" x14ac:dyDescent="0.2">
      <c r="A2406">
        <v>11257333</v>
      </c>
      <c r="B2406">
        <v>1</v>
      </c>
      <c r="C2406">
        <v>3212</v>
      </c>
      <c r="D2406">
        <v>57030</v>
      </c>
      <c r="E2406">
        <v>24</v>
      </c>
      <c r="F2406" t="s">
        <v>47</v>
      </c>
      <c r="G2406" t="s">
        <v>84</v>
      </c>
      <c r="H2406" t="s">
        <v>46</v>
      </c>
      <c r="I2406">
        <v>10</v>
      </c>
    </row>
    <row r="2407" spans="1:9" x14ac:dyDescent="0.2">
      <c r="A2407">
        <v>11257333</v>
      </c>
      <c r="B2407">
        <v>2</v>
      </c>
      <c r="C2407">
        <v>3261</v>
      </c>
      <c r="D2407">
        <v>0</v>
      </c>
      <c r="E2407">
        <v>26</v>
      </c>
      <c r="F2407" t="s">
        <v>47</v>
      </c>
      <c r="G2407" t="s">
        <v>93</v>
      </c>
      <c r="H2407" t="s">
        <v>46</v>
      </c>
      <c r="I2407">
        <v>10</v>
      </c>
    </row>
    <row r="2408" spans="1:9" x14ac:dyDescent="0.2">
      <c r="A2408">
        <v>11257333</v>
      </c>
      <c r="B2408">
        <v>3</v>
      </c>
      <c r="C2408">
        <v>1756</v>
      </c>
      <c r="D2408">
        <v>0</v>
      </c>
      <c r="E2408">
        <v>26</v>
      </c>
      <c r="F2408" t="s">
        <v>57</v>
      </c>
      <c r="G2408" t="s">
        <v>89</v>
      </c>
      <c r="H2408" t="s">
        <v>69</v>
      </c>
      <c r="I2408">
        <v>10</v>
      </c>
    </row>
    <row r="2409" spans="1:9" x14ac:dyDescent="0.2">
      <c r="A2409">
        <v>11257333</v>
      </c>
      <c r="B2409">
        <v>4</v>
      </c>
      <c r="C2409">
        <v>3239</v>
      </c>
      <c r="D2409">
        <v>0</v>
      </c>
      <c r="E2409">
        <v>26</v>
      </c>
      <c r="F2409" t="s">
        <v>47</v>
      </c>
      <c r="G2409" t="s">
        <v>107</v>
      </c>
      <c r="H2409" t="s">
        <v>46</v>
      </c>
      <c r="I2409">
        <v>10</v>
      </c>
    </row>
    <row r="2410" spans="1:9" x14ac:dyDescent="0.2">
      <c r="A2410">
        <v>11257333</v>
      </c>
      <c r="B2410">
        <v>5</v>
      </c>
      <c r="C2410">
        <v>3243</v>
      </c>
      <c r="D2410">
        <v>0</v>
      </c>
      <c r="E2410">
        <v>26</v>
      </c>
      <c r="F2410" t="s">
        <v>47</v>
      </c>
      <c r="G2410" t="s">
        <v>75</v>
      </c>
      <c r="H2410" t="s">
        <v>46</v>
      </c>
      <c r="I2410">
        <v>10</v>
      </c>
    </row>
    <row r="2411" spans="1:9" x14ac:dyDescent="0.2">
      <c r="A2411">
        <v>11257333</v>
      </c>
      <c r="B2411">
        <v>6</v>
      </c>
      <c r="C2411">
        <v>3244</v>
      </c>
      <c r="D2411">
        <v>0</v>
      </c>
      <c r="E2411">
        <v>26</v>
      </c>
      <c r="F2411" t="s">
        <v>47</v>
      </c>
      <c r="G2411" t="s">
        <v>73</v>
      </c>
      <c r="H2411" t="s">
        <v>74</v>
      </c>
      <c r="I2411">
        <v>10</v>
      </c>
    </row>
    <row r="2412" spans="1:9" x14ac:dyDescent="0.2">
      <c r="A2412">
        <v>11257333</v>
      </c>
      <c r="B2412">
        <v>7</v>
      </c>
      <c r="C2412">
        <v>3213</v>
      </c>
      <c r="D2412">
        <v>0</v>
      </c>
      <c r="E2412">
        <v>26</v>
      </c>
      <c r="F2412" t="s">
        <v>47</v>
      </c>
      <c r="G2412" t="s">
        <v>158</v>
      </c>
      <c r="H2412" t="s">
        <v>74</v>
      </c>
      <c r="I2412">
        <v>10</v>
      </c>
    </row>
    <row r="2413" spans="1:9" x14ac:dyDescent="0.2">
      <c r="A2413">
        <v>11257333</v>
      </c>
      <c r="B2413">
        <v>8</v>
      </c>
      <c r="C2413">
        <v>3242</v>
      </c>
      <c r="D2413">
        <v>0</v>
      </c>
      <c r="E2413">
        <v>26</v>
      </c>
      <c r="F2413" t="s">
        <v>47</v>
      </c>
      <c r="G2413" t="s">
        <v>90</v>
      </c>
      <c r="H2413" t="s">
        <v>46</v>
      </c>
      <c r="I2413">
        <v>10</v>
      </c>
    </row>
    <row r="2414" spans="1:9" x14ac:dyDescent="0.2">
      <c r="A2414">
        <v>11261617</v>
      </c>
      <c r="B2414">
        <v>1</v>
      </c>
      <c r="C2414">
        <v>3225</v>
      </c>
      <c r="D2414">
        <v>48645</v>
      </c>
      <c r="E2414">
        <v>24</v>
      </c>
      <c r="F2414" t="s">
        <v>47</v>
      </c>
      <c r="G2414" t="s">
        <v>106</v>
      </c>
      <c r="H2414" t="s">
        <v>46</v>
      </c>
      <c r="I2414">
        <v>10</v>
      </c>
    </row>
    <row r="2415" spans="1:9" x14ac:dyDescent="0.2">
      <c r="A2415">
        <v>11261617</v>
      </c>
      <c r="B2415">
        <v>2</v>
      </c>
      <c r="C2415">
        <v>3269</v>
      </c>
      <c r="D2415">
        <v>0</v>
      </c>
      <c r="E2415">
        <v>26</v>
      </c>
      <c r="F2415" t="s">
        <v>47</v>
      </c>
      <c r="G2415" t="s">
        <v>180</v>
      </c>
      <c r="H2415" t="s">
        <v>46</v>
      </c>
      <c r="I2415">
        <v>10</v>
      </c>
    </row>
    <row r="2416" spans="1:9" x14ac:dyDescent="0.2">
      <c r="A2416">
        <v>11261617</v>
      </c>
      <c r="B2416">
        <v>3</v>
      </c>
      <c r="C2416">
        <v>1700</v>
      </c>
      <c r="D2416">
        <v>0</v>
      </c>
      <c r="E2416">
        <v>26</v>
      </c>
      <c r="F2416" t="s">
        <v>57</v>
      </c>
      <c r="G2416" t="s">
        <v>58</v>
      </c>
      <c r="H2416" t="s">
        <v>69</v>
      </c>
      <c r="I2416">
        <v>10</v>
      </c>
    </row>
    <row r="2417" spans="1:9" x14ac:dyDescent="0.2">
      <c r="A2417">
        <v>11274374</v>
      </c>
      <c r="B2417">
        <v>1</v>
      </c>
      <c r="C2417">
        <v>1782</v>
      </c>
      <c r="D2417">
        <v>60295</v>
      </c>
      <c r="E2417">
        <v>25</v>
      </c>
      <c r="F2417" t="s">
        <v>57</v>
      </c>
      <c r="G2417" t="s">
        <v>63</v>
      </c>
      <c r="H2417" t="s">
        <v>69</v>
      </c>
      <c r="I2417">
        <v>10</v>
      </c>
    </row>
    <row r="2418" spans="1:9" x14ac:dyDescent="0.2">
      <c r="A2418">
        <v>11274374</v>
      </c>
      <c r="B2418">
        <v>2</v>
      </c>
      <c r="C2418">
        <v>1714</v>
      </c>
      <c r="D2418">
        <v>57910</v>
      </c>
      <c r="E2418">
        <v>25</v>
      </c>
      <c r="F2418" t="s">
        <v>57</v>
      </c>
      <c r="G2418" t="s">
        <v>95</v>
      </c>
      <c r="H2418" t="s">
        <v>69</v>
      </c>
      <c r="I2418">
        <v>10</v>
      </c>
    </row>
    <row r="2419" spans="1:9" x14ac:dyDescent="0.2">
      <c r="A2419">
        <v>11274374</v>
      </c>
      <c r="B2419">
        <v>3</v>
      </c>
      <c r="C2419">
        <v>1776</v>
      </c>
      <c r="D2419">
        <v>57910</v>
      </c>
      <c r="E2419">
        <v>25</v>
      </c>
      <c r="F2419" t="s">
        <v>57</v>
      </c>
      <c r="G2419" t="s">
        <v>124</v>
      </c>
      <c r="H2419" t="s">
        <v>125</v>
      </c>
      <c r="I2419">
        <v>10</v>
      </c>
    </row>
    <row r="2420" spans="1:9" x14ac:dyDescent="0.2">
      <c r="A2420">
        <v>11274374</v>
      </c>
      <c r="B2420">
        <v>4</v>
      </c>
      <c r="C2420">
        <v>1732</v>
      </c>
      <c r="D2420">
        <v>58410</v>
      </c>
      <c r="E2420">
        <v>25</v>
      </c>
      <c r="F2420" t="s">
        <v>57</v>
      </c>
      <c r="G2420" t="s">
        <v>104</v>
      </c>
      <c r="H2420" t="s">
        <v>69</v>
      </c>
      <c r="I2420">
        <v>10</v>
      </c>
    </row>
    <row r="2421" spans="1:9" x14ac:dyDescent="0.2">
      <c r="A2421">
        <v>11274374</v>
      </c>
      <c r="B2421">
        <v>5</v>
      </c>
      <c r="C2421">
        <v>1709</v>
      </c>
      <c r="D2421">
        <v>58300</v>
      </c>
      <c r="E2421">
        <v>24</v>
      </c>
      <c r="F2421" t="s">
        <v>57</v>
      </c>
      <c r="G2421" t="s">
        <v>84</v>
      </c>
      <c r="H2421" t="s">
        <v>69</v>
      </c>
      <c r="I2421">
        <v>10</v>
      </c>
    </row>
    <row r="2422" spans="1:9" x14ac:dyDescent="0.2">
      <c r="A2422">
        <v>11274374</v>
      </c>
      <c r="B2422">
        <v>6</v>
      </c>
      <c r="C2422">
        <v>3229</v>
      </c>
      <c r="D2422">
        <v>0</v>
      </c>
      <c r="E2422">
        <v>26</v>
      </c>
      <c r="F2422" t="s">
        <v>47</v>
      </c>
      <c r="G2422" t="s">
        <v>101</v>
      </c>
      <c r="H2422" t="s">
        <v>46</v>
      </c>
      <c r="I2422">
        <v>10</v>
      </c>
    </row>
    <row r="2423" spans="1:9" x14ac:dyDescent="0.2">
      <c r="A2423">
        <v>11274374</v>
      </c>
      <c r="B2423">
        <v>7</v>
      </c>
      <c r="C2423">
        <v>3223</v>
      </c>
      <c r="D2423">
        <v>0</v>
      </c>
      <c r="E2423">
        <v>26</v>
      </c>
      <c r="F2423" t="s">
        <v>47</v>
      </c>
      <c r="G2423" t="s">
        <v>105</v>
      </c>
      <c r="H2423" t="s">
        <v>46</v>
      </c>
      <c r="I2423">
        <v>10</v>
      </c>
    </row>
    <row r="2424" spans="1:9" x14ac:dyDescent="0.2">
      <c r="A2424">
        <v>11347369</v>
      </c>
      <c r="B2424">
        <v>1</v>
      </c>
      <c r="C2424">
        <v>1184</v>
      </c>
      <c r="D2424">
        <v>62675</v>
      </c>
      <c r="E2424">
        <v>25</v>
      </c>
      <c r="F2424" t="s">
        <v>17</v>
      </c>
      <c r="G2424" t="s">
        <v>262</v>
      </c>
      <c r="H2424" t="s">
        <v>16</v>
      </c>
      <c r="I2424" t="s">
        <v>448</v>
      </c>
    </row>
    <row r="2425" spans="1:9" x14ac:dyDescent="0.2">
      <c r="A2425">
        <v>11347369</v>
      </c>
      <c r="B2425">
        <v>2</v>
      </c>
      <c r="C2425">
        <v>1991</v>
      </c>
      <c r="D2425">
        <v>62810</v>
      </c>
      <c r="E2425">
        <v>24</v>
      </c>
      <c r="F2425" t="s">
        <v>32</v>
      </c>
      <c r="G2425" t="s">
        <v>247</v>
      </c>
      <c r="H2425" t="s">
        <v>31</v>
      </c>
      <c r="I2425">
        <v>5</v>
      </c>
    </row>
    <row r="2426" spans="1:9" x14ac:dyDescent="0.2">
      <c r="A2426">
        <v>11347369</v>
      </c>
      <c r="B2426">
        <v>3</v>
      </c>
      <c r="C2426">
        <v>1415</v>
      </c>
      <c r="D2426">
        <v>0</v>
      </c>
      <c r="E2426">
        <v>26</v>
      </c>
      <c r="F2426" t="s">
        <v>25</v>
      </c>
      <c r="G2426" t="s">
        <v>233</v>
      </c>
      <c r="H2426" t="s">
        <v>24</v>
      </c>
      <c r="I2426">
        <v>5</v>
      </c>
    </row>
    <row r="2427" spans="1:9" x14ac:dyDescent="0.2">
      <c r="A2427">
        <v>11347369</v>
      </c>
      <c r="B2427">
        <v>4</v>
      </c>
      <c r="C2427">
        <v>1943</v>
      </c>
      <c r="D2427">
        <v>0</v>
      </c>
      <c r="E2427">
        <v>26</v>
      </c>
      <c r="F2427" t="s">
        <v>32</v>
      </c>
      <c r="G2427" t="s">
        <v>233</v>
      </c>
      <c r="H2427" t="s">
        <v>31</v>
      </c>
      <c r="I2427">
        <v>5</v>
      </c>
    </row>
    <row r="2428" spans="1:9" x14ac:dyDescent="0.2">
      <c r="A2428">
        <v>11347369</v>
      </c>
      <c r="B2428">
        <v>5</v>
      </c>
      <c r="C2428">
        <v>1949</v>
      </c>
      <c r="D2428">
        <v>0</v>
      </c>
      <c r="E2428">
        <v>26</v>
      </c>
      <c r="F2428" t="s">
        <v>32</v>
      </c>
      <c r="G2428" t="s">
        <v>103</v>
      </c>
      <c r="H2428" t="s">
        <v>31</v>
      </c>
      <c r="I2428">
        <v>5</v>
      </c>
    </row>
    <row r="2429" spans="1:9" x14ac:dyDescent="0.2">
      <c r="A2429">
        <v>11347369</v>
      </c>
      <c r="B2429">
        <v>6</v>
      </c>
      <c r="C2429">
        <v>1990</v>
      </c>
      <c r="D2429">
        <v>0</v>
      </c>
      <c r="E2429">
        <v>26</v>
      </c>
      <c r="F2429" t="s">
        <v>32</v>
      </c>
      <c r="G2429" t="s">
        <v>81</v>
      </c>
      <c r="H2429" t="s">
        <v>31</v>
      </c>
      <c r="I2429">
        <v>5</v>
      </c>
    </row>
    <row r="2430" spans="1:9" x14ac:dyDescent="0.2">
      <c r="A2430">
        <v>11347369</v>
      </c>
      <c r="B2430">
        <v>7</v>
      </c>
      <c r="C2430">
        <v>3229</v>
      </c>
      <c r="D2430">
        <v>0</v>
      </c>
      <c r="E2430">
        <v>26</v>
      </c>
      <c r="F2430" t="s">
        <v>47</v>
      </c>
      <c r="G2430" t="s">
        <v>101</v>
      </c>
      <c r="H2430" t="s">
        <v>46</v>
      </c>
      <c r="I2430">
        <v>10</v>
      </c>
    </row>
    <row r="2431" spans="1:9" x14ac:dyDescent="0.2">
      <c r="A2431">
        <v>11354146</v>
      </c>
      <c r="B2431">
        <v>1</v>
      </c>
      <c r="C2431">
        <v>1204</v>
      </c>
      <c r="D2431">
        <v>76050</v>
      </c>
      <c r="E2431">
        <v>24</v>
      </c>
      <c r="F2431" t="s">
        <v>19</v>
      </c>
      <c r="G2431" t="s">
        <v>18</v>
      </c>
      <c r="H2431" t="s">
        <v>16</v>
      </c>
      <c r="I2431" t="s">
        <v>448</v>
      </c>
    </row>
    <row r="2432" spans="1:9" x14ac:dyDescent="0.2">
      <c r="A2432">
        <v>11354146</v>
      </c>
      <c r="B2432">
        <v>2</v>
      </c>
      <c r="C2432">
        <v>1101</v>
      </c>
      <c r="D2432">
        <v>0</v>
      </c>
      <c r="E2432">
        <v>26</v>
      </c>
      <c r="F2432" t="s">
        <v>17</v>
      </c>
      <c r="G2432" t="s">
        <v>15</v>
      </c>
      <c r="H2432" t="s">
        <v>16</v>
      </c>
      <c r="I2432" t="s">
        <v>448</v>
      </c>
    </row>
    <row r="2433" spans="1:9" x14ac:dyDescent="0.2">
      <c r="A2433">
        <v>11385790</v>
      </c>
      <c r="B2433">
        <v>1</v>
      </c>
      <c r="C2433">
        <v>1736</v>
      </c>
      <c r="D2433">
        <v>57965</v>
      </c>
      <c r="E2433">
        <v>24</v>
      </c>
      <c r="F2433" t="s">
        <v>57</v>
      </c>
      <c r="G2433" t="s">
        <v>78</v>
      </c>
      <c r="H2433" t="s">
        <v>79</v>
      </c>
      <c r="I2433">
        <v>10</v>
      </c>
    </row>
    <row r="2434" spans="1:9" x14ac:dyDescent="0.2">
      <c r="A2434">
        <v>11385790</v>
      </c>
      <c r="B2434">
        <v>2</v>
      </c>
      <c r="C2434">
        <v>1779</v>
      </c>
      <c r="D2434">
        <v>0</v>
      </c>
      <c r="E2434">
        <v>26</v>
      </c>
      <c r="F2434" t="s">
        <v>57</v>
      </c>
      <c r="G2434" t="s">
        <v>162</v>
      </c>
      <c r="H2434" t="s">
        <v>79</v>
      </c>
      <c r="I2434">
        <v>10</v>
      </c>
    </row>
    <row r="2435" spans="1:9" x14ac:dyDescent="0.2">
      <c r="A2435">
        <v>11385790</v>
      </c>
      <c r="B2435">
        <v>3</v>
      </c>
      <c r="C2435">
        <v>1708</v>
      </c>
      <c r="D2435">
        <v>0</v>
      </c>
      <c r="E2435">
        <v>26</v>
      </c>
      <c r="F2435" t="s">
        <v>57</v>
      </c>
      <c r="G2435" t="s">
        <v>80</v>
      </c>
      <c r="H2435" t="s">
        <v>79</v>
      </c>
      <c r="I2435">
        <v>10</v>
      </c>
    </row>
    <row r="2436" spans="1:9" x14ac:dyDescent="0.2">
      <c r="A2436">
        <v>11385790</v>
      </c>
      <c r="B2436">
        <v>4</v>
      </c>
      <c r="C2436">
        <v>1704</v>
      </c>
      <c r="D2436">
        <v>0</v>
      </c>
      <c r="E2436">
        <v>26</v>
      </c>
      <c r="F2436" t="s">
        <v>57</v>
      </c>
      <c r="G2436" t="s">
        <v>82</v>
      </c>
      <c r="H2436" t="s">
        <v>79</v>
      </c>
      <c r="I2436">
        <v>10</v>
      </c>
    </row>
    <row r="2437" spans="1:9" x14ac:dyDescent="0.2">
      <c r="A2437">
        <v>11409904</v>
      </c>
      <c r="B2437">
        <v>1</v>
      </c>
      <c r="C2437">
        <v>3200</v>
      </c>
      <c r="D2437">
        <v>49130</v>
      </c>
      <c r="E2437">
        <v>25</v>
      </c>
      <c r="F2437" t="s">
        <v>47</v>
      </c>
      <c r="G2437" t="s">
        <v>18</v>
      </c>
      <c r="H2437" t="s">
        <v>46</v>
      </c>
      <c r="I2437">
        <v>10</v>
      </c>
    </row>
    <row r="2438" spans="1:9" x14ac:dyDescent="0.2">
      <c r="A2438">
        <v>11409904</v>
      </c>
      <c r="B2438">
        <v>2</v>
      </c>
      <c r="C2438">
        <v>3212</v>
      </c>
      <c r="D2438">
        <v>0</v>
      </c>
      <c r="E2438">
        <v>29</v>
      </c>
      <c r="F2438" t="s">
        <v>47</v>
      </c>
      <c r="G2438" t="s">
        <v>84</v>
      </c>
      <c r="H2438" t="s">
        <v>46</v>
      </c>
      <c r="I2438">
        <v>10</v>
      </c>
    </row>
    <row r="2439" spans="1:9" x14ac:dyDescent="0.2">
      <c r="A2439">
        <v>11409904</v>
      </c>
      <c r="B2439">
        <v>3</v>
      </c>
      <c r="C2439">
        <v>3211</v>
      </c>
      <c r="D2439">
        <v>0</v>
      </c>
      <c r="E2439">
        <v>29</v>
      </c>
      <c r="F2439" t="s">
        <v>47</v>
      </c>
      <c r="G2439" t="s">
        <v>99</v>
      </c>
      <c r="H2439" t="s">
        <v>46</v>
      </c>
      <c r="I2439">
        <v>10</v>
      </c>
    </row>
    <row r="2440" spans="1:9" x14ac:dyDescent="0.2">
      <c r="A2440">
        <v>11409904</v>
      </c>
      <c r="B2440">
        <v>4</v>
      </c>
      <c r="C2440">
        <v>3296</v>
      </c>
      <c r="D2440">
        <v>49130</v>
      </c>
      <c r="E2440">
        <v>24</v>
      </c>
      <c r="F2440" t="s">
        <v>47</v>
      </c>
      <c r="G2440" t="s">
        <v>100</v>
      </c>
      <c r="H2440" t="s">
        <v>46</v>
      </c>
      <c r="I2440">
        <v>10</v>
      </c>
    </row>
    <row r="2441" spans="1:9" x14ac:dyDescent="0.2">
      <c r="A2441">
        <v>11416733</v>
      </c>
      <c r="B2441">
        <v>1</v>
      </c>
      <c r="C2441">
        <v>3242</v>
      </c>
      <c r="D2441">
        <v>62835</v>
      </c>
      <c r="E2441">
        <v>24</v>
      </c>
      <c r="F2441" t="s">
        <v>47</v>
      </c>
      <c r="G2441" t="s">
        <v>90</v>
      </c>
      <c r="H2441" t="s">
        <v>46</v>
      </c>
      <c r="I2441">
        <v>10</v>
      </c>
    </row>
    <row r="2442" spans="1:9" x14ac:dyDescent="0.2">
      <c r="A2442">
        <v>11416733</v>
      </c>
      <c r="B2442">
        <v>2</v>
      </c>
      <c r="C2442">
        <v>3212</v>
      </c>
      <c r="D2442">
        <v>0</v>
      </c>
      <c r="E2442">
        <v>26</v>
      </c>
      <c r="F2442" t="s">
        <v>47</v>
      </c>
      <c r="G2442" t="s">
        <v>84</v>
      </c>
      <c r="H2442" t="s">
        <v>46</v>
      </c>
      <c r="I2442">
        <v>10</v>
      </c>
    </row>
    <row r="2443" spans="1:9" x14ac:dyDescent="0.2">
      <c r="A2443">
        <v>11416733</v>
      </c>
      <c r="B2443">
        <v>3</v>
      </c>
      <c r="C2443">
        <v>3246</v>
      </c>
      <c r="D2443">
        <v>0</v>
      </c>
      <c r="E2443">
        <v>26</v>
      </c>
      <c r="F2443" t="s">
        <v>47</v>
      </c>
      <c r="G2443" t="s">
        <v>91</v>
      </c>
      <c r="H2443" t="s">
        <v>74</v>
      </c>
      <c r="I2443">
        <v>10</v>
      </c>
    </row>
    <row r="2444" spans="1:9" x14ac:dyDescent="0.2">
      <c r="A2444">
        <v>11419632</v>
      </c>
      <c r="B2444">
        <v>1</v>
      </c>
      <c r="C2444">
        <v>1709</v>
      </c>
      <c r="D2444">
        <v>57370</v>
      </c>
      <c r="E2444">
        <v>24</v>
      </c>
      <c r="F2444" t="s">
        <v>57</v>
      </c>
      <c r="G2444" t="s">
        <v>84</v>
      </c>
      <c r="H2444" t="s">
        <v>69</v>
      </c>
      <c r="I2444">
        <v>10</v>
      </c>
    </row>
    <row r="2445" spans="1:9" x14ac:dyDescent="0.2">
      <c r="A2445">
        <v>11419632</v>
      </c>
      <c r="B2445">
        <v>2</v>
      </c>
      <c r="C2445">
        <v>1754</v>
      </c>
      <c r="D2445">
        <v>0</v>
      </c>
      <c r="E2445">
        <v>26</v>
      </c>
      <c r="F2445" t="s">
        <v>57</v>
      </c>
      <c r="G2445" t="s">
        <v>85</v>
      </c>
      <c r="H2445" t="s">
        <v>69</v>
      </c>
      <c r="I2445">
        <v>10</v>
      </c>
    </row>
    <row r="2446" spans="1:9" x14ac:dyDescent="0.2">
      <c r="A2446">
        <v>11419632</v>
      </c>
      <c r="B2446">
        <v>3</v>
      </c>
      <c r="C2446">
        <v>3212</v>
      </c>
      <c r="D2446">
        <v>0</v>
      </c>
      <c r="E2446">
        <v>26</v>
      </c>
      <c r="F2446" t="s">
        <v>47</v>
      </c>
      <c r="G2446" t="s">
        <v>84</v>
      </c>
      <c r="H2446" t="s">
        <v>46</v>
      </c>
      <c r="I2446">
        <v>10</v>
      </c>
    </row>
    <row r="2447" spans="1:9" x14ac:dyDescent="0.2">
      <c r="A2447">
        <v>11420011</v>
      </c>
      <c r="B2447">
        <v>1</v>
      </c>
      <c r="C2447">
        <v>1239</v>
      </c>
      <c r="D2447">
        <v>68590</v>
      </c>
      <c r="E2447">
        <v>25</v>
      </c>
      <c r="F2447" t="s">
        <v>19</v>
      </c>
      <c r="G2447" t="s">
        <v>160</v>
      </c>
      <c r="H2447" t="s">
        <v>16</v>
      </c>
      <c r="I2447" t="s">
        <v>448</v>
      </c>
    </row>
    <row r="2448" spans="1:9" x14ac:dyDescent="0.2">
      <c r="A2448">
        <v>11420011</v>
      </c>
      <c r="B2448">
        <v>2</v>
      </c>
      <c r="C2448">
        <v>1145</v>
      </c>
      <c r="D2448">
        <v>68590</v>
      </c>
      <c r="E2448">
        <v>25</v>
      </c>
      <c r="F2448" t="s">
        <v>17</v>
      </c>
      <c r="G2448" t="s">
        <v>159</v>
      </c>
      <c r="H2448" t="s">
        <v>16</v>
      </c>
      <c r="I2448" t="s">
        <v>448</v>
      </c>
    </row>
    <row r="2449" spans="1:9" x14ac:dyDescent="0.2">
      <c r="A2449">
        <v>11420011</v>
      </c>
      <c r="B2449">
        <v>3</v>
      </c>
      <c r="C2449">
        <v>1571</v>
      </c>
      <c r="D2449">
        <v>68765</v>
      </c>
      <c r="E2449">
        <v>24</v>
      </c>
      <c r="F2449" t="s">
        <v>142</v>
      </c>
      <c r="G2449" t="s">
        <v>264</v>
      </c>
      <c r="H2449" t="s">
        <v>113</v>
      </c>
      <c r="I2449">
        <v>5</v>
      </c>
    </row>
    <row r="2450" spans="1:9" x14ac:dyDescent="0.2">
      <c r="A2450">
        <v>11420011</v>
      </c>
      <c r="B2450">
        <v>4</v>
      </c>
      <c r="C2450">
        <v>1503</v>
      </c>
      <c r="D2450">
        <v>0</v>
      </c>
      <c r="E2450">
        <v>26</v>
      </c>
      <c r="F2450" t="s">
        <v>142</v>
      </c>
      <c r="G2450" t="s">
        <v>161</v>
      </c>
      <c r="H2450" t="s">
        <v>31</v>
      </c>
      <c r="I2450">
        <v>5</v>
      </c>
    </row>
    <row r="2451" spans="1:9" x14ac:dyDescent="0.2">
      <c r="A2451">
        <v>11430759</v>
      </c>
      <c r="B2451">
        <v>1</v>
      </c>
      <c r="C2451">
        <v>3055</v>
      </c>
      <c r="D2451">
        <v>59875</v>
      </c>
      <c r="E2451">
        <v>25</v>
      </c>
      <c r="F2451" t="s">
        <v>44</v>
      </c>
      <c r="G2451" t="s">
        <v>188</v>
      </c>
      <c r="H2451" t="s">
        <v>52</v>
      </c>
      <c r="I2451">
        <v>9</v>
      </c>
    </row>
    <row r="2452" spans="1:9" x14ac:dyDescent="0.2">
      <c r="A2452">
        <v>11430759</v>
      </c>
      <c r="B2452">
        <v>2</v>
      </c>
      <c r="C2452">
        <v>2650</v>
      </c>
      <c r="D2452">
        <v>59280</v>
      </c>
      <c r="E2452">
        <v>25</v>
      </c>
      <c r="F2452" t="s">
        <v>71</v>
      </c>
      <c r="G2452" t="s">
        <v>189</v>
      </c>
      <c r="H2452" t="s">
        <v>24</v>
      </c>
      <c r="I2452">
        <v>5</v>
      </c>
    </row>
    <row r="2453" spans="1:9" x14ac:dyDescent="0.2">
      <c r="A2453">
        <v>11430759</v>
      </c>
      <c r="B2453">
        <v>3</v>
      </c>
      <c r="C2453">
        <v>1340</v>
      </c>
      <c r="D2453">
        <v>59850</v>
      </c>
      <c r="E2453">
        <v>25</v>
      </c>
      <c r="F2453" t="s">
        <v>21</v>
      </c>
      <c r="G2453" t="s">
        <v>256</v>
      </c>
      <c r="H2453" t="s">
        <v>20</v>
      </c>
      <c r="I2453">
        <v>8</v>
      </c>
    </row>
    <row r="2454" spans="1:9" x14ac:dyDescent="0.2">
      <c r="A2454">
        <v>11430759</v>
      </c>
      <c r="B2454">
        <v>4</v>
      </c>
      <c r="C2454">
        <v>2076</v>
      </c>
      <c r="D2454">
        <v>60555</v>
      </c>
      <c r="E2454">
        <v>25</v>
      </c>
      <c r="F2454" t="s">
        <v>132</v>
      </c>
      <c r="G2454" t="s">
        <v>416</v>
      </c>
      <c r="H2454" t="s">
        <v>322</v>
      </c>
      <c r="I2454" t="s">
        <v>448</v>
      </c>
    </row>
    <row r="2455" spans="1:9" x14ac:dyDescent="0.2">
      <c r="A2455">
        <v>11430759</v>
      </c>
      <c r="B2455">
        <v>5</v>
      </c>
      <c r="C2455">
        <v>3234</v>
      </c>
      <c r="D2455">
        <v>59710</v>
      </c>
      <c r="E2455">
        <v>24</v>
      </c>
      <c r="F2455" t="s">
        <v>47</v>
      </c>
      <c r="G2455" t="s">
        <v>76</v>
      </c>
      <c r="H2455" t="s">
        <v>46</v>
      </c>
      <c r="I2455">
        <v>10</v>
      </c>
    </row>
    <row r="2456" spans="1:9" x14ac:dyDescent="0.2">
      <c r="A2456">
        <v>11430759</v>
      </c>
      <c r="B2456">
        <v>6</v>
      </c>
      <c r="C2456">
        <v>1651</v>
      </c>
      <c r="D2456">
        <v>0</v>
      </c>
      <c r="E2456">
        <v>26</v>
      </c>
      <c r="F2456" t="s">
        <v>128</v>
      </c>
      <c r="G2456" t="s">
        <v>417</v>
      </c>
      <c r="H2456" t="s">
        <v>127</v>
      </c>
      <c r="I2456" t="s">
        <v>448</v>
      </c>
    </row>
    <row r="2457" spans="1:9" x14ac:dyDescent="0.2">
      <c r="A2457">
        <v>11430759</v>
      </c>
      <c r="B2457">
        <v>7</v>
      </c>
      <c r="C2457">
        <v>1359</v>
      </c>
      <c r="D2457">
        <v>0</v>
      </c>
      <c r="E2457">
        <v>26</v>
      </c>
      <c r="F2457" t="s">
        <v>21</v>
      </c>
      <c r="G2457" t="s">
        <v>214</v>
      </c>
      <c r="H2457" t="s">
        <v>20</v>
      </c>
      <c r="I2457">
        <v>8</v>
      </c>
    </row>
    <row r="2458" spans="1:9" x14ac:dyDescent="0.2">
      <c r="A2458">
        <v>11448363</v>
      </c>
      <c r="B2458">
        <v>1</v>
      </c>
      <c r="C2458">
        <v>1776</v>
      </c>
      <c r="D2458">
        <v>62330</v>
      </c>
      <c r="E2458">
        <v>25</v>
      </c>
      <c r="F2458" t="s">
        <v>57</v>
      </c>
      <c r="G2458" t="s">
        <v>124</v>
      </c>
      <c r="H2458" t="s">
        <v>125</v>
      </c>
      <c r="I2458">
        <v>10</v>
      </c>
    </row>
    <row r="2459" spans="1:9" x14ac:dyDescent="0.2">
      <c r="A2459">
        <v>11448363</v>
      </c>
      <c r="B2459">
        <v>2</v>
      </c>
      <c r="C2459">
        <v>1945</v>
      </c>
      <c r="D2459">
        <v>62720</v>
      </c>
      <c r="E2459">
        <v>24</v>
      </c>
      <c r="F2459" t="s">
        <v>32</v>
      </c>
      <c r="G2459" t="s">
        <v>97</v>
      </c>
      <c r="H2459" t="s">
        <v>31</v>
      </c>
      <c r="I2459">
        <v>5</v>
      </c>
    </row>
    <row r="2460" spans="1:9" x14ac:dyDescent="0.2">
      <c r="A2460">
        <v>11448363</v>
      </c>
      <c r="B2460">
        <v>3</v>
      </c>
      <c r="C2460">
        <v>1714</v>
      </c>
      <c r="D2460">
        <v>0</v>
      </c>
      <c r="E2460">
        <v>26</v>
      </c>
      <c r="F2460" t="s">
        <v>57</v>
      </c>
      <c r="G2460" t="s">
        <v>95</v>
      </c>
      <c r="H2460" t="s">
        <v>69</v>
      </c>
      <c r="I2460">
        <v>10</v>
      </c>
    </row>
    <row r="2461" spans="1:9" x14ac:dyDescent="0.2">
      <c r="A2461">
        <v>11448363</v>
      </c>
      <c r="B2461">
        <v>4</v>
      </c>
      <c r="C2461">
        <v>1924</v>
      </c>
      <c r="D2461">
        <v>0</v>
      </c>
      <c r="E2461">
        <v>26</v>
      </c>
      <c r="F2461" t="s">
        <v>32</v>
      </c>
      <c r="G2461" t="s">
        <v>30</v>
      </c>
      <c r="H2461" t="s">
        <v>31</v>
      </c>
      <c r="I2461">
        <v>5</v>
      </c>
    </row>
    <row r="2462" spans="1:9" x14ac:dyDescent="0.2">
      <c r="A2462">
        <v>11448363</v>
      </c>
      <c r="B2462">
        <v>5</v>
      </c>
      <c r="C2462">
        <v>3226</v>
      </c>
      <c r="D2462">
        <v>0</v>
      </c>
      <c r="E2462">
        <v>26</v>
      </c>
      <c r="F2462" t="s">
        <v>47</v>
      </c>
      <c r="G2462" t="s">
        <v>96</v>
      </c>
      <c r="H2462" t="s">
        <v>46</v>
      </c>
      <c r="I2462">
        <v>10</v>
      </c>
    </row>
    <row r="2463" spans="1:9" x14ac:dyDescent="0.2">
      <c r="A2463">
        <v>11448363</v>
      </c>
      <c r="B2463">
        <v>6</v>
      </c>
      <c r="C2463">
        <v>3229</v>
      </c>
      <c r="D2463">
        <v>0</v>
      </c>
      <c r="E2463">
        <v>26</v>
      </c>
      <c r="F2463" t="s">
        <v>47</v>
      </c>
      <c r="G2463" t="s">
        <v>101</v>
      </c>
      <c r="H2463" t="s">
        <v>46</v>
      </c>
      <c r="I2463">
        <v>10</v>
      </c>
    </row>
    <row r="2464" spans="1:9" x14ac:dyDescent="0.2">
      <c r="A2464">
        <v>11465521</v>
      </c>
      <c r="B2464">
        <v>1</v>
      </c>
      <c r="C2464">
        <v>3251</v>
      </c>
      <c r="D2464">
        <v>51585</v>
      </c>
      <c r="E2464">
        <v>24</v>
      </c>
      <c r="F2464" t="s">
        <v>47</v>
      </c>
      <c r="G2464" t="s">
        <v>48</v>
      </c>
      <c r="H2464" t="s">
        <v>46</v>
      </c>
      <c r="I2464">
        <v>10</v>
      </c>
    </row>
    <row r="2465" spans="1:9" x14ac:dyDescent="0.2">
      <c r="A2465">
        <v>11465521</v>
      </c>
      <c r="B2465">
        <v>2</v>
      </c>
      <c r="C2465">
        <v>3248</v>
      </c>
      <c r="D2465">
        <v>0</v>
      </c>
      <c r="E2465">
        <v>26</v>
      </c>
      <c r="F2465" t="s">
        <v>47</v>
      </c>
      <c r="G2465" t="s">
        <v>92</v>
      </c>
      <c r="H2465" t="s">
        <v>46</v>
      </c>
      <c r="I2465">
        <v>10</v>
      </c>
    </row>
    <row r="2466" spans="1:9" x14ac:dyDescent="0.2">
      <c r="A2466">
        <v>11465521</v>
      </c>
      <c r="B2466">
        <v>3</v>
      </c>
      <c r="C2466">
        <v>3252</v>
      </c>
      <c r="D2466">
        <v>0</v>
      </c>
      <c r="E2466">
        <v>26</v>
      </c>
      <c r="F2466" t="s">
        <v>47</v>
      </c>
      <c r="G2466" t="s">
        <v>45</v>
      </c>
      <c r="H2466" t="s">
        <v>46</v>
      </c>
      <c r="I2466">
        <v>10</v>
      </c>
    </row>
    <row r="2467" spans="1:9" x14ac:dyDescent="0.2">
      <c r="A2467">
        <v>11465521</v>
      </c>
      <c r="B2467">
        <v>4</v>
      </c>
      <c r="C2467">
        <v>3234</v>
      </c>
      <c r="D2467">
        <v>0</v>
      </c>
      <c r="E2467">
        <v>26</v>
      </c>
      <c r="F2467" t="s">
        <v>47</v>
      </c>
      <c r="G2467" t="s">
        <v>76</v>
      </c>
      <c r="H2467" t="s">
        <v>46</v>
      </c>
      <c r="I2467">
        <v>10</v>
      </c>
    </row>
    <row r="2468" spans="1:9" x14ac:dyDescent="0.2">
      <c r="A2468">
        <v>11542229</v>
      </c>
      <c r="B2468">
        <v>1</v>
      </c>
      <c r="C2468">
        <v>3047</v>
      </c>
      <c r="D2468">
        <v>0</v>
      </c>
      <c r="E2468">
        <v>17</v>
      </c>
      <c r="F2468" t="s">
        <v>44</v>
      </c>
      <c r="G2468" t="s">
        <v>200</v>
      </c>
      <c r="H2468" t="s">
        <v>52</v>
      </c>
      <c r="I2468">
        <v>9</v>
      </c>
    </row>
    <row r="2469" spans="1:9" x14ac:dyDescent="0.2">
      <c r="A2469">
        <v>11542229</v>
      </c>
      <c r="B2469">
        <v>2</v>
      </c>
      <c r="C2469">
        <v>3055</v>
      </c>
      <c r="D2469">
        <v>0</v>
      </c>
      <c r="E2469">
        <v>17</v>
      </c>
      <c r="F2469" t="s">
        <v>44</v>
      </c>
      <c r="G2469" t="s">
        <v>188</v>
      </c>
      <c r="H2469" t="s">
        <v>52</v>
      </c>
      <c r="I2469">
        <v>9</v>
      </c>
    </row>
    <row r="2470" spans="1:9" x14ac:dyDescent="0.2">
      <c r="A2470">
        <v>11542229</v>
      </c>
      <c r="B2470">
        <v>3</v>
      </c>
      <c r="C2470">
        <v>3044</v>
      </c>
      <c r="D2470">
        <v>0</v>
      </c>
      <c r="E2470">
        <v>17</v>
      </c>
      <c r="F2470" t="s">
        <v>44</v>
      </c>
      <c r="G2470" t="s">
        <v>250</v>
      </c>
      <c r="H2470" t="s">
        <v>52</v>
      </c>
      <c r="I2470">
        <v>9</v>
      </c>
    </row>
    <row r="2471" spans="1:9" x14ac:dyDescent="0.2">
      <c r="A2471">
        <v>11542229</v>
      </c>
      <c r="B2471">
        <v>4</v>
      </c>
      <c r="C2471">
        <v>3067</v>
      </c>
      <c r="D2471">
        <v>0</v>
      </c>
      <c r="E2471">
        <v>17</v>
      </c>
      <c r="F2471" t="s">
        <v>44</v>
      </c>
      <c r="G2471" t="s">
        <v>252</v>
      </c>
      <c r="H2471" t="s">
        <v>52</v>
      </c>
      <c r="I2471">
        <v>9</v>
      </c>
    </row>
    <row r="2472" spans="1:9" x14ac:dyDescent="0.2">
      <c r="A2472">
        <v>11542229</v>
      </c>
      <c r="B2472">
        <v>5</v>
      </c>
      <c r="C2472">
        <v>3091</v>
      </c>
      <c r="D2472">
        <v>0</v>
      </c>
      <c r="E2472">
        <v>17</v>
      </c>
      <c r="F2472" t="s">
        <v>44</v>
      </c>
      <c r="G2472" t="s">
        <v>89</v>
      </c>
      <c r="H2472" t="s">
        <v>52</v>
      </c>
      <c r="I2472">
        <v>9</v>
      </c>
    </row>
    <row r="2473" spans="1:9" x14ac:dyDescent="0.2">
      <c r="A2473">
        <v>11542229</v>
      </c>
      <c r="B2473">
        <v>6</v>
      </c>
      <c r="C2473">
        <v>3722</v>
      </c>
      <c r="D2473">
        <v>0</v>
      </c>
      <c r="E2473">
        <v>17</v>
      </c>
      <c r="F2473" t="s">
        <v>116</v>
      </c>
      <c r="G2473" t="s">
        <v>198</v>
      </c>
      <c r="H2473" t="s">
        <v>61</v>
      </c>
      <c r="I2473">
        <v>9</v>
      </c>
    </row>
    <row r="2474" spans="1:9" x14ac:dyDescent="0.2">
      <c r="A2474">
        <v>11542229</v>
      </c>
      <c r="B2474">
        <v>7</v>
      </c>
      <c r="C2474">
        <v>3704</v>
      </c>
      <c r="D2474">
        <v>0</v>
      </c>
      <c r="E2474">
        <v>17</v>
      </c>
      <c r="F2474" t="s">
        <v>116</v>
      </c>
      <c r="G2474" t="s">
        <v>93</v>
      </c>
      <c r="H2474" t="s">
        <v>61</v>
      </c>
      <c r="I2474">
        <v>9</v>
      </c>
    </row>
    <row r="2475" spans="1:9" x14ac:dyDescent="0.2">
      <c r="A2475">
        <v>11548972</v>
      </c>
      <c r="B2475">
        <v>1</v>
      </c>
      <c r="C2475">
        <v>1705</v>
      </c>
      <c r="D2475">
        <v>58500</v>
      </c>
      <c r="E2475">
        <v>25</v>
      </c>
      <c r="F2475" t="s">
        <v>57</v>
      </c>
      <c r="G2475" t="s">
        <v>102</v>
      </c>
      <c r="H2475" t="s">
        <v>69</v>
      </c>
      <c r="I2475">
        <v>10</v>
      </c>
    </row>
    <row r="2476" spans="1:9" x14ac:dyDescent="0.2">
      <c r="A2476">
        <v>11548972</v>
      </c>
      <c r="B2476">
        <v>2</v>
      </c>
      <c r="C2476">
        <v>1715</v>
      </c>
      <c r="D2476">
        <v>58925</v>
      </c>
      <c r="E2476">
        <v>25</v>
      </c>
      <c r="F2476" t="s">
        <v>57</v>
      </c>
      <c r="G2476" t="s">
        <v>151</v>
      </c>
      <c r="H2476" t="s">
        <v>69</v>
      </c>
      <c r="I2476">
        <v>10</v>
      </c>
    </row>
    <row r="2477" spans="1:9" x14ac:dyDescent="0.2">
      <c r="A2477">
        <v>11548972</v>
      </c>
      <c r="B2477">
        <v>3</v>
      </c>
      <c r="C2477">
        <v>1740</v>
      </c>
      <c r="D2477">
        <v>61025</v>
      </c>
      <c r="E2477">
        <v>24</v>
      </c>
      <c r="F2477" t="s">
        <v>57</v>
      </c>
      <c r="G2477" t="s">
        <v>209</v>
      </c>
      <c r="H2477" t="s">
        <v>79</v>
      </c>
      <c r="I2477">
        <v>10</v>
      </c>
    </row>
    <row r="2478" spans="1:9" x14ac:dyDescent="0.2">
      <c r="A2478">
        <v>11548972</v>
      </c>
      <c r="B2478">
        <v>4</v>
      </c>
      <c r="C2478">
        <v>1714</v>
      </c>
      <c r="D2478">
        <v>0</v>
      </c>
      <c r="E2478">
        <v>26</v>
      </c>
      <c r="F2478" t="s">
        <v>57</v>
      </c>
      <c r="G2478" t="s">
        <v>95</v>
      </c>
      <c r="H2478" t="s">
        <v>69</v>
      </c>
      <c r="I2478">
        <v>10</v>
      </c>
    </row>
    <row r="2479" spans="1:9" x14ac:dyDescent="0.2">
      <c r="A2479">
        <v>11548972</v>
      </c>
      <c r="B2479">
        <v>5</v>
      </c>
      <c r="C2479">
        <v>1734</v>
      </c>
      <c r="D2479">
        <v>0</v>
      </c>
      <c r="E2479">
        <v>26</v>
      </c>
      <c r="F2479" t="s">
        <v>57</v>
      </c>
      <c r="G2479" t="s">
        <v>81</v>
      </c>
      <c r="H2479" t="s">
        <v>69</v>
      </c>
      <c r="I2479">
        <v>10</v>
      </c>
    </row>
    <row r="2480" spans="1:9" x14ac:dyDescent="0.2">
      <c r="A2480">
        <v>11575181</v>
      </c>
      <c r="B2480">
        <v>1</v>
      </c>
      <c r="C2480">
        <v>3200</v>
      </c>
      <c r="D2480">
        <v>56610</v>
      </c>
      <c r="E2480">
        <v>24</v>
      </c>
      <c r="F2480" t="s">
        <v>47</v>
      </c>
      <c r="G2480" t="s">
        <v>18</v>
      </c>
      <c r="H2480" t="s">
        <v>46</v>
      </c>
      <c r="I2480">
        <v>10</v>
      </c>
    </row>
    <row r="2481" spans="1:9" x14ac:dyDescent="0.2">
      <c r="A2481">
        <v>11575181</v>
      </c>
      <c r="B2481">
        <v>2</v>
      </c>
      <c r="C2481">
        <v>3296</v>
      </c>
      <c r="D2481">
        <v>0</v>
      </c>
      <c r="E2481">
        <v>26</v>
      </c>
      <c r="F2481" t="s">
        <v>47</v>
      </c>
      <c r="G2481" t="s">
        <v>100</v>
      </c>
      <c r="H2481" t="s">
        <v>46</v>
      </c>
      <c r="I2481">
        <v>10</v>
      </c>
    </row>
    <row r="2482" spans="1:9" x14ac:dyDescent="0.2">
      <c r="A2482">
        <v>11575181</v>
      </c>
      <c r="B2482">
        <v>3</v>
      </c>
      <c r="C2482">
        <v>3211</v>
      </c>
      <c r="D2482">
        <v>0</v>
      </c>
      <c r="E2482">
        <v>26</v>
      </c>
      <c r="F2482" t="s">
        <v>47</v>
      </c>
      <c r="G2482" t="s">
        <v>99</v>
      </c>
      <c r="H2482" t="s">
        <v>46</v>
      </c>
      <c r="I2482">
        <v>10</v>
      </c>
    </row>
    <row r="2483" spans="1:9" x14ac:dyDescent="0.2">
      <c r="A2483">
        <v>11575181</v>
      </c>
      <c r="B2483">
        <v>4</v>
      </c>
      <c r="C2483">
        <v>3212</v>
      </c>
      <c r="D2483">
        <v>0</v>
      </c>
      <c r="E2483">
        <v>26</v>
      </c>
      <c r="F2483" t="s">
        <v>47</v>
      </c>
      <c r="G2483" t="s">
        <v>84</v>
      </c>
      <c r="H2483" t="s">
        <v>46</v>
      </c>
      <c r="I2483">
        <v>10</v>
      </c>
    </row>
    <row r="2484" spans="1:9" x14ac:dyDescent="0.2">
      <c r="A2484">
        <v>11587512</v>
      </c>
      <c r="B2484">
        <v>1</v>
      </c>
      <c r="C2484">
        <v>1195</v>
      </c>
      <c r="D2484">
        <v>70200</v>
      </c>
      <c r="E2484">
        <v>25</v>
      </c>
      <c r="F2484" t="s">
        <v>17</v>
      </c>
      <c r="G2484" t="s">
        <v>353</v>
      </c>
      <c r="H2484" t="s">
        <v>16</v>
      </c>
      <c r="I2484" t="s">
        <v>448</v>
      </c>
    </row>
    <row r="2485" spans="1:9" x14ac:dyDescent="0.2">
      <c r="A2485">
        <v>11587512</v>
      </c>
      <c r="B2485">
        <v>2</v>
      </c>
      <c r="C2485">
        <v>1950</v>
      </c>
      <c r="D2485">
        <v>70190</v>
      </c>
      <c r="E2485">
        <v>24</v>
      </c>
      <c r="F2485" t="s">
        <v>32</v>
      </c>
      <c r="G2485" t="s">
        <v>122</v>
      </c>
      <c r="H2485" t="s">
        <v>31</v>
      </c>
      <c r="I2485">
        <v>5</v>
      </c>
    </row>
    <row r="2486" spans="1:9" x14ac:dyDescent="0.2">
      <c r="A2486">
        <v>11587512</v>
      </c>
      <c r="B2486">
        <v>3</v>
      </c>
      <c r="C2486">
        <v>1391</v>
      </c>
      <c r="D2486">
        <v>0</v>
      </c>
      <c r="E2486">
        <v>26</v>
      </c>
      <c r="F2486" t="s">
        <v>21</v>
      </c>
      <c r="G2486" t="s">
        <v>122</v>
      </c>
      <c r="H2486" t="s">
        <v>20</v>
      </c>
      <c r="I2486">
        <v>8</v>
      </c>
    </row>
    <row r="2487" spans="1:9" x14ac:dyDescent="0.2">
      <c r="A2487">
        <v>11587512</v>
      </c>
      <c r="B2487">
        <v>4</v>
      </c>
      <c r="C2487">
        <v>3033</v>
      </c>
      <c r="D2487">
        <v>0</v>
      </c>
      <c r="E2487">
        <v>26</v>
      </c>
      <c r="F2487" t="s">
        <v>44</v>
      </c>
      <c r="G2487" t="s">
        <v>122</v>
      </c>
      <c r="H2487" t="s">
        <v>50</v>
      </c>
      <c r="I2487">
        <v>9</v>
      </c>
    </row>
    <row r="2488" spans="1:9" x14ac:dyDescent="0.2">
      <c r="A2488">
        <v>11587512</v>
      </c>
      <c r="B2488">
        <v>5</v>
      </c>
      <c r="C2488">
        <v>3423</v>
      </c>
      <c r="D2488">
        <v>0</v>
      </c>
      <c r="E2488">
        <v>26</v>
      </c>
      <c r="F2488" t="s">
        <v>36</v>
      </c>
      <c r="G2488" t="s">
        <v>122</v>
      </c>
      <c r="H2488" t="s">
        <v>35</v>
      </c>
      <c r="I2488">
        <v>7</v>
      </c>
    </row>
    <row r="2489" spans="1:9" x14ac:dyDescent="0.2">
      <c r="A2489">
        <v>11587512</v>
      </c>
      <c r="B2489">
        <v>6</v>
      </c>
      <c r="C2489">
        <v>1789</v>
      </c>
      <c r="D2489">
        <v>0</v>
      </c>
      <c r="E2489">
        <v>26</v>
      </c>
      <c r="F2489" t="s">
        <v>57</v>
      </c>
      <c r="G2489" t="s">
        <v>122</v>
      </c>
      <c r="H2489" t="s">
        <v>69</v>
      </c>
      <c r="I2489">
        <v>10</v>
      </c>
    </row>
    <row r="2490" spans="1:9" x14ac:dyDescent="0.2">
      <c r="A2490">
        <v>11605555</v>
      </c>
      <c r="B2490">
        <v>1</v>
      </c>
      <c r="C2490">
        <v>3239</v>
      </c>
      <c r="D2490">
        <v>51820</v>
      </c>
      <c r="E2490">
        <v>25</v>
      </c>
      <c r="F2490" t="s">
        <v>47</v>
      </c>
      <c r="G2490" t="s">
        <v>107</v>
      </c>
      <c r="H2490" t="s">
        <v>46</v>
      </c>
      <c r="I2490">
        <v>10</v>
      </c>
    </row>
    <row r="2491" spans="1:9" x14ac:dyDescent="0.2">
      <c r="A2491">
        <v>11631696</v>
      </c>
      <c r="B2491">
        <v>1</v>
      </c>
      <c r="C2491">
        <v>1708</v>
      </c>
      <c r="D2491">
        <v>63165</v>
      </c>
      <c r="E2491">
        <v>24</v>
      </c>
      <c r="F2491" t="s">
        <v>57</v>
      </c>
      <c r="G2491" t="s">
        <v>80</v>
      </c>
      <c r="H2491" t="s">
        <v>79</v>
      </c>
      <c r="I2491">
        <v>10</v>
      </c>
    </row>
    <row r="2492" spans="1:9" x14ac:dyDescent="0.2">
      <c r="A2492">
        <v>11631696</v>
      </c>
      <c r="B2492">
        <v>2</v>
      </c>
      <c r="C2492">
        <v>1715</v>
      </c>
      <c r="D2492">
        <v>0</v>
      </c>
      <c r="E2492">
        <v>26</v>
      </c>
      <c r="F2492" t="s">
        <v>57</v>
      </c>
      <c r="G2492" t="s">
        <v>151</v>
      </c>
      <c r="H2492" t="s">
        <v>69</v>
      </c>
      <c r="I2492">
        <v>10</v>
      </c>
    </row>
    <row r="2493" spans="1:9" x14ac:dyDescent="0.2">
      <c r="A2493">
        <v>11631696</v>
      </c>
      <c r="B2493">
        <v>3</v>
      </c>
      <c r="C2493">
        <v>1789</v>
      </c>
      <c r="D2493">
        <v>0</v>
      </c>
      <c r="E2493">
        <v>26</v>
      </c>
      <c r="F2493" t="s">
        <v>57</v>
      </c>
      <c r="G2493" t="s">
        <v>122</v>
      </c>
      <c r="H2493" t="s">
        <v>69</v>
      </c>
      <c r="I2493">
        <v>10</v>
      </c>
    </row>
    <row r="2494" spans="1:9" x14ac:dyDescent="0.2">
      <c r="A2494">
        <v>11631696</v>
      </c>
      <c r="B2494">
        <v>4</v>
      </c>
      <c r="C2494">
        <v>1464</v>
      </c>
      <c r="D2494">
        <v>0</v>
      </c>
      <c r="E2494">
        <v>26</v>
      </c>
      <c r="F2494" t="s">
        <v>25</v>
      </c>
      <c r="G2494" t="s">
        <v>339</v>
      </c>
      <c r="H2494" t="s">
        <v>24</v>
      </c>
      <c r="I2494">
        <v>5</v>
      </c>
    </row>
    <row r="2495" spans="1:9" x14ac:dyDescent="0.2">
      <c r="A2495">
        <v>11631696</v>
      </c>
      <c r="B2495">
        <v>5</v>
      </c>
      <c r="C2495">
        <v>1508</v>
      </c>
      <c r="D2495">
        <v>0</v>
      </c>
      <c r="E2495">
        <v>26</v>
      </c>
      <c r="F2495" t="s">
        <v>142</v>
      </c>
      <c r="G2495" t="s">
        <v>249</v>
      </c>
      <c r="H2495" t="s">
        <v>31</v>
      </c>
      <c r="I2495">
        <v>5</v>
      </c>
    </row>
    <row r="2496" spans="1:9" x14ac:dyDescent="0.2">
      <c r="A2496">
        <v>11631696</v>
      </c>
      <c r="B2496">
        <v>6</v>
      </c>
      <c r="C2496">
        <v>3718</v>
      </c>
      <c r="D2496">
        <v>0</v>
      </c>
      <c r="E2496">
        <v>26</v>
      </c>
      <c r="F2496" t="s">
        <v>116</v>
      </c>
      <c r="G2496" t="s">
        <v>80</v>
      </c>
      <c r="H2496" t="s">
        <v>61</v>
      </c>
      <c r="I2496">
        <v>9</v>
      </c>
    </row>
    <row r="2497" spans="1:9" x14ac:dyDescent="0.2">
      <c r="A2497">
        <v>11631696</v>
      </c>
      <c r="B2497">
        <v>7</v>
      </c>
      <c r="C2497">
        <v>1355</v>
      </c>
      <c r="D2497">
        <v>0</v>
      </c>
      <c r="E2497">
        <v>26</v>
      </c>
      <c r="F2497" t="s">
        <v>21</v>
      </c>
      <c r="G2497" t="s">
        <v>289</v>
      </c>
      <c r="H2497" t="s">
        <v>20</v>
      </c>
      <c r="I2497">
        <v>8</v>
      </c>
    </row>
    <row r="2498" spans="1:9" x14ac:dyDescent="0.2">
      <c r="A2498">
        <v>11631696</v>
      </c>
      <c r="B2498">
        <v>8</v>
      </c>
      <c r="C2498">
        <v>3225</v>
      </c>
      <c r="D2498">
        <v>0</v>
      </c>
      <c r="E2498">
        <v>26</v>
      </c>
      <c r="F2498" t="s">
        <v>47</v>
      </c>
      <c r="G2498" t="s">
        <v>106</v>
      </c>
      <c r="H2498" t="s">
        <v>46</v>
      </c>
      <c r="I2498">
        <v>10</v>
      </c>
    </row>
    <row r="2499" spans="1:9" x14ac:dyDescent="0.2">
      <c r="A2499">
        <v>11657877</v>
      </c>
      <c r="B2499">
        <v>1</v>
      </c>
      <c r="C2499">
        <v>1507</v>
      </c>
      <c r="D2499">
        <v>77810</v>
      </c>
      <c r="E2499">
        <v>24</v>
      </c>
      <c r="F2499" t="s">
        <v>142</v>
      </c>
      <c r="G2499" t="s">
        <v>66</v>
      </c>
      <c r="H2499" t="s">
        <v>31</v>
      </c>
      <c r="I2499">
        <v>5</v>
      </c>
    </row>
    <row r="2500" spans="1:9" x14ac:dyDescent="0.2">
      <c r="A2500">
        <v>11657877</v>
      </c>
      <c r="B2500">
        <v>2</v>
      </c>
      <c r="C2500">
        <v>1506</v>
      </c>
      <c r="D2500">
        <v>0</v>
      </c>
      <c r="E2500">
        <v>26</v>
      </c>
      <c r="F2500" t="s">
        <v>142</v>
      </c>
      <c r="G2500" t="s">
        <v>78</v>
      </c>
      <c r="H2500" t="s">
        <v>31</v>
      </c>
      <c r="I2500">
        <v>5</v>
      </c>
    </row>
    <row r="2501" spans="1:9" x14ac:dyDescent="0.2">
      <c r="A2501">
        <v>11657877</v>
      </c>
      <c r="B2501">
        <v>3</v>
      </c>
      <c r="C2501">
        <v>1525</v>
      </c>
      <c r="D2501">
        <v>0</v>
      </c>
      <c r="E2501">
        <v>26</v>
      </c>
      <c r="F2501" t="s">
        <v>142</v>
      </c>
      <c r="G2501" t="s">
        <v>152</v>
      </c>
      <c r="H2501" t="s">
        <v>31</v>
      </c>
      <c r="I2501">
        <v>5</v>
      </c>
    </row>
    <row r="2502" spans="1:9" x14ac:dyDescent="0.2">
      <c r="A2502">
        <v>11657877</v>
      </c>
      <c r="B2502">
        <v>4</v>
      </c>
      <c r="C2502">
        <v>1503</v>
      </c>
      <c r="D2502">
        <v>0</v>
      </c>
      <c r="E2502">
        <v>26</v>
      </c>
      <c r="F2502" t="s">
        <v>142</v>
      </c>
      <c r="G2502" t="s">
        <v>161</v>
      </c>
      <c r="H2502" t="s">
        <v>31</v>
      </c>
      <c r="I2502">
        <v>5</v>
      </c>
    </row>
    <row r="2503" spans="1:9" x14ac:dyDescent="0.2">
      <c r="A2503">
        <v>11657877</v>
      </c>
      <c r="B2503">
        <v>5</v>
      </c>
      <c r="C2503">
        <v>1463</v>
      </c>
      <c r="D2503">
        <v>0</v>
      </c>
      <c r="E2503">
        <v>26</v>
      </c>
      <c r="F2503" t="s">
        <v>25</v>
      </c>
      <c r="G2503" t="s">
        <v>66</v>
      </c>
      <c r="H2503" t="s">
        <v>24</v>
      </c>
      <c r="I2503">
        <v>5</v>
      </c>
    </row>
    <row r="2504" spans="1:9" x14ac:dyDescent="0.2">
      <c r="A2504">
        <v>11657877</v>
      </c>
      <c r="B2504">
        <v>6</v>
      </c>
      <c r="C2504">
        <v>1520</v>
      </c>
      <c r="D2504">
        <v>0</v>
      </c>
      <c r="E2504">
        <v>26</v>
      </c>
      <c r="F2504" t="s">
        <v>142</v>
      </c>
      <c r="G2504" t="s">
        <v>84</v>
      </c>
      <c r="H2504" t="s">
        <v>31</v>
      </c>
      <c r="I2504">
        <v>5</v>
      </c>
    </row>
    <row r="2505" spans="1:9" x14ac:dyDescent="0.2">
      <c r="A2505">
        <v>11665795</v>
      </c>
      <c r="B2505">
        <v>1</v>
      </c>
      <c r="C2505">
        <v>3296</v>
      </c>
      <c r="D2505">
        <v>48490</v>
      </c>
      <c r="E2505">
        <v>25</v>
      </c>
      <c r="F2505" t="s">
        <v>47</v>
      </c>
      <c r="G2505" t="s">
        <v>100</v>
      </c>
      <c r="H2505" t="s">
        <v>46</v>
      </c>
      <c r="I2505">
        <v>10</v>
      </c>
    </row>
    <row r="2506" spans="1:9" x14ac:dyDescent="0.2">
      <c r="A2506">
        <v>11667985</v>
      </c>
      <c r="B2506">
        <v>1</v>
      </c>
      <c r="C2506">
        <v>3239</v>
      </c>
      <c r="D2506">
        <v>46650</v>
      </c>
      <c r="E2506">
        <v>25</v>
      </c>
      <c r="F2506" t="s">
        <v>47</v>
      </c>
      <c r="G2506" t="s">
        <v>107</v>
      </c>
      <c r="H2506" t="s">
        <v>46</v>
      </c>
      <c r="I2506">
        <v>10</v>
      </c>
    </row>
    <row r="2507" spans="1:9" x14ac:dyDescent="0.2">
      <c r="A2507">
        <v>11667985</v>
      </c>
      <c r="B2507">
        <v>2</v>
      </c>
      <c r="C2507">
        <v>3245</v>
      </c>
      <c r="D2507">
        <v>46650</v>
      </c>
      <c r="E2507">
        <v>25</v>
      </c>
      <c r="F2507" t="s">
        <v>47</v>
      </c>
      <c r="G2507" t="s">
        <v>157</v>
      </c>
      <c r="H2507" t="s">
        <v>74</v>
      </c>
      <c r="I2507">
        <v>10</v>
      </c>
    </row>
    <row r="2508" spans="1:9" x14ac:dyDescent="0.2">
      <c r="A2508">
        <v>11674541</v>
      </c>
      <c r="B2508">
        <v>1</v>
      </c>
      <c r="C2508">
        <v>3248</v>
      </c>
      <c r="D2508">
        <v>48580</v>
      </c>
      <c r="E2508">
        <v>25</v>
      </c>
      <c r="F2508" t="s">
        <v>47</v>
      </c>
      <c r="G2508" t="s">
        <v>92</v>
      </c>
      <c r="H2508" t="s">
        <v>46</v>
      </c>
      <c r="I2508">
        <v>10</v>
      </c>
    </row>
    <row r="2509" spans="1:9" x14ac:dyDescent="0.2">
      <c r="A2509">
        <v>11674541</v>
      </c>
      <c r="B2509">
        <v>2</v>
      </c>
      <c r="C2509">
        <v>3261</v>
      </c>
      <c r="D2509">
        <v>49020</v>
      </c>
      <c r="E2509">
        <v>25</v>
      </c>
      <c r="F2509" t="s">
        <v>47</v>
      </c>
      <c r="G2509" t="s">
        <v>93</v>
      </c>
      <c r="H2509" t="s">
        <v>46</v>
      </c>
      <c r="I2509">
        <v>10</v>
      </c>
    </row>
    <row r="2510" spans="1:9" x14ac:dyDescent="0.2">
      <c r="A2510">
        <v>11674541</v>
      </c>
      <c r="B2510">
        <v>3</v>
      </c>
      <c r="C2510">
        <v>3252</v>
      </c>
      <c r="D2510">
        <v>48525</v>
      </c>
      <c r="E2510">
        <v>25</v>
      </c>
      <c r="F2510" t="s">
        <v>47</v>
      </c>
      <c r="G2510" t="s">
        <v>45</v>
      </c>
      <c r="H2510" t="s">
        <v>46</v>
      </c>
      <c r="I2510">
        <v>10</v>
      </c>
    </row>
    <row r="2511" spans="1:9" x14ac:dyDescent="0.2">
      <c r="A2511">
        <v>11674541</v>
      </c>
      <c r="B2511">
        <v>4</v>
      </c>
      <c r="C2511">
        <v>3251</v>
      </c>
      <c r="D2511">
        <v>48865</v>
      </c>
      <c r="E2511">
        <v>24</v>
      </c>
      <c r="F2511" t="s">
        <v>47</v>
      </c>
      <c r="G2511" t="s">
        <v>48</v>
      </c>
      <c r="H2511" t="s">
        <v>46</v>
      </c>
      <c r="I2511">
        <v>10</v>
      </c>
    </row>
    <row r="2512" spans="1:9" x14ac:dyDescent="0.2">
      <c r="A2512">
        <v>11674541</v>
      </c>
      <c r="B2512">
        <v>5</v>
      </c>
      <c r="C2512">
        <v>3243</v>
      </c>
      <c r="D2512">
        <v>0</v>
      </c>
      <c r="E2512">
        <v>26</v>
      </c>
      <c r="F2512" t="s">
        <v>47</v>
      </c>
      <c r="G2512" t="s">
        <v>75</v>
      </c>
      <c r="H2512" t="s">
        <v>46</v>
      </c>
      <c r="I2512">
        <v>10</v>
      </c>
    </row>
    <row r="2513" spans="1:9" x14ac:dyDescent="0.2">
      <c r="A2513">
        <v>11795547</v>
      </c>
      <c r="B2513">
        <v>1</v>
      </c>
      <c r="C2513">
        <v>3225</v>
      </c>
      <c r="D2513">
        <v>55160</v>
      </c>
      <c r="E2513">
        <v>24</v>
      </c>
      <c r="F2513" t="s">
        <v>47</v>
      </c>
      <c r="G2513" t="s">
        <v>106</v>
      </c>
      <c r="H2513" t="s">
        <v>46</v>
      </c>
      <c r="I2513">
        <v>10</v>
      </c>
    </row>
    <row r="2514" spans="1:9" x14ac:dyDescent="0.2">
      <c r="A2514">
        <v>11795547</v>
      </c>
      <c r="B2514">
        <v>2</v>
      </c>
      <c r="C2514">
        <v>3223</v>
      </c>
      <c r="D2514">
        <v>0</v>
      </c>
      <c r="E2514">
        <v>26</v>
      </c>
      <c r="F2514" t="s">
        <v>47</v>
      </c>
      <c r="G2514" t="s">
        <v>105</v>
      </c>
      <c r="H2514" t="s">
        <v>46</v>
      </c>
      <c r="I2514">
        <v>10</v>
      </c>
    </row>
    <row r="2515" spans="1:9" x14ac:dyDescent="0.2">
      <c r="A2515">
        <v>11795547</v>
      </c>
      <c r="B2515">
        <v>3</v>
      </c>
      <c r="C2515">
        <v>3229</v>
      </c>
      <c r="D2515">
        <v>0</v>
      </c>
      <c r="E2515">
        <v>26</v>
      </c>
      <c r="F2515" t="s">
        <v>47</v>
      </c>
      <c r="G2515" t="s">
        <v>101</v>
      </c>
      <c r="H2515" t="s">
        <v>46</v>
      </c>
      <c r="I2515">
        <v>10</v>
      </c>
    </row>
    <row r="2516" spans="1:9" x14ac:dyDescent="0.2">
      <c r="A2516">
        <v>11806066</v>
      </c>
      <c r="B2516">
        <v>1</v>
      </c>
      <c r="C2516">
        <v>1369</v>
      </c>
      <c r="D2516">
        <v>65515</v>
      </c>
      <c r="E2516">
        <v>25</v>
      </c>
      <c r="F2516" t="s">
        <v>21</v>
      </c>
      <c r="G2516" t="s">
        <v>121</v>
      </c>
      <c r="H2516" t="s">
        <v>20</v>
      </c>
      <c r="I2516">
        <v>8</v>
      </c>
    </row>
    <row r="2517" spans="1:9" x14ac:dyDescent="0.2">
      <c r="A2517">
        <v>11806066</v>
      </c>
      <c r="B2517">
        <v>2</v>
      </c>
      <c r="C2517">
        <v>1481</v>
      </c>
      <c r="D2517">
        <v>64870</v>
      </c>
      <c r="E2517">
        <v>24</v>
      </c>
      <c r="F2517" t="s">
        <v>25</v>
      </c>
      <c r="G2517" t="s">
        <v>121</v>
      </c>
      <c r="H2517" t="s">
        <v>24</v>
      </c>
      <c r="I2517">
        <v>5</v>
      </c>
    </row>
    <row r="2518" spans="1:9" x14ac:dyDescent="0.2">
      <c r="A2518">
        <v>11806066</v>
      </c>
      <c r="B2518">
        <v>3</v>
      </c>
      <c r="C2518">
        <v>1463</v>
      </c>
      <c r="D2518">
        <v>0</v>
      </c>
      <c r="E2518">
        <v>26</v>
      </c>
      <c r="F2518" t="s">
        <v>25</v>
      </c>
      <c r="G2518" t="s">
        <v>66</v>
      </c>
      <c r="H2518" t="s">
        <v>24</v>
      </c>
      <c r="I2518">
        <v>5</v>
      </c>
    </row>
    <row r="2519" spans="1:9" x14ac:dyDescent="0.2">
      <c r="A2519">
        <v>11806066</v>
      </c>
      <c r="B2519">
        <v>4</v>
      </c>
      <c r="C2519">
        <v>1704</v>
      </c>
      <c r="D2519">
        <v>0</v>
      </c>
      <c r="E2519">
        <v>26</v>
      </c>
      <c r="F2519" t="s">
        <v>57</v>
      </c>
      <c r="G2519" t="s">
        <v>82</v>
      </c>
      <c r="H2519" t="s">
        <v>79</v>
      </c>
      <c r="I2519">
        <v>10</v>
      </c>
    </row>
    <row r="2520" spans="1:9" x14ac:dyDescent="0.2">
      <c r="A2520">
        <v>11806066</v>
      </c>
      <c r="B2520">
        <v>5</v>
      </c>
      <c r="C2520">
        <v>3075</v>
      </c>
      <c r="D2520">
        <v>0</v>
      </c>
      <c r="E2520">
        <v>26</v>
      </c>
      <c r="F2520" t="s">
        <v>44</v>
      </c>
      <c r="G2520" t="s">
        <v>148</v>
      </c>
      <c r="H2520" t="s">
        <v>61</v>
      </c>
      <c r="I2520">
        <v>9</v>
      </c>
    </row>
    <row r="2521" spans="1:9" x14ac:dyDescent="0.2">
      <c r="A2521">
        <v>11806066</v>
      </c>
      <c r="B2521">
        <v>6</v>
      </c>
      <c r="C2521">
        <v>1608</v>
      </c>
      <c r="D2521">
        <v>0</v>
      </c>
      <c r="E2521">
        <v>26</v>
      </c>
      <c r="F2521" t="s">
        <v>128</v>
      </c>
      <c r="G2521" t="s">
        <v>357</v>
      </c>
      <c r="H2521" t="s">
        <v>127</v>
      </c>
      <c r="I2521" t="s">
        <v>448</v>
      </c>
    </row>
    <row r="2522" spans="1:9" x14ac:dyDescent="0.2">
      <c r="A2522">
        <v>11806066</v>
      </c>
      <c r="B2522">
        <v>7</v>
      </c>
      <c r="C2522">
        <v>1603</v>
      </c>
      <c r="D2522">
        <v>0</v>
      </c>
      <c r="E2522">
        <v>26</v>
      </c>
      <c r="F2522" t="s">
        <v>128</v>
      </c>
      <c r="G2522" t="s">
        <v>254</v>
      </c>
      <c r="H2522" t="s">
        <v>127</v>
      </c>
      <c r="I2522" t="s">
        <v>448</v>
      </c>
    </row>
    <row r="2523" spans="1:9" x14ac:dyDescent="0.2">
      <c r="A2523">
        <v>11808641</v>
      </c>
      <c r="B2523">
        <v>1</v>
      </c>
      <c r="C2523">
        <v>1737</v>
      </c>
      <c r="D2523">
        <v>48145</v>
      </c>
      <c r="E2523">
        <v>25</v>
      </c>
      <c r="F2523" t="s">
        <v>57</v>
      </c>
      <c r="G2523" t="s">
        <v>54</v>
      </c>
      <c r="H2523" t="s">
        <v>79</v>
      </c>
      <c r="I2523">
        <v>10</v>
      </c>
    </row>
    <row r="2524" spans="1:9" x14ac:dyDescent="0.2">
      <c r="A2524">
        <v>11808641</v>
      </c>
      <c r="B2524">
        <v>2</v>
      </c>
      <c r="C2524">
        <v>1779</v>
      </c>
      <c r="D2524">
        <v>48145</v>
      </c>
      <c r="E2524">
        <v>25</v>
      </c>
      <c r="F2524" t="s">
        <v>57</v>
      </c>
      <c r="G2524" t="s">
        <v>162</v>
      </c>
      <c r="H2524" t="s">
        <v>79</v>
      </c>
      <c r="I2524">
        <v>10</v>
      </c>
    </row>
    <row r="2525" spans="1:9" x14ac:dyDescent="0.2">
      <c r="A2525">
        <v>11808641</v>
      </c>
      <c r="B2525">
        <v>3</v>
      </c>
      <c r="C2525">
        <v>1736</v>
      </c>
      <c r="D2525">
        <v>48145</v>
      </c>
      <c r="E2525">
        <v>25</v>
      </c>
      <c r="F2525" t="s">
        <v>57</v>
      </c>
      <c r="G2525" t="s">
        <v>78</v>
      </c>
      <c r="H2525" t="s">
        <v>79</v>
      </c>
      <c r="I2525">
        <v>10</v>
      </c>
    </row>
    <row r="2526" spans="1:9" x14ac:dyDescent="0.2">
      <c r="A2526">
        <v>11808641</v>
      </c>
      <c r="B2526">
        <v>4</v>
      </c>
      <c r="C2526">
        <v>1710</v>
      </c>
      <c r="D2526">
        <v>47675</v>
      </c>
      <c r="E2526">
        <v>25</v>
      </c>
      <c r="F2526" t="s">
        <v>57</v>
      </c>
      <c r="G2526" t="s">
        <v>169</v>
      </c>
      <c r="H2526" t="s">
        <v>69</v>
      </c>
      <c r="I2526">
        <v>10</v>
      </c>
    </row>
    <row r="2527" spans="1:9" x14ac:dyDescent="0.2">
      <c r="A2527">
        <v>11808641</v>
      </c>
      <c r="B2527">
        <v>5</v>
      </c>
      <c r="C2527">
        <v>1708</v>
      </c>
      <c r="D2527">
        <v>48145</v>
      </c>
      <c r="E2527">
        <v>25</v>
      </c>
      <c r="F2527" t="s">
        <v>57</v>
      </c>
      <c r="G2527" t="s">
        <v>80</v>
      </c>
      <c r="H2527" t="s">
        <v>79</v>
      </c>
      <c r="I2527">
        <v>10</v>
      </c>
    </row>
    <row r="2528" spans="1:9" x14ac:dyDescent="0.2">
      <c r="A2528">
        <v>11862148</v>
      </c>
      <c r="B2528">
        <v>1</v>
      </c>
      <c r="C2528">
        <v>1776</v>
      </c>
      <c r="D2528">
        <v>55170</v>
      </c>
      <c r="E2528">
        <v>25</v>
      </c>
      <c r="F2528" t="s">
        <v>57</v>
      </c>
      <c r="G2528" t="s">
        <v>124</v>
      </c>
      <c r="H2528" t="s">
        <v>125</v>
      </c>
      <c r="I2528">
        <v>10</v>
      </c>
    </row>
    <row r="2529" spans="1:9" x14ac:dyDescent="0.2">
      <c r="A2529">
        <v>11862148</v>
      </c>
      <c r="B2529">
        <v>2</v>
      </c>
      <c r="C2529">
        <v>3229</v>
      </c>
      <c r="D2529">
        <v>55445</v>
      </c>
      <c r="E2529">
        <v>24</v>
      </c>
      <c r="F2529" t="s">
        <v>47</v>
      </c>
      <c r="G2529" t="s">
        <v>101</v>
      </c>
      <c r="H2529" t="s">
        <v>46</v>
      </c>
      <c r="I2529">
        <v>10</v>
      </c>
    </row>
    <row r="2530" spans="1:9" x14ac:dyDescent="0.2">
      <c r="A2530">
        <v>11862148</v>
      </c>
      <c r="B2530">
        <v>3</v>
      </c>
      <c r="C2530">
        <v>1714</v>
      </c>
      <c r="D2530">
        <v>0</v>
      </c>
      <c r="E2530">
        <v>26</v>
      </c>
      <c r="F2530" t="s">
        <v>57</v>
      </c>
      <c r="G2530" t="s">
        <v>95</v>
      </c>
      <c r="H2530" t="s">
        <v>69</v>
      </c>
      <c r="I2530">
        <v>10</v>
      </c>
    </row>
    <row r="2531" spans="1:9" x14ac:dyDescent="0.2">
      <c r="A2531">
        <v>11862148</v>
      </c>
      <c r="B2531">
        <v>4</v>
      </c>
      <c r="C2531">
        <v>3323</v>
      </c>
      <c r="D2531">
        <v>0</v>
      </c>
      <c r="E2531">
        <v>26</v>
      </c>
      <c r="F2531" t="s">
        <v>207</v>
      </c>
      <c r="G2531" t="s">
        <v>124</v>
      </c>
      <c r="H2531" t="s">
        <v>206</v>
      </c>
      <c r="I2531">
        <v>12</v>
      </c>
    </row>
    <row r="2532" spans="1:9" x14ac:dyDescent="0.2">
      <c r="A2532">
        <v>11862148</v>
      </c>
      <c r="B2532">
        <v>5</v>
      </c>
      <c r="C2532">
        <v>1789</v>
      </c>
      <c r="D2532">
        <v>0</v>
      </c>
      <c r="E2532">
        <v>26</v>
      </c>
      <c r="F2532" t="s">
        <v>57</v>
      </c>
      <c r="G2532" t="s">
        <v>122</v>
      </c>
      <c r="H2532" t="s">
        <v>69</v>
      </c>
      <c r="I2532">
        <v>10</v>
      </c>
    </row>
    <row r="2533" spans="1:9" x14ac:dyDescent="0.2">
      <c r="A2533">
        <v>11862148</v>
      </c>
      <c r="B2533">
        <v>6</v>
      </c>
      <c r="C2533">
        <v>1383</v>
      </c>
      <c r="D2533">
        <v>0</v>
      </c>
      <c r="E2533">
        <v>26</v>
      </c>
      <c r="F2533" t="s">
        <v>21</v>
      </c>
      <c r="G2533" t="s">
        <v>124</v>
      </c>
      <c r="H2533" t="s">
        <v>20</v>
      </c>
      <c r="I2533">
        <v>8</v>
      </c>
    </row>
    <row r="2534" spans="1:9" x14ac:dyDescent="0.2">
      <c r="A2534">
        <v>11862148</v>
      </c>
      <c r="B2534">
        <v>7</v>
      </c>
      <c r="C2534">
        <v>1391</v>
      </c>
      <c r="D2534">
        <v>0</v>
      </c>
      <c r="E2534">
        <v>26</v>
      </c>
      <c r="F2534" t="s">
        <v>21</v>
      </c>
      <c r="G2534" t="s">
        <v>122</v>
      </c>
      <c r="H2534" t="s">
        <v>20</v>
      </c>
      <c r="I2534">
        <v>8</v>
      </c>
    </row>
    <row r="2535" spans="1:9" x14ac:dyDescent="0.2">
      <c r="A2535">
        <v>11862148</v>
      </c>
      <c r="B2535">
        <v>8</v>
      </c>
      <c r="C2535">
        <v>3711</v>
      </c>
      <c r="D2535">
        <v>0</v>
      </c>
      <c r="E2535">
        <v>26</v>
      </c>
      <c r="F2535" t="s">
        <v>116</v>
      </c>
      <c r="G2535" t="s">
        <v>95</v>
      </c>
      <c r="H2535" t="s">
        <v>61</v>
      </c>
      <c r="I2535">
        <v>9</v>
      </c>
    </row>
    <row r="2536" spans="1:9" x14ac:dyDescent="0.2">
      <c r="A2536">
        <v>11896191</v>
      </c>
      <c r="B2536">
        <v>1</v>
      </c>
      <c r="C2536">
        <v>3239</v>
      </c>
      <c r="D2536">
        <v>50840</v>
      </c>
      <c r="E2536">
        <v>25</v>
      </c>
      <c r="F2536" t="s">
        <v>47</v>
      </c>
      <c r="G2536" t="s">
        <v>107</v>
      </c>
      <c r="H2536" t="s">
        <v>46</v>
      </c>
      <c r="I2536">
        <v>10</v>
      </c>
    </row>
    <row r="2537" spans="1:9" x14ac:dyDescent="0.2">
      <c r="A2537">
        <v>11896191</v>
      </c>
      <c r="B2537">
        <v>2</v>
      </c>
      <c r="C2537">
        <v>3200</v>
      </c>
      <c r="D2537">
        <v>50110</v>
      </c>
      <c r="E2537">
        <v>25</v>
      </c>
      <c r="F2537" t="s">
        <v>47</v>
      </c>
      <c r="G2537" t="s">
        <v>18</v>
      </c>
      <c r="H2537" t="s">
        <v>46</v>
      </c>
      <c r="I2537">
        <v>10</v>
      </c>
    </row>
    <row r="2538" spans="1:9" x14ac:dyDescent="0.2">
      <c r="A2538">
        <v>11896191</v>
      </c>
      <c r="B2538">
        <v>3</v>
      </c>
      <c r="C2538">
        <v>3047</v>
      </c>
      <c r="D2538">
        <v>51355</v>
      </c>
      <c r="E2538">
        <v>25</v>
      </c>
      <c r="F2538" t="s">
        <v>44</v>
      </c>
      <c r="G2538" t="s">
        <v>200</v>
      </c>
      <c r="H2538" t="s">
        <v>52</v>
      </c>
      <c r="I2538">
        <v>9</v>
      </c>
    </row>
    <row r="2539" spans="1:9" x14ac:dyDescent="0.2">
      <c r="A2539">
        <v>11896191</v>
      </c>
      <c r="B2539">
        <v>4</v>
      </c>
      <c r="C2539">
        <v>3261</v>
      </c>
      <c r="D2539">
        <v>50460</v>
      </c>
      <c r="E2539">
        <v>25</v>
      </c>
      <c r="F2539" t="s">
        <v>47</v>
      </c>
      <c r="G2539" t="s">
        <v>93</v>
      </c>
      <c r="H2539" t="s">
        <v>46</v>
      </c>
      <c r="I2539">
        <v>10</v>
      </c>
    </row>
    <row r="2540" spans="1:9" x14ac:dyDescent="0.2">
      <c r="A2540">
        <v>11896191</v>
      </c>
      <c r="B2540">
        <v>5</v>
      </c>
      <c r="C2540">
        <v>3245</v>
      </c>
      <c r="D2540">
        <v>50840</v>
      </c>
      <c r="E2540">
        <v>25</v>
      </c>
      <c r="F2540" t="s">
        <v>47</v>
      </c>
      <c r="G2540" t="s">
        <v>157</v>
      </c>
      <c r="H2540" t="s">
        <v>74</v>
      </c>
      <c r="I2540">
        <v>10</v>
      </c>
    </row>
    <row r="2541" spans="1:9" x14ac:dyDescent="0.2">
      <c r="A2541">
        <v>11925562</v>
      </c>
      <c r="B2541">
        <v>1</v>
      </c>
      <c r="C2541">
        <v>3296</v>
      </c>
      <c r="D2541">
        <v>0</v>
      </c>
      <c r="E2541">
        <v>9</v>
      </c>
      <c r="F2541" t="s">
        <v>47</v>
      </c>
      <c r="G2541" t="s">
        <v>100</v>
      </c>
      <c r="H2541" t="s">
        <v>46</v>
      </c>
      <c r="I2541">
        <v>10</v>
      </c>
    </row>
    <row r="2542" spans="1:9" x14ac:dyDescent="0.2">
      <c r="A2542">
        <v>11925562</v>
      </c>
      <c r="B2542">
        <v>2</v>
      </c>
      <c r="C2542">
        <v>3239</v>
      </c>
      <c r="D2542">
        <v>0</v>
      </c>
      <c r="E2542">
        <v>9</v>
      </c>
      <c r="F2542" t="s">
        <v>47</v>
      </c>
      <c r="G2542" t="s">
        <v>107</v>
      </c>
      <c r="H2542" t="s">
        <v>46</v>
      </c>
      <c r="I2542">
        <v>10</v>
      </c>
    </row>
    <row r="2543" spans="1:9" x14ac:dyDescent="0.2">
      <c r="A2543">
        <v>11925562</v>
      </c>
      <c r="B2543">
        <v>3</v>
      </c>
      <c r="C2543">
        <v>3200</v>
      </c>
      <c r="D2543">
        <v>0</v>
      </c>
      <c r="E2543">
        <v>9</v>
      </c>
      <c r="F2543" t="s">
        <v>47</v>
      </c>
      <c r="G2543" t="s">
        <v>18</v>
      </c>
      <c r="H2543" t="s">
        <v>46</v>
      </c>
      <c r="I2543">
        <v>10</v>
      </c>
    </row>
    <row r="2544" spans="1:9" x14ac:dyDescent="0.2">
      <c r="A2544">
        <v>11925562</v>
      </c>
      <c r="B2544">
        <v>4</v>
      </c>
      <c r="C2544">
        <v>3234</v>
      </c>
      <c r="D2544">
        <v>0</v>
      </c>
      <c r="E2544">
        <v>9</v>
      </c>
      <c r="F2544" t="s">
        <v>47</v>
      </c>
      <c r="G2544" t="s">
        <v>76</v>
      </c>
      <c r="H2544" t="s">
        <v>46</v>
      </c>
      <c r="I2544">
        <v>10</v>
      </c>
    </row>
    <row r="2545" spans="1:9" x14ac:dyDescent="0.2">
      <c r="A2545">
        <v>11925562</v>
      </c>
      <c r="B2545">
        <v>5</v>
      </c>
      <c r="C2545">
        <v>3245</v>
      </c>
      <c r="D2545">
        <v>0</v>
      </c>
      <c r="E2545">
        <v>9</v>
      </c>
      <c r="F2545" t="s">
        <v>47</v>
      </c>
      <c r="G2545" t="s">
        <v>157</v>
      </c>
      <c r="H2545" t="s">
        <v>74</v>
      </c>
      <c r="I2545">
        <v>10</v>
      </c>
    </row>
    <row r="2546" spans="1:9" x14ac:dyDescent="0.2">
      <c r="A2546">
        <v>11925562</v>
      </c>
      <c r="B2546">
        <v>6</v>
      </c>
      <c r="C2546">
        <v>3261</v>
      </c>
      <c r="D2546">
        <v>0</v>
      </c>
      <c r="E2546">
        <v>9</v>
      </c>
      <c r="F2546" t="s">
        <v>47</v>
      </c>
      <c r="G2546" t="s">
        <v>93</v>
      </c>
      <c r="H2546" t="s">
        <v>46</v>
      </c>
      <c r="I2546">
        <v>10</v>
      </c>
    </row>
    <row r="2547" spans="1:9" x14ac:dyDescent="0.2">
      <c r="A2547">
        <v>11925562</v>
      </c>
      <c r="B2547">
        <v>7</v>
      </c>
      <c r="C2547">
        <v>3244</v>
      </c>
      <c r="D2547">
        <v>0</v>
      </c>
      <c r="E2547">
        <v>9</v>
      </c>
      <c r="F2547" t="s">
        <v>47</v>
      </c>
      <c r="G2547" t="s">
        <v>73</v>
      </c>
      <c r="H2547" t="s">
        <v>74</v>
      </c>
      <c r="I2547">
        <v>10</v>
      </c>
    </row>
    <row r="2548" spans="1:9" x14ac:dyDescent="0.2">
      <c r="A2548">
        <v>11925562</v>
      </c>
      <c r="B2548">
        <v>8</v>
      </c>
      <c r="C2548">
        <v>3252</v>
      </c>
      <c r="D2548">
        <v>0</v>
      </c>
      <c r="E2548">
        <v>9</v>
      </c>
      <c r="F2548" t="s">
        <v>47</v>
      </c>
      <c r="G2548" t="s">
        <v>45</v>
      </c>
      <c r="H2548" t="s">
        <v>46</v>
      </c>
      <c r="I2548">
        <v>10</v>
      </c>
    </row>
    <row r="2549" spans="1:9" x14ac:dyDescent="0.2">
      <c r="A2549">
        <v>11928144</v>
      </c>
      <c r="B2549">
        <v>1</v>
      </c>
      <c r="C2549">
        <v>3248</v>
      </c>
      <c r="D2549">
        <v>0</v>
      </c>
      <c r="E2549">
        <v>36</v>
      </c>
      <c r="F2549" t="s">
        <v>47</v>
      </c>
      <c r="G2549" t="s">
        <v>92</v>
      </c>
      <c r="H2549" t="s">
        <v>46</v>
      </c>
      <c r="I2549">
        <v>10</v>
      </c>
    </row>
    <row r="2550" spans="1:9" x14ac:dyDescent="0.2">
      <c r="A2550">
        <v>11928144</v>
      </c>
      <c r="B2550">
        <v>2</v>
      </c>
      <c r="C2550">
        <v>3261</v>
      </c>
      <c r="D2550">
        <v>0</v>
      </c>
      <c r="E2550">
        <v>36</v>
      </c>
      <c r="F2550" t="s">
        <v>47</v>
      </c>
      <c r="G2550" t="s">
        <v>93</v>
      </c>
      <c r="H2550" t="s">
        <v>46</v>
      </c>
      <c r="I2550">
        <v>10</v>
      </c>
    </row>
    <row r="2551" spans="1:9" x14ac:dyDescent="0.2">
      <c r="A2551">
        <v>11928144</v>
      </c>
      <c r="B2551">
        <v>3</v>
      </c>
      <c r="C2551">
        <v>3252</v>
      </c>
      <c r="D2551">
        <v>0</v>
      </c>
      <c r="E2551">
        <v>36</v>
      </c>
      <c r="F2551" t="s">
        <v>47</v>
      </c>
      <c r="G2551" t="s">
        <v>45</v>
      </c>
      <c r="H2551" t="s">
        <v>46</v>
      </c>
      <c r="I2551">
        <v>10</v>
      </c>
    </row>
    <row r="2552" spans="1:9" x14ac:dyDescent="0.2">
      <c r="A2552">
        <v>11928144</v>
      </c>
      <c r="B2552">
        <v>4</v>
      </c>
      <c r="C2552">
        <v>3244</v>
      </c>
      <c r="D2552">
        <v>0</v>
      </c>
      <c r="E2552">
        <v>36</v>
      </c>
      <c r="F2552" t="s">
        <v>47</v>
      </c>
      <c r="G2552" t="s">
        <v>73</v>
      </c>
      <c r="H2552" t="s">
        <v>74</v>
      </c>
      <c r="I2552">
        <v>10</v>
      </c>
    </row>
    <row r="2553" spans="1:9" x14ac:dyDescent="0.2">
      <c r="A2553">
        <v>11928144</v>
      </c>
      <c r="B2553">
        <v>5</v>
      </c>
      <c r="C2553">
        <v>3214</v>
      </c>
      <c r="D2553">
        <v>0</v>
      </c>
      <c r="E2553">
        <v>36</v>
      </c>
      <c r="F2553" t="s">
        <v>47</v>
      </c>
      <c r="G2553" t="s">
        <v>98</v>
      </c>
      <c r="H2553" t="s">
        <v>74</v>
      </c>
      <c r="I2553">
        <v>10</v>
      </c>
    </row>
    <row r="2554" spans="1:9" x14ac:dyDescent="0.2">
      <c r="A2554">
        <v>11928144</v>
      </c>
      <c r="B2554">
        <v>6</v>
      </c>
      <c r="C2554">
        <v>3213</v>
      </c>
      <c r="D2554">
        <v>0</v>
      </c>
      <c r="E2554">
        <v>36</v>
      </c>
      <c r="F2554" t="s">
        <v>47</v>
      </c>
      <c r="G2554" t="s">
        <v>158</v>
      </c>
      <c r="H2554" t="s">
        <v>74</v>
      </c>
      <c r="I2554">
        <v>10</v>
      </c>
    </row>
    <row r="2555" spans="1:9" x14ac:dyDescent="0.2">
      <c r="A2555">
        <v>11930167</v>
      </c>
      <c r="B2555">
        <v>1</v>
      </c>
      <c r="C2555">
        <v>3252</v>
      </c>
      <c r="D2555">
        <v>49150</v>
      </c>
      <c r="E2555">
        <v>25</v>
      </c>
      <c r="F2555" t="s">
        <v>47</v>
      </c>
      <c r="G2555" t="s">
        <v>45</v>
      </c>
      <c r="H2555" t="s">
        <v>46</v>
      </c>
      <c r="I2555">
        <v>10</v>
      </c>
    </row>
    <row r="2556" spans="1:9" x14ac:dyDescent="0.2">
      <c r="A2556">
        <v>11930167</v>
      </c>
      <c r="B2556">
        <v>2</v>
      </c>
      <c r="C2556">
        <v>3239</v>
      </c>
      <c r="D2556">
        <v>52035</v>
      </c>
      <c r="E2556">
        <v>25</v>
      </c>
      <c r="F2556" t="s">
        <v>47</v>
      </c>
      <c r="G2556" t="s">
        <v>107</v>
      </c>
      <c r="H2556" t="s">
        <v>46</v>
      </c>
      <c r="I2556">
        <v>10</v>
      </c>
    </row>
    <row r="2557" spans="1:9" x14ac:dyDescent="0.2">
      <c r="A2557">
        <v>11930167</v>
      </c>
      <c r="B2557">
        <v>3</v>
      </c>
      <c r="C2557">
        <v>3243</v>
      </c>
      <c r="D2557">
        <v>52320</v>
      </c>
      <c r="E2557">
        <v>25</v>
      </c>
      <c r="F2557" t="s">
        <v>47</v>
      </c>
      <c r="G2557" t="s">
        <v>75</v>
      </c>
      <c r="H2557" t="s">
        <v>46</v>
      </c>
      <c r="I2557">
        <v>10</v>
      </c>
    </row>
    <row r="2558" spans="1:9" x14ac:dyDescent="0.2">
      <c r="A2558">
        <v>11930167</v>
      </c>
      <c r="B2558">
        <v>4</v>
      </c>
      <c r="C2558">
        <v>3261</v>
      </c>
      <c r="D2558">
        <v>49830</v>
      </c>
      <c r="E2558">
        <v>25</v>
      </c>
      <c r="F2558" t="s">
        <v>47</v>
      </c>
      <c r="G2558" t="s">
        <v>93</v>
      </c>
      <c r="H2558" t="s">
        <v>46</v>
      </c>
      <c r="I2558">
        <v>10</v>
      </c>
    </row>
    <row r="2559" spans="1:9" x14ac:dyDescent="0.2">
      <c r="A2559">
        <v>11930167</v>
      </c>
      <c r="B2559">
        <v>5</v>
      </c>
      <c r="C2559">
        <v>3251</v>
      </c>
      <c r="D2559">
        <v>51345</v>
      </c>
      <c r="E2559">
        <v>24</v>
      </c>
      <c r="F2559" t="s">
        <v>47</v>
      </c>
      <c r="G2559" t="s">
        <v>48</v>
      </c>
      <c r="H2559" t="s">
        <v>46</v>
      </c>
      <c r="I2559">
        <v>10</v>
      </c>
    </row>
    <row r="2560" spans="1:9" x14ac:dyDescent="0.2">
      <c r="A2560">
        <v>11950747</v>
      </c>
      <c r="B2560">
        <v>1</v>
      </c>
      <c r="C2560">
        <v>3211</v>
      </c>
      <c r="D2560">
        <v>52500</v>
      </c>
      <c r="E2560">
        <v>24</v>
      </c>
      <c r="F2560" t="s">
        <v>47</v>
      </c>
      <c r="G2560" t="s">
        <v>99</v>
      </c>
      <c r="H2560" t="s">
        <v>46</v>
      </c>
      <c r="I2560">
        <v>10</v>
      </c>
    </row>
    <row r="2561" spans="1:9" x14ac:dyDescent="0.2">
      <c r="A2561">
        <v>11950747</v>
      </c>
      <c r="B2561">
        <v>2</v>
      </c>
      <c r="C2561">
        <v>3252</v>
      </c>
      <c r="D2561">
        <v>0</v>
      </c>
      <c r="E2561">
        <v>26</v>
      </c>
      <c r="F2561" t="s">
        <v>47</v>
      </c>
      <c r="G2561" t="s">
        <v>45</v>
      </c>
      <c r="H2561" t="s">
        <v>46</v>
      </c>
      <c r="I2561">
        <v>10</v>
      </c>
    </row>
    <row r="2562" spans="1:9" x14ac:dyDescent="0.2">
      <c r="A2562">
        <v>11950747</v>
      </c>
      <c r="B2562">
        <v>3</v>
      </c>
      <c r="C2562">
        <v>3239</v>
      </c>
      <c r="D2562">
        <v>0</v>
      </c>
      <c r="E2562">
        <v>26</v>
      </c>
      <c r="F2562" t="s">
        <v>47</v>
      </c>
      <c r="G2562" t="s">
        <v>107</v>
      </c>
      <c r="H2562" t="s">
        <v>46</v>
      </c>
      <c r="I2562">
        <v>10</v>
      </c>
    </row>
    <row r="2563" spans="1:9" x14ac:dyDescent="0.2">
      <c r="A2563">
        <v>11950748</v>
      </c>
      <c r="B2563">
        <v>1</v>
      </c>
      <c r="C2563">
        <v>1924</v>
      </c>
      <c r="D2563">
        <v>49765</v>
      </c>
      <c r="E2563">
        <v>25</v>
      </c>
      <c r="F2563" t="s">
        <v>32</v>
      </c>
      <c r="G2563" t="s">
        <v>30</v>
      </c>
      <c r="H2563" t="s">
        <v>31</v>
      </c>
      <c r="I2563">
        <v>5</v>
      </c>
    </row>
    <row r="2564" spans="1:9" x14ac:dyDescent="0.2">
      <c r="A2564">
        <v>11950748</v>
      </c>
      <c r="B2564">
        <v>2</v>
      </c>
      <c r="C2564">
        <v>2544</v>
      </c>
      <c r="D2564">
        <v>48555</v>
      </c>
      <c r="E2564">
        <v>25</v>
      </c>
      <c r="F2564" t="s">
        <v>175</v>
      </c>
      <c r="G2564" t="s">
        <v>185</v>
      </c>
      <c r="H2564" t="s">
        <v>213</v>
      </c>
      <c r="I2564">
        <v>4</v>
      </c>
    </row>
    <row r="2565" spans="1:9" x14ac:dyDescent="0.2">
      <c r="A2565">
        <v>11950748</v>
      </c>
      <c r="B2565">
        <v>3</v>
      </c>
      <c r="C2565">
        <v>2627</v>
      </c>
      <c r="D2565">
        <v>50670</v>
      </c>
      <c r="E2565">
        <v>25</v>
      </c>
      <c r="F2565" t="s">
        <v>71</v>
      </c>
      <c r="G2565" t="s">
        <v>350</v>
      </c>
      <c r="H2565" t="s">
        <v>281</v>
      </c>
      <c r="I2565">
        <v>5</v>
      </c>
    </row>
    <row r="2566" spans="1:9" x14ac:dyDescent="0.2">
      <c r="A2566">
        <v>11950748</v>
      </c>
      <c r="B2566">
        <v>4</v>
      </c>
      <c r="C2566">
        <v>1338</v>
      </c>
      <c r="D2566">
        <v>51600</v>
      </c>
      <c r="E2566">
        <v>25</v>
      </c>
      <c r="F2566" t="s">
        <v>21</v>
      </c>
      <c r="G2566" t="s">
        <v>342</v>
      </c>
      <c r="H2566" t="s">
        <v>20</v>
      </c>
      <c r="I2566">
        <v>8</v>
      </c>
    </row>
    <row r="2567" spans="1:9" x14ac:dyDescent="0.2">
      <c r="A2567">
        <v>11950748</v>
      </c>
      <c r="B2567">
        <v>5</v>
      </c>
      <c r="C2567">
        <v>3243</v>
      </c>
      <c r="D2567">
        <v>52515</v>
      </c>
      <c r="E2567">
        <v>25</v>
      </c>
      <c r="F2567" t="s">
        <v>47</v>
      </c>
      <c r="G2567" t="s">
        <v>75</v>
      </c>
      <c r="H2567" t="s">
        <v>46</v>
      </c>
      <c r="I2567">
        <v>10</v>
      </c>
    </row>
    <row r="2568" spans="1:9" x14ac:dyDescent="0.2">
      <c r="A2568">
        <v>11950748</v>
      </c>
      <c r="B2568">
        <v>6</v>
      </c>
      <c r="C2568">
        <v>3705</v>
      </c>
      <c r="D2568">
        <v>49575</v>
      </c>
      <c r="E2568">
        <v>24</v>
      </c>
      <c r="F2568" t="s">
        <v>116</v>
      </c>
      <c r="G2568" t="s">
        <v>68</v>
      </c>
      <c r="H2568" t="s">
        <v>61</v>
      </c>
      <c r="I2568">
        <v>9</v>
      </c>
    </row>
    <row r="2569" spans="1:9" x14ac:dyDescent="0.2">
      <c r="A2569">
        <v>11950748</v>
      </c>
      <c r="B2569">
        <v>7</v>
      </c>
      <c r="C2569">
        <v>1342</v>
      </c>
      <c r="D2569">
        <v>0</v>
      </c>
      <c r="E2569">
        <v>26</v>
      </c>
      <c r="F2569" t="s">
        <v>21</v>
      </c>
      <c r="G2569" t="s">
        <v>351</v>
      </c>
      <c r="H2569" t="s">
        <v>20</v>
      </c>
      <c r="I2569">
        <v>8</v>
      </c>
    </row>
    <row r="2570" spans="1:9" x14ac:dyDescent="0.2">
      <c r="A2570">
        <v>11950748</v>
      </c>
      <c r="B2570">
        <v>8</v>
      </c>
      <c r="C2570">
        <v>1352</v>
      </c>
      <c r="D2570">
        <v>0</v>
      </c>
      <c r="E2570">
        <v>26</v>
      </c>
      <c r="F2570" t="s">
        <v>21</v>
      </c>
      <c r="G2570" t="s">
        <v>279</v>
      </c>
      <c r="H2570" t="s">
        <v>20</v>
      </c>
      <c r="I2570">
        <v>8</v>
      </c>
    </row>
    <row r="2571" spans="1:9" x14ac:dyDescent="0.2">
      <c r="A2571">
        <v>11966578</v>
      </c>
      <c r="B2571">
        <v>1</v>
      </c>
      <c r="C2571">
        <v>1740</v>
      </c>
      <c r="D2571">
        <v>65150</v>
      </c>
      <c r="E2571">
        <v>24</v>
      </c>
      <c r="F2571" t="s">
        <v>57</v>
      </c>
      <c r="G2571" t="s">
        <v>209</v>
      </c>
      <c r="H2571" t="s">
        <v>79</v>
      </c>
      <c r="I2571">
        <v>10</v>
      </c>
    </row>
    <row r="2572" spans="1:9" x14ac:dyDescent="0.2">
      <c r="A2572">
        <v>11966578</v>
      </c>
      <c r="B2572">
        <v>2</v>
      </c>
      <c r="C2572">
        <v>1737</v>
      </c>
      <c r="D2572">
        <v>0</v>
      </c>
      <c r="E2572">
        <v>26</v>
      </c>
      <c r="F2572" t="s">
        <v>57</v>
      </c>
      <c r="G2572" t="s">
        <v>54</v>
      </c>
      <c r="H2572" t="s">
        <v>79</v>
      </c>
      <c r="I2572">
        <v>10</v>
      </c>
    </row>
    <row r="2573" spans="1:9" x14ac:dyDescent="0.2">
      <c r="A2573">
        <v>11966578</v>
      </c>
      <c r="B2573">
        <v>3</v>
      </c>
      <c r="C2573">
        <v>1708</v>
      </c>
      <c r="D2573">
        <v>0</v>
      </c>
      <c r="E2573">
        <v>26</v>
      </c>
      <c r="F2573" t="s">
        <v>57</v>
      </c>
      <c r="G2573" t="s">
        <v>80</v>
      </c>
      <c r="H2573" t="s">
        <v>79</v>
      </c>
      <c r="I2573">
        <v>10</v>
      </c>
    </row>
    <row r="2574" spans="1:9" x14ac:dyDescent="0.2">
      <c r="A2574">
        <v>11966578</v>
      </c>
      <c r="B2574">
        <v>4</v>
      </c>
      <c r="C2574">
        <v>3225</v>
      </c>
      <c r="D2574">
        <v>0</v>
      </c>
      <c r="E2574">
        <v>26</v>
      </c>
      <c r="F2574" t="s">
        <v>47</v>
      </c>
      <c r="G2574" t="s">
        <v>106</v>
      </c>
      <c r="H2574" t="s">
        <v>46</v>
      </c>
      <c r="I2574">
        <v>10</v>
      </c>
    </row>
    <row r="2575" spans="1:9" x14ac:dyDescent="0.2">
      <c r="A2575">
        <v>12034820</v>
      </c>
      <c r="B2575">
        <v>1</v>
      </c>
      <c r="C2575">
        <v>3234</v>
      </c>
      <c r="D2575">
        <v>55425</v>
      </c>
      <c r="E2575">
        <v>25</v>
      </c>
      <c r="F2575" t="s">
        <v>47</v>
      </c>
      <c r="G2575" t="s">
        <v>76</v>
      </c>
      <c r="H2575" t="s">
        <v>46</v>
      </c>
      <c r="I2575">
        <v>10</v>
      </c>
    </row>
    <row r="2576" spans="1:9" x14ac:dyDescent="0.2">
      <c r="A2576">
        <v>12034820</v>
      </c>
      <c r="B2576">
        <v>2</v>
      </c>
      <c r="C2576">
        <v>3243</v>
      </c>
      <c r="D2576">
        <v>57085</v>
      </c>
      <c r="E2576">
        <v>24</v>
      </c>
      <c r="F2576" t="s">
        <v>47</v>
      </c>
      <c r="G2576" t="s">
        <v>75</v>
      </c>
      <c r="H2576" t="s">
        <v>46</v>
      </c>
      <c r="I2576">
        <v>10</v>
      </c>
    </row>
    <row r="2577" spans="1:9" x14ac:dyDescent="0.2">
      <c r="A2577">
        <v>12034820</v>
      </c>
      <c r="B2577">
        <v>3</v>
      </c>
      <c r="C2577">
        <v>3246</v>
      </c>
      <c r="D2577">
        <v>0</v>
      </c>
      <c r="E2577">
        <v>26</v>
      </c>
      <c r="F2577" t="s">
        <v>47</v>
      </c>
      <c r="G2577" t="s">
        <v>91</v>
      </c>
      <c r="H2577" t="s">
        <v>74</v>
      </c>
      <c r="I2577">
        <v>10</v>
      </c>
    </row>
    <row r="2578" spans="1:9" x14ac:dyDescent="0.2">
      <c r="A2578">
        <v>12034820</v>
      </c>
      <c r="B2578">
        <v>4</v>
      </c>
      <c r="C2578">
        <v>1756</v>
      </c>
      <c r="D2578">
        <v>0</v>
      </c>
      <c r="E2578">
        <v>26</v>
      </c>
      <c r="F2578" t="s">
        <v>57</v>
      </c>
      <c r="G2578" t="s">
        <v>89</v>
      </c>
      <c r="H2578" t="s">
        <v>69</v>
      </c>
      <c r="I2578">
        <v>10</v>
      </c>
    </row>
    <row r="2579" spans="1:9" x14ac:dyDescent="0.2">
      <c r="A2579">
        <v>12034820</v>
      </c>
      <c r="B2579">
        <v>5</v>
      </c>
      <c r="C2579">
        <v>3252</v>
      </c>
      <c r="D2579">
        <v>0</v>
      </c>
      <c r="E2579">
        <v>26</v>
      </c>
      <c r="F2579" t="s">
        <v>47</v>
      </c>
      <c r="G2579" t="s">
        <v>45</v>
      </c>
      <c r="H2579" t="s">
        <v>46</v>
      </c>
      <c r="I2579">
        <v>10</v>
      </c>
    </row>
    <row r="2580" spans="1:9" x14ac:dyDescent="0.2">
      <c r="A2580">
        <v>12034820</v>
      </c>
      <c r="B2580">
        <v>6</v>
      </c>
      <c r="C2580">
        <v>3242</v>
      </c>
      <c r="D2580">
        <v>0</v>
      </c>
      <c r="E2580">
        <v>26</v>
      </c>
      <c r="F2580" t="s">
        <v>47</v>
      </c>
      <c r="G2580" t="s">
        <v>90</v>
      </c>
      <c r="H2580" t="s">
        <v>46</v>
      </c>
      <c r="I2580">
        <v>10</v>
      </c>
    </row>
    <row r="2581" spans="1:9" x14ac:dyDescent="0.2">
      <c r="A2581">
        <v>12034820</v>
      </c>
      <c r="B2581">
        <v>7</v>
      </c>
      <c r="C2581">
        <v>1777</v>
      </c>
      <c r="D2581">
        <v>0</v>
      </c>
      <c r="E2581">
        <v>26</v>
      </c>
      <c r="F2581" t="s">
        <v>57</v>
      </c>
      <c r="G2581" t="s">
        <v>88</v>
      </c>
      <c r="H2581" t="s">
        <v>69</v>
      </c>
      <c r="I2581">
        <v>10</v>
      </c>
    </row>
    <row r="2582" spans="1:9" x14ac:dyDescent="0.2">
      <c r="A2582">
        <v>12034820</v>
      </c>
      <c r="B2582">
        <v>8</v>
      </c>
      <c r="C2582">
        <v>1788</v>
      </c>
      <c r="D2582">
        <v>0</v>
      </c>
      <c r="E2582">
        <v>26</v>
      </c>
      <c r="F2582" t="s">
        <v>57</v>
      </c>
      <c r="G2582" t="s">
        <v>97</v>
      </c>
      <c r="H2582" t="s">
        <v>56</v>
      </c>
      <c r="I2582">
        <v>10</v>
      </c>
    </row>
    <row r="2583" spans="1:9" x14ac:dyDescent="0.2">
      <c r="A2583">
        <v>12054675</v>
      </c>
      <c r="B2583">
        <v>1</v>
      </c>
      <c r="C2583">
        <v>1788</v>
      </c>
      <c r="D2583">
        <v>53370</v>
      </c>
      <c r="E2583">
        <v>25</v>
      </c>
      <c r="F2583" t="s">
        <v>57</v>
      </c>
      <c r="G2583" t="s">
        <v>97</v>
      </c>
      <c r="H2583" t="s">
        <v>56</v>
      </c>
      <c r="I2583">
        <v>10</v>
      </c>
    </row>
    <row r="2584" spans="1:9" x14ac:dyDescent="0.2">
      <c r="A2584">
        <v>12054675</v>
      </c>
      <c r="B2584">
        <v>2</v>
      </c>
      <c r="C2584">
        <v>3252</v>
      </c>
      <c r="D2584">
        <v>52950</v>
      </c>
      <c r="E2584">
        <v>24</v>
      </c>
      <c r="F2584" t="s">
        <v>47</v>
      </c>
      <c r="G2584" t="s">
        <v>45</v>
      </c>
      <c r="H2584" t="s">
        <v>46</v>
      </c>
      <c r="I2584">
        <v>10</v>
      </c>
    </row>
    <row r="2585" spans="1:9" x14ac:dyDescent="0.2">
      <c r="A2585">
        <v>12054675</v>
      </c>
      <c r="B2585">
        <v>3</v>
      </c>
      <c r="C2585">
        <v>3246</v>
      </c>
      <c r="D2585">
        <v>0</v>
      </c>
      <c r="E2585">
        <v>26</v>
      </c>
      <c r="F2585" t="s">
        <v>47</v>
      </c>
      <c r="G2585" t="s">
        <v>91</v>
      </c>
      <c r="H2585" t="s">
        <v>74</v>
      </c>
      <c r="I2585">
        <v>10</v>
      </c>
    </row>
    <row r="2586" spans="1:9" x14ac:dyDescent="0.2">
      <c r="A2586">
        <v>12054675</v>
      </c>
      <c r="B2586">
        <v>4</v>
      </c>
      <c r="C2586">
        <v>3243</v>
      </c>
      <c r="D2586">
        <v>0</v>
      </c>
      <c r="E2586">
        <v>26</v>
      </c>
      <c r="F2586" t="s">
        <v>47</v>
      </c>
      <c r="G2586" t="s">
        <v>75</v>
      </c>
      <c r="H2586" t="s">
        <v>46</v>
      </c>
      <c r="I2586">
        <v>10</v>
      </c>
    </row>
    <row r="2587" spans="1:9" x14ac:dyDescent="0.2">
      <c r="A2587">
        <v>12059356</v>
      </c>
      <c r="B2587">
        <v>1</v>
      </c>
      <c r="C2587">
        <v>3261</v>
      </c>
      <c r="D2587">
        <v>0</v>
      </c>
      <c r="E2587">
        <v>36</v>
      </c>
      <c r="F2587" t="s">
        <v>47</v>
      </c>
      <c r="G2587" t="s">
        <v>93</v>
      </c>
      <c r="H2587" t="s">
        <v>46</v>
      </c>
      <c r="I2587">
        <v>10</v>
      </c>
    </row>
    <row r="2588" spans="1:9" x14ac:dyDescent="0.2">
      <c r="A2588">
        <v>12059356</v>
      </c>
      <c r="B2588">
        <v>2</v>
      </c>
      <c r="C2588">
        <v>3239</v>
      </c>
      <c r="D2588">
        <v>0</v>
      </c>
      <c r="E2588">
        <v>36</v>
      </c>
      <c r="F2588" t="s">
        <v>47</v>
      </c>
      <c r="G2588" t="s">
        <v>107</v>
      </c>
      <c r="H2588" t="s">
        <v>46</v>
      </c>
      <c r="I2588">
        <v>10</v>
      </c>
    </row>
    <row r="2589" spans="1:9" x14ac:dyDescent="0.2">
      <c r="A2589">
        <v>12059356</v>
      </c>
      <c r="B2589">
        <v>3</v>
      </c>
      <c r="C2589">
        <v>3248</v>
      </c>
      <c r="D2589">
        <v>0</v>
      </c>
      <c r="E2589">
        <v>36</v>
      </c>
      <c r="F2589" t="s">
        <v>47</v>
      </c>
      <c r="G2589" t="s">
        <v>92</v>
      </c>
      <c r="H2589" t="s">
        <v>46</v>
      </c>
      <c r="I2589">
        <v>10</v>
      </c>
    </row>
    <row r="2590" spans="1:9" x14ac:dyDescent="0.2">
      <c r="A2590">
        <v>12059356</v>
      </c>
      <c r="B2590">
        <v>4</v>
      </c>
      <c r="C2590">
        <v>3251</v>
      </c>
      <c r="D2590">
        <v>0</v>
      </c>
      <c r="E2590">
        <v>36</v>
      </c>
      <c r="F2590" t="s">
        <v>47</v>
      </c>
      <c r="G2590" t="s">
        <v>48</v>
      </c>
      <c r="H2590" t="s">
        <v>46</v>
      </c>
      <c r="I2590">
        <v>10</v>
      </c>
    </row>
    <row r="2591" spans="1:9" x14ac:dyDescent="0.2">
      <c r="A2591">
        <v>12059356</v>
      </c>
      <c r="B2591">
        <v>5</v>
      </c>
      <c r="C2591">
        <v>3229</v>
      </c>
      <c r="D2591">
        <v>0</v>
      </c>
      <c r="E2591">
        <v>36</v>
      </c>
      <c r="F2591" t="s">
        <v>47</v>
      </c>
      <c r="G2591" t="s">
        <v>101</v>
      </c>
      <c r="H2591" t="s">
        <v>46</v>
      </c>
      <c r="I2591">
        <v>10</v>
      </c>
    </row>
    <row r="2592" spans="1:9" x14ac:dyDescent="0.2">
      <c r="A2592">
        <v>12059356</v>
      </c>
      <c r="B2592">
        <v>6</v>
      </c>
      <c r="C2592">
        <v>3269</v>
      </c>
      <c r="D2592">
        <v>0</v>
      </c>
      <c r="E2592">
        <v>36</v>
      </c>
      <c r="F2592" t="s">
        <v>47</v>
      </c>
      <c r="G2592" t="s">
        <v>180</v>
      </c>
      <c r="H2592" t="s">
        <v>46</v>
      </c>
      <c r="I2592">
        <v>10</v>
      </c>
    </row>
    <row r="2593" spans="1:9" x14ac:dyDescent="0.2">
      <c r="A2593">
        <v>12059356</v>
      </c>
      <c r="B2593">
        <v>7</v>
      </c>
      <c r="C2593">
        <v>3296</v>
      </c>
      <c r="D2593">
        <v>0</v>
      </c>
      <c r="E2593">
        <v>36</v>
      </c>
      <c r="F2593" t="s">
        <v>47</v>
      </c>
      <c r="G2593" t="s">
        <v>100</v>
      </c>
      <c r="H2593" t="s">
        <v>46</v>
      </c>
      <c r="I2593">
        <v>10</v>
      </c>
    </row>
    <row r="2594" spans="1:9" x14ac:dyDescent="0.2">
      <c r="A2594">
        <v>12059356</v>
      </c>
      <c r="B2594">
        <v>8</v>
      </c>
      <c r="C2594">
        <v>3252</v>
      </c>
      <c r="D2594">
        <v>0</v>
      </c>
      <c r="E2594">
        <v>36</v>
      </c>
      <c r="F2594" t="s">
        <v>47</v>
      </c>
      <c r="G2594" t="s">
        <v>45</v>
      </c>
      <c r="H2594" t="s">
        <v>46</v>
      </c>
      <c r="I2594">
        <v>10</v>
      </c>
    </row>
    <row r="2595" spans="1:9" x14ac:dyDescent="0.2">
      <c r="A2595">
        <v>12092859</v>
      </c>
      <c r="B2595">
        <v>1</v>
      </c>
      <c r="C2595">
        <v>1705</v>
      </c>
      <c r="D2595">
        <v>59740</v>
      </c>
      <c r="E2595">
        <v>25</v>
      </c>
      <c r="F2595" t="s">
        <v>57</v>
      </c>
      <c r="G2595" t="s">
        <v>102</v>
      </c>
      <c r="H2595" t="s">
        <v>69</v>
      </c>
      <c r="I2595">
        <v>10</v>
      </c>
    </row>
    <row r="2596" spans="1:9" x14ac:dyDescent="0.2">
      <c r="A2596">
        <v>12092859</v>
      </c>
      <c r="B2596">
        <v>2</v>
      </c>
      <c r="C2596">
        <v>1711</v>
      </c>
      <c r="D2596">
        <v>61105</v>
      </c>
      <c r="E2596">
        <v>24</v>
      </c>
      <c r="F2596" t="s">
        <v>57</v>
      </c>
      <c r="G2596" t="s">
        <v>201</v>
      </c>
      <c r="H2596" t="s">
        <v>69</v>
      </c>
      <c r="I2596">
        <v>10</v>
      </c>
    </row>
    <row r="2597" spans="1:9" x14ac:dyDescent="0.2">
      <c r="A2597">
        <v>12092859</v>
      </c>
      <c r="B2597">
        <v>3</v>
      </c>
      <c r="C2597">
        <v>1715</v>
      </c>
      <c r="D2597">
        <v>0</v>
      </c>
      <c r="E2597">
        <v>26</v>
      </c>
      <c r="F2597" t="s">
        <v>57</v>
      </c>
      <c r="G2597" t="s">
        <v>151</v>
      </c>
      <c r="H2597" t="s">
        <v>69</v>
      </c>
      <c r="I2597">
        <v>10</v>
      </c>
    </row>
    <row r="2598" spans="1:9" x14ac:dyDescent="0.2">
      <c r="A2598">
        <v>12092859</v>
      </c>
      <c r="B2598">
        <v>4</v>
      </c>
      <c r="C2598">
        <v>1701</v>
      </c>
      <c r="D2598">
        <v>0</v>
      </c>
      <c r="E2598">
        <v>26</v>
      </c>
      <c r="F2598" t="s">
        <v>57</v>
      </c>
      <c r="G2598" t="s">
        <v>96</v>
      </c>
      <c r="H2598" t="s">
        <v>69</v>
      </c>
      <c r="I2598">
        <v>10</v>
      </c>
    </row>
    <row r="2599" spans="1:9" x14ac:dyDescent="0.2">
      <c r="A2599">
        <v>12092859</v>
      </c>
      <c r="B2599">
        <v>5</v>
      </c>
      <c r="C2599">
        <v>3020</v>
      </c>
      <c r="D2599">
        <v>0</v>
      </c>
      <c r="E2599">
        <v>26</v>
      </c>
      <c r="F2599" t="s">
        <v>44</v>
      </c>
      <c r="G2599" t="s">
        <v>102</v>
      </c>
      <c r="H2599" t="s">
        <v>50</v>
      </c>
      <c r="I2599">
        <v>9</v>
      </c>
    </row>
    <row r="2600" spans="1:9" x14ac:dyDescent="0.2">
      <c r="A2600">
        <v>12092859</v>
      </c>
      <c r="B2600">
        <v>6</v>
      </c>
      <c r="C2600">
        <v>3226</v>
      </c>
      <c r="D2600">
        <v>0</v>
      </c>
      <c r="E2600">
        <v>26</v>
      </c>
      <c r="F2600" t="s">
        <v>47</v>
      </c>
      <c r="G2600" t="s">
        <v>96</v>
      </c>
      <c r="H2600" t="s">
        <v>46</v>
      </c>
      <c r="I2600">
        <v>10</v>
      </c>
    </row>
    <row r="2601" spans="1:9" x14ac:dyDescent="0.2">
      <c r="A2601">
        <v>12092859</v>
      </c>
      <c r="B2601">
        <v>7</v>
      </c>
      <c r="C2601">
        <v>3060</v>
      </c>
      <c r="D2601">
        <v>0</v>
      </c>
      <c r="E2601">
        <v>26</v>
      </c>
      <c r="F2601" t="s">
        <v>44</v>
      </c>
      <c r="G2601" t="s">
        <v>51</v>
      </c>
      <c r="H2601" t="s">
        <v>52</v>
      </c>
      <c r="I2601">
        <v>9</v>
      </c>
    </row>
    <row r="2602" spans="1:9" x14ac:dyDescent="0.2">
      <c r="A2602">
        <v>12092859</v>
      </c>
      <c r="B2602">
        <v>8</v>
      </c>
      <c r="C2602">
        <v>3032</v>
      </c>
      <c r="D2602">
        <v>0</v>
      </c>
      <c r="E2602">
        <v>26</v>
      </c>
      <c r="F2602" t="s">
        <v>44</v>
      </c>
      <c r="G2602" t="s">
        <v>151</v>
      </c>
      <c r="H2602" t="s">
        <v>50</v>
      </c>
      <c r="I2602">
        <v>9</v>
      </c>
    </row>
    <row r="2603" spans="1:9" x14ac:dyDescent="0.2">
      <c r="A2603">
        <v>12105560</v>
      </c>
      <c r="B2603">
        <v>1</v>
      </c>
      <c r="C2603">
        <v>3248</v>
      </c>
      <c r="D2603">
        <v>49835</v>
      </c>
      <c r="E2603">
        <v>24</v>
      </c>
      <c r="F2603" t="s">
        <v>47</v>
      </c>
      <c r="G2603" t="s">
        <v>92</v>
      </c>
      <c r="H2603" t="s">
        <v>46</v>
      </c>
      <c r="I2603">
        <v>10</v>
      </c>
    </row>
    <row r="2604" spans="1:9" x14ac:dyDescent="0.2">
      <c r="A2604">
        <v>12105560</v>
      </c>
      <c r="B2604">
        <v>2</v>
      </c>
      <c r="C2604">
        <v>3261</v>
      </c>
      <c r="D2604">
        <v>0</v>
      </c>
      <c r="E2604">
        <v>26</v>
      </c>
      <c r="F2604" t="s">
        <v>47</v>
      </c>
      <c r="G2604" t="s">
        <v>93</v>
      </c>
      <c r="H2604" t="s">
        <v>46</v>
      </c>
      <c r="I2604">
        <v>10</v>
      </c>
    </row>
    <row r="2605" spans="1:9" x14ac:dyDescent="0.2">
      <c r="A2605">
        <v>12105560</v>
      </c>
      <c r="B2605">
        <v>3</v>
      </c>
      <c r="C2605">
        <v>3234</v>
      </c>
      <c r="D2605">
        <v>0</v>
      </c>
      <c r="E2605">
        <v>26</v>
      </c>
      <c r="F2605" t="s">
        <v>47</v>
      </c>
      <c r="G2605" t="s">
        <v>76</v>
      </c>
      <c r="H2605" t="s">
        <v>46</v>
      </c>
      <c r="I2605">
        <v>10</v>
      </c>
    </row>
    <row r="2606" spans="1:9" x14ac:dyDescent="0.2">
      <c r="A2606">
        <v>12105560</v>
      </c>
      <c r="B2606">
        <v>4</v>
      </c>
      <c r="C2606">
        <v>3243</v>
      </c>
      <c r="D2606">
        <v>0</v>
      </c>
      <c r="E2606">
        <v>26</v>
      </c>
      <c r="F2606" t="s">
        <v>47</v>
      </c>
      <c r="G2606" t="s">
        <v>75</v>
      </c>
      <c r="H2606" t="s">
        <v>46</v>
      </c>
      <c r="I2606">
        <v>10</v>
      </c>
    </row>
    <row r="2607" spans="1:9" x14ac:dyDescent="0.2">
      <c r="A2607">
        <v>12105560</v>
      </c>
      <c r="B2607">
        <v>5</v>
      </c>
      <c r="C2607">
        <v>3252</v>
      </c>
      <c r="D2607">
        <v>0</v>
      </c>
      <c r="E2607">
        <v>26</v>
      </c>
      <c r="F2607" t="s">
        <v>47</v>
      </c>
      <c r="G2607" t="s">
        <v>45</v>
      </c>
      <c r="H2607" t="s">
        <v>46</v>
      </c>
      <c r="I2607">
        <v>10</v>
      </c>
    </row>
    <row r="2608" spans="1:9" x14ac:dyDescent="0.2">
      <c r="A2608">
        <v>12105560</v>
      </c>
      <c r="B2608">
        <v>6</v>
      </c>
      <c r="C2608">
        <v>3251</v>
      </c>
      <c r="D2608">
        <v>0</v>
      </c>
      <c r="E2608">
        <v>26</v>
      </c>
      <c r="F2608" t="s">
        <v>47</v>
      </c>
      <c r="G2608" t="s">
        <v>48</v>
      </c>
      <c r="H2608" t="s">
        <v>46</v>
      </c>
      <c r="I2608">
        <v>10</v>
      </c>
    </row>
    <row r="2609" spans="1:9" x14ac:dyDescent="0.2">
      <c r="A2609">
        <v>12105560</v>
      </c>
      <c r="B2609">
        <v>7</v>
      </c>
      <c r="C2609">
        <v>3242</v>
      </c>
      <c r="D2609">
        <v>0</v>
      </c>
      <c r="E2609">
        <v>26</v>
      </c>
      <c r="F2609" t="s">
        <v>47</v>
      </c>
      <c r="G2609" t="s">
        <v>90</v>
      </c>
      <c r="H2609" t="s">
        <v>46</v>
      </c>
      <c r="I2609">
        <v>10</v>
      </c>
    </row>
    <row r="2610" spans="1:9" x14ac:dyDescent="0.2">
      <c r="A2610">
        <v>12105560</v>
      </c>
      <c r="B2610">
        <v>8</v>
      </c>
      <c r="C2610">
        <v>3245</v>
      </c>
      <c r="D2610">
        <v>0</v>
      </c>
      <c r="E2610">
        <v>26</v>
      </c>
      <c r="F2610" t="s">
        <v>47</v>
      </c>
      <c r="G2610" t="s">
        <v>157</v>
      </c>
      <c r="H2610" t="s">
        <v>74</v>
      </c>
      <c r="I2610">
        <v>10</v>
      </c>
    </row>
    <row r="2611" spans="1:9" x14ac:dyDescent="0.2">
      <c r="A2611">
        <v>12115935</v>
      </c>
      <c r="B2611">
        <v>1</v>
      </c>
      <c r="C2611">
        <v>3239</v>
      </c>
      <c r="D2611">
        <v>59380</v>
      </c>
      <c r="E2611">
        <v>24</v>
      </c>
      <c r="F2611" t="s">
        <v>47</v>
      </c>
      <c r="G2611" t="s">
        <v>107</v>
      </c>
      <c r="H2611" t="s">
        <v>46</v>
      </c>
      <c r="I2611">
        <v>10</v>
      </c>
    </row>
    <row r="2612" spans="1:9" x14ac:dyDescent="0.2">
      <c r="A2612">
        <v>12115935</v>
      </c>
      <c r="B2612">
        <v>2</v>
      </c>
      <c r="C2612">
        <v>3251</v>
      </c>
      <c r="D2612">
        <v>0</v>
      </c>
      <c r="E2612">
        <v>26</v>
      </c>
      <c r="F2612" t="s">
        <v>47</v>
      </c>
      <c r="G2612" t="s">
        <v>48</v>
      </c>
      <c r="H2612" t="s">
        <v>46</v>
      </c>
      <c r="I2612">
        <v>10</v>
      </c>
    </row>
    <row r="2613" spans="1:9" x14ac:dyDescent="0.2">
      <c r="A2613">
        <v>12115935</v>
      </c>
      <c r="B2613">
        <v>3</v>
      </c>
      <c r="C2613">
        <v>1333</v>
      </c>
      <c r="D2613">
        <v>0</v>
      </c>
      <c r="E2613">
        <v>26</v>
      </c>
      <c r="F2613" t="s">
        <v>21</v>
      </c>
      <c r="G2613" t="s">
        <v>406</v>
      </c>
      <c r="H2613" t="s">
        <v>20</v>
      </c>
      <c r="I2613">
        <v>8</v>
      </c>
    </row>
    <row r="2614" spans="1:9" x14ac:dyDescent="0.2">
      <c r="A2614">
        <v>12115935</v>
      </c>
      <c r="B2614">
        <v>4</v>
      </c>
      <c r="C2614">
        <v>3047</v>
      </c>
      <c r="D2614">
        <v>0</v>
      </c>
      <c r="E2614">
        <v>26</v>
      </c>
      <c r="F2614" t="s">
        <v>44</v>
      </c>
      <c r="G2614" t="s">
        <v>200</v>
      </c>
      <c r="H2614" t="s">
        <v>52</v>
      </c>
      <c r="I2614">
        <v>9</v>
      </c>
    </row>
    <row r="2615" spans="1:9" x14ac:dyDescent="0.2">
      <c r="A2615">
        <v>12115935</v>
      </c>
      <c r="B2615">
        <v>5</v>
      </c>
      <c r="C2615">
        <v>2645</v>
      </c>
      <c r="D2615">
        <v>0</v>
      </c>
      <c r="E2615">
        <v>26</v>
      </c>
      <c r="F2615" t="s">
        <v>71</v>
      </c>
      <c r="G2615" t="s">
        <v>407</v>
      </c>
      <c r="H2615" t="s">
        <v>24</v>
      </c>
      <c r="I2615">
        <v>5</v>
      </c>
    </row>
    <row r="2616" spans="1:9" x14ac:dyDescent="0.2">
      <c r="A2616">
        <v>12115935</v>
      </c>
      <c r="B2616">
        <v>6</v>
      </c>
      <c r="C2616">
        <v>1774</v>
      </c>
      <c r="D2616">
        <v>0</v>
      </c>
      <c r="E2616">
        <v>26</v>
      </c>
      <c r="F2616" t="s">
        <v>57</v>
      </c>
      <c r="G2616" t="s">
        <v>296</v>
      </c>
      <c r="H2616" t="s">
        <v>69</v>
      </c>
      <c r="I2616">
        <v>10</v>
      </c>
    </row>
    <row r="2617" spans="1:9" x14ac:dyDescent="0.2">
      <c r="A2617">
        <v>12115935</v>
      </c>
      <c r="B2617">
        <v>7</v>
      </c>
      <c r="C2617">
        <v>2056</v>
      </c>
      <c r="D2617">
        <v>0</v>
      </c>
      <c r="E2617">
        <v>16</v>
      </c>
      <c r="F2617" t="s">
        <v>132</v>
      </c>
      <c r="G2617" t="s">
        <v>408</v>
      </c>
      <c r="H2617" t="s">
        <v>311</v>
      </c>
      <c r="I2617" t="s">
        <v>448</v>
      </c>
    </row>
    <row r="2618" spans="1:9" x14ac:dyDescent="0.2">
      <c r="A2618">
        <v>12115935</v>
      </c>
      <c r="B2618">
        <v>8</v>
      </c>
      <c r="C2618">
        <v>1694</v>
      </c>
      <c r="D2618">
        <v>0</v>
      </c>
      <c r="E2618">
        <v>17</v>
      </c>
      <c r="F2618" t="s">
        <v>128</v>
      </c>
      <c r="G2618" t="s">
        <v>409</v>
      </c>
      <c r="H2618" t="s">
        <v>127</v>
      </c>
      <c r="I2618" t="s">
        <v>448</v>
      </c>
    </row>
    <row r="2619" spans="1:9" x14ac:dyDescent="0.2">
      <c r="A2619">
        <v>12119798</v>
      </c>
      <c r="B2619">
        <v>1</v>
      </c>
      <c r="C2619">
        <v>3239</v>
      </c>
      <c r="D2619">
        <v>47555</v>
      </c>
      <c r="E2619">
        <v>25</v>
      </c>
      <c r="F2619" t="s">
        <v>47</v>
      </c>
      <c r="G2619" t="s">
        <v>107</v>
      </c>
      <c r="H2619" t="s">
        <v>46</v>
      </c>
      <c r="I2619">
        <v>10</v>
      </c>
    </row>
    <row r="2620" spans="1:9" x14ac:dyDescent="0.2">
      <c r="A2620">
        <v>12119798</v>
      </c>
      <c r="B2620">
        <v>2</v>
      </c>
      <c r="C2620">
        <v>3252</v>
      </c>
      <c r="D2620">
        <v>47585</v>
      </c>
      <c r="E2620">
        <v>25</v>
      </c>
      <c r="F2620" t="s">
        <v>47</v>
      </c>
      <c r="G2620" t="s">
        <v>45</v>
      </c>
      <c r="H2620" t="s">
        <v>46</v>
      </c>
      <c r="I2620">
        <v>10</v>
      </c>
    </row>
    <row r="2621" spans="1:9" x14ac:dyDescent="0.2">
      <c r="A2621">
        <v>12119798</v>
      </c>
      <c r="B2621">
        <v>3</v>
      </c>
      <c r="C2621">
        <v>3243</v>
      </c>
      <c r="D2621">
        <v>47475</v>
      </c>
      <c r="E2621">
        <v>25</v>
      </c>
      <c r="F2621" t="s">
        <v>47</v>
      </c>
      <c r="G2621" t="s">
        <v>75</v>
      </c>
      <c r="H2621" t="s">
        <v>46</v>
      </c>
      <c r="I2621">
        <v>10</v>
      </c>
    </row>
    <row r="2622" spans="1:9" x14ac:dyDescent="0.2">
      <c r="A2622">
        <v>12119798</v>
      </c>
      <c r="B2622">
        <v>4</v>
      </c>
      <c r="C2622">
        <v>3234</v>
      </c>
      <c r="D2622">
        <v>47355</v>
      </c>
      <c r="E2622">
        <v>25</v>
      </c>
      <c r="F2622" t="s">
        <v>47</v>
      </c>
      <c r="G2622" t="s">
        <v>76</v>
      </c>
      <c r="H2622" t="s">
        <v>46</v>
      </c>
      <c r="I2622">
        <v>10</v>
      </c>
    </row>
    <row r="2623" spans="1:9" x14ac:dyDescent="0.2">
      <c r="A2623">
        <v>12119798</v>
      </c>
      <c r="B2623">
        <v>5</v>
      </c>
      <c r="C2623">
        <v>3296</v>
      </c>
      <c r="D2623">
        <v>47770</v>
      </c>
      <c r="E2623">
        <v>25</v>
      </c>
      <c r="F2623" t="s">
        <v>47</v>
      </c>
      <c r="G2623" t="s">
        <v>100</v>
      </c>
      <c r="H2623" t="s">
        <v>46</v>
      </c>
      <c r="I2623">
        <v>10</v>
      </c>
    </row>
    <row r="2624" spans="1:9" x14ac:dyDescent="0.2">
      <c r="A2624">
        <v>12119798</v>
      </c>
      <c r="B2624">
        <v>6</v>
      </c>
      <c r="C2624">
        <v>3242</v>
      </c>
      <c r="D2624">
        <v>47685</v>
      </c>
      <c r="E2624">
        <v>25</v>
      </c>
      <c r="F2624" t="s">
        <v>47</v>
      </c>
      <c r="G2624" t="s">
        <v>90</v>
      </c>
      <c r="H2624" t="s">
        <v>46</v>
      </c>
      <c r="I2624">
        <v>10</v>
      </c>
    </row>
    <row r="2625" spans="1:9" x14ac:dyDescent="0.2">
      <c r="A2625">
        <v>12122609</v>
      </c>
      <c r="B2625">
        <v>1</v>
      </c>
      <c r="C2625">
        <v>1731</v>
      </c>
      <c r="D2625">
        <v>69035</v>
      </c>
      <c r="E2625">
        <v>25</v>
      </c>
      <c r="F2625" t="s">
        <v>57</v>
      </c>
      <c r="G2625" t="s">
        <v>172</v>
      </c>
      <c r="H2625" t="s">
        <v>69</v>
      </c>
      <c r="I2625">
        <v>10</v>
      </c>
    </row>
    <row r="2626" spans="1:9" x14ac:dyDescent="0.2">
      <c r="A2626">
        <v>12122609</v>
      </c>
      <c r="B2626">
        <v>2</v>
      </c>
      <c r="C2626">
        <v>1713</v>
      </c>
      <c r="D2626">
        <v>69035</v>
      </c>
      <c r="E2626">
        <v>25</v>
      </c>
      <c r="F2626" t="s">
        <v>57</v>
      </c>
      <c r="G2626" t="s">
        <v>170</v>
      </c>
      <c r="H2626" t="s">
        <v>69</v>
      </c>
      <c r="I2626">
        <v>10</v>
      </c>
    </row>
    <row r="2627" spans="1:9" x14ac:dyDescent="0.2">
      <c r="A2627">
        <v>12122609</v>
      </c>
      <c r="B2627">
        <v>3</v>
      </c>
      <c r="C2627">
        <v>3026</v>
      </c>
      <c r="D2627">
        <v>67860</v>
      </c>
      <c r="E2627">
        <v>25</v>
      </c>
      <c r="F2627" t="s">
        <v>44</v>
      </c>
      <c r="G2627" t="s">
        <v>170</v>
      </c>
      <c r="H2627" t="s">
        <v>50</v>
      </c>
      <c r="I2627">
        <v>9</v>
      </c>
    </row>
    <row r="2628" spans="1:9" x14ac:dyDescent="0.2">
      <c r="A2628">
        <v>12122609</v>
      </c>
      <c r="B2628">
        <v>4</v>
      </c>
      <c r="C2628">
        <v>1178</v>
      </c>
      <c r="D2628">
        <v>67220</v>
      </c>
      <c r="E2628">
        <v>25</v>
      </c>
      <c r="F2628" t="s">
        <v>17</v>
      </c>
      <c r="G2628" t="s">
        <v>238</v>
      </c>
      <c r="H2628" t="s">
        <v>16</v>
      </c>
      <c r="I2628" t="s">
        <v>448</v>
      </c>
    </row>
    <row r="2629" spans="1:9" x14ac:dyDescent="0.2">
      <c r="A2629">
        <v>12122609</v>
      </c>
      <c r="B2629">
        <v>5</v>
      </c>
      <c r="C2629">
        <v>1939</v>
      </c>
      <c r="D2629">
        <v>69095</v>
      </c>
      <c r="E2629">
        <v>25</v>
      </c>
      <c r="F2629" t="s">
        <v>32</v>
      </c>
      <c r="G2629" t="s">
        <v>170</v>
      </c>
      <c r="H2629" t="s">
        <v>239</v>
      </c>
      <c r="I2629">
        <v>5</v>
      </c>
    </row>
    <row r="2630" spans="1:9" x14ac:dyDescent="0.2">
      <c r="A2630">
        <v>12122609</v>
      </c>
      <c r="B2630">
        <v>6</v>
      </c>
      <c r="C2630">
        <v>3620</v>
      </c>
      <c r="D2630">
        <v>68390</v>
      </c>
      <c r="E2630">
        <v>25</v>
      </c>
      <c r="F2630" t="s">
        <v>108</v>
      </c>
      <c r="G2630" t="s">
        <v>170</v>
      </c>
      <c r="H2630" t="s">
        <v>20</v>
      </c>
      <c r="I2630">
        <v>8</v>
      </c>
    </row>
    <row r="2631" spans="1:9" x14ac:dyDescent="0.2">
      <c r="A2631">
        <v>12122609</v>
      </c>
      <c r="B2631">
        <v>7</v>
      </c>
      <c r="C2631">
        <v>2447</v>
      </c>
      <c r="D2631">
        <v>67490</v>
      </c>
      <c r="E2631">
        <v>25</v>
      </c>
      <c r="F2631" t="s">
        <v>42</v>
      </c>
      <c r="G2631" t="s">
        <v>170</v>
      </c>
      <c r="H2631" t="s">
        <v>220</v>
      </c>
      <c r="I2631">
        <v>2</v>
      </c>
    </row>
    <row r="2632" spans="1:9" x14ac:dyDescent="0.2">
      <c r="A2632">
        <v>12122609</v>
      </c>
      <c r="B2632">
        <v>8</v>
      </c>
      <c r="C2632">
        <v>1728</v>
      </c>
      <c r="D2632">
        <v>69035</v>
      </c>
      <c r="E2632">
        <v>24</v>
      </c>
      <c r="F2632" t="s">
        <v>57</v>
      </c>
      <c r="G2632" t="s">
        <v>103</v>
      </c>
      <c r="H2632" t="s">
        <v>69</v>
      </c>
      <c r="I2632">
        <v>10</v>
      </c>
    </row>
    <row r="2633" spans="1:9" x14ac:dyDescent="0.2">
      <c r="A2633">
        <v>12125403</v>
      </c>
      <c r="B2633">
        <v>1</v>
      </c>
      <c r="C2633">
        <v>1782</v>
      </c>
      <c r="D2633">
        <v>72515</v>
      </c>
      <c r="E2633">
        <v>24</v>
      </c>
      <c r="F2633" t="s">
        <v>57</v>
      </c>
      <c r="G2633" t="s">
        <v>63</v>
      </c>
      <c r="H2633" t="s">
        <v>69</v>
      </c>
      <c r="I2633">
        <v>10</v>
      </c>
    </row>
    <row r="2634" spans="1:9" x14ac:dyDescent="0.2">
      <c r="A2634">
        <v>12125403</v>
      </c>
      <c r="B2634">
        <v>2</v>
      </c>
      <c r="C2634">
        <v>1155</v>
      </c>
      <c r="D2634">
        <v>0</v>
      </c>
      <c r="E2634">
        <v>26</v>
      </c>
      <c r="F2634" t="s">
        <v>17</v>
      </c>
      <c r="G2634" t="s">
        <v>62</v>
      </c>
      <c r="H2634" t="s">
        <v>16</v>
      </c>
      <c r="I2634" t="s">
        <v>448</v>
      </c>
    </row>
    <row r="2635" spans="1:9" x14ac:dyDescent="0.2">
      <c r="A2635">
        <v>12125403</v>
      </c>
      <c r="B2635">
        <v>3</v>
      </c>
      <c r="C2635">
        <v>1324</v>
      </c>
      <c r="D2635">
        <v>0</v>
      </c>
      <c r="E2635">
        <v>26</v>
      </c>
      <c r="F2635" t="s">
        <v>21</v>
      </c>
      <c r="G2635" t="s">
        <v>63</v>
      </c>
      <c r="H2635" t="s">
        <v>20</v>
      </c>
      <c r="I2635">
        <v>8</v>
      </c>
    </row>
    <row r="2636" spans="1:9" x14ac:dyDescent="0.2">
      <c r="A2636">
        <v>12152305</v>
      </c>
      <c r="B2636">
        <v>1</v>
      </c>
      <c r="C2636">
        <v>1789</v>
      </c>
      <c r="D2636">
        <v>53550</v>
      </c>
      <c r="E2636">
        <v>25</v>
      </c>
      <c r="F2636" t="s">
        <v>57</v>
      </c>
      <c r="G2636" t="s">
        <v>122</v>
      </c>
      <c r="H2636" t="s">
        <v>69</v>
      </c>
      <c r="I2636">
        <v>10</v>
      </c>
    </row>
    <row r="2637" spans="1:9" x14ac:dyDescent="0.2">
      <c r="A2637">
        <v>12152305</v>
      </c>
      <c r="B2637">
        <v>2</v>
      </c>
      <c r="C2637">
        <v>1776</v>
      </c>
      <c r="D2637">
        <v>53190</v>
      </c>
      <c r="E2637">
        <v>25</v>
      </c>
      <c r="F2637" t="s">
        <v>57</v>
      </c>
      <c r="G2637" t="s">
        <v>124</v>
      </c>
      <c r="H2637" t="s">
        <v>125</v>
      </c>
      <c r="I2637">
        <v>10</v>
      </c>
    </row>
    <row r="2638" spans="1:9" x14ac:dyDescent="0.2">
      <c r="A2638">
        <v>12152305</v>
      </c>
      <c r="B2638">
        <v>3</v>
      </c>
      <c r="C2638">
        <v>1728</v>
      </c>
      <c r="D2638">
        <v>53550</v>
      </c>
      <c r="E2638">
        <v>25</v>
      </c>
      <c r="F2638" t="s">
        <v>57</v>
      </c>
      <c r="G2638" t="s">
        <v>103</v>
      </c>
      <c r="H2638" t="s">
        <v>69</v>
      </c>
      <c r="I2638">
        <v>10</v>
      </c>
    </row>
    <row r="2639" spans="1:9" x14ac:dyDescent="0.2">
      <c r="A2639">
        <v>12152305</v>
      </c>
      <c r="B2639">
        <v>4</v>
      </c>
      <c r="C2639">
        <v>3033</v>
      </c>
      <c r="D2639">
        <v>53140</v>
      </c>
      <c r="E2639">
        <v>25</v>
      </c>
      <c r="F2639" t="s">
        <v>44</v>
      </c>
      <c r="G2639" t="s">
        <v>122</v>
      </c>
      <c r="H2639" t="s">
        <v>50</v>
      </c>
      <c r="I2639">
        <v>9</v>
      </c>
    </row>
    <row r="2640" spans="1:9" x14ac:dyDescent="0.2">
      <c r="A2640">
        <v>12152305</v>
      </c>
      <c r="B2640">
        <v>5</v>
      </c>
      <c r="C2640">
        <v>3023</v>
      </c>
      <c r="D2640">
        <v>53140</v>
      </c>
      <c r="E2640">
        <v>25</v>
      </c>
      <c r="F2640" t="s">
        <v>44</v>
      </c>
      <c r="G2640" t="s">
        <v>124</v>
      </c>
      <c r="H2640" t="s">
        <v>50</v>
      </c>
      <c r="I2640">
        <v>9</v>
      </c>
    </row>
    <row r="2641" spans="1:9" x14ac:dyDescent="0.2">
      <c r="A2641">
        <v>12152305</v>
      </c>
      <c r="B2641">
        <v>6</v>
      </c>
      <c r="C2641">
        <v>3035</v>
      </c>
      <c r="D2641">
        <v>53140</v>
      </c>
      <c r="E2641">
        <v>25</v>
      </c>
      <c r="F2641" t="s">
        <v>44</v>
      </c>
      <c r="G2641" t="s">
        <v>103</v>
      </c>
      <c r="H2641" t="s">
        <v>50</v>
      </c>
      <c r="I2641">
        <v>9</v>
      </c>
    </row>
    <row r="2642" spans="1:9" x14ac:dyDescent="0.2">
      <c r="A2642">
        <v>12152305</v>
      </c>
      <c r="B2642">
        <v>7</v>
      </c>
      <c r="C2642">
        <v>1391</v>
      </c>
      <c r="D2642">
        <v>53610</v>
      </c>
      <c r="E2642">
        <v>25</v>
      </c>
      <c r="F2642" t="s">
        <v>21</v>
      </c>
      <c r="G2642" t="s">
        <v>122</v>
      </c>
      <c r="H2642" t="s">
        <v>20</v>
      </c>
      <c r="I2642">
        <v>8</v>
      </c>
    </row>
    <row r="2643" spans="1:9" x14ac:dyDescent="0.2">
      <c r="A2643">
        <v>12152305</v>
      </c>
      <c r="B2643">
        <v>8</v>
      </c>
      <c r="C2643">
        <v>1383</v>
      </c>
      <c r="D2643">
        <v>53635</v>
      </c>
      <c r="E2643">
        <v>25</v>
      </c>
      <c r="F2643" t="s">
        <v>21</v>
      </c>
      <c r="G2643" t="s">
        <v>124</v>
      </c>
      <c r="H2643" t="s">
        <v>20</v>
      </c>
      <c r="I2643">
        <v>8</v>
      </c>
    </row>
    <row r="2644" spans="1:9" x14ac:dyDescent="0.2">
      <c r="A2644">
        <v>12165711</v>
      </c>
      <c r="B2644">
        <v>1</v>
      </c>
      <c r="C2644">
        <v>1257</v>
      </c>
      <c r="D2644">
        <v>70425</v>
      </c>
      <c r="E2644">
        <v>24</v>
      </c>
      <c r="F2644" t="s">
        <v>19</v>
      </c>
      <c r="G2644" t="s">
        <v>199</v>
      </c>
      <c r="H2644" t="s">
        <v>16</v>
      </c>
      <c r="I2644" t="s">
        <v>448</v>
      </c>
    </row>
    <row r="2645" spans="1:9" x14ac:dyDescent="0.2">
      <c r="A2645">
        <v>12165711</v>
      </c>
      <c r="B2645">
        <v>2</v>
      </c>
      <c r="C2645">
        <v>1180</v>
      </c>
      <c r="D2645">
        <v>0</v>
      </c>
      <c r="E2645">
        <v>26</v>
      </c>
      <c r="F2645" t="s">
        <v>17</v>
      </c>
      <c r="G2645" t="s">
        <v>203</v>
      </c>
      <c r="H2645" t="s">
        <v>16</v>
      </c>
      <c r="I2645" t="s">
        <v>448</v>
      </c>
    </row>
    <row r="2646" spans="1:9" x14ac:dyDescent="0.2">
      <c r="A2646">
        <v>12165711</v>
      </c>
      <c r="B2646">
        <v>3</v>
      </c>
      <c r="C2646">
        <v>1203</v>
      </c>
      <c r="D2646">
        <v>0</v>
      </c>
      <c r="E2646">
        <v>26</v>
      </c>
      <c r="F2646" t="s">
        <v>19</v>
      </c>
      <c r="G2646" t="s">
        <v>248</v>
      </c>
      <c r="H2646" t="s">
        <v>16</v>
      </c>
      <c r="I2646" t="s">
        <v>448</v>
      </c>
    </row>
    <row r="2647" spans="1:9" x14ac:dyDescent="0.2">
      <c r="A2647">
        <v>12165711</v>
      </c>
      <c r="B2647">
        <v>4</v>
      </c>
      <c r="C2647">
        <v>1178</v>
      </c>
      <c r="D2647">
        <v>0</v>
      </c>
      <c r="E2647">
        <v>26</v>
      </c>
      <c r="F2647" t="s">
        <v>17</v>
      </c>
      <c r="G2647" t="s">
        <v>238</v>
      </c>
      <c r="H2647" t="s">
        <v>16</v>
      </c>
      <c r="I2647" t="s">
        <v>448</v>
      </c>
    </row>
    <row r="2648" spans="1:9" x14ac:dyDescent="0.2">
      <c r="A2648">
        <v>12223220</v>
      </c>
      <c r="B2648">
        <v>1</v>
      </c>
      <c r="C2648">
        <v>1731</v>
      </c>
      <c r="D2648">
        <v>56855</v>
      </c>
      <c r="E2648">
        <v>25</v>
      </c>
      <c r="F2648" t="s">
        <v>57</v>
      </c>
      <c r="G2648" t="s">
        <v>172</v>
      </c>
      <c r="H2648" t="s">
        <v>69</v>
      </c>
      <c r="I2648">
        <v>10</v>
      </c>
    </row>
    <row r="2649" spans="1:9" x14ac:dyDescent="0.2">
      <c r="A2649">
        <v>12223220</v>
      </c>
      <c r="B2649">
        <v>2</v>
      </c>
      <c r="C2649">
        <v>1715</v>
      </c>
      <c r="D2649">
        <v>56775</v>
      </c>
      <c r="E2649">
        <v>25</v>
      </c>
      <c r="F2649" t="s">
        <v>57</v>
      </c>
      <c r="G2649" t="s">
        <v>151</v>
      </c>
      <c r="H2649" t="s">
        <v>69</v>
      </c>
      <c r="I2649">
        <v>10</v>
      </c>
    </row>
    <row r="2650" spans="1:9" x14ac:dyDescent="0.2">
      <c r="A2650">
        <v>12223220</v>
      </c>
      <c r="B2650">
        <v>3</v>
      </c>
      <c r="C2650">
        <v>1705</v>
      </c>
      <c r="D2650">
        <v>56100</v>
      </c>
      <c r="E2650">
        <v>25</v>
      </c>
      <c r="F2650" t="s">
        <v>57</v>
      </c>
      <c r="G2650" t="s">
        <v>102</v>
      </c>
      <c r="H2650" t="s">
        <v>69</v>
      </c>
      <c r="I2650">
        <v>10</v>
      </c>
    </row>
    <row r="2651" spans="1:9" x14ac:dyDescent="0.2">
      <c r="A2651">
        <v>12223221</v>
      </c>
      <c r="B2651">
        <v>1</v>
      </c>
      <c r="C2651">
        <v>1775</v>
      </c>
      <c r="D2651">
        <v>60925</v>
      </c>
      <c r="E2651">
        <v>24</v>
      </c>
      <c r="F2651" t="s">
        <v>57</v>
      </c>
      <c r="G2651" t="s">
        <v>94</v>
      </c>
      <c r="H2651" t="s">
        <v>69</v>
      </c>
      <c r="I2651">
        <v>10</v>
      </c>
    </row>
    <row r="2652" spans="1:9" x14ac:dyDescent="0.2">
      <c r="A2652">
        <v>12223221</v>
      </c>
      <c r="B2652">
        <v>2</v>
      </c>
      <c r="C2652">
        <v>1714</v>
      </c>
      <c r="D2652">
        <v>0</v>
      </c>
      <c r="E2652">
        <v>26</v>
      </c>
      <c r="F2652" t="s">
        <v>57</v>
      </c>
      <c r="G2652" t="s">
        <v>95</v>
      </c>
      <c r="H2652" t="s">
        <v>69</v>
      </c>
      <c r="I2652">
        <v>10</v>
      </c>
    </row>
    <row r="2653" spans="1:9" x14ac:dyDescent="0.2">
      <c r="A2653">
        <v>12223221</v>
      </c>
      <c r="B2653">
        <v>3</v>
      </c>
      <c r="C2653">
        <v>1754</v>
      </c>
      <c r="D2653">
        <v>0</v>
      </c>
      <c r="E2653">
        <v>26</v>
      </c>
      <c r="F2653" t="s">
        <v>57</v>
      </c>
      <c r="G2653" t="s">
        <v>85</v>
      </c>
      <c r="H2653" t="s">
        <v>69</v>
      </c>
      <c r="I2653">
        <v>10</v>
      </c>
    </row>
    <row r="2654" spans="1:9" x14ac:dyDescent="0.2">
      <c r="A2654">
        <v>12240785</v>
      </c>
      <c r="B2654">
        <v>1</v>
      </c>
      <c r="C2654">
        <v>1507</v>
      </c>
      <c r="D2654">
        <v>71560</v>
      </c>
      <c r="E2654">
        <v>24</v>
      </c>
      <c r="F2654" t="s">
        <v>142</v>
      </c>
      <c r="G2654" t="s">
        <v>66</v>
      </c>
      <c r="H2654" t="s">
        <v>31</v>
      </c>
      <c r="I2654">
        <v>5</v>
      </c>
    </row>
    <row r="2655" spans="1:9" x14ac:dyDescent="0.2">
      <c r="A2655">
        <v>12240785</v>
      </c>
      <c r="B2655">
        <v>2</v>
      </c>
      <c r="C2655">
        <v>1504</v>
      </c>
      <c r="D2655">
        <v>0</v>
      </c>
      <c r="E2655">
        <v>26</v>
      </c>
      <c r="F2655" t="s">
        <v>142</v>
      </c>
      <c r="G2655" t="s">
        <v>121</v>
      </c>
      <c r="H2655" t="s">
        <v>31</v>
      </c>
      <c r="I2655">
        <v>5</v>
      </c>
    </row>
    <row r="2656" spans="1:9" x14ac:dyDescent="0.2">
      <c r="A2656">
        <v>12240785</v>
      </c>
      <c r="B2656">
        <v>3</v>
      </c>
      <c r="C2656">
        <v>1506</v>
      </c>
      <c r="D2656">
        <v>0</v>
      </c>
      <c r="E2656">
        <v>26</v>
      </c>
      <c r="F2656" t="s">
        <v>142</v>
      </c>
      <c r="G2656" t="s">
        <v>78</v>
      </c>
      <c r="H2656" t="s">
        <v>31</v>
      </c>
      <c r="I2656">
        <v>5</v>
      </c>
    </row>
    <row r="2657" spans="1:9" x14ac:dyDescent="0.2">
      <c r="A2657">
        <v>12240785</v>
      </c>
      <c r="B2657">
        <v>4</v>
      </c>
      <c r="C2657">
        <v>1509</v>
      </c>
      <c r="D2657">
        <v>0</v>
      </c>
      <c r="E2657">
        <v>26</v>
      </c>
      <c r="F2657" t="s">
        <v>142</v>
      </c>
      <c r="G2657" t="s">
        <v>162</v>
      </c>
      <c r="H2657" t="s">
        <v>31</v>
      </c>
      <c r="I2657">
        <v>5</v>
      </c>
    </row>
    <row r="2658" spans="1:9" x14ac:dyDescent="0.2">
      <c r="A2658">
        <v>12240785</v>
      </c>
      <c r="B2658">
        <v>5</v>
      </c>
      <c r="C2658">
        <v>1503</v>
      </c>
      <c r="D2658">
        <v>0</v>
      </c>
      <c r="E2658">
        <v>26</v>
      </c>
      <c r="F2658" t="s">
        <v>142</v>
      </c>
      <c r="G2658" t="s">
        <v>161</v>
      </c>
      <c r="H2658" t="s">
        <v>31</v>
      </c>
      <c r="I2658">
        <v>5</v>
      </c>
    </row>
    <row r="2659" spans="1:9" x14ac:dyDescent="0.2">
      <c r="A2659">
        <v>12255666</v>
      </c>
      <c r="B2659">
        <v>1</v>
      </c>
      <c r="C2659">
        <v>3237</v>
      </c>
      <c r="D2659">
        <v>54610</v>
      </c>
      <c r="E2659">
        <v>24</v>
      </c>
      <c r="F2659" t="s">
        <v>47</v>
      </c>
      <c r="G2659" t="s">
        <v>181</v>
      </c>
      <c r="H2659" t="s">
        <v>46</v>
      </c>
      <c r="I2659">
        <v>10</v>
      </c>
    </row>
    <row r="2660" spans="1:9" x14ac:dyDescent="0.2">
      <c r="A2660">
        <v>12255832</v>
      </c>
      <c r="B2660">
        <v>1</v>
      </c>
      <c r="C2660">
        <v>1700</v>
      </c>
      <c r="D2660">
        <v>58610</v>
      </c>
      <c r="E2660">
        <v>24</v>
      </c>
      <c r="F2660" t="s">
        <v>57</v>
      </c>
      <c r="G2660" t="s">
        <v>58</v>
      </c>
      <c r="H2660" t="s">
        <v>69</v>
      </c>
      <c r="I2660">
        <v>10</v>
      </c>
    </row>
    <row r="2661" spans="1:9" x14ac:dyDescent="0.2">
      <c r="A2661">
        <v>12255832</v>
      </c>
      <c r="B2661">
        <v>2</v>
      </c>
      <c r="C2661">
        <v>1714</v>
      </c>
      <c r="D2661">
        <v>0</v>
      </c>
      <c r="E2661">
        <v>26</v>
      </c>
      <c r="F2661" t="s">
        <v>57</v>
      </c>
      <c r="G2661" t="s">
        <v>95</v>
      </c>
      <c r="H2661" t="s">
        <v>69</v>
      </c>
      <c r="I2661">
        <v>10</v>
      </c>
    </row>
    <row r="2662" spans="1:9" x14ac:dyDescent="0.2">
      <c r="A2662">
        <v>12255832</v>
      </c>
      <c r="B2662">
        <v>3</v>
      </c>
      <c r="C2662">
        <v>1710</v>
      </c>
      <c r="D2662">
        <v>0</v>
      </c>
      <c r="E2662">
        <v>26</v>
      </c>
      <c r="F2662" t="s">
        <v>57</v>
      </c>
      <c r="G2662" t="s">
        <v>169</v>
      </c>
      <c r="H2662" t="s">
        <v>69</v>
      </c>
      <c r="I2662">
        <v>10</v>
      </c>
    </row>
    <row r="2663" spans="1:9" x14ac:dyDescent="0.2">
      <c r="A2663">
        <v>12255832</v>
      </c>
      <c r="B2663">
        <v>4</v>
      </c>
      <c r="C2663">
        <v>1775</v>
      </c>
      <c r="D2663">
        <v>0</v>
      </c>
      <c r="E2663">
        <v>26</v>
      </c>
      <c r="F2663" t="s">
        <v>57</v>
      </c>
      <c r="G2663" t="s">
        <v>94</v>
      </c>
      <c r="H2663" t="s">
        <v>69</v>
      </c>
      <c r="I2663">
        <v>10</v>
      </c>
    </row>
    <row r="2664" spans="1:9" x14ac:dyDescent="0.2">
      <c r="A2664">
        <v>12255832</v>
      </c>
      <c r="B2664">
        <v>5</v>
      </c>
      <c r="C2664">
        <v>1711</v>
      </c>
      <c r="D2664">
        <v>0</v>
      </c>
      <c r="E2664">
        <v>26</v>
      </c>
      <c r="F2664" t="s">
        <v>57</v>
      </c>
      <c r="G2664" t="s">
        <v>201</v>
      </c>
      <c r="H2664" t="s">
        <v>69</v>
      </c>
      <c r="I2664">
        <v>10</v>
      </c>
    </row>
    <row r="2665" spans="1:9" x14ac:dyDescent="0.2">
      <c r="A2665">
        <v>12255832</v>
      </c>
      <c r="B2665">
        <v>6</v>
      </c>
      <c r="C2665">
        <v>3225</v>
      </c>
      <c r="D2665">
        <v>0</v>
      </c>
      <c r="E2665">
        <v>26</v>
      </c>
      <c r="F2665" t="s">
        <v>47</v>
      </c>
      <c r="G2665" t="s">
        <v>106</v>
      </c>
      <c r="H2665" t="s">
        <v>46</v>
      </c>
      <c r="I2665">
        <v>10</v>
      </c>
    </row>
    <row r="2666" spans="1:9" x14ac:dyDescent="0.2">
      <c r="A2666">
        <v>12277899</v>
      </c>
      <c r="B2666">
        <v>1</v>
      </c>
      <c r="C2666">
        <v>3229</v>
      </c>
      <c r="D2666">
        <v>45965</v>
      </c>
      <c r="E2666">
        <v>25</v>
      </c>
      <c r="F2666" t="s">
        <v>47</v>
      </c>
      <c r="G2666" t="s">
        <v>101</v>
      </c>
      <c r="H2666" t="s">
        <v>46</v>
      </c>
      <c r="I2666">
        <v>10</v>
      </c>
    </row>
    <row r="2667" spans="1:9" x14ac:dyDescent="0.2">
      <c r="A2667">
        <v>12277899</v>
      </c>
      <c r="B2667">
        <v>2</v>
      </c>
      <c r="C2667">
        <v>3223</v>
      </c>
      <c r="D2667">
        <v>45965</v>
      </c>
      <c r="E2667">
        <v>24</v>
      </c>
      <c r="F2667" t="s">
        <v>47</v>
      </c>
      <c r="G2667" t="s">
        <v>105</v>
      </c>
      <c r="H2667" t="s">
        <v>46</v>
      </c>
      <c r="I2667">
        <v>10</v>
      </c>
    </row>
    <row r="2668" spans="1:9" x14ac:dyDescent="0.2">
      <c r="A2668">
        <v>12277899</v>
      </c>
      <c r="B2668">
        <v>3</v>
      </c>
      <c r="C2668">
        <v>3261</v>
      </c>
      <c r="D2668">
        <v>0</v>
      </c>
      <c r="E2668">
        <v>26</v>
      </c>
      <c r="F2668" t="s">
        <v>47</v>
      </c>
      <c r="G2668" t="s">
        <v>93</v>
      </c>
      <c r="H2668" t="s">
        <v>46</v>
      </c>
      <c r="I2668">
        <v>10</v>
      </c>
    </row>
    <row r="2669" spans="1:9" x14ac:dyDescent="0.2">
      <c r="A2669">
        <v>12277899</v>
      </c>
      <c r="B2669">
        <v>4</v>
      </c>
      <c r="C2669">
        <v>3248</v>
      </c>
      <c r="D2669">
        <v>0</v>
      </c>
      <c r="E2669">
        <v>26</v>
      </c>
      <c r="F2669" t="s">
        <v>47</v>
      </c>
      <c r="G2669" t="s">
        <v>92</v>
      </c>
      <c r="H2669" t="s">
        <v>46</v>
      </c>
      <c r="I2669">
        <v>10</v>
      </c>
    </row>
    <row r="2670" spans="1:9" x14ac:dyDescent="0.2">
      <c r="A2670">
        <v>12277899</v>
      </c>
      <c r="B2670">
        <v>5</v>
      </c>
      <c r="C2670">
        <v>3252</v>
      </c>
      <c r="D2670">
        <v>0</v>
      </c>
      <c r="E2670">
        <v>26</v>
      </c>
      <c r="F2670" t="s">
        <v>47</v>
      </c>
      <c r="G2670" t="s">
        <v>45</v>
      </c>
      <c r="H2670" t="s">
        <v>46</v>
      </c>
      <c r="I2670">
        <v>10</v>
      </c>
    </row>
    <row r="2671" spans="1:9" x14ac:dyDescent="0.2">
      <c r="A2671">
        <v>12277899</v>
      </c>
      <c r="B2671">
        <v>6</v>
      </c>
      <c r="C2671">
        <v>3234</v>
      </c>
      <c r="D2671">
        <v>0</v>
      </c>
      <c r="E2671">
        <v>26</v>
      </c>
      <c r="F2671" t="s">
        <v>47</v>
      </c>
      <c r="G2671" t="s">
        <v>76</v>
      </c>
      <c r="H2671" t="s">
        <v>46</v>
      </c>
      <c r="I2671">
        <v>10</v>
      </c>
    </row>
    <row r="2672" spans="1:9" x14ac:dyDescent="0.2">
      <c r="A2672">
        <v>12277899</v>
      </c>
      <c r="B2672">
        <v>7</v>
      </c>
      <c r="C2672">
        <v>3243</v>
      </c>
      <c r="D2672">
        <v>0</v>
      </c>
      <c r="E2672">
        <v>26</v>
      </c>
      <c r="F2672" t="s">
        <v>47</v>
      </c>
      <c r="G2672" t="s">
        <v>75</v>
      </c>
      <c r="H2672" t="s">
        <v>46</v>
      </c>
      <c r="I2672">
        <v>10</v>
      </c>
    </row>
    <row r="2673" spans="1:9" x14ac:dyDescent="0.2">
      <c r="A2673">
        <v>12277899</v>
      </c>
      <c r="B2673">
        <v>8</v>
      </c>
      <c r="C2673">
        <v>3226</v>
      </c>
      <c r="D2673">
        <v>0</v>
      </c>
      <c r="E2673">
        <v>26</v>
      </c>
      <c r="F2673" t="s">
        <v>47</v>
      </c>
      <c r="G2673" t="s">
        <v>96</v>
      </c>
      <c r="H2673" t="s">
        <v>46</v>
      </c>
      <c r="I2673">
        <v>10</v>
      </c>
    </row>
    <row r="2674" spans="1:9" x14ac:dyDescent="0.2">
      <c r="A2674">
        <v>12296938</v>
      </c>
      <c r="B2674">
        <v>1</v>
      </c>
      <c r="C2674">
        <v>3200</v>
      </c>
      <c r="D2674">
        <v>0</v>
      </c>
      <c r="E2674">
        <v>36</v>
      </c>
      <c r="F2674" t="s">
        <v>47</v>
      </c>
      <c r="G2674" t="s">
        <v>18</v>
      </c>
      <c r="H2674" t="s">
        <v>46</v>
      </c>
      <c r="I2674">
        <v>10</v>
      </c>
    </row>
    <row r="2675" spans="1:9" x14ac:dyDescent="0.2">
      <c r="A2675">
        <v>12342505</v>
      </c>
      <c r="B2675">
        <v>1</v>
      </c>
      <c r="C2675">
        <v>1354</v>
      </c>
      <c r="D2675">
        <v>55360</v>
      </c>
      <c r="E2675">
        <v>24</v>
      </c>
      <c r="F2675" t="s">
        <v>21</v>
      </c>
      <c r="G2675" t="s">
        <v>253</v>
      </c>
      <c r="H2675" t="s">
        <v>20</v>
      </c>
      <c r="I2675">
        <v>8</v>
      </c>
    </row>
    <row r="2676" spans="1:9" x14ac:dyDescent="0.2">
      <c r="A2676">
        <v>12342505</v>
      </c>
      <c r="B2676">
        <v>2</v>
      </c>
      <c r="C2676">
        <v>1998</v>
      </c>
      <c r="D2676">
        <v>0</v>
      </c>
      <c r="E2676">
        <v>26</v>
      </c>
      <c r="F2676" t="s">
        <v>32</v>
      </c>
      <c r="G2676" t="s">
        <v>358</v>
      </c>
      <c r="H2676" t="s">
        <v>222</v>
      </c>
      <c r="I2676">
        <v>5</v>
      </c>
    </row>
    <row r="2677" spans="1:9" x14ac:dyDescent="0.2">
      <c r="A2677">
        <v>12342505</v>
      </c>
      <c r="B2677">
        <v>3</v>
      </c>
      <c r="C2677">
        <v>1358</v>
      </c>
      <c r="D2677">
        <v>0</v>
      </c>
      <c r="E2677">
        <v>26</v>
      </c>
      <c r="F2677" t="s">
        <v>21</v>
      </c>
      <c r="G2677" t="s">
        <v>210</v>
      </c>
      <c r="H2677" t="s">
        <v>20</v>
      </c>
      <c r="I2677">
        <v>8</v>
      </c>
    </row>
    <row r="2678" spans="1:9" x14ac:dyDescent="0.2">
      <c r="A2678">
        <v>12342505</v>
      </c>
      <c r="B2678">
        <v>4</v>
      </c>
      <c r="C2678">
        <v>3610</v>
      </c>
      <c r="D2678">
        <v>0</v>
      </c>
      <c r="E2678">
        <v>26</v>
      </c>
      <c r="F2678" t="s">
        <v>108</v>
      </c>
      <c r="G2678" t="s">
        <v>359</v>
      </c>
      <c r="H2678" t="s">
        <v>20</v>
      </c>
      <c r="I2678">
        <v>8</v>
      </c>
    </row>
    <row r="2679" spans="1:9" x14ac:dyDescent="0.2">
      <c r="A2679">
        <v>12342505</v>
      </c>
      <c r="B2679">
        <v>5</v>
      </c>
      <c r="C2679">
        <v>3650</v>
      </c>
      <c r="D2679">
        <v>0</v>
      </c>
      <c r="E2679">
        <v>26</v>
      </c>
      <c r="F2679" t="s">
        <v>108</v>
      </c>
      <c r="G2679" t="s">
        <v>93</v>
      </c>
      <c r="H2679" t="s">
        <v>20</v>
      </c>
      <c r="I2679">
        <v>8</v>
      </c>
    </row>
    <row r="2680" spans="1:9" x14ac:dyDescent="0.2">
      <c r="A2680">
        <v>12369348</v>
      </c>
      <c r="B2680">
        <v>1</v>
      </c>
      <c r="C2680">
        <v>3212</v>
      </c>
      <c r="D2680">
        <v>53150</v>
      </c>
      <c r="E2680">
        <v>24</v>
      </c>
      <c r="F2680" t="s">
        <v>47</v>
      </c>
      <c r="G2680" t="s">
        <v>84</v>
      </c>
      <c r="H2680" t="s">
        <v>46</v>
      </c>
      <c r="I2680">
        <v>10</v>
      </c>
    </row>
    <row r="2681" spans="1:9" x14ac:dyDescent="0.2">
      <c r="A2681">
        <v>12369348</v>
      </c>
      <c r="B2681">
        <v>2</v>
      </c>
      <c r="C2681">
        <v>3211</v>
      </c>
      <c r="D2681">
        <v>0</v>
      </c>
      <c r="E2681">
        <v>26</v>
      </c>
      <c r="F2681" t="s">
        <v>47</v>
      </c>
      <c r="G2681" t="s">
        <v>99</v>
      </c>
      <c r="H2681" t="s">
        <v>46</v>
      </c>
      <c r="I2681">
        <v>10</v>
      </c>
    </row>
    <row r="2682" spans="1:9" x14ac:dyDescent="0.2">
      <c r="A2682">
        <v>12369348</v>
      </c>
      <c r="B2682">
        <v>3</v>
      </c>
      <c r="C2682">
        <v>3234</v>
      </c>
      <c r="D2682">
        <v>0</v>
      </c>
      <c r="E2682">
        <v>26</v>
      </c>
      <c r="F2682" t="s">
        <v>47</v>
      </c>
      <c r="G2682" t="s">
        <v>76</v>
      </c>
      <c r="H2682" t="s">
        <v>46</v>
      </c>
      <c r="I2682">
        <v>10</v>
      </c>
    </row>
    <row r="2683" spans="1:9" x14ac:dyDescent="0.2">
      <c r="A2683">
        <v>12369348</v>
      </c>
      <c r="B2683">
        <v>4</v>
      </c>
      <c r="C2683">
        <v>3248</v>
      </c>
      <c r="D2683">
        <v>0</v>
      </c>
      <c r="E2683">
        <v>26</v>
      </c>
      <c r="F2683" t="s">
        <v>47</v>
      </c>
      <c r="G2683" t="s">
        <v>92</v>
      </c>
      <c r="H2683" t="s">
        <v>46</v>
      </c>
      <c r="I2683">
        <v>10</v>
      </c>
    </row>
    <row r="2684" spans="1:9" x14ac:dyDescent="0.2">
      <c r="A2684">
        <v>12386605</v>
      </c>
      <c r="B2684">
        <v>1</v>
      </c>
      <c r="C2684">
        <v>1736</v>
      </c>
      <c r="D2684">
        <v>48470</v>
      </c>
      <c r="E2684">
        <v>25</v>
      </c>
      <c r="F2684" t="s">
        <v>57</v>
      </c>
      <c r="G2684" t="s">
        <v>78</v>
      </c>
      <c r="H2684" t="s">
        <v>79</v>
      </c>
      <c r="I2684">
        <v>10</v>
      </c>
    </row>
    <row r="2685" spans="1:9" x14ac:dyDescent="0.2">
      <c r="A2685">
        <v>12386605</v>
      </c>
      <c r="B2685">
        <v>2</v>
      </c>
      <c r="C2685">
        <v>1708</v>
      </c>
      <c r="D2685">
        <v>48470</v>
      </c>
      <c r="E2685">
        <v>25</v>
      </c>
      <c r="F2685" t="s">
        <v>57</v>
      </c>
      <c r="G2685" t="s">
        <v>80</v>
      </c>
      <c r="H2685" t="s">
        <v>79</v>
      </c>
      <c r="I2685">
        <v>10</v>
      </c>
    </row>
    <row r="2686" spans="1:9" x14ac:dyDescent="0.2">
      <c r="A2686">
        <v>12386605</v>
      </c>
      <c r="B2686">
        <v>3</v>
      </c>
      <c r="C2686">
        <v>1734</v>
      </c>
      <c r="D2686">
        <v>48540</v>
      </c>
      <c r="E2686">
        <v>25</v>
      </c>
      <c r="F2686" t="s">
        <v>57</v>
      </c>
      <c r="G2686" t="s">
        <v>81</v>
      </c>
      <c r="H2686" t="s">
        <v>69</v>
      </c>
      <c r="I2686">
        <v>10</v>
      </c>
    </row>
    <row r="2687" spans="1:9" x14ac:dyDescent="0.2">
      <c r="A2687">
        <v>12386605</v>
      </c>
      <c r="B2687">
        <v>4</v>
      </c>
      <c r="C2687">
        <v>1704</v>
      </c>
      <c r="D2687">
        <v>48470</v>
      </c>
      <c r="E2687">
        <v>25</v>
      </c>
      <c r="F2687" t="s">
        <v>57</v>
      </c>
      <c r="G2687" t="s">
        <v>82</v>
      </c>
      <c r="H2687" t="s">
        <v>79</v>
      </c>
      <c r="I2687">
        <v>10</v>
      </c>
    </row>
    <row r="2688" spans="1:9" x14ac:dyDescent="0.2">
      <c r="A2688">
        <v>12386605</v>
      </c>
      <c r="B2688">
        <v>5</v>
      </c>
      <c r="C2688">
        <v>1730</v>
      </c>
      <c r="D2688">
        <v>48470</v>
      </c>
      <c r="E2688">
        <v>24</v>
      </c>
      <c r="F2688" t="s">
        <v>57</v>
      </c>
      <c r="G2688" t="s">
        <v>83</v>
      </c>
      <c r="H2688" t="s">
        <v>79</v>
      </c>
      <c r="I2688">
        <v>10</v>
      </c>
    </row>
    <row r="2689" spans="1:9" x14ac:dyDescent="0.2">
      <c r="A2689">
        <v>12411093</v>
      </c>
      <c r="B2689">
        <v>1</v>
      </c>
      <c r="C2689">
        <v>1511</v>
      </c>
      <c r="D2689">
        <v>65955</v>
      </c>
      <c r="E2689">
        <v>24</v>
      </c>
      <c r="F2689" t="s">
        <v>142</v>
      </c>
      <c r="G2689" t="s">
        <v>163</v>
      </c>
      <c r="H2689" t="s">
        <v>31</v>
      </c>
      <c r="I2689">
        <v>5</v>
      </c>
    </row>
    <row r="2690" spans="1:9" x14ac:dyDescent="0.2">
      <c r="A2690">
        <v>12411093</v>
      </c>
      <c r="B2690">
        <v>2</v>
      </c>
      <c r="C2690">
        <v>1510</v>
      </c>
      <c r="D2690">
        <v>0</v>
      </c>
      <c r="E2690">
        <v>26</v>
      </c>
      <c r="F2690" t="s">
        <v>142</v>
      </c>
      <c r="G2690" t="s">
        <v>323</v>
      </c>
      <c r="H2690" t="s">
        <v>31</v>
      </c>
      <c r="I2690">
        <v>5</v>
      </c>
    </row>
    <row r="2691" spans="1:9" x14ac:dyDescent="0.2">
      <c r="A2691">
        <v>12411093</v>
      </c>
      <c r="B2691">
        <v>3</v>
      </c>
      <c r="C2691">
        <v>1503</v>
      </c>
      <c r="D2691">
        <v>0</v>
      </c>
      <c r="E2691">
        <v>26</v>
      </c>
      <c r="F2691" t="s">
        <v>142</v>
      </c>
      <c r="G2691" t="s">
        <v>161</v>
      </c>
      <c r="H2691" t="s">
        <v>31</v>
      </c>
      <c r="I2691">
        <v>5</v>
      </c>
    </row>
    <row r="2692" spans="1:9" x14ac:dyDescent="0.2">
      <c r="A2692">
        <v>12411093</v>
      </c>
      <c r="B2692">
        <v>4</v>
      </c>
      <c r="C2692">
        <v>1520</v>
      </c>
      <c r="D2692">
        <v>0</v>
      </c>
      <c r="E2692">
        <v>26</v>
      </c>
      <c r="F2692" t="s">
        <v>142</v>
      </c>
      <c r="G2692" t="s">
        <v>84</v>
      </c>
      <c r="H2692" t="s">
        <v>31</v>
      </c>
      <c r="I2692">
        <v>5</v>
      </c>
    </row>
    <row r="2693" spans="1:9" x14ac:dyDescent="0.2">
      <c r="A2693">
        <v>12411093</v>
      </c>
      <c r="B2693">
        <v>5</v>
      </c>
      <c r="C2693">
        <v>1467</v>
      </c>
      <c r="D2693">
        <v>0</v>
      </c>
      <c r="E2693">
        <v>26</v>
      </c>
      <c r="F2693" t="s">
        <v>25</v>
      </c>
      <c r="G2693" t="s">
        <v>294</v>
      </c>
      <c r="H2693" t="s">
        <v>24</v>
      </c>
      <c r="I2693">
        <v>5</v>
      </c>
    </row>
    <row r="2694" spans="1:9" x14ac:dyDescent="0.2">
      <c r="A2694">
        <v>12411093</v>
      </c>
      <c r="B2694">
        <v>6</v>
      </c>
      <c r="C2694">
        <v>1405</v>
      </c>
      <c r="D2694">
        <v>0</v>
      </c>
      <c r="E2694">
        <v>26</v>
      </c>
      <c r="F2694" t="s">
        <v>25</v>
      </c>
      <c r="G2694" t="s">
        <v>84</v>
      </c>
      <c r="H2694" t="s">
        <v>24</v>
      </c>
      <c r="I2694">
        <v>5</v>
      </c>
    </row>
    <row r="2695" spans="1:9" x14ac:dyDescent="0.2">
      <c r="A2695">
        <v>12415482</v>
      </c>
      <c r="B2695">
        <v>1</v>
      </c>
      <c r="C2695">
        <v>1754</v>
      </c>
      <c r="D2695">
        <v>52865</v>
      </c>
      <c r="E2695">
        <v>24</v>
      </c>
      <c r="F2695" t="s">
        <v>57</v>
      </c>
      <c r="G2695" t="s">
        <v>85</v>
      </c>
      <c r="H2695" t="s">
        <v>69</v>
      </c>
      <c r="I2695">
        <v>10</v>
      </c>
    </row>
    <row r="2696" spans="1:9" x14ac:dyDescent="0.2">
      <c r="A2696">
        <v>12415482</v>
      </c>
      <c r="B2696">
        <v>2</v>
      </c>
      <c r="C2696">
        <v>1929</v>
      </c>
      <c r="D2696">
        <v>0</v>
      </c>
      <c r="E2696">
        <v>29</v>
      </c>
      <c r="F2696" t="s">
        <v>32</v>
      </c>
      <c r="G2696" t="s">
        <v>232</v>
      </c>
      <c r="H2696" t="s">
        <v>113</v>
      </c>
      <c r="I2696">
        <v>5</v>
      </c>
    </row>
    <row r="2697" spans="1:9" x14ac:dyDescent="0.2">
      <c r="A2697">
        <v>12415482</v>
      </c>
      <c r="B2697">
        <v>3</v>
      </c>
      <c r="C2697">
        <v>2182</v>
      </c>
      <c r="D2697">
        <v>0</v>
      </c>
      <c r="E2697">
        <v>26</v>
      </c>
      <c r="F2697" t="s">
        <v>193</v>
      </c>
      <c r="G2697" t="s">
        <v>230</v>
      </c>
      <c r="H2697" t="s">
        <v>231</v>
      </c>
      <c r="I2697" t="s">
        <v>448</v>
      </c>
    </row>
    <row r="2698" spans="1:9" x14ac:dyDescent="0.2">
      <c r="A2698">
        <v>12483206</v>
      </c>
      <c r="B2698">
        <v>1</v>
      </c>
      <c r="C2698">
        <v>3252</v>
      </c>
      <c r="D2698">
        <v>51710</v>
      </c>
      <c r="E2698">
        <v>25</v>
      </c>
      <c r="F2698" t="s">
        <v>47</v>
      </c>
      <c r="G2698" t="s">
        <v>45</v>
      </c>
      <c r="H2698" t="s">
        <v>46</v>
      </c>
      <c r="I2698">
        <v>10</v>
      </c>
    </row>
    <row r="2699" spans="1:9" x14ac:dyDescent="0.2">
      <c r="A2699">
        <v>12483206</v>
      </c>
      <c r="B2699">
        <v>2</v>
      </c>
      <c r="C2699">
        <v>3251</v>
      </c>
      <c r="D2699">
        <v>51705</v>
      </c>
      <c r="E2699">
        <v>24</v>
      </c>
      <c r="F2699" t="s">
        <v>47</v>
      </c>
      <c r="G2699" t="s">
        <v>48</v>
      </c>
      <c r="H2699" t="s">
        <v>46</v>
      </c>
      <c r="I2699">
        <v>10</v>
      </c>
    </row>
    <row r="2700" spans="1:9" x14ac:dyDescent="0.2">
      <c r="A2700">
        <v>12483206</v>
      </c>
      <c r="B2700">
        <v>3</v>
      </c>
      <c r="C2700">
        <v>3248</v>
      </c>
      <c r="D2700">
        <v>0</v>
      </c>
      <c r="E2700">
        <v>26</v>
      </c>
      <c r="F2700" t="s">
        <v>47</v>
      </c>
      <c r="G2700" t="s">
        <v>92</v>
      </c>
      <c r="H2700" t="s">
        <v>46</v>
      </c>
      <c r="I2700">
        <v>10</v>
      </c>
    </row>
    <row r="2701" spans="1:9" x14ac:dyDescent="0.2">
      <c r="A2701">
        <v>12483206</v>
      </c>
      <c r="B2701">
        <v>4</v>
      </c>
      <c r="C2701">
        <v>3243</v>
      </c>
      <c r="D2701">
        <v>0</v>
      </c>
      <c r="E2701">
        <v>26</v>
      </c>
      <c r="F2701" t="s">
        <v>47</v>
      </c>
      <c r="G2701" t="s">
        <v>75</v>
      </c>
      <c r="H2701" t="s">
        <v>46</v>
      </c>
      <c r="I2701">
        <v>10</v>
      </c>
    </row>
    <row r="2702" spans="1:9" x14ac:dyDescent="0.2">
      <c r="A2702">
        <v>12483206</v>
      </c>
      <c r="B2702">
        <v>5</v>
      </c>
      <c r="C2702">
        <v>3261</v>
      </c>
      <c r="D2702">
        <v>0</v>
      </c>
      <c r="E2702">
        <v>26</v>
      </c>
      <c r="F2702" t="s">
        <v>47</v>
      </c>
      <c r="G2702" t="s">
        <v>93</v>
      </c>
      <c r="H2702" t="s">
        <v>46</v>
      </c>
      <c r="I2702">
        <v>10</v>
      </c>
    </row>
    <row r="2703" spans="1:9" x14ac:dyDescent="0.2">
      <c r="A2703">
        <v>12488127</v>
      </c>
      <c r="B2703">
        <v>1</v>
      </c>
      <c r="C2703">
        <v>1715</v>
      </c>
      <c r="D2703">
        <v>64350</v>
      </c>
      <c r="E2703">
        <v>24</v>
      </c>
      <c r="F2703" t="s">
        <v>57</v>
      </c>
      <c r="G2703" t="s">
        <v>151</v>
      </c>
      <c r="H2703" t="s">
        <v>69</v>
      </c>
      <c r="I2703">
        <v>10</v>
      </c>
    </row>
    <row r="2704" spans="1:9" x14ac:dyDescent="0.2">
      <c r="A2704">
        <v>12488127</v>
      </c>
      <c r="B2704">
        <v>2</v>
      </c>
      <c r="C2704">
        <v>3032</v>
      </c>
      <c r="D2704">
        <v>0</v>
      </c>
      <c r="E2704">
        <v>26</v>
      </c>
      <c r="F2704" t="s">
        <v>44</v>
      </c>
      <c r="G2704" t="s">
        <v>151</v>
      </c>
      <c r="H2704" t="s">
        <v>50</v>
      </c>
      <c r="I2704">
        <v>9</v>
      </c>
    </row>
    <row r="2705" spans="1:9" x14ac:dyDescent="0.2">
      <c r="A2705">
        <v>12488127</v>
      </c>
      <c r="B2705">
        <v>3</v>
      </c>
      <c r="C2705">
        <v>1185</v>
      </c>
      <c r="D2705">
        <v>0</v>
      </c>
      <c r="E2705">
        <v>26</v>
      </c>
      <c r="F2705" t="s">
        <v>17</v>
      </c>
      <c r="G2705" t="s">
        <v>379</v>
      </c>
      <c r="H2705" t="s">
        <v>16</v>
      </c>
      <c r="I2705" t="s">
        <v>448</v>
      </c>
    </row>
    <row r="2706" spans="1:9" x14ac:dyDescent="0.2">
      <c r="A2706">
        <v>12488127</v>
      </c>
      <c r="B2706">
        <v>4</v>
      </c>
      <c r="C2706">
        <v>1388</v>
      </c>
      <c r="D2706">
        <v>0</v>
      </c>
      <c r="E2706">
        <v>26</v>
      </c>
      <c r="F2706" t="s">
        <v>21</v>
      </c>
      <c r="G2706" t="s">
        <v>151</v>
      </c>
      <c r="H2706" t="s">
        <v>20</v>
      </c>
      <c r="I2706">
        <v>8</v>
      </c>
    </row>
    <row r="2707" spans="1:9" x14ac:dyDescent="0.2">
      <c r="A2707">
        <v>12488127</v>
      </c>
      <c r="B2707">
        <v>5</v>
      </c>
      <c r="C2707">
        <v>1705</v>
      </c>
      <c r="D2707">
        <v>0</v>
      </c>
      <c r="E2707">
        <v>26</v>
      </c>
      <c r="F2707" t="s">
        <v>57</v>
      </c>
      <c r="G2707" t="s">
        <v>102</v>
      </c>
      <c r="H2707" t="s">
        <v>69</v>
      </c>
      <c r="I2707">
        <v>10</v>
      </c>
    </row>
    <row r="2708" spans="1:9" x14ac:dyDescent="0.2">
      <c r="A2708">
        <v>12498981</v>
      </c>
      <c r="B2708">
        <v>1</v>
      </c>
      <c r="C2708">
        <v>1214</v>
      </c>
      <c r="D2708">
        <v>66120</v>
      </c>
      <c r="E2708">
        <v>25</v>
      </c>
      <c r="F2708" t="s">
        <v>19</v>
      </c>
      <c r="G2708" t="s">
        <v>112</v>
      </c>
      <c r="H2708" t="s">
        <v>16</v>
      </c>
      <c r="I2708" t="s">
        <v>448</v>
      </c>
    </row>
    <row r="2709" spans="1:9" x14ac:dyDescent="0.2">
      <c r="A2709">
        <v>12498981</v>
      </c>
      <c r="B2709">
        <v>2</v>
      </c>
      <c r="C2709">
        <v>1142</v>
      </c>
      <c r="D2709">
        <v>66120</v>
      </c>
      <c r="E2709">
        <v>25</v>
      </c>
      <c r="F2709" t="s">
        <v>17</v>
      </c>
      <c r="G2709" t="s">
        <v>114</v>
      </c>
      <c r="H2709" t="s">
        <v>16</v>
      </c>
      <c r="I2709" t="s">
        <v>448</v>
      </c>
    </row>
    <row r="2710" spans="1:9" x14ac:dyDescent="0.2">
      <c r="A2710">
        <v>12498981</v>
      </c>
      <c r="B2710">
        <v>3</v>
      </c>
      <c r="C2710">
        <v>1221</v>
      </c>
      <c r="D2710">
        <v>71900</v>
      </c>
      <c r="E2710">
        <v>24</v>
      </c>
      <c r="F2710" t="s">
        <v>19</v>
      </c>
      <c r="G2710" t="s">
        <v>63</v>
      </c>
      <c r="H2710" t="s">
        <v>16</v>
      </c>
      <c r="I2710" t="s">
        <v>448</v>
      </c>
    </row>
    <row r="2711" spans="1:9" x14ac:dyDescent="0.2">
      <c r="A2711">
        <v>12498981</v>
      </c>
      <c r="B2711">
        <v>4</v>
      </c>
      <c r="C2711">
        <v>1237</v>
      </c>
      <c r="D2711">
        <v>0</v>
      </c>
      <c r="E2711">
        <v>26</v>
      </c>
      <c r="F2711" t="s">
        <v>19</v>
      </c>
      <c r="G2711" t="s">
        <v>65</v>
      </c>
      <c r="H2711" t="s">
        <v>16</v>
      </c>
      <c r="I2711" t="s">
        <v>448</v>
      </c>
    </row>
    <row r="2712" spans="1:9" x14ac:dyDescent="0.2">
      <c r="A2712">
        <v>12498981</v>
      </c>
      <c r="B2712">
        <v>5</v>
      </c>
      <c r="C2712">
        <v>1573</v>
      </c>
      <c r="D2712">
        <v>0</v>
      </c>
      <c r="E2712">
        <v>26</v>
      </c>
      <c r="F2712" t="s">
        <v>142</v>
      </c>
      <c r="G2712" t="s">
        <v>84</v>
      </c>
      <c r="H2712" t="s">
        <v>113</v>
      </c>
      <c r="I2712">
        <v>5</v>
      </c>
    </row>
    <row r="2713" spans="1:9" x14ac:dyDescent="0.2">
      <c r="A2713">
        <v>12499342</v>
      </c>
      <c r="B2713">
        <v>1</v>
      </c>
      <c r="C2713">
        <v>3226</v>
      </c>
      <c r="D2713">
        <v>44560</v>
      </c>
      <c r="E2713">
        <v>25</v>
      </c>
      <c r="F2713" t="s">
        <v>47</v>
      </c>
      <c r="G2713" t="s">
        <v>96</v>
      </c>
      <c r="H2713" t="s">
        <v>46</v>
      </c>
      <c r="I2713">
        <v>10</v>
      </c>
    </row>
    <row r="2714" spans="1:9" x14ac:dyDescent="0.2">
      <c r="A2714">
        <v>12499342</v>
      </c>
      <c r="B2714">
        <v>2</v>
      </c>
      <c r="C2714">
        <v>3225</v>
      </c>
      <c r="D2714">
        <v>44560</v>
      </c>
      <c r="E2714">
        <v>25</v>
      </c>
      <c r="F2714" t="s">
        <v>47</v>
      </c>
      <c r="G2714" t="s">
        <v>106</v>
      </c>
      <c r="H2714" t="s">
        <v>46</v>
      </c>
      <c r="I2714">
        <v>10</v>
      </c>
    </row>
    <row r="2715" spans="1:9" x14ac:dyDescent="0.2">
      <c r="A2715">
        <v>12499342</v>
      </c>
      <c r="B2715">
        <v>3</v>
      </c>
      <c r="C2715">
        <v>3213</v>
      </c>
      <c r="D2715">
        <v>47650</v>
      </c>
      <c r="E2715">
        <v>24</v>
      </c>
      <c r="F2715" t="s">
        <v>47</v>
      </c>
      <c r="G2715" t="s">
        <v>158</v>
      </c>
      <c r="H2715" t="s">
        <v>74</v>
      </c>
      <c r="I2715">
        <v>10</v>
      </c>
    </row>
    <row r="2716" spans="1:9" x14ac:dyDescent="0.2">
      <c r="A2716">
        <v>12499342</v>
      </c>
      <c r="B2716">
        <v>4</v>
      </c>
      <c r="C2716">
        <v>3244</v>
      </c>
      <c r="D2716">
        <v>0</v>
      </c>
      <c r="E2716">
        <v>26</v>
      </c>
      <c r="F2716" t="s">
        <v>47</v>
      </c>
      <c r="G2716" t="s">
        <v>73</v>
      </c>
      <c r="H2716" t="s">
        <v>74</v>
      </c>
      <c r="I2716">
        <v>10</v>
      </c>
    </row>
    <row r="2717" spans="1:9" x14ac:dyDescent="0.2">
      <c r="A2717">
        <v>12499342</v>
      </c>
      <c r="B2717">
        <v>5</v>
      </c>
      <c r="C2717">
        <v>3218</v>
      </c>
      <c r="D2717">
        <v>0</v>
      </c>
      <c r="E2717">
        <v>26</v>
      </c>
      <c r="F2717" t="s">
        <v>47</v>
      </c>
      <c r="G2717" t="s">
        <v>66</v>
      </c>
      <c r="H2717" t="s">
        <v>74</v>
      </c>
      <c r="I2717">
        <v>10</v>
      </c>
    </row>
    <row r="2718" spans="1:9" x14ac:dyDescent="0.2">
      <c r="A2718">
        <v>12534149</v>
      </c>
      <c r="B2718">
        <v>1</v>
      </c>
      <c r="C2718">
        <v>1258</v>
      </c>
      <c r="D2718">
        <v>78015</v>
      </c>
      <c r="E2718">
        <v>24</v>
      </c>
      <c r="F2718" t="s">
        <v>19</v>
      </c>
      <c r="G2718" t="s">
        <v>170</v>
      </c>
      <c r="H2718" t="s">
        <v>16</v>
      </c>
      <c r="I2718" t="s">
        <v>448</v>
      </c>
    </row>
    <row r="2719" spans="1:9" x14ac:dyDescent="0.2">
      <c r="A2719">
        <v>12534149</v>
      </c>
      <c r="B2719">
        <v>2</v>
      </c>
      <c r="C2719">
        <v>1183</v>
      </c>
      <c r="D2719">
        <v>0</v>
      </c>
      <c r="E2719">
        <v>26</v>
      </c>
      <c r="F2719" t="s">
        <v>17</v>
      </c>
      <c r="G2719" t="s">
        <v>171</v>
      </c>
      <c r="H2719" t="s">
        <v>16</v>
      </c>
      <c r="I2719" t="s">
        <v>448</v>
      </c>
    </row>
    <row r="2720" spans="1:9" x14ac:dyDescent="0.2">
      <c r="A2720">
        <v>12534149</v>
      </c>
      <c r="B2720">
        <v>3</v>
      </c>
      <c r="C2720">
        <v>1713</v>
      </c>
      <c r="D2720">
        <v>0</v>
      </c>
      <c r="E2720">
        <v>26</v>
      </c>
      <c r="F2720" t="s">
        <v>57</v>
      </c>
      <c r="G2720" t="s">
        <v>170</v>
      </c>
      <c r="H2720" t="s">
        <v>69</v>
      </c>
      <c r="I2720">
        <v>10</v>
      </c>
    </row>
    <row r="2721" spans="1:9" x14ac:dyDescent="0.2">
      <c r="A2721">
        <v>12534149</v>
      </c>
      <c r="B2721">
        <v>4</v>
      </c>
      <c r="C2721">
        <v>1731</v>
      </c>
      <c r="D2721">
        <v>0</v>
      </c>
      <c r="E2721">
        <v>26</v>
      </c>
      <c r="F2721" t="s">
        <v>57</v>
      </c>
      <c r="G2721" t="s">
        <v>172</v>
      </c>
      <c r="H2721" t="s">
        <v>69</v>
      </c>
      <c r="I2721">
        <v>10</v>
      </c>
    </row>
    <row r="2722" spans="1:9" x14ac:dyDescent="0.2">
      <c r="A2722">
        <v>12588430</v>
      </c>
      <c r="B2722">
        <v>1</v>
      </c>
      <c r="C2722">
        <v>1728</v>
      </c>
      <c r="D2722">
        <v>54075</v>
      </c>
      <c r="E2722">
        <v>25</v>
      </c>
      <c r="F2722" t="s">
        <v>57</v>
      </c>
      <c r="G2722" t="s">
        <v>103</v>
      </c>
      <c r="H2722" t="s">
        <v>69</v>
      </c>
      <c r="I2722">
        <v>10</v>
      </c>
    </row>
    <row r="2723" spans="1:9" x14ac:dyDescent="0.2">
      <c r="A2723">
        <v>12588430</v>
      </c>
      <c r="B2723">
        <v>2</v>
      </c>
      <c r="C2723">
        <v>3719</v>
      </c>
      <c r="D2723">
        <v>56665</v>
      </c>
      <c r="E2723">
        <v>24</v>
      </c>
      <c r="F2723" t="s">
        <v>116</v>
      </c>
      <c r="G2723" t="s">
        <v>66</v>
      </c>
      <c r="H2723" t="s">
        <v>61</v>
      </c>
      <c r="I2723">
        <v>9</v>
      </c>
    </row>
    <row r="2724" spans="1:9" x14ac:dyDescent="0.2">
      <c r="A2724">
        <v>12588430</v>
      </c>
      <c r="B2724">
        <v>3</v>
      </c>
      <c r="C2724">
        <v>3711</v>
      </c>
      <c r="D2724">
        <v>0</v>
      </c>
      <c r="E2724">
        <v>26</v>
      </c>
      <c r="F2724" t="s">
        <v>116</v>
      </c>
      <c r="G2724" t="s">
        <v>95</v>
      </c>
      <c r="H2724" t="s">
        <v>61</v>
      </c>
      <c r="I2724">
        <v>9</v>
      </c>
    </row>
    <row r="2725" spans="1:9" x14ac:dyDescent="0.2">
      <c r="A2725">
        <v>12588430</v>
      </c>
      <c r="B2725">
        <v>4</v>
      </c>
      <c r="C2725">
        <v>3724</v>
      </c>
      <c r="D2725">
        <v>0</v>
      </c>
      <c r="E2725">
        <v>26</v>
      </c>
      <c r="F2725" t="s">
        <v>116</v>
      </c>
      <c r="G2725" t="s">
        <v>394</v>
      </c>
      <c r="H2725" t="s">
        <v>61</v>
      </c>
      <c r="I2725">
        <v>9</v>
      </c>
    </row>
    <row r="2726" spans="1:9" x14ac:dyDescent="0.2">
      <c r="A2726">
        <v>12588430</v>
      </c>
      <c r="B2726">
        <v>5</v>
      </c>
      <c r="C2726">
        <v>1752</v>
      </c>
      <c r="D2726">
        <v>0</v>
      </c>
      <c r="E2726">
        <v>26</v>
      </c>
      <c r="F2726" t="s">
        <v>57</v>
      </c>
      <c r="G2726" t="s">
        <v>66</v>
      </c>
      <c r="H2726" t="s">
        <v>56</v>
      </c>
      <c r="I2726">
        <v>10</v>
      </c>
    </row>
    <row r="2727" spans="1:9" x14ac:dyDescent="0.2">
      <c r="A2727">
        <v>12588430</v>
      </c>
      <c r="B2727">
        <v>6</v>
      </c>
      <c r="C2727">
        <v>1711</v>
      </c>
      <c r="D2727">
        <v>0</v>
      </c>
      <c r="E2727">
        <v>26</v>
      </c>
      <c r="F2727" t="s">
        <v>57</v>
      </c>
      <c r="G2727" t="s">
        <v>201</v>
      </c>
      <c r="H2727" t="s">
        <v>69</v>
      </c>
      <c r="I2727">
        <v>10</v>
      </c>
    </row>
    <row r="2728" spans="1:9" x14ac:dyDescent="0.2">
      <c r="A2728">
        <v>12588430</v>
      </c>
      <c r="B2728">
        <v>7</v>
      </c>
      <c r="C2728">
        <v>3060</v>
      </c>
      <c r="D2728">
        <v>0</v>
      </c>
      <c r="E2728">
        <v>26</v>
      </c>
      <c r="F2728" t="s">
        <v>44</v>
      </c>
      <c r="G2728" t="s">
        <v>51</v>
      </c>
      <c r="H2728" t="s">
        <v>52</v>
      </c>
      <c r="I2728">
        <v>9</v>
      </c>
    </row>
    <row r="2729" spans="1:9" x14ac:dyDescent="0.2">
      <c r="A2729">
        <v>12588430</v>
      </c>
      <c r="B2729">
        <v>8</v>
      </c>
      <c r="C2729">
        <v>1310</v>
      </c>
      <c r="D2729">
        <v>0</v>
      </c>
      <c r="E2729">
        <v>26</v>
      </c>
      <c r="F2729" t="s">
        <v>21</v>
      </c>
      <c r="G2729" t="s">
        <v>395</v>
      </c>
      <c r="H2729" t="s">
        <v>136</v>
      </c>
      <c r="I2729">
        <v>8</v>
      </c>
    </row>
    <row r="2730" spans="1:9" x14ac:dyDescent="0.2">
      <c r="A2730">
        <v>12590396</v>
      </c>
      <c r="B2730">
        <v>1</v>
      </c>
      <c r="C2730">
        <v>1713</v>
      </c>
      <c r="D2730">
        <v>71895</v>
      </c>
      <c r="E2730">
        <v>25</v>
      </c>
      <c r="F2730" t="s">
        <v>57</v>
      </c>
      <c r="G2730" t="s">
        <v>170</v>
      </c>
      <c r="H2730" t="s">
        <v>69</v>
      </c>
      <c r="I2730">
        <v>10</v>
      </c>
    </row>
    <row r="2731" spans="1:9" x14ac:dyDescent="0.2">
      <c r="A2731">
        <v>12590396</v>
      </c>
      <c r="B2731">
        <v>2</v>
      </c>
      <c r="C2731">
        <v>1731</v>
      </c>
      <c r="D2731">
        <v>71895</v>
      </c>
      <c r="E2731">
        <v>25</v>
      </c>
      <c r="F2731" t="s">
        <v>57</v>
      </c>
      <c r="G2731" t="s">
        <v>172</v>
      </c>
      <c r="H2731" t="s">
        <v>69</v>
      </c>
      <c r="I2731">
        <v>10</v>
      </c>
    </row>
    <row r="2732" spans="1:9" x14ac:dyDescent="0.2">
      <c r="A2732">
        <v>12590396</v>
      </c>
      <c r="B2732">
        <v>3</v>
      </c>
      <c r="C2732">
        <v>1939</v>
      </c>
      <c r="D2732">
        <v>72175</v>
      </c>
      <c r="E2732">
        <v>25</v>
      </c>
      <c r="F2732" t="s">
        <v>32</v>
      </c>
      <c r="G2732" t="s">
        <v>170</v>
      </c>
      <c r="H2732" t="s">
        <v>239</v>
      </c>
      <c r="I2732">
        <v>5</v>
      </c>
    </row>
    <row r="2733" spans="1:9" x14ac:dyDescent="0.2">
      <c r="A2733">
        <v>12590396</v>
      </c>
      <c r="B2733">
        <v>4</v>
      </c>
      <c r="C2733">
        <v>1169</v>
      </c>
      <c r="D2733">
        <v>71385</v>
      </c>
      <c r="E2733">
        <v>24</v>
      </c>
      <c r="F2733" t="s">
        <v>17</v>
      </c>
      <c r="G2733" t="s">
        <v>295</v>
      </c>
      <c r="H2733" t="s">
        <v>16</v>
      </c>
      <c r="I2733" t="s">
        <v>448</v>
      </c>
    </row>
    <row r="2734" spans="1:9" x14ac:dyDescent="0.2">
      <c r="A2734">
        <v>12590396</v>
      </c>
      <c r="B2734">
        <v>5</v>
      </c>
      <c r="C2734">
        <v>3026</v>
      </c>
      <c r="D2734">
        <v>0</v>
      </c>
      <c r="E2734">
        <v>26</v>
      </c>
      <c r="F2734" t="s">
        <v>44</v>
      </c>
      <c r="G2734" t="s">
        <v>170</v>
      </c>
      <c r="H2734" t="s">
        <v>50</v>
      </c>
      <c r="I2734">
        <v>9</v>
      </c>
    </row>
    <row r="2735" spans="1:9" x14ac:dyDescent="0.2">
      <c r="A2735">
        <v>12590396</v>
      </c>
      <c r="B2735">
        <v>6</v>
      </c>
      <c r="C2735">
        <v>1950</v>
      </c>
      <c r="D2735">
        <v>0</v>
      </c>
      <c r="E2735">
        <v>26</v>
      </c>
      <c r="F2735" t="s">
        <v>32</v>
      </c>
      <c r="G2735" t="s">
        <v>122</v>
      </c>
      <c r="H2735" t="s">
        <v>31</v>
      </c>
      <c r="I2735">
        <v>5</v>
      </c>
    </row>
    <row r="2736" spans="1:9" x14ac:dyDescent="0.2">
      <c r="A2736">
        <v>12590396</v>
      </c>
      <c r="B2736">
        <v>7</v>
      </c>
      <c r="C2736">
        <v>1355</v>
      </c>
      <c r="D2736">
        <v>0</v>
      </c>
      <c r="E2736">
        <v>26</v>
      </c>
      <c r="F2736" t="s">
        <v>21</v>
      </c>
      <c r="G2736" t="s">
        <v>289</v>
      </c>
      <c r="H2736" t="s">
        <v>20</v>
      </c>
      <c r="I2736">
        <v>8</v>
      </c>
    </row>
    <row r="2737" spans="1:9" x14ac:dyDescent="0.2">
      <c r="A2737">
        <v>12673412</v>
      </c>
      <c r="B2737">
        <v>1</v>
      </c>
      <c r="C2737">
        <v>1386</v>
      </c>
      <c r="D2737">
        <v>60780</v>
      </c>
      <c r="E2737">
        <v>25</v>
      </c>
      <c r="F2737" t="s">
        <v>21</v>
      </c>
      <c r="G2737" t="s">
        <v>170</v>
      </c>
      <c r="H2737" t="s">
        <v>20</v>
      </c>
      <c r="I2737">
        <v>8</v>
      </c>
    </row>
    <row r="2738" spans="1:9" x14ac:dyDescent="0.2">
      <c r="A2738">
        <v>12673412</v>
      </c>
      <c r="B2738">
        <v>2</v>
      </c>
      <c r="C2738">
        <v>3026</v>
      </c>
      <c r="D2738">
        <v>61250</v>
      </c>
      <c r="E2738">
        <v>25</v>
      </c>
      <c r="F2738" t="s">
        <v>44</v>
      </c>
      <c r="G2738" t="s">
        <v>170</v>
      </c>
      <c r="H2738" t="s">
        <v>50</v>
      </c>
      <c r="I2738">
        <v>9</v>
      </c>
    </row>
    <row r="2739" spans="1:9" x14ac:dyDescent="0.2">
      <c r="A2739">
        <v>12673412</v>
      </c>
      <c r="B2739">
        <v>3</v>
      </c>
      <c r="C2739">
        <v>1713</v>
      </c>
      <c r="D2739">
        <v>62090</v>
      </c>
      <c r="E2739">
        <v>25</v>
      </c>
      <c r="F2739" t="s">
        <v>57</v>
      </c>
      <c r="G2739" t="s">
        <v>170</v>
      </c>
      <c r="H2739" t="s">
        <v>69</v>
      </c>
      <c r="I2739">
        <v>10</v>
      </c>
    </row>
    <row r="2740" spans="1:9" x14ac:dyDescent="0.2">
      <c r="A2740">
        <v>12673412</v>
      </c>
      <c r="B2740">
        <v>4</v>
      </c>
      <c r="C2740">
        <v>1731</v>
      </c>
      <c r="D2740">
        <v>62090</v>
      </c>
      <c r="E2740">
        <v>25</v>
      </c>
      <c r="F2740" t="s">
        <v>57</v>
      </c>
      <c r="G2740" t="s">
        <v>172</v>
      </c>
      <c r="H2740" t="s">
        <v>69</v>
      </c>
      <c r="I2740">
        <v>10</v>
      </c>
    </row>
    <row r="2741" spans="1:9" x14ac:dyDescent="0.2">
      <c r="A2741">
        <v>12673412</v>
      </c>
      <c r="B2741">
        <v>5</v>
      </c>
      <c r="C2741">
        <v>1381</v>
      </c>
      <c r="D2741">
        <v>61295</v>
      </c>
      <c r="E2741">
        <v>25</v>
      </c>
      <c r="F2741" t="s">
        <v>21</v>
      </c>
      <c r="G2741" t="s">
        <v>103</v>
      </c>
      <c r="H2741" t="s">
        <v>20</v>
      </c>
      <c r="I2741">
        <v>8</v>
      </c>
    </row>
    <row r="2742" spans="1:9" x14ac:dyDescent="0.2">
      <c r="A2742">
        <v>12673412</v>
      </c>
      <c r="B2742">
        <v>6</v>
      </c>
      <c r="C2742">
        <v>3035</v>
      </c>
      <c r="D2742">
        <v>61250</v>
      </c>
      <c r="E2742">
        <v>25</v>
      </c>
      <c r="F2742" t="s">
        <v>44</v>
      </c>
      <c r="G2742" t="s">
        <v>103</v>
      </c>
      <c r="H2742" t="s">
        <v>50</v>
      </c>
      <c r="I2742">
        <v>9</v>
      </c>
    </row>
    <row r="2743" spans="1:9" x14ac:dyDescent="0.2">
      <c r="A2743">
        <v>12673412</v>
      </c>
      <c r="B2743">
        <v>7</v>
      </c>
      <c r="C2743">
        <v>1728</v>
      </c>
      <c r="D2743">
        <v>62090</v>
      </c>
      <c r="E2743">
        <v>25</v>
      </c>
      <c r="F2743" t="s">
        <v>57</v>
      </c>
      <c r="G2743" t="s">
        <v>103</v>
      </c>
      <c r="H2743" t="s">
        <v>69</v>
      </c>
      <c r="I2743">
        <v>10</v>
      </c>
    </row>
    <row r="2744" spans="1:9" x14ac:dyDescent="0.2">
      <c r="A2744">
        <v>12673412</v>
      </c>
      <c r="B2744">
        <v>8</v>
      </c>
      <c r="C2744">
        <v>1786</v>
      </c>
      <c r="D2744">
        <v>61875</v>
      </c>
      <c r="E2744">
        <v>24</v>
      </c>
      <c r="F2744" t="s">
        <v>57</v>
      </c>
      <c r="G2744" t="s">
        <v>103</v>
      </c>
      <c r="H2744" t="s">
        <v>56</v>
      </c>
      <c r="I2744">
        <v>10</v>
      </c>
    </row>
    <row r="2745" spans="1:9" x14ac:dyDescent="0.2">
      <c r="A2745">
        <v>12700119</v>
      </c>
      <c r="B2745">
        <v>1</v>
      </c>
      <c r="C2745">
        <v>1778</v>
      </c>
      <c r="D2745">
        <v>52940</v>
      </c>
      <c r="E2745">
        <v>24</v>
      </c>
      <c r="F2745" t="s">
        <v>57</v>
      </c>
      <c r="G2745" t="s">
        <v>84</v>
      </c>
      <c r="H2745" t="s">
        <v>56</v>
      </c>
      <c r="I2745">
        <v>10</v>
      </c>
    </row>
    <row r="2746" spans="1:9" x14ac:dyDescent="0.2">
      <c r="A2746">
        <v>12700119</v>
      </c>
      <c r="B2746">
        <v>2</v>
      </c>
      <c r="C2746">
        <v>1709</v>
      </c>
      <c r="D2746">
        <v>0</v>
      </c>
      <c r="E2746">
        <v>26</v>
      </c>
      <c r="F2746" t="s">
        <v>57</v>
      </c>
      <c r="G2746" t="s">
        <v>84</v>
      </c>
      <c r="H2746" t="s">
        <v>69</v>
      </c>
      <c r="I2746">
        <v>10</v>
      </c>
    </row>
    <row r="2747" spans="1:9" x14ac:dyDescent="0.2">
      <c r="A2747">
        <v>12700119</v>
      </c>
      <c r="B2747">
        <v>3</v>
      </c>
      <c r="C2747">
        <v>1703</v>
      </c>
      <c r="D2747">
        <v>0</v>
      </c>
      <c r="E2747">
        <v>26</v>
      </c>
      <c r="F2747" t="s">
        <v>57</v>
      </c>
      <c r="G2747" t="s">
        <v>109</v>
      </c>
      <c r="H2747" t="s">
        <v>69</v>
      </c>
      <c r="I2747">
        <v>10</v>
      </c>
    </row>
    <row r="2748" spans="1:9" x14ac:dyDescent="0.2">
      <c r="A2748">
        <v>12700119</v>
      </c>
      <c r="B2748">
        <v>4</v>
      </c>
      <c r="C2748">
        <v>3212</v>
      </c>
      <c r="D2748">
        <v>0</v>
      </c>
      <c r="E2748">
        <v>26</v>
      </c>
      <c r="F2748" t="s">
        <v>47</v>
      </c>
      <c r="G2748" t="s">
        <v>84</v>
      </c>
      <c r="H2748" t="s">
        <v>46</v>
      </c>
      <c r="I2748">
        <v>10</v>
      </c>
    </row>
    <row r="2749" spans="1:9" x14ac:dyDescent="0.2">
      <c r="A2749">
        <v>12700119</v>
      </c>
      <c r="B2749">
        <v>5</v>
      </c>
      <c r="C2749">
        <v>3211</v>
      </c>
      <c r="D2749">
        <v>0</v>
      </c>
      <c r="E2749">
        <v>26</v>
      </c>
      <c r="F2749" t="s">
        <v>47</v>
      </c>
      <c r="G2749" t="s">
        <v>99</v>
      </c>
      <c r="H2749" t="s">
        <v>46</v>
      </c>
      <c r="I2749">
        <v>10</v>
      </c>
    </row>
    <row r="2750" spans="1:9" x14ac:dyDescent="0.2">
      <c r="A2750">
        <v>12731075</v>
      </c>
      <c r="B2750">
        <v>1</v>
      </c>
      <c r="C2750">
        <v>3212</v>
      </c>
      <c r="D2750">
        <v>54030</v>
      </c>
      <c r="E2750">
        <v>24</v>
      </c>
      <c r="F2750" t="s">
        <v>47</v>
      </c>
      <c r="G2750" t="s">
        <v>84</v>
      </c>
      <c r="H2750" t="s">
        <v>46</v>
      </c>
      <c r="I2750">
        <v>10</v>
      </c>
    </row>
    <row r="2751" spans="1:9" x14ac:dyDescent="0.2">
      <c r="A2751">
        <v>12731075</v>
      </c>
      <c r="B2751">
        <v>2</v>
      </c>
      <c r="C2751">
        <v>3211</v>
      </c>
      <c r="D2751">
        <v>0</v>
      </c>
      <c r="E2751">
        <v>26</v>
      </c>
      <c r="F2751" t="s">
        <v>47</v>
      </c>
      <c r="G2751" t="s">
        <v>99</v>
      </c>
      <c r="H2751" t="s">
        <v>46</v>
      </c>
      <c r="I2751">
        <v>10</v>
      </c>
    </row>
    <row r="2752" spans="1:9" x14ac:dyDescent="0.2">
      <c r="A2752">
        <v>12731075</v>
      </c>
      <c r="B2752">
        <v>3</v>
      </c>
      <c r="C2752">
        <v>3246</v>
      </c>
      <c r="D2752">
        <v>0</v>
      </c>
      <c r="E2752">
        <v>26</v>
      </c>
      <c r="F2752" t="s">
        <v>47</v>
      </c>
      <c r="G2752" t="s">
        <v>91</v>
      </c>
      <c r="H2752" t="s">
        <v>74</v>
      </c>
      <c r="I2752">
        <v>10</v>
      </c>
    </row>
    <row r="2753" spans="1:9" x14ac:dyDescent="0.2">
      <c r="A2753">
        <v>12749689</v>
      </c>
      <c r="B2753">
        <v>1</v>
      </c>
      <c r="C2753">
        <v>1714</v>
      </c>
      <c r="D2753">
        <v>50430</v>
      </c>
      <c r="E2753">
        <v>25</v>
      </c>
      <c r="F2753" t="s">
        <v>57</v>
      </c>
      <c r="G2753" t="s">
        <v>95</v>
      </c>
      <c r="H2753" t="s">
        <v>69</v>
      </c>
      <c r="I2753">
        <v>10</v>
      </c>
    </row>
    <row r="2754" spans="1:9" x14ac:dyDescent="0.2">
      <c r="A2754">
        <v>12749689</v>
      </c>
      <c r="B2754">
        <v>2</v>
      </c>
      <c r="C2754">
        <v>1782</v>
      </c>
      <c r="D2754">
        <v>55330</v>
      </c>
      <c r="E2754">
        <v>25</v>
      </c>
      <c r="F2754" t="s">
        <v>57</v>
      </c>
      <c r="G2754" t="s">
        <v>63</v>
      </c>
      <c r="H2754" t="s">
        <v>69</v>
      </c>
      <c r="I2754">
        <v>10</v>
      </c>
    </row>
    <row r="2755" spans="1:9" x14ac:dyDescent="0.2">
      <c r="A2755">
        <v>12749689</v>
      </c>
      <c r="B2755">
        <v>3</v>
      </c>
      <c r="C2755">
        <v>1709</v>
      </c>
      <c r="D2755">
        <v>51860</v>
      </c>
      <c r="E2755">
        <v>25</v>
      </c>
      <c r="F2755" t="s">
        <v>57</v>
      </c>
      <c r="G2755" t="s">
        <v>84</v>
      </c>
      <c r="H2755" t="s">
        <v>69</v>
      </c>
      <c r="I2755">
        <v>10</v>
      </c>
    </row>
    <row r="2756" spans="1:9" x14ac:dyDescent="0.2">
      <c r="A2756">
        <v>12749689</v>
      </c>
      <c r="B2756">
        <v>4</v>
      </c>
      <c r="C2756">
        <v>1754</v>
      </c>
      <c r="D2756">
        <v>52745</v>
      </c>
      <c r="E2756">
        <v>25</v>
      </c>
      <c r="F2756" t="s">
        <v>57</v>
      </c>
      <c r="G2756" t="s">
        <v>85</v>
      </c>
      <c r="H2756" t="s">
        <v>69</v>
      </c>
      <c r="I2756">
        <v>10</v>
      </c>
    </row>
    <row r="2757" spans="1:9" x14ac:dyDescent="0.2">
      <c r="A2757">
        <v>12749689</v>
      </c>
      <c r="B2757">
        <v>5</v>
      </c>
      <c r="C2757">
        <v>1700</v>
      </c>
      <c r="D2757">
        <v>49530</v>
      </c>
      <c r="E2757">
        <v>25</v>
      </c>
      <c r="F2757" t="s">
        <v>57</v>
      </c>
      <c r="G2757" t="s">
        <v>58</v>
      </c>
      <c r="H2757" t="s">
        <v>69</v>
      </c>
      <c r="I2757">
        <v>10</v>
      </c>
    </row>
    <row r="2758" spans="1:9" x14ac:dyDescent="0.2">
      <c r="A2758">
        <v>12804712</v>
      </c>
      <c r="B2758">
        <v>1</v>
      </c>
      <c r="C2758">
        <v>3243</v>
      </c>
      <c r="D2758">
        <v>58965</v>
      </c>
      <c r="E2758">
        <v>24</v>
      </c>
      <c r="F2758" t="s">
        <v>47</v>
      </c>
      <c r="G2758" t="s">
        <v>75</v>
      </c>
      <c r="H2758" t="s">
        <v>46</v>
      </c>
      <c r="I2758">
        <v>10</v>
      </c>
    </row>
    <row r="2759" spans="1:9" x14ac:dyDescent="0.2">
      <c r="A2759">
        <v>12804712</v>
      </c>
      <c r="B2759">
        <v>2</v>
      </c>
      <c r="C2759">
        <v>3242</v>
      </c>
      <c r="D2759">
        <v>0</v>
      </c>
      <c r="E2759">
        <v>26</v>
      </c>
      <c r="F2759" t="s">
        <v>47</v>
      </c>
      <c r="G2759" t="s">
        <v>90</v>
      </c>
      <c r="H2759" t="s">
        <v>46</v>
      </c>
      <c r="I2759">
        <v>10</v>
      </c>
    </row>
    <row r="2760" spans="1:9" x14ac:dyDescent="0.2">
      <c r="A2760">
        <v>12804712</v>
      </c>
      <c r="B2760">
        <v>3</v>
      </c>
      <c r="C2760">
        <v>3252</v>
      </c>
      <c r="D2760">
        <v>0</v>
      </c>
      <c r="E2760">
        <v>26</v>
      </c>
      <c r="F2760" t="s">
        <v>47</v>
      </c>
      <c r="G2760" t="s">
        <v>45</v>
      </c>
      <c r="H2760" t="s">
        <v>46</v>
      </c>
      <c r="I2760">
        <v>10</v>
      </c>
    </row>
    <row r="2761" spans="1:9" x14ac:dyDescent="0.2">
      <c r="A2761">
        <v>12804712</v>
      </c>
      <c r="B2761">
        <v>4</v>
      </c>
      <c r="C2761">
        <v>3246</v>
      </c>
      <c r="D2761">
        <v>0</v>
      </c>
      <c r="E2761">
        <v>26</v>
      </c>
      <c r="F2761" t="s">
        <v>47</v>
      </c>
      <c r="G2761" t="s">
        <v>91</v>
      </c>
      <c r="H2761" t="s">
        <v>74</v>
      </c>
      <c r="I2761">
        <v>10</v>
      </c>
    </row>
    <row r="2762" spans="1:9" x14ac:dyDescent="0.2">
      <c r="A2762">
        <v>12804712</v>
      </c>
      <c r="B2762">
        <v>5</v>
      </c>
      <c r="C2762">
        <v>3248</v>
      </c>
      <c r="D2762">
        <v>0</v>
      </c>
      <c r="E2762">
        <v>26</v>
      </c>
      <c r="F2762" t="s">
        <v>47</v>
      </c>
      <c r="G2762" t="s">
        <v>92</v>
      </c>
      <c r="H2762" t="s">
        <v>46</v>
      </c>
      <c r="I2762">
        <v>10</v>
      </c>
    </row>
    <row r="2763" spans="1:9" x14ac:dyDescent="0.2">
      <c r="A2763">
        <v>12804712</v>
      </c>
      <c r="B2763">
        <v>6</v>
      </c>
      <c r="C2763">
        <v>3234</v>
      </c>
      <c r="D2763">
        <v>0</v>
      </c>
      <c r="E2763">
        <v>26</v>
      </c>
      <c r="F2763" t="s">
        <v>47</v>
      </c>
      <c r="G2763" t="s">
        <v>76</v>
      </c>
      <c r="H2763" t="s">
        <v>46</v>
      </c>
      <c r="I2763">
        <v>10</v>
      </c>
    </row>
    <row r="2764" spans="1:9" x14ac:dyDescent="0.2">
      <c r="A2764">
        <v>12876124</v>
      </c>
      <c r="B2764">
        <v>1</v>
      </c>
      <c r="C2764">
        <v>1571</v>
      </c>
      <c r="D2764">
        <v>66155</v>
      </c>
      <c r="E2764">
        <v>24</v>
      </c>
      <c r="F2764" t="s">
        <v>142</v>
      </c>
      <c r="G2764" t="s">
        <v>264</v>
      </c>
      <c r="H2764" t="s">
        <v>113</v>
      </c>
      <c r="I2764">
        <v>5</v>
      </c>
    </row>
    <row r="2765" spans="1:9" x14ac:dyDescent="0.2">
      <c r="A2765">
        <v>12876124</v>
      </c>
      <c r="B2765">
        <v>2</v>
      </c>
      <c r="C2765">
        <v>3218</v>
      </c>
      <c r="D2765">
        <v>0</v>
      </c>
      <c r="E2765">
        <v>26</v>
      </c>
      <c r="F2765" t="s">
        <v>47</v>
      </c>
      <c r="G2765" t="s">
        <v>66</v>
      </c>
      <c r="H2765" t="s">
        <v>74</v>
      </c>
      <c r="I2765">
        <v>10</v>
      </c>
    </row>
    <row r="2766" spans="1:9" x14ac:dyDescent="0.2">
      <c r="A2766">
        <v>12890932</v>
      </c>
      <c r="B2766">
        <v>1</v>
      </c>
      <c r="C2766">
        <v>3237</v>
      </c>
      <c r="D2766">
        <v>56415</v>
      </c>
      <c r="E2766">
        <v>24</v>
      </c>
      <c r="F2766" t="s">
        <v>47</v>
      </c>
      <c r="G2766" t="s">
        <v>181</v>
      </c>
      <c r="H2766" t="s">
        <v>46</v>
      </c>
      <c r="I2766">
        <v>10</v>
      </c>
    </row>
    <row r="2767" spans="1:9" x14ac:dyDescent="0.2">
      <c r="A2767">
        <v>12890932</v>
      </c>
      <c r="B2767">
        <v>2</v>
      </c>
      <c r="C2767">
        <v>3200</v>
      </c>
      <c r="D2767">
        <v>0</v>
      </c>
      <c r="E2767">
        <v>26</v>
      </c>
      <c r="F2767" t="s">
        <v>47</v>
      </c>
      <c r="G2767" t="s">
        <v>18</v>
      </c>
      <c r="H2767" t="s">
        <v>46</v>
      </c>
      <c r="I2767">
        <v>10</v>
      </c>
    </row>
    <row r="2768" spans="1:9" x14ac:dyDescent="0.2">
      <c r="A2768">
        <v>12890932</v>
      </c>
      <c r="B2768">
        <v>3</v>
      </c>
      <c r="C2768">
        <v>1703</v>
      </c>
      <c r="D2768">
        <v>0</v>
      </c>
      <c r="E2768">
        <v>26</v>
      </c>
      <c r="F2768" t="s">
        <v>57</v>
      </c>
      <c r="G2768" t="s">
        <v>109</v>
      </c>
      <c r="H2768" t="s">
        <v>69</v>
      </c>
      <c r="I2768">
        <v>10</v>
      </c>
    </row>
    <row r="2769" spans="1:9" x14ac:dyDescent="0.2">
      <c r="A2769">
        <v>12890932</v>
      </c>
      <c r="B2769">
        <v>4</v>
      </c>
      <c r="C2769">
        <v>3218</v>
      </c>
      <c r="D2769">
        <v>0</v>
      </c>
      <c r="E2769">
        <v>26</v>
      </c>
      <c r="F2769" t="s">
        <v>47</v>
      </c>
      <c r="G2769" t="s">
        <v>66</v>
      </c>
      <c r="H2769" t="s">
        <v>74</v>
      </c>
      <c r="I2769">
        <v>10</v>
      </c>
    </row>
    <row r="2770" spans="1:9" x14ac:dyDescent="0.2">
      <c r="A2770">
        <v>12890932</v>
      </c>
      <c r="B2770">
        <v>5</v>
      </c>
      <c r="C2770">
        <v>1752</v>
      </c>
      <c r="D2770">
        <v>0</v>
      </c>
      <c r="E2770">
        <v>26</v>
      </c>
      <c r="F2770" t="s">
        <v>57</v>
      </c>
      <c r="G2770" t="s">
        <v>66</v>
      </c>
      <c r="H2770" t="s">
        <v>56</v>
      </c>
      <c r="I2770">
        <v>10</v>
      </c>
    </row>
    <row r="2771" spans="1:9" x14ac:dyDescent="0.2">
      <c r="A2771">
        <v>12910089</v>
      </c>
      <c r="B2771">
        <v>1</v>
      </c>
      <c r="C2771">
        <v>1732</v>
      </c>
      <c r="D2771">
        <v>58710</v>
      </c>
      <c r="E2771">
        <v>25</v>
      </c>
      <c r="F2771" t="s">
        <v>57</v>
      </c>
      <c r="G2771" t="s">
        <v>104</v>
      </c>
      <c r="H2771" t="s">
        <v>69</v>
      </c>
      <c r="I2771">
        <v>10</v>
      </c>
    </row>
    <row r="2772" spans="1:9" x14ac:dyDescent="0.2">
      <c r="A2772">
        <v>12910089</v>
      </c>
      <c r="B2772">
        <v>2</v>
      </c>
      <c r="C2772">
        <v>1170</v>
      </c>
      <c r="D2772">
        <v>60465</v>
      </c>
      <c r="E2772">
        <v>25</v>
      </c>
      <c r="F2772" t="s">
        <v>17</v>
      </c>
      <c r="G2772" t="s">
        <v>392</v>
      </c>
      <c r="H2772" t="s">
        <v>16</v>
      </c>
      <c r="I2772" t="s">
        <v>448</v>
      </c>
    </row>
    <row r="2773" spans="1:9" x14ac:dyDescent="0.2">
      <c r="A2773">
        <v>12910089</v>
      </c>
      <c r="B2773">
        <v>3</v>
      </c>
      <c r="C2773">
        <v>1734</v>
      </c>
      <c r="D2773">
        <v>61295</v>
      </c>
      <c r="E2773">
        <v>25</v>
      </c>
      <c r="F2773" t="s">
        <v>57</v>
      </c>
      <c r="G2773" t="s">
        <v>81</v>
      </c>
      <c r="H2773" t="s">
        <v>69</v>
      </c>
      <c r="I2773">
        <v>10</v>
      </c>
    </row>
    <row r="2774" spans="1:9" x14ac:dyDescent="0.2">
      <c r="A2774">
        <v>12910089</v>
      </c>
      <c r="B2774">
        <v>4</v>
      </c>
      <c r="C2774">
        <v>1169</v>
      </c>
      <c r="D2774">
        <v>60465</v>
      </c>
      <c r="E2774">
        <v>25</v>
      </c>
      <c r="F2774" t="s">
        <v>17</v>
      </c>
      <c r="G2774" t="s">
        <v>295</v>
      </c>
      <c r="H2774" t="s">
        <v>16</v>
      </c>
      <c r="I2774" t="s">
        <v>448</v>
      </c>
    </row>
    <row r="2775" spans="1:9" x14ac:dyDescent="0.2">
      <c r="A2775">
        <v>12910089</v>
      </c>
      <c r="B2775">
        <v>5</v>
      </c>
      <c r="C2775">
        <v>3704</v>
      </c>
      <c r="D2775">
        <v>60740</v>
      </c>
      <c r="E2775">
        <v>24</v>
      </c>
      <c r="F2775" t="s">
        <v>116</v>
      </c>
      <c r="G2775" t="s">
        <v>93</v>
      </c>
      <c r="H2775" t="s">
        <v>61</v>
      </c>
      <c r="I2775">
        <v>9</v>
      </c>
    </row>
    <row r="2776" spans="1:9" x14ac:dyDescent="0.2">
      <c r="A2776">
        <v>12910089</v>
      </c>
      <c r="B2776">
        <v>6</v>
      </c>
      <c r="C2776">
        <v>1337</v>
      </c>
      <c r="D2776">
        <v>0</v>
      </c>
      <c r="E2776">
        <v>26</v>
      </c>
      <c r="F2776" t="s">
        <v>21</v>
      </c>
      <c r="G2776" t="s">
        <v>340</v>
      </c>
      <c r="H2776" t="s">
        <v>20</v>
      </c>
      <c r="I2776">
        <v>8</v>
      </c>
    </row>
    <row r="2777" spans="1:9" x14ac:dyDescent="0.2">
      <c r="A2777">
        <v>12910089</v>
      </c>
      <c r="B2777">
        <v>7</v>
      </c>
      <c r="C2777">
        <v>1398</v>
      </c>
      <c r="D2777">
        <v>0</v>
      </c>
      <c r="E2777">
        <v>26</v>
      </c>
      <c r="F2777" t="s">
        <v>21</v>
      </c>
      <c r="G2777" t="s">
        <v>438</v>
      </c>
      <c r="H2777" t="s">
        <v>439</v>
      </c>
      <c r="I2777">
        <v>8</v>
      </c>
    </row>
    <row r="2778" spans="1:9" x14ac:dyDescent="0.2">
      <c r="A2778">
        <v>12933634</v>
      </c>
      <c r="B2778">
        <v>1</v>
      </c>
      <c r="C2778">
        <v>3234</v>
      </c>
      <c r="D2778">
        <v>56720</v>
      </c>
      <c r="E2778">
        <v>24</v>
      </c>
      <c r="F2778" t="s">
        <v>47</v>
      </c>
      <c r="G2778" t="s">
        <v>76</v>
      </c>
      <c r="H2778" t="s">
        <v>46</v>
      </c>
      <c r="I2778">
        <v>10</v>
      </c>
    </row>
    <row r="2779" spans="1:9" x14ac:dyDescent="0.2">
      <c r="A2779">
        <v>12933634</v>
      </c>
      <c r="B2779">
        <v>2</v>
      </c>
      <c r="C2779">
        <v>3212</v>
      </c>
      <c r="D2779">
        <v>0</v>
      </c>
      <c r="E2779">
        <v>26</v>
      </c>
      <c r="F2779" t="s">
        <v>47</v>
      </c>
      <c r="G2779" t="s">
        <v>84</v>
      </c>
      <c r="H2779" t="s">
        <v>46</v>
      </c>
      <c r="I2779">
        <v>10</v>
      </c>
    </row>
    <row r="2780" spans="1:9" x14ac:dyDescent="0.2">
      <c r="A2780">
        <v>12933634</v>
      </c>
      <c r="B2780">
        <v>3</v>
      </c>
      <c r="C2780">
        <v>3239</v>
      </c>
      <c r="D2780">
        <v>0</v>
      </c>
      <c r="E2780">
        <v>26</v>
      </c>
      <c r="F2780" t="s">
        <v>47</v>
      </c>
      <c r="G2780" t="s">
        <v>107</v>
      </c>
      <c r="H2780" t="s">
        <v>46</v>
      </c>
      <c r="I2780">
        <v>10</v>
      </c>
    </row>
    <row r="2781" spans="1:9" x14ac:dyDescent="0.2">
      <c r="A2781">
        <v>12933634</v>
      </c>
      <c r="B2781">
        <v>4</v>
      </c>
      <c r="C2781">
        <v>3242</v>
      </c>
      <c r="D2781">
        <v>0</v>
      </c>
      <c r="E2781">
        <v>26</v>
      </c>
      <c r="F2781" t="s">
        <v>47</v>
      </c>
      <c r="G2781" t="s">
        <v>90</v>
      </c>
      <c r="H2781" t="s">
        <v>46</v>
      </c>
      <c r="I2781">
        <v>10</v>
      </c>
    </row>
    <row r="2782" spans="1:9" x14ac:dyDescent="0.2">
      <c r="A2782">
        <v>12933634</v>
      </c>
      <c r="B2782">
        <v>5</v>
      </c>
      <c r="C2782">
        <v>3200</v>
      </c>
      <c r="D2782">
        <v>0</v>
      </c>
      <c r="E2782">
        <v>26</v>
      </c>
      <c r="F2782" t="s">
        <v>47</v>
      </c>
      <c r="G2782" t="s">
        <v>18</v>
      </c>
      <c r="H2782" t="s">
        <v>46</v>
      </c>
      <c r="I2782">
        <v>10</v>
      </c>
    </row>
    <row r="2783" spans="1:9" x14ac:dyDescent="0.2">
      <c r="A2783">
        <v>12933634</v>
      </c>
      <c r="B2783">
        <v>6</v>
      </c>
      <c r="C2783">
        <v>3243</v>
      </c>
      <c r="D2783">
        <v>0</v>
      </c>
      <c r="E2783">
        <v>26</v>
      </c>
      <c r="F2783" t="s">
        <v>47</v>
      </c>
      <c r="G2783" t="s">
        <v>75</v>
      </c>
      <c r="H2783" t="s">
        <v>46</v>
      </c>
      <c r="I2783">
        <v>10</v>
      </c>
    </row>
    <row r="2784" spans="1:9" x14ac:dyDescent="0.2">
      <c r="A2784">
        <v>12933634</v>
      </c>
      <c r="B2784">
        <v>7</v>
      </c>
      <c r="C2784">
        <v>3218</v>
      </c>
      <c r="D2784">
        <v>0</v>
      </c>
      <c r="E2784">
        <v>26</v>
      </c>
      <c r="F2784" t="s">
        <v>47</v>
      </c>
      <c r="G2784" t="s">
        <v>66</v>
      </c>
      <c r="H2784" t="s">
        <v>74</v>
      </c>
      <c r="I2784">
        <v>10</v>
      </c>
    </row>
    <row r="2785" spans="1:9" x14ac:dyDescent="0.2">
      <c r="A2785">
        <v>12933634</v>
      </c>
      <c r="B2785">
        <v>8</v>
      </c>
      <c r="C2785">
        <v>3244</v>
      </c>
      <c r="D2785">
        <v>0</v>
      </c>
      <c r="E2785">
        <v>26</v>
      </c>
      <c r="F2785" t="s">
        <v>47</v>
      </c>
      <c r="G2785" t="s">
        <v>73</v>
      </c>
      <c r="H2785" t="s">
        <v>74</v>
      </c>
      <c r="I2785">
        <v>10</v>
      </c>
    </row>
    <row r="2786" spans="1:9" x14ac:dyDescent="0.2">
      <c r="A2786">
        <v>12948005</v>
      </c>
      <c r="B2786">
        <v>1</v>
      </c>
      <c r="C2786">
        <v>3200</v>
      </c>
      <c r="D2786">
        <v>44010</v>
      </c>
      <c r="E2786">
        <v>25</v>
      </c>
      <c r="F2786" t="s">
        <v>47</v>
      </c>
      <c r="G2786" t="s">
        <v>18</v>
      </c>
      <c r="H2786" t="s">
        <v>46</v>
      </c>
      <c r="I2786">
        <v>10</v>
      </c>
    </row>
    <row r="2787" spans="1:9" x14ac:dyDescent="0.2">
      <c r="A2787">
        <v>12948005</v>
      </c>
      <c r="B2787">
        <v>2</v>
      </c>
      <c r="C2787">
        <v>3296</v>
      </c>
      <c r="D2787">
        <v>44010</v>
      </c>
      <c r="E2787">
        <v>25</v>
      </c>
      <c r="F2787" t="s">
        <v>47</v>
      </c>
      <c r="G2787" t="s">
        <v>100</v>
      </c>
      <c r="H2787" t="s">
        <v>46</v>
      </c>
      <c r="I2787">
        <v>10</v>
      </c>
    </row>
    <row r="2788" spans="1:9" x14ac:dyDescent="0.2">
      <c r="A2788">
        <v>12948005</v>
      </c>
      <c r="B2788">
        <v>3</v>
      </c>
      <c r="C2788">
        <v>3261</v>
      </c>
      <c r="D2788">
        <v>44690</v>
      </c>
      <c r="E2788">
        <v>25</v>
      </c>
      <c r="F2788" t="s">
        <v>47</v>
      </c>
      <c r="G2788" t="s">
        <v>93</v>
      </c>
      <c r="H2788" t="s">
        <v>46</v>
      </c>
      <c r="I2788">
        <v>10</v>
      </c>
    </row>
    <row r="2789" spans="1:9" x14ac:dyDescent="0.2">
      <c r="A2789">
        <v>12948006</v>
      </c>
      <c r="B2789">
        <v>1</v>
      </c>
      <c r="C2789">
        <v>3296</v>
      </c>
      <c r="D2789">
        <v>51380</v>
      </c>
      <c r="E2789">
        <v>24</v>
      </c>
      <c r="F2789" t="s">
        <v>47</v>
      </c>
      <c r="G2789" t="s">
        <v>100</v>
      </c>
      <c r="H2789" t="s">
        <v>46</v>
      </c>
      <c r="I2789">
        <v>10</v>
      </c>
    </row>
    <row r="2790" spans="1:9" x14ac:dyDescent="0.2">
      <c r="A2790">
        <v>12948006</v>
      </c>
      <c r="B2790">
        <v>2</v>
      </c>
      <c r="C2790">
        <v>3225</v>
      </c>
      <c r="D2790">
        <v>0</v>
      </c>
      <c r="E2790">
        <v>26</v>
      </c>
      <c r="F2790" t="s">
        <v>47</v>
      </c>
      <c r="G2790" t="s">
        <v>106</v>
      </c>
      <c r="H2790" t="s">
        <v>46</v>
      </c>
      <c r="I2790">
        <v>10</v>
      </c>
    </row>
    <row r="2791" spans="1:9" x14ac:dyDescent="0.2">
      <c r="A2791">
        <v>12948006</v>
      </c>
      <c r="B2791">
        <v>3</v>
      </c>
      <c r="C2791">
        <v>3229</v>
      </c>
      <c r="D2791">
        <v>0</v>
      </c>
      <c r="E2791">
        <v>26</v>
      </c>
      <c r="F2791" t="s">
        <v>47</v>
      </c>
      <c r="G2791" t="s">
        <v>101</v>
      </c>
      <c r="H2791" t="s">
        <v>46</v>
      </c>
      <c r="I2791">
        <v>10</v>
      </c>
    </row>
    <row r="2792" spans="1:9" x14ac:dyDescent="0.2">
      <c r="A2792">
        <v>12948006</v>
      </c>
      <c r="B2792">
        <v>4</v>
      </c>
      <c r="C2792">
        <v>3269</v>
      </c>
      <c r="D2792">
        <v>0</v>
      </c>
      <c r="E2792">
        <v>26</v>
      </c>
      <c r="F2792" t="s">
        <v>47</v>
      </c>
      <c r="G2792" t="s">
        <v>180</v>
      </c>
      <c r="H2792" t="s">
        <v>46</v>
      </c>
      <c r="I2792">
        <v>10</v>
      </c>
    </row>
    <row r="2793" spans="1:9" x14ac:dyDescent="0.2">
      <c r="A2793">
        <v>13016837</v>
      </c>
      <c r="B2793">
        <v>1</v>
      </c>
      <c r="C2793">
        <v>1713</v>
      </c>
      <c r="D2793">
        <v>63810</v>
      </c>
      <c r="E2793">
        <v>25</v>
      </c>
      <c r="F2793" t="s">
        <v>57</v>
      </c>
      <c r="G2793" t="s">
        <v>170</v>
      </c>
      <c r="H2793" t="s">
        <v>69</v>
      </c>
      <c r="I2793">
        <v>10</v>
      </c>
    </row>
    <row r="2794" spans="1:9" x14ac:dyDescent="0.2">
      <c r="A2794">
        <v>13016837</v>
      </c>
      <c r="B2794">
        <v>2</v>
      </c>
      <c r="C2794">
        <v>1789</v>
      </c>
      <c r="D2794">
        <v>63810</v>
      </c>
      <c r="E2794">
        <v>25</v>
      </c>
      <c r="F2794" t="s">
        <v>57</v>
      </c>
      <c r="G2794" t="s">
        <v>122</v>
      </c>
      <c r="H2794" t="s">
        <v>69</v>
      </c>
      <c r="I2794">
        <v>10</v>
      </c>
    </row>
    <row r="2795" spans="1:9" x14ac:dyDescent="0.2">
      <c r="A2795">
        <v>13017198</v>
      </c>
      <c r="B2795">
        <v>1</v>
      </c>
      <c r="C2795">
        <v>1700</v>
      </c>
      <c r="D2795">
        <v>53120</v>
      </c>
      <c r="E2795">
        <v>24</v>
      </c>
      <c r="F2795" t="s">
        <v>57</v>
      </c>
      <c r="G2795" t="s">
        <v>58</v>
      </c>
      <c r="H2795" t="s">
        <v>69</v>
      </c>
      <c r="I2795">
        <v>10</v>
      </c>
    </row>
    <row r="2796" spans="1:9" x14ac:dyDescent="0.2">
      <c r="A2796">
        <v>13017198</v>
      </c>
      <c r="B2796">
        <v>2</v>
      </c>
      <c r="C2796">
        <v>1753</v>
      </c>
      <c r="D2796">
        <v>0</v>
      </c>
      <c r="E2796">
        <v>26</v>
      </c>
      <c r="F2796" t="s">
        <v>57</v>
      </c>
      <c r="G2796" t="s">
        <v>105</v>
      </c>
      <c r="H2796" t="s">
        <v>69</v>
      </c>
      <c r="I2796">
        <v>10</v>
      </c>
    </row>
    <row r="2797" spans="1:9" x14ac:dyDescent="0.2">
      <c r="A2797">
        <v>13017198</v>
      </c>
      <c r="B2797">
        <v>3</v>
      </c>
      <c r="C2797">
        <v>1714</v>
      </c>
      <c r="D2797">
        <v>0</v>
      </c>
      <c r="E2797">
        <v>26</v>
      </c>
      <c r="F2797" t="s">
        <v>57</v>
      </c>
      <c r="G2797" t="s">
        <v>95</v>
      </c>
      <c r="H2797" t="s">
        <v>69</v>
      </c>
      <c r="I2797">
        <v>10</v>
      </c>
    </row>
    <row r="2798" spans="1:9" x14ac:dyDescent="0.2">
      <c r="A2798">
        <v>13017198</v>
      </c>
      <c r="B2798">
        <v>4</v>
      </c>
      <c r="C2798">
        <v>3225</v>
      </c>
      <c r="D2798">
        <v>0</v>
      </c>
      <c r="E2798">
        <v>26</v>
      </c>
      <c r="F2798" t="s">
        <v>47</v>
      </c>
      <c r="G2798" t="s">
        <v>106</v>
      </c>
      <c r="H2798" t="s">
        <v>46</v>
      </c>
      <c r="I2798">
        <v>10</v>
      </c>
    </row>
    <row r="2799" spans="1:9" x14ac:dyDescent="0.2">
      <c r="A2799">
        <v>13017198</v>
      </c>
      <c r="B2799">
        <v>5</v>
      </c>
      <c r="C2799">
        <v>3223</v>
      </c>
      <c r="D2799">
        <v>0</v>
      </c>
      <c r="E2799">
        <v>26</v>
      </c>
      <c r="F2799" t="s">
        <v>47</v>
      </c>
      <c r="G2799" t="s">
        <v>105</v>
      </c>
      <c r="H2799" t="s">
        <v>46</v>
      </c>
      <c r="I2799">
        <v>10</v>
      </c>
    </row>
    <row r="2800" spans="1:9" x14ac:dyDescent="0.2">
      <c r="A2800">
        <v>13017198</v>
      </c>
      <c r="B2800">
        <v>6</v>
      </c>
      <c r="C2800">
        <v>1758</v>
      </c>
      <c r="D2800">
        <v>0</v>
      </c>
      <c r="E2800">
        <v>26</v>
      </c>
      <c r="F2800" t="s">
        <v>57</v>
      </c>
      <c r="G2800" t="s">
        <v>106</v>
      </c>
      <c r="H2800" t="s">
        <v>56</v>
      </c>
      <c r="I2800">
        <v>10</v>
      </c>
    </row>
    <row r="2801" spans="1:9" x14ac:dyDescent="0.2">
      <c r="A2801">
        <v>13017198</v>
      </c>
      <c r="B2801">
        <v>7</v>
      </c>
      <c r="C2801">
        <v>1752</v>
      </c>
      <c r="D2801">
        <v>0</v>
      </c>
      <c r="E2801">
        <v>26</v>
      </c>
      <c r="F2801" t="s">
        <v>57</v>
      </c>
      <c r="G2801" t="s">
        <v>66</v>
      </c>
      <c r="H2801" t="s">
        <v>56</v>
      </c>
      <c r="I2801">
        <v>10</v>
      </c>
    </row>
    <row r="2802" spans="1:9" x14ac:dyDescent="0.2">
      <c r="A2802">
        <v>13032647</v>
      </c>
      <c r="B2802">
        <v>1</v>
      </c>
      <c r="C2802">
        <v>3261</v>
      </c>
      <c r="D2802">
        <v>58050</v>
      </c>
      <c r="E2802">
        <v>24</v>
      </c>
      <c r="F2802" t="s">
        <v>47</v>
      </c>
      <c r="G2802" t="s">
        <v>93</v>
      </c>
      <c r="H2802" t="s">
        <v>46</v>
      </c>
      <c r="I2802">
        <v>10</v>
      </c>
    </row>
    <row r="2803" spans="1:9" x14ac:dyDescent="0.2">
      <c r="A2803">
        <v>13032647</v>
      </c>
      <c r="B2803">
        <v>2</v>
      </c>
      <c r="C2803">
        <v>3214</v>
      </c>
      <c r="D2803">
        <v>0</v>
      </c>
      <c r="E2803">
        <v>26</v>
      </c>
      <c r="F2803" t="s">
        <v>47</v>
      </c>
      <c r="G2803" t="s">
        <v>98</v>
      </c>
      <c r="H2803" t="s">
        <v>74</v>
      </c>
      <c r="I2803">
        <v>10</v>
      </c>
    </row>
    <row r="2804" spans="1:9" x14ac:dyDescent="0.2">
      <c r="A2804">
        <v>13032647</v>
      </c>
      <c r="B2804">
        <v>3</v>
      </c>
      <c r="C2804">
        <v>1782</v>
      </c>
      <c r="D2804">
        <v>0</v>
      </c>
      <c r="E2804">
        <v>26</v>
      </c>
      <c r="F2804" t="s">
        <v>57</v>
      </c>
      <c r="G2804" t="s">
        <v>63</v>
      </c>
      <c r="H2804" t="s">
        <v>69</v>
      </c>
      <c r="I2804">
        <v>10</v>
      </c>
    </row>
    <row r="2805" spans="1:9" x14ac:dyDescent="0.2">
      <c r="A2805">
        <v>13101366</v>
      </c>
      <c r="B2805">
        <v>1</v>
      </c>
      <c r="C2805">
        <v>1128</v>
      </c>
      <c r="D2805">
        <v>64320</v>
      </c>
      <c r="E2805">
        <v>24</v>
      </c>
      <c r="F2805" t="s">
        <v>17</v>
      </c>
      <c r="G2805" t="s">
        <v>270</v>
      </c>
      <c r="H2805" t="s">
        <v>16</v>
      </c>
      <c r="I2805" t="s">
        <v>448</v>
      </c>
    </row>
    <row r="2806" spans="1:9" x14ac:dyDescent="0.2">
      <c r="A2806">
        <v>13101366</v>
      </c>
      <c r="B2806">
        <v>2</v>
      </c>
      <c r="C2806">
        <v>1649</v>
      </c>
      <c r="D2806">
        <v>0</v>
      </c>
      <c r="E2806">
        <v>26</v>
      </c>
      <c r="F2806" t="s">
        <v>128</v>
      </c>
      <c r="G2806" t="s">
        <v>288</v>
      </c>
      <c r="H2806" t="s">
        <v>127</v>
      </c>
      <c r="I2806" t="s">
        <v>448</v>
      </c>
    </row>
    <row r="2807" spans="1:9" x14ac:dyDescent="0.2">
      <c r="A2807">
        <v>13101366</v>
      </c>
      <c r="B2807">
        <v>3</v>
      </c>
      <c r="C2807">
        <v>1305</v>
      </c>
      <c r="D2807">
        <v>0</v>
      </c>
      <c r="E2807">
        <v>26</v>
      </c>
      <c r="F2807" t="s">
        <v>21</v>
      </c>
      <c r="G2807" t="s">
        <v>243</v>
      </c>
      <c r="H2807" t="s">
        <v>20</v>
      </c>
      <c r="I2807">
        <v>8</v>
      </c>
    </row>
    <row r="2808" spans="1:9" x14ac:dyDescent="0.2">
      <c r="A2808">
        <v>13101366</v>
      </c>
      <c r="B2808">
        <v>4</v>
      </c>
      <c r="C2808">
        <v>1355</v>
      </c>
      <c r="D2808">
        <v>0</v>
      </c>
      <c r="E2808">
        <v>26</v>
      </c>
      <c r="F2808" t="s">
        <v>21</v>
      </c>
      <c r="G2808" t="s">
        <v>289</v>
      </c>
      <c r="H2808" t="s">
        <v>20</v>
      </c>
      <c r="I2808">
        <v>8</v>
      </c>
    </row>
    <row r="2809" spans="1:9" x14ac:dyDescent="0.2">
      <c r="A2809">
        <v>13101366</v>
      </c>
      <c r="B2809">
        <v>5</v>
      </c>
      <c r="C2809">
        <v>2023</v>
      </c>
      <c r="D2809">
        <v>0</v>
      </c>
      <c r="E2809">
        <v>26</v>
      </c>
      <c r="F2809" t="s">
        <v>132</v>
      </c>
      <c r="G2809" t="s">
        <v>290</v>
      </c>
      <c r="H2809" t="s">
        <v>131</v>
      </c>
      <c r="I2809" t="s">
        <v>448</v>
      </c>
    </row>
    <row r="2810" spans="1:9" x14ac:dyDescent="0.2">
      <c r="A2810">
        <v>13101366</v>
      </c>
      <c r="B2810">
        <v>6</v>
      </c>
      <c r="C2810">
        <v>2024</v>
      </c>
      <c r="D2810">
        <v>0</v>
      </c>
      <c r="E2810">
        <v>26</v>
      </c>
      <c r="F2810" t="s">
        <v>132</v>
      </c>
      <c r="G2810" t="s">
        <v>130</v>
      </c>
      <c r="H2810" t="s">
        <v>131</v>
      </c>
      <c r="I2810" t="s">
        <v>448</v>
      </c>
    </row>
    <row r="2811" spans="1:9" x14ac:dyDescent="0.2">
      <c r="A2811">
        <v>13113918</v>
      </c>
      <c r="B2811">
        <v>1</v>
      </c>
      <c r="C2811">
        <v>1345</v>
      </c>
      <c r="D2811">
        <v>62470</v>
      </c>
      <c r="E2811">
        <v>24</v>
      </c>
      <c r="F2811" t="s">
        <v>21</v>
      </c>
      <c r="G2811" t="s">
        <v>389</v>
      </c>
      <c r="H2811" t="s">
        <v>20</v>
      </c>
      <c r="I2811">
        <v>8</v>
      </c>
    </row>
    <row r="2812" spans="1:9" x14ac:dyDescent="0.2">
      <c r="A2812">
        <v>13113918</v>
      </c>
      <c r="B2812">
        <v>2</v>
      </c>
      <c r="C2812">
        <v>3237</v>
      </c>
      <c r="D2812">
        <v>0</v>
      </c>
      <c r="E2812">
        <v>26</v>
      </c>
      <c r="F2812" t="s">
        <v>47</v>
      </c>
      <c r="G2812" t="s">
        <v>181</v>
      </c>
      <c r="H2812" t="s">
        <v>46</v>
      </c>
      <c r="I2812">
        <v>10</v>
      </c>
    </row>
    <row r="2813" spans="1:9" x14ac:dyDescent="0.2">
      <c r="A2813">
        <v>13113918</v>
      </c>
      <c r="B2813">
        <v>3</v>
      </c>
      <c r="C2813">
        <v>1302</v>
      </c>
      <c r="D2813">
        <v>0</v>
      </c>
      <c r="E2813">
        <v>26</v>
      </c>
      <c r="F2813" t="s">
        <v>21</v>
      </c>
      <c r="G2813" t="s">
        <v>271</v>
      </c>
      <c r="H2813" t="s">
        <v>20</v>
      </c>
      <c r="I2813">
        <v>8</v>
      </c>
    </row>
    <row r="2814" spans="1:9" x14ac:dyDescent="0.2">
      <c r="A2814">
        <v>13113918</v>
      </c>
      <c r="B2814">
        <v>4</v>
      </c>
      <c r="C2814">
        <v>1371</v>
      </c>
      <c r="D2814">
        <v>0</v>
      </c>
      <c r="E2814">
        <v>26</v>
      </c>
      <c r="F2814" t="s">
        <v>21</v>
      </c>
      <c r="G2814" t="s">
        <v>78</v>
      </c>
      <c r="H2814" t="s">
        <v>20</v>
      </c>
      <c r="I2814">
        <v>8</v>
      </c>
    </row>
    <row r="2815" spans="1:9" x14ac:dyDescent="0.2">
      <c r="A2815">
        <v>13113918</v>
      </c>
      <c r="B2815">
        <v>5</v>
      </c>
      <c r="C2815">
        <v>1303</v>
      </c>
      <c r="D2815">
        <v>0</v>
      </c>
      <c r="E2815">
        <v>26</v>
      </c>
      <c r="F2815" t="s">
        <v>21</v>
      </c>
      <c r="G2815" t="s">
        <v>149</v>
      </c>
      <c r="H2815" t="s">
        <v>20</v>
      </c>
      <c r="I2815">
        <v>8</v>
      </c>
    </row>
    <row r="2816" spans="1:9" x14ac:dyDescent="0.2">
      <c r="A2816">
        <v>13113918</v>
      </c>
      <c r="B2816">
        <v>6</v>
      </c>
      <c r="C2816">
        <v>3218</v>
      </c>
      <c r="D2816">
        <v>0</v>
      </c>
      <c r="E2816">
        <v>26</v>
      </c>
      <c r="F2816" t="s">
        <v>47</v>
      </c>
      <c r="G2816" t="s">
        <v>66</v>
      </c>
      <c r="H2816" t="s">
        <v>74</v>
      </c>
      <c r="I2816">
        <v>10</v>
      </c>
    </row>
    <row r="2817" spans="1:9" x14ac:dyDescent="0.2">
      <c r="A2817">
        <v>13191405</v>
      </c>
      <c r="B2817">
        <v>1</v>
      </c>
      <c r="C2817">
        <v>1204</v>
      </c>
      <c r="D2817">
        <v>67755</v>
      </c>
      <c r="E2817">
        <v>25</v>
      </c>
      <c r="F2817" t="s">
        <v>19</v>
      </c>
      <c r="G2817" t="s">
        <v>18</v>
      </c>
      <c r="H2817" t="s">
        <v>16</v>
      </c>
      <c r="I2817" t="s">
        <v>448</v>
      </c>
    </row>
    <row r="2818" spans="1:9" x14ac:dyDescent="0.2">
      <c r="A2818">
        <v>13191405</v>
      </c>
      <c r="B2818">
        <v>2</v>
      </c>
      <c r="C2818">
        <v>1101</v>
      </c>
      <c r="D2818">
        <v>67860</v>
      </c>
      <c r="E2818">
        <v>24</v>
      </c>
      <c r="F2818" t="s">
        <v>17</v>
      </c>
      <c r="G2818" t="s">
        <v>15</v>
      </c>
      <c r="H2818" t="s">
        <v>16</v>
      </c>
      <c r="I2818" t="s">
        <v>448</v>
      </c>
    </row>
    <row r="2819" spans="1:9" x14ac:dyDescent="0.2">
      <c r="A2819">
        <v>13191405</v>
      </c>
      <c r="B2819">
        <v>3</v>
      </c>
      <c r="C2819">
        <v>1220</v>
      </c>
      <c r="D2819">
        <v>0</v>
      </c>
      <c r="E2819">
        <v>26</v>
      </c>
      <c r="F2819" t="s">
        <v>19</v>
      </c>
      <c r="G2819" t="s">
        <v>244</v>
      </c>
      <c r="H2819" t="s">
        <v>16</v>
      </c>
      <c r="I2819" t="s">
        <v>448</v>
      </c>
    </row>
    <row r="2820" spans="1:9" x14ac:dyDescent="0.2">
      <c r="A2820">
        <v>13191405</v>
      </c>
      <c r="B2820">
        <v>4</v>
      </c>
      <c r="C2820">
        <v>1178</v>
      </c>
      <c r="D2820">
        <v>0</v>
      </c>
      <c r="E2820">
        <v>26</v>
      </c>
      <c r="F2820" t="s">
        <v>17</v>
      </c>
      <c r="G2820" t="s">
        <v>238</v>
      </c>
      <c r="H2820" t="s">
        <v>16</v>
      </c>
      <c r="I2820" t="s">
        <v>448</v>
      </c>
    </row>
    <row r="2821" spans="1:9" x14ac:dyDescent="0.2">
      <c r="A2821">
        <v>13191405</v>
      </c>
      <c r="B2821">
        <v>5</v>
      </c>
      <c r="C2821">
        <v>1519</v>
      </c>
      <c r="D2821">
        <v>0</v>
      </c>
      <c r="E2821">
        <v>26</v>
      </c>
      <c r="F2821" t="s">
        <v>142</v>
      </c>
      <c r="G2821" t="s">
        <v>18</v>
      </c>
      <c r="H2821" t="s">
        <v>31</v>
      </c>
      <c r="I2821">
        <v>5</v>
      </c>
    </row>
    <row r="2822" spans="1:9" x14ac:dyDescent="0.2">
      <c r="A2822">
        <v>13191405</v>
      </c>
      <c r="B2822">
        <v>6</v>
      </c>
      <c r="C2822">
        <v>1380</v>
      </c>
      <c r="D2822">
        <v>0</v>
      </c>
      <c r="E2822">
        <v>26</v>
      </c>
      <c r="F2822" t="s">
        <v>21</v>
      </c>
      <c r="G2822" t="s">
        <v>18</v>
      </c>
      <c r="H2822" t="s">
        <v>20</v>
      </c>
      <c r="I2822">
        <v>8</v>
      </c>
    </row>
    <row r="2823" spans="1:9" x14ac:dyDescent="0.2">
      <c r="A2823">
        <v>13191405</v>
      </c>
      <c r="B2823">
        <v>7</v>
      </c>
      <c r="C2823">
        <v>1733</v>
      </c>
      <c r="D2823">
        <v>0</v>
      </c>
      <c r="E2823">
        <v>26</v>
      </c>
      <c r="F2823" t="s">
        <v>57</v>
      </c>
      <c r="G2823" t="s">
        <v>18</v>
      </c>
      <c r="H2823" t="s">
        <v>69</v>
      </c>
      <c r="I2823">
        <v>10</v>
      </c>
    </row>
    <row r="2824" spans="1:9" x14ac:dyDescent="0.2">
      <c r="A2824">
        <v>13191405</v>
      </c>
      <c r="B2824">
        <v>8</v>
      </c>
      <c r="C2824">
        <v>1670</v>
      </c>
      <c r="D2824">
        <v>0</v>
      </c>
      <c r="E2824">
        <v>26</v>
      </c>
      <c r="F2824" t="s">
        <v>128</v>
      </c>
      <c r="G2824" t="s">
        <v>18</v>
      </c>
      <c r="H2824" t="s">
        <v>127</v>
      </c>
      <c r="I2824" t="s">
        <v>448</v>
      </c>
    </row>
    <row r="2825" spans="1:9" x14ac:dyDescent="0.2">
      <c r="A2825">
        <v>13207120</v>
      </c>
      <c r="B2825">
        <v>1</v>
      </c>
      <c r="C2825">
        <v>1705</v>
      </c>
      <c r="D2825">
        <v>53970</v>
      </c>
      <c r="E2825">
        <v>25</v>
      </c>
      <c r="F2825" t="s">
        <v>57</v>
      </c>
      <c r="G2825" t="s">
        <v>102</v>
      </c>
      <c r="H2825" t="s">
        <v>69</v>
      </c>
      <c r="I2825">
        <v>10</v>
      </c>
    </row>
    <row r="2826" spans="1:9" x14ac:dyDescent="0.2">
      <c r="A2826">
        <v>13207120</v>
      </c>
      <c r="B2826">
        <v>2</v>
      </c>
      <c r="C2826">
        <v>3020</v>
      </c>
      <c r="D2826">
        <v>53970</v>
      </c>
      <c r="E2826">
        <v>25</v>
      </c>
      <c r="F2826" t="s">
        <v>44</v>
      </c>
      <c r="G2826" t="s">
        <v>102</v>
      </c>
      <c r="H2826" t="s">
        <v>50</v>
      </c>
      <c r="I2826">
        <v>9</v>
      </c>
    </row>
    <row r="2827" spans="1:9" x14ac:dyDescent="0.2">
      <c r="A2827">
        <v>13207120</v>
      </c>
      <c r="B2827">
        <v>3</v>
      </c>
      <c r="C2827">
        <v>3229</v>
      </c>
      <c r="D2827">
        <v>54315</v>
      </c>
      <c r="E2827">
        <v>24</v>
      </c>
      <c r="F2827" t="s">
        <v>47</v>
      </c>
      <c r="G2827" t="s">
        <v>101</v>
      </c>
      <c r="H2827" t="s">
        <v>46</v>
      </c>
      <c r="I2827">
        <v>10</v>
      </c>
    </row>
    <row r="2828" spans="1:9" x14ac:dyDescent="0.2">
      <c r="A2828">
        <v>13207120</v>
      </c>
      <c r="B2828">
        <v>4</v>
      </c>
      <c r="C2828">
        <v>1387</v>
      </c>
      <c r="D2828">
        <v>0</v>
      </c>
      <c r="E2828">
        <v>26</v>
      </c>
      <c r="F2828" t="s">
        <v>21</v>
      </c>
      <c r="G2828" t="s">
        <v>102</v>
      </c>
      <c r="H2828" t="s">
        <v>20</v>
      </c>
      <c r="I2828">
        <v>8</v>
      </c>
    </row>
    <row r="2829" spans="1:9" x14ac:dyDescent="0.2">
      <c r="A2829">
        <v>13207120</v>
      </c>
      <c r="B2829">
        <v>5</v>
      </c>
      <c r="C2829">
        <v>3502</v>
      </c>
      <c r="D2829">
        <v>0</v>
      </c>
      <c r="E2829">
        <v>26</v>
      </c>
      <c r="F2829" t="s">
        <v>234</v>
      </c>
      <c r="G2829" t="s">
        <v>102</v>
      </c>
      <c r="H2829" t="s">
        <v>35</v>
      </c>
      <c r="I2829">
        <v>7</v>
      </c>
    </row>
    <row r="2830" spans="1:9" x14ac:dyDescent="0.2">
      <c r="A2830">
        <v>13207120</v>
      </c>
      <c r="B2830">
        <v>6</v>
      </c>
      <c r="C2830">
        <v>1715</v>
      </c>
      <c r="D2830">
        <v>0</v>
      </c>
      <c r="E2830">
        <v>26</v>
      </c>
      <c r="F2830" t="s">
        <v>57</v>
      </c>
      <c r="G2830" t="s">
        <v>151</v>
      </c>
      <c r="H2830" t="s">
        <v>69</v>
      </c>
      <c r="I2830">
        <v>10</v>
      </c>
    </row>
    <row r="2831" spans="1:9" x14ac:dyDescent="0.2">
      <c r="A2831">
        <v>13233290</v>
      </c>
      <c r="B2831">
        <v>1</v>
      </c>
      <c r="C2831">
        <v>3004</v>
      </c>
      <c r="D2831">
        <v>56060</v>
      </c>
      <c r="E2831">
        <v>24</v>
      </c>
      <c r="F2831" t="s">
        <v>44</v>
      </c>
      <c r="G2831" t="s">
        <v>105</v>
      </c>
      <c r="H2831" t="s">
        <v>55</v>
      </c>
      <c r="I2831">
        <v>9</v>
      </c>
    </row>
    <row r="2832" spans="1:9" x14ac:dyDescent="0.2">
      <c r="A2832">
        <v>13233290</v>
      </c>
      <c r="B2832">
        <v>2</v>
      </c>
      <c r="C2832">
        <v>3029</v>
      </c>
      <c r="D2832">
        <v>0</v>
      </c>
      <c r="E2832">
        <v>26</v>
      </c>
      <c r="F2832" t="s">
        <v>44</v>
      </c>
      <c r="G2832" t="s">
        <v>247</v>
      </c>
      <c r="H2832" t="s">
        <v>50</v>
      </c>
      <c r="I2832">
        <v>9</v>
      </c>
    </row>
    <row r="2833" spans="1:9" x14ac:dyDescent="0.2">
      <c r="A2833">
        <v>13233290</v>
      </c>
      <c r="B2833">
        <v>3</v>
      </c>
      <c r="C2833">
        <v>3223</v>
      </c>
      <c r="D2833">
        <v>0</v>
      </c>
      <c r="E2833">
        <v>26</v>
      </c>
      <c r="F2833" t="s">
        <v>47</v>
      </c>
      <c r="G2833" t="s">
        <v>105</v>
      </c>
      <c r="H2833" t="s">
        <v>46</v>
      </c>
      <c r="I2833">
        <v>10</v>
      </c>
    </row>
    <row r="2834" spans="1:9" x14ac:dyDescent="0.2">
      <c r="A2834">
        <v>13233290</v>
      </c>
      <c r="B2834">
        <v>4</v>
      </c>
      <c r="C2834">
        <v>1753</v>
      </c>
      <c r="D2834">
        <v>0</v>
      </c>
      <c r="E2834">
        <v>26</v>
      </c>
      <c r="F2834" t="s">
        <v>57</v>
      </c>
      <c r="G2834" t="s">
        <v>105</v>
      </c>
      <c r="H2834" t="s">
        <v>69</v>
      </c>
      <c r="I2834">
        <v>10</v>
      </c>
    </row>
    <row r="2835" spans="1:9" x14ac:dyDescent="0.2">
      <c r="A2835">
        <v>13233290</v>
      </c>
      <c r="B2835">
        <v>5</v>
      </c>
      <c r="C2835">
        <v>1734</v>
      </c>
      <c r="D2835">
        <v>0</v>
      </c>
      <c r="E2835">
        <v>26</v>
      </c>
      <c r="F2835" t="s">
        <v>57</v>
      </c>
      <c r="G2835" t="s">
        <v>81</v>
      </c>
      <c r="H2835" t="s">
        <v>69</v>
      </c>
      <c r="I2835">
        <v>10</v>
      </c>
    </row>
    <row r="2836" spans="1:9" x14ac:dyDescent="0.2">
      <c r="A2836">
        <v>13233290</v>
      </c>
      <c r="B2836">
        <v>6</v>
      </c>
      <c r="C2836">
        <v>1702</v>
      </c>
      <c r="D2836">
        <v>0</v>
      </c>
      <c r="E2836">
        <v>26</v>
      </c>
      <c r="F2836" t="s">
        <v>57</v>
      </c>
      <c r="G2836" t="s">
        <v>164</v>
      </c>
      <c r="H2836" t="s">
        <v>69</v>
      </c>
      <c r="I2836">
        <v>10</v>
      </c>
    </row>
    <row r="2837" spans="1:9" x14ac:dyDescent="0.2">
      <c r="A2837">
        <v>13290681</v>
      </c>
      <c r="B2837">
        <v>1</v>
      </c>
      <c r="C2837">
        <v>3234</v>
      </c>
      <c r="D2837">
        <v>54900</v>
      </c>
      <c r="E2837">
        <v>25</v>
      </c>
      <c r="F2837" t="s">
        <v>47</v>
      </c>
      <c r="G2837" t="s">
        <v>76</v>
      </c>
      <c r="H2837" t="s">
        <v>46</v>
      </c>
      <c r="I2837">
        <v>10</v>
      </c>
    </row>
    <row r="2838" spans="1:9" x14ac:dyDescent="0.2">
      <c r="A2838">
        <v>13290681</v>
      </c>
      <c r="B2838">
        <v>2</v>
      </c>
      <c r="C2838">
        <v>1235</v>
      </c>
      <c r="D2838">
        <v>56300</v>
      </c>
      <c r="E2838">
        <v>25</v>
      </c>
      <c r="F2838" t="s">
        <v>19</v>
      </c>
      <c r="G2838" t="s">
        <v>179</v>
      </c>
      <c r="H2838" t="s">
        <v>16</v>
      </c>
      <c r="I2838" t="s">
        <v>448</v>
      </c>
    </row>
    <row r="2839" spans="1:9" x14ac:dyDescent="0.2">
      <c r="A2839">
        <v>13290681</v>
      </c>
      <c r="B2839">
        <v>3</v>
      </c>
      <c r="C2839">
        <v>2650</v>
      </c>
      <c r="D2839">
        <v>53400</v>
      </c>
      <c r="E2839">
        <v>25</v>
      </c>
      <c r="F2839" t="s">
        <v>71</v>
      </c>
      <c r="G2839" t="s">
        <v>189</v>
      </c>
      <c r="H2839" t="s">
        <v>24</v>
      </c>
      <c r="I2839">
        <v>5</v>
      </c>
    </row>
    <row r="2840" spans="1:9" x14ac:dyDescent="0.2">
      <c r="A2840">
        <v>13290681</v>
      </c>
      <c r="B2840">
        <v>4</v>
      </c>
      <c r="C2840">
        <v>2076</v>
      </c>
      <c r="D2840">
        <v>55825</v>
      </c>
      <c r="E2840">
        <v>25</v>
      </c>
      <c r="F2840" t="s">
        <v>132</v>
      </c>
      <c r="G2840" t="s">
        <v>416</v>
      </c>
      <c r="H2840" t="s">
        <v>322</v>
      </c>
      <c r="I2840" t="s">
        <v>448</v>
      </c>
    </row>
    <row r="2841" spans="1:9" x14ac:dyDescent="0.2">
      <c r="A2841">
        <v>13290681</v>
      </c>
      <c r="B2841">
        <v>5</v>
      </c>
      <c r="C2841">
        <v>1436</v>
      </c>
      <c r="D2841">
        <v>53860</v>
      </c>
      <c r="E2841">
        <v>25</v>
      </c>
      <c r="F2841" t="s">
        <v>25</v>
      </c>
      <c r="G2841" t="s">
        <v>178</v>
      </c>
      <c r="H2841" t="s">
        <v>24</v>
      </c>
      <c r="I2841">
        <v>5</v>
      </c>
    </row>
    <row r="2842" spans="1:9" x14ac:dyDescent="0.2">
      <c r="A2842">
        <v>13290681</v>
      </c>
      <c r="B2842">
        <v>6</v>
      </c>
      <c r="C2842">
        <v>1163</v>
      </c>
      <c r="D2842">
        <v>0</v>
      </c>
      <c r="E2842">
        <v>16</v>
      </c>
      <c r="F2842" t="s">
        <v>17</v>
      </c>
      <c r="G2842" t="s">
        <v>64</v>
      </c>
      <c r="H2842" t="s">
        <v>16</v>
      </c>
      <c r="I2842" t="s">
        <v>448</v>
      </c>
    </row>
    <row r="2843" spans="1:9" x14ac:dyDescent="0.2">
      <c r="A2843">
        <v>13290681</v>
      </c>
      <c r="B2843">
        <v>7</v>
      </c>
      <c r="C2843">
        <v>1651</v>
      </c>
      <c r="D2843">
        <v>0</v>
      </c>
      <c r="E2843">
        <v>17</v>
      </c>
      <c r="F2843" t="s">
        <v>128</v>
      </c>
      <c r="G2843" t="s">
        <v>417</v>
      </c>
      <c r="H2843" t="s">
        <v>127</v>
      </c>
      <c r="I2843" t="s">
        <v>448</v>
      </c>
    </row>
    <row r="2844" spans="1:9" x14ac:dyDescent="0.2">
      <c r="A2844">
        <v>13307199</v>
      </c>
      <c r="B2844">
        <v>1</v>
      </c>
      <c r="C2844">
        <v>1412</v>
      </c>
      <c r="D2844">
        <v>63260</v>
      </c>
      <c r="E2844">
        <v>24</v>
      </c>
      <c r="F2844" t="s">
        <v>25</v>
      </c>
      <c r="G2844" t="s">
        <v>269</v>
      </c>
      <c r="H2844" t="s">
        <v>24</v>
      </c>
      <c r="I2844">
        <v>5</v>
      </c>
    </row>
    <row r="2845" spans="1:9" x14ac:dyDescent="0.2">
      <c r="A2845">
        <v>13307199</v>
      </c>
      <c r="B2845">
        <v>2</v>
      </c>
      <c r="C2845">
        <v>1409</v>
      </c>
      <c r="D2845">
        <v>0</v>
      </c>
      <c r="E2845">
        <v>26</v>
      </c>
      <c r="F2845" t="s">
        <v>25</v>
      </c>
      <c r="G2845" t="s">
        <v>248</v>
      </c>
      <c r="H2845" t="s">
        <v>24</v>
      </c>
      <c r="I2845">
        <v>5</v>
      </c>
    </row>
    <row r="2846" spans="1:9" x14ac:dyDescent="0.2">
      <c r="A2846">
        <v>13307199</v>
      </c>
      <c r="B2846">
        <v>3</v>
      </c>
      <c r="C2846">
        <v>1210</v>
      </c>
      <c r="D2846">
        <v>0</v>
      </c>
      <c r="E2846">
        <v>26</v>
      </c>
      <c r="F2846" t="s">
        <v>19</v>
      </c>
      <c r="G2846" t="s">
        <v>236</v>
      </c>
      <c r="H2846" t="s">
        <v>16</v>
      </c>
      <c r="I2846" t="s">
        <v>448</v>
      </c>
    </row>
    <row r="2847" spans="1:9" x14ac:dyDescent="0.2">
      <c r="A2847">
        <v>13307199</v>
      </c>
      <c r="B2847">
        <v>4</v>
      </c>
      <c r="C2847">
        <v>1255</v>
      </c>
      <c r="D2847">
        <v>0</v>
      </c>
      <c r="E2847">
        <v>26</v>
      </c>
      <c r="F2847" t="s">
        <v>19</v>
      </c>
      <c r="G2847" t="s">
        <v>292</v>
      </c>
      <c r="H2847" t="s">
        <v>16</v>
      </c>
      <c r="I2847" t="s">
        <v>448</v>
      </c>
    </row>
    <row r="2848" spans="1:9" x14ac:dyDescent="0.2">
      <c r="A2848">
        <v>13307199</v>
      </c>
      <c r="B2848">
        <v>5</v>
      </c>
      <c r="C2848">
        <v>1203</v>
      </c>
      <c r="D2848">
        <v>0</v>
      </c>
      <c r="E2848">
        <v>16</v>
      </c>
      <c r="F2848" t="s">
        <v>19</v>
      </c>
      <c r="G2848" t="s">
        <v>248</v>
      </c>
      <c r="H2848" t="s">
        <v>16</v>
      </c>
      <c r="I2848" t="s">
        <v>448</v>
      </c>
    </row>
    <row r="2849" spans="1:9" x14ac:dyDescent="0.2">
      <c r="A2849">
        <v>13307199</v>
      </c>
      <c r="B2849">
        <v>6</v>
      </c>
      <c r="C2849">
        <v>1511</v>
      </c>
      <c r="D2849">
        <v>0</v>
      </c>
      <c r="E2849">
        <v>26</v>
      </c>
      <c r="F2849" t="s">
        <v>142</v>
      </c>
      <c r="G2849" t="s">
        <v>163</v>
      </c>
      <c r="H2849" t="s">
        <v>31</v>
      </c>
      <c r="I2849">
        <v>5</v>
      </c>
    </row>
    <row r="2850" spans="1:9" x14ac:dyDescent="0.2">
      <c r="A2850">
        <v>13307199</v>
      </c>
      <c r="B2850">
        <v>7</v>
      </c>
      <c r="C2850">
        <v>1949</v>
      </c>
      <c r="D2850">
        <v>0</v>
      </c>
      <c r="E2850">
        <v>26</v>
      </c>
      <c r="F2850" t="s">
        <v>32</v>
      </c>
      <c r="G2850" t="s">
        <v>103</v>
      </c>
      <c r="H2850" t="s">
        <v>31</v>
      </c>
      <c r="I2850">
        <v>5</v>
      </c>
    </row>
    <row r="2851" spans="1:9" x14ac:dyDescent="0.2">
      <c r="A2851">
        <v>13307199</v>
      </c>
      <c r="B2851">
        <v>8</v>
      </c>
      <c r="C2851">
        <v>1990</v>
      </c>
      <c r="D2851">
        <v>0</v>
      </c>
      <c r="E2851">
        <v>26</v>
      </c>
      <c r="F2851" t="s">
        <v>32</v>
      </c>
      <c r="G2851" t="s">
        <v>81</v>
      </c>
      <c r="H2851" t="s">
        <v>31</v>
      </c>
      <c r="I2851">
        <v>5</v>
      </c>
    </row>
    <row r="2852" spans="1:9" x14ac:dyDescent="0.2">
      <c r="A2852">
        <v>13330045</v>
      </c>
      <c r="B2852">
        <v>1</v>
      </c>
      <c r="C2852">
        <v>3225</v>
      </c>
      <c r="D2852">
        <v>0</v>
      </c>
      <c r="E2852">
        <v>36</v>
      </c>
      <c r="F2852" t="s">
        <v>47</v>
      </c>
      <c r="G2852" t="s">
        <v>106</v>
      </c>
      <c r="H2852" t="s">
        <v>46</v>
      </c>
      <c r="I2852">
        <v>10</v>
      </c>
    </row>
    <row r="2853" spans="1:9" x14ac:dyDescent="0.2">
      <c r="A2853">
        <v>13330045</v>
      </c>
      <c r="B2853">
        <v>2</v>
      </c>
      <c r="C2853">
        <v>3269</v>
      </c>
      <c r="D2853">
        <v>0</v>
      </c>
      <c r="E2853">
        <v>36</v>
      </c>
      <c r="F2853" t="s">
        <v>47</v>
      </c>
      <c r="G2853" t="s">
        <v>180</v>
      </c>
      <c r="H2853" t="s">
        <v>46</v>
      </c>
      <c r="I2853">
        <v>10</v>
      </c>
    </row>
    <row r="2854" spans="1:9" x14ac:dyDescent="0.2">
      <c r="A2854">
        <v>13330045</v>
      </c>
      <c r="B2854">
        <v>3</v>
      </c>
      <c r="C2854">
        <v>3296</v>
      </c>
      <c r="D2854">
        <v>0</v>
      </c>
      <c r="E2854">
        <v>36</v>
      </c>
      <c r="F2854" t="s">
        <v>47</v>
      </c>
      <c r="G2854" t="s">
        <v>100</v>
      </c>
      <c r="H2854" t="s">
        <v>46</v>
      </c>
      <c r="I2854">
        <v>10</v>
      </c>
    </row>
    <row r="2855" spans="1:9" x14ac:dyDescent="0.2">
      <c r="A2855">
        <v>13392461</v>
      </c>
      <c r="B2855">
        <v>1</v>
      </c>
      <c r="C2855">
        <v>3244</v>
      </c>
      <c r="D2855">
        <v>53140</v>
      </c>
      <c r="E2855">
        <v>24</v>
      </c>
      <c r="F2855" t="s">
        <v>47</v>
      </c>
      <c r="G2855" t="s">
        <v>73</v>
      </c>
      <c r="H2855" t="s">
        <v>74</v>
      </c>
      <c r="I2855">
        <v>10</v>
      </c>
    </row>
    <row r="2856" spans="1:9" x14ac:dyDescent="0.2">
      <c r="A2856">
        <v>13392461</v>
      </c>
      <c r="B2856">
        <v>2</v>
      </c>
      <c r="C2856">
        <v>3242</v>
      </c>
      <c r="D2856">
        <v>0</v>
      </c>
      <c r="E2856">
        <v>26</v>
      </c>
      <c r="F2856" t="s">
        <v>47</v>
      </c>
      <c r="G2856" t="s">
        <v>90</v>
      </c>
      <c r="H2856" t="s">
        <v>46</v>
      </c>
      <c r="I2856">
        <v>10</v>
      </c>
    </row>
    <row r="2857" spans="1:9" x14ac:dyDescent="0.2">
      <c r="A2857">
        <v>13423811</v>
      </c>
      <c r="B2857">
        <v>1</v>
      </c>
      <c r="C2857">
        <v>3251</v>
      </c>
      <c r="D2857">
        <v>49315</v>
      </c>
      <c r="E2857">
        <v>24</v>
      </c>
      <c r="F2857" t="s">
        <v>47</v>
      </c>
      <c r="G2857" t="s">
        <v>48</v>
      </c>
      <c r="H2857" t="s">
        <v>46</v>
      </c>
      <c r="I2857">
        <v>10</v>
      </c>
    </row>
    <row r="2858" spans="1:9" x14ac:dyDescent="0.2">
      <c r="A2858">
        <v>13449673</v>
      </c>
      <c r="B2858">
        <v>1</v>
      </c>
      <c r="C2858">
        <v>3239</v>
      </c>
      <c r="D2858">
        <v>52335</v>
      </c>
      <c r="E2858">
        <v>25</v>
      </c>
      <c r="F2858" t="s">
        <v>47</v>
      </c>
      <c r="G2858" t="s">
        <v>107</v>
      </c>
      <c r="H2858" t="s">
        <v>46</v>
      </c>
      <c r="I2858">
        <v>10</v>
      </c>
    </row>
    <row r="2859" spans="1:9" x14ac:dyDescent="0.2">
      <c r="A2859">
        <v>13449673</v>
      </c>
      <c r="B2859">
        <v>2</v>
      </c>
      <c r="C2859">
        <v>3242</v>
      </c>
      <c r="D2859">
        <v>53230</v>
      </c>
      <c r="E2859">
        <v>25</v>
      </c>
      <c r="F2859" t="s">
        <v>47</v>
      </c>
      <c r="G2859" t="s">
        <v>90</v>
      </c>
      <c r="H2859" t="s">
        <v>46</v>
      </c>
      <c r="I2859">
        <v>10</v>
      </c>
    </row>
    <row r="2860" spans="1:9" x14ac:dyDescent="0.2">
      <c r="A2860">
        <v>13449673</v>
      </c>
      <c r="B2860">
        <v>3</v>
      </c>
      <c r="C2860">
        <v>1774</v>
      </c>
      <c r="D2860">
        <v>52445</v>
      </c>
      <c r="E2860">
        <v>25</v>
      </c>
      <c r="F2860" t="s">
        <v>57</v>
      </c>
      <c r="G2860" t="s">
        <v>296</v>
      </c>
      <c r="H2860" t="s">
        <v>69</v>
      </c>
      <c r="I2860">
        <v>10</v>
      </c>
    </row>
    <row r="2861" spans="1:9" x14ac:dyDescent="0.2">
      <c r="A2861">
        <v>13449673</v>
      </c>
      <c r="B2861">
        <v>4</v>
      </c>
      <c r="C2861">
        <v>3200</v>
      </c>
      <c r="D2861">
        <v>52540</v>
      </c>
      <c r="E2861">
        <v>24</v>
      </c>
      <c r="F2861" t="s">
        <v>47</v>
      </c>
      <c r="G2861" t="s">
        <v>18</v>
      </c>
      <c r="H2861" t="s">
        <v>46</v>
      </c>
      <c r="I2861">
        <v>10</v>
      </c>
    </row>
    <row r="2862" spans="1:9" x14ac:dyDescent="0.2">
      <c r="A2862">
        <v>13449673</v>
      </c>
      <c r="B2862">
        <v>5</v>
      </c>
      <c r="C2862">
        <v>3243</v>
      </c>
      <c r="D2862">
        <v>0</v>
      </c>
      <c r="E2862">
        <v>26</v>
      </c>
      <c r="F2862" t="s">
        <v>47</v>
      </c>
      <c r="G2862" t="s">
        <v>75</v>
      </c>
      <c r="H2862" t="s">
        <v>46</v>
      </c>
      <c r="I2862">
        <v>10</v>
      </c>
    </row>
    <row r="2863" spans="1:9" x14ac:dyDescent="0.2">
      <c r="A2863">
        <v>13449673</v>
      </c>
      <c r="B2863">
        <v>6</v>
      </c>
      <c r="C2863">
        <v>3212</v>
      </c>
      <c r="D2863">
        <v>0</v>
      </c>
      <c r="E2863">
        <v>26</v>
      </c>
      <c r="F2863" t="s">
        <v>47</v>
      </c>
      <c r="G2863" t="s">
        <v>84</v>
      </c>
      <c r="H2863" t="s">
        <v>46</v>
      </c>
      <c r="I2863">
        <v>10</v>
      </c>
    </row>
    <row r="2864" spans="1:9" x14ac:dyDescent="0.2">
      <c r="A2864">
        <v>13466110</v>
      </c>
      <c r="B2864">
        <v>1</v>
      </c>
      <c r="C2864">
        <v>1765</v>
      </c>
      <c r="D2864">
        <v>56090</v>
      </c>
      <c r="E2864">
        <v>24</v>
      </c>
      <c r="F2864" t="s">
        <v>57</v>
      </c>
      <c r="G2864" t="s">
        <v>68</v>
      </c>
      <c r="H2864" t="s">
        <v>69</v>
      </c>
      <c r="I2864">
        <v>10</v>
      </c>
    </row>
    <row r="2865" spans="1:9" x14ac:dyDescent="0.2">
      <c r="A2865">
        <v>13466110</v>
      </c>
      <c r="B2865">
        <v>2</v>
      </c>
      <c r="C2865">
        <v>3705</v>
      </c>
      <c r="D2865">
        <v>0</v>
      </c>
      <c r="E2865">
        <v>26</v>
      </c>
      <c r="F2865" t="s">
        <v>116</v>
      </c>
      <c r="G2865" t="s">
        <v>68</v>
      </c>
      <c r="H2865" t="s">
        <v>61</v>
      </c>
      <c r="I2865">
        <v>9</v>
      </c>
    </row>
    <row r="2866" spans="1:9" x14ac:dyDescent="0.2">
      <c r="A2866">
        <v>13466110</v>
      </c>
      <c r="B2866">
        <v>3</v>
      </c>
      <c r="C2866">
        <v>3242</v>
      </c>
      <c r="D2866">
        <v>0</v>
      </c>
      <c r="E2866">
        <v>26</v>
      </c>
      <c r="F2866" t="s">
        <v>47</v>
      </c>
      <c r="G2866" t="s">
        <v>90</v>
      </c>
      <c r="H2866" t="s">
        <v>46</v>
      </c>
      <c r="I2866">
        <v>10</v>
      </c>
    </row>
    <row r="2867" spans="1:9" x14ac:dyDescent="0.2">
      <c r="A2867">
        <v>13483103</v>
      </c>
      <c r="B2867">
        <v>1</v>
      </c>
      <c r="C2867">
        <v>3212</v>
      </c>
      <c r="D2867">
        <v>0</v>
      </c>
      <c r="E2867">
        <v>36</v>
      </c>
      <c r="F2867" t="s">
        <v>47</v>
      </c>
      <c r="G2867" t="s">
        <v>84</v>
      </c>
      <c r="H2867" t="s">
        <v>46</v>
      </c>
      <c r="I2867">
        <v>10</v>
      </c>
    </row>
    <row r="2868" spans="1:9" x14ac:dyDescent="0.2">
      <c r="A2868">
        <v>13483103</v>
      </c>
      <c r="B2868">
        <v>2</v>
      </c>
      <c r="C2868">
        <v>3214</v>
      </c>
      <c r="D2868">
        <v>0</v>
      </c>
      <c r="E2868">
        <v>36</v>
      </c>
      <c r="F2868" t="s">
        <v>47</v>
      </c>
      <c r="G2868" t="s">
        <v>98</v>
      </c>
      <c r="H2868" t="s">
        <v>74</v>
      </c>
      <c r="I2868">
        <v>10</v>
      </c>
    </row>
    <row r="2869" spans="1:9" x14ac:dyDescent="0.2">
      <c r="A2869">
        <v>13483103</v>
      </c>
      <c r="B2869">
        <v>3</v>
      </c>
      <c r="C2869">
        <v>3226</v>
      </c>
      <c r="D2869">
        <v>0</v>
      </c>
      <c r="E2869">
        <v>36</v>
      </c>
      <c r="F2869" t="s">
        <v>47</v>
      </c>
      <c r="G2869" t="s">
        <v>96</v>
      </c>
      <c r="H2869" t="s">
        <v>46</v>
      </c>
      <c r="I2869">
        <v>10</v>
      </c>
    </row>
    <row r="2870" spans="1:9" x14ac:dyDescent="0.2">
      <c r="A2870">
        <v>13538253</v>
      </c>
      <c r="B2870">
        <v>1</v>
      </c>
      <c r="C2870">
        <v>1702</v>
      </c>
      <c r="D2870">
        <v>54325</v>
      </c>
      <c r="E2870">
        <v>25</v>
      </c>
      <c r="F2870" t="s">
        <v>57</v>
      </c>
      <c r="G2870" t="s">
        <v>164</v>
      </c>
      <c r="H2870" t="s">
        <v>69</v>
      </c>
      <c r="I2870">
        <v>10</v>
      </c>
    </row>
    <row r="2871" spans="1:9" x14ac:dyDescent="0.2">
      <c r="A2871">
        <v>13538253</v>
      </c>
      <c r="B2871">
        <v>2</v>
      </c>
      <c r="C2871">
        <v>1728</v>
      </c>
      <c r="D2871">
        <v>53930</v>
      </c>
      <c r="E2871">
        <v>25</v>
      </c>
      <c r="F2871" t="s">
        <v>57</v>
      </c>
      <c r="G2871" t="s">
        <v>103</v>
      </c>
      <c r="H2871" t="s">
        <v>69</v>
      </c>
      <c r="I2871">
        <v>10</v>
      </c>
    </row>
    <row r="2872" spans="1:9" x14ac:dyDescent="0.2">
      <c r="A2872">
        <v>13538253</v>
      </c>
      <c r="B2872">
        <v>3</v>
      </c>
      <c r="C2872">
        <v>1711</v>
      </c>
      <c r="D2872">
        <v>54205</v>
      </c>
      <c r="E2872">
        <v>25</v>
      </c>
      <c r="F2872" t="s">
        <v>57</v>
      </c>
      <c r="G2872" t="s">
        <v>201</v>
      </c>
      <c r="H2872" t="s">
        <v>69</v>
      </c>
      <c r="I2872">
        <v>10</v>
      </c>
    </row>
    <row r="2873" spans="1:9" x14ac:dyDescent="0.2">
      <c r="A2873">
        <v>13538253</v>
      </c>
      <c r="B2873">
        <v>4</v>
      </c>
      <c r="C2873">
        <v>1786</v>
      </c>
      <c r="D2873">
        <v>53475</v>
      </c>
      <c r="E2873">
        <v>25</v>
      </c>
      <c r="F2873" t="s">
        <v>57</v>
      </c>
      <c r="G2873" t="s">
        <v>103</v>
      </c>
      <c r="H2873" t="s">
        <v>56</v>
      </c>
      <c r="I2873">
        <v>10</v>
      </c>
    </row>
    <row r="2874" spans="1:9" x14ac:dyDescent="0.2">
      <c r="A2874">
        <v>13538253</v>
      </c>
      <c r="B2874">
        <v>5</v>
      </c>
      <c r="C2874">
        <v>3035</v>
      </c>
      <c r="D2874">
        <v>53170</v>
      </c>
      <c r="E2874">
        <v>25</v>
      </c>
      <c r="F2874" t="s">
        <v>44</v>
      </c>
      <c r="G2874" t="s">
        <v>103</v>
      </c>
      <c r="H2874" t="s">
        <v>50</v>
      </c>
      <c r="I2874">
        <v>9</v>
      </c>
    </row>
    <row r="2875" spans="1:9" x14ac:dyDescent="0.2">
      <c r="A2875">
        <v>13538253</v>
      </c>
      <c r="B2875">
        <v>6</v>
      </c>
      <c r="C2875">
        <v>1301</v>
      </c>
      <c r="D2875">
        <v>54595</v>
      </c>
      <c r="E2875">
        <v>25</v>
      </c>
      <c r="F2875" t="s">
        <v>21</v>
      </c>
      <c r="G2875" t="s">
        <v>442</v>
      </c>
      <c r="H2875" t="s">
        <v>20</v>
      </c>
      <c r="I2875">
        <v>8</v>
      </c>
    </row>
    <row r="2876" spans="1:9" x14ac:dyDescent="0.2">
      <c r="A2876">
        <v>13538253</v>
      </c>
      <c r="B2876">
        <v>7</v>
      </c>
      <c r="C2876">
        <v>1348</v>
      </c>
      <c r="D2876">
        <v>54050</v>
      </c>
      <c r="E2876">
        <v>25</v>
      </c>
      <c r="F2876" t="s">
        <v>21</v>
      </c>
      <c r="G2876" t="s">
        <v>164</v>
      </c>
      <c r="H2876" t="s">
        <v>20</v>
      </c>
      <c r="I2876">
        <v>8</v>
      </c>
    </row>
    <row r="2877" spans="1:9" x14ac:dyDescent="0.2">
      <c r="A2877">
        <v>13538253</v>
      </c>
      <c r="B2877">
        <v>8</v>
      </c>
      <c r="C2877">
        <v>1753</v>
      </c>
      <c r="D2877">
        <v>53960</v>
      </c>
      <c r="E2877">
        <v>24</v>
      </c>
      <c r="F2877" t="s">
        <v>57</v>
      </c>
      <c r="G2877" t="s">
        <v>105</v>
      </c>
      <c r="H2877" t="s">
        <v>69</v>
      </c>
      <c r="I2877">
        <v>10</v>
      </c>
    </row>
    <row r="2878" spans="1:9" x14ac:dyDescent="0.2">
      <c r="A2878">
        <v>13555855</v>
      </c>
      <c r="B2878">
        <v>1</v>
      </c>
      <c r="C2878">
        <v>1386</v>
      </c>
      <c r="D2878">
        <v>71570</v>
      </c>
      <c r="E2878">
        <v>25</v>
      </c>
      <c r="F2878" t="s">
        <v>21</v>
      </c>
      <c r="G2878" t="s">
        <v>170</v>
      </c>
      <c r="H2878" t="s">
        <v>20</v>
      </c>
      <c r="I2878">
        <v>8</v>
      </c>
    </row>
    <row r="2879" spans="1:9" x14ac:dyDescent="0.2">
      <c r="A2879">
        <v>13555855</v>
      </c>
      <c r="B2879">
        <v>2</v>
      </c>
      <c r="C2879">
        <v>3620</v>
      </c>
      <c r="D2879">
        <v>72030</v>
      </c>
      <c r="E2879">
        <v>25</v>
      </c>
      <c r="F2879" t="s">
        <v>108</v>
      </c>
      <c r="G2879" t="s">
        <v>170</v>
      </c>
      <c r="H2879" t="s">
        <v>20</v>
      </c>
      <c r="I2879">
        <v>8</v>
      </c>
    </row>
    <row r="2880" spans="1:9" x14ac:dyDescent="0.2">
      <c r="A2880">
        <v>13555855</v>
      </c>
      <c r="B2880">
        <v>3</v>
      </c>
      <c r="C2880">
        <v>1713</v>
      </c>
      <c r="D2880">
        <v>71675</v>
      </c>
      <c r="E2880">
        <v>25</v>
      </c>
      <c r="F2880" t="s">
        <v>57</v>
      </c>
      <c r="G2880" t="s">
        <v>170</v>
      </c>
      <c r="H2880" t="s">
        <v>69</v>
      </c>
      <c r="I2880">
        <v>10</v>
      </c>
    </row>
    <row r="2881" spans="1:9" x14ac:dyDescent="0.2">
      <c r="A2881">
        <v>13555855</v>
      </c>
      <c r="B2881">
        <v>4</v>
      </c>
      <c r="C2881">
        <v>3026</v>
      </c>
      <c r="D2881">
        <v>71220</v>
      </c>
      <c r="E2881">
        <v>25</v>
      </c>
      <c r="F2881" t="s">
        <v>44</v>
      </c>
      <c r="G2881" t="s">
        <v>170</v>
      </c>
      <c r="H2881" t="s">
        <v>50</v>
      </c>
      <c r="I2881">
        <v>9</v>
      </c>
    </row>
    <row r="2882" spans="1:9" x14ac:dyDescent="0.2">
      <c r="A2882">
        <v>13555855</v>
      </c>
      <c r="B2882">
        <v>5</v>
      </c>
      <c r="C2882">
        <v>1940</v>
      </c>
      <c r="D2882">
        <v>71220</v>
      </c>
      <c r="E2882">
        <v>25</v>
      </c>
      <c r="F2882" t="s">
        <v>32</v>
      </c>
      <c r="G2882" t="s">
        <v>170</v>
      </c>
      <c r="H2882" t="s">
        <v>31</v>
      </c>
      <c r="I2882">
        <v>5</v>
      </c>
    </row>
    <row r="2883" spans="1:9" x14ac:dyDescent="0.2">
      <c r="A2883">
        <v>13566688</v>
      </c>
      <c r="B2883">
        <v>1</v>
      </c>
      <c r="C2883">
        <v>1736</v>
      </c>
      <c r="D2883">
        <v>66505</v>
      </c>
      <c r="E2883">
        <v>24</v>
      </c>
      <c r="F2883" t="s">
        <v>57</v>
      </c>
      <c r="G2883" t="s">
        <v>78</v>
      </c>
      <c r="H2883" t="s">
        <v>79</v>
      </c>
      <c r="I2883">
        <v>10</v>
      </c>
    </row>
    <row r="2884" spans="1:9" x14ac:dyDescent="0.2">
      <c r="A2884">
        <v>13566688</v>
      </c>
      <c r="B2884">
        <v>2</v>
      </c>
      <c r="C2884">
        <v>1371</v>
      </c>
      <c r="D2884">
        <v>0</v>
      </c>
      <c r="E2884">
        <v>26</v>
      </c>
      <c r="F2884" t="s">
        <v>21</v>
      </c>
      <c r="G2884" t="s">
        <v>78</v>
      </c>
      <c r="H2884" t="s">
        <v>20</v>
      </c>
      <c r="I2884">
        <v>8</v>
      </c>
    </row>
    <row r="2885" spans="1:9" x14ac:dyDescent="0.2">
      <c r="A2885">
        <v>13566688</v>
      </c>
      <c r="B2885">
        <v>3</v>
      </c>
      <c r="C2885">
        <v>1708</v>
      </c>
      <c r="D2885">
        <v>0</v>
      </c>
      <c r="E2885">
        <v>26</v>
      </c>
      <c r="F2885" t="s">
        <v>57</v>
      </c>
      <c r="G2885" t="s">
        <v>80</v>
      </c>
      <c r="H2885" t="s">
        <v>79</v>
      </c>
      <c r="I2885">
        <v>10</v>
      </c>
    </row>
    <row r="2886" spans="1:9" x14ac:dyDescent="0.2">
      <c r="A2886">
        <v>13566688</v>
      </c>
      <c r="B2886">
        <v>4</v>
      </c>
      <c r="C2886">
        <v>1373</v>
      </c>
      <c r="D2886">
        <v>0</v>
      </c>
      <c r="E2886">
        <v>26</v>
      </c>
      <c r="F2886" t="s">
        <v>21</v>
      </c>
      <c r="G2886" t="s">
        <v>249</v>
      </c>
      <c r="H2886" t="s">
        <v>20</v>
      </c>
      <c r="I2886">
        <v>8</v>
      </c>
    </row>
    <row r="2887" spans="1:9" x14ac:dyDescent="0.2">
      <c r="A2887">
        <v>13566688</v>
      </c>
      <c r="B2887">
        <v>5</v>
      </c>
      <c r="C2887">
        <v>1779</v>
      </c>
      <c r="D2887">
        <v>0</v>
      </c>
      <c r="E2887">
        <v>26</v>
      </c>
      <c r="F2887" t="s">
        <v>57</v>
      </c>
      <c r="G2887" t="s">
        <v>162</v>
      </c>
      <c r="H2887" t="s">
        <v>79</v>
      </c>
      <c r="I2887">
        <v>10</v>
      </c>
    </row>
    <row r="2888" spans="1:9" x14ac:dyDescent="0.2">
      <c r="A2888">
        <v>13566688</v>
      </c>
      <c r="B2888">
        <v>6</v>
      </c>
      <c r="C2888">
        <v>1374</v>
      </c>
      <c r="D2888">
        <v>0</v>
      </c>
      <c r="E2888">
        <v>26</v>
      </c>
      <c r="F2888" t="s">
        <v>21</v>
      </c>
      <c r="G2888" t="s">
        <v>162</v>
      </c>
      <c r="H2888" t="s">
        <v>20</v>
      </c>
      <c r="I2888">
        <v>8</v>
      </c>
    </row>
    <row r="2889" spans="1:9" x14ac:dyDescent="0.2">
      <c r="A2889">
        <v>13566688</v>
      </c>
      <c r="B2889">
        <v>7</v>
      </c>
      <c r="C2889">
        <v>1704</v>
      </c>
      <c r="D2889">
        <v>0</v>
      </c>
      <c r="E2889">
        <v>26</v>
      </c>
      <c r="F2889" t="s">
        <v>57</v>
      </c>
      <c r="G2889" t="s">
        <v>82</v>
      </c>
      <c r="H2889" t="s">
        <v>79</v>
      </c>
      <c r="I2889">
        <v>10</v>
      </c>
    </row>
    <row r="2890" spans="1:9" x14ac:dyDescent="0.2">
      <c r="A2890">
        <v>13567305</v>
      </c>
      <c r="B2890">
        <v>1</v>
      </c>
      <c r="C2890">
        <v>3211</v>
      </c>
      <c r="D2890">
        <v>55580</v>
      </c>
      <c r="E2890">
        <v>24</v>
      </c>
      <c r="F2890" t="s">
        <v>47</v>
      </c>
      <c r="G2890" t="s">
        <v>99</v>
      </c>
      <c r="H2890" t="s">
        <v>46</v>
      </c>
      <c r="I2890">
        <v>10</v>
      </c>
    </row>
    <row r="2891" spans="1:9" x14ac:dyDescent="0.2">
      <c r="A2891">
        <v>13567305</v>
      </c>
      <c r="B2891">
        <v>2</v>
      </c>
      <c r="C2891">
        <v>3212</v>
      </c>
      <c r="D2891">
        <v>0</v>
      </c>
      <c r="E2891">
        <v>26</v>
      </c>
      <c r="F2891" t="s">
        <v>47</v>
      </c>
      <c r="G2891" t="s">
        <v>84</v>
      </c>
      <c r="H2891" t="s">
        <v>46</v>
      </c>
      <c r="I2891">
        <v>10</v>
      </c>
    </row>
    <row r="2892" spans="1:9" x14ac:dyDescent="0.2">
      <c r="A2892">
        <v>13567305</v>
      </c>
      <c r="B2892">
        <v>3</v>
      </c>
      <c r="C2892">
        <v>3239</v>
      </c>
      <c r="D2892">
        <v>0</v>
      </c>
      <c r="E2892">
        <v>26</v>
      </c>
      <c r="F2892" t="s">
        <v>47</v>
      </c>
      <c r="G2892" t="s">
        <v>107</v>
      </c>
      <c r="H2892" t="s">
        <v>46</v>
      </c>
      <c r="I2892">
        <v>10</v>
      </c>
    </row>
    <row r="2893" spans="1:9" x14ac:dyDescent="0.2">
      <c r="A2893">
        <v>13583136</v>
      </c>
      <c r="B2893">
        <v>1</v>
      </c>
      <c r="C2893">
        <v>3234</v>
      </c>
      <c r="D2893">
        <v>50595</v>
      </c>
      <c r="E2893">
        <v>25</v>
      </c>
      <c r="F2893" t="s">
        <v>47</v>
      </c>
      <c r="G2893" t="s">
        <v>76</v>
      </c>
      <c r="H2893" t="s">
        <v>46</v>
      </c>
      <c r="I2893">
        <v>10</v>
      </c>
    </row>
    <row r="2894" spans="1:9" x14ac:dyDescent="0.2">
      <c r="A2894">
        <v>13667234</v>
      </c>
      <c r="B2894">
        <v>1</v>
      </c>
      <c r="C2894">
        <v>1503</v>
      </c>
      <c r="D2894">
        <v>71600</v>
      </c>
      <c r="E2894">
        <v>24</v>
      </c>
      <c r="F2894" t="s">
        <v>142</v>
      </c>
      <c r="G2894" t="s">
        <v>161</v>
      </c>
      <c r="H2894" t="s">
        <v>31</v>
      </c>
      <c r="I2894">
        <v>5</v>
      </c>
    </row>
    <row r="2895" spans="1:9" x14ac:dyDescent="0.2">
      <c r="A2895">
        <v>13667234</v>
      </c>
      <c r="B2895">
        <v>2</v>
      </c>
      <c r="C2895">
        <v>1504</v>
      </c>
      <c r="D2895">
        <v>0</v>
      </c>
      <c r="E2895">
        <v>26</v>
      </c>
      <c r="F2895" t="s">
        <v>142</v>
      </c>
      <c r="G2895" t="s">
        <v>121</v>
      </c>
      <c r="H2895" t="s">
        <v>31</v>
      </c>
      <c r="I2895">
        <v>5</v>
      </c>
    </row>
    <row r="2896" spans="1:9" x14ac:dyDescent="0.2">
      <c r="A2896">
        <v>13667234</v>
      </c>
      <c r="B2896">
        <v>3</v>
      </c>
      <c r="C2896">
        <v>1251</v>
      </c>
      <c r="D2896">
        <v>0</v>
      </c>
      <c r="E2896">
        <v>26</v>
      </c>
      <c r="F2896" t="s">
        <v>19</v>
      </c>
      <c r="G2896" t="s">
        <v>425</v>
      </c>
      <c r="H2896" t="s">
        <v>16</v>
      </c>
      <c r="I2896" t="s">
        <v>448</v>
      </c>
    </row>
    <row r="2897" spans="1:9" x14ac:dyDescent="0.2">
      <c r="A2897">
        <v>13710295</v>
      </c>
      <c r="B2897">
        <v>1</v>
      </c>
      <c r="C2897">
        <v>1320</v>
      </c>
      <c r="D2897">
        <v>55740</v>
      </c>
      <c r="E2897">
        <v>25</v>
      </c>
      <c r="F2897" t="s">
        <v>21</v>
      </c>
      <c r="G2897" t="s">
        <v>343</v>
      </c>
      <c r="H2897" t="s">
        <v>20</v>
      </c>
      <c r="I2897">
        <v>8</v>
      </c>
    </row>
    <row r="2898" spans="1:9" x14ac:dyDescent="0.2">
      <c r="A2898">
        <v>13710295</v>
      </c>
      <c r="B2898">
        <v>2</v>
      </c>
      <c r="C2898">
        <v>1316</v>
      </c>
      <c r="D2898">
        <v>55740</v>
      </c>
      <c r="E2898">
        <v>25</v>
      </c>
      <c r="F2898" t="s">
        <v>21</v>
      </c>
      <c r="G2898" t="s">
        <v>344</v>
      </c>
      <c r="H2898" t="s">
        <v>20</v>
      </c>
      <c r="I2898">
        <v>8</v>
      </c>
    </row>
    <row r="2899" spans="1:9" x14ac:dyDescent="0.2">
      <c r="A2899">
        <v>13710295</v>
      </c>
      <c r="B2899">
        <v>3</v>
      </c>
      <c r="C2899">
        <v>3068</v>
      </c>
      <c r="D2899">
        <v>55240</v>
      </c>
      <c r="E2899">
        <v>25</v>
      </c>
      <c r="F2899" t="s">
        <v>44</v>
      </c>
      <c r="G2899" t="s">
        <v>40</v>
      </c>
      <c r="H2899" t="s">
        <v>43</v>
      </c>
      <c r="I2899">
        <v>9</v>
      </c>
    </row>
    <row r="2900" spans="1:9" x14ac:dyDescent="0.2">
      <c r="A2900">
        <v>13824863</v>
      </c>
      <c r="B2900">
        <v>1</v>
      </c>
      <c r="C2900">
        <v>3211</v>
      </c>
      <c r="D2900">
        <v>0</v>
      </c>
      <c r="E2900">
        <v>36</v>
      </c>
      <c r="F2900" t="s">
        <v>47</v>
      </c>
      <c r="G2900" t="s">
        <v>99</v>
      </c>
      <c r="H2900" t="s">
        <v>46</v>
      </c>
      <c r="I2900">
        <v>10</v>
      </c>
    </row>
    <row r="2901" spans="1:9" x14ac:dyDescent="0.2">
      <c r="A2901">
        <v>13824863</v>
      </c>
      <c r="B2901">
        <v>2</v>
      </c>
      <c r="C2901">
        <v>3251</v>
      </c>
      <c r="D2901">
        <v>0</v>
      </c>
      <c r="E2901">
        <v>36</v>
      </c>
      <c r="F2901" t="s">
        <v>47</v>
      </c>
      <c r="G2901" t="s">
        <v>48</v>
      </c>
      <c r="H2901" t="s">
        <v>46</v>
      </c>
      <c r="I2901">
        <v>10</v>
      </c>
    </row>
    <row r="2902" spans="1:9" x14ac:dyDescent="0.2">
      <c r="A2902">
        <v>13824863</v>
      </c>
      <c r="B2902">
        <v>3</v>
      </c>
      <c r="C2902">
        <v>3248</v>
      </c>
      <c r="D2902">
        <v>0</v>
      </c>
      <c r="E2902">
        <v>36</v>
      </c>
      <c r="F2902" t="s">
        <v>47</v>
      </c>
      <c r="G2902" t="s">
        <v>92</v>
      </c>
      <c r="H2902" t="s">
        <v>46</v>
      </c>
      <c r="I2902">
        <v>10</v>
      </c>
    </row>
    <row r="2903" spans="1:9" x14ac:dyDescent="0.2">
      <c r="A2903">
        <v>13824863</v>
      </c>
      <c r="B2903">
        <v>4</v>
      </c>
      <c r="C2903">
        <v>3261</v>
      </c>
      <c r="D2903">
        <v>0</v>
      </c>
      <c r="E2903">
        <v>36</v>
      </c>
      <c r="F2903" t="s">
        <v>47</v>
      </c>
      <c r="G2903" t="s">
        <v>93</v>
      </c>
      <c r="H2903" t="s">
        <v>46</v>
      </c>
      <c r="I2903">
        <v>10</v>
      </c>
    </row>
    <row r="2904" spans="1:9" x14ac:dyDescent="0.2">
      <c r="A2904">
        <v>13840232</v>
      </c>
      <c r="B2904">
        <v>1</v>
      </c>
      <c r="C2904">
        <v>1778</v>
      </c>
      <c r="D2904">
        <v>59460</v>
      </c>
      <c r="E2904">
        <v>24</v>
      </c>
      <c r="F2904" t="s">
        <v>57</v>
      </c>
      <c r="G2904" t="s">
        <v>84</v>
      </c>
      <c r="H2904" t="s">
        <v>56</v>
      </c>
      <c r="I2904">
        <v>10</v>
      </c>
    </row>
    <row r="2905" spans="1:9" x14ac:dyDescent="0.2">
      <c r="A2905">
        <v>13840232</v>
      </c>
      <c r="B2905">
        <v>2</v>
      </c>
      <c r="C2905">
        <v>1709</v>
      </c>
      <c r="D2905">
        <v>0</v>
      </c>
      <c r="E2905">
        <v>26</v>
      </c>
      <c r="F2905" t="s">
        <v>57</v>
      </c>
      <c r="G2905" t="s">
        <v>84</v>
      </c>
      <c r="H2905" t="s">
        <v>69</v>
      </c>
      <c r="I2905">
        <v>10</v>
      </c>
    </row>
    <row r="2906" spans="1:9" x14ac:dyDescent="0.2">
      <c r="A2906">
        <v>13840232</v>
      </c>
      <c r="B2906">
        <v>3</v>
      </c>
      <c r="C2906">
        <v>3212</v>
      </c>
      <c r="D2906">
        <v>0</v>
      </c>
      <c r="E2906">
        <v>26</v>
      </c>
      <c r="F2906" t="s">
        <v>47</v>
      </c>
      <c r="G2906" t="s">
        <v>84</v>
      </c>
      <c r="H2906" t="s">
        <v>46</v>
      </c>
      <c r="I2906">
        <v>10</v>
      </c>
    </row>
    <row r="2907" spans="1:9" x14ac:dyDescent="0.2">
      <c r="A2907">
        <v>13840232</v>
      </c>
      <c r="B2907">
        <v>4</v>
      </c>
      <c r="C2907">
        <v>1754</v>
      </c>
      <c r="D2907">
        <v>0</v>
      </c>
      <c r="E2907">
        <v>26</v>
      </c>
      <c r="F2907" t="s">
        <v>57</v>
      </c>
      <c r="G2907" t="s">
        <v>85</v>
      </c>
      <c r="H2907" t="s">
        <v>69</v>
      </c>
      <c r="I2907">
        <v>10</v>
      </c>
    </row>
    <row r="2908" spans="1:9" x14ac:dyDescent="0.2">
      <c r="A2908">
        <v>13840232</v>
      </c>
      <c r="B2908">
        <v>5</v>
      </c>
      <c r="C2908">
        <v>3213</v>
      </c>
      <c r="D2908">
        <v>0</v>
      </c>
      <c r="E2908">
        <v>26</v>
      </c>
      <c r="F2908" t="s">
        <v>47</v>
      </c>
      <c r="G2908" t="s">
        <v>158</v>
      </c>
      <c r="H2908" t="s">
        <v>74</v>
      </c>
      <c r="I2908">
        <v>10</v>
      </c>
    </row>
    <row r="2909" spans="1:9" x14ac:dyDescent="0.2">
      <c r="A2909">
        <v>13840232</v>
      </c>
      <c r="B2909">
        <v>6</v>
      </c>
      <c r="C2909">
        <v>1703</v>
      </c>
      <c r="D2909">
        <v>0</v>
      </c>
      <c r="E2909">
        <v>26</v>
      </c>
      <c r="F2909" t="s">
        <v>57</v>
      </c>
      <c r="G2909" t="s">
        <v>109</v>
      </c>
      <c r="H2909" t="s">
        <v>69</v>
      </c>
      <c r="I2909">
        <v>10</v>
      </c>
    </row>
    <row r="2910" spans="1:9" x14ac:dyDescent="0.2">
      <c r="A2910">
        <v>13840232</v>
      </c>
      <c r="B2910">
        <v>7</v>
      </c>
      <c r="C2910">
        <v>3218</v>
      </c>
      <c r="D2910">
        <v>0</v>
      </c>
      <c r="E2910">
        <v>26</v>
      </c>
      <c r="F2910" t="s">
        <v>47</v>
      </c>
      <c r="G2910" t="s">
        <v>66</v>
      </c>
      <c r="H2910" t="s">
        <v>74</v>
      </c>
      <c r="I2910">
        <v>10</v>
      </c>
    </row>
    <row r="2911" spans="1:9" x14ac:dyDescent="0.2">
      <c r="A2911">
        <v>13840232</v>
      </c>
      <c r="B2911">
        <v>8</v>
      </c>
      <c r="C2911">
        <v>3214</v>
      </c>
      <c r="D2911">
        <v>0</v>
      </c>
      <c r="E2911">
        <v>26</v>
      </c>
      <c r="F2911" t="s">
        <v>47</v>
      </c>
      <c r="G2911" t="s">
        <v>98</v>
      </c>
      <c r="H2911" t="s">
        <v>74</v>
      </c>
      <c r="I2911">
        <v>10</v>
      </c>
    </row>
    <row r="2912" spans="1:9" x14ac:dyDescent="0.2">
      <c r="A2912">
        <v>13896457</v>
      </c>
      <c r="B2912">
        <v>1</v>
      </c>
      <c r="C2912">
        <v>3242</v>
      </c>
      <c r="D2912">
        <v>45935</v>
      </c>
      <c r="E2912">
        <v>25</v>
      </c>
      <c r="F2912" t="s">
        <v>47</v>
      </c>
      <c r="G2912" t="s">
        <v>90</v>
      </c>
      <c r="H2912" t="s">
        <v>46</v>
      </c>
      <c r="I2912">
        <v>10</v>
      </c>
    </row>
    <row r="2913" spans="1:9" x14ac:dyDescent="0.2">
      <c r="A2913">
        <v>13896457</v>
      </c>
      <c r="B2913">
        <v>2</v>
      </c>
      <c r="C2913">
        <v>3246</v>
      </c>
      <c r="D2913">
        <v>45995</v>
      </c>
      <c r="E2913">
        <v>25</v>
      </c>
      <c r="F2913" t="s">
        <v>47</v>
      </c>
      <c r="G2913" t="s">
        <v>91</v>
      </c>
      <c r="H2913" t="s">
        <v>74</v>
      </c>
      <c r="I2913">
        <v>10</v>
      </c>
    </row>
    <row r="2914" spans="1:9" x14ac:dyDescent="0.2">
      <c r="A2914">
        <v>13896457</v>
      </c>
      <c r="B2914">
        <v>3</v>
      </c>
      <c r="C2914">
        <v>3252</v>
      </c>
      <c r="D2914">
        <v>45995</v>
      </c>
      <c r="E2914">
        <v>25</v>
      </c>
      <c r="F2914" t="s">
        <v>47</v>
      </c>
      <c r="G2914" t="s">
        <v>45</v>
      </c>
      <c r="H2914" t="s">
        <v>46</v>
      </c>
      <c r="I2914">
        <v>10</v>
      </c>
    </row>
    <row r="2915" spans="1:9" x14ac:dyDescent="0.2">
      <c r="A2915">
        <v>13896457</v>
      </c>
      <c r="B2915">
        <v>4</v>
      </c>
      <c r="C2915">
        <v>3296</v>
      </c>
      <c r="D2915">
        <v>46190</v>
      </c>
      <c r="E2915">
        <v>25</v>
      </c>
      <c r="F2915" t="s">
        <v>47</v>
      </c>
      <c r="G2915" t="s">
        <v>100</v>
      </c>
      <c r="H2915" t="s">
        <v>46</v>
      </c>
      <c r="I2915">
        <v>10</v>
      </c>
    </row>
    <row r="2916" spans="1:9" x14ac:dyDescent="0.2">
      <c r="A2916">
        <v>13907007</v>
      </c>
      <c r="B2916">
        <v>1</v>
      </c>
      <c r="C2916">
        <v>3223</v>
      </c>
      <c r="D2916">
        <v>54900</v>
      </c>
      <c r="E2916">
        <v>24</v>
      </c>
      <c r="F2916" t="s">
        <v>47</v>
      </c>
      <c r="G2916" t="s">
        <v>105</v>
      </c>
      <c r="H2916" t="s">
        <v>46</v>
      </c>
      <c r="I2916">
        <v>10</v>
      </c>
    </row>
    <row r="2917" spans="1:9" x14ac:dyDescent="0.2">
      <c r="A2917">
        <v>13907007</v>
      </c>
      <c r="B2917">
        <v>2</v>
      </c>
      <c r="C2917">
        <v>3229</v>
      </c>
      <c r="D2917">
        <v>0</v>
      </c>
      <c r="E2917">
        <v>26</v>
      </c>
      <c r="F2917" t="s">
        <v>47</v>
      </c>
      <c r="G2917" t="s">
        <v>101</v>
      </c>
      <c r="H2917" t="s">
        <v>46</v>
      </c>
      <c r="I2917">
        <v>10</v>
      </c>
    </row>
    <row r="2918" spans="1:9" x14ac:dyDescent="0.2">
      <c r="A2918">
        <v>13911838</v>
      </c>
      <c r="B2918">
        <v>1</v>
      </c>
      <c r="C2918">
        <v>1756</v>
      </c>
      <c r="D2918">
        <v>48840</v>
      </c>
      <c r="E2918">
        <v>25</v>
      </c>
      <c r="F2918" t="s">
        <v>57</v>
      </c>
      <c r="G2918" t="s">
        <v>89</v>
      </c>
      <c r="H2918" t="s">
        <v>69</v>
      </c>
      <c r="I2918">
        <v>10</v>
      </c>
    </row>
    <row r="2919" spans="1:9" x14ac:dyDescent="0.2">
      <c r="A2919">
        <v>13911838</v>
      </c>
      <c r="B2919">
        <v>2</v>
      </c>
      <c r="C2919">
        <v>2682</v>
      </c>
      <c r="D2919">
        <v>50110</v>
      </c>
      <c r="E2919">
        <v>25</v>
      </c>
      <c r="F2919" t="s">
        <v>71</v>
      </c>
      <c r="G2919" t="s">
        <v>305</v>
      </c>
      <c r="H2919" t="s">
        <v>24</v>
      </c>
      <c r="I2919">
        <v>5</v>
      </c>
    </row>
    <row r="2920" spans="1:9" x14ac:dyDescent="0.2">
      <c r="A2920">
        <v>13911838</v>
      </c>
      <c r="B2920">
        <v>3</v>
      </c>
      <c r="C2920">
        <v>1777</v>
      </c>
      <c r="D2920">
        <v>49040</v>
      </c>
      <c r="E2920">
        <v>25</v>
      </c>
      <c r="F2920" t="s">
        <v>57</v>
      </c>
      <c r="G2920" t="s">
        <v>88</v>
      </c>
      <c r="H2920" t="s">
        <v>69</v>
      </c>
      <c r="I2920">
        <v>10</v>
      </c>
    </row>
    <row r="2921" spans="1:9" x14ac:dyDescent="0.2">
      <c r="A2921">
        <v>13911838</v>
      </c>
      <c r="B2921">
        <v>4</v>
      </c>
      <c r="C2921">
        <v>3244</v>
      </c>
      <c r="D2921">
        <v>48765</v>
      </c>
      <c r="E2921">
        <v>25</v>
      </c>
      <c r="F2921" t="s">
        <v>47</v>
      </c>
      <c r="G2921" t="s">
        <v>73</v>
      </c>
      <c r="H2921" t="s">
        <v>74</v>
      </c>
      <c r="I2921">
        <v>10</v>
      </c>
    </row>
    <row r="2922" spans="1:9" x14ac:dyDescent="0.2">
      <c r="A2922">
        <v>13911838</v>
      </c>
      <c r="B2922">
        <v>5</v>
      </c>
      <c r="C2922">
        <v>3246</v>
      </c>
      <c r="D2922">
        <v>49150</v>
      </c>
      <c r="E2922">
        <v>25</v>
      </c>
      <c r="F2922" t="s">
        <v>47</v>
      </c>
      <c r="G2922" t="s">
        <v>91</v>
      </c>
      <c r="H2922" t="s">
        <v>74</v>
      </c>
      <c r="I2922">
        <v>10</v>
      </c>
    </row>
    <row r="2923" spans="1:9" x14ac:dyDescent="0.2">
      <c r="A2923">
        <v>13940206</v>
      </c>
      <c r="B2923">
        <v>1</v>
      </c>
      <c r="C2923">
        <v>3242</v>
      </c>
      <c r="D2923">
        <v>57365</v>
      </c>
      <c r="E2923">
        <v>24</v>
      </c>
      <c r="F2923" t="s">
        <v>47</v>
      </c>
      <c r="G2923" t="s">
        <v>90</v>
      </c>
      <c r="H2923" t="s">
        <v>46</v>
      </c>
      <c r="I2923">
        <v>10</v>
      </c>
    </row>
    <row r="2924" spans="1:9" x14ac:dyDescent="0.2">
      <c r="A2924">
        <v>13940206</v>
      </c>
      <c r="B2924">
        <v>2</v>
      </c>
      <c r="C2924">
        <v>3244</v>
      </c>
      <c r="D2924">
        <v>0</v>
      </c>
      <c r="E2924">
        <v>26</v>
      </c>
      <c r="F2924" t="s">
        <v>47</v>
      </c>
      <c r="G2924" t="s">
        <v>73</v>
      </c>
      <c r="H2924" t="s">
        <v>74</v>
      </c>
      <c r="I2924">
        <v>10</v>
      </c>
    </row>
    <row r="2925" spans="1:9" x14ac:dyDescent="0.2">
      <c r="A2925">
        <v>13940206</v>
      </c>
      <c r="B2925">
        <v>3</v>
      </c>
      <c r="C2925">
        <v>1654</v>
      </c>
      <c r="D2925">
        <v>0</v>
      </c>
      <c r="E2925">
        <v>17</v>
      </c>
      <c r="F2925" t="s">
        <v>128</v>
      </c>
      <c r="G2925" t="s">
        <v>227</v>
      </c>
      <c r="H2925" t="s">
        <v>127</v>
      </c>
      <c r="I2925" t="s">
        <v>448</v>
      </c>
    </row>
    <row r="2926" spans="1:9" x14ac:dyDescent="0.2">
      <c r="A2926">
        <v>13940206</v>
      </c>
      <c r="B2926">
        <v>4</v>
      </c>
      <c r="C2926">
        <v>3252</v>
      </c>
      <c r="D2926">
        <v>0</v>
      </c>
      <c r="E2926">
        <v>26</v>
      </c>
      <c r="F2926" t="s">
        <v>47</v>
      </c>
      <c r="G2926" t="s">
        <v>45</v>
      </c>
      <c r="H2926" t="s">
        <v>46</v>
      </c>
      <c r="I2926">
        <v>10</v>
      </c>
    </row>
    <row r="2927" spans="1:9" x14ac:dyDescent="0.2">
      <c r="A2927">
        <v>13940206</v>
      </c>
      <c r="B2927">
        <v>5</v>
      </c>
      <c r="C2927">
        <v>3200</v>
      </c>
      <c r="D2927">
        <v>0</v>
      </c>
      <c r="E2927">
        <v>26</v>
      </c>
      <c r="F2927" t="s">
        <v>47</v>
      </c>
      <c r="G2927" t="s">
        <v>18</v>
      </c>
      <c r="H2927" t="s">
        <v>46</v>
      </c>
      <c r="I2927">
        <v>10</v>
      </c>
    </row>
    <row r="2928" spans="1:9" x14ac:dyDescent="0.2">
      <c r="A2928">
        <v>13942088</v>
      </c>
      <c r="B2928">
        <v>1</v>
      </c>
      <c r="C2928">
        <v>3261</v>
      </c>
      <c r="D2928">
        <v>49450</v>
      </c>
      <c r="E2928">
        <v>25</v>
      </c>
      <c r="F2928" t="s">
        <v>47</v>
      </c>
      <c r="G2928" t="s">
        <v>93</v>
      </c>
      <c r="H2928" t="s">
        <v>46</v>
      </c>
      <c r="I2928">
        <v>10</v>
      </c>
    </row>
    <row r="2929" spans="1:9" x14ac:dyDescent="0.2">
      <c r="A2929">
        <v>13942088</v>
      </c>
      <c r="B2929">
        <v>2</v>
      </c>
      <c r="C2929">
        <v>3251</v>
      </c>
      <c r="D2929">
        <v>49645</v>
      </c>
      <c r="E2929">
        <v>24</v>
      </c>
      <c r="F2929" t="s">
        <v>47</v>
      </c>
      <c r="G2929" t="s">
        <v>48</v>
      </c>
      <c r="H2929" t="s">
        <v>46</v>
      </c>
      <c r="I2929">
        <v>10</v>
      </c>
    </row>
    <row r="2930" spans="1:9" x14ac:dyDescent="0.2">
      <c r="A2930">
        <v>13942088</v>
      </c>
      <c r="B2930">
        <v>3</v>
      </c>
      <c r="C2930">
        <v>3248</v>
      </c>
      <c r="D2930">
        <v>0</v>
      </c>
      <c r="E2930">
        <v>26</v>
      </c>
      <c r="F2930" t="s">
        <v>47</v>
      </c>
      <c r="G2930" t="s">
        <v>92</v>
      </c>
      <c r="H2930" t="s">
        <v>46</v>
      </c>
      <c r="I2930">
        <v>10</v>
      </c>
    </row>
    <row r="2931" spans="1:9" x14ac:dyDescent="0.2">
      <c r="A2931">
        <v>13944280</v>
      </c>
      <c r="B2931">
        <v>1</v>
      </c>
      <c r="C2931">
        <v>3225</v>
      </c>
      <c r="D2931">
        <v>60235</v>
      </c>
      <c r="E2931">
        <v>24</v>
      </c>
      <c r="F2931" t="s">
        <v>47</v>
      </c>
      <c r="G2931" t="s">
        <v>106</v>
      </c>
      <c r="H2931" t="s">
        <v>46</v>
      </c>
      <c r="I2931">
        <v>10</v>
      </c>
    </row>
    <row r="2932" spans="1:9" x14ac:dyDescent="0.2">
      <c r="A2932">
        <v>13944280</v>
      </c>
      <c r="B2932">
        <v>2</v>
      </c>
      <c r="C2932">
        <v>3226</v>
      </c>
      <c r="D2932">
        <v>0</v>
      </c>
      <c r="E2932">
        <v>26</v>
      </c>
      <c r="F2932" t="s">
        <v>47</v>
      </c>
      <c r="G2932" t="s">
        <v>96</v>
      </c>
      <c r="H2932" t="s">
        <v>46</v>
      </c>
      <c r="I2932">
        <v>10</v>
      </c>
    </row>
    <row r="2933" spans="1:9" x14ac:dyDescent="0.2">
      <c r="A2933">
        <v>13944280</v>
      </c>
      <c r="B2933">
        <v>3</v>
      </c>
      <c r="C2933">
        <v>1504</v>
      </c>
      <c r="D2933">
        <v>0</v>
      </c>
      <c r="E2933">
        <v>26</v>
      </c>
      <c r="F2933" t="s">
        <v>142</v>
      </c>
      <c r="G2933" t="s">
        <v>121</v>
      </c>
      <c r="H2933" t="s">
        <v>31</v>
      </c>
      <c r="I2933">
        <v>5</v>
      </c>
    </row>
    <row r="2934" spans="1:9" x14ac:dyDescent="0.2">
      <c r="A2934">
        <v>13944280</v>
      </c>
      <c r="B2934">
        <v>4</v>
      </c>
      <c r="C2934">
        <v>1373</v>
      </c>
      <c r="D2934">
        <v>0</v>
      </c>
      <c r="E2934">
        <v>26</v>
      </c>
      <c r="F2934" t="s">
        <v>21</v>
      </c>
      <c r="G2934" t="s">
        <v>249</v>
      </c>
      <c r="H2934" t="s">
        <v>20</v>
      </c>
      <c r="I2934">
        <v>8</v>
      </c>
    </row>
    <row r="2935" spans="1:9" x14ac:dyDescent="0.2">
      <c r="A2935">
        <v>13944280</v>
      </c>
      <c r="B2935">
        <v>5</v>
      </c>
      <c r="C2935">
        <v>1701</v>
      </c>
      <c r="D2935">
        <v>0</v>
      </c>
      <c r="E2935">
        <v>26</v>
      </c>
      <c r="F2935" t="s">
        <v>57</v>
      </c>
      <c r="G2935" t="s">
        <v>96</v>
      </c>
      <c r="H2935" t="s">
        <v>69</v>
      </c>
      <c r="I2935">
        <v>10</v>
      </c>
    </row>
    <row r="2936" spans="1:9" x14ac:dyDescent="0.2">
      <c r="A2936">
        <v>13944280</v>
      </c>
      <c r="B2936">
        <v>6</v>
      </c>
      <c r="C2936">
        <v>1708</v>
      </c>
      <c r="D2936">
        <v>0</v>
      </c>
      <c r="E2936">
        <v>26</v>
      </c>
      <c r="F2936" t="s">
        <v>57</v>
      </c>
      <c r="G2936" t="s">
        <v>80</v>
      </c>
      <c r="H2936" t="s">
        <v>79</v>
      </c>
      <c r="I2936">
        <v>10</v>
      </c>
    </row>
    <row r="2937" spans="1:9" x14ac:dyDescent="0.2">
      <c r="A2937">
        <v>13944280</v>
      </c>
      <c r="B2937">
        <v>7</v>
      </c>
      <c r="C2937">
        <v>1713</v>
      </c>
      <c r="D2937">
        <v>0</v>
      </c>
      <c r="E2937">
        <v>26</v>
      </c>
      <c r="F2937" t="s">
        <v>57</v>
      </c>
      <c r="G2937" t="s">
        <v>170</v>
      </c>
      <c r="H2937" t="s">
        <v>69</v>
      </c>
      <c r="I2937">
        <v>10</v>
      </c>
    </row>
    <row r="2938" spans="1:9" x14ac:dyDescent="0.2">
      <c r="A2938">
        <v>13944281</v>
      </c>
      <c r="B2938">
        <v>1</v>
      </c>
      <c r="C2938">
        <v>3219</v>
      </c>
      <c r="D2938">
        <v>44950</v>
      </c>
      <c r="E2938">
        <v>24</v>
      </c>
      <c r="F2938" t="s">
        <v>47</v>
      </c>
      <c r="G2938" t="s">
        <v>205</v>
      </c>
      <c r="H2938" t="s">
        <v>74</v>
      </c>
      <c r="I2938">
        <v>10</v>
      </c>
    </row>
    <row r="2939" spans="1:9" x14ac:dyDescent="0.2">
      <c r="A2939">
        <v>13944281</v>
      </c>
      <c r="B2939">
        <v>2</v>
      </c>
      <c r="C2939">
        <v>3223</v>
      </c>
      <c r="D2939">
        <v>0</v>
      </c>
      <c r="E2939">
        <v>26</v>
      </c>
      <c r="F2939" t="s">
        <v>47</v>
      </c>
      <c r="G2939" t="s">
        <v>105</v>
      </c>
      <c r="H2939" t="s">
        <v>46</v>
      </c>
      <c r="I2939">
        <v>10</v>
      </c>
    </row>
    <row r="2940" spans="1:9" x14ac:dyDescent="0.2">
      <c r="A2940">
        <v>13944281</v>
      </c>
      <c r="B2940">
        <v>3</v>
      </c>
      <c r="C2940">
        <v>3225</v>
      </c>
      <c r="D2940">
        <v>0</v>
      </c>
      <c r="E2940">
        <v>26</v>
      </c>
      <c r="F2940" t="s">
        <v>47</v>
      </c>
      <c r="G2940" t="s">
        <v>106</v>
      </c>
      <c r="H2940" t="s">
        <v>46</v>
      </c>
      <c r="I2940">
        <v>10</v>
      </c>
    </row>
    <row r="2941" spans="1:9" x14ac:dyDescent="0.2">
      <c r="A2941">
        <v>13944281</v>
      </c>
      <c r="B2941">
        <v>4</v>
      </c>
      <c r="C2941">
        <v>1775</v>
      </c>
      <c r="D2941">
        <v>0</v>
      </c>
      <c r="E2941">
        <v>31</v>
      </c>
      <c r="F2941" t="s">
        <v>57</v>
      </c>
      <c r="G2941" t="s">
        <v>94</v>
      </c>
      <c r="H2941" t="s">
        <v>69</v>
      </c>
      <c r="I2941">
        <v>10</v>
      </c>
    </row>
    <row r="2942" spans="1:9" x14ac:dyDescent="0.2">
      <c r="A2942">
        <v>13944281</v>
      </c>
      <c r="B2942">
        <v>5</v>
      </c>
      <c r="C2942">
        <v>1786</v>
      </c>
      <c r="D2942">
        <v>0</v>
      </c>
      <c r="E2942">
        <v>31</v>
      </c>
      <c r="F2942" t="s">
        <v>57</v>
      </c>
      <c r="G2942" t="s">
        <v>103</v>
      </c>
      <c r="H2942" t="s">
        <v>56</v>
      </c>
      <c r="I2942">
        <v>10</v>
      </c>
    </row>
    <row r="2943" spans="1:9" x14ac:dyDescent="0.2">
      <c r="A2943">
        <v>13944281</v>
      </c>
      <c r="B2943">
        <v>6</v>
      </c>
      <c r="C2943">
        <v>1705</v>
      </c>
      <c r="D2943">
        <v>0</v>
      </c>
      <c r="E2943">
        <v>31</v>
      </c>
      <c r="F2943" t="s">
        <v>57</v>
      </c>
      <c r="G2943" t="s">
        <v>102</v>
      </c>
      <c r="H2943" t="s">
        <v>69</v>
      </c>
      <c r="I2943">
        <v>10</v>
      </c>
    </row>
    <row r="2944" spans="1:9" x14ac:dyDescent="0.2">
      <c r="A2944">
        <v>13944281</v>
      </c>
      <c r="B2944">
        <v>7</v>
      </c>
      <c r="C2944">
        <v>3229</v>
      </c>
      <c r="D2944">
        <v>0</v>
      </c>
      <c r="E2944">
        <v>26</v>
      </c>
      <c r="F2944" t="s">
        <v>47</v>
      </c>
      <c r="G2944" t="s">
        <v>101</v>
      </c>
      <c r="H2944" t="s">
        <v>46</v>
      </c>
      <c r="I2944">
        <v>10</v>
      </c>
    </row>
    <row r="2945" spans="1:9" x14ac:dyDescent="0.2">
      <c r="A2945">
        <v>13944281</v>
      </c>
      <c r="B2945">
        <v>8</v>
      </c>
      <c r="C2945">
        <v>3218</v>
      </c>
      <c r="D2945">
        <v>0</v>
      </c>
      <c r="E2945">
        <v>26</v>
      </c>
      <c r="F2945" t="s">
        <v>47</v>
      </c>
      <c r="G2945" t="s">
        <v>66</v>
      </c>
      <c r="H2945" t="s">
        <v>74</v>
      </c>
      <c r="I2945">
        <v>10</v>
      </c>
    </row>
    <row r="2946" spans="1:9" x14ac:dyDescent="0.2">
      <c r="A2946">
        <v>13970676</v>
      </c>
      <c r="B2946">
        <v>1</v>
      </c>
      <c r="C2946">
        <v>1713</v>
      </c>
      <c r="D2946">
        <v>73780</v>
      </c>
      <c r="E2946">
        <v>24</v>
      </c>
      <c r="F2946" t="s">
        <v>57</v>
      </c>
      <c r="G2946" t="s">
        <v>170</v>
      </c>
      <c r="H2946" t="s">
        <v>69</v>
      </c>
      <c r="I2946">
        <v>10</v>
      </c>
    </row>
    <row r="2947" spans="1:9" x14ac:dyDescent="0.2">
      <c r="A2947">
        <v>13970676</v>
      </c>
      <c r="B2947">
        <v>2</v>
      </c>
      <c r="C2947">
        <v>1731</v>
      </c>
      <c r="D2947">
        <v>0</v>
      </c>
      <c r="E2947">
        <v>26</v>
      </c>
      <c r="F2947" t="s">
        <v>57</v>
      </c>
      <c r="G2947" t="s">
        <v>172</v>
      </c>
      <c r="H2947" t="s">
        <v>69</v>
      </c>
      <c r="I2947">
        <v>10</v>
      </c>
    </row>
    <row r="2948" spans="1:9" x14ac:dyDescent="0.2">
      <c r="A2948">
        <v>13970676</v>
      </c>
      <c r="B2948">
        <v>3</v>
      </c>
      <c r="C2948">
        <v>1789</v>
      </c>
      <c r="D2948">
        <v>0</v>
      </c>
      <c r="E2948">
        <v>26</v>
      </c>
      <c r="F2948" t="s">
        <v>57</v>
      </c>
      <c r="G2948" t="s">
        <v>122</v>
      </c>
      <c r="H2948" t="s">
        <v>69</v>
      </c>
      <c r="I2948">
        <v>10</v>
      </c>
    </row>
    <row r="2949" spans="1:9" x14ac:dyDescent="0.2">
      <c r="A2949">
        <v>13983882</v>
      </c>
      <c r="B2949">
        <v>1</v>
      </c>
      <c r="C2949">
        <v>3211</v>
      </c>
      <c r="D2949">
        <v>0</v>
      </c>
      <c r="E2949">
        <v>36</v>
      </c>
      <c r="F2949" t="s">
        <v>47</v>
      </c>
      <c r="G2949" t="s">
        <v>99</v>
      </c>
      <c r="H2949" t="s">
        <v>46</v>
      </c>
      <c r="I2949">
        <v>10</v>
      </c>
    </row>
    <row r="2950" spans="1:9" x14ac:dyDescent="0.2">
      <c r="A2950">
        <v>13999643</v>
      </c>
      <c r="B2950">
        <v>1</v>
      </c>
      <c r="C2950">
        <v>3239</v>
      </c>
      <c r="D2950">
        <v>0</v>
      </c>
      <c r="E2950">
        <v>36</v>
      </c>
      <c r="F2950" t="s">
        <v>47</v>
      </c>
      <c r="G2950" t="s">
        <v>107</v>
      </c>
      <c r="H2950" t="s">
        <v>46</v>
      </c>
      <c r="I2950">
        <v>10</v>
      </c>
    </row>
    <row r="2951" spans="1:9" x14ac:dyDescent="0.2">
      <c r="A2951">
        <v>13999643</v>
      </c>
      <c r="B2951">
        <v>2</v>
      </c>
      <c r="C2951">
        <v>3261</v>
      </c>
      <c r="D2951">
        <v>0</v>
      </c>
      <c r="E2951">
        <v>36</v>
      </c>
      <c r="F2951" t="s">
        <v>47</v>
      </c>
      <c r="G2951" t="s">
        <v>93</v>
      </c>
      <c r="H2951" t="s">
        <v>46</v>
      </c>
      <c r="I2951">
        <v>10</v>
      </c>
    </row>
    <row r="2952" spans="1:9" x14ac:dyDescent="0.2">
      <c r="A2952">
        <v>13999643</v>
      </c>
      <c r="B2952">
        <v>3</v>
      </c>
      <c r="C2952">
        <v>3234</v>
      </c>
      <c r="D2952">
        <v>0</v>
      </c>
      <c r="E2952">
        <v>36</v>
      </c>
      <c r="F2952" t="s">
        <v>47</v>
      </c>
      <c r="G2952" t="s">
        <v>76</v>
      </c>
      <c r="H2952" t="s">
        <v>46</v>
      </c>
      <c r="I2952">
        <v>10</v>
      </c>
    </row>
    <row r="2953" spans="1:9" x14ac:dyDescent="0.2">
      <c r="A2953">
        <v>14001378</v>
      </c>
      <c r="B2953">
        <v>1</v>
      </c>
      <c r="C2953">
        <v>3212</v>
      </c>
      <c r="D2953">
        <v>49690</v>
      </c>
      <c r="E2953">
        <v>24</v>
      </c>
      <c r="F2953" t="s">
        <v>47</v>
      </c>
      <c r="G2953" t="s">
        <v>84</v>
      </c>
      <c r="H2953" t="s">
        <v>46</v>
      </c>
      <c r="I2953">
        <v>10</v>
      </c>
    </row>
    <row r="2954" spans="1:9" x14ac:dyDescent="0.2">
      <c r="A2954">
        <v>14001378</v>
      </c>
      <c r="B2954">
        <v>2</v>
      </c>
      <c r="C2954">
        <v>3234</v>
      </c>
      <c r="D2954">
        <v>0</v>
      </c>
      <c r="E2954">
        <v>26</v>
      </c>
      <c r="F2954" t="s">
        <v>47</v>
      </c>
      <c r="G2954" t="s">
        <v>76</v>
      </c>
      <c r="H2954" t="s">
        <v>46</v>
      </c>
      <c r="I2954">
        <v>10</v>
      </c>
    </row>
    <row r="2955" spans="1:9" x14ac:dyDescent="0.2">
      <c r="A2955">
        <v>14001378</v>
      </c>
      <c r="B2955">
        <v>3</v>
      </c>
      <c r="C2955">
        <v>3244</v>
      </c>
      <c r="D2955">
        <v>0</v>
      </c>
      <c r="E2955">
        <v>26</v>
      </c>
      <c r="F2955" t="s">
        <v>47</v>
      </c>
      <c r="G2955" t="s">
        <v>73</v>
      </c>
      <c r="H2955" t="s">
        <v>74</v>
      </c>
      <c r="I2955">
        <v>10</v>
      </c>
    </row>
    <row r="2956" spans="1:9" x14ac:dyDescent="0.2">
      <c r="A2956">
        <v>14001378</v>
      </c>
      <c r="B2956">
        <v>4</v>
      </c>
      <c r="C2956">
        <v>3239</v>
      </c>
      <c r="D2956">
        <v>0</v>
      </c>
      <c r="E2956">
        <v>26</v>
      </c>
      <c r="F2956" t="s">
        <v>47</v>
      </c>
      <c r="G2956" t="s">
        <v>107</v>
      </c>
      <c r="H2956" t="s">
        <v>46</v>
      </c>
      <c r="I2956">
        <v>10</v>
      </c>
    </row>
    <row r="2957" spans="1:9" x14ac:dyDescent="0.2">
      <c r="A2957">
        <v>14043636</v>
      </c>
      <c r="B2957">
        <v>1</v>
      </c>
      <c r="C2957">
        <v>3211</v>
      </c>
      <c r="D2957">
        <v>55775</v>
      </c>
      <c r="E2957">
        <v>24</v>
      </c>
      <c r="F2957" t="s">
        <v>47</v>
      </c>
      <c r="G2957" t="s">
        <v>99</v>
      </c>
      <c r="H2957" t="s">
        <v>46</v>
      </c>
      <c r="I2957">
        <v>10</v>
      </c>
    </row>
    <row r="2958" spans="1:9" x14ac:dyDescent="0.2">
      <c r="A2958">
        <v>14043636</v>
      </c>
      <c r="B2958">
        <v>2</v>
      </c>
      <c r="C2958">
        <v>3261</v>
      </c>
      <c r="D2958">
        <v>0</v>
      </c>
      <c r="E2958">
        <v>26</v>
      </c>
      <c r="F2958" t="s">
        <v>47</v>
      </c>
      <c r="G2958" t="s">
        <v>93</v>
      </c>
      <c r="H2958" t="s">
        <v>46</v>
      </c>
      <c r="I2958">
        <v>10</v>
      </c>
    </row>
    <row r="2959" spans="1:9" x14ac:dyDescent="0.2">
      <c r="A2959">
        <v>14043636</v>
      </c>
      <c r="B2959">
        <v>3</v>
      </c>
      <c r="C2959">
        <v>3212</v>
      </c>
      <c r="D2959">
        <v>0</v>
      </c>
      <c r="E2959">
        <v>26</v>
      </c>
      <c r="F2959" t="s">
        <v>47</v>
      </c>
      <c r="G2959" t="s">
        <v>84</v>
      </c>
      <c r="H2959" t="s">
        <v>46</v>
      </c>
      <c r="I2959">
        <v>10</v>
      </c>
    </row>
    <row r="2960" spans="1:9" x14ac:dyDescent="0.2">
      <c r="A2960">
        <v>14043636</v>
      </c>
      <c r="B2960">
        <v>4</v>
      </c>
      <c r="C2960">
        <v>3214</v>
      </c>
      <c r="D2960">
        <v>0</v>
      </c>
      <c r="E2960">
        <v>26</v>
      </c>
      <c r="F2960" t="s">
        <v>47</v>
      </c>
      <c r="G2960" t="s">
        <v>98</v>
      </c>
      <c r="H2960" t="s">
        <v>74</v>
      </c>
      <c r="I2960">
        <v>10</v>
      </c>
    </row>
    <row r="2961" spans="1:9" x14ac:dyDescent="0.2">
      <c r="A2961">
        <v>14083682</v>
      </c>
      <c r="B2961">
        <v>1</v>
      </c>
      <c r="C2961">
        <v>3248</v>
      </c>
      <c r="D2961">
        <v>0</v>
      </c>
      <c r="E2961">
        <v>36</v>
      </c>
      <c r="F2961" t="s">
        <v>47</v>
      </c>
      <c r="G2961" t="s">
        <v>92</v>
      </c>
      <c r="H2961" t="s">
        <v>46</v>
      </c>
      <c r="I2961">
        <v>10</v>
      </c>
    </row>
    <row r="2962" spans="1:9" x14ac:dyDescent="0.2">
      <c r="A2962">
        <v>14083682</v>
      </c>
      <c r="B2962">
        <v>2</v>
      </c>
      <c r="C2962">
        <v>3252</v>
      </c>
      <c r="D2962">
        <v>0</v>
      </c>
      <c r="E2962">
        <v>36</v>
      </c>
      <c r="F2962" t="s">
        <v>47</v>
      </c>
      <c r="G2962" t="s">
        <v>45</v>
      </c>
      <c r="H2962" t="s">
        <v>46</v>
      </c>
      <c r="I2962">
        <v>10</v>
      </c>
    </row>
    <row r="2963" spans="1:9" x14ac:dyDescent="0.2">
      <c r="A2963">
        <v>14083682</v>
      </c>
      <c r="B2963">
        <v>3</v>
      </c>
      <c r="C2963">
        <v>3212</v>
      </c>
      <c r="D2963">
        <v>0</v>
      </c>
      <c r="E2963">
        <v>36</v>
      </c>
      <c r="F2963" t="s">
        <v>47</v>
      </c>
      <c r="G2963" t="s">
        <v>84</v>
      </c>
      <c r="H2963" t="s">
        <v>46</v>
      </c>
      <c r="I2963">
        <v>10</v>
      </c>
    </row>
    <row r="2964" spans="1:9" x14ac:dyDescent="0.2">
      <c r="A2964">
        <v>14083682</v>
      </c>
      <c r="B2964">
        <v>4</v>
      </c>
      <c r="C2964">
        <v>3243</v>
      </c>
      <c r="D2964">
        <v>0</v>
      </c>
      <c r="E2964">
        <v>36</v>
      </c>
      <c r="F2964" t="s">
        <v>47</v>
      </c>
      <c r="G2964" t="s">
        <v>75</v>
      </c>
      <c r="H2964" t="s">
        <v>46</v>
      </c>
      <c r="I2964">
        <v>10</v>
      </c>
    </row>
    <row r="2965" spans="1:9" x14ac:dyDescent="0.2">
      <c r="A2965">
        <v>14083682</v>
      </c>
      <c r="B2965">
        <v>5</v>
      </c>
      <c r="C2965">
        <v>3261</v>
      </c>
      <c r="D2965">
        <v>0</v>
      </c>
      <c r="E2965">
        <v>36</v>
      </c>
      <c r="F2965" t="s">
        <v>47</v>
      </c>
      <c r="G2965" t="s">
        <v>93</v>
      </c>
      <c r="H2965" t="s">
        <v>46</v>
      </c>
      <c r="I2965">
        <v>10</v>
      </c>
    </row>
    <row r="2966" spans="1:9" x14ac:dyDescent="0.2">
      <c r="A2966">
        <v>14083682</v>
      </c>
      <c r="B2966">
        <v>6</v>
      </c>
      <c r="C2966">
        <v>3244</v>
      </c>
      <c r="D2966">
        <v>0</v>
      </c>
      <c r="E2966">
        <v>36</v>
      </c>
      <c r="F2966" t="s">
        <v>47</v>
      </c>
      <c r="G2966" t="s">
        <v>73</v>
      </c>
      <c r="H2966" t="s">
        <v>74</v>
      </c>
      <c r="I2966">
        <v>10</v>
      </c>
    </row>
    <row r="2967" spans="1:9" x14ac:dyDescent="0.2">
      <c r="A2967">
        <v>14083682</v>
      </c>
      <c r="B2967">
        <v>7</v>
      </c>
      <c r="C2967">
        <v>3229</v>
      </c>
      <c r="D2967">
        <v>0</v>
      </c>
      <c r="E2967">
        <v>36</v>
      </c>
      <c r="F2967" t="s">
        <v>47</v>
      </c>
      <c r="G2967" t="s">
        <v>101</v>
      </c>
      <c r="H2967" t="s">
        <v>46</v>
      </c>
      <c r="I2967">
        <v>10</v>
      </c>
    </row>
    <row r="2968" spans="1:9" x14ac:dyDescent="0.2">
      <c r="A2968">
        <v>14083682</v>
      </c>
      <c r="B2968">
        <v>8</v>
      </c>
      <c r="C2968">
        <v>3223</v>
      </c>
      <c r="D2968">
        <v>0</v>
      </c>
      <c r="E2968">
        <v>36</v>
      </c>
      <c r="F2968" t="s">
        <v>47</v>
      </c>
      <c r="G2968" t="s">
        <v>105</v>
      </c>
      <c r="H2968" t="s">
        <v>46</v>
      </c>
      <c r="I2968">
        <v>10</v>
      </c>
    </row>
    <row r="2969" spans="1:9" x14ac:dyDescent="0.2">
      <c r="A2969">
        <v>14100916</v>
      </c>
      <c r="B2969">
        <v>1</v>
      </c>
      <c r="C2969">
        <v>3229</v>
      </c>
      <c r="D2969">
        <v>48560</v>
      </c>
      <c r="E2969">
        <v>25</v>
      </c>
      <c r="F2969" t="s">
        <v>47</v>
      </c>
      <c r="G2969" t="s">
        <v>101</v>
      </c>
      <c r="H2969" t="s">
        <v>46</v>
      </c>
      <c r="I2969">
        <v>10</v>
      </c>
    </row>
    <row r="2970" spans="1:9" x14ac:dyDescent="0.2">
      <c r="A2970">
        <v>14100916</v>
      </c>
      <c r="B2970">
        <v>2</v>
      </c>
      <c r="C2970">
        <v>3223</v>
      </c>
      <c r="D2970">
        <v>48560</v>
      </c>
      <c r="E2970">
        <v>24</v>
      </c>
      <c r="F2970" t="s">
        <v>47</v>
      </c>
      <c r="G2970" t="s">
        <v>105</v>
      </c>
      <c r="H2970" t="s">
        <v>46</v>
      </c>
      <c r="I2970">
        <v>10</v>
      </c>
    </row>
    <row r="2971" spans="1:9" x14ac:dyDescent="0.2">
      <c r="A2971">
        <v>14100916</v>
      </c>
      <c r="B2971">
        <v>3</v>
      </c>
      <c r="C2971">
        <v>3225</v>
      </c>
      <c r="D2971">
        <v>0</v>
      </c>
      <c r="E2971">
        <v>26</v>
      </c>
      <c r="F2971" t="s">
        <v>47</v>
      </c>
      <c r="G2971" t="s">
        <v>106</v>
      </c>
      <c r="H2971" t="s">
        <v>46</v>
      </c>
      <c r="I2971">
        <v>10</v>
      </c>
    </row>
    <row r="2972" spans="1:9" x14ac:dyDescent="0.2">
      <c r="A2972">
        <v>14100916</v>
      </c>
      <c r="B2972">
        <v>4</v>
      </c>
      <c r="C2972">
        <v>3226</v>
      </c>
      <c r="D2972">
        <v>0</v>
      </c>
      <c r="E2972">
        <v>26</v>
      </c>
      <c r="F2972" t="s">
        <v>47</v>
      </c>
      <c r="G2972" t="s">
        <v>96</v>
      </c>
      <c r="H2972" t="s">
        <v>46</v>
      </c>
      <c r="I2972">
        <v>10</v>
      </c>
    </row>
    <row r="2973" spans="1:9" x14ac:dyDescent="0.2">
      <c r="A2973">
        <v>14114604</v>
      </c>
      <c r="B2973">
        <v>1</v>
      </c>
      <c r="C2973">
        <v>3223</v>
      </c>
      <c r="D2973">
        <v>48685</v>
      </c>
      <c r="E2973">
        <v>24</v>
      </c>
      <c r="F2973" t="s">
        <v>47</v>
      </c>
      <c r="G2973" t="s">
        <v>105</v>
      </c>
      <c r="H2973" t="s">
        <v>46</v>
      </c>
      <c r="I2973">
        <v>10</v>
      </c>
    </row>
    <row r="2974" spans="1:9" x14ac:dyDescent="0.2">
      <c r="A2974">
        <v>14114604</v>
      </c>
      <c r="B2974">
        <v>2</v>
      </c>
      <c r="C2974">
        <v>3225</v>
      </c>
      <c r="D2974">
        <v>0</v>
      </c>
      <c r="E2974">
        <v>26</v>
      </c>
      <c r="F2974" t="s">
        <v>47</v>
      </c>
      <c r="G2974" t="s">
        <v>106</v>
      </c>
      <c r="H2974" t="s">
        <v>46</v>
      </c>
      <c r="I2974">
        <v>10</v>
      </c>
    </row>
    <row r="2975" spans="1:9" x14ac:dyDescent="0.2">
      <c r="A2975">
        <v>14114604</v>
      </c>
      <c r="B2975">
        <v>3</v>
      </c>
      <c r="C2975">
        <v>3226</v>
      </c>
      <c r="D2975">
        <v>0</v>
      </c>
      <c r="E2975">
        <v>26</v>
      </c>
      <c r="F2975" t="s">
        <v>47</v>
      </c>
      <c r="G2975" t="s">
        <v>96</v>
      </c>
      <c r="H2975" t="s">
        <v>46</v>
      </c>
      <c r="I2975">
        <v>10</v>
      </c>
    </row>
    <row r="2976" spans="1:9" x14ac:dyDescent="0.2">
      <c r="A2976">
        <v>14114604</v>
      </c>
      <c r="B2976">
        <v>4</v>
      </c>
      <c r="C2976">
        <v>3269</v>
      </c>
      <c r="D2976">
        <v>0</v>
      </c>
      <c r="E2976">
        <v>26</v>
      </c>
      <c r="F2976" t="s">
        <v>47</v>
      </c>
      <c r="G2976" t="s">
        <v>180</v>
      </c>
      <c r="H2976" t="s">
        <v>46</v>
      </c>
      <c r="I2976">
        <v>10</v>
      </c>
    </row>
    <row r="2977" spans="1:9" x14ac:dyDescent="0.2">
      <c r="A2977">
        <v>14114604</v>
      </c>
      <c r="B2977">
        <v>5</v>
      </c>
      <c r="C2977">
        <v>3229</v>
      </c>
      <c r="D2977">
        <v>0</v>
      </c>
      <c r="E2977">
        <v>26</v>
      </c>
      <c r="F2977" t="s">
        <v>47</v>
      </c>
      <c r="G2977" t="s">
        <v>101</v>
      </c>
      <c r="H2977" t="s">
        <v>46</v>
      </c>
      <c r="I2977">
        <v>10</v>
      </c>
    </row>
    <row r="2978" spans="1:9" x14ac:dyDescent="0.2">
      <c r="A2978">
        <v>14114604</v>
      </c>
      <c r="B2978">
        <v>6</v>
      </c>
      <c r="C2978">
        <v>3237</v>
      </c>
      <c r="D2978">
        <v>0</v>
      </c>
      <c r="E2978">
        <v>26</v>
      </c>
      <c r="F2978" t="s">
        <v>47</v>
      </c>
      <c r="G2978" t="s">
        <v>181</v>
      </c>
      <c r="H2978" t="s">
        <v>46</v>
      </c>
      <c r="I2978">
        <v>10</v>
      </c>
    </row>
    <row r="2979" spans="1:9" x14ac:dyDescent="0.2">
      <c r="A2979">
        <v>14114604</v>
      </c>
      <c r="B2979">
        <v>7</v>
      </c>
      <c r="C2979">
        <v>3296</v>
      </c>
      <c r="D2979">
        <v>0</v>
      </c>
      <c r="E2979">
        <v>26</v>
      </c>
      <c r="F2979" t="s">
        <v>47</v>
      </c>
      <c r="G2979" t="s">
        <v>100</v>
      </c>
      <c r="H2979" t="s">
        <v>46</v>
      </c>
      <c r="I2979">
        <v>10</v>
      </c>
    </row>
    <row r="2980" spans="1:9" x14ac:dyDescent="0.2">
      <c r="A2980">
        <v>14114604</v>
      </c>
      <c r="B2980">
        <v>8</v>
      </c>
      <c r="C2980">
        <v>3200</v>
      </c>
      <c r="D2980">
        <v>0</v>
      </c>
      <c r="E2980">
        <v>26</v>
      </c>
      <c r="F2980" t="s">
        <v>47</v>
      </c>
      <c r="G2980" t="s">
        <v>18</v>
      </c>
      <c r="H2980" t="s">
        <v>46</v>
      </c>
      <c r="I2980">
        <v>10</v>
      </c>
    </row>
    <row r="2981" spans="1:9" x14ac:dyDescent="0.2">
      <c r="A2981">
        <v>14129791</v>
      </c>
      <c r="B2981">
        <v>1</v>
      </c>
      <c r="C2981">
        <v>1728</v>
      </c>
      <c r="D2981">
        <v>61460</v>
      </c>
      <c r="E2981">
        <v>25</v>
      </c>
      <c r="F2981" t="s">
        <v>57</v>
      </c>
      <c r="G2981" t="s">
        <v>103</v>
      </c>
      <c r="H2981" t="s">
        <v>69</v>
      </c>
      <c r="I2981">
        <v>10</v>
      </c>
    </row>
    <row r="2982" spans="1:9" x14ac:dyDescent="0.2">
      <c r="A2982">
        <v>14129791</v>
      </c>
      <c r="B2982">
        <v>2</v>
      </c>
      <c r="C2982">
        <v>1786</v>
      </c>
      <c r="D2982">
        <v>61125</v>
      </c>
      <c r="E2982">
        <v>24</v>
      </c>
      <c r="F2982" t="s">
        <v>57</v>
      </c>
      <c r="G2982" t="s">
        <v>103</v>
      </c>
      <c r="H2982" t="s">
        <v>56</v>
      </c>
      <c r="I2982">
        <v>10</v>
      </c>
    </row>
    <row r="2983" spans="1:9" x14ac:dyDescent="0.2">
      <c r="A2983">
        <v>14129791</v>
      </c>
      <c r="B2983">
        <v>3</v>
      </c>
      <c r="C2983">
        <v>1734</v>
      </c>
      <c r="D2983">
        <v>0</v>
      </c>
      <c r="E2983">
        <v>26</v>
      </c>
      <c r="F2983" t="s">
        <v>57</v>
      </c>
      <c r="G2983" t="s">
        <v>81</v>
      </c>
      <c r="H2983" t="s">
        <v>69</v>
      </c>
      <c r="I2983">
        <v>10</v>
      </c>
    </row>
    <row r="2984" spans="1:9" x14ac:dyDescent="0.2">
      <c r="A2984">
        <v>14129791</v>
      </c>
      <c r="B2984">
        <v>4</v>
      </c>
      <c r="C2984">
        <v>1705</v>
      </c>
      <c r="D2984">
        <v>0</v>
      </c>
      <c r="E2984">
        <v>26</v>
      </c>
      <c r="F2984" t="s">
        <v>57</v>
      </c>
      <c r="G2984" t="s">
        <v>102</v>
      </c>
      <c r="H2984" t="s">
        <v>69</v>
      </c>
      <c r="I2984">
        <v>10</v>
      </c>
    </row>
    <row r="2985" spans="1:9" x14ac:dyDescent="0.2">
      <c r="A2985">
        <v>14129791</v>
      </c>
      <c r="B2985">
        <v>5</v>
      </c>
      <c r="C2985">
        <v>1702</v>
      </c>
      <c r="D2985">
        <v>0</v>
      </c>
      <c r="E2985">
        <v>26</v>
      </c>
      <c r="F2985" t="s">
        <v>57</v>
      </c>
      <c r="G2985" t="s">
        <v>164</v>
      </c>
      <c r="H2985" t="s">
        <v>69</v>
      </c>
      <c r="I2985">
        <v>10</v>
      </c>
    </row>
    <row r="2986" spans="1:9" x14ac:dyDescent="0.2">
      <c r="A2986">
        <v>14129791</v>
      </c>
      <c r="B2986">
        <v>6</v>
      </c>
      <c r="C2986">
        <v>3225</v>
      </c>
      <c r="D2986">
        <v>0</v>
      </c>
      <c r="E2986">
        <v>26</v>
      </c>
      <c r="F2986" t="s">
        <v>47</v>
      </c>
      <c r="G2986" t="s">
        <v>106</v>
      </c>
      <c r="H2986" t="s">
        <v>46</v>
      </c>
      <c r="I2986">
        <v>10</v>
      </c>
    </row>
    <row r="2987" spans="1:9" x14ac:dyDescent="0.2">
      <c r="A2987">
        <v>14129791</v>
      </c>
      <c r="B2987">
        <v>7</v>
      </c>
      <c r="C2987">
        <v>3223</v>
      </c>
      <c r="D2987">
        <v>0</v>
      </c>
      <c r="E2987">
        <v>26</v>
      </c>
      <c r="F2987" t="s">
        <v>47</v>
      </c>
      <c r="G2987" t="s">
        <v>105</v>
      </c>
      <c r="H2987" t="s">
        <v>46</v>
      </c>
      <c r="I2987">
        <v>10</v>
      </c>
    </row>
    <row r="2988" spans="1:9" x14ac:dyDescent="0.2">
      <c r="A2988">
        <v>14129791</v>
      </c>
      <c r="B2988">
        <v>8</v>
      </c>
      <c r="C2988">
        <v>3200</v>
      </c>
      <c r="D2988">
        <v>0</v>
      </c>
      <c r="E2988">
        <v>26</v>
      </c>
      <c r="F2988" t="s">
        <v>47</v>
      </c>
      <c r="G2988" t="s">
        <v>18</v>
      </c>
      <c r="H2988" t="s">
        <v>46</v>
      </c>
      <c r="I2988">
        <v>10</v>
      </c>
    </row>
    <row r="2989" spans="1:9" x14ac:dyDescent="0.2">
      <c r="A2989">
        <v>14157361</v>
      </c>
      <c r="B2989">
        <v>1</v>
      </c>
      <c r="C2989">
        <v>3248</v>
      </c>
      <c r="D2989">
        <v>47795</v>
      </c>
      <c r="E2989">
        <v>25</v>
      </c>
      <c r="F2989" t="s">
        <v>47</v>
      </c>
      <c r="G2989" t="s">
        <v>92</v>
      </c>
      <c r="H2989" t="s">
        <v>46</v>
      </c>
      <c r="I2989">
        <v>10</v>
      </c>
    </row>
    <row r="2990" spans="1:9" x14ac:dyDescent="0.2">
      <c r="A2990">
        <v>14157361</v>
      </c>
      <c r="B2990">
        <v>2</v>
      </c>
      <c r="C2990">
        <v>3252</v>
      </c>
      <c r="D2990">
        <v>47690</v>
      </c>
      <c r="E2990">
        <v>25</v>
      </c>
      <c r="F2990" t="s">
        <v>47</v>
      </c>
      <c r="G2990" t="s">
        <v>45</v>
      </c>
      <c r="H2990" t="s">
        <v>46</v>
      </c>
      <c r="I2990">
        <v>10</v>
      </c>
    </row>
    <row r="2991" spans="1:9" x14ac:dyDescent="0.2">
      <c r="A2991">
        <v>14157361</v>
      </c>
      <c r="B2991">
        <v>3</v>
      </c>
      <c r="C2991">
        <v>3251</v>
      </c>
      <c r="D2991">
        <v>47695</v>
      </c>
      <c r="E2991">
        <v>25</v>
      </c>
      <c r="F2991" t="s">
        <v>47</v>
      </c>
      <c r="G2991" t="s">
        <v>48</v>
      </c>
      <c r="H2991" t="s">
        <v>46</v>
      </c>
      <c r="I2991">
        <v>10</v>
      </c>
    </row>
    <row r="2992" spans="1:9" x14ac:dyDescent="0.2">
      <c r="A2992">
        <v>14157361</v>
      </c>
      <c r="B2992">
        <v>4</v>
      </c>
      <c r="C2992">
        <v>3261</v>
      </c>
      <c r="D2992">
        <v>48310</v>
      </c>
      <c r="E2992">
        <v>25</v>
      </c>
      <c r="F2992" t="s">
        <v>47</v>
      </c>
      <c r="G2992" t="s">
        <v>93</v>
      </c>
      <c r="H2992" t="s">
        <v>46</v>
      </c>
      <c r="I2992">
        <v>10</v>
      </c>
    </row>
    <row r="2993" spans="1:9" x14ac:dyDescent="0.2">
      <c r="A2993">
        <v>14157361</v>
      </c>
      <c r="B2993">
        <v>5</v>
      </c>
      <c r="C2993">
        <v>3213</v>
      </c>
      <c r="D2993">
        <v>48775</v>
      </c>
      <c r="E2993">
        <v>24</v>
      </c>
      <c r="F2993" t="s">
        <v>47</v>
      </c>
      <c r="G2993" t="s">
        <v>158</v>
      </c>
      <c r="H2993" t="s">
        <v>74</v>
      </c>
      <c r="I2993">
        <v>10</v>
      </c>
    </row>
    <row r="2994" spans="1:9" x14ac:dyDescent="0.2">
      <c r="A2994">
        <v>14174579</v>
      </c>
      <c r="B2994">
        <v>1</v>
      </c>
      <c r="C2994">
        <v>3261</v>
      </c>
      <c r="D2994">
        <v>55710</v>
      </c>
      <c r="E2994">
        <v>24</v>
      </c>
      <c r="F2994" t="s">
        <v>47</v>
      </c>
      <c r="G2994" t="s">
        <v>93</v>
      </c>
      <c r="H2994" t="s">
        <v>46</v>
      </c>
      <c r="I2994">
        <v>10</v>
      </c>
    </row>
    <row r="2995" spans="1:9" x14ac:dyDescent="0.2">
      <c r="A2995">
        <v>14174579</v>
      </c>
      <c r="B2995">
        <v>2</v>
      </c>
      <c r="C2995">
        <v>3214</v>
      </c>
      <c r="D2995">
        <v>0</v>
      </c>
      <c r="E2995">
        <v>26</v>
      </c>
      <c r="F2995" t="s">
        <v>47</v>
      </c>
      <c r="G2995" t="s">
        <v>98</v>
      </c>
      <c r="H2995" t="s">
        <v>74</v>
      </c>
      <c r="I2995">
        <v>10</v>
      </c>
    </row>
    <row r="2996" spans="1:9" x14ac:dyDescent="0.2">
      <c r="A2996">
        <v>14174579</v>
      </c>
      <c r="B2996">
        <v>3</v>
      </c>
      <c r="C2996">
        <v>3212</v>
      </c>
      <c r="D2996">
        <v>0</v>
      </c>
      <c r="E2996">
        <v>26</v>
      </c>
      <c r="F2996" t="s">
        <v>47</v>
      </c>
      <c r="G2996" t="s">
        <v>84</v>
      </c>
      <c r="H2996" t="s">
        <v>46</v>
      </c>
      <c r="I2996">
        <v>10</v>
      </c>
    </row>
    <row r="2997" spans="1:9" x14ac:dyDescent="0.2">
      <c r="A2997">
        <v>14174579</v>
      </c>
      <c r="B2997">
        <v>4</v>
      </c>
      <c r="C2997">
        <v>3213</v>
      </c>
      <c r="D2997">
        <v>0</v>
      </c>
      <c r="E2997">
        <v>26</v>
      </c>
      <c r="F2997" t="s">
        <v>47</v>
      </c>
      <c r="G2997" t="s">
        <v>158</v>
      </c>
      <c r="H2997" t="s">
        <v>74</v>
      </c>
      <c r="I2997">
        <v>10</v>
      </c>
    </row>
    <row r="2998" spans="1:9" x14ac:dyDescent="0.2">
      <c r="A2998">
        <v>14174579</v>
      </c>
      <c r="B2998">
        <v>5</v>
      </c>
      <c r="C2998">
        <v>3085</v>
      </c>
      <c r="D2998">
        <v>0</v>
      </c>
      <c r="E2998">
        <v>26</v>
      </c>
      <c r="F2998" t="s">
        <v>44</v>
      </c>
      <c r="G2998" t="s">
        <v>84</v>
      </c>
      <c r="H2998" t="s">
        <v>55</v>
      </c>
      <c r="I2998">
        <v>9</v>
      </c>
    </row>
    <row r="2999" spans="1:9" x14ac:dyDescent="0.2">
      <c r="A2999">
        <v>14174579</v>
      </c>
      <c r="B2999">
        <v>6</v>
      </c>
      <c r="C2999">
        <v>1788</v>
      </c>
      <c r="D2999">
        <v>0</v>
      </c>
      <c r="E2999">
        <v>26</v>
      </c>
      <c r="F2999" t="s">
        <v>57</v>
      </c>
      <c r="G2999" t="s">
        <v>97</v>
      </c>
      <c r="H2999" t="s">
        <v>56</v>
      </c>
      <c r="I2999">
        <v>10</v>
      </c>
    </row>
    <row r="3000" spans="1:9" x14ac:dyDescent="0.2">
      <c r="A3000">
        <v>14174579</v>
      </c>
      <c r="B3000">
        <v>7</v>
      </c>
      <c r="C3000">
        <v>3092</v>
      </c>
      <c r="D3000">
        <v>0</v>
      </c>
      <c r="E3000">
        <v>26</v>
      </c>
      <c r="F3000" t="s">
        <v>44</v>
      </c>
      <c r="G3000" t="s">
        <v>251</v>
      </c>
      <c r="H3000" t="s">
        <v>52</v>
      </c>
      <c r="I3000">
        <v>9</v>
      </c>
    </row>
    <row r="3001" spans="1:9" x14ac:dyDescent="0.2">
      <c r="A3001">
        <v>14185682</v>
      </c>
      <c r="B3001">
        <v>1</v>
      </c>
      <c r="C3001">
        <v>3219</v>
      </c>
      <c r="D3001">
        <v>0</v>
      </c>
      <c r="E3001">
        <v>36</v>
      </c>
      <c r="F3001" t="s">
        <v>47</v>
      </c>
      <c r="G3001" t="s">
        <v>205</v>
      </c>
      <c r="H3001" t="s">
        <v>74</v>
      </c>
      <c r="I3001">
        <v>10</v>
      </c>
    </row>
    <row r="3002" spans="1:9" x14ac:dyDescent="0.2">
      <c r="A3002">
        <v>14190580</v>
      </c>
      <c r="B3002">
        <v>1</v>
      </c>
      <c r="C3002">
        <v>1702</v>
      </c>
      <c r="D3002">
        <v>58280</v>
      </c>
      <c r="E3002">
        <v>25</v>
      </c>
      <c r="F3002" t="s">
        <v>57</v>
      </c>
      <c r="G3002" t="s">
        <v>164</v>
      </c>
      <c r="H3002" t="s">
        <v>69</v>
      </c>
      <c r="I3002">
        <v>10</v>
      </c>
    </row>
    <row r="3003" spans="1:9" x14ac:dyDescent="0.2">
      <c r="A3003">
        <v>14190580</v>
      </c>
      <c r="B3003">
        <v>2</v>
      </c>
      <c r="C3003">
        <v>1711</v>
      </c>
      <c r="D3003">
        <v>58265</v>
      </c>
      <c r="E3003">
        <v>24</v>
      </c>
      <c r="F3003" t="s">
        <v>57</v>
      </c>
      <c r="G3003" t="s">
        <v>201</v>
      </c>
      <c r="H3003" t="s">
        <v>69</v>
      </c>
      <c r="I3003">
        <v>10</v>
      </c>
    </row>
    <row r="3004" spans="1:9" x14ac:dyDescent="0.2">
      <c r="A3004">
        <v>14201398</v>
      </c>
      <c r="B3004">
        <v>1</v>
      </c>
      <c r="C3004">
        <v>1789</v>
      </c>
      <c r="D3004">
        <v>64510</v>
      </c>
      <c r="E3004">
        <v>25</v>
      </c>
      <c r="F3004" t="s">
        <v>57</v>
      </c>
      <c r="G3004" t="s">
        <v>122</v>
      </c>
      <c r="H3004" t="s">
        <v>69</v>
      </c>
      <c r="I3004">
        <v>10</v>
      </c>
    </row>
    <row r="3005" spans="1:9" x14ac:dyDescent="0.2">
      <c r="A3005">
        <v>14201398</v>
      </c>
      <c r="B3005">
        <v>2</v>
      </c>
      <c r="C3005">
        <v>3423</v>
      </c>
      <c r="D3005">
        <v>64070</v>
      </c>
      <c r="E3005">
        <v>25</v>
      </c>
      <c r="F3005" t="s">
        <v>36</v>
      </c>
      <c r="G3005" t="s">
        <v>122</v>
      </c>
      <c r="H3005" t="s">
        <v>35</v>
      </c>
      <c r="I3005">
        <v>7</v>
      </c>
    </row>
    <row r="3006" spans="1:9" x14ac:dyDescent="0.2">
      <c r="A3006">
        <v>14201398</v>
      </c>
      <c r="B3006">
        <v>3</v>
      </c>
      <c r="C3006">
        <v>3033</v>
      </c>
      <c r="D3006">
        <v>63980</v>
      </c>
      <c r="E3006">
        <v>25</v>
      </c>
      <c r="F3006" t="s">
        <v>44</v>
      </c>
      <c r="G3006" t="s">
        <v>122</v>
      </c>
      <c r="H3006" t="s">
        <v>50</v>
      </c>
      <c r="I3006">
        <v>9</v>
      </c>
    </row>
    <row r="3007" spans="1:9" x14ac:dyDescent="0.2">
      <c r="A3007">
        <v>14201398</v>
      </c>
      <c r="B3007">
        <v>4</v>
      </c>
      <c r="C3007">
        <v>1950</v>
      </c>
      <c r="D3007">
        <v>63600</v>
      </c>
      <c r="E3007">
        <v>25</v>
      </c>
      <c r="F3007" t="s">
        <v>32</v>
      </c>
      <c r="G3007" t="s">
        <v>122</v>
      </c>
      <c r="H3007" t="s">
        <v>31</v>
      </c>
      <c r="I3007">
        <v>5</v>
      </c>
    </row>
    <row r="3008" spans="1:9" x14ac:dyDescent="0.2">
      <c r="A3008">
        <v>14201398</v>
      </c>
      <c r="B3008">
        <v>5</v>
      </c>
      <c r="C3008">
        <v>2448</v>
      </c>
      <c r="D3008">
        <v>64480</v>
      </c>
      <c r="E3008">
        <v>25</v>
      </c>
      <c r="F3008" t="s">
        <v>42</v>
      </c>
      <c r="G3008" t="s">
        <v>122</v>
      </c>
      <c r="H3008" t="s">
        <v>220</v>
      </c>
      <c r="I3008">
        <v>2</v>
      </c>
    </row>
    <row r="3009" spans="1:9" x14ac:dyDescent="0.2">
      <c r="A3009">
        <v>14201398</v>
      </c>
      <c r="B3009">
        <v>6</v>
      </c>
      <c r="C3009">
        <v>1391</v>
      </c>
      <c r="D3009">
        <v>64450</v>
      </c>
      <c r="E3009">
        <v>25</v>
      </c>
      <c r="F3009" t="s">
        <v>21</v>
      </c>
      <c r="G3009" t="s">
        <v>122</v>
      </c>
      <c r="H3009" t="s">
        <v>20</v>
      </c>
      <c r="I3009">
        <v>8</v>
      </c>
    </row>
    <row r="3010" spans="1:9" x14ac:dyDescent="0.2">
      <c r="A3010">
        <v>14201398</v>
      </c>
      <c r="B3010">
        <v>7</v>
      </c>
      <c r="C3010">
        <v>1369</v>
      </c>
      <c r="D3010">
        <v>66070</v>
      </c>
      <c r="E3010">
        <v>25</v>
      </c>
      <c r="F3010" t="s">
        <v>21</v>
      </c>
      <c r="G3010" t="s">
        <v>121</v>
      </c>
      <c r="H3010" t="s">
        <v>20</v>
      </c>
      <c r="I3010">
        <v>8</v>
      </c>
    </row>
    <row r="3011" spans="1:9" x14ac:dyDescent="0.2">
      <c r="A3011">
        <v>14201398</v>
      </c>
      <c r="B3011">
        <v>8</v>
      </c>
      <c r="C3011">
        <v>1362</v>
      </c>
      <c r="D3011">
        <v>66070</v>
      </c>
      <c r="E3011">
        <v>24</v>
      </c>
      <c r="F3011" t="s">
        <v>21</v>
      </c>
      <c r="G3011" t="s">
        <v>268</v>
      </c>
      <c r="H3011" t="s">
        <v>20</v>
      </c>
      <c r="I3011">
        <v>8</v>
      </c>
    </row>
    <row r="3012" spans="1:9" x14ac:dyDescent="0.2">
      <c r="A3012">
        <v>14207749</v>
      </c>
      <c r="B3012">
        <v>1</v>
      </c>
      <c r="C3012">
        <v>1237</v>
      </c>
      <c r="D3012">
        <v>53865</v>
      </c>
      <c r="E3012">
        <v>25</v>
      </c>
      <c r="F3012" t="s">
        <v>19</v>
      </c>
      <c r="G3012" t="s">
        <v>65</v>
      </c>
      <c r="H3012" t="s">
        <v>16</v>
      </c>
      <c r="I3012" t="s">
        <v>448</v>
      </c>
    </row>
    <row r="3013" spans="1:9" x14ac:dyDescent="0.2">
      <c r="A3013">
        <v>14207749</v>
      </c>
      <c r="B3013">
        <v>2</v>
      </c>
      <c r="C3013">
        <v>1323</v>
      </c>
      <c r="D3013">
        <v>54590</v>
      </c>
      <c r="E3013">
        <v>25</v>
      </c>
      <c r="F3013" t="s">
        <v>21</v>
      </c>
      <c r="G3013" t="s">
        <v>98</v>
      </c>
      <c r="H3013" t="s">
        <v>20</v>
      </c>
      <c r="I3013">
        <v>8</v>
      </c>
    </row>
    <row r="3014" spans="1:9" x14ac:dyDescent="0.2">
      <c r="A3014">
        <v>14207749</v>
      </c>
      <c r="B3014">
        <v>3</v>
      </c>
      <c r="C3014">
        <v>1968</v>
      </c>
      <c r="D3014">
        <v>52365</v>
      </c>
      <c r="E3014">
        <v>25</v>
      </c>
      <c r="F3014" t="s">
        <v>32</v>
      </c>
      <c r="G3014" t="s">
        <v>274</v>
      </c>
      <c r="H3014" t="s">
        <v>31</v>
      </c>
      <c r="I3014">
        <v>5</v>
      </c>
    </row>
    <row r="3015" spans="1:9" x14ac:dyDescent="0.2">
      <c r="A3015">
        <v>14207749</v>
      </c>
      <c r="B3015">
        <v>4</v>
      </c>
      <c r="C3015">
        <v>1905</v>
      </c>
      <c r="D3015">
        <v>52365</v>
      </c>
      <c r="E3015">
        <v>25</v>
      </c>
      <c r="F3015" t="s">
        <v>32</v>
      </c>
      <c r="G3015" t="s">
        <v>275</v>
      </c>
      <c r="H3015" t="s">
        <v>113</v>
      </c>
      <c r="I3015">
        <v>5</v>
      </c>
    </row>
    <row r="3016" spans="1:9" x14ac:dyDescent="0.2">
      <c r="A3016">
        <v>14207749</v>
      </c>
      <c r="B3016">
        <v>5</v>
      </c>
      <c r="C3016">
        <v>3214</v>
      </c>
      <c r="D3016">
        <v>54820</v>
      </c>
      <c r="E3016">
        <v>24</v>
      </c>
      <c r="F3016" t="s">
        <v>47</v>
      </c>
      <c r="G3016" t="s">
        <v>98</v>
      </c>
      <c r="H3016" t="s">
        <v>74</v>
      </c>
      <c r="I3016">
        <v>10</v>
      </c>
    </row>
    <row r="3017" spans="1:9" x14ac:dyDescent="0.2">
      <c r="A3017">
        <v>14207749</v>
      </c>
      <c r="B3017">
        <v>6</v>
      </c>
      <c r="C3017">
        <v>3234</v>
      </c>
      <c r="D3017">
        <v>0</v>
      </c>
      <c r="E3017">
        <v>26</v>
      </c>
      <c r="F3017" t="s">
        <v>47</v>
      </c>
      <c r="G3017" t="s">
        <v>76</v>
      </c>
      <c r="H3017" t="s">
        <v>46</v>
      </c>
      <c r="I3017">
        <v>10</v>
      </c>
    </row>
    <row r="3018" spans="1:9" x14ac:dyDescent="0.2">
      <c r="A3018">
        <v>14207749</v>
      </c>
      <c r="B3018">
        <v>7</v>
      </c>
      <c r="C3018">
        <v>2650</v>
      </c>
      <c r="D3018">
        <v>0</v>
      </c>
      <c r="E3018">
        <v>26</v>
      </c>
      <c r="F3018" t="s">
        <v>71</v>
      </c>
      <c r="G3018" t="s">
        <v>189</v>
      </c>
      <c r="H3018" t="s">
        <v>24</v>
      </c>
      <c r="I3018">
        <v>5</v>
      </c>
    </row>
    <row r="3019" spans="1:9" x14ac:dyDescent="0.2">
      <c r="A3019">
        <v>14207749</v>
      </c>
      <c r="B3019">
        <v>8</v>
      </c>
      <c r="C3019">
        <v>1756</v>
      </c>
      <c r="D3019">
        <v>0</v>
      </c>
      <c r="E3019">
        <v>26</v>
      </c>
      <c r="F3019" t="s">
        <v>57</v>
      </c>
      <c r="G3019" t="s">
        <v>89</v>
      </c>
      <c r="H3019" t="s">
        <v>69</v>
      </c>
      <c r="I3019">
        <v>10</v>
      </c>
    </row>
    <row r="3020" spans="1:9" x14ac:dyDescent="0.2">
      <c r="A3020">
        <v>14218310</v>
      </c>
      <c r="B3020">
        <v>1</v>
      </c>
      <c r="C3020">
        <v>1728</v>
      </c>
      <c r="D3020">
        <v>62100</v>
      </c>
      <c r="E3020">
        <v>25</v>
      </c>
      <c r="F3020" t="s">
        <v>57</v>
      </c>
      <c r="G3020" t="s">
        <v>103</v>
      </c>
      <c r="H3020" t="s">
        <v>69</v>
      </c>
      <c r="I3020">
        <v>10</v>
      </c>
    </row>
    <row r="3021" spans="1:9" x14ac:dyDescent="0.2">
      <c r="A3021">
        <v>14218310</v>
      </c>
      <c r="B3021">
        <v>2</v>
      </c>
      <c r="C3021">
        <v>1786</v>
      </c>
      <c r="D3021">
        <v>62425</v>
      </c>
      <c r="E3021">
        <v>24</v>
      </c>
      <c r="F3021" t="s">
        <v>57</v>
      </c>
      <c r="G3021" t="s">
        <v>103</v>
      </c>
      <c r="H3021" t="s">
        <v>56</v>
      </c>
      <c r="I3021">
        <v>10</v>
      </c>
    </row>
    <row r="3022" spans="1:9" x14ac:dyDescent="0.2">
      <c r="A3022">
        <v>14218310</v>
      </c>
      <c r="B3022">
        <v>3</v>
      </c>
      <c r="C3022">
        <v>3035</v>
      </c>
      <c r="D3022">
        <v>0</v>
      </c>
      <c r="E3022">
        <v>26</v>
      </c>
      <c r="F3022" t="s">
        <v>44</v>
      </c>
      <c r="G3022" t="s">
        <v>103</v>
      </c>
      <c r="H3022" t="s">
        <v>50</v>
      </c>
      <c r="I3022">
        <v>9</v>
      </c>
    </row>
    <row r="3023" spans="1:9" x14ac:dyDescent="0.2">
      <c r="A3023">
        <v>14218310</v>
      </c>
      <c r="B3023">
        <v>4</v>
      </c>
      <c r="C3023">
        <v>1734</v>
      </c>
      <c r="D3023">
        <v>0</v>
      </c>
      <c r="E3023">
        <v>26</v>
      </c>
      <c r="F3023" t="s">
        <v>57</v>
      </c>
      <c r="G3023" t="s">
        <v>81</v>
      </c>
      <c r="H3023" t="s">
        <v>69</v>
      </c>
      <c r="I3023">
        <v>10</v>
      </c>
    </row>
    <row r="3024" spans="1:9" x14ac:dyDescent="0.2">
      <c r="A3024">
        <v>14218310</v>
      </c>
      <c r="B3024">
        <v>5</v>
      </c>
      <c r="C3024">
        <v>1705</v>
      </c>
      <c r="D3024">
        <v>0</v>
      </c>
      <c r="E3024">
        <v>26</v>
      </c>
      <c r="F3024" t="s">
        <v>57</v>
      </c>
      <c r="G3024" t="s">
        <v>102</v>
      </c>
      <c r="H3024" t="s">
        <v>69</v>
      </c>
      <c r="I3024">
        <v>10</v>
      </c>
    </row>
    <row r="3025" spans="1:9" x14ac:dyDescent="0.2">
      <c r="A3025">
        <v>14218310</v>
      </c>
      <c r="B3025">
        <v>6</v>
      </c>
      <c r="C3025">
        <v>1787</v>
      </c>
      <c r="D3025">
        <v>0</v>
      </c>
      <c r="E3025">
        <v>26</v>
      </c>
      <c r="F3025" t="s">
        <v>57</v>
      </c>
      <c r="G3025" t="s">
        <v>49</v>
      </c>
      <c r="H3025" t="s">
        <v>56</v>
      </c>
      <c r="I3025">
        <v>10</v>
      </c>
    </row>
    <row r="3026" spans="1:9" x14ac:dyDescent="0.2">
      <c r="A3026">
        <v>14218310</v>
      </c>
      <c r="B3026">
        <v>7</v>
      </c>
      <c r="C3026">
        <v>1590</v>
      </c>
      <c r="D3026">
        <v>0</v>
      </c>
      <c r="E3026">
        <v>26</v>
      </c>
      <c r="F3026" t="s">
        <v>142</v>
      </c>
      <c r="G3026" t="s">
        <v>229</v>
      </c>
      <c r="H3026" t="s">
        <v>113</v>
      </c>
      <c r="I3026">
        <v>5</v>
      </c>
    </row>
    <row r="3027" spans="1:9" x14ac:dyDescent="0.2">
      <c r="A3027">
        <v>14218310</v>
      </c>
      <c r="B3027">
        <v>8</v>
      </c>
      <c r="C3027">
        <v>3023</v>
      </c>
      <c r="D3027">
        <v>0</v>
      </c>
      <c r="E3027">
        <v>26</v>
      </c>
      <c r="F3027" t="s">
        <v>44</v>
      </c>
      <c r="G3027" t="s">
        <v>124</v>
      </c>
      <c r="H3027" t="s">
        <v>50</v>
      </c>
      <c r="I3027">
        <v>9</v>
      </c>
    </row>
    <row r="3028" spans="1:9" x14ac:dyDescent="0.2">
      <c r="A3028">
        <v>14258463</v>
      </c>
      <c r="B3028">
        <v>1</v>
      </c>
      <c r="C3028">
        <v>1217</v>
      </c>
      <c r="D3028">
        <v>64385</v>
      </c>
      <c r="E3028">
        <v>25</v>
      </c>
      <c r="F3028" t="s">
        <v>19</v>
      </c>
      <c r="G3028" t="s">
        <v>22</v>
      </c>
      <c r="H3028" t="s">
        <v>16</v>
      </c>
      <c r="I3028" t="s">
        <v>448</v>
      </c>
    </row>
    <row r="3029" spans="1:9" x14ac:dyDescent="0.2">
      <c r="A3029">
        <v>14258463</v>
      </c>
      <c r="B3029">
        <v>2</v>
      </c>
      <c r="C3029">
        <v>1220</v>
      </c>
      <c r="D3029">
        <v>65735</v>
      </c>
      <c r="E3029">
        <v>25</v>
      </c>
      <c r="F3029" t="s">
        <v>19</v>
      </c>
      <c r="G3029" t="s">
        <v>244</v>
      </c>
      <c r="H3029" t="s">
        <v>16</v>
      </c>
      <c r="I3029" t="s">
        <v>448</v>
      </c>
    </row>
    <row r="3030" spans="1:9" x14ac:dyDescent="0.2">
      <c r="A3030">
        <v>14258463</v>
      </c>
      <c r="B3030">
        <v>3</v>
      </c>
      <c r="C3030">
        <v>1246</v>
      </c>
      <c r="D3030">
        <v>65150</v>
      </c>
      <c r="E3030">
        <v>25</v>
      </c>
      <c r="F3030" t="s">
        <v>19</v>
      </c>
      <c r="G3030" t="s">
        <v>245</v>
      </c>
      <c r="H3030" t="s">
        <v>16</v>
      </c>
      <c r="I3030" t="s">
        <v>448</v>
      </c>
    </row>
    <row r="3031" spans="1:9" x14ac:dyDescent="0.2">
      <c r="A3031">
        <v>14258463</v>
      </c>
      <c r="B3031">
        <v>4</v>
      </c>
      <c r="C3031">
        <v>1168</v>
      </c>
      <c r="D3031">
        <v>65030</v>
      </c>
      <c r="E3031">
        <v>25</v>
      </c>
      <c r="F3031" t="s">
        <v>17</v>
      </c>
      <c r="G3031" t="s">
        <v>246</v>
      </c>
      <c r="H3031" t="s">
        <v>16</v>
      </c>
      <c r="I3031" t="s">
        <v>448</v>
      </c>
    </row>
    <row r="3032" spans="1:9" x14ac:dyDescent="0.2">
      <c r="A3032">
        <v>14345451</v>
      </c>
      <c r="B3032">
        <v>1</v>
      </c>
      <c r="C3032">
        <v>1714</v>
      </c>
      <c r="D3032">
        <v>58380</v>
      </c>
      <c r="E3032">
        <v>25</v>
      </c>
      <c r="F3032" t="s">
        <v>57</v>
      </c>
      <c r="G3032" t="s">
        <v>95</v>
      </c>
      <c r="H3032" t="s">
        <v>69</v>
      </c>
      <c r="I3032">
        <v>10</v>
      </c>
    </row>
    <row r="3033" spans="1:9" x14ac:dyDescent="0.2">
      <c r="A3033">
        <v>14345451</v>
      </c>
      <c r="B3033">
        <v>2</v>
      </c>
      <c r="C3033">
        <v>1701</v>
      </c>
      <c r="D3033">
        <v>58245</v>
      </c>
      <c r="E3033">
        <v>24</v>
      </c>
      <c r="F3033" t="s">
        <v>57</v>
      </c>
      <c r="G3033" t="s">
        <v>96</v>
      </c>
      <c r="H3033" t="s">
        <v>69</v>
      </c>
      <c r="I3033">
        <v>10</v>
      </c>
    </row>
    <row r="3034" spans="1:9" x14ac:dyDescent="0.2">
      <c r="A3034">
        <v>14345451</v>
      </c>
      <c r="B3034">
        <v>3</v>
      </c>
      <c r="C3034">
        <v>3711</v>
      </c>
      <c r="D3034">
        <v>0</v>
      </c>
      <c r="E3034">
        <v>26</v>
      </c>
      <c r="F3034" t="s">
        <v>116</v>
      </c>
      <c r="G3034" t="s">
        <v>95</v>
      </c>
      <c r="H3034" t="s">
        <v>61</v>
      </c>
      <c r="I3034">
        <v>9</v>
      </c>
    </row>
    <row r="3035" spans="1:9" x14ac:dyDescent="0.2">
      <c r="A3035">
        <v>14345451</v>
      </c>
      <c r="B3035">
        <v>4</v>
      </c>
      <c r="C3035">
        <v>1774</v>
      </c>
      <c r="D3035">
        <v>0</v>
      </c>
      <c r="E3035">
        <v>26</v>
      </c>
      <c r="F3035" t="s">
        <v>57</v>
      </c>
      <c r="G3035" t="s">
        <v>296</v>
      </c>
      <c r="H3035" t="s">
        <v>69</v>
      </c>
      <c r="I3035">
        <v>10</v>
      </c>
    </row>
    <row r="3036" spans="1:9" x14ac:dyDescent="0.2">
      <c r="A3036">
        <v>14345451</v>
      </c>
      <c r="B3036">
        <v>5</v>
      </c>
      <c r="C3036">
        <v>1776</v>
      </c>
      <c r="D3036">
        <v>0</v>
      </c>
      <c r="E3036">
        <v>26</v>
      </c>
      <c r="F3036" t="s">
        <v>57</v>
      </c>
      <c r="G3036" t="s">
        <v>124</v>
      </c>
      <c r="H3036" t="s">
        <v>125</v>
      </c>
      <c r="I3036">
        <v>10</v>
      </c>
    </row>
    <row r="3037" spans="1:9" x14ac:dyDescent="0.2">
      <c r="A3037">
        <v>14345451</v>
      </c>
      <c r="B3037">
        <v>6</v>
      </c>
      <c r="C3037">
        <v>3226</v>
      </c>
      <c r="D3037">
        <v>0</v>
      </c>
      <c r="E3037">
        <v>26</v>
      </c>
      <c r="F3037" t="s">
        <v>47</v>
      </c>
      <c r="G3037" t="s">
        <v>96</v>
      </c>
      <c r="H3037" t="s">
        <v>46</v>
      </c>
      <c r="I3037">
        <v>10</v>
      </c>
    </row>
    <row r="3038" spans="1:9" x14ac:dyDescent="0.2">
      <c r="A3038">
        <v>14345451</v>
      </c>
      <c r="B3038">
        <v>7</v>
      </c>
      <c r="C3038">
        <v>1311</v>
      </c>
      <c r="D3038">
        <v>0</v>
      </c>
      <c r="E3038">
        <v>26</v>
      </c>
      <c r="F3038" t="s">
        <v>21</v>
      </c>
      <c r="G3038" t="s">
        <v>95</v>
      </c>
      <c r="H3038" t="s">
        <v>20</v>
      </c>
      <c r="I3038">
        <v>8</v>
      </c>
    </row>
    <row r="3039" spans="1:9" x14ac:dyDescent="0.2">
      <c r="A3039">
        <v>14345451</v>
      </c>
      <c r="B3039">
        <v>8</v>
      </c>
      <c r="C3039">
        <v>1307</v>
      </c>
      <c r="D3039">
        <v>0</v>
      </c>
      <c r="E3039">
        <v>26</v>
      </c>
      <c r="F3039" t="s">
        <v>21</v>
      </c>
      <c r="G3039" t="s">
        <v>95</v>
      </c>
      <c r="H3039" t="s">
        <v>136</v>
      </c>
      <c r="I3039">
        <v>8</v>
      </c>
    </row>
    <row r="3040" spans="1:9" x14ac:dyDescent="0.2">
      <c r="A3040">
        <v>14359101</v>
      </c>
      <c r="B3040">
        <v>1</v>
      </c>
      <c r="C3040">
        <v>1258</v>
      </c>
      <c r="D3040">
        <v>72520</v>
      </c>
      <c r="E3040">
        <v>25</v>
      </c>
      <c r="F3040" t="s">
        <v>19</v>
      </c>
      <c r="G3040" t="s">
        <v>170</v>
      </c>
      <c r="H3040" t="s">
        <v>16</v>
      </c>
      <c r="I3040" t="s">
        <v>448</v>
      </c>
    </row>
    <row r="3041" spans="1:9" x14ac:dyDescent="0.2">
      <c r="A3041">
        <v>14359101</v>
      </c>
      <c r="B3041">
        <v>2</v>
      </c>
      <c r="C3041">
        <v>1183</v>
      </c>
      <c r="D3041">
        <v>72345</v>
      </c>
      <c r="E3041">
        <v>25</v>
      </c>
      <c r="F3041" t="s">
        <v>17</v>
      </c>
      <c r="G3041" t="s">
        <v>171</v>
      </c>
      <c r="H3041" t="s">
        <v>16</v>
      </c>
      <c r="I3041" t="s">
        <v>448</v>
      </c>
    </row>
    <row r="3042" spans="1:9" x14ac:dyDescent="0.2">
      <c r="A3042">
        <v>14359101</v>
      </c>
      <c r="B3042">
        <v>3</v>
      </c>
      <c r="C3042">
        <v>1203</v>
      </c>
      <c r="D3042">
        <v>73180</v>
      </c>
      <c r="E3042">
        <v>24</v>
      </c>
      <c r="F3042" t="s">
        <v>19</v>
      </c>
      <c r="G3042" t="s">
        <v>248</v>
      </c>
      <c r="H3042" t="s">
        <v>16</v>
      </c>
      <c r="I3042" t="s">
        <v>448</v>
      </c>
    </row>
    <row r="3043" spans="1:9" x14ac:dyDescent="0.2">
      <c r="A3043">
        <v>14359101</v>
      </c>
      <c r="B3043">
        <v>4</v>
      </c>
      <c r="C3043">
        <v>1713</v>
      </c>
      <c r="D3043">
        <v>0</v>
      </c>
      <c r="E3043">
        <v>26</v>
      </c>
      <c r="F3043" t="s">
        <v>57</v>
      </c>
      <c r="G3043" t="s">
        <v>170</v>
      </c>
      <c r="H3043" t="s">
        <v>69</v>
      </c>
      <c r="I3043">
        <v>10</v>
      </c>
    </row>
    <row r="3044" spans="1:9" x14ac:dyDescent="0.2">
      <c r="A3044">
        <v>14359101</v>
      </c>
      <c r="B3044">
        <v>5</v>
      </c>
      <c r="C3044">
        <v>1386</v>
      </c>
      <c r="D3044">
        <v>0</v>
      </c>
      <c r="E3044">
        <v>26</v>
      </c>
      <c r="F3044" t="s">
        <v>21</v>
      </c>
      <c r="G3044" t="s">
        <v>170</v>
      </c>
      <c r="H3044" t="s">
        <v>20</v>
      </c>
      <c r="I3044">
        <v>8</v>
      </c>
    </row>
    <row r="3045" spans="1:9" x14ac:dyDescent="0.2">
      <c r="A3045">
        <v>14364057</v>
      </c>
      <c r="B3045">
        <v>1</v>
      </c>
      <c r="C3045">
        <v>1785</v>
      </c>
      <c r="D3045">
        <v>70340</v>
      </c>
      <c r="E3045">
        <v>24</v>
      </c>
      <c r="F3045" t="s">
        <v>57</v>
      </c>
      <c r="G3045" t="s">
        <v>86</v>
      </c>
      <c r="H3045" t="s">
        <v>69</v>
      </c>
      <c r="I3045">
        <v>10</v>
      </c>
    </row>
    <row r="3046" spans="1:9" x14ac:dyDescent="0.2">
      <c r="A3046">
        <v>14364057</v>
      </c>
      <c r="B3046">
        <v>2</v>
      </c>
      <c r="C3046">
        <v>3726</v>
      </c>
      <c r="D3046">
        <v>0</v>
      </c>
      <c r="E3046">
        <v>26</v>
      </c>
      <c r="F3046" t="s">
        <v>116</v>
      </c>
      <c r="G3046" t="s">
        <v>287</v>
      </c>
      <c r="H3046" t="s">
        <v>61</v>
      </c>
      <c r="I3046">
        <v>9</v>
      </c>
    </row>
    <row r="3047" spans="1:9" x14ac:dyDescent="0.2">
      <c r="A3047">
        <v>14364057</v>
      </c>
      <c r="B3047">
        <v>3</v>
      </c>
      <c r="C3047">
        <v>3242</v>
      </c>
      <c r="D3047">
        <v>0</v>
      </c>
      <c r="E3047">
        <v>26</v>
      </c>
      <c r="F3047" t="s">
        <v>47</v>
      </c>
      <c r="G3047" t="s">
        <v>90</v>
      </c>
      <c r="H3047" t="s">
        <v>46</v>
      </c>
      <c r="I3047">
        <v>10</v>
      </c>
    </row>
    <row r="3048" spans="1:9" x14ac:dyDescent="0.2">
      <c r="A3048">
        <v>14364057</v>
      </c>
      <c r="B3048">
        <v>4</v>
      </c>
      <c r="C3048">
        <v>3214</v>
      </c>
      <c r="D3048">
        <v>0</v>
      </c>
      <c r="E3048">
        <v>26</v>
      </c>
      <c r="F3048" t="s">
        <v>47</v>
      </c>
      <c r="G3048" t="s">
        <v>98</v>
      </c>
      <c r="H3048" t="s">
        <v>74</v>
      </c>
      <c r="I3048">
        <v>10</v>
      </c>
    </row>
    <row r="3049" spans="1:9" x14ac:dyDescent="0.2">
      <c r="A3049">
        <v>14364057</v>
      </c>
      <c r="B3049">
        <v>5</v>
      </c>
      <c r="C3049">
        <v>3261</v>
      </c>
      <c r="D3049">
        <v>0</v>
      </c>
      <c r="E3049">
        <v>26</v>
      </c>
      <c r="F3049" t="s">
        <v>47</v>
      </c>
      <c r="G3049" t="s">
        <v>93</v>
      </c>
      <c r="H3049" t="s">
        <v>46</v>
      </c>
      <c r="I3049">
        <v>10</v>
      </c>
    </row>
    <row r="3050" spans="1:9" x14ac:dyDescent="0.2">
      <c r="A3050">
        <v>14476177</v>
      </c>
      <c r="B3050">
        <v>1</v>
      </c>
      <c r="C3050">
        <v>1782</v>
      </c>
      <c r="D3050">
        <v>60255</v>
      </c>
      <c r="E3050">
        <v>25</v>
      </c>
      <c r="F3050" t="s">
        <v>57</v>
      </c>
      <c r="G3050" t="s">
        <v>63</v>
      </c>
      <c r="H3050" t="s">
        <v>69</v>
      </c>
      <c r="I3050">
        <v>10</v>
      </c>
    </row>
    <row r="3051" spans="1:9" x14ac:dyDescent="0.2">
      <c r="A3051">
        <v>14476177</v>
      </c>
      <c r="B3051">
        <v>2</v>
      </c>
      <c r="C3051">
        <v>1703</v>
      </c>
      <c r="D3051">
        <v>61420</v>
      </c>
      <c r="E3051">
        <v>24</v>
      </c>
      <c r="F3051" t="s">
        <v>57</v>
      </c>
      <c r="G3051" t="s">
        <v>109</v>
      </c>
      <c r="H3051" t="s">
        <v>69</v>
      </c>
      <c r="I3051">
        <v>10</v>
      </c>
    </row>
    <row r="3052" spans="1:9" x14ac:dyDescent="0.2">
      <c r="A3052">
        <v>14476177</v>
      </c>
      <c r="B3052">
        <v>3</v>
      </c>
      <c r="C3052">
        <v>1709</v>
      </c>
      <c r="D3052">
        <v>0</v>
      </c>
      <c r="E3052">
        <v>26</v>
      </c>
      <c r="F3052" t="s">
        <v>57</v>
      </c>
      <c r="G3052" t="s">
        <v>84</v>
      </c>
      <c r="H3052" t="s">
        <v>69</v>
      </c>
      <c r="I3052">
        <v>10</v>
      </c>
    </row>
    <row r="3053" spans="1:9" x14ac:dyDescent="0.2">
      <c r="A3053">
        <v>14476177</v>
      </c>
      <c r="B3053">
        <v>4</v>
      </c>
      <c r="C3053">
        <v>1324</v>
      </c>
      <c r="D3053">
        <v>0</v>
      </c>
      <c r="E3053">
        <v>26</v>
      </c>
      <c r="F3053" t="s">
        <v>21</v>
      </c>
      <c r="G3053" t="s">
        <v>63</v>
      </c>
      <c r="H3053" t="s">
        <v>20</v>
      </c>
      <c r="I3053">
        <v>8</v>
      </c>
    </row>
    <row r="3054" spans="1:9" x14ac:dyDescent="0.2">
      <c r="A3054">
        <v>14476177</v>
      </c>
      <c r="B3054">
        <v>5</v>
      </c>
      <c r="C3054">
        <v>3601</v>
      </c>
      <c r="D3054">
        <v>0</v>
      </c>
      <c r="E3054">
        <v>26</v>
      </c>
      <c r="F3054" t="s">
        <v>108</v>
      </c>
      <c r="G3054" t="s">
        <v>63</v>
      </c>
      <c r="H3054" t="s">
        <v>20</v>
      </c>
      <c r="I3054">
        <v>8</v>
      </c>
    </row>
    <row r="3055" spans="1:9" x14ac:dyDescent="0.2">
      <c r="A3055">
        <v>14476177</v>
      </c>
      <c r="B3055">
        <v>6</v>
      </c>
      <c r="C3055">
        <v>3740</v>
      </c>
      <c r="D3055">
        <v>0</v>
      </c>
      <c r="E3055">
        <v>26</v>
      </c>
      <c r="F3055" t="s">
        <v>116</v>
      </c>
      <c r="G3055" t="s">
        <v>63</v>
      </c>
      <c r="H3055" t="s">
        <v>61</v>
      </c>
      <c r="I3055">
        <v>9</v>
      </c>
    </row>
    <row r="3056" spans="1:9" x14ac:dyDescent="0.2">
      <c r="A3056">
        <v>14491601</v>
      </c>
      <c r="B3056">
        <v>1</v>
      </c>
      <c r="C3056">
        <v>1178</v>
      </c>
      <c r="D3056">
        <v>67550</v>
      </c>
      <c r="E3056">
        <v>24</v>
      </c>
      <c r="F3056" t="s">
        <v>17</v>
      </c>
      <c r="G3056" t="s">
        <v>238</v>
      </c>
      <c r="H3056" t="s">
        <v>16</v>
      </c>
      <c r="I3056" t="s">
        <v>448</v>
      </c>
    </row>
    <row r="3057" spans="1:9" x14ac:dyDescent="0.2">
      <c r="A3057">
        <v>14491601</v>
      </c>
      <c r="B3057">
        <v>2</v>
      </c>
      <c r="C3057">
        <v>1630</v>
      </c>
      <c r="D3057">
        <v>0</v>
      </c>
      <c r="E3057">
        <v>26</v>
      </c>
      <c r="F3057" t="s">
        <v>128</v>
      </c>
      <c r="G3057" t="s">
        <v>398</v>
      </c>
      <c r="H3057" t="s">
        <v>127</v>
      </c>
      <c r="I3057" t="s">
        <v>448</v>
      </c>
    </row>
    <row r="3058" spans="1:9" x14ac:dyDescent="0.2">
      <c r="A3058">
        <v>14491601</v>
      </c>
      <c r="B3058">
        <v>3</v>
      </c>
      <c r="C3058">
        <v>1702</v>
      </c>
      <c r="D3058">
        <v>0</v>
      </c>
      <c r="E3058">
        <v>26</v>
      </c>
      <c r="F3058" t="s">
        <v>57</v>
      </c>
      <c r="G3058" t="s">
        <v>164</v>
      </c>
      <c r="H3058" t="s">
        <v>69</v>
      </c>
      <c r="I3058">
        <v>10</v>
      </c>
    </row>
    <row r="3059" spans="1:9" x14ac:dyDescent="0.2">
      <c r="A3059">
        <v>14517997</v>
      </c>
      <c r="B3059">
        <v>1</v>
      </c>
      <c r="C3059">
        <v>1776</v>
      </c>
      <c r="D3059">
        <v>58910</v>
      </c>
      <c r="E3059">
        <v>25</v>
      </c>
      <c r="F3059" t="s">
        <v>57</v>
      </c>
      <c r="G3059" t="s">
        <v>124</v>
      </c>
      <c r="H3059" t="s">
        <v>125</v>
      </c>
      <c r="I3059">
        <v>10</v>
      </c>
    </row>
    <row r="3060" spans="1:9" x14ac:dyDescent="0.2">
      <c r="A3060">
        <v>14517997</v>
      </c>
      <c r="B3060">
        <v>2</v>
      </c>
      <c r="C3060">
        <v>3023</v>
      </c>
      <c r="D3060">
        <v>59160</v>
      </c>
      <c r="E3060">
        <v>25</v>
      </c>
      <c r="F3060" t="s">
        <v>44</v>
      </c>
      <c r="G3060" t="s">
        <v>124</v>
      </c>
      <c r="H3060" t="s">
        <v>50</v>
      </c>
      <c r="I3060">
        <v>9</v>
      </c>
    </row>
    <row r="3061" spans="1:9" x14ac:dyDescent="0.2">
      <c r="A3061">
        <v>14517997</v>
      </c>
      <c r="B3061">
        <v>3</v>
      </c>
      <c r="C3061">
        <v>1734</v>
      </c>
      <c r="D3061">
        <v>59455</v>
      </c>
      <c r="E3061">
        <v>25</v>
      </c>
      <c r="F3061" t="s">
        <v>57</v>
      </c>
      <c r="G3061" t="s">
        <v>81</v>
      </c>
      <c r="H3061" t="s">
        <v>69</v>
      </c>
      <c r="I3061">
        <v>10</v>
      </c>
    </row>
    <row r="3062" spans="1:9" x14ac:dyDescent="0.2">
      <c r="A3062">
        <v>14517997</v>
      </c>
      <c r="B3062">
        <v>4</v>
      </c>
      <c r="C3062">
        <v>1789</v>
      </c>
      <c r="D3062">
        <v>58925</v>
      </c>
      <c r="E3062">
        <v>25</v>
      </c>
      <c r="F3062" t="s">
        <v>57</v>
      </c>
      <c r="G3062" t="s">
        <v>122</v>
      </c>
      <c r="H3062" t="s">
        <v>69</v>
      </c>
      <c r="I3062">
        <v>10</v>
      </c>
    </row>
    <row r="3063" spans="1:9" x14ac:dyDescent="0.2">
      <c r="A3063">
        <v>14517997</v>
      </c>
      <c r="B3063">
        <v>5</v>
      </c>
      <c r="C3063">
        <v>1349</v>
      </c>
      <c r="D3063">
        <v>59050</v>
      </c>
      <c r="E3063">
        <v>25</v>
      </c>
      <c r="F3063" t="s">
        <v>21</v>
      </c>
      <c r="G3063" t="s">
        <v>81</v>
      </c>
      <c r="H3063" t="s">
        <v>20</v>
      </c>
      <c r="I3063">
        <v>8</v>
      </c>
    </row>
    <row r="3064" spans="1:9" x14ac:dyDescent="0.2">
      <c r="A3064">
        <v>14562958</v>
      </c>
      <c r="B3064">
        <v>1</v>
      </c>
      <c r="C3064">
        <v>1471</v>
      </c>
      <c r="D3064">
        <v>60740</v>
      </c>
      <c r="E3064">
        <v>24</v>
      </c>
      <c r="F3064" t="s">
        <v>25</v>
      </c>
      <c r="G3064" t="s">
        <v>144</v>
      </c>
      <c r="H3064" t="s">
        <v>24</v>
      </c>
      <c r="I3064">
        <v>5</v>
      </c>
    </row>
    <row r="3065" spans="1:9" x14ac:dyDescent="0.2">
      <c r="A3065">
        <v>14562958</v>
      </c>
      <c r="B3065">
        <v>2</v>
      </c>
      <c r="C3065">
        <v>1502</v>
      </c>
      <c r="D3065">
        <v>0</v>
      </c>
      <c r="E3065">
        <v>26</v>
      </c>
      <c r="F3065" t="s">
        <v>142</v>
      </c>
      <c r="G3065" t="s">
        <v>143</v>
      </c>
      <c r="H3065" t="s">
        <v>31</v>
      </c>
      <c r="I3065">
        <v>5</v>
      </c>
    </row>
    <row r="3066" spans="1:9" x14ac:dyDescent="0.2">
      <c r="A3066">
        <v>14562958</v>
      </c>
      <c r="B3066">
        <v>3</v>
      </c>
      <c r="C3066">
        <v>1737</v>
      </c>
      <c r="D3066">
        <v>0</v>
      </c>
      <c r="E3066">
        <v>26</v>
      </c>
      <c r="F3066" t="s">
        <v>57</v>
      </c>
      <c r="G3066" t="s">
        <v>54</v>
      </c>
      <c r="H3066" t="s">
        <v>79</v>
      </c>
      <c r="I3066">
        <v>10</v>
      </c>
    </row>
    <row r="3067" spans="1:9" x14ac:dyDescent="0.2">
      <c r="A3067">
        <v>14562958</v>
      </c>
      <c r="B3067">
        <v>4</v>
      </c>
      <c r="C3067">
        <v>1733</v>
      </c>
      <c r="D3067">
        <v>0</v>
      </c>
      <c r="E3067">
        <v>26</v>
      </c>
      <c r="F3067" t="s">
        <v>57</v>
      </c>
      <c r="G3067" t="s">
        <v>18</v>
      </c>
      <c r="H3067" t="s">
        <v>69</v>
      </c>
      <c r="I3067">
        <v>10</v>
      </c>
    </row>
    <row r="3068" spans="1:9" x14ac:dyDescent="0.2">
      <c r="A3068">
        <v>14562958</v>
      </c>
      <c r="B3068">
        <v>5</v>
      </c>
      <c r="C3068">
        <v>1402</v>
      </c>
      <c r="D3068">
        <v>0</v>
      </c>
      <c r="E3068">
        <v>26</v>
      </c>
      <c r="F3068" t="s">
        <v>25</v>
      </c>
      <c r="G3068" t="s">
        <v>18</v>
      </c>
      <c r="H3068" t="s">
        <v>24</v>
      </c>
      <c r="I3068">
        <v>5</v>
      </c>
    </row>
    <row r="3069" spans="1:9" x14ac:dyDescent="0.2">
      <c r="A3069">
        <v>14562958</v>
      </c>
      <c r="B3069">
        <v>6</v>
      </c>
      <c r="C3069">
        <v>3200</v>
      </c>
      <c r="D3069">
        <v>0</v>
      </c>
      <c r="E3069">
        <v>26</v>
      </c>
      <c r="F3069" t="s">
        <v>47</v>
      </c>
      <c r="G3069" t="s">
        <v>18</v>
      </c>
      <c r="H3069" t="s">
        <v>46</v>
      </c>
      <c r="I3069">
        <v>10</v>
      </c>
    </row>
    <row r="3070" spans="1:9" x14ac:dyDescent="0.2">
      <c r="A3070">
        <v>14588977</v>
      </c>
      <c r="B3070">
        <v>1</v>
      </c>
      <c r="C3070">
        <v>1503</v>
      </c>
      <c r="D3070">
        <v>66680</v>
      </c>
      <c r="E3070">
        <v>24</v>
      </c>
      <c r="F3070" t="s">
        <v>142</v>
      </c>
      <c r="G3070" t="s">
        <v>161</v>
      </c>
      <c r="H3070" t="s">
        <v>31</v>
      </c>
      <c r="I3070">
        <v>5</v>
      </c>
    </row>
    <row r="3071" spans="1:9" x14ac:dyDescent="0.2">
      <c r="A3071">
        <v>14588977</v>
      </c>
      <c r="B3071">
        <v>2</v>
      </c>
      <c r="C3071">
        <v>1508</v>
      </c>
      <c r="D3071">
        <v>0</v>
      </c>
      <c r="E3071">
        <v>26</v>
      </c>
      <c r="F3071" t="s">
        <v>142</v>
      </c>
      <c r="G3071" t="s">
        <v>249</v>
      </c>
      <c r="H3071" t="s">
        <v>31</v>
      </c>
      <c r="I3071">
        <v>5</v>
      </c>
    </row>
    <row r="3072" spans="1:9" x14ac:dyDescent="0.2">
      <c r="A3072">
        <v>14588977</v>
      </c>
      <c r="B3072">
        <v>3</v>
      </c>
      <c r="C3072">
        <v>1571</v>
      </c>
      <c r="D3072">
        <v>0</v>
      </c>
      <c r="E3072">
        <v>26</v>
      </c>
      <c r="F3072" t="s">
        <v>142</v>
      </c>
      <c r="G3072" t="s">
        <v>264</v>
      </c>
      <c r="H3072" t="s">
        <v>113</v>
      </c>
      <c r="I3072">
        <v>5</v>
      </c>
    </row>
    <row r="3073" spans="1:9" x14ac:dyDescent="0.2">
      <c r="A3073">
        <v>14588977</v>
      </c>
      <c r="B3073">
        <v>4</v>
      </c>
      <c r="C3073">
        <v>1507</v>
      </c>
      <c r="D3073">
        <v>0</v>
      </c>
      <c r="E3073">
        <v>26</v>
      </c>
      <c r="F3073" t="s">
        <v>142</v>
      </c>
      <c r="G3073" t="s">
        <v>66</v>
      </c>
      <c r="H3073" t="s">
        <v>31</v>
      </c>
      <c r="I3073">
        <v>5</v>
      </c>
    </row>
    <row r="3074" spans="1:9" x14ac:dyDescent="0.2">
      <c r="A3074">
        <v>14588977</v>
      </c>
      <c r="B3074">
        <v>5</v>
      </c>
      <c r="C3074">
        <v>1575</v>
      </c>
      <c r="D3074">
        <v>0</v>
      </c>
      <c r="E3074">
        <v>26</v>
      </c>
      <c r="F3074" t="s">
        <v>142</v>
      </c>
      <c r="G3074" t="s">
        <v>249</v>
      </c>
      <c r="H3074" t="s">
        <v>113</v>
      </c>
      <c r="I3074">
        <v>5</v>
      </c>
    </row>
    <row r="3075" spans="1:9" x14ac:dyDescent="0.2">
      <c r="A3075">
        <v>14588977</v>
      </c>
      <c r="B3075">
        <v>6</v>
      </c>
      <c r="C3075">
        <v>1509</v>
      </c>
      <c r="D3075">
        <v>0</v>
      </c>
      <c r="E3075">
        <v>26</v>
      </c>
      <c r="F3075" t="s">
        <v>142</v>
      </c>
      <c r="G3075" t="s">
        <v>162</v>
      </c>
      <c r="H3075" t="s">
        <v>31</v>
      </c>
      <c r="I3075">
        <v>5</v>
      </c>
    </row>
    <row r="3076" spans="1:9" x14ac:dyDescent="0.2">
      <c r="A3076">
        <v>14624064</v>
      </c>
      <c r="B3076">
        <v>1</v>
      </c>
      <c r="C3076">
        <v>3251</v>
      </c>
      <c r="D3076">
        <v>45625</v>
      </c>
      <c r="E3076">
        <v>25</v>
      </c>
      <c r="F3076" t="s">
        <v>47</v>
      </c>
      <c r="G3076" t="s">
        <v>48</v>
      </c>
      <c r="H3076" t="s">
        <v>46</v>
      </c>
      <c r="I3076">
        <v>10</v>
      </c>
    </row>
    <row r="3077" spans="1:9" x14ac:dyDescent="0.2">
      <c r="A3077">
        <v>14624064</v>
      </c>
      <c r="B3077">
        <v>2</v>
      </c>
      <c r="C3077">
        <v>1502</v>
      </c>
      <c r="D3077">
        <v>50575</v>
      </c>
      <c r="E3077">
        <v>25</v>
      </c>
      <c r="F3077" t="s">
        <v>142</v>
      </c>
      <c r="G3077" t="s">
        <v>143</v>
      </c>
      <c r="H3077" t="s">
        <v>31</v>
      </c>
      <c r="I3077">
        <v>5</v>
      </c>
    </row>
    <row r="3078" spans="1:9" x14ac:dyDescent="0.2">
      <c r="A3078">
        <v>14624064</v>
      </c>
      <c r="B3078">
        <v>3</v>
      </c>
      <c r="C3078">
        <v>3296</v>
      </c>
      <c r="D3078">
        <v>48250</v>
      </c>
      <c r="E3078">
        <v>25</v>
      </c>
      <c r="F3078" t="s">
        <v>47</v>
      </c>
      <c r="G3078" t="s">
        <v>100</v>
      </c>
      <c r="H3078" t="s">
        <v>46</v>
      </c>
      <c r="I3078">
        <v>10</v>
      </c>
    </row>
    <row r="3079" spans="1:9" x14ac:dyDescent="0.2">
      <c r="A3079">
        <v>14634887</v>
      </c>
      <c r="B3079">
        <v>1</v>
      </c>
      <c r="C3079">
        <v>1510</v>
      </c>
      <c r="D3079">
        <v>68050</v>
      </c>
      <c r="E3079">
        <v>24</v>
      </c>
      <c r="F3079" t="s">
        <v>142</v>
      </c>
      <c r="G3079" t="s">
        <v>323</v>
      </c>
      <c r="H3079" t="s">
        <v>31</v>
      </c>
      <c r="I3079">
        <v>5</v>
      </c>
    </row>
    <row r="3080" spans="1:9" x14ac:dyDescent="0.2">
      <c r="A3080">
        <v>14634887</v>
      </c>
      <c r="B3080">
        <v>2</v>
      </c>
      <c r="C3080">
        <v>1511</v>
      </c>
      <c r="D3080">
        <v>0</v>
      </c>
      <c r="E3080">
        <v>26</v>
      </c>
      <c r="F3080" t="s">
        <v>142</v>
      </c>
      <c r="G3080" t="s">
        <v>163</v>
      </c>
      <c r="H3080" t="s">
        <v>31</v>
      </c>
      <c r="I3080">
        <v>5</v>
      </c>
    </row>
    <row r="3081" spans="1:9" x14ac:dyDescent="0.2">
      <c r="A3081">
        <v>14634887</v>
      </c>
      <c r="B3081">
        <v>3</v>
      </c>
      <c r="C3081">
        <v>1376</v>
      </c>
      <c r="D3081">
        <v>0</v>
      </c>
      <c r="E3081">
        <v>26</v>
      </c>
      <c r="F3081" t="s">
        <v>21</v>
      </c>
      <c r="G3081" t="s">
        <v>163</v>
      </c>
      <c r="H3081" t="s">
        <v>20</v>
      </c>
      <c r="I3081">
        <v>8</v>
      </c>
    </row>
    <row r="3082" spans="1:9" x14ac:dyDescent="0.2">
      <c r="A3082">
        <v>14634887</v>
      </c>
      <c r="B3082">
        <v>4</v>
      </c>
      <c r="C3082">
        <v>1375</v>
      </c>
      <c r="D3082">
        <v>0</v>
      </c>
      <c r="E3082">
        <v>26</v>
      </c>
      <c r="F3082" t="s">
        <v>21</v>
      </c>
      <c r="G3082" t="s">
        <v>323</v>
      </c>
      <c r="H3082" t="s">
        <v>20</v>
      </c>
      <c r="I3082">
        <v>8</v>
      </c>
    </row>
    <row r="3083" spans="1:9" x14ac:dyDescent="0.2">
      <c r="A3083">
        <v>14634887</v>
      </c>
      <c r="B3083">
        <v>5</v>
      </c>
      <c r="C3083">
        <v>1704</v>
      </c>
      <c r="D3083">
        <v>0</v>
      </c>
      <c r="E3083">
        <v>26</v>
      </c>
      <c r="F3083" t="s">
        <v>57</v>
      </c>
      <c r="G3083" t="s">
        <v>82</v>
      </c>
      <c r="H3083" t="s">
        <v>79</v>
      </c>
      <c r="I3083">
        <v>10</v>
      </c>
    </row>
    <row r="3084" spans="1:9" x14ac:dyDescent="0.2">
      <c r="A3084">
        <v>14634887</v>
      </c>
      <c r="B3084">
        <v>6</v>
      </c>
      <c r="C3084">
        <v>1734</v>
      </c>
      <c r="D3084">
        <v>0</v>
      </c>
      <c r="E3084">
        <v>26</v>
      </c>
      <c r="F3084" t="s">
        <v>57</v>
      </c>
      <c r="G3084" t="s">
        <v>81</v>
      </c>
      <c r="H3084" t="s">
        <v>69</v>
      </c>
      <c r="I3084">
        <v>10</v>
      </c>
    </row>
    <row r="3085" spans="1:9" x14ac:dyDescent="0.2">
      <c r="A3085">
        <v>14634887</v>
      </c>
      <c r="B3085">
        <v>7</v>
      </c>
      <c r="C3085">
        <v>1702</v>
      </c>
      <c r="D3085">
        <v>0</v>
      </c>
      <c r="E3085">
        <v>26</v>
      </c>
      <c r="F3085" t="s">
        <v>57</v>
      </c>
      <c r="G3085" t="s">
        <v>164</v>
      </c>
      <c r="H3085" t="s">
        <v>69</v>
      </c>
      <c r="I3085">
        <v>10</v>
      </c>
    </row>
    <row r="3086" spans="1:9" x14ac:dyDescent="0.2">
      <c r="A3086">
        <v>14634887</v>
      </c>
      <c r="B3086">
        <v>8</v>
      </c>
      <c r="C3086">
        <v>1737</v>
      </c>
      <c r="D3086">
        <v>0</v>
      </c>
      <c r="E3086">
        <v>26</v>
      </c>
      <c r="F3086" t="s">
        <v>57</v>
      </c>
      <c r="G3086" t="s">
        <v>54</v>
      </c>
      <c r="H3086" t="s">
        <v>79</v>
      </c>
      <c r="I3086">
        <v>10</v>
      </c>
    </row>
    <row r="3087" spans="1:9" x14ac:dyDescent="0.2">
      <c r="A3087">
        <v>14651360</v>
      </c>
      <c r="B3087">
        <v>1</v>
      </c>
      <c r="C3087">
        <v>3200</v>
      </c>
      <c r="D3087">
        <v>48320</v>
      </c>
      <c r="E3087">
        <v>25</v>
      </c>
      <c r="F3087" t="s">
        <v>47</v>
      </c>
      <c r="G3087" t="s">
        <v>18</v>
      </c>
      <c r="H3087" t="s">
        <v>46</v>
      </c>
      <c r="I3087">
        <v>10</v>
      </c>
    </row>
    <row r="3088" spans="1:9" x14ac:dyDescent="0.2">
      <c r="A3088">
        <v>14652412</v>
      </c>
      <c r="B3088">
        <v>1</v>
      </c>
      <c r="C3088">
        <v>3726</v>
      </c>
      <c r="D3088">
        <v>49730</v>
      </c>
      <c r="E3088">
        <v>25</v>
      </c>
      <c r="F3088" t="s">
        <v>116</v>
      </c>
      <c r="G3088" t="s">
        <v>287</v>
      </c>
      <c r="H3088" t="s">
        <v>61</v>
      </c>
      <c r="I3088">
        <v>9</v>
      </c>
    </row>
    <row r="3089" spans="1:9" x14ac:dyDescent="0.2">
      <c r="A3089">
        <v>14652412</v>
      </c>
      <c r="B3089">
        <v>2</v>
      </c>
      <c r="C3089">
        <v>3735</v>
      </c>
      <c r="D3089">
        <v>50140</v>
      </c>
      <c r="E3089">
        <v>24</v>
      </c>
      <c r="F3089" t="s">
        <v>116</v>
      </c>
      <c r="G3089" t="s">
        <v>187</v>
      </c>
      <c r="H3089" t="s">
        <v>61</v>
      </c>
      <c r="I3089">
        <v>9</v>
      </c>
    </row>
    <row r="3090" spans="1:9" x14ac:dyDescent="0.2">
      <c r="A3090">
        <v>14652412</v>
      </c>
      <c r="B3090">
        <v>3</v>
      </c>
      <c r="C3090">
        <v>3722</v>
      </c>
      <c r="D3090">
        <v>0</v>
      </c>
      <c r="E3090">
        <v>26</v>
      </c>
      <c r="F3090" t="s">
        <v>116</v>
      </c>
      <c r="G3090" t="s">
        <v>198</v>
      </c>
      <c r="H3090" t="s">
        <v>61</v>
      </c>
      <c r="I3090">
        <v>9</v>
      </c>
    </row>
    <row r="3091" spans="1:9" x14ac:dyDescent="0.2">
      <c r="A3091">
        <v>14652412</v>
      </c>
      <c r="B3091">
        <v>4</v>
      </c>
      <c r="C3091">
        <v>3723</v>
      </c>
      <c r="D3091">
        <v>0</v>
      </c>
      <c r="E3091">
        <v>26</v>
      </c>
      <c r="F3091" t="s">
        <v>116</v>
      </c>
      <c r="G3091" t="s">
        <v>134</v>
      </c>
      <c r="H3091" t="s">
        <v>61</v>
      </c>
      <c r="I3091">
        <v>9</v>
      </c>
    </row>
    <row r="3092" spans="1:9" x14ac:dyDescent="0.2">
      <c r="A3092">
        <v>14652412</v>
      </c>
      <c r="B3092">
        <v>5</v>
      </c>
      <c r="C3092">
        <v>3704</v>
      </c>
      <c r="D3092">
        <v>0</v>
      </c>
      <c r="E3092">
        <v>26</v>
      </c>
      <c r="F3092" t="s">
        <v>116</v>
      </c>
      <c r="G3092" t="s">
        <v>93</v>
      </c>
      <c r="H3092" t="s">
        <v>61</v>
      </c>
      <c r="I3092">
        <v>9</v>
      </c>
    </row>
    <row r="3093" spans="1:9" x14ac:dyDescent="0.2">
      <c r="A3093">
        <v>14652412</v>
      </c>
      <c r="B3093">
        <v>6</v>
      </c>
      <c r="C3093">
        <v>3745</v>
      </c>
      <c r="D3093">
        <v>0</v>
      </c>
      <c r="E3093">
        <v>26</v>
      </c>
      <c r="F3093" t="s">
        <v>116</v>
      </c>
      <c r="G3093" t="s">
        <v>202</v>
      </c>
      <c r="H3093" t="s">
        <v>61</v>
      </c>
      <c r="I3093">
        <v>9</v>
      </c>
    </row>
    <row r="3094" spans="1:9" x14ac:dyDescent="0.2">
      <c r="A3094">
        <v>14691472</v>
      </c>
      <c r="B3094">
        <v>1</v>
      </c>
      <c r="C3094">
        <v>1714</v>
      </c>
      <c r="D3094">
        <v>55970</v>
      </c>
      <c r="E3094">
        <v>25</v>
      </c>
      <c r="F3094" t="s">
        <v>57</v>
      </c>
      <c r="G3094" t="s">
        <v>95</v>
      </c>
      <c r="H3094" t="s">
        <v>69</v>
      </c>
      <c r="I3094">
        <v>10</v>
      </c>
    </row>
    <row r="3095" spans="1:9" x14ac:dyDescent="0.2">
      <c r="A3095">
        <v>14691472</v>
      </c>
      <c r="B3095">
        <v>2</v>
      </c>
      <c r="C3095">
        <v>1776</v>
      </c>
      <c r="D3095">
        <v>55970</v>
      </c>
      <c r="E3095">
        <v>25</v>
      </c>
      <c r="F3095" t="s">
        <v>57</v>
      </c>
      <c r="G3095" t="s">
        <v>124</v>
      </c>
      <c r="H3095" t="s">
        <v>125</v>
      </c>
      <c r="I3095">
        <v>10</v>
      </c>
    </row>
    <row r="3096" spans="1:9" x14ac:dyDescent="0.2">
      <c r="A3096">
        <v>14691472</v>
      </c>
      <c r="B3096">
        <v>3</v>
      </c>
      <c r="C3096">
        <v>1700</v>
      </c>
      <c r="D3096">
        <v>55710</v>
      </c>
      <c r="E3096">
        <v>24</v>
      </c>
      <c r="F3096" t="s">
        <v>57</v>
      </c>
      <c r="G3096" t="s">
        <v>58</v>
      </c>
      <c r="H3096" t="s">
        <v>69</v>
      </c>
      <c r="I3096">
        <v>10</v>
      </c>
    </row>
    <row r="3097" spans="1:9" x14ac:dyDescent="0.2">
      <c r="A3097">
        <v>14719750</v>
      </c>
      <c r="B3097">
        <v>1</v>
      </c>
      <c r="C3097">
        <v>2927</v>
      </c>
      <c r="D3097">
        <v>55230</v>
      </c>
      <c r="E3097">
        <v>25</v>
      </c>
      <c r="F3097" t="s">
        <v>119</v>
      </c>
      <c r="G3097" t="s">
        <v>165</v>
      </c>
      <c r="H3097" t="s">
        <v>20</v>
      </c>
      <c r="I3097">
        <v>8</v>
      </c>
    </row>
    <row r="3098" spans="1:9" x14ac:dyDescent="0.2">
      <c r="A3098">
        <v>14720584</v>
      </c>
      <c r="B3098">
        <v>1</v>
      </c>
      <c r="C3098">
        <v>1754</v>
      </c>
      <c r="D3098">
        <v>49615</v>
      </c>
      <c r="E3098">
        <v>25</v>
      </c>
      <c r="F3098" t="s">
        <v>57</v>
      </c>
      <c r="G3098" t="s">
        <v>85</v>
      </c>
      <c r="H3098" t="s">
        <v>69</v>
      </c>
      <c r="I3098">
        <v>10</v>
      </c>
    </row>
    <row r="3099" spans="1:9" x14ac:dyDescent="0.2">
      <c r="A3099">
        <v>14720584</v>
      </c>
      <c r="B3099">
        <v>2</v>
      </c>
      <c r="C3099">
        <v>1733</v>
      </c>
      <c r="D3099">
        <v>49670</v>
      </c>
      <c r="E3099">
        <v>25</v>
      </c>
      <c r="F3099" t="s">
        <v>57</v>
      </c>
      <c r="G3099" t="s">
        <v>18</v>
      </c>
      <c r="H3099" t="s">
        <v>69</v>
      </c>
      <c r="I3099">
        <v>10</v>
      </c>
    </row>
    <row r="3100" spans="1:9" x14ac:dyDescent="0.2">
      <c r="A3100">
        <v>14720584</v>
      </c>
      <c r="B3100">
        <v>3</v>
      </c>
      <c r="C3100">
        <v>1709</v>
      </c>
      <c r="D3100">
        <v>49780</v>
      </c>
      <c r="E3100">
        <v>25</v>
      </c>
      <c r="F3100" t="s">
        <v>57</v>
      </c>
      <c r="G3100" t="s">
        <v>84</v>
      </c>
      <c r="H3100" t="s">
        <v>69</v>
      </c>
      <c r="I3100">
        <v>10</v>
      </c>
    </row>
    <row r="3101" spans="1:9" x14ac:dyDescent="0.2">
      <c r="A3101">
        <v>14720584</v>
      </c>
      <c r="B3101">
        <v>4</v>
      </c>
      <c r="C3101">
        <v>3612</v>
      </c>
      <c r="D3101">
        <v>50100</v>
      </c>
      <c r="E3101">
        <v>25</v>
      </c>
      <c r="F3101" t="s">
        <v>108</v>
      </c>
      <c r="G3101" t="s">
        <v>84</v>
      </c>
      <c r="H3101" t="s">
        <v>20</v>
      </c>
      <c r="I3101">
        <v>8</v>
      </c>
    </row>
    <row r="3102" spans="1:9" x14ac:dyDescent="0.2">
      <c r="A3102">
        <v>14720584</v>
      </c>
      <c r="B3102">
        <v>5</v>
      </c>
      <c r="C3102">
        <v>3212</v>
      </c>
      <c r="D3102">
        <v>49950</v>
      </c>
      <c r="E3102">
        <v>24</v>
      </c>
      <c r="F3102" t="s">
        <v>47</v>
      </c>
      <c r="G3102" t="s">
        <v>84</v>
      </c>
      <c r="H3102" t="s">
        <v>46</v>
      </c>
      <c r="I3102">
        <v>10</v>
      </c>
    </row>
    <row r="3103" spans="1:9" x14ac:dyDescent="0.2">
      <c r="A3103">
        <v>14720584</v>
      </c>
      <c r="B3103">
        <v>6</v>
      </c>
      <c r="C3103">
        <v>3200</v>
      </c>
      <c r="D3103">
        <v>0</v>
      </c>
      <c r="E3103">
        <v>26</v>
      </c>
      <c r="F3103" t="s">
        <v>47</v>
      </c>
      <c r="G3103" t="s">
        <v>18</v>
      </c>
      <c r="H3103" t="s">
        <v>46</v>
      </c>
      <c r="I3103">
        <v>10</v>
      </c>
    </row>
    <row r="3104" spans="1:9" x14ac:dyDescent="0.2">
      <c r="A3104">
        <v>14720584</v>
      </c>
      <c r="B3104">
        <v>7</v>
      </c>
      <c r="C3104">
        <v>1544</v>
      </c>
      <c r="D3104">
        <v>0</v>
      </c>
      <c r="E3104">
        <v>26</v>
      </c>
      <c r="F3104" t="s">
        <v>142</v>
      </c>
      <c r="G3104" t="s">
        <v>332</v>
      </c>
      <c r="H3104" t="s">
        <v>241</v>
      </c>
      <c r="I3104">
        <v>5</v>
      </c>
    </row>
    <row r="3105" spans="1:9" x14ac:dyDescent="0.2">
      <c r="A3105">
        <v>14733212</v>
      </c>
      <c r="B3105">
        <v>1</v>
      </c>
      <c r="C3105">
        <v>1101</v>
      </c>
      <c r="D3105">
        <v>62570</v>
      </c>
      <c r="E3105">
        <v>25</v>
      </c>
      <c r="F3105" t="s">
        <v>17</v>
      </c>
      <c r="G3105" t="s">
        <v>15</v>
      </c>
      <c r="H3105" t="s">
        <v>16</v>
      </c>
      <c r="I3105" t="s">
        <v>448</v>
      </c>
    </row>
    <row r="3106" spans="1:9" x14ac:dyDescent="0.2">
      <c r="A3106">
        <v>14733212</v>
      </c>
      <c r="B3106">
        <v>2</v>
      </c>
      <c r="C3106">
        <v>1105</v>
      </c>
      <c r="D3106">
        <v>62170</v>
      </c>
      <c r="E3106">
        <v>25</v>
      </c>
      <c r="F3106" t="s">
        <v>17</v>
      </c>
      <c r="G3106" t="s">
        <v>437</v>
      </c>
      <c r="H3106" t="s">
        <v>16</v>
      </c>
      <c r="I3106" t="s">
        <v>448</v>
      </c>
    </row>
    <row r="3107" spans="1:9" x14ac:dyDescent="0.2">
      <c r="A3107">
        <v>14733212</v>
      </c>
      <c r="B3107">
        <v>3</v>
      </c>
      <c r="C3107">
        <v>1206</v>
      </c>
      <c r="D3107">
        <v>61325</v>
      </c>
      <c r="E3107">
        <v>25</v>
      </c>
      <c r="F3107" t="s">
        <v>19</v>
      </c>
      <c r="G3107" t="s">
        <v>370</v>
      </c>
      <c r="H3107" t="s">
        <v>16</v>
      </c>
      <c r="I3107" t="s">
        <v>448</v>
      </c>
    </row>
    <row r="3108" spans="1:9" x14ac:dyDescent="0.2">
      <c r="A3108">
        <v>14733212</v>
      </c>
      <c r="B3108">
        <v>4</v>
      </c>
      <c r="C3108">
        <v>2147</v>
      </c>
      <c r="D3108">
        <v>62700</v>
      </c>
      <c r="E3108">
        <v>24</v>
      </c>
      <c r="F3108" t="s">
        <v>193</v>
      </c>
      <c r="G3108" t="s">
        <v>18</v>
      </c>
      <c r="H3108" t="s">
        <v>216</v>
      </c>
      <c r="I3108" t="s">
        <v>448</v>
      </c>
    </row>
    <row r="3109" spans="1:9" x14ac:dyDescent="0.2">
      <c r="A3109">
        <v>14733212</v>
      </c>
      <c r="B3109">
        <v>5</v>
      </c>
      <c r="C3109">
        <v>1670</v>
      </c>
      <c r="D3109">
        <v>0</v>
      </c>
      <c r="E3109">
        <v>26</v>
      </c>
      <c r="F3109" t="s">
        <v>128</v>
      </c>
      <c r="G3109" t="s">
        <v>18</v>
      </c>
      <c r="H3109" t="s">
        <v>127</v>
      </c>
      <c r="I3109" t="s">
        <v>448</v>
      </c>
    </row>
    <row r="3110" spans="1:9" x14ac:dyDescent="0.2">
      <c r="A3110">
        <v>14733212</v>
      </c>
      <c r="B3110">
        <v>6</v>
      </c>
      <c r="C3110">
        <v>1684</v>
      </c>
      <c r="D3110">
        <v>0</v>
      </c>
      <c r="E3110">
        <v>26</v>
      </c>
      <c r="F3110" t="s">
        <v>128</v>
      </c>
      <c r="G3110" t="s">
        <v>225</v>
      </c>
      <c r="H3110" t="s">
        <v>127</v>
      </c>
      <c r="I3110" t="s">
        <v>448</v>
      </c>
    </row>
    <row r="3111" spans="1:9" x14ac:dyDescent="0.2">
      <c r="A3111">
        <v>14750752</v>
      </c>
      <c r="B3111">
        <v>1</v>
      </c>
      <c r="C3111">
        <v>1503</v>
      </c>
      <c r="D3111">
        <v>70230</v>
      </c>
      <c r="E3111">
        <v>24</v>
      </c>
      <c r="F3111" t="s">
        <v>142</v>
      </c>
      <c r="G3111" t="s">
        <v>161</v>
      </c>
      <c r="H3111" t="s">
        <v>31</v>
      </c>
      <c r="I3111">
        <v>5</v>
      </c>
    </row>
    <row r="3112" spans="1:9" x14ac:dyDescent="0.2">
      <c r="A3112">
        <v>14750752</v>
      </c>
      <c r="B3112">
        <v>2</v>
      </c>
      <c r="C3112">
        <v>1145</v>
      </c>
      <c r="D3112">
        <v>0</v>
      </c>
      <c r="E3112">
        <v>26</v>
      </c>
      <c r="F3112" t="s">
        <v>17</v>
      </c>
      <c r="G3112" t="s">
        <v>159</v>
      </c>
      <c r="H3112" t="s">
        <v>16</v>
      </c>
      <c r="I3112" t="s">
        <v>448</v>
      </c>
    </row>
    <row r="3113" spans="1:9" x14ac:dyDescent="0.2">
      <c r="A3113">
        <v>14750752</v>
      </c>
      <c r="B3113">
        <v>3</v>
      </c>
      <c r="C3113">
        <v>1462</v>
      </c>
      <c r="D3113">
        <v>0</v>
      </c>
      <c r="E3113">
        <v>26</v>
      </c>
      <c r="F3113" t="s">
        <v>25</v>
      </c>
      <c r="G3113" t="s">
        <v>352</v>
      </c>
      <c r="H3113" t="s">
        <v>24</v>
      </c>
      <c r="I3113">
        <v>5</v>
      </c>
    </row>
    <row r="3114" spans="1:9" x14ac:dyDescent="0.2">
      <c r="A3114">
        <v>14750752</v>
      </c>
      <c r="B3114">
        <v>4</v>
      </c>
      <c r="C3114">
        <v>3012</v>
      </c>
      <c r="D3114">
        <v>0</v>
      </c>
      <c r="E3114">
        <v>26</v>
      </c>
      <c r="F3114" t="s">
        <v>44</v>
      </c>
      <c r="G3114" t="s">
        <v>78</v>
      </c>
      <c r="H3114" t="s">
        <v>55</v>
      </c>
      <c r="I3114">
        <v>9</v>
      </c>
    </row>
    <row r="3115" spans="1:9" x14ac:dyDescent="0.2">
      <c r="A3115">
        <v>14750752</v>
      </c>
      <c r="B3115">
        <v>5</v>
      </c>
      <c r="C3115">
        <v>3218</v>
      </c>
      <c r="D3115">
        <v>0</v>
      </c>
      <c r="E3115">
        <v>26</v>
      </c>
      <c r="F3115" t="s">
        <v>47</v>
      </c>
      <c r="G3115" t="s">
        <v>66</v>
      </c>
      <c r="H3115" t="s">
        <v>74</v>
      </c>
      <c r="I3115">
        <v>10</v>
      </c>
    </row>
    <row r="3116" spans="1:9" x14ac:dyDescent="0.2">
      <c r="A3116">
        <v>14751867</v>
      </c>
      <c r="B3116">
        <v>1</v>
      </c>
      <c r="C3116">
        <v>1913</v>
      </c>
      <c r="D3116">
        <v>0</v>
      </c>
      <c r="E3116">
        <v>19</v>
      </c>
      <c r="F3116" t="s">
        <v>32</v>
      </c>
      <c r="G3116" t="s">
        <v>211</v>
      </c>
      <c r="H3116" t="s">
        <v>31</v>
      </c>
      <c r="I3116">
        <v>5</v>
      </c>
    </row>
    <row r="3117" spans="1:9" x14ac:dyDescent="0.2">
      <c r="A3117">
        <v>14751867</v>
      </c>
      <c r="B3117">
        <v>2</v>
      </c>
      <c r="C3117">
        <v>1439</v>
      </c>
      <c r="D3117">
        <v>54210</v>
      </c>
      <c r="E3117">
        <v>25</v>
      </c>
      <c r="F3117" t="s">
        <v>25</v>
      </c>
      <c r="G3117" t="s">
        <v>29</v>
      </c>
      <c r="H3117" t="s">
        <v>24</v>
      </c>
      <c r="I3117">
        <v>5</v>
      </c>
    </row>
    <row r="3118" spans="1:9" x14ac:dyDescent="0.2">
      <c r="A3118">
        <v>14751867</v>
      </c>
      <c r="B3118">
        <v>3</v>
      </c>
      <c r="C3118">
        <v>1339</v>
      </c>
      <c r="D3118">
        <v>53550</v>
      </c>
      <c r="E3118">
        <v>25</v>
      </c>
      <c r="F3118" t="s">
        <v>21</v>
      </c>
      <c r="G3118" t="s">
        <v>185</v>
      </c>
      <c r="H3118" t="s">
        <v>20</v>
      </c>
      <c r="I3118">
        <v>8</v>
      </c>
    </row>
    <row r="3119" spans="1:9" x14ac:dyDescent="0.2">
      <c r="A3119">
        <v>14751867</v>
      </c>
      <c r="B3119">
        <v>4</v>
      </c>
      <c r="C3119">
        <v>2640</v>
      </c>
      <c r="D3119">
        <v>54360</v>
      </c>
      <c r="E3119">
        <v>25</v>
      </c>
      <c r="F3119" t="s">
        <v>71</v>
      </c>
      <c r="G3119" t="s">
        <v>184</v>
      </c>
      <c r="H3119" t="s">
        <v>24</v>
      </c>
      <c r="I3119">
        <v>5</v>
      </c>
    </row>
    <row r="3120" spans="1:9" x14ac:dyDescent="0.2">
      <c r="A3120">
        <v>14751867</v>
      </c>
      <c r="B3120">
        <v>5</v>
      </c>
      <c r="C3120">
        <v>3463</v>
      </c>
      <c r="D3120">
        <v>0</v>
      </c>
      <c r="E3120">
        <v>20</v>
      </c>
      <c r="F3120" t="s">
        <v>36</v>
      </c>
      <c r="G3120" t="s">
        <v>212</v>
      </c>
      <c r="H3120" t="s">
        <v>35</v>
      </c>
      <c r="I3120">
        <v>7</v>
      </c>
    </row>
    <row r="3121" spans="1:9" x14ac:dyDescent="0.2">
      <c r="A3121">
        <v>14751867</v>
      </c>
      <c r="B3121">
        <v>6</v>
      </c>
      <c r="C3121">
        <v>3244</v>
      </c>
      <c r="D3121">
        <v>54495</v>
      </c>
      <c r="E3121">
        <v>24</v>
      </c>
      <c r="F3121" t="s">
        <v>47</v>
      </c>
      <c r="G3121" t="s">
        <v>73</v>
      </c>
      <c r="H3121" t="s">
        <v>74</v>
      </c>
      <c r="I3121">
        <v>10</v>
      </c>
    </row>
    <row r="3122" spans="1:9" x14ac:dyDescent="0.2">
      <c r="A3122">
        <v>14751867</v>
      </c>
      <c r="B3122">
        <v>7</v>
      </c>
      <c r="C3122">
        <v>1259</v>
      </c>
      <c r="D3122">
        <v>0</v>
      </c>
      <c r="E3122">
        <v>16</v>
      </c>
      <c r="F3122" t="s">
        <v>19</v>
      </c>
      <c r="G3122" t="s">
        <v>217</v>
      </c>
      <c r="H3122" t="s">
        <v>16</v>
      </c>
      <c r="I3122" t="s">
        <v>448</v>
      </c>
    </row>
    <row r="3123" spans="1:9" x14ac:dyDescent="0.2">
      <c r="A3123">
        <v>14751867</v>
      </c>
      <c r="B3123">
        <v>8</v>
      </c>
      <c r="C3123">
        <v>2546</v>
      </c>
      <c r="D3123">
        <v>0</v>
      </c>
      <c r="E3123">
        <v>26</v>
      </c>
      <c r="F3123" t="s">
        <v>175</v>
      </c>
      <c r="G3123" t="s">
        <v>212</v>
      </c>
      <c r="H3123" t="s">
        <v>213</v>
      </c>
      <c r="I3123">
        <v>4</v>
      </c>
    </row>
    <row r="3124" spans="1:9" x14ac:dyDescent="0.2">
      <c r="A3124">
        <v>14752906</v>
      </c>
      <c r="B3124">
        <v>1</v>
      </c>
      <c r="C3124">
        <v>1776</v>
      </c>
      <c r="D3124">
        <v>47430</v>
      </c>
      <c r="E3124">
        <v>25</v>
      </c>
      <c r="F3124" t="s">
        <v>57</v>
      </c>
      <c r="G3124" t="s">
        <v>124</v>
      </c>
      <c r="H3124" t="s">
        <v>125</v>
      </c>
      <c r="I3124">
        <v>10</v>
      </c>
    </row>
    <row r="3125" spans="1:9" x14ac:dyDescent="0.2">
      <c r="A3125">
        <v>14752906</v>
      </c>
      <c r="B3125">
        <v>2</v>
      </c>
      <c r="C3125">
        <v>1705</v>
      </c>
      <c r="D3125">
        <v>48030</v>
      </c>
      <c r="E3125">
        <v>25</v>
      </c>
      <c r="F3125" t="s">
        <v>57</v>
      </c>
      <c r="G3125" t="s">
        <v>102</v>
      </c>
      <c r="H3125" t="s">
        <v>69</v>
      </c>
      <c r="I3125">
        <v>10</v>
      </c>
    </row>
    <row r="3126" spans="1:9" x14ac:dyDescent="0.2">
      <c r="A3126">
        <v>14807154</v>
      </c>
      <c r="B3126">
        <v>1</v>
      </c>
      <c r="C3126">
        <v>1714</v>
      </c>
      <c r="D3126">
        <v>46500</v>
      </c>
      <c r="E3126">
        <v>25</v>
      </c>
      <c r="F3126" t="s">
        <v>57</v>
      </c>
      <c r="G3126" t="s">
        <v>95</v>
      </c>
      <c r="H3126" t="s">
        <v>69</v>
      </c>
      <c r="I3126">
        <v>10</v>
      </c>
    </row>
    <row r="3127" spans="1:9" x14ac:dyDescent="0.2">
      <c r="A3127">
        <v>14807154</v>
      </c>
      <c r="B3127">
        <v>2</v>
      </c>
      <c r="C3127">
        <v>1700</v>
      </c>
      <c r="D3127">
        <v>48640</v>
      </c>
      <c r="E3127">
        <v>25</v>
      </c>
      <c r="F3127" t="s">
        <v>57</v>
      </c>
      <c r="G3127" t="s">
        <v>58</v>
      </c>
      <c r="H3127" t="s">
        <v>69</v>
      </c>
      <c r="I3127">
        <v>10</v>
      </c>
    </row>
    <row r="3128" spans="1:9" x14ac:dyDescent="0.2">
      <c r="A3128">
        <v>14807154</v>
      </c>
      <c r="B3128">
        <v>3</v>
      </c>
      <c r="C3128">
        <v>1701</v>
      </c>
      <c r="D3128">
        <v>49855</v>
      </c>
      <c r="E3128">
        <v>25</v>
      </c>
      <c r="F3128" t="s">
        <v>57</v>
      </c>
      <c r="G3128" t="s">
        <v>96</v>
      </c>
      <c r="H3128" t="s">
        <v>69</v>
      </c>
      <c r="I3128">
        <v>10</v>
      </c>
    </row>
    <row r="3129" spans="1:9" x14ac:dyDescent="0.2">
      <c r="A3129">
        <v>14807154</v>
      </c>
      <c r="B3129">
        <v>4</v>
      </c>
      <c r="C3129">
        <v>1991</v>
      </c>
      <c r="D3129">
        <v>50030</v>
      </c>
      <c r="E3129">
        <v>25</v>
      </c>
      <c r="F3129" t="s">
        <v>32</v>
      </c>
      <c r="G3129" t="s">
        <v>247</v>
      </c>
      <c r="H3129" t="s">
        <v>31</v>
      </c>
      <c r="I3129">
        <v>5</v>
      </c>
    </row>
    <row r="3130" spans="1:9" x14ac:dyDescent="0.2">
      <c r="A3130">
        <v>14807154</v>
      </c>
      <c r="B3130">
        <v>5</v>
      </c>
      <c r="C3130">
        <v>1711</v>
      </c>
      <c r="D3130">
        <v>49855</v>
      </c>
      <c r="E3130">
        <v>25</v>
      </c>
      <c r="F3130" t="s">
        <v>57</v>
      </c>
      <c r="G3130" t="s">
        <v>201</v>
      </c>
      <c r="H3130" t="s">
        <v>69</v>
      </c>
      <c r="I3130">
        <v>10</v>
      </c>
    </row>
    <row r="3131" spans="1:9" x14ac:dyDescent="0.2">
      <c r="A3131">
        <v>14816786</v>
      </c>
      <c r="B3131">
        <v>1</v>
      </c>
      <c r="C3131">
        <v>3244</v>
      </c>
      <c r="D3131">
        <v>0</v>
      </c>
      <c r="E3131">
        <v>36</v>
      </c>
      <c r="F3131" t="s">
        <v>47</v>
      </c>
      <c r="G3131" t="s">
        <v>73</v>
      </c>
      <c r="H3131" t="s">
        <v>74</v>
      </c>
      <c r="I3131">
        <v>10</v>
      </c>
    </row>
    <row r="3132" spans="1:9" x14ac:dyDescent="0.2">
      <c r="A3132">
        <v>14816786</v>
      </c>
      <c r="B3132">
        <v>2</v>
      </c>
      <c r="C3132">
        <v>2011</v>
      </c>
      <c r="D3132">
        <v>0</v>
      </c>
      <c r="E3132">
        <v>36</v>
      </c>
      <c r="F3132" t="s">
        <v>132</v>
      </c>
      <c r="G3132" t="s">
        <v>310</v>
      </c>
      <c r="H3132" t="s">
        <v>311</v>
      </c>
      <c r="I3132" t="s">
        <v>448</v>
      </c>
    </row>
    <row r="3133" spans="1:9" x14ac:dyDescent="0.2">
      <c r="A3133">
        <v>14816786</v>
      </c>
      <c r="B3133">
        <v>3</v>
      </c>
      <c r="C3133">
        <v>2640</v>
      </c>
      <c r="D3133">
        <v>0</v>
      </c>
      <c r="E3133">
        <v>36</v>
      </c>
      <c r="F3133" t="s">
        <v>71</v>
      </c>
      <c r="G3133" t="s">
        <v>184</v>
      </c>
      <c r="H3133" t="s">
        <v>24</v>
      </c>
      <c r="I3133">
        <v>5</v>
      </c>
    </row>
    <row r="3134" spans="1:9" x14ac:dyDescent="0.2">
      <c r="A3134">
        <v>14816786</v>
      </c>
      <c r="B3134">
        <v>4</v>
      </c>
      <c r="C3134">
        <v>1439</v>
      </c>
      <c r="D3134">
        <v>0</v>
      </c>
      <c r="E3134">
        <v>36</v>
      </c>
      <c r="F3134" t="s">
        <v>25</v>
      </c>
      <c r="G3134" t="s">
        <v>29</v>
      </c>
      <c r="H3134" t="s">
        <v>24</v>
      </c>
      <c r="I3134">
        <v>5</v>
      </c>
    </row>
    <row r="3135" spans="1:9" x14ac:dyDescent="0.2">
      <c r="A3135">
        <v>14816786</v>
      </c>
      <c r="B3135">
        <v>5</v>
      </c>
      <c r="C3135">
        <v>1339</v>
      </c>
      <c r="D3135">
        <v>0</v>
      </c>
      <c r="E3135">
        <v>36</v>
      </c>
      <c r="F3135" t="s">
        <v>21</v>
      </c>
      <c r="G3135" t="s">
        <v>185</v>
      </c>
      <c r="H3135" t="s">
        <v>20</v>
      </c>
      <c r="I3135">
        <v>8</v>
      </c>
    </row>
    <row r="3136" spans="1:9" x14ac:dyDescent="0.2">
      <c r="A3136">
        <v>14816786</v>
      </c>
      <c r="B3136">
        <v>6</v>
      </c>
      <c r="C3136">
        <v>1259</v>
      </c>
      <c r="D3136">
        <v>0</v>
      </c>
      <c r="E3136">
        <v>36</v>
      </c>
      <c r="F3136" t="s">
        <v>19</v>
      </c>
      <c r="G3136" t="s">
        <v>217</v>
      </c>
      <c r="H3136" t="s">
        <v>16</v>
      </c>
      <c r="I3136" t="s">
        <v>448</v>
      </c>
    </row>
    <row r="3137" spans="1:9" x14ac:dyDescent="0.2">
      <c r="A3137">
        <v>14816786</v>
      </c>
      <c r="B3137">
        <v>7</v>
      </c>
      <c r="C3137">
        <v>3722</v>
      </c>
      <c r="D3137">
        <v>0</v>
      </c>
      <c r="E3137">
        <v>36</v>
      </c>
      <c r="F3137" t="s">
        <v>116</v>
      </c>
      <c r="G3137" t="s">
        <v>198</v>
      </c>
      <c r="H3137" t="s">
        <v>61</v>
      </c>
      <c r="I3137">
        <v>9</v>
      </c>
    </row>
    <row r="3138" spans="1:9" x14ac:dyDescent="0.2">
      <c r="A3138">
        <v>14816786</v>
      </c>
      <c r="B3138">
        <v>8</v>
      </c>
      <c r="C3138">
        <v>3252</v>
      </c>
      <c r="D3138">
        <v>0</v>
      </c>
      <c r="E3138">
        <v>36</v>
      </c>
      <c r="F3138" t="s">
        <v>47</v>
      </c>
      <c r="G3138" t="s">
        <v>45</v>
      </c>
      <c r="H3138" t="s">
        <v>46</v>
      </c>
      <c r="I3138">
        <v>10</v>
      </c>
    </row>
    <row r="3139" spans="1:9" x14ac:dyDescent="0.2">
      <c r="A3139">
        <v>14820966</v>
      </c>
      <c r="B3139">
        <v>1</v>
      </c>
      <c r="C3139">
        <v>3261</v>
      </c>
      <c r="D3139">
        <v>50340</v>
      </c>
      <c r="E3139">
        <v>25</v>
      </c>
      <c r="F3139" t="s">
        <v>47</v>
      </c>
      <c r="G3139" t="s">
        <v>93</v>
      </c>
      <c r="H3139" t="s">
        <v>46</v>
      </c>
      <c r="I3139">
        <v>10</v>
      </c>
    </row>
    <row r="3140" spans="1:9" x14ac:dyDescent="0.2">
      <c r="A3140">
        <v>14820966</v>
      </c>
      <c r="B3140">
        <v>2</v>
      </c>
      <c r="C3140">
        <v>3243</v>
      </c>
      <c r="D3140">
        <v>51125</v>
      </c>
      <c r="E3140">
        <v>25</v>
      </c>
      <c r="F3140" t="s">
        <v>47</v>
      </c>
      <c r="G3140" t="s">
        <v>75</v>
      </c>
      <c r="H3140" t="s">
        <v>46</v>
      </c>
      <c r="I3140">
        <v>10</v>
      </c>
    </row>
    <row r="3141" spans="1:9" x14ac:dyDescent="0.2">
      <c r="A3141">
        <v>14824368</v>
      </c>
      <c r="B3141">
        <v>1</v>
      </c>
      <c r="C3141">
        <v>3200</v>
      </c>
      <c r="D3141">
        <v>0</v>
      </c>
      <c r="E3141">
        <v>36</v>
      </c>
      <c r="F3141" t="s">
        <v>47</v>
      </c>
      <c r="G3141" t="s">
        <v>18</v>
      </c>
      <c r="H3141" t="s">
        <v>46</v>
      </c>
      <c r="I3141">
        <v>10</v>
      </c>
    </row>
    <row r="3142" spans="1:9" x14ac:dyDescent="0.2">
      <c r="A3142">
        <v>14824368</v>
      </c>
      <c r="B3142">
        <v>2</v>
      </c>
      <c r="C3142">
        <v>3234</v>
      </c>
      <c r="D3142">
        <v>0</v>
      </c>
      <c r="E3142">
        <v>36</v>
      </c>
      <c r="F3142" t="s">
        <v>47</v>
      </c>
      <c r="G3142" t="s">
        <v>76</v>
      </c>
      <c r="H3142" t="s">
        <v>46</v>
      </c>
      <c r="I3142">
        <v>10</v>
      </c>
    </row>
    <row r="3143" spans="1:9" x14ac:dyDescent="0.2">
      <c r="A3143">
        <v>14824368</v>
      </c>
      <c r="B3143">
        <v>3</v>
      </c>
      <c r="C3143">
        <v>3239</v>
      </c>
      <c r="D3143">
        <v>0</v>
      </c>
      <c r="E3143">
        <v>36</v>
      </c>
      <c r="F3143" t="s">
        <v>47</v>
      </c>
      <c r="G3143" t="s">
        <v>107</v>
      </c>
      <c r="H3143" t="s">
        <v>46</v>
      </c>
      <c r="I3143">
        <v>10</v>
      </c>
    </row>
    <row r="3144" spans="1:9" x14ac:dyDescent="0.2">
      <c r="A3144">
        <v>14824368</v>
      </c>
      <c r="B3144">
        <v>4</v>
      </c>
      <c r="C3144">
        <v>3212</v>
      </c>
      <c r="D3144">
        <v>0</v>
      </c>
      <c r="E3144">
        <v>36</v>
      </c>
      <c r="F3144" t="s">
        <v>47</v>
      </c>
      <c r="G3144" t="s">
        <v>84</v>
      </c>
      <c r="H3144" t="s">
        <v>46</v>
      </c>
      <c r="I3144">
        <v>10</v>
      </c>
    </row>
    <row r="3145" spans="1:9" x14ac:dyDescent="0.2">
      <c r="A3145">
        <v>14835583</v>
      </c>
      <c r="B3145">
        <v>1</v>
      </c>
      <c r="C3145">
        <v>3211</v>
      </c>
      <c r="D3145">
        <v>0</v>
      </c>
      <c r="E3145">
        <v>36</v>
      </c>
      <c r="F3145" t="s">
        <v>47</v>
      </c>
      <c r="G3145" t="s">
        <v>99</v>
      </c>
      <c r="H3145" t="s">
        <v>46</v>
      </c>
      <c r="I3145">
        <v>10</v>
      </c>
    </row>
    <row r="3146" spans="1:9" x14ac:dyDescent="0.2">
      <c r="A3146">
        <v>14835583</v>
      </c>
      <c r="B3146">
        <v>2</v>
      </c>
      <c r="C3146">
        <v>3296</v>
      </c>
      <c r="D3146">
        <v>0</v>
      </c>
      <c r="E3146">
        <v>36</v>
      </c>
      <c r="F3146" t="s">
        <v>47</v>
      </c>
      <c r="G3146" t="s">
        <v>100</v>
      </c>
      <c r="H3146" t="s">
        <v>46</v>
      </c>
      <c r="I3146">
        <v>10</v>
      </c>
    </row>
    <row r="3147" spans="1:9" x14ac:dyDescent="0.2">
      <c r="A3147">
        <v>14835583</v>
      </c>
      <c r="B3147">
        <v>3</v>
      </c>
      <c r="C3147">
        <v>3239</v>
      </c>
      <c r="D3147">
        <v>0</v>
      </c>
      <c r="E3147">
        <v>36</v>
      </c>
      <c r="F3147" t="s">
        <v>47</v>
      </c>
      <c r="G3147" t="s">
        <v>107</v>
      </c>
      <c r="H3147" t="s">
        <v>46</v>
      </c>
      <c r="I3147">
        <v>10</v>
      </c>
    </row>
    <row r="3148" spans="1:9" x14ac:dyDescent="0.2">
      <c r="A3148">
        <v>14835583</v>
      </c>
      <c r="B3148">
        <v>4</v>
      </c>
      <c r="C3148">
        <v>3212</v>
      </c>
      <c r="D3148">
        <v>0</v>
      </c>
      <c r="E3148">
        <v>36</v>
      </c>
      <c r="F3148" t="s">
        <v>47</v>
      </c>
      <c r="G3148" t="s">
        <v>84</v>
      </c>
      <c r="H3148" t="s">
        <v>46</v>
      </c>
      <c r="I3148">
        <v>10</v>
      </c>
    </row>
    <row r="3149" spans="1:9" x14ac:dyDescent="0.2">
      <c r="A3149">
        <v>14836159</v>
      </c>
      <c r="B3149">
        <v>1</v>
      </c>
      <c r="C3149">
        <v>1702</v>
      </c>
      <c r="D3149">
        <v>62960</v>
      </c>
      <c r="E3149">
        <v>24</v>
      </c>
      <c r="F3149" t="s">
        <v>57</v>
      </c>
      <c r="G3149" t="s">
        <v>164</v>
      </c>
      <c r="H3149" t="s">
        <v>69</v>
      </c>
      <c r="I3149">
        <v>10</v>
      </c>
    </row>
    <row r="3150" spans="1:9" x14ac:dyDescent="0.2">
      <c r="A3150">
        <v>14836159</v>
      </c>
      <c r="B3150">
        <v>2</v>
      </c>
      <c r="C3150">
        <v>1713</v>
      </c>
      <c r="D3150">
        <v>0</v>
      </c>
      <c r="E3150">
        <v>26</v>
      </c>
      <c r="F3150" t="s">
        <v>57</v>
      </c>
      <c r="G3150" t="s">
        <v>170</v>
      </c>
      <c r="H3150" t="s">
        <v>69</v>
      </c>
      <c r="I3150">
        <v>10</v>
      </c>
    </row>
    <row r="3151" spans="1:9" x14ac:dyDescent="0.2">
      <c r="A3151">
        <v>14836159</v>
      </c>
      <c r="B3151">
        <v>3</v>
      </c>
      <c r="C3151">
        <v>3068</v>
      </c>
      <c r="D3151">
        <v>0</v>
      </c>
      <c r="E3151">
        <v>26</v>
      </c>
      <c r="F3151" t="s">
        <v>44</v>
      </c>
      <c r="G3151" t="s">
        <v>40</v>
      </c>
      <c r="H3151" t="s">
        <v>43</v>
      </c>
      <c r="I3151">
        <v>9</v>
      </c>
    </row>
    <row r="3152" spans="1:9" x14ac:dyDescent="0.2">
      <c r="A3152">
        <v>14836159</v>
      </c>
      <c r="B3152">
        <v>4</v>
      </c>
      <c r="C3152">
        <v>1348</v>
      </c>
      <c r="D3152">
        <v>0</v>
      </c>
      <c r="E3152">
        <v>26</v>
      </c>
      <c r="F3152" t="s">
        <v>21</v>
      </c>
      <c r="G3152" t="s">
        <v>164</v>
      </c>
      <c r="H3152" t="s">
        <v>20</v>
      </c>
      <c r="I3152">
        <v>8</v>
      </c>
    </row>
    <row r="3153" spans="1:9" x14ac:dyDescent="0.2">
      <c r="A3153">
        <v>14836159</v>
      </c>
      <c r="B3153">
        <v>5</v>
      </c>
      <c r="C3153">
        <v>1413</v>
      </c>
      <c r="D3153">
        <v>0</v>
      </c>
      <c r="E3153">
        <v>26</v>
      </c>
      <c r="F3153" t="s">
        <v>25</v>
      </c>
      <c r="G3153" t="s">
        <v>423</v>
      </c>
      <c r="H3153" t="s">
        <v>24</v>
      </c>
      <c r="I3153">
        <v>5</v>
      </c>
    </row>
    <row r="3154" spans="1:9" x14ac:dyDescent="0.2">
      <c r="A3154">
        <v>14836159</v>
      </c>
      <c r="B3154">
        <v>6</v>
      </c>
      <c r="C3154">
        <v>1731</v>
      </c>
      <c r="D3154">
        <v>0</v>
      </c>
      <c r="E3154">
        <v>26</v>
      </c>
      <c r="F3154" t="s">
        <v>57</v>
      </c>
      <c r="G3154" t="s">
        <v>172</v>
      </c>
      <c r="H3154" t="s">
        <v>69</v>
      </c>
      <c r="I3154">
        <v>10</v>
      </c>
    </row>
    <row r="3155" spans="1:9" x14ac:dyDescent="0.2">
      <c r="A3155">
        <v>14836159</v>
      </c>
      <c r="B3155">
        <v>7</v>
      </c>
      <c r="C3155">
        <v>1666</v>
      </c>
      <c r="D3155">
        <v>0</v>
      </c>
      <c r="E3155">
        <v>26</v>
      </c>
      <c r="F3155" t="s">
        <v>128</v>
      </c>
      <c r="G3155" t="s">
        <v>303</v>
      </c>
      <c r="H3155" t="s">
        <v>127</v>
      </c>
      <c r="I3155" t="s">
        <v>448</v>
      </c>
    </row>
    <row r="3156" spans="1:9" x14ac:dyDescent="0.2">
      <c r="A3156">
        <v>14836159</v>
      </c>
      <c r="B3156">
        <v>8</v>
      </c>
      <c r="C3156">
        <v>1145</v>
      </c>
      <c r="D3156">
        <v>0</v>
      </c>
      <c r="E3156">
        <v>16</v>
      </c>
      <c r="F3156" t="s">
        <v>17</v>
      </c>
      <c r="G3156" t="s">
        <v>159</v>
      </c>
      <c r="H3156" t="s">
        <v>16</v>
      </c>
      <c r="I3156" t="s">
        <v>448</v>
      </c>
    </row>
    <row r="3157" spans="1:9" x14ac:dyDescent="0.2">
      <c r="A3157">
        <v>14880372</v>
      </c>
      <c r="B3157">
        <v>1</v>
      </c>
      <c r="C3157">
        <v>3251</v>
      </c>
      <c r="D3157">
        <v>50290</v>
      </c>
      <c r="E3157">
        <v>24</v>
      </c>
      <c r="F3157" t="s">
        <v>47</v>
      </c>
      <c r="G3157" t="s">
        <v>48</v>
      </c>
      <c r="H3157" t="s">
        <v>46</v>
      </c>
      <c r="I3157">
        <v>10</v>
      </c>
    </row>
    <row r="3158" spans="1:9" x14ac:dyDescent="0.2">
      <c r="A3158">
        <v>14880372</v>
      </c>
      <c r="B3158">
        <v>2</v>
      </c>
      <c r="C3158">
        <v>3252</v>
      </c>
      <c r="D3158">
        <v>0</v>
      </c>
      <c r="E3158">
        <v>26</v>
      </c>
      <c r="F3158" t="s">
        <v>47</v>
      </c>
      <c r="G3158" t="s">
        <v>45</v>
      </c>
      <c r="H3158" t="s">
        <v>46</v>
      </c>
      <c r="I3158">
        <v>10</v>
      </c>
    </row>
    <row r="3159" spans="1:9" x14ac:dyDescent="0.2">
      <c r="A3159">
        <v>14883448</v>
      </c>
      <c r="B3159">
        <v>1</v>
      </c>
      <c r="C3159">
        <v>3243</v>
      </c>
      <c r="D3159">
        <v>0</v>
      </c>
      <c r="E3159">
        <v>36</v>
      </c>
      <c r="F3159" t="s">
        <v>47</v>
      </c>
      <c r="G3159" t="s">
        <v>75</v>
      </c>
      <c r="H3159" t="s">
        <v>46</v>
      </c>
      <c r="I3159">
        <v>10</v>
      </c>
    </row>
    <row r="3160" spans="1:9" x14ac:dyDescent="0.2">
      <c r="A3160">
        <v>14883448</v>
      </c>
      <c r="B3160">
        <v>2</v>
      </c>
      <c r="C3160">
        <v>3248</v>
      </c>
      <c r="D3160">
        <v>0</v>
      </c>
      <c r="E3160">
        <v>36</v>
      </c>
      <c r="F3160" t="s">
        <v>47</v>
      </c>
      <c r="G3160" t="s">
        <v>92</v>
      </c>
      <c r="H3160" t="s">
        <v>46</v>
      </c>
      <c r="I3160">
        <v>10</v>
      </c>
    </row>
    <row r="3161" spans="1:9" x14ac:dyDescent="0.2">
      <c r="A3161">
        <v>14893019</v>
      </c>
      <c r="B3161">
        <v>1</v>
      </c>
      <c r="C3161">
        <v>1430</v>
      </c>
      <c r="D3161">
        <v>68860</v>
      </c>
      <c r="E3161">
        <v>24</v>
      </c>
      <c r="F3161" t="s">
        <v>25</v>
      </c>
      <c r="G3161" t="s">
        <v>63</v>
      </c>
      <c r="H3161" t="s">
        <v>24</v>
      </c>
      <c r="I3161">
        <v>5</v>
      </c>
    </row>
    <row r="3162" spans="1:9" x14ac:dyDescent="0.2">
      <c r="A3162">
        <v>14893019</v>
      </c>
      <c r="B3162">
        <v>2</v>
      </c>
      <c r="C3162">
        <v>1324</v>
      </c>
      <c r="D3162">
        <v>0</v>
      </c>
      <c r="E3162">
        <v>26</v>
      </c>
      <c r="F3162" t="s">
        <v>21</v>
      </c>
      <c r="G3162" t="s">
        <v>63</v>
      </c>
      <c r="H3162" t="s">
        <v>20</v>
      </c>
      <c r="I3162">
        <v>8</v>
      </c>
    </row>
    <row r="3163" spans="1:9" x14ac:dyDescent="0.2">
      <c r="A3163">
        <v>14893019</v>
      </c>
      <c r="B3163">
        <v>3</v>
      </c>
      <c r="C3163">
        <v>1782</v>
      </c>
      <c r="D3163">
        <v>0</v>
      </c>
      <c r="E3163">
        <v>26</v>
      </c>
      <c r="F3163" t="s">
        <v>57</v>
      </c>
      <c r="G3163" t="s">
        <v>63</v>
      </c>
      <c r="H3163" t="s">
        <v>69</v>
      </c>
      <c r="I3163">
        <v>10</v>
      </c>
    </row>
    <row r="3164" spans="1:9" x14ac:dyDescent="0.2">
      <c r="A3164">
        <v>14908373</v>
      </c>
      <c r="B3164">
        <v>1</v>
      </c>
      <c r="C3164">
        <v>1350</v>
      </c>
      <c r="D3164">
        <v>60565</v>
      </c>
      <c r="E3164">
        <v>25</v>
      </c>
      <c r="F3164" t="s">
        <v>21</v>
      </c>
      <c r="G3164" t="s">
        <v>247</v>
      </c>
      <c r="H3164" t="s">
        <v>20</v>
      </c>
      <c r="I3164">
        <v>8</v>
      </c>
    </row>
    <row r="3165" spans="1:9" x14ac:dyDescent="0.2">
      <c r="A3165">
        <v>14908373</v>
      </c>
      <c r="B3165">
        <v>2</v>
      </c>
      <c r="C3165">
        <v>3651</v>
      </c>
      <c r="D3165">
        <v>59670</v>
      </c>
      <c r="E3165">
        <v>25</v>
      </c>
      <c r="F3165" t="s">
        <v>108</v>
      </c>
      <c r="G3165" t="s">
        <v>247</v>
      </c>
      <c r="H3165" t="s">
        <v>20</v>
      </c>
      <c r="I3165">
        <v>8</v>
      </c>
    </row>
    <row r="3166" spans="1:9" x14ac:dyDescent="0.2">
      <c r="A3166">
        <v>14908373</v>
      </c>
      <c r="B3166">
        <v>3</v>
      </c>
      <c r="C3166">
        <v>1319</v>
      </c>
      <c r="D3166">
        <v>60935</v>
      </c>
      <c r="E3166">
        <v>24</v>
      </c>
      <c r="F3166" t="s">
        <v>21</v>
      </c>
      <c r="G3166" t="s">
        <v>84</v>
      </c>
      <c r="H3166" t="s">
        <v>20</v>
      </c>
      <c r="I3166">
        <v>8</v>
      </c>
    </row>
    <row r="3167" spans="1:9" x14ac:dyDescent="0.2">
      <c r="A3167">
        <v>14908373</v>
      </c>
      <c r="B3167">
        <v>4</v>
      </c>
      <c r="C3167">
        <v>1333</v>
      </c>
      <c r="D3167">
        <v>0</v>
      </c>
      <c r="E3167">
        <v>26</v>
      </c>
      <c r="F3167" t="s">
        <v>21</v>
      </c>
      <c r="G3167" t="s">
        <v>406</v>
      </c>
      <c r="H3167" t="s">
        <v>20</v>
      </c>
      <c r="I3167">
        <v>8</v>
      </c>
    </row>
    <row r="3168" spans="1:9" x14ac:dyDescent="0.2">
      <c r="A3168">
        <v>14910615</v>
      </c>
      <c r="B3168">
        <v>1</v>
      </c>
      <c r="C3168">
        <v>1325</v>
      </c>
      <c r="D3168">
        <v>57430</v>
      </c>
      <c r="E3168">
        <v>24</v>
      </c>
      <c r="F3168" t="s">
        <v>21</v>
      </c>
      <c r="G3168" t="s">
        <v>93</v>
      </c>
      <c r="H3168" t="s">
        <v>20</v>
      </c>
      <c r="I3168">
        <v>8</v>
      </c>
    </row>
    <row r="3169" spans="1:9" x14ac:dyDescent="0.2">
      <c r="A3169">
        <v>14910615</v>
      </c>
      <c r="B3169">
        <v>2</v>
      </c>
      <c r="C3169">
        <v>3650</v>
      </c>
      <c r="D3169">
        <v>0</v>
      </c>
      <c r="E3169">
        <v>26</v>
      </c>
      <c r="F3169" t="s">
        <v>108</v>
      </c>
      <c r="G3169" t="s">
        <v>93</v>
      </c>
      <c r="H3169" t="s">
        <v>20</v>
      </c>
      <c r="I3169">
        <v>8</v>
      </c>
    </row>
    <row r="3170" spans="1:9" x14ac:dyDescent="0.2">
      <c r="A3170">
        <v>14910615</v>
      </c>
      <c r="B3170">
        <v>3</v>
      </c>
      <c r="C3170">
        <v>2910</v>
      </c>
      <c r="D3170">
        <v>0</v>
      </c>
      <c r="E3170">
        <v>26</v>
      </c>
      <c r="F3170" t="s">
        <v>119</v>
      </c>
      <c r="G3170" t="s">
        <v>93</v>
      </c>
      <c r="H3170" t="s">
        <v>20</v>
      </c>
      <c r="I3170">
        <v>8</v>
      </c>
    </row>
    <row r="3171" spans="1:9" x14ac:dyDescent="0.2">
      <c r="A3171">
        <v>14910615</v>
      </c>
      <c r="B3171">
        <v>4</v>
      </c>
      <c r="C3171">
        <v>1319</v>
      </c>
      <c r="D3171">
        <v>0</v>
      </c>
      <c r="E3171">
        <v>26</v>
      </c>
      <c r="F3171" t="s">
        <v>21</v>
      </c>
      <c r="G3171" t="s">
        <v>84</v>
      </c>
      <c r="H3171" t="s">
        <v>20</v>
      </c>
      <c r="I3171">
        <v>8</v>
      </c>
    </row>
    <row r="3172" spans="1:9" x14ac:dyDescent="0.2">
      <c r="A3172">
        <v>14910615</v>
      </c>
      <c r="B3172">
        <v>5</v>
      </c>
      <c r="C3172">
        <v>3612</v>
      </c>
      <c r="D3172">
        <v>0</v>
      </c>
      <c r="E3172">
        <v>26</v>
      </c>
      <c r="F3172" t="s">
        <v>108</v>
      </c>
      <c r="G3172" t="s">
        <v>84</v>
      </c>
      <c r="H3172" t="s">
        <v>20</v>
      </c>
      <c r="I3172">
        <v>8</v>
      </c>
    </row>
    <row r="3173" spans="1:9" x14ac:dyDescent="0.2">
      <c r="A3173">
        <v>14910615</v>
      </c>
      <c r="B3173">
        <v>6</v>
      </c>
      <c r="C3173">
        <v>2949</v>
      </c>
      <c r="D3173">
        <v>0</v>
      </c>
      <c r="E3173">
        <v>26</v>
      </c>
      <c r="F3173" t="s">
        <v>119</v>
      </c>
      <c r="G3173" t="s">
        <v>84</v>
      </c>
      <c r="H3173" t="s">
        <v>20</v>
      </c>
      <c r="I3173">
        <v>8</v>
      </c>
    </row>
    <row r="3174" spans="1:9" x14ac:dyDescent="0.2">
      <c r="A3174">
        <v>14910615</v>
      </c>
      <c r="B3174">
        <v>7</v>
      </c>
      <c r="C3174">
        <v>3261</v>
      </c>
      <c r="D3174">
        <v>0</v>
      </c>
      <c r="E3174">
        <v>26</v>
      </c>
      <c r="F3174" t="s">
        <v>47</v>
      </c>
      <c r="G3174" t="s">
        <v>93</v>
      </c>
      <c r="H3174" t="s">
        <v>46</v>
      </c>
      <c r="I3174">
        <v>10</v>
      </c>
    </row>
    <row r="3175" spans="1:9" x14ac:dyDescent="0.2">
      <c r="A3175">
        <v>14910615</v>
      </c>
      <c r="B3175">
        <v>8</v>
      </c>
      <c r="C3175">
        <v>3212</v>
      </c>
      <c r="D3175">
        <v>0</v>
      </c>
      <c r="E3175">
        <v>26</v>
      </c>
      <c r="F3175" t="s">
        <v>47</v>
      </c>
      <c r="G3175" t="s">
        <v>84</v>
      </c>
      <c r="H3175" t="s">
        <v>46</v>
      </c>
      <c r="I3175">
        <v>10</v>
      </c>
    </row>
    <row r="3176" spans="1:9" x14ac:dyDescent="0.2">
      <c r="A3176">
        <v>14914960</v>
      </c>
      <c r="B3176">
        <v>1</v>
      </c>
      <c r="C3176">
        <v>1782</v>
      </c>
      <c r="D3176">
        <v>61445</v>
      </c>
      <c r="E3176">
        <v>24</v>
      </c>
      <c r="F3176" t="s">
        <v>57</v>
      </c>
      <c r="G3176" t="s">
        <v>63</v>
      </c>
      <c r="H3176" t="s">
        <v>69</v>
      </c>
      <c r="I3176">
        <v>10</v>
      </c>
    </row>
    <row r="3177" spans="1:9" x14ac:dyDescent="0.2">
      <c r="A3177">
        <v>14914960</v>
      </c>
      <c r="B3177">
        <v>2</v>
      </c>
      <c r="C3177">
        <v>3740</v>
      </c>
      <c r="D3177">
        <v>0</v>
      </c>
      <c r="E3177">
        <v>26</v>
      </c>
      <c r="F3177" t="s">
        <v>116</v>
      </c>
      <c r="G3177" t="s">
        <v>63</v>
      </c>
      <c r="H3177" t="s">
        <v>61</v>
      </c>
      <c r="I3177">
        <v>9</v>
      </c>
    </row>
    <row r="3178" spans="1:9" x14ac:dyDescent="0.2">
      <c r="A3178">
        <v>14914960</v>
      </c>
      <c r="B3178">
        <v>3</v>
      </c>
      <c r="C3178">
        <v>1323</v>
      </c>
      <c r="D3178">
        <v>0</v>
      </c>
      <c r="E3178">
        <v>26</v>
      </c>
      <c r="F3178" t="s">
        <v>21</v>
      </c>
      <c r="G3178" t="s">
        <v>98</v>
      </c>
      <c r="H3178" t="s">
        <v>20</v>
      </c>
      <c r="I3178">
        <v>8</v>
      </c>
    </row>
    <row r="3179" spans="1:9" x14ac:dyDescent="0.2">
      <c r="A3179">
        <v>14914960</v>
      </c>
      <c r="B3179">
        <v>4</v>
      </c>
      <c r="C3179">
        <v>1377</v>
      </c>
      <c r="D3179">
        <v>0</v>
      </c>
      <c r="E3179">
        <v>26</v>
      </c>
      <c r="F3179" t="s">
        <v>21</v>
      </c>
      <c r="G3179" t="s">
        <v>251</v>
      </c>
      <c r="H3179" t="s">
        <v>20</v>
      </c>
      <c r="I3179">
        <v>8</v>
      </c>
    </row>
    <row r="3180" spans="1:9" x14ac:dyDescent="0.2">
      <c r="A3180">
        <v>14914960</v>
      </c>
      <c r="B3180">
        <v>5</v>
      </c>
      <c r="C3180">
        <v>3092</v>
      </c>
      <c r="D3180">
        <v>0</v>
      </c>
      <c r="E3180">
        <v>26</v>
      </c>
      <c r="F3180" t="s">
        <v>44</v>
      </c>
      <c r="G3180" t="s">
        <v>251</v>
      </c>
      <c r="H3180" t="s">
        <v>52</v>
      </c>
      <c r="I3180">
        <v>9</v>
      </c>
    </row>
    <row r="3181" spans="1:9" x14ac:dyDescent="0.2">
      <c r="A3181">
        <v>14914960</v>
      </c>
      <c r="B3181">
        <v>6</v>
      </c>
      <c r="C3181">
        <v>1756</v>
      </c>
      <c r="D3181">
        <v>0</v>
      </c>
      <c r="E3181">
        <v>26</v>
      </c>
      <c r="F3181" t="s">
        <v>57</v>
      </c>
      <c r="G3181" t="s">
        <v>89</v>
      </c>
      <c r="H3181" t="s">
        <v>69</v>
      </c>
      <c r="I3181">
        <v>10</v>
      </c>
    </row>
    <row r="3182" spans="1:9" x14ac:dyDescent="0.2">
      <c r="A3182">
        <v>14914960</v>
      </c>
      <c r="B3182">
        <v>7</v>
      </c>
      <c r="C3182">
        <v>1788</v>
      </c>
      <c r="D3182">
        <v>0</v>
      </c>
      <c r="E3182">
        <v>26</v>
      </c>
      <c r="F3182" t="s">
        <v>57</v>
      </c>
      <c r="G3182" t="s">
        <v>97</v>
      </c>
      <c r="H3182" t="s">
        <v>56</v>
      </c>
      <c r="I3182">
        <v>10</v>
      </c>
    </row>
    <row r="3183" spans="1:9" x14ac:dyDescent="0.2">
      <c r="A3183">
        <v>14944702</v>
      </c>
      <c r="B3183">
        <v>1</v>
      </c>
      <c r="C3183">
        <v>3252</v>
      </c>
      <c r="D3183">
        <v>50420</v>
      </c>
      <c r="E3183">
        <v>25</v>
      </c>
      <c r="F3183" t="s">
        <v>47</v>
      </c>
      <c r="G3183" t="s">
        <v>45</v>
      </c>
      <c r="H3183" t="s">
        <v>46</v>
      </c>
      <c r="I3183">
        <v>10</v>
      </c>
    </row>
    <row r="3184" spans="1:9" x14ac:dyDescent="0.2">
      <c r="A3184">
        <v>14944702</v>
      </c>
      <c r="B3184">
        <v>2</v>
      </c>
      <c r="C3184">
        <v>3251</v>
      </c>
      <c r="D3184">
        <v>50945</v>
      </c>
      <c r="E3184">
        <v>24</v>
      </c>
      <c r="F3184" t="s">
        <v>47</v>
      </c>
      <c r="G3184" t="s">
        <v>48</v>
      </c>
      <c r="H3184" t="s">
        <v>46</v>
      </c>
      <c r="I3184">
        <v>10</v>
      </c>
    </row>
    <row r="3185" spans="1:9" x14ac:dyDescent="0.2">
      <c r="A3185">
        <v>14965987</v>
      </c>
      <c r="B3185">
        <v>1</v>
      </c>
      <c r="C3185">
        <v>1415</v>
      </c>
      <c r="D3185">
        <v>54510</v>
      </c>
      <c r="E3185">
        <v>25</v>
      </c>
      <c r="F3185" t="s">
        <v>25</v>
      </c>
      <c r="G3185" t="s">
        <v>233</v>
      </c>
      <c r="H3185" t="s">
        <v>24</v>
      </c>
      <c r="I3185">
        <v>5</v>
      </c>
    </row>
    <row r="3186" spans="1:9" x14ac:dyDescent="0.2">
      <c r="A3186">
        <v>14965987</v>
      </c>
      <c r="B3186">
        <v>2</v>
      </c>
      <c r="C3186">
        <v>2694</v>
      </c>
      <c r="D3186">
        <v>54130</v>
      </c>
      <c r="E3186">
        <v>25</v>
      </c>
      <c r="F3186" t="s">
        <v>71</v>
      </c>
      <c r="G3186" t="s">
        <v>419</v>
      </c>
      <c r="H3186" t="s">
        <v>24</v>
      </c>
      <c r="I3186">
        <v>5</v>
      </c>
    </row>
    <row r="3187" spans="1:9" x14ac:dyDescent="0.2">
      <c r="A3187">
        <v>14965987</v>
      </c>
      <c r="B3187">
        <v>3</v>
      </c>
      <c r="C3187">
        <v>1943</v>
      </c>
      <c r="D3187">
        <v>54135</v>
      </c>
      <c r="E3187">
        <v>25</v>
      </c>
      <c r="F3187" t="s">
        <v>32</v>
      </c>
      <c r="G3187" t="s">
        <v>233</v>
      </c>
      <c r="H3187" t="s">
        <v>31</v>
      </c>
      <c r="I3187">
        <v>5</v>
      </c>
    </row>
    <row r="3188" spans="1:9" x14ac:dyDescent="0.2">
      <c r="A3188">
        <v>14966674</v>
      </c>
      <c r="B3188">
        <v>1</v>
      </c>
      <c r="C3188">
        <v>1145</v>
      </c>
      <c r="D3188">
        <v>72230</v>
      </c>
      <c r="E3188">
        <v>24</v>
      </c>
      <c r="F3188" t="s">
        <v>17</v>
      </c>
      <c r="G3188" t="s">
        <v>159</v>
      </c>
      <c r="H3188" t="s">
        <v>16</v>
      </c>
      <c r="I3188" t="s">
        <v>448</v>
      </c>
    </row>
    <row r="3189" spans="1:9" x14ac:dyDescent="0.2">
      <c r="A3189">
        <v>14966674</v>
      </c>
      <c r="B3189">
        <v>2</v>
      </c>
      <c r="C3189">
        <v>1507</v>
      </c>
      <c r="D3189">
        <v>0</v>
      </c>
      <c r="E3189">
        <v>26</v>
      </c>
      <c r="F3189" t="s">
        <v>142</v>
      </c>
      <c r="G3189" t="s">
        <v>66</v>
      </c>
      <c r="H3189" t="s">
        <v>31</v>
      </c>
      <c r="I3189">
        <v>5</v>
      </c>
    </row>
    <row r="3190" spans="1:9" x14ac:dyDescent="0.2">
      <c r="A3190">
        <v>14966674</v>
      </c>
      <c r="B3190">
        <v>3</v>
      </c>
      <c r="C3190">
        <v>1372</v>
      </c>
      <c r="D3190">
        <v>0</v>
      </c>
      <c r="E3190">
        <v>26</v>
      </c>
      <c r="F3190" t="s">
        <v>21</v>
      </c>
      <c r="G3190" t="s">
        <v>66</v>
      </c>
      <c r="H3190" t="s">
        <v>20</v>
      </c>
      <c r="I3190">
        <v>8</v>
      </c>
    </row>
    <row r="3191" spans="1:9" x14ac:dyDescent="0.2">
      <c r="A3191">
        <v>14966674</v>
      </c>
      <c r="B3191">
        <v>4</v>
      </c>
      <c r="C3191">
        <v>1603</v>
      </c>
      <c r="D3191">
        <v>0</v>
      </c>
      <c r="E3191">
        <v>26</v>
      </c>
      <c r="F3191" t="s">
        <v>128</v>
      </c>
      <c r="G3191" t="s">
        <v>254</v>
      </c>
      <c r="H3191" t="s">
        <v>127</v>
      </c>
      <c r="I3191" t="s">
        <v>448</v>
      </c>
    </row>
    <row r="3192" spans="1:9" x14ac:dyDescent="0.2">
      <c r="A3192">
        <v>14966674</v>
      </c>
      <c r="B3192">
        <v>5</v>
      </c>
      <c r="C3192">
        <v>1509</v>
      </c>
      <c r="D3192">
        <v>0</v>
      </c>
      <c r="E3192">
        <v>26</v>
      </c>
      <c r="F3192" t="s">
        <v>142</v>
      </c>
      <c r="G3192" t="s">
        <v>162</v>
      </c>
      <c r="H3192" t="s">
        <v>31</v>
      </c>
      <c r="I3192">
        <v>5</v>
      </c>
    </row>
    <row r="3193" spans="1:9" x14ac:dyDescent="0.2">
      <c r="A3193">
        <v>14970613</v>
      </c>
      <c r="B3193">
        <v>1</v>
      </c>
      <c r="C3193">
        <v>1405</v>
      </c>
      <c r="D3193">
        <v>62305</v>
      </c>
      <c r="E3193">
        <v>24</v>
      </c>
      <c r="F3193" t="s">
        <v>25</v>
      </c>
      <c r="G3193" t="s">
        <v>84</v>
      </c>
      <c r="H3193" t="s">
        <v>24</v>
      </c>
      <c r="I3193">
        <v>5</v>
      </c>
    </row>
    <row r="3194" spans="1:9" x14ac:dyDescent="0.2">
      <c r="A3194">
        <v>14970613</v>
      </c>
      <c r="B3194">
        <v>2</v>
      </c>
      <c r="C3194">
        <v>1945</v>
      </c>
      <c r="D3194">
        <v>0</v>
      </c>
      <c r="E3194">
        <v>26</v>
      </c>
      <c r="F3194" t="s">
        <v>32</v>
      </c>
      <c r="G3194" t="s">
        <v>97</v>
      </c>
      <c r="H3194" t="s">
        <v>31</v>
      </c>
      <c r="I3194">
        <v>5</v>
      </c>
    </row>
    <row r="3195" spans="1:9" x14ac:dyDescent="0.2">
      <c r="A3195">
        <v>14970613</v>
      </c>
      <c r="B3195">
        <v>3</v>
      </c>
      <c r="C3195">
        <v>1524</v>
      </c>
      <c r="D3195">
        <v>0</v>
      </c>
      <c r="E3195">
        <v>26</v>
      </c>
      <c r="F3195" t="s">
        <v>142</v>
      </c>
      <c r="G3195" t="s">
        <v>410</v>
      </c>
      <c r="H3195" t="s">
        <v>31</v>
      </c>
      <c r="I3195">
        <v>5</v>
      </c>
    </row>
    <row r="3196" spans="1:9" x14ac:dyDescent="0.2">
      <c r="A3196">
        <v>14970613</v>
      </c>
      <c r="B3196">
        <v>4</v>
      </c>
      <c r="C3196">
        <v>1403</v>
      </c>
      <c r="D3196">
        <v>0</v>
      </c>
      <c r="E3196">
        <v>26</v>
      </c>
      <c r="F3196" t="s">
        <v>25</v>
      </c>
      <c r="G3196" t="s">
        <v>141</v>
      </c>
      <c r="H3196" t="s">
        <v>24</v>
      </c>
      <c r="I3196">
        <v>5</v>
      </c>
    </row>
    <row r="3197" spans="1:9" x14ac:dyDescent="0.2">
      <c r="A3197">
        <v>14970613</v>
      </c>
      <c r="B3197">
        <v>5</v>
      </c>
      <c r="C3197">
        <v>1960</v>
      </c>
      <c r="D3197">
        <v>0</v>
      </c>
      <c r="E3197">
        <v>26</v>
      </c>
      <c r="F3197" t="s">
        <v>32</v>
      </c>
      <c r="G3197" t="s">
        <v>84</v>
      </c>
      <c r="H3197" t="s">
        <v>31</v>
      </c>
      <c r="I3197">
        <v>5</v>
      </c>
    </row>
    <row r="3198" spans="1:9" x14ac:dyDescent="0.2">
      <c r="A3198">
        <v>14970613</v>
      </c>
      <c r="B3198">
        <v>6</v>
      </c>
      <c r="C3198">
        <v>1319</v>
      </c>
      <c r="D3198">
        <v>0</v>
      </c>
      <c r="E3198">
        <v>26</v>
      </c>
      <c r="F3198" t="s">
        <v>21</v>
      </c>
      <c r="G3198" t="s">
        <v>84</v>
      </c>
      <c r="H3198" t="s">
        <v>20</v>
      </c>
      <c r="I3198">
        <v>8</v>
      </c>
    </row>
    <row r="3199" spans="1:9" x14ac:dyDescent="0.2">
      <c r="A3199">
        <v>14970613</v>
      </c>
      <c r="B3199">
        <v>7</v>
      </c>
      <c r="C3199">
        <v>1352</v>
      </c>
      <c r="D3199">
        <v>0</v>
      </c>
      <c r="E3199">
        <v>26</v>
      </c>
      <c r="F3199" t="s">
        <v>21</v>
      </c>
      <c r="G3199" t="s">
        <v>279</v>
      </c>
      <c r="H3199" t="s">
        <v>20</v>
      </c>
      <c r="I3199">
        <v>8</v>
      </c>
    </row>
    <row r="3200" spans="1:9" x14ac:dyDescent="0.2">
      <c r="A3200">
        <v>14994651</v>
      </c>
      <c r="B3200">
        <v>1</v>
      </c>
      <c r="C3200">
        <v>1506</v>
      </c>
      <c r="D3200">
        <v>67565</v>
      </c>
      <c r="E3200">
        <v>24</v>
      </c>
      <c r="F3200" t="s">
        <v>142</v>
      </c>
      <c r="G3200" t="s">
        <v>78</v>
      </c>
      <c r="H3200" t="s">
        <v>31</v>
      </c>
      <c r="I3200">
        <v>5</v>
      </c>
    </row>
    <row r="3201" spans="1:9" x14ac:dyDescent="0.2">
      <c r="A3201">
        <v>14994651</v>
      </c>
      <c r="B3201">
        <v>2</v>
      </c>
      <c r="C3201">
        <v>1525</v>
      </c>
      <c r="D3201">
        <v>0</v>
      </c>
      <c r="E3201">
        <v>26</v>
      </c>
      <c r="F3201" t="s">
        <v>142</v>
      </c>
      <c r="G3201" t="s">
        <v>152</v>
      </c>
      <c r="H3201" t="s">
        <v>31</v>
      </c>
      <c r="I3201">
        <v>5</v>
      </c>
    </row>
    <row r="3202" spans="1:9" x14ac:dyDescent="0.2">
      <c r="A3202">
        <v>14994651</v>
      </c>
      <c r="B3202">
        <v>3</v>
      </c>
      <c r="C3202">
        <v>1504</v>
      </c>
      <c r="D3202">
        <v>0</v>
      </c>
      <c r="E3202">
        <v>26</v>
      </c>
      <c r="F3202" t="s">
        <v>142</v>
      </c>
      <c r="G3202" t="s">
        <v>121</v>
      </c>
      <c r="H3202" t="s">
        <v>31</v>
      </c>
      <c r="I3202">
        <v>5</v>
      </c>
    </row>
    <row r="3203" spans="1:9" x14ac:dyDescent="0.2">
      <c r="A3203">
        <v>14994651</v>
      </c>
      <c r="B3203">
        <v>4</v>
      </c>
      <c r="C3203">
        <v>1503</v>
      </c>
      <c r="D3203">
        <v>0</v>
      </c>
      <c r="E3203">
        <v>26</v>
      </c>
      <c r="F3203" t="s">
        <v>142</v>
      </c>
      <c r="G3203" t="s">
        <v>161</v>
      </c>
      <c r="H3203" t="s">
        <v>31</v>
      </c>
      <c r="I3203">
        <v>5</v>
      </c>
    </row>
    <row r="3204" spans="1:9" x14ac:dyDescent="0.2">
      <c r="A3204">
        <v>14994651</v>
      </c>
      <c r="B3204">
        <v>5</v>
      </c>
      <c r="C3204">
        <v>1462</v>
      </c>
      <c r="D3204">
        <v>0</v>
      </c>
      <c r="E3204">
        <v>26</v>
      </c>
      <c r="F3204" t="s">
        <v>25</v>
      </c>
      <c r="G3204" t="s">
        <v>352</v>
      </c>
      <c r="H3204" t="s">
        <v>24</v>
      </c>
      <c r="I3204">
        <v>5</v>
      </c>
    </row>
    <row r="3205" spans="1:9" x14ac:dyDescent="0.2">
      <c r="A3205">
        <v>14994651</v>
      </c>
      <c r="B3205">
        <v>6</v>
      </c>
      <c r="C3205">
        <v>1440</v>
      </c>
      <c r="D3205">
        <v>0</v>
      </c>
      <c r="E3205">
        <v>26</v>
      </c>
      <c r="F3205" t="s">
        <v>25</v>
      </c>
      <c r="G3205" t="s">
        <v>22</v>
      </c>
      <c r="H3205" t="s">
        <v>24</v>
      </c>
      <c r="I3205">
        <v>5</v>
      </c>
    </row>
    <row r="3206" spans="1:9" x14ac:dyDescent="0.2">
      <c r="A3206">
        <v>14994651</v>
      </c>
      <c r="B3206">
        <v>7</v>
      </c>
      <c r="C3206">
        <v>1435</v>
      </c>
      <c r="D3206">
        <v>0</v>
      </c>
      <c r="E3206">
        <v>16</v>
      </c>
      <c r="F3206" t="s">
        <v>25</v>
      </c>
      <c r="G3206" t="s">
        <v>414</v>
      </c>
      <c r="H3206" t="s">
        <v>24</v>
      </c>
      <c r="I3206">
        <v>5</v>
      </c>
    </row>
    <row r="3207" spans="1:9" x14ac:dyDescent="0.2">
      <c r="A3207">
        <v>14994651</v>
      </c>
      <c r="B3207">
        <v>8</v>
      </c>
      <c r="C3207">
        <v>1940</v>
      </c>
      <c r="D3207">
        <v>0</v>
      </c>
      <c r="E3207">
        <v>26</v>
      </c>
      <c r="F3207" t="s">
        <v>32</v>
      </c>
      <c r="G3207" t="s">
        <v>170</v>
      </c>
      <c r="H3207" t="s">
        <v>31</v>
      </c>
      <c r="I3207">
        <v>5</v>
      </c>
    </row>
    <row r="3208" spans="1:9" x14ac:dyDescent="0.2">
      <c r="A3208">
        <v>15021457</v>
      </c>
      <c r="B3208">
        <v>1</v>
      </c>
      <c r="C3208">
        <v>3026</v>
      </c>
      <c r="D3208">
        <v>67910</v>
      </c>
      <c r="E3208">
        <v>25</v>
      </c>
      <c r="F3208" t="s">
        <v>44</v>
      </c>
      <c r="G3208" t="s">
        <v>170</v>
      </c>
      <c r="H3208" t="s">
        <v>50</v>
      </c>
      <c r="I3208">
        <v>9</v>
      </c>
    </row>
    <row r="3209" spans="1:9" x14ac:dyDescent="0.2">
      <c r="A3209">
        <v>15021457</v>
      </c>
      <c r="B3209">
        <v>2</v>
      </c>
      <c r="C3209">
        <v>1713</v>
      </c>
      <c r="D3209">
        <v>69030</v>
      </c>
      <c r="E3209">
        <v>25</v>
      </c>
      <c r="F3209" t="s">
        <v>57</v>
      </c>
      <c r="G3209" t="s">
        <v>170</v>
      </c>
      <c r="H3209" t="s">
        <v>69</v>
      </c>
      <c r="I3209">
        <v>10</v>
      </c>
    </row>
    <row r="3210" spans="1:9" x14ac:dyDescent="0.2">
      <c r="A3210">
        <v>15021457</v>
      </c>
      <c r="B3210">
        <v>3</v>
      </c>
      <c r="C3210">
        <v>1731</v>
      </c>
      <c r="D3210">
        <v>69030</v>
      </c>
      <c r="E3210">
        <v>25</v>
      </c>
      <c r="F3210" t="s">
        <v>57</v>
      </c>
      <c r="G3210" t="s">
        <v>172</v>
      </c>
      <c r="H3210" t="s">
        <v>69</v>
      </c>
      <c r="I3210">
        <v>10</v>
      </c>
    </row>
    <row r="3211" spans="1:9" x14ac:dyDescent="0.2">
      <c r="A3211">
        <v>15021457</v>
      </c>
      <c r="B3211">
        <v>4</v>
      </c>
      <c r="C3211">
        <v>3033</v>
      </c>
      <c r="D3211">
        <v>67910</v>
      </c>
      <c r="E3211">
        <v>25</v>
      </c>
      <c r="F3211" t="s">
        <v>44</v>
      </c>
      <c r="G3211" t="s">
        <v>122</v>
      </c>
      <c r="H3211" t="s">
        <v>50</v>
      </c>
      <c r="I3211">
        <v>9</v>
      </c>
    </row>
    <row r="3212" spans="1:9" x14ac:dyDescent="0.2">
      <c r="A3212">
        <v>15021457</v>
      </c>
      <c r="B3212">
        <v>5</v>
      </c>
      <c r="C3212">
        <v>3023</v>
      </c>
      <c r="D3212">
        <v>67910</v>
      </c>
      <c r="E3212">
        <v>24</v>
      </c>
      <c r="F3212" t="s">
        <v>44</v>
      </c>
      <c r="G3212" t="s">
        <v>124</v>
      </c>
      <c r="H3212" t="s">
        <v>50</v>
      </c>
      <c r="I3212">
        <v>9</v>
      </c>
    </row>
    <row r="3213" spans="1:9" x14ac:dyDescent="0.2">
      <c r="A3213">
        <v>15021457</v>
      </c>
      <c r="B3213">
        <v>6</v>
      </c>
      <c r="C3213">
        <v>1789</v>
      </c>
      <c r="D3213">
        <v>0</v>
      </c>
      <c r="E3213">
        <v>26</v>
      </c>
      <c r="F3213" t="s">
        <v>57</v>
      </c>
      <c r="G3213" t="s">
        <v>122</v>
      </c>
      <c r="H3213" t="s">
        <v>69</v>
      </c>
      <c r="I3213">
        <v>10</v>
      </c>
    </row>
    <row r="3214" spans="1:9" x14ac:dyDescent="0.2">
      <c r="A3214">
        <v>15021457</v>
      </c>
      <c r="B3214">
        <v>7</v>
      </c>
      <c r="C3214">
        <v>3035</v>
      </c>
      <c r="D3214">
        <v>0</v>
      </c>
      <c r="E3214">
        <v>26</v>
      </c>
      <c r="F3214" t="s">
        <v>44</v>
      </c>
      <c r="G3214" t="s">
        <v>103</v>
      </c>
      <c r="H3214" t="s">
        <v>50</v>
      </c>
      <c r="I3214">
        <v>9</v>
      </c>
    </row>
    <row r="3215" spans="1:9" x14ac:dyDescent="0.2">
      <c r="A3215">
        <v>15021457</v>
      </c>
      <c r="B3215">
        <v>8</v>
      </c>
      <c r="C3215">
        <v>3068</v>
      </c>
      <c r="D3215">
        <v>0</v>
      </c>
      <c r="E3215">
        <v>26</v>
      </c>
      <c r="F3215" t="s">
        <v>44</v>
      </c>
      <c r="G3215" t="s">
        <v>40</v>
      </c>
      <c r="H3215" t="s">
        <v>43</v>
      </c>
      <c r="I3215">
        <v>9</v>
      </c>
    </row>
    <row r="3216" spans="1:9" x14ac:dyDescent="0.2">
      <c r="A3216">
        <v>15038678</v>
      </c>
      <c r="B3216">
        <v>1</v>
      </c>
      <c r="C3216">
        <v>2147</v>
      </c>
      <c r="D3216">
        <v>59520</v>
      </c>
      <c r="E3216">
        <v>25</v>
      </c>
      <c r="F3216" t="s">
        <v>193</v>
      </c>
      <c r="G3216" t="s">
        <v>18</v>
      </c>
      <c r="H3216" t="s">
        <v>216</v>
      </c>
      <c r="I3216" t="s">
        <v>448</v>
      </c>
    </row>
    <row r="3217" spans="1:9" x14ac:dyDescent="0.2">
      <c r="A3217">
        <v>15038678</v>
      </c>
      <c r="B3217">
        <v>2</v>
      </c>
      <c r="C3217">
        <v>3200</v>
      </c>
      <c r="D3217">
        <v>59020</v>
      </c>
      <c r="E3217">
        <v>24</v>
      </c>
      <c r="F3217" t="s">
        <v>47</v>
      </c>
      <c r="G3217" t="s">
        <v>18</v>
      </c>
      <c r="H3217" t="s">
        <v>46</v>
      </c>
      <c r="I3217">
        <v>10</v>
      </c>
    </row>
    <row r="3218" spans="1:9" x14ac:dyDescent="0.2">
      <c r="A3218">
        <v>15038678</v>
      </c>
      <c r="B3218">
        <v>3</v>
      </c>
      <c r="C3218">
        <v>2123</v>
      </c>
      <c r="D3218">
        <v>0</v>
      </c>
      <c r="E3218">
        <v>26</v>
      </c>
      <c r="F3218" t="s">
        <v>193</v>
      </c>
      <c r="G3218" t="s">
        <v>215</v>
      </c>
      <c r="H3218" t="s">
        <v>216</v>
      </c>
      <c r="I3218" t="s">
        <v>448</v>
      </c>
    </row>
    <row r="3219" spans="1:9" x14ac:dyDescent="0.2">
      <c r="A3219">
        <v>15038678</v>
      </c>
      <c r="B3219">
        <v>4</v>
      </c>
      <c r="C3219">
        <v>3296</v>
      </c>
      <c r="D3219">
        <v>0</v>
      </c>
      <c r="E3219">
        <v>26</v>
      </c>
      <c r="F3219" t="s">
        <v>47</v>
      </c>
      <c r="G3219" t="s">
        <v>100</v>
      </c>
      <c r="H3219" t="s">
        <v>46</v>
      </c>
      <c r="I3219">
        <v>10</v>
      </c>
    </row>
    <row r="3220" spans="1:9" x14ac:dyDescent="0.2">
      <c r="A3220">
        <v>15038678</v>
      </c>
      <c r="B3220">
        <v>5</v>
      </c>
      <c r="C3220">
        <v>2124</v>
      </c>
      <c r="D3220">
        <v>0</v>
      </c>
      <c r="E3220">
        <v>26</v>
      </c>
      <c r="F3220" t="s">
        <v>193</v>
      </c>
      <c r="G3220" t="s">
        <v>378</v>
      </c>
      <c r="H3220" t="s">
        <v>216</v>
      </c>
      <c r="I3220" t="s">
        <v>448</v>
      </c>
    </row>
    <row r="3221" spans="1:9" x14ac:dyDescent="0.2">
      <c r="A3221">
        <v>15052997</v>
      </c>
      <c r="B3221">
        <v>1</v>
      </c>
      <c r="C3221">
        <v>1732</v>
      </c>
      <c r="D3221">
        <v>55445</v>
      </c>
      <c r="E3221">
        <v>25</v>
      </c>
      <c r="F3221" t="s">
        <v>57</v>
      </c>
      <c r="G3221" t="s">
        <v>104</v>
      </c>
      <c r="H3221" t="s">
        <v>69</v>
      </c>
      <c r="I3221">
        <v>10</v>
      </c>
    </row>
    <row r="3222" spans="1:9" x14ac:dyDescent="0.2">
      <c r="A3222">
        <v>15052997</v>
      </c>
      <c r="B3222">
        <v>2</v>
      </c>
      <c r="C3222">
        <v>3021</v>
      </c>
      <c r="D3222">
        <v>55885</v>
      </c>
      <c r="E3222">
        <v>25</v>
      </c>
      <c r="F3222" t="s">
        <v>44</v>
      </c>
      <c r="G3222" t="s">
        <v>49</v>
      </c>
      <c r="H3222" t="s">
        <v>50</v>
      </c>
      <c r="I3222">
        <v>9</v>
      </c>
    </row>
    <row r="3223" spans="1:9" x14ac:dyDescent="0.2">
      <c r="A3223">
        <v>15052997</v>
      </c>
      <c r="B3223">
        <v>3</v>
      </c>
      <c r="C3223">
        <v>3023</v>
      </c>
      <c r="D3223">
        <v>55850</v>
      </c>
      <c r="E3223">
        <v>25</v>
      </c>
      <c r="F3223" t="s">
        <v>44</v>
      </c>
      <c r="G3223" t="s">
        <v>124</v>
      </c>
      <c r="H3223" t="s">
        <v>50</v>
      </c>
      <c r="I3223">
        <v>9</v>
      </c>
    </row>
    <row r="3224" spans="1:9" x14ac:dyDescent="0.2">
      <c r="A3224">
        <v>15052997</v>
      </c>
      <c r="B3224">
        <v>4</v>
      </c>
      <c r="C3224">
        <v>3029</v>
      </c>
      <c r="D3224">
        <v>55850</v>
      </c>
      <c r="E3224">
        <v>25</v>
      </c>
      <c r="F3224" t="s">
        <v>44</v>
      </c>
      <c r="G3224" t="s">
        <v>247</v>
      </c>
      <c r="H3224" t="s">
        <v>50</v>
      </c>
      <c r="I3224">
        <v>9</v>
      </c>
    </row>
    <row r="3225" spans="1:9" x14ac:dyDescent="0.2">
      <c r="A3225">
        <v>15052997</v>
      </c>
      <c r="B3225">
        <v>5</v>
      </c>
      <c r="C3225">
        <v>1715</v>
      </c>
      <c r="D3225">
        <v>55725</v>
      </c>
      <c r="E3225">
        <v>25</v>
      </c>
      <c r="F3225" t="s">
        <v>57</v>
      </c>
      <c r="G3225" t="s">
        <v>151</v>
      </c>
      <c r="H3225" t="s">
        <v>69</v>
      </c>
      <c r="I3225">
        <v>10</v>
      </c>
    </row>
    <row r="3226" spans="1:9" x14ac:dyDescent="0.2">
      <c r="A3226">
        <v>15097595</v>
      </c>
      <c r="B3226">
        <v>1</v>
      </c>
      <c r="C3226">
        <v>1776</v>
      </c>
      <c r="D3226">
        <v>53420</v>
      </c>
      <c r="E3226">
        <v>25</v>
      </c>
      <c r="F3226" t="s">
        <v>57</v>
      </c>
      <c r="G3226" t="s">
        <v>124</v>
      </c>
      <c r="H3226" t="s">
        <v>125</v>
      </c>
      <c r="I3226">
        <v>10</v>
      </c>
    </row>
    <row r="3227" spans="1:9" x14ac:dyDescent="0.2">
      <c r="A3227">
        <v>15097595</v>
      </c>
      <c r="B3227">
        <v>2</v>
      </c>
      <c r="C3227">
        <v>3023</v>
      </c>
      <c r="D3227">
        <v>53890</v>
      </c>
      <c r="E3227">
        <v>25</v>
      </c>
      <c r="F3227" t="s">
        <v>44</v>
      </c>
      <c r="G3227" t="s">
        <v>124</v>
      </c>
      <c r="H3227" t="s">
        <v>50</v>
      </c>
      <c r="I3227">
        <v>9</v>
      </c>
    </row>
    <row r="3228" spans="1:9" x14ac:dyDescent="0.2">
      <c r="A3228">
        <v>15097595</v>
      </c>
      <c r="B3228">
        <v>3</v>
      </c>
      <c r="C3228">
        <v>1754</v>
      </c>
      <c r="D3228">
        <v>54045</v>
      </c>
      <c r="E3228">
        <v>24</v>
      </c>
      <c r="F3228" t="s">
        <v>57</v>
      </c>
      <c r="G3228" t="s">
        <v>85</v>
      </c>
      <c r="H3228" t="s">
        <v>69</v>
      </c>
      <c r="I3228">
        <v>10</v>
      </c>
    </row>
    <row r="3229" spans="1:9" x14ac:dyDescent="0.2">
      <c r="A3229">
        <v>15097595</v>
      </c>
      <c r="B3229">
        <v>4</v>
      </c>
      <c r="C3229">
        <v>3000</v>
      </c>
      <c r="D3229">
        <v>0</v>
      </c>
      <c r="E3229">
        <v>26</v>
      </c>
      <c r="F3229" t="s">
        <v>44</v>
      </c>
      <c r="G3229" t="s">
        <v>99</v>
      </c>
      <c r="H3229" t="s">
        <v>55</v>
      </c>
      <c r="I3229">
        <v>9</v>
      </c>
    </row>
    <row r="3230" spans="1:9" x14ac:dyDescent="0.2">
      <c r="A3230">
        <v>15097595</v>
      </c>
      <c r="B3230">
        <v>5</v>
      </c>
      <c r="C3230">
        <v>1774</v>
      </c>
      <c r="D3230">
        <v>0</v>
      </c>
      <c r="E3230">
        <v>26</v>
      </c>
      <c r="F3230" t="s">
        <v>57</v>
      </c>
      <c r="G3230" t="s">
        <v>296</v>
      </c>
      <c r="H3230" t="s">
        <v>69</v>
      </c>
      <c r="I3230">
        <v>10</v>
      </c>
    </row>
    <row r="3231" spans="1:9" x14ac:dyDescent="0.2">
      <c r="A3231">
        <v>15097595</v>
      </c>
      <c r="B3231">
        <v>6</v>
      </c>
      <c r="C3231">
        <v>1704</v>
      </c>
      <c r="D3231">
        <v>0</v>
      </c>
      <c r="E3231">
        <v>26</v>
      </c>
      <c r="F3231" t="s">
        <v>57</v>
      </c>
      <c r="G3231" t="s">
        <v>82</v>
      </c>
      <c r="H3231" t="s">
        <v>79</v>
      </c>
      <c r="I3231">
        <v>10</v>
      </c>
    </row>
    <row r="3232" spans="1:9" x14ac:dyDescent="0.2">
      <c r="A3232">
        <v>15097595</v>
      </c>
      <c r="B3232">
        <v>7</v>
      </c>
      <c r="C3232">
        <v>1710</v>
      </c>
      <c r="D3232">
        <v>0</v>
      </c>
      <c r="E3232">
        <v>26</v>
      </c>
      <c r="F3232" t="s">
        <v>57</v>
      </c>
      <c r="G3232" t="s">
        <v>169</v>
      </c>
      <c r="H3232" t="s">
        <v>69</v>
      </c>
      <c r="I3232">
        <v>10</v>
      </c>
    </row>
    <row r="3233" spans="1:9" x14ac:dyDescent="0.2">
      <c r="A3233">
        <v>15097595</v>
      </c>
      <c r="B3233">
        <v>8</v>
      </c>
      <c r="C3233">
        <v>3726</v>
      </c>
      <c r="D3233">
        <v>0</v>
      </c>
      <c r="E3233">
        <v>26</v>
      </c>
      <c r="F3233" t="s">
        <v>116</v>
      </c>
      <c r="G3233" t="s">
        <v>287</v>
      </c>
      <c r="H3233" t="s">
        <v>61</v>
      </c>
      <c r="I3233">
        <v>9</v>
      </c>
    </row>
    <row r="3234" spans="1:9" x14ac:dyDescent="0.2">
      <c r="A3234">
        <v>15127344</v>
      </c>
      <c r="B3234">
        <v>1</v>
      </c>
      <c r="C3234">
        <v>3200</v>
      </c>
      <c r="D3234">
        <v>0</v>
      </c>
      <c r="E3234">
        <v>36</v>
      </c>
      <c r="F3234" t="s">
        <v>47</v>
      </c>
      <c r="G3234" t="s">
        <v>18</v>
      </c>
      <c r="H3234" t="s">
        <v>46</v>
      </c>
      <c r="I3234">
        <v>10</v>
      </c>
    </row>
    <row r="3235" spans="1:9" x14ac:dyDescent="0.2">
      <c r="A3235">
        <v>15127344</v>
      </c>
      <c r="B3235">
        <v>2</v>
      </c>
      <c r="C3235">
        <v>3296</v>
      </c>
      <c r="D3235">
        <v>0</v>
      </c>
      <c r="E3235">
        <v>36</v>
      </c>
      <c r="F3235" t="s">
        <v>47</v>
      </c>
      <c r="G3235" t="s">
        <v>100</v>
      </c>
      <c r="H3235" t="s">
        <v>46</v>
      </c>
      <c r="I3235">
        <v>10</v>
      </c>
    </row>
    <row r="3236" spans="1:9" x14ac:dyDescent="0.2">
      <c r="A3236">
        <v>15127344</v>
      </c>
      <c r="B3236">
        <v>3</v>
      </c>
      <c r="C3236">
        <v>3243</v>
      </c>
      <c r="D3236">
        <v>0</v>
      </c>
      <c r="E3236">
        <v>36</v>
      </c>
      <c r="F3236" t="s">
        <v>47</v>
      </c>
      <c r="G3236" t="s">
        <v>75</v>
      </c>
      <c r="H3236" t="s">
        <v>46</v>
      </c>
      <c r="I3236">
        <v>10</v>
      </c>
    </row>
    <row r="3237" spans="1:9" x14ac:dyDescent="0.2">
      <c r="A3237">
        <v>15127344</v>
      </c>
      <c r="B3237">
        <v>4</v>
      </c>
      <c r="C3237">
        <v>3244</v>
      </c>
      <c r="D3237">
        <v>0</v>
      </c>
      <c r="E3237">
        <v>36</v>
      </c>
      <c r="F3237" t="s">
        <v>47</v>
      </c>
      <c r="G3237" t="s">
        <v>73</v>
      </c>
      <c r="H3237" t="s">
        <v>74</v>
      </c>
      <c r="I3237">
        <v>10</v>
      </c>
    </row>
    <row r="3238" spans="1:9" x14ac:dyDescent="0.2">
      <c r="A3238">
        <v>15127344</v>
      </c>
      <c r="B3238">
        <v>5</v>
      </c>
      <c r="C3238">
        <v>3252</v>
      </c>
      <c r="D3238">
        <v>0</v>
      </c>
      <c r="E3238">
        <v>36</v>
      </c>
      <c r="F3238" t="s">
        <v>47</v>
      </c>
      <c r="G3238" t="s">
        <v>45</v>
      </c>
      <c r="H3238" t="s">
        <v>46</v>
      </c>
      <c r="I3238">
        <v>10</v>
      </c>
    </row>
    <row r="3239" spans="1:9" x14ac:dyDescent="0.2">
      <c r="A3239">
        <v>15127344</v>
      </c>
      <c r="B3239">
        <v>6</v>
      </c>
      <c r="C3239">
        <v>3261</v>
      </c>
      <c r="D3239">
        <v>0</v>
      </c>
      <c r="E3239">
        <v>36</v>
      </c>
      <c r="F3239" t="s">
        <v>47</v>
      </c>
      <c r="G3239" t="s">
        <v>93</v>
      </c>
      <c r="H3239" t="s">
        <v>46</v>
      </c>
      <c r="I3239">
        <v>10</v>
      </c>
    </row>
    <row r="3240" spans="1:9" x14ac:dyDescent="0.2">
      <c r="A3240">
        <v>15127344</v>
      </c>
      <c r="B3240">
        <v>7</v>
      </c>
      <c r="C3240">
        <v>3229</v>
      </c>
      <c r="D3240">
        <v>0</v>
      </c>
      <c r="E3240">
        <v>36</v>
      </c>
      <c r="F3240" t="s">
        <v>47</v>
      </c>
      <c r="G3240" t="s">
        <v>101</v>
      </c>
      <c r="H3240" t="s">
        <v>46</v>
      </c>
      <c r="I3240">
        <v>10</v>
      </c>
    </row>
    <row r="3241" spans="1:9" x14ac:dyDescent="0.2">
      <c r="A3241">
        <v>15127344</v>
      </c>
      <c r="B3241">
        <v>8</v>
      </c>
      <c r="C3241">
        <v>3234</v>
      </c>
      <c r="D3241">
        <v>0</v>
      </c>
      <c r="E3241">
        <v>36</v>
      </c>
      <c r="F3241" t="s">
        <v>47</v>
      </c>
      <c r="G3241" t="s">
        <v>76</v>
      </c>
      <c r="H3241" t="s">
        <v>46</v>
      </c>
      <c r="I3241">
        <v>10</v>
      </c>
    </row>
    <row r="3242" spans="1:9" x14ac:dyDescent="0.2">
      <c r="A3242">
        <v>15140330</v>
      </c>
      <c r="B3242">
        <v>1</v>
      </c>
      <c r="C3242">
        <v>1736</v>
      </c>
      <c r="D3242">
        <v>54905</v>
      </c>
      <c r="E3242">
        <v>24</v>
      </c>
      <c r="F3242" t="s">
        <v>57</v>
      </c>
      <c r="G3242" t="s">
        <v>78</v>
      </c>
      <c r="H3242" t="s">
        <v>79</v>
      </c>
      <c r="I3242">
        <v>10</v>
      </c>
    </row>
    <row r="3243" spans="1:9" x14ac:dyDescent="0.2">
      <c r="A3243">
        <v>15140330</v>
      </c>
      <c r="B3243">
        <v>2</v>
      </c>
      <c r="C3243">
        <v>3012</v>
      </c>
      <c r="D3243">
        <v>0</v>
      </c>
      <c r="E3243">
        <v>26</v>
      </c>
      <c r="F3243" t="s">
        <v>44</v>
      </c>
      <c r="G3243" t="s">
        <v>78</v>
      </c>
      <c r="H3243" t="s">
        <v>55</v>
      </c>
      <c r="I3243">
        <v>9</v>
      </c>
    </row>
    <row r="3244" spans="1:9" x14ac:dyDescent="0.2">
      <c r="A3244">
        <v>15140330</v>
      </c>
      <c r="B3244">
        <v>3</v>
      </c>
      <c r="C3244">
        <v>3074</v>
      </c>
      <c r="D3244">
        <v>0</v>
      </c>
      <c r="E3244">
        <v>26</v>
      </c>
      <c r="F3244" t="s">
        <v>44</v>
      </c>
      <c r="G3244" t="s">
        <v>152</v>
      </c>
      <c r="H3244" t="s">
        <v>61</v>
      </c>
      <c r="I3244">
        <v>9</v>
      </c>
    </row>
    <row r="3245" spans="1:9" x14ac:dyDescent="0.2">
      <c r="A3245">
        <v>15157873</v>
      </c>
      <c r="B3245">
        <v>1</v>
      </c>
      <c r="C3245">
        <v>1708</v>
      </c>
      <c r="D3245">
        <v>57465</v>
      </c>
      <c r="E3245">
        <v>24</v>
      </c>
      <c r="F3245" t="s">
        <v>57</v>
      </c>
      <c r="G3245" t="s">
        <v>80</v>
      </c>
      <c r="H3245" t="s">
        <v>79</v>
      </c>
      <c r="I3245">
        <v>10</v>
      </c>
    </row>
    <row r="3246" spans="1:9" x14ac:dyDescent="0.2">
      <c r="A3246">
        <v>15157873</v>
      </c>
      <c r="B3246">
        <v>2</v>
      </c>
      <c r="C3246">
        <v>1709</v>
      </c>
      <c r="D3246">
        <v>0</v>
      </c>
      <c r="E3246">
        <v>26</v>
      </c>
      <c r="F3246" t="s">
        <v>57</v>
      </c>
      <c r="G3246" t="s">
        <v>84</v>
      </c>
      <c r="H3246" t="s">
        <v>69</v>
      </c>
      <c r="I3246">
        <v>10</v>
      </c>
    </row>
    <row r="3247" spans="1:9" x14ac:dyDescent="0.2">
      <c r="A3247">
        <v>15157873</v>
      </c>
      <c r="B3247">
        <v>3</v>
      </c>
      <c r="C3247">
        <v>1703</v>
      </c>
      <c r="D3247">
        <v>0</v>
      </c>
      <c r="E3247">
        <v>26</v>
      </c>
      <c r="F3247" t="s">
        <v>57</v>
      </c>
      <c r="G3247" t="s">
        <v>109</v>
      </c>
      <c r="H3247" t="s">
        <v>69</v>
      </c>
      <c r="I3247">
        <v>10</v>
      </c>
    </row>
    <row r="3248" spans="1:9" x14ac:dyDescent="0.2">
      <c r="A3248">
        <v>15157873</v>
      </c>
      <c r="B3248">
        <v>4</v>
      </c>
      <c r="C3248">
        <v>3212</v>
      </c>
      <c r="D3248">
        <v>0</v>
      </c>
      <c r="E3248">
        <v>26</v>
      </c>
      <c r="F3248" t="s">
        <v>47</v>
      </c>
      <c r="G3248" t="s">
        <v>84</v>
      </c>
      <c r="H3248" t="s">
        <v>46</v>
      </c>
      <c r="I3248">
        <v>10</v>
      </c>
    </row>
    <row r="3249" spans="1:9" x14ac:dyDescent="0.2">
      <c r="A3249">
        <v>15157873</v>
      </c>
      <c r="B3249">
        <v>5</v>
      </c>
      <c r="C3249">
        <v>3211</v>
      </c>
      <c r="D3249">
        <v>0</v>
      </c>
      <c r="E3249">
        <v>26</v>
      </c>
      <c r="F3249" t="s">
        <v>47</v>
      </c>
      <c r="G3249" t="s">
        <v>99</v>
      </c>
      <c r="H3249" t="s">
        <v>46</v>
      </c>
      <c r="I3249">
        <v>10</v>
      </c>
    </row>
    <row r="3250" spans="1:9" x14ac:dyDescent="0.2">
      <c r="A3250">
        <v>15157873</v>
      </c>
      <c r="B3250">
        <v>6</v>
      </c>
      <c r="C3250">
        <v>1729</v>
      </c>
      <c r="D3250">
        <v>0</v>
      </c>
      <c r="E3250">
        <v>26</v>
      </c>
      <c r="F3250" t="s">
        <v>57</v>
      </c>
      <c r="G3250" t="s">
        <v>72</v>
      </c>
      <c r="H3250" t="s">
        <v>69</v>
      </c>
      <c r="I3250">
        <v>10</v>
      </c>
    </row>
    <row r="3251" spans="1:9" x14ac:dyDescent="0.2">
      <c r="A3251">
        <v>15157873</v>
      </c>
      <c r="B3251">
        <v>7</v>
      </c>
      <c r="C3251">
        <v>1779</v>
      </c>
      <c r="D3251">
        <v>0</v>
      </c>
      <c r="E3251">
        <v>26</v>
      </c>
      <c r="F3251" t="s">
        <v>57</v>
      </c>
      <c r="G3251" t="s">
        <v>162</v>
      </c>
      <c r="H3251" t="s">
        <v>79</v>
      </c>
      <c r="I3251">
        <v>10</v>
      </c>
    </row>
    <row r="3252" spans="1:9" x14ac:dyDescent="0.2">
      <c r="A3252">
        <v>15168728</v>
      </c>
      <c r="B3252">
        <v>1</v>
      </c>
      <c r="C3252">
        <v>3296</v>
      </c>
      <c r="D3252">
        <v>0</v>
      </c>
      <c r="E3252">
        <v>36</v>
      </c>
      <c r="F3252" t="s">
        <v>47</v>
      </c>
      <c r="G3252" t="s">
        <v>100</v>
      </c>
      <c r="H3252" t="s">
        <v>46</v>
      </c>
      <c r="I3252">
        <v>10</v>
      </c>
    </row>
    <row r="3253" spans="1:9" x14ac:dyDescent="0.2">
      <c r="A3253">
        <v>15168728</v>
      </c>
      <c r="B3253">
        <v>2</v>
      </c>
      <c r="C3253">
        <v>3226</v>
      </c>
      <c r="D3253">
        <v>0</v>
      </c>
      <c r="E3253">
        <v>36</v>
      </c>
      <c r="F3253" t="s">
        <v>47</v>
      </c>
      <c r="G3253" t="s">
        <v>96</v>
      </c>
      <c r="H3253" t="s">
        <v>46</v>
      </c>
      <c r="I3253">
        <v>10</v>
      </c>
    </row>
    <row r="3254" spans="1:9" x14ac:dyDescent="0.2">
      <c r="A3254">
        <v>15168728</v>
      </c>
      <c r="B3254">
        <v>3</v>
      </c>
      <c r="C3254">
        <v>3229</v>
      </c>
      <c r="D3254">
        <v>0</v>
      </c>
      <c r="E3254">
        <v>36</v>
      </c>
      <c r="F3254" t="s">
        <v>47</v>
      </c>
      <c r="G3254" t="s">
        <v>101</v>
      </c>
      <c r="H3254" t="s">
        <v>46</v>
      </c>
      <c r="I3254">
        <v>10</v>
      </c>
    </row>
    <row r="3255" spans="1:9" x14ac:dyDescent="0.2">
      <c r="A3255">
        <v>15168728</v>
      </c>
      <c r="B3255">
        <v>4</v>
      </c>
      <c r="C3255">
        <v>3225</v>
      </c>
      <c r="D3255">
        <v>0</v>
      </c>
      <c r="E3255">
        <v>36</v>
      </c>
      <c r="F3255" t="s">
        <v>47</v>
      </c>
      <c r="G3255" t="s">
        <v>106</v>
      </c>
      <c r="H3255" t="s">
        <v>46</v>
      </c>
      <c r="I3255">
        <v>10</v>
      </c>
    </row>
    <row r="3256" spans="1:9" x14ac:dyDescent="0.2">
      <c r="A3256">
        <v>15168728</v>
      </c>
      <c r="B3256">
        <v>5</v>
      </c>
      <c r="C3256">
        <v>3223</v>
      </c>
      <c r="D3256">
        <v>0</v>
      </c>
      <c r="E3256">
        <v>36</v>
      </c>
      <c r="F3256" t="s">
        <v>47</v>
      </c>
      <c r="G3256" t="s">
        <v>105</v>
      </c>
      <c r="H3256" t="s">
        <v>46</v>
      </c>
      <c r="I3256">
        <v>10</v>
      </c>
    </row>
    <row r="3257" spans="1:9" x14ac:dyDescent="0.2">
      <c r="A3257">
        <v>15168728</v>
      </c>
      <c r="B3257">
        <v>6</v>
      </c>
      <c r="C3257">
        <v>3251</v>
      </c>
      <c r="D3257">
        <v>0</v>
      </c>
      <c r="E3257">
        <v>36</v>
      </c>
      <c r="F3257" t="s">
        <v>47</v>
      </c>
      <c r="G3257" t="s">
        <v>48</v>
      </c>
      <c r="H3257" t="s">
        <v>46</v>
      </c>
      <c r="I3257">
        <v>10</v>
      </c>
    </row>
    <row r="3258" spans="1:9" x14ac:dyDescent="0.2">
      <c r="A3258">
        <v>15168728</v>
      </c>
      <c r="B3258">
        <v>7</v>
      </c>
      <c r="C3258">
        <v>3261</v>
      </c>
      <c r="D3258">
        <v>0</v>
      </c>
      <c r="E3258">
        <v>36</v>
      </c>
      <c r="F3258" t="s">
        <v>47</v>
      </c>
      <c r="G3258" t="s">
        <v>93</v>
      </c>
      <c r="H3258" t="s">
        <v>46</v>
      </c>
      <c r="I3258">
        <v>10</v>
      </c>
    </row>
    <row r="3259" spans="1:9" x14ac:dyDescent="0.2">
      <c r="A3259">
        <v>15168728</v>
      </c>
      <c r="B3259">
        <v>8</v>
      </c>
      <c r="C3259">
        <v>3252</v>
      </c>
      <c r="D3259">
        <v>0</v>
      </c>
      <c r="E3259">
        <v>36</v>
      </c>
      <c r="F3259" t="s">
        <v>47</v>
      </c>
      <c r="G3259" t="s">
        <v>45</v>
      </c>
      <c r="H3259" t="s">
        <v>46</v>
      </c>
      <c r="I3259">
        <v>10</v>
      </c>
    </row>
    <row r="3260" spans="1:9" x14ac:dyDescent="0.2">
      <c r="A3260">
        <v>15186165</v>
      </c>
      <c r="B3260">
        <v>1</v>
      </c>
      <c r="C3260">
        <v>1705</v>
      </c>
      <c r="D3260">
        <v>59210</v>
      </c>
      <c r="E3260">
        <v>25</v>
      </c>
      <c r="F3260" t="s">
        <v>57</v>
      </c>
      <c r="G3260" t="s">
        <v>102</v>
      </c>
      <c r="H3260" t="s">
        <v>69</v>
      </c>
      <c r="I3260">
        <v>10</v>
      </c>
    </row>
    <row r="3261" spans="1:9" x14ac:dyDescent="0.2">
      <c r="A3261">
        <v>15212167</v>
      </c>
      <c r="B3261">
        <v>1</v>
      </c>
      <c r="C3261">
        <v>1759</v>
      </c>
      <c r="D3261">
        <v>51790</v>
      </c>
      <c r="E3261">
        <v>24</v>
      </c>
      <c r="F3261" t="s">
        <v>57</v>
      </c>
      <c r="G3261" t="s">
        <v>154</v>
      </c>
      <c r="H3261" t="s">
        <v>56</v>
      </c>
      <c r="I3261">
        <v>10</v>
      </c>
    </row>
    <row r="3262" spans="1:9" x14ac:dyDescent="0.2">
      <c r="A3262">
        <v>15212167</v>
      </c>
      <c r="B3262">
        <v>2</v>
      </c>
      <c r="C3262">
        <v>3296</v>
      </c>
      <c r="D3262">
        <v>0</v>
      </c>
      <c r="E3262">
        <v>26</v>
      </c>
      <c r="F3262" t="s">
        <v>47</v>
      </c>
      <c r="G3262" t="s">
        <v>100</v>
      </c>
      <c r="H3262" t="s">
        <v>46</v>
      </c>
      <c r="I3262">
        <v>10</v>
      </c>
    </row>
    <row r="3263" spans="1:9" x14ac:dyDescent="0.2">
      <c r="A3263">
        <v>15212167</v>
      </c>
      <c r="B3263">
        <v>3</v>
      </c>
      <c r="C3263">
        <v>1708</v>
      </c>
      <c r="D3263">
        <v>0</v>
      </c>
      <c r="E3263">
        <v>26</v>
      </c>
      <c r="F3263" t="s">
        <v>57</v>
      </c>
      <c r="G3263" t="s">
        <v>80</v>
      </c>
      <c r="H3263" t="s">
        <v>79</v>
      </c>
      <c r="I3263">
        <v>10</v>
      </c>
    </row>
    <row r="3264" spans="1:9" x14ac:dyDescent="0.2">
      <c r="A3264">
        <v>15212167</v>
      </c>
      <c r="B3264">
        <v>4</v>
      </c>
      <c r="C3264">
        <v>3718</v>
      </c>
      <c r="D3264">
        <v>0</v>
      </c>
      <c r="E3264">
        <v>26</v>
      </c>
      <c r="F3264" t="s">
        <v>116</v>
      </c>
      <c r="G3264" t="s">
        <v>80</v>
      </c>
      <c r="H3264" t="s">
        <v>61</v>
      </c>
      <c r="I3264">
        <v>9</v>
      </c>
    </row>
    <row r="3265" spans="1:9" x14ac:dyDescent="0.2">
      <c r="A3265">
        <v>15212167</v>
      </c>
      <c r="B3265">
        <v>5</v>
      </c>
      <c r="C3265">
        <v>1403</v>
      </c>
      <c r="D3265">
        <v>0</v>
      </c>
      <c r="E3265">
        <v>26</v>
      </c>
      <c r="F3265" t="s">
        <v>25</v>
      </c>
      <c r="G3265" t="s">
        <v>141</v>
      </c>
      <c r="H3265" t="s">
        <v>24</v>
      </c>
      <c r="I3265">
        <v>5</v>
      </c>
    </row>
    <row r="3266" spans="1:9" x14ac:dyDescent="0.2">
      <c r="A3266">
        <v>15212167</v>
      </c>
      <c r="B3266">
        <v>6</v>
      </c>
      <c r="C3266">
        <v>1736</v>
      </c>
      <c r="D3266">
        <v>0</v>
      </c>
      <c r="E3266">
        <v>26</v>
      </c>
      <c r="F3266" t="s">
        <v>57</v>
      </c>
      <c r="G3266" t="s">
        <v>78</v>
      </c>
      <c r="H3266" t="s">
        <v>79</v>
      </c>
      <c r="I3266">
        <v>10</v>
      </c>
    </row>
    <row r="3267" spans="1:9" x14ac:dyDescent="0.2">
      <c r="A3267">
        <v>15215327</v>
      </c>
      <c r="B3267">
        <v>1</v>
      </c>
      <c r="C3267">
        <v>3242</v>
      </c>
      <c r="D3267">
        <v>52000</v>
      </c>
      <c r="E3267">
        <v>25</v>
      </c>
      <c r="F3267" t="s">
        <v>47</v>
      </c>
      <c r="G3267" t="s">
        <v>90</v>
      </c>
      <c r="H3267" t="s">
        <v>46</v>
      </c>
      <c r="I3267">
        <v>10</v>
      </c>
    </row>
    <row r="3268" spans="1:9" x14ac:dyDescent="0.2">
      <c r="A3268">
        <v>15215327</v>
      </c>
      <c r="B3268">
        <v>2</v>
      </c>
      <c r="C3268">
        <v>3261</v>
      </c>
      <c r="D3268">
        <v>51710</v>
      </c>
      <c r="E3268">
        <v>24</v>
      </c>
      <c r="F3268" t="s">
        <v>47</v>
      </c>
      <c r="G3268" t="s">
        <v>93</v>
      </c>
      <c r="H3268" t="s">
        <v>46</v>
      </c>
      <c r="I3268">
        <v>10</v>
      </c>
    </row>
    <row r="3269" spans="1:9" x14ac:dyDescent="0.2">
      <c r="A3269">
        <v>15215327</v>
      </c>
      <c r="B3269">
        <v>3</v>
      </c>
      <c r="C3269">
        <v>3251</v>
      </c>
      <c r="D3269">
        <v>0</v>
      </c>
      <c r="E3269">
        <v>26</v>
      </c>
      <c r="F3269" t="s">
        <v>47</v>
      </c>
      <c r="G3269" t="s">
        <v>48</v>
      </c>
      <c r="H3269" t="s">
        <v>46</v>
      </c>
      <c r="I3269">
        <v>10</v>
      </c>
    </row>
    <row r="3270" spans="1:9" x14ac:dyDescent="0.2">
      <c r="A3270">
        <v>15215327</v>
      </c>
      <c r="B3270">
        <v>4</v>
      </c>
      <c r="C3270">
        <v>3243</v>
      </c>
      <c r="D3270">
        <v>0</v>
      </c>
      <c r="E3270">
        <v>26</v>
      </c>
      <c r="F3270" t="s">
        <v>47</v>
      </c>
      <c r="G3270" t="s">
        <v>75</v>
      </c>
      <c r="H3270" t="s">
        <v>46</v>
      </c>
      <c r="I3270">
        <v>10</v>
      </c>
    </row>
    <row r="3271" spans="1:9" x14ac:dyDescent="0.2">
      <c r="A3271">
        <v>15215327</v>
      </c>
      <c r="B3271">
        <v>5</v>
      </c>
      <c r="C3271">
        <v>3252</v>
      </c>
      <c r="D3271">
        <v>0</v>
      </c>
      <c r="E3271">
        <v>26</v>
      </c>
      <c r="F3271" t="s">
        <v>47</v>
      </c>
      <c r="G3271" t="s">
        <v>45</v>
      </c>
      <c r="H3271" t="s">
        <v>46</v>
      </c>
      <c r="I3271">
        <v>10</v>
      </c>
    </row>
    <row r="3272" spans="1:9" x14ac:dyDescent="0.2">
      <c r="A3272">
        <v>15215327</v>
      </c>
      <c r="B3272">
        <v>6</v>
      </c>
      <c r="C3272">
        <v>3211</v>
      </c>
      <c r="D3272">
        <v>0</v>
      </c>
      <c r="E3272">
        <v>26</v>
      </c>
      <c r="F3272" t="s">
        <v>47</v>
      </c>
      <c r="G3272" t="s">
        <v>99</v>
      </c>
      <c r="H3272" t="s">
        <v>46</v>
      </c>
      <c r="I3272">
        <v>10</v>
      </c>
    </row>
    <row r="3273" spans="1:9" x14ac:dyDescent="0.2">
      <c r="A3273">
        <v>15215327</v>
      </c>
      <c r="B3273">
        <v>7</v>
      </c>
      <c r="C3273">
        <v>3212</v>
      </c>
      <c r="D3273">
        <v>0</v>
      </c>
      <c r="E3273">
        <v>26</v>
      </c>
      <c r="F3273" t="s">
        <v>47</v>
      </c>
      <c r="G3273" t="s">
        <v>84</v>
      </c>
      <c r="H3273" t="s">
        <v>46</v>
      </c>
      <c r="I3273">
        <v>10</v>
      </c>
    </row>
    <row r="3274" spans="1:9" x14ac:dyDescent="0.2">
      <c r="A3274">
        <v>15215327</v>
      </c>
      <c r="B3274">
        <v>8</v>
      </c>
      <c r="C3274">
        <v>3246</v>
      </c>
      <c r="D3274">
        <v>0</v>
      </c>
      <c r="E3274">
        <v>26</v>
      </c>
      <c r="F3274" t="s">
        <v>47</v>
      </c>
      <c r="G3274" t="s">
        <v>91</v>
      </c>
      <c r="H3274" t="s">
        <v>74</v>
      </c>
      <c r="I3274">
        <v>10</v>
      </c>
    </row>
    <row r="3275" spans="1:9" x14ac:dyDescent="0.2">
      <c r="A3275">
        <v>15242158</v>
      </c>
      <c r="B3275">
        <v>1</v>
      </c>
      <c r="C3275">
        <v>3225</v>
      </c>
      <c r="D3275">
        <v>0</v>
      </c>
      <c r="E3275">
        <v>36</v>
      </c>
      <c r="F3275" t="s">
        <v>47</v>
      </c>
      <c r="G3275" t="s">
        <v>106</v>
      </c>
      <c r="H3275" t="s">
        <v>46</v>
      </c>
      <c r="I3275">
        <v>10</v>
      </c>
    </row>
    <row r="3276" spans="1:9" x14ac:dyDescent="0.2">
      <c r="A3276">
        <v>15242158</v>
      </c>
      <c r="B3276">
        <v>2</v>
      </c>
      <c r="C3276">
        <v>3245</v>
      </c>
      <c r="D3276">
        <v>0</v>
      </c>
      <c r="E3276">
        <v>36</v>
      </c>
      <c r="F3276" t="s">
        <v>47</v>
      </c>
      <c r="G3276" t="s">
        <v>157</v>
      </c>
      <c r="H3276" t="s">
        <v>74</v>
      </c>
      <c r="I3276">
        <v>10</v>
      </c>
    </row>
    <row r="3277" spans="1:9" x14ac:dyDescent="0.2">
      <c r="A3277">
        <v>15242158</v>
      </c>
      <c r="B3277">
        <v>3</v>
      </c>
      <c r="C3277">
        <v>3239</v>
      </c>
      <c r="D3277">
        <v>0</v>
      </c>
      <c r="E3277">
        <v>36</v>
      </c>
      <c r="F3277" t="s">
        <v>47</v>
      </c>
      <c r="G3277" t="s">
        <v>107</v>
      </c>
      <c r="H3277" t="s">
        <v>46</v>
      </c>
      <c r="I3277">
        <v>10</v>
      </c>
    </row>
    <row r="3278" spans="1:9" x14ac:dyDescent="0.2">
      <c r="A3278">
        <v>15242158</v>
      </c>
      <c r="B3278">
        <v>4</v>
      </c>
      <c r="C3278">
        <v>3269</v>
      </c>
      <c r="D3278">
        <v>0</v>
      </c>
      <c r="E3278">
        <v>36</v>
      </c>
      <c r="F3278" t="s">
        <v>47</v>
      </c>
      <c r="G3278" t="s">
        <v>180</v>
      </c>
      <c r="H3278" t="s">
        <v>46</v>
      </c>
      <c r="I3278">
        <v>10</v>
      </c>
    </row>
    <row r="3279" spans="1:9" x14ac:dyDescent="0.2">
      <c r="A3279">
        <v>15258331</v>
      </c>
      <c r="B3279">
        <v>1</v>
      </c>
      <c r="C3279">
        <v>1731</v>
      </c>
      <c r="D3279">
        <v>66820</v>
      </c>
      <c r="E3279">
        <v>25</v>
      </c>
      <c r="F3279" t="s">
        <v>57</v>
      </c>
      <c r="G3279" t="s">
        <v>172</v>
      </c>
      <c r="H3279" t="s">
        <v>69</v>
      </c>
      <c r="I3279">
        <v>10</v>
      </c>
    </row>
    <row r="3280" spans="1:9" x14ac:dyDescent="0.2">
      <c r="A3280">
        <v>15258331</v>
      </c>
      <c r="B3280">
        <v>2</v>
      </c>
      <c r="C3280">
        <v>1728</v>
      </c>
      <c r="D3280">
        <v>66820</v>
      </c>
      <c r="E3280">
        <v>24</v>
      </c>
      <c r="F3280" t="s">
        <v>57</v>
      </c>
      <c r="G3280" t="s">
        <v>103</v>
      </c>
      <c r="H3280" t="s">
        <v>69</v>
      </c>
      <c r="I3280">
        <v>10</v>
      </c>
    </row>
    <row r="3281" spans="1:9" x14ac:dyDescent="0.2">
      <c r="A3281">
        <v>15263016</v>
      </c>
      <c r="B3281">
        <v>1</v>
      </c>
      <c r="C3281">
        <v>1752</v>
      </c>
      <c r="D3281">
        <v>60635</v>
      </c>
      <c r="E3281">
        <v>24</v>
      </c>
      <c r="F3281" t="s">
        <v>57</v>
      </c>
      <c r="G3281" t="s">
        <v>66</v>
      </c>
      <c r="H3281" t="s">
        <v>56</v>
      </c>
      <c r="I3281">
        <v>10</v>
      </c>
    </row>
    <row r="3282" spans="1:9" x14ac:dyDescent="0.2">
      <c r="A3282">
        <v>15263016</v>
      </c>
      <c r="B3282">
        <v>2</v>
      </c>
      <c r="C3282">
        <v>1617</v>
      </c>
      <c r="D3282">
        <v>0</v>
      </c>
      <c r="E3282">
        <v>26</v>
      </c>
      <c r="F3282" t="s">
        <v>128</v>
      </c>
      <c r="G3282" t="s">
        <v>153</v>
      </c>
      <c r="H3282" t="s">
        <v>127</v>
      </c>
      <c r="I3282" t="s">
        <v>448</v>
      </c>
    </row>
    <row r="3283" spans="1:9" x14ac:dyDescent="0.2">
      <c r="A3283">
        <v>15263016</v>
      </c>
      <c r="B3283">
        <v>3</v>
      </c>
      <c r="C3283">
        <v>1590</v>
      </c>
      <c r="D3283">
        <v>0</v>
      </c>
      <c r="E3283">
        <v>26</v>
      </c>
      <c r="F3283" t="s">
        <v>142</v>
      </c>
      <c r="G3283" t="s">
        <v>229</v>
      </c>
      <c r="H3283" t="s">
        <v>113</v>
      </c>
      <c r="I3283">
        <v>5</v>
      </c>
    </row>
    <row r="3284" spans="1:9" x14ac:dyDescent="0.2">
      <c r="A3284">
        <v>15263016</v>
      </c>
      <c r="B3284">
        <v>4</v>
      </c>
      <c r="C3284">
        <v>1740</v>
      </c>
      <c r="D3284">
        <v>0</v>
      </c>
      <c r="E3284">
        <v>26</v>
      </c>
      <c r="F3284" t="s">
        <v>57</v>
      </c>
      <c r="G3284" t="s">
        <v>209</v>
      </c>
      <c r="H3284" t="s">
        <v>79</v>
      </c>
      <c r="I3284">
        <v>10</v>
      </c>
    </row>
    <row r="3285" spans="1:9" x14ac:dyDescent="0.2">
      <c r="A3285">
        <v>15269494</v>
      </c>
      <c r="B3285">
        <v>1</v>
      </c>
      <c r="C3285">
        <v>1713</v>
      </c>
      <c r="D3285">
        <v>54895</v>
      </c>
      <c r="E3285">
        <v>25</v>
      </c>
      <c r="F3285" t="s">
        <v>57</v>
      </c>
      <c r="G3285" t="s">
        <v>170</v>
      </c>
      <c r="H3285" t="s">
        <v>69</v>
      </c>
      <c r="I3285">
        <v>10</v>
      </c>
    </row>
    <row r="3286" spans="1:9" x14ac:dyDescent="0.2">
      <c r="A3286">
        <v>15269494</v>
      </c>
      <c r="B3286">
        <v>2</v>
      </c>
      <c r="C3286">
        <v>1714</v>
      </c>
      <c r="D3286">
        <v>53990</v>
      </c>
      <c r="E3286">
        <v>25</v>
      </c>
      <c r="F3286" t="s">
        <v>57</v>
      </c>
      <c r="G3286" t="s">
        <v>95</v>
      </c>
      <c r="H3286" t="s">
        <v>69</v>
      </c>
      <c r="I3286">
        <v>10</v>
      </c>
    </row>
    <row r="3287" spans="1:9" x14ac:dyDescent="0.2">
      <c r="A3287">
        <v>15269494</v>
      </c>
      <c r="B3287">
        <v>3</v>
      </c>
      <c r="C3287">
        <v>1789</v>
      </c>
      <c r="D3287">
        <v>54895</v>
      </c>
      <c r="E3287">
        <v>25</v>
      </c>
      <c r="F3287" t="s">
        <v>57</v>
      </c>
      <c r="G3287" t="s">
        <v>122</v>
      </c>
      <c r="H3287" t="s">
        <v>69</v>
      </c>
      <c r="I3287">
        <v>10</v>
      </c>
    </row>
    <row r="3288" spans="1:9" x14ac:dyDescent="0.2">
      <c r="A3288">
        <v>15325620</v>
      </c>
      <c r="B3288">
        <v>1</v>
      </c>
      <c r="C3288">
        <v>3023</v>
      </c>
      <c r="D3288">
        <v>58650</v>
      </c>
      <c r="E3288">
        <v>25</v>
      </c>
      <c r="F3288" t="s">
        <v>44</v>
      </c>
      <c r="G3288" t="s">
        <v>124</v>
      </c>
      <c r="H3288" t="s">
        <v>50</v>
      </c>
      <c r="I3288">
        <v>9</v>
      </c>
    </row>
    <row r="3289" spans="1:9" x14ac:dyDescent="0.2">
      <c r="A3289">
        <v>15325620</v>
      </c>
      <c r="B3289">
        <v>2</v>
      </c>
      <c r="C3289">
        <v>1776</v>
      </c>
      <c r="D3289">
        <v>57810</v>
      </c>
      <c r="E3289">
        <v>25</v>
      </c>
      <c r="F3289" t="s">
        <v>57</v>
      </c>
      <c r="G3289" t="s">
        <v>124</v>
      </c>
      <c r="H3289" t="s">
        <v>125</v>
      </c>
      <c r="I3289">
        <v>10</v>
      </c>
    </row>
    <row r="3290" spans="1:9" x14ac:dyDescent="0.2">
      <c r="A3290">
        <v>15325620</v>
      </c>
      <c r="B3290">
        <v>3</v>
      </c>
      <c r="C3290">
        <v>1415</v>
      </c>
      <c r="D3290">
        <v>58770</v>
      </c>
      <c r="E3290">
        <v>25</v>
      </c>
      <c r="F3290" t="s">
        <v>25</v>
      </c>
      <c r="G3290" t="s">
        <v>233</v>
      </c>
      <c r="H3290" t="s">
        <v>24</v>
      </c>
      <c r="I3290">
        <v>5</v>
      </c>
    </row>
    <row r="3291" spans="1:9" x14ac:dyDescent="0.2">
      <c r="A3291">
        <v>15325620</v>
      </c>
      <c r="B3291">
        <v>4</v>
      </c>
      <c r="C3291">
        <v>1383</v>
      </c>
      <c r="D3291">
        <v>57930</v>
      </c>
      <c r="E3291">
        <v>25</v>
      </c>
      <c r="F3291" t="s">
        <v>21</v>
      </c>
      <c r="G3291" t="s">
        <v>124</v>
      </c>
      <c r="H3291" t="s">
        <v>20</v>
      </c>
      <c r="I3291">
        <v>8</v>
      </c>
    </row>
    <row r="3292" spans="1:9" x14ac:dyDescent="0.2">
      <c r="A3292">
        <v>15325620</v>
      </c>
      <c r="B3292">
        <v>5</v>
      </c>
      <c r="C3292">
        <v>3501</v>
      </c>
      <c r="D3292">
        <v>57705</v>
      </c>
      <c r="E3292">
        <v>25</v>
      </c>
      <c r="F3292" t="s">
        <v>234</v>
      </c>
      <c r="G3292" t="s">
        <v>124</v>
      </c>
      <c r="H3292" t="s">
        <v>35</v>
      </c>
      <c r="I3292">
        <v>7</v>
      </c>
    </row>
    <row r="3293" spans="1:9" x14ac:dyDescent="0.2">
      <c r="A3293">
        <v>15325620</v>
      </c>
      <c r="B3293">
        <v>6</v>
      </c>
      <c r="C3293">
        <v>1943</v>
      </c>
      <c r="D3293">
        <v>57675</v>
      </c>
      <c r="E3293">
        <v>25</v>
      </c>
      <c r="F3293" t="s">
        <v>32</v>
      </c>
      <c r="G3293" t="s">
        <v>233</v>
      </c>
      <c r="H3293" t="s">
        <v>31</v>
      </c>
      <c r="I3293">
        <v>5</v>
      </c>
    </row>
    <row r="3294" spans="1:9" x14ac:dyDescent="0.2">
      <c r="A3294">
        <v>15325620</v>
      </c>
      <c r="B3294">
        <v>7</v>
      </c>
      <c r="C3294">
        <v>3223</v>
      </c>
      <c r="D3294">
        <v>58770</v>
      </c>
      <c r="E3294">
        <v>24</v>
      </c>
      <c r="F3294" t="s">
        <v>47</v>
      </c>
      <c r="G3294" t="s">
        <v>105</v>
      </c>
      <c r="H3294" t="s">
        <v>46</v>
      </c>
      <c r="I3294">
        <v>10</v>
      </c>
    </row>
    <row r="3295" spans="1:9" x14ac:dyDescent="0.2">
      <c r="A3295">
        <v>15325620</v>
      </c>
      <c r="B3295">
        <v>8</v>
      </c>
      <c r="C3295">
        <v>3225</v>
      </c>
      <c r="D3295">
        <v>0</v>
      </c>
      <c r="E3295">
        <v>26</v>
      </c>
      <c r="F3295" t="s">
        <v>47</v>
      </c>
      <c r="G3295" t="s">
        <v>106</v>
      </c>
      <c r="H3295" t="s">
        <v>46</v>
      </c>
      <c r="I3295">
        <v>10</v>
      </c>
    </row>
    <row r="3296" spans="1:9" x14ac:dyDescent="0.2">
      <c r="A3296">
        <v>15385849</v>
      </c>
      <c r="B3296">
        <v>1</v>
      </c>
      <c r="C3296">
        <v>1238</v>
      </c>
      <c r="D3296">
        <v>59990</v>
      </c>
      <c r="E3296">
        <v>25</v>
      </c>
      <c r="F3296" t="s">
        <v>19</v>
      </c>
      <c r="G3296" t="s">
        <v>156</v>
      </c>
      <c r="H3296" t="s">
        <v>16</v>
      </c>
      <c r="I3296" t="s">
        <v>448</v>
      </c>
    </row>
    <row r="3297" spans="1:9" x14ac:dyDescent="0.2">
      <c r="A3297">
        <v>15385849</v>
      </c>
      <c r="B3297">
        <v>2</v>
      </c>
      <c r="C3297">
        <v>1737</v>
      </c>
      <c r="D3297">
        <v>57615</v>
      </c>
      <c r="E3297">
        <v>24</v>
      </c>
      <c r="F3297" t="s">
        <v>57</v>
      </c>
      <c r="G3297" t="s">
        <v>54</v>
      </c>
      <c r="H3297" t="s">
        <v>79</v>
      </c>
      <c r="I3297">
        <v>10</v>
      </c>
    </row>
    <row r="3298" spans="1:9" x14ac:dyDescent="0.2">
      <c r="A3298">
        <v>15407917</v>
      </c>
      <c r="B3298">
        <v>1</v>
      </c>
      <c r="C3298">
        <v>3242</v>
      </c>
      <c r="D3298">
        <v>64165</v>
      </c>
      <c r="E3298">
        <v>24</v>
      </c>
      <c r="F3298" t="s">
        <v>47</v>
      </c>
      <c r="G3298" t="s">
        <v>90</v>
      </c>
      <c r="H3298" t="s">
        <v>46</v>
      </c>
      <c r="I3298">
        <v>10</v>
      </c>
    </row>
    <row r="3299" spans="1:9" x14ac:dyDescent="0.2">
      <c r="A3299">
        <v>15407917</v>
      </c>
      <c r="B3299">
        <v>2</v>
      </c>
      <c r="C3299">
        <v>3243</v>
      </c>
      <c r="D3299">
        <v>0</v>
      </c>
      <c r="E3299">
        <v>26</v>
      </c>
      <c r="F3299" t="s">
        <v>47</v>
      </c>
      <c r="G3299" t="s">
        <v>75</v>
      </c>
      <c r="H3299" t="s">
        <v>46</v>
      </c>
      <c r="I3299">
        <v>10</v>
      </c>
    </row>
    <row r="3300" spans="1:9" x14ac:dyDescent="0.2">
      <c r="A3300">
        <v>15407917</v>
      </c>
      <c r="B3300">
        <v>3</v>
      </c>
      <c r="C3300">
        <v>3252</v>
      </c>
      <c r="D3300">
        <v>0</v>
      </c>
      <c r="E3300">
        <v>26</v>
      </c>
      <c r="F3300" t="s">
        <v>47</v>
      </c>
      <c r="G3300" t="s">
        <v>45</v>
      </c>
      <c r="H3300" t="s">
        <v>46</v>
      </c>
      <c r="I3300">
        <v>10</v>
      </c>
    </row>
    <row r="3301" spans="1:9" x14ac:dyDescent="0.2">
      <c r="A3301">
        <v>15407917</v>
      </c>
      <c r="B3301">
        <v>4</v>
      </c>
      <c r="C3301">
        <v>3234</v>
      </c>
      <c r="D3301">
        <v>0</v>
      </c>
      <c r="E3301">
        <v>26</v>
      </c>
      <c r="F3301" t="s">
        <v>47</v>
      </c>
      <c r="G3301" t="s">
        <v>76</v>
      </c>
      <c r="H3301" t="s">
        <v>46</v>
      </c>
      <c r="I3301">
        <v>10</v>
      </c>
    </row>
    <row r="3302" spans="1:9" x14ac:dyDescent="0.2">
      <c r="A3302">
        <v>15407917</v>
      </c>
      <c r="B3302">
        <v>5</v>
      </c>
      <c r="C3302">
        <v>1765</v>
      </c>
      <c r="D3302">
        <v>0</v>
      </c>
      <c r="E3302">
        <v>26</v>
      </c>
      <c r="F3302" t="s">
        <v>57</v>
      </c>
      <c r="G3302" t="s">
        <v>68</v>
      </c>
      <c r="H3302" t="s">
        <v>69</v>
      </c>
      <c r="I3302">
        <v>10</v>
      </c>
    </row>
    <row r="3303" spans="1:9" x14ac:dyDescent="0.2">
      <c r="A3303">
        <v>15407917</v>
      </c>
      <c r="B3303">
        <v>6</v>
      </c>
      <c r="C3303">
        <v>1782</v>
      </c>
      <c r="D3303">
        <v>0</v>
      </c>
      <c r="E3303">
        <v>26</v>
      </c>
      <c r="F3303" t="s">
        <v>57</v>
      </c>
      <c r="G3303" t="s">
        <v>63</v>
      </c>
      <c r="H3303" t="s">
        <v>69</v>
      </c>
      <c r="I3303">
        <v>10</v>
      </c>
    </row>
    <row r="3304" spans="1:9" x14ac:dyDescent="0.2">
      <c r="A3304">
        <v>15407917</v>
      </c>
      <c r="B3304">
        <v>7</v>
      </c>
      <c r="C3304">
        <v>1785</v>
      </c>
      <c r="D3304">
        <v>0</v>
      </c>
      <c r="E3304">
        <v>26</v>
      </c>
      <c r="F3304" t="s">
        <v>57</v>
      </c>
      <c r="G3304" t="s">
        <v>86</v>
      </c>
      <c r="H3304" t="s">
        <v>69</v>
      </c>
      <c r="I3304">
        <v>10</v>
      </c>
    </row>
    <row r="3305" spans="1:9" x14ac:dyDescent="0.2">
      <c r="A3305">
        <v>15407917</v>
      </c>
      <c r="B3305">
        <v>8</v>
      </c>
      <c r="C3305">
        <v>1784</v>
      </c>
      <c r="D3305">
        <v>0</v>
      </c>
      <c r="E3305">
        <v>26</v>
      </c>
      <c r="F3305" t="s">
        <v>57</v>
      </c>
      <c r="G3305" t="s">
        <v>87</v>
      </c>
      <c r="H3305" t="s">
        <v>69</v>
      </c>
      <c r="I3305">
        <v>10</v>
      </c>
    </row>
    <row r="3306" spans="1:9" x14ac:dyDescent="0.2">
      <c r="A3306">
        <v>15431611</v>
      </c>
      <c r="B3306">
        <v>1</v>
      </c>
      <c r="C3306">
        <v>3237</v>
      </c>
      <c r="D3306">
        <v>57050</v>
      </c>
      <c r="E3306">
        <v>24</v>
      </c>
      <c r="F3306" t="s">
        <v>47</v>
      </c>
      <c r="G3306" t="s">
        <v>181</v>
      </c>
      <c r="H3306" t="s">
        <v>46</v>
      </c>
      <c r="I3306">
        <v>10</v>
      </c>
    </row>
    <row r="3307" spans="1:9" x14ac:dyDescent="0.2">
      <c r="A3307">
        <v>15431611</v>
      </c>
      <c r="B3307">
        <v>2</v>
      </c>
      <c r="C3307">
        <v>3058</v>
      </c>
      <c r="D3307">
        <v>0</v>
      </c>
      <c r="E3307">
        <v>26</v>
      </c>
      <c r="F3307" t="s">
        <v>44</v>
      </c>
      <c r="G3307" t="s">
        <v>53</v>
      </c>
      <c r="H3307" t="s">
        <v>52</v>
      </c>
      <c r="I3307">
        <v>9</v>
      </c>
    </row>
    <row r="3308" spans="1:9" x14ac:dyDescent="0.2">
      <c r="A3308">
        <v>15431611</v>
      </c>
      <c r="B3308">
        <v>3</v>
      </c>
      <c r="C3308">
        <v>3729</v>
      </c>
      <c r="D3308">
        <v>0</v>
      </c>
      <c r="E3308">
        <v>26</v>
      </c>
      <c r="F3308" t="s">
        <v>116</v>
      </c>
      <c r="G3308" t="s">
        <v>273</v>
      </c>
      <c r="H3308" t="s">
        <v>61</v>
      </c>
      <c r="I3308">
        <v>9</v>
      </c>
    </row>
    <row r="3309" spans="1:9" x14ac:dyDescent="0.2">
      <c r="A3309">
        <v>15431611</v>
      </c>
      <c r="B3309">
        <v>4</v>
      </c>
      <c r="C3309">
        <v>1345</v>
      </c>
      <c r="D3309">
        <v>0</v>
      </c>
      <c r="E3309">
        <v>26</v>
      </c>
      <c r="F3309" t="s">
        <v>21</v>
      </c>
      <c r="G3309" t="s">
        <v>389</v>
      </c>
      <c r="H3309" t="s">
        <v>20</v>
      </c>
      <c r="I3309">
        <v>8</v>
      </c>
    </row>
    <row r="3310" spans="1:9" x14ac:dyDescent="0.2">
      <c r="A3310">
        <v>15431611</v>
      </c>
      <c r="B3310">
        <v>5</v>
      </c>
      <c r="C3310">
        <v>1756</v>
      </c>
      <c r="D3310">
        <v>0</v>
      </c>
      <c r="E3310">
        <v>26</v>
      </c>
      <c r="F3310" t="s">
        <v>57</v>
      </c>
      <c r="G3310" t="s">
        <v>89</v>
      </c>
      <c r="H3310" t="s">
        <v>69</v>
      </c>
      <c r="I3310">
        <v>10</v>
      </c>
    </row>
    <row r="3311" spans="1:9" x14ac:dyDescent="0.2">
      <c r="A3311">
        <v>15486019</v>
      </c>
      <c r="B3311">
        <v>1</v>
      </c>
      <c r="C3311">
        <v>3242</v>
      </c>
      <c r="D3311">
        <v>53685</v>
      </c>
      <c r="E3311">
        <v>25</v>
      </c>
      <c r="F3311" t="s">
        <v>47</v>
      </c>
      <c r="G3311" t="s">
        <v>90</v>
      </c>
      <c r="H3311" t="s">
        <v>46</v>
      </c>
      <c r="I3311">
        <v>10</v>
      </c>
    </row>
    <row r="3312" spans="1:9" x14ac:dyDescent="0.2">
      <c r="A3312">
        <v>15486019</v>
      </c>
      <c r="B3312">
        <v>2</v>
      </c>
      <c r="C3312">
        <v>3211</v>
      </c>
      <c r="D3312">
        <v>52880</v>
      </c>
      <c r="E3312">
        <v>24</v>
      </c>
      <c r="F3312" t="s">
        <v>47</v>
      </c>
      <c r="G3312" t="s">
        <v>99</v>
      </c>
      <c r="H3312" t="s">
        <v>46</v>
      </c>
      <c r="I3312">
        <v>10</v>
      </c>
    </row>
    <row r="3313" spans="1:9" x14ac:dyDescent="0.2">
      <c r="A3313">
        <v>15543761</v>
      </c>
      <c r="B3313">
        <v>1</v>
      </c>
      <c r="C3313">
        <v>1504</v>
      </c>
      <c r="D3313">
        <v>60230</v>
      </c>
      <c r="E3313">
        <v>25</v>
      </c>
      <c r="F3313" t="s">
        <v>142</v>
      </c>
      <c r="G3313" t="s">
        <v>121</v>
      </c>
      <c r="H3313" t="s">
        <v>31</v>
      </c>
      <c r="I3313">
        <v>5</v>
      </c>
    </row>
    <row r="3314" spans="1:9" x14ac:dyDescent="0.2">
      <c r="A3314">
        <v>15543761</v>
      </c>
      <c r="B3314">
        <v>2</v>
      </c>
      <c r="C3314">
        <v>1503</v>
      </c>
      <c r="D3314">
        <v>60230</v>
      </c>
      <c r="E3314">
        <v>25</v>
      </c>
      <c r="F3314" t="s">
        <v>142</v>
      </c>
      <c r="G3314" t="s">
        <v>161</v>
      </c>
      <c r="H3314" t="s">
        <v>31</v>
      </c>
      <c r="I3314">
        <v>5</v>
      </c>
    </row>
    <row r="3315" spans="1:9" x14ac:dyDescent="0.2">
      <c r="A3315">
        <v>15543761</v>
      </c>
      <c r="B3315">
        <v>3</v>
      </c>
      <c r="C3315">
        <v>1502</v>
      </c>
      <c r="D3315">
        <v>60230</v>
      </c>
      <c r="E3315">
        <v>25</v>
      </c>
      <c r="F3315" t="s">
        <v>142</v>
      </c>
      <c r="G3315" t="s">
        <v>143</v>
      </c>
      <c r="H3315" t="s">
        <v>31</v>
      </c>
      <c r="I3315">
        <v>5</v>
      </c>
    </row>
    <row r="3316" spans="1:9" x14ac:dyDescent="0.2">
      <c r="A3316">
        <v>15543761</v>
      </c>
      <c r="B3316">
        <v>4</v>
      </c>
      <c r="C3316">
        <v>1369</v>
      </c>
      <c r="D3316">
        <v>60040</v>
      </c>
      <c r="E3316">
        <v>25</v>
      </c>
      <c r="F3316" t="s">
        <v>21</v>
      </c>
      <c r="G3316" t="s">
        <v>121</v>
      </c>
      <c r="H3316" t="s">
        <v>20</v>
      </c>
      <c r="I3316">
        <v>8</v>
      </c>
    </row>
    <row r="3317" spans="1:9" x14ac:dyDescent="0.2">
      <c r="A3317">
        <v>15543761</v>
      </c>
      <c r="B3317">
        <v>5</v>
      </c>
      <c r="C3317">
        <v>1368</v>
      </c>
      <c r="D3317">
        <v>60040</v>
      </c>
      <c r="E3317">
        <v>24</v>
      </c>
      <c r="F3317" t="s">
        <v>21</v>
      </c>
      <c r="G3317" t="s">
        <v>140</v>
      </c>
      <c r="H3317" t="s">
        <v>20</v>
      </c>
      <c r="I3317">
        <v>8</v>
      </c>
    </row>
    <row r="3318" spans="1:9" x14ac:dyDescent="0.2">
      <c r="A3318">
        <v>15543762</v>
      </c>
      <c r="B3318">
        <v>1</v>
      </c>
      <c r="C3318">
        <v>3234</v>
      </c>
      <c r="D3318">
        <v>52570</v>
      </c>
      <c r="E3318">
        <v>25</v>
      </c>
      <c r="F3318" t="s">
        <v>47</v>
      </c>
      <c r="G3318" t="s">
        <v>76</v>
      </c>
      <c r="H3318" t="s">
        <v>46</v>
      </c>
      <c r="I3318">
        <v>10</v>
      </c>
    </row>
    <row r="3319" spans="1:9" x14ac:dyDescent="0.2">
      <c r="A3319">
        <v>15543762</v>
      </c>
      <c r="B3319">
        <v>2</v>
      </c>
      <c r="C3319">
        <v>3243</v>
      </c>
      <c r="D3319">
        <v>53605</v>
      </c>
      <c r="E3319">
        <v>24</v>
      </c>
      <c r="F3319" t="s">
        <v>47</v>
      </c>
      <c r="G3319" t="s">
        <v>75</v>
      </c>
      <c r="H3319" t="s">
        <v>46</v>
      </c>
      <c r="I3319">
        <v>10</v>
      </c>
    </row>
    <row r="3320" spans="1:9" x14ac:dyDescent="0.2">
      <c r="A3320">
        <v>15543762</v>
      </c>
      <c r="B3320">
        <v>3</v>
      </c>
      <c r="C3320">
        <v>3252</v>
      </c>
      <c r="D3320">
        <v>0</v>
      </c>
      <c r="E3320">
        <v>26</v>
      </c>
      <c r="F3320" t="s">
        <v>47</v>
      </c>
      <c r="G3320" t="s">
        <v>45</v>
      </c>
      <c r="H3320" t="s">
        <v>46</v>
      </c>
      <c r="I3320">
        <v>10</v>
      </c>
    </row>
    <row r="3321" spans="1:9" x14ac:dyDescent="0.2">
      <c r="A3321">
        <v>15543762</v>
      </c>
      <c r="B3321">
        <v>4</v>
      </c>
      <c r="C3321">
        <v>3242</v>
      </c>
      <c r="D3321">
        <v>0</v>
      </c>
      <c r="E3321">
        <v>26</v>
      </c>
      <c r="F3321" t="s">
        <v>47</v>
      </c>
      <c r="G3321" t="s">
        <v>90</v>
      </c>
      <c r="H3321" t="s">
        <v>46</v>
      </c>
      <c r="I3321">
        <v>10</v>
      </c>
    </row>
    <row r="3322" spans="1:9" x14ac:dyDescent="0.2">
      <c r="A3322">
        <v>15543762</v>
      </c>
      <c r="B3322">
        <v>5</v>
      </c>
      <c r="C3322">
        <v>3211</v>
      </c>
      <c r="D3322">
        <v>0</v>
      </c>
      <c r="E3322">
        <v>26</v>
      </c>
      <c r="F3322" t="s">
        <v>47</v>
      </c>
      <c r="G3322" t="s">
        <v>99</v>
      </c>
      <c r="H3322" t="s">
        <v>46</v>
      </c>
      <c r="I3322">
        <v>10</v>
      </c>
    </row>
    <row r="3323" spans="1:9" x14ac:dyDescent="0.2">
      <c r="A3323">
        <v>15543762</v>
      </c>
      <c r="B3323">
        <v>6</v>
      </c>
      <c r="C3323">
        <v>3246</v>
      </c>
      <c r="D3323">
        <v>0</v>
      </c>
      <c r="E3323">
        <v>26</v>
      </c>
      <c r="F3323" t="s">
        <v>47</v>
      </c>
      <c r="G3323" t="s">
        <v>91</v>
      </c>
      <c r="H3323" t="s">
        <v>74</v>
      </c>
      <c r="I3323">
        <v>10</v>
      </c>
    </row>
    <row r="3324" spans="1:9" x14ac:dyDescent="0.2">
      <c r="A3324">
        <v>15572838</v>
      </c>
      <c r="B3324">
        <v>1</v>
      </c>
      <c r="C3324">
        <v>3248</v>
      </c>
      <c r="D3324">
        <v>49435</v>
      </c>
      <c r="E3324">
        <v>25</v>
      </c>
      <c r="F3324" t="s">
        <v>47</v>
      </c>
      <c r="G3324" t="s">
        <v>92</v>
      </c>
      <c r="H3324" t="s">
        <v>46</v>
      </c>
      <c r="I3324">
        <v>10</v>
      </c>
    </row>
    <row r="3325" spans="1:9" x14ac:dyDescent="0.2">
      <c r="A3325">
        <v>15572838</v>
      </c>
      <c r="B3325">
        <v>2</v>
      </c>
      <c r="C3325">
        <v>3234</v>
      </c>
      <c r="D3325">
        <v>49400</v>
      </c>
      <c r="E3325">
        <v>25</v>
      </c>
      <c r="F3325" t="s">
        <v>47</v>
      </c>
      <c r="G3325" t="s">
        <v>76</v>
      </c>
      <c r="H3325" t="s">
        <v>46</v>
      </c>
      <c r="I3325">
        <v>10</v>
      </c>
    </row>
    <row r="3326" spans="1:9" x14ac:dyDescent="0.2">
      <c r="A3326">
        <v>15572838</v>
      </c>
      <c r="B3326">
        <v>3</v>
      </c>
      <c r="C3326">
        <v>3243</v>
      </c>
      <c r="D3326">
        <v>50345</v>
      </c>
      <c r="E3326">
        <v>25</v>
      </c>
      <c r="F3326" t="s">
        <v>47</v>
      </c>
      <c r="G3326" t="s">
        <v>75</v>
      </c>
      <c r="H3326" t="s">
        <v>46</v>
      </c>
      <c r="I3326">
        <v>10</v>
      </c>
    </row>
    <row r="3327" spans="1:9" x14ac:dyDescent="0.2">
      <c r="A3327">
        <v>15572838</v>
      </c>
      <c r="B3327">
        <v>4</v>
      </c>
      <c r="C3327">
        <v>3252</v>
      </c>
      <c r="D3327">
        <v>49625</v>
      </c>
      <c r="E3327">
        <v>25</v>
      </c>
      <c r="F3327" t="s">
        <v>47</v>
      </c>
      <c r="G3327" t="s">
        <v>45</v>
      </c>
      <c r="H3327" t="s">
        <v>46</v>
      </c>
      <c r="I3327">
        <v>10</v>
      </c>
    </row>
    <row r="3328" spans="1:9" x14ac:dyDescent="0.2">
      <c r="A3328">
        <v>15572838</v>
      </c>
      <c r="B3328">
        <v>5</v>
      </c>
      <c r="C3328">
        <v>3251</v>
      </c>
      <c r="D3328">
        <v>50040</v>
      </c>
      <c r="E3328">
        <v>24</v>
      </c>
      <c r="F3328" t="s">
        <v>47</v>
      </c>
      <c r="G3328" t="s">
        <v>48</v>
      </c>
      <c r="H3328" t="s">
        <v>46</v>
      </c>
      <c r="I3328">
        <v>10</v>
      </c>
    </row>
    <row r="3329" spans="1:9" x14ac:dyDescent="0.2">
      <c r="A3329">
        <v>15572838</v>
      </c>
      <c r="B3329">
        <v>6</v>
      </c>
      <c r="C3329">
        <v>3214</v>
      </c>
      <c r="D3329">
        <v>0</v>
      </c>
      <c r="E3329">
        <v>26</v>
      </c>
      <c r="F3329" t="s">
        <v>47</v>
      </c>
      <c r="G3329" t="s">
        <v>98</v>
      </c>
      <c r="H3329" t="s">
        <v>74</v>
      </c>
      <c r="I3329">
        <v>10</v>
      </c>
    </row>
    <row r="3330" spans="1:9" x14ac:dyDescent="0.2">
      <c r="A3330">
        <v>15585572</v>
      </c>
      <c r="B3330">
        <v>1</v>
      </c>
      <c r="C3330">
        <v>1439</v>
      </c>
      <c r="D3330">
        <v>59285</v>
      </c>
      <c r="E3330">
        <v>25</v>
      </c>
      <c r="F3330" t="s">
        <v>25</v>
      </c>
      <c r="G3330" t="s">
        <v>29</v>
      </c>
      <c r="H3330" t="s">
        <v>24</v>
      </c>
      <c r="I3330">
        <v>5</v>
      </c>
    </row>
    <row r="3331" spans="1:9" x14ac:dyDescent="0.2">
      <c r="A3331">
        <v>15632579</v>
      </c>
      <c r="B3331">
        <v>1</v>
      </c>
      <c r="C3331">
        <v>3211</v>
      </c>
      <c r="D3331">
        <v>54000</v>
      </c>
      <c r="E3331">
        <v>24</v>
      </c>
      <c r="F3331" t="s">
        <v>47</v>
      </c>
      <c r="G3331" t="s">
        <v>99</v>
      </c>
      <c r="H3331" t="s">
        <v>46</v>
      </c>
      <c r="I3331">
        <v>10</v>
      </c>
    </row>
    <row r="3332" spans="1:9" x14ac:dyDescent="0.2">
      <c r="A3332">
        <v>15632579</v>
      </c>
      <c r="B3332">
        <v>2</v>
      </c>
      <c r="C3332">
        <v>3243</v>
      </c>
      <c r="D3332">
        <v>0</v>
      </c>
      <c r="E3332">
        <v>26</v>
      </c>
      <c r="F3332" t="s">
        <v>47</v>
      </c>
      <c r="G3332" t="s">
        <v>75</v>
      </c>
      <c r="H3332" t="s">
        <v>46</v>
      </c>
      <c r="I3332">
        <v>10</v>
      </c>
    </row>
    <row r="3333" spans="1:9" x14ac:dyDescent="0.2">
      <c r="A3333">
        <v>15632579</v>
      </c>
      <c r="B3333">
        <v>3</v>
      </c>
      <c r="C3333">
        <v>3252</v>
      </c>
      <c r="D3333">
        <v>0</v>
      </c>
      <c r="E3333">
        <v>26</v>
      </c>
      <c r="F3333" t="s">
        <v>47</v>
      </c>
      <c r="G3333" t="s">
        <v>45</v>
      </c>
      <c r="H3333" t="s">
        <v>46</v>
      </c>
      <c r="I3333">
        <v>10</v>
      </c>
    </row>
    <row r="3334" spans="1:9" x14ac:dyDescent="0.2">
      <c r="A3334">
        <v>15671778</v>
      </c>
      <c r="B3334">
        <v>1</v>
      </c>
      <c r="C3334">
        <v>3244</v>
      </c>
      <c r="D3334">
        <v>0</v>
      </c>
      <c r="E3334">
        <v>36</v>
      </c>
      <c r="F3334" t="s">
        <v>47</v>
      </c>
      <c r="G3334" t="s">
        <v>73</v>
      </c>
      <c r="H3334" t="s">
        <v>74</v>
      </c>
      <c r="I3334">
        <v>10</v>
      </c>
    </row>
    <row r="3335" spans="1:9" x14ac:dyDescent="0.2">
      <c r="A3335">
        <v>15671778</v>
      </c>
      <c r="B3335">
        <v>2</v>
      </c>
      <c r="C3335">
        <v>3261</v>
      </c>
      <c r="D3335">
        <v>0</v>
      </c>
      <c r="E3335">
        <v>36</v>
      </c>
      <c r="F3335" t="s">
        <v>47</v>
      </c>
      <c r="G3335" t="s">
        <v>93</v>
      </c>
      <c r="H3335" t="s">
        <v>46</v>
      </c>
      <c r="I3335">
        <v>10</v>
      </c>
    </row>
    <row r="3336" spans="1:9" x14ac:dyDescent="0.2">
      <c r="A3336">
        <v>15671778</v>
      </c>
      <c r="B3336">
        <v>3</v>
      </c>
      <c r="C3336">
        <v>3296</v>
      </c>
      <c r="D3336">
        <v>0</v>
      </c>
      <c r="E3336">
        <v>36</v>
      </c>
      <c r="F3336" t="s">
        <v>47</v>
      </c>
      <c r="G3336" t="s">
        <v>100</v>
      </c>
      <c r="H3336" t="s">
        <v>46</v>
      </c>
      <c r="I3336">
        <v>10</v>
      </c>
    </row>
    <row r="3337" spans="1:9" x14ac:dyDescent="0.2">
      <c r="A3337">
        <v>15671778</v>
      </c>
      <c r="B3337">
        <v>4</v>
      </c>
      <c r="C3337">
        <v>3200</v>
      </c>
      <c r="D3337">
        <v>0</v>
      </c>
      <c r="E3337">
        <v>36</v>
      </c>
      <c r="F3337" t="s">
        <v>47</v>
      </c>
      <c r="G3337" t="s">
        <v>18</v>
      </c>
      <c r="H3337" t="s">
        <v>46</v>
      </c>
      <c r="I3337">
        <v>10</v>
      </c>
    </row>
    <row r="3338" spans="1:9" x14ac:dyDescent="0.2">
      <c r="A3338">
        <v>15674050</v>
      </c>
      <c r="B3338">
        <v>1</v>
      </c>
      <c r="C3338">
        <v>1155</v>
      </c>
      <c r="D3338">
        <v>64590</v>
      </c>
      <c r="E3338">
        <v>25</v>
      </c>
      <c r="F3338" t="s">
        <v>17</v>
      </c>
      <c r="G3338" t="s">
        <v>62</v>
      </c>
      <c r="H3338" t="s">
        <v>16</v>
      </c>
      <c r="I3338" t="s">
        <v>448</v>
      </c>
    </row>
    <row r="3339" spans="1:9" x14ac:dyDescent="0.2">
      <c r="A3339">
        <v>15674050</v>
      </c>
      <c r="B3339">
        <v>2</v>
      </c>
      <c r="C3339">
        <v>1178</v>
      </c>
      <c r="D3339">
        <v>62260</v>
      </c>
      <c r="E3339">
        <v>25</v>
      </c>
      <c r="F3339" t="s">
        <v>17</v>
      </c>
      <c r="G3339" t="s">
        <v>238</v>
      </c>
      <c r="H3339" t="s">
        <v>16</v>
      </c>
      <c r="I3339" t="s">
        <v>448</v>
      </c>
    </row>
    <row r="3340" spans="1:9" x14ac:dyDescent="0.2">
      <c r="A3340">
        <v>15685252</v>
      </c>
      <c r="B3340">
        <v>1</v>
      </c>
      <c r="C3340">
        <v>3244</v>
      </c>
      <c r="D3340">
        <v>42415</v>
      </c>
      <c r="E3340">
        <v>25</v>
      </c>
      <c r="F3340" t="s">
        <v>47</v>
      </c>
      <c r="G3340" t="s">
        <v>73</v>
      </c>
      <c r="H3340" t="s">
        <v>74</v>
      </c>
      <c r="I3340">
        <v>10</v>
      </c>
    </row>
    <row r="3341" spans="1:9" x14ac:dyDescent="0.2">
      <c r="A3341">
        <v>15686725</v>
      </c>
      <c r="B3341">
        <v>1</v>
      </c>
      <c r="C3341">
        <v>1705</v>
      </c>
      <c r="D3341">
        <v>56280</v>
      </c>
      <c r="E3341">
        <v>25</v>
      </c>
      <c r="F3341" t="s">
        <v>57</v>
      </c>
      <c r="G3341" t="s">
        <v>102</v>
      </c>
      <c r="H3341" t="s">
        <v>69</v>
      </c>
      <c r="I3341">
        <v>10</v>
      </c>
    </row>
    <row r="3342" spans="1:9" x14ac:dyDescent="0.2">
      <c r="A3342">
        <v>15686725</v>
      </c>
      <c r="B3342">
        <v>2</v>
      </c>
      <c r="C3342">
        <v>1715</v>
      </c>
      <c r="D3342">
        <v>56300</v>
      </c>
      <c r="E3342">
        <v>25</v>
      </c>
      <c r="F3342" t="s">
        <v>57</v>
      </c>
      <c r="G3342" t="s">
        <v>151</v>
      </c>
      <c r="H3342" t="s">
        <v>69</v>
      </c>
      <c r="I3342">
        <v>10</v>
      </c>
    </row>
    <row r="3343" spans="1:9" x14ac:dyDescent="0.2">
      <c r="A3343">
        <v>15686725</v>
      </c>
      <c r="B3343">
        <v>3</v>
      </c>
      <c r="C3343">
        <v>1714</v>
      </c>
      <c r="D3343">
        <v>56100</v>
      </c>
      <c r="E3343">
        <v>25</v>
      </c>
      <c r="F3343" t="s">
        <v>57</v>
      </c>
      <c r="G3343" t="s">
        <v>95</v>
      </c>
      <c r="H3343" t="s">
        <v>69</v>
      </c>
      <c r="I3343">
        <v>10</v>
      </c>
    </row>
    <row r="3344" spans="1:9" x14ac:dyDescent="0.2">
      <c r="A3344">
        <v>15686725</v>
      </c>
      <c r="B3344">
        <v>4</v>
      </c>
      <c r="C3344">
        <v>1732</v>
      </c>
      <c r="D3344">
        <v>56150</v>
      </c>
      <c r="E3344">
        <v>25</v>
      </c>
      <c r="F3344" t="s">
        <v>57</v>
      </c>
      <c r="G3344" t="s">
        <v>104</v>
      </c>
      <c r="H3344" t="s">
        <v>69</v>
      </c>
      <c r="I3344">
        <v>10</v>
      </c>
    </row>
    <row r="3345" spans="1:9" x14ac:dyDescent="0.2">
      <c r="A3345">
        <v>15686725</v>
      </c>
      <c r="B3345">
        <v>5</v>
      </c>
      <c r="C3345">
        <v>1711</v>
      </c>
      <c r="D3345">
        <v>56500</v>
      </c>
      <c r="E3345">
        <v>25</v>
      </c>
      <c r="F3345" t="s">
        <v>57</v>
      </c>
      <c r="G3345" t="s">
        <v>201</v>
      </c>
      <c r="H3345" t="s">
        <v>69</v>
      </c>
      <c r="I3345">
        <v>10</v>
      </c>
    </row>
    <row r="3346" spans="1:9" x14ac:dyDescent="0.2">
      <c r="A3346">
        <v>15686725</v>
      </c>
      <c r="B3346">
        <v>6</v>
      </c>
      <c r="C3346">
        <v>3229</v>
      </c>
      <c r="D3346">
        <v>56430</v>
      </c>
      <c r="E3346">
        <v>24</v>
      </c>
      <c r="F3346" t="s">
        <v>47</v>
      </c>
      <c r="G3346" t="s">
        <v>101</v>
      </c>
      <c r="H3346" t="s">
        <v>46</v>
      </c>
      <c r="I3346">
        <v>10</v>
      </c>
    </row>
    <row r="3347" spans="1:9" x14ac:dyDescent="0.2">
      <c r="A3347">
        <v>15686726</v>
      </c>
      <c r="B3347">
        <v>1</v>
      </c>
      <c r="C3347">
        <v>1782</v>
      </c>
      <c r="D3347">
        <v>53005</v>
      </c>
      <c r="E3347">
        <v>25</v>
      </c>
      <c r="F3347" t="s">
        <v>57</v>
      </c>
      <c r="G3347" t="s">
        <v>63</v>
      </c>
      <c r="H3347" t="s">
        <v>69</v>
      </c>
      <c r="I3347">
        <v>10</v>
      </c>
    </row>
    <row r="3348" spans="1:9" x14ac:dyDescent="0.2">
      <c r="A3348">
        <v>15686726</v>
      </c>
      <c r="B3348">
        <v>2</v>
      </c>
      <c r="C3348">
        <v>3601</v>
      </c>
      <c r="D3348">
        <v>53310</v>
      </c>
      <c r="E3348">
        <v>25</v>
      </c>
      <c r="F3348" t="s">
        <v>108</v>
      </c>
      <c r="G3348" t="s">
        <v>63</v>
      </c>
      <c r="H3348" t="s">
        <v>20</v>
      </c>
      <c r="I3348">
        <v>8</v>
      </c>
    </row>
    <row r="3349" spans="1:9" x14ac:dyDescent="0.2">
      <c r="A3349">
        <v>15686726</v>
      </c>
      <c r="B3349">
        <v>3</v>
      </c>
      <c r="C3349">
        <v>3451</v>
      </c>
      <c r="D3349">
        <v>52805</v>
      </c>
      <c r="E3349">
        <v>25</v>
      </c>
      <c r="F3349" t="s">
        <v>36</v>
      </c>
      <c r="G3349" t="s">
        <v>63</v>
      </c>
      <c r="H3349" t="s">
        <v>35</v>
      </c>
      <c r="I3349">
        <v>7</v>
      </c>
    </row>
    <row r="3350" spans="1:9" x14ac:dyDescent="0.2">
      <c r="A3350">
        <v>15686726</v>
      </c>
      <c r="B3350">
        <v>4</v>
      </c>
      <c r="C3350">
        <v>2318</v>
      </c>
      <c r="D3350">
        <v>52700</v>
      </c>
      <c r="E3350">
        <v>24</v>
      </c>
      <c r="F3350" t="s">
        <v>39</v>
      </c>
      <c r="G3350" t="s">
        <v>63</v>
      </c>
      <c r="H3350" t="s">
        <v>176</v>
      </c>
      <c r="I3350">
        <v>1</v>
      </c>
    </row>
    <row r="3351" spans="1:9" x14ac:dyDescent="0.2">
      <c r="A3351">
        <v>15686726</v>
      </c>
      <c r="B3351">
        <v>5</v>
      </c>
      <c r="C3351">
        <v>1324</v>
      </c>
      <c r="D3351">
        <v>0</v>
      </c>
      <c r="E3351">
        <v>26</v>
      </c>
      <c r="F3351" t="s">
        <v>21</v>
      </c>
      <c r="G3351" t="s">
        <v>63</v>
      </c>
      <c r="H3351" t="s">
        <v>20</v>
      </c>
      <c r="I3351">
        <v>8</v>
      </c>
    </row>
    <row r="3352" spans="1:9" x14ac:dyDescent="0.2">
      <c r="A3352">
        <v>15686726</v>
      </c>
      <c r="B3352">
        <v>6</v>
      </c>
      <c r="C3352">
        <v>1930</v>
      </c>
      <c r="D3352">
        <v>0</v>
      </c>
      <c r="E3352">
        <v>26</v>
      </c>
      <c r="F3352" t="s">
        <v>32</v>
      </c>
      <c r="G3352" t="s">
        <v>63</v>
      </c>
      <c r="H3352" t="s">
        <v>31</v>
      </c>
      <c r="I3352">
        <v>5</v>
      </c>
    </row>
    <row r="3353" spans="1:9" x14ac:dyDescent="0.2">
      <c r="A3353">
        <v>15686726</v>
      </c>
      <c r="B3353">
        <v>7</v>
      </c>
      <c r="C3353">
        <v>3325</v>
      </c>
      <c r="D3353">
        <v>0</v>
      </c>
      <c r="E3353">
        <v>26</v>
      </c>
      <c r="F3353" t="s">
        <v>207</v>
      </c>
      <c r="G3353" t="s">
        <v>63</v>
      </c>
      <c r="H3353" t="s">
        <v>421</v>
      </c>
      <c r="I3353">
        <v>12</v>
      </c>
    </row>
    <row r="3354" spans="1:9" x14ac:dyDescent="0.2">
      <c r="A3354">
        <v>15686726</v>
      </c>
      <c r="B3354">
        <v>8</v>
      </c>
      <c r="C3354">
        <v>3740</v>
      </c>
      <c r="D3354">
        <v>0</v>
      </c>
      <c r="E3354">
        <v>26</v>
      </c>
      <c r="F3354" t="s">
        <v>116</v>
      </c>
      <c r="G3354" t="s">
        <v>63</v>
      </c>
      <c r="H3354" t="s">
        <v>61</v>
      </c>
      <c r="I3354">
        <v>9</v>
      </c>
    </row>
    <row r="3355" spans="1:9" x14ac:dyDescent="0.2">
      <c r="A3355">
        <v>15691656</v>
      </c>
      <c r="B3355">
        <v>1</v>
      </c>
      <c r="C3355">
        <v>1206</v>
      </c>
      <c r="D3355">
        <v>47695</v>
      </c>
      <c r="E3355">
        <v>25</v>
      </c>
      <c r="F3355" t="s">
        <v>19</v>
      </c>
      <c r="G3355" t="s">
        <v>370</v>
      </c>
      <c r="H3355" t="s">
        <v>16</v>
      </c>
      <c r="I3355" t="s">
        <v>448</v>
      </c>
    </row>
    <row r="3356" spans="1:9" x14ac:dyDescent="0.2">
      <c r="A3356">
        <v>15702371</v>
      </c>
      <c r="B3356">
        <v>1</v>
      </c>
      <c r="C3356">
        <v>3234</v>
      </c>
      <c r="D3356">
        <v>55140</v>
      </c>
      <c r="E3356">
        <v>25</v>
      </c>
      <c r="F3356" t="s">
        <v>47</v>
      </c>
      <c r="G3356" t="s">
        <v>76</v>
      </c>
      <c r="H3356" t="s">
        <v>46</v>
      </c>
      <c r="I3356">
        <v>10</v>
      </c>
    </row>
    <row r="3357" spans="1:9" x14ac:dyDescent="0.2">
      <c r="A3357">
        <v>15702371</v>
      </c>
      <c r="B3357">
        <v>2</v>
      </c>
      <c r="C3357">
        <v>3252</v>
      </c>
      <c r="D3357">
        <v>55290</v>
      </c>
      <c r="E3357">
        <v>24</v>
      </c>
      <c r="F3357" t="s">
        <v>47</v>
      </c>
      <c r="G3357" t="s">
        <v>45</v>
      </c>
      <c r="H3357" t="s">
        <v>46</v>
      </c>
      <c r="I3357">
        <v>10</v>
      </c>
    </row>
    <row r="3358" spans="1:9" x14ac:dyDescent="0.2">
      <c r="A3358">
        <v>15702371</v>
      </c>
      <c r="B3358">
        <v>3</v>
      </c>
      <c r="C3358">
        <v>3248</v>
      </c>
      <c r="D3358">
        <v>0</v>
      </c>
      <c r="E3358">
        <v>26</v>
      </c>
      <c r="F3358" t="s">
        <v>47</v>
      </c>
      <c r="G3358" t="s">
        <v>92</v>
      </c>
      <c r="H3358" t="s">
        <v>46</v>
      </c>
      <c r="I3358">
        <v>10</v>
      </c>
    </row>
    <row r="3359" spans="1:9" x14ac:dyDescent="0.2">
      <c r="A3359">
        <v>15702465</v>
      </c>
      <c r="B3359">
        <v>1</v>
      </c>
      <c r="C3359">
        <v>1776</v>
      </c>
      <c r="D3359">
        <v>50430</v>
      </c>
      <c r="E3359">
        <v>25</v>
      </c>
      <c r="F3359" t="s">
        <v>57</v>
      </c>
      <c r="G3359" t="s">
        <v>124</v>
      </c>
      <c r="H3359" t="s">
        <v>125</v>
      </c>
      <c r="I3359">
        <v>10</v>
      </c>
    </row>
    <row r="3360" spans="1:9" x14ac:dyDescent="0.2">
      <c r="A3360">
        <v>15702465</v>
      </c>
      <c r="B3360">
        <v>2</v>
      </c>
      <c r="C3360">
        <v>1710</v>
      </c>
      <c r="D3360">
        <v>50200</v>
      </c>
      <c r="E3360">
        <v>24</v>
      </c>
      <c r="F3360" t="s">
        <v>57</v>
      </c>
      <c r="G3360" t="s">
        <v>169</v>
      </c>
      <c r="H3360" t="s">
        <v>69</v>
      </c>
      <c r="I3360">
        <v>10</v>
      </c>
    </row>
    <row r="3361" spans="1:9" x14ac:dyDescent="0.2">
      <c r="A3361">
        <v>15702465</v>
      </c>
      <c r="B3361">
        <v>3</v>
      </c>
      <c r="C3361">
        <v>1775</v>
      </c>
      <c r="D3361">
        <v>0</v>
      </c>
      <c r="E3361">
        <v>26</v>
      </c>
      <c r="F3361" t="s">
        <v>57</v>
      </c>
      <c r="G3361" t="s">
        <v>94</v>
      </c>
      <c r="H3361" t="s">
        <v>69</v>
      </c>
      <c r="I3361">
        <v>10</v>
      </c>
    </row>
    <row r="3362" spans="1:9" x14ac:dyDescent="0.2">
      <c r="A3362">
        <v>15702465</v>
      </c>
      <c r="B3362">
        <v>4</v>
      </c>
      <c r="C3362">
        <v>3239</v>
      </c>
      <c r="D3362">
        <v>0</v>
      </c>
      <c r="E3362">
        <v>26</v>
      </c>
      <c r="F3362" t="s">
        <v>47</v>
      </c>
      <c r="G3362" t="s">
        <v>107</v>
      </c>
      <c r="H3362" t="s">
        <v>46</v>
      </c>
      <c r="I3362">
        <v>10</v>
      </c>
    </row>
    <row r="3363" spans="1:9" x14ac:dyDescent="0.2">
      <c r="A3363">
        <v>15702465</v>
      </c>
      <c r="B3363">
        <v>5</v>
      </c>
      <c r="C3363">
        <v>3245</v>
      </c>
      <c r="D3363">
        <v>0</v>
      </c>
      <c r="E3363">
        <v>26</v>
      </c>
      <c r="F3363" t="s">
        <v>47</v>
      </c>
      <c r="G3363" t="s">
        <v>157</v>
      </c>
      <c r="H3363" t="s">
        <v>74</v>
      </c>
      <c r="I3363">
        <v>10</v>
      </c>
    </row>
    <row r="3364" spans="1:9" x14ac:dyDescent="0.2">
      <c r="A3364">
        <v>15719917</v>
      </c>
      <c r="B3364">
        <v>1</v>
      </c>
      <c r="C3364">
        <v>1503</v>
      </c>
      <c r="D3364">
        <v>62990</v>
      </c>
      <c r="E3364">
        <v>25</v>
      </c>
      <c r="F3364" t="s">
        <v>142</v>
      </c>
      <c r="G3364" t="s">
        <v>161</v>
      </c>
      <c r="H3364" t="s">
        <v>31</v>
      </c>
      <c r="I3364">
        <v>5</v>
      </c>
    </row>
    <row r="3365" spans="1:9" x14ac:dyDescent="0.2">
      <c r="A3365">
        <v>15719917</v>
      </c>
      <c r="B3365">
        <v>2</v>
      </c>
      <c r="C3365">
        <v>1704</v>
      </c>
      <c r="D3365">
        <v>61545</v>
      </c>
      <c r="E3365">
        <v>24</v>
      </c>
      <c r="F3365" t="s">
        <v>57</v>
      </c>
      <c r="G3365" t="s">
        <v>82</v>
      </c>
      <c r="H3365" t="s">
        <v>79</v>
      </c>
      <c r="I3365">
        <v>10</v>
      </c>
    </row>
    <row r="3366" spans="1:9" x14ac:dyDescent="0.2">
      <c r="A3366">
        <v>15719917</v>
      </c>
      <c r="B3366">
        <v>3</v>
      </c>
      <c r="C3366">
        <v>1481</v>
      </c>
      <c r="D3366">
        <v>0</v>
      </c>
      <c r="E3366">
        <v>26</v>
      </c>
      <c r="F3366" t="s">
        <v>25</v>
      </c>
      <c r="G3366" t="s">
        <v>121</v>
      </c>
      <c r="H3366" t="s">
        <v>24</v>
      </c>
      <c r="I3366">
        <v>5</v>
      </c>
    </row>
    <row r="3367" spans="1:9" x14ac:dyDescent="0.2">
      <c r="A3367">
        <v>15719917</v>
      </c>
      <c r="B3367">
        <v>4</v>
      </c>
      <c r="C3367">
        <v>1368</v>
      </c>
      <c r="D3367">
        <v>0</v>
      </c>
      <c r="E3367">
        <v>26</v>
      </c>
      <c r="F3367" t="s">
        <v>21</v>
      </c>
      <c r="G3367" t="s">
        <v>140</v>
      </c>
      <c r="H3367" t="s">
        <v>20</v>
      </c>
      <c r="I3367">
        <v>8</v>
      </c>
    </row>
    <row r="3368" spans="1:9" x14ac:dyDescent="0.2">
      <c r="A3368">
        <v>15719917</v>
      </c>
      <c r="B3368">
        <v>5</v>
      </c>
      <c r="C3368">
        <v>1752</v>
      </c>
      <c r="D3368">
        <v>0</v>
      </c>
      <c r="E3368">
        <v>26</v>
      </c>
      <c r="F3368" t="s">
        <v>57</v>
      </c>
      <c r="G3368" t="s">
        <v>66</v>
      </c>
      <c r="H3368" t="s">
        <v>56</v>
      </c>
      <c r="I3368">
        <v>10</v>
      </c>
    </row>
    <row r="3369" spans="1:9" x14ac:dyDescent="0.2">
      <c r="A3369">
        <v>15719917</v>
      </c>
      <c r="B3369">
        <v>6</v>
      </c>
      <c r="C3369">
        <v>1737</v>
      </c>
      <c r="D3369">
        <v>0</v>
      </c>
      <c r="E3369">
        <v>26</v>
      </c>
      <c r="F3369" t="s">
        <v>57</v>
      </c>
      <c r="G3369" t="s">
        <v>54</v>
      </c>
      <c r="H3369" t="s">
        <v>79</v>
      </c>
      <c r="I3369">
        <v>10</v>
      </c>
    </row>
    <row r="3370" spans="1:9" x14ac:dyDescent="0.2">
      <c r="A3370">
        <v>15719917</v>
      </c>
      <c r="B3370">
        <v>7</v>
      </c>
      <c r="C3370">
        <v>3406</v>
      </c>
      <c r="D3370">
        <v>0</v>
      </c>
      <c r="E3370">
        <v>26</v>
      </c>
      <c r="F3370" t="s">
        <v>36</v>
      </c>
      <c r="G3370" t="s">
        <v>66</v>
      </c>
      <c r="H3370" t="s">
        <v>387</v>
      </c>
      <c r="I3370">
        <v>7</v>
      </c>
    </row>
    <row r="3371" spans="1:9" x14ac:dyDescent="0.2">
      <c r="A3371">
        <v>15719917</v>
      </c>
      <c r="B3371">
        <v>8</v>
      </c>
      <c r="C3371">
        <v>3002</v>
      </c>
      <c r="D3371">
        <v>0</v>
      </c>
      <c r="E3371">
        <v>26</v>
      </c>
      <c r="F3371" t="s">
        <v>44</v>
      </c>
      <c r="G3371" t="s">
        <v>147</v>
      </c>
      <c r="H3371" t="s">
        <v>55</v>
      </c>
      <c r="I3371">
        <v>9</v>
      </c>
    </row>
    <row r="3372" spans="1:9" x14ac:dyDescent="0.2">
      <c r="A3372">
        <v>15745969</v>
      </c>
      <c r="B3372">
        <v>1</v>
      </c>
      <c r="C3372">
        <v>3223</v>
      </c>
      <c r="D3372">
        <v>55355</v>
      </c>
      <c r="E3372">
        <v>24</v>
      </c>
      <c r="F3372" t="s">
        <v>47</v>
      </c>
      <c r="G3372" t="s">
        <v>105</v>
      </c>
      <c r="H3372" t="s">
        <v>46</v>
      </c>
      <c r="I3372">
        <v>10</v>
      </c>
    </row>
    <row r="3373" spans="1:9" x14ac:dyDescent="0.2">
      <c r="A3373">
        <v>15745969</v>
      </c>
      <c r="B3373">
        <v>2</v>
      </c>
      <c r="C3373">
        <v>3237</v>
      </c>
      <c r="D3373">
        <v>0</v>
      </c>
      <c r="E3373">
        <v>26</v>
      </c>
      <c r="F3373" t="s">
        <v>47</v>
      </c>
      <c r="G3373" t="s">
        <v>181</v>
      </c>
      <c r="H3373" t="s">
        <v>46</v>
      </c>
      <c r="I3373">
        <v>10</v>
      </c>
    </row>
    <row r="3374" spans="1:9" x14ac:dyDescent="0.2">
      <c r="A3374">
        <v>15745969</v>
      </c>
      <c r="B3374">
        <v>3</v>
      </c>
      <c r="C3374">
        <v>1776</v>
      </c>
      <c r="D3374">
        <v>0</v>
      </c>
      <c r="E3374">
        <v>26</v>
      </c>
      <c r="F3374" t="s">
        <v>57</v>
      </c>
      <c r="G3374" t="s">
        <v>124</v>
      </c>
      <c r="H3374" t="s">
        <v>125</v>
      </c>
      <c r="I3374">
        <v>10</v>
      </c>
    </row>
    <row r="3375" spans="1:9" x14ac:dyDescent="0.2">
      <c r="A3375">
        <v>15745969</v>
      </c>
      <c r="B3375">
        <v>4</v>
      </c>
      <c r="C3375">
        <v>3212</v>
      </c>
      <c r="D3375">
        <v>0</v>
      </c>
      <c r="E3375">
        <v>26</v>
      </c>
      <c r="F3375" t="s">
        <v>47</v>
      </c>
      <c r="G3375" t="s">
        <v>84</v>
      </c>
      <c r="H3375" t="s">
        <v>46</v>
      </c>
      <c r="I3375">
        <v>10</v>
      </c>
    </row>
    <row r="3376" spans="1:9" x14ac:dyDescent="0.2">
      <c r="A3376">
        <v>15745969</v>
      </c>
      <c r="B3376">
        <v>5</v>
      </c>
      <c r="C3376">
        <v>1371</v>
      </c>
      <c r="D3376">
        <v>0</v>
      </c>
      <c r="E3376">
        <v>26</v>
      </c>
      <c r="F3376" t="s">
        <v>21</v>
      </c>
      <c r="G3376" t="s">
        <v>78</v>
      </c>
      <c r="H3376" t="s">
        <v>20</v>
      </c>
      <c r="I3376">
        <v>8</v>
      </c>
    </row>
    <row r="3377" spans="1:9" x14ac:dyDescent="0.2">
      <c r="A3377">
        <v>15745970</v>
      </c>
      <c r="B3377">
        <v>1</v>
      </c>
      <c r="C3377">
        <v>3269</v>
      </c>
      <c r="D3377">
        <v>0</v>
      </c>
      <c r="E3377">
        <v>36</v>
      </c>
      <c r="F3377" t="s">
        <v>47</v>
      </c>
      <c r="G3377" t="s">
        <v>180</v>
      </c>
      <c r="H3377" t="s">
        <v>46</v>
      </c>
      <c r="I3377">
        <v>10</v>
      </c>
    </row>
    <row r="3378" spans="1:9" x14ac:dyDescent="0.2">
      <c r="A3378">
        <v>15745970</v>
      </c>
      <c r="B3378">
        <v>2</v>
      </c>
      <c r="C3378">
        <v>3225</v>
      </c>
      <c r="D3378">
        <v>0</v>
      </c>
      <c r="E3378">
        <v>36</v>
      </c>
      <c r="F3378" t="s">
        <v>47</v>
      </c>
      <c r="G3378" t="s">
        <v>106</v>
      </c>
      <c r="H3378" t="s">
        <v>46</v>
      </c>
      <c r="I3378">
        <v>10</v>
      </c>
    </row>
    <row r="3379" spans="1:9" x14ac:dyDescent="0.2">
      <c r="A3379">
        <v>15745970</v>
      </c>
      <c r="B3379">
        <v>3</v>
      </c>
      <c r="C3379">
        <v>3243</v>
      </c>
      <c r="D3379">
        <v>0</v>
      </c>
      <c r="E3379">
        <v>36</v>
      </c>
      <c r="F3379" t="s">
        <v>47</v>
      </c>
      <c r="G3379" t="s">
        <v>75</v>
      </c>
      <c r="H3379" t="s">
        <v>46</v>
      </c>
      <c r="I3379">
        <v>10</v>
      </c>
    </row>
    <row r="3380" spans="1:9" x14ac:dyDescent="0.2">
      <c r="A3380">
        <v>15745970</v>
      </c>
      <c r="B3380">
        <v>4</v>
      </c>
      <c r="C3380">
        <v>3219</v>
      </c>
      <c r="D3380">
        <v>0</v>
      </c>
      <c r="E3380">
        <v>36</v>
      </c>
      <c r="F3380" t="s">
        <v>47</v>
      </c>
      <c r="G3380" t="s">
        <v>205</v>
      </c>
      <c r="H3380" t="s">
        <v>74</v>
      </c>
      <c r="I3380">
        <v>10</v>
      </c>
    </row>
    <row r="3381" spans="1:9" x14ac:dyDescent="0.2">
      <c r="A3381">
        <v>15745970</v>
      </c>
      <c r="B3381">
        <v>5</v>
      </c>
      <c r="C3381">
        <v>3244</v>
      </c>
      <c r="D3381">
        <v>0</v>
      </c>
      <c r="E3381">
        <v>36</v>
      </c>
      <c r="F3381" t="s">
        <v>47</v>
      </c>
      <c r="G3381" t="s">
        <v>73</v>
      </c>
      <c r="H3381" t="s">
        <v>74</v>
      </c>
      <c r="I3381">
        <v>10</v>
      </c>
    </row>
    <row r="3382" spans="1:9" x14ac:dyDescent="0.2">
      <c r="A3382">
        <v>15785555</v>
      </c>
      <c r="B3382">
        <v>1</v>
      </c>
      <c r="C3382">
        <v>1713</v>
      </c>
      <c r="D3382">
        <v>62050</v>
      </c>
      <c r="E3382">
        <v>25</v>
      </c>
      <c r="F3382" t="s">
        <v>57</v>
      </c>
      <c r="G3382" t="s">
        <v>170</v>
      </c>
      <c r="H3382" t="s">
        <v>69</v>
      </c>
      <c r="I3382">
        <v>10</v>
      </c>
    </row>
    <row r="3383" spans="1:9" x14ac:dyDescent="0.2">
      <c r="A3383">
        <v>15785555</v>
      </c>
      <c r="B3383">
        <v>2</v>
      </c>
      <c r="C3383">
        <v>1731</v>
      </c>
      <c r="D3383">
        <v>62050</v>
      </c>
      <c r="E3383">
        <v>25</v>
      </c>
      <c r="F3383" t="s">
        <v>57</v>
      </c>
      <c r="G3383" t="s">
        <v>172</v>
      </c>
      <c r="H3383" t="s">
        <v>69</v>
      </c>
      <c r="I3383">
        <v>10</v>
      </c>
    </row>
    <row r="3384" spans="1:9" x14ac:dyDescent="0.2">
      <c r="A3384">
        <v>15785555</v>
      </c>
      <c r="B3384">
        <v>3</v>
      </c>
      <c r="C3384">
        <v>3620</v>
      </c>
      <c r="D3384">
        <v>62420</v>
      </c>
      <c r="E3384">
        <v>25</v>
      </c>
      <c r="F3384" t="s">
        <v>108</v>
      </c>
      <c r="G3384" t="s">
        <v>170</v>
      </c>
      <c r="H3384" t="s">
        <v>20</v>
      </c>
      <c r="I3384">
        <v>8</v>
      </c>
    </row>
    <row r="3385" spans="1:9" x14ac:dyDescent="0.2">
      <c r="A3385">
        <v>15785555</v>
      </c>
      <c r="B3385">
        <v>4</v>
      </c>
      <c r="C3385">
        <v>1789</v>
      </c>
      <c r="D3385">
        <v>62050</v>
      </c>
      <c r="E3385">
        <v>25</v>
      </c>
      <c r="F3385" t="s">
        <v>57</v>
      </c>
      <c r="G3385" t="s">
        <v>122</v>
      </c>
      <c r="H3385" t="s">
        <v>69</v>
      </c>
      <c r="I3385">
        <v>10</v>
      </c>
    </row>
    <row r="3386" spans="1:9" x14ac:dyDescent="0.2">
      <c r="A3386">
        <v>15785555</v>
      </c>
      <c r="B3386">
        <v>5</v>
      </c>
      <c r="C3386">
        <v>3033</v>
      </c>
      <c r="D3386">
        <v>61620</v>
      </c>
      <c r="E3386">
        <v>25</v>
      </c>
      <c r="F3386" t="s">
        <v>44</v>
      </c>
      <c r="G3386" t="s">
        <v>122</v>
      </c>
      <c r="H3386" t="s">
        <v>50</v>
      </c>
      <c r="I3386">
        <v>9</v>
      </c>
    </row>
    <row r="3387" spans="1:9" x14ac:dyDescent="0.2">
      <c r="A3387">
        <v>15785555</v>
      </c>
      <c r="B3387">
        <v>6</v>
      </c>
      <c r="C3387">
        <v>1715</v>
      </c>
      <c r="D3387">
        <v>62050</v>
      </c>
      <c r="E3387">
        <v>24</v>
      </c>
      <c r="F3387" t="s">
        <v>57</v>
      </c>
      <c r="G3387" t="s">
        <v>151</v>
      </c>
      <c r="H3387" t="s">
        <v>69</v>
      </c>
      <c r="I3387">
        <v>10</v>
      </c>
    </row>
    <row r="3388" spans="1:9" x14ac:dyDescent="0.2">
      <c r="A3388">
        <v>15785555</v>
      </c>
      <c r="B3388">
        <v>7</v>
      </c>
      <c r="C3388">
        <v>3064</v>
      </c>
      <c r="D3388">
        <v>0</v>
      </c>
      <c r="E3388">
        <v>26</v>
      </c>
      <c r="F3388" t="s">
        <v>44</v>
      </c>
      <c r="G3388" t="s">
        <v>97</v>
      </c>
      <c r="H3388" t="s">
        <v>52</v>
      </c>
      <c r="I3388">
        <v>9</v>
      </c>
    </row>
    <row r="3389" spans="1:9" x14ac:dyDescent="0.2">
      <c r="A3389">
        <v>15785555</v>
      </c>
      <c r="B3389">
        <v>8</v>
      </c>
      <c r="C3389">
        <v>1776</v>
      </c>
      <c r="D3389">
        <v>0</v>
      </c>
      <c r="E3389">
        <v>26</v>
      </c>
      <c r="F3389" t="s">
        <v>57</v>
      </c>
      <c r="G3389" t="s">
        <v>124</v>
      </c>
      <c r="H3389" t="s">
        <v>125</v>
      </c>
      <c r="I3389">
        <v>10</v>
      </c>
    </row>
    <row r="3390" spans="1:9" x14ac:dyDescent="0.2">
      <c r="A3390">
        <v>15818231</v>
      </c>
      <c r="B3390">
        <v>1</v>
      </c>
      <c r="C3390">
        <v>3252</v>
      </c>
      <c r="D3390">
        <v>57295</v>
      </c>
      <c r="E3390">
        <v>24</v>
      </c>
      <c r="F3390" t="s">
        <v>47</v>
      </c>
      <c r="G3390" t="s">
        <v>45</v>
      </c>
      <c r="H3390" t="s">
        <v>46</v>
      </c>
      <c r="I3390">
        <v>10</v>
      </c>
    </row>
    <row r="3391" spans="1:9" x14ac:dyDescent="0.2">
      <c r="A3391">
        <v>15818231</v>
      </c>
      <c r="B3391">
        <v>2</v>
      </c>
      <c r="C3391">
        <v>1782</v>
      </c>
      <c r="D3391">
        <v>0</v>
      </c>
      <c r="E3391">
        <v>26</v>
      </c>
      <c r="F3391" t="s">
        <v>57</v>
      </c>
      <c r="G3391" t="s">
        <v>63</v>
      </c>
      <c r="H3391" t="s">
        <v>69</v>
      </c>
      <c r="I3391">
        <v>10</v>
      </c>
    </row>
    <row r="3392" spans="1:9" x14ac:dyDescent="0.2">
      <c r="A3392">
        <v>15818231</v>
      </c>
      <c r="B3392">
        <v>3</v>
      </c>
      <c r="C3392">
        <v>3214</v>
      </c>
      <c r="D3392">
        <v>0</v>
      </c>
      <c r="E3392">
        <v>26</v>
      </c>
      <c r="F3392" t="s">
        <v>47</v>
      </c>
      <c r="G3392" t="s">
        <v>98</v>
      </c>
      <c r="H3392" t="s">
        <v>74</v>
      </c>
      <c r="I3392">
        <v>10</v>
      </c>
    </row>
    <row r="3393" spans="1:9" x14ac:dyDescent="0.2">
      <c r="A3393">
        <v>15820390</v>
      </c>
      <c r="B3393">
        <v>1</v>
      </c>
      <c r="C3393">
        <v>1729</v>
      </c>
      <c r="D3393">
        <v>0</v>
      </c>
      <c r="E3393">
        <v>9</v>
      </c>
      <c r="F3393" t="s">
        <v>57</v>
      </c>
      <c r="G3393" t="s">
        <v>72</v>
      </c>
      <c r="H3393" t="s">
        <v>69</v>
      </c>
      <c r="I3393">
        <v>10</v>
      </c>
    </row>
    <row r="3394" spans="1:9" x14ac:dyDescent="0.2">
      <c r="A3394">
        <v>15820390</v>
      </c>
      <c r="B3394">
        <v>2</v>
      </c>
      <c r="C3394">
        <v>1703</v>
      </c>
      <c r="D3394">
        <v>0</v>
      </c>
      <c r="E3394">
        <v>9</v>
      </c>
      <c r="F3394" t="s">
        <v>57</v>
      </c>
      <c r="G3394" t="s">
        <v>109</v>
      </c>
      <c r="H3394" t="s">
        <v>69</v>
      </c>
      <c r="I3394">
        <v>10</v>
      </c>
    </row>
    <row r="3395" spans="1:9" x14ac:dyDescent="0.2">
      <c r="A3395">
        <v>15820390</v>
      </c>
      <c r="B3395">
        <v>3</v>
      </c>
      <c r="C3395">
        <v>3211</v>
      </c>
      <c r="D3395">
        <v>0</v>
      </c>
      <c r="E3395">
        <v>9</v>
      </c>
      <c r="F3395" t="s">
        <v>47</v>
      </c>
      <c r="G3395" t="s">
        <v>99</v>
      </c>
      <c r="H3395" t="s">
        <v>46</v>
      </c>
      <c r="I3395">
        <v>10</v>
      </c>
    </row>
    <row r="3396" spans="1:9" x14ac:dyDescent="0.2">
      <c r="A3396">
        <v>15820390</v>
      </c>
      <c r="B3396">
        <v>4</v>
      </c>
      <c r="C3396">
        <v>3225</v>
      </c>
      <c r="D3396">
        <v>0</v>
      </c>
      <c r="E3396">
        <v>9</v>
      </c>
      <c r="F3396" t="s">
        <v>47</v>
      </c>
      <c r="G3396" t="s">
        <v>106</v>
      </c>
      <c r="H3396" t="s">
        <v>46</v>
      </c>
      <c r="I3396">
        <v>10</v>
      </c>
    </row>
    <row r="3397" spans="1:9" x14ac:dyDescent="0.2">
      <c r="A3397">
        <v>15820390</v>
      </c>
      <c r="B3397">
        <v>5</v>
      </c>
      <c r="C3397">
        <v>3218</v>
      </c>
      <c r="D3397">
        <v>0</v>
      </c>
      <c r="E3397">
        <v>9</v>
      </c>
      <c r="F3397" t="s">
        <v>47</v>
      </c>
      <c r="G3397" t="s">
        <v>66</v>
      </c>
      <c r="H3397" t="s">
        <v>74</v>
      </c>
      <c r="I3397">
        <v>10</v>
      </c>
    </row>
    <row r="3398" spans="1:9" x14ac:dyDescent="0.2">
      <c r="A3398">
        <v>15820390</v>
      </c>
      <c r="B3398">
        <v>6</v>
      </c>
      <c r="C3398">
        <v>1161</v>
      </c>
      <c r="D3398">
        <v>0</v>
      </c>
      <c r="E3398">
        <v>9</v>
      </c>
      <c r="F3398" t="s">
        <v>17</v>
      </c>
      <c r="G3398" t="s">
        <v>388</v>
      </c>
      <c r="H3398" t="s">
        <v>16</v>
      </c>
      <c r="I3398" t="s">
        <v>448</v>
      </c>
    </row>
    <row r="3399" spans="1:9" x14ac:dyDescent="0.2">
      <c r="A3399">
        <v>15820390</v>
      </c>
      <c r="B3399">
        <v>7</v>
      </c>
      <c r="C3399">
        <v>3701</v>
      </c>
      <c r="D3399">
        <v>0</v>
      </c>
      <c r="E3399">
        <v>9</v>
      </c>
      <c r="F3399" t="s">
        <v>116</v>
      </c>
      <c r="G3399" t="s">
        <v>117</v>
      </c>
      <c r="H3399" t="s">
        <v>61</v>
      </c>
      <c r="I3399">
        <v>9</v>
      </c>
    </row>
    <row r="3400" spans="1:9" x14ac:dyDescent="0.2">
      <c r="A3400">
        <v>15820390</v>
      </c>
      <c r="B3400">
        <v>8</v>
      </c>
      <c r="C3400">
        <v>3242</v>
      </c>
      <c r="D3400">
        <v>0</v>
      </c>
      <c r="E3400">
        <v>9</v>
      </c>
      <c r="F3400" t="s">
        <v>47</v>
      </c>
      <c r="G3400" t="s">
        <v>90</v>
      </c>
      <c r="H3400" t="s">
        <v>46</v>
      </c>
      <c r="I3400">
        <v>10</v>
      </c>
    </row>
    <row r="3401" spans="1:9" x14ac:dyDescent="0.2">
      <c r="A3401">
        <v>15845857</v>
      </c>
      <c r="B3401">
        <v>1</v>
      </c>
      <c r="C3401">
        <v>1704</v>
      </c>
      <c r="D3401">
        <v>55450</v>
      </c>
      <c r="E3401">
        <v>25</v>
      </c>
      <c r="F3401" t="s">
        <v>57</v>
      </c>
      <c r="G3401" t="s">
        <v>82</v>
      </c>
      <c r="H3401" t="s">
        <v>79</v>
      </c>
      <c r="I3401">
        <v>10</v>
      </c>
    </row>
    <row r="3402" spans="1:9" x14ac:dyDescent="0.2">
      <c r="A3402">
        <v>15845857</v>
      </c>
      <c r="B3402">
        <v>2</v>
      </c>
      <c r="C3402">
        <v>1737</v>
      </c>
      <c r="D3402">
        <v>55450</v>
      </c>
      <c r="E3402">
        <v>24</v>
      </c>
      <c r="F3402" t="s">
        <v>57</v>
      </c>
      <c r="G3402" t="s">
        <v>54</v>
      </c>
      <c r="H3402" t="s">
        <v>79</v>
      </c>
      <c r="I3402">
        <v>10</v>
      </c>
    </row>
    <row r="3403" spans="1:9" x14ac:dyDescent="0.2">
      <c r="A3403">
        <v>15845857</v>
      </c>
      <c r="B3403">
        <v>3</v>
      </c>
      <c r="C3403">
        <v>3007</v>
      </c>
      <c r="D3403">
        <v>0</v>
      </c>
      <c r="E3403">
        <v>26</v>
      </c>
      <c r="F3403" t="s">
        <v>44</v>
      </c>
      <c r="G3403" t="s">
        <v>54</v>
      </c>
      <c r="H3403" t="s">
        <v>55</v>
      </c>
      <c r="I3403">
        <v>9</v>
      </c>
    </row>
    <row r="3404" spans="1:9" x14ac:dyDescent="0.2">
      <c r="A3404">
        <v>15845857</v>
      </c>
      <c r="B3404">
        <v>4</v>
      </c>
      <c r="C3404">
        <v>1471</v>
      </c>
      <c r="D3404">
        <v>0</v>
      </c>
      <c r="E3404">
        <v>26</v>
      </c>
      <c r="F3404" t="s">
        <v>25</v>
      </c>
      <c r="G3404" t="s">
        <v>144</v>
      </c>
      <c r="H3404" t="s">
        <v>24</v>
      </c>
      <c r="I3404">
        <v>5</v>
      </c>
    </row>
    <row r="3405" spans="1:9" x14ac:dyDescent="0.2">
      <c r="A3405">
        <v>15846905</v>
      </c>
      <c r="B3405">
        <v>1</v>
      </c>
      <c r="C3405">
        <v>3234</v>
      </c>
      <c r="D3405">
        <v>50355</v>
      </c>
      <c r="E3405">
        <v>25</v>
      </c>
      <c r="F3405" t="s">
        <v>47</v>
      </c>
      <c r="G3405" t="s">
        <v>76</v>
      </c>
      <c r="H3405" t="s">
        <v>46</v>
      </c>
      <c r="I3405">
        <v>10</v>
      </c>
    </row>
    <row r="3406" spans="1:9" x14ac:dyDescent="0.2">
      <c r="A3406">
        <v>15846905</v>
      </c>
      <c r="B3406">
        <v>2</v>
      </c>
      <c r="C3406">
        <v>3261</v>
      </c>
      <c r="D3406">
        <v>50280</v>
      </c>
      <c r="E3406">
        <v>25</v>
      </c>
      <c r="F3406" t="s">
        <v>47</v>
      </c>
      <c r="G3406" t="s">
        <v>93</v>
      </c>
      <c r="H3406" t="s">
        <v>46</v>
      </c>
      <c r="I3406">
        <v>10</v>
      </c>
    </row>
    <row r="3407" spans="1:9" x14ac:dyDescent="0.2">
      <c r="A3407">
        <v>15846905</v>
      </c>
      <c r="B3407">
        <v>3</v>
      </c>
      <c r="C3407">
        <v>3214</v>
      </c>
      <c r="D3407">
        <v>51450</v>
      </c>
      <c r="E3407">
        <v>25</v>
      </c>
      <c r="F3407" t="s">
        <v>47</v>
      </c>
      <c r="G3407" t="s">
        <v>98</v>
      </c>
      <c r="H3407" t="s">
        <v>74</v>
      </c>
      <c r="I3407">
        <v>10</v>
      </c>
    </row>
    <row r="3408" spans="1:9" x14ac:dyDescent="0.2">
      <c r="A3408">
        <v>15846905</v>
      </c>
      <c r="B3408">
        <v>4</v>
      </c>
      <c r="C3408">
        <v>3243</v>
      </c>
      <c r="D3408">
        <v>51575</v>
      </c>
      <c r="E3408">
        <v>25</v>
      </c>
      <c r="F3408" t="s">
        <v>47</v>
      </c>
      <c r="G3408" t="s">
        <v>75</v>
      </c>
      <c r="H3408" t="s">
        <v>46</v>
      </c>
      <c r="I3408">
        <v>10</v>
      </c>
    </row>
    <row r="3409" spans="1:9" x14ac:dyDescent="0.2">
      <c r="A3409">
        <v>15859832</v>
      </c>
      <c r="B3409">
        <v>1</v>
      </c>
      <c r="C3409">
        <v>3214</v>
      </c>
      <c r="D3409">
        <v>0</v>
      </c>
      <c r="E3409">
        <v>36</v>
      </c>
      <c r="F3409" t="s">
        <v>47</v>
      </c>
      <c r="G3409" t="s">
        <v>98</v>
      </c>
      <c r="H3409" t="s">
        <v>74</v>
      </c>
      <c r="I3409">
        <v>10</v>
      </c>
    </row>
    <row r="3410" spans="1:9" x14ac:dyDescent="0.2">
      <c r="A3410">
        <v>15859832</v>
      </c>
      <c r="B3410">
        <v>2</v>
      </c>
      <c r="C3410">
        <v>3261</v>
      </c>
      <c r="D3410">
        <v>0</v>
      </c>
      <c r="E3410">
        <v>36</v>
      </c>
      <c r="F3410" t="s">
        <v>47</v>
      </c>
      <c r="G3410" t="s">
        <v>93</v>
      </c>
      <c r="H3410" t="s">
        <v>46</v>
      </c>
      <c r="I3410">
        <v>10</v>
      </c>
    </row>
    <row r="3411" spans="1:9" x14ac:dyDescent="0.2">
      <c r="A3411">
        <v>15859832</v>
      </c>
      <c r="B3411">
        <v>3</v>
      </c>
      <c r="C3411">
        <v>3244</v>
      </c>
      <c r="D3411">
        <v>0</v>
      </c>
      <c r="E3411">
        <v>36</v>
      </c>
      <c r="F3411" t="s">
        <v>47</v>
      </c>
      <c r="G3411" t="s">
        <v>73</v>
      </c>
      <c r="H3411" t="s">
        <v>74</v>
      </c>
      <c r="I3411">
        <v>10</v>
      </c>
    </row>
    <row r="3412" spans="1:9" x14ac:dyDescent="0.2">
      <c r="A3412">
        <v>15874638</v>
      </c>
      <c r="B3412">
        <v>1</v>
      </c>
      <c r="C3412">
        <v>1776</v>
      </c>
      <c r="D3412">
        <v>55410</v>
      </c>
      <c r="E3412">
        <v>25</v>
      </c>
      <c r="F3412" t="s">
        <v>57</v>
      </c>
      <c r="G3412" t="s">
        <v>124</v>
      </c>
      <c r="H3412" t="s">
        <v>125</v>
      </c>
      <c r="I3412">
        <v>10</v>
      </c>
    </row>
    <row r="3413" spans="1:9" x14ac:dyDescent="0.2">
      <c r="A3413">
        <v>15874638</v>
      </c>
      <c r="B3413">
        <v>2</v>
      </c>
      <c r="C3413">
        <v>1709</v>
      </c>
      <c r="D3413">
        <v>56530</v>
      </c>
      <c r="E3413">
        <v>24</v>
      </c>
      <c r="F3413" t="s">
        <v>57</v>
      </c>
      <c r="G3413" t="s">
        <v>84</v>
      </c>
      <c r="H3413" t="s">
        <v>69</v>
      </c>
      <c r="I3413">
        <v>10</v>
      </c>
    </row>
    <row r="3414" spans="1:9" x14ac:dyDescent="0.2">
      <c r="A3414">
        <v>15874638</v>
      </c>
      <c r="B3414">
        <v>3</v>
      </c>
      <c r="C3414">
        <v>1740</v>
      </c>
      <c r="D3414">
        <v>0</v>
      </c>
      <c r="E3414">
        <v>26</v>
      </c>
      <c r="F3414" t="s">
        <v>57</v>
      </c>
      <c r="G3414" t="s">
        <v>209</v>
      </c>
      <c r="H3414" t="s">
        <v>79</v>
      </c>
      <c r="I3414">
        <v>10</v>
      </c>
    </row>
    <row r="3415" spans="1:9" x14ac:dyDescent="0.2">
      <c r="A3415">
        <v>15874638</v>
      </c>
      <c r="B3415">
        <v>4</v>
      </c>
      <c r="C3415">
        <v>1703</v>
      </c>
      <c r="D3415">
        <v>0</v>
      </c>
      <c r="E3415">
        <v>26</v>
      </c>
      <c r="F3415" t="s">
        <v>57</v>
      </c>
      <c r="G3415" t="s">
        <v>109</v>
      </c>
      <c r="H3415" t="s">
        <v>69</v>
      </c>
      <c r="I3415">
        <v>10</v>
      </c>
    </row>
    <row r="3416" spans="1:9" x14ac:dyDescent="0.2">
      <c r="A3416">
        <v>15874638</v>
      </c>
      <c r="B3416">
        <v>5</v>
      </c>
      <c r="C3416">
        <v>1774</v>
      </c>
      <c r="D3416">
        <v>0</v>
      </c>
      <c r="E3416">
        <v>26</v>
      </c>
      <c r="F3416" t="s">
        <v>57</v>
      </c>
      <c r="G3416" t="s">
        <v>296</v>
      </c>
      <c r="H3416" t="s">
        <v>69</v>
      </c>
      <c r="I3416">
        <v>10</v>
      </c>
    </row>
    <row r="3417" spans="1:9" x14ac:dyDescent="0.2">
      <c r="A3417">
        <v>15876835</v>
      </c>
      <c r="B3417">
        <v>1</v>
      </c>
      <c r="C3417">
        <v>3242</v>
      </c>
      <c r="D3417">
        <v>58740</v>
      </c>
      <c r="E3417">
        <v>24</v>
      </c>
      <c r="F3417" t="s">
        <v>47</v>
      </c>
      <c r="G3417" t="s">
        <v>90</v>
      </c>
      <c r="H3417" t="s">
        <v>46</v>
      </c>
      <c r="I3417">
        <v>10</v>
      </c>
    </row>
    <row r="3418" spans="1:9" x14ac:dyDescent="0.2">
      <c r="A3418">
        <v>15876835</v>
      </c>
      <c r="B3418">
        <v>2</v>
      </c>
      <c r="C3418">
        <v>3726</v>
      </c>
      <c r="D3418">
        <v>0</v>
      </c>
      <c r="E3418">
        <v>26</v>
      </c>
      <c r="F3418" t="s">
        <v>116</v>
      </c>
      <c r="G3418" t="s">
        <v>287</v>
      </c>
      <c r="H3418" t="s">
        <v>61</v>
      </c>
      <c r="I3418">
        <v>9</v>
      </c>
    </row>
    <row r="3419" spans="1:9" x14ac:dyDescent="0.2">
      <c r="A3419">
        <v>15876835</v>
      </c>
      <c r="B3419">
        <v>3</v>
      </c>
      <c r="C3419">
        <v>1785</v>
      </c>
      <c r="D3419">
        <v>0</v>
      </c>
      <c r="E3419">
        <v>26</v>
      </c>
      <c r="F3419" t="s">
        <v>57</v>
      </c>
      <c r="G3419" t="s">
        <v>86</v>
      </c>
      <c r="H3419" t="s">
        <v>69</v>
      </c>
      <c r="I3419">
        <v>10</v>
      </c>
    </row>
    <row r="3420" spans="1:9" x14ac:dyDescent="0.2">
      <c r="A3420">
        <v>15876835</v>
      </c>
      <c r="B3420">
        <v>4</v>
      </c>
      <c r="C3420">
        <v>3248</v>
      </c>
      <c r="D3420">
        <v>0</v>
      </c>
      <c r="E3420">
        <v>26</v>
      </c>
      <c r="F3420" t="s">
        <v>47</v>
      </c>
      <c r="G3420" t="s">
        <v>92</v>
      </c>
      <c r="H3420" t="s">
        <v>46</v>
      </c>
      <c r="I3420">
        <v>10</v>
      </c>
    </row>
    <row r="3421" spans="1:9" x14ac:dyDescent="0.2">
      <c r="A3421">
        <v>15876835</v>
      </c>
      <c r="B3421">
        <v>5</v>
      </c>
      <c r="C3421">
        <v>3735</v>
      </c>
      <c r="D3421">
        <v>0</v>
      </c>
      <c r="E3421">
        <v>26</v>
      </c>
      <c r="F3421" t="s">
        <v>116</v>
      </c>
      <c r="G3421" t="s">
        <v>187</v>
      </c>
      <c r="H3421" t="s">
        <v>61</v>
      </c>
      <c r="I3421">
        <v>9</v>
      </c>
    </row>
    <row r="3422" spans="1:9" x14ac:dyDescent="0.2">
      <c r="A3422">
        <v>15876835</v>
      </c>
      <c r="B3422">
        <v>6</v>
      </c>
      <c r="C3422">
        <v>3239</v>
      </c>
      <c r="D3422">
        <v>0</v>
      </c>
      <c r="E3422">
        <v>26</v>
      </c>
      <c r="F3422" t="s">
        <v>47</v>
      </c>
      <c r="G3422" t="s">
        <v>107</v>
      </c>
      <c r="H3422" t="s">
        <v>46</v>
      </c>
      <c r="I3422">
        <v>10</v>
      </c>
    </row>
    <row r="3423" spans="1:9" x14ac:dyDescent="0.2">
      <c r="A3423">
        <v>15997992</v>
      </c>
      <c r="B3423">
        <v>1</v>
      </c>
      <c r="C3423">
        <v>1178</v>
      </c>
      <c r="D3423">
        <v>0</v>
      </c>
      <c r="E3423">
        <v>17</v>
      </c>
      <c r="F3423" t="s">
        <v>17</v>
      </c>
      <c r="G3423" t="s">
        <v>238</v>
      </c>
      <c r="H3423" t="s">
        <v>16</v>
      </c>
      <c r="I3423" t="s">
        <v>448</v>
      </c>
    </row>
    <row r="3424" spans="1:9" x14ac:dyDescent="0.2">
      <c r="A3424">
        <v>15997992</v>
      </c>
      <c r="B3424">
        <v>2</v>
      </c>
      <c r="C3424">
        <v>1225</v>
      </c>
      <c r="D3424">
        <v>52800</v>
      </c>
      <c r="E3424">
        <v>25</v>
      </c>
      <c r="F3424" t="s">
        <v>19</v>
      </c>
      <c r="G3424" t="s">
        <v>297</v>
      </c>
      <c r="H3424" t="s">
        <v>16</v>
      </c>
      <c r="I3424" t="s">
        <v>448</v>
      </c>
    </row>
    <row r="3425" spans="1:9" x14ac:dyDescent="0.2">
      <c r="A3425">
        <v>15997992</v>
      </c>
      <c r="B3425">
        <v>3</v>
      </c>
      <c r="C3425">
        <v>1177</v>
      </c>
      <c r="D3425">
        <v>0</v>
      </c>
      <c r="E3425">
        <v>17</v>
      </c>
      <c r="F3425" t="s">
        <v>17</v>
      </c>
      <c r="G3425" t="s">
        <v>298</v>
      </c>
      <c r="H3425" t="s">
        <v>16</v>
      </c>
      <c r="I3425" t="s">
        <v>448</v>
      </c>
    </row>
    <row r="3426" spans="1:9" x14ac:dyDescent="0.2">
      <c r="A3426">
        <v>15997992</v>
      </c>
      <c r="B3426">
        <v>4</v>
      </c>
      <c r="C3426">
        <v>2066</v>
      </c>
      <c r="D3426">
        <v>0</v>
      </c>
      <c r="E3426">
        <v>17</v>
      </c>
      <c r="F3426" t="s">
        <v>132</v>
      </c>
      <c r="G3426" t="s">
        <v>299</v>
      </c>
      <c r="H3426" t="s">
        <v>300</v>
      </c>
      <c r="I3426" t="s">
        <v>448</v>
      </c>
    </row>
    <row r="3427" spans="1:9" x14ac:dyDescent="0.2">
      <c r="A3427">
        <v>15997992</v>
      </c>
      <c r="B3427">
        <v>5</v>
      </c>
      <c r="C3427">
        <v>1208</v>
      </c>
      <c r="D3427">
        <v>0</v>
      </c>
      <c r="E3427">
        <v>16</v>
      </c>
      <c r="F3427" t="s">
        <v>19</v>
      </c>
      <c r="G3427" t="s">
        <v>301</v>
      </c>
      <c r="H3427" t="s">
        <v>16</v>
      </c>
      <c r="I3427" t="s">
        <v>448</v>
      </c>
    </row>
    <row r="3428" spans="1:9" x14ac:dyDescent="0.2">
      <c r="A3428">
        <v>15997992</v>
      </c>
      <c r="B3428">
        <v>6</v>
      </c>
      <c r="C3428">
        <v>1172</v>
      </c>
      <c r="D3428">
        <v>0</v>
      </c>
      <c r="E3428">
        <v>16</v>
      </c>
      <c r="F3428" t="s">
        <v>17</v>
      </c>
      <c r="G3428" t="s">
        <v>302</v>
      </c>
      <c r="H3428" t="s">
        <v>16</v>
      </c>
      <c r="I3428" t="s">
        <v>448</v>
      </c>
    </row>
    <row r="3429" spans="1:9" x14ac:dyDescent="0.2">
      <c r="A3429">
        <v>16018734</v>
      </c>
      <c r="B3429">
        <v>1</v>
      </c>
      <c r="C3429">
        <v>1776</v>
      </c>
      <c r="D3429">
        <v>57010</v>
      </c>
      <c r="E3429">
        <v>25</v>
      </c>
      <c r="F3429" t="s">
        <v>57</v>
      </c>
      <c r="G3429" t="s">
        <v>124</v>
      </c>
      <c r="H3429" t="s">
        <v>125</v>
      </c>
      <c r="I3429">
        <v>10</v>
      </c>
    </row>
    <row r="3430" spans="1:9" x14ac:dyDescent="0.2">
      <c r="A3430">
        <v>16018913</v>
      </c>
      <c r="B3430">
        <v>1</v>
      </c>
      <c r="C3430">
        <v>3248</v>
      </c>
      <c r="D3430">
        <v>0</v>
      </c>
      <c r="E3430">
        <v>36</v>
      </c>
      <c r="F3430" t="s">
        <v>47</v>
      </c>
      <c r="G3430" t="s">
        <v>92</v>
      </c>
      <c r="H3430" t="s">
        <v>46</v>
      </c>
      <c r="I3430">
        <v>10</v>
      </c>
    </row>
    <row r="3431" spans="1:9" x14ac:dyDescent="0.2">
      <c r="A3431">
        <v>16018913</v>
      </c>
      <c r="B3431">
        <v>2</v>
      </c>
      <c r="C3431">
        <v>3261</v>
      </c>
      <c r="D3431">
        <v>0</v>
      </c>
      <c r="E3431">
        <v>36</v>
      </c>
      <c r="F3431" t="s">
        <v>47</v>
      </c>
      <c r="G3431" t="s">
        <v>93</v>
      </c>
      <c r="H3431" t="s">
        <v>46</v>
      </c>
      <c r="I3431">
        <v>10</v>
      </c>
    </row>
    <row r="3432" spans="1:9" x14ac:dyDescent="0.2">
      <c r="A3432">
        <v>16018913</v>
      </c>
      <c r="B3432">
        <v>3</v>
      </c>
      <c r="C3432">
        <v>3251</v>
      </c>
      <c r="D3432">
        <v>0</v>
      </c>
      <c r="E3432">
        <v>36</v>
      </c>
      <c r="F3432" t="s">
        <v>47</v>
      </c>
      <c r="G3432" t="s">
        <v>48</v>
      </c>
      <c r="H3432" t="s">
        <v>46</v>
      </c>
      <c r="I3432">
        <v>10</v>
      </c>
    </row>
    <row r="3433" spans="1:9" x14ac:dyDescent="0.2">
      <c r="A3433">
        <v>16052867</v>
      </c>
      <c r="B3433">
        <v>1</v>
      </c>
      <c r="C3433">
        <v>3000</v>
      </c>
      <c r="D3433">
        <v>51720</v>
      </c>
      <c r="E3433">
        <v>25</v>
      </c>
      <c r="F3433" t="s">
        <v>44</v>
      </c>
      <c r="G3433" t="s">
        <v>99</v>
      </c>
      <c r="H3433" t="s">
        <v>55</v>
      </c>
      <c r="I3433">
        <v>9</v>
      </c>
    </row>
    <row r="3434" spans="1:9" x14ac:dyDescent="0.2">
      <c r="A3434">
        <v>16052867</v>
      </c>
      <c r="B3434">
        <v>2</v>
      </c>
      <c r="C3434">
        <v>3211</v>
      </c>
      <c r="D3434">
        <v>52730</v>
      </c>
      <c r="E3434">
        <v>24</v>
      </c>
      <c r="F3434" t="s">
        <v>47</v>
      </c>
      <c r="G3434" t="s">
        <v>99</v>
      </c>
      <c r="H3434" t="s">
        <v>46</v>
      </c>
      <c r="I3434">
        <v>10</v>
      </c>
    </row>
    <row r="3435" spans="1:9" x14ac:dyDescent="0.2">
      <c r="A3435">
        <v>16052867</v>
      </c>
      <c r="B3435">
        <v>3</v>
      </c>
      <c r="C3435">
        <v>2945</v>
      </c>
      <c r="D3435">
        <v>0</v>
      </c>
      <c r="E3435">
        <v>26</v>
      </c>
      <c r="F3435" t="s">
        <v>119</v>
      </c>
      <c r="G3435" t="s">
        <v>443</v>
      </c>
      <c r="H3435" t="s">
        <v>20</v>
      </c>
      <c r="I3435">
        <v>8</v>
      </c>
    </row>
    <row r="3436" spans="1:9" x14ac:dyDescent="0.2">
      <c r="A3436">
        <v>16052867</v>
      </c>
      <c r="B3436">
        <v>4</v>
      </c>
      <c r="C3436">
        <v>1703</v>
      </c>
      <c r="D3436">
        <v>0</v>
      </c>
      <c r="E3436">
        <v>26</v>
      </c>
      <c r="F3436" t="s">
        <v>57</v>
      </c>
      <c r="G3436" t="s">
        <v>109</v>
      </c>
      <c r="H3436" t="s">
        <v>69</v>
      </c>
      <c r="I3436">
        <v>10</v>
      </c>
    </row>
    <row r="3437" spans="1:9" x14ac:dyDescent="0.2">
      <c r="A3437">
        <v>16052867</v>
      </c>
      <c r="B3437">
        <v>5</v>
      </c>
      <c r="C3437">
        <v>3091</v>
      </c>
      <c r="D3437">
        <v>0</v>
      </c>
      <c r="E3437">
        <v>26</v>
      </c>
      <c r="F3437" t="s">
        <v>44</v>
      </c>
      <c r="G3437" t="s">
        <v>89</v>
      </c>
      <c r="H3437" t="s">
        <v>52</v>
      </c>
      <c r="I3437">
        <v>9</v>
      </c>
    </row>
    <row r="3438" spans="1:9" x14ac:dyDescent="0.2">
      <c r="A3438">
        <v>16052867</v>
      </c>
      <c r="B3438">
        <v>6</v>
      </c>
      <c r="C3438">
        <v>3085</v>
      </c>
      <c r="D3438">
        <v>0</v>
      </c>
      <c r="E3438">
        <v>26</v>
      </c>
      <c r="F3438" t="s">
        <v>44</v>
      </c>
      <c r="G3438" t="s">
        <v>84</v>
      </c>
      <c r="H3438" t="s">
        <v>55</v>
      </c>
      <c r="I3438">
        <v>9</v>
      </c>
    </row>
    <row r="3439" spans="1:9" x14ac:dyDescent="0.2">
      <c r="A3439">
        <v>16077734</v>
      </c>
      <c r="B3439">
        <v>1</v>
      </c>
      <c r="C3439">
        <v>1777</v>
      </c>
      <c r="D3439">
        <v>60975</v>
      </c>
      <c r="E3439">
        <v>24</v>
      </c>
      <c r="F3439" t="s">
        <v>57</v>
      </c>
      <c r="G3439" t="s">
        <v>88</v>
      </c>
      <c r="H3439" t="s">
        <v>69</v>
      </c>
      <c r="I3439">
        <v>10</v>
      </c>
    </row>
    <row r="3440" spans="1:9" x14ac:dyDescent="0.2">
      <c r="A3440">
        <v>16077734</v>
      </c>
      <c r="B3440">
        <v>2</v>
      </c>
      <c r="C3440">
        <v>3234</v>
      </c>
      <c r="D3440">
        <v>0</v>
      </c>
      <c r="E3440">
        <v>26</v>
      </c>
      <c r="F3440" t="s">
        <v>47</v>
      </c>
      <c r="G3440" t="s">
        <v>76</v>
      </c>
      <c r="H3440" t="s">
        <v>46</v>
      </c>
      <c r="I3440">
        <v>10</v>
      </c>
    </row>
    <row r="3441" spans="1:9" x14ac:dyDescent="0.2">
      <c r="A3441">
        <v>16077734</v>
      </c>
      <c r="B3441">
        <v>3</v>
      </c>
      <c r="C3441">
        <v>3248</v>
      </c>
      <c r="D3441">
        <v>0</v>
      </c>
      <c r="E3441">
        <v>26</v>
      </c>
      <c r="F3441" t="s">
        <v>47</v>
      </c>
      <c r="G3441" t="s">
        <v>92</v>
      </c>
      <c r="H3441" t="s">
        <v>46</v>
      </c>
      <c r="I3441">
        <v>10</v>
      </c>
    </row>
    <row r="3442" spans="1:9" x14ac:dyDescent="0.2">
      <c r="A3442">
        <v>16077734</v>
      </c>
      <c r="B3442">
        <v>4</v>
      </c>
      <c r="C3442">
        <v>2076</v>
      </c>
      <c r="D3442">
        <v>0</v>
      </c>
      <c r="E3442">
        <v>26</v>
      </c>
      <c r="F3442" t="s">
        <v>132</v>
      </c>
      <c r="G3442" t="s">
        <v>416</v>
      </c>
      <c r="H3442" t="s">
        <v>322</v>
      </c>
      <c r="I3442" t="s">
        <v>448</v>
      </c>
    </row>
    <row r="3443" spans="1:9" x14ac:dyDescent="0.2">
      <c r="A3443">
        <v>16077734</v>
      </c>
      <c r="B3443">
        <v>5</v>
      </c>
      <c r="C3443">
        <v>2057</v>
      </c>
      <c r="D3443">
        <v>0</v>
      </c>
      <c r="E3443">
        <v>26</v>
      </c>
      <c r="F3443" t="s">
        <v>132</v>
      </c>
      <c r="G3443" t="s">
        <v>427</v>
      </c>
      <c r="H3443" t="s">
        <v>300</v>
      </c>
      <c r="I3443" t="s">
        <v>448</v>
      </c>
    </row>
    <row r="3444" spans="1:9" x14ac:dyDescent="0.2">
      <c r="A3444">
        <v>16077734</v>
      </c>
      <c r="B3444">
        <v>6</v>
      </c>
      <c r="C3444">
        <v>1340</v>
      </c>
      <c r="D3444">
        <v>0</v>
      </c>
      <c r="E3444">
        <v>26</v>
      </c>
      <c r="F3444" t="s">
        <v>21</v>
      </c>
      <c r="G3444" t="s">
        <v>256</v>
      </c>
      <c r="H3444" t="s">
        <v>20</v>
      </c>
      <c r="I3444">
        <v>8</v>
      </c>
    </row>
    <row r="3445" spans="1:9" x14ac:dyDescent="0.2">
      <c r="A3445">
        <v>16077734</v>
      </c>
      <c r="B3445">
        <v>7</v>
      </c>
      <c r="C3445">
        <v>1328</v>
      </c>
      <c r="D3445">
        <v>0</v>
      </c>
      <c r="E3445">
        <v>26</v>
      </c>
      <c r="F3445" t="s">
        <v>21</v>
      </c>
      <c r="G3445" t="s">
        <v>255</v>
      </c>
      <c r="H3445" t="s">
        <v>20</v>
      </c>
      <c r="I3445">
        <v>8</v>
      </c>
    </row>
    <row r="3446" spans="1:9" x14ac:dyDescent="0.2">
      <c r="A3446">
        <v>16079940</v>
      </c>
      <c r="B3446">
        <v>1</v>
      </c>
      <c r="C3446">
        <v>1503</v>
      </c>
      <c r="D3446">
        <v>74385</v>
      </c>
      <c r="E3446">
        <v>24</v>
      </c>
      <c r="F3446" t="s">
        <v>142</v>
      </c>
      <c r="G3446" t="s">
        <v>161</v>
      </c>
      <c r="H3446" t="s">
        <v>31</v>
      </c>
      <c r="I3446">
        <v>5</v>
      </c>
    </row>
    <row r="3447" spans="1:9" x14ac:dyDescent="0.2">
      <c r="A3447">
        <v>16079940</v>
      </c>
      <c r="B3447">
        <v>2</v>
      </c>
      <c r="C3447">
        <v>1145</v>
      </c>
      <c r="D3447">
        <v>0</v>
      </c>
      <c r="E3447">
        <v>26</v>
      </c>
      <c r="F3447" t="s">
        <v>17</v>
      </c>
      <c r="G3447" t="s">
        <v>159</v>
      </c>
      <c r="H3447" t="s">
        <v>16</v>
      </c>
      <c r="I3447" t="s">
        <v>448</v>
      </c>
    </row>
    <row r="3448" spans="1:9" x14ac:dyDescent="0.2">
      <c r="A3448">
        <v>16079940</v>
      </c>
      <c r="B3448">
        <v>3</v>
      </c>
      <c r="C3448">
        <v>1239</v>
      </c>
      <c r="D3448">
        <v>0</v>
      </c>
      <c r="E3448">
        <v>26</v>
      </c>
      <c r="F3448" t="s">
        <v>19</v>
      </c>
      <c r="G3448" t="s">
        <v>160</v>
      </c>
      <c r="H3448" t="s">
        <v>16</v>
      </c>
      <c r="I3448" t="s">
        <v>448</v>
      </c>
    </row>
    <row r="3449" spans="1:9" x14ac:dyDescent="0.2">
      <c r="A3449">
        <v>16079940</v>
      </c>
      <c r="B3449">
        <v>4</v>
      </c>
      <c r="C3449">
        <v>1504</v>
      </c>
      <c r="D3449">
        <v>0</v>
      </c>
      <c r="E3449">
        <v>26</v>
      </c>
      <c r="F3449" t="s">
        <v>142</v>
      </c>
      <c r="G3449" t="s">
        <v>121</v>
      </c>
      <c r="H3449" t="s">
        <v>31</v>
      </c>
      <c r="I3449">
        <v>5</v>
      </c>
    </row>
    <row r="3450" spans="1:9" x14ac:dyDescent="0.2">
      <c r="A3450">
        <v>16079940</v>
      </c>
      <c r="B3450">
        <v>5</v>
      </c>
      <c r="C3450">
        <v>1372</v>
      </c>
      <c r="D3450">
        <v>0</v>
      </c>
      <c r="E3450">
        <v>26</v>
      </c>
      <c r="F3450" t="s">
        <v>21</v>
      </c>
      <c r="G3450" t="s">
        <v>66</v>
      </c>
      <c r="H3450" t="s">
        <v>20</v>
      </c>
      <c r="I3450">
        <v>8</v>
      </c>
    </row>
    <row r="3451" spans="1:9" x14ac:dyDescent="0.2">
      <c r="A3451">
        <v>16079940</v>
      </c>
      <c r="B3451">
        <v>6</v>
      </c>
      <c r="C3451">
        <v>1463</v>
      </c>
      <c r="D3451">
        <v>0</v>
      </c>
      <c r="E3451">
        <v>26</v>
      </c>
      <c r="F3451" t="s">
        <v>25</v>
      </c>
      <c r="G3451" t="s">
        <v>66</v>
      </c>
      <c r="H3451" t="s">
        <v>24</v>
      </c>
      <c r="I3451">
        <v>5</v>
      </c>
    </row>
    <row r="3452" spans="1:9" x14ac:dyDescent="0.2">
      <c r="A3452">
        <v>16079940</v>
      </c>
      <c r="B3452">
        <v>7</v>
      </c>
      <c r="C3452">
        <v>1704</v>
      </c>
      <c r="D3452">
        <v>0</v>
      </c>
      <c r="E3452">
        <v>26</v>
      </c>
      <c r="F3452" t="s">
        <v>57</v>
      </c>
      <c r="G3452" t="s">
        <v>82</v>
      </c>
      <c r="H3452" t="s">
        <v>79</v>
      </c>
      <c r="I3452">
        <v>10</v>
      </c>
    </row>
    <row r="3453" spans="1:9" x14ac:dyDescent="0.2">
      <c r="A3453">
        <v>16079940</v>
      </c>
      <c r="B3453">
        <v>8</v>
      </c>
      <c r="C3453">
        <v>1608</v>
      </c>
      <c r="D3453">
        <v>0</v>
      </c>
      <c r="E3453">
        <v>26</v>
      </c>
      <c r="F3453" t="s">
        <v>128</v>
      </c>
      <c r="G3453" t="s">
        <v>357</v>
      </c>
      <c r="H3453" t="s">
        <v>127</v>
      </c>
      <c r="I3453" t="s">
        <v>448</v>
      </c>
    </row>
    <row r="3454" spans="1:9" x14ac:dyDescent="0.2">
      <c r="A3454">
        <v>16121769</v>
      </c>
      <c r="B3454">
        <v>1</v>
      </c>
      <c r="C3454">
        <v>3251</v>
      </c>
      <c r="D3454">
        <v>0</v>
      </c>
      <c r="E3454">
        <v>36</v>
      </c>
      <c r="F3454" t="s">
        <v>47</v>
      </c>
      <c r="G3454" t="s">
        <v>48</v>
      </c>
      <c r="H3454" t="s">
        <v>46</v>
      </c>
      <c r="I3454">
        <v>10</v>
      </c>
    </row>
    <row r="3455" spans="1:9" x14ac:dyDescent="0.2">
      <c r="A3455">
        <v>16121769</v>
      </c>
      <c r="B3455">
        <v>2</v>
      </c>
      <c r="C3455">
        <v>3269</v>
      </c>
      <c r="D3455">
        <v>0</v>
      </c>
      <c r="E3455">
        <v>36</v>
      </c>
      <c r="F3455" t="s">
        <v>47</v>
      </c>
      <c r="G3455" t="s">
        <v>180</v>
      </c>
      <c r="H3455" t="s">
        <v>46</v>
      </c>
      <c r="I3455">
        <v>10</v>
      </c>
    </row>
    <row r="3456" spans="1:9" x14ac:dyDescent="0.2">
      <c r="A3456">
        <v>16121769</v>
      </c>
      <c r="B3456">
        <v>3</v>
      </c>
      <c r="C3456">
        <v>3244</v>
      </c>
      <c r="D3456">
        <v>0</v>
      </c>
      <c r="E3456">
        <v>36</v>
      </c>
      <c r="F3456" t="s">
        <v>47</v>
      </c>
      <c r="G3456" t="s">
        <v>73</v>
      </c>
      <c r="H3456" t="s">
        <v>74</v>
      </c>
      <c r="I3456">
        <v>10</v>
      </c>
    </row>
    <row r="3457" spans="1:9" x14ac:dyDescent="0.2">
      <c r="A3457">
        <v>16124549</v>
      </c>
      <c r="B3457">
        <v>1</v>
      </c>
      <c r="C3457">
        <v>2124</v>
      </c>
      <c r="D3457">
        <v>56860</v>
      </c>
      <c r="E3457">
        <v>25</v>
      </c>
      <c r="F3457" t="s">
        <v>193</v>
      </c>
      <c r="G3457" t="s">
        <v>378</v>
      </c>
      <c r="H3457" t="s">
        <v>216</v>
      </c>
      <c r="I3457" t="s">
        <v>448</v>
      </c>
    </row>
    <row r="3458" spans="1:9" x14ac:dyDescent="0.2">
      <c r="A3458">
        <v>16124549</v>
      </c>
      <c r="B3458">
        <v>2</v>
      </c>
      <c r="C3458">
        <v>1684</v>
      </c>
      <c r="D3458">
        <v>57770</v>
      </c>
      <c r="E3458">
        <v>25</v>
      </c>
      <c r="F3458" t="s">
        <v>128</v>
      </c>
      <c r="G3458" t="s">
        <v>225</v>
      </c>
      <c r="H3458" t="s">
        <v>127</v>
      </c>
      <c r="I3458" t="s">
        <v>448</v>
      </c>
    </row>
    <row r="3459" spans="1:9" x14ac:dyDescent="0.2">
      <c r="A3459">
        <v>16124549</v>
      </c>
      <c r="B3459">
        <v>3</v>
      </c>
      <c r="C3459">
        <v>3296</v>
      </c>
      <c r="D3459">
        <v>57450</v>
      </c>
      <c r="E3459">
        <v>24</v>
      </c>
      <c r="F3459" t="s">
        <v>47</v>
      </c>
      <c r="G3459" t="s">
        <v>100</v>
      </c>
      <c r="H3459" t="s">
        <v>46</v>
      </c>
      <c r="I3459">
        <v>10</v>
      </c>
    </row>
    <row r="3460" spans="1:9" x14ac:dyDescent="0.2">
      <c r="A3460">
        <v>16124549</v>
      </c>
      <c r="B3460">
        <v>4</v>
      </c>
      <c r="C3460">
        <v>1239</v>
      </c>
      <c r="D3460">
        <v>0</v>
      </c>
      <c r="E3460">
        <v>26</v>
      </c>
      <c r="F3460" t="s">
        <v>19</v>
      </c>
      <c r="G3460" t="s">
        <v>160</v>
      </c>
      <c r="H3460" t="s">
        <v>16</v>
      </c>
      <c r="I3460" t="s">
        <v>448</v>
      </c>
    </row>
    <row r="3461" spans="1:9" x14ac:dyDescent="0.2">
      <c r="A3461">
        <v>16136083</v>
      </c>
      <c r="B3461">
        <v>1</v>
      </c>
      <c r="C3461">
        <v>3239</v>
      </c>
      <c r="D3461">
        <v>54930</v>
      </c>
      <c r="E3461">
        <v>24</v>
      </c>
      <c r="F3461" t="s">
        <v>47</v>
      </c>
      <c r="G3461" t="s">
        <v>107</v>
      </c>
      <c r="H3461" t="s">
        <v>46</v>
      </c>
      <c r="I3461">
        <v>10</v>
      </c>
    </row>
    <row r="3462" spans="1:9" x14ac:dyDescent="0.2">
      <c r="A3462">
        <v>16136083</v>
      </c>
      <c r="B3462">
        <v>2</v>
      </c>
      <c r="C3462">
        <v>3252</v>
      </c>
      <c r="D3462">
        <v>0</v>
      </c>
      <c r="E3462">
        <v>26</v>
      </c>
      <c r="F3462" t="s">
        <v>47</v>
      </c>
      <c r="G3462" t="s">
        <v>45</v>
      </c>
      <c r="H3462" t="s">
        <v>46</v>
      </c>
      <c r="I3462">
        <v>10</v>
      </c>
    </row>
    <row r="3463" spans="1:9" x14ac:dyDescent="0.2">
      <c r="A3463">
        <v>16179432</v>
      </c>
      <c r="B3463">
        <v>1</v>
      </c>
      <c r="C3463">
        <v>3239</v>
      </c>
      <c r="D3463">
        <v>52135</v>
      </c>
      <c r="E3463">
        <v>25</v>
      </c>
      <c r="F3463" t="s">
        <v>47</v>
      </c>
      <c r="G3463" t="s">
        <v>107</v>
      </c>
      <c r="H3463" t="s">
        <v>46</v>
      </c>
      <c r="I3463">
        <v>10</v>
      </c>
    </row>
    <row r="3464" spans="1:9" x14ac:dyDescent="0.2">
      <c r="A3464">
        <v>16179432</v>
      </c>
      <c r="B3464">
        <v>2</v>
      </c>
      <c r="C3464">
        <v>3234</v>
      </c>
      <c r="D3464">
        <v>51075</v>
      </c>
      <c r="E3464">
        <v>25</v>
      </c>
      <c r="F3464" t="s">
        <v>47</v>
      </c>
      <c r="G3464" t="s">
        <v>76</v>
      </c>
      <c r="H3464" t="s">
        <v>46</v>
      </c>
      <c r="I3464">
        <v>10</v>
      </c>
    </row>
    <row r="3465" spans="1:9" x14ac:dyDescent="0.2">
      <c r="A3465">
        <v>16179432</v>
      </c>
      <c r="B3465">
        <v>3</v>
      </c>
      <c r="C3465">
        <v>3243</v>
      </c>
      <c r="D3465">
        <v>52790</v>
      </c>
      <c r="E3465">
        <v>25</v>
      </c>
      <c r="F3465" t="s">
        <v>47</v>
      </c>
      <c r="G3465" t="s">
        <v>75</v>
      </c>
      <c r="H3465" t="s">
        <v>46</v>
      </c>
      <c r="I3465">
        <v>10</v>
      </c>
    </row>
    <row r="3466" spans="1:9" x14ac:dyDescent="0.2">
      <c r="A3466">
        <v>16190888</v>
      </c>
      <c r="B3466">
        <v>1</v>
      </c>
      <c r="C3466">
        <v>3225</v>
      </c>
      <c r="D3466">
        <v>46440</v>
      </c>
      <c r="E3466">
        <v>25</v>
      </c>
      <c r="F3466" t="s">
        <v>47</v>
      </c>
      <c r="G3466" t="s">
        <v>106</v>
      </c>
      <c r="H3466" t="s">
        <v>46</v>
      </c>
      <c r="I3466">
        <v>10</v>
      </c>
    </row>
    <row r="3467" spans="1:9" x14ac:dyDescent="0.2">
      <c r="A3467">
        <v>16190888</v>
      </c>
      <c r="B3467">
        <v>2</v>
      </c>
      <c r="C3467">
        <v>3226</v>
      </c>
      <c r="D3467">
        <v>46440</v>
      </c>
      <c r="E3467">
        <v>25</v>
      </c>
      <c r="F3467" t="s">
        <v>47</v>
      </c>
      <c r="G3467" t="s">
        <v>96</v>
      </c>
      <c r="H3467" t="s">
        <v>46</v>
      </c>
      <c r="I3467">
        <v>10</v>
      </c>
    </row>
    <row r="3468" spans="1:9" x14ac:dyDescent="0.2">
      <c r="A3468">
        <v>16190888</v>
      </c>
      <c r="B3468">
        <v>3</v>
      </c>
      <c r="C3468">
        <v>3269</v>
      </c>
      <c r="D3468">
        <v>46440</v>
      </c>
      <c r="E3468">
        <v>24</v>
      </c>
      <c r="F3468" t="s">
        <v>47</v>
      </c>
      <c r="G3468" t="s">
        <v>180</v>
      </c>
      <c r="H3468" t="s">
        <v>46</v>
      </c>
      <c r="I3468">
        <v>10</v>
      </c>
    </row>
    <row r="3469" spans="1:9" x14ac:dyDescent="0.2">
      <c r="A3469">
        <v>16190888</v>
      </c>
      <c r="B3469">
        <v>4</v>
      </c>
      <c r="C3469">
        <v>3223</v>
      </c>
      <c r="D3469">
        <v>0</v>
      </c>
      <c r="E3469">
        <v>26</v>
      </c>
      <c r="F3469" t="s">
        <v>47</v>
      </c>
      <c r="G3469" t="s">
        <v>105</v>
      </c>
      <c r="H3469" t="s">
        <v>46</v>
      </c>
      <c r="I3469">
        <v>10</v>
      </c>
    </row>
    <row r="3470" spans="1:9" x14ac:dyDescent="0.2">
      <c r="A3470">
        <v>16190888</v>
      </c>
      <c r="B3470">
        <v>5</v>
      </c>
      <c r="C3470">
        <v>3229</v>
      </c>
      <c r="D3470">
        <v>0</v>
      </c>
      <c r="E3470">
        <v>26</v>
      </c>
      <c r="F3470" t="s">
        <v>47</v>
      </c>
      <c r="G3470" t="s">
        <v>101</v>
      </c>
      <c r="H3470" t="s">
        <v>46</v>
      </c>
      <c r="I3470">
        <v>10</v>
      </c>
    </row>
    <row r="3471" spans="1:9" x14ac:dyDescent="0.2">
      <c r="A3471">
        <v>16190888</v>
      </c>
      <c r="B3471">
        <v>6</v>
      </c>
      <c r="C3471">
        <v>3219</v>
      </c>
      <c r="D3471">
        <v>0</v>
      </c>
      <c r="E3471">
        <v>26</v>
      </c>
      <c r="F3471" t="s">
        <v>47</v>
      </c>
      <c r="G3471" t="s">
        <v>205</v>
      </c>
      <c r="H3471" t="s">
        <v>74</v>
      </c>
      <c r="I3471">
        <v>10</v>
      </c>
    </row>
    <row r="3472" spans="1:9" x14ac:dyDescent="0.2">
      <c r="A3472">
        <v>16220879</v>
      </c>
      <c r="B3472">
        <v>1</v>
      </c>
      <c r="C3472">
        <v>3225</v>
      </c>
      <c r="D3472">
        <v>55390</v>
      </c>
      <c r="E3472">
        <v>24</v>
      </c>
      <c r="F3472" t="s">
        <v>47</v>
      </c>
      <c r="G3472" t="s">
        <v>106</v>
      </c>
      <c r="H3472" t="s">
        <v>46</v>
      </c>
      <c r="I3472">
        <v>10</v>
      </c>
    </row>
    <row r="3473" spans="1:9" x14ac:dyDescent="0.2">
      <c r="A3473">
        <v>16220879</v>
      </c>
      <c r="B3473">
        <v>2</v>
      </c>
      <c r="C3473">
        <v>3226</v>
      </c>
      <c r="D3473">
        <v>0</v>
      </c>
      <c r="E3473">
        <v>26</v>
      </c>
      <c r="F3473" t="s">
        <v>47</v>
      </c>
      <c r="G3473" t="s">
        <v>96</v>
      </c>
      <c r="H3473" t="s">
        <v>46</v>
      </c>
      <c r="I3473">
        <v>10</v>
      </c>
    </row>
    <row r="3474" spans="1:9" x14ac:dyDescent="0.2">
      <c r="A3474">
        <v>16220879</v>
      </c>
      <c r="B3474">
        <v>3</v>
      </c>
      <c r="C3474">
        <v>3223</v>
      </c>
      <c r="D3474">
        <v>0</v>
      </c>
      <c r="E3474">
        <v>26</v>
      </c>
      <c r="F3474" t="s">
        <v>47</v>
      </c>
      <c r="G3474" t="s">
        <v>105</v>
      </c>
      <c r="H3474" t="s">
        <v>46</v>
      </c>
      <c r="I3474">
        <v>10</v>
      </c>
    </row>
    <row r="3475" spans="1:9" x14ac:dyDescent="0.2">
      <c r="A3475">
        <v>16220879</v>
      </c>
      <c r="B3475">
        <v>4</v>
      </c>
      <c r="C3475">
        <v>3261</v>
      </c>
      <c r="D3475">
        <v>0</v>
      </c>
      <c r="E3475">
        <v>26</v>
      </c>
      <c r="F3475" t="s">
        <v>47</v>
      </c>
      <c r="G3475" t="s">
        <v>93</v>
      </c>
      <c r="H3475" t="s">
        <v>46</v>
      </c>
      <c r="I3475">
        <v>10</v>
      </c>
    </row>
    <row r="3476" spans="1:9" x14ac:dyDescent="0.2">
      <c r="A3476">
        <v>16220879</v>
      </c>
      <c r="B3476">
        <v>5</v>
      </c>
      <c r="C3476">
        <v>3269</v>
      </c>
      <c r="D3476">
        <v>0</v>
      </c>
      <c r="E3476">
        <v>26</v>
      </c>
      <c r="F3476" t="s">
        <v>47</v>
      </c>
      <c r="G3476" t="s">
        <v>180</v>
      </c>
      <c r="H3476" t="s">
        <v>46</v>
      </c>
      <c r="I3476">
        <v>10</v>
      </c>
    </row>
    <row r="3477" spans="1:9" x14ac:dyDescent="0.2">
      <c r="A3477">
        <v>16225348</v>
      </c>
      <c r="B3477">
        <v>1</v>
      </c>
      <c r="C3477">
        <v>1217</v>
      </c>
      <c r="D3477">
        <v>60485</v>
      </c>
      <c r="E3477">
        <v>25</v>
      </c>
      <c r="F3477" t="s">
        <v>19</v>
      </c>
      <c r="G3477" t="s">
        <v>22</v>
      </c>
      <c r="H3477" t="s">
        <v>16</v>
      </c>
      <c r="I3477" t="s">
        <v>448</v>
      </c>
    </row>
    <row r="3478" spans="1:9" x14ac:dyDescent="0.2">
      <c r="A3478">
        <v>16225348</v>
      </c>
      <c r="B3478">
        <v>2</v>
      </c>
      <c r="C3478">
        <v>1169</v>
      </c>
      <c r="D3478">
        <v>60330</v>
      </c>
      <c r="E3478">
        <v>25</v>
      </c>
      <c r="F3478" t="s">
        <v>17</v>
      </c>
      <c r="G3478" t="s">
        <v>295</v>
      </c>
      <c r="H3478" t="s">
        <v>16</v>
      </c>
      <c r="I3478" t="s">
        <v>448</v>
      </c>
    </row>
    <row r="3479" spans="1:9" x14ac:dyDescent="0.2">
      <c r="A3479">
        <v>16225348</v>
      </c>
      <c r="B3479">
        <v>3</v>
      </c>
      <c r="C3479">
        <v>1660</v>
      </c>
      <c r="D3479">
        <v>60240</v>
      </c>
      <c r="E3479">
        <v>25</v>
      </c>
      <c r="F3479" t="s">
        <v>128</v>
      </c>
      <c r="G3479" t="s">
        <v>97</v>
      </c>
      <c r="H3479" t="s">
        <v>127</v>
      </c>
      <c r="I3479" t="s">
        <v>448</v>
      </c>
    </row>
    <row r="3480" spans="1:9" x14ac:dyDescent="0.2">
      <c r="A3480">
        <v>16236963</v>
      </c>
      <c r="B3480">
        <v>1</v>
      </c>
      <c r="C3480">
        <v>3229</v>
      </c>
      <c r="D3480">
        <v>47905</v>
      </c>
      <c r="E3480">
        <v>25</v>
      </c>
      <c r="F3480" t="s">
        <v>47</v>
      </c>
      <c r="G3480" t="s">
        <v>101</v>
      </c>
      <c r="H3480" t="s">
        <v>46</v>
      </c>
      <c r="I3480">
        <v>10</v>
      </c>
    </row>
    <row r="3481" spans="1:9" x14ac:dyDescent="0.2">
      <c r="A3481">
        <v>16236963</v>
      </c>
      <c r="B3481">
        <v>2</v>
      </c>
      <c r="C3481">
        <v>3223</v>
      </c>
      <c r="D3481">
        <v>47905</v>
      </c>
      <c r="E3481">
        <v>24</v>
      </c>
      <c r="F3481" t="s">
        <v>47</v>
      </c>
      <c r="G3481" t="s">
        <v>105</v>
      </c>
      <c r="H3481" t="s">
        <v>46</v>
      </c>
      <c r="I3481">
        <v>10</v>
      </c>
    </row>
    <row r="3482" spans="1:9" x14ac:dyDescent="0.2">
      <c r="A3482">
        <v>16236963</v>
      </c>
      <c r="B3482">
        <v>3</v>
      </c>
      <c r="C3482">
        <v>3200</v>
      </c>
      <c r="D3482">
        <v>0</v>
      </c>
      <c r="E3482">
        <v>26</v>
      </c>
      <c r="F3482" t="s">
        <v>47</v>
      </c>
      <c r="G3482" t="s">
        <v>18</v>
      </c>
      <c r="H3482" t="s">
        <v>46</v>
      </c>
      <c r="I3482">
        <v>10</v>
      </c>
    </row>
    <row r="3483" spans="1:9" x14ac:dyDescent="0.2">
      <c r="A3483">
        <v>16236963</v>
      </c>
      <c r="B3483">
        <v>4</v>
      </c>
      <c r="C3483">
        <v>3296</v>
      </c>
      <c r="D3483">
        <v>0</v>
      </c>
      <c r="E3483">
        <v>26</v>
      </c>
      <c r="F3483" t="s">
        <v>47</v>
      </c>
      <c r="G3483" t="s">
        <v>100</v>
      </c>
      <c r="H3483" t="s">
        <v>46</v>
      </c>
      <c r="I3483">
        <v>10</v>
      </c>
    </row>
    <row r="3484" spans="1:9" x14ac:dyDescent="0.2">
      <c r="A3484">
        <v>16236963</v>
      </c>
      <c r="B3484">
        <v>5</v>
      </c>
      <c r="C3484">
        <v>3226</v>
      </c>
      <c r="D3484">
        <v>0</v>
      </c>
      <c r="E3484">
        <v>26</v>
      </c>
      <c r="F3484" t="s">
        <v>47</v>
      </c>
      <c r="G3484" t="s">
        <v>96</v>
      </c>
      <c r="H3484" t="s">
        <v>46</v>
      </c>
      <c r="I3484">
        <v>10</v>
      </c>
    </row>
    <row r="3485" spans="1:9" x14ac:dyDescent="0.2">
      <c r="A3485">
        <v>16238918</v>
      </c>
      <c r="B3485">
        <v>1</v>
      </c>
      <c r="C3485">
        <v>3251</v>
      </c>
      <c r="D3485">
        <v>0</v>
      </c>
      <c r="E3485">
        <v>36</v>
      </c>
      <c r="F3485" t="s">
        <v>47</v>
      </c>
      <c r="G3485" t="s">
        <v>48</v>
      </c>
      <c r="H3485" t="s">
        <v>46</v>
      </c>
      <c r="I3485">
        <v>10</v>
      </c>
    </row>
    <row r="3486" spans="1:9" x14ac:dyDescent="0.2">
      <c r="A3486">
        <v>16238918</v>
      </c>
      <c r="B3486">
        <v>2</v>
      </c>
      <c r="C3486">
        <v>3248</v>
      </c>
      <c r="D3486">
        <v>0</v>
      </c>
      <c r="E3486">
        <v>36</v>
      </c>
      <c r="F3486" t="s">
        <v>47</v>
      </c>
      <c r="G3486" t="s">
        <v>92</v>
      </c>
      <c r="H3486" t="s">
        <v>46</v>
      </c>
      <c r="I3486">
        <v>10</v>
      </c>
    </row>
    <row r="3487" spans="1:9" x14ac:dyDescent="0.2">
      <c r="A3487">
        <v>16238918</v>
      </c>
      <c r="B3487">
        <v>3</v>
      </c>
      <c r="C3487">
        <v>3252</v>
      </c>
      <c r="D3487">
        <v>0</v>
      </c>
      <c r="E3487">
        <v>36</v>
      </c>
      <c r="F3487" t="s">
        <v>47</v>
      </c>
      <c r="G3487" t="s">
        <v>45</v>
      </c>
      <c r="H3487" t="s">
        <v>46</v>
      </c>
      <c r="I3487">
        <v>10</v>
      </c>
    </row>
    <row r="3488" spans="1:9" x14ac:dyDescent="0.2">
      <c r="A3488">
        <v>16238918</v>
      </c>
      <c r="B3488">
        <v>4</v>
      </c>
      <c r="C3488">
        <v>3244</v>
      </c>
      <c r="D3488">
        <v>0</v>
      </c>
      <c r="E3488">
        <v>36</v>
      </c>
      <c r="F3488" t="s">
        <v>47</v>
      </c>
      <c r="G3488" t="s">
        <v>73</v>
      </c>
      <c r="H3488" t="s">
        <v>74</v>
      </c>
      <c r="I3488">
        <v>10</v>
      </c>
    </row>
    <row r="3489" spans="1:9" x14ac:dyDescent="0.2">
      <c r="A3489">
        <v>16238918</v>
      </c>
      <c r="B3489">
        <v>5</v>
      </c>
      <c r="C3489">
        <v>3261</v>
      </c>
      <c r="D3489">
        <v>0</v>
      </c>
      <c r="E3489">
        <v>36</v>
      </c>
      <c r="F3489" t="s">
        <v>47</v>
      </c>
      <c r="G3489" t="s">
        <v>93</v>
      </c>
      <c r="H3489" t="s">
        <v>46</v>
      </c>
      <c r="I3489">
        <v>10</v>
      </c>
    </row>
    <row r="3490" spans="1:9" x14ac:dyDescent="0.2">
      <c r="A3490">
        <v>16251887</v>
      </c>
      <c r="B3490">
        <v>1</v>
      </c>
      <c r="C3490">
        <v>1386</v>
      </c>
      <c r="D3490">
        <v>68145</v>
      </c>
      <c r="E3490">
        <v>25</v>
      </c>
      <c r="F3490" t="s">
        <v>21</v>
      </c>
      <c r="G3490" t="s">
        <v>170</v>
      </c>
      <c r="H3490" t="s">
        <v>20</v>
      </c>
      <c r="I3490">
        <v>8</v>
      </c>
    </row>
    <row r="3491" spans="1:9" x14ac:dyDescent="0.2">
      <c r="A3491">
        <v>16251887</v>
      </c>
      <c r="B3491">
        <v>2</v>
      </c>
      <c r="C3491">
        <v>1713</v>
      </c>
      <c r="D3491">
        <v>68890</v>
      </c>
      <c r="E3491">
        <v>25</v>
      </c>
      <c r="F3491" t="s">
        <v>57</v>
      </c>
      <c r="G3491" t="s">
        <v>170</v>
      </c>
      <c r="H3491" t="s">
        <v>69</v>
      </c>
      <c r="I3491">
        <v>10</v>
      </c>
    </row>
    <row r="3492" spans="1:9" x14ac:dyDescent="0.2">
      <c r="A3492">
        <v>16251887</v>
      </c>
      <c r="B3492">
        <v>3</v>
      </c>
      <c r="C3492">
        <v>1731</v>
      </c>
      <c r="D3492">
        <v>68890</v>
      </c>
      <c r="E3492">
        <v>25</v>
      </c>
      <c r="F3492" t="s">
        <v>57</v>
      </c>
      <c r="G3492" t="s">
        <v>172</v>
      </c>
      <c r="H3492" t="s">
        <v>69</v>
      </c>
      <c r="I3492">
        <v>10</v>
      </c>
    </row>
    <row r="3493" spans="1:9" x14ac:dyDescent="0.2">
      <c r="A3493">
        <v>16251887</v>
      </c>
      <c r="B3493">
        <v>4</v>
      </c>
      <c r="C3493">
        <v>3026</v>
      </c>
      <c r="D3493">
        <v>69630</v>
      </c>
      <c r="E3493">
        <v>25</v>
      </c>
      <c r="F3493" t="s">
        <v>44</v>
      </c>
      <c r="G3493" t="s">
        <v>170</v>
      </c>
      <c r="H3493" t="s">
        <v>50</v>
      </c>
      <c r="I3493">
        <v>9</v>
      </c>
    </row>
    <row r="3494" spans="1:9" x14ac:dyDescent="0.2">
      <c r="A3494">
        <v>16251887</v>
      </c>
      <c r="B3494">
        <v>5</v>
      </c>
      <c r="C3494">
        <v>1391</v>
      </c>
      <c r="D3494">
        <v>69495</v>
      </c>
      <c r="E3494">
        <v>25</v>
      </c>
      <c r="F3494" t="s">
        <v>21</v>
      </c>
      <c r="G3494" t="s">
        <v>122</v>
      </c>
      <c r="H3494" t="s">
        <v>20</v>
      </c>
      <c r="I3494">
        <v>8</v>
      </c>
    </row>
    <row r="3495" spans="1:9" x14ac:dyDescent="0.2">
      <c r="A3495">
        <v>16251887</v>
      </c>
      <c r="B3495">
        <v>6</v>
      </c>
      <c r="C3495">
        <v>1383</v>
      </c>
      <c r="D3495">
        <v>68835</v>
      </c>
      <c r="E3495">
        <v>24</v>
      </c>
      <c r="F3495" t="s">
        <v>21</v>
      </c>
      <c r="G3495" t="s">
        <v>124</v>
      </c>
      <c r="H3495" t="s">
        <v>20</v>
      </c>
      <c r="I3495">
        <v>8</v>
      </c>
    </row>
    <row r="3496" spans="1:9" x14ac:dyDescent="0.2">
      <c r="A3496">
        <v>16251887</v>
      </c>
      <c r="B3496">
        <v>7</v>
      </c>
      <c r="C3496">
        <v>1789</v>
      </c>
      <c r="D3496">
        <v>0</v>
      </c>
      <c r="E3496">
        <v>26</v>
      </c>
      <c r="F3496" t="s">
        <v>57</v>
      </c>
      <c r="G3496" t="s">
        <v>122</v>
      </c>
      <c r="H3496" t="s">
        <v>69</v>
      </c>
      <c r="I3496">
        <v>10</v>
      </c>
    </row>
    <row r="3497" spans="1:9" x14ac:dyDescent="0.2">
      <c r="A3497">
        <v>16251887</v>
      </c>
      <c r="B3497">
        <v>8</v>
      </c>
      <c r="C3497">
        <v>1776</v>
      </c>
      <c r="D3497">
        <v>0</v>
      </c>
      <c r="E3497">
        <v>26</v>
      </c>
      <c r="F3497" t="s">
        <v>57</v>
      </c>
      <c r="G3497" t="s">
        <v>124</v>
      </c>
      <c r="H3497" t="s">
        <v>125</v>
      </c>
      <c r="I3497">
        <v>10</v>
      </c>
    </row>
    <row r="3498" spans="1:9" x14ac:dyDescent="0.2">
      <c r="A3498">
        <v>16342448</v>
      </c>
      <c r="B3498">
        <v>1</v>
      </c>
      <c r="C3498">
        <v>3200</v>
      </c>
      <c r="D3498">
        <v>0</v>
      </c>
      <c r="E3498">
        <v>9</v>
      </c>
      <c r="F3498" t="s">
        <v>47</v>
      </c>
      <c r="G3498" t="s">
        <v>18</v>
      </c>
      <c r="H3498" t="s">
        <v>46</v>
      </c>
      <c r="I3498">
        <v>10</v>
      </c>
    </row>
    <row r="3499" spans="1:9" x14ac:dyDescent="0.2">
      <c r="A3499">
        <v>16352461</v>
      </c>
      <c r="B3499">
        <v>1</v>
      </c>
      <c r="C3499">
        <v>1900</v>
      </c>
      <c r="D3499">
        <v>51325</v>
      </c>
      <c r="E3499">
        <v>25</v>
      </c>
      <c r="F3499" t="s">
        <v>32</v>
      </c>
      <c r="G3499" t="s">
        <v>399</v>
      </c>
      <c r="H3499" t="s">
        <v>31</v>
      </c>
      <c r="I3499">
        <v>5</v>
      </c>
    </row>
    <row r="3500" spans="1:9" x14ac:dyDescent="0.2">
      <c r="A3500">
        <v>16352461</v>
      </c>
      <c r="B3500">
        <v>2</v>
      </c>
      <c r="C3500">
        <v>1905</v>
      </c>
      <c r="D3500">
        <v>51325</v>
      </c>
      <c r="E3500">
        <v>25</v>
      </c>
      <c r="F3500" t="s">
        <v>32</v>
      </c>
      <c r="G3500" t="s">
        <v>275</v>
      </c>
      <c r="H3500" t="s">
        <v>113</v>
      </c>
      <c r="I3500">
        <v>5</v>
      </c>
    </row>
    <row r="3501" spans="1:9" x14ac:dyDescent="0.2">
      <c r="A3501">
        <v>16352461</v>
      </c>
      <c r="B3501">
        <v>3</v>
      </c>
      <c r="C3501">
        <v>3092</v>
      </c>
      <c r="D3501">
        <v>53045</v>
      </c>
      <c r="E3501">
        <v>25</v>
      </c>
      <c r="F3501" t="s">
        <v>44</v>
      </c>
      <c r="G3501" t="s">
        <v>251</v>
      </c>
      <c r="H3501" t="s">
        <v>52</v>
      </c>
      <c r="I3501">
        <v>9</v>
      </c>
    </row>
    <row r="3502" spans="1:9" x14ac:dyDescent="0.2">
      <c r="A3502">
        <v>16352461</v>
      </c>
      <c r="B3502">
        <v>4</v>
      </c>
      <c r="C3502">
        <v>3044</v>
      </c>
      <c r="D3502">
        <v>53720</v>
      </c>
      <c r="E3502">
        <v>25</v>
      </c>
      <c r="F3502" t="s">
        <v>44</v>
      </c>
      <c r="G3502" t="s">
        <v>250</v>
      </c>
      <c r="H3502" t="s">
        <v>52</v>
      </c>
      <c r="I3502">
        <v>9</v>
      </c>
    </row>
    <row r="3503" spans="1:9" x14ac:dyDescent="0.2">
      <c r="A3503">
        <v>16352461</v>
      </c>
      <c r="B3503">
        <v>5</v>
      </c>
      <c r="C3503">
        <v>1352</v>
      </c>
      <c r="D3503">
        <v>51975</v>
      </c>
      <c r="E3503">
        <v>25</v>
      </c>
      <c r="F3503" t="s">
        <v>21</v>
      </c>
      <c r="G3503" t="s">
        <v>279</v>
      </c>
      <c r="H3503" t="s">
        <v>20</v>
      </c>
      <c r="I3503">
        <v>8</v>
      </c>
    </row>
    <row r="3504" spans="1:9" x14ac:dyDescent="0.2">
      <c r="A3504">
        <v>16352461</v>
      </c>
      <c r="B3504">
        <v>6</v>
      </c>
      <c r="C3504">
        <v>2696</v>
      </c>
      <c r="D3504">
        <v>52580</v>
      </c>
      <c r="E3504">
        <v>25</v>
      </c>
      <c r="F3504" t="s">
        <v>71</v>
      </c>
      <c r="G3504" t="s">
        <v>434</v>
      </c>
      <c r="H3504" t="s">
        <v>24</v>
      </c>
      <c r="I3504">
        <v>5</v>
      </c>
    </row>
    <row r="3505" spans="1:9" x14ac:dyDescent="0.2">
      <c r="A3505">
        <v>16354614</v>
      </c>
      <c r="B3505">
        <v>1</v>
      </c>
      <c r="C3505">
        <v>1713</v>
      </c>
      <c r="D3505">
        <v>58130</v>
      </c>
      <c r="E3505">
        <v>25</v>
      </c>
      <c r="F3505" t="s">
        <v>57</v>
      </c>
      <c r="G3505" t="s">
        <v>170</v>
      </c>
      <c r="H3505" t="s">
        <v>69</v>
      </c>
      <c r="I3505">
        <v>10</v>
      </c>
    </row>
    <row r="3506" spans="1:9" x14ac:dyDescent="0.2">
      <c r="A3506">
        <v>16354614</v>
      </c>
      <c r="B3506">
        <v>2</v>
      </c>
      <c r="C3506">
        <v>1731</v>
      </c>
      <c r="D3506">
        <v>58130</v>
      </c>
      <c r="E3506">
        <v>25</v>
      </c>
      <c r="F3506" t="s">
        <v>57</v>
      </c>
      <c r="G3506" t="s">
        <v>172</v>
      </c>
      <c r="H3506" t="s">
        <v>69</v>
      </c>
      <c r="I3506">
        <v>10</v>
      </c>
    </row>
    <row r="3507" spans="1:9" x14ac:dyDescent="0.2">
      <c r="A3507">
        <v>16354614</v>
      </c>
      <c r="B3507">
        <v>3</v>
      </c>
      <c r="C3507">
        <v>1257</v>
      </c>
      <c r="D3507">
        <v>58475</v>
      </c>
      <c r="E3507">
        <v>25</v>
      </c>
      <c r="F3507" t="s">
        <v>19</v>
      </c>
      <c r="G3507" t="s">
        <v>199</v>
      </c>
      <c r="H3507" t="s">
        <v>16</v>
      </c>
      <c r="I3507" t="s">
        <v>448</v>
      </c>
    </row>
    <row r="3508" spans="1:9" x14ac:dyDescent="0.2">
      <c r="A3508">
        <v>16354614</v>
      </c>
      <c r="B3508">
        <v>4</v>
      </c>
      <c r="C3508">
        <v>1705</v>
      </c>
      <c r="D3508">
        <v>57930</v>
      </c>
      <c r="E3508">
        <v>25</v>
      </c>
      <c r="F3508" t="s">
        <v>57</v>
      </c>
      <c r="G3508" t="s">
        <v>102</v>
      </c>
      <c r="H3508" t="s">
        <v>69</v>
      </c>
      <c r="I3508">
        <v>10</v>
      </c>
    </row>
    <row r="3509" spans="1:9" x14ac:dyDescent="0.2">
      <c r="A3509">
        <v>16354614</v>
      </c>
      <c r="B3509">
        <v>5</v>
      </c>
      <c r="C3509">
        <v>1776</v>
      </c>
      <c r="D3509">
        <v>58640</v>
      </c>
      <c r="E3509">
        <v>25</v>
      </c>
      <c r="F3509" t="s">
        <v>57</v>
      </c>
      <c r="G3509" t="s">
        <v>124</v>
      </c>
      <c r="H3509" t="s">
        <v>125</v>
      </c>
      <c r="I3509">
        <v>10</v>
      </c>
    </row>
    <row r="3510" spans="1:9" x14ac:dyDescent="0.2">
      <c r="A3510">
        <v>16380731</v>
      </c>
      <c r="B3510">
        <v>1</v>
      </c>
      <c r="C3510">
        <v>3252</v>
      </c>
      <c r="D3510">
        <v>50040</v>
      </c>
      <c r="E3510">
        <v>25</v>
      </c>
      <c r="F3510" t="s">
        <v>47</v>
      </c>
      <c r="G3510" t="s">
        <v>45</v>
      </c>
      <c r="H3510" t="s">
        <v>46</v>
      </c>
      <c r="I3510">
        <v>10</v>
      </c>
    </row>
    <row r="3511" spans="1:9" x14ac:dyDescent="0.2">
      <c r="A3511">
        <v>16380731</v>
      </c>
      <c r="B3511">
        <v>2</v>
      </c>
      <c r="C3511">
        <v>3243</v>
      </c>
      <c r="D3511">
        <v>49570</v>
      </c>
      <c r="E3511">
        <v>25</v>
      </c>
      <c r="F3511" t="s">
        <v>47</v>
      </c>
      <c r="G3511" t="s">
        <v>75</v>
      </c>
      <c r="H3511" t="s">
        <v>46</v>
      </c>
      <c r="I3511">
        <v>10</v>
      </c>
    </row>
    <row r="3512" spans="1:9" x14ac:dyDescent="0.2">
      <c r="A3512">
        <v>16380731</v>
      </c>
      <c r="B3512">
        <v>3</v>
      </c>
      <c r="C3512">
        <v>3234</v>
      </c>
      <c r="D3512">
        <v>49520</v>
      </c>
      <c r="E3512">
        <v>25</v>
      </c>
      <c r="F3512" t="s">
        <v>47</v>
      </c>
      <c r="G3512" t="s">
        <v>76</v>
      </c>
      <c r="H3512" t="s">
        <v>46</v>
      </c>
      <c r="I3512">
        <v>10</v>
      </c>
    </row>
    <row r="3513" spans="1:9" x14ac:dyDescent="0.2">
      <c r="A3513">
        <v>16380731</v>
      </c>
      <c r="B3513">
        <v>4</v>
      </c>
      <c r="C3513">
        <v>3261</v>
      </c>
      <c r="D3513">
        <v>49740</v>
      </c>
      <c r="E3513">
        <v>25</v>
      </c>
      <c r="F3513" t="s">
        <v>47</v>
      </c>
      <c r="G3513" t="s">
        <v>93</v>
      </c>
      <c r="H3513" t="s">
        <v>46</v>
      </c>
      <c r="I3513">
        <v>10</v>
      </c>
    </row>
    <row r="3514" spans="1:9" x14ac:dyDescent="0.2">
      <c r="A3514">
        <v>16391335</v>
      </c>
      <c r="B3514">
        <v>1</v>
      </c>
      <c r="C3514">
        <v>3229</v>
      </c>
      <c r="D3514">
        <v>44750</v>
      </c>
      <c r="E3514">
        <v>25</v>
      </c>
      <c r="F3514" t="s">
        <v>47</v>
      </c>
      <c r="G3514" t="s">
        <v>101</v>
      </c>
      <c r="H3514" t="s">
        <v>46</v>
      </c>
      <c r="I3514">
        <v>10</v>
      </c>
    </row>
    <row r="3515" spans="1:9" x14ac:dyDescent="0.2">
      <c r="A3515">
        <v>16391335</v>
      </c>
      <c r="B3515">
        <v>2</v>
      </c>
      <c r="C3515">
        <v>3261</v>
      </c>
      <c r="D3515">
        <v>43730</v>
      </c>
      <c r="E3515">
        <v>25</v>
      </c>
      <c r="F3515" t="s">
        <v>47</v>
      </c>
      <c r="G3515" t="s">
        <v>93</v>
      </c>
      <c r="H3515" t="s">
        <v>46</v>
      </c>
      <c r="I3515">
        <v>10</v>
      </c>
    </row>
    <row r="3516" spans="1:9" x14ac:dyDescent="0.2">
      <c r="A3516">
        <v>16391335</v>
      </c>
      <c r="B3516">
        <v>3</v>
      </c>
      <c r="C3516">
        <v>3223</v>
      </c>
      <c r="D3516">
        <v>44750</v>
      </c>
      <c r="E3516">
        <v>24</v>
      </c>
      <c r="F3516" t="s">
        <v>47</v>
      </c>
      <c r="G3516" t="s">
        <v>105</v>
      </c>
      <c r="H3516" t="s">
        <v>46</v>
      </c>
      <c r="I3516">
        <v>10</v>
      </c>
    </row>
    <row r="3517" spans="1:9" x14ac:dyDescent="0.2">
      <c r="A3517">
        <v>16391335</v>
      </c>
      <c r="B3517">
        <v>4</v>
      </c>
      <c r="C3517">
        <v>3225</v>
      </c>
      <c r="D3517">
        <v>0</v>
      </c>
      <c r="E3517">
        <v>26</v>
      </c>
      <c r="F3517" t="s">
        <v>47</v>
      </c>
      <c r="G3517" t="s">
        <v>106</v>
      </c>
      <c r="H3517" t="s">
        <v>46</v>
      </c>
      <c r="I3517">
        <v>10</v>
      </c>
    </row>
    <row r="3518" spans="1:9" x14ac:dyDescent="0.2">
      <c r="A3518">
        <v>16391335</v>
      </c>
      <c r="B3518">
        <v>5</v>
      </c>
      <c r="C3518">
        <v>3296</v>
      </c>
      <c r="D3518">
        <v>0</v>
      </c>
      <c r="E3518">
        <v>26</v>
      </c>
      <c r="F3518" t="s">
        <v>47</v>
      </c>
      <c r="G3518" t="s">
        <v>100</v>
      </c>
      <c r="H3518" t="s">
        <v>46</v>
      </c>
      <c r="I3518">
        <v>10</v>
      </c>
    </row>
    <row r="3519" spans="1:9" x14ac:dyDescent="0.2">
      <c r="A3519">
        <v>16391335</v>
      </c>
      <c r="B3519">
        <v>6</v>
      </c>
      <c r="C3519">
        <v>3269</v>
      </c>
      <c r="D3519">
        <v>0</v>
      </c>
      <c r="E3519">
        <v>26</v>
      </c>
      <c r="F3519" t="s">
        <v>47</v>
      </c>
      <c r="G3519" t="s">
        <v>180</v>
      </c>
      <c r="H3519" t="s">
        <v>46</v>
      </c>
      <c r="I3519">
        <v>10</v>
      </c>
    </row>
    <row r="3520" spans="1:9" x14ac:dyDescent="0.2">
      <c r="A3520">
        <v>16391335</v>
      </c>
      <c r="B3520">
        <v>7</v>
      </c>
      <c r="C3520">
        <v>3212</v>
      </c>
      <c r="D3520">
        <v>0</v>
      </c>
      <c r="E3520">
        <v>26</v>
      </c>
      <c r="F3520" t="s">
        <v>47</v>
      </c>
      <c r="G3520" t="s">
        <v>84</v>
      </c>
      <c r="H3520" t="s">
        <v>46</v>
      </c>
      <c r="I3520">
        <v>10</v>
      </c>
    </row>
    <row r="3521" spans="1:9" x14ac:dyDescent="0.2">
      <c r="A3521">
        <v>16391335</v>
      </c>
      <c r="B3521">
        <v>8</v>
      </c>
      <c r="C3521">
        <v>3248</v>
      </c>
      <c r="D3521">
        <v>0</v>
      </c>
      <c r="E3521">
        <v>26</v>
      </c>
      <c r="F3521" t="s">
        <v>47</v>
      </c>
      <c r="G3521" t="s">
        <v>92</v>
      </c>
      <c r="H3521" t="s">
        <v>46</v>
      </c>
      <c r="I3521">
        <v>10</v>
      </c>
    </row>
    <row r="3522" spans="1:9" x14ac:dyDescent="0.2">
      <c r="A3522">
        <v>16410076</v>
      </c>
      <c r="B3522">
        <v>1</v>
      </c>
      <c r="C3522">
        <v>1789</v>
      </c>
      <c r="D3522">
        <v>63675</v>
      </c>
      <c r="E3522">
        <v>25</v>
      </c>
      <c r="F3522" t="s">
        <v>57</v>
      </c>
      <c r="G3522" t="s">
        <v>122</v>
      </c>
      <c r="H3522" t="s">
        <v>69</v>
      </c>
      <c r="I3522">
        <v>10</v>
      </c>
    </row>
    <row r="3523" spans="1:9" x14ac:dyDescent="0.2">
      <c r="A3523">
        <v>16410076</v>
      </c>
      <c r="B3523">
        <v>2</v>
      </c>
      <c r="C3523">
        <v>1776</v>
      </c>
      <c r="D3523">
        <v>63930</v>
      </c>
      <c r="E3523">
        <v>24</v>
      </c>
      <c r="F3523" t="s">
        <v>57</v>
      </c>
      <c r="G3523" t="s">
        <v>124</v>
      </c>
      <c r="H3523" t="s">
        <v>125</v>
      </c>
      <c r="I3523">
        <v>10</v>
      </c>
    </row>
    <row r="3524" spans="1:9" x14ac:dyDescent="0.2">
      <c r="A3524">
        <v>16410076</v>
      </c>
      <c r="B3524">
        <v>3</v>
      </c>
      <c r="C3524">
        <v>1714</v>
      </c>
      <c r="D3524">
        <v>0</v>
      </c>
      <c r="E3524">
        <v>26</v>
      </c>
      <c r="F3524" t="s">
        <v>57</v>
      </c>
      <c r="G3524" t="s">
        <v>95</v>
      </c>
      <c r="H3524" t="s">
        <v>69</v>
      </c>
      <c r="I3524">
        <v>10</v>
      </c>
    </row>
    <row r="3525" spans="1:9" x14ac:dyDescent="0.2">
      <c r="A3525">
        <v>16410076</v>
      </c>
      <c r="B3525">
        <v>4</v>
      </c>
      <c r="C3525">
        <v>1786</v>
      </c>
      <c r="D3525">
        <v>0</v>
      </c>
      <c r="E3525">
        <v>26</v>
      </c>
      <c r="F3525" t="s">
        <v>57</v>
      </c>
      <c r="G3525" t="s">
        <v>103</v>
      </c>
      <c r="H3525" t="s">
        <v>56</v>
      </c>
      <c r="I3525">
        <v>10</v>
      </c>
    </row>
    <row r="3526" spans="1:9" x14ac:dyDescent="0.2">
      <c r="A3526">
        <v>16410076</v>
      </c>
      <c r="B3526">
        <v>5</v>
      </c>
      <c r="C3526">
        <v>1705</v>
      </c>
      <c r="D3526">
        <v>0</v>
      </c>
      <c r="E3526">
        <v>26</v>
      </c>
      <c r="F3526" t="s">
        <v>57</v>
      </c>
      <c r="G3526" t="s">
        <v>102</v>
      </c>
      <c r="H3526" t="s">
        <v>69</v>
      </c>
      <c r="I3526">
        <v>10</v>
      </c>
    </row>
    <row r="3527" spans="1:9" x14ac:dyDescent="0.2">
      <c r="A3527">
        <v>16410076</v>
      </c>
      <c r="B3527">
        <v>6</v>
      </c>
      <c r="C3527">
        <v>3200</v>
      </c>
      <c r="D3527">
        <v>0</v>
      </c>
      <c r="E3527">
        <v>26</v>
      </c>
      <c r="F3527" t="s">
        <v>47</v>
      </c>
      <c r="G3527" t="s">
        <v>18</v>
      </c>
      <c r="H3527" t="s">
        <v>46</v>
      </c>
      <c r="I3527">
        <v>10</v>
      </c>
    </row>
    <row r="3528" spans="1:9" x14ac:dyDescent="0.2">
      <c r="A3528">
        <v>16410076</v>
      </c>
      <c r="B3528">
        <v>7</v>
      </c>
      <c r="C3528">
        <v>3237</v>
      </c>
      <c r="D3528">
        <v>0</v>
      </c>
      <c r="E3528">
        <v>26</v>
      </c>
      <c r="F3528" t="s">
        <v>47</v>
      </c>
      <c r="G3528" t="s">
        <v>181</v>
      </c>
      <c r="H3528" t="s">
        <v>46</v>
      </c>
      <c r="I3528">
        <v>10</v>
      </c>
    </row>
    <row r="3529" spans="1:9" x14ac:dyDescent="0.2">
      <c r="A3529">
        <v>16437366</v>
      </c>
      <c r="B3529">
        <v>1</v>
      </c>
      <c r="C3529">
        <v>3251</v>
      </c>
      <c r="D3529">
        <v>0</v>
      </c>
      <c r="E3529">
        <v>36</v>
      </c>
      <c r="F3529" t="s">
        <v>47</v>
      </c>
      <c r="G3529" t="s">
        <v>48</v>
      </c>
      <c r="H3529" t="s">
        <v>46</v>
      </c>
      <c r="I3529">
        <v>10</v>
      </c>
    </row>
    <row r="3530" spans="1:9" x14ac:dyDescent="0.2">
      <c r="A3530">
        <v>16437366</v>
      </c>
      <c r="B3530">
        <v>2</v>
      </c>
      <c r="C3530">
        <v>3211</v>
      </c>
      <c r="D3530">
        <v>0</v>
      </c>
      <c r="E3530">
        <v>36</v>
      </c>
      <c r="F3530" t="s">
        <v>47</v>
      </c>
      <c r="G3530" t="s">
        <v>99</v>
      </c>
      <c r="H3530" t="s">
        <v>46</v>
      </c>
      <c r="I3530">
        <v>10</v>
      </c>
    </row>
    <row r="3531" spans="1:9" x14ac:dyDescent="0.2">
      <c r="A3531">
        <v>16437366</v>
      </c>
      <c r="B3531">
        <v>3</v>
      </c>
      <c r="C3531">
        <v>3212</v>
      </c>
      <c r="D3531">
        <v>0</v>
      </c>
      <c r="E3531">
        <v>36</v>
      </c>
      <c r="F3531" t="s">
        <v>47</v>
      </c>
      <c r="G3531" t="s">
        <v>84</v>
      </c>
      <c r="H3531" t="s">
        <v>46</v>
      </c>
      <c r="I3531">
        <v>10</v>
      </c>
    </row>
    <row r="3532" spans="1:9" x14ac:dyDescent="0.2">
      <c r="A3532">
        <v>16437366</v>
      </c>
      <c r="B3532">
        <v>4</v>
      </c>
      <c r="C3532">
        <v>3252</v>
      </c>
      <c r="D3532">
        <v>0</v>
      </c>
      <c r="E3532">
        <v>36</v>
      </c>
      <c r="F3532" t="s">
        <v>47</v>
      </c>
      <c r="G3532" t="s">
        <v>45</v>
      </c>
      <c r="H3532" t="s">
        <v>46</v>
      </c>
      <c r="I3532">
        <v>10</v>
      </c>
    </row>
    <row r="3533" spans="1:9" x14ac:dyDescent="0.2">
      <c r="A3533">
        <v>16502131</v>
      </c>
      <c r="B3533">
        <v>1</v>
      </c>
      <c r="C3533">
        <v>1214</v>
      </c>
      <c r="D3533">
        <v>66540</v>
      </c>
      <c r="E3533">
        <v>25</v>
      </c>
      <c r="F3533" t="s">
        <v>19</v>
      </c>
      <c r="G3533" t="s">
        <v>112</v>
      </c>
      <c r="H3533" t="s">
        <v>16</v>
      </c>
      <c r="I3533" t="s">
        <v>448</v>
      </c>
    </row>
    <row r="3534" spans="1:9" x14ac:dyDescent="0.2">
      <c r="A3534">
        <v>16502131</v>
      </c>
      <c r="B3534">
        <v>2</v>
      </c>
      <c r="C3534">
        <v>1142</v>
      </c>
      <c r="D3534">
        <v>66540</v>
      </c>
      <c r="E3534">
        <v>25</v>
      </c>
      <c r="F3534" t="s">
        <v>17</v>
      </c>
      <c r="G3534" t="s">
        <v>114</v>
      </c>
      <c r="H3534" t="s">
        <v>16</v>
      </c>
      <c r="I3534" t="s">
        <v>448</v>
      </c>
    </row>
    <row r="3535" spans="1:9" x14ac:dyDescent="0.2">
      <c r="A3535">
        <v>16527339</v>
      </c>
      <c r="B3535">
        <v>1</v>
      </c>
      <c r="C3535">
        <v>1788</v>
      </c>
      <c r="D3535">
        <v>58585</v>
      </c>
      <c r="E3535">
        <v>24</v>
      </c>
      <c r="F3535" t="s">
        <v>57</v>
      </c>
      <c r="G3535" t="s">
        <v>97</v>
      </c>
      <c r="H3535" t="s">
        <v>56</v>
      </c>
      <c r="I3535">
        <v>10</v>
      </c>
    </row>
    <row r="3536" spans="1:9" x14ac:dyDescent="0.2">
      <c r="A3536">
        <v>16527339</v>
      </c>
      <c r="B3536">
        <v>2</v>
      </c>
      <c r="C3536">
        <v>3064</v>
      </c>
      <c r="D3536">
        <v>0</v>
      </c>
      <c r="E3536">
        <v>26</v>
      </c>
      <c r="F3536" t="s">
        <v>44</v>
      </c>
      <c r="G3536" t="s">
        <v>97</v>
      </c>
      <c r="H3536" t="s">
        <v>52</v>
      </c>
      <c r="I3536">
        <v>9</v>
      </c>
    </row>
    <row r="3537" spans="1:9" x14ac:dyDescent="0.2">
      <c r="A3537">
        <v>16527339</v>
      </c>
      <c r="B3537">
        <v>3</v>
      </c>
      <c r="C3537">
        <v>1217</v>
      </c>
      <c r="D3537">
        <v>0</v>
      </c>
      <c r="E3537">
        <v>26</v>
      </c>
      <c r="F3537" t="s">
        <v>19</v>
      </c>
      <c r="G3537" t="s">
        <v>22</v>
      </c>
      <c r="H3537" t="s">
        <v>16</v>
      </c>
      <c r="I3537" t="s">
        <v>448</v>
      </c>
    </row>
    <row r="3538" spans="1:9" x14ac:dyDescent="0.2">
      <c r="A3538">
        <v>16536842</v>
      </c>
      <c r="B3538">
        <v>1</v>
      </c>
      <c r="C3538">
        <v>1386</v>
      </c>
      <c r="D3538">
        <v>69705</v>
      </c>
      <c r="E3538">
        <v>25</v>
      </c>
      <c r="F3538" t="s">
        <v>21</v>
      </c>
      <c r="G3538" t="s">
        <v>170</v>
      </c>
      <c r="H3538" t="s">
        <v>20</v>
      </c>
      <c r="I3538">
        <v>8</v>
      </c>
    </row>
    <row r="3539" spans="1:9" x14ac:dyDescent="0.2">
      <c r="A3539">
        <v>16536842</v>
      </c>
      <c r="B3539">
        <v>2</v>
      </c>
      <c r="C3539">
        <v>1691</v>
      </c>
      <c r="D3539">
        <v>71100</v>
      </c>
      <c r="E3539">
        <v>25</v>
      </c>
      <c r="F3539" t="s">
        <v>128</v>
      </c>
      <c r="G3539" t="s">
        <v>170</v>
      </c>
      <c r="H3539" t="s">
        <v>127</v>
      </c>
      <c r="I3539" t="s">
        <v>448</v>
      </c>
    </row>
    <row r="3540" spans="1:9" x14ac:dyDescent="0.2">
      <c r="A3540">
        <v>16536842</v>
      </c>
      <c r="B3540">
        <v>3</v>
      </c>
      <c r="C3540">
        <v>3620</v>
      </c>
      <c r="D3540">
        <v>70560</v>
      </c>
      <c r="E3540">
        <v>25</v>
      </c>
      <c r="F3540" t="s">
        <v>108</v>
      </c>
      <c r="G3540" t="s">
        <v>170</v>
      </c>
      <c r="H3540" t="s">
        <v>20</v>
      </c>
      <c r="I3540">
        <v>8</v>
      </c>
    </row>
    <row r="3541" spans="1:9" x14ac:dyDescent="0.2">
      <c r="A3541">
        <v>16536842</v>
      </c>
      <c r="B3541">
        <v>4</v>
      </c>
      <c r="C3541">
        <v>3026</v>
      </c>
      <c r="D3541">
        <v>70320</v>
      </c>
      <c r="E3541">
        <v>25</v>
      </c>
      <c r="F3541" t="s">
        <v>44</v>
      </c>
      <c r="G3541" t="s">
        <v>170</v>
      </c>
      <c r="H3541" t="s">
        <v>50</v>
      </c>
      <c r="I3541">
        <v>9</v>
      </c>
    </row>
    <row r="3542" spans="1:9" x14ac:dyDescent="0.2">
      <c r="A3542">
        <v>16536842</v>
      </c>
      <c r="B3542">
        <v>5</v>
      </c>
      <c r="C3542">
        <v>1713</v>
      </c>
      <c r="D3542">
        <v>70970</v>
      </c>
      <c r="E3542">
        <v>25</v>
      </c>
      <c r="F3542" t="s">
        <v>57</v>
      </c>
      <c r="G3542" t="s">
        <v>170</v>
      </c>
      <c r="H3542" t="s">
        <v>69</v>
      </c>
      <c r="I3542">
        <v>10</v>
      </c>
    </row>
    <row r="3543" spans="1:9" x14ac:dyDescent="0.2">
      <c r="A3543">
        <v>16536842</v>
      </c>
      <c r="B3543">
        <v>6</v>
      </c>
      <c r="C3543">
        <v>1630</v>
      </c>
      <c r="D3543">
        <v>70170</v>
      </c>
      <c r="E3543">
        <v>24</v>
      </c>
      <c r="F3543" t="s">
        <v>128</v>
      </c>
      <c r="G3543" t="s">
        <v>398</v>
      </c>
      <c r="H3543" t="s">
        <v>127</v>
      </c>
      <c r="I3543" t="s">
        <v>448</v>
      </c>
    </row>
    <row r="3544" spans="1:9" x14ac:dyDescent="0.2">
      <c r="A3544">
        <v>16536842</v>
      </c>
      <c r="B3544">
        <v>7</v>
      </c>
      <c r="C3544">
        <v>1900</v>
      </c>
      <c r="D3544">
        <v>0</v>
      </c>
      <c r="E3544">
        <v>26</v>
      </c>
      <c r="F3544" t="s">
        <v>32</v>
      </c>
      <c r="G3544" t="s">
        <v>399</v>
      </c>
      <c r="H3544" t="s">
        <v>31</v>
      </c>
      <c r="I3544">
        <v>5</v>
      </c>
    </row>
    <row r="3545" spans="1:9" x14ac:dyDescent="0.2">
      <c r="A3545">
        <v>16536842</v>
      </c>
      <c r="B3545">
        <v>8</v>
      </c>
      <c r="C3545">
        <v>1387</v>
      </c>
      <c r="D3545">
        <v>0</v>
      </c>
      <c r="E3545">
        <v>26</v>
      </c>
      <c r="F3545" t="s">
        <v>21</v>
      </c>
      <c r="G3545" t="s">
        <v>102</v>
      </c>
      <c r="H3545" t="s">
        <v>20</v>
      </c>
      <c r="I3545">
        <v>8</v>
      </c>
    </row>
    <row r="3546" spans="1:9" x14ac:dyDescent="0.2">
      <c r="A3546">
        <v>16553738</v>
      </c>
      <c r="B3546">
        <v>1</v>
      </c>
      <c r="C3546">
        <v>1183</v>
      </c>
      <c r="D3546">
        <v>71250</v>
      </c>
      <c r="E3546">
        <v>25</v>
      </c>
      <c r="F3546" t="s">
        <v>17</v>
      </c>
      <c r="G3546" t="s">
        <v>171</v>
      </c>
      <c r="H3546" t="s">
        <v>16</v>
      </c>
      <c r="I3546" t="s">
        <v>448</v>
      </c>
    </row>
    <row r="3547" spans="1:9" x14ac:dyDescent="0.2">
      <c r="A3547">
        <v>16553738</v>
      </c>
      <c r="B3547">
        <v>2</v>
      </c>
      <c r="C3547">
        <v>1386</v>
      </c>
      <c r="D3547">
        <v>71145</v>
      </c>
      <c r="E3547">
        <v>25</v>
      </c>
      <c r="F3547" t="s">
        <v>21</v>
      </c>
      <c r="G3547" t="s">
        <v>170</v>
      </c>
      <c r="H3547" t="s">
        <v>20</v>
      </c>
      <c r="I3547">
        <v>8</v>
      </c>
    </row>
    <row r="3548" spans="1:9" x14ac:dyDescent="0.2">
      <c r="A3548">
        <v>16553738</v>
      </c>
      <c r="B3548">
        <v>3</v>
      </c>
      <c r="C3548">
        <v>1691</v>
      </c>
      <c r="D3548">
        <v>70000</v>
      </c>
      <c r="E3548">
        <v>25</v>
      </c>
      <c r="F3548" t="s">
        <v>128</v>
      </c>
      <c r="G3548" t="s">
        <v>170</v>
      </c>
      <c r="H3548" t="s">
        <v>127</v>
      </c>
      <c r="I3548" t="s">
        <v>448</v>
      </c>
    </row>
    <row r="3549" spans="1:9" x14ac:dyDescent="0.2">
      <c r="A3549">
        <v>16553738</v>
      </c>
      <c r="B3549">
        <v>4</v>
      </c>
      <c r="C3549">
        <v>1713</v>
      </c>
      <c r="D3549">
        <v>70905</v>
      </c>
      <c r="E3549">
        <v>25</v>
      </c>
      <c r="F3549" t="s">
        <v>57</v>
      </c>
      <c r="G3549" t="s">
        <v>170</v>
      </c>
      <c r="H3549" t="s">
        <v>69</v>
      </c>
      <c r="I3549">
        <v>10</v>
      </c>
    </row>
    <row r="3550" spans="1:9" x14ac:dyDescent="0.2">
      <c r="A3550">
        <v>16553738</v>
      </c>
      <c r="B3550">
        <v>5</v>
      </c>
      <c r="C3550">
        <v>3026</v>
      </c>
      <c r="D3550">
        <v>71780</v>
      </c>
      <c r="E3550">
        <v>25</v>
      </c>
      <c r="F3550" t="s">
        <v>44</v>
      </c>
      <c r="G3550" t="s">
        <v>170</v>
      </c>
      <c r="H3550" t="s">
        <v>50</v>
      </c>
      <c r="I3550">
        <v>9</v>
      </c>
    </row>
    <row r="3551" spans="1:9" x14ac:dyDescent="0.2">
      <c r="A3551">
        <v>16553738</v>
      </c>
      <c r="B3551">
        <v>6</v>
      </c>
      <c r="C3551">
        <v>1939</v>
      </c>
      <c r="D3551">
        <v>71165</v>
      </c>
      <c r="E3551">
        <v>25</v>
      </c>
      <c r="F3551" t="s">
        <v>32</v>
      </c>
      <c r="G3551" t="s">
        <v>170</v>
      </c>
      <c r="H3551" t="s">
        <v>239</v>
      </c>
      <c r="I3551">
        <v>5</v>
      </c>
    </row>
    <row r="3552" spans="1:9" x14ac:dyDescent="0.2">
      <c r="A3552">
        <v>16567910</v>
      </c>
      <c r="B3552">
        <v>1</v>
      </c>
      <c r="C3552">
        <v>3242</v>
      </c>
      <c r="D3552">
        <v>52870</v>
      </c>
      <c r="E3552">
        <v>25</v>
      </c>
      <c r="F3552" t="s">
        <v>47</v>
      </c>
      <c r="G3552" t="s">
        <v>90</v>
      </c>
      <c r="H3552" t="s">
        <v>46</v>
      </c>
      <c r="I3552">
        <v>10</v>
      </c>
    </row>
    <row r="3553" spans="1:9" x14ac:dyDescent="0.2">
      <c r="A3553">
        <v>16567910</v>
      </c>
      <c r="B3553">
        <v>2</v>
      </c>
      <c r="C3553">
        <v>3243</v>
      </c>
      <c r="D3553">
        <v>52740</v>
      </c>
      <c r="E3553">
        <v>25</v>
      </c>
      <c r="F3553" t="s">
        <v>47</v>
      </c>
      <c r="G3553" t="s">
        <v>75</v>
      </c>
      <c r="H3553" t="s">
        <v>46</v>
      </c>
      <c r="I3553">
        <v>10</v>
      </c>
    </row>
    <row r="3554" spans="1:9" x14ac:dyDescent="0.2">
      <c r="A3554">
        <v>16567910</v>
      </c>
      <c r="B3554">
        <v>3</v>
      </c>
      <c r="C3554">
        <v>3234</v>
      </c>
      <c r="D3554">
        <v>52760</v>
      </c>
      <c r="E3554">
        <v>25</v>
      </c>
      <c r="F3554" t="s">
        <v>47</v>
      </c>
      <c r="G3554" t="s">
        <v>76</v>
      </c>
      <c r="H3554" t="s">
        <v>46</v>
      </c>
      <c r="I3554">
        <v>10</v>
      </c>
    </row>
    <row r="3555" spans="1:9" x14ac:dyDescent="0.2">
      <c r="A3555">
        <v>16567910</v>
      </c>
      <c r="B3555">
        <v>4</v>
      </c>
      <c r="C3555">
        <v>3296</v>
      </c>
      <c r="D3555">
        <v>52910</v>
      </c>
      <c r="E3555">
        <v>24</v>
      </c>
      <c r="F3555" t="s">
        <v>47</v>
      </c>
      <c r="G3555" t="s">
        <v>100</v>
      </c>
      <c r="H3555" t="s">
        <v>46</v>
      </c>
      <c r="I3555">
        <v>10</v>
      </c>
    </row>
    <row r="3556" spans="1:9" x14ac:dyDescent="0.2">
      <c r="A3556">
        <v>16582019</v>
      </c>
      <c r="B3556">
        <v>1</v>
      </c>
      <c r="C3556">
        <v>1775</v>
      </c>
      <c r="D3556">
        <v>54800</v>
      </c>
      <c r="E3556">
        <v>24</v>
      </c>
      <c r="F3556" t="s">
        <v>57</v>
      </c>
      <c r="G3556" t="s">
        <v>94</v>
      </c>
      <c r="H3556" t="s">
        <v>69</v>
      </c>
      <c r="I3556">
        <v>10</v>
      </c>
    </row>
    <row r="3557" spans="1:9" x14ac:dyDescent="0.2">
      <c r="A3557">
        <v>16582019</v>
      </c>
      <c r="B3557">
        <v>2</v>
      </c>
      <c r="C3557">
        <v>1714</v>
      </c>
      <c r="D3557">
        <v>0</v>
      </c>
      <c r="E3557">
        <v>26</v>
      </c>
      <c r="F3557" t="s">
        <v>57</v>
      </c>
      <c r="G3557" t="s">
        <v>95</v>
      </c>
      <c r="H3557" t="s">
        <v>69</v>
      </c>
      <c r="I3557">
        <v>10</v>
      </c>
    </row>
    <row r="3558" spans="1:9" x14ac:dyDescent="0.2">
      <c r="A3558">
        <v>16582019</v>
      </c>
      <c r="B3558">
        <v>3</v>
      </c>
      <c r="C3558">
        <v>1701</v>
      </c>
      <c r="D3558">
        <v>0</v>
      </c>
      <c r="E3558">
        <v>26</v>
      </c>
      <c r="F3558" t="s">
        <v>57</v>
      </c>
      <c r="G3558" t="s">
        <v>96</v>
      </c>
      <c r="H3558" t="s">
        <v>69</v>
      </c>
      <c r="I3558">
        <v>10</v>
      </c>
    </row>
    <row r="3559" spans="1:9" x14ac:dyDescent="0.2">
      <c r="A3559">
        <v>16582019</v>
      </c>
      <c r="B3559">
        <v>4</v>
      </c>
      <c r="C3559">
        <v>1700</v>
      </c>
      <c r="D3559">
        <v>0</v>
      </c>
      <c r="E3559">
        <v>26</v>
      </c>
      <c r="F3559" t="s">
        <v>57</v>
      </c>
      <c r="G3559" t="s">
        <v>58</v>
      </c>
      <c r="H3559" t="s">
        <v>69</v>
      </c>
      <c r="I3559">
        <v>10</v>
      </c>
    </row>
    <row r="3560" spans="1:9" x14ac:dyDescent="0.2">
      <c r="A3560">
        <v>16611997</v>
      </c>
      <c r="B3560">
        <v>1</v>
      </c>
      <c r="C3560">
        <v>3242</v>
      </c>
      <c r="D3560">
        <v>0</v>
      </c>
      <c r="E3560">
        <v>36</v>
      </c>
      <c r="F3560" t="s">
        <v>47</v>
      </c>
      <c r="G3560" t="s">
        <v>90</v>
      </c>
      <c r="H3560" t="s">
        <v>46</v>
      </c>
      <c r="I3560">
        <v>10</v>
      </c>
    </row>
    <row r="3561" spans="1:9" x14ac:dyDescent="0.2">
      <c r="A3561">
        <v>16640673</v>
      </c>
      <c r="B3561">
        <v>1</v>
      </c>
      <c r="C3561">
        <v>1734</v>
      </c>
      <c r="D3561">
        <v>67045</v>
      </c>
      <c r="E3561">
        <v>24</v>
      </c>
      <c r="F3561" t="s">
        <v>57</v>
      </c>
      <c r="G3561" t="s">
        <v>81</v>
      </c>
      <c r="H3561" t="s">
        <v>69</v>
      </c>
      <c r="I3561">
        <v>10</v>
      </c>
    </row>
    <row r="3562" spans="1:9" x14ac:dyDescent="0.2">
      <c r="A3562">
        <v>16640673</v>
      </c>
      <c r="B3562">
        <v>2</v>
      </c>
      <c r="C3562">
        <v>1728</v>
      </c>
      <c r="D3562">
        <v>0</v>
      </c>
      <c r="E3562">
        <v>26</v>
      </c>
      <c r="F3562" t="s">
        <v>57</v>
      </c>
      <c r="G3562" t="s">
        <v>103</v>
      </c>
      <c r="H3562" t="s">
        <v>69</v>
      </c>
      <c r="I3562">
        <v>10</v>
      </c>
    </row>
    <row r="3563" spans="1:9" x14ac:dyDescent="0.2">
      <c r="A3563">
        <v>16640673</v>
      </c>
      <c r="B3563">
        <v>3</v>
      </c>
      <c r="C3563">
        <v>1789</v>
      </c>
      <c r="D3563">
        <v>0</v>
      </c>
      <c r="E3563">
        <v>26</v>
      </c>
      <c r="F3563" t="s">
        <v>57</v>
      </c>
      <c r="G3563" t="s">
        <v>122</v>
      </c>
      <c r="H3563" t="s">
        <v>69</v>
      </c>
      <c r="I3563">
        <v>10</v>
      </c>
    </row>
    <row r="3564" spans="1:9" x14ac:dyDescent="0.2">
      <c r="A3564">
        <v>16640673</v>
      </c>
      <c r="B3564">
        <v>4</v>
      </c>
      <c r="C3564">
        <v>1714</v>
      </c>
      <c r="D3564">
        <v>0</v>
      </c>
      <c r="E3564">
        <v>26</v>
      </c>
      <c r="F3564" t="s">
        <v>57</v>
      </c>
      <c r="G3564" t="s">
        <v>95</v>
      </c>
      <c r="H3564" t="s">
        <v>69</v>
      </c>
      <c r="I3564">
        <v>10</v>
      </c>
    </row>
    <row r="3565" spans="1:9" x14ac:dyDescent="0.2">
      <c r="A3565">
        <v>16640673</v>
      </c>
      <c r="B3565">
        <v>5</v>
      </c>
      <c r="C3565">
        <v>2261</v>
      </c>
      <c r="D3565">
        <v>0</v>
      </c>
      <c r="E3565">
        <v>26</v>
      </c>
      <c r="F3565" t="s">
        <v>177</v>
      </c>
      <c r="G3565" t="s">
        <v>428</v>
      </c>
      <c r="H3565" t="s">
        <v>371</v>
      </c>
      <c r="I3565">
        <v>2</v>
      </c>
    </row>
    <row r="3566" spans="1:9" x14ac:dyDescent="0.2">
      <c r="A3566">
        <v>16640673</v>
      </c>
      <c r="B3566">
        <v>6</v>
      </c>
      <c r="C3566">
        <v>3324</v>
      </c>
      <c r="D3566">
        <v>0</v>
      </c>
      <c r="E3566">
        <v>26</v>
      </c>
      <c r="F3566" t="s">
        <v>207</v>
      </c>
      <c r="G3566" t="s">
        <v>104</v>
      </c>
      <c r="H3566" t="s">
        <v>206</v>
      </c>
      <c r="I3566">
        <v>12</v>
      </c>
    </row>
    <row r="3567" spans="1:9" x14ac:dyDescent="0.2">
      <c r="A3567">
        <v>16640673</v>
      </c>
      <c r="B3567">
        <v>7</v>
      </c>
      <c r="C3567">
        <v>3269</v>
      </c>
      <c r="D3567">
        <v>0</v>
      </c>
      <c r="E3567">
        <v>26</v>
      </c>
      <c r="F3567" t="s">
        <v>47</v>
      </c>
      <c r="G3567" t="s">
        <v>180</v>
      </c>
      <c r="H3567" t="s">
        <v>46</v>
      </c>
      <c r="I3567">
        <v>10</v>
      </c>
    </row>
    <row r="3568" spans="1:9" x14ac:dyDescent="0.2">
      <c r="A3568">
        <v>16640673</v>
      </c>
      <c r="B3568">
        <v>8</v>
      </c>
      <c r="C3568">
        <v>3226</v>
      </c>
      <c r="D3568">
        <v>0</v>
      </c>
      <c r="E3568">
        <v>26</v>
      </c>
      <c r="F3568" t="s">
        <v>47</v>
      </c>
      <c r="G3568" t="s">
        <v>96</v>
      </c>
      <c r="H3568" t="s">
        <v>46</v>
      </c>
      <c r="I3568">
        <v>10</v>
      </c>
    </row>
    <row r="3569" spans="1:9" x14ac:dyDescent="0.2">
      <c r="A3569">
        <v>16654238</v>
      </c>
      <c r="B3569">
        <v>1</v>
      </c>
      <c r="C3569">
        <v>1789</v>
      </c>
      <c r="D3569">
        <v>56460</v>
      </c>
      <c r="E3569">
        <v>25</v>
      </c>
      <c r="F3569" t="s">
        <v>57</v>
      </c>
      <c r="G3569" t="s">
        <v>122</v>
      </c>
      <c r="H3569" t="s">
        <v>69</v>
      </c>
      <c r="I3569">
        <v>10</v>
      </c>
    </row>
    <row r="3570" spans="1:9" x14ac:dyDescent="0.2">
      <c r="A3570">
        <v>16654238</v>
      </c>
      <c r="B3570">
        <v>2</v>
      </c>
      <c r="C3570">
        <v>1711</v>
      </c>
      <c r="D3570">
        <v>56170</v>
      </c>
      <c r="E3570">
        <v>25</v>
      </c>
      <c r="F3570" t="s">
        <v>57</v>
      </c>
      <c r="G3570" t="s">
        <v>201</v>
      </c>
      <c r="H3570" t="s">
        <v>69</v>
      </c>
      <c r="I3570">
        <v>10</v>
      </c>
    </row>
    <row r="3571" spans="1:9" x14ac:dyDescent="0.2">
      <c r="A3571">
        <v>16755206</v>
      </c>
      <c r="B3571">
        <v>1</v>
      </c>
      <c r="C3571">
        <v>1203</v>
      </c>
      <c r="D3571">
        <v>74730</v>
      </c>
      <c r="E3571">
        <v>24</v>
      </c>
      <c r="F3571" t="s">
        <v>19</v>
      </c>
      <c r="G3571" t="s">
        <v>248</v>
      </c>
      <c r="H3571" t="s">
        <v>16</v>
      </c>
      <c r="I3571" t="s">
        <v>448</v>
      </c>
    </row>
    <row r="3572" spans="1:9" x14ac:dyDescent="0.2">
      <c r="A3572">
        <v>16755206</v>
      </c>
      <c r="B3572">
        <v>2</v>
      </c>
      <c r="C3572">
        <v>1239</v>
      </c>
      <c r="D3572">
        <v>0</v>
      </c>
      <c r="E3572">
        <v>26</v>
      </c>
      <c r="F3572" t="s">
        <v>19</v>
      </c>
      <c r="G3572" t="s">
        <v>160</v>
      </c>
      <c r="H3572" t="s">
        <v>16</v>
      </c>
      <c r="I3572" t="s">
        <v>448</v>
      </c>
    </row>
    <row r="3573" spans="1:9" x14ac:dyDescent="0.2">
      <c r="A3573">
        <v>16755206</v>
      </c>
      <c r="B3573">
        <v>3</v>
      </c>
      <c r="C3573">
        <v>1213</v>
      </c>
      <c r="D3573">
        <v>0</v>
      </c>
      <c r="E3573">
        <v>26</v>
      </c>
      <c r="F3573" t="s">
        <v>19</v>
      </c>
      <c r="G3573" t="s">
        <v>155</v>
      </c>
      <c r="H3573" t="s">
        <v>16</v>
      </c>
      <c r="I3573" t="s">
        <v>448</v>
      </c>
    </row>
    <row r="3574" spans="1:9" x14ac:dyDescent="0.2">
      <c r="A3574">
        <v>16756345</v>
      </c>
      <c r="B3574">
        <v>1</v>
      </c>
      <c r="C3574">
        <v>1704</v>
      </c>
      <c r="D3574">
        <v>57955</v>
      </c>
      <c r="E3574">
        <v>25</v>
      </c>
      <c r="F3574" t="s">
        <v>57</v>
      </c>
      <c r="G3574" t="s">
        <v>82</v>
      </c>
      <c r="H3574" t="s">
        <v>79</v>
      </c>
      <c r="I3574">
        <v>10</v>
      </c>
    </row>
    <row r="3575" spans="1:9" x14ac:dyDescent="0.2">
      <c r="A3575">
        <v>16756345</v>
      </c>
      <c r="B3575">
        <v>2</v>
      </c>
      <c r="C3575">
        <v>1737</v>
      </c>
      <c r="D3575">
        <v>57955</v>
      </c>
      <c r="E3575">
        <v>24</v>
      </c>
      <c r="F3575" t="s">
        <v>57</v>
      </c>
      <c r="G3575" t="s">
        <v>54</v>
      </c>
      <c r="H3575" t="s">
        <v>79</v>
      </c>
      <c r="I3575">
        <v>10</v>
      </c>
    </row>
    <row r="3576" spans="1:9" x14ac:dyDescent="0.2">
      <c r="A3576">
        <v>16756345</v>
      </c>
      <c r="B3576">
        <v>3</v>
      </c>
      <c r="C3576">
        <v>1700</v>
      </c>
      <c r="D3576">
        <v>0</v>
      </c>
      <c r="E3576">
        <v>26</v>
      </c>
      <c r="F3576" t="s">
        <v>57</v>
      </c>
      <c r="G3576" t="s">
        <v>58</v>
      </c>
      <c r="H3576" t="s">
        <v>69</v>
      </c>
      <c r="I3576">
        <v>10</v>
      </c>
    </row>
    <row r="3577" spans="1:9" x14ac:dyDescent="0.2">
      <c r="A3577">
        <v>16756345</v>
      </c>
      <c r="B3577">
        <v>4</v>
      </c>
      <c r="C3577">
        <v>1733</v>
      </c>
      <c r="D3577">
        <v>0</v>
      </c>
      <c r="E3577">
        <v>26</v>
      </c>
      <c r="F3577" t="s">
        <v>57</v>
      </c>
      <c r="G3577" t="s">
        <v>18</v>
      </c>
      <c r="H3577" t="s">
        <v>69</v>
      </c>
      <c r="I3577">
        <v>10</v>
      </c>
    </row>
    <row r="3578" spans="1:9" x14ac:dyDescent="0.2">
      <c r="A3578">
        <v>16756345</v>
      </c>
      <c r="B3578">
        <v>5</v>
      </c>
      <c r="C3578">
        <v>1774</v>
      </c>
      <c r="D3578">
        <v>0</v>
      </c>
      <c r="E3578">
        <v>26</v>
      </c>
      <c r="F3578" t="s">
        <v>57</v>
      </c>
      <c r="G3578" t="s">
        <v>296</v>
      </c>
      <c r="H3578" t="s">
        <v>69</v>
      </c>
      <c r="I3578">
        <v>10</v>
      </c>
    </row>
    <row r="3579" spans="1:9" x14ac:dyDescent="0.2">
      <c r="A3579">
        <v>16756852</v>
      </c>
      <c r="B3579">
        <v>1</v>
      </c>
      <c r="C3579">
        <v>1654</v>
      </c>
      <c r="D3579">
        <v>61205</v>
      </c>
      <c r="E3579">
        <v>25</v>
      </c>
      <c r="F3579" t="s">
        <v>128</v>
      </c>
      <c r="G3579" t="s">
        <v>227</v>
      </c>
      <c r="H3579" t="s">
        <v>127</v>
      </c>
      <c r="I3579" t="s">
        <v>448</v>
      </c>
    </row>
    <row r="3580" spans="1:9" x14ac:dyDescent="0.2">
      <c r="A3580">
        <v>16756852</v>
      </c>
      <c r="B3580">
        <v>2</v>
      </c>
      <c r="C3580">
        <v>1358</v>
      </c>
      <c r="D3580">
        <v>61065</v>
      </c>
      <c r="E3580">
        <v>24</v>
      </c>
      <c r="F3580" t="s">
        <v>21</v>
      </c>
      <c r="G3580" t="s">
        <v>210</v>
      </c>
      <c r="H3580" t="s">
        <v>20</v>
      </c>
      <c r="I3580">
        <v>8</v>
      </c>
    </row>
    <row r="3581" spans="1:9" x14ac:dyDescent="0.2">
      <c r="A3581">
        <v>16756852</v>
      </c>
      <c r="B3581">
        <v>3</v>
      </c>
      <c r="C3581">
        <v>2629</v>
      </c>
      <c r="D3581">
        <v>0</v>
      </c>
      <c r="E3581">
        <v>26</v>
      </c>
      <c r="F3581" t="s">
        <v>71</v>
      </c>
      <c r="G3581" t="s">
        <v>280</v>
      </c>
      <c r="H3581" t="s">
        <v>281</v>
      </c>
      <c r="I3581">
        <v>5</v>
      </c>
    </row>
    <row r="3582" spans="1:9" x14ac:dyDescent="0.2">
      <c r="A3582">
        <v>16756852</v>
      </c>
      <c r="B3582">
        <v>4</v>
      </c>
      <c r="C3582">
        <v>1324</v>
      </c>
      <c r="D3582">
        <v>0</v>
      </c>
      <c r="E3582">
        <v>26</v>
      </c>
      <c r="F3582" t="s">
        <v>21</v>
      </c>
      <c r="G3582" t="s">
        <v>63</v>
      </c>
      <c r="H3582" t="s">
        <v>20</v>
      </c>
      <c r="I3582">
        <v>8</v>
      </c>
    </row>
    <row r="3583" spans="1:9" x14ac:dyDescent="0.2">
      <c r="A3583">
        <v>16756852</v>
      </c>
      <c r="B3583">
        <v>5</v>
      </c>
      <c r="C3583">
        <v>2627</v>
      </c>
      <c r="D3583">
        <v>0</v>
      </c>
      <c r="E3583">
        <v>26</v>
      </c>
      <c r="F3583" t="s">
        <v>71</v>
      </c>
      <c r="G3583" t="s">
        <v>350</v>
      </c>
      <c r="H3583" t="s">
        <v>281</v>
      </c>
      <c r="I3583">
        <v>5</v>
      </c>
    </row>
    <row r="3584" spans="1:9" x14ac:dyDescent="0.2">
      <c r="A3584">
        <v>16759662</v>
      </c>
      <c r="B3584">
        <v>1</v>
      </c>
      <c r="C3584">
        <v>1195</v>
      </c>
      <c r="D3584">
        <v>65290</v>
      </c>
      <c r="E3584">
        <v>25</v>
      </c>
      <c r="F3584" t="s">
        <v>17</v>
      </c>
      <c r="G3584" t="s">
        <v>353</v>
      </c>
      <c r="H3584" t="s">
        <v>16</v>
      </c>
      <c r="I3584" t="s">
        <v>448</v>
      </c>
    </row>
    <row r="3585" spans="1:9" x14ac:dyDescent="0.2">
      <c r="A3585">
        <v>16759662</v>
      </c>
      <c r="B3585">
        <v>2</v>
      </c>
      <c r="C3585">
        <v>1950</v>
      </c>
      <c r="D3585">
        <v>65670</v>
      </c>
      <c r="E3585">
        <v>25</v>
      </c>
      <c r="F3585" t="s">
        <v>32</v>
      </c>
      <c r="G3585" t="s">
        <v>122</v>
      </c>
      <c r="H3585" t="s">
        <v>31</v>
      </c>
      <c r="I3585">
        <v>5</v>
      </c>
    </row>
    <row r="3586" spans="1:9" x14ac:dyDescent="0.2">
      <c r="A3586">
        <v>16759662</v>
      </c>
      <c r="B3586">
        <v>3</v>
      </c>
      <c r="C3586">
        <v>1178</v>
      </c>
      <c r="D3586">
        <v>66090</v>
      </c>
      <c r="E3586">
        <v>25</v>
      </c>
      <c r="F3586" t="s">
        <v>17</v>
      </c>
      <c r="G3586" t="s">
        <v>238</v>
      </c>
      <c r="H3586" t="s">
        <v>16</v>
      </c>
      <c r="I3586" t="s">
        <v>448</v>
      </c>
    </row>
    <row r="3587" spans="1:9" x14ac:dyDescent="0.2">
      <c r="A3587">
        <v>16759662</v>
      </c>
      <c r="B3587">
        <v>4</v>
      </c>
      <c r="C3587">
        <v>1630</v>
      </c>
      <c r="D3587">
        <v>66090</v>
      </c>
      <c r="E3587">
        <v>24</v>
      </c>
      <c r="F3587" t="s">
        <v>128</v>
      </c>
      <c r="G3587" t="s">
        <v>398</v>
      </c>
      <c r="H3587" t="s">
        <v>127</v>
      </c>
      <c r="I3587" t="s">
        <v>448</v>
      </c>
    </row>
    <row r="3588" spans="1:9" x14ac:dyDescent="0.2">
      <c r="A3588">
        <v>16759662</v>
      </c>
      <c r="B3588">
        <v>5</v>
      </c>
      <c r="C3588">
        <v>1670</v>
      </c>
      <c r="D3588">
        <v>0</v>
      </c>
      <c r="E3588">
        <v>26</v>
      </c>
      <c r="F3588" t="s">
        <v>128</v>
      </c>
      <c r="G3588" t="s">
        <v>18</v>
      </c>
      <c r="H3588" t="s">
        <v>127</v>
      </c>
      <c r="I3588" t="s">
        <v>448</v>
      </c>
    </row>
    <row r="3589" spans="1:9" x14ac:dyDescent="0.2">
      <c r="A3589">
        <v>16759662</v>
      </c>
      <c r="B3589">
        <v>6</v>
      </c>
      <c r="C3589">
        <v>1900</v>
      </c>
      <c r="D3589">
        <v>0</v>
      </c>
      <c r="E3589">
        <v>26</v>
      </c>
      <c r="F3589" t="s">
        <v>32</v>
      </c>
      <c r="G3589" t="s">
        <v>399</v>
      </c>
      <c r="H3589" t="s">
        <v>31</v>
      </c>
      <c r="I3589">
        <v>5</v>
      </c>
    </row>
    <row r="3590" spans="1:9" x14ac:dyDescent="0.2">
      <c r="A3590">
        <v>16760001</v>
      </c>
      <c r="B3590">
        <v>1</v>
      </c>
      <c r="C3590">
        <v>3248</v>
      </c>
      <c r="D3590">
        <v>45765</v>
      </c>
      <c r="E3590">
        <v>25</v>
      </c>
      <c r="F3590" t="s">
        <v>47</v>
      </c>
      <c r="G3590" t="s">
        <v>92</v>
      </c>
      <c r="H3590" t="s">
        <v>46</v>
      </c>
      <c r="I3590">
        <v>10</v>
      </c>
    </row>
    <row r="3591" spans="1:9" x14ac:dyDescent="0.2">
      <c r="A3591">
        <v>16760001</v>
      </c>
      <c r="B3591">
        <v>2</v>
      </c>
      <c r="C3591">
        <v>3251</v>
      </c>
      <c r="D3591">
        <v>45830</v>
      </c>
      <c r="E3591">
        <v>25</v>
      </c>
      <c r="F3591" t="s">
        <v>47</v>
      </c>
      <c r="G3591" t="s">
        <v>48</v>
      </c>
      <c r="H3591" t="s">
        <v>46</v>
      </c>
      <c r="I3591">
        <v>10</v>
      </c>
    </row>
    <row r="3592" spans="1:9" x14ac:dyDescent="0.2">
      <c r="A3592">
        <v>16760001</v>
      </c>
      <c r="B3592">
        <v>3</v>
      </c>
      <c r="C3592">
        <v>3261</v>
      </c>
      <c r="D3592">
        <v>46110</v>
      </c>
      <c r="E3592">
        <v>25</v>
      </c>
      <c r="F3592" t="s">
        <v>47</v>
      </c>
      <c r="G3592" t="s">
        <v>93</v>
      </c>
      <c r="H3592" t="s">
        <v>46</v>
      </c>
      <c r="I3592">
        <v>10</v>
      </c>
    </row>
    <row r="3593" spans="1:9" x14ac:dyDescent="0.2">
      <c r="A3593">
        <v>16760001</v>
      </c>
      <c r="B3593">
        <v>4</v>
      </c>
      <c r="C3593">
        <v>3242</v>
      </c>
      <c r="D3593">
        <v>46060</v>
      </c>
      <c r="E3593">
        <v>25</v>
      </c>
      <c r="F3593" t="s">
        <v>47</v>
      </c>
      <c r="G3593" t="s">
        <v>90</v>
      </c>
      <c r="H3593" t="s">
        <v>46</v>
      </c>
      <c r="I3593">
        <v>10</v>
      </c>
    </row>
    <row r="3594" spans="1:9" x14ac:dyDescent="0.2">
      <c r="A3594">
        <v>16814449</v>
      </c>
      <c r="B3594">
        <v>1</v>
      </c>
      <c r="C3594">
        <v>3211</v>
      </c>
      <c r="D3594">
        <v>48965</v>
      </c>
      <c r="E3594">
        <v>24</v>
      </c>
      <c r="F3594" t="s">
        <v>47</v>
      </c>
      <c r="G3594" t="s">
        <v>99</v>
      </c>
      <c r="H3594" t="s">
        <v>46</v>
      </c>
      <c r="I3594">
        <v>10</v>
      </c>
    </row>
    <row r="3595" spans="1:9" x14ac:dyDescent="0.2">
      <c r="A3595">
        <v>16814449</v>
      </c>
      <c r="B3595">
        <v>2</v>
      </c>
      <c r="C3595">
        <v>3212</v>
      </c>
      <c r="D3595">
        <v>0</v>
      </c>
      <c r="E3595">
        <v>26</v>
      </c>
      <c r="F3595" t="s">
        <v>47</v>
      </c>
      <c r="G3595" t="s">
        <v>84</v>
      </c>
      <c r="H3595" t="s">
        <v>46</v>
      </c>
      <c r="I3595">
        <v>10</v>
      </c>
    </row>
    <row r="3596" spans="1:9" x14ac:dyDescent="0.2">
      <c r="A3596">
        <v>16814449</v>
      </c>
      <c r="B3596">
        <v>3</v>
      </c>
      <c r="C3596">
        <v>3200</v>
      </c>
      <c r="D3596">
        <v>0</v>
      </c>
      <c r="E3596">
        <v>26</v>
      </c>
      <c r="F3596" t="s">
        <v>47</v>
      </c>
      <c r="G3596" t="s">
        <v>18</v>
      </c>
      <c r="H3596" t="s">
        <v>46</v>
      </c>
      <c r="I3596">
        <v>10</v>
      </c>
    </row>
    <row r="3597" spans="1:9" x14ac:dyDescent="0.2">
      <c r="A3597">
        <v>16814449</v>
      </c>
      <c r="B3597">
        <v>4</v>
      </c>
      <c r="C3597">
        <v>3245</v>
      </c>
      <c r="D3597">
        <v>0</v>
      </c>
      <c r="E3597">
        <v>26</v>
      </c>
      <c r="F3597" t="s">
        <v>47</v>
      </c>
      <c r="G3597" t="s">
        <v>157</v>
      </c>
      <c r="H3597" t="s">
        <v>74</v>
      </c>
      <c r="I3597">
        <v>10</v>
      </c>
    </row>
    <row r="3598" spans="1:9" x14ac:dyDescent="0.2">
      <c r="A3598">
        <v>16814449</v>
      </c>
      <c r="B3598">
        <v>5</v>
      </c>
      <c r="C3598">
        <v>3296</v>
      </c>
      <c r="D3598">
        <v>0</v>
      </c>
      <c r="E3598">
        <v>26</v>
      </c>
      <c r="F3598" t="s">
        <v>47</v>
      </c>
      <c r="G3598" t="s">
        <v>100</v>
      </c>
      <c r="H3598" t="s">
        <v>46</v>
      </c>
      <c r="I3598">
        <v>10</v>
      </c>
    </row>
    <row r="3599" spans="1:9" x14ac:dyDescent="0.2">
      <c r="A3599">
        <v>16824975</v>
      </c>
      <c r="B3599">
        <v>1</v>
      </c>
      <c r="C3599">
        <v>3055</v>
      </c>
      <c r="D3599">
        <v>60500</v>
      </c>
      <c r="E3599">
        <v>24</v>
      </c>
      <c r="F3599" t="s">
        <v>44</v>
      </c>
      <c r="G3599" t="s">
        <v>188</v>
      </c>
      <c r="H3599" t="s">
        <v>52</v>
      </c>
      <c r="I3599">
        <v>9</v>
      </c>
    </row>
    <row r="3600" spans="1:9" x14ac:dyDescent="0.2">
      <c r="A3600">
        <v>16824975</v>
      </c>
      <c r="B3600">
        <v>2</v>
      </c>
      <c r="C3600">
        <v>3234</v>
      </c>
      <c r="D3600">
        <v>0</v>
      </c>
      <c r="E3600">
        <v>26</v>
      </c>
      <c r="F3600" t="s">
        <v>47</v>
      </c>
      <c r="G3600" t="s">
        <v>76</v>
      </c>
      <c r="H3600" t="s">
        <v>46</v>
      </c>
      <c r="I3600">
        <v>10</v>
      </c>
    </row>
    <row r="3601" spans="1:9" x14ac:dyDescent="0.2">
      <c r="A3601">
        <v>16824975</v>
      </c>
      <c r="B3601">
        <v>3</v>
      </c>
      <c r="C3601">
        <v>2650</v>
      </c>
      <c r="D3601">
        <v>0</v>
      </c>
      <c r="E3601">
        <v>26</v>
      </c>
      <c r="F3601" t="s">
        <v>71</v>
      </c>
      <c r="G3601" t="s">
        <v>189</v>
      </c>
      <c r="H3601" t="s">
        <v>24</v>
      </c>
      <c r="I3601">
        <v>5</v>
      </c>
    </row>
    <row r="3602" spans="1:9" x14ac:dyDescent="0.2">
      <c r="A3602">
        <v>16824975</v>
      </c>
      <c r="B3602">
        <v>4</v>
      </c>
      <c r="C3602">
        <v>1436</v>
      </c>
      <c r="D3602">
        <v>0</v>
      </c>
      <c r="E3602">
        <v>26</v>
      </c>
      <c r="F3602" t="s">
        <v>25</v>
      </c>
      <c r="G3602" t="s">
        <v>178</v>
      </c>
      <c r="H3602" t="s">
        <v>24</v>
      </c>
      <c r="I3602">
        <v>5</v>
      </c>
    </row>
    <row r="3603" spans="1:9" x14ac:dyDescent="0.2">
      <c r="A3603">
        <v>16855683</v>
      </c>
      <c r="B3603">
        <v>1</v>
      </c>
      <c r="C3603">
        <v>1776</v>
      </c>
      <c r="D3603">
        <v>57510</v>
      </c>
      <c r="E3603">
        <v>25</v>
      </c>
      <c r="F3603" t="s">
        <v>57</v>
      </c>
      <c r="G3603" t="s">
        <v>124</v>
      </c>
      <c r="H3603" t="s">
        <v>125</v>
      </c>
      <c r="I3603">
        <v>10</v>
      </c>
    </row>
    <row r="3604" spans="1:9" x14ac:dyDescent="0.2">
      <c r="A3604">
        <v>16855683</v>
      </c>
      <c r="B3604">
        <v>2</v>
      </c>
      <c r="C3604">
        <v>1732</v>
      </c>
      <c r="D3604">
        <v>57235</v>
      </c>
      <c r="E3604">
        <v>25</v>
      </c>
      <c r="F3604" t="s">
        <v>57</v>
      </c>
      <c r="G3604" t="s">
        <v>104</v>
      </c>
      <c r="H3604" t="s">
        <v>69</v>
      </c>
      <c r="I3604">
        <v>10</v>
      </c>
    </row>
    <row r="3605" spans="1:9" x14ac:dyDescent="0.2">
      <c r="A3605">
        <v>16855683</v>
      </c>
      <c r="B3605">
        <v>3</v>
      </c>
      <c r="C3605">
        <v>1415</v>
      </c>
      <c r="D3605">
        <v>56305</v>
      </c>
      <c r="E3605">
        <v>25</v>
      </c>
      <c r="F3605" t="s">
        <v>25</v>
      </c>
      <c r="G3605" t="s">
        <v>233</v>
      </c>
      <c r="H3605" t="s">
        <v>24</v>
      </c>
      <c r="I3605">
        <v>5</v>
      </c>
    </row>
    <row r="3606" spans="1:9" x14ac:dyDescent="0.2">
      <c r="A3606">
        <v>16855683</v>
      </c>
      <c r="B3606">
        <v>4</v>
      </c>
      <c r="C3606">
        <v>2694</v>
      </c>
      <c r="D3606">
        <v>56270</v>
      </c>
      <c r="E3606">
        <v>25</v>
      </c>
      <c r="F3606" t="s">
        <v>71</v>
      </c>
      <c r="G3606" t="s">
        <v>419</v>
      </c>
      <c r="H3606" t="s">
        <v>24</v>
      </c>
      <c r="I3606">
        <v>5</v>
      </c>
    </row>
    <row r="3607" spans="1:9" x14ac:dyDescent="0.2">
      <c r="A3607">
        <v>16855683</v>
      </c>
      <c r="B3607">
        <v>5</v>
      </c>
      <c r="C3607">
        <v>3023</v>
      </c>
      <c r="D3607">
        <v>56890</v>
      </c>
      <c r="E3607">
        <v>25</v>
      </c>
      <c r="F3607" t="s">
        <v>44</v>
      </c>
      <c r="G3607" t="s">
        <v>124</v>
      </c>
      <c r="H3607" t="s">
        <v>50</v>
      </c>
      <c r="I3607">
        <v>9</v>
      </c>
    </row>
    <row r="3608" spans="1:9" x14ac:dyDescent="0.2">
      <c r="A3608">
        <v>16855683</v>
      </c>
      <c r="B3608">
        <v>6</v>
      </c>
      <c r="C3608">
        <v>2693</v>
      </c>
      <c r="D3608">
        <v>56270</v>
      </c>
      <c r="E3608">
        <v>25</v>
      </c>
      <c r="F3608" t="s">
        <v>71</v>
      </c>
      <c r="G3608" t="s">
        <v>208</v>
      </c>
      <c r="H3608" t="s">
        <v>24</v>
      </c>
      <c r="I3608">
        <v>5</v>
      </c>
    </row>
    <row r="3609" spans="1:9" x14ac:dyDescent="0.2">
      <c r="A3609">
        <v>16855683</v>
      </c>
      <c r="B3609">
        <v>7</v>
      </c>
      <c r="C3609">
        <v>1416</v>
      </c>
      <c r="D3609">
        <v>0</v>
      </c>
      <c r="E3609">
        <v>16</v>
      </c>
      <c r="F3609" t="s">
        <v>25</v>
      </c>
      <c r="G3609" t="s">
        <v>420</v>
      </c>
      <c r="H3609" t="s">
        <v>24</v>
      </c>
      <c r="I3609">
        <v>5</v>
      </c>
    </row>
    <row r="3610" spans="1:9" x14ac:dyDescent="0.2">
      <c r="A3610">
        <v>16860551</v>
      </c>
      <c r="B3610">
        <v>1</v>
      </c>
      <c r="C3610">
        <v>2533</v>
      </c>
      <c r="D3610">
        <v>52865</v>
      </c>
      <c r="E3610">
        <v>25</v>
      </c>
      <c r="F3610" t="s">
        <v>175</v>
      </c>
      <c r="G3610" t="s">
        <v>102</v>
      </c>
      <c r="H3610" t="s">
        <v>174</v>
      </c>
      <c r="I3610">
        <v>4</v>
      </c>
    </row>
    <row r="3611" spans="1:9" x14ac:dyDescent="0.2">
      <c r="A3611">
        <v>16860551</v>
      </c>
      <c r="B3611">
        <v>2</v>
      </c>
      <c r="C3611">
        <v>2524</v>
      </c>
      <c r="D3611">
        <v>52875</v>
      </c>
      <c r="E3611">
        <v>25</v>
      </c>
      <c r="F3611" t="s">
        <v>175</v>
      </c>
      <c r="G3611" t="s">
        <v>375</v>
      </c>
      <c r="H3611" t="s">
        <v>213</v>
      </c>
      <c r="I3611">
        <v>4</v>
      </c>
    </row>
    <row r="3612" spans="1:9" x14ac:dyDescent="0.2">
      <c r="A3612">
        <v>16860551</v>
      </c>
      <c r="B3612">
        <v>3</v>
      </c>
      <c r="C3612">
        <v>2973</v>
      </c>
      <c r="D3612">
        <v>52310</v>
      </c>
      <c r="E3612">
        <v>25</v>
      </c>
      <c r="F3612" t="s">
        <v>119</v>
      </c>
      <c r="G3612" t="s">
        <v>182</v>
      </c>
      <c r="H3612" t="s">
        <v>136</v>
      </c>
      <c r="I3612">
        <v>8</v>
      </c>
    </row>
    <row r="3613" spans="1:9" x14ac:dyDescent="0.2">
      <c r="A3613">
        <v>16860551</v>
      </c>
      <c r="B3613">
        <v>4</v>
      </c>
      <c r="C3613">
        <v>2660</v>
      </c>
      <c r="D3613">
        <v>51830</v>
      </c>
      <c r="E3613">
        <v>25</v>
      </c>
      <c r="F3613" t="s">
        <v>71</v>
      </c>
      <c r="G3613" t="s">
        <v>376</v>
      </c>
      <c r="H3613" t="s">
        <v>24</v>
      </c>
      <c r="I3613">
        <v>5</v>
      </c>
    </row>
    <row r="3614" spans="1:9" x14ac:dyDescent="0.2">
      <c r="A3614">
        <v>16860551</v>
      </c>
      <c r="B3614">
        <v>5</v>
      </c>
      <c r="C3614">
        <v>2530</v>
      </c>
      <c r="D3614">
        <v>52650</v>
      </c>
      <c r="E3614">
        <v>25</v>
      </c>
      <c r="F3614" t="s">
        <v>175</v>
      </c>
      <c r="G3614" t="s">
        <v>377</v>
      </c>
      <c r="H3614" t="s">
        <v>213</v>
      </c>
      <c r="I3614">
        <v>4</v>
      </c>
    </row>
    <row r="3615" spans="1:9" x14ac:dyDescent="0.2">
      <c r="A3615">
        <v>16860551</v>
      </c>
      <c r="B3615">
        <v>6</v>
      </c>
      <c r="C3615">
        <v>3223</v>
      </c>
      <c r="D3615">
        <v>52285</v>
      </c>
      <c r="E3615">
        <v>24</v>
      </c>
      <c r="F3615" t="s">
        <v>47</v>
      </c>
      <c r="G3615" t="s">
        <v>105</v>
      </c>
      <c r="H3615" t="s">
        <v>46</v>
      </c>
      <c r="I3615">
        <v>10</v>
      </c>
    </row>
    <row r="3616" spans="1:9" x14ac:dyDescent="0.2">
      <c r="A3616">
        <v>16860552</v>
      </c>
      <c r="B3616">
        <v>1</v>
      </c>
      <c r="C3616">
        <v>1713</v>
      </c>
      <c r="D3616">
        <v>64695</v>
      </c>
      <c r="E3616">
        <v>25</v>
      </c>
      <c r="F3616" t="s">
        <v>57</v>
      </c>
      <c r="G3616" t="s">
        <v>170</v>
      </c>
      <c r="H3616" t="s">
        <v>69</v>
      </c>
      <c r="I3616">
        <v>10</v>
      </c>
    </row>
    <row r="3617" spans="1:9" x14ac:dyDescent="0.2">
      <c r="A3617">
        <v>16860552</v>
      </c>
      <c r="B3617">
        <v>2</v>
      </c>
      <c r="C3617">
        <v>1789</v>
      </c>
      <c r="D3617">
        <v>64695</v>
      </c>
      <c r="E3617">
        <v>25</v>
      </c>
      <c r="F3617" t="s">
        <v>57</v>
      </c>
      <c r="G3617" t="s">
        <v>122</v>
      </c>
      <c r="H3617" t="s">
        <v>69</v>
      </c>
      <c r="I3617">
        <v>10</v>
      </c>
    </row>
    <row r="3618" spans="1:9" x14ac:dyDescent="0.2">
      <c r="A3618">
        <v>16860552</v>
      </c>
      <c r="B3618">
        <v>3</v>
      </c>
      <c r="C3618">
        <v>1391</v>
      </c>
      <c r="D3618">
        <v>64760</v>
      </c>
      <c r="E3618">
        <v>25</v>
      </c>
      <c r="F3618" t="s">
        <v>21</v>
      </c>
      <c r="G3618" t="s">
        <v>122</v>
      </c>
      <c r="H3618" t="s">
        <v>20</v>
      </c>
      <c r="I3618">
        <v>8</v>
      </c>
    </row>
    <row r="3619" spans="1:9" x14ac:dyDescent="0.2">
      <c r="A3619">
        <v>16860552</v>
      </c>
      <c r="B3619">
        <v>4</v>
      </c>
      <c r="C3619">
        <v>1705</v>
      </c>
      <c r="D3619">
        <v>64970</v>
      </c>
      <c r="E3619">
        <v>24</v>
      </c>
      <c r="F3619" t="s">
        <v>57</v>
      </c>
      <c r="G3619" t="s">
        <v>102</v>
      </c>
      <c r="H3619" t="s">
        <v>69</v>
      </c>
      <c r="I3619">
        <v>10</v>
      </c>
    </row>
    <row r="3620" spans="1:9" x14ac:dyDescent="0.2">
      <c r="A3620">
        <v>16860552</v>
      </c>
      <c r="B3620">
        <v>5</v>
      </c>
      <c r="C3620">
        <v>1383</v>
      </c>
      <c r="D3620">
        <v>0</v>
      </c>
      <c r="E3620">
        <v>26</v>
      </c>
      <c r="F3620" t="s">
        <v>21</v>
      </c>
      <c r="G3620" t="s">
        <v>124</v>
      </c>
      <c r="H3620" t="s">
        <v>20</v>
      </c>
      <c r="I3620">
        <v>8</v>
      </c>
    </row>
    <row r="3621" spans="1:9" x14ac:dyDescent="0.2">
      <c r="A3621">
        <v>16860552</v>
      </c>
      <c r="B3621">
        <v>6</v>
      </c>
      <c r="C3621">
        <v>1409</v>
      </c>
      <c r="D3621">
        <v>0</v>
      </c>
      <c r="E3621">
        <v>26</v>
      </c>
      <c r="F3621" t="s">
        <v>25</v>
      </c>
      <c r="G3621" t="s">
        <v>248</v>
      </c>
      <c r="H3621" t="s">
        <v>24</v>
      </c>
      <c r="I3621">
        <v>5</v>
      </c>
    </row>
    <row r="3622" spans="1:9" x14ac:dyDescent="0.2">
      <c r="A3622">
        <v>16884793</v>
      </c>
      <c r="B3622">
        <v>1</v>
      </c>
      <c r="C3622">
        <v>1210</v>
      </c>
      <c r="D3622">
        <v>72725</v>
      </c>
      <c r="E3622">
        <v>24</v>
      </c>
      <c r="F3622" t="s">
        <v>19</v>
      </c>
      <c r="G3622" t="s">
        <v>236</v>
      </c>
      <c r="H3622" t="s">
        <v>16</v>
      </c>
      <c r="I3622" t="s">
        <v>448</v>
      </c>
    </row>
    <row r="3623" spans="1:9" x14ac:dyDescent="0.2">
      <c r="A3623">
        <v>16884793</v>
      </c>
      <c r="B3623">
        <v>2</v>
      </c>
      <c r="C3623">
        <v>1130</v>
      </c>
      <c r="D3623">
        <v>0</v>
      </c>
      <c r="E3623">
        <v>26</v>
      </c>
      <c r="F3623" t="s">
        <v>17</v>
      </c>
      <c r="G3623" t="s">
        <v>237</v>
      </c>
      <c r="H3623" t="s">
        <v>16</v>
      </c>
      <c r="I3623" t="s">
        <v>448</v>
      </c>
    </row>
    <row r="3624" spans="1:9" x14ac:dyDescent="0.2">
      <c r="A3624">
        <v>16884793</v>
      </c>
      <c r="B3624">
        <v>3</v>
      </c>
      <c r="C3624">
        <v>1348</v>
      </c>
      <c r="D3624">
        <v>0</v>
      </c>
      <c r="E3624">
        <v>26</v>
      </c>
      <c r="F3624" t="s">
        <v>21</v>
      </c>
      <c r="G3624" t="s">
        <v>164</v>
      </c>
      <c r="H3624" t="s">
        <v>20</v>
      </c>
      <c r="I3624">
        <v>8</v>
      </c>
    </row>
    <row r="3625" spans="1:9" x14ac:dyDescent="0.2">
      <c r="A3625">
        <v>16944233</v>
      </c>
      <c r="B3625">
        <v>1</v>
      </c>
      <c r="C3625">
        <v>3229</v>
      </c>
      <c r="D3625">
        <v>50915</v>
      </c>
      <c r="E3625">
        <v>25</v>
      </c>
      <c r="F3625" t="s">
        <v>47</v>
      </c>
      <c r="G3625" t="s">
        <v>101</v>
      </c>
      <c r="H3625" t="s">
        <v>46</v>
      </c>
      <c r="I3625">
        <v>10</v>
      </c>
    </row>
    <row r="3626" spans="1:9" x14ac:dyDescent="0.2">
      <c r="A3626">
        <v>16944233</v>
      </c>
      <c r="B3626">
        <v>2</v>
      </c>
      <c r="C3626">
        <v>3223</v>
      </c>
      <c r="D3626">
        <v>50915</v>
      </c>
      <c r="E3626">
        <v>24</v>
      </c>
      <c r="F3626" t="s">
        <v>47</v>
      </c>
      <c r="G3626" t="s">
        <v>105</v>
      </c>
      <c r="H3626" t="s">
        <v>46</v>
      </c>
      <c r="I3626">
        <v>10</v>
      </c>
    </row>
    <row r="3627" spans="1:9" x14ac:dyDescent="0.2">
      <c r="A3627">
        <v>16944233</v>
      </c>
      <c r="B3627">
        <v>3</v>
      </c>
      <c r="C3627">
        <v>3225</v>
      </c>
      <c r="D3627">
        <v>0</v>
      </c>
      <c r="E3627">
        <v>26</v>
      </c>
      <c r="F3627" t="s">
        <v>47</v>
      </c>
      <c r="G3627" t="s">
        <v>106</v>
      </c>
      <c r="H3627" t="s">
        <v>46</v>
      </c>
      <c r="I3627">
        <v>10</v>
      </c>
    </row>
    <row r="3628" spans="1:9" x14ac:dyDescent="0.2">
      <c r="A3628">
        <v>16944233</v>
      </c>
      <c r="B3628">
        <v>4</v>
      </c>
      <c r="C3628">
        <v>3226</v>
      </c>
      <c r="D3628">
        <v>0</v>
      </c>
      <c r="E3628">
        <v>26</v>
      </c>
      <c r="F3628" t="s">
        <v>47</v>
      </c>
      <c r="G3628" t="s">
        <v>96</v>
      </c>
      <c r="H3628" t="s">
        <v>46</v>
      </c>
      <c r="I3628">
        <v>10</v>
      </c>
    </row>
    <row r="3629" spans="1:9" x14ac:dyDescent="0.2">
      <c r="A3629">
        <v>16944233</v>
      </c>
      <c r="B3629">
        <v>5</v>
      </c>
      <c r="C3629">
        <v>1776</v>
      </c>
      <c r="D3629">
        <v>0</v>
      </c>
      <c r="E3629">
        <v>26</v>
      </c>
      <c r="F3629" t="s">
        <v>57</v>
      </c>
      <c r="G3629" t="s">
        <v>124</v>
      </c>
      <c r="H3629" t="s">
        <v>125</v>
      </c>
      <c r="I3629">
        <v>10</v>
      </c>
    </row>
    <row r="3630" spans="1:9" x14ac:dyDescent="0.2">
      <c r="A3630">
        <v>16944233</v>
      </c>
      <c r="B3630">
        <v>6</v>
      </c>
      <c r="C3630">
        <v>3269</v>
      </c>
      <c r="D3630">
        <v>0</v>
      </c>
      <c r="E3630">
        <v>26</v>
      </c>
      <c r="F3630" t="s">
        <v>47</v>
      </c>
      <c r="G3630" t="s">
        <v>180</v>
      </c>
      <c r="H3630" t="s">
        <v>46</v>
      </c>
      <c r="I3630">
        <v>10</v>
      </c>
    </row>
    <row r="3631" spans="1:9" x14ac:dyDescent="0.2">
      <c r="A3631">
        <v>16944233</v>
      </c>
      <c r="B3631">
        <v>7</v>
      </c>
      <c r="C3631">
        <v>1710</v>
      </c>
      <c r="D3631">
        <v>0</v>
      </c>
      <c r="E3631">
        <v>26</v>
      </c>
      <c r="F3631" t="s">
        <v>57</v>
      </c>
      <c r="G3631" t="s">
        <v>169</v>
      </c>
      <c r="H3631" t="s">
        <v>69</v>
      </c>
      <c r="I3631">
        <v>10</v>
      </c>
    </row>
    <row r="3632" spans="1:9" x14ac:dyDescent="0.2">
      <c r="A3632">
        <v>16945282</v>
      </c>
      <c r="B3632">
        <v>1</v>
      </c>
      <c r="C3632">
        <v>1608</v>
      </c>
      <c r="D3632">
        <v>63330</v>
      </c>
      <c r="E3632">
        <v>25</v>
      </c>
      <c r="F3632" t="s">
        <v>128</v>
      </c>
      <c r="G3632" t="s">
        <v>357</v>
      </c>
      <c r="H3632" t="s">
        <v>127</v>
      </c>
      <c r="I3632" t="s">
        <v>448</v>
      </c>
    </row>
    <row r="3633" spans="1:9" x14ac:dyDescent="0.2">
      <c r="A3633">
        <v>16945282</v>
      </c>
      <c r="B3633">
        <v>2</v>
      </c>
      <c r="C3633">
        <v>1612</v>
      </c>
      <c r="D3633">
        <v>63330</v>
      </c>
      <c r="E3633">
        <v>24</v>
      </c>
      <c r="F3633" t="s">
        <v>128</v>
      </c>
      <c r="G3633" t="s">
        <v>362</v>
      </c>
      <c r="H3633" t="s">
        <v>127</v>
      </c>
      <c r="I3633" t="s">
        <v>448</v>
      </c>
    </row>
    <row r="3634" spans="1:9" x14ac:dyDescent="0.2">
      <c r="A3634">
        <v>16945282</v>
      </c>
      <c r="B3634">
        <v>3</v>
      </c>
      <c r="C3634">
        <v>1602</v>
      </c>
      <c r="D3634">
        <v>0</v>
      </c>
      <c r="E3634">
        <v>26</v>
      </c>
      <c r="F3634" t="s">
        <v>128</v>
      </c>
      <c r="G3634" t="s">
        <v>361</v>
      </c>
      <c r="H3634" t="s">
        <v>127</v>
      </c>
      <c r="I3634" t="s">
        <v>448</v>
      </c>
    </row>
    <row r="3635" spans="1:9" x14ac:dyDescent="0.2">
      <c r="A3635">
        <v>16945282</v>
      </c>
      <c r="B3635">
        <v>4</v>
      </c>
      <c r="C3635">
        <v>1402</v>
      </c>
      <c r="D3635">
        <v>0</v>
      </c>
      <c r="E3635">
        <v>26</v>
      </c>
      <c r="F3635" t="s">
        <v>25</v>
      </c>
      <c r="G3635" t="s">
        <v>18</v>
      </c>
      <c r="H3635" t="s">
        <v>24</v>
      </c>
      <c r="I3635">
        <v>5</v>
      </c>
    </row>
    <row r="3636" spans="1:9" x14ac:dyDescent="0.2">
      <c r="A3636">
        <v>16945282</v>
      </c>
      <c r="B3636">
        <v>5</v>
      </c>
      <c r="C3636">
        <v>1380</v>
      </c>
      <c r="D3636">
        <v>0</v>
      </c>
      <c r="E3636">
        <v>26</v>
      </c>
      <c r="F3636" t="s">
        <v>21</v>
      </c>
      <c r="G3636" t="s">
        <v>18</v>
      </c>
      <c r="H3636" t="s">
        <v>20</v>
      </c>
      <c r="I3636">
        <v>8</v>
      </c>
    </row>
    <row r="3637" spans="1:9" x14ac:dyDescent="0.2">
      <c r="A3637">
        <v>16945282</v>
      </c>
      <c r="B3637">
        <v>6</v>
      </c>
      <c r="C3637">
        <v>1503</v>
      </c>
      <c r="D3637">
        <v>0</v>
      </c>
      <c r="E3637">
        <v>26</v>
      </c>
      <c r="F3637" t="s">
        <v>142</v>
      </c>
      <c r="G3637" t="s">
        <v>161</v>
      </c>
      <c r="H3637" t="s">
        <v>31</v>
      </c>
      <c r="I3637">
        <v>5</v>
      </c>
    </row>
    <row r="3638" spans="1:9" x14ac:dyDescent="0.2">
      <c r="A3638">
        <v>16960107</v>
      </c>
      <c r="B3638">
        <v>1</v>
      </c>
      <c r="C3638">
        <v>3026</v>
      </c>
      <c r="D3638">
        <v>70960</v>
      </c>
      <c r="E3638">
        <v>25</v>
      </c>
      <c r="F3638" t="s">
        <v>44</v>
      </c>
      <c r="G3638" t="s">
        <v>170</v>
      </c>
      <c r="H3638" t="s">
        <v>50</v>
      </c>
      <c r="I3638">
        <v>9</v>
      </c>
    </row>
    <row r="3639" spans="1:9" x14ac:dyDescent="0.2">
      <c r="A3639">
        <v>16960107</v>
      </c>
      <c r="B3639">
        <v>2</v>
      </c>
      <c r="C3639">
        <v>1713</v>
      </c>
      <c r="D3639">
        <v>70825</v>
      </c>
      <c r="E3639">
        <v>25</v>
      </c>
      <c r="F3639" t="s">
        <v>57</v>
      </c>
      <c r="G3639" t="s">
        <v>170</v>
      </c>
      <c r="H3639" t="s">
        <v>69</v>
      </c>
      <c r="I3639">
        <v>10</v>
      </c>
    </row>
    <row r="3640" spans="1:9" x14ac:dyDescent="0.2">
      <c r="A3640">
        <v>16960107</v>
      </c>
      <c r="B3640">
        <v>3</v>
      </c>
      <c r="C3640">
        <v>1731</v>
      </c>
      <c r="D3640">
        <v>70825</v>
      </c>
      <c r="E3640">
        <v>25</v>
      </c>
      <c r="F3640" t="s">
        <v>57</v>
      </c>
      <c r="G3640" t="s">
        <v>172</v>
      </c>
      <c r="H3640" t="s">
        <v>69</v>
      </c>
      <c r="I3640">
        <v>10</v>
      </c>
    </row>
    <row r="3641" spans="1:9" x14ac:dyDescent="0.2">
      <c r="A3641">
        <v>16960107</v>
      </c>
      <c r="B3641">
        <v>4</v>
      </c>
      <c r="C3641">
        <v>3620</v>
      </c>
      <c r="D3641">
        <v>71330</v>
      </c>
      <c r="E3641">
        <v>25</v>
      </c>
      <c r="F3641" t="s">
        <v>108</v>
      </c>
      <c r="G3641" t="s">
        <v>170</v>
      </c>
      <c r="H3641" t="s">
        <v>20</v>
      </c>
      <c r="I3641">
        <v>8</v>
      </c>
    </row>
    <row r="3642" spans="1:9" x14ac:dyDescent="0.2">
      <c r="A3642">
        <v>16960107</v>
      </c>
      <c r="B3642">
        <v>5</v>
      </c>
      <c r="C3642">
        <v>1705</v>
      </c>
      <c r="D3642">
        <v>70960</v>
      </c>
      <c r="E3642">
        <v>24</v>
      </c>
      <c r="F3642" t="s">
        <v>57</v>
      </c>
      <c r="G3642" t="s">
        <v>102</v>
      </c>
      <c r="H3642" t="s">
        <v>69</v>
      </c>
      <c r="I3642">
        <v>10</v>
      </c>
    </row>
    <row r="3643" spans="1:9" x14ac:dyDescent="0.2">
      <c r="A3643">
        <v>16960107</v>
      </c>
      <c r="B3643">
        <v>6</v>
      </c>
      <c r="C3643">
        <v>1387</v>
      </c>
      <c r="D3643">
        <v>0</v>
      </c>
      <c r="E3643">
        <v>26</v>
      </c>
      <c r="F3643" t="s">
        <v>21</v>
      </c>
      <c r="G3643" t="s">
        <v>102</v>
      </c>
      <c r="H3643" t="s">
        <v>20</v>
      </c>
      <c r="I3643">
        <v>8</v>
      </c>
    </row>
    <row r="3644" spans="1:9" x14ac:dyDescent="0.2">
      <c r="A3644">
        <v>17028960</v>
      </c>
      <c r="B3644">
        <v>1</v>
      </c>
      <c r="C3644">
        <v>3239</v>
      </c>
      <c r="D3644">
        <v>52190</v>
      </c>
      <c r="E3644">
        <v>25</v>
      </c>
      <c r="F3644" t="s">
        <v>47</v>
      </c>
      <c r="G3644" t="s">
        <v>107</v>
      </c>
      <c r="H3644" t="s">
        <v>46</v>
      </c>
      <c r="I3644">
        <v>10</v>
      </c>
    </row>
    <row r="3645" spans="1:9" x14ac:dyDescent="0.2">
      <c r="A3645">
        <v>17028960</v>
      </c>
      <c r="B3645">
        <v>2</v>
      </c>
      <c r="C3645">
        <v>3245</v>
      </c>
      <c r="D3645">
        <v>52190</v>
      </c>
      <c r="E3645">
        <v>24</v>
      </c>
      <c r="F3645" t="s">
        <v>47</v>
      </c>
      <c r="G3645" t="s">
        <v>157</v>
      </c>
      <c r="H3645" t="s">
        <v>74</v>
      </c>
      <c r="I3645">
        <v>10</v>
      </c>
    </row>
    <row r="3646" spans="1:9" x14ac:dyDescent="0.2">
      <c r="A3646">
        <v>17044382</v>
      </c>
      <c r="B3646">
        <v>1</v>
      </c>
      <c r="C3646">
        <v>1788</v>
      </c>
      <c r="D3646">
        <v>64175</v>
      </c>
      <c r="E3646">
        <v>24</v>
      </c>
      <c r="F3646" t="s">
        <v>57</v>
      </c>
      <c r="G3646" t="s">
        <v>97</v>
      </c>
      <c r="H3646" t="s">
        <v>56</v>
      </c>
      <c r="I3646">
        <v>10</v>
      </c>
    </row>
    <row r="3647" spans="1:9" x14ac:dyDescent="0.2">
      <c r="A3647">
        <v>17044382</v>
      </c>
      <c r="B3647">
        <v>2</v>
      </c>
      <c r="C3647">
        <v>1782</v>
      </c>
      <c r="D3647">
        <v>0</v>
      </c>
      <c r="E3647">
        <v>26</v>
      </c>
      <c r="F3647" t="s">
        <v>57</v>
      </c>
      <c r="G3647" t="s">
        <v>63</v>
      </c>
      <c r="H3647" t="s">
        <v>69</v>
      </c>
      <c r="I3647">
        <v>10</v>
      </c>
    </row>
    <row r="3648" spans="1:9" x14ac:dyDescent="0.2">
      <c r="A3648">
        <v>17044382</v>
      </c>
      <c r="B3648">
        <v>3</v>
      </c>
      <c r="C3648">
        <v>1756</v>
      </c>
      <c r="D3648">
        <v>0</v>
      </c>
      <c r="E3648">
        <v>26</v>
      </c>
      <c r="F3648" t="s">
        <v>57</v>
      </c>
      <c r="G3648" t="s">
        <v>89</v>
      </c>
      <c r="H3648" t="s">
        <v>69</v>
      </c>
      <c r="I3648">
        <v>10</v>
      </c>
    </row>
    <row r="3649" spans="1:9" x14ac:dyDescent="0.2">
      <c r="A3649">
        <v>17044382</v>
      </c>
      <c r="B3649">
        <v>4</v>
      </c>
      <c r="C3649">
        <v>1729</v>
      </c>
      <c r="D3649">
        <v>0</v>
      </c>
      <c r="E3649">
        <v>26</v>
      </c>
      <c r="F3649" t="s">
        <v>57</v>
      </c>
      <c r="G3649" t="s">
        <v>72</v>
      </c>
      <c r="H3649" t="s">
        <v>69</v>
      </c>
      <c r="I3649">
        <v>10</v>
      </c>
    </row>
    <row r="3650" spans="1:9" x14ac:dyDescent="0.2">
      <c r="A3650">
        <v>17044382</v>
      </c>
      <c r="B3650">
        <v>5</v>
      </c>
      <c r="C3650">
        <v>3261</v>
      </c>
      <c r="D3650">
        <v>0</v>
      </c>
      <c r="E3650">
        <v>26</v>
      </c>
      <c r="F3650" t="s">
        <v>47</v>
      </c>
      <c r="G3650" t="s">
        <v>93</v>
      </c>
      <c r="H3650" t="s">
        <v>46</v>
      </c>
      <c r="I3650">
        <v>10</v>
      </c>
    </row>
    <row r="3651" spans="1:9" x14ac:dyDescent="0.2">
      <c r="A3651">
        <v>17044382</v>
      </c>
      <c r="B3651">
        <v>6</v>
      </c>
      <c r="C3651">
        <v>3234</v>
      </c>
      <c r="D3651">
        <v>0</v>
      </c>
      <c r="E3651">
        <v>26</v>
      </c>
      <c r="F3651" t="s">
        <v>47</v>
      </c>
      <c r="G3651" t="s">
        <v>76</v>
      </c>
      <c r="H3651" t="s">
        <v>46</v>
      </c>
      <c r="I3651">
        <v>10</v>
      </c>
    </row>
    <row r="3652" spans="1:9" x14ac:dyDescent="0.2">
      <c r="A3652">
        <v>17046442</v>
      </c>
      <c r="B3652">
        <v>1</v>
      </c>
      <c r="C3652">
        <v>1729</v>
      </c>
      <c r="D3652">
        <v>66310</v>
      </c>
      <c r="E3652">
        <v>24</v>
      </c>
      <c r="F3652" t="s">
        <v>57</v>
      </c>
      <c r="G3652" t="s">
        <v>72</v>
      </c>
      <c r="H3652" t="s">
        <v>69</v>
      </c>
      <c r="I3652">
        <v>10</v>
      </c>
    </row>
    <row r="3653" spans="1:9" x14ac:dyDescent="0.2">
      <c r="A3653">
        <v>17046442</v>
      </c>
      <c r="B3653">
        <v>2</v>
      </c>
      <c r="C3653">
        <v>3701</v>
      </c>
      <c r="D3653">
        <v>0</v>
      </c>
      <c r="E3653">
        <v>26</v>
      </c>
      <c r="F3653" t="s">
        <v>116</v>
      </c>
      <c r="G3653" t="s">
        <v>117</v>
      </c>
      <c r="H3653" t="s">
        <v>61</v>
      </c>
      <c r="I3653">
        <v>9</v>
      </c>
    </row>
    <row r="3654" spans="1:9" x14ac:dyDescent="0.2">
      <c r="A3654">
        <v>17046442</v>
      </c>
      <c r="B3654">
        <v>3</v>
      </c>
      <c r="C3654">
        <v>1326</v>
      </c>
      <c r="D3654">
        <v>0</v>
      </c>
      <c r="E3654">
        <v>26</v>
      </c>
      <c r="F3654" t="s">
        <v>21</v>
      </c>
      <c r="G3654" t="s">
        <v>72</v>
      </c>
      <c r="H3654" t="s">
        <v>20</v>
      </c>
      <c r="I3654">
        <v>8</v>
      </c>
    </row>
    <row r="3655" spans="1:9" x14ac:dyDescent="0.2">
      <c r="A3655">
        <v>17046442</v>
      </c>
      <c r="B3655">
        <v>4</v>
      </c>
      <c r="C3655">
        <v>1777</v>
      </c>
      <c r="D3655">
        <v>0</v>
      </c>
      <c r="E3655">
        <v>26</v>
      </c>
      <c r="F3655" t="s">
        <v>57</v>
      </c>
      <c r="G3655" t="s">
        <v>88</v>
      </c>
      <c r="H3655" t="s">
        <v>69</v>
      </c>
      <c r="I3655">
        <v>10</v>
      </c>
    </row>
    <row r="3656" spans="1:9" x14ac:dyDescent="0.2">
      <c r="A3656">
        <v>17046442</v>
      </c>
      <c r="B3656">
        <v>5</v>
      </c>
      <c r="C3656">
        <v>1377</v>
      </c>
      <c r="D3656">
        <v>0</v>
      </c>
      <c r="E3656">
        <v>26</v>
      </c>
      <c r="F3656" t="s">
        <v>21</v>
      </c>
      <c r="G3656" t="s">
        <v>251</v>
      </c>
      <c r="H3656" t="s">
        <v>20</v>
      </c>
      <c r="I3656">
        <v>8</v>
      </c>
    </row>
    <row r="3657" spans="1:9" x14ac:dyDescent="0.2">
      <c r="A3657">
        <v>17046442</v>
      </c>
      <c r="B3657">
        <v>6</v>
      </c>
      <c r="C3657">
        <v>3234</v>
      </c>
      <c r="D3657">
        <v>0</v>
      </c>
      <c r="E3657">
        <v>26</v>
      </c>
      <c r="F3657" t="s">
        <v>47</v>
      </c>
      <c r="G3657" t="s">
        <v>76</v>
      </c>
      <c r="H3657" t="s">
        <v>46</v>
      </c>
      <c r="I3657">
        <v>10</v>
      </c>
    </row>
    <row r="3658" spans="1:9" x14ac:dyDescent="0.2">
      <c r="A3658">
        <v>17046625</v>
      </c>
      <c r="B3658">
        <v>1</v>
      </c>
      <c r="C3658">
        <v>1756</v>
      </c>
      <c r="D3658">
        <v>58790</v>
      </c>
      <c r="E3658">
        <v>24</v>
      </c>
      <c r="F3658" t="s">
        <v>57</v>
      </c>
      <c r="G3658" t="s">
        <v>89</v>
      </c>
      <c r="H3658" t="s">
        <v>69</v>
      </c>
      <c r="I3658">
        <v>10</v>
      </c>
    </row>
    <row r="3659" spans="1:9" x14ac:dyDescent="0.2">
      <c r="A3659">
        <v>17046625</v>
      </c>
      <c r="B3659">
        <v>2</v>
      </c>
      <c r="C3659">
        <v>1784</v>
      </c>
      <c r="D3659">
        <v>0</v>
      </c>
      <c r="E3659">
        <v>26</v>
      </c>
      <c r="F3659" t="s">
        <v>57</v>
      </c>
      <c r="G3659" t="s">
        <v>87</v>
      </c>
      <c r="H3659" t="s">
        <v>69</v>
      </c>
      <c r="I3659">
        <v>10</v>
      </c>
    </row>
    <row r="3660" spans="1:9" x14ac:dyDescent="0.2">
      <c r="A3660">
        <v>17046625</v>
      </c>
      <c r="B3660">
        <v>3</v>
      </c>
      <c r="C3660">
        <v>1785</v>
      </c>
      <c r="D3660">
        <v>0</v>
      </c>
      <c r="E3660">
        <v>26</v>
      </c>
      <c r="F3660" t="s">
        <v>57</v>
      </c>
      <c r="G3660" t="s">
        <v>86</v>
      </c>
      <c r="H3660" t="s">
        <v>69</v>
      </c>
      <c r="I3660">
        <v>10</v>
      </c>
    </row>
    <row r="3661" spans="1:9" x14ac:dyDescent="0.2">
      <c r="A3661">
        <v>17046625</v>
      </c>
      <c r="B3661">
        <v>4</v>
      </c>
      <c r="C3661">
        <v>1754</v>
      </c>
      <c r="D3661">
        <v>0</v>
      </c>
      <c r="E3661">
        <v>26</v>
      </c>
      <c r="F3661" t="s">
        <v>57</v>
      </c>
      <c r="G3661" t="s">
        <v>85</v>
      </c>
      <c r="H3661" t="s">
        <v>69</v>
      </c>
      <c r="I3661">
        <v>10</v>
      </c>
    </row>
    <row r="3662" spans="1:9" x14ac:dyDescent="0.2">
      <c r="A3662">
        <v>17046625</v>
      </c>
      <c r="B3662">
        <v>5</v>
      </c>
      <c r="C3662">
        <v>3091</v>
      </c>
      <c r="D3662">
        <v>0</v>
      </c>
      <c r="E3662">
        <v>26</v>
      </c>
      <c r="F3662" t="s">
        <v>44</v>
      </c>
      <c r="G3662" t="s">
        <v>89</v>
      </c>
      <c r="H3662" t="s">
        <v>52</v>
      </c>
      <c r="I3662">
        <v>9</v>
      </c>
    </row>
    <row r="3663" spans="1:9" x14ac:dyDescent="0.2">
      <c r="A3663">
        <v>17046625</v>
      </c>
      <c r="B3663">
        <v>6</v>
      </c>
      <c r="C3663">
        <v>3044</v>
      </c>
      <c r="D3663">
        <v>0</v>
      </c>
      <c r="E3663">
        <v>26</v>
      </c>
      <c r="F3663" t="s">
        <v>44</v>
      </c>
      <c r="G3663" t="s">
        <v>250</v>
      </c>
      <c r="H3663" t="s">
        <v>52</v>
      </c>
      <c r="I3663">
        <v>9</v>
      </c>
    </row>
    <row r="3664" spans="1:9" x14ac:dyDescent="0.2">
      <c r="A3664">
        <v>17046625</v>
      </c>
      <c r="B3664">
        <v>7</v>
      </c>
      <c r="C3664">
        <v>3243</v>
      </c>
      <c r="D3664">
        <v>0</v>
      </c>
      <c r="E3664">
        <v>26</v>
      </c>
      <c r="F3664" t="s">
        <v>47</v>
      </c>
      <c r="G3664" t="s">
        <v>75</v>
      </c>
      <c r="H3664" t="s">
        <v>46</v>
      </c>
      <c r="I3664">
        <v>10</v>
      </c>
    </row>
    <row r="3665" spans="1:9" x14ac:dyDescent="0.2">
      <c r="A3665">
        <v>17046625</v>
      </c>
      <c r="B3665">
        <v>8</v>
      </c>
      <c r="C3665">
        <v>3242</v>
      </c>
      <c r="D3665">
        <v>0</v>
      </c>
      <c r="E3665">
        <v>26</v>
      </c>
      <c r="F3665" t="s">
        <v>47</v>
      </c>
      <c r="G3665" t="s">
        <v>90</v>
      </c>
      <c r="H3665" t="s">
        <v>46</v>
      </c>
      <c r="I3665">
        <v>10</v>
      </c>
    </row>
    <row r="3666" spans="1:9" x14ac:dyDescent="0.2">
      <c r="A3666">
        <v>17085189</v>
      </c>
      <c r="B3666">
        <v>1</v>
      </c>
      <c r="C3666">
        <v>2123</v>
      </c>
      <c r="D3666">
        <v>56510</v>
      </c>
      <c r="E3666">
        <v>25</v>
      </c>
      <c r="F3666" t="s">
        <v>193</v>
      </c>
      <c r="G3666" t="s">
        <v>215</v>
      </c>
      <c r="H3666" t="s">
        <v>216</v>
      </c>
      <c r="I3666" t="s">
        <v>448</v>
      </c>
    </row>
    <row r="3667" spans="1:9" x14ac:dyDescent="0.2">
      <c r="A3667">
        <v>17085189</v>
      </c>
      <c r="B3667">
        <v>2</v>
      </c>
      <c r="C3667">
        <v>1403</v>
      </c>
      <c r="D3667">
        <v>56545</v>
      </c>
      <c r="E3667">
        <v>25</v>
      </c>
      <c r="F3667" t="s">
        <v>25</v>
      </c>
      <c r="G3667" t="s">
        <v>141</v>
      </c>
      <c r="H3667" t="s">
        <v>24</v>
      </c>
      <c r="I3667">
        <v>5</v>
      </c>
    </row>
    <row r="3668" spans="1:9" x14ac:dyDescent="0.2">
      <c r="A3668">
        <v>17085189</v>
      </c>
      <c r="B3668">
        <v>3</v>
      </c>
      <c r="C3668">
        <v>2147</v>
      </c>
      <c r="D3668">
        <v>56480</v>
      </c>
      <c r="E3668">
        <v>25</v>
      </c>
      <c r="F3668" t="s">
        <v>193</v>
      </c>
      <c r="G3668" t="s">
        <v>18</v>
      </c>
      <c r="H3668" t="s">
        <v>216</v>
      </c>
      <c r="I3668" t="s">
        <v>448</v>
      </c>
    </row>
    <row r="3669" spans="1:9" x14ac:dyDescent="0.2">
      <c r="A3669">
        <v>17085189</v>
      </c>
      <c r="B3669">
        <v>4</v>
      </c>
      <c r="C3669">
        <v>1519</v>
      </c>
      <c r="D3669">
        <v>56730</v>
      </c>
      <c r="E3669">
        <v>25</v>
      </c>
      <c r="F3669" t="s">
        <v>142</v>
      </c>
      <c r="G3669" t="s">
        <v>18</v>
      </c>
      <c r="H3669" t="s">
        <v>31</v>
      </c>
      <c r="I3669">
        <v>5</v>
      </c>
    </row>
    <row r="3670" spans="1:9" x14ac:dyDescent="0.2">
      <c r="A3670">
        <v>17123955</v>
      </c>
      <c r="B3670">
        <v>1</v>
      </c>
      <c r="C3670">
        <v>3226</v>
      </c>
      <c r="D3670">
        <v>53330</v>
      </c>
      <c r="E3670">
        <v>24</v>
      </c>
      <c r="F3670" t="s">
        <v>47</v>
      </c>
      <c r="G3670" t="s">
        <v>96</v>
      </c>
      <c r="H3670" t="s">
        <v>46</v>
      </c>
      <c r="I3670">
        <v>10</v>
      </c>
    </row>
    <row r="3671" spans="1:9" x14ac:dyDescent="0.2">
      <c r="A3671">
        <v>17123955</v>
      </c>
      <c r="B3671">
        <v>2</v>
      </c>
      <c r="C3671">
        <v>3225</v>
      </c>
      <c r="D3671">
        <v>0</v>
      </c>
      <c r="E3671">
        <v>26</v>
      </c>
      <c r="F3671" t="s">
        <v>47</v>
      </c>
      <c r="G3671" t="s">
        <v>106</v>
      </c>
      <c r="H3671" t="s">
        <v>46</v>
      </c>
      <c r="I3671">
        <v>10</v>
      </c>
    </row>
    <row r="3672" spans="1:9" x14ac:dyDescent="0.2">
      <c r="A3672">
        <v>17123955</v>
      </c>
      <c r="B3672">
        <v>3</v>
      </c>
      <c r="C3672">
        <v>3269</v>
      </c>
      <c r="D3672">
        <v>0</v>
      </c>
      <c r="E3672">
        <v>26</v>
      </c>
      <c r="F3672" t="s">
        <v>47</v>
      </c>
      <c r="G3672" t="s">
        <v>180</v>
      </c>
      <c r="H3672" t="s">
        <v>46</v>
      </c>
      <c r="I3672">
        <v>10</v>
      </c>
    </row>
    <row r="3673" spans="1:9" x14ac:dyDescent="0.2">
      <c r="A3673">
        <v>17131247</v>
      </c>
      <c r="B3673">
        <v>1</v>
      </c>
      <c r="C3673">
        <v>3237</v>
      </c>
      <c r="D3673">
        <v>57945</v>
      </c>
      <c r="E3673">
        <v>24</v>
      </c>
      <c r="F3673" t="s">
        <v>47</v>
      </c>
      <c r="G3673" t="s">
        <v>181</v>
      </c>
      <c r="H3673" t="s">
        <v>46</v>
      </c>
      <c r="I3673">
        <v>10</v>
      </c>
    </row>
    <row r="3674" spans="1:9" x14ac:dyDescent="0.2">
      <c r="A3674">
        <v>17131247</v>
      </c>
      <c r="B3674">
        <v>2</v>
      </c>
      <c r="C3674">
        <v>3729</v>
      </c>
      <c r="D3674">
        <v>0</v>
      </c>
      <c r="E3674">
        <v>26</v>
      </c>
      <c r="F3674" t="s">
        <v>116</v>
      </c>
      <c r="G3674" t="s">
        <v>273</v>
      </c>
      <c r="H3674" t="s">
        <v>61</v>
      </c>
      <c r="I3674">
        <v>9</v>
      </c>
    </row>
    <row r="3675" spans="1:9" x14ac:dyDescent="0.2">
      <c r="A3675">
        <v>17131247</v>
      </c>
      <c r="B3675">
        <v>3</v>
      </c>
      <c r="C3675">
        <v>2525</v>
      </c>
      <c r="D3675">
        <v>0</v>
      </c>
      <c r="E3675">
        <v>26</v>
      </c>
      <c r="F3675" t="s">
        <v>175</v>
      </c>
      <c r="G3675" t="s">
        <v>312</v>
      </c>
      <c r="H3675" t="s">
        <v>213</v>
      </c>
      <c r="I3675">
        <v>4</v>
      </c>
    </row>
    <row r="3676" spans="1:9" x14ac:dyDescent="0.2">
      <c r="A3676">
        <v>17131247</v>
      </c>
      <c r="B3676">
        <v>4</v>
      </c>
      <c r="C3676">
        <v>2455</v>
      </c>
      <c r="D3676">
        <v>0</v>
      </c>
      <c r="E3676">
        <v>26</v>
      </c>
      <c r="F3676" t="s">
        <v>42</v>
      </c>
      <c r="G3676" t="s">
        <v>313</v>
      </c>
      <c r="H3676" t="s">
        <v>220</v>
      </c>
      <c r="I3676">
        <v>2</v>
      </c>
    </row>
    <row r="3677" spans="1:9" x14ac:dyDescent="0.2">
      <c r="A3677">
        <v>17131247</v>
      </c>
      <c r="B3677">
        <v>5</v>
      </c>
      <c r="C3677">
        <v>2521</v>
      </c>
      <c r="D3677">
        <v>0</v>
      </c>
      <c r="E3677">
        <v>26</v>
      </c>
      <c r="F3677" t="s">
        <v>175</v>
      </c>
      <c r="G3677" t="s">
        <v>314</v>
      </c>
      <c r="H3677" t="s">
        <v>213</v>
      </c>
      <c r="I3677">
        <v>4</v>
      </c>
    </row>
    <row r="3678" spans="1:9" x14ac:dyDescent="0.2">
      <c r="A3678">
        <v>17131247</v>
      </c>
      <c r="B3678">
        <v>6</v>
      </c>
      <c r="C3678">
        <v>2986</v>
      </c>
      <c r="D3678">
        <v>0</v>
      </c>
      <c r="E3678">
        <v>26</v>
      </c>
      <c r="F3678" t="s">
        <v>119</v>
      </c>
      <c r="G3678" t="s">
        <v>183</v>
      </c>
      <c r="H3678" t="s">
        <v>136</v>
      </c>
      <c r="I3678">
        <v>8</v>
      </c>
    </row>
    <row r="3679" spans="1:9" x14ac:dyDescent="0.2">
      <c r="A3679">
        <v>17131247</v>
      </c>
      <c r="B3679">
        <v>7</v>
      </c>
      <c r="C3679">
        <v>3517</v>
      </c>
      <c r="D3679">
        <v>0</v>
      </c>
      <c r="E3679">
        <v>26</v>
      </c>
      <c r="F3679" t="s">
        <v>234</v>
      </c>
      <c r="G3679" t="s">
        <v>315</v>
      </c>
      <c r="H3679" t="s">
        <v>35</v>
      </c>
      <c r="I3679">
        <v>7</v>
      </c>
    </row>
    <row r="3680" spans="1:9" x14ac:dyDescent="0.2">
      <c r="A3680">
        <v>17131247</v>
      </c>
      <c r="B3680">
        <v>8</v>
      </c>
      <c r="C3680">
        <v>3200</v>
      </c>
      <c r="D3680">
        <v>0</v>
      </c>
      <c r="E3680">
        <v>26</v>
      </c>
      <c r="F3680" t="s">
        <v>47</v>
      </c>
      <c r="G3680" t="s">
        <v>18</v>
      </c>
      <c r="H3680" t="s">
        <v>46</v>
      </c>
      <c r="I3680">
        <v>10</v>
      </c>
    </row>
    <row r="3681" spans="1:9" x14ac:dyDescent="0.2">
      <c r="A3681">
        <v>17146984</v>
      </c>
      <c r="B3681">
        <v>1</v>
      </c>
      <c r="C3681">
        <v>3251</v>
      </c>
      <c r="D3681">
        <v>46880</v>
      </c>
      <c r="E3681">
        <v>25</v>
      </c>
      <c r="F3681" t="s">
        <v>47</v>
      </c>
      <c r="G3681" t="s">
        <v>48</v>
      </c>
      <c r="H3681" t="s">
        <v>46</v>
      </c>
      <c r="I3681">
        <v>10</v>
      </c>
    </row>
    <row r="3682" spans="1:9" x14ac:dyDescent="0.2">
      <c r="A3682">
        <v>17146984</v>
      </c>
      <c r="B3682">
        <v>2</v>
      </c>
      <c r="C3682">
        <v>3248</v>
      </c>
      <c r="D3682">
        <v>46435</v>
      </c>
      <c r="E3682">
        <v>25</v>
      </c>
      <c r="F3682" t="s">
        <v>47</v>
      </c>
      <c r="G3682" t="s">
        <v>92</v>
      </c>
      <c r="H3682" t="s">
        <v>46</v>
      </c>
      <c r="I3682">
        <v>10</v>
      </c>
    </row>
    <row r="3683" spans="1:9" x14ac:dyDescent="0.2">
      <c r="A3683">
        <v>17146984</v>
      </c>
      <c r="B3683">
        <v>3</v>
      </c>
      <c r="C3683">
        <v>3261</v>
      </c>
      <c r="D3683">
        <v>46690</v>
      </c>
      <c r="E3683">
        <v>25</v>
      </c>
      <c r="F3683" t="s">
        <v>47</v>
      </c>
      <c r="G3683" t="s">
        <v>93</v>
      </c>
      <c r="H3683" t="s">
        <v>46</v>
      </c>
      <c r="I3683">
        <v>10</v>
      </c>
    </row>
    <row r="3684" spans="1:9" x14ac:dyDescent="0.2">
      <c r="A3684">
        <v>17146984</v>
      </c>
      <c r="B3684">
        <v>4</v>
      </c>
      <c r="C3684">
        <v>3252</v>
      </c>
      <c r="D3684">
        <v>46475</v>
      </c>
      <c r="E3684">
        <v>25</v>
      </c>
      <c r="F3684" t="s">
        <v>47</v>
      </c>
      <c r="G3684" t="s">
        <v>45</v>
      </c>
      <c r="H3684" t="s">
        <v>46</v>
      </c>
      <c r="I3684">
        <v>10</v>
      </c>
    </row>
    <row r="3685" spans="1:9" x14ac:dyDescent="0.2">
      <c r="A3685">
        <v>17146984</v>
      </c>
      <c r="B3685">
        <v>5</v>
      </c>
      <c r="C3685">
        <v>3243</v>
      </c>
      <c r="D3685">
        <v>46670</v>
      </c>
      <c r="E3685">
        <v>25</v>
      </c>
      <c r="F3685" t="s">
        <v>47</v>
      </c>
      <c r="G3685" t="s">
        <v>75</v>
      </c>
      <c r="H3685" t="s">
        <v>46</v>
      </c>
      <c r="I3685">
        <v>10</v>
      </c>
    </row>
    <row r="3686" spans="1:9" x14ac:dyDescent="0.2">
      <c r="A3686">
        <v>17215842</v>
      </c>
      <c r="B3686">
        <v>1</v>
      </c>
      <c r="C3686">
        <v>1324</v>
      </c>
      <c r="D3686">
        <v>52825</v>
      </c>
      <c r="E3686">
        <v>25</v>
      </c>
      <c r="F3686" t="s">
        <v>21</v>
      </c>
      <c r="G3686" t="s">
        <v>63</v>
      </c>
      <c r="H3686" t="s">
        <v>20</v>
      </c>
      <c r="I3686">
        <v>8</v>
      </c>
    </row>
    <row r="3687" spans="1:9" x14ac:dyDescent="0.2">
      <c r="A3687">
        <v>17215842</v>
      </c>
      <c r="B3687">
        <v>2</v>
      </c>
      <c r="C3687">
        <v>1782</v>
      </c>
      <c r="D3687">
        <v>53525</v>
      </c>
      <c r="E3687">
        <v>25</v>
      </c>
      <c r="F3687" t="s">
        <v>57</v>
      </c>
      <c r="G3687" t="s">
        <v>63</v>
      </c>
      <c r="H3687" t="s">
        <v>69</v>
      </c>
      <c r="I3687">
        <v>10</v>
      </c>
    </row>
    <row r="3688" spans="1:9" x14ac:dyDescent="0.2">
      <c r="A3688">
        <v>17215842</v>
      </c>
      <c r="B3688">
        <v>3</v>
      </c>
      <c r="C3688">
        <v>3092</v>
      </c>
      <c r="D3688">
        <v>53470</v>
      </c>
      <c r="E3688">
        <v>25</v>
      </c>
      <c r="F3688" t="s">
        <v>44</v>
      </c>
      <c r="G3688" t="s">
        <v>251</v>
      </c>
      <c r="H3688" t="s">
        <v>52</v>
      </c>
      <c r="I3688">
        <v>9</v>
      </c>
    </row>
    <row r="3689" spans="1:9" x14ac:dyDescent="0.2">
      <c r="A3689">
        <v>17215842</v>
      </c>
      <c r="B3689">
        <v>4</v>
      </c>
      <c r="C3689">
        <v>1729</v>
      </c>
      <c r="D3689">
        <v>52925</v>
      </c>
      <c r="E3689">
        <v>25</v>
      </c>
      <c r="F3689" t="s">
        <v>57</v>
      </c>
      <c r="G3689" t="s">
        <v>72</v>
      </c>
      <c r="H3689" t="s">
        <v>69</v>
      </c>
      <c r="I3689">
        <v>10</v>
      </c>
    </row>
    <row r="3690" spans="1:9" x14ac:dyDescent="0.2">
      <c r="A3690">
        <v>17215842</v>
      </c>
      <c r="B3690">
        <v>5</v>
      </c>
      <c r="C3690">
        <v>1788</v>
      </c>
      <c r="D3690">
        <v>52830</v>
      </c>
      <c r="E3690">
        <v>25</v>
      </c>
      <c r="F3690" t="s">
        <v>57</v>
      </c>
      <c r="G3690" t="s">
        <v>97</v>
      </c>
      <c r="H3690" t="s">
        <v>56</v>
      </c>
      <c r="I3690">
        <v>10</v>
      </c>
    </row>
    <row r="3691" spans="1:9" x14ac:dyDescent="0.2">
      <c r="A3691">
        <v>17215842</v>
      </c>
      <c r="B3691">
        <v>6</v>
      </c>
      <c r="C3691">
        <v>3214</v>
      </c>
      <c r="D3691">
        <v>53275</v>
      </c>
      <c r="E3691">
        <v>25</v>
      </c>
      <c r="F3691" t="s">
        <v>47</v>
      </c>
      <c r="G3691" t="s">
        <v>98</v>
      </c>
      <c r="H3691" t="s">
        <v>74</v>
      </c>
      <c r="I3691">
        <v>10</v>
      </c>
    </row>
    <row r="3692" spans="1:9" x14ac:dyDescent="0.2">
      <c r="A3692">
        <v>17215842</v>
      </c>
      <c r="B3692">
        <v>7</v>
      </c>
      <c r="C3692">
        <v>1733</v>
      </c>
      <c r="D3692">
        <v>53130</v>
      </c>
      <c r="E3692">
        <v>25</v>
      </c>
      <c r="F3692" t="s">
        <v>57</v>
      </c>
      <c r="G3692" t="s">
        <v>18</v>
      </c>
      <c r="H3692" t="s">
        <v>69</v>
      </c>
      <c r="I3692">
        <v>10</v>
      </c>
    </row>
    <row r="3693" spans="1:9" x14ac:dyDescent="0.2">
      <c r="A3693">
        <v>17215842</v>
      </c>
      <c r="B3693">
        <v>8</v>
      </c>
      <c r="C3693">
        <v>1404</v>
      </c>
      <c r="D3693">
        <v>0</v>
      </c>
      <c r="E3693">
        <v>16</v>
      </c>
      <c r="F3693" t="s">
        <v>25</v>
      </c>
      <c r="G3693" t="s">
        <v>23</v>
      </c>
      <c r="H3693" t="s">
        <v>24</v>
      </c>
      <c r="I3693">
        <v>5</v>
      </c>
    </row>
    <row r="3694" spans="1:9" x14ac:dyDescent="0.2">
      <c r="A3694">
        <v>17289168</v>
      </c>
      <c r="B3694">
        <v>1</v>
      </c>
      <c r="C3694">
        <v>3226</v>
      </c>
      <c r="D3694">
        <v>55940</v>
      </c>
      <c r="E3694">
        <v>24</v>
      </c>
      <c r="F3694" t="s">
        <v>47</v>
      </c>
      <c r="G3694" t="s">
        <v>96</v>
      </c>
      <c r="H3694" t="s">
        <v>46</v>
      </c>
      <c r="I3694">
        <v>10</v>
      </c>
    </row>
    <row r="3695" spans="1:9" x14ac:dyDescent="0.2">
      <c r="A3695">
        <v>17289168</v>
      </c>
      <c r="B3695">
        <v>2</v>
      </c>
      <c r="C3695">
        <v>3225</v>
      </c>
      <c r="D3695">
        <v>0</v>
      </c>
      <c r="E3695">
        <v>26</v>
      </c>
      <c r="F3695" t="s">
        <v>47</v>
      </c>
      <c r="G3695" t="s">
        <v>106</v>
      </c>
      <c r="H3695" t="s">
        <v>46</v>
      </c>
      <c r="I3695">
        <v>10</v>
      </c>
    </row>
    <row r="3696" spans="1:9" x14ac:dyDescent="0.2">
      <c r="A3696">
        <v>17289168</v>
      </c>
      <c r="B3696">
        <v>3</v>
      </c>
      <c r="C3696">
        <v>3229</v>
      </c>
      <c r="D3696">
        <v>0</v>
      </c>
      <c r="E3696">
        <v>26</v>
      </c>
      <c r="F3696" t="s">
        <v>47</v>
      </c>
      <c r="G3696" t="s">
        <v>101</v>
      </c>
      <c r="H3696" t="s">
        <v>46</v>
      </c>
      <c r="I3696">
        <v>10</v>
      </c>
    </row>
    <row r="3697" spans="1:9" x14ac:dyDescent="0.2">
      <c r="A3697">
        <v>17289168</v>
      </c>
      <c r="B3697">
        <v>4</v>
      </c>
      <c r="C3697">
        <v>3223</v>
      </c>
      <c r="D3697">
        <v>0</v>
      </c>
      <c r="E3697">
        <v>26</v>
      </c>
      <c r="F3697" t="s">
        <v>47</v>
      </c>
      <c r="G3697" t="s">
        <v>105</v>
      </c>
      <c r="H3697" t="s">
        <v>46</v>
      </c>
      <c r="I3697">
        <v>10</v>
      </c>
    </row>
    <row r="3698" spans="1:9" x14ac:dyDescent="0.2">
      <c r="A3698">
        <v>17289168</v>
      </c>
      <c r="B3698">
        <v>5</v>
      </c>
      <c r="C3698">
        <v>1776</v>
      </c>
      <c r="D3698">
        <v>0</v>
      </c>
      <c r="E3698">
        <v>26</v>
      </c>
      <c r="F3698" t="s">
        <v>57</v>
      </c>
      <c r="G3698" t="s">
        <v>124</v>
      </c>
      <c r="H3698" t="s">
        <v>125</v>
      </c>
      <c r="I3698">
        <v>10</v>
      </c>
    </row>
    <row r="3699" spans="1:9" x14ac:dyDescent="0.2">
      <c r="A3699">
        <v>17289168</v>
      </c>
      <c r="B3699">
        <v>6</v>
      </c>
      <c r="C3699">
        <v>1711</v>
      </c>
      <c r="D3699">
        <v>0</v>
      </c>
      <c r="E3699">
        <v>26</v>
      </c>
      <c r="F3699" t="s">
        <v>57</v>
      </c>
      <c r="G3699" t="s">
        <v>201</v>
      </c>
      <c r="H3699" t="s">
        <v>69</v>
      </c>
      <c r="I3699">
        <v>10</v>
      </c>
    </row>
    <row r="3700" spans="1:9" x14ac:dyDescent="0.2">
      <c r="A3700">
        <v>17289168</v>
      </c>
      <c r="B3700">
        <v>7</v>
      </c>
      <c r="C3700">
        <v>1775</v>
      </c>
      <c r="D3700">
        <v>0</v>
      </c>
      <c r="E3700">
        <v>26</v>
      </c>
      <c r="F3700" t="s">
        <v>57</v>
      </c>
      <c r="G3700" t="s">
        <v>94</v>
      </c>
      <c r="H3700" t="s">
        <v>69</v>
      </c>
      <c r="I3700">
        <v>10</v>
      </c>
    </row>
    <row r="3701" spans="1:9" x14ac:dyDescent="0.2">
      <c r="A3701">
        <v>17350274</v>
      </c>
      <c r="B3701">
        <v>1</v>
      </c>
      <c r="C3701">
        <v>3296</v>
      </c>
      <c r="D3701">
        <v>0</v>
      </c>
      <c r="E3701">
        <v>36</v>
      </c>
      <c r="F3701" t="s">
        <v>47</v>
      </c>
      <c r="G3701" t="s">
        <v>100</v>
      </c>
      <c r="H3701" t="s">
        <v>46</v>
      </c>
      <c r="I3701">
        <v>10</v>
      </c>
    </row>
    <row r="3702" spans="1:9" x14ac:dyDescent="0.2">
      <c r="A3702">
        <v>17350274</v>
      </c>
      <c r="B3702">
        <v>2</v>
      </c>
      <c r="C3702">
        <v>3242</v>
      </c>
      <c r="D3702">
        <v>0</v>
      </c>
      <c r="E3702">
        <v>36</v>
      </c>
      <c r="F3702" t="s">
        <v>47</v>
      </c>
      <c r="G3702" t="s">
        <v>90</v>
      </c>
      <c r="H3702" t="s">
        <v>46</v>
      </c>
      <c r="I3702">
        <v>10</v>
      </c>
    </row>
    <row r="3703" spans="1:9" x14ac:dyDescent="0.2">
      <c r="A3703">
        <v>17350274</v>
      </c>
      <c r="B3703">
        <v>3</v>
      </c>
      <c r="C3703">
        <v>3252</v>
      </c>
      <c r="D3703">
        <v>0</v>
      </c>
      <c r="E3703">
        <v>36</v>
      </c>
      <c r="F3703" t="s">
        <v>47</v>
      </c>
      <c r="G3703" t="s">
        <v>45</v>
      </c>
      <c r="H3703" t="s">
        <v>46</v>
      </c>
      <c r="I3703">
        <v>10</v>
      </c>
    </row>
    <row r="3704" spans="1:9" x14ac:dyDescent="0.2">
      <c r="A3704">
        <v>17396829</v>
      </c>
      <c r="B3704">
        <v>1</v>
      </c>
      <c r="C3704">
        <v>1246</v>
      </c>
      <c r="D3704">
        <v>62720</v>
      </c>
      <c r="E3704">
        <v>25</v>
      </c>
      <c r="F3704" t="s">
        <v>19</v>
      </c>
      <c r="G3704" t="s">
        <v>245</v>
      </c>
      <c r="H3704" t="s">
        <v>16</v>
      </c>
      <c r="I3704" t="s">
        <v>448</v>
      </c>
    </row>
    <row r="3705" spans="1:9" x14ac:dyDescent="0.2">
      <c r="A3705">
        <v>17396829</v>
      </c>
      <c r="B3705">
        <v>2</v>
      </c>
      <c r="C3705">
        <v>1168</v>
      </c>
      <c r="D3705">
        <v>62740</v>
      </c>
      <c r="E3705">
        <v>25</v>
      </c>
      <c r="F3705" t="s">
        <v>17</v>
      </c>
      <c r="G3705" t="s">
        <v>246</v>
      </c>
      <c r="H3705" t="s">
        <v>16</v>
      </c>
      <c r="I3705" t="s">
        <v>448</v>
      </c>
    </row>
    <row r="3706" spans="1:9" x14ac:dyDescent="0.2">
      <c r="A3706">
        <v>17396829</v>
      </c>
      <c r="B3706">
        <v>3</v>
      </c>
      <c r="C3706">
        <v>1224</v>
      </c>
      <c r="D3706">
        <v>62720</v>
      </c>
      <c r="E3706">
        <v>24</v>
      </c>
      <c r="F3706" t="s">
        <v>19</v>
      </c>
      <c r="G3706" t="s">
        <v>277</v>
      </c>
      <c r="H3706" t="s">
        <v>16</v>
      </c>
      <c r="I3706" t="s">
        <v>448</v>
      </c>
    </row>
    <row r="3707" spans="1:9" x14ac:dyDescent="0.2">
      <c r="A3707">
        <v>17396829</v>
      </c>
      <c r="B3707">
        <v>4</v>
      </c>
      <c r="C3707">
        <v>1209</v>
      </c>
      <c r="D3707">
        <v>0</v>
      </c>
      <c r="E3707">
        <v>26</v>
      </c>
      <c r="F3707" t="s">
        <v>19</v>
      </c>
      <c r="G3707" t="s">
        <v>367</v>
      </c>
      <c r="H3707" t="s">
        <v>16</v>
      </c>
      <c r="I3707" t="s">
        <v>448</v>
      </c>
    </row>
    <row r="3708" spans="1:9" x14ac:dyDescent="0.2">
      <c r="A3708">
        <v>17460538</v>
      </c>
      <c r="B3708">
        <v>1</v>
      </c>
      <c r="C3708">
        <v>3211</v>
      </c>
      <c r="D3708">
        <v>0</v>
      </c>
      <c r="E3708">
        <v>36</v>
      </c>
      <c r="F3708" t="s">
        <v>47</v>
      </c>
      <c r="G3708" t="s">
        <v>99</v>
      </c>
      <c r="H3708" t="s">
        <v>46</v>
      </c>
      <c r="I3708">
        <v>10</v>
      </c>
    </row>
    <row r="3709" spans="1:9" x14ac:dyDescent="0.2">
      <c r="A3709">
        <v>17460538</v>
      </c>
      <c r="B3709">
        <v>2</v>
      </c>
      <c r="C3709">
        <v>3212</v>
      </c>
      <c r="D3709">
        <v>0</v>
      </c>
      <c r="E3709">
        <v>36</v>
      </c>
      <c r="F3709" t="s">
        <v>47</v>
      </c>
      <c r="G3709" t="s">
        <v>84</v>
      </c>
      <c r="H3709" t="s">
        <v>46</v>
      </c>
      <c r="I3709">
        <v>10</v>
      </c>
    </row>
    <row r="3710" spans="1:9" x14ac:dyDescent="0.2">
      <c r="A3710">
        <v>17477129</v>
      </c>
      <c r="B3710">
        <v>1</v>
      </c>
      <c r="C3710">
        <v>3234</v>
      </c>
      <c r="D3710">
        <v>45850</v>
      </c>
      <c r="E3710">
        <v>25</v>
      </c>
      <c r="F3710" t="s">
        <v>47</v>
      </c>
      <c r="G3710" t="s">
        <v>76</v>
      </c>
      <c r="H3710" t="s">
        <v>46</v>
      </c>
      <c r="I3710">
        <v>10</v>
      </c>
    </row>
    <row r="3711" spans="1:9" x14ac:dyDescent="0.2">
      <c r="A3711">
        <v>17477129</v>
      </c>
      <c r="B3711">
        <v>2</v>
      </c>
      <c r="C3711">
        <v>3252</v>
      </c>
      <c r="D3711">
        <v>45605</v>
      </c>
      <c r="E3711">
        <v>25</v>
      </c>
      <c r="F3711" t="s">
        <v>47</v>
      </c>
      <c r="G3711" t="s">
        <v>45</v>
      </c>
      <c r="H3711" t="s">
        <v>46</v>
      </c>
      <c r="I3711">
        <v>10</v>
      </c>
    </row>
    <row r="3712" spans="1:9" x14ac:dyDescent="0.2">
      <c r="A3712">
        <v>17477129</v>
      </c>
      <c r="B3712">
        <v>3</v>
      </c>
      <c r="C3712">
        <v>3243</v>
      </c>
      <c r="D3712">
        <v>46015</v>
      </c>
      <c r="E3712">
        <v>25</v>
      </c>
      <c r="F3712" t="s">
        <v>47</v>
      </c>
      <c r="G3712" t="s">
        <v>75</v>
      </c>
      <c r="H3712" t="s">
        <v>46</v>
      </c>
      <c r="I3712">
        <v>10</v>
      </c>
    </row>
    <row r="3713" spans="1:9" x14ac:dyDescent="0.2">
      <c r="A3713">
        <v>17479024</v>
      </c>
      <c r="B3713">
        <v>1</v>
      </c>
      <c r="C3713">
        <v>2640</v>
      </c>
      <c r="D3713">
        <v>53140</v>
      </c>
      <c r="E3713">
        <v>25</v>
      </c>
      <c r="F3713" t="s">
        <v>71</v>
      </c>
      <c r="G3713" t="s">
        <v>184</v>
      </c>
      <c r="H3713" t="s">
        <v>24</v>
      </c>
      <c r="I3713">
        <v>5</v>
      </c>
    </row>
    <row r="3714" spans="1:9" x14ac:dyDescent="0.2">
      <c r="A3714">
        <v>17479024</v>
      </c>
      <c r="B3714">
        <v>2</v>
      </c>
      <c r="C3714">
        <v>1439</v>
      </c>
      <c r="D3714">
        <v>53780</v>
      </c>
      <c r="E3714">
        <v>25</v>
      </c>
      <c r="F3714" t="s">
        <v>25</v>
      </c>
      <c r="G3714" t="s">
        <v>29</v>
      </c>
      <c r="H3714" t="s">
        <v>24</v>
      </c>
      <c r="I3714">
        <v>5</v>
      </c>
    </row>
    <row r="3715" spans="1:9" x14ac:dyDescent="0.2">
      <c r="A3715">
        <v>17479024</v>
      </c>
      <c r="B3715">
        <v>3</v>
      </c>
      <c r="C3715">
        <v>1339</v>
      </c>
      <c r="D3715">
        <v>54300</v>
      </c>
      <c r="E3715">
        <v>25</v>
      </c>
      <c r="F3715" t="s">
        <v>21</v>
      </c>
      <c r="G3715" t="s">
        <v>185</v>
      </c>
      <c r="H3715" t="s">
        <v>20</v>
      </c>
      <c r="I3715">
        <v>8</v>
      </c>
    </row>
    <row r="3716" spans="1:9" x14ac:dyDescent="0.2">
      <c r="A3716">
        <v>17520052</v>
      </c>
      <c r="B3716">
        <v>1</v>
      </c>
      <c r="C3716">
        <v>3242</v>
      </c>
      <c r="D3716">
        <v>54270</v>
      </c>
      <c r="E3716">
        <v>24</v>
      </c>
      <c r="F3716" t="s">
        <v>47</v>
      </c>
      <c r="G3716" t="s">
        <v>90</v>
      </c>
      <c r="H3716" t="s">
        <v>46</v>
      </c>
      <c r="I3716">
        <v>10</v>
      </c>
    </row>
    <row r="3717" spans="1:9" x14ac:dyDescent="0.2">
      <c r="A3717">
        <v>17520052</v>
      </c>
      <c r="B3717">
        <v>2</v>
      </c>
      <c r="C3717">
        <v>3243</v>
      </c>
      <c r="D3717">
        <v>0</v>
      </c>
      <c r="E3717">
        <v>26</v>
      </c>
      <c r="F3717" t="s">
        <v>47</v>
      </c>
      <c r="G3717" t="s">
        <v>75</v>
      </c>
      <c r="H3717" t="s">
        <v>46</v>
      </c>
      <c r="I3717">
        <v>10</v>
      </c>
    </row>
    <row r="3718" spans="1:9" x14ac:dyDescent="0.2">
      <c r="A3718">
        <v>17520052</v>
      </c>
      <c r="B3718">
        <v>3</v>
      </c>
      <c r="C3718">
        <v>3246</v>
      </c>
      <c r="D3718">
        <v>0</v>
      </c>
      <c r="E3718">
        <v>26</v>
      </c>
      <c r="F3718" t="s">
        <v>47</v>
      </c>
      <c r="G3718" t="s">
        <v>91</v>
      </c>
      <c r="H3718" t="s">
        <v>74</v>
      </c>
      <c r="I3718">
        <v>10</v>
      </c>
    </row>
    <row r="3719" spans="1:9" x14ac:dyDescent="0.2">
      <c r="A3719">
        <v>17525049</v>
      </c>
      <c r="B3719">
        <v>1</v>
      </c>
      <c r="C3719">
        <v>1714</v>
      </c>
      <c r="D3719">
        <v>60420</v>
      </c>
      <c r="E3719">
        <v>24</v>
      </c>
      <c r="F3719" t="s">
        <v>57</v>
      </c>
      <c r="G3719" t="s">
        <v>95</v>
      </c>
      <c r="H3719" t="s">
        <v>69</v>
      </c>
      <c r="I3719">
        <v>10</v>
      </c>
    </row>
    <row r="3720" spans="1:9" x14ac:dyDescent="0.2">
      <c r="A3720">
        <v>17525049</v>
      </c>
      <c r="B3720">
        <v>2</v>
      </c>
      <c r="C3720">
        <v>1865</v>
      </c>
      <c r="D3720">
        <v>0</v>
      </c>
      <c r="E3720">
        <v>26</v>
      </c>
      <c r="F3720" t="s">
        <v>223</v>
      </c>
      <c r="G3720" t="s">
        <v>276</v>
      </c>
      <c r="H3720" t="s">
        <v>41</v>
      </c>
      <c r="I3720">
        <v>2</v>
      </c>
    </row>
    <row r="3721" spans="1:9" x14ac:dyDescent="0.2">
      <c r="A3721">
        <v>17525049</v>
      </c>
      <c r="B3721">
        <v>3</v>
      </c>
      <c r="C3721">
        <v>1700</v>
      </c>
      <c r="D3721">
        <v>0</v>
      </c>
      <c r="E3721">
        <v>26</v>
      </c>
      <c r="F3721" t="s">
        <v>57</v>
      </c>
      <c r="G3721" t="s">
        <v>58</v>
      </c>
      <c r="H3721" t="s">
        <v>69</v>
      </c>
      <c r="I3721">
        <v>10</v>
      </c>
    </row>
    <row r="3722" spans="1:9" x14ac:dyDescent="0.2">
      <c r="A3722">
        <v>17525049</v>
      </c>
      <c r="B3722">
        <v>4</v>
      </c>
      <c r="C3722">
        <v>1775</v>
      </c>
      <c r="D3722">
        <v>0</v>
      </c>
      <c r="E3722">
        <v>26</v>
      </c>
      <c r="F3722" t="s">
        <v>57</v>
      </c>
      <c r="G3722" t="s">
        <v>94</v>
      </c>
      <c r="H3722" t="s">
        <v>69</v>
      </c>
      <c r="I3722">
        <v>10</v>
      </c>
    </row>
    <row r="3723" spans="1:9" x14ac:dyDescent="0.2">
      <c r="A3723">
        <v>17525049</v>
      </c>
      <c r="B3723">
        <v>5</v>
      </c>
      <c r="C3723">
        <v>1401</v>
      </c>
      <c r="D3723">
        <v>0</v>
      </c>
      <c r="E3723">
        <v>26</v>
      </c>
      <c r="F3723" t="s">
        <v>25</v>
      </c>
      <c r="G3723" t="s">
        <v>26</v>
      </c>
      <c r="H3723" t="s">
        <v>27</v>
      </c>
      <c r="I3723">
        <v>5</v>
      </c>
    </row>
    <row r="3724" spans="1:9" x14ac:dyDescent="0.2">
      <c r="A3724">
        <v>17563059</v>
      </c>
      <c r="B3724">
        <v>1</v>
      </c>
      <c r="C3724">
        <v>1402</v>
      </c>
      <c r="D3724">
        <v>63095</v>
      </c>
      <c r="E3724">
        <v>25</v>
      </c>
      <c r="F3724" t="s">
        <v>25</v>
      </c>
      <c r="G3724" t="s">
        <v>18</v>
      </c>
      <c r="H3724" t="s">
        <v>24</v>
      </c>
      <c r="I3724">
        <v>5</v>
      </c>
    </row>
    <row r="3725" spans="1:9" x14ac:dyDescent="0.2">
      <c r="A3725">
        <v>17563059</v>
      </c>
      <c r="B3725">
        <v>2</v>
      </c>
      <c r="C3725">
        <v>1403</v>
      </c>
      <c r="D3725">
        <v>63095</v>
      </c>
      <c r="E3725">
        <v>24</v>
      </c>
      <c r="F3725" t="s">
        <v>25</v>
      </c>
      <c r="G3725" t="s">
        <v>141</v>
      </c>
      <c r="H3725" t="s">
        <v>24</v>
      </c>
      <c r="I3725">
        <v>5</v>
      </c>
    </row>
    <row r="3726" spans="1:9" x14ac:dyDescent="0.2">
      <c r="A3726">
        <v>17563059</v>
      </c>
      <c r="B3726">
        <v>3</v>
      </c>
      <c r="C3726">
        <v>1519</v>
      </c>
      <c r="D3726">
        <v>0</v>
      </c>
      <c r="E3726">
        <v>26</v>
      </c>
      <c r="F3726" t="s">
        <v>142</v>
      </c>
      <c r="G3726" t="s">
        <v>18</v>
      </c>
      <c r="H3726" t="s">
        <v>31</v>
      </c>
      <c r="I3726">
        <v>5</v>
      </c>
    </row>
    <row r="3727" spans="1:9" x14ac:dyDescent="0.2">
      <c r="A3727">
        <v>17563059</v>
      </c>
      <c r="B3727">
        <v>4</v>
      </c>
      <c r="C3727">
        <v>1920</v>
      </c>
      <c r="D3727">
        <v>0</v>
      </c>
      <c r="E3727">
        <v>26</v>
      </c>
      <c r="F3727" t="s">
        <v>32</v>
      </c>
      <c r="G3727" t="s">
        <v>18</v>
      </c>
      <c r="H3727" t="s">
        <v>31</v>
      </c>
      <c r="I3727">
        <v>5</v>
      </c>
    </row>
    <row r="3728" spans="1:9" x14ac:dyDescent="0.2">
      <c r="A3728">
        <v>17563059</v>
      </c>
      <c r="B3728">
        <v>5</v>
      </c>
      <c r="C3728">
        <v>2901</v>
      </c>
      <c r="D3728">
        <v>0</v>
      </c>
      <c r="E3728">
        <v>26</v>
      </c>
      <c r="F3728" t="s">
        <v>119</v>
      </c>
      <c r="G3728" t="s">
        <v>18</v>
      </c>
      <c r="H3728" t="s">
        <v>20</v>
      </c>
      <c r="I3728">
        <v>8</v>
      </c>
    </row>
    <row r="3729" spans="1:9" x14ac:dyDescent="0.2">
      <c r="A3729">
        <v>17563059</v>
      </c>
      <c r="B3729">
        <v>6</v>
      </c>
      <c r="C3729">
        <v>1380</v>
      </c>
      <c r="D3729">
        <v>0</v>
      </c>
      <c r="E3729">
        <v>26</v>
      </c>
      <c r="F3729" t="s">
        <v>21</v>
      </c>
      <c r="G3729" t="s">
        <v>18</v>
      </c>
      <c r="H3729" t="s">
        <v>20</v>
      </c>
      <c r="I3729">
        <v>8</v>
      </c>
    </row>
    <row r="3730" spans="1:9" x14ac:dyDescent="0.2">
      <c r="A3730">
        <v>17563059</v>
      </c>
      <c r="B3730">
        <v>7</v>
      </c>
      <c r="C3730">
        <v>1733</v>
      </c>
      <c r="D3730">
        <v>0</v>
      </c>
      <c r="E3730">
        <v>26</v>
      </c>
      <c r="F3730" t="s">
        <v>57</v>
      </c>
      <c r="G3730" t="s">
        <v>18</v>
      </c>
      <c r="H3730" t="s">
        <v>69</v>
      </c>
      <c r="I3730">
        <v>10</v>
      </c>
    </row>
    <row r="3731" spans="1:9" x14ac:dyDescent="0.2">
      <c r="A3731">
        <v>17563059</v>
      </c>
      <c r="B3731">
        <v>8</v>
      </c>
      <c r="C3731">
        <v>3200</v>
      </c>
      <c r="D3731">
        <v>0</v>
      </c>
      <c r="E3731">
        <v>26</v>
      </c>
      <c r="F3731" t="s">
        <v>47</v>
      </c>
      <c r="G3731" t="s">
        <v>18</v>
      </c>
      <c r="H3731" t="s">
        <v>46</v>
      </c>
      <c r="I3731">
        <v>10</v>
      </c>
    </row>
    <row r="3732" spans="1:9" x14ac:dyDescent="0.2">
      <c r="A3732">
        <v>17563422</v>
      </c>
      <c r="B3732">
        <v>1</v>
      </c>
      <c r="C3732">
        <v>1728</v>
      </c>
      <c r="D3732">
        <v>54770</v>
      </c>
      <c r="E3732">
        <v>25</v>
      </c>
      <c r="F3732" t="s">
        <v>57</v>
      </c>
      <c r="G3732" t="s">
        <v>103</v>
      </c>
      <c r="H3732" t="s">
        <v>69</v>
      </c>
      <c r="I3732">
        <v>10</v>
      </c>
    </row>
    <row r="3733" spans="1:9" x14ac:dyDescent="0.2">
      <c r="A3733">
        <v>17563422</v>
      </c>
      <c r="B3733">
        <v>2</v>
      </c>
      <c r="C3733">
        <v>1714</v>
      </c>
      <c r="D3733">
        <v>54610</v>
      </c>
      <c r="E3733">
        <v>25</v>
      </c>
      <c r="F3733" t="s">
        <v>57</v>
      </c>
      <c r="G3733" t="s">
        <v>95</v>
      </c>
      <c r="H3733" t="s">
        <v>69</v>
      </c>
      <c r="I3733">
        <v>10</v>
      </c>
    </row>
    <row r="3734" spans="1:9" x14ac:dyDescent="0.2">
      <c r="A3734">
        <v>17563422</v>
      </c>
      <c r="B3734">
        <v>3</v>
      </c>
      <c r="C3734">
        <v>1700</v>
      </c>
      <c r="D3734">
        <v>54080</v>
      </c>
      <c r="E3734">
        <v>24</v>
      </c>
      <c r="F3734" t="s">
        <v>57</v>
      </c>
      <c r="G3734" t="s">
        <v>58</v>
      </c>
      <c r="H3734" t="s">
        <v>69</v>
      </c>
      <c r="I3734">
        <v>10</v>
      </c>
    </row>
    <row r="3735" spans="1:9" x14ac:dyDescent="0.2">
      <c r="A3735">
        <v>17563422</v>
      </c>
      <c r="B3735">
        <v>4</v>
      </c>
      <c r="C3735">
        <v>1701</v>
      </c>
      <c r="D3735">
        <v>0</v>
      </c>
      <c r="E3735">
        <v>26</v>
      </c>
      <c r="F3735" t="s">
        <v>57</v>
      </c>
      <c r="G3735" t="s">
        <v>96</v>
      </c>
      <c r="H3735" t="s">
        <v>69</v>
      </c>
      <c r="I3735">
        <v>10</v>
      </c>
    </row>
    <row r="3736" spans="1:9" x14ac:dyDescent="0.2">
      <c r="A3736">
        <v>17563422</v>
      </c>
      <c r="B3736">
        <v>5</v>
      </c>
      <c r="C3736">
        <v>3029</v>
      </c>
      <c r="D3736">
        <v>0</v>
      </c>
      <c r="E3736">
        <v>26</v>
      </c>
      <c r="F3736" t="s">
        <v>44</v>
      </c>
      <c r="G3736" t="s">
        <v>247</v>
      </c>
      <c r="H3736" t="s">
        <v>50</v>
      </c>
      <c r="I3736">
        <v>9</v>
      </c>
    </row>
    <row r="3737" spans="1:9" x14ac:dyDescent="0.2">
      <c r="A3737">
        <v>17563422</v>
      </c>
      <c r="B3737">
        <v>6</v>
      </c>
      <c r="C3737">
        <v>3229</v>
      </c>
      <c r="D3737">
        <v>0</v>
      </c>
      <c r="E3737">
        <v>26</v>
      </c>
      <c r="F3737" t="s">
        <v>47</v>
      </c>
      <c r="G3737" t="s">
        <v>101</v>
      </c>
      <c r="H3737" t="s">
        <v>46</v>
      </c>
      <c r="I3737">
        <v>10</v>
      </c>
    </row>
    <row r="3738" spans="1:9" x14ac:dyDescent="0.2">
      <c r="A3738">
        <v>17580654</v>
      </c>
      <c r="B3738">
        <v>1</v>
      </c>
      <c r="C3738">
        <v>3242</v>
      </c>
      <c r="D3738">
        <v>49675</v>
      </c>
      <c r="E3738">
        <v>25</v>
      </c>
      <c r="F3738" t="s">
        <v>47</v>
      </c>
      <c r="G3738" t="s">
        <v>90</v>
      </c>
      <c r="H3738" t="s">
        <v>46</v>
      </c>
      <c r="I3738">
        <v>10</v>
      </c>
    </row>
    <row r="3739" spans="1:9" x14ac:dyDescent="0.2">
      <c r="A3739">
        <v>17580654</v>
      </c>
      <c r="B3739">
        <v>2</v>
      </c>
      <c r="C3739">
        <v>3252</v>
      </c>
      <c r="D3739">
        <v>49250</v>
      </c>
      <c r="E3739">
        <v>25</v>
      </c>
      <c r="F3739" t="s">
        <v>47</v>
      </c>
      <c r="G3739" t="s">
        <v>45</v>
      </c>
      <c r="H3739" t="s">
        <v>46</v>
      </c>
      <c r="I3739">
        <v>10</v>
      </c>
    </row>
    <row r="3740" spans="1:9" x14ac:dyDescent="0.2">
      <c r="A3740">
        <v>17580654</v>
      </c>
      <c r="B3740">
        <v>3</v>
      </c>
      <c r="C3740">
        <v>3261</v>
      </c>
      <c r="D3740">
        <v>49240</v>
      </c>
      <c r="E3740">
        <v>25</v>
      </c>
      <c r="F3740" t="s">
        <v>47</v>
      </c>
      <c r="G3740" t="s">
        <v>93</v>
      </c>
      <c r="H3740" t="s">
        <v>46</v>
      </c>
      <c r="I3740">
        <v>10</v>
      </c>
    </row>
    <row r="3741" spans="1:9" x14ac:dyDescent="0.2">
      <c r="A3741">
        <v>17607016</v>
      </c>
      <c r="B3741">
        <v>1</v>
      </c>
      <c r="C3741">
        <v>3212</v>
      </c>
      <c r="D3741">
        <v>59300</v>
      </c>
      <c r="E3741">
        <v>24</v>
      </c>
      <c r="F3741" t="s">
        <v>47</v>
      </c>
      <c r="G3741" t="s">
        <v>84</v>
      </c>
      <c r="H3741" t="s">
        <v>46</v>
      </c>
      <c r="I3741">
        <v>10</v>
      </c>
    </row>
    <row r="3742" spans="1:9" x14ac:dyDescent="0.2">
      <c r="A3742">
        <v>17607016</v>
      </c>
      <c r="B3742">
        <v>2</v>
      </c>
      <c r="C3742">
        <v>1439</v>
      </c>
      <c r="D3742">
        <v>0</v>
      </c>
      <c r="E3742">
        <v>26</v>
      </c>
      <c r="F3742" t="s">
        <v>25</v>
      </c>
      <c r="G3742" t="s">
        <v>29</v>
      </c>
      <c r="H3742" t="s">
        <v>24</v>
      </c>
      <c r="I3742">
        <v>5</v>
      </c>
    </row>
    <row r="3743" spans="1:9" x14ac:dyDescent="0.2">
      <c r="A3743">
        <v>17607016</v>
      </c>
      <c r="B3743">
        <v>3</v>
      </c>
      <c r="C3743">
        <v>3243</v>
      </c>
      <c r="D3743">
        <v>0</v>
      </c>
      <c r="E3743">
        <v>26</v>
      </c>
      <c r="F3743" t="s">
        <v>47</v>
      </c>
      <c r="G3743" t="s">
        <v>75</v>
      </c>
      <c r="H3743" t="s">
        <v>46</v>
      </c>
      <c r="I3743">
        <v>10</v>
      </c>
    </row>
    <row r="3744" spans="1:9" x14ac:dyDescent="0.2">
      <c r="A3744">
        <v>17607016</v>
      </c>
      <c r="B3744">
        <v>4</v>
      </c>
      <c r="C3744">
        <v>3211</v>
      </c>
      <c r="D3744">
        <v>0</v>
      </c>
      <c r="E3744">
        <v>26</v>
      </c>
      <c r="F3744" t="s">
        <v>47</v>
      </c>
      <c r="G3744" t="s">
        <v>99</v>
      </c>
      <c r="H3744" t="s">
        <v>46</v>
      </c>
      <c r="I3744">
        <v>10</v>
      </c>
    </row>
    <row r="3745" spans="1:9" x14ac:dyDescent="0.2">
      <c r="A3745">
        <v>17607016</v>
      </c>
      <c r="B3745">
        <v>5</v>
      </c>
      <c r="C3745">
        <v>1778</v>
      </c>
      <c r="D3745">
        <v>0</v>
      </c>
      <c r="E3745">
        <v>26</v>
      </c>
      <c r="F3745" t="s">
        <v>57</v>
      </c>
      <c r="G3745" t="s">
        <v>84</v>
      </c>
      <c r="H3745" t="s">
        <v>56</v>
      </c>
      <c r="I3745">
        <v>10</v>
      </c>
    </row>
    <row r="3746" spans="1:9" x14ac:dyDescent="0.2">
      <c r="A3746">
        <v>17607016</v>
      </c>
      <c r="B3746">
        <v>6</v>
      </c>
      <c r="C3746">
        <v>1709</v>
      </c>
      <c r="D3746">
        <v>0</v>
      </c>
      <c r="E3746">
        <v>26</v>
      </c>
      <c r="F3746" t="s">
        <v>57</v>
      </c>
      <c r="G3746" t="s">
        <v>84</v>
      </c>
      <c r="H3746" t="s">
        <v>69</v>
      </c>
      <c r="I3746">
        <v>10</v>
      </c>
    </row>
    <row r="3747" spans="1:9" x14ac:dyDescent="0.2">
      <c r="A3747">
        <v>17607016</v>
      </c>
      <c r="B3747">
        <v>7</v>
      </c>
      <c r="C3747">
        <v>3214</v>
      </c>
      <c r="D3747">
        <v>0</v>
      </c>
      <c r="E3747">
        <v>26</v>
      </c>
      <c r="F3747" t="s">
        <v>47</v>
      </c>
      <c r="G3747" t="s">
        <v>98</v>
      </c>
      <c r="H3747" t="s">
        <v>74</v>
      </c>
      <c r="I3747">
        <v>10</v>
      </c>
    </row>
    <row r="3748" spans="1:9" x14ac:dyDescent="0.2">
      <c r="A3748">
        <v>17636083</v>
      </c>
      <c r="B3748">
        <v>1</v>
      </c>
      <c r="C3748">
        <v>1788</v>
      </c>
      <c r="D3748">
        <v>62235</v>
      </c>
      <c r="E3748">
        <v>24</v>
      </c>
      <c r="F3748" t="s">
        <v>57</v>
      </c>
      <c r="G3748" t="s">
        <v>97</v>
      </c>
      <c r="H3748" t="s">
        <v>56</v>
      </c>
      <c r="I3748">
        <v>10</v>
      </c>
    </row>
    <row r="3749" spans="1:9" x14ac:dyDescent="0.2">
      <c r="A3749">
        <v>17636083</v>
      </c>
      <c r="B3749">
        <v>2</v>
      </c>
      <c r="C3749">
        <v>1733</v>
      </c>
      <c r="D3749">
        <v>0</v>
      </c>
      <c r="E3749">
        <v>26</v>
      </c>
      <c r="F3749" t="s">
        <v>57</v>
      </c>
      <c r="G3749" t="s">
        <v>18</v>
      </c>
      <c r="H3749" t="s">
        <v>69</v>
      </c>
      <c r="I3749">
        <v>10</v>
      </c>
    </row>
    <row r="3750" spans="1:9" x14ac:dyDescent="0.2">
      <c r="A3750">
        <v>17636083</v>
      </c>
      <c r="B3750">
        <v>3</v>
      </c>
      <c r="C3750">
        <v>3212</v>
      </c>
      <c r="D3750">
        <v>0</v>
      </c>
      <c r="E3750">
        <v>26</v>
      </c>
      <c r="F3750" t="s">
        <v>47</v>
      </c>
      <c r="G3750" t="s">
        <v>84</v>
      </c>
      <c r="H3750" t="s">
        <v>46</v>
      </c>
      <c r="I3750">
        <v>10</v>
      </c>
    </row>
    <row r="3751" spans="1:9" x14ac:dyDescent="0.2">
      <c r="A3751">
        <v>17636083</v>
      </c>
      <c r="B3751">
        <v>4</v>
      </c>
      <c r="C3751">
        <v>3234</v>
      </c>
      <c r="D3751">
        <v>0</v>
      </c>
      <c r="E3751">
        <v>26</v>
      </c>
      <c r="F3751" t="s">
        <v>47</v>
      </c>
      <c r="G3751" t="s">
        <v>76</v>
      </c>
      <c r="H3751" t="s">
        <v>46</v>
      </c>
      <c r="I3751">
        <v>10</v>
      </c>
    </row>
    <row r="3752" spans="1:9" x14ac:dyDescent="0.2">
      <c r="A3752">
        <v>17636083</v>
      </c>
      <c r="B3752">
        <v>5</v>
      </c>
      <c r="C3752">
        <v>1710</v>
      </c>
      <c r="D3752">
        <v>0</v>
      </c>
      <c r="E3752">
        <v>30</v>
      </c>
      <c r="F3752" t="s">
        <v>57</v>
      </c>
      <c r="G3752" t="s">
        <v>169</v>
      </c>
      <c r="H3752" t="s">
        <v>69</v>
      </c>
      <c r="I3752">
        <v>10</v>
      </c>
    </row>
    <row r="3753" spans="1:9" x14ac:dyDescent="0.2">
      <c r="A3753">
        <v>17636083</v>
      </c>
      <c r="B3753">
        <v>6</v>
      </c>
      <c r="C3753">
        <v>3200</v>
      </c>
      <c r="D3753">
        <v>0</v>
      </c>
      <c r="E3753">
        <v>26</v>
      </c>
      <c r="F3753" t="s">
        <v>47</v>
      </c>
      <c r="G3753" t="s">
        <v>18</v>
      </c>
      <c r="H3753" t="s">
        <v>46</v>
      </c>
      <c r="I3753">
        <v>10</v>
      </c>
    </row>
    <row r="3754" spans="1:9" x14ac:dyDescent="0.2">
      <c r="A3754">
        <v>17636083</v>
      </c>
      <c r="B3754">
        <v>7</v>
      </c>
      <c r="C3754">
        <v>1169</v>
      </c>
      <c r="D3754">
        <v>0</v>
      </c>
      <c r="E3754">
        <v>16</v>
      </c>
      <c r="F3754" t="s">
        <v>17</v>
      </c>
      <c r="G3754" t="s">
        <v>295</v>
      </c>
      <c r="H3754" t="s">
        <v>16</v>
      </c>
      <c r="I3754" t="s">
        <v>448</v>
      </c>
    </row>
    <row r="3755" spans="1:9" x14ac:dyDescent="0.2">
      <c r="A3755">
        <v>17636083</v>
      </c>
      <c r="B3755">
        <v>8</v>
      </c>
      <c r="C3755">
        <v>3239</v>
      </c>
      <c r="D3755">
        <v>0</v>
      </c>
      <c r="E3755">
        <v>26</v>
      </c>
      <c r="F3755" t="s">
        <v>47</v>
      </c>
      <c r="G3755" t="s">
        <v>107</v>
      </c>
      <c r="H3755" t="s">
        <v>46</v>
      </c>
      <c r="I3755">
        <v>10</v>
      </c>
    </row>
    <row r="3756" spans="1:9" x14ac:dyDescent="0.2">
      <c r="A3756">
        <v>17665344</v>
      </c>
      <c r="B3756">
        <v>1</v>
      </c>
      <c r="C3756">
        <v>3064</v>
      </c>
      <c r="D3756">
        <v>51600</v>
      </c>
      <c r="E3756">
        <v>25</v>
      </c>
      <c r="F3756" t="s">
        <v>44</v>
      </c>
      <c r="G3756" t="s">
        <v>97</v>
      </c>
      <c r="H3756" t="s">
        <v>52</v>
      </c>
      <c r="I3756">
        <v>9</v>
      </c>
    </row>
    <row r="3757" spans="1:9" x14ac:dyDescent="0.2">
      <c r="A3757">
        <v>17665344</v>
      </c>
      <c r="B3757">
        <v>2</v>
      </c>
      <c r="C3757">
        <v>3704</v>
      </c>
      <c r="D3757">
        <v>51695</v>
      </c>
      <c r="E3757">
        <v>25</v>
      </c>
      <c r="F3757" t="s">
        <v>116</v>
      </c>
      <c r="G3757" t="s">
        <v>93</v>
      </c>
      <c r="H3757" t="s">
        <v>61</v>
      </c>
      <c r="I3757">
        <v>9</v>
      </c>
    </row>
    <row r="3758" spans="1:9" x14ac:dyDescent="0.2">
      <c r="A3758">
        <v>17665344</v>
      </c>
      <c r="B3758">
        <v>3</v>
      </c>
      <c r="C3758">
        <v>3067</v>
      </c>
      <c r="D3758">
        <v>51600</v>
      </c>
      <c r="E3758">
        <v>25</v>
      </c>
      <c r="F3758" t="s">
        <v>44</v>
      </c>
      <c r="G3758" t="s">
        <v>252</v>
      </c>
      <c r="H3758" t="s">
        <v>52</v>
      </c>
      <c r="I3758">
        <v>9</v>
      </c>
    </row>
    <row r="3759" spans="1:9" x14ac:dyDescent="0.2">
      <c r="A3759">
        <v>17665344</v>
      </c>
      <c r="B3759">
        <v>4</v>
      </c>
      <c r="C3759">
        <v>1220</v>
      </c>
      <c r="D3759">
        <v>51790</v>
      </c>
      <c r="E3759">
        <v>25</v>
      </c>
      <c r="F3759" t="s">
        <v>19</v>
      </c>
      <c r="G3759" t="s">
        <v>244</v>
      </c>
      <c r="H3759" t="s">
        <v>16</v>
      </c>
      <c r="I3759" t="s">
        <v>448</v>
      </c>
    </row>
    <row r="3760" spans="1:9" x14ac:dyDescent="0.2">
      <c r="A3760">
        <v>17665344</v>
      </c>
      <c r="B3760">
        <v>5</v>
      </c>
      <c r="C3760">
        <v>1774</v>
      </c>
      <c r="D3760">
        <v>51615</v>
      </c>
      <c r="E3760">
        <v>25</v>
      </c>
      <c r="F3760" t="s">
        <v>57</v>
      </c>
      <c r="G3760" t="s">
        <v>296</v>
      </c>
      <c r="H3760" t="s">
        <v>69</v>
      </c>
      <c r="I3760">
        <v>10</v>
      </c>
    </row>
    <row r="3761" spans="1:9" x14ac:dyDescent="0.2">
      <c r="A3761">
        <v>17665344</v>
      </c>
      <c r="B3761">
        <v>6</v>
      </c>
      <c r="C3761">
        <v>3239</v>
      </c>
      <c r="D3761">
        <v>51705</v>
      </c>
      <c r="E3761">
        <v>25</v>
      </c>
      <c r="F3761" t="s">
        <v>47</v>
      </c>
      <c r="G3761" t="s">
        <v>107</v>
      </c>
      <c r="H3761" t="s">
        <v>46</v>
      </c>
      <c r="I3761">
        <v>10</v>
      </c>
    </row>
    <row r="3762" spans="1:9" x14ac:dyDescent="0.2">
      <c r="A3762">
        <v>17665344</v>
      </c>
      <c r="B3762">
        <v>7</v>
      </c>
      <c r="C3762">
        <v>3261</v>
      </c>
      <c r="D3762">
        <v>51560</v>
      </c>
      <c r="E3762">
        <v>24</v>
      </c>
      <c r="F3762" t="s">
        <v>47</v>
      </c>
      <c r="G3762" t="s">
        <v>93</v>
      </c>
      <c r="H3762" t="s">
        <v>46</v>
      </c>
      <c r="I3762">
        <v>10</v>
      </c>
    </row>
    <row r="3763" spans="1:9" x14ac:dyDescent="0.2">
      <c r="A3763">
        <v>17665344</v>
      </c>
      <c r="B3763">
        <v>8</v>
      </c>
      <c r="C3763">
        <v>1788</v>
      </c>
      <c r="D3763">
        <v>0</v>
      </c>
      <c r="E3763">
        <v>26</v>
      </c>
      <c r="F3763" t="s">
        <v>57</v>
      </c>
      <c r="G3763" t="s">
        <v>97</v>
      </c>
      <c r="H3763" t="s">
        <v>56</v>
      </c>
      <c r="I3763">
        <v>10</v>
      </c>
    </row>
    <row r="3764" spans="1:9" x14ac:dyDescent="0.2">
      <c r="A3764">
        <v>17720601</v>
      </c>
      <c r="B3764">
        <v>1</v>
      </c>
      <c r="C3764">
        <v>3225</v>
      </c>
      <c r="D3764">
        <v>0</v>
      </c>
      <c r="E3764">
        <v>36</v>
      </c>
      <c r="F3764" t="s">
        <v>47</v>
      </c>
      <c r="G3764" t="s">
        <v>106</v>
      </c>
      <c r="H3764" t="s">
        <v>46</v>
      </c>
      <c r="I3764">
        <v>10</v>
      </c>
    </row>
    <row r="3765" spans="1:9" x14ac:dyDescent="0.2">
      <c r="A3765">
        <v>17720601</v>
      </c>
      <c r="B3765">
        <v>2</v>
      </c>
      <c r="C3765">
        <v>3269</v>
      </c>
      <c r="D3765">
        <v>0</v>
      </c>
      <c r="E3765">
        <v>36</v>
      </c>
      <c r="F3765" t="s">
        <v>47</v>
      </c>
      <c r="G3765" t="s">
        <v>180</v>
      </c>
      <c r="H3765" t="s">
        <v>46</v>
      </c>
      <c r="I3765">
        <v>10</v>
      </c>
    </row>
    <row r="3766" spans="1:9" x14ac:dyDescent="0.2">
      <c r="A3766">
        <v>17720601</v>
      </c>
      <c r="B3766">
        <v>3</v>
      </c>
      <c r="C3766">
        <v>3219</v>
      </c>
      <c r="D3766">
        <v>0</v>
      </c>
      <c r="E3766">
        <v>36</v>
      </c>
      <c r="F3766" t="s">
        <v>47</v>
      </c>
      <c r="G3766" t="s">
        <v>205</v>
      </c>
      <c r="H3766" t="s">
        <v>74</v>
      </c>
      <c r="I3766">
        <v>10</v>
      </c>
    </row>
    <row r="3767" spans="1:9" x14ac:dyDescent="0.2">
      <c r="A3767">
        <v>17720601</v>
      </c>
      <c r="B3767">
        <v>4</v>
      </c>
      <c r="C3767">
        <v>3226</v>
      </c>
      <c r="D3767">
        <v>0</v>
      </c>
      <c r="E3767">
        <v>36</v>
      </c>
      <c r="F3767" t="s">
        <v>47</v>
      </c>
      <c r="G3767" t="s">
        <v>96</v>
      </c>
      <c r="H3767" t="s">
        <v>46</v>
      </c>
      <c r="I3767">
        <v>10</v>
      </c>
    </row>
    <row r="3768" spans="1:9" x14ac:dyDescent="0.2">
      <c r="A3768">
        <v>17720601</v>
      </c>
      <c r="B3768">
        <v>5</v>
      </c>
      <c r="C3768">
        <v>3223</v>
      </c>
      <c r="D3768">
        <v>0</v>
      </c>
      <c r="E3768">
        <v>36</v>
      </c>
      <c r="F3768" t="s">
        <v>47</v>
      </c>
      <c r="G3768" t="s">
        <v>105</v>
      </c>
      <c r="H3768" t="s">
        <v>46</v>
      </c>
      <c r="I3768">
        <v>10</v>
      </c>
    </row>
    <row r="3769" spans="1:9" x14ac:dyDescent="0.2">
      <c r="A3769">
        <v>17720601</v>
      </c>
      <c r="B3769">
        <v>6</v>
      </c>
      <c r="C3769">
        <v>3212</v>
      </c>
      <c r="D3769">
        <v>0</v>
      </c>
      <c r="E3769">
        <v>36</v>
      </c>
      <c r="F3769" t="s">
        <v>47</v>
      </c>
      <c r="G3769" t="s">
        <v>84</v>
      </c>
      <c r="H3769" t="s">
        <v>46</v>
      </c>
      <c r="I3769">
        <v>10</v>
      </c>
    </row>
    <row r="3770" spans="1:9" x14ac:dyDescent="0.2">
      <c r="A3770">
        <v>17720601</v>
      </c>
      <c r="B3770">
        <v>7</v>
      </c>
      <c r="C3770">
        <v>3251</v>
      </c>
      <c r="D3770">
        <v>0</v>
      </c>
      <c r="E3770">
        <v>36</v>
      </c>
      <c r="F3770" t="s">
        <v>47</v>
      </c>
      <c r="G3770" t="s">
        <v>48</v>
      </c>
      <c r="H3770" t="s">
        <v>46</v>
      </c>
      <c r="I3770">
        <v>10</v>
      </c>
    </row>
    <row r="3771" spans="1:9" x14ac:dyDescent="0.2">
      <c r="A3771">
        <v>17720601</v>
      </c>
      <c r="B3771">
        <v>8</v>
      </c>
      <c r="C3771">
        <v>3296</v>
      </c>
      <c r="D3771">
        <v>0</v>
      </c>
      <c r="E3771">
        <v>36</v>
      </c>
      <c r="F3771" t="s">
        <v>47</v>
      </c>
      <c r="G3771" t="s">
        <v>100</v>
      </c>
      <c r="H3771" t="s">
        <v>46</v>
      </c>
      <c r="I3771">
        <v>10</v>
      </c>
    </row>
    <row r="3772" spans="1:9" x14ac:dyDescent="0.2">
      <c r="A3772">
        <v>17727003</v>
      </c>
      <c r="B3772">
        <v>1</v>
      </c>
      <c r="C3772">
        <v>3234</v>
      </c>
      <c r="D3772">
        <v>53865</v>
      </c>
      <c r="E3772">
        <v>25</v>
      </c>
      <c r="F3772" t="s">
        <v>47</v>
      </c>
      <c r="G3772" t="s">
        <v>76</v>
      </c>
      <c r="H3772" t="s">
        <v>46</v>
      </c>
      <c r="I3772">
        <v>10</v>
      </c>
    </row>
    <row r="3773" spans="1:9" x14ac:dyDescent="0.2">
      <c r="A3773">
        <v>17727003</v>
      </c>
      <c r="B3773">
        <v>2</v>
      </c>
      <c r="C3773">
        <v>1235</v>
      </c>
      <c r="D3773">
        <v>54565</v>
      </c>
      <c r="E3773">
        <v>25</v>
      </c>
      <c r="F3773" t="s">
        <v>19</v>
      </c>
      <c r="G3773" t="s">
        <v>179</v>
      </c>
      <c r="H3773" t="s">
        <v>16</v>
      </c>
      <c r="I3773" t="s">
        <v>448</v>
      </c>
    </row>
    <row r="3774" spans="1:9" x14ac:dyDescent="0.2">
      <c r="A3774">
        <v>17727003</v>
      </c>
      <c r="B3774">
        <v>3</v>
      </c>
      <c r="C3774">
        <v>1237</v>
      </c>
      <c r="D3774">
        <v>51885</v>
      </c>
      <c r="E3774">
        <v>25</v>
      </c>
      <c r="F3774" t="s">
        <v>19</v>
      </c>
      <c r="G3774" t="s">
        <v>65</v>
      </c>
      <c r="H3774" t="s">
        <v>16</v>
      </c>
      <c r="I3774" t="s">
        <v>448</v>
      </c>
    </row>
    <row r="3775" spans="1:9" x14ac:dyDescent="0.2">
      <c r="A3775">
        <v>17727003</v>
      </c>
      <c r="B3775">
        <v>4</v>
      </c>
      <c r="C3775">
        <v>3214</v>
      </c>
      <c r="D3775">
        <v>54945</v>
      </c>
      <c r="E3775">
        <v>24</v>
      </c>
      <c r="F3775" t="s">
        <v>47</v>
      </c>
      <c r="G3775" t="s">
        <v>98</v>
      </c>
      <c r="H3775" t="s">
        <v>74</v>
      </c>
      <c r="I3775">
        <v>10</v>
      </c>
    </row>
    <row r="3776" spans="1:9" x14ac:dyDescent="0.2">
      <c r="A3776">
        <v>17737855</v>
      </c>
      <c r="B3776">
        <v>1</v>
      </c>
      <c r="C3776">
        <v>3229</v>
      </c>
      <c r="D3776">
        <v>53235</v>
      </c>
      <c r="E3776">
        <v>25</v>
      </c>
      <c r="F3776" t="s">
        <v>47</v>
      </c>
      <c r="G3776" t="s">
        <v>101</v>
      </c>
      <c r="H3776" t="s">
        <v>46</v>
      </c>
      <c r="I3776">
        <v>10</v>
      </c>
    </row>
    <row r="3777" spans="1:9" x14ac:dyDescent="0.2">
      <c r="A3777">
        <v>17737855</v>
      </c>
      <c r="B3777">
        <v>2</v>
      </c>
      <c r="C3777">
        <v>3237</v>
      </c>
      <c r="D3777">
        <v>53890</v>
      </c>
      <c r="E3777">
        <v>24</v>
      </c>
      <c r="F3777" t="s">
        <v>47</v>
      </c>
      <c r="G3777" t="s">
        <v>181</v>
      </c>
      <c r="H3777" t="s">
        <v>46</v>
      </c>
      <c r="I3777">
        <v>10</v>
      </c>
    </row>
    <row r="3778" spans="1:9" x14ac:dyDescent="0.2">
      <c r="A3778">
        <v>17737855</v>
      </c>
      <c r="B3778">
        <v>3</v>
      </c>
      <c r="C3778">
        <v>1759</v>
      </c>
      <c r="D3778">
        <v>0</v>
      </c>
      <c r="E3778">
        <v>26</v>
      </c>
      <c r="F3778" t="s">
        <v>57</v>
      </c>
      <c r="G3778" t="s">
        <v>154</v>
      </c>
      <c r="H3778" t="s">
        <v>56</v>
      </c>
      <c r="I3778">
        <v>10</v>
      </c>
    </row>
    <row r="3779" spans="1:9" x14ac:dyDescent="0.2">
      <c r="A3779">
        <v>17737855</v>
      </c>
      <c r="B3779">
        <v>4</v>
      </c>
      <c r="C3779">
        <v>1787</v>
      </c>
      <c r="D3779">
        <v>0</v>
      </c>
      <c r="E3779">
        <v>26</v>
      </c>
      <c r="F3779" t="s">
        <v>57</v>
      </c>
      <c r="G3779" t="s">
        <v>49</v>
      </c>
      <c r="H3779" t="s">
        <v>56</v>
      </c>
      <c r="I3779">
        <v>10</v>
      </c>
    </row>
    <row r="3780" spans="1:9" x14ac:dyDescent="0.2">
      <c r="A3780">
        <v>17737855</v>
      </c>
      <c r="B3780">
        <v>5</v>
      </c>
      <c r="C3780">
        <v>3225</v>
      </c>
      <c r="D3780">
        <v>0</v>
      </c>
      <c r="E3780">
        <v>26</v>
      </c>
      <c r="F3780" t="s">
        <v>47</v>
      </c>
      <c r="G3780" t="s">
        <v>106</v>
      </c>
      <c r="H3780" t="s">
        <v>46</v>
      </c>
      <c r="I3780">
        <v>10</v>
      </c>
    </row>
    <row r="3781" spans="1:9" x14ac:dyDescent="0.2">
      <c r="A3781">
        <v>17740265</v>
      </c>
      <c r="B3781">
        <v>1</v>
      </c>
      <c r="C3781">
        <v>1774</v>
      </c>
      <c r="D3781">
        <v>57060</v>
      </c>
      <c r="E3781">
        <v>24</v>
      </c>
      <c r="F3781" t="s">
        <v>57</v>
      </c>
      <c r="G3781" t="s">
        <v>296</v>
      </c>
      <c r="H3781" t="s">
        <v>69</v>
      </c>
      <c r="I3781">
        <v>10</v>
      </c>
    </row>
    <row r="3782" spans="1:9" x14ac:dyDescent="0.2">
      <c r="A3782">
        <v>17740265</v>
      </c>
      <c r="B3782">
        <v>2</v>
      </c>
      <c r="C3782">
        <v>1784</v>
      </c>
      <c r="D3782">
        <v>0</v>
      </c>
      <c r="E3782">
        <v>26</v>
      </c>
      <c r="F3782" t="s">
        <v>57</v>
      </c>
      <c r="G3782" t="s">
        <v>87</v>
      </c>
      <c r="H3782" t="s">
        <v>69</v>
      </c>
      <c r="I3782">
        <v>10</v>
      </c>
    </row>
    <row r="3783" spans="1:9" x14ac:dyDescent="0.2">
      <c r="A3783">
        <v>17767171</v>
      </c>
      <c r="B3783">
        <v>1</v>
      </c>
      <c r="C3783">
        <v>1705</v>
      </c>
      <c r="D3783">
        <v>61440</v>
      </c>
      <c r="E3783">
        <v>25</v>
      </c>
      <c r="F3783" t="s">
        <v>57</v>
      </c>
      <c r="G3783" t="s">
        <v>102</v>
      </c>
      <c r="H3783" t="s">
        <v>69</v>
      </c>
      <c r="I3783">
        <v>10</v>
      </c>
    </row>
    <row r="3784" spans="1:9" x14ac:dyDescent="0.2">
      <c r="A3784">
        <v>17803059</v>
      </c>
      <c r="B3784">
        <v>1</v>
      </c>
      <c r="C3784">
        <v>1239</v>
      </c>
      <c r="D3784">
        <v>76990</v>
      </c>
      <c r="E3784">
        <v>24</v>
      </c>
      <c r="F3784" t="s">
        <v>19</v>
      </c>
      <c r="G3784" t="s">
        <v>160</v>
      </c>
      <c r="H3784" t="s">
        <v>16</v>
      </c>
      <c r="I3784" t="s">
        <v>448</v>
      </c>
    </row>
    <row r="3785" spans="1:9" x14ac:dyDescent="0.2">
      <c r="A3785">
        <v>17803059</v>
      </c>
      <c r="B3785">
        <v>2</v>
      </c>
      <c r="C3785">
        <v>1203</v>
      </c>
      <c r="D3785">
        <v>0</v>
      </c>
      <c r="E3785">
        <v>26</v>
      </c>
      <c r="F3785" t="s">
        <v>19</v>
      </c>
      <c r="G3785" t="s">
        <v>248</v>
      </c>
      <c r="H3785" t="s">
        <v>16</v>
      </c>
      <c r="I3785" t="s">
        <v>448</v>
      </c>
    </row>
    <row r="3786" spans="1:9" x14ac:dyDescent="0.2">
      <c r="A3786">
        <v>17803059</v>
      </c>
      <c r="B3786">
        <v>3</v>
      </c>
      <c r="C3786">
        <v>1142</v>
      </c>
      <c r="D3786">
        <v>0</v>
      </c>
      <c r="E3786">
        <v>26</v>
      </c>
      <c r="F3786" t="s">
        <v>17</v>
      </c>
      <c r="G3786" t="s">
        <v>114</v>
      </c>
      <c r="H3786" t="s">
        <v>16</v>
      </c>
      <c r="I3786" t="s">
        <v>448</v>
      </c>
    </row>
    <row r="3787" spans="1:9" x14ac:dyDescent="0.2">
      <c r="A3787">
        <v>17840695</v>
      </c>
      <c r="B3787">
        <v>1</v>
      </c>
      <c r="C3787">
        <v>1713</v>
      </c>
      <c r="D3787">
        <v>62440</v>
      </c>
      <c r="E3787">
        <v>25</v>
      </c>
      <c r="F3787" t="s">
        <v>57</v>
      </c>
      <c r="G3787" t="s">
        <v>170</v>
      </c>
      <c r="H3787" t="s">
        <v>69</v>
      </c>
      <c r="I3787">
        <v>10</v>
      </c>
    </row>
    <row r="3788" spans="1:9" x14ac:dyDescent="0.2">
      <c r="A3788">
        <v>17840695</v>
      </c>
      <c r="B3788">
        <v>2</v>
      </c>
      <c r="C3788">
        <v>3033</v>
      </c>
      <c r="D3788">
        <v>62580</v>
      </c>
      <c r="E3788">
        <v>25</v>
      </c>
      <c r="F3788" t="s">
        <v>44</v>
      </c>
      <c r="G3788" t="s">
        <v>122</v>
      </c>
      <c r="H3788" t="s">
        <v>50</v>
      </c>
      <c r="I3788">
        <v>9</v>
      </c>
    </row>
    <row r="3789" spans="1:9" x14ac:dyDescent="0.2">
      <c r="A3789">
        <v>17840695</v>
      </c>
      <c r="B3789">
        <v>3</v>
      </c>
      <c r="C3789">
        <v>1789</v>
      </c>
      <c r="D3789">
        <v>62440</v>
      </c>
      <c r="E3789">
        <v>25</v>
      </c>
      <c r="F3789" t="s">
        <v>57</v>
      </c>
      <c r="G3789" t="s">
        <v>122</v>
      </c>
      <c r="H3789" t="s">
        <v>69</v>
      </c>
      <c r="I3789">
        <v>10</v>
      </c>
    </row>
    <row r="3790" spans="1:9" x14ac:dyDescent="0.2">
      <c r="A3790">
        <v>17840695</v>
      </c>
      <c r="B3790">
        <v>4</v>
      </c>
      <c r="C3790">
        <v>1776</v>
      </c>
      <c r="D3790">
        <v>63210</v>
      </c>
      <c r="E3790">
        <v>25</v>
      </c>
      <c r="F3790" t="s">
        <v>57</v>
      </c>
      <c r="G3790" t="s">
        <v>124</v>
      </c>
      <c r="H3790" t="s">
        <v>125</v>
      </c>
      <c r="I3790">
        <v>10</v>
      </c>
    </row>
    <row r="3791" spans="1:9" x14ac:dyDescent="0.2">
      <c r="A3791">
        <v>17840695</v>
      </c>
      <c r="B3791">
        <v>5</v>
      </c>
      <c r="C3791">
        <v>3023</v>
      </c>
      <c r="D3791">
        <v>62580</v>
      </c>
      <c r="E3791">
        <v>25</v>
      </c>
      <c r="F3791" t="s">
        <v>44</v>
      </c>
      <c r="G3791" t="s">
        <v>124</v>
      </c>
      <c r="H3791" t="s">
        <v>50</v>
      </c>
      <c r="I3791">
        <v>9</v>
      </c>
    </row>
    <row r="3792" spans="1:9" x14ac:dyDescent="0.2">
      <c r="A3792">
        <v>17840695</v>
      </c>
      <c r="B3792">
        <v>6</v>
      </c>
      <c r="C3792">
        <v>1700</v>
      </c>
      <c r="D3792">
        <v>62000</v>
      </c>
      <c r="E3792">
        <v>24</v>
      </c>
      <c r="F3792" t="s">
        <v>57</v>
      </c>
      <c r="G3792" t="s">
        <v>58</v>
      </c>
      <c r="H3792" t="s">
        <v>69</v>
      </c>
      <c r="I3792">
        <v>10</v>
      </c>
    </row>
    <row r="3793" spans="1:9" x14ac:dyDescent="0.2">
      <c r="A3793">
        <v>17855163</v>
      </c>
      <c r="B3793">
        <v>1</v>
      </c>
      <c r="C3793">
        <v>3212</v>
      </c>
      <c r="D3793">
        <v>63555</v>
      </c>
      <c r="E3793">
        <v>24</v>
      </c>
      <c r="F3793" t="s">
        <v>47</v>
      </c>
      <c r="G3793" t="s">
        <v>84</v>
      </c>
      <c r="H3793" t="s">
        <v>46</v>
      </c>
      <c r="I3793">
        <v>10</v>
      </c>
    </row>
    <row r="3794" spans="1:9" x14ac:dyDescent="0.2">
      <c r="A3794">
        <v>17855163</v>
      </c>
      <c r="B3794">
        <v>2</v>
      </c>
      <c r="C3794">
        <v>3234</v>
      </c>
      <c r="D3794">
        <v>0</v>
      </c>
      <c r="E3794">
        <v>26</v>
      </c>
      <c r="F3794" t="s">
        <v>47</v>
      </c>
      <c r="G3794" t="s">
        <v>76</v>
      </c>
      <c r="H3794" t="s">
        <v>46</v>
      </c>
      <c r="I3794">
        <v>10</v>
      </c>
    </row>
    <row r="3795" spans="1:9" x14ac:dyDescent="0.2">
      <c r="A3795">
        <v>17855163</v>
      </c>
      <c r="B3795">
        <v>3</v>
      </c>
      <c r="C3795">
        <v>3211</v>
      </c>
      <c r="D3795">
        <v>0</v>
      </c>
      <c r="E3795">
        <v>26</v>
      </c>
      <c r="F3795" t="s">
        <v>47</v>
      </c>
      <c r="G3795" t="s">
        <v>99</v>
      </c>
      <c r="H3795" t="s">
        <v>46</v>
      </c>
      <c r="I3795">
        <v>10</v>
      </c>
    </row>
    <row r="3796" spans="1:9" x14ac:dyDescent="0.2">
      <c r="A3796">
        <v>17855163</v>
      </c>
      <c r="B3796">
        <v>4</v>
      </c>
      <c r="C3796">
        <v>3242</v>
      </c>
      <c r="D3796">
        <v>0</v>
      </c>
      <c r="E3796">
        <v>26</v>
      </c>
      <c r="F3796" t="s">
        <v>47</v>
      </c>
      <c r="G3796" t="s">
        <v>90</v>
      </c>
      <c r="H3796" t="s">
        <v>46</v>
      </c>
      <c r="I3796">
        <v>10</v>
      </c>
    </row>
    <row r="3797" spans="1:9" x14ac:dyDescent="0.2">
      <c r="A3797">
        <v>17855163</v>
      </c>
      <c r="B3797">
        <v>5</v>
      </c>
      <c r="C3797">
        <v>3214</v>
      </c>
      <c r="D3797">
        <v>0</v>
      </c>
      <c r="E3797">
        <v>26</v>
      </c>
      <c r="F3797" t="s">
        <v>47</v>
      </c>
      <c r="G3797" t="s">
        <v>98</v>
      </c>
      <c r="H3797" t="s">
        <v>74</v>
      </c>
      <c r="I3797">
        <v>10</v>
      </c>
    </row>
    <row r="3798" spans="1:9" x14ac:dyDescent="0.2">
      <c r="A3798">
        <v>17855163</v>
      </c>
      <c r="B3798">
        <v>6</v>
      </c>
      <c r="C3798">
        <v>3261</v>
      </c>
      <c r="D3798">
        <v>0</v>
      </c>
      <c r="E3798">
        <v>26</v>
      </c>
      <c r="F3798" t="s">
        <v>47</v>
      </c>
      <c r="G3798" t="s">
        <v>93</v>
      </c>
      <c r="H3798" t="s">
        <v>46</v>
      </c>
      <c r="I3798">
        <v>10</v>
      </c>
    </row>
    <row r="3799" spans="1:9" x14ac:dyDescent="0.2">
      <c r="A3799">
        <v>17855163</v>
      </c>
      <c r="B3799">
        <v>7</v>
      </c>
      <c r="C3799">
        <v>1778</v>
      </c>
      <c r="D3799">
        <v>0</v>
      </c>
      <c r="E3799">
        <v>26</v>
      </c>
      <c r="F3799" t="s">
        <v>57</v>
      </c>
      <c r="G3799" t="s">
        <v>84</v>
      </c>
      <c r="H3799" t="s">
        <v>56</v>
      </c>
      <c r="I3799">
        <v>10</v>
      </c>
    </row>
    <row r="3800" spans="1:9" x14ac:dyDescent="0.2">
      <c r="A3800">
        <v>17855163</v>
      </c>
      <c r="B3800">
        <v>8</v>
      </c>
      <c r="C3800">
        <v>1777</v>
      </c>
      <c r="D3800">
        <v>0</v>
      </c>
      <c r="E3800">
        <v>26</v>
      </c>
      <c r="F3800" t="s">
        <v>57</v>
      </c>
      <c r="G3800" t="s">
        <v>88</v>
      </c>
      <c r="H3800" t="s">
        <v>69</v>
      </c>
      <c r="I3800">
        <v>10</v>
      </c>
    </row>
    <row r="3801" spans="1:9" x14ac:dyDescent="0.2">
      <c r="A3801">
        <v>17855433</v>
      </c>
      <c r="B3801">
        <v>1</v>
      </c>
      <c r="C3801">
        <v>1728</v>
      </c>
      <c r="D3801">
        <v>62045</v>
      </c>
      <c r="E3801">
        <v>25</v>
      </c>
      <c r="F3801" t="s">
        <v>57</v>
      </c>
      <c r="G3801" t="s">
        <v>103</v>
      </c>
      <c r="H3801" t="s">
        <v>69</v>
      </c>
      <c r="I3801">
        <v>10</v>
      </c>
    </row>
    <row r="3802" spans="1:9" x14ac:dyDescent="0.2">
      <c r="A3802">
        <v>17855433</v>
      </c>
      <c r="B3802">
        <v>2</v>
      </c>
      <c r="C3802">
        <v>1786</v>
      </c>
      <c r="D3802">
        <v>62100</v>
      </c>
      <c r="E3802">
        <v>24</v>
      </c>
      <c r="F3802" t="s">
        <v>57</v>
      </c>
      <c r="G3802" t="s">
        <v>103</v>
      </c>
      <c r="H3802" t="s">
        <v>56</v>
      </c>
      <c r="I3802">
        <v>10</v>
      </c>
    </row>
    <row r="3803" spans="1:9" x14ac:dyDescent="0.2">
      <c r="A3803">
        <v>17855433</v>
      </c>
      <c r="B3803">
        <v>3</v>
      </c>
      <c r="C3803">
        <v>1705</v>
      </c>
      <c r="D3803">
        <v>0</v>
      </c>
      <c r="E3803">
        <v>26</v>
      </c>
      <c r="F3803" t="s">
        <v>57</v>
      </c>
      <c r="G3803" t="s">
        <v>102</v>
      </c>
      <c r="H3803" t="s">
        <v>69</v>
      </c>
      <c r="I3803">
        <v>10</v>
      </c>
    </row>
    <row r="3804" spans="1:9" x14ac:dyDescent="0.2">
      <c r="A3804">
        <v>17855433</v>
      </c>
      <c r="B3804">
        <v>4</v>
      </c>
      <c r="C3804">
        <v>1776</v>
      </c>
      <c r="D3804">
        <v>0</v>
      </c>
      <c r="E3804">
        <v>26</v>
      </c>
      <c r="F3804" t="s">
        <v>57</v>
      </c>
      <c r="G3804" t="s">
        <v>124</v>
      </c>
      <c r="H3804" t="s">
        <v>125</v>
      </c>
      <c r="I3804">
        <v>10</v>
      </c>
    </row>
    <row r="3805" spans="1:9" x14ac:dyDescent="0.2">
      <c r="A3805">
        <v>17855433</v>
      </c>
      <c r="B3805">
        <v>5</v>
      </c>
      <c r="C3805">
        <v>1789</v>
      </c>
      <c r="D3805">
        <v>0</v>
      </c>
      <c r="E3805">
        <v>26</v>
      </c>
      <c r="F3805" t="s">
        <v>57</v>
      </c>
      <c r="G3805" t="s">
        <v>122</v>
      </c>
      <c r="H3805" t="s">
        <v>69</v>
      </c>
      <c r="I3805">
        <v>10</v>
      </c>
    </row>
    <row r="3806" spans="1:9" x14ac:dyDescent="0.2">
      <c r="A3806">
        <v>17855433</v>
      </c>
      <c r="B3806">
        <v>6</v>
      </c>
      <c r="C3806">
        <v>3035</v>
      </c>
      <c r="D3806">
        <v>0</v>
      </c>
      <c r="E3806">
        <v>26</v>
      </c>
      <c r="F3806" t="s">
        <v>44</v>
      </c>
      <c r="G3806" t="s">
        <v>103</v>
      </c>
      <c r="H3806" t="s">
        <v>50</v>
      </c>
      <c r="I3806">
        <v>9</v>
      </c>
    </row>
    <row r="3807" spans="1:9" x14ac:dyDescent="0.2">
      <c r="A3807">
        <v>17855433</v>
      </c>
      <c r="B3807">
        <v>7</v>
      </c>
      <c r="C3807">
        <v>3237</v>
      </c>
      <c r="D3807">
        <v>0</v>
      </c>
      <c r="E3807">
        <v>26</v>
      </c>
      <c r="F3807" t="s">
        <v>47</v>
      </c>
      <c r="G3807" t="s">
        <v>181</v>
      </c>
      <c r="H3807" t="s">
        <v>46</v>
      </c>
      <c r="I3807">
        <v>10</v>
      </c>
    </row>
    <row r="3808" spans="1:9" x14ac:dyDescent="0.2">
      <c r="A3808">
        <v>17871290</v>
      </c>
      <c r="B3808">
        <v>1</v>
      </c>
      <c r="C3808">
        <v>3033</v>
      </c>
      <c r="D3808">
        <v>59320</v>
      </c>
      <c r="E3808">
        <v>25</v>
      </c>
      <c r="F3808" t="s">
        <v>44</v>
      </c>
      <c r="G3808" t="s">
        <v>122</v>
      </c>
      <c r="H3808" t="s">
        <v>50</v>
      </c>
      <c r="I3808">
        <v>9</v>
      </c>
    </row>
    <row r="3809" spans="1:9" x14ac:dyDescent="0.2">
      <c r="A3809">
        <v>17871290</v>
      </c>
      <c r="B3809">
        <v>2</v>
      </c>
      <c r="C3809">
        <v>1789</v>
      </c>
      <c r="D3809">
        <v>59575</v>
      </c>
      <c r="E3809">
        <v>25</v>
      </c>
      <c r="F3809" t="s">
        <v>57</v>
      </c>
      <c r="G3809" t="s">
        <v>122</v>
      </c>
      <c r="H3809" t="s">
        <v>69</v>
      </c>
      <c r="I3809">
        <v>10</v>
      </c>
    </row>
    <row r="3810" spans="1:9" x14ac:dyDescent="0.2">
      <c r="A3810">
        <v>17871290</v>
      </c>
      <c r="B3810">
        <v>3</v>
      </c>
      <c r="C3810">
        <v>1702</v>
      </c>
      <c r="D3810">
        <v>59750</v>
      </c>
      <c r="E3810">
        <v>25</v>
      </c>
      <c r="F3810" t="s">
        <v>57</v>
      </c>
      <c r="G3810" t="s">
        <v>164</v>
      </c>
      <c r="H3810" t="s">
        <v>69</v>
      </c>
      <c r="I3810">
        <v>10</v>
      </c>
    </row>
    <row r="3811" spans="1:9" x14ac:dyDescent="0.2">
      <c r="A3811">
        <v>17871290</v>
      </c>
      <c r="B3811">
        <v>4</v>
      </c>
      <c r="C3811">
        <v>3068</v>
      </c>
      <c r="D3811">
        <v>59320</v>
      </c>
      <c r="E3811">
        <v>24</v>
      </c>
      <c r="F3811" t="s">
        <v>44</v>
      </c>
      <c r="G3811" t="s">
        <v>40</v>
      </c>
      <c r="H3811" t="s">
        <v>43</v>
      </c>
      <c r="I3811">
        <v>9</v>
      </c>
    </row>
    <row r="3812" spans="1:9" x14ac:dyDescent="0.2">
      <c r="A3812">
        <v>17871290</v>
      </c>
      <c r="B3812">
        <v>5</v>
      </c>
      <c r="C3812">
        <v>3021</v>
      </c>
      <c r="D3812">
        <v>0</v>
      </c>
      <c r="E3812">
        <v>26</v>
      </c>
      <c r="F3812" t="s">
        <v>44</v>
      </c>
      <c r="G3812" t="s">
        <v>49</v>
      </c>
      <c r="H3812" t="s">
        <v>50</v>
      </c>
      <c r="I3812">
        <v>9</v>
      </c>
    </row>
    <row r="3813" spans="1:9" x14ac:dyDescent="0.2">
      <c r="A3813">
        <v>17871290</v>
      </c>
      <c r="B3813">
        <v>6</v>
      </c>
      <c r="C3813">
        <v>3078</v>
      </c>
      <c r="D3813">
        <v>0</v>
      </c>
      <c r="E3813">
        <v>26</v>
      </c>
      <c r="F3813" t="s">
        <v>44</v>
      </c>
      <c r="G3813" t="s">
        <v>149</v>
      </c>
      <c r="H3813" t="s">
        <v>61</v>
      </c>
      <c r="I3813">
        <v>9</v>
      </c>
    </row>
    <row r="3814" spans="1:9" x14ac:dyDescent="0.2">
      <c r="A3814">
        <v>17871290</v>
      </c>
      <c r="B3814">
        <v>7</v>
      </c>
      <c r="C3814">
        <v>1787</v>
      </c>
      <c r="D3814">
        <v>0</v>
      </c>
      <c r="E3814">
        <v>26</v>
      </c>
      <c r="F3814" t="s">
        <v>57</v>
      </c>
      <c r="G3814" t="s">
        <v>49</v>
      </c>
      <c r="H3814" t="s">
        <v>56</v>
      </c>
      <c r="I3814">
        <v>10</v>
      </c>
    </row>
    <row r="3815" spans="1:9" x14ac:dyDescent="0.2">
      <c r="A3815">
        <v>17871290</v>
      </c>
      <c r="B3815">
        <v>8</v>
      </c>
      <c r="C3815">
        <v>1786</v>
      </c>
      <c r="D3815">
        <v>0</v>
      </c>
      <c r="E3815">
        <v>26</v>
      </c>
      <c r="F3815" t="s">
        <v>57</v>
      </c>
      <c r="G3815" t="s">
        <v>103</v>
      </c>
      <c r="H3815" t="s">
        <v>56</v>
      </c>
      <c r="I3815">
        <v>10</v>
      </c>
    </row>
    <row r="3816" spans="1:9" x14ac:dyDescent="0.2">
      <c r="A3816">
        <v>17895520</v>
      </c>
      <c r="B3816">
        <v>1</v>
      </c>
      <c r="C3816">
        <v>3261</v>
      </c>
      <c r="D3816">
        <v>48600</v>
      </c>
      <c r="E3816">
        <v>25</v>
      </c>
      <c r="F3816" t="s">
        <v>47</v>
      </c>
      <c r="G3816" t="s">
        <v>93</v>
      </c>
      <c r="H3816" t="s">
        <v>46</v>
      </c>
      <c r="I3816">
        <v>10</v>
      </c>
    </row>
    <row r="3817" spans="1:9" x14ac:dyDescent="0.2">
      <c r="A3817">
        <v>17895520</v>
      </c>
      <c r="B3817">
        <v>2</v>
      </c>
      <c r="C3817">
        <v>3239</v>
      </c>
      <c r="D3817">
        <v>48745</v>
      </c>
      <c r="E3817">
        <v>25</v>
      </c>
      <c r="F3817" t="s">
        <v>47</v>
      </c>
      <c r="G3817" t="s">
        <v>107</v>
      </c>
      <c r="H3817" t="s">
        <v>46</v>
      </c>
      <c r="I3817">
        <v>10</v>
      </c>
    </row>
    <row r="3818" spans="1:9" x14ac:dyDescent="0.2">
      <c r="A3818">
        <v>17895520</v>
      </c>
      <c r="B3818">
        <v>3</v>
      </c>
      <c r="C3818">
        <v>3245</v>
      </c>
      <c r="D3818">
        <v>48745</v>
      </c>
      <c r="E3818">
        <v>25</v>
      </c>
      <c r="F3818" t="s">
        <v>47</v>
      </c>
      <c r="G3818" t="s">
        <v>157</v>
      </c>
      <c r="H3818" t="s">
        <v>74</v>
      </c>
      <c r="I3818">
        <v>10</v>
      </c>
    </row>
    <row r="3819" spans="1:9" x14ac:dyDescent="0.2">
      <c r="A3819">
        <v>17895520</v>
      </c>
      <c r="B3819">
        <v>4</v>
      </c>
      <c r="C3819">
        <v>3252</v>
      </c>
      <c r="D3819">
        <v>48615</v>
      </c>
      <c r="E3819">
        <v>25</v>
      </c>
      <c r="F3819" t="s">
        <v>47</v>
      </c>
      <c r="G3819" t="s">
        <v>45</v>
      </c>
      <c r="H3819" t="s">
        <v>46</v>
      </c>
      <c r="I3819">
        <v>10</v>
      </c>
    </row>
    <row r="3820" spans="1:9" x14ac:dyDescent="0.2">
      <c r="A3820">
        <v>17895520</v>
      </c>
      <c r="B3820">
        <v>5</v>
      </c>
      <c r="C3820">
        <v>3248</v>
      </c>
      <c r="D3820">
        <v>48540</v>
      </c>
      <c r="E3820">
        <v>25</v>
      </c>
      <c r="F3820" t="s">
        <v>47</v>
      </c>
      <c r="G3820" t="s">
        <v>92</v>
      </c>
      <c r="H3820" t="s">
        <v>46</v>
      </c>
      <c r="I3820">
        <v>10</v>
      </c>
    </row>
    <row r="3821" spans="1:9" x14ac:dyDescent="0.2">
      <c r="A3821">
        <v>17939476</v>
      </c>
      <c r="B3821">
        <v>1</v>
      </c>
      <c r="C3821">
        <v>3239</v>
      </c>
      <c r="D3821">
        <v>51340</v>
      </c>
      <c r="E3821">
        <v>25</v>
      </c>
      <c r="F3821" t="s">
        <v>47</v>
      </c>
      <c r="G3821" t="s">
        <v>107</v>
      </c>
      <c r="H3821" t="s">
        <v>46</v>
      </c>
      <c r="I3821">
        <v>10</v>
      </c>
    </row>
    <row r="3822" spans="1:9" x14ac:dyDescent="0.2">
      <c r="A3822">
        <v>17939476</v>
      </c>
      <c r="B3822">
        <v>2</v>
      </c>
      <c r="C3822">
        <v>3212</v>
      </c>
      <c r="D3822">
        <v>52305</v>
      </c>
      <c r="E3822">
        <v>24</v>
      </c>
      <c r="F3822" t="s">
        <v>47</v>
      </c>
      <c r="G3822" t="s">
        <v>84</v>
      </c>
      <c r="H3822" t="s">
        <v>46</v>
      </c>
      <c r="I3822">
        <v>10</v>
      </c>
    </row>
    <row r="3823" spans="1:9" x14ac:dyDescent="0.2">
      <c r="A3823">
        <v>17939476</v>
      </c>
      <c r="B3823">
        <v>3</v>
      </c>
      <c r="C3823">
        <v>3234</v>
      </c>
      <c r="D3823">
        <v>0</v>
      </c>
      <c r="E3823">
        <v>26</v>
      </c>
      <c r="F3823" t="s">
        <v>47</v>
      </c>
      <c r="G3823" t="s">
        <v>76</v>
      </c>
      <c r="H3823" t="s">
        <v>46</v>
      </c>
      <c r="I3823">
        <v>10</v>
      </c>
    </row>
    <row r="3824" spans="1:9" x14ac:dyDescent="0.2">
      <c r="A3824">
        <v>17939476</v>
      </c>
      <c r="B3824">
        <v>4</v>
      </c>
      <c r="C3824">
        <v>3218</v>
      </c>
      <c r="D3824">
        <v>0</v>
      </c>
      <c r="E3824">
        <v>26</v>
      </c>
      <c r="F3824" t="s">
        <v>47</v>
      </c>
      <c r="G3824" t="s">
        <v>66</v>
      </c>
      <c r="H3824" t="s">
        <v>74</v>
      </c>
      <c r="I3824">
        <v>10</v>
      </c>
    </row>
    <row r="3825" spans="1:9" x14ac:dyDescent="0.2">
      <c r="A3825">
        <v>17939477</v>
      </c>
      <c r="B3825">
        <v>1</v>
      </c>
      <c r="C3825">
        <v>1377</v>
      </c>
      <c r="D3825">
        <v>50880</v>
      </c>
      <c r="E3825">
        <v>25</v>
      </c>
      <c r="F3825" t="s">
        <v>21</v>
      </c>
      <c r="G3825" t="s">
        <v>251</v>
      </c>
      <c r="H3825" t="s">
        <v>20</v>
      </c>
      <c r="I3825">
        <v>8</v>
      </c>
    </row>
    <row r="3826" spans="1:9" x14ac:dyDescent="0.2">
      <c r="A3826">
        <v>17939477</v>
      </c>
      <c r="B3826">
        <v>2</v>
      </c>
      <c r="C3826">
        <v>3092</v>
      </c>
      <c r="D3826">
        <v>51430</v>
      </c>
      <c r="E3826">
        <v>25</v>
      </c>
      <c r="F3826" t="s">
        <v>44</v>
      </c>
      <c r="G3826" t="s">
        <v>251</v>
      </c>
      <c r="H3826" t="s">
        <v>52</v>
      </c>
      <c r="I3826">
        <v>9</v>
      </c>
    </row>
    <row r="3827" spans="1:9" x14ac:dyDescent="0.2">
      <c r="A3827">
        <v>17939477</v>
      </c>
      <c r="B3827">
        <v>3</v>
      </c>
      <c r="C3827">
        <v>3067</v>
      </c>
      <c r="D3827">
        <v>51430</v>
      </c>
      <c r="E3827">
        <v>25</v>
      </c>
      <c r="F3827" t="s">
        <v>44</v>
      </c>
      <c r="G3827" t="s">
        <v>252</v>
      </c>
      <c r="H3827" t="s">
        <v>52</v>
      </c>
      <c r="I3827">
        <v>9</v>
      </c>
    </row>
    <row r="3828" spans="1:9" x14ac:dyDescent="0.2">
      <c r="A3828">
        <v>17939477</v>
      </c>
      <c r="B3828">
        <v>4</v>
      </c>
      <c r="C3828">
        <v>3704</v>
      </c>
      <c r="D3828">
        <v>50775</v>
      </c>
      <c r="E3828">
        <v>25</v>
      </c>
      <c r="F3828" t="s">
        <v>116</v>
      </c>
      <c r="G3828" t="s">
        <v>93</v>
      </c>
      <c r="H3828" t="s">
        <v>61</v>
      </c>
      <c r="I3828">
        <v>9</v>
      </c>
    </row>
    <row r="3829" spans="1:9" x14ac:dyDescent="0.2">
      <c r="A3829">
        <v>17939477</v>
      </c>
      <c r="B3829">
        <v>5</v>
      </c>
      <c r="C3829">
        <v>2910</v>
      </c>
      <c r="D3829">
        <v>50400</v>
      </c>
      <c r="E3829">
        <v>25</v>
      </c>
      <c r="F3829" t="s">
        <v>119</v>
      </c>
      <c r="G3829" t="s">
        <v>93</v>
      </c>
      <c r="H3829" t="s">
        <v>20</v>
      </c>
      <c r="I3829">
        <v>8</v>
      </c>
    </row>
    <row r="3830" spans="1:9" x14ac:dyDescent="0.2">
      <c r="A3830">
        <v>17939477</v>
      </c>
      <c r="B3830">
        <v>6</v>
      </c>
      <c r="C3830">
        <v>1325</v>
      </c>
      <c r="D3830">
        <v>51340</v>
      </c>
      <c r="E3830">
        <v>25</v>
      </c>
      <c r="F3830" t="s">
        <v>21</v>
      </c>
      <c r="G3830" t="s">
        <v>93</v>
      </c>
      <c r="H3830" t="s">
        <v>20</v>
      </c>
      <c r="I3830">
        <v>8</v>
      </c>
    </row>
    <row r="3831" spans="1:9" x14ac:dyDescent="0.2">
      <c r="A3831">
        <v>17939477</v>
      </c>
      <c r="B3831">
        <v>7</v>
      </c>
      <c r="C3831">
        <v>3552</v>
      </c>
      <c r="D3831">
        <v>50775</v>
      </c>
      <c r="E3831">
        <v>25</v>
      </c>
      <c r="F3831" t="s">
        <v>234</v>
      </c>
      <c r="G3831" t="s">
        <v>93</v>
      </c>
      <c r="H3831" t="s">
        <v>387</v>
      </c>
      <c r="I3831">
        <v>7</v>
      </c>
    </row>
    <row r="3832" spans="1:9" x14ac:dyDescent="0.2">
      <c r="A3832">
        <v>17939477</v>
      </c>
      <c r="B3832">
        <v>8</v>
      </c>
      <c r="C3832">
        <v>3261</v>
      </c>
      <c r="D3832">
        <v>50870</v>
      </c>
      <c r="E3832">
        <v>24</v>
      </c>
      <c r="F3832" t="s">
        <v>47</v>
      </c>
      <c r="G3832" t="s">
        <v>93</v>
      </c>
      <c r="H3832" t="s">
        <v>46</v>
      </c>
      <c r="I3832">
        <v>10</v>
      </c>
    </row>
    <row r="3833" spans="1:9" x14ac:dyDescent="0.2">
      <c r="A3833">
        <v>18013353</v>
      </c>
      <c r="B3833">
        <v>1</v>
      </c>
      <c r="C3833">
        <v>1776</v>
      </c>
      <c r="D3833">
        <v>63610</v>
      </c>
      <c r="E3833">
        <v>25</v>
      </c>
      <c r="F3833" t="s">
        <v>57</v>
      </c>
      <c r="G3833" t="s">
        <v>124</v>
      </c>
      <c r="H3833" t="s">
        <v>125</v>
      </c>
      <c r="I3833">
        <v>10</v>
      </c>
    </row>
    <row r="3834" spans="1:9" x14ac:dyDescent="0.2">
      <c r="A3834">
        <v>18013353</v>
      </c>
      <c r="B3834">
        <v>2</v>
      </c>
      <c r="C3834">
        <v>1728</v>
      </c>
      <c r="D3834">
        <v>63630</v>
      </c>
      <c r="E3834">
        <v>24</v>
      </c>
      <c r="F3834" t="s">
        <v>57</v>
      </c>
      <c r="G3834" t="s">
        <v>103</v>
      </c>
      <c r="H3834" t="s">
        <v>69</v>
      </c>
      <c r="I3834">
        <v>10</v>
      </c>
    </row>
    <row r="3835" spans="1:9" x14ac:dyDescent="0.2">
      <c r="A3835">
        <v>18013353</v>
      </c>
      <c r="B3835">
        <v>3</v>
      </c>
      <c r="C3835">
        <v>1734</v>
      </c>
      <c r="D3835">
        <v>0</v>
      </c>
      <c r="E3835">
        <v>26</v>
      </c>
      <c r="F3835" t="s">
        <v>57</v>
      </c>
      <c r="G3835" t="s">
        <v>81</v>
      </c>
      <c r="H3835" t="s">
        <v>69</v>
      </c>
      <c r="I3835">
        <v>10</v>
      </c>
    </row>
    <row r="3836" spans="1:9" x14ac:dyDescent="0.2">
      <c r="A3836">
        <v>18013353</v>
      </c>
      <c r="B3836">
        <v>4</v>
      </c>
      <c r="C3836">
        <v>1789</v>
      </c>
      <c r="D3836">
        <v>0</v>
      </c>
      <c r="E3836">
        <v>26</v>
      </c>
      <c r="F3836" t="s">
        <v>57</v>
      </c>
      <c r="G3836" t="s">
        <v>122</v>
      </c>
      <c r="H3836" t="s">
        <v>69</v>
      </c>
      <c r="I3836">
        <v>10</v>
      </c>
    </row>
    <row r="3837" spans="1:9" x14ac:dyDescent="0.2">
      <c r="A3837">
        <v>18028184</v>
      </c>
      <c r="B3837">
        <v>1</v>
      </c>
      <c r="C3837">
        <v>3261</v>
      </c>
      <c r="D3837">
        <v>50780</v>
      </c>
      <c r="E3837">
        <v>24</v>
      </c>
      <c r="F3837" t="s">
        <v>47</v>
      </c>
      <c r="G3837" t="s">
        <v>93</v>
      </c>
      <c r="H3837" t="s">
        <v>46</v>
      </c>
      <c r="I3837">
        <v>10</v>
      </c>
    </row>
    <row r="3838" spans="1:9" x14ac:dyDescent="0.2">
      <c r="A3838">
        <v>18028184</v>
      </c>
      <c r="B3838">
        <v>2</v>
      </c>
      <c r="C3838">
        <v>3252</v>
      </c>
      <c r="D3838">
        <v>0</v>
      </c>
      <c r="E3838">
        <v>26</v>
      </c>
      <c r="F3838" t="s">
        <v>47</v>
      </c>
      <c r="G3838" t="s">
        <v>45</v>
      </c>
      <c r="H3838" t="s">
        <v>46</v>
      </c>
      <c r="I3838">
        <v>10</v>
      </c>
    </row>
    <row r="3839" spans="1:9" x14ac:dyDescent="0.2">
      <c r="A3839">
        <v>18028184</v>
      </c>
      <c r="B3839">
        <v>3</v>
      </c>
      <c r="C3839">
        <v>3200</v>
      </c>
      <c r="D3839">
        <v>0</v>
      </c>
      <c r="E3839">
        <v>26</v>
      </c>
      <c r="F3839" t="s">
        <v>47</v>
      </c>
      <c r="G3839" t="s">
        <v>18</v>
      </c>
      <c r="H3839" t="s">
        <v>46</v>
      </c>
      <c r="I3839">
        <v>10</v>
      </c>
    </row>
    <row r="3840" spans="1:9" x14ac:dyDescent="0.2">
      <c r="A3840">
        <v>18028184</v>
      </c>
      <c r="B3840">
        <v>4</v>
      </c>
      <c r="C3840">
        <v>1788</v>
      </c>
      <c r="D3840">
        <v>0</v>
      </c>
      <c r="E3840">
        <v>26</v>
      </c>
      <c r="F3840" t="s">
        <v>57</v>
      </c>
      <c r="G3840" t="s">
        <v>97</v>
      </c>
      <c r="H3840" t="s">
        <v>56</v>
      </c>
      <c r="I3840">
        <v>10</v>
      </c>
    </row>
    <row r="3841" spans="1:9" x14ac:dyDescent="0.2">
      <c r="A3841">
        <v>18210590</v>
      </c>
      <c r="B3841">
        <v>1</v>
      </c>
      <c r="C3841">
        <v>1705</v>
      </c>
      <c r="D3841">
        <v>60920</v>
      </c>
      <c r="E3841">
        <v>25</v>
      </c>
      <c r="F3841" t="s">
        <v>57</v>
      </c>
      <c r="G3841" t="s">
        <v>102</v>
      </c>
      <c r="H3841" t="s">
        <v>69</v>
      </c>
      <c r="I3841">
        <v>10</v>
      </c>
    </row>
    <row r="3842" spans="1:9" x14ac:dyDescent="0.2">
      <c r="A3842">
        <v>18210590</v>
      </c>
      <c r="B3842">
        <v>2</v>
      </c>
      <c r="C3842">
        <v>1776</v>
      </c>
      <c r="D3842">
        <v>60310</v>
      </c>
      <c r="E3842">
        <v>25</v>
      </c>
      <c r="F3842" t="s">
        <v>57</v>
      </c>
      <c r="G3842" t="s">
        <v>124</v>
      </c>
      <c r="H3842" t="s">
        <v>125</v>
      </c>
      <c r="I3842">
        <v>10</v>
      </c>
    </row>
    <row r="3843" spans="1:9" x14ac:dyDescent="0.2">
      <c r="A3843">
        <v>18210590</v>
      </c>
      <c r="B3843">
        <v>3</v>
      </c>
      <c r="C3843">
        <v>1786</v>
      </c>
      <c r="D3843">
        <v>61000</v>
      </c>
      <c r="E3843">
        <v>24</v>
      </c>
      <c r="F3843" t="s">
        <v>57</v>
      </c>
      <c r="G3843" t="s">
        <v>103</v>
      </c>
      <c r="H3843" t="s">
        <v>56</v>
      </c>
      <c r="I3843">
        <v>10</v>
      </c>
    </row>
    <row r="3844" spans="1:9" x14ac:dyDescent="0.2">
      <c r="A3844">
        <v>18210590</v>
      </c>
      <c r="B3844">
        <v>4</v>
      </c>
      <c r="C3844">
        <v>1787</v>
      </c>
      <c r="D3844">
        <v>0</v>
      </c>
      <c r="E3844">
        <v>26</v>
      </c>
      <c r="F3844" t="s">
        <v>57</v>
      </c>
      <c r="G3844" t="s">
        <v>49</v>
      </c>
      <c r="H3844" t="s">
        <v>56</v>
      </c>
      <c r="I3844">
        <v>10</v>
      </c>
    </row>
    <row r="3845" spans="1:9" x14ac:dyDescent="0.2">
      <c r="A3845">
        <v>18210590</v>
      </c>
      <c r="B3845">
        <v>5</v>
      </c>
      <c r="C3845">
        <v>1715</v>
      </c>
      <c r="D3845">
        <v>0</v>
      </c>
      <c r="E3845">
        <v>26</v>
      </c>
      <c r="F3845" t="s">
        <v>57</v>
      </c>
      <c r="G3845" t="s">
        <v>151</v>
      </c>
      <c r="H3845" t="s">
        <v>69</v>
      </c>
      <c r="I3845">
        <v>10</v>
      </c>
    </row>
    <row r="3846" spans="1:9" x14ac:dyDescent="0.2">
      <c r="A3846">
        <v>18231041</v>
      </c>
      <c r="B3846">
        <v>1</v>
      </c>
      <c r="C3846">
        <v>3218</v>
      </c>
      <c r="D3846">
        <v>50490</v>
      </c>
      <c r="E3846">
        <v>24</v>
      </c>
      <c r="F3846" t="s">
        <v>47</v>
      </c>
      <c r="G3846" t="s">
        <v>66</v>
      </c>
      <c r="H3846" t="s">
        <v>74</v>
      </c>
      <c r="I3846">
        <v>10</v>
      </c>
    </row>
    <row r="3847" spans="1:9" x14ac:dyDescent="0.2">
      <c r="A3847">
        <v>18231041</v>
      </c>
      <c r="B3847">
        <v>2</v>
      </c>
      <c r="C3847">
        <v>3719</v>
      </c>
      <c r="D3847">
        <v>0</v>
      </c>
      <c r="E3847">
        <v>26</v>
      </c>
      <c r="F3847" t="s">
        <v>116</v>
      </c>
      <c r="G3847" t="s">
        <v>66</v>
      </c>
      <c r="H3847" t="s">
        <v>61</v>
      </c>
      <c r="I3847">
        <v>9</v>
      </c>
    </row>
    <row r="3848" spans="1:9" x14ac:dyDescent="0.2">
      <c r="A3848">
        <v>18231041</v>
      </c>
      <c r="B3848">
        <v>3</v>
      </c>
      <c r="C3848">
        <v>3223</v>
      </c>
      <c r="D3848">
        <v>0</v>
      </c>
      <c r="E3848">
        <v>26</v>
      </c>
      <c r="F3848" t="s">
        <v>47</v>
      </c>
      <c r="G3848" t="s">
        <v>105</v>
      </c>
      <c r="H3848" t="s">
        <v>46</v>
      </c>
      <c r="I3848">
        <v>10</v>
      </c>
    </row>
    <row r="3849" spans="1:9" x14ac:dyDescent="0.2">
      <c r="A3849">
        <v>18231041</v>
      </c>
      <c r="B3849">
        <v>4</v>
      </c>
      <c r="C3849">
        <v>3225</v>
      </c>
      <c r="D3849">
        <v>0</v>
      </c>
      <c r="E3849">
        <v>26</v>
      </c>
      <c r="F3849" t="s">
        <v>47</v>
      </c>
      <c r="G3849" t="s">
        <v>106</v>
      </c>
      <c r="H3849" t="s">
        <v>46</v>
      </c>
      <c r="I3849">
        <v>10</v>
      </c>
    </row>
    <row r="3850" spans="1:9" x14ac:dyDescent="0.2">
      <c r="A3850">
        <v>18231041</v>
      </c>
      <c r="B3850">
        <v>5</v>
      </c>
      <c r="C3850">
        <v>3219</v>
      </c>
      <c r="D3850">
        <v>0</v>
      </c>
      <c r="E3850">
        <v>26</v>
      </c>
      <c r="F3850" t="s">
        <v>47</v>
      </c>
      <c r="G3850" t="s">
        <v>205</v>
      </c>
      <c r="H3850" t="s">
        <v>74</v>
      </c>
      <c r="I3850">
        <v>10</v>
      </c>
    </row>
    <row r="3851" spans="1:9" x14ac:dyDescent="0.2">
      <c r="A3851">
        <v>18234278</v>
      </c>
      <c r="B3851">
        <v>1</v>
      </c>
      <c r="C3851">
        <v>3200</v>
      </c>
      <c r="D3851">
        <v>57780</v>
      </c>
      <c r="E3851">
        <v>24</v>
      </c>
      <c r="F3851" t="s">
        <v>47</v>
      </c>
      <c r="G3851" t="s">
        <v>18</v>
      </c>
      <c r="H3851" t="s">
        <v>46</v>
      </c>
      <c r="I3851">
        <v>10</v>
      </c>
    </row>
    <row r="3852" spans="1:9" x14ac:dyDescent="0.2">
      <c r="A3852">
        <v>18234278</v>
      </c>
      <c r="B3852">
        <v>2</v>
      </c>
      <c r="C3852">
        <v>3296</v>
      </c>
      <c r="D3852">
        <v>0</v>
      </c>
      <c r="E3852">
        <v>26</v>
      </c>
      <c r="F3852" t="s">
        <v>47</v>
      </c>
      <c r="G3852" t="s">
        <v>100</v>
      </c>
      <c r="H3852" t="s">
        <v>46</v>
      </c>
      <c r="I3852">
        <v>10</v>
      </c>
    </row>
    <row r="3853" spans="1:9" x14ac:dyDescent="0.2">
      <c r="A3853">
        <v>18234278</v>
      </c>
      <c r="B3853">
        <v>3</v>
      </c>
      <c r="C3853">
        <v>1730</v>
      </c>
      <c r="D3853">
        <v>0</v>
      </c>
      <c r="E3853">
        <v>26</v>
      </c>
      <c r="F3853" t="s">
        <v>57</v>
      </c>
      <c r="G3853" t="s">
        <v>83</v>
      </c>
      <c r="H3853" t="s">
        <v>79</v>
      </c>
      <c r="I3853">
        <v>10</v>
      </c>
    </row>
    <row r="3854" spans="1:9" x14ac:dyDescent="0.2">
      <c r="A3854">
        <v>18256147</v>
      </c>
      <c r="B3854">
        <v>1</v>
      </c>
      <c r="C3854">
        <v>3234</v>
      </c>
      <c r="D3854">
        <v>0</v>
      </c>
      <c r="E3854">
        <v>36</v>
      </c>
      <c r="F3854" t="s">
        <v>47</v>
      </c>
      <c r="G3854" t="s">
        <v>76</v>
      </c>
      <c r="H3854" t="s">
        <v>46</v>
      </c>
      <c r="I3854">
        <v>10</v>
      </c>
    </row>
    <row r="3855" spans="1:9" x14ac:dyDescent="0.2">
      <c r="A3855">
        <v>18256147</v>
      </c>
      <c r="B3855">
        <v>2</v>
      </c>
      <c r="C3855">
        <v>1729</v>
      </c>
      <c r="D3855">
        <v>0</v>
      </c>
      <c r="E3855">
        <v>36</v>
      </c>
      <c r="F3855" t="s">
        <v>57</v>
      </c>
      <c r="G3855" t="s">
        <v>72</v>
      </c>
      <c r="H3855" t="s">
        <v>69</v>
      </c>
      <c r="I3855">
        <v>10</v>
      </c>
    </row>
    <row r="3856" spans="1:9" x14ac:dyDescent="0.2">
      <c r="A3856">
        <v>18256147</v>
      </c>
      <c r="B3856">
        <v>3</v>
      </c>
      <c r="C3856">
        <v>1354</v>
      </c>
      <c r="D3856">
        <v>0</v>
      </c>
      <c r="E3856">
        <v>36</v>
      </c>
      <c r="F3856" t="s">
        <v>21</v>
      </c>
      <c r="G3856" t="s">
        <v>253</v>
      </c>
      <c r="H3856" t="s">
        <v>20</v>
      </c>
      <c r="I3856">
        <v>8</v>
      </c>
    </row>
    <row r="3857" spans="1:9" x14ac:dyDescent="0.2">
      <c r="A3857">
        <v>18256147</v>
      </c>
      <c r="B3857">
        <v>4</v>
      </c>
      <c r="C3857">
        <v>1328</v>
      </c>
      <c r="D3857">
        <v>0</v>
      </c>
      <c r="E3857">
        <v>36</v>
      </c>
      <c r="F3857" t="s">
        <v>21</v>
      </c>
      <c r="G3857" t="s">
        <v>255</v>
      </c>
      <c r="H3857" t="s">
        <v>20</v>
      </c>
      <c r="I3857">
        <v>8</v>
      </c>
    </row>
    <row r="3858" spans="1:9" x14ac:dyDescent="0.2">
      <c r="A3858">
        <v>18256147</v>
      </c>
      <c r="B3858">
        <v>5</v>
      </c>
      <c r="C3858">
        <v>1359</v>
      </c>
      <c r="D3858">
        <v>0</v>
      </c>
      <c r="E3858">
        <v>36</v>
      </c>
      <c r="F3858" t="s">
        <v>21</v>
      </c>
      <c r="G3858" t="s">
        <v>214</v>
      </c>
      <c r="H3858" t="s">
        <v>20</v>
      </c>
      <c r="I3858">
        <v>8</v>
      </c>
    </row>
    <row r="3859" spans="1:9" x14ac:dyDescent="0.2">
      <c r="A3859">
        <v>18256147</v>
      </c>
      <c r="B3859">
        <v>6</v>
      </c>
      <c r="C3859">
        <v>1326</v>
      </c>
      <c r="D3859">
        <v>0</v>
      </c>
      <c r="E3859">
        <v>36</v>
      </c>
      <c r="F3859" t="s">
        <v>21</v>
      </c>
      <c r="G3859" t="s">
        <v>72</v>
      </c>
      <c r="H3859" t="s">
        <v>20</v>
      </c>
      <c r="I3859">
        <v>8</v>
      </c>
    </row>
    <row r="3860" spans="1:9" x14ac:dyDescent="0.2">
      <c r="A3860">
        <v>18256147</v>
      </c>
      <c r="B3860">
        <v>7</v>
      </c>
      <c r="C3860">
        <v>1340</v>
      </c>
      <c r="D3860">
        <v>0</v>
      </c>
      <c r="E3860">
        <v>36</v>
      </c>
      <c r="F3860" t="s">
        <v>21</v>
      </c>
      <c r="G3860" t="s">
        <v>256</v>
      </c>
      <c r="H3860" t="s">
        <v>20</v>
      </c>
      <c r="I3860">
        <v>8</v>
      </c>
    </row>
    <row r="3861" spans="1:9" x14ac:dyDescent="0.2">
      <c r="A3861">
        <v>18256147</v>
      </c>
      <c r="B3861">
        <v>8</v>
      </c>
      <c r="C3861">
        <v>1436</v>
      </c>
      <c r="D3861">
        <v>0</v>
      </c>
      <c r="E3861">
        <v>36</v>
      </c>
      <c r="F3861" t="s">
        <v>25</v>
      </c>
      <c r="G3861" t="s">
        <v>178</v>
      </c>
      <c r="H3861" t="s">
        <v>24</v>
      </c>
      <c r="I3861">
        <v>5</v>
      </c>
    </row>
    <row r="3862" spans="1:9" x14ac:dyDescent="0.2">
      <c r="A3862">
        <v>18272016</v>
      </c>
      <c r="B3862">
        <v>1</v>
      </c>
      <c r="C3862">
        <v>1520</v>
      </c>
      <c r="D3862">
        <v>57590</v>
      </c>
      <c r="E3862">
        <v>25</v>
      </c>
      <c r="F3862" t="s">
        <v>142</v>
      </c>
      <c r="G3862" t="s">
        <v>84</v>
      </c>
      <c r="H3862" t="s">
        <v>31</v>
      </c>
      <c r="I3862">
        <v>5</v>
      </c>
    </row>
    <row r="3863" spans="1:9" x14ac:dyDescent="0.2">
      <c r="A3863">
        <v>18272016</v>
      </c>
      <c r="B3863">
        <v>2</v>
      </c>
      <c r="C3863">
        <v>1319</v>
      </c>
      <c r="D3863">
        <v>57545</v>
      </c>
      <c r="E3863">
        <v>25</v>
      </c>
      <c r="F3863" t="s">
        <v>21</v>
      </c>
      <c r="G3863" t="s">
        <v>84</v>
      </c>
      <c r="H3863" t="s">
        <v>20</v>
      </c>
      <c r="I3863">
        <v>8</v>
      </c>
    </row>
    <row r="3864" spans="1:9" x14ac:dyDescent="0.2">
      <c r="A3864">
        <v>18272016</v>
      </c>
      <c r="B3864">
        <v>3</v>
      </c>
      <c r="C3864">
        <v>1591</v>
      </c>
      <c r="D3864">
        <v>0</v>
      </c>
      <c r="E3864">
        <v>19</v>
      </c>
      <c r="F3864" t="s">
        <v>142</v>
      </c>
      <c r="G3864" t="s">
        <v>257</v>
      </c>
      <c r="H3864" t="s">
        <v>113</v>
      </c>
      <c r="I3864">
        <v>5</v>
      </c>
    </row>
    <row r="3865" spans="1:9" x14ac:dyDescent="0.2">
      <c r="A3865">
        <v>18272016</v>
      </c>
      <c r="B3865">
        <v>4</v>
      </c>
      <c r="C3865">
        <v>3212</v>
      </c>
      <c r="D3865">
        <v>56630</v>
      </c>
      <c r="E3865">
        <v>24</v>
      </c>
      <c r="F3865" t="s">
        <v>47</v>
      </c>
      <c r="G3865" t="s">
        <v>84</v>
      </c>
      <c r="H3865" t="s">
        <v>46</v>
      </c>
      <c r="I3865">
        <v>10</v>
      </c>
    </row>
    <row r="3866" spans="1:9" x14ac:dyDescent="0.2">
      <c r="A3866">
        <v>18272016</v>
      </c>
      <c r="B3866">
        <v>5</v>
      </c>
      <c r="C3866">
        <v>1142</v>
      </c>
      <c r="D3866">
        <v>0</v>
      </c>
      <c r="E3866">
        <v>16</v>
      </c>
      <c r="F3866" t="s">
        <v>17</v>
      </c>
      <c r="G3866" t="s">
        <v>114</v>
      </c>
      <c r="H3866" t="s">
        <v>16</v>
      </c>
      <c r="I3866" t="s">
        <v>448</v>
      </c>
    </row>
    <row r="3867" spans="1:9" x14ac:dyDescent="0.2">
      <c r="A3867">
        <v>18272017</v>
      </c>
      <c r="B3867">
        <v>1</v>
      </c>
      <c r="C3867">
        <v>3243</v>
      </c>
      <c r="D3867">
        <v>0</v>
      </c>
      <c r="E3867">
        <v>36</v>
      </c>
      <c r="F3867" t="s">
        <v>47</v>
      </c>
      <c r="G3867" t="s">
        <v>75</v>
      </c>
      <c r="H3867" t="s">
        <v>46</v>
      </c>
      <c r="I3867">
        <v>10</v>
      </c>
    </row>
    <row r="3868" spans="1:9" x14ac:dyDescent="0.2">
      <c r="A3868">
        <v>18272017</v>
      </c>
      <c r="B3868">
        <v>2</v>
      </c>
      <c r="C3868">
        <v>3261</v>
      </c>
      <c r="D3868">
        <v>0</v>
      </c>
      <c r="E3868">
        <v>36</v>
      </c>
      <c r="F3868" t="s">
        <v>47</v>
      </c>
      <c r="G3868" t="s">
        <v>93</v>
      </c>
      <c r="H3868" t="s">
        <v>46</v>
      </c>
      <c r="I3868">
        <v>10</v>
      </c>
    </row>
    <row r="3869" spans="1:9" x14ac:dyDescent="0.2">
      <c r="A3869">
        <v>18272017</v>
      </c>
      <c r="B3869">
        <v>3</v>
      </c>
      <c r="C3869">
        <v>3248</v>
      </c>
      <c r="D3869">
        <v>0</v>
      </c>
      <c r="E3869">
        <v>36</v>
      </c>
      <c r="F3869" t="s">
        <v>47</v>
      </c>
      <c r="G3869" t="s">
        <v>92</v>
      </c>
      <c r="H3869" t="s">
        <v>46</v>
      </c>
      <c r="I3869">
        <v>10</v>
      </c>
    </row>
    <row r="3870" spans="1:9" x14ac:dyDescent="0.2">
      <c r="A3870">
        <v>18272017</v>
      </c>
      <c r="B3870">
        <v>4</v>
      </c>
      <c r="C3870">
        <v>3251</v>
      </c>
      <c r="D3870">
        <v>0</v>
      </c>
      <c r="E3870">
        <v>36</v>
      </c>
      <c r="F3870" t="s">
        <v>47</v>
      </c>
      <c r="G3870" t="s">
        <v>48</v>
      </c>
      <c r="H3870" t="s">
        <v>46</v>
      </c>
      <c r="I3870">
        <v>10</v>
      </c>
    </row>
    <row r="3871" spans="1:9" x14ac:dyDescent="0.2">
      <c r="A3871">
        <v>18272017</v>
      </c>
      <c r="B3871">
        <v>5</v>
      </c>
      <c r="C3871">
        <v>3200</v>
      </c>
      <c r="D3871">
        <v>0</v>
      </c>
      <c r="E3871">
        <v>36</v>
      </c>
      <c r="F3871" t="s">
        <v>47</v>
      </c>
      <c r="G3871" t="s">
        <v>18</v>
      </c>
      <c r="H3871" t="s">
        <v>46</v>
      </c>
      <c r="I3871">
        <v>10</v>
      </c>
    </row>
    <row r="3872" spans="1:9" x14ac:dyDescent="0.2">
      <c r="A3872">
        <v>18272017</v>
      </c>
      <c r="B3872">
        <v>6</v>
      </c>
      <c r="C3872">
        <v>3296</v>
      </c>
      <c r="D3872">
        <v>0</v>
      </c>
      <c r="E3872">
        <v>36</v>
      </c>
      <c r="F3872" t="s">
        <v>47</v>
      </c>
      <c r="G3872" t="s">
        <v>100</v>
      </c>
      <c r="H3872" t="s">
        <v>46</v>
      </c>
      <c r="I3872">
        <v>10</v>
      </c>
    </row>
    <row r="3873" spans="1:9" x14ac:dyDescent="0.2">
      <c r="A3873">
        <v>18272017</v>
      </c>
      <c r="B3873">
        <v>7</v>
      </c>
      <c r="C3873">
        <v>3252</v>
      </c>
      <c r="D3873">
        <v>0</v>
      </c>
      <c r="E3873">
        <v>36</v>
      </c>
      <c r="F3873" t="s">
        <v>47</v>
      </c>
      <c r="G3873" t="s">
        <v>45</v>
      </c>
      <c r="H3873" t="s">
        <v>46</v>
      </c>
      <c r="I3873">
        <v>10</v>
      </c>
    </row>
    <row r="3874" spans="1:9" x14ac:dyDescent="0.2">
      <c r="A3874">
        <v>18272768</v>
      </c>
      <c r="B3874">
        <v>1</v>
      </c>
      <c r="C3874">
        <v>3212</v>
      </c>
      <c r="D3874">
        <v>46650</v>
      </c>
      <c r="E3874">
        <v>25</v>
      </c>
      <c r="F3874" t="s">
        <v>47</v>
      </c>
      <c r="G3874" t="s">
        <v>84</v>
      </c>
      <c r="H3874" t="s">
        <v>46</v>
      </c>
      <c r="I3874">
        <v>10</v>
      </c>
    </row>
    <row r="3875" spans="1:9" x14ac:dyDescent="0.2">
      <c r="A3875">
        <v>18334643</v>
      </c>
      <c r="B3875">
        <v>1</v>
      </c>
      <c r="C3875">
        <v>1145</v>
      </c>
      <c r="D3875">
        <v>73600</v>
      </c>
      <c r="E3875">
        <v>24</v>
      </c>
      <c r="F3875" t="s">
        <v>17</v>
      </c>
      <c r="G3875" t="s">
        <v>159</v>
      </c>
      <c r="H3875" t="s">
        <v>16</v>
      </c>
      <c r="I3875" t="s">
        <v>448</v>
      </c>
    </row>
    <row r="3876" spans="1:9" x14ac:dyDescent="0.2">
      <c r="A3876">
        <v>18334643</v>
      </c>
      <c r="B3876">
        <v>2</v>
      </c>
      <c r="C3876">
        <v>1713</v>
      </c>
      <c r="D3876">
        <v>0</v>
      </c>
      <c r="E3876">
        <v>26</v>
      </c>
      <c r="F3876" t="s">
        <v>57</v>
      </c>
      <c r="G3876" t="s">
        <v>170</v>
      </c>
      <c r="H3876" t="s">
        <v>69</v>
      </c>
      <c r="I3876">
        <v>10</v>
      </c>
    </row>
    <row r="3877" spans="1:9" x14ac:dyDescent="0.2">
      <c r="A3877">
        <v>18334643</v>
      </c>
      <c r="B3877">
        <v>3</v>
      </c>
      <c r="C3877">
        <v>1571</v>
      </c>
      <c r="D3877">
        <v>0</v>
      </c>
      <c r="E3877">
        <v>26</v>
      </c>
      <c r="F3877" t="s">
        <v>142</v>
      </c>
      <c r="G3877" t="s">
        <v>264</v>
      </c>
      <c r="H3877" t="s">
        <v>113</v>
      </c>
      <c r="I3877">
        <v>5</v>
      </c>
    </row>
    <row r="3878" spans="1:9" x14ac:dyDescent="0.2">
      <c r="A3878">
        <v>18334643</v>
      </c>
      <c r="B3878">
        <v>4</v>
      </c>
      <c r="C3878">
        <v>1691</v>
      </c>
      <c r="D3878">
        <v>0</v>
      </c>
      <c r="E3878">
        <v>26</v>
      </c>
      <c r="F3878" t="s">
        <v>128</v>
      </c>
      <c r="G3878" t="s">
        <v>170</v>
      </c>
      <c r="H3878" t="s">
        <v>127</v>
      </c>
      <c r="I3878" t="s">
        <v>448</v>
      </c>
    </row>
    <row r="3879" spans="1:9" x14ac:dyDescent="0.2">
      <c r="A3879">
        <v>18372554</v>
      </c>
      <c r="B3879">
        <v>1</v>
      </c>
      <c r="C3879">
        <v>3212</v>
      </c>
      <c r="D3879">
        <v>47270</v>
      </c>
      <c r="E3879">
        <v>25</v>
      </c>
      <c r="F3879" t="s">
        <v>47</v>
      </c>
      <c r="G3879" t="s">
        <v>84</v>
      </c>
      <c r="H3879" t="s">
        <v>46</v>
      </c>
      <c r="I3879">
        <v>10</v>
      </c>
    </row>
    <row r="3880" spans="1:9" x14ac:dyDescent="0.2">
      <c r="A3880">
        <v>18372554</v>
      </c>
      <c r="B3880">
        <v>2</v>
      </c>
      <c r="C3880">
        <v>3211</v>
      </c>
      <c r="D3880">
        <v>47265</v>
      </c>
      <c r="E3880">
        <v>24</v>
      </c>
      <c r="F3880" t="s">
        <v>47</v>
      </c>
      <c r="G3880" t="s">
        <v>99</v>
      </c>
      <c r="H3880" t="s">
        <v>46</v>
      </c>
      <c r="I3880">
        <v>10</v>
      </c>
    </row>
    <row r="3881" spans="1:9" x14ac:dyDescent="0.2">
      <c r="A3881">
        <v>18372554</v>
      </c>
      <c r="B3881">
        <v>3</v>
      </c>
      <c r="C3881">
        <v>3239</v>
      </c>
      <c r="D3881">
        <v>0</v>
      </c>
      <c r="E3881">
        <v>26</v>
      </c>
      <c r="F3881" t="s">
        <v>47</v>
      </c>
      <c r="G3881" t="s">
        <v>107</v>
      </c>
      <c r="H3881" t="s">
        <v>46</v>
      </c>
      <c r="I3881">
        <v>10</v>
      </c>
    </row>
    <row r="3882" spans="1:9" x14ac:dyDescent="0.2">
      <c r="A3882">
        <v>18373262</v>
      </c>
      <c r="B3882">
        <v>1</v>
      </c>
      <c r="C3882">
        <v>2640</v>
      </c>
      <c r="D3882">
        <v>53460</v>
      </c>
      <c r="E3882">
        <v>25</v>
      </c>
      <c r="F3882" t="s">
        <v>71</v>
      </c>
      <c r="G3882" t="s">
        <v>184</v>
      </c>
      <c r="H3882" t="s">
        <v>24</v>
      </c>
      <c r="I3882">
        <v>5</v>
      </c>
    </row>
    <row r="3883" spans="1:9" x14ac:dyDescent="0.2">
      <c r="A3883">
        <v>18373262</v>
      </c>
      <c r="B3883">
        <v>2</v>
      </c>
      <c r="C3883">
        <v>1117</v>
      </c>
      <c r="D3883">
        <v>0</v>
      </c>
      <c r="E3883">
        <v>17</v>
      </c>
      <c r="F3883" t="s">
        <v>17</v>
      </c>
      <c r="G3883" t="s">
        <v>309</v>
      </c>
      <c r="H3883" t="s">
        <v>16</v>
      </c>
      <c r="I3883" t="s">
        <v>448</v>
      </c>
    </row>
    <row r="3884" spans="1:9" x14ac:dyDescent="0.2">
      <c r="A3884">
        <v>18373262</v>
      </c>
      <c r="B3884">
        <v>3</v>
      </c>
      <c r="C3884">
        <v>1259</v>
      </c>
      <c r="D3884">
        <v>0</v>
      </c>
      <c r="E3884">
        <v>20</v>
      </c>
      <c r="F3884" t="s">
        <v>19</v>
      </c>
      <c r="G3884" t="s">
        <v>217</v>
      </c>
      <c r="H3884" t="s">
        <v>16</v>
      </c>
      <c r="I3884" t="s">
        <v>448</v>
      </c>
    </row>
    <row r="3885" spans="1:9" x14ac:dyDescent="0.2">
      <c r="A3885">
        <v>18373262</v>
      </c>
      <c r="B3885">
        <v>4</v>
      </c>
      <c r="C3885">
        <v>1439</v>
      </c>
      <c r="D3885">
        <v>53960</v>
      </c>
      <c r="E3885">
        <v>25</v>
      </c>
      <c r="F3885" t="s">
        <v>25</v>
      </c>
      <c r="G3885" t="s">
        <v>29</v>
      </c>
      <c r="H3885" t="s">
        <v>24</v>
      </c>
      <c r="I3885">
        <v>5</v>
      </c>
    </row>
    <row r="3886" spans="1:9" x14ac:dyDescent="0.2">
      <c r="A3886">
        <v>18373262</v>
      </c>
      <c r="B3886">
        <v>5</v>
      </c>
      <c r="C3886">
        <v>1913</v>
      </c>
      <c r="D3886">
        <v>0</v>
      </c>
      <c r="E3886">
        <v>19</v>
      </c>
      <c r="F3886" t="s">
        <v>32</v>
      </c>
      <c r="G3886" t="s">
        <v>211</v>
      </c>
      <c r="H3886" t="s">
        <v>31</v>
      </c>
      <c r="I3886">
        <v>5</v>
      </c>
    </row>
    <row r="3887" spans="1:9" x14ac:dyDescent="0.2">
      <c r="A3887">
        <v>18373262</v>
      </c>
      <c r="B3887">
        <v>6</v>
      </c>
      <c r="C3887">
        <v>2011</v>
      </c>
      <c r="D3887">
        <v>0</v>
      </c>
      <c r="E3887">
        <v>19</v>
      </c>
      <c r="F3887" t="s">
        <v>132</v>
      </c>
      <c r="G3887" t="s">
        <v>310</v>
      </c>
      <c r="H3887" t="s">
        <v>311</v>
      </c>
      <c r="I3887" t="s">
        <v>448</v>
      </c>
    </row>
    <row r="3888" spans="1:9" x14ac:dyDescent="0.2">
      <c r="A3888">
        <v>18373262</v>
      </c>
      <c r="B3888">
        <v>7</v>
      </c>
      <c r="C3888">
        <v>3244</v>
      </c>
      <c r="D3888">
        <v>52880</v>
      </c>
      <c r="E3888">
        <v>24</v>
      </c>
      <c r="F3888" t="s">
        <v>47</v>
      </c>
      <c r="G3888" t="s">
        <v>73</v>
      </c>
      <c r="H3888" t="s">
        <v>74</v>
      </c>
      <c r="I3888">
        <v>10</v>
      </c>
    </row>
    <row r="3889" spans="1:9" x14ac:dyDescent="0.2">
      <c r="A3889">
        <v>18415640</v>
      </c>
      <c r="B3889">
        <v>1</v>
      </c>
      <c r="C3889">
        <v>1785</v>
      </c>
      <c r="D3889">
        <v>54045</v>
      </c>
      <c r="E3889">
        <v>25</v>
      </c>
      <c r="F3889" t="s">
        <v>57</v>
      </c>
      <c r="G3889" t="s">
        <v>86</v>
      </c>
      <c r="H3889" t="s">
        <v>69</v>
      </c>
      <c r="I3889">
        <v>10</v>
      </c>
    </row>
    <row r="3890" spans="1:9" x14ac:dyDescent="0.2">
      <c r="A3890">
        <v>18415640</v>
      </c>
      <c r="B3890">
        <v>2</v>
      </c>
      <c r="C3890">
        <v>3242</v>
      </c>
      <c r="D3890">
        <v>53130</v>
      </c>
      <c r="E3890">
        <v>25</v>
      </c>
      <c r="F3890" t="s">
        <v>47</v>
      </c>
      <c r="G3890" t="s">
        <v>90</v>
      </c>
      <c r="H3890" t="s">
        <v>46</v>
      </c>
      <c r="I3890">
        <v>10</v>
      </c>
    </row>
    <row r="3891" spans="1:9" x14ac:dyDescent="0.2">
      <c r="A3891">
        <v>18415640</v>
      </c>
      <c r="B3891">
        <v>3</v>
      </c>
      <c r="C3891">
        <v>3214</v>
      </c>
      <c r="D3891">
        <v>54160</v>
      </c>
      <c r="E3891">
        <v>24</v>
      </c>
      <c r="F3891" t="s">
        <v>47</v>
      </c>
      <c r="G3891" t="s">
        <v>98</v>
      </c>
      <c r="H3891" t="s">
        <v>74</v>
      </c>
      <c r="I3891">
        <v>10</v>
      </c>
    </row>
    <row r="3892" spans="1:9" x14ac:dyDescent="0.2">
      <c r="A3892">
        <v>18415640</v>
      </c>
      <c r="B3892">
        <v>4</v>
      </c>
      <c r="C3892">
        <v>3261</v>
      </c>
      <c r="D3892">
        <v>0</v>
      </c>
      <c r="E3892">
        <v>26</v>
      </c>
      <c r="F3892" t="s">
        <v>47</v>
      </c>
      <c r="G3892" t="s">
        <v>93</v>
      </c>
      <c r="H3892" t="s">
        <v>46</v>
      </c>
      <c r="I3892">
        <v>10</v>
      </c>
    </row>
    <row r="3893" spans="1:9" x14ac:dyDescent="0.2">
      <c r="A3893">
        <v>18415640</v>
      </c>
      <c r="B3893">
        <v>5</v>
      </c>
      <c r="C3893">
        <v>3234</v>
      </c>
      <c r="D3893">
        <v>0</v>
      </c>
      <c r="E3893">
        <v>26</v>
      </c>
      <c r="F3893" t="s">
        <v>47</v>
      </c>
      <c r="G3893" t="s">
        <v>76</v>
      </c>
      <c r="H3893" t="s">
        <v>46</v>
      </c>
      <c r="I3893">
        <v>10</v>
      </c>
    </row>
    <row r="3894" spans="1:9" x14ac:dyDescent="0.2">
      <c r="A3894">
        <v>18415640</v>
      </c>
      <c r="B3894">
        <v>6</v>
      </c>
      <c r="C3894">
        <v>2967</v>
      </c>
      <c r="D3894">
        <v>0</v>
      </c>
      <c r="E3894">
        <v>26</v>
      </c>
      <c r="F3894" t="s">
        <v>119</v>
      </c>
      <c r="G3894" t="s">
        <v>97</v>
      </c>
      <c r="H3894" t="s">
        <v>136</v>
      </c>
      <c r="I3894">
        <v>8</v>
      </c>
    </row>
    <row r="3895" spans="1:9" x14ac:dyDescent="0.2">
      <c r="A3895">
        <v>18458053</v>
      </c>
      <c r="B3895">
        <v>1</v>
      </c>
      <c r="C3895">
        <v>1711</v>
      </c>
      <c r="D3895">
        <v>60505</v>
      </c>
      <c r="E3895">
        <v>24</v>
      </c>
      <c r="F3895" t="s">
        <v>57</v>
      </c>
      <c r="G3895" t="s">
        <v>201</v>
      </c>
      <c r="H3895" t="s">
        <v>69</v>
      </c>
      <c r="I3895">
        <v>10</v>
      </c>
    </row>
    <row r="3896" spans="1:9" x14ac:dyDescent="0.2">
      <c r="A3896">
        <v>18458053</v>
      </c>
      <c r="B3896">
        <v>2</v>
      </c>
      <c r="C3896">
        <v>1705</v>
      </c>
      <c r="D3896">
        <v>0</v>
      </c>
      <c r="E3896">
        <v>26</v>
      </c>
      <c r="F3896" t="s">
        <v>57</v>
      </c>
      <c r="G3896" t="s">
        <v>102</v>
      </c>
      <c r="H3896" t="s">
        <v>69</v>
      </c>
      <c r="I3896">
        <v>10</v>
      </c>
    </row>
    <row r="3897" spans="1:9" x14ac:dyDescent="0.2">
      <c r="A3897">
        <v>18473161</v>
      </c>
      <c r="B3897">
        <v>1</v>
      </c>
      <c r="C3897">
        <v>1506</v>
      </c>
      <c r="D3897">
        <v>67260</v>
      </c>
      <c r="E3897">
        <v>24</v>
      </c>
      <c r="F3897" t="s">
        <v>142</v>
      </c>
      <c r="G3897" t="s">
        <v>78</v>
      </c>
      <c r="H3897" t="s">
        <v>31</v>
      </c>
      <c r="I3897">
        <v>5</v>
      </c>
    </row>
    <row r="3898" spans="1:9" x14ac:dyDescent="0.2">
      <c r="A3898">
        <v>18473161</v>
      </c>
      <c r="B3898">
        <v>2</v>
      </c>
      <c r="C3898">
        <v>1508</v>
      </c>
      <c r="D3898">
        <v>0</v>
      </c>
      <c r="E3898">
        <v>26</v>
      </c>
      <c r="F3898" t="s">
        <v>142</v>
      </c>
      <c r="G3898" t="s">
        <v>249</v>
      </c>
      <c r="H3898" t="s">
        <v>31</v>
      </c>
      <c r="I3898">
        <v>5</v>
      </c>
    </row>
    <row r="3899" spans="1:9" x14ac:dyDescent="0.2">
      <c r="A3899">
        <v>18473161</v>
      </c>
      <c r="B3899">
        <v>3</v>
      </c>
      <c r="C3899">
        <v>1503</v>
      </c>
      <c r="D3899">
        <v>0</v>
      </c>
      <c r="E3899">
        <v>26</v>
      </c>
      <c r="F3899" t="s">
        <v>142</v>
      </c>
      <c r="G3899" t="s">
        <v>161</v>
      </c>
      <c r="H3899" t="s">
        <v>31</v>
      </c>
      <c r="I3899">
        <v>5</v>
      </c>
    </row>
    <row r="3900" spans="1:9" x14ac:dyDescent="0.2">
      <c r="A3900">
        <v>18473161</v>
      </c>
      <c r="B3900">
        <v>4</v>
      </c>
      <c r="C3900">
        <v>1505</v>
      </c>
      <c r="D3900">
        <v>0</v>
      </c>
      <c r="E3900">
        <v>26</v>
      </c>
      <c r="F3900" t="s">
        <v>142</v>
      </c>
      <c r="G3900" t="s">
        <v>120</v>
      </c>
      <c r="H3900" t="s">
        <v>31</v>
      </c>
      <c r="I3900">
        <v>5</v>
      </c>
    </row>
    <row r="3901" spans="1:9" x14ac:dyDescent="0.2">
      <c r="A3901">
        <v>18473161</v>
      </c>
      <c r="B3901">
        <v>5</v>
      </c>
      <c r="C3901">
        <v>1462</v>
      </c>
      <c r="D3901">
        <v>0</v>
      </c>
      <c r="E3901">
        <v>26</v>
      </c>
      <c r="F3901" t="s">
        <v>25</v>
      </c>
      <c r="G3901" t="s">
        <v>352</v>
      </c>
      <c r="H3901" t="s">
        <v>24</v>
      </c>
      <c r="I3901">
        <v>5</v>
      </c>
    </row>
    <row r="3902" spans="1:9" x14ac:dyDescent="0.2">
      <c r="A3902">
        <v>18473161</v>
      </c>
      <c r="B3902">
        <v>6</v>
      </c>
      <c r="C3902">
        <v>1464</v>
      </c>
      <c r="D3902">
        <v>0</v>
      </c>
      <c r="E3902">
        <v>26</v>
      </c>
      <c r="F3902" t="s">
        <v>25</v>
      </c>
      <c r="G3902" t="s">
        <v>339</v>
      </c>
      <c r="H3902" t="s">
        <v>24</v>
      </c>
      <c r="I3902">
        <v>5</v>
      </c>
    </row>
    <row r="3903" spans="1:9" x14ac:dyDescent="0.2">
      <c r="A3903">
        <v>18546016</v>
      </c>
      <c r="B3903">
        <v>1</v>
      </c>
      <c r="C3903">
        <v>1328</v>
      </c>
      <c r="D3903">
        <v>0</v>
      </c>
      <c r="E3903">
        <v>36</v>
      </c>
      <c r="F3903" t="s">
        <v>21</v>
      </c>
      <c r="G3903" t="s">
        <v>255</v>
      </c>
      <c r="H3903" t="s">
        <v>20</v>
      </c>
      <c r="I3903">
        <v>8</v>
      </c>
    </row>
    <row r="3904" spans="1:9" x14ac:dyDescent="0.2">
      <c r="A3904">
        <v>18546016</v>
      </c>
      <c r="B3904">
        <v>2</v>
      </c>
      <c r="C3904">
        <v>3248</v>
      </c>
      <c r="D3904">
        <v>0</v>
      </c>
      <c r="E3904">
        <v>36</v>
      </c>
      <c r="F3904" t="s">
        <v>47</v>
      </c>
      <c r="G3904" t="s">
        <v>92</v>
      </c>
      <c r="H3904" t="s">
        <v>46</v>
      </c>
      <c r="I3904">
        <v>10</v>
      </c>
    </row>
    <row r="3905" spans="1:9" x14ac:dyDescent="0.2">
      <c r="A3905">
        <v>18546016</v>
      </c>
      <c r="B3905">
        <v>3</v>
      </c>
      <c r="C3905">
        <v>3727</v>
      </c>
      <c r="D3905">
        <v>0</v>
      </c>
      <c r="E3905">
        <v>36</v>
      </c>
      <c r="F3905" t="s">
        <v>116</v>
      </c>
      <c r="G3905" t="s">
        <v>318</v>
      </c>
      <c r="H3905" t="s">
        <v>61</v>
      </c>
      <c r="I3905">
        <v>9</v>
      </c>
    </row>
    <row r="3906" spans="1:9" x14ac:dyDescent="0.2">
      <c r="A3906">
        <v>18546016</v>
      </c>
      <c r="B3906">
        <v>4</v>
      </c>
      <c r="C3906">
        <v>2552</v>
      </c>
      <c r="D3906">
        <v>0</v>
      </c>
      <c r="E3906">
        <v>36</v>
      </c>
      <c r="F3906" t="s">
        <v>175</v>
      </c>
      <c r="G3906" t="s">
        <v>319</v>
      </c>
      <c r="H3906" t="s">
        <v>213</v>
      </c>
      <c r="I3906">
        <v>4</v>
      </c>
    </row>
    <row r="3907" spans="1:9" x14ac:dyDescent="0.2">
      <c r="A3907">
        <v>18546016</v>
      </c>
      <c r="B3907">
        <v>5</v>
      </c>
      <c r="C3907">
        <v>1432</v>
      </c>
      <c r="D3907">
        <v>0</v>
      </c>
      <c r="E3907">
        <v>36</v>
      </c>
      <c r="F3907" t="s">
        <v>25</v>
      </c>
      <c r="G3907" t="s">
        <v>320</v>
      </c>
      <c r="H3907" t="s">
        <v>24</v>
      </c>
      <c r="I3907">
        <v>5</v>
      </c>
    </row>
    <row r="3908" spans="1:9" x14ac:dyDescent="0.2">
      <c r="A3908">
        <v>18546016</v>
      </c>
      <c r="B3908">
        <v>6</v>
      </c>
      <c r="C3908">
        <v>1387</v>
      </c>
      <c r="D3908">
        <v>0</v>
      </c>
      <c r="E3908">
        <v>36</v>
      </c>
      <c r="F3908" t="s">
        <v>21</v>
      </c>
      <c r="G3908" t="s">
        <v>102</v>
      </c>
      <c r="H3908" t="s">
        <v>20</v>
      </c>
      <c r="I3908">
        <v>8</v>
      </c>
    </row>
    <row r="3909" spans="1:9" x14ac:dyDescent="0.2">
      <c r="A3909">
        <v>18546016</v>
      </c>
      <c r="B3909">
        <v>7</v>
      </c>
      <c r="C3909">
        <v>1705</v>
      </c>
      <c r="D3909">
        <v>0</v>
      </c>
      <c r="E3909">
        <v>36</v>
      </c>
      <c r="F3909" t="s">
        <v>57</v>
      </c>
      <c r="G3909" t="s">
        <v>102</v>
      </c>
      <c r="H3909" t="s">
        <v>69</v>
      </c>
      <c r="I3909">
        <v>10</v>
      </c>
    </row>
    <row r="3910" spans="1:9" x14ac:dyDescent="0.2">
      <c r="A3910">
        <v>18546016</v>
      </c>
      <c r="B3910">
        <v>8</v>
      </c>
      <c r="C3910">
        <v>3234</v>
      </c>
      <c r="D3910">
        <v>0</v>
      </c>
      <c r="E3910">
        <v>36</v>
      </c>
      <c r="F3910" t="s">
        <v>47</v>
      </c>
      <c r="G3910" t="s">
        <v>76</v>
      </c>
      <c r="H3910" t="s">
        <v>46</v>
      </c>
      <c r="I3910">
        <v>10</v>
      </c>
    </row>
    <row r="3911" spans="1:9" x14ac:dyDescent="0.2">
      <c r="A3911">
        <v>18546887</v>
      </c>
      <c r="B3911">
        <v>1</v>
      </c>
      <c r="C3911">
        <v>3225</v>
      </c>
      <c r="D3911">
        <v>59455</v>
      </c>
      <c r="E3911">
        <v>24</v>
      </c>
      <c r="F3911" t="s">
        <v>47</v>
      </c>
      <c r="G3911" t="s">
        <v>106</v>
      </c>
      <c r="H3911" t="s">
        <v>46</v>
      </c>
      <c r="I3911">
        <v>10</v>
      </c>
    </row>
    <row r="3912" spans="1:9" x14ac:dyDescent="0.2">
      <c r="A3912">
        <v>18546887</v>
      </c>
      <c r="B3912">
        <v>2</v>
      </c>
      <c r="C3912">
        <v>3223</v>
      </c>
      <c r="D3912">
        <v>0</v>
      </c>
      <c r="E3912">
        <v>26</v>
      </c>
      <c r="F3912" t="s">
        <v>47</v>
      </c>
      <c r="G3912" t="s">
        <v>105</v>
      </c>
      <c r="H3912" t="s">
        <v>46</v>
      </c>
      <c r="I3912">
        <v>10</v>
      </c>
    </row>
    <row r="3913" spans="1:9" x14ac:dyDescent="0.2">
      <c r="A3913">
        <v>18546887</v>
      </c>
      <c r="B3913">
        <v>3</v>
      </c>
      <c r="C3913">
        <v>3237</v>
      </c>
      <c r="D3913">
        <v>0</v>
      </c>
      <c r="E3913">
        <v>26</v>
      </c>
      <c r="F3913" t="s">
        <v>47</v>
      </c>
      <c r="G3913" t="s">
        <v>181</v>
      </c>
      <c r="H3913" t="s">
        <v>46</v>
      </c>
      <c r="I3913">
        <v>10</v>
      </c>
    </row>
    <row r="3914" spans="1:9" x14ac:dyDescent="0.2">
      <c r="A3914">
        <v>18546887</v>
      </c>
      <c r="B3914">
        <v>4</v>
      </c>
      <c r="C3914">
        <v>3218</v>
      </c>
      <c r="D3914">
        <v>0</v>
      </c>
      <c r="E3914">
        <v>26</v>
      </c>
      <c r="F3914" t="s">
        <v>47</v>
      </c>
      <c r="G3914" t="s">
        <v>66</v>
      </c>
      <c r="H3914" t="s">
        <v>74</v>
      </c>
      <c r="I3914">
        <v>10</v>
      </c>
    </row>
    <row r="3915" spans="1:9" x14ac:dyDescent="0.2">
      <c r="A3915">
        <v>18546887</v>
      </c>
      <c r="B3915">
        <v>5</v>
      </c>
      <c r="C3915">
        <v>3229</v>
      </c>
      <c r="D3915">
        <v>0</v>
      </c>
      <c r="E3915">
        <v>26</v>
      </c>
      <c r="F3915" t="s">
        <v>47</v>
      </c>
      <c r="G3915" t="s">
        <v>101</v>
      </c>
      <c r="H3915" t="s">
        <v>46</v>
      </c>
      <c r="I3915">
        <v>10</v>
      </c>
    </row>
    <row r="3916" spans="1:9" x14ac:dyDescent="0.2">
      <c r="A3916">
        <v>18547067</v>
      </c>
      <c r="B3916">
        <v>1</v>
      </c>
      <c r="C3916">
        <v>2671</v>
      </c>
      <c r="D3916">
        <v>0</v>
      </c>
      <c r="E3916">
        <v>36</v>
      </c>
      <c r="F3916" t="s">
        <v>71</v>
      </c>
      <c r="G3916" t="s">
        <v>258</v>
      </c>
      <c r="H3916" t="s">
        <v>24</v>
      </c>
      <c r="I3916">
        <v>5</v>
      </c>
    </row>
    <row r="3917" spans="1:9" x14ac:dyDescent="0.2">
      <c r="A3917">
        <v>18547067</v>
      </c>
      <c r="B3917">
        <v>2</v>
      </c>
      <c r="C3917">
        <v>1991</v>
      </c>
      <c r="D3917">
        <v>0</v>
      </c>
      <c r="E3917">
        <v>36</v>
      </c>
      <c r="F3917" t="s">
        <v>32</v>
      </c>
      <c r="G3917" t="s">
        <v>247</v>
      </c>
      <c r="H3917" t="s">
        <v>31</v>
      </c>
      <c r="I3917">
        <v>5</v>
      </c>
    </row>
    <row r="3918" spans="1:9" x14ac:dyDescent="0.2">
      <c r="A3918">
        <v>18547067</v>
      </c>
      <c r="B3918">
        <v>3</v>
      </c>
      <c r="C3918">
        <v>3029</v>
      </c>
      <c r="D3918">
        <v>0</v>
      </c>
      <c r="E3918">
        <v>36</v>
      </c>
      <c r="F3918" t="s">
        <v>44</v>
      </c>
      <c r="G3918" t="s">
        <v>247</v>
      </c>
      <c r="H3918" t="s">
        <v>50</v>
      </c>
      <c r="I3918">
        <v>9</v>
      </c>
    </row>
    <row r="3919" spans="1:9" x14ac:dyDescent="0.2">
      <c r="A3919">
        <v>18547067</v>
      </c>
      <c r="B3919">
        <v>4</v>
      </c>
      <c r="C3919">
        <v>3229</v>
      </c>
      <c r="D3919">
        <v>0</v>
      </c>
      <c r="E3919">
        <v>36</v>
      </c>
      <c r="F3919" t="s">
        <v>47</v>
      </c>
      <c r="G3919" t="s">
        <v>101</v>
      </c>
      <c r="H3919" t="s">
        <v>46</v>
      </c>
      <c r="I3919">
        <v>10</v>
      </c>
    </row>
    <row r="3920" spans="1:9" x14ac:dyDescent="0.2">
      <c r="A3920">
        <v>18561930</v>
      </c>
      <c r="B3920">
        <v>1</v>
      </c>
      <c r="C3920">
        <v>1777</v>
      </c>
      <c r="D3920">
        <v>49385</v>
      </c>
      <c r="E3920">
        <v>25</v>
      </c>
      <c r="F3920" t="s">
        <v>57</v>
      </c>
      <c r="G3920" t="s">
        <v>88</v>
      </c>
      <c r="H3920" t="s">
        <v>69</v>
      </c>
      <c r="I3920">
        <v>10</v>
      </c>
    </row>
    <row r="3921" spans="1:9" x14ac:dyDescent="0.2">
      <c r="A3921">
        <v>18561930</v>
      </c>
      <c r="B3921">
        <v>2</v>
      </c>
      <c r="C3921">
        <v>3261</v>
      </c>
      <c r="D3921">
        <v>49010</v>
      </c>
      <c r="E3921">
        <v>25</v>
      </c>
      <c r="F3921" t="s">
        <v>47</v>
      </c>
      <c r="G3921" t="s">
        <v>93</v>
      </c>
      <c r="H3921" t="s">
        <v>46</v>
      </c>
      <c r="I3921">
        <v>10</v>
      </c>
    </row>
    <row r="3922" spans="1:9" x14ac:dyDescent="0.2">
      <c r="A3922">
        <v>18561930</v>
      </c>
      <c r="B3922">
        <v>3</v>
      </c>
      <c r="C3922">
        <v>3234</v>
      </c>
      <c r="D3922">
        <v>49015</v>
      </c>
      <c r="E3922">
        <v>25</v>
      </c>
      <c r="F3922" t="s">
        <v>47</v>
      </c>
      <c r="G3922" t="s">
        <v>76</v>
      </c>
      <c r="H3922" t="s">
        <v>46</v>
      </c>
      <c r="I3922">
        <v>10</v>
      </c>
    </row>
    <row r="3923" spans="1:9" x14ac:dyDescent="0.2">
      <c r="A3923">
        <v>18561930</v>
      </c>
      <c r="B3923">
        <v>4</v>
      </c>
      <c r="C3923">
        <v>3245</v>
      </c>
      <c r="D3923">
        <v>49755</v>
      </c>
      <c r="E3923">
        <v>25</v>
      </c>
      <c r="F3923" t="s">
        <v>47</v>
      </c>
      <c r="G3923" t="s">
        <v>157</v>
      </c>
      <c r="H3923" t="s">
        <v>74</v>
      </c>
      <c r="I3923">
        <v>10</v>
      </c>
    </row>
    <row r="3924" spans="1:9" x14ac:dyDescent="0.2">
      <c r="A3924">
        <v>18561930</v>
      </c>
      <c r="B3924">
        <v>5</v>
      </c>
      <c r="C3924">
        <v>3269</v>
      </c>
      <c r="D3924">
        <v>46785</v>
      </c>
      <c r="E3924">
        <v>24</v>
      </c>
      <c r="F3924" t="s">
        <v>47</v>
      </c>
      <c r="G3924" t="s">
        <v>180</v>
      </c>
      <c r="H3924" t="s">
        <v>46</v>
      </c>
      <c r="I3924">
        <v>10</v>
      </c>
    </row>
    <row r="3925" spans="1:9" x14ac:dyDescent="0.2">
      <c r="A3925">
        <v>18617230</v>
      </c>
      <c r="B3925">
        <v>1</v>
      </c>
      <c r="C3925">
        <v>1736</v>
      </c>
      <c r="D3925">
        <v>50005</v>
      </c>
      <c r="E3925">
        <v>25</v>
      </c>
      <c r="F3925" t="s">
        <v>57</v>
      </c>
      <c r="G3925" t="s">
        <v>78</v>
      </c>
      <c r="H3925" t="s">
        <v>79</v>
      </c>
      <c r="I3925">
        <v>10</v>
      </c>
    </row>
    <row r="3926" spans="1:9" x14ac:dyDescent="0.2">
      <c r="A3926">
        <v>18617230</v>
      </c>
      <c r="B3926">
        <v>2</v>
      </c>
      <c r="C3926">
        <v>1759</v>
      </c>
      <c r="D3926">
        <v>50005</v>
      </c>
      <c r="E3926">
        <v>24</v>
      </c>
      <c r="F3926" t="s">
        <v>57</v>
      </c>
      <c r="G3926" t="s">
        <v>154</v>
      </c>
      <c r="H3926" t="s">
        <v>56</v>
      </c>
      <c r="I3926">
        <v>10</v>
      </c>
    </row>
    <row r="3927" spans="1:9" x14ac:dyDescent="0.2">
      <c r="A3927">
        <v>18617230</v>
      </c>
      <c r="B3927">
        <v>3</v>
      </c>
      <c r="C3927">
        <v>1730</v>
      </c>
      <c r="D3927">
        <v>0</v>
      </c>
      <c r="E3927">
        <v>26</v>
      </c>
      <c r="F3927" t="s">
        <v>57</v>
      </c>
      <c r="G3927" t="s">
        <v>83</v>
      </c>
      <c r="H3927" t="s">
        <v>79</v>
      </c>
      <c r="I3927">
        <v>10</v>
      </c>
    </row>
    <row r="3928" spans="1:9" x14ac:dyDescent="0.2">
      <c r="A3928">
        <v>18617230</v>
      </c>
      <c r="B3928">
        <v>4</v>
      </c>
      <c r="C3928">
        <v>1708</v>
      </c>
      <c r="D3928">
        <v>0</v>
      </c>
      <c r="E3928">
        <v>26</v>
      </c>
      <c r="F3928" t="s">
        <v>57</v>
      </c>
      <c r="G3928" t="s">
        <v>80</v>
      </c>
      <c r="H3928" t="s">
        <v>79</v>
      </c>
      <c r="I3928">
        <v>10</v>
      </c>
    </row>
    <row r="3929" spans="1:9" x14ac:dyDescent="0.2">
      <c r="A3929">
        <v>18617230</v>
      </c>
      <c r="B3929">
        <v>5</v>
      </c>
      <c r="C3929">
        <v>1775</v>
      </c>
      <c r="D3929">
        <v>0</v>
      </c>
      <c r="E3929">
        <v>26</v>
      </c>
      <c r="F3929" t="s">
        <v>57</v>
      </c>
      <c r="G3929" t="s">
        <v>94</v>
      </c>
      <c r="H3929" t="s">
        <v>69</v>
      </c>
      <c r="I3929">
        <v>10</v>
      </c>
    </row>
    <row r="3930" spans="1:9" x14ac:dyDescent="0.2">
      <c r="A3930">
        <v>18617230</v>
      </c>
      <c r="B3930">
        <v>6</v>
      </c>
      <c r="C3930">
        <v>1740</v>
      </c>
      <c r="D3930">
        <v>0</v>
      </c>
      <c r="E3930">
        <v>13</v>
      </c>
      <c r="F3930" t="s">
        <v>57</v>
      </c>
      <c r="G3930" t="s">
        <v>209</v>
      </c>
      <c r="H3930" t="s">
        <v>79</v>
      </c>
      <c r="I3930">
        <v>10</v>
      </c>
    </row>
    <row r="3931" spans="1:9" x14ac:dyDescent="0.2">
      <c r="A3931">
        <v>18617230</v>
      </c>
      <c r="B3931">
        <v>7</v>
      </c>
      <c r="C3931">
        <v>1758</v>
      </c>
      <c r="D3931">
        <v>0</v>
      </c>
      <c r="E3931">
        <v>13</v>
      </c>
      <c r="F3931" t="s">
        <v>57</v>
      </c>
      <c r="G3931" t="s">
        <v>106</v>
      </c>
      <c r="H3931" t="s">
        <v>56</v>
      </c>
      <c r="I3931">
        <v>10</v>
      </c>
    </row>
    <row r="3932" spans="1:9" x14ac:dyDescent="0.2">
      <c r="A3932">
        <v>18648452</v>
      </c>
      <c r="B3932">
        <v>1</v>
      </c>
      <c r="C3932">
        <v>1303</v>
      </c>
      <c r="D3932">
        <v>75085</v>
      </c>
      <c r="E3932">
        <v>24</v>
      </c>
      <c r="F3932" t="s">
        <v>21</v>
      </c>
      <c r="G3932" t="s">
        <v>149</v>
      </c>
      <c r="H3932" t="s">
        <v>20</v>
      </c>
      <c r="I3932">
        <v>8</v>
      </c>
    </row>
    <row r="3933" spans="1:9" x14ac:dyDescent="0.2">
      <c r="A3933">
        <v>18648452</v>
      </c>
      <c r="B3933">
        <v>2</v>
      </c>
      <c r="C3933">
        <v>1372</v>
      </c>
      <c r="D3933">
        <v>0</v>
      </c>
      <c r="E3933">
        <v>26</v>
      </c>
      <c r="F3933" t="s">
        <v>21</v>
      </c>
      <c r="G3933" t="s">
        <v>66</v>
      </c>
      <c r="H3933" t="s">
        <v>20</v>
      </c>
      <c r="I3933">
        <v>8</v>
      </c>
    </row>
    <row r="3934" spans="1:9" x14ac:dyDescent="0.2">
      <c r="A3934">
        <v>18651451</v>
      </c>
      <c r="B3934">
        <v>1</v>
      </c>
      <c r="C3934">
        <v>1732</v>
      </c>
      <c r="D3934">
        <v>55955</v>
      </c>
      <c r="E3934">
        <v>25</v>
      </c>
      <c r="F3934" t="s">
        <v>57</v>
      </c>
      <c r="G3934" t="s">
        <v>104</v>
      </c>
      <c r="H3934" t="s">
        <v>69</v>
      </c>
      <c r="I3934">
        <v>10</v>
      </c>
    </row>
    <row r="3935" spans="1:9" x14ac:dyDescent="0.2">
      <c r="A3935">
        <v>18651451</v>
      </c>
      <c r="B3935">
        <v>2</v>
      </c>
      <c r="C3935">
        <v>1776</v>
      </c>
      <c r="D3935">
        <v>55780</v>
      </c>
      <c r="E3935">
        <v>25</v>
      </c>
      <c r="F3935" t="s">
        <v>57</v>
      </c>
      <c r="G3935" t="s">
        <v>124</v>
      </c>
      <c r="H3935" t="s">
        <v>125</v>
      </c>
      <c r="I3935">
        <v>10</v>
      </c>
    </row>
    <row r="3936" spans="1:9" x14ac:dyDescent="0.2">
      <c r="A3936">
        <v>18651451</v>
      </c>
      <c r="B3936">
        <v>3</v>
      </c>
      <c r="C3936">
        <v>1705</v>
      </c>
      <c r="D3936">
        <v>56210</v>
      </c>
      <c r="E3936">
        <v>25</v>
      </c>
      <c r="F3936" t="s">
        <v>57</v>
      </c>
      <c r="G3936" t="s">
        <v>102</v>
      </c>
      <c r="H3936" t="s">
        <v>69</v>
      </c>
      <c r="I3936">
        <v>10</v>
      </c>
    </row>
    <row r="3937" spans="1:9" x14ac:dyDescent="0.2">
      <c r="A3937">
        <v>18651451</v>
      </c>
      <c r="B3937">
        <v>4</v>
      </c>
      <c r="C3937">
        <v>1734</v>
      </c>
      <c r="D3937">
        <v>55655</v>
      </c>
      <c r="E3937">
        <v>25</v>
      </c>
      <c r="F3937" t="s">
        <v>57</v>
      </c>
      <c r="G3937" t="s">
        <v>81</v>
      </c>
      <c r="H3937" t="s">
        <v>69</v>
      </c>
      <c r="I3937">
        <v>10</v>
      </c>
    </row>
    <row r="3938" spans="1:9" x14ac:dyDescent="0.2">
      <c r="A3938">
        <v>18651451</v>
      </c>
      <c r="B3938">
        <v>5</v>
      </c>
      <c r="C3938">
        <v>1711</v>
      </c>
      <c r="D3938">
        <v>55440</v>
      </c>
      <c r="E3938">
        <v>25</v>
      </c>
      <c r="F3938" t="s">
        <v>57</v>
      </c>
      <c r="G3938" t="s">
        <v>201</v>
      </c>
      <c r="H3938" t="s">
        <v>69</v>
      </c>
      <c r="I3938">
        <v>10</v>
      </c>
    </row>
    <row r="3939" spans="1:9" x14ac:dyDescent="0.2">
      <c r="A3939">
        <v>18674785</v>
      </c>
      <c r="B3939">
        <v>1</v>
      </c>
      <c r="C3939">
        <v>1700</v>
      </c>
      <c r="D3939">
        <v>53960</v>
      </c>
      <c r="E3939">
        <v>24</v>
      </c>
      <c r="F3939" t="s">
        <v>57</v>
      </c>
      <c r="G3939" t="s">
        <v>58</v>
      </c>
      <c r="H3939" t="s">
        <v>69</v>
      </c>
      <c r="I3939">
        <v>10</v>
      </c>
    </row>
    <row r="3940" spans="1:9" x14ac:dyDescent="0.2">
      <c r="A3940">
        <v>18674785</v>
      </c>
      <c r="B3940">
        <v>2</v>
      </c>
      <c r="C3940">
        <v>1788</v>
      </c>
      <c r="D3940">
        <v>0</v>
      </c>
      <c r="E3940">
        <v>26</v>
      </c>
      <c r="F3940" t="s">
        <v>57</v>
      </c>
      <c r="G3940" t="s">
        <v>97</v>
      </c>
      <c r="H3940" t="s">
        <v>56</v>
      </c>
      <c r="I3940">
        <v>10</v>
      </c>
    </row>
    <row r="3941" spans="1:9" x14ac:dyDescent="0.2">
      <c r="A3941">
        <v>18689156</v>
      </c>
      <c r="B3941">
        <v>1</v>
      </c>
      <c r="C3941">
        <v>2295</v>
      </c>
      <c r="D3941">
        <v>0</v>
      </c>
      <c r="E3941">
        <v>36</v>
      </c>
      <c r="F3941" t="s">
        <v>177</v>
      </c>
      <c r="G3941" t="s">
        <v>63</v>
      </c>
      <c r="H3941" t="s">
        <v>38</v>
      </c>
      <c r="I3941">
        <v>2</v>
      </c>
    </row>
    <row r="3942" spans="1:9" x14ac:dyDescent="0.2">
      <c r="A3942">
        <v>18699270</v>
      </c>
      <c r="B3942">
        <v>1</v>
      </c>
      <c r="C3942">
        <v>1985</v>
      </c>
      <c r="D3942">
        <v>54930</v>
      </c>
      <c r="E3942">
        <v>25</v>
      </c>
      <c r="F3942" t="s">
        <v>32</v>
      </c>
      <c r="G3942" t="s">
        <v>385</v>
      </c>
      <c r="H3942" t="s">
        <v>31</v>
      </c>
      <c r="I3942">
        <v>5</v>
      </c>
    </row>
    <row r="3943" spans="1:9" x14ac:dyDescent="0.2">
      <c r="A3943">
        <v>18699270</v>
      </c>
      <c r="B3943">
        <v>2</v>
      </c>
      <c r="C3943">
        <v>1994</v>
      </c>
      <c r="D3943">
        <v>54930</v>
      </c>
      <c r="E3943">
        <v>25</v>
      </c>
      <c r="F3943" t="s">
        <v>32</v>
      </c>
      <c r="G3943" t="s">
        <v>67</v>
      </c>
      <c r="H3943" t="s">
        <v>113</v>
      </c>
      <c r="I3943">
        <v>5</v>
      </c>
    </row>
    <row r="3944" spans="1:9" x14ac:dyDescent="0.2">
      <c r="A3944">
        <v>18699270</v>
      </c>
      <c r="B3944">
        <v>3</v>
      </c>
      <c r="C3944">
        <v>1474</v>
      </c>
      <c r="D3944">
        <v>55645</v>
      </c>
      <c r="E3944">
        <v>25</v>
      </c>
      <c r="F3944" t="s">
        <v>25</v>
      </c>
      <c r="G3944" t="s">
        <v>393</v>
      </c>
      <c r="H3944" t="s">
        <v>24</v>
      </c>
      <c r="I3944">
        <v>5</v>
      </c>
    </row>
    <row r="3945" spans="1:9" x14ac:dyDescent="0.2">
      <c r="A3945">
        <v>18720885</v>
      </c>
      <c r="B3945">
        <v>1</v>
      </c>
      <c r="C3945">
        <v>1377</v>
      </c>
      <c r="D3945">
        <v>74720</v>
      </c>
      <c r="E3945">
        <v>24</v>
      </c>
      <c r="F3945" t="s">
        <v>21</v>
      </c>
      <c r="G3945" t="s">
        <v>251</v>
      </c>
      <c r="H3945" t="s">
        <v>20</v>
      </c>
      <c r="I3945">
        <v>8</v>
      </c>
    </row>
    <row r="3946" spans="1:9" x14ac:dyDescent="0.2">
      <c r="A3946">
        <v>18720885</v>
      </c>
      <c r="B3946">
        <v>2</v>
      </c>
      <c r="C3946">
        <v>1170</v>
      </c>
      <c r="D3946">
        <v>0</v>
      </c>
      <c r="E3946">
        <v>26</v>
      </c>
      <c r="F3946" t="s">
        <v>17</v>
      </c>
      <c r="G3946" t="s">
        <v>392</v>
      </c>
      <c r="H3946" t="s">
        <v>16</v>
      </c>
      <c r="I3946" t="s">
        <v>448</v>
      </c>
    </row>
    <row r="3947" spans="1:9" x14ac:dyDescent="0.2">
      <c r="A3947">
        <v>18720885</v>
      </c>
      <c r="B3947">
        <v>3</v>
      </c>
      <c r="C3947">
        <v>1219</v>
      </c>
      <c r="D3947">
        <v>0</v>
      </c>
      <c r="E3947">
        <v>26</v>
      </c>
      <c r="F3947" t="s">
        <v>19</v>
      </c>
      <c r="G3947" t="s">
        <v>347</v>
      </c>
      <c r="H3947" t="s">
        <v>16</v>
      </c>
      <c r="I3947" t="s">
        <v>448</v>
      </c>
    </row>
    <row r="3948" spans="1:9" x14ac:dyDescent="0.2">
      <c r="A3948">
        <v>18720885</v>
      </c>
      <c r="B3948">
        <v>4</v>
      </c>
      <c r="C3948">
        <v>1912</v>
      </c>
      <c r="D3948">
        <v>0</v>
      </c>
      <c r="E3948">
        <v>26</v>
      </c>
      <c r="F3948" t="s">
        <v>32</v>
      </c>
      <c r="G3948" t="s">
        <v>347</v>
      </c>
      <c r="H3948" t="s">
        <v>31</v>
      </c>
      <c r="I3948">
        <v>5</v>
      </c>
    </row>
    <row r="3949" spans="1:9" x14ac:dyDescent="0.2">
      <c r="A3949">
        <v>18732301</v>
      </c>
      <c r="B3949">
        <v>1</v>
      </c>
      <c r="C3949">
        <v>1312</v>
      </c>
      <c r="D3949">
        <v>58950</v>
      </c>
      <c r="E3949">
        <v>25</v>
      </c>
      <c r="F3949" t="s">
        <v>21</v>
      </c>
      <c r="G3949" t="s">
        <v>33</v>
      </c>
      <c r="H3949" t="s">
        <v>20</v>
      </c>
      <c r="I3949">
        <v>8</v>
      </c>
    </row>
    <row r="3950" spans="1:9" x14ac:dyDescent="0.2">
      <c r="A3950">
        <v>18732301</v>
      </c>
      <c r="B3950">
        <v>2</v>
      </c>
      <c r="C3950">
        <v>3409</v>
      </c>
      <c r="D3950">
        <v>58985</v>
      </c>
      <c r="E3950">
        <v>25</v>
      </c>
      <c r="F3950" t="s">
        <v>36</v>
      </c>
      <c r="G3950" t="s">
        <v>34</v>
      </c>
      <c r="H3950" t="s">
        <v>35</v>
      </c>
      <c r="I3950">
        <v>7</v>
      </c>
    </row>
    <row r="3951" spans="1:9" x14ac:dyDescent="0.2">
      <c r="A3951">
        <v>18732301</v>
      </c>
      <c r="B3951">
        <v>3</v>
      </c>
      <c r="C3951">
        <v>1314</v>
      </c>
      <c r="D3951">
        <v>58950</v>
      </c>
      <c r="E3951">
        <v>24</v>
      </c>
      <c r="F3951" t="s">
        <v>21</v>
      </c>
      <c r="G3951" t="s">
        <v>37</v>
      </c>
      <c r="H3951" t="s">
        <v>20</v>
      </c>
      <c r="I3951">
        <v>8</v>
      </c>
    </row>
    <row r="3952" spans="1:9" x14ac:dyDescent="0.2">
      <c r="A3952">
        <v>18732301</v>
      </c>
      <c r="B3952">
        <v>4</v>
      </c>
      <c r="C3952">
        <v>2327</v>
      </c>
      <c r="D3952">
        <v>0</v>
      </c>
      <c r="E3952">
        <v>26</v>
      </c>
      <c r="F3952" t="s">
        <v>39</v>
      </c>
      <c r="G3952" t="s">
        <v>37</v>
      </c>
      <c r="H3952" t="s">
        <v>38</v>
      </c>
      <c r="I3952">
        <v>1</v>
      </c>
    </row>
    <row r="3953" spans="1:9" x14ac:dyDescent="0.2">
      <c r="A3953">
        <v>18732301</v>
      </c>
      <c r="B3953">
        <v>5</v>
      </c>
      <c r="C3953">
        <v>2462</v>
      </c>
      <c r="D3953">
        <v>0</v>
      </c>
      <c r="E3953">
        <v>26</v>
      </c>
      <c r="F3953" t="s">
        <v>42</v>
      </c>
      <c r="G3953" t="s">
        <v>40</v>
      </c>
      <c r="H3953" t="s">
        <v>41</v>
      </c>
      <c r="I3953">
        <v>2</v>
      </c>
    </row>
    <row r="3954" spans="1:9" x14ac:dyDescent="0.2">
      <c r="A3954">
        <v>18732301</v>
      </c>
      <c r="B3954">
        <v>6</v>
      </c>
      <c r="C3954">
        <v>3068</v>
      </c>
      <c r="D3954">
        <v>0</v>
      </c>
      <c r="E3954">
        <v>26</v>
      </c>
      <c r="F3954" t="s">
        <v>44</v>
      </c>
      <c r="G3954" t="s">
        <v>40</v>
      </c>
      <c r="H3954" t="s">
        <v>43</v>
      </c>
      <c r="I3954">
        <v>9</v>
      </c>
    </row>
    <row r="3955" spans="1:9" x14ac:dyDescent="0.2">
      <c r="A3955">
        <v>18747968</v>
      </c>
      <c r="B3955">
        <v>1</v>
      </c>
      <c r="C3955">
        <v>1715</v>
      </c>
      <c r="D3955">
        <v>47300</v>
      </c>
      <c r="E3955">
        <v>25</v>
      </c>
      <c r="F3955" t="s">
        <v>57</v>
      </c>
      <c r="G3955" t="s">
        <v>151</v>
      </c>
      <c r="H3955" t="s">
        <v>69</v>
      </c>
      <c r="I3955">
        <v>10</v>
      </c>
    </row>
    <row r="3956" spans="1:9" x14ac:dyDescent="0.2">
      <c r="A3956">
        <v>18747968</v>
      </c>
      <c r="B3956">
        <v>2</v>
      </c>
      <c r="C3956">
        <v>1705</v>
      </c>
      <c r="D3956">
        <v>47410</v>
      </c>
      <c r="E3956">
        <v>25</v>
      </c>
      <c r="F3956" t="s">
        <v>57</v>
      </c>
      <c r="G3956" t="s">
        <v>102</v>
      </c>
      <c r="H3956" t="s">
        <v>69</v>
      </c>
      <c r="I3956">
        <v>10</v>
      </c>
    </row>
    <row r="3957" spans="1:9" x14ac:dyDescent="0.2">
      <c r="A3957">
        <v>18747968</v>
      </c>
      <c r="B3957">
        <v>3</v>
      </c>
      <c r="C3957">
        <v>1789</v>
      </c>
      <c r="D3957">
        <v>47340</v>
      </c>
      <c r="E3957">
        <v>25</v>
      </c>
      <c r="F3957" t="s">
        <v>57</v>
      </c>
      <c r="G3957" t="s">
        <v>122</v>
      </c>
      <c r="H3957" t="s">
        <v>69</v>
      </c>
      <c r="I3957">
        <v>10</v>
      </c>
    </row>
    <row r="3958" spans="1:9" x14ac:dyDescent="0.2">
      <c r="A3958">
        <v>18747968</v>
      </c>
      <c r="B3958">
        <v>4</v>
      </c>
      <c r="C3958">
        <v>1776</v>
      </c>
      <c r="D3958">
        <v>47490</v>
      </c>
      <c r="E3958">
        <v>25</v>
      </c>
      <c r="F3958" t="s">
        <v>57</v>
      </c>
      <c r="G3958" t="s">
        <v>124</v>
      </c>
      <c r="H3958" t="s">
        <v>125</v>
      </c>
      <c r="I3958">
        <v>10</v>
      </c>
    </row>
    <row r="3959" spans="1:9" x14ac:dyDescent="0.2">
      <c r="A3959">
        <v>18747968</v>
      </c>
      <c r="B3959">
        <v>5</v>
      </c>
      <c r="C3959">
        <v>1734</v>
      </c>
      <c r="D3959">
        <v>47980</v>
      </c>
      <c r="E3959">
        <v>25</v>
      </c>
      <c r="F3959" t="s">
        <v>57</v>
      </c>
      <c r="G3959" t="s">
        <v>81</v>
      </c>
      <c r="H3959" t="s">
        <v>69</v>
      </c>
      <c r="I3959">
        <v>10</v>
      </c>
    </row>
    <row r="3960" spans="1:9" x14ac:dyDescent="0.2">
      <c r="A3960">
        <v>18747968</v>
      </c>
      <c r="B3960">
        <v>6</v>
      </c>
      <c r="C3960">
        <v>1732</v>
      </c>
      <c r="D3960">
        <v>0</v>
      </c>
      <c r="E3960">
        <v>13</v>
      </c>
      <c r="F3960" t="s">
        <v>57</v>
      </c>
      <c r="G3960" t="s">
        <v>104</v>
      </c>
      <c r="H3960" t="s">
        <v>69</v>
      </c>
      <c r="I3960">
        <v>10</v>
      </c>
    </row>
    <row r="3961" spans="1:9" x14ac:dyDescent="0.2">
      <c r="A3961">
        <v>18747968</v>
      </c>
      <c r="B3961">
        <v>7</v>
      </c>
      <c r="C3961">
        <v>1728</v>
      </c>
      <c r="D3961">
        <v>0</v>
      </c>
      <c r="E3961">
        <v>13</v>
      </c>
      <c r="F3961" t="s">
        <v>57</v>
      </c>
      <c r="G3961" t="s">
        <v>103</v>
      </c>
      <c r="H3961" t="s">
        <v>69</v>
      </c>
      <c r="I3961">
        <v>10</v>
      </c>
    </row>
    <row r="3962" spans="1:9" x14ac:dyDescent="0.2">
      <c r="A3962">
        <v>18776677</v>
      </c>
      <c r="B3962">
        <v>1</v>
      </c>
      <c r="C3962">
        <v>3211</v>
      </c>
      <c r="D3962">
        <v>54530</v>
      </c>
      <c r="E3962">
        <v>24</v>
      </c>
      <c r="F3962" t="s">
        <v>47</v>
      </c>
      <c r="G3962" t="s">
        <v>99</v>
      </c>
      <c r="H3962" t="s">
        <v>46</v>
      </c>
      <c r="I3962">
        <v>10</v>
      </c>
    </row>
    <row r="3963" spans="1:9" x14ac:dyDescent="0.2">
      <c r="A3963">
        <v>18776677</v>
      </c>
      <c r="B3963">
        <v>2</v>
      </c>
      <c r="C3963">
        <v>3212</v>
      </c>
      <c r="D3963">
        <v>0</v>
      </c>
      <c r="E3963">
        <v>26</v>
      </c>
      <c r="F3963" t="s">
        <v>47</v>
      </c>
      <c r="G3963" t="s">
        <v>84</v>
      </c>
      <c r="H3963" t="s">
        <v>46</v>
      </c>
      <c r="I3963">
        <v>10</v>
      </c>
    </row>
    <row r="3964" spans="1:9" x14ac:dyDescent="0.2">
      <c r="A3964">
        <v>18776677</v>
      </c>
      <c r="B3964">
        <v>3</v>
      </c>
      <c r="C3964">
        <v>3243</v>
      </c>
      <c r="D3964">
        <v>0</v>
      </c>
      <c r="E3964">
        <v>26</v>
      </c>
      <c r="F3964" t="s">
        <v>47</v>
      </c>
      <c r="G3964" t="s">
        <v>75</v>
      </c>
      <c r="H3964" t="s">
        <v>46</v>
      </c>
      <c r="I3964">
        <v>10</v>
      </c>
    </row>
    <row r="3965" spans="1:9" x14ac:dyDescent="0.2">
      <c r="A3965">
        <v>18776677</v>
      </c>
      <c r="B3965">
        <v>4</v>
      </c>
      <c r="C3965">
        <v>3200</v>
      </c>
      <c r="D3965">
        <v>0</v>
      </c>
      <c r="E3965">
        <v>26</v>
      </c>
      <c r="F3965" t="s">
        <v>47</v>
      </c>
      <c r="G3965" t="s">
        <v>18</v>
      </c>
      <c r="H3965" t="s">
        <v>46</v>
      </c>
      <c r="I3965">
        <v>10</v>
      </c>
    </row>
    <row r="3966" spans="1:9" x14ac:dyDescent="0.2">
      <c r="A3966">
        <v>18776677</v>
      </c>
      <c r="B3966">
        <v>5</v>
      </c>
      <c r="C3966">
        <v>3248</v>
      </c>
      <c r="D3966">
        <v>0</v>
      </c>
      <c r="E3966">
        <v>26</v>
      </c>
      <c r="F3966" t="s">
        <v>47</v>
      </c>
      <c r="G3966" t="s">
        <v>92</v>
      </c>
      <c r="H3966" t="s">
        <v>46</v>
      </c>
      <c r="I3966">
        <v>10</v>
      </c>
    </row>
    <row r="3967" spans="1:9" x14ac:dyDescent="0.2">
      <c r="A3967">
        <v>18792062</v>
      </c>
      <c r="B3967">
        <v>1</v>
      </c>
      <c r="C3967">
        <v>3234</v>
      </c>
      <c r="D3967">
        <v>54015</v>
      </c>
      <c r="E3967">
        <v>25</v>
      </c>
      <c r="F3967" t="s">
        <v>47</v>
      </c>
      <c r="G3967" t="s">
        <v>76</v>
      </c>
      <c r="H3967" t="s">
        <v>46</v>
      </c>
      <c r="I3967">
        <v>10</v>
      </c>
    </row>
    <row r="3968" spans="1:9" x14ac:dyDescent="0.2">
      <c r="A3968">
        <v>18792062</v>
      </c>
      <c r="B3968">
        <v>2</v>
      </c>
      <c r="C3968">
        <v>3214</v>
      </c>
      <c r="D3968">
        <v>53895</v>
      </c>
      <c r="E3968">
        <v>24</v>
      </c>
      <c r="F3968" t="s">
        <v>47</v>
      </c>
      <c r="G3968" t="s">
        <v>98</v>
      </c>
      <c r="H3968" t="s">
        <v>74</v>
      </c>
      <c r="I3968">
        <v>10</v>
      </c>
    </row>
    <row r="3969" spans="1:9" x14ac:dyDescent="0.2">
      <c r="A3969">
        <v>18792063</v>
      </c>
      <c r="B3969">
        <v>1</v>
      </c>
      <c r="C3969">
        <v>3225</v>
      </c>
      <c r="D3969">
        <v>0</v>
      </c>
      <c r="E3969">
        <v>36</v>
      </c>
      <c r="F3969" t="s">
        <v>47</v>
      </c>
      <c r="G3969" t="s">
        <v>106</v>
      </c>
      <c r="H3969" t="s">
        <v>46</v>
      </c>
      <c r="I3969">
        <v>10</v>
      </c>
    </row>
    <row r="3970" spans="1:9" x14ac:dyDescent="0.2">
      <c r="A3970">
        <v>18792063</v>
      </c>
      <c r="B3970">
        <v>2</v>
      </c>
      <c r="C3970">
        <v>3252</v>
      </c>
      <c r="D3970">
        <v>0</v>
      </c>
      <c r="E3970">
        <v>36</v>
      </c>
      <c r="F3970" t="s">
        <v>47</v>
      </c>
      <c r="G3970" t="s">
        <v>45</v>
      </c>
      <c r="H3970" t="s">
        <v>46</v>
      </c>
      <c r="I3970">
        <v>10</v>
      </c>
    </row>
    <row r="3971" spans="1:9" x14ac:dyDescent="0.2">
      <c r="A3971">
        <v>18792063</v>
      </c>
      <c r="B3971">
        <v>3</v>
      </c>
      <c r="C3971">
        <v>3269</v>
      </c>
      <c r="D3971">
        <v>0</v>
      </c>
      <c r="E3971">
        <v>36</v>
      </c>
      <c r="F3971" t="s">
        <v>47</v>
      </c>
      <c r="G3971" t="s">
        <v>180</v>
      </c>
      <c r="H3971" t="s">
        <v>46</v>
      </c>
      <c r="I3971">
        <v>10</v>
      </c>
    </row>
    <row r="3972" spans="1:9" x14ac:dyDescent="0.2">
      <c r="A3972">
        <v>18828347</v>
      </c>
      <c r="B3972">
        <v>1</v>
      </c>
      <c r="C3972">
        <v>3239</v>
      </c>
      <c r="D3972">
        <v>0</v>
      </c>
      <c r="E3972">
        <v>36</v>
      </c>
      <c r="F3972" t="s">
        <v>47</v>
      </c>
      <c r="G3972" t="s">
        <v>107</v>
      </c>
      <c r="H3972" t="s">
        <v>46</v>
      </c>
      <c r="I3972">
        <v>10</v>
      </c>
    </row>
    <row r="3973" spans="1:9" x14ac:dyDescent="0.2">
      <c r="A3973">
        <v>18895672</v>
      </c>
      <c r="B3973">
        <v>1</v>
      </c>
      <c r="C3973">
        <v>1714</v>
      </c>
      <c r="D3973">
        <v>64050</v>
      </c>
      <c r="E3973">
        <v>24</v>
      </c>
      <c r="F3973" t="s">
        <v>57</v>
      </c>
      <c r="G3973" t="s">
        <v>95</v>
      </c>
      <c r="H3973" t="s">
        <v>69</v>
      </c>
      <c r="I3973">
        <v>10</v>
      </c>
    </row>
    <row r="3974" spans="1:9" x14ac:dyDescent="0.2">
      <c r="A3974">
        <v>18895672</v>
      </c>
      <c r="B3974">
        <v>2</v>
      </c>
      <c r="C3974">
        <v>1122</v>
      </c>
      <c r="D3974">
        <v>0</v>
      </c>
      <c r="E3974">
        <v>26</v>
      </c>
      <c r="F3974" t="s">
        <v>17</v>
      </c>
      <c r="G3974" t="s">
        <v>77</v>
      </c>
      <c r="H3974" t="s">
        <v>16</v>
      </c>
      <c r="I3974" t="s">
        <v>448</v>
      </c>
    </row>
    <row r="3975" spans="1:9" x14ac:dyDescent="0.2">
      <c r="A3975">
        <v>18895672</v>
      </c>
      <c r="B3975">
        <v>3</v>
      </c>
      <c r="C3975">
        <v>1213</v>
      </c>
      <c r="D3975">
        <v>0</v>
      </c>
      <c r="E3975">
        <v>26</v>
      </c>
      <c r="F3975" t="s">
        <v>19</v>
      </c>
      <c r="G3975" t="s">
        <v>155</v>
      </c>
      <c r="H3975" t="s">
        <v>16</v>
      </c>
      <c r="I3975" t="s">
        <v>448</v>
      </c>
    </row>
    <row r="3976" spans="1:9" x14ac:dyDescent="0.2">
      <c r="A3976">
        <v>18918019</v>
      </c>
      <c r="B3976">
        <v>1</v>
      </c>
      <c r="C3976">
        <v>1324</v>
      </c>
      <c r="D3976">
        <v>72115</v>
      </c>
      <c r="E3976">
        <v>24</v>
      </c>
      <c r="F3976" t="s">
        <v>21</v>
      </c>
      <c r="G3976" t="s">
        <v>63</v>
      </c>
      <c r="H3976" t="s">
        <v>20</v>
      </c>
      <c r="I3976">
        <v>8</v>
      </c>
    </row>
    <row r="3977" spans="1:9" x14ac:dyDescent="0.2">
      <c r="A3977">
        <v>18918019</v>
      </c>
      <c r="B3977">
        <v>2</v>
      </c>
      <c r="C3977">
        <v>1155</v>
      </c>
      <c r="D3977">
        <v>0</v>
      </c>
      <c r="E3977">
        <v>26</v>
      </c>
      <c r="F3977" t="s">
        <v>17</v>
      </c>
      <c r="G3977" t="s">
        <v>62</v>
      </c>
      <c r="H3977" t="s">
        <v>16</v>
      </c>
      <c r="I3977" t="s">
        <v>448</v>
      </c>
    </row>
    <row r="3978" spans="1:9" x14ac:dyDescent="0.2">
      <c r="A3978">
        <v>18918019</v>
      </c>
      <c r="B3978">
        <v>3</v>
      </c>
      <c r="C3978">
        <v>1221</v>
      </c>
      <c r="D3978">
        <v>0</v>
      </c>
      <c r="E3978">
        <v>26</v>
      </c>
      <c r="F3978" t="s">
        <v>19</v>
      </c>
      <c r="G3978" t="s">
        <v>63</v>
      </c>
      <c r="H3978" t="s">
        <v>16</v>
      </c>
      <c r="I3978" t="s">
        <v>448</v>
      </c>
    </row>
    <row r="3979" spans="1:9" x14ac:dyDescent="0.2">
      <c r="A3979">
        <v>18918019</v>
      </c>
      <c r="B3979">
        <v>4</v>
      </c>
      <c r="C3979">
        <v>1430</v>
      </c>
      <c r="D3979">
        <v>0</v>
      </c>
      <c r="E3979">
        <v>26</v>
      </c>
      <c r="F3979" t="s">
        <v>25</v>
      </c>
      <c r="G3979" t="s">
        <v>63</v>
      </c>
      <c r="H3979" t="s">
        <v>24</v>
      </c>
      <c r="I3979">
        <v>5</v>
      </c>
    </row>
    <row r="3980" spans="1:9" x14ac:dyDescent="0.2">
      <c r="A3980">
        <v>18918019</v>
      </c>
      <c r="B3980">
        <v>5</v>
      </c>
      <c r="C3980">
        <v>3740</v>
      </c>
      <c r="D3980">
        <v>0</v>
      </c>
      <c r="E3980">
        <v>26</v>
      </c>
      <c r="F3980" t="s">
        <v>116</v>
      </c>
      <c r="G3980" t="s">
        <v>63</v>
      </c>
      <c r="H3980" t="s">
        <v>61</v>
      </c>
      <c r="I3980">
        <v>9</v>
      </c>
    </row>
    <row r="3981" spans="1:9" x14ac:dyDescent="0.2">
      <c r="A3981">
        <v>18918019</v>
      </c>
      <c r="B3981">
        <v>6</v>
      </c>
      <c r="C3981">
        <v>1782</v>
      </c>
      <c r="D3981">
        <v>0</v>
      </c>
      <c r="E3981">
        <v>26</v>
      </c>
      <c r="F3981" t="s">
        <v>57</v>
      </c>
      <c r="G3981" t="s">
        <v>63</v>
      </c>
      <c r="H3981" t="s">
        <v>69</v>
      </c>
      <c r="I3981">
        <v>10</v>
      </c>
    </row>
    <row r="3982" spans="1:9" x14ac:dyDescent="0.2">
      <c r="A3982">
        <v>18918019</v>
      </c>
      <c r="B3982">
        <v>7</v>
      </c>
      <c r="C3982">
        <v>3451</v>
      </c>
      <c r="D3982">
        <v>0</v>
      </c>
      <c r="E3982">
        <v>26</v>
      </c>
      <c r="F3982" t="s">
        <v>36</v>
      </c>
      <c r="G3982" t="s">
        <v>63</v>
      </c>
      <c r="H3982" t="s">
        <v>35</v>
      </c>
      <c r="I3982">
        <v>7</v>
      </c>
    </row>
    <row r="3983" spans="1:9" x14ac:dyDescent="0.2">
      <c r="A3983">
        <v>18918019</v>
      </c>
      <c r="B3983">
        <v>8</v>
      </c>
      <c r="C3983">
        <v>3601</v>
      </c>
      <c r="D3983">
        <v>0</v>
      </c>
      <c r="E3983">
        <v>26</v>
      </c>
      <c r="F3983" t="s">
        <v>108</v>
      </c>
      <c r="G3983" t="s">
        <v>63</v>
      </c>
      <c r="H3983" t="s">
        <v>20</v>
      </c>
      <c r="I3983">
        <v>8</v>
      </c>
    </row>
    <row r="3984" spans="1:9" x14ac:dyDescent="0.2">
      <c r="A3984">
        <v>18949937</v>
      </c>
      <c r="B3984">
        <v>1</v>
      </c>
      <c r="C3984">
        <v>1765</v>
      </c>
      <c r="D3984">
        <v>55070</v>
      </c>
      <c r="E3984">
        <v>25</v>
      </c>
      <c r="F3984" t="s">
        <v>57</v>
      </c>
      <c r="G3984" t="s">
        <v>68</v>
      </c>
      <c r="H3984" t="s">
        <v>69</v>
      </c>
      <c r="I3984">
        <v>10</v>
      </c>
    </row>
    <row r="3985" spans="1:9" x14ac:dyDescent="0.2">
      <c r="A3985">
        <v>18949937</v>
      </c>
      <c r="B3985">
        <v>2</v>
      </c>
      <c r="C3985">
        <v>3296</v>
      </c>
      <c r="D3985">
        <v>53660</v>
      </c>
      <c r="E3985">
        <v>24</v>
      </c>
      <c r="F3985" t="s">
        <v>47</v>
      </c>
      <c r="G3985" t="s">
        <v>100</v>
      </c>
      <c r="H3985" t="s">
        <v>46</v>
      </c>
      <c r="I3985">
        <v>10</v>
      </c>
    </row>
    <row r="3986" spans="1:9" x14ac:dyDescent="0.2">
      <c r="A3986">
        <v>18949937</v>
      </c>
      <c r="B3986">
        <v>3</v>
      </c>
      <c r="C3986">
        <v>3705</v>
      </c>
      <c r="D3986">
        <v>0</v>
      </c>
      <c r="E3986">
        <v>26</v>
      </c>
      <c r="F3986" t="s">
        <v>116</v>
      </c>
      <c r="G3986" t="s">
        <v>68</v>
      </c>
      <c r="H3986" t="s">
        <v>61</v>
      </c>
      <c r="I3986">
        <v>9</v>
      </c>
    </row>
    <row r="3987" spans="1:9" x14ac:dyDescent="0.2">
      <c r="A3987">
        <v>18949937</v>
      </c>
      <c r="B3987">
        <v>4</v>
      </c>
      <c r="C3987">
        <v>3702</v>
      </c>
      <c r="D3987">
        <v>0</v>
      </c>
      <c r="E3987">
        <v>26</v>
      </c>
      <c r="F3987" t="s">
        <v>116</v>
      </c>
      <c r="G3987" t="s">
        <v>235</v>
      </c>
      <c r="H3987" t="s">
        <v>61</v>
      </c>
      <c r="I3987">
        <v>9</v>
      </c>
    </row>
    <row r="3988" spans="1:9" x14ac:dyDescent="0.2">
      <c r="A3988">
        <v>18949937</v>
      </c>
      <c r="B3988">
        <v>5</v>
      </c>
      <c r="C3988">
        <v>1354</v>
      </c>
      <c r="D3988">
        <v>0</v>
      </c>
      <c r="E3988">
        <v>26</v>
      </c>
      <c r="F3988" t="s">
        <v>21</v>
      </c>
      <c r="G3988" t="s">
        <v>253</v>
      </c>
      <c r="H3988" t="s">
        <v>20</v>
      </c>
      <c r="I3988">
        <v>8</v>
      </c>
    </row>
    <row r="3989" spans="1:9" x14ac:dyDescent="0.2">
      <c r="A3989">
        <v>18949937</v>
      </c>
      <c r="B3989">
        <v>6</v>
      </c>
      <c r="C3989">
        <v>1338</v>
      </c>
      <c r="D3989">
        <v>0</v>
      </c>
      <c r="E3989">
        <v>26</v>
      </c>
      <c r="F3989" t="s">
        <v>21</v>
      </c>
      <c r="G3989" t="s">
        <v>342</v>
      </c>
      <c r="H3989" t="s">
        <v>20</v>
      </c>
      <c r="I3989">
        <v>8</v>
      </c>
    </row>
    <row r="3990" spans="1:9" x14ac:dyDescent="0.2">
      <c r="A3990">
        <v>18949937</v>
      </c>
      <c r="B3990">
        <v>7</v>
      </c>
      <c r="C3990">
        <v>3239</v>
      </c>
      <c r="D3990">
        <v>0</v>
      </c>
      <c r="E3990">
        <v>26</v>
      </c>
      <c r="F3990" t="s">
        <v>47</v>
      </c>
      <c r="G3990" t="s">
        <v>107</v>
      </c>
      <c r="H3990" t="s">
        <v>46</v>
      </c>
      <c r="I3990">
        <v>10</v>
      </c>
    </row>
    <row r="3991" spans="1:9" x14ac:dyDescent="0.2">
      <c r="A3991">
        <v>18949937</v>
      </c>
      <c r="B3991">
        <v>8</v>
      </c>
      <c r="C3991">
        <v>3244</v>
      </c>
      <c r="D3991">
        <v>0</v>
      </c>
      <c r="E3991">
        <v>26</v>
      </c>
      <c r="F3991" t="s">
        <v>47</v>
      </c>
      <c r="G3991" t="s">
        <v>73</v>
      </c>
      <c r="H3991" t="s">
        <v>74</v>
      </c>
      <c r="I3991">
        <v>10</v>
      </c>
    </row>
    <row r="3992" spans="1:9" x14ac:dyDescent="0.2">
      <c r="A3992">
        <v>18961054</v>
      </c>
      <c r="B3992">
        <v>1</v>
      </c>
      <c r="C3992">
        <v>1592</v>
      </c>
      <c r="D3992">
        <v>48395</v>
      </c>
      <c r="E3992">
        <v>25</v>
      </c>
      <c r="F3992" t="s">
        <v>142</v>
      </c>
      <c r="G3992" t="s">
        <v>190</v>
      </c>
      <c r="H3992" t="s">
        <v>113</v>
      </c>
      <c r="I3992">
        <v>5</v>
      </c>
    </row>
    <row r="3993" spans="1:9" x14ac:dyDescent="0.2">
      <c r="A3993">
        <v>18961054</v>
      </c>
      <c r="B3993">
        <v>2</v>
      </c>
      <c r="C3993">
        <v>2137</v>
      </c>
      <c r="D3993">
        <v>0</v>
      </c>
      <c r="E3993">
        <v>31</v>
      </c>
      <c r="F3993" t="s">
        <v>193</v>
      </c>
      <c r="G3993" t="s">
        <v>191</v>
      </c>
      <c r="H3993" t="s">
        <v>192</v>
      </c>
      <c r="I3993" t="s">
        <v>448</v>
      </c>
    </row>
    <row r="3994" spans="1:9" x14ac:dyDescent="0.2">
      <c r="A3994">
        <v>18961054</v>
      </c>
      <c r="B3994">
        <v>3</v>
      </c>
      <c r="C3994">
        <v>1615</v>
      </c>
      <c r="D3994">
        <v>0</v>
      </c>
      <c r="E3994">
        <v>17</v>
      </c>
      <c r="F3994" t="s">
        <v>128</v>
      </c>
      <c r="G3994" t="s">
        <v>194</v>
      </c>
      <c r="H3994" t="s">
        <v>127</v>
      </c>
      <c r="I3994" t="s">
        <v>448</v>
      </c>
    </row>
    <row r="3995" spans="1:9" x14ac:dyDescent="0.2">
      <c r="A3995">
        <v>18961054</v>
      </c>
      <c r="B3995">
        <v>4</v>
      </c>
      <c r="C3995">
        <v>1617</v>
      </c>
      <c r="D3995">
        <v>0</v>
      </c>
      <c r="E3995">
        <v>17</v>
      </c>
      <c r="F3995" t="s">
        <v>128</v>
      </c>
      <c r="G3995" t="s">
        <v>153</v>
      </c>
      <c r="H3995" t="s">
        <v>127</v>
      </c>
      <c r="I3995" t="s">
        <v>448</v>
      </c>
    </row>
    <row r="3996" spans="1:9" x14ac:dyDescent="0.2">
      <c r="A3996">
        <v>18961054</v>
      </c>
      <c r="B3996">
        <v>5</v>
      </c>
      <c r="C3996">
        <v>1616</v>
      </c>
      <c r="D3996">
        <v>0</v>
      </c>
      <c r="E3996">
        <v>17</v>
      </c>
      <c r="F3996" t="s">
        <v>128</v>
      </c>
      <c r="G3996" t="s">
        <v>195</v>
      </c>
      <c r="H3996" t="s">
        <v>127</v>
      </c>
      <c r="I3996" t="s">
        <v>448</v>
      </c>
    </row>
    <row r="3997" spans="1:9" x14ac:dyDescent="0.2">
      <c r="A3997">
        <v>18961054</v>
      </c>
      <c r="B3997">
        <v>6</v>
      </c>
      <c r="C3997">
        <v>1685</v>
      </c>
      <c r="D3997">
        <v>0</v>
      </c>
      <c r="E3997">
        <v>17</v>
      </c>
      <c r="F3997" t="s">
        <v>128</v>
      </c>
      <c r="G3997" t="s">
        <v>196</v>
      </c>
      <c r="H3997" t="s">
        <v>127</v>
      </c>
      <c r="I3997" t="s">
        <v>448</v>
      </c>
    </row>
    <row r="3998" spans="1:9" x14ac:dyDescent="0.2">
      <c r="A3998">
        <v>18987693</v>
      </c>
      <c r="B3998">
        <v>1</v>
      </c>
      <c r="C3998">
        <v>3035</v>
      </c>
      <c r="D3998">
        <v>56750</v>
      </c>
      <c r="E3998">
        <v>25</v>
      </c>
      <c r="F3998" t="s">
        <v>44</v>
      </c>
      <c r="G3998" t="s">
        <v>103</v>
      </c>
      <c r="H3998" t="s">
        <v>50</v>
      </c>
      <c r="I3998">
        <v>9</v>
      </c>
    </row>
    <row r="3999" spans="1:9" x14ac:dyDescent="0.2">
      <c r="A3999">
        <v>18987693</v>
      </c>
      <c r="B3999">
        <v>2</v>
      </c>
      <c r="C3999">
        <v>3068</v>
      </c>
      <c r="D3999">
        <v>56750</v>
      </c>
      <c r="E3999">
        <v>25</v>
      </c>
      <c r="F3999" t="s">
        <v>44</v>
      </c>
      <c r="G3999" t="s">
        <v>40</v>
      </c>
      <c r="H3999" t="s">
        <v>43</v>
      </c>
      <c r="I3999">
        <v>9</v>
      </c>
    </row>
    <row r="4000" spans="1:9" x14ac:dyDescent="0.2">
      <c r="A4000">
        <v>18987693</v>
      </c>
      <c r="B4000">
        <v>3</v>
      </c>
      <c r="C4000">
        <v>3020</v>
      </c>
      <c r="D4000">
        <v>56750</v>
      </c>
      <c r="E4000">
        <v>25</v>
      </c>
      <c r="F4000" t="s">
        <v>44</v>
      </c>
      <c r="G4000" t="s">
        <v>102</v>
      </c>
      <c r="H4000" t="s">
        <v>50</v>
      </c>
      <c r="I4000">
        <v>9</v>
      </c>
    </row>
    <row r="4001" spans="1:9" x14ac:dyDescent="0.2">
      <c r="A4001">
        <v>18987693</v>
      </c>
      <c r="B4001">
        <v>4</v>
      </c>
      <c r="C4001">
        <v>1728</v>
      </c>
      <c r="D4001">
        <v>58175</v>
      </c>
      <c r="E4001">
        <v>25</v>
      </c>
      <c r="F4001" t="s">
        <v>57</v>
      </c>
      <c r="G4001" t="s">
        <v>103</v>
      </c>
      <c r="H4001" t="s">
        <v>69</v>
      </c>
      <c r="I4001">
        <v>10</v>
      </c>
    </row>
    <row r="4002" spans="1:9" x14ac:dyDescent="0.2">
      <c r="A4002">
        <v>18987693</v>
      </c>
      <c r="B4002">
        <v>5</v>
      </c>
      <c r="C4002">
        <v>1702</v>
      </c>
      <c r="D4002">
        <v>57825</v>
      </c>
      <c r="E4002">
        <v>25</v>
      </c>
      <c r="F4002" t="s">
        <v>57</v>
      </c>
      <c r="G4002" t="s">
        <v>164</v>
      </c>
      <c r="H4002" t="s">
        <v>69</v>
      </c>
      <c r="I4002">
        <v>10</v>
      </c>
    </row>
    <row r="4003" spans="1:9" x14ac:dyDescent="0.2">
      <c r="A4003">
        <v>18987693</v>
      </c>
      <c r="B4003">
        <v>6</v>
      </c>
      <c r="C4003">
        <v>1705</v>
      </c>
      <c r="D4003">
        <v>56750</v>
      </c>
      <c r="E4003">
        <v>25</v>
      </c>
      <c r="F4003" t="s">
        <v>57</v>
      </c>
      <c r="G4003" t="s">
        <v>102</v>
      </c>
      <c r="H4003" t="s">
        <v>69</v>
      </c>
      <c r="I4003">
        <v>10</v>
      </c>
    </row>
    <row r="4004" spans="1:9" x14ac:dyDescent="0.2">
      <c r="A4004">
        <v>18987693</v>
      </c>
      <c r="B4004">
        <v>7</v>
      </c>
      <c r="C4004">
        <v>1701</v>
      </c>
      <c r="D4004">
        <v>57200</v>
      </c>
      <c r="E4004">
        <v>24</v>
      </c>
      <c r="F4004" t="s">
        <v>57</v>
      </c>
      <c r="G4004" t="s">
        <v>96</v>
      </c>
      <c r="H4004" t="s">
        <v>69</v>
      </c>
      <c r="I4004">
        <v>10</v>
      </c>
    </row>
    <row r="4005" spans="1:9" x14ac:dyDescent="0.2">
      <c r="A4005">
        <v>18996670</v>
      </c>
      <c r="B4005">
        <v>1</v>
      </c>
      <c r="C4005">
        <v>3242</v>
      </c>
      <c r="D4005">
        <v>55800</v>
      </c>
      <c r="E4005">
        <v>24</v>
      </c>
      <c r="F4005" t="s">
        <v>47</v>
      </c>
      <c r="G4005" t="s">
        <v>90</v>
      </c>
      <c r="H4005" t="s">
        <v>46</v>
      </c>
      <c r="I4005">
        <v>10</v>
      </c>
    </row>
    <row r="4006" spans="1:9" x14ac:dyDescent="0.2">
      <c r="A4006">
        <v>18996670</v>
      </c>
      <c r="B4006">
        <v>2</v>
      </c>
      <c r="C4006">
        <v>3246</v>
      </c>
      <c r="D4006">
        <v>0</v>
      </c>
      <c r="E4006">
        <v>26</v>
      </c>
      <c r="F4006" t="s">
        <v>47</v>
      </c>
      <c r="G4006" t="s">
        <v>91</v>
      </c>
      <c r="H4006" t="s">
        <v>74</v>
      </c>
      <c r="I4006">
        <v>10</v>
      </c>
    </row>
    <row r="4007" spans="1:9" x14ac:dyDescent="0.2">
      <c r="A4007">
        <v>18996670</v>
      </c>
      <c r="B4007">
        <v>3</v>
      </c>
      <c r="C4007">
        <v>3726</v>
      </c>
      <c r="D4007">
        <v>0</v>
      </c>
      <c r="E4007">
        <v>26</v>
      </c>
      <c r="F4007" t="s">
        <v>116</v>
      </c>
      <c r="G4007" t="s">
        <v>287</v>
      </c>
      <c r="H4007" t="s">
        <v>61</v>
      </c>
      <c r="I4007">
        <v>9</v>
      </c>
    </row>
    <row r="4008" spans="1:9" x14ac:dyDescent="0.2">
      <c r="A4008">
        <v>18996670</v>
      </c>
      <c r="B4008">
        <v>4</v>
      </c>
      <c r="C4008">
        <v>1785</v>
      </c>
      <c r="D4008">
        <v>0</v>
      </c>
      <c r="E4008">
        <v>26</v>
      </c>
      <c r="F4008" t="s">
        <v>57</v>
      </c>
      <c r="G4008" t="s">
        <v>86</v>
      </c>
      <c r="H4008" t="s">
        <v>69</v>
      </c>
      <c r="I4008">
        <v>10</v>
      </c>
    </row>
    <row r="4009" spans="1:9" x14ac:dyDescent="0.2">
      <c r="A4009">
        <v>18996670</v>
      </c>
      <c r="B4009">
        <v>5</v>
      </c>
      <c r="C4009">
        <v>3252</v>
      </c>
      <c r="D4009">
        <v>0</v>
      </c>
      <c r="E4009">
        <v>26</v>
      </c>
      <c r="F4009" t="s">
        <v>47</v>
      </c>
      <c r="G4009" t="s">
        <v>45</v>
      </c>
      <c r="H4009" t="s">
        <v>46</v>
      </c>
      <c r="I4009">
        <v>10</v>
      </c>
    </row>
    <row r="4010" spans="1:9" x14ac:dyDescent="0.2">
      <c r="A4010">
        <v>18996670</v>
      </c>
      <c r="B4010">
        <v>6</v>
      </c>
      <c r="C4010">
        <v>3243</v>
      </c>
      <c r="D4010">
        <v>0</v>
      </c>
      <c r="E4010">
        <v>26</v>
      </c>
      <c r="F4010" t="s">
        <v>47</v>
      </c>
      <c r="G4010" t="s">
        <v>75</v>
      </c>
      <c r="H4010" t="s">
        <v>46</v>
      </c>
      <c r="I4010">
        <v>10</v>
      </c>
    </row>
    <row r="4011" spans="1:9" x14ac:dyDescent="0.2">
      <c r="A4011">
        <v>18996671</v>
      </c>
      <c r="B4011">
        <v>1</v>
      </c>
      <c r="C4011">
        <v>3242</v>
      </c>
      <c r="D4011">
        <v>56710</v>
      </c>
      <c r="E4011">
        <v>24</v>
      </c>
      <c r="F4011" t="s">
        <v>47</v>
      </c>
      <c r="G4011" t="s">
        <v>90</v>
      </c>
      <c r="H4011" t="s">
        <v>46</v>
      </c>
      <c r="I4011">
        <v>10</v>
      </c>
    </row>
    <row r="4012" spans="1:9" x14ac:dyDescent="0.2">
      <c r="A4012">
        <v>18996671</v>
      </c>
      <c r="B4012">
        <v>2</v>
      </c>
      <c r="C4012">
        <v>1756</v>
      </c>
      <c r="D4012">
        <v>0</v>
      </c>
      <c r="E4012">
        <v>26</v>
      </c>
      <c r="F4012" t="s">
        <v>57</v>
      </c>
      <c r="G4012" t="s">
        <v>89</v>
      </c>
      <c r="H4012" t="s">
        <v>69</v>
      </c>
      <c r="I4012">
        <v>10</v>
      </c>
    </row>
    <row r="4013" spans="1:9" x14ac:dyDescent="0.2">
      <c r="A4013">
        <v>18996671</v>
      </c>
      <c r="B4013">
        <v>3</v>
      </c>
      <c r="C4013">
        <v>3244</v>
      </c>
      <c r="D4013">
        <v>0</v>
      </c>
      <c r="E4013">
        <v>26</v>
      </c>
      <c r="F4013" t="s">
        <v>47</v>
      </c>
      <c r="G4013" t="s">
        <v>73</v>
      </c>
      <c r="H4013" t="s">
        <v>74</v>
      </c>
      <c r="I4013">
        <v>10</v>
      </c>
    </row>
    <row r="4014" spans="1:9" x14ac:dyDescent="0.2">
      <c r="A4014">
        <v>19064060</v>
      </c>
      <c r="B4014">
        <v>1</v>
      </c>
      <c r="C4014">
        <v>1740</v>
      </c>
      <c r="D4014">
        <v>55590</v>
      </c>
      <c r="E4014">
        <v>24</v>
      </c>
      <c r="F4014" t="s">
        <v>57</v>
      </c>
      <c r="G4014" t="s">
        <v>209</v>
      </c>
      <c r="H4014" t="s">
        <v>79</v>
      </c>
      <c r="I4014">
        <v>10</v>
      </c>
    </row>
    <row r="4015" spans="1:9" x14ac:dyDescent="0.2">
      <c r="A4015">
        <v>19064060</v>
      </c>
      <c r="B4015">
        <v>2</v>
      </c>
      <c r="C4015">
        <v>1779</v>
      </c>
      <c r="D4015">
        <v>0</v>
      </c>
      <c r="E4015">
        <v>26</v>
      </c>
      <c r="F4015" t="s">
        <v>57</v>
      </c>
      <c r="G4015" t="s">
        <v>162</v>
      </c>
      <c r="H4015" t="s">
        <v>79</v>
      </c>
      <c r="I4015">
        <v>10</v>
      </c>
    </row>
    <row r="4016" spans="1:9" x14ac:dyDescent="0.2">
      <c r="A4016">
        <v>19064060</v>
      </c>
      <c r="B4016">
        <v>3</v>
      </c>
      <c r="C4016">
        <v>1736</v>
      </c>
      <c r="D4016">
        <v>0</v>
      </c>
      <c r="E4016">
        <v>26</v>
      </c>
      <c r="F4016" t="s">
        <v>57</v>
      </c>
      <c r="G4016" t="s">
        <v>78</v>
      </c>
      <c r="H4016" t="s">
        <v>79</v>
      </c>
      <c r="I4016">
        <v>10</v>
      </c>
    </row>
    <row r="4017" spans="1:9" x14ac:dyDescent="0.2">
      <c r="A4017">
        <v>19064060</v>
      </c>
      <c r="B4017">
        <v>4</v>
      </c>
      <c r="C4017">
        <v>1704</v>
      </c>
      <c r="D4017">
        <v>0</v>
      </c>
      <c r="E4017">
        <v>26</v>
      </c>
      <c r="F4017" t="s">
        <v>57</v>
      </c>
      <c r="G4017" t="s">
        <v>82</v>
      </c>
      <c r="H4017" t="s">
        <v>79</v>
      </c>
      <c r="I4017">
        <v>10</v>
      </c>
    </row>
    <row r="4018" spans="1:9" x14ac:dyDescent="0.2">
      <c r="A4018">
        <v>19064060</v>
      </c>
      <c r="B4018">
        <v>5</v>
      </c>
      <c r="C4018">
        <v>1789</v>
      </c>
      <c r="D4018">
        <v>0</v>
      </c>
      <c r="E4018">
        <v>26</v>
      </c>
      <c r="F4018" t="s">
        <v>57</v>
      </c>
      <c r="G4018" t="s">
        <v>122</v>
      </c>
      <c r="H4018" t="s">
        <v>69</v>
      </c>
      <c r="I4018">
        <v>10</v>
      </c>
    </row>
    <row r="4019" spans="1:9" x14ac:dyDescent="0.2">
      <c r="A4019">
        <v>19079253</v>
      </c>
      <c r="B4019">
        <v>1</v>
      </c>
      <c r="C4019">
        <v>1713</v>
      </c>
      <c r="D4019">
        <v>60270</v>
      </c>
      <c r="E4019">
        <v>25</v>
      </c>
      <c r="F4019" t="s">
        <v>57</v>
      </c>
      <c r="G4019" t="s">
        <v>170</v>
      </c>
      <c r="H4019" t="s">
        <v>69</v>
      </c>
      <c r="I4019">
        <v>10</v>
      </c>
    </row>
    <row r="4020" spans="1:9" x14ac:dyDescent="0.2">
      <c r="A4020">
        <v>19079253</v>
      </c>
      <c r="B4020">
        <v>2</v>
      </c>
      <c r="C4020">
        <v>1728</v>
      </c>
      <c r="D4020">
        <v>60270</v>
      </c>
      <c r="E4020">
        <v>25</v>
      </c>
      <c r="F4020" t="s">
        <v>57</v>
      </c>
      <c r="G4020" t="s">
        <v>103</v>
      </c>
      <c r="H4020" t="s">
        <v>69</v>
      </c>
      <c r="I4020">
        <v>10</v>
      </c>
    </row>
    <row r="4021" spans="1:9" x14ac:dyDescent="0.2">
      <c r="A4021">
        <v>19079253</v>
      </c>
      <c r="B4021">
        <v>3</v>
      </c>
      <c r="C4021">
        <v>1789</v>
      </c>
      <c r="D4021">
        <v>60270</v>
      </c>
      <c r="E4021">
        <v>25</v>
      </c>
      <c r="F4021" t="s">
        <v>57</v>
      </c>
      <c r="G4021" t="s">
        <v>122</v>
      </c>
      <c r="H4021" t="s">
        <v>69</v>
      </c>
      <c r="I4021">
        <v>10</v>
      </c>
    </row>
    <row r="4022" spans="1:9" x14ac:dyDescent="0.2">
      <c r="A4022">
        <v>19079253</v>
      </c>
      <c r="B4022">
        <v>4</v>
      </c>
      <c r="C4022">
        <v>1776</v>
      </c>
      <c r="D4022">
        <v>60530</v>
      </c>
      <c r="E4022">
        <v>25</v>
      </c>
      <c r="F4022" t="s">
        <v>57</v>
      </c>
      <c r="G4022" t="s">
        <v>124</v>
      </c>
      <c r="H4022" t="s">
        <v>125</v>
      </c>
      <c r="I4022">
        <v>10</v>
      </c>
    </row>
    <row r="4023" spans="1:9" x14ac:dyDescent="0.2">
      <c r="A4023">
        <v>19079253</v>
      </c>
      <c r="B4023">
        <v>5</v>
      </c>
      <c r="C4023">
        <v>1711</v>
      </c>
      <c r="D4023">
        <v>60215</v>
      </c>
      <c r="E4023">
        <v>24</v>
      </c>
      <c r="F4023" t="s">
        <v>57</v>
      </c>
      <c r="G4023" t="s">
        <v>201</v>
      </c>
      <c r="H4023" t="s">
        <v>69</v>
      </c>
      <c r="I4023">
        <v>10</v>
      </c>
    </row>
    <row r="4024" spans="1:9" x14ac:dyDescent="0.2">
      <c r="A4024">
        <v>19081125</v>
      </c>
      <c r="B4024">
        <v>1</v>
      </c>
      <c r="C4024">
        <v>3242</v>
      </c>
      <c r="D4024">
        <v>57120</v>
      </c>
      <c r="E4024">
        <v>24</v>
      </c>
      <c r="F4024" t="s">
        <v>47</v>
      </c>
      <c r="G4024" t="s">
        <v>90</v>
      </c>
      <c r="H4024" t="s">
        <v>46</v>
      </c>
      <c r="I4024">
        <v>10</v>
      </c>
    </row>
    <row r="4025" spans="1:9" x14ac:dyDescent="0.2">
      <c r="A4025">
        <v>19081125</v>
      </c>
      <c r="B4025">
        <v>2</v>
      </c>
      <c r="C4025">
        <v>3248</v>
      </c>
      <c r="D4025">
        <v>0</v>
      </c>
      <c r="E4025">
        <v>26</v>
      </c>
      <c r="F4025" t="s">
        <v>47</v>
      </c>
      <c r="G4025" t="s">
        <v>92</v>
      </c>
      <c r="H4025" t="s">
        <v>46</v>
      </c>
      <c r="I4025">
        <v>10</v>
      </c>
    </row>
    <row r="4026" spans="1:9" x14ac:dyDescent="0.2">
      <c r="A4026">
        <v>19081125</v>
      </c>
      <c r="B4026">
        <v>3</v>
      </c>
      <c r="C4026">
        <v>3246</v>
      </c>
      <c r="D4026">
        <v>0</v>
      </c>
      <c r="E4026">
        <v>26</v>
      </c>
      <c r="F4026" t="s">
        <v>47</v>
      </c>
      <c r="G4026" t="s">
        <v>91</v>
      </c>
      <c r="H4026" t="s">
        <v>74</v>
      </c>
      <c r="I4026">
        <v>10</v>
      </c>
    </row>
    <row r="4027" spans="1:9" x14ac:dyDescent="0.2">
      <c r="A4027">
        <v>19081125</v>
      </c>
      <c r="B4027">
        <v>4</v>
      </c>
      <c r="C4027">
        <v>3251</v>
      </c>
      <c r="D4027">
        <v>0</v>
      </c>
      <c r="E4027">
        <v>26</v>
      </c>
      <c r="F4027" t="s">
        <v>47</v>
      </c>
      <c r="G4027" t="s">
        <v>48</v>
      </c>
      <c r="H4027" t="s">
        <v>46</v>
      </c>
      <c r="I4027">
        <v>10</v>
      </c>
    </row>
    <row r="4028" spans="1:9" x14ac:dyDescent="0.2">
      <c r="A4028">
        <v>19081125</v>
      </c>
      <c r="B4028">
        <v>5</v>
      </c>
      <c r="C4028">
        <v>3252</v>
      </c>
      <c r="D4028">
        <v>0</v>
      </c>
      <c r="E4028">
        <v>26</v>
      </c>
      <c r="F4028" t="s">
        <v>47</v>
      </c>
      <c r="G4028" t="s">
        <v>45</v>
      </c>
      <c r="H4028" t="s">
        <v>46</v>
      </c>
      <c r="I4028">
        <v>10</v>
      </c>
    </row>
    <row r="4029" spans="1:9" x14ac:dyDescent="0.2">
      <c r="A4029">
        <v>19081461</v>
      </c>
      <c r="B4029">
        <v>1</v>
      </c>
      <c r="C4029">
        <v>1221</v>
      </c>
      <c r="D4029">
        <v>63090</v>
      </c>
      <c r="E4029">
        <v>25</v>
      </c>
      <c r="F4029" t="s">
        <v>19</v>
      </c>
      <c r="G4029" t="s">
        <v>63</v>
      </c>
      <c r="H4029" t="s">
        <v>16</v>
      </c>
      <c r="I4029" t="s">
        <v>448</v>
      </c>
    </row>
    <row r="4030" spans="1:9" x14ac:dyDescent="0.2">
      <c r="A4030">
        <v>19081461</v>
      </c>
      <c r="B4030">
        <v>2</v>
      </c>
      <c r="C4030">
        <v>1220</v>
      </c>
      <c r="D4030">
        <v>61510</v>
      </c>
      <c r="E4030">
        <v>25</v>
      </c>
      <c r="F4030" t="s">
        <v>19</v>
      </c>
      <c r="G4030" t="s">
        <v>244</v>
      </c>
      <c r="H4030" t="s">
        <v>16</v>
      </c>
      <c r="I4030" t="s">
        <v>448</v>
      </c>
    </row>
    <row r="4031" spans="1:9" x14ac:dyDescent="0.2">
      <c r="A4031">
        <v>19081461</v>
      </c>
      <c r="B4031">
        <v>3</v>
      </c>
      <c r="C4031">
        <v>1246</v>
      </c>
      <c r="D4031">
        <v>61260</v>
      </c>
      <c r="E4031">
        <v>25</v>
      </c>
      <c r="F4031" t="s">
        <v>19</v>
      </c>
      <c r="G4031" t="s">
        <v>245</v>
      </c>
      <c r="H4031" t="s">
        <v>16</v>
      </c>
      <c r="I4031" t="s">
        <v>448</v>
      </c>
    </row>
    <row r="4032" spans="1:9" x14ac:dyDescent="0.2">
      <c r="A4032">
        <v>19081461</v>
      </c>
      <c r="B4032">
        <v>4</v>
      </c>
      <c r="C4032">
        <v>1224</v>
      </c>
      <c r="D4032">
        <v>61260</v>
      </c>
      <c r="E4032">
        <v>25</v>
      </c>
      <c r="F4032" t="s">
        <v>19</v>
      </c>
      <c r="G4032" t="s">
        <v>277</v>
      </c>
      <c r="H4032" t="s">
        <v>16</v>
      </c>
      <c r="I4032" t="s">
        <v>448</v>
      </c>
    </row>
    <row r="4033" spans="1:9" x14ac:dyDescent="0.2">
      <c r="A4033">
        <v>19151606</v>
      </c>
      <c r="B4033">
        <v>1</v>
      </c>
      <c r="C4033">
        <v>1731</v>
      </c>
      <c r="D4033">
        <v>68235</v>
      </c>
      <c r="E4033">
        <v>25</v>
      </c>
      <c r="F4033" t="s">
        <v>57</v>
      </c>
      <c r="G4033" t="s">
        <v>172</v>
      </c>
      <c r="H4033" t="s">
        <v>69</v>
      </c>
      <c r="I4033">
        <v>10</v>
      </c>
    </row>
    <row r="4034" spans="1:9" x14ac:dyDescent="0.2">
      <c r="A4034">
        <v>19151606</v>
      </c>
      <c r="B4034">
        <v>2</v>
      </c>
      <c r="C4034">
        <v>1789</v>
      </c>
      <c r="D4034">
        <v>68235</v>
      </c>
      <c r="E4034">
        <v>25</v>
      </c>
      <c r="F4034" t="s">
        <v>57</v>
      </c>
      <c r="G4034" t="s">
        <v>122</v>
      </c>
      <c r="H4034" t="s">
        <v>69</v>
      </c>
      <c r="I4034">
        <v>10</v>
      </c>
    </row>
    <row r="4035" spans="1:9" x14ac:dyDescent="0.2">
      <c r="A4035">
        <v>19151606</v>
      </c>
      <c r="B4035">
        <v>3</v>
      </c>
      <c r="C4035">
        <v>1734</v>
      </c>
      <c r="D4035">
        <v>67785</v>
      </c>
      <c r="E4035">
        <v>24</v>
      </c>
      <c r="F4035" t="s">
        <v>57</v>
      </c>
      <c r="G4035" t="s">
        <v>81</v>
      </c>
      <c r="H4035" t="s">
        <v>69</v>
      </c>
      <c r="I4035">
        <v>10</v>
      </c>
    </row>
    <row r="4036" spans="1:9" x14ac:dyDescent="0.2">
      <c r="A4036">
        <v>19151606</v>
      </c>
      <c r="B4036">
        <v>4</v>
      </c>
      <c r="C4036">
        <v>1255</v>
      </c>
      <c r="D4036">
        <v>0</v>
      </c>
      <c r="E4036">
        <v>26</v>
      </c>
      <c r="F4036" t="s">
        <v>19</v>
      </c>
      <c r="G4036" t="s">
        <v>292</v>
      </c>
      <c r="H4036" t="s">
        <v>16</v>
      </c>
      <c r="I4036" t="s">
        <v>448</v>
      </c>
    </row>
    <row r="4037" spans="1:9" x14ac:dyDescent="0.2">
      <c r="A4037">
        <v>19151606</v>
      </c>
      <c r="B4037">
        <v>5</v>
      </c>
      <c r="C4037">
        <v>1728</v>
      </c>
      <c r="D4037">
        <v>0</v>
      </c>
      <c r="E4037">
        <v>26</v>
      </c>
      <c r="F4037" t="s">
        <v>57</v>
      </c>
      <c r="G4037" t="s">
        <v>103</v>
      </c>
      <c r="H4037" t="s">
        <v>69</v>
      </c>
      <c r="I4037">
        <v>10</v>
      </c>
    </row>
    <row r="4038" spans="1:9" x14ac:dyDescent="0.2">
      <c r="A4038">
        <v>19151606</v>
      </c>
      <c r="B4038">
        <v>6</v>
      </c>
      <c r="C4038">
        <v>1711</v>
      </c>
      <c r="D4038">
        <v>0</v>
      </c>
      <c r="E4038">
        <v>26</v>
      </c>
      <c r="F4038" t="s">
        <v>57</v>
      </c>
      <c r="G4038" t="s">
        <v>201</v>
      </c>
      <c r="H4038" t="s">
        <v>69</v>
      </c>
      <c r="I4038">
        <v>10</v>
      </c>
    </row>
    <row r="4039" spans="1:9" x14ac:dyDescent="0.2">
      <c r="A4039">
        <v>19165695</v>
      </c>
      <c r="B4039">
        <v>1</v>
      </c>
      <c r="C4039">
        <v>1183</v>
      </c>
      <c r="D4039">
        <v>74050</v>
      </c>
      <c r="E4039">
        <v>25</v>
      </c>
      <c r="F4039" t="s">
        <v>17</v>
      </c>
      <c r="G4039" t="s">
        <v>171</v>
      </c>
      <c r="H4039" t="s">
        <v>16</v>
      </c>
      <c r="I4039" t="s">
        <v>448</v>
      </c>
    </row>
    <row r="4040" spans="1:9" x14ac:dyDescent="0.2">
      <c r="A4040">
        <v>19165695</v>
      </c>
      <c r="B4040">
        <v>2</v>
      </c>
      <c r="C4040">
        <v>1713</v>
      </c>
      <c r="D4040">
        <v>74030</v>
      </c>
      <c r="E4040">
        <v>24</v>
      </c>
      <c r="F4040" t="s">
        <v>57</v>
      </c>
      <c r="G4040" t="s">
        <v>170</v>
      </c>
      <c r="H4040" t="s">
        <v>69</v>
      </c>
      <c r="I4040">
        <v>10</v>
      </c>
    </row>
    <row r="4041" spans="1:9" x14ac:dyDescent="0.2">
      <c r="A4041">
        <v>19165695</v>
      </c>
      <c r="B4041">
        <v>3</v>
      </c>
      <c r="C4041">
        <v>1386</v>
      </c>
      <c r="D4041">
        <v>0</v>
      </c>
      <c r="E4041">
        <v>26</v>
      </c>
      <c r="F4041" t="s">
        <v>21</v>
      </c>
      <c r="G4041" t="s">
        <v>170</v>
      </c>
      <c r="H4041" t="s">
        <v>20</v>
      </c>
      <c r="I4041">
        <v>8</v>
      </c>
    </row>
    <row r="4042" spans="1:9" x14ac:dyDescent="0.2">
      <c r="A4042">
        <v>19165695</v>
      </c>
      <c r="B4042">
        <v>4</v>
      </c>
      <c r="C4042">
        <v>1691</v>
      </c>
      <c r="D4042">
        <v>0</v>
      </c>
      <c r="E4042">
        <v>26</v>
      </c>
      <c r="F4042" t="s">
        <v>128</v>
      </c>
      <c r="G4042" t="s">
        <v>170</v>
      </c>
      <c r="H4042" t="s">
        <v>127</v>
      </c>
      <c r="I4042" t="s">
        <v>448</v>
      </c>
    </row>
    <row r="4043" spans="1:9" x14ac:dyDescent="0.2">
      <c r="A4043">
        <v>19180646</v>
      </c>
      <c r="B4043">
        <v>1</v>
      </c>
      <c r="C4043">
        <v>3242</v>
      </c>
      <c r="D4043">
        <v>51675</v>
      </c>
      <c r="E4043">
        <v>25</v>
      </c>
      <c r="F4043" t="s">
        <v>47</v>
      </c>
      <c r="G4043" t="s">
        <v>90</v>
      </c>
      <c r="H4043" t="s">
        <v>46</v>
      </c>
      <c r="I4043">
        <v>10</v>
      </c>
    </row>
    <row r="4044" spans="1:9" x14ac:dyDescent="0.2">
      <c r="A4044">
        <v>19180646</v>
      </c>
      <c r="B4044">
        <v>2</v>
      </c>
      <c r="C4044">
        <v>3246</v>
      </c>
      <c r="D4044">
        <v>51565</v>
      </c>
      <c r="E4044">
        <v>24</v>
      </c>
      <c r="F4044" t="s">
        <v>47</v>
      </c>
      <c r="G4044" t="s">
        <v>91</v>
      </c>
      <c r="H4044" t="s">
        <v>74</v>
      </c>
      <c r="I4044">
        <v>10</v>
      </c>
    </row>
    <row r="4045" spans="1:9" x14ac:dyDescent="0.2">
      <c r="A4045">
        <v>19222784</v>
      </c>
      <c r="B4045">
        <v>1</v>
      </c>
      <c r="C4045">
        <v>1213</v>
      </c>
      <c r="D4045">
        <v>54940</v>
      </c>
      <c r="E4045">
        <v>25</v>
      </c>
      <c r="F4045" t="s">
        <v>19</v>
      </c>
      <c r="G4045" t="s">
        <v>155</v>
      </c>
      <c r="H4045" t="s">
        <v>16</v>
      </c>
      <c r="I4045" t="s">
        <v>448</v>
      </c>
    </row>
    <row r="4046" spans="1:9" x14ac:dyDescent="0.2">
      <c r="A4046">
        <v>19222784</v>
      </c>
      <c r="B4046">
        <v>2</v>
      </c>
      <c r="C4046">
        <v>1700</v>
      </c>
      <c r="D4046">
        <v>53050</v>
      </c>
      <c r="E4046">
        <v>24</v>
      </c>
      <c r="F4046" t="s">
        <v>57</v>
      </c>
      <c r="G4046" t="s">
        <v>58</v>
      </c>
      <c r="H4046" t="s">
        <v>69</v>
      </c>
      <c r="I4046">
        <v>10</v>
      </c>
    </row>
    <row r="4047" spans="1:9" x14ac:dyDescent="0.2">
      <c r="A4047">
        <v>19222784</v>
      </c>
      <c r="B4047">
        <v>3</v>
      </c>
      <c r="C4047">
        <v>1709</v>
      </c>
      <c r="D4047">
        <v>0</v>
      </c>
      <c r="E4047">
        <v>26</v>
      </c>
      <c r="F4047" t="s">
        <v>57</v>
      </c>
      <c r="G4047" t="s">
        <v>84</v>
      </c>
      <c r="H4047" t="s">
        <v>69</v>
      </c>
      <c r="I4047">
        <v>10</v>
      </c>
    </row>
    <row r="4048" spans="1:9" x14ac:dyDescent="0.2">
      <c r="A4048">
        <v>19266970</v>
      </c>
      <c r="B4048">
        <v>1</v>
      </c>
      <c r="C4048">
        <v>1377</v>
      </c>
      <c r="D4048">
        <v>60370</v>
      </c>
      <c r="E4048">
        <v>24</v>
      </c>
      <c r="F4048" t="s">
        <v>21</v>
      </c>
      <c r="G4048" t="s">
        <v>251</v>
      </c>
      <c r="H4048" t="s">
        <v>20</v>
      </c>
      <c r="I4048">
        <v>8</v>
      </c>
    </row>
    <row r="4049" spans="1:9" x14ac:dyDescent="0.2">
      <c r="A4049">
        <v>19266970</v>
      </c>
      <c r="B4049">
        <v>2</v>
      </c>
      <c r="C4049">
        <v>1323</v>
      </c>
      <c r="D4049">
        <v>0</v>
      </c>
      <c r="E4049">
        <v>26</v>
      </c>
      <c r="F4049" t="s">
        <v>21</v>
      </c>
      <c r="G4049" t="s">
        <v>98</v>
      </c>
      <c r="H4049" t="s">
        <v>20</v>
      </c>
      <c r="I4049">
        <v>8</v>
      </c>
    </row>
    <row r="4050" spans="1:9" x14ac:dyDescent="0.2">
      <c r="A4050">
        <v>19266970</v>
      </c>
      <c r="B4050">
        <v>3</v>
      </c>
      <c r="C4050">
        <v>3092</v>
      </c>
      <c r="D4050">
        <v>0</v>
      </c>
      <c r="E4050">
        <v>26</v>
      </c>
      <c r="F4050" t="s">
        <v>44</v>
      </c>
      <c r="G4050" t="s">
        <v>251</v>
      </c>
      <c r="H4050" t="s">
        <v>52</v>
      </c>
      <c r="I4050">
        <v>9</v>
      </c>
    </row>
    <row r="4051" spans="1:9" x14ac:dyDescent="0.2">
      <c r="A4051">
        <v>19266970</v>
      </c>
      <c r="B4051">
        <v>4</v>
      </c>
      <c r="C4051">
        <v>1729</v>
      </c>
      <c r="D4051">
        <v>0</v>
      </c>
      <c r="E4051">
        <v>26</v>
      </c>
      <c r="F4051" t="s">
        <v>57</v>
      </c>
      <c r="G4051" t="s">
        <v>72</v>
      </c>
      <c r="H4051" t="s">
        <v>69</v>
      </c>
      <c r="I4051">
        <v>10</v>
      </c>
    </row>
    <row r="4052" spans="1:9" x14ac:dyDescent="0.2">
      <c r="A4052">
        <v>19266970</v>
      </c>
      <c r="B4052">
        <v>5</v>
      </c>
      <c r="C4052">
        <v>1912</v>
      </c>
      <c r="D4052">
        <v>0</v>
      </c>
      <c r="E4052">
        <v>26</v>
      </c>
      <c r="F4052" t="s">
        <v>32</v>
      </c>
      <c r="G4052" t="s">
        <v>347</v>
      </c>
      <c r="H4052" t="s">
        <v>31</v>
      </c>
      <c r="I4052">
        <v>5</v>
      </c>
    </row>
    <row r="4053" spans="1:9" x14ac:dyDescent="0.2">
      <c r="A4053">
        <v>19271842</v>
      </c>
      <c r="B4053">
        <v>1</v>
      </c>
      <c r="C4053">
        <v>3223</v>
      </c>
      <c r="D4053">
        <v>44870</v>
      </c>
      <c r="E4053">
        <v>24</v>
      </c>
      <c r="F4053" t="s">
        <v>47</v>
      </c>
      <c r="G4053" t="s">
        <v>105</v>
      </c>
      <c r="H4053" t="s">
        <v>46</v>
      </c>
      <c r="I4053">
        <v>10</v>
      </c>
    </row>
    <row r="4054" spans="1:9" x14ac:dyDescent="0.2">
      <c r="A4054">
        <v>19271842</v>
      </c>
      <c r="B4054">
        <v>2</v>
      </c>
      <c r="C4054">
        <v>3229</v>
      </c>
      <c r="D4054">
        <v>0</v>
      </c>
      <c r="E4054">
        <v>26</v>
      </c>
      <c r="F4054" t="s">
        <v>47</v>
      </c>
      <c r="G4054" t="s">
        <v>101</v>
      </c>
      <c r="H4054" t="s">
        <v>46</v>
      </c>
      <c r="I4054">
        <v>10</v>
      </c>
    </row>
    <row r="4055" spans="1:9" x14ac:dyDescent="0.2">
      <c r="A4055">
        <v>19271842</v>
      </c>
      <c r="B4055">
        <v>3</v>
      </c>
      <c r="C4055">
        <v>3245</v>
      </c>
      <c r="D4055">
        <v>0</v>
      </c>
      <c r="E4055">
        <v>26</v>
      </c>
      <c r="F4055" t="s">
        <v>47</v>
      </c>
      <c r="G4055" t="s">
        <v>157</v>
      </c>
      <c r="H4055" t="s">
        <v>74</v>
      </c>
      <c r="I4055">
        <v>10</v>
      </c>
    </row>
    <row r="4056" spans="1:9" x14ac:dyDescent="0.2">
      <c r="A4056">
        <v>19271842</v>
      </c>
      <c r="B4056">
        <v>4</v>
      </c>
      <c r="C4056">
        <v>3244</v>
      </c>
      <c r="D4056">
        <v>0</v>
      </c>
      <c r="E4056">
        <v>26</v>
      </c>
      <c r="F4056" t="s">
        <v>47</v>
      </c>
      <c r="G4056" t="s">
        <v>73</v>
      </c>
      <c r="H4056" t="s">
        <v>74</v>
      </c>
      <c r="I4056">
        <v>10</v>
      </c>
    </row>
    <row r="4057" spans="1:9" x14ac:dyDescent="0.2">
      <c r="A4057">
        <v>19271842</v>
      </c>
      <c r="B4057">
        <v>5</v>
      </c>
      <c r="C4057">
        <v>3261</v>
      </c>
      <c r="D4057">
        <v>0</v>
      </c>
      <c r="E4057">
        <v>26</v>
      </c>
      <c r="F4057" t="s">
        <v>47</v>
      </c>
      <c r="G4057" t="s">
        <v>93</v>
      </c>
      <c r="H4057" t="s">
        <v>46</v>
      </c>
      <c r="I4057">
        <v>10</v>
      </c>
    </row>
    <row r="4058" spans="1:9" x14ac:dyDescent="0.2">
      <c r="A4058">
        <v>19329212</v>
      </c>
      <c r="B4058">
        <v>1</v>
      </c>
      <c r="C4058">
        <v>1782</v>
      </c>
      <c r="D4058">
        <v>64030</v>
      </c>
      <c r="E4058">
        <v>24</v>
      </c>
      <c r="F4058" t="s">
        <v>57</v>
      </c>
      <c r="G4058" t="s">
        <v>63</v>
      </c>
      <c r="H4058" t="s">
        <v>69</v>
      </c>
      <c r="I4058">
        <v>10</v>
      </c>
    </row>
    <row r="4059" spans="1:9" x14ac:dyDescent="0.2">
      <c r="A4059">
        <v>19329212</v>
      </c>
      <c r="B4059">
        <v>2</v>
      </c>
      <c r="C4059">
        <v>1329</v>
      </c>
      <c r="D4059">
        <v>0</v>
      </c>
      <c r="E4059">
        <v>26</v>
      </c>
      <c r="F4059" t="s">
        <v>21</v>
      </c>
      <c r="G4059" t="s">
        <v>63</v>
      </c>
      <c r="H4059" t="s">
        <v>136</v>
      </c>
      <c r="I4059">
        <v>8</v>
      </c>
    </row>
    <row r="4060" spans="1:9" x14ac:dyDescent="0.2">
      <c r="A4060">
        <v>19329212</v>
      </c>
      <c r="B4060">
        <v>3</v>
      </c>
      <c r="C4060">
        <v>1430</v>
      </c>
      <c r="D4060">
        <v>0</v>
      </c>
      <c r="E4060">
        <v>26</v>
      </c>
      <c r="F4060" t="s">
        <v>25</v>
      </c>
      <c r="G4060" t="s">
        <v>63</v>
      </c>
      <c r="H4060" t="s">
        <v>24</v>
      </c>
      <c r="I4060">
        <v>5</v>
      </c>
    </row>
    <row r="4061" spans="1:9" x14ac:dyDescent="0.2">
      <c r="A4061">
        <v>19372710</v>
      </c>
      <c r="B4061">
        <v>1</v>
      </c>
      <c r="C4061">
        <v>3269</v>
      </c>
      <c r="D4061">
        <v>0</v>
      </c>
      <c r="E4061">
        <v>36</v>
      </c>
      <c r="F4061" t="s">
        <v>47</v>
      </c>
      <c r="G4061" t="s">
        <v>180</v>
      </c>
      <c r="H4061" t="s">
        <v>46</v>
      </c>
      <c r="I4061">
        <v>10</v>
      </c>
    </row>
    <row r="4062" spans="1:9" x14ac:dyDescent="0.2">
      <c r="A4062">
        <v>19372710</v>
      </c>
      <c r="B4062">
        <v>2</v>
      </c>
      <c r="C4062">
        <v>3225</v>
      </c>
      <c r="D4062">
        <v>0</v>
      </c>
      <c r="E4062">
        <v>36</v>
      </c>
      <c r="F4062" t="s">
        <v>47</v>
      </c>
      <c r="G4062" t="s">
        <v>106</v>
      </c>
      <c r="H4062" t="s">
        <v>46</v>
      </c>
      <c r="I4062">
        <v>10</v>
      </c>
    </row>
    <row r="4063" spans="1:9" x14ac:dyDescent="0.2">
      <c r="A4063">
        <v>19372710</v>
      </c>
      <c r="B4063">
        <v>3</v>
      </c>
      <c r="C4063">
        <v>3251</v>
      </c>
      <c r="D4063">
        <v>0</v>
      </c>
      <c r="E4063">
        <v>36</v>
      </c>
      <c r="F4063" t="s">
        <v>47</v>
      </c>
      <c r="G4063" t="s">
        <v>48</v>
      </c>
      <c r="H4063" t="s">
        <v>46</v>
      </c>
      <c r="I4063">
        <v>10</v>
      </c>
    </row>
    <row r="4064" spans="1:9" x14ac:dyDescent="0.2">
      <c r="A4064">
        <v>19372710</v>
      </c>
      <c r="B4064">
        <v>4</v>
      </c>
      <c r="C4064">
        <v>3223</v>
      </c>
      <c r="D4064">
        <v>0</v>
      </c>
      <c r="E4064">
        <v>36</v>
      </c>
      <c r="F4064" t="s">
        <v>47</v>
      </c>
      <c r="G4064" t="s">
        <v>105</v>
      </c>
      <c r="H4064" t="s">
        <v>46</v>
      </c>
      <c r="I4064">
        <v>10</v>
      </c>
    </row>
    <row r="4065" spans="1:9" x14ac:dyDescent="0.2">
      <c r="A4065">
        <v>19372710</v>
      </c>
      <c r="B4065">
        <v>5</v>
      </c>
      <c r="C4065">
        <v>3226</v>
      </c>
      <c r="D4065">
        <v>0</v>
      </c>
      <c r="E4065">
        <v>36</v>
      </c>
      <c r="F4065" t="s">
        <v>47</v>
      </c>
      <c r="G4065" t="s">
        <v>96</v>
      </c>
      <c r="H4065" t="s">
        <v>46</v>
      </c>
      <c r="I4065">
        <v>10</v>
      </c>
    </row>
    <row r="4066" spans="1:9" x14ac:dyDescent="0.2">
      <c r="A4066">
        <v>19372710</v>
      </c>
      <c r="B4066">
        <v>6</v>
      </c>
      <c r="C4066">
        <v>3261</v>
      </c>
      <c r="D4066">
        <v>0</v>
      </c>
      <c r="E4066">
        <v>36</v>
      </c>
      <c r="F4066" t="s">
        <v>47</v>
      </c>
      <c r="G4066" t="s">
        <v>93</v>
      </c>
      <c r="H4066" t="s">
        <v>46</v>
      </c>
      <c r="I4066">
        <v>10</v>
      </c>
    </row>
    <row r="4067" spans="1:9" x14ac:dyDescent="0.2">
      <c r="A4067">
        <v>19372710</v>
      </c>
      <c r="B4067">
        <v>7</v>
      </c>
      <c r="C4067">
        <v>3248</v>
      </c>
      <c r="D4067">
        <v>0</v>
      </c>
      <c r="E4067">
        <v>36</v>
      </c>
      <c r="F4067" t="s">
        <v>47</v>
      </c>
      <c r="G4067" t="s">
        <v>92</v>
      </c>
      <c r="H4067" t="s">
        <v>46</v>
      </c>
      <c r="I4067">
        <v>10</v>
      </c>
    </row>
    <row r="4068" spans="1:9" x14ac:dyDescent="0.2">
      <c r="A4068">
        <v>19372710</v>
      </c>
      <c r="B4068">
        <v>8</v>
      </c>
      <c r="C4068">
        <v>3252</v>
      </c>
      <c r="D4068">
        <v>0</v>
      </c>
      <c r="E4068">
        <v>36</v>
      </c>
      <c r="F4068" t="s">
        <v>47</v>
      </c>
      <c r="G4068" t="s">
        <v>45</v>
      </c>
      <c r="H4068" t="s">
        <v>46</v>
      </c>
      <c r="I4068">
        <v>10</v>
      </c>
    </row>
    <row r="4069" spans="1:9" x14ac:dyDescent="0.2">
      <c r="A4069">
        <v>19412980</v>
      </c>
      <c r="B4069">
        <v>1</v>
      </c>
      <c r="C4069">
        <v>1740</v>
      </c>
      <c r="D4069">
        <v>0</v>
      </c>
      <c r="E4069">
        <v>30</v>
      </c>
      <c r="F4069" t="s">
        <v>57</v>
      </c>
      <c r="G4069" t="s">
        <v>209</v>
      </c>
      <c r="H4069" t="s">
        <v>79</v>
      </c>
      <c r="I4069">
        <v>10</v>
      </c>
    </row>
    <row r="4070" spans="1:9" x14ac:dyDescent="0.2">
      <c r="A4070">
        <v>19412980</v>
      </c>
      <c r="B4070">
        <v>2</v>
      </c>
      <c r="C4070">
        <v>1779</v>
      </c>
      <c r="D4070">
        <v>0</v>
      </c>
      <c r="E4070">
        <v>30</v>
      </c>
      <c r="F4070" t="s">
        <v>57</v>
      </c>
      <c r="G4070" t="s">
        <v>162</v>
      </c>
      <c r="H4070" t="s">
        <v>79</v>
      </c>
      <c r="I4070">
        <v>10</v>
      </c>
    </row>
    <row r="4071" spans="1:9" x14ac:dyDescent="0.2">
      <c r="A4071">
        <v>19412980</v>
      </c>
      <c r="B4071">
        <v>3</v>
      </c>
      <c r="C4071">
        <v>1752</v>
      </c>
      <c r="D4071">
        <v>0</v>
      </c>
      <c r="E4071">
        <v>30</v>
      </c>
      <c r="F4071" t="s">
        <v>57</v>
      </c>
      <c r="G4071" t="s">
        <v>66</v>
      </c>
      <c r="H4071" t="s">
        <v>56</v>
      </c>
      <c r="I4071">
        <v>10</v>
      </c>
    </row>
    <row r="4072" spans="1:9" x14ac:dyDescent="0.2">
      <c r="A4072">
        <v>19412980</v>
      </c>
      <c r="B4072">
        <v>4</v>
      </c>
      <c r="C4072">
        <v>1574</v>
      </c>
      <c r="D4072">
        <v>49985</v>
      </c>
      <c r="E4072">
        <v>25</v>
      </c>
      <c r="F4072" t="s">
        <v>142</v>
      </c>
      <c r="G4072" t="s">
        <v>263</v>
      </c>
      <c r="H4072" t="s">
        <v>113</v>
      </c>
      <c r="I4072">
        <v>5</v>
      </c>
    </row>
    <row r="4073" spans="1:9" x14ac:dyDescent="0.2">
      <c r="A4073">
        <v>19412980</v>
      </c>
      <c r="B4073">
        <v>5</v>
      </c>
      <c r="C4073">
        <v>3218</v>
      </c>
      <c r="D4073">
        <v>50440</v>
      </c>
      <c r="E4073">
        <v>24</v>
      </c>
      <c r="F4073" t="s">
        <v>47</v>
      </c>
      <c r="G4073" t="s">
        <v>66</v>
      </c>
      <c r="H4073" t="s">
        <v>74</v>
      </c>
      <c r="I4073">
        <v>10</v>
      </c>
    </row>
    <row r="4074" spans="1:9" x14ac:dyDescent="0.2">
      <c r="A4074">
        <v>19412980</v>
      </c>
      <c r="B4074">
        <v>6</v>
      </c>
      <c r="C4074">
        <v>1509</v>
      </c>
      <c r="D4074">
        <v>0</v>
      </c>
      <c r="E4074">
        <v>26</v>
      </c>
      <c r="F4074" t="s">
        <v>142</v>
      </c>
      <c r="G4074" t="s">
        <v>162</v>
      </c>
      <c r="H4074" t="s">
        <v>31</v>
      </c>
      <c r="I4074">
        <v>5</v>
      </c>
    </row>
    <row r="4075" spans="1:9" x14ac:dyDescent="0.2">
      <c r="A4075">
        <v>19412980</v>
      </c>
      <c r="B4075">
        <v>7</v>
      </c>
      <c r="C4075">
        <v>1510</v>
      </c>
      <c r="D4075">
        <v>0</v>
      </c>
      <c r="E4075">
        <v>26</v>
      </c>
      <c r="F4075" t="s">
        <v>142</v>
      </c>
      <c r="G4075" t="s">
        <v>323</v>
      </c>
      <c r="H4075" t="s">
        <v>31</v>
      </c>
      <c r="I4075">
        <v>5</v>
      </c>
    </row>
    <row r="4076" spans="1:9" x14ac:dyDescent="0.2">
      <c r="A4076">
        <v>19412980</v>
      </c>
      <c r="B4076">
        <v>8</v>
      </c>
      <c r="C4076">
        <v>1575</v>
      </c>
      <c r="D4076">
        <v>0</v>
      </c>
      <c r="E4076">
        <v>26</v>
      </c>
      <c r="F4076" t="s">
        <v>142</v>
      </c>
      <c r="G4076" t="s">
        <v>249</v>
      </c>
      <c r="H4076" t="s">
        <v>113</v>
      </c>
      <c r="I4076">
        <v>5</v>
      </c>
    </row>
    <row r="4077" spans="1:9" x14ac:dyDescent="0.2">
      <c r="A4077">
        <v>19412981</v>
      </c>
      <c r="B4077">
        <v>1</v>
      </c>
      <c r="C4077">
        <v>3248</v>
      </c>
      <c r="D4077">
        <v>59175</v>
      </c>
      <c r="E4077">
        <v>24</v>
      </c>
      <c r="F4077" t="s">
        <v>47</v>
      </c>
      <c r="G4077" t="s">
        <v>92</v>
      </c>
      <c r="H4077" t="s">
        <v>46</v>
      </c>
      <c r="I4077">
        <v>10</v>
      </c>
    </row>
    <row r="4078" spans="1:9" x14ac:dyDescent="0.2">
      <c r="A4078">
        <v>19412981</v>
      </c>
      <c r="B4078">
        <v>2</v>
      </c>
      <c r="C4078">
        <v>3296</v>
      </c>
      <c r="D4078">
        <v>0</v>
      </c>
      <c r="E4078">
        <v>26</v>
      </c>
      <c r="F4078" t="s">
        <v>47</v>
      </c>
      <c r="G4078" t="s">
        <v>100</v>
      </c>
      <c r="H4078" t="s">
        <v>46</v>
      </c>
      <c r="I4078">
        <v>10</v>
      </c>
    </row>
    <row r="4079" spans="1:9" x14ac:dyDescent="0.2">
      <c r="A4079">
        <v>19412981</v>
      </c>
      <c r="B4079">
        <v>3</v>
      </c>
      <c r="C4079">
        <v>3200</v>
      </c>
      <c r="D4079">
        <v>0</v>
      </c>
      <c r="E4079">
        <v>26</v>
      </c>
      <c r="F4079" t="s">
        <v>47</v>
      </c>
      <c r="G4079" t="s">
        <v>18</v>
      </c>
      <c r="H4079" t="s">
        <v>46</v>
      </c>
      <c r="I4079">
        <v>10</v>
      </c>
    </row>
    <row r="4080" spans="1:9" x14ac:dyDescent="0.2">
      <c r="A4080">
        <v>19412981</v>
      </c>
      <c r="B4080">
        <v>4</v>
      </c>
      <c r="C4080">
        <v>1733</v>
      </c>
      <c r="D4080">
        <v>0</v>
      </c>
      <c r="E4080">
        <v>26</v>
      </c>
      <c r="F4080" t="s">
        <v>57</v>
      </c>
      <c r="G4080" t="s">
        <v>18</v>
      </c>
      <c r="H4080" t="s">
        <v>69</v>
      </c>
      <c r="I4080">
        <v>10</v>
      </c>
    </row>
    <row r="4081" spans="1:9" x14ac:dyDescent="0.2">
      <c r="A4081">
        <v>19412981</v>
      </c>
      <c r="B4081">
        <v>5</v>
      </c>
      <c r="C4081">
        <v>3244</v>
      </c>
      <c r="D4081">
        <v>0</v>
      </c>
      <c r="E4081">
        <v>26</v>
      </c>
      <c r="F4081" t="s">
        <v>47</v>
      </c>
      <c r="G4081" t="s">
        <v>73</v>
      </c>
      <c r="H4081" t="s">
        <v>74</v>
      </c>
      <c r="I4081">
        <v>10</v>
      </c>
    </row>
    <row r="4082" spans="1:9" x14ac:dyDescent="0.2">
      <c r="A4082">
        <v>19412981</v>
      </c>
      <c r="B4082">
        <v>6</v>
      </c>
      <c r="C4082">
        <v>1765</v>
      </c>
      <c r="D4082">
        <v>0</v>
      </c>
      <c r="E4082">
        <v>26</v>
      </c>
      <c r="F4082" t="s">
        <v>57</v>
      </c>
      <c r="G4082" t="s">
        <v>68</v>
      </c>
      <c r="H4082" t="s">
        <v>69</v>
      </c>
      <c r="I4082">
        <v>10</v>
      </c>
    </row>
    <row r="4083" spans="1:9" x14ac:dyDescent="0.2">
      <c r="A4083">
        <v>19412981</v>
      </c>
      <c r="B4083">
        <v>7</v>
      </c>
      <c r="C4083">
        <v>3702</v>
      </c>
      <c r="D4083">
        <v>0</v>
      </c>
      <c r="E4083">
        <v>26</v>
      </c>
      <c r="F4083" t="s">
        <v>116</v>
      </c>
      <c r="G4083" t="s">
        <v>235</v>
      </c>
      <c r="H4083" t="s">
        <v>61</v>
      </c>
      <c r="I4083">
        <v>9</v>
      </c>
    </row>
    <row r="4084" spans="1:9" x14ac:dyDescent="0.2">
      <c r="A4084">
        <v>19412981</v>
      </c>
      <c r="B4084">
        <v>8</v>
      </c>
      <c r="C4084">
        <v>1729</v>
      </c>
      <c r="D4084">
        <v>0</v>
      </c>
      <c r="E4084">
        <v>26</v>
      </c>
      <c r="F4084" t="s">
        <v>57</v>
      </c>
      <c r="G4084" t="s">
        <v>72</v>
      </c>
      <c r="H4084" t="s">
        <v>69</v>
      </c>
      <c r="I4084">
        <v>10</v>
      </c>
    </row>
    <row r="4085" spans="1:9" x14ac:dyDescent="0.2">
      <c r="A4085">
        <v>19427793</v>
      </c>
      <c r="B4085">
        <v>1</v>
      </c>
      <c r="C4085">
        <v>3248</v>
      </c>
      <c r="D4085">
        <v>0</v>
      </c>
      <c r="E4085">
        <v>36</v>
      </c>
      <c r="F4085" t="s">
        <v>47</v>
      </c>
      <c r="G4085" t="s">
        <v>92</v>
      </c>
      <c r="H4085" t="s">
        <v>46</v>
      </c>
      <c r="I4085">
        <v>10</v>
      </c>
    </row>
    <row r="4086" spans="1:9" x14ac:dyDescent="0.2">
      <c r="A4086">
        <v>19427793</v>
      </c>
      <c r="B4086">
        <v>2</v>
      </c>
      <c r="C4086">
        <v>3251</v>
      </c>
      <c r="D4086">
        <v>0</v>
      </c>
      <c r="E4086">
        <v>36</v>
      </c>
      <c r="F4086" t="s">
        <v>47</v>
      </c>
      <c r="G4086" t="s">
        <v>48</v>
      </c>
      <c r="H4086" t="s">
        <v>46</v>
      </c>
      <c r="I4086">
        <v>10</v>
      </c>
    </row>
    <row r="4087" spans="1:9" x14ac:dyDescent="0.2">
      <c r="A4087">
        <v>19441289</v>
      </c>
      <c r="B4087">
        <v>1</v>
      </c>
      <c r="C4087">
        <v>1714</v>
      </c>
      <c r="D4087">
        <v>55810</v>
      </c>
      <c r="E4087">
        <v>25</v>
      </c>
      <c r="F4087" t="s">
        <v>57</v>
      </c>
      <c r="G4087" t="s">
        <v>95</v>
      </c>
      <c r="H4087" t="s">
        <v>69</v>
      </c>
      <c r="I4087">
        <v>10</v>
      </c>
    </row>
    <row r="4088" spans="1:9" x14ac:dyDescent="0.2">
      <c r="A4088">
        <v>19441289</v>
      </c>
      <c r="B4088">
        <v>2</v>
      </c>
      <c r="C4088">
        <v>1732</v>
      </c>
      <c r="D4088">
        <v>55425</v>
      </c>
      <c r="E4088">
        <v>25</v>
      </c>
      <c r="F4088" t="s">
        <v>57</v>
      </c>
      <c r="G4088" t="s">
        <v>104</v>
      </c>
      <c r="H4088" t="s">
        <v>69</v>
      </c>
      <c r="I4088">
        <v>10</v>
      </c>
    </row>
    <row r="4089" spans="1:9" x14ac:dyDescent="0.2">
      <c r="A4089">
        <v>19441289</v>
      </c>
      <c r="B4089">
        <v>3</v>
      </c>
      <c r="C4089">
        <v>1700</v>
      </c>
      <c r="D4089">
        <v>55360</v>
      </c>
      <c r="E4089">
        <v>24</v>
      </c>
      <c r="F4089" t="s">
        <v>57</v>
      </c>
      <c r="G4089" t="s">
        <v>58</v>
      </c>
      <c r="H4089" t="s">
        <v>69</v>
      </c>
      <c r="I4089">
        <v>10</v>
      </c>
    </row>
    <row r="4090" spans="1:9" x14ac:dyDescent="0.2">
      <c r="A4090">
        <v>19441289</v>
      </c>
      <c r="B4090">
        <v>4</v>
      </c>
      <c r="C4090">
        <v>1701</v>
      </c>
      <c r="D4090">
        <v>0</v>
      </c>
      <c r="E4090">
        <v>26</v>
      </c>
      <c r="F4090" t="s">
        <v>57</v>
      </c>
      <c r="G4090" t="s">
        <v>96</v>
      </c>
      <c r="H4090" t="s">
        <v>69</v>
      </c>
      <c r="I4090">
        <v>10</v>
      </c>
    </row>
    <row r="4091" spans="1:9" x14ac:dyDescent="0.2">
      <c r="A4091">
        <v>19442006</v>
      </c>
      <c r="B4091">
        <v>1</v>
      </c>
      <c r="C4091">
        <v>3248</v>
      </c>
      <c r="D4091">
        <v>47050</v>
      </c>
      <c r="E4091">
        <v>25</v>
      </c>
      <c r="F4091" t="s">
        <v>47</v>
      </c>
      <c r="G4091" t="s">
        <v>92</v>
      </c>
      <c r="H4091" t="s">
        <v>46</v>
      </c>
      <c r="I4091">
        <v>10</v>
      </c>
    </row>
    <row r="4092" spans="1:9" x14ac:dyDescent="0.2">
      <c r="A4092">
        <v>19442006</v>
      </c>
      <c r="B4092">
        <v>2</v>
      </c>
      <c r="C4092">
        <v>3252</v>
      </c>
      <c r="D4092">
        <v>47265</v>
      </c>
      <c r="E4092">
        <v>25</v>
      </c>
      <c r="F4092" t="s">
        <v>47</v>
      </c>
      <c r="G4092" t="s">
        <v>45</v>
      </c>
      <c r="H4092" t="s">
        <v>46</v>
      </c>
      <c r="I4092">
        <v>10</v>
      </c>
    </row>
    <row r="4093" spans="1:9" x14ac:dyDescent="0.2">
      <c r="A4093">
        <v>19450167</v>
      </c>
      <c r="B4093">
        <v>1</v>
      </c>
      <c r="C4093">
        <v>3200</v>
      </c>
      <c r="D4093">
        <v>53460</v>
      </c>
      <c r="E4093">
        <v>24</v>
      </c>
      <c r="F4093" t="s">
        <v>47</v>
      </c>
      <c r="G4093" t="s">
        <v>18</v>
      </c>
      <c r="H4093" t="s">
        <v>46</v>
      </c>
      <c r="I4093">
        <v>10</v>
      </c>
    </row>
    <row r="4094" spans="1:9" x14ac:dyDescent="0.2">
      <c r="A4094">
        <v>19450167</v>
      </c>
      <c r="B4094">
        <v>2</v>
      </c>
      <c r="C4094">
        <v>3296</v>
      </c>
      <c r="D4094">
        <v>0</v>
      </c>
      <c r="E4094">
        <v>26</v>
      </c>
      <c r="F4094" t="s">
        <v>47</v>
      </c>
      <c r="G4094" t="s">
        <v>100</v>
      </c>
      <c r="H4094" t="s">
        <v>46</v>
      </c>
      <c r="I4094">
        <v>10</v>
      </c>
    </row>
    <row r="4095" spans="1:9" x14ac:dyDescent="0.2">
      <c r="A4095">
        <v>19450167</v>
      </c>
      <c r="B4095">
        <v>3</v>
      </c>
      <c r="C4095">
        <v>3223</v>
      </c>
      <c r="D4095">
        <v>0</v>
      </c>
      <c r="E4095">
        <v>26</v>
      </c>
      <c r="F4095" t="s">
        <v>47</v>
      </c>
      <c r="G4095" t="s">
        <v>105</v>
      </c>
      <c r="H4095" t="s">
        <v>46</v>
      </c>
      <c r="I4095">
        <v>10</v>
      </c>
    </row>
    <row r="4096" spans="1:9" x14ac:dyDescent="0.2">
      <c r="A4096">
        <v>19495326</v>
      </c>
      <c r="B4096">
        <v>1</v>
      </c>
      <c r="C4096">
        <v>3212</v>
      </c>
      <c r="D4096">
        <v>55950</v>
      </c>
      <c r="E4096">
        <v>24</v>
      </c>
      <c r="F4096" t="s">
        <v>47</v>
      </c>
      <c r="G4096" t="s">
        <v>84</v>
      </c>
      <c r="H4096" t="s">
        <v>46</v>
      </c>
      <c r="I4096">
        <v>10</v>
      </c>
    </row>
    <row r="4097" spans="1:9" x14ac:dyDescent="0.2">
      <c r="A4097">
        <v>19495326</v>
      </c>
      <c r="B4097">
        <v>2</v>
      </c>
      <c r="C4097">
        <v>3211</v>
      </c>
      <c r="D4097">
        <v>0</v>
      </c>
      <c r="E4097">
        <v>26</v>
      </c>
      <c r="F4097" t="s">
        <v>47</v>
      </c>
      <c r="G4097" t="s">
        <v>99</v>
      </c>
      <c r="H4097" t="s">
        <v>46</v>
      </c>
      <c r="I4097">
        <v>10</v>
      </c>
    </row>
    <row r="4098" spans="1:9" x14ac:dyDescent="0.2">
      <c r="A4098">
        <v>19509633</v>
      </c>
      <c r="B4098">
        <v>1</v>
      </c>
      <c r="C4098">
        <v>3026</v>
      </c>
      <c r="D4098">
        <v>67620</v>
      </c>
      <c r="E4098">
        <v>25</v>
      </c>
      <c r="F4098" t="s">
        <v>44</v>
      </c>
      <c r="G4098" t="s">
        <v>170</v>
      </c>
      <c r="H4098" t="s">
        <v>50</v>
      </c>
      <c r="I4098">
        <v>9</v>
      </c>
    </row>
    <row r="4099" spans="1:9" x14ac:dyDescent="0.2">
      <c r="A4099">
        <v>19509633</v>
      </c>
      <c r="B4099">
        <v>2</v>
      </c>
      <c r="C4099">
        <v>1731</v>
      </c>
      <c r="D4099">
        <v>67230</v>
      </c>
      <c r="E4099">
        <v>25</v>
      </c>
      <c r="F4099" t="s">
        <v>57</v>
      </c>
      <c r="G4099" t="s">
        <v>172</v>
      </c>
      <c r="H4099" t="s">
        <v>69</v>
      </c>
      <c r="I4099">
        <v>10</v>
      </c>
    </row>
    <row r="4100" spans="1:9" x14ac:dyDescent="0.2">
      <c r="A4100">
        <v>19509633</v>
      </c>
      <c r="B4100">
        <v>3</v>
      </c>
      <c r="C4100">
        <v>1139</v>
      </c>
      <c r="D4100">
        <v>67230</v>
      </c>
      <c r="E4100">
        <v>25</v>
      </c>
      <c r="F4100" t="s">
        <v>17</v>
      </c>
      <c r="G4100" t="s">
        <v>391</v>
      </c>
      <c r="H4100" t="s">
        <v>16</v>
      </c>
      <c r="I4100" t="s">
        <v>448</v>
      </c>
    </row>
    <row r="4101" spans="1:9" x14ac:dyDescent="0.2">
      <c r="A4101">
        <v>19509633</v>
      </c>
      <c r="B4101">
        <v>4</v>
      </c>
      <c r="C4101">
        <v>1348</v>
      </c>
      <c r="D4101">
        <v>67090</v>
      </c>
      <c r="E4101">
        <v>24</v>
      </c>
      <c r="F4101" t="s">
        <v>21</v>
      </c>
      <c r="G4101" t="s">
        <v>164</v>
      </c>
      <c r="H4101" t="s">
        <v>20</v>
      </c>
      <c r="I4101">
        <v>8</v>
      </c>
    </row>
    <row r="4102" spans="1:9" x14ac:dyDescent="0.2">
      <c r="A4102">
        <v>19509633</v>
      </c>
      <c r="B4102">
        <v>5</v>
      </c>
      <c r="C4102">
        <v>1713</v>
      </c>
      <c r="D4102">
        <v>0</v>
      </c>
      <c r="E4102">
        <v>26</v>
      </c>
      <c r="F4102" t="s">
        <v>57</v>
      </c>
      <c r="G4102" t="s">
        <v>170</v>
      </c>
      <c r="H4102" t="s">
        <v>69</v>
      </c>
      <c r="I4102">
        <v>10</v>
      </c>
    </row>
    <row r="4103" spans="1:9" x14ac:dyDescent="0.2">
      <c r="A4103">
        <v>19509633</v>
      </c>
      <c r="B4103">
        <v>6</v>
      </c>
      <c r="C4103">
        <v>3035</v>
      </c>
      <c r="D4103">
        <v>0</v>
      </c>
      <c r="E4103">
        <v>26</v>
      </c>
      <c r="F4103" t="s">
        <v>44</v>
      </c>
      <c r="G4103" t="s">
        <v>103</v>
      </c>
      <c r="H4103" t="s">
        <v>50</v>
      </c>
      <c r="I4103">
        <v>9</v>
      </c>
    </row>
    <row r="4104" spans="1:9" x14ac:dyDescent="0.2">
      <c r="A4104">
        <v>19509633</v>
      </c>
      <c r="B4104">
        <v>7</v>
      </c>
      <c r="C4104">
        <v>1362</v>
      </c>
      <c r="D4104">
        <v>0</v>
      </c>
      <c r="E4104">
        <v>26</v>
      </c>
      <c r="F4104" t="s">
        <v>21</v>
      </c>
      <c r="G4104" t="s">
        <v>268</v>
      </c>
      <c r="H4104" t="s">
        <v>20</v>
      </c>
      <c r="I4104">
        <v>8</v>
      </c>
    </row>
    <row r="4105" spans="1:9" x14ac:dyDescent="0.2">
      <c r="A4105">
        <v>19509633</v>
      </c>
      <c r="B4105">
        <v>8</v>
      </c>
      <c r="C4105">
        <v>3033</v>
      </c>
      <c r="D4105">
        <v>0</v>
      </c>
      <c r="E4105">
        <v>26</v>
      </c>
      <c r="F4105" t="s">
        <v>44</v>
      </c>
      <c r="G4105" t="s">
        <v>122</v>
      </c>
      <c r="H4105" t="s">
        <v>50</v>
      </c>
      <c r="I4105">
        <v>9</v>
      </c>
    </row>
    <row r="4106" spans="1:9" x14ac:dyDescent="0.2">
      <c r="A4106">
        <v>19557214</v>
      </c>
      <c r="B4106">
        <v>1</v>
      </c>
      <c r="C4106">
        <v>1737</v>
      </c>
      <c r="D4106">
        <v>57795</v>
      </c>
      <c r="E4106">
        <v>24</v>
      </c>
      <c r="F4106" t="s">
        <v>57</v>
      </c>
      <c r="G4106" t="s">
        <v>54</v>
      </c>
      <c r="H4106" t="s">
        <v>79</v>
      </c>
      <c r="I4106">
        <v>10</v>
      </c>
    </row>
    <row r="4107" spans="1:9" x14ac:dyDescent="0.2">
      <c r="A4107">
        <v>19557214</v>
      </c>
      <c r="B4107">
        <v>2</v>
      </c>
      <c r="C4107">
        <v>1704</v>
      </c>
      <c r="D4107">
        <v>0</v>
      </c>
      <c r="E4107">
        <v>26</v>
      </c>
      <c r="F4107" t="s">
        <v>57</v>
      </c>
      <c r="G4107" t="s">
        <v>82</v>
      </c>
      <c r="H4107" t="s">
        <v>79</v>
      </c>
      <c r="I4107">
        <v>10</v>
      </c>
    </row>
    <row r="4108" spans="1:9" x14ac:dyDescent="0.2">
      <c r="A4108">
        <v>19557214</v>
      </c>
      <c r="B4108">
        <v>3</v>
      </c>
      <c r="C4108">
        <v>1709</v>
      </c>
      <c r="D4108">
        <v>0</v>
      </c>
      <c r="E4108">
        <v>26</v>
      </c>
      <c r="F4108" t="s">
        <v>57</v>
      </c>
      <c r="G4108" t="s">
        <v>84</v>
      </c>
      <c r="H4108" t="s">
        <v>69</v>
      </c>
      <c r="I4108">
        <v>10</v>
      </c>
    </row>
    <row r="4109" spans="1:9" x14ac:dyDescent="0.2">
      <c r="A4109">
        <v>19557214</v>
      </c>
      <c r="B4109">
        <v>4</v>
      </c>
      <c r="C4109">
        <v>3218</v>
      </c>
      <c r="D4109">
        <v>0</v>
      </c>
      <c r="E4109">
        <v>26</v>
      </c>
      <c r="F4109" t="s">
        <v>47</v>
      </c>
      <c r="G4109" t="s">
        <v>66</v>
      </c>
      <c r="H4109" t="s">
        <v>74</v>
      </c>
      <c r="I4109">
        <v>10</v>
      </c>
    </row>
    <row r="4110" spans="1:9" x14ac:dyDescent="0.2">
      <c r="A4110">
        <v>19598499</v>
      </c>
      <c r="B4110">
        <v>1</v>
      </c>
      <c r="C4110">
        <v>3200</v>
      </c>
      <c r="D4110">
        <v>57610</v>
      </c>
      <c r="E4110">
        <v>24</v>
      </c>
      <c r="F4110" t="s">
        <v>47</v>
      </c>
      <c r="G4110" t="s">
        <v>18</v>
      </c>
      <c r="H4110" t="s">
        <v>46</v>
      </c>
      <c r="I4110">
        <v>10</v>
      </c>
    </row>
    <row r="4111" spans="1:9" x14ac:dyDescent="0.2">
      <c r="A4111">
        <v>19598499</v>
      </c>
      <c r="B4111">
        <v>2</v>
      </c>
      <c r="C4111">
        <v>1733</v>
      </c>
      <c r="D4111">
        <v>0</v>
      </c>
      <c r="E4111">
        <v>26</v>
      </c>
      <c r="F4111" t="s">
        <v>57</v>
      </c>
      <c r="G4111" t="s">
        <v>18</v>
      </c>
      <c r="H4111" t="s">
        <v>69</v>
      </c>
      <c r="I4111">
        <v>10</v>
      </c>
    </row>
    <row r="4112" spans="1:9" x14ac:dyDescent="0.2">
      <c r="A4112">
        <v>19598499</v>
      </c>
      <c r="B4112">
        <v>3</v>
      </c>
      <c r="C4112">
        <v>1380</v>
      </c>
      <c r="D4112">
        <v>0</v>
      </c>
      <c r="E4112">
        <v>26</v>
      </c>
      <c r="F4112" t="s">
        <v>21</v>
      </c>
      <c r="G4112" t="s">
        <v>18</v>
      </c>
      <c r="H4112" t="s">
        <v>20</v>
      </c>
      <c r="I4112">
        <v>8</v>
      </c>
    </row>
    <row r="4113" spans="1:9" x14ac:dyDescent="0.2">
      <c r="A4113">
        <v>19598499</v>
      </c>
      <c r="B4113">
        <v>4</v>
      </c>
      <c r="C4113">
        <v>1519</v>
      </c>
      <c r="D4113">
        <v>0</v>
      </c>
      <c r="E4113">
        <v>26</v>
      </c>
      <c r="F4113" t="s">
        <v>142</v>
      </c>
      <c r="G4113" t="s">
        <v>18</v>
      </c>
      <c r="H4113" t="s">
        <v>31</v>
      </c>
      <c r="I4113">
        <v>5</v>
      </c>
    </row>
    <row r="4114" spans="1:9" x14ac:dyDescent="0.2">
      <c r="A4114">
        <v>19630849</v>
      </c>
      <c r="B4114">
        <v>1</v>
      </c>
      <c r="C4114">
        <v>3248</v>
      </c>
      <c r="D4114">
        <v>50855</v>
      </c>
      <c r="E4114">
        <v>24</v>
      </c>
      <c r="F4114" t="s">
        <v>47</v>
      </c>
      <c r="G4114" t="s">
        <v>92</v>
      </c>
      <c r="H4114" t="s">
        <v>46</v>
      </c>
      <c r="I4114">
        <v>10</v>
      </c>
    </row>
    <row r="4115" spans="1:9" x14ac:dyDescent="0.2">
      <c r="A4115">
        <v>19630849</v>
      </c>
      <c r="B4115">
        <v>2</v>
      </c>
      <c r="C4115">
        <v>3252</v>
      </c>
      <c r="D4115">
        <v>0</v>
      </c>
      <c r="E4115">
        <v>26</v>
      </c>
      <c r="F4115" t="s">
        <v>47</v>
      </c>
      <c r="G4115" t="s">
        <v>45</v>
      </c>
      <c r="H4115" t="s">
        <v>46</v>
      </c>
      <c r="I4115">
        <v>10</v>
      </c>
    </row>
    <row r="4116" spans="1:9" x14ac:dyDescent="0.2">
      <c r="A4116">
        <v>19630849</v>
      </c>
      <c r="B4116">
        <v>3</v>
      </c>
      <c r="C4116">
        <v>3246</v>
      </c>
      <c r="D4116">
        <v>0</v>
      </c>
      <c r="E4116">
        <v>26</v>
      </c>
      <c r="F4116" t="s">
        <v>47</v>
      </c>
      <c r="G4116" t="s">
        <v>91</v>
      </c>
      <c r="H4116" t="s">
        <v>74</v>
      </c>
      <c r="I4116">
        <v>10</v>
      </c>
    </row>
    <row r="4117" spans="1:9" x14ac:dyDescent="0.2">
      <c r="A4117">
        <v>19686130</v>
      </c>
      <c r="B4117">
        <v>1</v>
      </c>
      <c r="C4117">
        <v>1239</v>
      </c>
      <c r="D4117">
        <v>75190</v>
      </c>
      <c r="E4117">
        <v>24</v>
      </c>
      <c r="F4117" t="s">
        <v>19</v>
      </c>
      <c r="G4117" t="s">
        <v>160</v>
      </c>
      <c r="H4117" t="s">
        <v>16</v>
      </c>
      <c r="I4117" t="s">
        <v>448</v>
      </c>
    </row>
    <row r="4118" spans="1:9" x14ac:dyDescent="0.2">
      <c r="A4118">
        <v>19686130</v>
      </c>
      <c r="B4118">
        <v>2</v>
      </c>
      <c r="C4118">
        <v>1255</v>
      </c>
      <c r="D4118">
        <v>0</v>
      </c>
      <c r="E4118">
        <v>26</v>
      </c>
      <c r="F4118" t="s">
        <v>19</v>
      </c>
      <c r="G4118" t="s">
        <v>292</v>
      </c>
      <c r="H4118" t="s">
        <v>16</v>
      </c>
      <c r="I4118" t="s">
        <v>448</v>
      </c>
    </row>
    <row r="4119" spans="1:9" x14ac:dyDescent="0.2">
      <c r="A4119">
        <v>19686130</v>
      </c>
      <c r="B4119">
        <v>3</v>
      </c>
      <c r="C4119">
        <v>1137</v>
      </c>
      <c r="D4119">
        <v>0</v>
      </c>
      <c r="E4119">
        <v>26</v>
      </c>
      <c r="F4119" t="s">
        <v>17</v>
      </c>
      <c r="G4119" t="s">
        <v>291</v>
      </c>
      <c r="H4119" t="s">
        <v>16</v>
      </c>
      <c r="I4119" t="s">
        <v>448</v>
      </c>
    </row>
    <row r="4120" spans="1:9" x14ac:dyDescent="0.2">
      <c r="A4120">
        <v>19686130</v>
      </c>
      <c r="B4120">
        <v>4</v>
      </c>
      <c r="C4120">
        <v>1571</v>
      </c>
      <c r="D4120">
        <v>0</v>
      </c>
      <c r="E4120">
        <v>26</v>
      </c>
      <c r="F4120" t="s">
        <v>142</v>
      </c>
      <c r="G4120" t="s">
        <v>264</v>
      </c>
      <c r="H4120" t="s">
        <v>113</v>
      </c>
      <c r="I4120">
        <v>5</v>
      </c>
    </row>
    <row r="4121" spans="1:9" x14ac:dyDescent="0.2">
      <c r="A4121">
        <v>19686130</v>
      </c>
      <c r="B4121">
        <v>5</v>
      </c>
      <c r="C4121">
        <v>1691</v>
      </c>
      <c r="D4121">
        <v>0</v>
      </c>
      <c r="E4121">
        <v>26</v>
      </c>
      <c r="F4121" t="s">
        <v>128</v>
      </c>
      <c r="G4121" t="s">
        <v>170</v>
      </c>
      <c r="H4121" t="s">
        <v>127</v>
      </c>
      <c r="I4121" t="s">
        <v>448</v>
      </c>
    </row>
    <row r="4122" spans="1:9" x14ac:dyDescent="0.2">
      <c r="A4122">
        <v>19699552</v>
      </c>
      <c r="B4122">
        <v>1</v>
      </c>
      <c r="C4122">
        <v>3239</v>
      </c>
      <c r="D4122">
        <v>53670</v>
      </c>
      <c r="E4122">
        <v>24</v>
      </c>
      <c r="F4122" t="s">
        <v>47</v>
      </c>
      <c r="G4122" t="s">
        <v>107</v>
      </c>
      <c r="H4122" t="s">
        <v>46</v>
      </c>
      <c r="I4122">
        <v>10</v>
      </c>
    </row>
    <row r="4123" spans="1:9" x14ac:dyDescent="0.2">
      <c r="A4123">
        <v>19699552</v>
      </c>
      <c r="B4123">
        <v>2</v>
      </c>
      <c r="C4123">
        <v>3242</v>
      </c>
      <c r="D4123">
        <v>0</v>
      </c>
      <c r="E4123">
        <v>26</v>
      </c>
      <c r="F4123" t="s">
        <v>47</v>
      </c>
      <c r="G4123" t="s">
        <v>90</v>
      </c>
      <c r="H4123" t="s">
        <v>46</v>
      </c>
      <c r="I4123">
        <v>10</v>
      </c>
    </row>
    <row r="4124" spans="1:9" x14ac:dyDescent="0.2">
      <c r="A4124">
        <v>19699714</v>
      </c>
      <c r="B4124">
        <v>1</v>
      </c>
      <c r="C4124">
        <v>3225</v>
      </c>
      <c r="D4124">
        <v>0</v>
      </c>
      <c r="E4124">
        <v>36</v>
      </c>
      <c r="F4124" t="s">
        <v>47</v>
      </c>
      <c r="G4124" t="s">
        <v>106</v>
      </c>
      <c r="H4124" t="s">
        <v>46</v>
      </c>
      <c r="I4124">
        <v>10</v>
      </c>
    </row>
    <row r="4125" spans="1:9" x14ac:dyDescent="0.2">
      <c r="A4125">
        <v>19699714</v>
      </c>
      <c r="B4125">
        <v>2</v>
      </c>
      <c r="C4125">
        <v>3269</v>
      </c>
      <c r="D4125">
        <v>0</v>
      </c>
      <c r="E4125">
        <v>36</v>
      </c>
      <c r="F4125" t="s">
        <v>47</v>
      </c>
      <c r="G4125" t="s">
        <v>180</v>
      </c>
      <c r="H4125" t="s">
        <v>46</v>
      </c>
      <c r="I4125">
        <v>10</v>
      </c>
    </row>
    <row r="4126" spans="1:9" x14ac:dyDescent="0.2">
      <c r="A4126">
        <v>19699714</v>
      </c>
      <c r="B4126">
        <v>3</v>
      </c>
      <c r="C4126">
        <v>3226</v>
      </c>
      <c r="D4126">
        <v>0</v>
      </c>
      <c r="E4126">
        <v>36</v>
      </c>
      <c r="F4126" t="s">
        <v>47</v>
      </c>
      <c r="G4126" t="s">
        <v>96</v>
      </c>
      <c r="H4126" t="s">
        <v>46</v>
      </c>
      <c r="I4126">
        <v>10</v>
      </c>
    </row>
    <row r="4127" spans="1:9" x14ac:dyDescent="0.2">
      <c r="A4127">
        <v>19699714</v>
      </c>
      <c r="B4127">
        <v>4</v>
      </c>
      <c r="C4127">
        <v>3239</v>
      </c>
      <c r="D4127">
        <v>0</v>
      </c>
      <c r="E4127">
        <v>36</v>
      </c>
      <c r="F4127" t="s">
        <v>47</v>
      </c>
      <c r="G4127" t="s">
        <v>107</v>
      </c>
      <c r="H4127" t="s">
        <v>46</v>
      </c>
      <c r="I4127">
        <v>10</v>
      </c>
    </row>
    <row r="4128" spans="1:9" x14ac:dyDescent="0.2">
      <c r="A4128">
        <v>19716297</v>
      </c>
      <c r="B4128">
        <v>1</v>
      </c>
      <c r="C4128">
        <v>1734</v>
      </c>
      <c r="D4128">
        <v>61810</v>
      </c>
      <c r="E4128">
        <v>25</v>
      </c>
      <c r="F4128" t="s">
        <v>57</v>
      </c>
      <c r="G4128" t="s">
        <v>81</v>
      </c>
      <c r="H4128" t="s">
        <v>69</v>
      </c>
      <c r="I4128">
        <v>10</v>
      </c>
    </row>
    <row r="4129" spans="1:9" x14ac:dyDescent="0.2">
      <c r="A4129">
        <v>19716297</v>
      </c>
      <c r="B4129">
        <v>2</v>
      </c>
      <c r="C4129">
        <v>1715</v>
      </c>
      <c r="D4129">
        <v>60125</v>
      </c>
      <c r="E4129">
        <v>25</v>
      </c>
      <c r="F4129" t="s">
        <v>57</v>
      </c>
      <c r="G4129" t="s">
        <v>151</v>
      </c>
      <c r="H4129" t="s">
        <v>69</v>
      </c>
      <c r="I4129">
        <v>10</v>
      </c>
    </row>
    <row r="4130" spans="1:9" x14ac:dyDescent="0.2">
      <c r="A4130">
        <v>19716297</v>
      </c>
      <c r="B4130">
        <v>3</v>
      </c>
      <c r="C4130">
        <v>1714</v>
      </c>
      <c r="D4130">
        <v>60340</v>
      </c>
      <c r="E4130">
        <v>24</v>
      </c>
      <c r="F4130" t="s">
        <v>57</v>
      </c>
      <c r="G4130" t="s">
        <v>95</v>
      </c>
      <c r="H4130" t="s">
        <v>69</v>
      </c>
      <c r="I4130">
        <v>10</v>
      </c>
    </row>
    <row r="4131" spans="1:9" x14ac:dyDescent="0.2">
      <c r="A4131">
        <v>19716297</v>
      </c>
      <c r="B4131">
        <v>4</v>
      </c>
      <c r="C4131">
        <v>3237</v>
      </c>
      <c r="D4131">
        <v>0</v>
      </c>
      <c r="E4131">
        <v>26</v>
      </c>
      <c r="F4131" t="s">
        <v>47</v>
      </c>
      <c r="G4131" t="s">
        <v>181</v>
      </c>
      <c r="H4131" t="s">
        <v>46</v>
      </c>
      <c r="I4131">
        <v>10</v>
      </c>
    </row>
    <row r="4132" spans="1:9" x14ac:dyDescent="0.2">
      <c r="A4132">
        <v>19732221</v>
      </c>
      <c r="B4132">
        <v>1</v>
      </c>
      <c r="C4132">
        <v>1654</v>
      </c>
      <c r="D4132">
        <v>60115</v>
      </c>
      <c r="E4132">
        <v>25</v>
      </c>
      <c r="F4132" t="s">
        <v>128</v>
      </c>
      <c r="G4132" t="s">
        <v>227</v>
      </c>
      <c r="H4132" t="s">
        <v>127</v>
      </c>
      <c r="I4132" t="s">
        <v>448</v>
      </c>
    </row>
    <row r="4133" spans="1:9" x14ac:dyDescent="0.2">
      <c r="A4133">
        <v>19732221</v>
      </c>
      <c r="B4133">
        <v>2</v>
      </c>
      <c r="C4133">
        <v>1358</v>
      </c>
      <c r="D4133">
        <v>59300</v>
      </c>
      <c r="E4133">
        <v>25</v>
      </c>
      <c r="F4133" t="s">
        <v>21</v>
      </c>
      <c r="G4133" t="s">
        <v>210</v>
      </c>
      <c r="H4133" t="s">
        <v>20</v>
      </c>
      <c r="I4133">
        <v>8</v>
      </c>
    </row>
    <row r="4134" spans="1:9" x14ac:dyDescent="0.2">
      <c r="A4134">
        <v>19801508</v>
      </c>
      <c r="B4134">
        <v>1</v>
      </c>
      <c r="C4134">
        <v>3239</v>
      </c>
      <c r="D4134">
        <v>56560</v>
      </c>
      <c r="E4134">
        <v>24</v>
      </c>
      <c r="F4134" t="s">
        <v>47</v>
      </c>
      <c r="G4134" t="s">
        <v>107</v>
      </c>
      <c r="H4134" t="s">
        <v>46</v>
      </c>
      <c r="I4134">
        <v>10</v>
      </c>
    </row>
    <row r="4135" spans="1:9" x14ac:dyDescent="0.2">
      <c r="A4135">
        <v>19801508</v>
      </c>
      <c r="B4135">
        <v>2</v>
      </c>
      <c r="C4135">
        <v>3234</v>
      </c>
      <c r="D4135">
        <v>0</v>
      </c>
      <c r="E4135">
        <v>26</v>
      </c>
      <c r="F4135" t="s">
        <v>47</v>
      </c>
      <c r="G4135" t="s">
        <v>76</v>
      </c>
      <c r="H4135" t="s">
        <v>46</v>
      </c>
      <c r="I4135">
        <v>10</v>
      </c>
    </row>
    <row r="4136" spans="1:9" x14ac:dyDescent="0.2">
      <c r="A4136">
        <v>19801508</v>
      </c>
      <c r="B4136">
        <v>3</v>
      </c>
      <c r="C4136">
        <v>3261</v>
      </c>
      <c r="D4136">
        <v>0</v>
      </c>
      <c r="E4136">
        <v>26</v>
      </c>
      <c r="F4136" t="s">
        <v>47</v>
      </c>
      <c r="G4136" t="s">
        <v>93</v>
      </c>
      <c r="H4136" t="s">
        <v>46</v>
      </c>
      <c r="I4136">
        <v>10</v>
      </c>
    </row>
    <row r="4137" spans="1:9" x14ac:dyDescent="0.2">
      <c r="A4137">
        <v>19916921</v>
      </c>
      <c r="B4137">
        <v>1</v>
      </c>
      <c r="C4137">
        <v>1905</v>
      </c>
      <c r="D4137">
        <v>55465</v>
      </c>
      <c r="E4137">
        <v>25</v>
      </c>
      <c r="F4137" t="s">
        <v>32</v>
      </c>
      <c r="G4137" t="s">
        <v>275</v>
      </c>
      <c r="H4137" t="s">
        <v>113</v>
      </c>
      <c r="I4137">
        <v>5</v>
      </c>
    </row>
    <row r="4138" spans="1:9" x14ac:dyDescent="0.2">
      <c r="A4138">
        <v>19916921</v>
      </c>
      <c r="B4138">
        <v>2</v>
      </c>
      <c r="C4138">
        <v>3214</v>
      </c>
      <c r="D4138">
        <v>57250</v>
      </c>
      <c r="E4138">
        <v>24</v>
      </c>
      <c r="F4138" t="s">
        <v>47</v>
      </c>
      <c r="G4138" t="s">
        <v>98</v>
      </c>
      <c r="H4138" t="s">
        <v>74</v>
      </c>
      <c r="I4138">
        <v>10</v>
      </c>
    </row>
    <row r="4139" spans="1:9" x14ac:dyDescent="0.2">
      <c r="A4139">
        <v>19942312</v>
      </c>
      <c r="B4139">
        <v>1</v>
      </c>
      <c r="C4139">
        <v>1101</v>
      </c>
      <c r="D4139">
        <v>70170</v>
      </c>
      <c r="E4139">
        <v>24</v>
      </c>
      <c r="F4139" t="s">
        <v>17</v>
      </c>
      <c r="G4139" t="s">
        <v>15</v>
      </c>
      <c r="H4139" t="s">
        <v>16</v>
      </c>
      <c r="I4139" t="s">
        <v>448</v>
      </c>
    </row>
    <row r="4140" spans="1:9" x14ac:dyDescent="0.2">
      <c r="A4140">
        <v>19942312</v>
      </c>
      <c r="B4140">
        <v>2</v>
      </c>
      <c r="C4140">
        <v>1204</v>
      </c>
      <c r="D4140">
        <v>0</v>
      </c>
      <c r="E4140">
        <v>26</v>
      </c>
      <c r="F4140" t="s">
        <v>19</v>
      </c>
      <c r="G4140" t="s">
        <v>18</v>
      </c>
      <c r="H4140" t="s">
        <v>16</v>
      </c>
      <c r="I4140" t="s">
        <v>448</v>
      </c>
    </row>
    <row r="4141" spans="1:9" x14ac:dyDescent="0.2">
      <c r="A4141">
        <v>19942312</v>
      </c>
      <c r="B4141">
        <v>3</v>
      </c>
      <c r="C4141">
        <v>1380</v>
      </c>
      <c r="D4141">
        <v>0</v>
      </c>
      <c r="E4141">
        <v>26</v>
      </c>
      <c r="F4141" t="s">
        <v>21</v>
      </c>
      <c r="G4141" t="s">
        <v>18</v>
      </c>
      <c r="H4141" t="s">
        <v>20</v>
      </c>
      <c r="I4141">
        <v>8</v>
      </c>
    </row>
    <row r="4142" spans="1:9" x14ac:dyDescent="0.2">
      <c r="A4142">
        <v>19942312</v>
      </c>
      <c r="B4142">
        <v>4</v>
      </c>
      <c r="C4142">
        <v>1217</v>
      </c>
      <c r="D4142">
        <v>0</v>
      </c>
      <c r="E4142">
        <v>26</v>
      </c>
      <c r="F4142" t="s">
        <v>19</v>
      </c>
      <c r="G4142" t="s">
        <v>22</v>
      </c>
      <c r="H4142" t="s">
        <v>16</v>
      </c>
      <c r="I4142" t="s">
        <v>448</v>
      </c>
    </row>
    <row r="4143" spans="1:9" x14ac:dyDescent="0.2">
      <c r="A4143">
        <v>19976205</v>
      </c>
      <c r="B4143">
        <v>1</v>
      </c>
      <c r="C4143">
        <v>1155</v>
      </c>
      <c r="D4143">
        <v>67110</v>
      </c>
      <c r="E4143">
        <v>25</v>
      </c>
      <c r="F4143" t="s">
        <v>17</v>
      </c>
      <c r="G4143" t="s">
        <v>62</v>
      </c>
      <c r="H4143" t="s">
        <v>16</v>
      </c>
      <c r="I4143" t="s">
        <v>448</v>
      </c>
    </row>
    <row r="4144" spans="1:9" x14ac:dyDescent="0.2">
      <c r="A4144">
        <v>19976205</v>
      </c>
      <c r="B4144">
        <v>2</v>
      </c>
      <c r="C4144">
        <v>1221</v>
      </c>
      <c r="D4144">
        <v>67110</v>
      </c>
      <c r="E4144">
        <v>25</v>
      </c>
      <c r="F4144" t="s">
        <v>19</v>
      </c>
      <c r="G4144" t="s">
        <v>63</v>
      </c>
      <c r="H4144" t="s">
        <v>16</v>
      </c>
      <c r="I4144" t="s">
        <v>448</v>
      </c>
    </row>
    <row r="4145" spans="1:9" x14ac:dyDescent="0.2">
      <c r="A4145">
        <v>19976205</v>
      </c>
      <c r="B4145">
        <v>3</v>
      </c>
      <c r="C4145">
        <v>1430</v>
      </c>
      <c r="D4145">
        <v>66815</v>
      </c>
      <c r="E4145">
        <v>24</v>
      </c>
      <c r="F4145" t="s">
        <v>25</v>
      </c>
      <c r="G4145" t="s">
        <v>63</v>
      </c>
      <c r="H4145" t="s">
        <v>24</v>
      </c>
      <c r="I4145">
        <v>5</v>
      </c>
    </row>
    <row r="4146" spans="1:9" x14ac:dyDescent="0.2">
      <c r="A4146">
        <v>19976205</v>
      </c>
      <c r="B4146">
        <v>4</v>
      </c>
      <c r="C4146">
        <v>1930</v>
      </c>
      <c r="D4146">
        <v>0</v>
      </c>
      <c r="E4146">
        <v>26</v>
      </c>
      <c r="F4146" t="s">
        <v>32</v>
      </c>
      <c r="G4146" t="s">
        <v>63</v>
      </c>
      <c r="H4146" t="s">
        <v>31</v>
      </c>
      <c r="I4146">
        <v>5</v>
      </c>
    </row>
    <row r="4147" spans="1:9" x14ac:dyDescent="0.2">
      <c r="A4147">
        <v>19976205</v>
      </c>
      <c r="B4147">
        <v>5</v>
      </c>
      <c r="C4147">
        <v>1324</v>
      </c>
      <c r="D4147">
        <v>0</v>
      </c>
      <c r="E4147">
        <v>26</v>
      </c>
      <c r="F4147" t="s">
        <v>21</v>
      </c>
      <c r="G4147" t="s">
        <v>63</v>
      </c>
      <c r="H4147" t="s">
        <v>20</v>
      </c>
      <c r="I4147">
        <v>8</v>
      </c>
    </row>
    <row r="4148" spans="1:9" x14ac:dyDescent="0.2">
      <c r="A4148">
        <v>19976205</v>
      </c>
      <c r="B4148">
        <v>6</v>
      </c>
      <c r="C4148">
        <v>3740</v>
      </c>
      <c r="D4148">
        <v>0</v>
      </c>
      <c r="E4148">
        <v>26</v>
      </c>
      <c r="F4148" t="s">
        <v>116</v>
      </c>
      <c r="G4148" t="s">
        <v>63</v>
      </c>
      <c r="H4148" t="s">
        <v>61</v>
      </c>
      <c r="I4148">
        <v>9</v>
      </c>
    </row>
    <row r="4149" spans="1:9" x14ac:dyDescent="0.2">
      <c r="A4149">
        <v>19976205</v>
      </c>
      <c r="B4149">
        <v>7</v>
      </c>
      <c r="C4149">
        <v>1782</v>
      </c>
      <c r="D4149">
        <v>0</v>
      </c>
      <c r="E4149">
        <v>26</v>
      </c>
      <c r="F4149" t="s">
        <v>57</v>
      </c>
      <c r="G4149" t="s">
        <v>63</v>
      </c>
      <c r="H4149" t="s">
        <v>69</v>
      </c>
      <c r="I4149">
        <v>10</v>
      </c>
    </row>
    <row r="4150" spans="1:9" x14ac:dyDescent="0.2">
      <c r="A4150">
        <v>19976205</v>
      </c>
      <c r="B4150">
        <v>8</v>
      </c>
      <c r="C4150">
        <v>3234</v>
      </c>
      <c r="D4150">
        <v>0</v>
      </c>
      <c r="E4150">
        <v>26</v>
      </c>
      <c r="F4150" t="s">
        <v>47</v>
      </c>
      <c r="G4150" t="s">
        <v>76</v>
      </c>
      <c r="H4150" t="s">
        <v>46</v>
      </c>
      <c r="I4150">
        <v>10</v>
      </c>
    </row>
    <row r="4151" spans="1:9" x14ac:dyDescent="0.2">
      <c r="A4151">
        <v>19977517</v>
      </c>
      <c r="B4151">
        <v>1</v>
      </c>
      <c r="C4151">
        <v>1142</v>
      </c>
      <c r="D4151">
        <v>64490</v>
      </c>
      <c r="E4151">
        <v>25</v>
      </c>
      <c r="F4151" t="s">
        <v>17</v>
      </c>
      <c r="G4151" t="s">
        <v>114</v>
      </c>
      <c r="H4151" t="s">
        <v>16</v>
      </c>
      <c r="I4151" t="s">
        <v>448</v>
      </c>
    </row>
    <row r="4152" spans="1:9" x14ac:dyDescent="0.2">
      <c r="A4152">
        <v>19977517</v>
      </c>
      <c r="B4152">
        <v>2</v>
      </c>
      <c r="C4152">
        <v>1635</v>
      </c>
      <c r="D4152">
        <v>65125</v>
      </c>
      <c r="E4152">
        <v>24</v>
      </c>
      <c r="F4152" t="s">
        <v>128</v>
      </c>
      <c r="G4152" t="s">
        <v>84</v>
      </c>
      <c r="H4152" t="s">
        <v>127</v>
      </c>
      <c r="I4152" t="s">
        <v>448</v>
      </c>
    </row>
    <row r="4153" spans="1:9" x14ac:dyDescent="0.2">
      <c r="A4153">
        <v>19977517</v>
      </c>
      <c r="B4153">
        <v>3</v>
      </c>
      <c r="C4153">
        <v>1573</v>
      </c>
      <c r="D4153">
        <v>0</v>
      </c>
      <c r="E4153">
        <v>26</v>
      </c>
      <c r="F4153" t="s">
        <v>142</v>
      </c>
      <c r="G4153" t="s">
        <v>84</v>
      </c>
      <c r="H4153" t="s">
        <v>113</v>
      </c>
      <c r="I4153">
        <v>5</v>
      </c>
    </row>
    <row r="4154" spans="1:9" x14ac:dyDescent="0.2">
      <c r="A4154">
        <v>19977517</v>
      </c>
      <c r="B4154">
        <v>4</v>
      </c>
      <c r="C4154">
        <v>1405</v>
      </c>
      <c r="D4154">
        <v>0</v>
      </c>
      <c r="E4154">
        <v>26</v>
      </c>
      <c r="F4154" t="s">
        <v>25</v>
      </c>
      <c r="G4154" t="s">
        <v>84</v>
      </c>
      <c r="H4154" t="s">
        <v>24</v>
      </c>
      <c r="I4154">
        <v>5</v>
      </c>
    </row>
    <row r="4155" spans="1:9" x14ac:dyDescent="0.2">
      <c r="A4155">
        <v>19989573</v>
      </c>
      <c r="B4155">
        <v>1</v>
      </c>
      <c r="C4155">
        <v>3251</v>
      </c>
      <c r="D4155">
        <v>49695</v>
      </c>
      <c r="E4155">
        <v>24</v>
      </c>
      <c r="F4155" t="s">
        <v>47</v>
      </c>
      <c r="G4155" t="s">
        <v>48</v>
      </c>
      <c r="H4155" t="s">
        <v>46</v>
      </c>
      <c r="I4155">
        <v>10</v>
      </c>
    </row>
    <row r="4156" spans="1:9" x14ac:dyDescent="0.2">
      <c r="A4156">
        <v>19989573</v>
      </c>
      <c r="B4156">
        <v>2</v>
      </c>
      <c r="C4156">
        <v>3252</v>
      </c>
      <c r="D4156">
        <v>0</v>
      </c>
      <c r="E4156">
        <v>26</v>
      </c>
      <c r="F4156" t="s">
        <v>47</v>
      </c>
      <c r="G4156" t="s">
        <v>45</v>
      </c>
      <c r="H4156" t="s">
        <v>46</v>
      </c>
      <c r="I4156">
        <v>10</v>
      </c>
    </row>
    <row r="4157" spans="1:9" x14ac:dyDescent="0.2">
      <c r="A4157">
        <v>19989573</v>
      </c>
      <c r="B4157">
        <v>3</v>
      </c>
      <c r="C4157">
        <v>3248</v>
      </c>
      <c r="D4157">
        <v>0</v>
      </c>
      <c r="E4157">
        <v>26</v>
      </c>
      <c r="F4157" t="s">
        <v>47</v>
      </c>
      <c r="G4157" t="s">
        <v>92</v>
      </c>
      <c r="H4157" t="s">
        <v>46</v>
      </c>
      <c r="I4157">
        <v>10</v>
      </c>
    </row>
    <row r="4158" spans="1:9" x14ac:dyDescent="0.2">
      <c r="A4158">
        <v>19993359</v>
      </c>
      <c r="B4158">
        <v>1</v>
      </c>
      <c r="C4158">
        <v>1700</v>
      </c>
      <c r="D4158">
        <v>60530</v>
      </c>
      <c r="E4158">
        <v>24</v>
      </c>
      <c r="F4158" t="s">
        <v>57</v>
      </c>
      <c r="G4158" t="s">
        <v>58</v>
      </c>
      <c r="H4158" t="s">
        <v>69</v>
      </c>
      <c r="I4158">
        <v>10</v>
      </c>
    </row>
    <row r="4159" spans="1:9" x14ac:dyDescent="0.2">
      <c r="A4159">
        <v>19993359</v>
      </c>
      <c r="B4159">
        <v>2</v>
      </c>
      <c r="C4159">
        <v>1714</v>
      </c>
      <c r="D4159">
        <v>0</v>
      </c>
      <c r="E4159">
        <v>26</v>
      </c>
      <c r="F4159" t="s">
        <v>57</v>
      </c>
      <c r="G4159" t="s">
        <v>95</v>
      </c>
      <c r="H4159" t="s">
        <v>69</v>
      </c>
      <c r="I4159">
        <v>10</v>
      </c>
    </row>
    <row r="4160" spans="1:9" x14ac:dyDescent="0.2">
      <c r="A4160">
        <v>19993359</v>
      </c>
      <c r="B4160">
        <v>3</v>
      </c>
      <c r="C4160">
        <v>1753</v>
      </c>
      <c r="D4160">
        <v>0</v>
      </c>
      <c r="E4160">
        <v>26</v>
      </c>
      <c r="F4160" t="s">
        <v>57</v>
      </c>
      <c r="G4160" t="s">
        <v>105</v>
      </c>
      <c r="H4160" t="s">
        <v>69</v>
      </c>
      <c r="I4160">
        <v>10</v>
      </c>
    </row>
    <row r="4161" spans="1:9" x14ac:dyDescent="0.2">
      <c r="A4161">
        <v>19993359</v>
      </c>
      <c r="B4161">
        <v>4</v>
      </c>
      <c r="C4161">
        <v>1710</v>
      </c>
      <c r="D4161">
        <v>0</v>
      </c>
      <c r="E4161">
        <v>26</v>
      </c>
      <c r="F4161" t="s">
        <v>57</v>
      </c>
      <c r="G4161" t="s">
        <v>169</v>
      </c>
      <c r="H4161" t="s">
        <v>69</v>
      </c>
      <c r="I4161">
        <v>10</v>
      </c>
    </row>
    <row r="4162" spans="1:9" x14ac:dyDescent="0.2">
      <c r="A4162">
        <v>19993359</v>
      </c>
      <c r="B4162">
        <v>5</v>
      </c>
      <c r="C4162">
        <v>1740</v>
      </c>
      <c r="D4162">
        <v>0</v>
      </c>
      <c r="E4162">
        <v>26</v>
      </c>
      <c r="F4162" t="s">
        <v>57</v>
      </c>
      <c r="G4162" t="s">
        <v>209</v>
      </c>
      <c r="H4162" t="s">
        <v>79</v>
      </c>
      <c r="I4162">
        <v>10</v>
      </c>
    </row>
    <row r="4163" spans="1:9" x14ac:dyDescent="0.2">
      <c r="A4163">
        <v>19993359</v>
      </c>
      <c r="B4163">
        <v>6</v>
      </c>
      <c r="C4163">
        <v>3225</v>
      </c>
      <c r="D4163">
        <v>0</v>
      </c>
      <c r="E4163">
        <v>26</v>
      </c>
      <c r="F4163" t="s">
        <v>47</v>
      </c>
      <c r="G4163" t="s">
        <v>106</v>
      </c>
      <c r="H4163" t="s">
        <v>46</v>
      </c>
      <c r="I4163">
        <v>10</v>
      </c>
    </row>
    <row r="4164" spans="1:9" x14ac:dyDescent="0.2">
      <c r="A4164">
        <v>20020800</v>
      </c>
      <c r="B4164">
        <v>1</v>
      </c>
      <c r="C4164">
        <v>1691</v>
      </c>
      <c r="D4164">
        <v>61790</v>
      </c>
      <c r="E4164">
        <v>25</v>
      </c>
      <c r="F4164" t="s">
        <v>128</v>
      </c>
      <c r="G4164" t="s">
        <v>170</v>
      </c>
      <c r="H4164" t="s">
        <v>127</v>
      </c>
      <c r="I4164" t="s">
        <v>448</v>
      </c>
    </row>
    <row r="4165" spans="1:9" x14ac:dyDescent="0.2">
      <c r="A4165">
        <v>20020800</v>
      </c>
      <c r="B4165">
        <v>2</v>
      </c>
      <c r="C4165">
        <v>1731</v>
      </c>
      <c r="D4165">
        <v>59845</v>
      </c>
      <c r="E4165">
        <v>25</v>
      </c>
      <c r="F4165" t="s">
        <v>57</v>
      </c>
      <c r="G4165" t="s">
        <v>172</v>
      </c>
      <c r="H4165" t="s">
        <v>69</v>
      </c>
      <c r="I4165">
        <v>10</v>
      </c>
    </row>
    <row r="4166" spans="1:9" x14ac:dyDescent="0.2">
      <c r="A4166">
        <v>20020800</v>
      </c>
      <c r="B4166">
        <v>3</v>
      </c>
      <c r="C4166">
        <v>1713</v>
      </c>
      <c r="D4166">
        <v>59845</v>
      </c>
      <c r="E4166">
        <v>25</v>
      </c>
      <c r="F4166" t="s">
        <v>57</v>
      </c>
      <c r="G4166" t="s">
        <v>170</v>
      </c>
      <c r="H4166" t="s">
        <v>69</v>
      </c>
      <c r="I4166">
        <v>10</v>
      </c>
    </row>
    <row r="4167" spans="1:9" x14ac:dyDescent="0.2">
      <c r="A4167">
        <v>20020800</v>
      </c>
      <c r="B4167">
        <v>4</v>
      </c>
      <c r="C4167">
        <v>3620</v>
      </c>
      <c r="D4167">
        <v>0</v>
      </c>
      <c r="E4167">
        <v>17</v>
      </c>
      <c r="F4167" t="s">
        <v>108</v>
      </c>
      <c r="G4167" t="s">
        <v>170</v>
      </c>
      <c r="H4167" t="s">
        <v>20</v>
      </c>
      <c r="I4167">
        <v>8</v>
      </c>
    </row>
    <row r="4168" spans="1:9" x14ac:dyDescent="0.2">
      <c r="A4168">
        <v>20020800</v>
      </c>
      <c r="B4168">
        <v>5</v>
      </c>
      <c r="C4168">
        <v>3505</v>
      </c>
      <c r="D4168">
        <v>59630</v>
      </c>
      <c r="E4168">
        <v>25</v>
      </c>
      <c r="F4168" t="s">
        <v>234</v>
      </c>
      <c r="G4168" t="s">
        <v>170</v>
      </c>
      <c r="H4168" t="s">
        <v>35</v>
      </c>
      <c r="I4168">
        <v>7</v>
      </c>
    </row>
    <row r="4169" spans="1:9" x14ac:dyDescent="0.2">
      <c r="A4169">
        <v>20020800</v>
      </c>
      <c r="B4169">
        <v>6</v>
      </c>
      <c r="C4169">
        <v>1386</v>
      </c>
      <c r="D4169">
        <v>59660</v>
      </c>
      <c r="E4169">
        <v>25</v>
      </c>
      <c r="F4169" t="s">
        <v>21</v>
      </c>
      <c r="G4169" t="s">
        <v>170</v>
      </c>
      <c r="H4169" t="s">
        <v>20</v>
      </c>
      <c r="I4169">
        <v>8</v>
      </c>
    </row>
    <row r="4170" spans="1:9" x14ac:dyDescent="0.2">
      <c r="A4170">
        <v>20020800</v>
      </c>
      <c r="B4170">
        <v>7</v>
      </c>
      <c r="C4170">
        <v>2447</v>
      </c>
      <c r="D4170">
        <v>58495</v>
      </c>
      <c r="E4170">
        <v>25</v>
      </c>
      <c r="F4170" t="s">
        <v>42</v>
      </c>
      <c r="G4170" t="s">
        <v>170</v>
      </c>
      <c r="H4170" t="s">
        <v>220</v>
      </c>
      <c r="I4170">
        <v>2</v>
      </c>
    </row>
    <row r="4171" spans="1:9" x14ac:dyDescent="0.2">
      <c r="A4171">
        <v>20120829</v>
      </c>
      <c r="B4171">
        <v>1</v>
      </c>
      <c r="C4171">
        <v>3620</v>
      </c>
      <c r="D4171">
        <v>71500</v>
      </c>
      <c r="E4171">
        <v>25</v>
      </c>
      <c r="F4171" t="s">
        <v>108</v>
      </c>
      <c r="G4171" t="s">
        <v>170</v>
      </c>
      <c r="H4171" t="s">
        <v>20</v>
      </c>
      <c r="I4171">
        <v>8</v>
      </c>
    </row>
    <row r="4172" spans="1:9" x14ac:dyDescent="0.2">
      <c r="A4172">
        <v>20120829</v>
      </c>
      <c r="B4172">
        <v>2</v>
      </c>
      <c r="C4172">
        <v>3026</v>
      </c>
      <c r="D4172">
        <v>71630</v>
      </c>
      <c r="E4172">
        <v>25</v>
      </c>
      <c r="F4172" t="s">
        <v>44</v>
      </c>
      <c r="G4172" t="s">
        <v>170</v>
      </c>
      <c r="H4172" t="s">
        <v>50</v>
      </c>
      <c r="I4172">
        <v>9</v>
      </c>
    </row>
    <row r="4173" spans="1:9" x14ac:dyDescent="0.2">
      <c r="A4173">
        <v>20120829</v>
      </c>
      <c r="B4173">
        <v>3</v>
      </c>
      <c r="C4173">
        <v>1731</v>
      </c>
      <c r="D4173">
        <v>71480</v>
      </c>
      <c r="E4173">
        <v>25</v>
      </c>
      <c r="F4173" t="s">
        <v>57</v>
      </c>
      <c r="G4173" t="s">
        <v>172</v>
      </c>
      <c r="H4173" t="s">
        <v>69</v>
      </c>
      <c r="I4173">
        <v>10</v>
      </c>
    </row>
    <row r="4174" spans="1:9" x14ac:dyDescent="0.2">
      <c r="A4174">
        <v>20120829</v>
      </c>
      <c r="B4174">
        <v>4</v>
      </c>
      <c r="C4174">
        <v>3505</v>
      </c>
      <c r="D4174">
        <v>71500</v>
      </c>
      <c r="E4174">
        <v>25</v>
      </c>
      <c r="F4174" t="s">
        <v>234</v>
      </c>
      <c r="G4174" t="s">
        <v>170</v>
      </c>
      <c r="H4174" t="s">
        <v>35</v>
      </c>
      <c r="I4174">
        <v>7</v>
      </c>
    </row>
    <row r="4175" spans="1:9" x14ac:dyDescent="0.2">
      <c r="A4175">
        <v>20120829</v>
      </c>
      <c r="B4175">
        <v>5</v>
      </c>
      <c r="C4175">
        <v>1939</v>
      </c>
      <c r="D4175">
        <v>71730</v>
      </c>
      <c r="E4175">
        <v>25</v>
      </c>
      <c r="F4175" t="s">
        <v>32</v>
      </c>
      <c r="G4175" t="s">
        <v>170</v>
      </c>
      <c r="H4175" t="s">
        <v>239</v>
      </c>
      <c r="I4175">
        <v>5</v>
      </c>
    </row>
    <row r="4176" spans="1:9" x14ac:dyDescent="0.2">
      <c r="A4176">
        <v>20120829</v>
      </c>
      <c r="B4176">
        <v>6</v>
      </c>
      <c r="C4176">
        <v>1713</v>
      </c>
      <c r="D4176">
        <v>71480</v>
      </c>
      <c r="E4176">
        <v>25</v>
      </c>
      <c r="F4176" t="s">
        <v>57</v>
      </c>
      <c r="G4176" t="s">
        <v>170</v>
      </c>
      <c r="H4176" t="s">
        <v>69</v>
      </c>
      <c r="I4176">
        <v>10</v>
      </c>
    </row>
    <row r="4177" spans="1:9" x14ac:dyDescent="0.2">
      <c r="A4177">
        <v>20120829</v>
      </c>
      <c r="B4177">
        <v>7</v>
      </c>
      <c r="C4177">
        <v>1391</v>
      </c>
      <c r="D4177">
        <v>71565</v>
      </c>
      <c r="E4177">
        <v>24</v>
      </c>
      <c r="F4177" t="s">
        <v>21</v>
      </c>
      <c r="G4177" t="s">
        <v>122</v>
      </c>
      <c r="H4177" t="s">
        <v>20</v>
      </c>
      <c r="I4177">
        <v>8</v>
      </c>
    </row>
    <row r="4178" spans="1:9" x14ac:dyDescent="0.2">
      <c r="A4178">
        <v>20120829</v>
      </c>
      <c r="B4178">
        <v>8</v>
      </c>
      <c r="C4178">
        <v>1950</v>
      </c>
      <c r="D4178">
        <v>0</v>
      </c>
      <c r="E4178">
        <v>26</v>
      </c>
      <c r="F4178" t="s">
        <v>32</v>
      </c>
      <c r="G4178" t="s">
        <v>122</v>
      </c>
      <c r="H4178" t="s">
        <v>31</v>
      </c>
      <c r="I4178">
        <v>5</v>
      </c>
    </row>
    <row r="4179" spans="1:9" x14ac:dyDescent="0.2">
      <c r="A4179">
        <v>20133002</v>
      </c>
      <c r="B4179">
        <v>1</v>
      </c>
      <c r="C4179">
        <v>1258</v>
      </c>
      <c r="D4179">
        <v>69210</v>
      </c>
      <c r="E4179">
        <v>25</v>
      </c>
      <c r="F4179" t="s">
        <v>19</v>
      </c>
      <c r="G4179" t="s">
        <v>170</v>
      </c>
      <c r="H4179" t="s">
        <v>16</v>
      </c>
      <c r="I4179" t="s">
        <v>448</v>
      </c>
    </row>
    <row r="4180" spans="1:9" x14ac:dyDescent="0.2">
      <c r="A4180">
        <v>20133002</v>
      </c>
      <c r="B4180">
        <v>2</v>
      </c>
      <c r="C4180">
        <v>1183</v>
      </c>
      <c r="D4180">
        <v>69075</v>
      </c>
      <c r="E4180">
        <v>25</v>
      </c>
      <c r="F4180" t="s">
        <v>17</v>
      </c>
      <c r="G4180" t="s">
        <v>171</v>
      </c>
      <c r="H4180" t="s">
        <v>16</v>
      </c>
      <c r="I4180" t="s">
        <v>448</v>
      </c>
    </row>
    <row r="4181" spans="1:9" x14ac:dyDescent="0.2">
      <c r="A4181">
        <v>20133002</v>
      </c>
      <c r="B4181">
        <v>3</v>
      </c>
      <c r="C4181">
        <v>1691</v>
      </c>
      <c r="D4181">
        <v>69570</v>
      </c>
      <c r="E4181">
        <v>25</v>
      </c>
      <c r="F4181" t="s">
        <v>128</v>
      </c>
      <c r="G4181" t="s">
        <v>170</v>
      </c>
      <c r="H4181" t="s">
        <v>127</v>
      </c>
      <c r="I4181" t="s">
        <v>448</v>
      </c>
    </row>
    <row r="4182" spans="1:9" x14ac:dyDescent="0.2">
      <c r="A4182">
        <v>20133002</v>
      </c>
      <c r="B4182">
        <v>4</v>
      </c>
      <c r="C4182">
        <v>1713</v>
      </c>
      <c r="D4182">
        <v>69145</v>
      </c>
      <c r="E4182">
        <v>25</v>
      </c>
      <c r="F4182" t="s">
        <v>57</v>
      </c>
      <c r="G4182" t="s">
        <v>170</v>
      </c>
      <c r="H4182" t="s">
        <v>69</v>
      </c>
      <c r="I4182">
        <v>10</v>
      </c>
    </row>
    <row r="4183" spans="1:9" x14ac:dyDescent="0.2">
      <c r="A4183">
        <v>20133002</v>
      </c>
      <c r="B4183">
        <v>5</v>
      </c>
      <c r="C4183">
        <v>1232</v>
      </c>
      <c r="D4183">
        <v>0</v>
      </c>
      <c r="E4183">
        <v>16</v>
      </c>
      <c r="F4183" t="s">
        <v>19</v>
      </c>
      <c r="G4183" t="s">
        <v>415</v>
      </c>
      <c r="H4183" t="s">
        <v>16</v>
      </c>
      <c r="I4183" t="s">
        <v>448</v>
      </c>
    </row>
    <row r="4184" spans="1:9" x14ac:dyDescent="0.2">
      <c r="A4184">
        <v>20150373</v>
      </c>
      <c r="B4184">
        <v>1</v>
      </c>
      <c r="C4184">
        <v>1206</v>
      </c>
      <c r="D4184">
        <v>59725</v>
      </c>
      <c r="E4184">
        <v>25</v>
      </c>
      <c r="F4184" t="s">
        <v>19</v>
      </c>
      <c r="G4184" t="s">
        <v>370</v>
      </c>
      <c r="H4184" t="s">
        <v>16</v>
      </c>
      <c r="I4184" t="s">
        <v>448</v>
      </c>
    </row>
    <row r="4185" spans="1:9" x14ac:dyDescent="0.2">
      <c r="A4185">
        <v>20165197</v>
      </c>
      <c r="B4185">
        <v>1</v>
      </c>
      <c r="C4185">
        <v>1732</v>
      </c>
      <c r="D4185">
        <v>58880</v>
      </c>
      <c r="E4185">
        <v>25</v>
      </c>
      <c r="F4185" t="s">
        <v>57</v>
      </c>
      <c r="G4185" t="s">
        <v>104</v>
      </c>
      <c r="H4185" t="s">
        <v>69</v>
      </c>
      <c r="I4185">
        <v>10</v>
      </c>
    </row>
    <row r="4186" spans="1:9" x14ac:dyDescent="0.2">
      <c r="A4186">
        <v>20165197</v>
      </c>
      <c r="B4186">
        <v>2</v>
      </c>
      <c r="C4186">
        <v>1705</v>
      </c>
      <c r="D4186">
        <v>59240</v>
      </c>
      <c r="E4186">
        <v>25</v>
      </c>
      <c r="F4186" t="s">
        <v>57</v>
      </c>
      <c r="G4186" t="s">
        <v>102</v>
      </c>
      <c r="H4186" t="s">
        <v>69</v>
      </c>
      <c r="I4186">
        <v>10</v>
      </c>
    </row>
    <row r="4187" spans="1:9" x14ac:dyDescent="0.2">
      <c r="A4187">
        <v>20165197</v>
      </c>
      <c r="B4187">
        <v>3</v>
      </c>
      <c r="C4187">
        <v>3020</v>
      </c>
      <c r="D4187">
        <v>59240</v>
      </c>
      <c r="E4187">
        <v>25</v>
      </c>
      <c r="F4187" t="s">
        <v>44</v>
      </c>
      <c r="G4187" t="s">
        <v>102</v>
      </c>
      <c r="H4187" t="s">
        <v>50</v>
      </c>
      <c r="I4187">
        <v>9</v>
      </c>
    </row>
    <row r="4188" spans="1:9" x14ac:dyDescent="0.2">
      <c r="A4188">
        <v>20165197</v>
      </c>
      <c r="B4188">
        <v>4</v>
      </c>
      <c r="C4188">
        <v>1777</v>
      </c>
      <c r="D4188">
        <v>59800</v>
      </c>
      <c r="E4188">
        <v>25</v>
      </c>
      <c r="F4188" t="s">
        <v>57</v>
      </c>
      <c r="G4188" t="s">
        <v>88</v>
      </c>
      <c r="H4188" t="s">
        <v>69</v>
      </c>
      <c r="I4188">
        <v>10</v>
      </c>
    </row>
    <row r="4189" spans="1:9" x14ac:dyDescent="0.2">
      <c r="A4189">
        <v>20165197</v>
      </c>
      <c r="B4189">
        <v>5</v>
      </c>
      <c r="C4189">
        <v>1387</v>
      </c>
      <c r="D4189">
        <v>58810</v>
      </c>
      <c r="E4189">
        <v>25</v>
      </c>
      <c r="F4189" t="s">
        <v>21</v>
      </c>
      <c r="G4189" t="s">
        <v>102</v>
      </c>
      <c r="H4189" t="s">
        <v>20</v>
      </c>
      <c r="I4189">
        <v>8</v>
      </c>
    </row>
    <row r="4190" spans="1:9" x14ac:dyDescent="0.2">
      <c r="A4190">
        <v>20165197</v>
      </c>
      <c r="B4190">
        <v>6</v>
      </c>
      <c r="C4190">
        <v>2693</v>
      </c>
      <c r="D4190">
        <v>60240</v>
      </c>
      <c r="E4190">
        <v>24</v>
      </c>
      <c r="F4190" t="s">
        <v>71</v>
      </c>
      <c r="G4190" t="s">
        <v>208</v>
      </c>
      <c r="H4190" t="s">
        <v>24</v>
      </c>
      <c r="I4190">
        <v>5</v>
      </c>
    </row>
    <row r="4191" spans="1:9" x14ac:dyDescent="0.2">
      <c r="A4191">
        <v>20165197</v>
      </c>
      <c r="B4191">
        <v>7</v>
      </c>
      <c r="C4191">
        <v>3324</v>
      </c>
      <c r="D4191">
        <v>0</v>
      </c>
      <c r="E4191">
        <v>26</v>
      </c>
      <c r="F4191" t="s">
        <v>207</v>
      </c>
      <c r="G4191" t="s">
        <v>104</v>
      </c>
      <c r="H4191" t="s">
        <v>206</v>
      </c>
      <c r="I4191">
        <v>12</v>
      </c>
    </row>
    <row r="4192" spans="1:9" x14ac:dyDescent="0.2">
      <c r="A4192">
        <v>20165197</v>
      </c>
      <c r="B4192">
        <v>8</v>
      </c>
      <c r="C4192">
        <v>3621</v>
      </c>
      <c r="D4192">
        <v>0</v>
      </c>
      <c r="E4192">
        <v>26</v>
      </c>
      <c r="F4192" t="s">
        <v>108</v>
      </c>
      <c r="G4192" t="s">
        <v>102</v>
      </c>
      <c r="H4192" t="s">
        <v>20</v>
      </c>
      <c r="I4192">
        <v>8</v>
      </c>
    </row>
    <row r="4193" spans="1:9" x14ac:dyDescent="0.2">
      <c r="A4193">
        <v>20222362</v>
      </c>
      <c r="B4193">
        <v>1</v>
      </c>
      <c r="C4193">
        <v>3085</v>
      </c>
      <c r="D4193">
        <v>61980</v>
      </c>
      <c r="E4193">
        <v>24</v>
      </c>
      <c r="F4193" t="s">
        <v>44</v>
      </c>
      <c r="G4193" t="s">
        <v>84</v>
      </c>
      <c r="H4193" t="s">
        <v>55</v>
      </c>
      <c r="I4193">
        <v>9</v>
      </c>
    </row>
    <row r="4194" spans="1:9" x14ac:dyDescent="0.2">
      <c r="A4194">
        <v>20222362</v>
      </c>
      <c r="B4194">
        <v>2</v>
      </c>
      <c r="C4194">
        <v>3740</v>
      </c>
      <c r="D4194">
        <v>0</v>
      </c>
      <c r="E4194">
        <v>26</v>
      </c>
      <c r="F4194" t="s">
        <v>116</v>
      </c>
      <c r="G4194" t="s">
        <v>63</v>
      </c>
      <c r="H4194" t="s">
        <v>61</v>
      </c>
      <c r="I4194">
        <v>9</v>
      </c>
    </row>
    <row r="4195" spans="1:9" x14ac:dyDescent="0.2">
      <c r="A4195">
        <v>20222362</v>
      </c>
      <c r="B4195">
        <v>3</v>
      </c>
      <c r="C4195">
        <v>3212</v>
      </c>
      <c r="D4195">
        <v>0</v>
      </c>
      <c r="E4195">
        <v>26</v>
      </c>
      <c r="F4195" t="s">
        <v>47</v>
      </c>
      <c r="G4195" t="s">
        <v>84</v>
      </c>
      <c r="H4195" t="s">
        <v>46</v>
      </c>
      <c r="I4195">
        <v>10</v>
      </c>
    </row>
    <row r="4196" spans="1:9" x14ac:dyDescent="0.2">
      <c r="A4196">
        <v>20232565</v>
      </c>
      <c r="B4196">
        <v>1</v>
      </c>
      <c r="C4196">
        <v>3226</v>
      </c>
      <c r="D4196">
        <v>48545</v>
      </c>
      <c r="E4196">
        <v>24</v>
      </c>
      <c r="F4196" t="s">
        <v>47</v>
      </c>
      <c r="G4196" t="s">
        <v>96</v>
      </c>
      <c r="H4196" t="s">
        <v>46</v>
      </c>
      <c r="I4196">
        <v>10</v>
      </c>
    </row>
    <row r="4197" spans="1:9" x14ac:dyDescent="0.2">
      <c r="A4197">
        <v>20232565</v>
      </c>
      <c r="B4197">
        <v>2</v>
      </c>
      <c r="C4197">
        <v>3225</v>
      </c>
      <c r="D4197">
        <v>0</v>
      </c>
      <c r="E4197">
        <v>26</v>
      </c>
      <c r="F4197" t="s">
        <v>47</v>
      </c>
      <c r="G4197" t="s">
        <v>106</v>
      </c>
      <c r="H4197" t="s">
        <v>46</v>
      </c>
      <c r="I4197">
        <v>10</v>
      </c>
    </row>
    <row r="4198" spans="1:9" x14ac:dyDescent="0.2">
      <c r="A4198">
        <v>20232565</v>
      </c>
      <c r="B4198">
        <v>3</v>
      </c>
      <c r="C4198">
        <v>3218</v>
      </c>
      <c r="D4198">
        <v>0</v>
      </c>
      <c r="E4198">
        <v>26</v>
      </c>
      <c r="F4198" t="s">
        <v>47</v>
      </c>
      <c r="G4198" t="s">
        <v>66</v>
      </c>
      <c r="H4198" t="s">
        <v>74</v>
      </c>
      <c r="I4198">
        <v>10</v>
      </c>
    </row>
    <row r="4199" spans="1:9" x14ac:dyDescent="0.2">
      <c r="A4199">
        <v>20232565</v>
      </c>
      <c r="B4199">
        <v>4</v>
      </c>
      <c r="C4199">
        <v>3200</v>
      </c>
      <c r="D4199">
        <v>0</v>
      </c>
      <c r="E4199">
        <v>26</v>
      </c>
      <c r="F4199" t="s">
        <v>47</v>
      </c>
      <c r="G4199" t="s">
        <v>18</v>
      </c>
      <c r="H4199" t="s">
        <v>46</v>
      </c>
      <c r="I4199">
        <v>10</v>
      </c>
    </row>
    <row r="4200" spans="1:9" x14ac:dyDescent="0.2">
      <c r="A4200">
        <v>20232565</v>
      </c>
      <c r="B4200">
        <v>5</v>
      </c>
      <c r="C4200">
        <v>1730</v>
      </c>
      <c r="D4200">
        <v>0</v>
      </c>
      <c r="E4200">
        <v>26</v>
      </c>
      <c r="F4200" t="s">
        <v>57</v>
      </c>
      <c r="G4200" t="s">
        <v>83</v>
      </c>
      <c r="H4200" t="s">
        <v>79</v>
      </c>
      <c r="I4200">
        <v>10</v>
      </c>
    </row>
    <row r="4201" spans="1:9" x14ac:dyDescent="0.2">
      <c r="A4201">
        <v>20232565</v>
      </c>
      <c r="B4201">
        <v>6</v>
      </c>
      <c r="C4201">
        <v>1704</v>
      </c>
      <c r="D4201">
        <v>0</v>
      </c>
      <c r="E4201">
        <v>26</v>
      </c>
      <c r="F4201" t="s">
        <v>57</v>
      </c>
      <c r="G4201" t="s">
        <v>82</v>
      </c>
      <c r="H4201" t="s">
        <v>79</v>
      </c>
      <c r="I4201">
        <v>10</v>
      </c>
    </row>
    <row r="4202" spans="1:9" x14ac:dyDescent="0.2">
      <c r="A4202">
        <v>20232565</v>
      </c>
      <c r="B4202">
        <v>7</v>
      </c>
      <c r="C4202">
        <v>1740</v>
      </c>
      <c r="D4202">
        <v>0</v>
      </c>
      <c r="E4202">
        <v>26</v>
      </c>
      <c r="F4202" t="s">
        <v>57</v>
      </c>
      <c r="G4202" t="s">
        <v>209</v>
      </c>
      <c r="H4202" t="s">
        <v>79</v>
      </c>
      <c r="I4202">
        <v>10</v>
      </c>
    </row>
    <row r="4203" spans="1:9" x14ac:dyDescent="0.2">
      <c r="A4203">
        <v>20232565</v>
      </c>
      <c r="B4203">
        <v>8</v>
      </c>
      <c r="C4203">
        <v>2462</v>
      </c>
      <c r="D4203">
        <v>0</v>
      </c>
      <c r="E4203">
        <v>26</v>
      </c>
      <c r="F4203" t="s">
        <v>42</v>
      </c>
      <c r="G4203" t="s">
        <v>40</v>
      </c>
      <c r="H4203" t="s">
        <v>41</v>
      </c>
      <c r="I4203">
        <v>2</v>
      </c>
    </row>
    <row r="4204" spans="1:9" x14ac:dyDescent="0.2">
      <c r="A4204">
        <v>20234042</v>
      </c>
      <c r="B4204">
        <v>1</v>
      </c>
      <c r="C4204">
        <v>1145</v>
      </c>
      <c r="D4204">
        <v>81870</v>
      </c>
      <c r="E4204">
        <v>24</v>
      </c>
      <c r="F4204" t="s">
        <v>17</v>
      </c>
      <c r="G4204" t="s">
        <v>159</v>
      </c>
      <c r="H4204" t="s">
        <v>16</v>
      </c>
      <c r="I4204" t="s">
        <v>448</v>
      </c>
    </row>
    <row r="4205" spans="1:9" x14ac:dyDescent="0.2">
      <c r="A4205">
        <v>20234042</v>
      </c>
      <c r="B4205">
        <v>2</v>
      </c>
      <c r="C4205">
        <v>1239</v>
      </c>
      <c r="D4205">
        <v>0</v>
      </c>
      <c r="E4205">
        <v>26</v>
      </c>
      <c r="F4205" t="s">
        <v>19</v>
      </c>
      <c r="G4205" t="s">
        <v>160</v>
      </c>
      <c r="H4205" t="s">
        <v>16</v>
      </c>
      <c r="I4205" t="s">
        <v>448</v>
      </c>
    </row>
    <row r="4206" spans="1:9" x14ac:dyDescent="0.2">
      <c r="A4206">
        <v>20235705</v>
      </c>
      <c r="B4206">
        <v>1</v>
      </c>
      <c r="C4206">
        <v>1221</v>
      </c>
      <c r="D4206">
        <v>62260</v>
      </c>
      <c r="E4206">
        <v>25</v>
      </c>
      <c r="F4206" t="s">
        <v>19</v>
      </c>
      <c r="G4206" t="s">
        <v>63</v>
      </c>
      <c r="H4206" t="s">
        <v>16</v>
      </c>
      <c r="I4206" t="s">
        <v>448</v>
      </c>
    </row>
    <row r="4207" spans="1:9" x14ac:dyDescent="0.2">
      <c r="A4207">
        <v>20235705</v>
      </c>
      <c r="B4207">
        <v>2</v>
      </c>
      <c r="C4207">
        <v>1155</v>
      </c>
      <c r="D4207">
        <v>62260</v>
      </c>
      <c r="E4207">
        <v>25</v>
      </c>
      <c r="F4207" t="s">
        <v>17</v>
      </c>
      <c r="G4207" t="s">
        <v>62</v>
      </c>
      <c r="H4207" t="s">
        <v>16</v>
      </c>
      <c r="I4207" t="s">
        <v>448</v>
      </c>
    </row>
    <row r="4208" spans="1:9" x14ac:dyDescent="0.2">
      <c r="A4208">
        <v>20235705</v>
      </c>
      <c r="B4208">
        <v>3</v>
      </c>
      <c r="C4208">
        <v>1160</v>
      </c>
      <c r="D4208">
        <v>62690</v>
      </c>
      <c r="E4208">
        <v>25</v>
      </c>
      <c r="F4208" t="s">
        <v>17</v>
      </c>
      <c r="G4208" t="s">
        <v>355</v>
      </c>
      <c r="H4208" t="s">
        <v>16</v>
      </c>
      <c r="I4208" t="s">
        <v>448</v>
      </c>
    </row>
    <row r="4209" spans="1:9" x14ac:dyDescent="0.2">
      <c r="A4209">
        <v>20235705</v>
      </c>
      <c r="B4209">
        <v>4</v>
      </c>
      <c r="C4209">
        <v>1430</v>
      </c>
      <c r="D4209">
        <v>60625</v>
      </c>
      <c r="E4209">
        <v>25</v>
      </c>
      <c r="F4209" t="s">
        <v>25</v>
      </c>
      <c r="G4209" t="s">
        <v>63</v>
      </c>
      <c r="H4209" t="s">
        <v>24</v>
      </c>
      <c r="I4209">
        <v>5</v>
      </c>
    </row>
    <row r="4210" spans="1:9" x14ac:dyDescent="0.2">
      <c r="A4210">
        <v>20237254</v>
      </c>
      <c r="B4210">
        <v>1</v>
      </c>
      <c r="C4210">
        <v>1779</v>
      </c>
      <c r="D4210">
        <v>53770</v>
      </c>
      <c r="E4210">
        <v>24</v>
      </c>
      <c r="F4210" t="s">
        <v>57</v>
      </c>
      <c r="G4210" t="s">
        <v>162</v>
      </c>
      <c r="H4210" t="s">
        <v>79</v>
      </c>
      <c r="I4210">
        <v>10</v>
      </c>
    </row>
    <row r="4211" spans="1:9" x14ac:dyDescent="0.2">
      <c r="A4211">
        <v>20237254</v>
      </c>
      <c r="B4211">
        <v>2</v>
      </c>
      <c r="C4211">
        <v>1736</v>
      </c>
      <c r="D4211">
        <v>0</v>
      </c>
      <c r="E4211">
        <v>26</v>
      </c>
      <c r="F4211" t="s">
        <v>57</v>
      </c>
      <c r="G4211" t="s">
        <v>78</v>
      </c>
      <c r="H4211" t="s">
        <v>79</v>
      </c>
      <c r="I4211">
        <v>10</v>
      </c>
    </row>
    <row r="4212" spans="1:9" x14ac:dyDescent="0.2">
      <c r="A4212">
        <v>20237254</v>
      </c>
      <c r="B4212">
        <v>3</v>
      </c>
      <c r="C4212">
        <v>3225</v>
      </c>
      <c r="D4212">
        <v>0</v>
      </c>
      <c r="E4212">
        <v>26</v>
      </c>
      <c r="F4212" t="s">
        <v>47</v>
      </c>
      <c r="G4212" t="s">
        <v>106</v>
      </c>
      <c r="H4212" t="s">
        <v>46</v>
      </c>
      <c r="I4212">
        <v>10</v>
      </c>
    </row>
    <row r="4213" spans="1:9" x14ac:dyDescent="0.2">
      <c r="A4213">
        <v>20237254</v>
      </c>
      <c r="B4213">
        <v>4</v>
      </c>
      <c r="C4213">
        <v>1758</v>
      </c>
      <c r="D4213">
        <v>0</v>
      </c>
      <c r="E4213">
        <v>26</v>
      </c>
      <c r="F4213" t="s">
        <v>57</v>
      </c>
      <c r="G4213" t="s">
        <v>106</v>
      </c>
      <c r="H4213" t="s">
        <v>56</v>
      </c>
      <c r="I4213">
        <v>10</v>
      </c>
    </row>
    <row r="4214" spans="1:9" x14ac:dyDescent="0.2">
      <c r="A4214">
        <v>20237254</v>
      </c>
      <c r="B4214">
        <v>5</v>
      </c>
      <c r="C4214">
        <v>2926</v>
      </c>
      <c r="D4214">
        <v>0</v>
      </c>
      <c r="E4214">
        <v>26</v>
      </c>
      <c r="F4214" t="s">
        <v>119</v>
      </c>
      <c r="G4214" t="s">
        <v>162</v>
      </c>
      <c r="H4214" t="s">
        <v>20</v>
      </c>
      <c r="I4214">
        <v>8</v>
      </c>
    </row>
    <row r="4215" spans="1:9" x14ac:dyDescent="0.2">
      <c r="A4215">
        <v>20237254</v>
      </c>
      <c r="B4215">
        <v>6</v>
      </c>
      <c r="C4215">
        <v>2920</v>
      </c>
      <c r="D4215">
        <v>0</v>
      </c>
      <c r="E4215">
        <v>26</v>
      </c>
      <c r="F4215" t="s">
        <v>119</v>
      </c>
      <c r="G4215" t="s">
        <v>67</v>
      </c>
      <c r="H4215" t="s">
        <v>20</v>
      </c>
      <c r="I4215">
        <v>8</v>
      </c>
    </row>
    <row r="4216" spans="1:9" x14ac:dyDescent="0.2">
      <c r="A4216">
        <v>20291421</v>
      </c>
      <c r="B4216">
        <v>1</v>
      </c>
      <c r="C4216">
        <v>3047</v>
      </c>
      <c r="D4216">
        <v>50795</v>
      </c>
      <c r="E4216">
        <v>25</v>
      </c>
      <c r="F4216" t="s">
        <v>44</v>
      </c>
      <c r="G4216" t="s">
        <v>200</v>
      </c>
      <c r="H4216" t="s">
        <v>52</v>
      </c>
      <c r="I4216">
        <v>9</v>
      </c>
    </row>
    <row r="4217" spans="1:9" x14ac:dyDescent="0.2">
      <c r="A4217">
        <v>20291421</v>
      </c>
      <c r="B4217">
        <v>2</v>
      </c>
      <c r="C4217">
        <v>3044</v>
      </c>
      <c r="D4217">
        <v>50620</v>
      </c>
      <c r="E4217">
        <v>25</v>
      </c>
      <c r="F4217" t="s">
        <v>44</v>
      </c>
      <c r="G4217" t="s">
        <v>250</v>
      </c>
      <c r="H4217" t="s">
        <v>52</v>
      </c>
      <c r="I4217">
        <v>9</v>
      </c>
    </row>
    <row r="4218" spans="1:9" x14ac:dyDescent="0.2">
      <c r="A4218">
        <v>20291421</v>
      </c>
      <c r="B4218">
        <v>3</v>
      </c>
      <c r="C4218">
        <v>3092</v>
      </c>
      <c r="D4218">
        <v>50795</v>
      </c>
      <c r="E4218">
        <v>25</v>
      </c>
      <c r="F4218" t="s">
        <v>44</v>
      </c>
      <c r="G4218" t="s">
        <v>251</v>
      </c>
      <c r="H4218" t="s">
        <v>52</v>
      </c>
      <c r="I4218">
        <v>9</v>
      </c>
    </row>
    <row r="4219" spans="1:9" x14ac:dyDescent="0.2">
      <c r="A4219">
        <v>20291421</v>
      </c>
      <c r="B4219">
        <v>4</v>
      </c>
      <c r="C4219">
        <v>3067</v>
      </c>
      <c r="D4219">
        <v>50795</v>
      </c>
      <c r="E4219">
        <v>25</v>
      </c>
      <c r="F4219" t="s">
        <v>44</v>
      </c>
      <c r="G4219" t="s">
        <v>252</v>
      </c>
      <c r="H4219" t="s">
        <v>52</v>
      </c>
      <c r="I4219">
        <v>9</v>
      </c>
    </row>
    <row r="4220" spans="1:9" x14ac:dyDescent="0.2">
      <c r="A4220">
        <v>20291421</v>
      </c>
      <c r="B4220">
        <v>5</v>
      </c>
      <c r="C4220">
        <v>3239</v>
      </c>
      <c r="D4220">
        <v>49830</v>
      </c>
      <c r="E4220">
        <v>25</v>
      </c>
      <c r="F4220" t="s">
        <v>47</v>
      </c>
      <c r="G4220" t="s">
        <v>107</v>
      </c>
      <c r="H4220" t="s">
        <v>46</v>
      </c>
      <c r="I4220">
        <v>10</v>
      </c>
    </row>
    <row r="4221" spans="1:9" x14ac:dyDescent="0.2">
      <c r="A4221">
        <v>20291421</v>
      </c>
      <c r="B4221">
        <v>6</v>
      </c>
      <c r="C4221">
        <v>3243</v>
      </c>
      <c r="D4221">
        <v>50000</v>
      </c>
      <c r="E4221">
        <v>25</v>
      </c>
      <c r="F4221" t="s">
        <v>47</v>
      </c>
      <c r="G4221" t="s">
        <v>75</v>
      </c>
      <c r="H4221" t="s">
        <v>46</v>
      </c>
      <c r="I4221">
        <v>10</v>
      </c>
    </row>
    <row r="4222" spans="1:9" x14ac:dyDescent="0.2">
      <c r="A4222">
        <v>20291421</v>
      </c>
      <c r="B4222">
        <v>7</v>
      </c>
      <c r="C4222">
        <v>3248</v>
      </c>
      <c r="D4222">
        <v>51000</v>
      </c>
      <c r="E4222">
        <v>24</v>
      </c>
      <c r="F4222" t="s">
        <v>47</v>
      </c>
      <c r="G4222" t="s">
        <v>92</v>
      </c>
      <c r="H4222" t="s">
        <v>46</v>
      </c>
      <c r="I4222">
        <v>10</v>
      </c>
    </row>
    <row r="4223" spans="1:9" x14ac:dyDescent="0.2">
      <c r="A4223">
        <v>20291421</v>
      </c>
      <c r="B4223">
        <v>8</v>
      </c>
      <c r="C4223">
        <v>3245</v>
      </c>
      <c r="D4223">
        <v>0</v>
      </c>
      <c r="E4223">
        <v>26</v>
      </c>
      <c r="F4223" t="s">
        <v>47</v>
      </c>
      <c r="G4223" t="s">
        <v>157</v>
      </c>
      <c r="H4223" t="s">
        <v>74</v>
      </c>
      <c r="I4223">
        <v>10</v>
      </c>
    </row>
    <row r="4224" spans="1:9" x14ac:dyDescent="0.2">
      <c r="A4224">
        <v>20292229</v>
      </c>
      <c r="B4224">
        <v>1</v>
      </c>
      <c r="C4224">
        <v>1705</v>
      </c>
      <c r="D4224">
        <v>0</v>
      </c>
      <c r="E4224">
        <v>36</v>
      </c>
      <c r="F4224" t="s">
        <v>57</v>
      </c>
      <c r="G4224" t="s">
        <v>102</v>
      </c>
      <c r="H4224" t="s">
        <v>69</v>
      </c>
      <c r="I4224">
        <v>10</v>
      </c>
    </row>
    <row r="4225" spans="1:9" x14ac:dyDescent="0.2">
      <c r="A4225">
        <v>20331507</v>
      </c>
      <c r="B4225">
        <v>1</v>
      </c>
      <c r="C4225">
        <v>3092</v>
      </c>
      <c r="D4225">
        <v>55125</v>
      </c>
      <c r="E4225">
        <v>25</v>
      </c>
      <c r="F4225" t="s">
        <v>44</v>
      </c>
      <c r="G4225" t="s">
        <v>251</v>
      </c>
      <c r="H4225" t="s">
        <v>52</v>
      </c>
      <c r="I4225">
        <v>9</v>
      </c>
    </row>
    <row r="4226" spans="1:9" x14ac:dyDescent="0.2">
      <c r="A4226">
        <v>20331507</v>
      </c>
      <c r="B4226">
        <v>2</v>
      </c>
      <c r="C4226">
        <v>3064</v>
      </c>
      <c r="D4226">
        <v>55125</v>
      </c>
      <c r="E4226">
        <v>25</v>
      </c>
      <c r="F4226" t="s">
        <v>44</v>
      </c>
      <c r="G4226" t="s">
        <v>97</v>
      </c>
      <c r="H4226" t="s">
        <v>52</v>
      </c>
      <c r="I4226">
        <v>9</v>
      </c>
    </row>
    <row r="4227" spans="1:9" x14ac:dyDescent="0.2">
      <c r="A4227">
        <v>20331507</v>
      </c>
      <c r="B4227">
        <v>3</v>
      </c>
      <c r="C4227">
        <v>1377</v>
      </c>
      <c r="D4227">
        <v>54610</v>
      </c>
      <c r="E4227">
        <v>25</v>
      </c>
      <c r="F4227" t="s">
        <v>21</v>
      </c>
      <c r="G4227" t="s">
        <v>251</v>
      </c>
      <c r="H4227" t="s">
        <v>20</v>
      </c>
      <c r="I4227">
        <v>8</v>
      </c>
    </row>
    <row r="4228" spans="1:9" x14ac:dyDescent="0.2">
      <c r="A4228">
        <v>20331507</v>
      </c>
      <c r="B4228">
        <v>4</v>
      </c>
      <c r="C4228">
        <v>1788</v>
      </c>
      <c r="D4228">
        <v>53860</v>
      </c>
      <c r="E4228">
        <v>25</v>
      </c>
      <c r="F4228" t="s">
        <v>57</v>
      </c>
      <c r="G4228" t="s">
        <v>97</v>
      </c>
      <c r="H4228" t="s">
        <v>56</v>
      </c>
      <c r="I4228">
        <v>10</v>
      </c>
    </row>
    <row r="4229" spans="1:9" x14ac:dyDescent="0.2">
      <c r="A4229">
        <v>20331507</v>
      </c>
      <c r="B4229">
        <v>5</v>
      </c>
      <c r="C4229">
        <v>2967</v>
      </c>
      <c r="D4229">
        <v>55080</v>
      </c>
      <c r="E4229">
        <v>25</v>
      </c>
      <c r="F4229" t="s">
        <v>119</v>
      </c>
      <c r="G4229" t="s">
        <v>97</v>
      </c>
      <c r="H4229" t="s">
        <v>136</v>
      </c>
      <c r="I4229">
        <v>8</v>
      </c>
    </row>
    <row r="4230" spans="1:9" x14ac:dyDescent="0.2">
      <c r="A4230">
        <v>20331507</v>
      </c>
      <c r="B4230">
        <v>6</v>
      </c>
      <c r="C4230">
        <v>1945</v>
      </c>
      <c r="D4230">
        <v>54540</v>
      </c>
      <c r="E4230">
        <v>25</v>
      </c>
      <c r="F4230" t="s">
        <v>32</v>
      </c>
      <c r="G4230" t="s">
        <v>97</v>
      </c>
      <c r="H4230" t="s">
        <v>31</v>
      </c>
      <c r="I4230">
        <v>5</v>
      </c>
    </row>
    <row r="4231" spans="1:9" x14ac:dyDescent="0.2">
      <c r="A4231">
        <v>20331507</v>
      </c>
      <c r="B4231">
        <v>7</v>
      </c>
      <c r="C4231">
        <v>3091</v>
      </c>
      <c r="D4231">
        <v>55500</v>
      </c>
      <c r="E4231">
        <v>24</v>
      </c>
      <c r="F4231" t="s">
        <v>44</v>
      </c>
      <c r="G4231" t="s">
        <v>89</v>
      </c>
      <c r="H4231" t="s">
        <v>52</v>
      </c>
      <c r="I4231">
        <v>9</v>
      </c>
    </row>
    <row r="4232" spans="1:9" x14ac:dyDescent="0.2">
      <c r="A4232">
        <v>20331507</v>
      </c>
      <c r="B4232">
        <v>8</v>
      </c>
      <c r="C4232">
        <v>3067</v>
      </c>
      <c r="D4232">
        <v>0</v>
      </c>
      <c r="E4232">
        <v>26</v>
      </c>
      <c r="F4232" t="s">
        <v>44</v>
      </c>
      <c r="G4232" t="s">
        <v>252</v>
      </c>
      <c r="H4232" t="s">
        <v>52</v>
      </c>
      <c r="I4232">
        <v>9</v>
      </c>
    </row>
    <row r="4233" spans="1:9" x14ac:dyDescent="0.2">
      <c r="A4233">
        <v>20336193</v>
      </c>
      <c r="B4233">
        <v>1</v>
      </c>
      <c r="C4233">
        <v>3200</v>
      </c>
      <c r="D4233">
        <v>44930</v>
      </c>
      <c r="E4233">
        <v>25</v>
      </c>
      <c r="F4233" t="s">
        <v>47</v>
      </c>
      <c r="G4233" t="s">
        <v>18</v>
      </c>
      <c r="H4233" t="s">
        <v>46</v>
      </c>
      <c r="I4233">
        <v>10</v>
      </c>
    </row>
    <row r="4234" spans="1:9" x14ac:dyDescent="0.2">
      <c r="A4234">
        <v>20336193</v>
      </c>
      <c r="B4234">
        <v>2</v>
      </c>
      <c r="C4234">
        <v>3261</v>
      </c>
      <c r="D4234">
        <v>45290</v>
      </c>
      <c r="E4234">
        <v>25</v>
      </c>
      <c r="F4234" t="s">
        <v>47</v>
      </c>
      <c r="G4234" t="s">
        <v>93</v>
      </c>
      <c r="H4234" t="s">
        <v>46</v>
      </c>
      <c r="I4234">
        <v>10</v>
      </c>
    </row>
    <row r="4235" spans="1:9" x14ac:dyDescent="0.2">
      <c r="A4235">
        <v>20336193</v>
      </c>
      <c r="B4235">
        <v>3</v>
      </c>
      <c r="C4235">
        <v>3251</v>
      </c>
      <c r="D4235">
        <v>46190</v>
      </c>
      <c r="E4235">
        <v>25</v>
      </c>
      <c r="F4235" t="s">
        <v>47</v>
      </c>
      <c r="G4235" t="s">
        <v>48</v>
      </c>
      <c r="H4235" t="s">
        <v>46</v>
      </c>
      <c r="I4235">
        <v>10</v>
      </c>
    </row>
    <row r="4236" spans="1:9" x14ac:dyDescent="0.2">
      <c r="A4236">
        <v>20336193</v>
      </c>
      <c r="B4236">
        <v>4</v>
      </c>
      <c r="C4236">
        <v>3252</v>
      </c>
      <c r="D4236">
        <v>45645</v>
      </c>
      <c r="E4236">
        <v>25</v>
      </c>
      <c r="F4236" t="s">
        <v>47</v>
      </c>
      <c r="G4236" t="s">
        <v>45</v>
      </c>
      <c r="H4236" t="s">
        <v>46</v>
      </c>
      <c r="I4236">
        <v>10</v>
      </c>
    </row>
    <row r="4237" spans="1:9" x14ac:dyDescent="0.2">
      <c r="A4237">
        <v>20394547</v>
      </c>
      <c r="B4237">
        <v>1</v>
      </c>
      <c r="C4237">
        <v>1145</v>
      </c>
      <c r="D4237">
        <v>65960</v>
      </c>
      <c r="E4237">
        <v>25</v>
      </c>
      <c r="F4237" t="s">
        <v>17</v>
      </c>
      <c r="G4237" t="s">
        <v>159</v>
      </c>
      <c r="H4237" t="s">
        <v>16</v>
      </c>
      <c r="I4237" t="s">
        <v>448</v>
      </c>
    </row>
    <row r="4238" spans="1:9" x14ac:dyDescent="0.2">
      <c r="A4238">
        <v>20394547</v>
      </c>
      <c r="B4238">
        <v>2</v>
      </c>
      <c r="C4238">
        <v>1511</v>
      </c>
      <c r="D4238">
        <v>64910</v>
      </c>
      <c r="E4238">
        <v>25</v>
      </c>
      <c r="F4238" t="s">
        <v>142</v>
      </c>
      <c r="G4238" t="s">
        <v>163</v>
      </c>
      <c r="H4238" t="s">
        <v>31</v>
      </c>
      <c r="I4238">
        <v>5</v>
      </c>
    </row>
    <row r="4239" spans="1:9" x14ac:dyDescent="0.2">
      <c r="A4239">
        <v>20394547</v>
      </c>
      <c r="B4239">
        <v>3</v>
      </c>
      <c r="C4239">
        <v>1503</v>
      </c>
      <c r="D4239">
        <v>64910</v>
      </c>
      <c r="E4239">
        <v>24</v>
      </c>
      <c r="F4239" t="s">
        <v>142</v>
      </c>
      <c r="G4239" t="s">
        <v>161</v>
      </c>
      <c r="H4239" t="s">
        <v>31</v>
      </c>
      <c r="I4239">
        <v>5</v>
      </c>
    </row>
    <row r="4240" spans="1:9" x14ac:dyDescent="0.2">
      <c r="A4240">
        <v>20394547</v>
      </c>
      <c r="B4240">
        <v>4</v>
      </c>
      <c r="C4240">
        <v>1376</v>
      </c>
      <c r="D4240">
        <v>0</v>
      </c>
      <c r="E4240">
        <v>26</v>
      </c>
      <c r="F4240" t="s">
        <v>21</v>
      </c>
      <c r="G4240" t="s">
        <v>163</v>
      </c>
      <c r="H4240" t="s">
        <v>20</v>
      </c>
      <c r="I4240">
        <v>8</v>
      </c>
    </row>
    <row r="4241" spans="1:9" x14ac:dyDescent="0.2">
      <c r="A4241">
        <v>20394547</v>
      </c>
      <c r="B4241">
        <v>5</v>
      </c>
      <c r="C4241">
        <v>1460</v>
      </c>
      <c r="D4241">
        <v>0</v>
      </c>
      <c r="E4241">
        <v>26</v>
      </c>
      <c r="F4241" t="s">
        <v>25</v>
      </c>
      <c r="G4241" t="s">
        <v>346</v>
      </c>
      <c r="H4241" t="s">
        <v>24</v>
      </c>
      <c r="I4241">
        <v>5</v>
      </c>
    </row>
    <row r="4242" spans="1:9" x14ac:dyDescent="0.2">
      <c r="A4242">
        <v>20394547</v>
      </c>
      <c r="B4242">
        <v>6</v>
      </c>
      <c r="C4242">
        <v>1467</v>
      </c>
      <c r="D4242">
        <v>0</v>
      </c>
      <c r="E4242">
        <v>26</v>
      </c>
      <c r="F4242" t="s">
        <v>25</v>
      </c>
      <c r="G4242" t="s">
        <v>294</v>
      </c>
      <c r="H4242" t="s">
        <v>24</v>
      </c>
      <c r="I4242">
        <v>5</v>
      </c>
    </row>
    <row r="4243" spans="1:9" x14ac:dyDescent="0.2">
      <c r="A4243">
        <v>20394547</v>
      </c>
      <c r="B4243">
        <v>7</v>
      </c>
      <c r="C4243">
        <v>1702</v>
      </c>
      <c r="D4243">
        <v>0</v>
      </c>
      <c r="E4243">
        <v>26</v>
      </c>
      <c r="F4243" t="s">
        <v>57</v>
      </c>
      <c r="G4243" t="s">
        <v>164</v>
      </c>
      <c r="H4243" t="s">
        <v>69</v>
      </c>
      <c r="I4243">
        <v>10</v>
      </c>
    </row>
    <row r="4244" spans="1:9" x14ac:dyDescent="0.2">
      <c r="A4244">
        <v>20418494</v>
      </c>
      <c r="B4244">
        <v>1</v>
      </c>
      <c r="C4244">
        <v>3296</v>
      </c>
      <c r="D4244">
        <v>0</v>
      </c>
      <c r="E4244">
        <v>36</v>
      </c>
      <c r="F4244" t="s">
        <v>47</v>
      </c>
      <c r="G4244" t="s">
        <v>100</v>
      </c>
      <c r="H4244" t="s">
        <v>46</v>
      </c>
      <c r="I4244">
        <v>10</v>
      </c>
    </row>
    <row r="4245" spans="1:9" x14ac:dyDescent="0.2">
      <c r="A4245">
        <v>20418494</v>
      </c>
      <c r="B4245">
        <v>2</v>
      </c>
      <c r="C4245">
        <v>3269</v>
      </c>
      <c r="D4245">
        <v>0</v>
      </c>
      <c r="E4245">
        <v>36</v>
      </c>
      <c r="F4245" t="s">
        <v>47</v>
      </c>
      <c r="G4245" t="s">
        <v>180</v>
      </c>
      <c r="H4245" t="s">
        <v>46</v>
      </c>
      <c r="I4245">
        <v>10</v>
      </c>
    </row>
    <row r="4246" spans="1:9" x14ac:dyDescent="0.2">
      <c r="A4246">
        <v>20418494</v>
      </c>
      <c r="B4246">
        <v>3</v>
      </c>
      <c r="C4246">
        <v>3226</v>
      </c>
      <c r="D4246">
        <v>0</v>
      </c>
      <c r="E4246">
        <v>36</v>
      </c>
      <c r="F4246" t="s">
        <v>47</v>
      </c>
      <c r="G4246" t="s">
        <v>96</v>
      </c>
      <c r="H4246" t="s">
        <v>46</v>
      </c>
      <c r="I4246">
        <v>10</v>
      </c>
    </row>
    <row r="4247" spans="1:9" x14ac:dyDescent="0.2">
      <c r="A4247">
        <v>20437955</v>
      </c>
      <c r="B4247">
        <v>1</v>
      </c>
      <c r="C4247">
        <v>1138</v>
      </c>
      <c r="D4247">
        <v>62060</v>
      </c>
      <c r="E4247">
        <v>25</v>
      </c>
      <c r="F4247" t="s">
        <v>17</v>
      </c>
      <c r="G4247" t="s">
        <v>316</v>
      </c>
      <c r="H4247" t="s">
        <v>16</v>
      </c>
      <c r="I4247" t="s">
        <v>448</v>
      </c>
    </row>
    <row r="4248" spans="1:9" x14ac:dyDescent="0.2">
      <c r="A4248">
        <v>20437955</v>
      </c>
      <c r="B4248">
        <v>2</v>
      </c>
      <c r="C4248">
        <v>1254</v>
      </c>
      <c r="D4248">
        <v>62330</v>
      </c>
      <c r="E4248">
        <v>25</v>
      </c>
      <c r="F4248" t="s">
        <v>19</v>
      </c>
      <c r="G4248" t="s">
        <v>317</v>
      </c>
      <c r="H4248" t="s">
        <v>16</v>
      </c>
      <c r="I4248" t="s">
        <v>448</v>
      </c>
    </row>
    <row r="4249" spans="1:9" x14ac:dyDescent="0.2">
      <c r="A4249">
        <v>20437955</v>
      </c>
      <c r="B4249">
        <v>3</v>
      </c>
      <c r="C4249">
        <v>1526</v>
      </c>
      <c r="D4249">
        <v>62190</v>
      </c>
      <c r="E4249">
        <v>24</v>
      </c>
      <c r="F4249" t="s">
        <v>142</v>
      </c>
      <c r="G4249" t="s">
        <v>276</v>
      </c>
      <c r="H4249" t="s">
        <v>31</v>
      </c>
      <c r="I4249">
        <v>5</v>
      </c>
    </row>
    <row r="4250" spans="1:9" x14ac:dyDescent="0.2">
      <c r="A4250">
        <v>20437955</v>
      </c>
      <c r="B4250">
        <v>4</v>
      </c>
      <c r="C4250">
        <v>1622</v>
      </c>
      <c r="D4250">
        <v>0</v>
      </c>
      <c r="E4250">
        <v>26</v>
      </c>
      <c r="F4250" t="s">
        <v>128</v>
      </c>
      <c r="G4250" t="s">
        <v>306</v>
      </c>
      <c r="H4250" t="s">
        <v>127</v>
      </c>
      <c r="I4250" t="s">
        <v>448</v>
      </c>
    </row>
    <row r="4251" spans="1:9" x14ac:dyDescent="0.2">
      <c r="A4251">
        <v>20437955</v>
      </c>
      <c r="B4251">
        <v>5</v>
      </c>
      <c r="C4251">
        <v>1511</v>
      </c>
      <c r="D4251">
        <v>0</v>
      </c>
      <c r="E4251">
        <v>26</v>
      </c>
      <c r="F4251" t="s">
        <v>142</v>
      </c>
      <c r="G4251" t="s">
        <v>163</v>
      </c>
      <c r="H4251" t="s">
        <v>31</v>
      </c>
      <c r="I4251">
        <v>5</v>
      </c>
    </row>
    <row r="4252" spans="1:9" x14ac:dyDescent="0.2">
      <c r="A4252">
        <v>20441293</v>
      </c>
      <c r="B4252">
        <v>1</v>
      </c>
      <c r="C4252">
        <v>3252</v>
      </c>
      <c r="D4252">
        <v>0</v>
      </c>
      <c r="E4252">
        <v>36</v>
      </c>
      <c r="F4252" t="s">
        <v>47</v>
      </c>
      <c r="G4252" t="s">
        <v>45</v>
      </c>
      <c r="H4252" t="s">
        <v>46</v>
      </c>
      <c r="I4252">
        <v>10</v>
      </c>
    </row>
    <row r="4253" spans="1:9" x14ac:dyDescent="0.2">
      <c r="A4253">
        <v>20441293</v>
      </c>
      <c r="B4253">
        <v>2</v>
      </c>
      <c r="C4253">
        <v>3248</v>
      </c>
      <c r="D4253">
        <v>0</v>
      </c>
      <c r="E4253">
        <v>36</v>
      </c>
      <c r="F4253" t="s">
        <v>47</v>
      </c>
      <c r="G4253" t="s">
        <v>92</v>
      </c>
      <c r="H4253" t="s">
        <v>46</v>
      </c>
      <c r="I4253">
        <v>10</v>
      </c>
    </row>
    <row r="4254" spans="1:9" x14ac:dyDescent="0.2">
      <c r="A4254">
        <v>20441293</v>
      </c>
      <c r="B4254">
        <v>3</v>
      </c>
      <c r="C4254">
        <v>3243</v>
      </c>
      <c r="D4254">
        <v>0</v>
      </c>
      <c r="E4254">
        <v>36</v>
      </c>
      <c r="F4254" t="s">
        <v>47</v>
      </c>
      <c r="G4254" t="s">
        <v>75</v>
      </c>
      <c r="H4254" t="s">
        <v>46</v>
      </c>
      <c r="I4254">
        <v>10</v>
      </c>
    </row>
    <row r="4255" spans="1:9" x14ac:dyDescent="0.2">
      <c r="A4255">
        <v>20441293</v>
      </c>
      <c r="B4255">
        <v>4</v>
      </c>
      <c r="C4255">
        <v>3234</v>
      </c>
      <c r="D4255">
        <v>0</v>
      </c>
      <c r="E4255">
        <v>36</v>
      </c>
      <c r="F4255" t="s">
        <v>47</v>
      </c>
      <c r="G4255" t="s">
        <v>76</v>
      </c>
      <c r="H4255" t="s">
        <v>46</v>
      </c>
      <c r="I4255">
        <v>10</v>
      </c>
    </row>
    <row r="4256" spans="1:9" x14ac:dyDescent="0.2">
      <c r="A4256">
        <v>20494543</v>
      </c>
      <c r="B4256">
        <v>1</v>
      </c>
      <c r="C4256">
        <v>3200</v>
      </c>
      <c r="D4256">
        <v>46410</v>
      </c>
      <c r="E4256">
        <v>25</v>
      </c>
      <c r="F4256" t="s">
        <v>47</v>
      </c>
      <c r="G4256" t="s">
        <v>18</v>
      </c>
      <c r="H4256" t="s">
        <v>46</v>
      </c>
      <c r="I4256">
        <v>10</v>
      </c>
    </row>
    <row r="4257" spans="1:9" x14ac:dyDescent="0.2">
      <c r="A4257">
        <v>20494543</v>
      </c>
      <c r="B4257">
        <v>2</v>
      </c>
      <c r="C4257">
        <v>3226</v>
      </c>
      <c r="D4257">
        <v>46760</v>
      </c>
      <c r="E4257">
        <v>24</v>
      </c>
      <c r="F4257" t="s">
        <v>47</v>
      </c>
      <c r="G4257" t="s">
        <v>96</v>
      </c>
      <c r="H4257" t="s">
        <v>46</v>
      </c>
      <c r="I4257">
        <v>10</v>
      </c>
    </row>
    <row r="4258" spans="1:9" x14ac:dyDescent="0.2">
      <c r="A4258">
        <v>20494543</v>
      </c>
      <c r="B4258">
        <v>3</v>
      </c>
      <c r="C4258">
        <v>3229</v>
      </c>
      <c r="D4258">
        <v>0</v>
      </c>
      <c r="E4258">
        <v>26</v>
      </c>
      <c r="F4258" t="s">
        <v>47</v>
      </c>
      <c r="G4258" t="s">
        <v>101</v>
      </c>
      <c r="H4258" t="s">
        <v>46</v>
      </c>
      <c r="I4258">
        <v>10</v>
      </c>
    </row>
    <row r="4259" spans="1:9" x14ac:dyDescent="0.2">
      <c r="A4259">
        <v>20494543</v>
      </c>
      <c r="B4259">
        <v>4</v>
      </c>
      <c r="C4259">
        <v>3296</v>
      </c>
      <c r="D4259">
        <v>0</v>
      </c>
      <c r="E4259">
        <v>26</v>
      </c>
      <c r="F4259" t="s">
        <v>47</v>
      </c>
      <c r="G4259" t="s">
        <v>100</v>
      </c>
      <c r="H4259" t="s">
        <v>46</v>
      </c>
      <c r="I4259">
        <v>10</v>
      </c>
    </row>
    <row r="4260" spans="1:9" x14ac:dyDescent="0.2">
      <c r="A4260">
        <v>20494543</v>
      </c>
      <c r="B4260">
        <v>5</v>
      </c>
      <c r="C4260">
        <v>3244</v>
      </c>
      <c r="D4260">
        <v>0</v>
      </c>
      <c r="E4260">
        <v>26</v>
      </c>
      <c r="F4260" t="s">
        <v>47</v>
      </c>
      <c r="G4260" t="s">
        <v>73</v>
      </c>
      <c r="H4260" t="s">
        <v>74</v>
      </c>
      <c r="I4260">
        <v>10</v>
      </c>
    </row>
    <row r="4261" spans="1:9" x14ac:dyDescent="0.2">
      <c r="A4261">
        <v>20494543</v>
      </c>
      <c r="B4261">
        <v>6</v>
      </c>
      <c r="C4261">
        <v>3239</v>
      </c>
      <c r="D4261">
        <v>0</v>
      </c>
      <c r="E4261">
        <v>26</v>
      </c>
      <c r="F4261" t="s">
        <v>47</v>
      </c>
      <c r="G4261" t="s">
        <v>107</v>
      </c>
      <c r="H4261" t="s">
        <v>46</v>
      </c>
      <c r="I4261">
        <v>10</v>
      </c>
    </row>
    <row r="4262" spans="1:9" x14ac:dyDescent="0.2">
      <c r="A4262">
        <v>20494543</v>
      </c>
      <c r="B4262">
        <v>7</v>
      </c>
      <c r="C4262">
        <v>3234</v>
      </c>
      <c r="D4262">
        <v>0</v>
      </c>
      <c r="E4262">
        <v>26</v>
      </c>
      <c r="F4262" t="s">
        <v>47</v>
      </c>
      <c r="G4262" t="s">
        <v>76</v>
      </c>
      <c r="H4262" t="s">
        <v>46</v>
      </c>
      <c r="I4262">
        <v>10</v>
      </c>
    </row>
    <row r="4263" spans="1:9" x14ac:dyDescent="0.2">
      <c r="A4263">
        <v>20494543</v>
      </c>
      <c r="B4263">
        <v>8</v>
      </c>
      <c r="C4263">
        <v>3225</v>
      </c>
      <c r="D4263">
        <v>0</v>
      </c>
      <c r="E4263">
        <v>26</v>
      </c>
      <c r="F4263" t="s">
        <v>47</v>
      </c>
      <c r="G4263" t="s">
        <v>106</v>
      </c>
      <c r="H4263" t="s">
        <v>46</v>
      </c>
      <c r="I4263">
        <v>10</v>
      </c>
    </row>
    <row r="4264" spans="1:9" x14ac:dyDescent="0.2">
      <c r="A4264">
        <v>20552918</v>
      </c>
      <c r="B4264">
        <v>1</v>
      </c>
      <c r="C4264">
        <v>1782</v>
      </c>
      <c r="D4264">
        <v>60380</v>
      </c>
      <c r="E4264">
        <v>25</v>
      </c>
      <c r="F4264" t="s">
        <v>57</v>
      </c>
      <c r="G4264" t="s">
        <v>63</v>
      </c>
      <c r="H4264" t="s">
        <v>69</v>
      </c>
      <c r="I4264">
        <v>10</v>
      </c>
    </row>
    <row r="4265" spans="1:9" x14ac:dyDescent="0.2">
      <c r="A4265">
        <v>20552918</v>
      </c>
      <c r="B4265">
        <v>2</v>
      </c>
      <c r="C4265">
        <v>3740</v>
      </c>
      <c r="D4265">
        <v>59190</v>
      </c>
      <c r="E4265">
        <v>25</v>
      </c>
      <c r="F4265" t="s">
        <v>116</v>
      </c>
      <c r="G4265" t="s">
        <v>63</v>
      </c>
      <c r="H4265" t="s">
        <v>61</v>
      </c>
      <c r="I4265">
        <v>9</v>
      </c>
    </row>
    <row r="4266" spans="1:9" x14ac:dyDescent="0.2">
      <c r="A4266">
        <v>20552918</v>
      </c>
      <c r="B4266">
        <v>3</v>
      </c>
      <c r="C4266">
        <v>1324</v>
      </c>
      <c r="D4266">
        <v>60720</v>
      </c>
      <c r="E4266">
        <v>25</v>
      </c>
      <c r="F4266" t="s">
        <v>21</v>
      </c>
      <c r="G4266" t="s">
        <v>63</v>
      </c>
      <c r="H4266" t="s">
        <v>20</v>
      </c>
      <c r="I4266">
        <v>8</v>
      </c>
    </row>
    <row r="4267" spans="1:9" x14ac:dyDescent="0.2">
      <c r="A4267">
        <v>20552918</v>
      </c>
      <c r="B4267">
        <v>4</v>
      </c>
      <c r="C4267">
        <v>1329</v>
      </c>
      <c r="D4267">
        <v>60720</v>
      </c>
      <c r="E4267">
        <v>25</v>
      </c>
      <c r="F4267" t="s">
        <v>21</v>
      </c>
      <c r="G4267" t="s">
        <v>63</v>
      </c>
      <c r="H4267" t="s">
        <v>136</v>
      </c>
      <c r="I4267">
        <v>8</v>
      </c>
    </row>
    <row r="4268" spans="1:9" x14ac:dyDescent="0.2">
      <c r="A4268">
        <v>20552918</v>
      </c>
      <c r="B4268">
        <v>5</v>
      </c>
      <c r="C4268">
        <v>3601</v>
      </c>
      <c r="D4268">
        <v>60485</v>
      </c>
      <c r="E4268">
        <v>25</v>
      </c>
      <c r="F4268" t="s">
        <v>108</v>
      </c>
      <c r="G4268" t="s">
        <v>63</v>
      </c>
      <c r="H4268" t="s">
        <v>20</v>
      </c>
      <c r="I4268">
        <v>8</v>
      </c>
    </row>
    <row r="4269" spans="1:9" x14ac:dyDescent="0.2">
      <c r="A4269">
        <v>20552918</v>
      </c>
      <c r="B4269">
        <v>6</v>
      </c>
      <c r="C4269">
        <v>3629</v>
      </c>
      <c r="D4269">
        <v>59370</v>
      </c>
      <c r="E4269">
        <v>24</v>
      </c>
      <c r="F4269" t="s">
        <v>108</v>
      </c>
      <c r="G4269" t="s">
        <v>121</v>
      </c>
      <c r="H4269" t="s">
        <v>20</v>
      </c>
      <c r="I4269">
        <v>8</v>
      </c>
    </row>
    <row r="4270" spans="1:9" x14ac:dyDescent="0.2">
      <c r="A4270">
        <v>20552918</v>
      </c>
      <c r="B4270">
        <v>7</v>
      </c>
      <c r="C4270">
        <v>3719</v>
      </c>
      <c r="D4270">
        <v>0</v>
      </c>
      <c r="E4270">
        <v>26</v>
      </c>
      <c r="F4270" t="s">
        <v>116</v>
      </c>
      <c r="G4270" t="s">
        <v>66</v>
      </c>
      <c r="H4270" t="s">
        <v>61</v>
      </c>
      <c r="I4270">
        <v>9</v>
      </c>
    </row>
    <row r="4271" spans="1:9" x14ac:dyDescent="0.2">
      <c r="A4271">
        <v>20552918</v>
      </c>
      <c r="B4271">
        <v>8</v>
      </c>
      <c r="C4271">
        <v>1752</v>
      </c>
      <c r="D4271">
        <v>0</v>
      </c>
      <c r="E4271">
        <v>26</v>
      </c>
      <c r="F4271" t="s">
        <v>57</v>
      </c>
      <c r="G4271" t="s">
        <v>66</v>
      </c>
      <c r="H4271" t="s">
        <v>56</v>
      </c>
      <c r="I4271">
        <v>10</v>
      </c>
    </row>
    <row r="4272" spans="1:9" x14ac:dyDescent="0.2">
      <c r="A4272">
        <v>20564991</v>
      </c>
      <c r="B4272">
        <v>1</v>
      </c>
      <c r="C4272">
        <v>3251</v>
      </c>
      <c r="D4272">
        <v>55060</v>
      </c>
      <c r="E4272">
        <v>24</v>
      </c>
      <c r="F4272" t="s">
        <v>47</v>
      </c>
      <c r="G4272" t="s">
        <v>48</v>
      </c>
      <c r="H4272" t="s">
        <v>46</v>
      </c>
      <c r="I4272">
        <v>10</v>
      </c>
    </row>
    <row r="4273" spans="1:9" x14ac:dyDescent="0.2">
      <c r="A4273">
        <v>20564991</v>
      </c>
      <c r="B4273">
        <v>2</v>
      </c>
      <c r="C4273">
        <v>3252</v>
      </c>
      <c r="D4273">
        <v>0</v>
      </c>
      <c r="E4273">
        <v>26</v>
      </c>
      <c r="F4273" t="s">
        <v>47</v>
      </c>
      <c r="G4273" t="s">
        <v>45</v>
      </c>
      <c r="H4273" t="s">
        <v>46</v>
      </c>
      <c r="I4273">
        <v>10</v>
      </c>
    </row>
    <row r="4274" spans="1:9" x14ac:dyDescent="0.2">
      <c r="A4274">
        <v>20564991</v>
      </c>
      <c r="B4274">
        <v>3</v>
      </c>
      <c r="C4274">
        <v>3261</v>
      </c>
      <c r="D4274">
        <v>0</v>
      </c>
      <c r="E4274">
        <v>26</v>
      </c>
      <c r="F4274" t="s">
        <v>47</v>
      </c>
      <c r="G4274" t="s">
        <v>93</v>
      </c>
      <c r="H4274" t="s">
        <v>46</v>
      </c>
      <c r="I4274">
        <v>10</v>
      </c>
    </row>
    <row r="4275" spans="1:9" x14ac:dyDescent="0.2">
      <c r="A4275">
        <v>20625583</v>
      </c>
      <c r="B4275">
        <v>1</v>
      </c>
      <c r="C4275">
        <v>3237</v>
      </c>
      <c r="D4275">
        <v>46610</v>
      </c>
      <c r="E4275">
        <v>25</v>
      </c>
      <c r="F4275" t="s">
        <v>47</v>
      </c>
      <c r="G4275" t="s">
        <v>181</v>
      </c>
      <c r="H4275" t="s">
        <v>46</v>
      </c>
      <c r="I4275">
        <v>10</v>
      </c>
    </row>
    <row r="4276" spans="1:9" x14ac:dyDescent="0.2">
      <c r="A4276">
        <v>20625583</v>
      </c>
      <c r="B4276">
        <v>2</v>
      </c>
      <c r="C4276">
        <v>3261</v>
      </c>
      <c r="D4276">
        <v>47110</v>
      </c>
      <c r="E4276">
        <v>25</v>
      </c>
      <c r="F4276" t="s">
        <v>47</v>
      </c>
      <c r="G4276" t="s">
        <v>93</v>
      </c>
      <c r="H4276" t="s">
        <v>46</v>
      </c>
      <c r="I4276">
        <v>10</v>
      </c>
    </row>
    <row r="4277" spans="1:9" x14ac:dyDescent="0.2">
      <c r="A4277">
        <v>20625583</v>
      </c>
      <c r="B4277">
        <v>3</v>
      </c>
      <c r="C4277">
        <v>1703</v>
      </c>
      <c r="D4277">
        <v>47340</v>
      </c>
      <c r="E4277">
        <v>25</v>
      </c>
      <c r="F4277" t="s">
        <v>57</v>
      </c>
      <c r="G4277" t="s">
        <v>109</v>
      </c>
      <c r="H4277" t="s">
        <v>69</v>
      </c>
      <c r="I4277">
        <v>10</v>
      </c>
    </row>
    <row r="4278" spans="1:9" x14ac:dyDescent="0.2">
      <c r="A4278">
        <v>20625583</v>
      </c>
      <c r="B4278">
        <v>4</v>
      </c>
      <c r="C4278">
        <v>1754</v>
      </c>
      <c r="D4278">
        <v>46650</v>
      </c>
      <c r="E4278">
        <v>25</v>
      </c>
      <c r="F4278" t="s">
        <v>57</v>
      </c>
      <c r="G4278" t="s">
        <v>85</v>
      </c>
      <c r="H4278" t="s">
        <v>69</v>
      </c>
      <c r="I4278">
        <v>10</v>
      </c>
    </row>
    <row r="4279" spans="1:9" x14ac:dyDescent="0.2">
      <c r="A4279">
        <v>20653791</v>
      </c>
      <c r="B4279">
        <v>1</v>
      </c>
      <c r="C4279">
        <v>3252</v>
      </c>
      <c r="D4279">
        <v>53465</v>
      </c>
      <c r="E4279">
        <v>24</v>
      </c>
      <c r="F4279" t="s">
        <v>47</v>
      </c>
      <c r="G4279" t="s">
        <v>45</v>
      </c>
      <c r="H4279" t="s">
        <v>46</v>
      </c>
      <c r="I4279">
        <v>10</v>
      </c>
    </row>
    <row r="4280" spans="1:9" x14ac:dyDescent="0.2">
      <c r="A4280">
        <v>20653791</v>
      </c>
      <c r="B4280">
        <v>2</v>
      </c>
      <c r="C4280">
        <v>3248</v>
      </c>
      <c r="D4280">
        <v>0</v>
      </c>
      <c r="E4280">
        <v>26</v>
      </c>
      <c r="F4280" t="s">
        <v>47</v>
      </c>
      <c r="G4280" t="s">
        <v>92</v>
      </c>
      <c r="H4280" t="s">
        <v>46</v>
      </c>
      <c r="I4280">
        <v>10</v>
      </c>
    </row>
    <row r="4281" spans="1:9" x14ac:dyDescent="0.2">
      <c r="A4281">
        <v>20653791</v>
      </c>
      <c r="B4281">
        <v>3</v>
      </c>
      <c r="C4281">
        <v>3234</v>
      </c>
      <c r="D4281">
        <v>0</v>
      </c>
      <c r="E4281">
        <v>26</v>
      </c>
      <c r="F4281" t="s">
        <v>47</v>
      </c>
      <c r="G4281" t="s">
        <v>76</v>
      </c>
      <c r="H4281" t="s">
        <v>46</v>
      </c>
      <c r="I4281">
        <v>10</v>
      </c>
    </row>
    <row r="4282" spans="1:9" x14ac:dyDescent="0.2">
      <c r="A4282">
        <v>20653791</v>
      </c>
      <c r="B4282">
        <v>4</v>
      </c>
      <c r="C4282">
        <v>3243</v>
      </c>
      <c r="D4282">
        <v>0</v>
      </c>
      <c r="E4282">
        <v>26</v>
      </c>
      <c r="F4282" t="s">
        <v>47</v>
      </c>
      <c r="G4282" t="s">
        <v>75</v>
      </c>
      <c r="H4282" t="s">
        <v>46</v>
      </c>
      <c r="I4282">
        <v>10</v>
      </c>
    </row>
    <row r="4283" spans="1:9" x14ac:dyDescent="0.2">
      <c r="A4283">
        <v>20653791</v>
      </c>
      <c r="B4283">
        <v>5</v>
      </c>
      <c r="C4283">
        <v>3261</v>
      </c>
      <c r="D4283">
        <v>0</v>
      </c>
      <c r="E4283">
        <v>26</v>
      </c>
      <c r="F4283" t="s">
        <v>47</v>
      </c>
      <c r="G4283" t="s">
        <v>93</v>
      </c>
      <c r="H4283" t="s">
        <v>46</v>
      </c>
      <c r="I4283">
        <v>10</v>
      </c>
    </row>
    <row r="4284" spans="1:9" x14ac:dyDescent="0.2">
      <c r="A4284">
        <v>20653791</v>
      </c>
      <c r="B4284">
        <v>6</v>
      </c>
      <c r="C4284">
        <v>3229</v>
      </c>
      <c r="D4284">
        <v>0</v>
      </c>
      <c r="E4284">
        <v>26</v>
      </c>
      <c r="F4284" t="s">
        <v>47</v>
      </c>
      <c r="G4284" t="s">
        <v>101</v>
      </c>
      <c r="H4284" t="s">
        <v>46</v>
      </c>
      <c r="I4284">
        <v>10</v>
      </c>
    </row>
    <row r="4285" spans="1:9" x14ac:dyDescent="0.2">
      <c r="A4285">
        <v>20653791</v>
      </c>
      <c r="B4285">
        <v>7</v>
      </c>
      <c r="C4285">
        <v>3223</v>
      </c>
      <c r="D4285">
        <v>0</v>
      </c>
      <c r="E4285">
        <v>26</v>
      </c>
      <c r="F4285" t="s">
        <v>47</v>
      </c>
      <c r="G4285" t="s">
        <v>105</v>
      </c>
      <c r="H4285" t="s">
        <v>46</v>
      </c>
      <c r="I4285">
        <v>10</v>
      </c>
    </row>
    <row r="4286" spans="1:9" x14ac:dyDescent="0.2">
      <c r="A4286">
        <v>20653791</v>
      </c>
      <c r="B4286">
        <v>8</v>
      </c>
      <c r="C4286">
        <v>3251</v>
      </c>
      <c r="D4286">
        <v>0</v>
      </c>
      <c r="E4286">
        <v>26</v>
      </c>
      <c r="F4286" t="s">
        <v>47</v>
      </c>
      <c r="G4286" t="s">
        <v>48</v>
      </c>
      <c r="H4286" t="s">
        <v>46</v>
      </c>
      <c r="I4286">
        <v>10</v>
      </c>
    </row>
    <row r="4287" spans="1:9" x14ac:dyDescent="0.2">
      <c r="A4287">
        <v>20681029</v>
      </c>
      <c r="B4287">
        <v>1</v>
      </c>
      <c r="C4287">
        <v>1728</v>
      </c>
      <c r="D4287">
        <v>64180</v>
      </c>
      <c r="E4287">
        <v>24</v>
      </c>
      <c r="F4287" t="s">
        <v>57</v>
      </c>
      <c r="G4287" t="s">
        <v>103</v>
      </c>
      <c r="H4287" t="s">
        <v>69</v>
      </c>
      <c r="I4287">
        <v>10</v>
      </c>
    </row>
    <row r="4288" spans="1:9" x14ac:dyDescent="0.2">
      <c r="A4288">
        <v>20681029</v>
      </c>
      <c r="B4288">
        <v>2</v>
      </c>
      <c r="C4288">
        <v>1702</v>
      </c>
      <c r="D4288">
        <v>0</v>
      </c>
      <c r="E4288">
        <v>26</v>
      </c>
      <c r="F4288" t="s">
        <v>57</v>
      </c>
      <c r="G4288" t="s">
        <v>164</v>
      </c>
      <c r="H4288" t="s">
        <v>69</v>
      </c>
      <c r="I4288">
        <v>10</v>
      </c>
    </row>
    <row r="4289" spans="1:9" x14ac:dyDescent="0.2">
      <c r="A4289">
        <v>20681029</v>
      </c>
      <c r="B4289">
        <v>3</v>
      </c>
      <c r="C4289">
        <v>1786</v>
      </c>
      <c r="D4289">
        <v>0</v>
      </c>
      <c r="E4289">
        <v>26</v>
      </c>
      <c r="F4289" t="s">
        <v>57</v>
      </c>
      <c r="G4289" t="s">
        <v>103</v>
      </c>
      <c r="H4289" t="s">
        <v>56</v>
      </c>
      <c r="I4289">
        <v>10</v>
      </c>
    </row>
    <row r="4290" spans="1:9" x14ac:dyDescent="0.2">
      <c r="A4290">
        <v>20681029</v>
      </c>
      <c r="B4290">
        <v>4</v>
      </c>
      <c r="C4290">
        <v>1381</v>
      </c>
      <c r="D4290">
        <v>0</v>
      </c>
      <c r="E4290">
        <v>26</v>
      </c>
      <c r="F4290" t="s">
        <v>21</v>
      </c>
      <c r="G4290" t="s">
        <v>103</v>
      </c>
      <c r="H4290" t="s">
        <v>20</v>
      </c>
      <c r="I4290">
        <v>8</v>
      </c>
    </row>
    <row r="4291" spans="1:9" x14ac:dyDescent="0.2">
      <c r="A4291">
        <v>20681029</v>
      </c>
      <c r="B4291">
        <v>5</v>
      </c>
      <c r="C4291">
        <v>1348</v>
      </c>
      <c r="D4291">
        <v>0</v>
      </c>
      <c r="E4291">
        <v>26</v>
      </c>
      <c r="F4291" t="s">
        <v>21</v>
      </c>
      <c r="G4291" t="s">
        <v>164</v>
      </c>
      <c r="H4291" t="s">
        <v>20</v>
      </c>
      <c r="I4291">
        <v>8</v>
      </c>
    </row>
    <row r="4292" spans="1:9" x14ac:dyDescent="0.2">
      <c r="A4292">
        <v>20681029</v>
      </c>
      <c r="B4292">
        <v>6</v>
      </c>
      <c r="C4292">
        <v>1315</v>
      </c>
      <c r="D4292">
        <v>0</v>
      </c>
      <c r="E4292">
        <v>26</v>
      </c>
      <c r="F4292" t="s">
        <v>21</v>
      </c>
      <c r="G4292" t="s">
        <v>304</v>
      </c>
      <c r="H4292" t="s">
        <v>20</v>
      </c>
      <c r="I4292">
        <v>8</v>
      </c>
    </row>
    <row r="4293" spans="1:9" x14ac:dyDescent="0.2">
      <c r="A4293">
        <v>20723789</v>
      </c>
      <c r="B4293">
        <v>1</v>
      </c>
      <c r="C4293">
        <v>1714</v>
      </c>
      <c r="D4293">
        <v>52170</v>
      </c>
      <c r="E4293">
        <v>25</v>
      </c>
      <c r="F4293" t="s">
        <v>57</v>
      </c>
      <c r="G4293" t="s">
        <v>95</v>
      </c>
      <c r="H4293" t="s">
        <v>69</v>
      </c>
      <c r="I4293">
        <v>10</v>
      </c>
    </row>
    <row r="4294" spans="1:9" x14ac:dyDescent="0.2">
      <c r="A4294">
        <v>20723789</v>
      </c>
      <c r="B4294">
        <v>2</v>
      </c>
      <c r="C4294">
        <v>1787</v>
      </c>
      <c r="D4294">
        <v>53200</v>
      </c>
      <c r="E4294">
        <v>25</v>
      </c>
      <c r="F4294" t="s">
        <v>57</v>
      </c>
      <c r="G4294" t="s">
        <v>49</v>
      </c>
      <c r="H4294" t="s">
        <v>56</v>
      </c>
      <c r="I4294">
        <v>10</v>
      </c>
    </row>
    <row r="4295" spans="1:9" x14ac:dyDescent="0.2">
      <c r="A4295">
        <v>20723789</v>
      </c>
      <c r="B4295">
        <v>3</v>
      </c>
      <c r="C4295">
        <v>1786</v>
      </c>
      <c r="D4295">
        <v>53200</v>
      </c>
      <c r="E4295">
        <v>25</v>
      </c>
      <c r="F4295" t="s">
        <v>57</v>
      </c>
      <c r="G4295" t="s">
        <v>103</v>
      </c>
      <c r="H4295" t="s">
        <v>56</v>
      </c>
      <c r="I4295">
        <v>10</v>
      </c>
    </row>
    <row r="4296" spans="1:9" x14ac:dyDescent="0.2">
      <c r="A4296">
        <v>20723789</v>
      </c>
      <c r="B4296">
        <v>4</v>
      </c>
      <c r="C4296">
        <v>1788</v>
      </c>
      <c r="D4296">
        <v>55105</v>
      </c>
      <c r="E4296">
        <v>25</v>
      </c>
      <c r="F4296" t="s">
        <v>57</v>
      </c>
      <c r="G4296" t="s">
        <v>97</v>
      </c>
      <c r="H4296" t="s">
        <v>56</v>
      </c>
      <c r="I4296">
        <v>10</v>
      </c>
    </row>
    <row r="4297" spans="1:9" x14ac:dyDescent="0.2">
      <c r="A4297">
        <v>20723789</v>
      </c>
      <c r="B4297">
        <v>5</v>
      </c>
      <c r="C4297">
        <v>1775</v>
      </c>
      <c r="D4297">
        <v>53200</v>
      </c>
      <c r="E4297">
        <v>24</v>
      </c>
      <c r="F4297" t="s">
        <v>57</v>
      </c>
      <c r="G4297" t="s">
        <v>94</v>
      </c>
      <c r="H4297" t="s">
        <v>69</v>
      </c>
      <c r="I4297">
        <v>10</v>
      </c>
    </row>
    <row r="4298" spans="1:9" x14ac:dyDescent="0.2">
      <c r="A4298">
        <v>20735790</v>
      </c>
      <c r="B4298">
        <v>1</v>
      </c>
      <c r="C4298">
        <v>3242</v>
      </c>
      <c r="D4298">
        <v>52880</v>
      </c>
      <c r="E4298">
        <v>25</v>
      </c>
      <c r="F4298" t="s">
        <v>47</v>
      </c>
      <c r="G4298" t="s">
        <v>90</v>
      </c>
      <c r="H4298" t="s">
        <v>46</v>
      </c>
      <c r="I4298">
        <v>10</v>
      </c>
    </row>
    <row r="4299" spans="1:9" x14ac:dyDescent="0.2">
      <c r="A4299">
        <v>20735790</v>
      </c>
      <c r="B4299">
        <v>2</v>
      </c>
      <c r="C4299">
        <v>3234</v>
      </c>
      <c r="D4299">
        <v>52875</v>
      </c>
      <c r="E4299">
        <v>25</v>
      </c>
      <c r="F4299" t="s">
        <v>47</v>
      </c>
      <c r="G4299" t="s">
        <v>76</v>
      </c>
      <c r="H4299" t="s">
        <v>46</v>
      </c>
      <c r="I4299">
        <v>10</v>
      </c>
    </row>
    <row r="4300" spans="1:9" x14ac:dyDescent="0.2">
      <c r="A4300">
        <v>20735790</v>
      </c>
      <c r="B4300">
        <v>3</v>
      </c>
      <c r="C4300">
        <v>3244</v>
      </c>
      <c r="D4300">
        <v>52270</v>
      </c>
      <c r="E4300">
        <v>24</v>
      </c>
      <c r="F4300" t="s">
        <v>47</v>
      </c>
      <c r="G4300" t="s">
        <v>73</v>
      </c>
      <c r="H4300" t="s">
        <v>74</v>
      </c>
      <c r="I4300">
        <v>10</v>
      </c>
    </row>
    <row r="4301" spans="1:9" x14ac:dyDescent="0.2">
      <c r="A4301">
        <v>20735790</v>
      </c>
      <c r="B4301">
        <v>4</v>
      </c>
      <c r="C4301">
        <v>3243</v>
      </c>
      <c r="D4301">
        <v>0</v>
      </c>
      <c r="E4301">
        <v>26</v>
      </c>
      <c r="F4301" t="s">
        <v>47</v>
      </c>
      <c r="G4301" t="s">
        <v>75</v>
      </c>
      <c r="H4301" t="s">
        <v>46</v>
      </c>
      <c r="I4301">
        <v>10</v>
      </c>
    </row>
    <row r="4302" spans="1:9" x14ac:dyDescent="0.2">
      <c r="A4302">
        <v>20756236</v>
      </c>
      <c r="B4302">
        <v>1</v>
      </c>
      <c r="C4302">
        <v>3252</v>
      </c>
      <c r="D4302">
        <v>45580</v>
      </c>
      <c r="E4302">
        <v>25</v>
      </c>
      <c r="F4302" t="s">
        <v>47</v>
      </c>
      <c r="G4302" t="s">
        <v>45</v>
      </c>
      <c r="H4302" t="s">
        <v>46</v>
      </c>
      <c r="I4302">
        <v>10</v>
      </c>
    </row>
    <row r="4303" spans="1:9" x14ac:dyDescent="0.2">
      <c r="A4303">
        <v>20756236</v>
      </c>
      <c r="B4303">
        <v>2</v>
      </c>
      <c r="C4303">
        <v>3248</v>
      </c>
      <c r="D4303">
        <v>45945</v>
      </c>
      <c r="E4303">
        <v>25</v>
      </c>
      <c r="F4303" t="s">
        <v>47</v>
      </c>
      <c r="G4303" t="s">
        <v>92</v>
      </c>
      <c r="H4303" t="s">
        <v>46</v>
      </c>
      <c r="I4303">
        <v>10</v>
      </c>
    </row>
    <row r="4304" spans="1:9" x14ac:dyDescent="0.2">
      <c r="A4304">
        <v>20756236</v>
      </c>
      <c r="B4304">
        <v>3</v>
      </c>
      <c r="C4304">
        <v>3237</v>
      </c>
      <c r="D4304">
        <v>46705</v>
      </c>
      <c r="E4304">
        <v>25</v>
      </c>
      <c r="F4304" t="s">
        <v>47</v>
      </c>
      <c r="G4304" t="s">
        <v>181</v>
      </c>
      <c r="H4304" t="s">
        <v>46</v>
      </c>
      <c r="I4304">
        <v>10</v>
      </c>
    </row>
    <row r="4305" spans="1:9" x14ac:dyDescent="0.2">
      <c r="A4305">
        <v>20756236</v>
      </c>
      <c r="B4305">
        <v>4</v>
      </c>
      <c r="C4305">
        <v>3261</v>
      </c>
      <c r="D4305">
        <v>45270</v>
      </c>
      <c r="E4305">
        <v>25</v>
      </c>
      <c r="F4305" t="s">
        <v>47</v>
      </c>
      <c r="G4305" t="s">
        <v>93</v>
      </c>
      <c r="H4305" t="s">
        <v>46</v>
      </c>
      <c r="I4305">
        <v>10</v>
      </c>
    </row>
    <row r="4306" spans="1:9" x14ac:dyDescent="0.2">
      <c r="A4306">
        <v>20767985</v>
      </c>
      <c r="B4306">
        <v>1</v>
      </c>
      <c r="C4306">
        <v>3081</v>
      </c>
      <c r="D4306">
        <v>0</v>
      </c>
      <c r="E4306">
        <v>17</v>
      </c>
      <c r="F4306" t="s">
        <v>44</v>
      </c>
      <c r="G4306" t="s">
        <v>337</v>
      </c>
      <c r="H4306" t="s">
        <v>55</v>
      </c>
      <c r="I4306">
        <v>9</v>
      </c>
    </row>
    <row r="4307" spans="1:9" x14ac:dyDescent="0.2">
      <c r="A4307">
        <v>20767985</v>
      </c>
      <c r="B4307">
        <v>2</v>
      </c>
      <c r="C4307">
        <v>3719</v>
      </c>
      <c r="D4307">
        <v>48830</v>
      </c>
      <c r="E4307">
        <v>24</v>
      </c>
      <c r="F4307" t="s">
        <v>116</v>
      </c>
      <c r="G4307" t="s">
        <v>66</v>
      </c>
      <c r="H4307" t="s">
        <v>61</v>
      </c>
      <c r="I4307">
        <v>9</v>
      </c>
    </row>
    <row r="4308" spans="1:9" x14ac:dyDescent="0.2">
      <c r="A4308">
        <v>20767985</v>
      </c>
      <c r="B4308">
        <v>3</v>
      </c>
      <c r="C4308">
        <v>1779</v>
      </c>
      <c r="D4308">
        <v>0</v>
      </c>
      <c r="E4308">
        <v>26</v>
      </c>
      <c r="F4308" t="s">
        <v>57</v>
      </c>
      <c r="G4308" t="s">
        <v>162</v>
      </c>
      <c r="H4308" t="s">
        <v>79</v>
      </c>
      <c r="I4308">
        <v>10</v>
      </c>
    </row>
    <row r="4309" spans="1:9" x14ac:dyDescent="0.2">
      <c r="A4309">
        <v>20767985</v>
      </c>
      <c r="B4309">
        <v>4</v>
      </c>
      <c r="C4309">
        <v>3296</v>
      </c>
      <c r="D4309">
        <v>0</v>
      </c>
      <c r="E4309">
        <v>26</v>
      </c>
      <c r="F4309" t="s">
        <v>47</v>
      </c>
      <c r="G4309" t="s">
        <v>100</v>
      </c>
      <c r="H4309" t="s">
        <v>46</v>
      </c>
      <c r="I4309">
        <v>10</v>
      </c>
    </row>
    <row r="4310" spans="1:9" x14ac:dyDescent="0.2">
      <c r="A4310">
        <v>20767985</v>
      </c>
      <c r="B4310">
        <v>5</v>
      </c>
      <c r="C4310">
        <v>3218</v>
      </c>
      <c r="D4310">
        <v>0</v>
      </c>
      <c r="E4310">
        <v>26</v>
      </c>
      <c r="F4310" t="s">
        <v>47</v>
      </c>
      <c r="G4310" t="s">
        <v>66</v>
      </c>
      <c r="H4310" t="s">
        <v>74</v>
      </c>
      <c r="I4310">
        <v>10</v>
      </c>
    </row>
    <row r="4311" spans="1:9" x14ac:dyDescent="0.2">
      <c r="A4311">
        <v>20767985</v>
      </c>
      <c r="B4311">
        <v>6</v>
      </c>
      <c r="C4311">
        <v>3225</v>
      </c>
      <c r="D4311">
        <v>0</v>
      </c>
      <c r="E4311">
        <v>26</v>
      </c>
      <c r="F4311" t="s">
        <v>47</v>
      </c>
      <c r="G4311" t="s">
        <v>106</v>
      </c>
      <c r="H4311" t="s">
        <v>46</v>
      </c>
      <c r="I4311">
        <v>10</v>
      </c>
    </row>
    <row r="4312" spans="1:9" x14ac:dyDescent="0.2">
      <c r="A4312">
        <v>20811869</v>
      </c>
      <c r="B4312">
        <v>1</v>
      </c>
      <c r="C4312">
        <v>1704</v>
      </c>
      <c r="D4312">
        <v>62320</v>
      </c>
      <c r="E4312">
        <v>24</v>
      </c>
      <c r="F4312" t="s">
        <v>57</v>
      </c>
      <c r="G4312" t="s">
        <v>82</v>
      </c>
      <c r="H4312" t="s">
        <v>79</v>
      </c>
      <c r="I4312">
        <v>10</v>
      </c>
    </row>
    <row r="4313" spans="1:9" x14ac:dyDescent="0.2">
      <c r="A4313">
        <v>20811869</v>
      </c>
      <c r="B4313">
        <v>2</v>
      </c>
      <c r="C4313">
        <v>1608</v>
      </c>
      <c r="D4313">
        <v>0</v>
      </c>
      <c r="E4313">
        <v>26</v>
      </c>
      <c r="F4313" t="s">
        <v>128</v>
      </c>
      <c r="G4313" t="s">
        <v>357</v>
      </c>
      <c r="H4313" t="s">
        <v>127</v>
      </c>
      <c r="I4313" t="s">
        <v>448</v>
      </c>
    </row>
    <row r="4314" spans="1:9" x14ac:dyDescent="0.2">
      <c r="A4314">
        <v>20811869</v>
      </c>
      <c r="B4314">
        <v>3</v>
      </c>
      <c r="C4314">
        <v>1504</v>
      </c>
      <c r="D4314">
        <v>0</v>
      </c>
      <c r="E4314">
        <v>26</v>
      </c>
      <c r="F4314" t="s">
        <v>142</v>
      </c>
      <c r="G4314" t="s">
        <v>121</v>
      </c>
      <c r="H4314" t="s">
        <v>31</v>
      </c>
      <c r="I4314">
        <v>5</v>
      </c>
    </row>
    <row r="4315" spans="1:9" x14ac:dyDescent="0.2">
      <c r="A4315">
        <v>20811869</v>
      </c>
      <c r="B4315">
        <v>4</v>
      </c>
      <c r="C4315">
        <v>1369</v>
      </c>
      <c r="D4315">
        <v>0</v>
      </c>
      <c r="E4315">
        <v>26</v>
      </c>
      <c r="F4315" t="s">
        <v>21</v>
      </c>
      <c r="G4315" t="s">
        <v>121</v>
      </c>
      <c r="H4315" t="s">
        <v>20</v>
      </c>
      <c r="I4315">
        <v>8</v>
      </c>
    </row>
    <row r="4316" spans="1:9" x14ac:dyDescent="0.2">
      <c r="A4316">
        <v>20811869</v>
      </c>
      <c r="B4316">
        <v>5</v>
      </c>
      <c r="C4316">
        <v>1506</v>
      </c>
      <c r="D4316">
        <v>0</v>
      </c>
      <c r="E4316">
        <v>26</v>
      </c>
      <c r="F4316" t="s">
        <v>142</v>
      </c>
      <c r="G4316" t="s">
        <v>78</v>
      </c>
      <c r="H4316" t="s">
        <v>31</v>
      </c>
      <c r="I4316">
        <v>5</v>
      </c>
    </row>
    <row r="4317" spans="1:9" x14ac:dyDescent="0.2">
      <c r="A4317">
        <v>20811869</v>
      </c>
      <c r="B4317">
        <v>6</v>
      </c>
      <c r="C4317">
        <v>1736</v>
      </c>
      <c r="D4317">
        <v>0</v>
      </c>
      <c r="E4317">
        <v>26</v>
      </c>
      <c r="F4317" t="s">
        <v>57</v>
      </c>
      <c r="G4317" t="s">
        <v>78</v>
      </c>
      <c r="H4317" t="s">
        <v>79</v>
      </c>
      <c r="I4317">
        <v>10</v>
      </c>
    </row>
    <row r="4318" spans="1:9" x14ac:dyDescent="0.2">
      <c r="A4318">
        <v>20811869</v>
      </c>
      <c r="B4318">
        <v>7</v>
      </c>
      <c r="C4318">
        <v>1733</v>
      </c>
      <c r="D4318">
        <v>0</v>
      </c>
      <c r="E4318">
        <v>26</v>
      </c>
      <c r="F4318" t="s">
        <v>57</v>
      </c>
      <c r="G4318" t="s">
        <v>18</v>
      </c>
      <c r="H4318" t="s">
        <v>69</v>
      </c>
      <c r="I4318">
        <v>10</v>
      </c>
    </row>
    <row r="4319" spans="1:9" x14ac:dyDescent="0.2">
      <c r="A4319">
        <v>20819559</v>
      </c>
      <c r="B4319">
        <v>1</v>
      </c>
      <c r="C4319">
        <v>1705</v>
      </c>
      <c r="D4319">
        <v>56570</v>
      </c>
      <c r="E4319">
        <v>25</v>
      </c>
      <c r="F4319" t="s">
        <v>57</v>
      </c>
      <c r="G4319" t="s">
        <v>102</v>
      </c>
      <c r="H4319" t="s">
        <v>69</v>
      </c>
      <c r="I4319">
        <v>10</v>
      </c>
    </row>
    <row r="4320" spans="1:9" x14ac:dyDescent="0.2">
      <c r="A4320">
        <v>20819559</v>
      </c>
      <c r="B4320">
        <v>2</v>
      </c>
      <c r="C4320">
        <v>1732</v>
      </c>
      <c r="D4320">
        <v>57255</v>
      </c>
      <c r="E4320">
        <v>25</v>
      </c>
      <c r="F4320" t="s">
        <v>57</v>
      </c>
      <c r="G4320" t="s">
        <v>104</v>
      </c>
      <c r="H4320" t="s">
        <v>69</v>
      </c>
      <c r="I4320">
        <v>10</v>
      </c>
    </row>
    <row r="4321" spans="1:9" x14ac:dyDescent="0.2">
      <c r="A4321">
        <v>20842532</v>
      </c>
      <c r="B4321">
        <v>1</v>
      </c>
      <c r="C4321">
        <v>3243</v>
      </c>
      <c r="D4321">
        <v>51100</v>
      </c>
      <c r="E4321">
        <v>25</v>
      </c>
      <c r="F4321" t="s">
        <v>47</v>
      </c>
      <c r="G4321" t="s">
        <v>75</v>
      </c>
      <c r="H4321" t="s">
        <v>46</v>
      </c>
      <c r="I4321">
        <v>10</v>
      </c>
    </row>
    <row r="4322" spans="1:9" x14ac:dyDescent="0.2">
      <c r="A4322">
        <v>20842532</v>
      </c>
      <c r="B4322">
        <v>2</v>
      </c>
      <c r="C4322">
        <v>3252</v>
      </c>
      <c r="D4322">
        <v>49585</v>
      </c>
      <c r="E4322">
        <v>25</v>
      </c>
      <c r="F4322" t="s">
        <v>47</v>
      </c>
      <c r="G4322" t="s">
        <v>45</v>
      </c>
      <c r="H4322" t="s">
        <v>46</v>
      </c>
      <c r="I4322">
        <v>10</v>
      </c>
    </row>
    <row r="4323" spans="1:9" x14ac:dyDescent="0.2">
      <c r="A4323">
        <v>20842532</v>
      </c>
      <c r="B4323">
        <v>3</v>
      </c>
      <c r="C4323">
        <v>3242</v>
      </c>
      <c r="D4323">
        <v>49710</v>
      </c>
      <c r="E4323">
        <v>25</v>
      </c>
      <c r="F4323" t="s">
        <v>47</v>
      </c>
      <c r="G4323" t="s">
        <v>90</v>
      </c>
      <c r="H4323" t="s">
        <v>46</v>
      </c>
      <c r="I4323">
        <v>10</v>
      </c>
    </row>
    <row r="4324" spans="1:9" x14ac:dyDescent="0.2">
      <c r="A4324">
        <v>20842532</v>
      </c>
      <c r="B4324">
        <v>4</v>
      </c>
      <c r="C4324">
        <v>3246</v>
      </c>
      <c r="D4324">
        <v>49585</v>
      </c>
      <c r="E4324">
        <v>25</v>
      </c>
      <c r="F4324" t="s">
        <v>47</v>
      </c>
      <c r="G4324" t="s">
        <v>91</v>
      </c>
      <c r="H4324" t="s">
        <v>74</v>
      </c>
      <c r="I4324">
        <v>10</v>
      </c>
    </row>
    <row r="4325" spans="1:9" x14ac:dyDescent="0.2">
      <c r="A4325">
        <v>20842532</v>
      </c>
      <c r="B4325">
        <v>5</v>
      </c>
      <c r="C4325">
        <v>3234</v>
      </c>
      <c r="D4325">
        <v>50790</v>
      </c>
      <c r="E4325">
        <v>25</v>
      </c>
      <c r="F4325" t="s">
        <v>47</v>
      </c>
      <c r="G4325" t="s">
        <v>76</v>
      </c>
      <c r="H4325" t="s">
        <v>46</v>
      </c>
      <c r="I4325">
        <v>10</v>
      </c>
    </row>
    <row r="4326" spans="1:9" x14ac:dyDescent="0.2">
      <c r="A4326">
        <v>20842532</v>
      </c>
      <c r="B4326">
        <v>6</v>
      </c>
      <c r="C4326">
        <v>3261</v>
      </c>
      <c r="D4326">
        <v>50220</v>
      </c>
      <c r="E4326">
        <v>25</v>
      </c>
      <c r="F4326" t="s">
        <v>47</v>
      </c>
      <c r="G4326" t="s">
        <v>93</v>
      </c>
      <c r="H4326" t="s">
        <v>46</v>
      </c>
      <c r="I4326">
        <v>10</v>
      </c>
    </row>
    <row r="4327" spans="1:9" x14ac:dyDescent="0.2">
      <c r="A4327">
        <v>20845411</v>
      </c>
      <c r="B4327">
        <v>1</v>
      </c>
      <c r="C4327">
        <v>1519</v>
      </c>
      <c r="D4327">
        <v>60215</v>
      </c>
      <c r="E4327">
        <v>25</v>
      </c>
      <c r="F4327" t="s">
        <v>142</v>
      </c>
      <c r="G4327" t="s">
        <v>18</v>
      </c>
      <c r="H4327" t="s">
        <v>31</v>
      </c>
      <c r="I4327">
        <v>5</v>
      </c>
    </row>
    <row r="4328" spans="1:9" x14ac:dyDescent="0.2">
      <c r="A4328">
        <v>20845411</v>
      </c>
      <c r="B4328">
        <v>2</v>
      </c>
      <c r="C4328">
        <v>1920</v>
      </c>
      <c r="D4328">
        <v>61000</v>
      </c>
      <c r="E4328">
        <v>24</v>
      </c>
      <c r="F4328" t="s">
        <v>32</v>
      </c>
      <c r="G4328" t="s">
        <v>18</v>
      </c>
      <c r="H4328" t="s">
        <v>31</v>
      </c>
      <c r="I4328">
        <v>5</v>
      </c>
    </row>
    <row r="4329" spans="1:9" x14ac:dyDescent="0.2">
      <c r="A4329">
        <v>20845411</v>
      </c>
      <c r="B4329">
        <v>3</v>
      </c>
      <c r="C4329">
        <v>1410</v>
      </c>
      <c r="D4329">
        <v>0</v>
      </c>
      <c r="E4329">
        <v>26</v>
      </c>
      <c r="F4329" t="s">
        <v>25</v>
      </c>
      <c r="G4329" t="s">
        <v>411</v>
      </c>
      <c r="H4329" t="s">
        <v>24</v>
      </c>
      <c r="I4329">
        <v>5</v>
      </c>
    </row>
    <row r="4330" spans="1:9" x14ac:dyDescent="0.2">
      <c r="A4330">
        <v>20874333</v>
      </c>
      <c r="B4330">
        <v>1</v>
      </c>
      <c r="C4330">
        <v>3225</v>
      </c>
      <c r="D4330">
        <v>57030</v>
      </c>
      <c r="E4330">
        <v>24</v>
      </c>
      <c r="F4330" t="s">
        <v>47</v>
      </c>
      <c r="G4330" t="s">
        <v>106</v>
      </c>
      <c r="H4330" t="s">
        <v>46</v>
      </c>
      <c r="I4330">
        <v>10</v>
      </c>
    </row>
    <row r="4331" spans="1:9" x14ac:dyDescent="0.2">
      <c r="A4331">
        <v>20874333</v>
      </c>
      <c r="B4331">
        <v>2</v>
      </c>
      <c r="C4331">
        <v>1714</v>
      </c>
      <c r="D4331">
        <v>0</v>
      </c>
      <c r="E4331">
        <v>26</v>
      </c>
      <c r="F4331" t="s">
        <v>57</v>
      </c>
      <c r="G4331" t="s">
        <v>95</v>
      </c>
      <c r="H4331" t="s">
        <v>69</v>
      </c>
      <c r="I4331">
        <v>10</v>
      </c>
    </row>
    <row r="4332" spans="1:9" x14ac:dyDescent="0.2">
      <c r="A4332">
        <v>20884923</v>
      </c>
      <c r="B4332">
        <v>1</v>
      </c>
      <c r="C4332">
        <v>3229</v>
      </c>
      <c r="D4332">
        <v>54385</v>
      </c>
      <c r="E4332">
        <v>24</v>
      </c>
      <c r="F4332" t="s">
        <v>47</v>
      </c>
      <c r="G4332" t="s">
        <v>101</v>
      </c>
      <c r="H4332" t="s">
        <v>46</v>
      </c>
      <c r="I4332">
        <v>10</v>
      </c>
    </row>
    <row r="4333" spans="1:9" x14ac:dyDescent="0.2">
      <c r="A4333">
        <v>20884923</v>
      </c>
      <c r="B4333">
        <v>2</v>
      </c>
      <c r="C4333">
        <v>1787</v>
      </c>
      <c r="D4333">
        <v>0</v>
      </c>
      <c r="E4333">
        <v>26</v>
      </c>
      <c r="F4333" t="s">
        <v>57</v>
      </c>
      <c r="G4333" t="s">
        <v>49</v>
      </c>
      <c r="H4333" t="s">
        <v>56</v>
      </c>
      <c r="I4333">
        <v>10</v>
      </c>
    </row>
    <row r="4334" spans="1:9" x14ac:dyDescent="0.2">
      <c r="A4334">
        <v>20884923</v>
      </c>
      <c r="B4334">
        <v>3</v>
      </c>
      <c r="C4334">
        <v>1786</v>
      </c>
      <c r="D4334">
        <v>0</v>
      </c>
      <c r="E4334">
        <v>26</v>
      </c>
      <c r="F4334" t="s">
        <v>57</v>
      </c>
      <c r="G4334" t="s">
        <v>103</v>
      </c>
      <c r="H4334" t="s">
        <v>56</v>
      </c>
      <c r="I4334">
        <v>10</v>
      </c>
    </row>
    <row r="4335" spans="1:9" x14ac:dyDescent="0.2">
      <c r="A4335">
        <v>20884923</v>
      </c>
      <c r="B4335">
        <v>4</v>
      </c>
      <c r="C4335">
        <v>1752</v>
      </c>
      <c r="D4335">
        <v>0</v>
      </c>
      <c r="E4335">
        <v>26</v>
      </c>
      <c r="F4335" t="s">
        <v>57</v>
      </c>
      <c r="G4335" t="s">
        <v>66</v>
      </c>
      <c r="H4335" t="s">
        <v>56</v>
      </c>
      <c r="I4335">
        <v>10</v>
      </c>
    </row>
    <row r="4336" spans="1:9" x14ac:dyDescent="0.2">
      <c r="A4336">
        <v>20884923</v>
      </c>
      <c r="B4336">
        <v>5</v>
      </c>
      <c r="C4336">
        <v>3223</v>
      </c>
      <c r="D4336">
        <v>0</v>
      </c>
      <c r="E4336">
        <v>26</v>
      </c>
      <c r="F4336" t="s">
        <v>47</v>
      </c>
      <c r="G4336" t="s">
        <v>105</v>
      </c>
      <c r="H4336" t="s">
        <v>46</v>
      </c>
      <c r="I4336">
        <v>10</v>
      </c>
    </row>
    <row r="4337" spans="1:9" x14ac:dyDescent="0.2">
      <c r="A4337">
        <v>20884923</v>
      </c>
      <c r="B4337">
        <v>6</v>
      </c>
      <c r="C4337">
        <v>3200</v>
      </c>
      <c r="D4337">
        <v>0</v>
      </c>
      <c r="E4337">
        <v>26</v>
      </c>
      <c r="F4337" t="s">
        <v>47</v>
      </c>
      <c r="G4337" t="s">
        <v>18</v>
      </c>
      <c r="H4337" t="s">
        <v>46</v>
      </c>
      <c r="I4337">
        <v>10</v>
      </c>
    </row>
    <row r="4338" spans="1:9" x14ac:dyDescent="0.2">
      <c r="A4338">
        <v>20884923</v>
      </c>
      <c r="B4338">
        <v>7</v>
      </c>
      <c r="C4338">
        <v>3219</v>
      </c>
      <c r="D4338">
        <v>0</v>
      </c>
      <c r="E4338">
        <v>26</v>
      </c>
      <c r="F4338" t="s">
        <v>47</v>
      </c>
      <c r="G4338" t="s">
        <v>205</v>
      </c>
      <c r="H4338" t="s">
        <v>74</v>
      </c>
      <c r="I4338">
        <v>10</v>
      </c>
    </row>
    <row r="4339" spans="1:9" x14ac:dyDescent="0.2">
      <c r="A4339">
        <v>20884923</v>
      </c>
      <c r="B4339">
        <v>8</v>
      </c>
      <c r="C4339">
        <v>3218</v>
      </c>
      <c r="D4339">
        <v>0</v>
      </c>
      <c r="E4339">
        <v>26</v>
      </c>
      <c r="F4339" t="s">
        <v>47</v>
      </c>
      <c r="G4339" t="s">
        <v>66</v>
      </c>
      <c r="H4339" t="s">
        <v>74</v>
      </c>
      <c r="I4339">
        <v>10</v>
      </c>
    </row>
    <row r="4340" spans="1:9" x14ac:dyDescent="0.2">
      <c r="A4340">
        <v>20928469</v>
      </c>
      <c r="B4340">
        <v>1</v>
      </c>
      <c r="C4340">
        <v>1705</v>
      </c>
      <c r="D4340">
        <v>56050</v>
      </c>
      <c r="E4340">
        <v>25</v>
      </c>
      <c r="F4340" t="s">
        <v>57</v>
      </c>
      <c r="G4340" t="s">
        <v>102</v>
      </c>
      <c r="H4340" t="s">
        <v>69</v>
      </c>
      <c r="I4340">
        <v>10</v>
      </c>
    </row>
    <row r="4341" spans="1:9" x14ac:dyDescent="0.2">
      <c r="A4341">
        <v>20943070</v>
      </c>
      <c r="B4341">
        <v>1</v>
      </c>
      <c r="C4341">
        <v>1991</v>
      </c>
      <c r="D4341">
        <v>49430</v>
      </c>
      <c r="E4341">
        <v>25</v>
      </c>
      <c r="F4341" t="s">
        <v>32</v>
      </c>
      <c r="G4341" t="s">
        <v>247</v>
      </c>
      <c r="H4341" t="s">
        <v>31</v>
      </c>
      <c r="I4341">
        <v>5</v>
      </c>
    </row>
    <row r="4342" spans="1:9" x14ac:dyDescent="0.2">
      <c r="A4342">
        <v>20943070</v>
      </c>
      <c r="B4342">
        <v>2</v>
      </c>
      <c r="C4342">
        <v>2671</v>
      </c>
      <c r="D4342">
        <v>50650</v>
      </c>
      <c r="E4342">
        <v>25</v>
      </c>
      <c r="F4342" t="s">
        <v>71</v>
      </c>
      <c r="G4342" t="s">
        <v>258</v>
      </c>
      <c r="H4342" t="s">
        <v>24</v>
      </c>
      <c r="I4342">
        <v>5</v>
      </c>
    </row>
    <row r="4343" spans="1:9" x14ac:dyDescent="0.2">
      <c r="A4343">
        <v>20943070</v>
      </c>
      <c r="B4343">
        <v>3</v>
      </c>
      <c r="C4343">
        <v>2954</v>
      </c>
      <c r="D4343">
        <v>50720</v>
      </c>
      <c r="E4343">
        <v>25</v>
      </c>
      <c r="F4343" t="s">
        <v>119</v>
      </c>
      <c r="G4343" t="s">
        <v>247</v>
      </c>
      <c r="H4343" t="s">
        <v>136</v>
      </c>
      <c r="I4343">
        <v>8</v>
      </c>
    </row>
    <row r="4344" spans="1:9" x14ac:dyDescent="0.2">
      <c r="A4344">
        <v>20943070</v>
      </c>
      <c r="B4344">
        <v>4</v>
      </c>
      <c r="C4344">
        <v>2515</v>
      </c>
      <c r="D4344">
        <v>50185</v>
      </c>
      <c r="E4344">
        <v>25</v>
      </c>
      <c r="F4344" t="s">
        <v>175</v>
      </c>
      <c r="G4344" t="s">
        <v>18</v>
      </c>
      <c r="H4344" t="s">
        <v>213</v>
      </c>
      <c r="I4344">
        <v>4</v>
      </c>
    </row>
    <row r="4345" spans="1:9" x14ac:dyDescent="0.2">
      <c r="A4345">
        <v>20943070</v>
      </c>
      <c r="B4345">
        <v>5</v>
      </c>
      <c r="C4345">
        <v>2638</v>
      </c>
      <c r="D4345">
        <v>50185</v>
      </c>
      <c r="E4345">
        <v>25</v>
      </c>
      <c r="F4345" t="s">
        <v>71</v>
      </c>
      <c r="G4345" t="s">
        <v>259</v>
      </c>
      <c r="H4345" t="s">
        <v>24</v>
      </c>
      <c r="I4345">
        <v>5</v>
      </c>
    </row>
    <row r="4346" spans="1:9" x14ac:dyDescent="0.2">
      <c r="A4346">
        <v>20943070</v>
      </c>
      <c r="B4346">
        <v>6</v>
      </c>
      <c r="C4346">
        <v>2639</v>
      </c>
      <c r="D4346">
        <v>50185</v>
      </c>
      <c r="E4346">
        <v>25</v>
      </c>
      <c r="F4346" t="s">
        <v>71</v>
      </c>
      <c r="G4346" t="s">
        <v>260</v>
      </c>
      <c r="H4346" t="s">
        <v>24</v>
      </c>
      <c r="I4346">
        <v>5</v>
      </c>
    </row>
    <row r="4347" spans="1:9" x14ac:dyDescent="0.2">
      <c r="A4347">
        <v>20943070</v>
      </c>
      <c r="B4347">
        <v>7</v>
      </c>
      <c r="C4347">
        <v>3200</v>
      </c>
      <c r="D4347">
        <v>49430</v>
      </c>
      <c r="E4347">
        <v>25</v>
      </c>
      <c r="F4347" t="s">
        <v>47</v>
      </c>
      <c r="G4347" t="s">
        <v>18</v>
      </c>
      <c r="H4347" t="s">
        <v>46</v>
      </c>
      <c r="I4347">
        <v>10</v>
      </c>
    </row>
    <row r="4348" spans="1:9" x14ac:dyDescent="0.2">
      <c r="A4348">
        <v>20943070</v>
      </c>
      <c r="B4348">
        <v>8</v>
      </c>
      <c r="C4348">
        <v>3296</v>
      </c>
      <c r="D4348">
        <v>49430</v>
      </c>
      <c r="E4348">
        <v>24</v>
      </c>
      <c r="F4348" t="s">
        <v>47</v>
      </c>
      <c r="G4348" t="s">
        <v>100</v>
      </c>
      <c r="H4348" t="s">
        <v>46</v>
      </c>
      <c r="I4348">
        <v>10</v>
      </c>
    </row>
    <row r="4349" spans="1:9" x14ac:dyDescent="0.2">
      <c r="A4349">
        <v>20959285</v>
      </c>
      <c r="B4349">
        <v>1</v>
      </c>
      <c r="C4349">
        <v>1758</v>
      </c>
      <c r="D4349">
        <v>50600</v>
      </c>
      <c r="E4349">
        <v>24</v>
      </c>
      <c r="F4349" t="s">
        <v>57</v>
      </c>
      <c r="G4349" t="s">
        <v>106</v>
      </c>
      <c r="H4349" t="s">
        <v>56</v>
      </c>
      <c r="I4349">
        <v>10</v>
      </c>
    </row>
    <row r="4350" spans="1:9" x14ac:dyDescent="0.2">
      <c r="A4350">
        <v>20959285</v>
      </c>
      <c r="B4350">
        <v>2</v>
      </c>
      <c r="C4350">
        <v>3225</v>
      </c>
      <c r="D4350">
        <v>0</v>
      </c>
      <c r="E4350">
        <v>26</v>
      </c>
      <c r="F4350" t="s">
        <v>47</v>
      </c>
      <c r="G4350" t="s">
        <v>106</v>
      </c>
      <c r="H4350" t="s">
        <v>46</v>
      </c>
      <c r="I4350">
        <v>10</v>
      </c>
    </row>
    <row r="4351" spans="1:9" x14ac:dyDescent="0.2">
      <c r="A4351">
        <v>20959285</v>
      </c>
      <c r="B4351">
        <v>3</v>
      </c>
      <c r="C4351">
        <v>1778</v>
      </c>
      <c r="D4351">
        <v>0</v>
      </c>
      <c r="E4351">
        <v>26</v>
      </c>
      <c r="F4351" t="s">
        <v>57</v>
      </c>
      <c r="G4351" t="s">
        <v>84</v>
      </c>
      <c r="H4351" t="s">
        <v>56</v>
      </c>
      <c r="I4351">
        <v>10</v>
      </c>
    </row>
    <row r="4352" spans="1:9" x14ac:dyDescent="0.2">
      <c r="A4352">
        <v>20959285</v>
      </c>
      <c r="B4352">
        <v>4</v>
      </c>
      <c r="C4352">
        <v>1752</v>
      </c>
      <c r="D4352">
        <v>0</v>
      </c>
      <c r="E4352">
        <v>26</v>
      </c>
      <c r="F4352" t="s">
        <v>57</v>
      </c>
      <c r="G4352" t="s">
        <v>66</v>
      </c>
      <c r="H4352" t="s">
        <v>56</v>
      </c>
      <c r="I4352">
        <v>10</v>
      </c>
    </row>
    <row r="4353" spans="1:9" x14ac:dyDescent="0.2">
      <c r="A4353">
        <v>20959285</v>
      </c>
      <c r="B4353">
        <v>5</v>
      </c>
      <c r="C4353">
        <v>3269</v>
      </c>
      <c r="D4353">
        <v>0</v>
      </c>
      <c r="E4353">
        <v>26</v>
      </c>
      <c r="F4353" t="s">
        <v>47</v>
      </c>
      <c r="G4353" t="s">
        <v>180</v>
      </c>
      <c r="H4353" t="s">
        <v>46</v>
      </c>
      <c r="I4353">
        <v>10</v>
      </c>
    </row>
    <row r="4354" spans="1:9" x14ac:dyDescent="0.2">
      <c r="A4354">
        <v>20959286</v>
      </c>
      <c r="B4354">
        <v>1</v>
      </c>
      <c r="C4354">
        <v>3211</v>
      </c>
      <c r="D4354">
        <v>44535</v>
      </c>
      <c r="E4354">
        <v>25</v>
      </c>
      <c r="F4354" t="s">
        <v>47</v>
      </c>
      <c r="G4354" t="s">
        <v>99</v>
      </c>
      <c r="H4354" t="s">
        <v>46</v>
      </c>
      <c r="I4354">
        <v>10</v>
      </c>
    </row>
    <row r="4355" spans="1:9" x14ac:dyDescent="0.2">
      <c r="A4355">
        <v>20959286</v>
      </c>
      <c r="B4355">
        <v>2</v>
      </c>
      <c r="C4355">
        <v>3212</v>
      </c>
      <c r="D4355">
        <v>44905</v>
      </c>
      <c r="E4355">
        <v>25</v>
      </c>
      <c r="F4355" t="s">
        <v>47</v>
      </c>
      <c r="G4355" t="s">
        <v>84</v>
      </c>
      <c r="H4355" t="s">
        <v>46</v>
      </c>
      <c r="I4355">
        <v>10</v>
      </c>
    </row>
    <row r="4356" spans="1:9" x14ac:dyDescent="0.2">
      <c r="A4356">
        <v>21032574</v>
      </c>
      <c r="B4356">
        <v>1</v>
      </c>
      <c r="C4356">
        <v>1788</v>
      </c>
      <c r="D4356">
        <v>54165</v>
      </c>
      <c r="E4356">
        <v>25</v>
      </c>
      <c r="F4356" t="s">
        <v>57</v>
      </c>
      <c r="G4356" t="s">
        <v>97</v>
      </c>
      <c r="H4356" t="s">
        <v>56</v>
      </c>
      <c r="I4356">
        <v>10</v>
      </c>
    </row>
    <row r="4357" spans="1:9" x14ac:dyDescent="0.2">
      <c r="A4357">
        <v>21032574</v>
      </c>
      <c r="B4357">
        <v>2</v>
      </c>
      <c r="C4357">
        <v>3229</v>
      </c>
      <c r="D4357">
        <v>50570</v>
      </c>
      <c r="E4357">
        <v>25</v>
      </c>
      <c r="F4357" t="s">
        <v>47</v>
      </c>
      <c r="G4357" t="s">
        <v>101</v>
      </c>
      <c r="H4357" t="s">
        <v>46</v>
      </c>
      <c r="I4357">
        <v>10</v>
      </c>
    </row>
    <row r="4358" spans="1:9" x14ac:dyDescent="0.2">
      <c r="A4358">
        <v>21032574</v>
      </c>
      <c r="B4358">
        <v>3</v>
      </c>
      <c r="C4358">
        <v>3234</v>
      </c>
      <c r="D4358">
        <v>55495</v>
      </c>
      <c r="E4358">
        <v>25</v>
      </c>
      <c r="F4358" t="s">
        <v>47</v>
      </c>
      <c r="G4358" t="s">
        <v>76</v>
      </c>
      <c r="H4358" t="s">
        <v>46</v>
      </c>
      <c r="I4358">
        <v>10</v>
      </c>
    </row>
    <row r="4359" spans="1:9" x14ac:dyDescent="0.2">
      <c r="A4359">
        <v>21032574</v>
      </c>
      <c r="B4359">
        <v>4</v>
      </c>
      <c r="C4359">
        <v>1714</v>
      </c>
      <c r="D4359">
        <v>47530</v>
      </c>
      <c r="E4359">
        <v>25</v>
      </c>
      <c r="F4359" t="s">
        <v>57</v>
      </c>
      <c r="G4359" t="s">
        <v>95</v>
      </c>
      <c r="H4359" t="s">
        <v>69</v>
      </c>
      <c r="I4359">
        <v>10</v>
      </c>
    </row>
    <row r="4360" spans="1:9" x14ac:dyDescent="0.2">
      <c r="A4360">
        <v>21032574</v>
      </c>
      <c r="B4360">
        <v>5</v>
      </c>
      <c r="C4360">
        <v>1756</v>
      </c>
      <c r="D4360">
        <v>55310</v>
      </c>
      <c r="E4360">
        <v>24</v>
      </c>
      <c r="F4360" t="s">
        <v>57</v>
      </c>
      <c r="G4360" t="s">
        <v>89</v>
      </c>
      <c r="H4360" t="s">
        <v>69</v>
      </c>
      <c r="I4360">
        <v>10</v>
      </c>
    </row>
    <row r="4361" spans="1:9" x14ac:dyDescent="0.2">
      <c r="A4361">
        <v>21032574</v>
      </c>
      <c r="B4361">
        <v>6</v>
      </c>
      <c r="C4361">
        <v>1789</v>
      </c>
      <c r="D4361">
        <v>0</v>
      </c>
      <c r="E4361">
        <v>26</v>
      </c>
      <c r="F4361" t="s">
        <v>57</v>
      </c>
      <c r="G4361" t="s">
        <v>122</v>
      </c>
      <c r="H4361" t="s">
        <v>69</v>
      </c>
      <c r="I4361">
        <v>10</v>
      </c>
    </row>
    <row r="4362" spans="1:9" x14ac:dyDescent="0.2">
      <c r="A4362">
        <v>21032574</v>
      </c>
      <c r="B4362">
        <v>7</v>
      </c>
      <c r="C4362">
        <v>1734</v>
      </c>
      <c r="D4362">
        <v>0</v>
      </c>
      <c r="E4362">
        <v>26</v>
      </c>
      <c r="F4362" t="s">
        <v>57</v>
      </c>
      <c r="G4362" t="s">
        <v>81</v>
      </c>
      <c r="H4362" t="s">
        <v>69</v>
      </c>
      <c r="I4362">
        <v>10</v>
      </c>
    </row>
    <row r="4363" spans="1:9" x14ac:dyDescent="0.2">
      <c r="A4363">
        <v>21032574</v>
      </c>
      <c r="B4363">
        <v>8</v>
      </c>
      <c r="C4363">
        <v>1928</v>
      </c>
      <c r="D4363">
        <v>0</v>
      </c>
      <c r="E4363">
        <v>20</v>
      </c>
      <c r="F4363" t="s">
        <v>32</v>
      </c>
      <c r="G4363" t="s">
        <v>186</v>
      </c>
      <c r="H4363" t="s">
        <v>31</v>
      </c>
      <c r="I4363">
        <v>5</v>
      </c>
    </row>
    <row r="4364" spans="1:9" x14ac:dyDescent="0.2">
      <c r="A4364">
        <v>21061240</v>
      </c>
      <c r="B4364">
        <v>1</v>
      </c>
      <c r="C4364">
        <v>1734</v>
      </c>
      <c r="D4364">
        <v>64725</v>
      </c>
      <c r="E4364">
        <v>24</v>
      </c>
      <c r="F4364" t="s">
        <v>57</v>
      </c>
      <c r="G4364" t="s">
        <v>81</v>
      </c>
      <c r="H4364" t="s">
        <v>69</v>
      </c>
      <c r="I4364">
        <v>10</v>
      </c>
    </row>
    <row r="4365" spans="1:9" x14ac:dyDescent="0.2">
      <c r="A4365">
        <v>21061240</v>
      </c>
      <c r="B4365">
        <v>2</v>
      </c>
      <c r="C4365">
        <v>1702</v>
      </c>
      <c r="D4365">
        <v>0</v>
      </c>
      <c r="E4365">
        <v>26</v>
      </c>
      <c r="F4365" t="s">
        <v>57</v>
      </c>
      <c r="G4365" t="s">
        <v>164</v>
      </c>
      <c r="H4365" t="s">
        <v>69</v>
      </c>
      <c r="I4365">
        <v>10</v>
      </c>
    </row>
    <row r="4366" spans="1:9" x14ac:dyDescent="0.2">
      <c r="A4366">
        <v>21061240</v>
      </c>
      <c r="B4366">
        <v>3</v>
      </c>
      <c r="C4366">
        <v>1753</v>
      </c>
      <c r="D4366">
        <v>0</v>
      </c>
      <c r="E4366">
        <v>26</v>
      </c>
      <c r="F4366" t="s">
        <v>57</v>
      </c>
      <c r="G4366" t="s">
        <v>105</v>
      </c>
      <c r="H4366" t="s">
        <v>69</v>
      </c>
      <c r="I4366">
        <v>10</v>
      </c>
    </row>
    <row r="4367" spans="1:9" x14ac:dyDescent="0.2">
      <c r="A4367">
        <v>21061240</v>
      </c>
      <c r="B4367">
        <v>4</v>
      </c>
      <c r="C4367">
        <v>1776</v>
      </c>
      <c r="D4367">
        <v>0</v>
      </c>
      <c r="E4367">
        <v>26</v>
      </c>
      <c r="F4367" t="s">
        <v>57</v>
      </c>
      <c r="G4367" t="s">
        <v>124</v>
      </c>
      <c r="H4367" t="s">
        <v>125</v>
      </c>
      <c r="I4367">
        <v>10</v>
      </c>
    </row>
    <row r="4368" spans="1:9" x14ac:dyDescent="0.2">
      <c r="A4368">
        <v>21061240</v>
      </c>
      <c r="B4368">
        <v>5</v>
      </c>
      <c r="C4368">
        <v>1704</v>
      </c>
      <c r="D4368">
        <v>0</v>
      </c>
      <c r="E4368">
        <v>26</v>
      </c>
      <c r="F4368" t="s">
        <v>57</v>
      </c>
      <c r="G4368" t="s">
        <v>82</v>
      </c>
      <c r="H4368" t="s">
        <v>79</v>
      </c>
      <c r="I4368">
        <v>10</v>
      </c>
    </row>
    <row r="4369" spans="1:9" x14ac:dyDescent="0.2">
      <c r="A4369">
        <v>21129190</v>
      </c>
      <c r="B4369">
        <v>1</v>
      </c>
      <c r="C4369">
        <v>3269</v>
      </c>
      <c r="D4369">
        <v>48395</v>
      </c>
      <c r="E4369">
        <v>24</v>
      </c>
      <c r="F4369" t="s">
        <v>47</v>
      </c>
      <c r="G4369" t="s">
        <v>180</v>
      </c>
      <c r="H4369" t="s">
        <v>46</v>
      </c>
      <c r="I4369">
        <v>10</v>
      </c>
    </row>
    <row r="4370" spans="1:9" x14ac:dyDescent="0.2">
      <c r="A4370">
        <v>21129190</v>
      </c>
      <c r="B4370">
        <v>2</v>
      </c>
      <c r="C4370">
        <v>3234</v>
      </c>
      <c r="D4370">
        <v>0</v>
      </c>
      <c r="E4370">
        <v>26</v>
      </c>
      <c r="F4370" t="s">
        <v>47</v>
      </c>
      <c r="G4370" t="s">
        <v>76</v>
      </c>
      <c r="H4370" t="s">
        <v>46</v>
      </c>
      <c r="I4370">
        <v>10</v>
      </c>
    </row>
    <row r="4371" spans="1:9" x14ac:dyDescent="0.2">
      <c r="A4371">
        <v>21133518</v>
      </c>
      <c r="B4371">
        <v>1</v>
      </c>
      <c r="C4371">
        <v>1714</v>
      </c>
      <c r="D4371">
        <v>52320</v>
      </c>
      <c r="E4371">
        <v>25</v>
      </c>
      <c r="F4371" t="s">
        <v>57</v>
      </c>
      <c r="G4371" t="s">
        <v>95</v>
      </c>
      <c r="H4371" t="s">
        <v>69</v>
      </c>
      <c r="I4371">
        <v>10</v>
      </c>
    </row>
    <row r="4372" spans="1:9" x14ac:dyDescent="0.2">
      <c r="A4372">
        <v>21133518</v>
      </c>
      <c r="B4372">
        <v>2</v>
      </c>
      <c r="C4372">
        <v>1700</v>
      </c>
      <c r="D4372">
        <v>52670</v>
      </c>
      <c r="E4372">
        <v>25</v>
      </c>
      <c r="F4372" t="s">
        <v>57</v>
      </c>
      <c r="G4372" t="s">
        <v>58</v>
      </c>
      <c r="H4372" t="s">
        <v>69</v>
      </c>
      <c r="I4372">
        <v>10</v>
      </c>
    </row>
    <row r="4373" spans="1:9" x14ac:dyDescent="0.2">
      <c r="A4373">
        <v>21133518</v>
      </c>
      <c r="B4373">
        <v>3</v>
      </c>
      <c r="C4373">
        <v>1710</v>
      </c>
      <c r="D4373">
        <v>52275</v>
      </c>
      <c r="E4373">
        <v>24</v>
      </c>
      <c r="F4373" t="s">
        <v>57</v>
      </c>
      <c r="G4373" t="s">
        <v>169</v>
      </c>
      <c r="H4373" t="s">
        <v>69</v>
      </c>
      <c r="I4373">
        <v>10</v>
      </c>
    </row>
    <row r="4374" spans="1:9" x14ac:dyDescent="0.2">
      <c r="A4374">
        <v>21133518</v>
      </c>
      <c r="B4374">
        <v>4</v>
      </c>
      <c r="C4374">
        <v>1775</v>
      </c>
      <c r="D4374">
        <v>0</v>
      </c>
      <c r="E4374">
        <v>26</v>
      </c>
      <c r="F4374" t="s">
        <v>57</v>
      </c>
      <c r="G4374" t="s">
        <v>94</v>
      </c>
      <c r="H4374" t="s">
        <v>69</v>
      </c>
      <c r="I4374">
        <v>10</v>
      </c>
    </row>
    <row r="4375" spans="1:9" x14ac:dyDescent="0.2">
      <c r="A4375">
        <v>21174269</v>
      </c>
      <c r="B4375">
        <v>1</v>
      </c>
      <c r="C4375">
        <v>1155</v>
      </c>
      <c r="D4375">
        <v>71370</v>
      </c>
      <c r="E4375">
        <v>24</v>
      </c>
      <c r="F4375" t="s">
        <v>17</v>
      </c>
      <c r="G4375" t="s">
        <v>62</v>
      </c>
      <c r="H4375" t="s">
        <v>16</v>
      </c>
      <c r="I4375" t="s">
        <v>448</v>
      </c>
    </row>
    <row r="4376" spans="1:9" x14ac:dyDescent="0.2">
      <c r="A4376">
        <v>21174269</v>
      </c>
      <c r="B4376">
        <v>2</v>
      </c>
      <c r="C4376">
        <v>1221</v>
      </c>
      <c r="D4376">
        <v>0</v>
      </c>
      <c r="E4376">
        <v>26</v>
      </c>
      <c r="F4376" t="s">
        <v>19</v>
      </c>
      <c r="G4376" t="s">
        <v>63</v>
      </c>
      <c r="H4376" t="s">
        <v>16</v>
      </c>
      <c r="I4376" t="s">
        <v>448</v>
      </c>
    </row>
    <row r="4377" spans="1:9" x14ac:dyDescent="0.2">
      <c r="A4377">
        <v>21174269</v>
      </c>
      <c r="B4377">
        <v>3</v>
      </c>
      <c r="C4377">
        <v>1163</v>
      </c>
      <c r="D4377">
        <v>0</v>
      </c>
      <c r="E4377">
        <v>26</v>
      </c>
      <c r="F4377" t="s">
        <v>17</v>
      </c>
      <c r="G4377" t="s">
        <v>64</v>
      </c>
      <c r="H4377" t="s">
        <v>16</v>
      </c>
      <c r="I4377" t="s">
        <v>448</v>
      </c>
    </row>
    <row r="4378" spans="1:9" x14ac:dyDescent="0.2">
      <c r="A4378">
        <v>21174269</v>
      </c>
      <c r="B4378">
        <v>4</v>
      </c>
      <c r="C4378">
        <v>1237</v>
      </c>
      <c r="D4378">
        <v>0</v>
      </c>
      <c r="E4378">
        <v>26</v>
      </c>
      <c r="F4378" t="s">
        <v>19</v>
      </c>
      <c r="G4378" t="s">
        <v>65</v>
      </c>
      <c r="H4378" t="s">
        <v>16</v>
      </c>
      <c r="I4378" t="s">
        <v>448</v>
      </c>
    </row>
    <row r="4379" spans="1:9" x14ac:dyDescent="0.2">
      <c r="A4379">
        <v>21184548</v>
      </c>
      <c r="B4379">
        <v>1</v>
      </c>
      <c r="C4379">
        <v>1381</v>
      </c>
      <c r="D4379">
        <v>61460</v>
      </c>
      <c r="E4379">
        <v>25</v>
      </c>
      <c r="F4379" t="s">
        <v>21</v>
      </c>
      <c r="G4379" t="s">
        <v>103</v>
      </c>
      <c r="H4379" t="s">
        <v>20</v>
      </c>
      <c r="I4379">
        <v>8</v>
      </c>
    </row>
    <row r="4380" spans="1:9" x14ac:dyDescent="0.2">
      <c r="A4380">
        <v>21184548</v>
      </c>
      <c r="B4380">
        <v>2</v>
      </c>
      <c r="C4380">
        <v>1311</v>
      </c>
      <c r="D4380">
        <v>61065</v>
      </c>
      <c r="E4380">
        <v>24</v>
      </c>
      <c r="F4380" t="s">
        <v>21</v>
      </c>
      <c r="G4380" t="s">
        <v>95</v>
      </c>
      <c r="H4380" t="s">
        <v>20</v>
      </c>
      <c r="I4380">
        <v>8</v>
      </c>
    </row>
    <row r="4381" spans="1:9" x14ac:dyDescent="0.2">
      <c r="A4381">
        <v>21184548</v>
      </c>
      <c r="B4381">
        <v>3</v>
      </c>
      <c r="C4381">
        <v>1337</v>
      </c>
      <c r="D4381">
        <v>0</v>
      </c>
      <c r="E4381">
        <v>26</v>
      </c>
      <c r="F4381" t="s">
        <v>21</v>
      </c>
      <c r="G4381" t="s">
        <v>340</v>
      </c>
      <c r="H4381" t="s">
        <v>20</v>
      </c>
      <c r="I4381">
        <v>8</v>
      </c>
    </row>
    <row r="4382" spans="1:9" x14ac:dyDescent="0.2">
      <c r="A4382">
        <v>21184548</v>
      </c>
      <c r="B4382">
        <v>4</v>
      </c>
      <c r="C4382">
        <v>1348</v>
      </c>
      <c r="D4382">
        <v>0</v>
      </c>
      <c r="E4382">
        <v>26</v>
      </c>
      <c r="F4382" t="s">
        <v>21</v>
      </c>
      <c r="G4382" t="s">
        <v>164</v>
      </c>
      <c r="H4382" t="s">
        <v>20</v>
      </c>
      <c r="I4382">
        <v>8</v>
      </c>
    </row>
    <row r="4383" spans="1:9" x14ac:dyDescent="0.2">
      <c r="A4383">
        <v>21184548</v>
      </c>
      <c r="B4383">
        <v>5</v>
      </c>
      <c r="C4383">
        <v>1786</v>
      </c>
      <c r="D4383">
        <v>0</v>
      </c>
      <c r="E4383">
        <v>26</v>
      </c>
      <c r="F4383" t="s">
        <v>57</v>
      </c>
      <c r="G4383" t="s">
        <v>103</v>
      </c>
      <c r="H4383" t="s">
        <v>56</v>
      </c>
      <c r="I4383">
        <v>10</v>
      </c>
    </row>
    <row r="4384" spans="1:9" x14ac:dyDescent="0.2">
      <c r="A4384">
        <v>21184548</v>
      </c>
      <c r="B4384">
        <v>6</v>
      </c>
      <c r="C4384">
        <v>1728</v>
      </c>
      <c r="D4384">
        <v>0</v>
      </c>
      <c r="E4384">
        <v>26</v>
      </c>
      <c r="F4384" t="s">
        <v>57</v>
      </c>
      <c r="G4384" t="s">
        <v>103</v>
      </c>
      <c r="H4384" t="s">
        <v>69</v>
      </c>
      <c r="I4384">
        <v>10</v>
      </c>
    </row>
    <row r="4385" spans="1:9" x14ac:dyDescent="0.2">
      <c r="A4385">
        <v>21202412</v>
      </c>
      <c r="B4385">
        <v>1</v>
      </c>
      <c r="C4385">
        <v>3218</v>
      </c>
      <c r="D4385">
        <v>57075</v>
      </c>
      <c r="E4385">
        <v>24</v>
      </c>
      <c r="F4385" t="s">
        <v>47</v>
      </c>
      <c r="G4385" t="s">
        <v>66</v>
      </c>
      <c r="H4385" t="s">
        <v>74</v>
      </c>
      <c r="I4385">
        <v>10</v>
      </c>
    </row>
    <row r="4386" spans="1:9" x14ac:dyDescent="0.2">
      <c r="A4386">
        <v>21202412</v>
      </c>
      <c r="B4386">
        <v>2</v>
      </c>
      <c r="C4386">
        <v>1703</v>
      </c>
      <c r="D4386">
        <v>0</v>
      </c>
      <c r="E4386">
        <v>26</v>
      </c>
      <c r="F4386" t="s">
        <v>57</v>
      </c>
      <c r="G4386" t="s">
        <v>109</v>
      </c>
      <c r="H4386" t="s">
        <v>69</v>
      </c>
      <c r="I4386">
        <v>10</v>
      </c>
    </row>
    <row r="4387" spans="1:9" x14ac:dyDescent="0.2">
      <c r="A4387">
        <v>21202412</v>
      </c>
      <c r="B4387">
        <v>3</v>
      </c>
      <c r="C4387">
        <v>1752</v>
      </c>
      <c r="D4387">
        <v>0</v>
      </c>
      <c r="E4387">
        <v>26</v>
      </c>
      <c r="F4387" t="s">
        <v>57</v>
      </c>
      <c r="G4387" t="s">
        <v>66</v>
      </c>
      <c r="H4387" t="s">
        <v>56</v>
      </c>
      <c r="I4387">
        <v>10</v>
      </c>
    </row>
    <row r="4388" spans="1:9" x14ac:dyDescent="0.2">
      <c r="A4388">
        <v>21202412</v>
      </c>
      <c r="B4388">
        <v>4</v>
      </c>
      <c r="C4388">
        <v>3211</v>
      </c>
      <c r="D4388">
        <v>0</v>
      </c>
      <c r="E4388">
        <v>26</v>
      </c>
      <c r="F4388" t="s">
        <v>47</v>
      </c>
      <c r="G4388" t="s">
        <v>99</v>
      </c>
      <c r="H4388" t="s">
        <v>46</v>
      </c>
      <c r="I4388">
        <v>10</v>
      </c>
    </row>
    <row r="4389" spans="1:9" x14ac:dyDescent="0.2">
      <c r="A4389">
        <v>21202412</v>
      </c>
      <c r="B4389">
        <v>5</v>
      </c>
      <c r="C4389">
        <v>1777</v>
      </c>
      <c r="D4389">
        <v>0</v>
      </c>
      <c r="E4389">
        <v>26</v>
      </c>
      <c r="F4389" t="s">
        <v>57</v>
      </c>
      <c r="G4389" t="s">
        <v>88</v>
      </c>
      <c r="H4389" t="s">
        <v>69</v>
      </c>
      <c r="I4389">
        <v>10</v>
      </c>
    </row>
    <row r="4390" spans="1:9" x14ac:dyDescent="0.2">
      <c r="A4390">
        <v>21202412</v>
      </c>
      <c r="B4390">
        <v>6</v>
      </c>
      <c r="C4390">
        <v>1709</v>
      </c>
      <c r="D4390">
        <v>0</v>
      </c>
      <c r="E4390">
        <v>26</v>
      </c>
      <c r="F4390" t="s">
        <v>57</v>
      </c>
      <c r="G4390" t="s">
        <v>84</v>
      </c>
      <c r="H4390" t="s">
        <v>69</v>
      </c>
      <c r="I4390">
        <v>10</v>
      </c>
    </row>
    <row r="4391" spans="1:9" x14ac:dyDescent="0.2">
      <c r="A4391">
        <v>21205706</v>
      </c>
      <c r="B4391">
        <v>1</v>
      </c>
      <c r="C4391">
        <v>1339</v>
      </c>
      <c r="D4391">
        <v>55225</v>
      </c>
      <c r="E4391">
        <v>25</v>
      </c>
      <c r="F4391" t="s">
        <v>21</v>
      </c>
      <c r="G4391" t="s">
        <v>185</v>
      </c>
      <c r="H4391" t="s">
        <v>20</v>
      </c>
      <c r="I4391">
        <v>8</v>
      </c>
    </row>
    <row r="4392" spans="1:9" x14ac:dyDescent="0.2">
      <c r="A4392">
        <v>21205706</v>
      </c>
      <c r="B4392">
        <v>2</v>
      </c>
      <c r="C4392">
        <v>1338</v>
      </c>
      <c r="D4392">
        <v>55225</v>
      </c>
      <c r="E4392">
        <v>25</v>
      </c>
      <c r="F4392" t="s">
        <v>21</v>
      </c>
      <c r="G4392" t="s">
        <v>342</v>
      </c>
      <c r="H4392" t="s">
        <v>20</v>
      </c>
      <c r="I4392">
        <v>8</v>
      </c>
    </row>
    <row r="4393" spans="1:9" x14ac:dyDescent="0.2">
      <c r="A4393">
        <v>21218206</v>
      </c>
      <c r="B4393">
        <v>1</v>
      </c>
      <c r="C4393">
        <v>1165</v>
      </c>
      <c r="D4393">
        <v>66040</v>
      </c>
      <c r="E4393">
        <v>24</v>
      </c>
      <c r="F4393" t="s">
        <v>17</v>
      </c>
      <c r="G4393" t="s">
        <v>366</v>
      </c>
      <c r="H4393" t="s">
        <v>16</v>
      </c>
      <c r="I4393" t="s">
        <v>448</v>
      </c>
    </row>
    <row r="4394" spans="1:9" x14ac:dyDescent="0.2">
      <c r="A4394">
        <v>21218206</v>
      </c>
      <c r="B4394">
        <v>2</v>
      </c>
      <c r="C4394">
        <v>1209</v>
      </c>
      <c r="D4394">
        <v>0</v>
      </c>
      <c r="E4394">
        <v>26</v>
      </c>
      <c r="F4394" t="s">
        <v>19</v>
      </c>
      <c r="G4394" t="s">
        <v>367</v>
      </c>
      <c r="H4394" t="s">
        <v>16</v>
      </c>
      <c r="I4394" t="s">
        <v>448</v>
      </c>
    </row>
    <row r="4395" spans="1:9" x14ac:dyDescent="0.2">
      <c r="A4395">
        <v>21218206</v>
      </c>
      <c r="B4395">
        <v>3</v>
      </c>
      <c r="C4395">
        <v>1438</v>
      </c>
      <c r="D4395">
        <v>0</v>
      </c>
      <c r="E4395">
        <v>26</v>
      </c>
      <c r="F4395" t="s">
        <v>25</v>
      </c>
      <c r="G4395" t="s">
        <v>368</v>
      </c>
      <c r="H4395" t="s">
        <v>24</v>
      </c>
      <c r="I4395">
        <v>5</v>
      </c>
    </row>
    <row r="4396" spans="1:9" x14ac:dyDescent="0.2">
      <c r="A4396">
        <v>21218206</v>
      </c>
      <c r="B4396">
        <v>4</v>
      </c>
      <c r="C4396">
        <v>1358</v>
      </c>
      <c r="D4396">
        <v>0</v>
      </c>
      <c r="E4396">
        <v>26</v>
      </c>
      <c r="F4396" t="s">
        <v>21</v>
      </c>
      <c r="G4396" t="s">
        <v>210</v>
      </c>
      <c r="H4396" t="s">
        <v>20</v>
      </c>
      <c r="I4396">
        <v>8</v>
      </c>
    </row>
    <row r="4397" spans="1:9" x14ac:dyDescent="0.2">
      <c r="A4397">
        <v>21218207</v>
      </c>
      <c r="B4397">
        <v>1</v>
      </c>
      <c r="C4397">
        <v>1782</v>
      </c>
      <c r="D4397">
        <v>66850</v>
      </c>
      <c r="E4397">
        <v>24</v>
      </c>
      <c r="F4397" t="s">
        <v>57</v>
      </c>
      <c r="G4397" t="s">
        <v>63</v>
      </c>
      <c r="H4397" t="s">
        <v>69</v>
      </c>
      <c r="I4397">
        <v>10</v>
      </c>
    </row>
    <row r="4398" spans="1:9" x14ac:dyDescent="0.2">
      <c r="A4398">
        <v>21218207</v>
      </c>
      <c r="B4398">
        <v>2</v>
      </c>
      <c r="C4398">
        <v>1729</v>
      </c>
      <c r="D4398">
        <v>0</v>
      </c>
      <c r="E4398">
        <v>26</v>
      </c>
      <c r="F4398" t="s">
        <v>57</v>
      </c>
      <c r="G4398" t="s">
        <v>72</v>
      </c>
      <c r="H4398" t="s">
        <v>69</v>
      </c>
      <c r="I4398">
        <v>10</v>
      </c>
    </row>
    <row r="4399" spans="1:9" x14ac:dyDescent="0.2">
      <c r="A4399">
        <v>21218207</v>
      </c>
      <c r="B4399">
        <v>3</v>
      </c>
      <c r="C4399">
        <v>1237</v>
      </c>
      <c r="D4399">
        <v>0</v>
      </c>
      <c r="E4399">
        <v>26</v>
      </c>
      <c r="F4399" t="s">
        <v>19</v>
      </c>
      <c r="G4399" t="s">
        <v>65</v>
      </c>
      <c r="H4399" t="s">
        <v>16</v>
      </c>
      <c r="I4399" t="s">
        <v>448</v>
      </c>
    </row>
    <row r="4400" spans="1:9" x14ac:dyDescent="0.2">
      <c r="A4400">
        <v>21339985</v>
      </c>
      <c r="B4400">
        <v>1</v>
      </c>
      <c r="C4400">
        <v>1296</v>
      </c>
      <c r="D4400">
        <v>54030</v>
      </c>
      <c r="E4400">
        <v>24</v>
      </c>
      <c r="F4400" t="s">
        <v>19</v>
      </c>
      <c r="G4400" t="s">
        <v>277</v>
      </c>
      <c r="H4400" t="s">
        <v>278</v>
      </c>
      <c r="I4400" t="s">
        <v>448</v>
      </c>
    </row>
    <row r="4401" spans="1:9" x14ac:dyDescent="0.2">
      <c r="A4401">
        <v>21339985</v>
      </c>
      <c r="B4401">
        <v>2</v>
      </c>
      <c r="C4401">
        <v>1224</v>
      </c>
      <c r="D4401">
        <v>0</v>
      </c>
      <c r="E4401">
        <v>26</v>
      </c>
      <c r="F4401" t="s">
        <v>19</v>
      </c>
      <c r="G4401" t="s">
        <v>277</v>
      </c>
      <c r="H4401" t="s">
        <v>16</v>
      </c>
      <c r="I4401" t="s">
        <v>448</v>
      </c>
    </row>
    <row r="4402" spans="1:9" x14ac:dyDescent="0.2">
      <c r="A4402">
        <v>21339985</v>
      </c>
      <c r="B4402">
        <v>3</v>
      </c>
      <c r="C4402">
        <v>3722</v>
      </c>
      <c r="D4402">
        <v>0</v>
      </c>
      <c r="E4402">
        <v>26</v>
      </c>
      <c r="F4402" t="s">
        <v>116</v>
      </c>
      <c r="G4402" t="s">
        <v>198</v>
      </c>
      <c r="H4402" t="s">
        <v>61</v>
      </c>
      <c r="I4402">
        <v>9</v>
      </c>
    </row>
    <row r="4403" spans="1:9" x14ac:dyDescent="0.2">
      <c r="A4403">
        <v>21339985</v>
      </c>
      <c r="B4403">
        <v>4</v>
      </c>
      <c r="C4403">
        <v>3252</v>
      </c>
      <c r="D4403">
        <v>0</v>
      </c>
      <c r="E4403">
        <v>26</v>
      </c>
      <c r="F4403" t="s">
        <v>47</v>
      </c>
      <c r="G4403" t="s">
        <v>45</v>
      </c>
      <c r="H4403" t="s">
        <v>46</v>
      </c>
      <c r="I4403">
        <v>10</v>
      </c>
    </row>
    <row r="4404" spans="1:9" x14ac:dyDescent="0.2">
      <c r="A4404">
        <v>21345668</v>
      </c>
      <c r="B4404">
        <v>1</v>
      </c>
      <c r="C4404">
        <v>3252</v>
      </c>
      <c r="D4404">
        <v>50265</v>
      </c>
      <c r="E4404">
        <v>25</v>
      </c>
      <c r="F4404" t="s">
        <v>47</v>
      </c>
      <c r="G4404" t="s">
        <v>45</v>
      </c>
      <c r="H4404" t="s">
        <v>46</v>
      </c>
      <c r="I4404">
        <v>10</v>
      </c>
    </row>
    <row r="4405" spans="1:9" x14ac:dyDescent="0.2">
      <c r="A4405">
        <v>21345668</v>
      </c>
      <c r="B4405">
        <v>2</v>
      </c>
      <c r="C4405">
        <v>3243</v>
      </c>
      <c r="D4405">
        <v>51785</v>
      </c>
      <c r="E4405">
        <v>25</v>
      </c>
      <c r="F4405" t="s">
        <v>47</v>
      </c>
      <c r="G4405" t="s">
        <v>75</v>
      </c>
      <c r="H4405" t="s">
        <v>46</v>
      </c>
      <c r="I4405">
        <v>10</v>
      </c>
    </row>
    <row r="4406" spans="1:9" x14ac:dyDescent="0.2">
      <c r="A4406">
        <v>21345668</v>
      </c>
      <c r="B4406">
        <v>3</v>
      </c>
      <c r="C4406">
        <v>3248</v>
      </c>
      <c r="D4406">
        <v>49615</v>
      </c>
      <c r="E4406">
        <v>25</v>
      </c>
      <c r="F4406" t="s">
        <v>47</v>
      </c>
      <c r="G4406" t="s">
        <v>92</v>
      </c>
      <c r="H4406" t="s">
        <v>46</v>
      </c>
      <c r="I4406">
        <v>10</v>
      </c>
    </row>
    <row r="4407" spans="1:9" x14ac:dyDescent="0.2">
      <c r="A4407">
        <v>21345668</v>
      </c>
      <c r="B4407">
        <v>4</v>
      </c>
      <c r="C4407">
        <v>3251</v>
      </c>
      <c r="D4407">
        <v>50400</v>
      </c>
      <c r="E4407">
        <v>24</v>
      </c>
      <c r="F4407" t="s">
        <v>47</v>
      </c>
      <c r="G4407" t="s">
        <v>48</v>
      </c>
      <c r="H4407" t="s">
        <v>46</v>
      </c>
      <c r="I4407">
        <v>10</v>
      </c>
    </row>
    <row r="4408" spans="1:9" x14ac:dyDescent="0.2">
      <c r="A4408">
        <v>21345668</v>
      </c>
      <c r="B4408">
        <v>5</v>
      </c>
      <c r="C4408">
        <v>3234</v>
      </c>
      <c r="D4408">
        <v>0</v>
      </c>
      <c r="E4408">
        <v>26</v>
      </c>
      <c r="F4408" t="s">
        <v>47</v>
      </c>
      <c r="G4408" t="s">
        <v>76</v>
      </c>
      <c r="H4408" t="s">
        <v>46</v>
      </c>
      <c r="I4408">
        <v>10</v>
      </c>
    </row>
    <row r="4409" spans="1:9" x14ac:dyDescent="0.2">
      <c r="A4409">
        <v>21345668</v>
      </c>
      <c r="B4409">
        <v>6</v>
      </c>
      <c r="C4409">
        <v>3239</v>
      </c>
      <c r="D4409">
        <v>0</v>
      </c>
      <c r="E4409">
        <v>26</v>
      </c>
      <c r="F4409" t="s">
        <v>47</v>
      </c>
      <c r="G4409" t="s">
        <v>107</v>
      </c>
      <c r="H4409" t="s">
        <v>46</v>
      </c>
      <c r="I4409">
        <v>10</v>
      </c>
    </row>
    <row r="4410" spans="1:9" x14ac:dyDescent="0.2">
      <c r="A4410">
        <v>21345668</v>
      </c>
      <c r="B4410">
        <v>7</v>
      </c>
      <c r="C4410">
        <v>3261</v>
      </c>
      <c r="D4410">
        <v>0</v>
      </c>
      <c r="E4410">
        <v>26</v>
      </c>
      <c r="F4410" t="s">
        <v>47</v>
      </c>
      <c r="G4410" t="s">
        <v>93</v>
      </c>
      <c r="H4410" t="s">
        <v>46</v>
      </c>
      <c r="I4410">
        <v>10</v>
      </c>
    </row>
    <row r="4411" spans="1:9" x14ac:dyDescent="0.2">
      <c r="A4411">
        <v>21345668</v>
      </c>
      <c r="B4411">
        <v>8</v>
      </c>
      <c r="C4411">
        <v>3214</v>
      </c>
      <c r="D4411">
        <v>0</v>
      </c>
      <c r="E4411">
        <v>26</v>
      </c>
      <c r="F4411" t="s">
        <v>47</v>
      </c>
      <c r="G4411" t="s">
        <v>98</v>
      </c>
      <c r="H4411" t="s">
        <v>74</v>
      </c>
      <c r="I4411">
        <v>10</v>
      </c>
    </row>
    <row r="4412" spans="1:9" x14ac:dyDescent="0.2">
      <c r="A4412">
        <v>21360455</v>
      </c>
      <c r="B4412">
        <v>1</v>
      </c>
      <c r="C4412">
        <v>3463</v>
      </c>
      <c r="D4412">
        <v>63764</v>
      </c>
      <c r="E4412">
        <v>24</v>
      </c>
      <c r="F4412" t="s">
        <v>36</v>
      </c>
      <c r="G4412" t="s">
        <v>212</v>
      </c>
      <c r="H4412" t="s">
        <v>35</v>
      </c>
      <c r="I4412">
        <v>7</v>
      </c>
    </row>
    <row r="4413" spans="1:9" x14ac:dyDescent="0.2">
      <c r="A4413">
        <v>21360455</v>
      </c>
      <c r="B4413">
        <v>2</v>
      </c>
      <c r="C4413">
        <v>2546</v>
      </c>
      <c r="D4413">
        <v>0</v>
      </c>
      <c r="E4413">
        <v>26</v>
      </c>
      <c r="F4413" t="s">
        <v>175</v>
      </c>
      <c r="G4413" t="s">
        <v>212</v>
      </c>
      <c r="H4413" t="s">
        <v>213</v>
      </c>
      <c r="I4413">
        <v>4</v>
      </c>
    </row>
    <row r="4414" spans="1:9" x14ac:dyDescent="0.2">
      <c r="A4414">
        <v>21360455</v>
      </c>
      <c r="B4414">
        <v>3</v>
      </c>
      <c r="C4414">
        <v>1358</v>
      </c>
      <c r="D4414">
        <v>0</v>
      </c>
      <c r="E4414">
        <v>26</v>
      </c>
      <c r="F4414" t="s">
        <v>21</v>
      </c>
      <c r="G4414" t="s">
        <v>210</v>
      </c>
      <c r="H4414" t="s">
        <v>20</v>
      </c>
      <c r="I4414">
        <v>8</v>
      </c>
    </row>
    <row r="4415" spans="1:9" x14ac:dyDescent="0.2">
      <c r="A4415">
        <v>21360455</v>
      </c>
      <c r="B4415">
        <v>4</v>
      </c>
      <c r="C4415">
        <v>1777</v>
      </c>
      <c r="D4415">
        <v>0</v>
      </c>
      <c r="E4415">
        <v>26</v>
      </c>
      <c r="F4415" t="s">
        <v>57</v>
      </c>
      <c r="G4415" t="s">
        <v>88</v>
      </c>
      <c r="H4415" t="s">
        <v>69</v>
      </c>
      <c r="I4415">
        <v>10</v>
      </c>
    </row>
    <row r="4416" spans="1:9" x14ac:dyDescent="0.2">
      <c r="A4416">
        <v>21360455</v>
      </c>
      <c r="B4416">
        <v>5</v>
      </c>
      <c r="C4416">
        <v>3244</v>
      </c>
      <c r="D4416">
        <v>0</v>
      </c>
      <c r="E4416">
        <v>26</v>
      </c>
      <c r="F4416" t="s">
        <v>47</v>
      </c>
      <c r="G4416" t="s">
        <v>73</v>
      </c>
      <c r="H4416" t="s">
        <v>74</v>
      </c>
      <c r="I4416">
        <v>10</v>
      </c>
    </row>
    <row r="4417" spans="1:9" x14ac:dyDescent="0.2">
      <c r="A4417">
        <v>21360455</v>
      </c>
      <c r="B4417">
        <v>6</v>
      </c>
      <c r="C4417">
        <v>3261</v>
      </c>
      <c r="D4417">
        <v>0</v>
      </c>
      <c r="E4417">
        <v>26</v>
      </c>
      <c r="F4417" t="s">
        <v>47</v>
      </c>
      <c r="G4417" t="s">
        <v>93</v>
      </c>
      <c r="H4417" t="s">
        <v>46</v>
      </c>
      <c r="I4417">
        <v>10</v>
      </c>
    </row>
    <row r="4418" spans="1:9" x14ac:dyDescent="0.2">
      <c r="A4418">
        <v>21371049</v>
      </c>
      <c r="B4418">
        <v>1</v>
      </c>
      <c r="C4418">
        <v>1504</v>
      </c>
      <c r="D4418">
        <v>0</v>
      </c>
      <c r="E4418">
        <v>22</v>
      </c>
      <c r="F4418" t="s">
        <v>142</v>
      </c>
      <c r="G4418" t="s">
        <v>121</v>
      </c>
      <c r="H4418" t="s">
        <v>31</v>
      </c>
      <c r="I4418">
        <v>5</v>
      </c>
    </row>
    <row r="4419" spans="1:9" x14ac:dyDescent="0.2">
      <c r="A4419">
        <v>21371049</v>
      </c>
      <c r="B4419">
        <v>2</v>
      </c>
      <c r="C4419">
        <v>1502</v>
      </c>
      <c r="D4419">
        <v>0</v>
      </c>
      <c r="E4419">
        <v>22</v>
      </c>
      <c r="F4419" t="s">
        <v>142</v>
      </c>
      <c r="G4419" t="s">
        <v>143</v>
      </c>
      <c r="H4419" t="s">
        <v>31</v>
      </c>
      <c r="I4419">
        <v>5</v>
      </c>
    </row>
    <row r="4420" spans="1:9" x14ac:dyDescent="0.2">
      <c r="A4420">
        <v>21371049</v>
      </c>
      <c r="B4420">
        <v>3</v>
      </c>
      <c r="C4420">
        <v>1481</v>
      </c>
      <c r="D4420">
        <v>61765</v>
      </c>
      <c r="E4420">
        <v>25</v>
      </c>
      <c r="F4420" t="s">
        <v>25</v>
      </c>
      <c r="G4420" t="s">
        <v>121</v>
      </c>
      <c r="H4420" t="s">
        <v>24</v>
      </c>
      <c r="I4420">
        <v>5</v>
      </c>
    </row>
    <row r="4421" spans="1:9" x14ac:dyDescent="0.2">
      <c r="A4421">
        <v>21371049</v>
      </c>
      <c r="B4421">
        <v>4</v>
      </c>
      <c r="C4421">
        <v>1471</v>
      </c>
      <c r="D4421">
        <v>61765</v>
      </c>
      <c r="E4421">
        <v>24</v>
      </c>
      <c r="F4421" t="s">
        <v>25</v>
      </c>
      <c r="G4421" t="s">
        <v>144</v>
      </c>
      <c r="H4421" t="s">
        <v>24</v>
      </c>
      <c r="I4421">
        <v>5</v>
      </c>
    </row>
    <row r="4422" spans="1:9" x14ac:dyDescent="0.2">
      <c r="A4422">
        <v>21404000</v>
      </c>
      <c r="B4422">
        <v>1</v>
      </c>
      <c r="C4422">
        <v>3239</v>
      </c>
      <c r="D4422">
        <v>51415</v>
      </c>
      <c r="E4422">
        <v>25</v>
      </c>
      <c r="F4422" t="s">
        <v>47</v>
      </c>
      <c r="G4422" t="s">
        <v>107</v>
      </c>
      <c r="H4422" t="s">
        <v>46</v>
      </c>
      <c r="I4422">
        <v>10</v>
      </c>
    </row>
    <row r="4423" spans="1:9" x14ac:dyDescent="0.2">
      <c r="A4423">
        <v>21404000</v>
      </c>
      <c r="B4423">
        <v>2</v>
      </c>
      <c r="C4423">
        <v>3243</v>
      </c>
      <c r="D4423">
        <v>51250</v>
      </c>
      <c r="E4423">
        <v>25</v>
      </c>
      <c r="F4423" t="s">
        <v>47</v>
      </c>
      <c r="G4423" t="s">
        <v>75</v>
      </c>
      <c r="H4423" t="s">
        <v>46</v>
      </c>
      <c r="I4423">
        <v>10</v>
      </c>
    </row>
    <row r="4424" spans="1:9" x14ac:dyDescent="0.2">
      <c r="A4424">
        <v>21404000</v>
      </c>
      <c r="B4424">
        <v>3</v>
      </c>
      <c r="C4424">
        <v>3242</v>
      </c>
      <c r="D4424">
        <v>50930</v>
      </c>
      <c r="E4424">
        <v>25</v>
      </c>
      <c r="F4424" t="s">
        <v>47</v>
      </c>
      <c r="G4424" t="s">
        <v>90</v>
      </c>
      <c r="H4424" t="s">
        <v>46</v>
      </c>
      <c r="I4424">
        <v>10</v>
      </c>
    </row>
    <row r="4425" spans="1:9" x14ac:dyDescent="0.2">
      <c r="A4425">
        <v>21418889</v>
      </c>
      <c r="B4425">
        <v>1</v>
      </c>
      <c r="C4425">
        <v>3244</v>
      </c>
      <c r="D4425">
        <v>50340</v>
      </c>
      <c r="E4425">
        <v>24</v>
      </c>
      <c r="F4425" t="s">
        <v>47</v>
      </c>
      <c r="G4425" t="s">
        <v>73</v>
      </c>
      <c r="H4425" t="s">
        <v>74</v>
      </c>
      <c r="I4425">
        <v>10</v>
      </c>
    </row>
    <row r="4426" spans="1:9" x14ac:dyDescent="0.2">
      <c r="A4426">
        <v>21446986</v>
      </c>
      <c r="B4426">
        <v>1</v>
      </c>
      <c r="C4426">
        <v>3214</v>
      </c>
      <c r="D4426">
        <v>46195</v>
      </c>
      <c r="E4426">
        <v>25</v>
      </c>
      <c r="F4426" t="s">
        <v>47</v>
      </c>
      <c r="G4426" t="s">
        <v>98</v>
      </c>
      <c r="H4426" t="s">
        <v>74</v>
      </c>
      <c r="I4426">
        <v>10</v>
      </c>
    </row>
    <row r="4427" spans="1:9" x14ac:dyDescent="0.2">
      <c r="A4427">
        <v>21446986</v>
      </c>
      <c r="B4427">
        <v>2</v>
      </c>
      <c r="C4427">
        <v>3212</v>
      </c>
      <c r="D4427">
        <v>46200</v>
      </c>
      <c r="E4427">
        <v>25</v>
      </c>
      <c r="F4427" t="s">
        <v>47</v>
      </c>
      <c r="G4427" t="s">
        <v>84</v>
      </c>
      <c r="H4427" t="s">
        <v>46</v>
      </c>
      <c r="I4427">
        <v>10</v>
      </c>
    </row>
    <row r="4428" spans="1:9" x14ac:dyDescent="0.2">
      <c r="A4428">
        <v>21446986</v>
      </c>
      <c r="B4428">
        <v>3</v>
      </c>
      <c r="C4428">
        <v>3213</v>
      </c>
      <c r="D4428">
        <v>46205</v>
      </c>
      <c r="E4428">
        <v>24</v>
      </c>
      <c r="F4428" t="s">
        <v>47</v>
      </c>
      <c r="G4428" t="s">
        <v>158</v>
      </c>
      <c r="H4428" t="s">
        <v>74</v>
      </c>
      <c r="I4428">
        <v>10</v>
      </c>
    </row>
    <row r="4429" spans="1:9" x14ac:dyDescent="0.2">
      <c r="A4429">
        <v>21492010</v>
      </c>
      <c r="B4429">
        <v>1</v>
      </c>
      <c r="C4429">
        <v>1789</v>
      </c>
      <c r="D4429">
        <v>55625</v>
      </c>
      <c r="E4429">
        <v>25</v>
      </c>
      <c r="F4429" t="s">
        <v>57</v>
      </c>
      <c r="G4429" t="s">
        <v>122</v>
      </c>
      <c r="H4429" t="s">
        <v>69</v>
      </c>
      <c r="I4429">
        <v>10</v>
      </c>
    </row>
    <row r="4430" spans="1:9" x14ac:dyDescent="0.2">
      <c r="A4430">
        <v>21492010</v>
      </c>
      <c r="B4430">
        <v>2</v>
      </c>
      <c r="C4430">
        <v>1705</v>
      </c>
      <c r="D4430">
        <v>56430</v>
      </c>
      <c r="E4430">
        <v>25</v>
      </c>
      <c r="F4430" t="s">
        <v>57</v>
      </c>
      <c r="G4430" t="s">
        <v>102</v>
      </c>
      <c r="H4430" t="s">
        <v>69</v>
      </c>
      <c r="I4430">
        <v>10</v>
      </c>
    </row>
    <row r="4431" spans="1:9" x14ac:dyDescent="0.2">
      <c r="A4431">
        <v>21492010</v>
      </c>
      <c r="B4431">
        <v>3</v>
      </c>
      <c r="C4431">
        <v>1715</v>
      </c>
      <c r="D4431">
        <v>55975</v>
      </c>
      <c r="E4431">
        <v>25</v>
      </c>
      <c r="F4431" t="s">
        <v>57</v>
      </c>
      <c r="G4431" t="s">
        <v>151</v>
      </c>
      <c r="H4431" t="s">
        <v>69</v>
      </c>
      <c r="I4431">
        <v>10</v>
      </c>
    </row>
    <row r="4432" spans="1:9" x14ac:dyDescent="0.2">
      <c r="A4432">
        <v>21492010</v>
      </c>
      <c r="B4432">
        <v>4</v>
      </c>
      <c r="C4432">
        <v>1776</v>
      </c>
      <c r="D4432">
        <v>55730</v>
      </c>
      <c r="E4432">
        <v>25</v>
      </c>
      <c r="F4432" t="s">
        <v>57</v>
      </c>
      <c r="G4432" t="s">
        <v>124</v>
      </c>
      <c r="H4432" t="s">
        <v>125</v>
      </c>
      <c r="I4432">
        <v>10</v>
      </c>
    </row>
    <row r="4433" spans="1:9" x14ac:dyDescent="0.2">
      <c r="A4433">
        <v>21492010</v>
      </c>
      <c r="B4433">
        <v>5</v>
      </c>
      <c r="C4433">
        <v>1752</v>
      </c>
      <c r="D4433">
        <v>56640</v>
      </c>
      <c r="E4433">
        <v>24</v>
      </c>
      <c r="F4433" t="s">
        <v>57</v>
      </c>
      <c r="G4433" t="s">
        <v>66</v>
      </c>
      <c r="H4433" t="s">
        <v>56</v>
      </c>
      <c r="I4433">
        <v>10</v>
      </c>
    </row>
    <row r="4434" spans="1:9" x14ac:dyDescent="0.2">
      <c r="A4434">
        <v>21492010</v>
      </c>
      <c r="B4434">
        <v>6</v>
      </c>
      <c r="C4434">
        <v>3033</v>
      </c>
      <c r="D4434">
        <v>0</v>
      </c>
      <c r="E4434">
        <v>26</v>
      </c>
      <c r="F4434" t="s">
        <v>44</v>
      </c>
      <c r="G4434" t="s">
        <v>122</v>
      </c>
      <c r="H4434" t="s">
        <v>50</v>
      </c>
      <c r="I4434">
        <v>9</v>
      </c>
    </row>
    <row r="4435" spans="1:9" x14ac:dyDescent="0.2">
      <c r="A4435">
        <v>21492010</v>
      </c>
      <c r="B4435">
        <v>7</v>
      </c>
      <c r="C4435">
        <v>3020</v>
      </c>
      <c r="D4435">
        <v>0</v>
      </c>
      <c r="E4435">
        <v>26</v>
      </c>
      <c r="F4435" t="s">
        <v>44</v>
      </c>
      <c r="G4435" t="s">
        <v>102</v>
      </c>
      <c r="H4435" t="s">
        <v>50</v>
      </c>
      <c r="I4435">
        <v>9</v>
      </c>
    </row>
    <row r="4436" spans="1:9" x14ac:dyDescent="0.2">
      <c r="A4436">
        <v>21492010</v>
      </c>
      <c r="B4436">
        <v>8</v>
      </c>
      <c r="C4436">
        <v>3218</v>
      </c>
      <c r="D4436">
        <v>0</v>
      </c>
      <c r="E4436">
        <v>26</v>
      </c>
      <c r="F4436" t="s">
        <v>47</v>
      </c>
      <c r="G4436" t="s">
        <v>66</v>
      </c>
      <c r="H4436" t="s">
        <v>74</v>
      </c>
      <c r="I4436">
        <v>10</v>
      </c>
    </row>
    <row r="4437" spans="1:9" x14ac:dyDescent="0.2">
      <c r="A4437">
        <v>21494192</v>
      </c>
      <c r="B4437">
        <v>1</v>
      </c>
      <c r="C4437">
        <v>3229</v>
      </c>
      <c r="D4437">
        <v>49030</v>
      </c>
      <c r="E4437">
        <v>25</v>
      </c>
      <c r="F4437" t="s">
        <v>47</v>
      </c>
      <c r="G4437" t="s">
        <v>101</v>
      </c>
      <c r="H4437" t="s">
        <v>46</v>
      </c>
      <c r="I4437">
        <v>10</v>
      </c>
    </row>
    <row r="4438" spans="1:9" x14ac:dyDescent="0.2">
      <c r="A4438">
        <v>21494192</v>
      </c>
      <c r="B4438">
        <v>2</v>
      </c>
      <c r="C4438">
        <v>3226</v>
      </c>
      <c r="D4438">
        <v>49150</v>
      </c>
      <c r="E4438">
        <v>24</v>
      </c>
      <c r="F4438" t="s">
        <v>47</v>
      </c>
      <c r="G4438" t="s">
        <v>96</v>
      </c>
      <c r="H4438" t="s">
        <v>46</v>
      </c>
      <c r="I4438">
        <v>10</v>
      </c>
    </row>
    <row r="4439" spans="1:9" x14ac:dyDescent="0.2">
      <c r="A4439">
        <v>21505984</v>
      </c>
      <c r="B4439">
        <v>1</v>
      </c>
      <c r="C4439">
        <v>1505</v>
      </c>
      <c r="D4439">
        <v>61250</v>
      </c>
      <c r="E4439">
        <v>25</v>
      </c>
      <c r="F4439" t="s">
        <v>142</v>
      </c>
      <c r="G4439" t="s">
        <v>120</v>
      </c>
      <c r="H4439" t="s">
        <v>31</v>
      </c>
      <c r="I4439">
        <v>5</v>
      </c>
    </row>
    <row r="4440" spans="1:9" x14ac:dyDescent="0.2">
      <c r="A4440">
        <v>21505984</v>
      </c>
      <c r="B4440">
        <v>2</v>
      </c>
      <c r="C4440">
        <v>1370</v>
      </c>
      <c r="D4440">
        <v>61735</v>
      </c>
      <c r="E4440">
        <v>24</v>
      </c>
      <c r="F4440" t="s">
        <v>21</v>
      </c>
      <c r="G4440" t="s">
        <v>120</v>
      </c>
      <c r="H4440" t="s">
        <v>20</v>
      </c>
      <c r="I4440">
        <v>8</v>
      </c>
    </row>
    <row r="4441" spans="1:9" x14ac:dyDescent="0.2">
      <c r="A4441">
        <v>21505984</v>
      </c>
      <c r="B4441">
        <v>3</v>
      </c>
      <c r="C4441">
        <v>3077</v>
      </c>
      <c r="D4441">
        <v>0</v>
      </c>
      <c r="E4441">
        <v>26</v>
      </c>
      <c r="F4441" t="s">
        <v>44</v>
      </c>
      <c r="G4441" t="s">
        <v>120</v>
      </c>
      <c r="H4441" t="s">
        <v>61</v>
      </c>
      <c r="I4441">
        <v>9</v>
      </c>
    </row>
    <row r="4442" spans="1:9" x14ac:dyDescent="0.2">
      <c r="A4442">
        <v>21505984</v>
      </c>
      <c r="B4442">
        <v>4</v>
      </c>
      <c r="C4442">
        <v>1555</v>
      </c>
      <c r="D4442">
        <v>0</v>
      </c>
      <c r="E4442">
        <v>26</v>
      </c>
      <c r="F4442" t="s">
        <v>142</v>
      </c>
      <c r="G4442" t="s">
        <v>381</v>
      </c>
      <c r="H4442" t="s">
        <v>329</v>
      </c>
      <c r="I4442">
        <v>5</v>
      </c>
    </row>
    <row r="4443" spans="1:9" x14ac:dyDescent="0.2">
      <c r="A4443">
        <v>21505984</v>
      </c>
      <c r="B4443">
        <v>5</v>
      </c>
      <c r="C4443">
        <v>3237</v>
      </c>
      <c r="D4443">
        <v>0</v>
      </c>
      <c r="E4443">
        <v>26</v>
      </c>
      <c r="F4443" t="s">
        <v>47</v>
      </c>
      <c r="G4443" t="s">
        <v>181</v>
      </c>
      <c r="H4443" t="s">
        <v>46</v>
      </c>
      <c r="I4443">
        <v>10</v>
      </c>
    </row>
    <row r="4444" spans="1:9" x14ac:dyDescent="0.2">
      <c r="A4444">
        <v>21560498</v>
      </c>
      <c r="B4444">
        <v>1</v>
      </c>
      <c r="C4444">
        <v>1705</v>
      </c>
      <c r="D4444">
        <v>62980</v>
      </c>
      <c r="E4444">
        <v>24</v>
      </c>
      <c r="F4444" t="s">
        <v>57</v>
      </c>
      <c r="G4444" t="s">
        <v>102</v>
      </c>
      <c r="H4444" t="s">
        <v>69</v>
      </c>
      <c r="I4444">
        <v>10</v>
      </c>
    </row>
    <row r="4445" spans="1:9" x14ac:dyDescent="0.2">
      <c r="A4445">
        <v>21560498</v>
      </c>
      <c r="B4445">
        <v>2</v>
      </c>
      <c r="C4445">
        <v>1728</v>
      </c>
      <c r="D4445">
        <v>0</v>
      </c>
      <c r="E4445">
        <v>26</v>
      </c>
      <c r="F4445" t="s">
        <v>57</v>
      </c>
      <c r="G4445" t="s">
        <v>103</v>
      </c>
      <c r="H4445" t="s">
        <v>69</v>
      </c>
      <c r="I4445">
        <v>10</v>
      </c>
    </row>
    <row r="4446" spans="1:9" x14ac:dyDescent="0.2">
      <c r="A4446">
        <v>21560498</v>
      </c>
      <c r="B4446">
        <v>3</v>
      </c>
      <c r="C4446">
        <v>1776</v>
      </c>
      <c r="D4446">
        <v>0</v>
      </c>
      <c r="E4446">
        <v>26</v>
      </c>
      <c r="F4446" t="s">
        <v>57</v>
      </c>
      <c r="G4446" t="s">
        <v>124</v>
      </c>
      <c r="H4446" t="s">
        <v>125</v>
      </c>
      <c r="I4446">
        <v>10</v>
      </c>
    </row>
    <row r="4447" spans="1:9" x14ac:dyDescent="0.2">
      <c r="A4447">
        <v>21560498</v>
      </c>
      <c r="B4447">
        <v>4</v>
      </c>
      <c r="C4447">
        <v>1732</v>
      </c>
      <c r="D4447">
        <v>0</v>
      </c>
      <c r="E4447">
        <v>26</v>
      </c>
      <c r="F4447" t="s">
        <v>57</v>
      </c>
      <c r="G4447" t="s">
        <v>104</v>
      </c>
      <c r="H4447" t="s">
        <v>69</v>
      </c>
      <c r="I4447">
        <v>10</v>
      </c>
    </row>
    <row r="4448" spans="1:9" x14ac:dyDescent="0.2">
      <c r="A4448">
        <v>21560498</v>
      </c>
      <c r="B4448">
        <v>5</v>
      </c>
      <c r="C4448">
        <v>1715</v>
      </c>
      <c r="D4448">
        <v>0</v>
      </c>
      <c r="E4448">
        <v>26</v>
      </c>
      <c r="F4448" t="s">
        <v>57</v>
      </c>
      <c r="G4448" t="s">
        <v>151</v>
      </c>
      <c r="H4448" t="s">
        <v>69</v>
      </c>
      <c r="I4448">
        <v>10</v>
      </c>
    </row>
    <row r="4449" spans="1:9" x14ac:dyDescent="0.2">
      <c r="A4449">
        <v>21560498</v>
      </c>
      <c r="B4449">
        <v>6</v>
      </c>
      <c r="C4449">
        <v>3020</v>
      </c>
      <c r="D4449">
        <v>0</v>
      </c>
      <c r="E4449">
        <v>26</v>
      </c>
      <c r="F4449" t="s">
        <v>44</v>
      </c>
      <c r="G4449" t="s">
        <v>102</v>
      </c>
      <c r="H4449" t="s">
        <v>50</v>
      </c>
      <c r="I4449">
        <v>9</v>
      </c>
    </row>
    <row r="4450" spans="1:9" x14ac:dyDescent="0.2">
      <c r="A4450">
        <v>21562583</v>
      </c>
      <c r="B4450">
        <v>1</v>
      </c>
      <c r="C4450">
        <v>1728</v>
      </c>
      <c r="D4450">
        <v>55480</v>
      </c>
      <c r="E4450">
        <v>25</v>
      </c>
      <c r="F4450" t="s">
        <v>57</v>
      </c>
      <c r="G4450" t="s">
        <v>103</v>
      </c>
      <c r="H4450" t="s">
        <v>69</v>
      </c>
      <c r="I4450">
        <v>10</v>
      </c>
    </row>
    <row r="4451" spans="1:9" x14ac:dyDescent="0.2">
      <c r="A4451">
        <v>21562583</v>
      </c>
      <c r="B4451">
        <v>2</v>
      </c>
      <c r="C4451">
        <v>1786</v>
      </c>
      <c r="D4451">
        <v>55500</v>
      </c>
      <c r="E4451">
        <v>25</v>
      </c>
      <c r="F4451" t="s">
        <v>57</v>
      </c>
      <c r="G4451" t="s">
        <v>103</v>
      </c>
      <c r="H4451" t="s">
        <v>56</v>
      </c>
      <c r="I4451">
        <v>10</v>
      </c>
    </row>
    <row r="4452" spans="1:9" x14ac:dyDescent="0.2">
      <c r="A4452">
        <v>21562583</v>
      </c>
      <c r="B4452">
        <v>3</v>
      </c>
      <c r="C4452">
        <v>3035</v>
      </c>
      <c r="D4452">
        <v>55280</v>
      </c>
      <c r="E4452">
        <v>25</v>
      </c>
      <c r="F4452" t="s">
        <v>44</v>
      </c>
      <c r="G4452" t="s">
        <v>103</v>
      </c>
      <c r="H4452" t="s">
        <v>50</v>
      </c>
      <c r="I4452">
        <v>9</v>
      </c>
    </row>
    <row r="4453" spans="1:9" x14ac:dyDescent="0.2">
      <c r="A4453">
        <v>21562583</v>
      </c>
      <c r="B4453">
        <v>4</v>
      </c>
      <c r="C4453">
        <v>1789</v>
      </c>
      <c r="D4453">
        <v>55480</v>
      </c>
      <c r="E4453">
        <v>25</v>
      </c>
      <c r="F4453" t="s">
        <v>57</v>
      </c>
      <c r="G4453" t="s">
        <v>122</v>
      </c>
      <c r="H4453" t="s">
        <v>69</v>
      </c>
      <c r="I4453">
        <v>10</v>
      </c>
    </row>
    <row r="4454" spans="1:9" x14ac:dyDescent="0.2">
      <c r="A4454">
        <v>21562583</v>
      </c>
      <c r="B4454">
        <v>5</v>
      </c>
      <c r="C4454">
        <v>3033</v>
      </c>
      <c r="D4454">
        <v>55280</v>
      </c>
      <c r="E4454">
        <v>25</v>
      </c>
      <c r="F4454" t="s">
        <v>44</v>
      </c>
      <c r="G4454" t="s">
        <v>122</v>
      </c>
      <c r="H4454" t="s">
        <v>50</v>
      </c>
      <c r="I4454">
        <v>9</v>
      </c>
    </row>
    <row r="4455" spans="1:9" x14ac:dyDescent="0.2">
      <c r="A4455">
        <v>21562583</v>
      </c>
      <c r="B4455">
        <v>6</v>
      </c>
      <c r="C4455">
        <v>1776</v>
      </c>
      <c r="D4455">
        <v>55240</v>
      </c>
      <c r="E4455">
        <v>25</v>
      </c>
      <c r="F4455" t="s">
        <v>57</v>
      </c>
      <c r="G4455" t="s">
        <v>124</v>
      </c>
      <c r="H4455" t="s">
        <v>125</v>
      </c>
      <c r="I4455">
        <v>10</v>
      </c>
    </row>
    <row r="4456" spans="1:9" x14ac:dyDescent="0.2">
      <c r="A4456">
        <v>21562583</v>
      </c>
      <c r="B4456">
        <v>7</v>
      </c>
      <c r="C4456">
        <v>3023</v>
      </c>
      <c r="D4456">
        <v>55280</v>
      </c>
      <c r="E4456">
        <v>25</v>
      </c>
      <c r="F4456" t="s">
        <v>44</v>
      </c>
      <c r="G4456" t="s">
        <v>124</v>
      </c>
      <c r="H4456" t="s">
        <v>50</v>
      </c>
      <c r="I4456">
        <v>9</v>
      </c>
    </row>
    <row r="4457" spans="1:9" x14ac:dyDescent="0.2">
      <c r="A4457">
        <v>21562583</v>
      </c>
      <c r="B4457">
        <v>8</v>
      </c>
      <c r="C4457">
        <v>1313</v>
      </c>
      <c r="D4457">
        <v>55130</v>
      </c>
      <c r="E4457">
        <v>25</v>
      </c>
      <c r="F4457" t="s">
        <v>21</v>
      </c>
      <c r="G4457" t="s">
        <v>96</v>
      </c>
      <c r="H4457" t="s">
        <v>20</v>
      </c>
      <c r="I4457">
        <v>8</v>
      </c>
    </row>
    <row r="4458" spans="1:9" x14ac:dyDescent="0.2">
      <c r="A4458">
        <v>21566880</v>
      </c>
      <c r="B4458">
        <v>1</v>
      </c>
      <c r="C4458">
        <v>1776</v>
      </c>
      <c r="D4458">
        <v>56320</v>
      </c>
      <c r="E4458">
        <v>25</v>
      </c>
      <c r="F4458" t="s">
        <v>57</v>
      </c>
      <c r="G4458" t="s">
        <v>124</v>
      </c>
      <c r="H4458" t="s">
        <v>125</v>
      </c>
      <c r="I4458">
        <v>10</v>
      </c>
    </row>
    <row r="4459" spans="1:9" x14ac:dyDescent="0.2">
      <c r="A4459">
        <v>21566880</v>
      </c>
      <c r="B4459">
        <v>2</v>
      </c>
      <c r="C4459">
        <v>3023</v>
      </c>
      <c r="D4459">
        <v>56940</v>
      </c>
      <c r="E4459">
        <v>25</v>
      </c>
      <c r="F4459" t="s">
        <v>44</v>
      </c>
      <c r="G4459" t="s">
        <v>124</v>
      </c>
      <c r="H4459" t="s">
        <v>50</v>
      </c>
      <c r="I4459">
        <v>9</v>
      </c>
    </row>
    <row r="4460" spans="1:9" x14ac:dyDescent="0.2">
      <c r="A4460">
        <v>21566880</v>
      </c>
      <c r="B4460">
        <v>3</v>
      </c>
      <c r="C4460">
        <v>3032</v>
      </c>
      <c r="D4460">
        <v>56940</v>
      </c>
      <c r="E4460">
        <v>25</v>
      </c>
      <c r="F4460" t="s">
        <v>44</v>
      </c>
      <c r="G4460" t="s">
        <v>151</v>
      </c>
      <c r="H4460" t="s">
        <v>50</v>
      </c>
      <c r="I4460">
        <v>9</v>
      </c>
    </row>
    <row r="4461" spans="1:9" x14ac:dyDescent="0.2">
      <c r="A4461">
        <v>21566880</v>
      </c>
      <c r="B4461">
        <v>4</v>
      </c>
      <c r="C4461">
        <v>1715</v>
      </c>
      <c r="D4461">
        <v>56725</v>
      </c>
      <c r="E4461">
        <v>25</v>
      </c>
      <c r="F4461" t="s">
        <v>57</v>
      </c>
      <c r="G4461" t="s">
        <v>151</v>
      </c>
      <c r="H4461" t="s">
        <v>69</v>
      </c>
      <c r="I4461">
        <v>10</v>
      </c>
    </row>
    <row r="4462" spans="1:9" x14ac:dyDescent="0.2">
      <c r="A4462">
        <v>21566880</v>
      </c>
      <c r="B4462">
        <v>5</v>
      </c>
      <c r="C4462">
        <v>3068</v>
      </c>
      <c r="D4462">
        <v>56940</v>
      </c>
      <c r="E4462">
        <v>25</v>
      </c>
      <c r="F4462" t="s">
        <v>44</v>
      </c>
      <c r="G4462" t="s">
        <v>40</v>
      </c>
      <c r="H4462" t="s">
        <v>43</v>
      </c>
      <c r="I4462">
        <v>9</v>
      </c>
    </row>
    <row r="4463" spans="1:9" x14ac:dyDescent="0.2">
      <c r="A4463">
        <v>21566880</v>
      </c>
      <c r="B4463">
        <v>6</v>
      </c>
      <c r="C4463">
        <v>1756</v>
      </c>
      <c r="D4463">
        <v>59590</v>
      </c>
      <c r="E4463">
        <v>24</v>
      </c>
      <c r="F4463" t="s">
        <v>57</v>
      </c>
      <c r="G4463" t="s">
        <v>89</v>
      </c>
      <c r="H4463" t="s">
        <v>69</v>
      </c>
      <c r="I4463">
        <v>10</v>
      </c>
    </row>
    <row r="4464" spans="1:9" x14ac:dyDescent="0.2">
      <c r="A4464">
        <v>21566880</v>
      </c>
      <c r="B4464">
        <v>7</v>
      </c>
      <c r="C4464">
        <v>3091</v>
      </c>
      <c r="D4464">
        <v>0</v>
      </c>
      <c r="E4464">
        <v>26</v>
      </c>
      <c r="F4464" t="s">
        <v>44</v>
      </c>
      <c r="G4464" t="s">
        <v>89</v>
      </c>
      <c r="H4464" t="s">
        <v>52</v>
      </c>
      <c r="I4464">
        <v>9</v>
      </c>
    </row>
    <row r="4465" spans="1:9" x14ac:dyDescent="0.2">
      <c r="A4465">
        <v>21566880</v>
      </c>
      <c r="B4465">
        <v>8</v>
      </c>
      <c r="C4465">
        <v>1728</v>
      </c>
      <c r="D4465">
        <v>0</v>
      </c>
      <c r="E4465">
        <v>26</v>
      </c>
      <c r="F4465" t="s">
        <v>57</v>
      </c>
      <c r="G4465" t="s">
        <v>103</v>
      </c>
      <c r="H4465" t="s">
        <v>69</v>
      </c>
      <c r="I4465">
        <v>10</v>
      </c>
    </row>
    <row r="4466" spans="1:9" x14ac:dyDescent="0.2">
      <c r="A4466">
        <v>21566881</v>
      </c>
      <c r="B4466">
        <v>1</v>
      </c>
      <c r="C4466">
        <v>1731</v>
      </c>
      <c r="D4466">
        <v>0</v>
      </c>
      <c r="E4466">
        <v>36</v>
      </c>
      <c r="F4466" t="s">
        <v>57</v>
      </c>
      <c r="G4466" t="s">
        <v>172</v>
      </c>
      <c r="H4466" t="s">
        <v>69</v>
      </c>
      <c r="I4466">
        <v>10</v>
      </c>
    </row>
    <row r="4467" spans="1:9" x14ac:dyDescent="0.2">
      <c r="A4467">
        <v>21566881</v>
      </c>
      <c r="B4467">
        <v>2</v>
      </c>
      <c r="C4467">
        <v>3026</v>
      </c>
      <c r="D4467">
        <v>0</v>
      </c>
      <c r="E4467">
        <v>36</v>
      </c>
      <c r="F4467" t="s">
        <v>44</v>
      </c>
      <c r="G4467" t="s">
        <v>170</v>
      </c>
      <c r="H4467" t="s">
        <v>50</v>
      </c>
      <c r="I4467">
        <v>9</v>
      </c>
    </row>
    <row r="4468" spans="1:9" x14ac:dyDescent="0.2">
      <c r="A4468">
        <v>21566881</v>
      </c>
      <c r="B4468">
        <v>3</v>
      </c>
      <c r="C4468">
        <v>1728</v>
      </c>
      <c r="D4468">
        <v>0</v>
      </c>
      <c r="E4468">
        <v>36</v>
      </c>
      <c r="F4468" t="s">
        <v>57</v>
      </c>
      <c r="G4468" t="s">
        <v>103</v>
      </c>
      <c r="H4468" t="s">
        <v>69</v>
      </c>
      <c r="I4468">
        <v>10</v>
      </c>
    </row>
    <row r="4469" spans="1:9" x14ac:dyDescent="0.2">
      <c r="A4469">
        <v>21566881</v>
      </c>
      <c r="B4469">
        <v>4</v>
      </c>
      <c r="C4469">
        <v>1786</v>
      </c>
      <c r="D4469">
        <v>0</v>
      </c>
      <c r="E4469">
        <v>36</v>
      </c>
      <c r="F4469" t="s">
        <v>57</v>
      </c>
      <c r="G4469" t="s">
        <v>103</v>
      </c>
      <c r="H4469" t="s">
        <v>56</v>
      </c>
      <c r="I4469">
        <v>10</v>
      </c>
    </row>
    <row r="4470" spans="1:9" x14ac:dyDescent="0.2">
      <c r="A4470">
        <v>21566881</v>
      </c>
      <c r="B4470">
        <v>5</v>
      </c>
      <c r="C4470">
        <v>3035</v>
      </c>
      <c r="D4470">
        <v>0</v>
      </c>
      <c r="E4470">
        <v>36</v>
      </c>
      <c r="F4470" t="s">
        <v>44</v>
      </c>
      <c r="G4470" t="s">
        <v>103</v>
      </c>
      <c r="H4470" t="s">
        <v>50</v>
      </c>
      <c r="I4470">
        <v>9</v>
      </c>
    </row>
    <row r="4471" spans="1:9" x14ac:dyDescent="0.2">
      <c r="A4471">
        <v>21566881</v>
      </c>
      <c r="B4471">
        <v>6</v>
      </c>
      <c r="C4471">
        <v>1705</v>
      </c>
      <c r="D4471">
        <v>0</v>
      </c>
      <c r="E4471">
        <v>36</v>
      </c>
      <c r="F4471" t="s">
        <v>57</v>
      </c>
      <c r="G4471" t="s">
        <v>102</v>
      </c>
      <c r="H4471" t="s">
        <v>69</v>
      </c>
      <c r="I4471">
        <v>10</v>
      </c>
    </row>
    <row r="4472" spans="1:9" x14ac:dyDescent="0.2">
      <c r="A4472">
        <v>21566881</v>
      </c>
      <c r="B4472">
        <v>7</v>
      </c>
      <c r="C4472">
        <v>3020</v>
      </c>
      <c r="D4472">
        <v>0</v>
      </c>
      <c r="E4472">
        <v>36</v>
      </c>
      <c r="F4472" t="s">
        <v>44</v>
      </c>
      <c r="G4472" t="s">
        <v>102</v>
      </c>
      <c r="H4472" t="s">
        <v>50</v>
      </c>
      <c r="I4472">
        <v>9</v>
      </c>
    </row>
    <row r="4473" spans="1:9" x14ac:dyDescent="0.2">
      <c r="A4473">
        <v>21577730</v>
      </c>
      <c r="B4473">
        <v>1</v>
      </c>
      <c r="C4473">
        <v>1368</v>
      </c>
      <c r="D4473">
        <v>58915</v>
      </c>
      <c r="E4473">
        <v>25</v>
      </c>
      <c r="F4473" t="s">
        <v>21</v>
      </c>
      <c r="G4473" t="s">
        <v>140</v>
      </c>
      <c r="H4473" t="s">
        <v>20</v>
      </c>
      <c r="I4473">
        <v>8</v>
      </c>
    </row>
    <row r="4474" spans="1:9" x14ac:dyDescent="0.2">
      <c r="A4474">
        <v>21577730</v>
      </c>
      <c r="B4474">
        <v>2</v>
      </c>
      <c r="C4474">
        <v>1370</v>
      </c>
      <c r="D4474">
        <v>58915</v>
      </c>
      <c r="E4474">
        <v>25</v>
      </c>
      <c r="F4474" t="s">
        <v>21</v>
      </c>
      <c r="G4474" t="s">
        <v>120</v>
      </c>
      <c r="H4474" t="s">
        <v>20</v>
      </c>
      <c r="I4474">
        <v>8</v>
      </c>
    </row>
    <row r="4475" spans="1:9" x14ac:dyDescent="0.2">
      <c r="A4475">
        <v>21577730</v>
      </c>
      <c r="B4475">
        <v>3</v>
      </c>
      <c r="C4475">
        <v>1319</v>
      </c>
      <c r="D4475">
        <v>58915</v>
      </c>
      <c r="E4475">
        <v>25</v>
      </c>
      <c r="F4475" t="s">
        <v>21</v>
      </c>
      <c r="G4475" t="s">
        <v>84</v>
      </c>
      <c r="H4475" t="s">
        <v>20</v>
      </c>
      <c r="I4475">
        <v>8</v>
      </c>
    </row>
    <row r="4476" spans="1:9" x14ac:dyDescent="0.2">
      <c r="A4476">
        <v>21577731</v>
      </c>
      <c r="B4476">
        <v>1</v>
      </c>
      <c r="C4476">
        <v>1734</v>
      </c>
      <c r="D4476">
        <v>66090</v>
      </c>
      <c r="E4476">
        <v>24</v>
      </c>
      <c r="F4476" t="s">
        <v>57</v>
      </c>
      <c r="G4476" t="s">
        <v>81</v>
      </c>
      <c r="H4476" t="s">
        <v>69</v>
      </c>
      <c r="I4476">
        <v>10</v>
      </c>
    </row>
    <row r="4477" spans="1:9" x14ac:dyDescent="0.2">
      <c r="A4477">
        <v>21577731</v>
      </c>
      <c r="B4477">
        <v>2</v>
      </c>
      <c r="C4477">
        <v>1702</v>
      </c>
      <c r="D4477">
        <v>0</v>
      </c>
      <c r="E4477">
        <v>26</v>
      </c>
      <c r="F4477" t="s">
        <v>57</v>
      </c>
      <c r="G4477" t="s">
        <v>164</v>
      </c>
      <c r="H4477" t="s">
        <v>69</v>
      </c>
      <c r="I4477">
        <v>10</v>
      </c>
    </row>
    <row r="4478" spans="1:9" x14ac:dyDescent="0.2">
      <c r="A4478">
        <v>21577731</v>
      </c>
      <c r="B4478">
        <v>3</v>
      </c>
      <c r="C4478">
        <v>1705</v>
      </c>
      <c r="D4478">
        <v>0</v>
      </c>
      <c r="E4478">
        <v>26</v>
      </c>
      <c r="F4478" t="s">
        <v>57</v>
      </c>
      <c r="G4478" t="s">
        <v>102</v>
      </c>
      <c r="H4478" t="s">
        <v>69</v>
      </c>
      <c r="I4478">
        <v>10</v>
      </c>
    </row>
    <row r="4479" spans="1:9" x14ac:dyDescent="0.2">
      <c r="A4479">
        <v>21577731</v>
      </c>
      <c r="B4479">
        <v>4</v>
      </c>
      <c r="C4479">
        <v>1728</v>
      </c>
      <c r="D4479">
        <v>0</v>
      </c>
      <c r="E4479">
        <v>26</v>
      </c>
      <c r="F4479" t="s">
        <v>57</v>
      </c>
      <c r="G4479" t="s">
        <v>103</v>
      </c>
      <c r="H4479" t="s">
        <v>69</v>
      </c>
      <c r="I4479">
        <v>10</v>
      </c>
    </row>
    <row r="4480" spans="1:9" x14ac:dyDescent="0.2">
      <c r="A4480">
        <v>21577731</v>
      </c>
      <c r="B4480">
        <v>5</v>
      </c>
      <c r="C4480">
        <v>1775</v>
      </c>
      <c r="D4480">
        <v>0</v>
      </c>
      <c r="E4480">
        <v>26</v>
      </c>
      <c r="F4480" t="s">
        <v>57</v>
      </c>
      <c r="G4480" t="s">
        <v>94</v>
      </c>
      <c r="H4480" t="s">
        <v>69</v>
      </c>
      <c r="I4480">
        <v>10</v>
      </c>
    </row>
    <row r="4481" spans="1:9" x14ac:dyDescent="0.2">
      <c r="A4481">
        <v>21577731</v>
      </c>
      <c r="B4481">
        <v>6</v>
      </c>
      <c r="C4481">
        <v>3229</v>
      </c>
      <c r="D4481">
        <v>0</v>
      </c>
      <c r="E4481">
        <v>26</v>
      </c>
      <c r="F4481" t="s">
        <v>47</v>
      </c>
      <c r="G4481" t="s">
        <v>101</v>
      </c>
      <c r="H4481" t="s">
        <v>46</v>
      </c>
      <c r="I4481">
        <v>10</v>
      </c>
    </row>
    <row r="4482" spans="1:9" x14ac:dyDescent="0.2">
      <c r="A4482">
        <v>21577731</v>
      </c>
      <c r="B4482">
        <v>7</v>
      </c>
      <c r="C4482">
        <v>3223</v>
      </c>
      <c r="D4482">
        <v>0</v>
      </c>
      <c r="E4482">
        <v>26</v>
      </c>
      <c r="F4482" t="s">
        <v>47</v>
      </c>
      <c r="G4482" t="s">
        <v>105</v>
      </c>
      <c r="H4482" t="s">
        <v>46</v>
      </c>
      <c r="I4482">
        <v>10</v>
      </c>
    </row>
    <row r="4483" spans="1:9" x14ac:dyDescent="0.2">
      <c r="A4483">
        <v>21577731</v>
      </c>
      <c r="B4483">
        <v>8</v>
      </c>
      <c r="C4483">
        <v>3219</v>
      </c>
      <c r="D4483">
        <v>0</v>
      </c>
      <c r="E4483">
        <v>26</v>
      </c>
      <c r="F4483" t="s">
        <v>47</v>
      </c>
      <c r="G4483" t="s">
        <v>205</v>
      </c>
      <c r="H4483" t="s">
        <v>74</v>
      </c>
      <c r="I4483">
        <v>10</v>
      </c>
    </row>
    <row r="4484" spans="1:9" x14ac:dyDescent="0.2">
      <c r="A4484">
        <v>21578841</v>
      </c>
      <c r="B4484">
        <v>1</v>
      </c>
      <c r="C4484">
        <v>1709</v>
      </c>
      <c r="D4484">
        <v>52220</v>
      </c>
      <c r="E4484">
        <v>25</v>
      </c>
      <c r="F4484" t="s">
        <v>57</v>
      </c>
      <c r="G4484" t="s">
        <v>84</v>
      </c>
      <c r="H4484" t="s">
        <v>69</v>
      </c>
      <c r="I4484">
        <v>10</v>
      </c>
    </row>
    <row r="4485" spans="1:9" x14ac:dyDescent="0.2">
      <c r="A4485">
        <v>21578841</v>
      </c>
      <c r="B4485">
        <v>2</v>
      </c>
      <c r="C4485">
        <v>1754</v>
      </c>
      <c r="D4485">
        <v>53795</v>
      </c>
      <c r="E4485">
        <v>24</v>
      </c>
      <c r="F4485" t="s">
        <v>57</v>
      </c>
      <c r="G4485" t="s">
        <v>85</v>
      </c>
      <c r="H4485" t="s">
        <v>69</v>
      </c>
      <c r="I4485">
        <v>10</v>
      </c>
    </row>
    <row r="4486" spans="1:9" x14ac:dyDescent="0.2">
      <c r="A4486">
        <v>21578841</v>
      </c>
      <c r="B4486">
        <v>3</v>
      </c>
      <c r="C4486">
        <v>3212</v>
      </c>
      <c r="D4486">
        <v>0</v>
      </c>
      <c r="E4486">
        <v>26</v>
      </c>
      <c r="F4486" t="s">
        <v>47</v>
      </c>
      <c r="G4486" t="s">
        <v>84</v>
      </c>
      <c r="H4486" t="s">
        <v>46</v>
      </c>
      <c r="I4486">
        <v>10</v>
      </c>
    </row>
    <row r="4487" spans="1:9" x14ac:dyDescent="0.2">
      <c r="A4487">
        <v>21578841</v>
      </c>
      <c r="B4487">
        <v>4</v>
      </c>
      <c r="C4487">
        <v>3200</v>
      </c>
      <c r="D4487">
        <v>0</v>
      </c>
      <c r="E4487">
        <v>26</v>
      </c>
      <c r="F4487" t="s">
        <v>47</v>
      </c>
      <c r="G4487" t="s">
        <v>18</v>
      </c>
      <c r="H4487" t="s">
        <v>46</v>
      </c>
      <c r="I4487">
        <v>10</v>
      </c>
    </row>
    <row r="4488" spans="1:9" x14ac:dyDescent="0.2">
      <c r="A4488">
        <v>21578841</v>
      </c>
      <c r="B4488">
        <v>5</v>
      </c>
      <c r="C4488">
        <v>3085</v>
      </c>
      <c r="D4488">
        <v>0</v>
      </c>
      <c r="E4488">
        <v>26</v>
      </c>
      <c r="F4488" t="s">
        <v>44</v>
      </c>
      <c r="G4488" t="s">
        <v>84</v>
      </c>
      <c r="H4488" t="s">
        <v>55</v>
      </c>
      <c r="I4488">
        <v>9</v>
      </c>
    </row>
    <row r="4489" spans="1:9" x14ac:dyDescent="0.2">
      <c r="A4489">
        <v>21583751</v>
      </c>
      <c r="B4489">
        <v>1</v>
      </c>
      <c r="C4489">
        <v>3243</v>
      </c>
      <c r="D4489">
        <v>51650</v>
      </c>
      <c r="E4489">
        <v>25</v>
      </c>
      <c r="F4489" t="s">
        <v>47</v>
      </c>
      <c r="G4489" t="s">
        <v>75</v>
      </c>
      <c r="H4489" t="s">
        <v>46</v>
      </c>
      <c r="I4489">
        <v>10</v>
      </c>
    </row>
    <row r="4490" spans="1:9" x14ac:dyDescent="0.2">
      <c r="A4490">
        <v>21583751</v>
      </c>
      <c r="B4490">
        <v>2</v>
      </c>
      <c r="C4490">
        <v>1784</v>
      </c>
      <c r="D4490">
        <v>52775</v>
      </c>
      <c r="E4490">
        <v>25</v>
      </c>
      <c r="F4490" t="s">
        <v>57</v>
      </c>
      <c r="G4490" t="s">
        <v>87</v>
      </c>
      <c r="H4490" t="s">
        <v>69</v>
      </c>
      <c r="I4490">
        <v>10</v>
      </c>
    </row>
    <row r="4491" spans="1:9" x14ac:dyDescent="0.2">
      <c r="A4491">
        <v>21583751</v>
      </c>
      <c r="B4491">
        <v>3</v>
      </c>
      <c r="C4491">
        <v>3252</v>
      </c>
      <c r="D4491">
        <v>51800</v>
      </c>
      <c r="E4491">
        <v>24</v>
      </c>
      <c r="F4491" t="s">
        <v>47</v>
      </c>
      <c r="G4491" t="s">
        <v>45</v>
      </c>
      <c r="H4491" t="s">
        <v>46</v>
      </c>
      <c r="I4491">
        <v>10</v>
      </c>
    </row>
    <row r="4492" spans="1:9" x14ac:dyDescent="0.2">
      <c r="A4492">
        <v>21583751</v>
      </c>
      <c r="B4492">
        <v>4</v>
      </c>
      <c r="C4492">
        <v>3248</v>
      </c>
      <c r="D4492">
        <v>0</v>
      </c>
      <c r="E4492">
        <v>26</v>
      </c>
      <c r="F4492" t="s">
        <v>47</v>
      </c>
      <c r="G4492" t="s">
        <v>92</v>
      </c>
      <c r="H4492" t="s">
        <v>46</v>
      </c>
      <c r="I4492">
        <v>10</v>
      </c>
    </row>
    <row r="4493" spans="1:9" x14ac:dyDescent="0.2">
      <c r="A4493">
        <v>21583751</v>
      </c>
      <c r="B4493">
        <v>5</v>
      </c>
      <c r="C4493">
        <v>3251</v>
      </c>
      <c r="D4493">
        <v>0</v>
      </c>
      <c r="E4493">
        <v>26</v>
      </c>
      <c r="F4493" t="s">
        <v>47</v>
      </c>
      <c r="G4493" t="s">
        <v>48</v>
      </c>
      <c r="H4493" t="s">
        <v>46</v>
      </c>
      <c r="I4493">
        <v>10</v>
      </c>
    </row>
    <row r="4494" spans="1:9" x14ac:dyDescent="0.2">
      <c r="A4494">
        <v>21583751</v>
      </c>
      <c r="B4494">
        <v>6</v>
      </c>
      <c r="C4494">
        <v>1756</v>
      </c>
      <c r="D4494">
        <v>0</v>
      </c>
      <c r="E4494">
        <v>26</v>
      </c>
      <c r="F4494" t="s">
        <v>57</v>
      </c>
      <c r="G4494" t="s">
        <v>89</v>
      </c>
      <c r="H4494" t="s">
        <v>69</v>
      </c>
      <c r="I4494">
        <v>10</v>
      </c>
    </row>
    <row r="4495" spans="1:9" x14ac:dyDescent="0.2">
      <c r="A4495">
        <v>21593055</v>
      </c>
      <c r="B4495">
        <v>1</v>
      </c>
      <c r="C4495">
        <v>3243</v>
      </c>
      <c r="D4495">
        <v>58625</v>
      </c>
      <c r="E4495">
        <v>24</v>
      </c>
      <c r="F4495" t="s">
        <v>47</v>
      </c>
      <c r="G4495" t="s">
        <v>75</v>
      </c>
      <c r="H4495" t="s">
        <v>46</v>
      </c>
      <c r="I4495">
        <v>10</v>
      </c>
    </row>
    <row r="4496" spans="1:9" x14ac:dyDescent="0.2">
      <c r="A4496">
        <v>21593055</v>
      </c>
      <c r="B4496">
        <v>2</v>
      </c>
      <c r="C4496">
        <v>1784</v>
      </c>
      <c r="D4496">
        <v>0</v>
      </c>
      <c r="E4496">
        <v>26</v>
      </c>
      <c r="F4496" t="s">
        <v>57</v>
      </c>
      <c r="G4496" t="s">
        <v>87</v>
      </c>
      <c r="H4496" t="s">
        <v>69</v>
      </c>
      <c r="I4496">
        <v>10</v>
      </c>
    </row>
    <row r="4497" spans="1:9" x14ac:dyDescent="0.2">
      <c r="A4497">
        <v>21593055</v>
      </c>
      <c r="B4497">
        <v>3</v>
      </c>
      <c r="C4497">
        <v>1341</v>
      </c>
      <c r="D4497">
        <v>0</v>
      </c>
      <c r="E4497">
        <v>26</v>
      </c>
      <c r="F4497" t="s">
        <v>21</v>
      </c>
      <c r="G4497" t="s">
        <v>431</v>
      </c>
      <c r="H4497" t="s">
        <v>20</v>
      </c>
      <c r="I4497">
        <v>8</v>
      </c>
    </row>
    <row r="4498" spans="1:9" x14ac:dyDescent="0.2">
      <c r="A4498">
        <v>21593055</v>
      </c>
      <c r="B4498">
        <v>4</v>
      </c>
      <c r="C4498">
        <v>3653</v>
      </c>
      <c r="D4498">
        <v>0</v>
      </c>
      <c r="E4498">
        <v>26</v>
      </c>
      <c r="F4498" t="s">
        <v>108</v>
      </c>
      <c r="G4498" t="s">
        <v>283</v>
      </c>
      <c r="H4498" t="s">
        <v>20</v>
      </c>
      <c r="I4498">
        <v>8</v>
      </c>
    </row>
    <row r="4499" spans="1:9" x14ac:dyDescent="0.2">
      <c r="A4499">
        <v>21593055</v>
      </c>
      <c r="B4499">
        <v>5</v>
      </c>
      <c r="C4499">
        <v>1342</v>
      </c>
      <c r="D4499">
        <v>0</v>
      </c>
      <c r="E4499">
        <v>26</v>
      </c>
      <c r="F4499" t="s">
        <v>21</v>
      </c>
      <c r="G4499" t="s">
        <v>351</v>
      </c>
      <c r="H4499" t="s">
        <v>20</v>
      </c>
      <c r="I4499">
        <v>8</v>
      </c>
    </row>
    <row r="4500" spans="1:9" x14ac:dyDescent="0.2">
      <c r="A4500">
        <v>21593055</v>
      </c>
      <c r="B4500">
        <v>6</v>
      </c>
      <c r="C4500">
        <v>3252</v>
      </c>
      <c r="D4500">
        <v>0</v>
      </c>
      <c r="E4500">
        <v>26</v>
      </c>
      <c r="F4500" t="s">
        <v>47</v>
      </c>
      <c r="G4500" t="s">
        <v>45</v>
      </c>
      <c r="H4500" t="s">
        <v>46</v>
      </c>
      <c r="I4500">
        <v>10</v>
      </c>
    </row>
    <row r="4501" spans="1:9" x14ac:dyDescent="0.2">
      <c r="A4501">
        <v>21593055</v>
      </c>
      <c r="B4501">
        <v>7</v>
      </c>
      <c r="C4501">
        <v>1756</v>
      </c>
      <c r="D4501">
        <v>0</v>
      </c>
      <c r="E4501">
        <v>26</v>
      </c>
      <c r="F4501" t="s">
        <v>57</v>
      </c>
      <c r="G4501" t="s">
        <v>89</v>
      </c>
      <c r="H4501" t="s">
        <v>69</v>
      </c>
      <c r="I4501">
        <v>10</v>
      </c>
    </row>
    <row r="4502" spans="1:9" x14ac:dyDescent="0.2">
      <c r="A4502">
        <v>21678315</v>
      </c>
      <c r="B4502">
        <v>1</v>
      </c>
      <c r="C4502">
        <v>1503</v>
      </c>
      <c r="D4502">
        <v>61100</v>
      </c>
      <c r="E4502">
        <v>25</v>
      </c>
      <c r="F4502" t="s">
        <v>142</v>
      </c>
      <c r="G4502" t="s">
        <v>161</v>
      </c>
      <c r="H4502" t="s">
        <v>31</v>
      </c>
      <c r="I4502">
        <v>5</v>
      </c>
    </row>
    <row r="4503" spans="1:9" x14ac:dyDescent="0.2">
      <c r="A4503">
        <v>21678315</v>
      </c>
      <c r="B4503">
        <v>2</v>
      </c>
      <c r="C4503">
        <v>1505</v>
      </c>
      <c r="D4503">
        <v>61100</v>
      </c>
      <c r="E4503">
        <v>25</v>
      </c>
      <c r="F4503" t="s">
        <v>142</v>
      </c>
      <c r="G4503" t="s">
        <v>120</v>
      </c>
      <c r="H4503" t="s">
        <v>31</v>
      </c>
      <c r="I4503">
        <v>5</v>
      </c>
    </row>
    <row r="4504" spans="1:9" x14ac:dyDescent="0.2">
      <c r="A4504">
        <v>21678315</v>
      </c>
      <c r="B4504">
        <v>3</v>
      </c>
      <c r="C4504">
        <v>1526</v>
      </c>
      <c r="D4504">
        <v>61100</v>
      </c>
      <c r="E4504">
        <v>25</v>
      </c>
      <c r="F4504" t="s">
        <v>142</v>
      </c>
      <c r="G4504" t="s">
        <v>276</v>
      </c>
      <c r="H4504" t="s">
        <v>31</v>
      </c>
      <c r="I4504">
        <v>5</v>
      </c>
    </row>
    <row r="4505" spans="1:9" x14ac:dyDescent="0.2">
      <c r="A4505">
        <v>21678315</v>
      </c>
      <c r="B4505">
        <v>4</v>
      </c>
      <c r="C4505">
        <v>1510</v>
      </c>
      <c r="D4505">
        <v>61100</v>
      </c>
      <c r="E4505">
        <v>25</v>
      </c>
      <c r="F4505" t="s">
        <v>142</v>
      </c>
      <c r="G4505" t="s">
        <v>323</v>
      </c>
      <c r="H4505" t="s">
        <v>31</v>
      </c>
      <c r="I4505">
        <v>5</v>
      </c>
    </row>
    <row r="4506" spans="1:9" x14ac:dyDescent="0.2">
      <c r="A4506">
        <v>21678315</v>
      </c>
      <c r="B4506">
        <v>5</v>
      </c>
      <c r="C4506">
        <v>1463</v>
      </c>
      <c r="D4506">
        <v>60775</v>
      </c>
      <c r="E4506">
        <v>25</v>
      </c>
      <c r="F4506" t="s">
        <v>25</v>
      </c>
      <c r="G4506" t="s">
        <v>66</v>
      </c>
      <c r="H4506" t="s">
        <v>24</v>
      </c>
      <c r="I4506">
        <v>5</v>
      </c>
    </row>
    <row r="4507" spans="1:9" x14ac:dyDescent="0.2">
      <c r="A4507">
        <v>21678315</v>
      </c>
      <c r="B4507">
        <v>6</v>
      </c>
      <c r="C4507">
        <v>1464</v>
      </c>
      <c r="D4507">
        <v>60775</v>
      </c>
      <c r="E4507">
        <v>24</v>
      </c>
      <c r="F4507" t="s">
        <v>25</v>
      </c>
      <c r="G4507" t="s">
        <v>339</v>
      </c>
      <c r="H4507" t="s">
        <v>24</v>
      </c>
      <c r="I4507">
        <v>5</v>
      </c>
    </row>
    <row r="4508" spans="1:9" x14ac:dyDescent="0.2">
      <c r="A4508">
        <v>21678315</v>
      </c>
      <c r="B4508">
        <v>7</v>
      </c>
      <c r="C4508">
        <v>1368</v>
      </c>
      <c r="D4508">
        <v>0</v>
      </c>
      <c r="E4508">
        <v>26</v>
      </c>
      <c r="F4508" t="s">
        <v>21</v>
      </c>
      <c r="G4508" t="s">
        <v>140</v>
      </c>
      <c r="H4508" t="s">
        <v>20</v>
      </c>
      <c r="I4508">
        <v>8</v>
      </c>
    </row>
    <row r="4509" spans="1:9" x14ac:dyDescent="0.2">
      <c r="A4509">
        <v>21678315</v>
      </c>
      <c r="B4509">
        <v>8</v>
      </c>
      <c r="C4509">
        <v>1752</v>
      </c>
      <c r="D4509">
        <v>0</v>
      </c>
      <c r="E4509">
        <v>26</v>
      </c>
      <c r="F4509" t="s">
        <v>57</v>
      </c>
      <c r="G4509" t="s">
        <v>66</v>
      </c>
      <c r="H4509" t="s">
        <v>56</v>
      </c>
      <c r="I4509">
        <v>10</v>
      </c>
    </row>
    <row r="4510" spans="1:9" x14ac:dyDescent="0.2">
      <c r="A4510">
        <v>21696508</v>
      </c>
      <c r="B4510">
        <v>1</v>
      </c>
      <c r="C4510">
        <v>1315</v>
      </c>
      <c r="D4510">
        <v>67865</v>
      </c>
      <c r="E4510">
        <v>24</v>
      </c>
      <c r="F4510" t="s">
        <v>21</v>
      </c>
      <c r="G4510" t="s">
        <v>304</v>
      </c>
      <c r="H4510" t="s">
        <v>20</v>
      </c>
      <c r="I4510">
        <v>8</v>
      </c>
    </row>
    <row r="4511" spans="1:9" x14ac:dyDescent="0.2">
      <c r="A4511">
        <v>21696508</v>
      </c>
      <c r="B4511">
        <v>2</v>
      </c>
      <c r="C4511">
        <v>1356</v>
      </c>
      <c r="D4511">
        <v>0</v>
      </c>
      <c r="E4511">
        <v>26</v>
      </c>
      <c r="F4511" t="s">
        <v>21</v>
      </c>
      <c r="G4511" t="s">
        <v>400</v>
      </c>
      <c r="H4511" t="s">
        <v>20</v>
      </c>
      <c r="I4511">
        <v>8</v>
      </c>
    </row>
    <row r="4512" spans="1:9" x14ac:dyDescent="0.2">
      <c r="A4512">
        <v>21696508</v>
      </c>
      <c r="B4512">
        <v>3</v>
      </c>
      <c r="C4512">
        <v>1854</v>
      </c>
      <c r="D4512">
        <v>0</v>
      </c>
      <c r="E4512">
        <v>26</v>
      </c>
      <c r="F4512" t="s">
        <v>223</v>
      </c>
      <c r="G4512" t="s">
        <v>304</v>
      </c>
      <c r="H4512" t="s">
        <v>41</v>
      </c>
      <c r="I4512">
        <v>2</v>
      </c>
    </row>
    <row r="4513" spans="1:9" x14ac:dyDescent="0.2">
      <c r="A4513">
        <v>21733379</v>
      </c>
      <c r="B4513">
        <v>1</v>
      </c>
      <c r="C4513">
        <v>3239</v>
      </c>
      <c r="D4513">
        <v>0</v>
      </c>
      <c r="E4513">
        <v>36</v>
      </c>
      <c r="F4513" t="s">
        <v>47</v>
      </c>
      <c r="G4513" t="s">
        <v>107</v>
      </c>
      <c r="H4513" t="s">
        <v>46</v>
      </c>
      <c r="I4513">
        <v>10</v>
      </c>
    </row>
    <row r="4514" spans="1:9" x14ac:dyDescent="0.2">
      <c r="A4514">
        <v>21733379</v>
      </c>
      <c r="B4514">
        <v>2</v>
      </c>
      <c r="C4514">
        <v>3214</v>
      </c>
      <c r="D4514">
        <v>0</v>
      </c>
      <c r="E4514">
        <v>36</v>
      </c>
      <c r="F4514" t="s">
        <v>47</v>
      </c>
      <c r="G4514" t="s">
        <v>98</v>
      </c>
      <c r="H4514" t="s">
        <v>74</v>
      </c>
      <c r="I4514">
        <v>10</v>
      </c>
    </row>
    <row r="4515" spans="1:9" x14ac:dyDescent="0.2">
      <c r="A4515">
        <v>21733379</v>
      </c>
      <c r="B4515">
        <v>3</v>
      </c>
      <c r="C4515">
        <v>3248</v>
      </c>
      <c r="D4515">
        <v>0</v>
      </c>
      <c r="E4515">
        <v>36</v>
      </c>
      <c r="F4515" t="s">
        <v>47</v>
      </c>
      <c r="G4515" t="s">
        <v>92</v>
      </c>
      <c r="H4515" t="s">
        <v>46</v>
      </c>
      <c r="I4515">
        <v>10</v>
      </c>
    </row>
    <row r="4516" spans="1:9" x14ac:dyDescent="0.2">
      <c r="A4516">
        <v>21733379</v>
      </c>
      <c r="B4516">
        <v>4</v>
      </c>
      <c r="C4516">
        <v>3200</v>
      </c>
      <c r="D4516">
        <v>0</v>
      </c>
      <c r="E4516">
        <v>36</v>
      </c>
      <c r="F4516" t="s">
        <v>47</v>
      </c>
      <c r="G4516" t="s">
        <v>18</v>
      </c>
      <c r="H4516" t="s">
        <v>46</v>
      </c>
      <c r="I4516">
        <v>10</v>
      </c>
    </row>
    <row r="4517" spans="1:9" x14ac:dyDescent="0.2">
      <c r="A4517">
        <v>21733379</v>
      </c>
      <c r="B4517">
        <v>5</v>
      </c>
      <c r="C4517">
        <v>3261</v>
      </c>
      <c r="D4517">
        <v>0</v>
      </c>
      <c r="E4517">
        <v>36</v>
      </c>
      <c r="F4517" t="s">
        <v>47</v>
      </c>
      <c r="G4517" t="s">
        <v>93</v>
      </c>
      <c r="H4517" t="s">
        <v>46</v>
      </c>
      <c r="I4517">
        <v>10</v>
      </c>
    </row>
    <row r="4518" spans="1:9" x14ac:dyDescent="0.2">
      <c r="A4518">
        <v>21733379</v>
      </c>
      <c r="B4518">
        <v>6</v>
      </c>
      <c r="C4518">
        <v>3252</v>
      </c>
      <c r="D4518">
        <v>0</v>
      </c>
      <c r="E4518">
        <v>36</v>
      </c>
      <c r="F4518" t="s">
        <v>47</v>
      </c>
      <c r="G4518" t="s">
        <v>45</v>
      </c>
      <c r="H4518" t="s">
        <v>46</v>
      </c>
      <c r="I4518">
        <v>10</v>
      </c>
    </row>
    <row r="4519" spans="1:9" x14ac:dyDescent="0.2">
      <c r="A4519">
        <v>21734821</v>
      </c>
      <c r="B4519">
        <v>1</v>
      </c>
      <c r="C4519">
        <v>1141</v>
      </c>
      <c r="D4519">
        <v>66920</v>
      </c>
      <c r="E4519">
        <v>25</v>
      </c>
      <c r="F4519" t="s">
        <v>17</v>
      </c>
      <c r="G4519" t="s">
        <v>115</v>
      </c>
      <c r="H4519" t="s">
        <v>16</v>
      </c>
      <c r="I4519" t="s">
        <v>448</v>
      </c>
    </row>
    <row r="4520" spans="1:9" x14ac:dyDescent="0.2">
      <c r="A4520">
        <v>21734821</v>
      </c>
      <c r="B4520">
        <v>2</v>
      </c>
      <c r="C4520">
        <v>1406</v>
      </c>
      <c r="D4520">
        <v>64620</v>
      </c>
      <c r="E4520">
        <v>24</v>
      </c>
      <c r="F4520" t="s">
        <v>25</v>
      </c>
      <c r="G4520" t="s">
        <v>109</v>
      </c>
      <c r="H4520" t="s">
        <v>24</v>
      </c>
      <c r="I4520">
        <v>5</v>
      </c>
    </row>
    <row r="4521" spans="1:9" x14ac:dyDescent="0.2">
      <c r="A4521">
        <v>21734821</v>
      </c>
      <c r="B4521">
        <v>3</v>
      </c>
      <c r="C4521">
        <v>1305</v>
      </c>
      <c r="D4521">
        <v>0</v>
      </c>
      <c r="E4521">
        <v>26</v>
      </c>
      <c r="F4521" t="s">
        <v>21</v>
      </c>
      <c r="G4521" t="s">
        <v>243</v>
      </c>
      <c r="H4521" t="s">
        <v>20</v>
      </c>
      <c r="I4521">
        <v>8</v>
      </c>
    </row>
    <row r="4522" spans="1:9" x14ac:dyDescent="0.2">
      <c r="A4522">
        <v>21735177</v>
      </c>
      <c r="B4522">
        <v>1</v>
      </c>
      <c r="C4522">
        <v>1369</v>
      </c>
      <c r="D4522">
        <v>57230</v>
      </c>
      <c r="E4522">
        <v>25</v>
      </c>
      <c r="F4522" t="s">
        <v>21</v>
      </c>
      <c r="G4522" t="s">
        <v>121</v>
      </c>
      <c r="H4522" t="s">
        <v>20</v>
      </c>
      <c r="I4522">
        <v>8</v>
      </c>
    </row>
    <row r="4523" spans="1:9" x14ac:dyDescent="0.2">
      <c r="A4523">
        <v>21735177</v>
      </c>
      <c r="B4523">
        <v>2</v>
      </c>
      <c r="C4523">
        <v>1368</v>
      </c>
      <c r="D4523">
        <v>57230</v>
      </c>
      <c r="E4523">
        <v>25</v>
      </c>
      <c r="F4523" t="s">
        <v>21</v>
      </c>
      <c r="G4523" t="s">
        <v>140</v>
      </c>
      <c r="H4523" t="s">
        <v>20</v>
      </c>
      <c r="I4523">
        <v>8</v>
      </c>
    </row>
    <row r="4524" spans="1:9" x14ac:dyDescent="0.2">
      <c r="A4524">
        <v>21735177</v>
      </c>
      <c r="B4524">
        <v>3</v>
      </c>
      <c r="C4524">
        <v>1304</v>
      </c>
      <c r="D4524">
        <v>57230</v>
      </c>
      <c r="E4524">
        <v>25</v>
      </c>
      <c r="F4524" t="s">
        <v>21</v>
      </c>
      <c r="G4524" t="s">
        <v>242</v>
      </c>
      <c r="H4524" t="s">
        <v>20</v>
      </c>
      <c r="I4524">
        <v>8</v>
      </c>
    </row>
    <row r="4525" spans="1:9" x14ac:dyDescent="0.2">
      <c r="A4525">
        <v>21735177</v>
      </c>
      <c r="B4525">
        <v>4</v>
      </c>
      <c r="C4525">
        <v>2921</v>
      </c>
      <c r="D4525">
        <v>55500</v>
      </c>
      <c r="E4525">
        <v>25</v>
      </c>
      <c r="F4525" t="s">
        <v>119</v>
      </c>
      <c r="G4525" t="s">
        <v>121</v>
      </c>
      <c r="H4525" t="s">
        <v>20</v>
      </c>
      <c r="I4525">
        <v>8</v>
      </c>
    </row>
    <row r="4526" spans="1:9" x14ac:dyDescent="0.2">
      <c r="A4526">
        <v>21735177</v>
      </c>
      <c r="B4526">
        <v>5</v>
      </c>
      <c r="C4526">
        <v>3629</v>
      </c>
      <c r="D4526">
        <v>56410</v>
      </c>
      <c r="E4526">
        <v>24</v>
      </c>
      <c r="F4526" t="s">
        <v>108</v>
      </c>
      <c r="G4526" t="s">
        <v>121</v>
      </c>
      <c r="H4526" t="s">
        <v>20</v>
      </c>
      <c r="I4526">
        <v>8</v>
      </c>
    </row>
    <row r="4527" spans="1:9" x14ac:dyDescent="0.2">
      <c r="A4527">
        <v>21735177</v>
      </c>
      <c r="B4527">
        <v>6</v>
      </c>
      <c r="C4527">
        <v>2920</v>
      </c>
      <c r="D4527">
        <v>0</v>
      </c>
      <c r="E4527">
        <v>26</v>
      </c>
      <c r="F4527" t="s">
        <v>119</v>
      </c>
      <c r="G4527" t="s">
        <v>67</v>
      </c>
      <c r="H4527" t="s">
        <v>20</v>
      </c>
      <c r="I4527">
        <v>8</v>
      </c>
    </row>
    <row r="4528" spans="1:9" x14ac:dyDescent="0.2">
      <c r="A4528">
        <v>21735177</v>
      </c>
      <c r="B4528">
        <v>7</v>
      </c>
      <c r="C4528">
        <v>3630</v>
      </c>
      <c r="D4528">
        <v>0</v>
      </c>
      <c r="E4528">
        <v>26</v>
      </c>
      <c r="F4528" t="s">
        <v>108</v>
      </c>
      <c r="G4528" t="s">
        <v>66</v>
      </c>
      <c r="H4528" t="s">
        <v>20</v>
      </c>
      <c r="I4528">
        <v>8</v>
      </c>
    </row>
    <row r="4529" spans="1:9" x14ac:dyDescent="0.2">
      <c r="A4529">
        <v>21735177</v>
      </c>
      <c r="B4529">
        <v>8</v>
      </c>
      <c r="C4529">
        <v>1305</v>
      </c>
      <c r="D4529">
        <v>0</v>
      </c>
      <c r="E4529">
        <v>26</v>
      </c>
      <c r="F4529" t="s">
        <v>21</v>
      </c>
      <c r="G4529" t="s">
        <v>243</v>
      </c>
      <c r="H4529" t="s">
        <v>20</v>
      </c>
      <c r="I4529">
        <v>8</v>
      </c>
    </row>
    <row r="4530" spans="1:9" x14ac:dyDescent="0.2">
      <c r="A4530">
        <v>21752105</v>
      </c>
      <c r="B4530">
        <v>1</v>
      </c>
      <c r="C4530">
        <v>1789</v>
      </c>
      <c r="D4530">
        <v>51325</v>
      </c>
      <c r="E4530">
        <v>25</v>
      </c>
      <c r="F4530" t="s">
        <v>57</v>
      </c>
      <c r="G4530" t="s">
        <v>122</v>
      </c>
      <c r="H4530" t="s">
        <v>69</v>
      </c>
      <c r="I4530">
        <v>10</v>
      </c>
    </row>
    <row r="4531" spans="1:9" x14ac:dyDescent="0.2">
      <c r="A4531">
        <v>21752105</v>
      </c>
      <c r="B4531">
        <v>2</v>
      </c>
      <c r="C4531">
        <v>3033</v>
      </c>
      <c r="D4531">
        <v>50990</v>
      </c>
      <c r="E4531">
        <v>25</v>
      </c>
      <c r="F4531" t="s">
        <v>44</v>
      </c>
      <c r="G4531" t="s">
        <v>122</v>
      </c>
      <c r="H4531" t="s">
        <v>50</v>
      </c>
      <c r="I4531">
        <v>9</v>
      </c>
    </row>
    <row r="4532" spans="1:9" x14ac:dyDescent="0.2">
      <c r="A4532">
        <v>21752105</v>
      </c>
      <c r="B4532">
        <v>3</v>
      </c>
      <c r="C4532">
        <v>1391</v>
      </c>
      <c r="D4532">
        <v>51770</v>
      </c>
      <c r="E4532">
        <v>25</v>
      </c>
      <c r="F4532" t="s">
        <v>21</v>
      </c>
      <c r="G4532" t="s">
        <v>122</v>
      </c>
      <c r="H4532" t="s">
        <v>20</v>
      </c>
      <c r="I4532">
        <v>8</v>
      </c>
    </row>
    <row r="4533" spans="1:9" x14ac:dyDescent="0.2">
      <c r="A4533">
        <v>21752105</v>
      </c>
      <c r="B4533">
        <v>4</v>
      </c>
      <c r="C4533">
        <v>1950</v>
      </c>
      <c r="D4533">
        <v>51960</v>
      </c>
      <c r="E4533">
        <v>25</v>
      </c>
      <c r="F4533" t="s">
        <v>32</v>
      </c>
      <c r="G4533" t="s">
        <v>122</v>
      </c>
      <c r="H4533" t="s">
        <v>31</v>
      </c>
      <c r="I4533">
        <v>5</v>
      </c>
    </row>
    <row r="4534" spans="1:9" x14ac:dyDescent="0.2">
      <c r="A4534">
        <v>21752105</v>
      </c>
      <c r="B4534">
        <v>5</v>
      </c>
      <c r="C4534">
        <v>3423</v>
      </c>
      <c r="D4534">
        <v>0</v>
      </c>
      <c r="E4534">
        <v>31</v>
      </c>
      <c r="F4534" t="s">
        <v>36</v>
      </c>
      <c r="G4534" t="s">
        <v>122</v>
      </c>
      <c r="H4534" t="s">
        <v>35</v>
      </c>
      <c r="I4534">
        <v>7</v>
      </c>
    </row>
    <row r="4535" spans="1:9" x14ac:dyDescent="0.2">
      <c r="A4535">
        <v>21752105</v>
      </c>
      <c r="B4535">
        <v>6</v>
      </c>
      <c r="C4535">
        <v>1195</v>
      </c>
      <c r="D4535">
        <v>0</v>
      </c>
      <c r="E4535">
        <v>16</v>
      </c>
      <c r="F4535" t="s">
        <v>17</v>
      </c>
      <c r="G4535" t="s">
        <v>353</v>
      </c>
      <c r="H4535" t="s">
        <v>16</v>
      </c>
      <c r="I4535" t="s">
        <v>448</v>
      </c>
    </row>
    <row r="4536" spans="1:9" x14ac:dyDescent="0.2">
      <c r="A4536">
        <v>21759130</v>
      </c>
      <c r="B4536">
        <v>1</v>
      </c>
      <c r="C4536">
        <v>1728</v>
      </c>
      <c r="D4536">
        <v>65785</v>
      </c>
      <c r="E4536">
        <v>24</v>
      </c>
      <c r="F4536" t="s">
        <v>57</v>
      </c>
      <c r="G4536" t="s">
        <v>103</v>
      </c>
      <c r="H4536" t="s">
        <v>69</v>
      </c>
      <c r="I4536">
        <v>10</v>
      </c>
    </row>
    <row r="4537" spans="1:9" x14ac:dyDescent="0.2">
      <c r="A4537">
        <v>21759130</v>
      </c>
      <c r="B4537">
        <v>2</v>
      </c>
      <c r="C4537">
        <v>3035</v>
      </c>
      <c r="D4537">
        <v>0</v>
      </c>
      <c r="E4537">
        <v>26</v>
      </c>
      <c r="F4537" t="s">
        <v>44</v>
      </c>
      <c r="G4537" t="s">
        <v>103</v>
      </c>
      <c r="H4537" t="s">
        <v>50</v>
      </c>
      <c r="I4537">
        <v>9</v>
      </c>
    </row>
    <row r="4538" spans="1:9" x14ac:dyDescent="0.2">
      <c r="A4538">
        <v>21759130</v>
      </c>
      <c r="B4538">
        <v>3</v>
      </c>
      <c r="C4538">
        <v>3023</v>
      </c>
      <c r="D4538">
        <v>0</v>
      </c>
      <c r="E4538">
        <v>26</v>
      </c>
      <c r="F4538" t="s">
        <v>44</v>
      </c>
      <c r="G4538" t="s">
        <v>124</v>
      </c>
      <c r="H4538" t="s">
        <v>50</v>
      </c>
      <c r="I4538">
        <v>9</v>
      </c>
    </row>
    <row r="4539" spans="1:9" x14ac:dyDescent="0.2">
      <c r="A4539">
        <v>21759130</v>
      </c>
      <c r="B4539">
        <v>4</v>
      </c>
      <c r="C4539">
        <v>1776</v>
      </c>
      <c r="D4539">
        <v>0</v>
      </c>
      <c r="E4539">
        <v>26</v>
      </c>
      <c r="F4539" t="s">
        <v>57</v>
      </c>
      <c r="G4539" t="s">
        <v>124</v>
      </c>
      <c r="H4539" t="s">
        <v>125</v>
      </c>
      <c r="I4539">
        <v>10</v>
      </c>
    </row>
    <row r="4540" spans="1:9" x14ac:dyDescent="0.2">
      <c r="A4540">
        <v>21759130</v>
      </c>
      <c r="B4540">
        <v>5</v>
      </c>
      <c r="C4540">
        <v>3020</v>
      </c>
      <c r="D4540">
        <v>0</v>
      </c>
      <c r="E4540">
        <v>26</v>
      </c>
      <c r="F4540" t="s">
        <v>44</v>
      </c>
      <c r="G4540" t="s">
        <v>102</v>
      </c>
      <c r="H4540" t="s">
        <v>50</v>
      </c>
      <c r="I4540">
        <v>9</v>
      </c>
    </row>
    <row r="4541" spans="1:9" x14ac:dyDescent="0.2">
      <c r="A4541">
        <v>21767122</v>
      </c>
      <c r="B4541">
        <v>1</v>
      </c>
      <c r="C4541">
        <v>3211</v>
      </c>
      <c r="D4541">
        <v>56350</v>
      </c>
      <c r="E4541">
        <v>24</v>
      </c>
      <c r="F4541" t="s">
        <v>47</v>
      </c>
      <c r="G4541" t="s">
        <v>99</v>
      </c>
      <c r="H4541" t="s">
        <v>46</v>
      </c>
      <c r="I4541">
        <v>10</v>
      </c>
    </row>
    <row r="4542" spans="1:9" x14ac:dyDescent="0.2">
      <c r="A4542">
        <v>21767122</v>
      </c>
      <c r="B4542">
        <v>2</v>
      </c>
      <c r="C4542">
        <v>3212</v>
      </c>
      <c r="D4542">
        <v>0</v>
      </c>
      <c r="E4542">
        <v>26</v>
      </c>
      <c r="F4542" t="s">
        <v>47</v>
      </c>
      <c r="G4542" t="s">
        <v>84</v>
      </c>
      <c r="H4542" t="s">
        <v>46</v>
      </c>
      <c r="I4542">
        <v>10</v>
      </c>
    </row>
    <row r="4543" spans="1:9" x14ac:dyDescent="0.2">
      <c r="A4543">
        <v>21767122</v>
      </c>
      <c r="B4543">
        <v>3</v>
      </c>
      <c r="C4543">
        <v>3214</v>
      </c>
      <c r="D4543">
        <v>0</v>
      </c>
      <c r="E4543">
        <v>26</v>
      </c>
      <c r="F4543" t="s">
        <v>47</v>
      </c>
      <c r="G4543" t="s">
        <v>98</v>
      </c>
      <c r="H4543" t="s">
        <v>74</v>
      </c>
      <c r="I4543">
        <v>10</v>
      </c>
    </row>
    <row r="4544" spans="1:9" x14ac:dyDescent="0.2">
      <c r="A4544">
        <v>21767122</v>
      </c>
      <c r="B4544">
        <v>4</v>
      </c>
      <c r="C4544">
        <v>1703</v>
      </c>
      <c r="D4544">
        <v>0</v>
      </c>
      <c r="E4544">
        <v>26</v>
      </c>
      <c r="F4544" t="s">
        <v>57</v>
      </c>
      <c r="G4544" t="s">
        <v>109</v>
      </c>
      <c r="H4544" t="s">
        <v>69</v>
      </c>
      <c r="I4544">
        <v>10</v>
      </c>
    </row>
    <row r="4545" spans="1:9" x14ac:dyDescent="0.2">
      <c r="A4545">
        <v>21767122</v>
      </c>
      <c r="B4545">
        <v>5</v>
      </c>
      <c r="C4545">
        <v>1778</v>
      </c>
      <c r="D4545">
        <v>0</v>
      </c>
      <c r="E4545">
        <v>26</v>
      </c>
      <c r="F4545" t="s">
        <v>57</v>
      </c>
      <c r="G4545" t="s">
        <v>84</v>
      </c>
      <c r="H4545" t="s">
        <v>56</v>
      </c>
      <c r="I4545">
        <v>10</v>
      </c>
    </row>
    <row r="4546" spans="1:9" x14ac:dyDescent="0.2">
      <c r="A4546">
        <v>21767122</v>
      </c>
      <c r="B4546">
        <v>6</v>
      </c>
      <c r="C4546">
        <v>3234</v>
      </c>
      <c r="D4546">
        <v>0</v>
      </c>
      <c r="E4546">
        <v>26</v>
      </c>
      <c r="F4546" t="s">
        <v>47</v>
      </c>
      <c r="G4546" t="s">
        <v>76</v>
      </c>
      <c r="H4546" t="s">
        <v>46</v>
      </c>
      <c r="I4546">
        <v>10</v>
      </c>
    </row>
    <row r="4547" spans="1:9" x14ac:dyDescent="0.2">
      <c r="A4547">
        <v>21778560</v>
      </c>
      <c r="B4547">
        <v>1</v>
      </c>
      <c r="C4547">
        <v>1713</v>
      </c>
      <c r="D4547">
        <v>54140</v>
      </c>
      <c r="E4547">
        <v>25</v>
      </c>
      <c r="F4547" t="s">
        <v>57</v>
      </c>
      <c r="G4547" t="s">
        <v>170</v>
      </c>
      <c r="H4547" t="s">
        <v>69</v>
      </c>
      <c r="I4547">
        <v>10</v>
      </c>
    </row>
    <row r="4548" spans="1:9" x14ac:dyDescent="0.2">
      <c r="A4548">
        <v>21778560</v>
      </c>
      <c r="B4548">
        <v>2</v>
      </c>
      <c r="C4548">
        <v>1705</v>
      </c>
      <c r="D4548">
        <v>54010</v>
      </c>
      <c r="E4548">
        <v>25</v>
      </c>
      <c r="F4548" t="s">
        <v>57</v>
      </c>
      <c r="G4548" t="s">
        <v>102</v>
      </c>
      <c r="H4548" t="s">
        <v>69</v>
      </c>
      <c r="I4548">
        <v>10</v>
      </c>
    </row>
    <row r="4549" spans="1:9" x14ac:dyDescent="0.2">
      <c r="A4549">
        <v>21778560</v>
      </c>
      <c r="B4549">
        <v>3</v>
      </c>
      <c r="C4549">
        <v>1715</v>
      </c>
      <c r="D4549">
        <v>54200</v>
      </c>
      <c r="E4549">
        <v>25</v>
      </c>
      <c r="F4549" t="s">
        <v>57</v>
      </c>
      <c r="G4549" t="s">
        <v>151</v>
      </c>
      <c r="H4549" t="s">
        <v>69</v>
      </c>
      <c r="I4549">
        <v>10</v>
      </c>
    </row>
    <row r="4550" spans="1:9" x14ac:dyDescent="0.2">
      <c r="A4550">
        <v>21778560</v>
      </c>
      <c r="B4550">
        <v>4</v>
      </c>
      <c r="C4550">
        <v>1714</v>
      </c>
      <c r="D4550">
        <v>53890</v>
      </c>
      <c r="E4550">
        <v>25</v>
      </c>
      <c r="F4550" t="s">
        <v>57</v>
      </c>
      <c r="G4550" t="s">
        <v>95</v>
      </c>
      <c r="H4550" t="s">
        <v>69</v>
      </c>
      <c r="I4550">
        <v>10</v>
      </c>
    </row>
    <row r="4551" spans="1:9" x14ac:dyDescent="0.2">
      <c r="A4551">
        <v>21778560</v>
      </c>
      <c r="B4551">
        <v>5</v>
      </c>
      <c r="C4551">
        <v>1711</v>
      </c>
      <c r="D4551">
        <v>55480</v>
      </c>
      <c r="E4551">
        <v>25</v>
      </c>
      <c r="F4551" t="s">
        <v>57</v>
      </c>
      <c r="G4551" t="s">
        <v>201</v>
      </c>
      <c r="H4551" t="s">
        <v>69</v>
      </c>
      <c r="I4551">
        <v>10</v>
      </c>
    </row>
    <row r="4552" spans="1:9" x14ac:dyDescent="0.2">
      <c r="A4552">
        <v>21821930</v>
      </c>
      <c r="B4552">
        <v>1</v>
      </c>
      <c r="C4552">
        <v>1740</v>
      </c>
      <c r="D4552">
        <v>51335</v>
      </c>
      <c r="E4552">
        <v>25</v>
      </c>
      <c r="F4552" t="s">
        <v>57</v>
      </c>
      <c r="G4552" t="s">
        <v>209</v>
      </c>
      <c r="H4552" t="s">
        <v>79</v>
      </c>
      <c r="I4552">
        <v>10</v>
      </c>
    </row>
    <row r="4553" spans="1:9" x14ac:dyDescent="0.2">
      <c r="A4553">
        <v>21821930</v>
      </c>
      <c r="B4553">
        <v>2</v>
      </c>
      <c r="C4553">
        <v>1701</v>
      </c>
      <c r="D4553">
        <v>51135</v>
      </c>
      <c r="E4553">
        <v>25</v>
      </c>
      <c r="F4553" t="s">
        <v>57</v>
      </c>
      <c r="G4553" t="s">
        <v>96</v>
      </c>
      <c r="H4553" t="s">
        <v>69</v>
      </c>
      <c r="I4553">
        <v>10</v>
      </c>
    </row>
    <row r="4554" spans="1:9" x14ac:dyDescent="0.2">
      <c r="A4554">
        <v>21822391</v>
      </c>
      <c r="B4554">
        <v>1</v>
      </c>
      <c r="C4554">
        <v>1101</v>
      </c>
      <c r="D4554">
        <v>62290</v>
      </c>
      <c r="E4554">
        <v>25</v>
      </c>
      <c r="F4554" t="s">
        <v>17</v>
      </c>
      <c r="G4554" t="s">
        <v>15</v>
      </c>
      <c r="H4554" t="s">
        <v>16</v>
      </c>
      <c r="I4554" t="s">
        <v>448</v>
      </c>
    </row>
    <row r="4555" spans="1:9" x14ac:dyDescent="0.2">
      <c r="A4555">
        <v>21822391</v>
      </c>
      <c r="B4555">
        <v>2</v>
      </c>
      <c r="C4555">
        <v>2901</v>
      </c>
      <c r="D4555">
        <v>62380</v>
      </c>
      <c r="E4555">
        <v>24</v>
      </c>
      <c r="F4555" t="s">
        <v>119</v>
      </c>
      <c r="G4555" t="s">
        <v>18</v>
      </c>
      <c r="H4555" t="s">
        <v>20</v>
      </c>
      <c r="I4555">
        <v>8</v>
      </c>
    </row>
    <row r="4556" spans="1:9" x14ac:dyDescent="0.2">
      <c r="A4556">
        <v>21822391</v>
      </c>
      <c r="B4556">
        <v>3</v>
      </c>
      <c r="C4556">
        <v>1380</v>
      </c>
      <c r="D4556">
        <v>0</v>
      </c>
      <c r="E4556">
        <v>26</v>
      </c>
      <c r="F4556" t="s">
        <v>21</v>
      </c>
      <c r="G4556" t="s">
        <v>18</v>
      </c>
      <c r="H4556" t="s">
        <v>20</v>
      </c>
      <c r="I4556">
        <v>8</v>
      </c>
    </row>
    <row r="4557" spans="1:9" x14ac:dyDescent="0.2">
      <c r="A4557">
        <v>21822391</v>
      </c>
      <c r="B4557">
        <v>4</v>
      </c>
      <c r="C4557">
        <v>1733</v>
      </c>
      <c r="D4557">
        <v>0</v>
      </c>
      <c r="E4557">
        <v>26</v>
      </c>
      <c r="F4557" t="s">
        <v>57</v>
      </c>
      <c r="G4557" t="s">
        <v>18</v>
      </c>
      <c r="H4557" t="s">
        <v>69</v>
      </c>
      <c r="I4557">
        <v>10</v>
      </c>
    </row>
    <row r="4558" spans="1:9" x14ac:dyDescent="0.2">
      <c r="A4558">
        <v>21822391</v>
      </c>
      <c r="B4558">
        <v>5</v>
      </c>
      <c r="C4558">
        <v>1573</v>
      </c>
      <c r="D4558">
        <v>0</v>
      </c>
      <c r="E4558">
        <v>26</v>
      </c>
      <c r="F4558" t="s">
        <v>142</v>
      </c>
      <c r="G4558" t="s">
        <v>84</v>
      </c>
      <c r="H4558" t="s">
        <v>113</v>
      </c>
      <c r="I4558">
        <v>5</v>
      </c>
    </row>
    <row r="4559" spans="1:9" x14ac:dyDescent="0.2">
      <c r="A4559">
        <v>21822391</v>
      </c>
      <c r="B4559">
        <v>6</v>
      </c>
      <c r="C4559">
        <v>1709</v>
      </c>
      <c r="D4559">
        <v>0</v>
      </c>
      <c r="E4559">
        <v>26</v>
      </c>
      <c r="F4559" t="s">
        <v>57</v>
      </c>
      <c r="G4559" t="s">
        <v>84</v>
      </c>
      <c r="H4559" t="s">
        <v>69</v>
      </c>
      <c r="I4559">
        <v>10</v>
      </c>
    </row>
    <row r="4560" spans="1:9" x14ac:dyDescent="0.2">
      <c r="A4560">
        <v>21836091</v>
      </c>
      <c r="B4560">
        <v>1</v>
      </c>
      <c r="C4560">
        <v>3248</v>
      </c>
      <c r="D4560">
        <v>44410</v>
      </c>
      <c r="E4560">
        <v>25</v>
      </c>
      <c r="F4560" t="s">
        <v>47</v>
      </c>
      <c r="G4560" t="s">
        <v>92</v>
      </c>
      <c r="H4560" t="s">
        <v>46</v>
      </c>
      <c r="I4560">
        <v>10</v>
      </c>
    </row>
    <row r="4561" spans="1:9" x14ac:dyDescent="0.2">
      <c r="A4561">
        <v>21836091</v>
      </c>
      <c r="B4561">
        <v>2</v>
      </c>
      <c r="C4561">
        <v>3239</v>
      </c>
      <c r="D4561">
        <v>42530</v>
      </c>
      <c r="E4561">
        <v>25</v>
      </c>
      <c r="F4561" t="s">
        <v>47</v>
      </c>
      <c r="G4561" t="s">
        <v>107</v>
      </c>
      <c r="H4561" t="s">
        <v>46</v>
      </c>
      <c r="I4561">
        <v>10</v>
      </c>
    </row>
    <row r="4562" spans="1:9" x14ac:dyDescent="0.2">
      <c r="A4562">
        <v>21836091</v>
      </c>
      <c r="B4562">
        <v>3</v>
      </c>
      <c r="C4562">
        <v>3212</v>
      </c>
      <c r="D4562">
        <v>43975</v>
      </c>
      <c r="E4562">
        <v>25</v>
      </c>
      <c r="F4562" t="s">
        <v>47</v>
      </c>
      <c r="G4562" t="s">
        <v>84</v>
      </c>
      <c r="H4562" t="s">
        <v>46</v>
      </c>
      <c r="I4562">
        <v>10</v>
      </c>
    </row>
    <row r="4563" spans="1:9" x14ac:dyDescent="0.2">
      <c r="A4563">
        <v>21836091</v>
      </c>
      <c r="B4563">
        <v>4</v>
      </c>
      <c r="C4563">
        <v>3252</v>
      </c>
      <c r="D4563">
        <v>43845</v>
      </c>
      <c r="E4563">
        <v>25</v>
      </c>
      <c r="F4563" t="s">
        <v>47</v>
      </c>
      <c r="G4563" t="s">
        <v>45</v>
      </c>
      <c r="H4563" t="s">
        <v>46</v>
      </c>
      <c r="I4563">
        <v>10</v>
      </c>
    </row>
    <row r="4564" spans="1:9" x14ac:dyDescent="0.2">
      <c r="A4564">
        <v>21836091</v>
      </c>
      <c r="B4564">
        <v>5</v>
      </c>
      <c r="C4564">
        <v>3261</v>
      </c>
      <c r="D4564">
        <v>43200</v>
      </c>
      <c r="E4564">
        <v>25</v>
      </c>
      <c r="F4564" t="s">
        <v>47</v>
      </c>
      <c r="G4564" t="s">
        <v>93</v>
      </c>
      <c r="H4564" t="s">
        <v>46</v>
      </c>
      <c r="I4564">
        <v>10</v>
      </c>
    </row>
    <row r="4565" spans="1:9" x14ac:dyDescent="0.2">
      <c r="A4565">
        <v>21836091</v>
      </c>
      <c r="B4565">
        <v>6</v>
      </c>
      <c r="C4565">
        <v>3211</v>
      </c>
      <c r="D4565">
        <v>43870</v>
      </c>
      <c r="E4565">
        <v>25</v>
      </c>
      <c r="F4565" t="s">
        <v>47</v>
      </c>
      <c r="G4565" t="s">
        <v>99</v>
      </c>
      <c r="H4565" t="s">
        <v>46</v>
      </c>
      <c r="I4565">
        <v>10</v>
      </c>
    </row>
    <row r="4566" spans="1:9" x14ac:dyDescent="0.2">
      <c r="A4566">
        <v>21836091</v>
      </c>
      <c r="B4566">
        <v>7</v>
      </c>
      <c r="C4566">
        <v>3213</v>
      </c>
      <c r="D4566">
        <v>43870</v>
      </c>
      <c r="E4566">
        <v>24</v>
      </c>
      <c r="F4566" t="s">
        <v>47</v>
      </c>
      <c r="G4566" t="s">
        <v>158</v>
      </c>
      <c r="H4566" t="s">
        <v>74</v>
      </c>
      <c r="I4566">
        <v>10</v>
      </c>
    </row>
    <row r="4567" spans="1:9" x14ac:dyDescent="0.2">
      <c r="A4567">
        <v>21836091</v>
      </c>
      <c r="B4567">
        <v>8</v>
      </c>
      <c r="C4567">
        <v>3218</v>
      </c>
      <c r="D4567">
        <v>0</v>
      </c>
      <c r="E4567">
        <v>26</v>
      </c>
      <c r="F4567" t="s">
        <v>47</v>
      </c>
      <c r="G4567" t="s">
        <v>66</v>
      </c>
      <c r="H4567" t="s">
        <v>74</v>
      </c>
      <c r="I4567">
        <v>10</v>
      </c>
    </row>
    <row r="4568" spans="1:9" x14ac:dyDescent="0.2">
      <c r="A4568">
        <v>21852588</v>
      </c>
      <c r="B4568">
        <v>1</v>
      </c>
      <c r="C4568">
        <v>1776</v>
      </c>
      <c r="D4568">
        <v>55430</v>
      </c>
      <c r="E4568">
        <v>25</v>
      </c>
      <c r="F4568" t="s">
        <v>57</v>
      </c>
      <c r="G4568" t="s">
        <v>124</v>
      </c>
      <c r="H4568" t="s">
        <v>125</v>
      </c>
      <c r="I4568">
        <v>10</v>
      </c>
    </row>
    <row r="4569" spans="1:9" x14ac:dyDescent="0.2">
      <c r="A4569">
        <v>21852588</v>
      </c>
      <c r="B4569">
        <v>2</v>
      </c>
      <c r="C4569">
        <v>1786</v>
      </c>
      <c r="D4569">
        <v>54750</v>
      </c>
      <c r="E4569">
        <v>25</v>
      </c>
      <c r="F4569" t="s">
        <v>57</v>
      </c>
      <c r="G4569" t="s">
        <v>103</v>
      </c>
      <c r="H4569" t="s">
        <v>56</v>
      </c>
      <c r="I4569">
        <v>10</v>
      </c>
    </row>
    <row r="4570" spans="1:9" x14ac:dyDescent="0.2">
      <c r="A4570">
        <v>21852588</v>
      </c>
      <c r="B4570">
        <v>3</v>
      </c>
      <c r="C4570">
        <v>1705</v>
      </c>
      <c r="D4570">
        <v>55350</v>
      </c>
      <c r="E4570">
        <v>25</v>
      </c>
      <c r="F4570" t="s">
        <v>57</v>
      </c>
      <c r="G4570" t="s">
        <v>102</v>
      </c>
      <c r="H4570" t="s">
        <v>69</v>
      </c>
      <c r="I4570">
        <v>10</v>
      </c>
    </row>
    <row r="4571" spans="1:9" x14ac:dyDescent="0.2">
      <c r="A4571">
        <v>21852588</v>
      </c>
      <c r="B4571">
        <v>4</v>
      </c>
      <c r="C4571">
        <v>1714</v>
      </c>
      <c r="D4571">
        <v>55430</v>
      </c>
      <c r="E4571">
        <v>25</v>
      </c>
      <c r="F4571" t="s">
        <v>57</v>
      </c>
      <c r="G4571" t="s">
        <v>95</v>
      </c>
      <c r="H4571" t="s">
        <v>69</v>
      </c>
      <c r="I4571">
        <v>10</v>
      </c>
    </row>
    <row r="4572" spans="1:9" x14ac:dyDescent="0.2">
      <c r="A4572">
        <v>21852588</v>
      </c>
      <c r="B4572">
        <v>5</v>
      </c>
      <c r="C4572">
        <v>1774</v>
      </c>
      <c r="D4572">
        <v>54495</v>
      </c>
      <c r="E4572">
        <v>25</v>
      </c>
      <c r="F4572" t="s">
        <v>57</v>
      </c>
      <c r="G4572" t="s">
        <v>296</v>
      </c>
      <c r="H4572" t="s">
        <v>69</v>
      </c>
      <c r="I4572">
        <v>10</v>
      </c>
    </row>
    <row r="4573" spans="1:9" x14ac:dyDescent="0.2">
      <c r="A4573">
        <v>21852588</v>
      </c>
      <c r="B4573">
        <v>6</v>
      </c>
      <c r="C4573">
        <v>3023</v>
      </c>
      <c r="D4573">
        <v>55350</v>
      </c>
      <c r="E4573">
        <v>25</v>
      </c>
      <c r="F4573" t="s">
        <v>44</v>
      </c>
      <c r="G4573" t="s">
        <v>124</v>
      </c>
      <c r="H4573" t="s">
        <v>50</v>
      </c>
      <c r="I4573">
        <v>9</v>
      </c>
    </row>
    <row r="4574" spans="1:9" x14ac:dyDescent="0.2">
      <c r="A4574">
        <v>21852588</v>
      </c>
      <c r="B4574">
        <v>7</v>
      </c>
      <c r="C4574">
        <v>2403</v>
      </c>
      <c r="D4574">
        <v>54105</v>
      </c>
      <c r="E4574">
        <v>25</v>
      </c>
      <c r="F4574" t="s">
        <v>42</v>
      </c>
      <c r="G4574" t="s">
        <v>102</v>
      </c>
      <c r="H4574" t="s">
        <v>220</v>
      </c>
      <c r="I4574">
        <v>2</v>
      </c>
    </row>
    <row r="4575" spans="1:9" x14ac:dyDescent="0.2">
      <c r="A4575">
        <v>21852588</v>
      </c>
      <c r="B4575">
        <v>8</v>
      </c>
      <c r="C4575">
        <v>3323</v>
      </c>
      <c r="D4575">
        <v>54535</v>
      </c>
      <c r="E4575">
        <v>24</v>
      </c>
      <c r="F4575" t="s">
        <v>207</v>
      </c>
      <c r="G4575" t="s">
        <v>124</v>
      </c>
      <c r="H4575" t="s">
        <v>206</v>
      </c>
      <c r="I4575">
        <v>12</v>
      </c>
    </row>
    <row r="4576" spans="1:9" x14ac:dyDescent="0.2">
      <c r="A4576">
        <v>21852950</v>
      </c>
      <c r="B4576">
        <v>1</v>
      </c>
      <c r="C4576">
        <v>1752</v>
      </c>
      <c r="D4576">
        <v>49815</v>
      </c>
      <c r="E4576">
        <v>25</v>
      </c>
      <c r="F4576" t="s">
        <v>57</v>
      </c>
      <c r="G4576" t="s">
        <v>66</v>
      </c>
      <c r="H4576" t="s">
        <v>56</v>
      </c>
      <c r="I4576">
        <v>10</v>
      </c>
    </row>
    <row r="4577" spans="1:9" x14ac:dyDescent="0.2">
      <c r="A4577">
        <v>21852950</v>
      </c>
      <c r="B4577">
        <v>2</v>
      </c>
      <c r="C4577">
        <v>3237</v>
      </c>
      <c r="D4577">
        <v>50250</v>
      </c>
      <c r="E4577">
        <v>25</v>
      </c>
      <c r="F4577" t="s">
        <v>47</v>
      </c>
      <c r="G4577" t="s">
        <v>181</v>
      </c>
      <c r="H4577" t="s">
        <v>46</v>
      </c>
      <c r="I4577">
        <v>10</v>
      </c>
    </row>
    <row r="4578" spans="1:9" x14ac:dyDescent="0.2">
      <c r="A4578">
        <v>21852950</v>
      </c>
      <c r="B4578">
        <v>3</v>
      </c>
      <c r="C4578">
        <v>3229</v>
      </c>
      <c r="D4578">
        <v>50870</v>
      </c>
      <c r="E4578">
        <v>25</v>
      </c>
      <c r="F4578" t="s">
        <v>47</v>
      </c>
      <c r="G4578" t="s">
        <v>101</v>
      </c>
      <c r="H4578" t="s">
        <v>46</v>
      </c>
      <c r="I4578">
        <v>10</v>
      </c>
    </row>
    <row r="4579" spans="1:9" x14ac:dyDescent="0.2">
      <c r="A4579">
        <v>21852950</v>
      </c>
      <c r="B4579">
        <v>4</v>
      </c>
      <c r="C4579">
        <v>3219</v>
      </c>
      <c r="D4579">
        <v>49870</v>
      </c>
      <c r="E4579">
        <v>24</v>
      </c>
      <c r="F4579" t="s">
        <v>47</v>
      </c>
      <c r="G4579" t="s">
        <v>205</v>
      </c>
      <c r="H4579" t="s">
        <v>74</v>
      </c>
      <c r="I4579">
        <v>10</v>
      </c>
    </row>
    <row r="4580" spans="1:9" x14ac:dyDescent="0.2">
      <c r="A4580">
        <v>21852950</v>
      </c>
      <c r="B4580">
        <v>5</v>
      </c>
      <c r="C4580">
        <v>1775</v>
      </c>
      <c r="D4580">
        <v>0</v>
      </c>
      <c r="E4580">
        <v>26</v>
      </c>
      <c r="F4580" t="s">
        <v>57</v>
      </c>
      <c r="G4580" t="s">
        <v>94</v>
      </c>
      <c r="H4580" t="s">
        <v>69</v>
      </c>
      <c r="I4580">
        <v>10</v>
      </c>
    </row>
    <row r="4581" spans="1:9" x14ac:dyDescent="0.2">
      <c r="A4581">
        <v>21852950</v>
      </c>
      <c r="B4581">
        <v>6</v>
      </c>
      <c r="C4581">
        <v>1753</v>
      </c>
      <c r="D4581">
        <v>0</v>
      </c>
      <c r="E4581">
        <v>26</v>
      </c>
      <c r="F4581" t="s">
        <v>57</v>
      </c>
      <c r="G4581" t="s">
        <v>105</v>
      </c>
      <c r="H4581" t="s">
        <v>69</v>
      </c>
      <c r="I4581">
        <v>10</v>
      </c>
    </row>
    <row r="4582" spans="1:9" x14ac:dyDescent="0.2">
      <c r="A4582">
        <v>21852950</v>
      </c>
      <c r="B4582">
        <v>7</v>
      </c>
      <c r="C4582">
        <v>1774</v>
      </c>
      <c r="D4582">
        <v>0</v>
      </c>
      <c r="E4582">
        <v>26</v>
      </c>
      <c r="F4582" t="s">
        <v>57</v>
      </c>
      <c r="G4582" t="s">
        <v>296</v>
      </c>
      <c r="H4582" t="s">
        <v>69</v>
      </c>
      <c r="I4582">
        <v>10</v>
      </c>
    </row>
    <row r="4583" spans="1:9" x14ac:dyDescent="0.2">
      <c r="A4583">
        <v>21894375</v>
      </c>
      <c r="B4583">
        <v>1</v>
      </c>
      <c r="C4583">
        <v>3239</v>
      </c>
      <c r="D4583">
        <v>0</v>
      </c>
      <c r="E4583">
        <v>36</v>
      </c>
      <c r="F4583" t="s">
        <v>47</v>
      </c>
      <c r="G4583" t="s">
        <v>107</v>
      </c>
      <c r="H4583" t="s">
        <v>46</v>
      </c>
      <c r="I4583">
        <v>10</v>
      </c>
    </row>
    <row r="4584" spans="1:9" x14ac:dyDescent="0.2">
      <c r="A4584">
        <v>21894375</v>
      </c>
      <c r="B4584">
        <v>2</v>
      </c>
      <c r="C4584">
        <v>3245</v>
      </c>
      <c r="D4584">
        <v>0</v>
      </c>
      <c r="E4584">
        <v>36</v>
      </c>
      <c r="F4584" t="s">
        <v>47</v>
      </c>
      <c r="G4584" t="s">
        <v>157</v>
      </c>
      <c r="H4584" t="s">
        <v>74</v>
      </c>
      <c r="I4584">
        <v>10</v>
      </c>
    </row>
    <row r="4585" spans="1:9" x14ac:dyDescent="0.2">
      <c r="A4585">
        <v>21894375</v>
      </c>
      <c r="B4585">
        <v>3</v>
      </c>
      <c r="C4585">
        <v>1774</v>
      </c>
      <c r="D4585">
        <v>0</v>
      </c>
      <c r="E4585">
        <v>36</v>
      </c>
      <c r="F4585" t="s">
        <v>57</v>
      </c>
      <c r="G4585" t="s">
        <v>296</v>
      </c>
      <c r="H4585" t="s">
        <v>69</v>
      </c>
      <c r="I4585">
        <v>10</v>
      </c>
    </row>
    <row r="4586" spans="1:9" x14ac:dyDescent="0.2">
      <c r="A4586">
        <v>21894375</v>
      </c>
      <c r="B4586">
        <v>4</v>
      </c>
      <c r="C4586">
        <v>3234</v>
      </c>
      <c r="D4586">
        <v>0</v>
      </c>
      <c r="E4586">
        <v>36</v>
      </c>
      <c r="F4586" t="s">
        <v>47</v>
      </c>
      <c r="G4586" t="s">
        <v>76</v>
      </c>
      <c r="H4586" t="s">
        <v>46</v>
      </c>
      <c r="I4586">
        <v>10</v>
      </c>
    </row>
    <row r="4587" spans="1:9" x14ac:dyDescent="0.2">
      <c r="A4587">
        <v>21894375</v>
      </c>
      <c r="B4587">
        <v>5</v>
      </c>
      <c r="C4587">
        <v>1777</v>
      </c>
      <c r="D4587">
        <v>0</v>
      </c>
      <c r="E4587">
        <v>36</v>
      </c>
      <c r="F4587" t="s">
        <v>57</v>
      </c>
      <c r="G4587" t="s">
        <v>88</v>
      </c>
      <c r="H4587" t="s">
        <v>69</v>
      </c>
      <c r="I4587">
        <v>10</v>
      </c>
    </row>
    <row r="4588" spans="1:9" x14ac:dyDescent="0.2">
      <c r="A4588">
        <v>21894375</v>
      </c>
      <c r="B4588">
        <v>6</v>
      </c>
      <c r="C4588">
        <v>1756</v>
      </c>
      <c r="D4588">
        <v>0</v>
      </c>
      <c r="E4588">
        <v>36</v>
      </c>
      <c r="F4588" t="s">
        <v>57</v>
      </c>
      <c r="G4588" t="s">
        <v>89</v>
      </c>
      <c r="H4588" t="s">
        <v>69</v>
      </c>
      <c r="I4588">
        <v>10</v>
      </c>
    </row>
    <row r="4589" spans="1:9" x14ac:dyDescent="0.2">
      <c r="A4589">
        <v>21894375</v>
      </c>
      <c r="B4589">
        <v>7</v>
      </c>
      <c r="C4589">
        <v>3261</v>
      </c>
      <c r="D4589">
        <v>0</v>
      </c>
      <c r="E4589">
        <v>36</v>
      </c>
      <c r="F4589" t="s">
        <v>47</v>
      </c>
      <c r="G4589" t="s">
        <v>93</v>
      </c>
      <c r="H4589" t="s">
        <v>46</v>
      </c>
      <c r="I4589">
        <v>10</v>
      </c>
    </row>
    <row r="4590" spans="1:9" x14ac:dyDescent="0.2">
      <c r="A4590">
        <v>21894375</v>
      </c>
      <c r="B4590">
        <v>8</v>
      </c>
      <c r="C4590">
        <v>1759</v>
      </c>
      <c r="D4590">
        <v>0</v>
      </c>
      <c r="E4590">
        <v>36</v>
      </c>
      <c r="F4590" t="s">
        <v>57</v>
      </c>
      <c r="G4590" t="s">
        <v>154</v>
      </c>
      <c r="H4590" t="s">
        <v>56</v>
      </c>
      <c r="I4590">
        <v>10</v>
      </c>
    </row>
    <row r="4591" spans="1:9" x14ac:dyDescent="0.2">
      <c r="A4591">
        <v>21910782</v>
      </c>
      <c r="B4591">
        <v>1</v>
      </c>
      <c r="C4591">
        <v>3225</v>
      </c>
      <c r="D4591">
        <v>51130</v>
      </c>
      <c r="E4591">
        <v>24</v>
      </c>
      <c r="F4591" t="s">
        <v>47</v>
      </c>
      <c r="G4591" t="s">
        <v>106</v>
      </c>
      <c r="H4591" t="s">
        <v>46</v>
      </c>
      <c r="I4591">
        <v>10</v>
      </c>
    </row>
    <row r="4592" spans="1:9" x14ac:dyDescent="0.2">
      <c r="A4592">
        <v>21910782</v>
      </c>
      <c r="B4592">
        <v>2</v>
      </c>
      <c r="C4592">
        <v>3223</v>
      </c>
      <c r="D4592">
        <v>0</v>
      </c>
      <c r="E4592">
        <v>26</v>
      </c>
      <c r="F4592" t="s">
        <v>47</v>
      </c>
      <c r="G4592" t="s">
        <v>105</v>
      </c>
      <c r="H4592" t="s">
        <v>46</v>
      </c>
      <c r="I4592">
        <v>10</v>
      </c>
    </row>
    <row r="4593" spans="1:9" x14ac:dyDescent="0.2">
      <c r="A4593">
        <v>21910782</v>
      </c>
      <c r="B4593">
        <v>3</v>
      </c>
      <c r="C4593">
        <v>3226</v>
      </c>
      <c r="D4593">
        <v>0</v>
      </c>
      <c r="E4593">
        <v>26</v>
      </c>
      <c r="F4593" t="s">
        <v>47</v>
      </c>
      <c r="G4593" t="s">
        <v>96</v>
      </c>
      <c r="H4593" t="s">
        <v>46</v>
      </c>
      <c r="I4593">
        <v>10</v>
      </c>
    </row>
    <row r="4594" spans="1:9" x14ac:dyDescent="0.2">
      <c r="A4594">
        <v>21922953</v>
      </c>
      <c r="B4594">
        <v>1</v>
      </c>
      <c r="C4594">
        <v>3229</v>
      </c>
      <c r="D4594">
        <v>48565</v>
      </c>
      <c r="E4594">
        <v>25</v>
      </c>
      <c r="F4594" t="s">
        <v>47</v>
      </c>
      <c r="G4594" t="s">
        <v>101</v>
      </c>
      <c r="H4594" t="s">
        <v>46</v>
      </c>
      <c r="I4594">
        <v>10</v>
      </c>
    </row>
    <row r="4595" spans="1:9" x14ac:dyDescent="0.2">
      <c r="A4595">
        <v>21922953</v>
      </c>
      <c r="B4595">
        <v>2</v>
      </c>
      <c r="C4595">
        <v>3223</v>
      </c>
      <c r="D4595">
        <v>48565</v>
      </c>
      <c r="E4595">
        <v>24</v>
      </c>
      <c r="F4595" t="s">
        <v>47</v>
      </c>
      <c r="G4595" t="s">
        <v>105</v>
      </c>
      <c r="H4595" t="s">
        <v>46</v>
      </c>
      <c r="I4595">
        <v>10</v>
      </c>
    </row>
    <row r="4596" spans="1:9" x14ac:dyDescent="0.2">
      <c r="A4596">
        <v>21922953</v>
      </c>
      <c r="B4596">
        <v>3</v>
      </c>
      <c r="C4596">
        <v>3226</v>
      </c>
      <c r="D4596">
        <v>0</v>
      </c>
      <c r="E4596">
        <v>26</v>
      </c>
      <c r="F4596" t="s">
        <v>47</v>
      </c>
      <c r="G4596" t="s">
        <v>96</v>
      </c>
      <c r="H4596" t="s">
        <v>46</v>
      </c>
      <c r="I4596">
        <v>10</v>
      </c>
    </row>
    <row r="4597" spans="1:9" x14ac:dyDescent="0.2">
      <c r="A4597">
        <v>21961882</v>
      </c>
      <c r="B4597">
        <v>1</v>
      </c>
      <c r="C4597">
        <v>1785</v>
      </c>
      <c r="D4597">
        <v>56630</v>
      </c>
      <c r="E4597">
        <v>25</v>
      </c>
      <c r="F4597" t="s">
        <v>57</v>
      </c>
      <c r="G4597" t="s">
        <v>86</v>
      </c>
      <c r="H4597" t="s">
        <v>69</v>
      </c>
      <c r="I4597">
        <v>10</v>
      </c>
    </row>
    <row r="4598" spans="1:9" x14ac:dyDescent="0.2">
      <c r="A4598">
        <v>21961882</v>
      </c>
      <c r="B4598">
        <v>2</v>
      </c>
      <c r="C4598">
        <v>1784</v>
      </c>
      <c r="D4598">
        <v>56630</v>
      </c>
      <c r="E4598">
        <v>25</v>
      </c>
      <c r="F4598" t="s">
        <v>57</v>
      </c>
      <c r="G4598" t="s">
        <v>87</v>
      </c>
      <c r="H4598" t="s">
        <v>69</v>
      </c>
      <c r="I4598">
        <v>10</v>
      </c>
    </row>
    <row r="4599" spans="1:9" x14ac:dyDescent="0.2">
      <c r="A4599">
        <v>21961882</v>
      </c>
      <c r="B4599">
        <v>3</v>
      </c>
      <c r="C4599">
        <v>1756</v>
      </c>
      <c r="D4599">
        <v>56640</v>
      </c>
      <c r="E4599">
        <v>24</v>
      </c>
      <c r="F4599" t="s">
        <v>57</v>
      </c>
      <c r="G4599" t="s">
        <v>89</v>
      </c>
      <c r="H4599" t="s">
        <v>69</v>
      </c>
      <c r="I4599">
        <v>10</v>
      </c>
    </row>
    <row r="4600" spans="1:9" x14ac:dyDescent="0.2">
      <c r="A4600">
        <v>21961882</v>
      </c>
      <c r="B4600">
        <v>4</v>
      </c>
      <c r="C4600">
        <v>1729</v>
      </c>
      <c r="D4600">
        <v>0</v>
      </c>
      <c r="E4600">
        <v>26</v>
      </c>
      <c r="F4600" t="s">
        <v>57</v>
      </c>
      <c r="G4600" t="s">
        <v>72</v>
      </c>
      <c r="H4600" t="s">
        <v>69</v>
      </c>
      <c r="I4600">
        <v>10</v>
      </c>
    </row>
    <row r="4601" spans="1:9" x14ac:dyDescent="0.2">
      <c r="A4601">
        <v>21980852</v>
      </c>
      <c r="B4601">
        <v>1</v>
      </c>
      <c r="C4601">
        <v>1785</v>
      </c>
      <c r="D4601">
        <v>53435</v>
      </c>
      <c r="E4601">
        <v>25</v>
      </c>
      <c r="F4601" t="s">
        <v>57</v>
      </c>
      <c r="G4601" t="s">
        <v>86</v>
      </c>
      <c r="H4601" t="s">
        <v>69</v>
      </c>
      <c r="I4601">
        <v>10</v>
      </c>
    </row>
    <row r="4602" spans="1:9" x14ac:dyDescent="0.2">
      <c r="A4602">
        <v>21980852</v>
      </c>
      <c r="B4602">
        <v>2</v>
      </c>
      <c r="C4602">
        <v>1784</v>
      </c>
      <c r="D4602">
        <v>53435</v>
      </c>
      <c r="E4602">
        <v>25</v>
      </c>
      <c r="F4602" t="s">
        <v>57</v>
      </c>
      <c r="G4602" t="s">
        <v>87</v>
      </c>
      <c r="H4602" t="s">
        <v>69</v>
      </c>
      <c r="I4602">
        <v>10</v>
      </c>
    </row>
    <row r="4603" spans="1:9" x14ac:dyDescent="0.2">
      <c r="A4603">
        <v>21980852</v>
      </c>
      <c r="B4603">
        <v>3</v>
      </c>
      <c r="C4603">
        <v>1709</v>
      </c>
      <c r="D4603">
        <v>52680</v>
      </c>
      <c r="E4603">
        <v>25</v>
      </c>
      <c r="F4603" t="s">
        <v>57</v>
      </c>
      <c r="G4603" t="s">
        <v>84</v>
      </c>
      <c r="H4603" t="s">
        <v>69</v>
      </c>
      <c r="I4603">
        <v>10</v>
      </c>
    </row>
    <row r="4604" spans="1:9" x14ac:dyDescent="0.2">
      <c r="A4604">
        <v>21980852</v>
      </c>
      <c r="B4604">
        <v>4</v>
      </c>
      <c r="C4604">
        <v>1777</v>
      </c>
      <c r="D4604">
        <v>52495</v>
      </c>
      <c r="E4604">
        <v>25</v>
      </c>
      <c r="F4604" t="s">
        <v>57</v>
      </c>
      <c r="G4604" t="s">
        <v>88</v>
      </c>
      <c r="H4604" t="s">
        <v>69</v>
      </c>
      <c r="I4604">
        <v>10</v>
      </c>
    </row>
    <row r="4605" spans="1:9" x14ac:dyDescent="0.2">
      <c r="A4605">
        <v>21980852</v>
      </c>
      <c r="B4605">
        <v>5</v>
      </c>
      <c r="C4605">
        <v>1756</v>
      </c>
      <c r="D4605">
        <v>52790</v>
      </c>
      <c r="E4605">
        <v>25</v>
      </c>
      <c r="F4605" t="s">
        <v>57</v>
      </c>
      <c r="G4605" t="s">
        <v>89</v>
      </c>
      <c r="H4605" t="s">
        <v>69</v>
      </c>
      <c r="I4605">
        <v>10</v>
      </c>
    </row>
    <row r="4606" spans="1:9" x14ac:dyDescent="0.2">
      <c r="A4606">
        <v>21995492</v>
      </c>
      <c r="B4606">
        <v>1</v>
      </c>
      <c r="C4606">
        <v>1145</v>
      </c>
      <c r="D4606">
        <v>69560</v>
      </c>
      <c r="E4606">
        <v>25</v>
      </c>
      <c r="F4606" t="s">
        <v>17</v>
      </c>
      <c r="G4606" t="s">
        <v>159</v>
      </c>
      <c r="H4606" t="s">
        <v>16</v>
      </c>
      <c r="I4606" t="s">
        <v>448</v>
      </c>
    </row>
    <row r="4607" spans="1:9" x14ac:dyDescent="0.2">
      <c r="A4607">
        <v>21995492</v>
      </c>
      <c r="B4607">
        <v>2</v>
      </c>
      <c r="C4607">
        <v>1603</v>
      </c>
      <c r="D4607">
        <v>69400</v>
      </c>
      <c r="E4607">
        <v>24</v>
      </c>
      <c r="F4607" t="s">
        <v>128</v>
      </c>
      <c r="G4607" t="s">
        <v>254</v>
      </c>
      <c r="H4607" t="s">
        <v>127</v>
      </c>
      <c r="I4607" t="s">
        <v>448</v>
      </c>
    </row>
    <row r="4608" spans="1:9" x14ac:dyDescent="0.2">
      <c r="A4608">
        <v>22024746</v>
      </c>
      <c r="B4608">
        <v>1</v>
      </c>
      <c r="C4608">
        <v>1391</v>
      </c>
      <c r="D4608">
        <v>54455</v>
      </c>
      <c r="E4608">
        <v>25</v>
      </c>
      <c r="F4608" t="s">
        <v>21</v>
      </c>
      <c r="G4608" t="s">
        <v>122</v>
      </c>
      <c r="H4608" t="s">
        <v>20</v>
      </c>
      <c r="I4608">
        <v>8</v>
      </c>
    </row>
    <row r="4609" spans="1:9" x14ac:dyDescent="0.2">
      <c r="A4609">
        <v>22024746</v>
      </c>
      <c r="B4609">
        <v>2</v>
      </c>
      <c r="C4609">
        <v>1789</v>
      </c>
      <c r="D4609">
        <v>54565</v>
      </c>
      <c r="E4609">
        <v>25</v>
      </c>
      <c r="F4609" t="s">
        <v>57</v>
      </c>
      <c r="G4609" t="s">
        <v>122</v>
      </c>
      <c r="H4609" t="s">
        <v>69</v>
      </c>
      <c r="I4609">
        <v>10</v>
      </c>
    </row>
    <row r="4610" spans="1:9" x14ac:dyDescent="0.2">
      <c r="A4610">
        <v>22024746</v>
      </c>
      <c r="B4610">
        <v>3</v>
      </c>
      <c r="C4610">
        <v>3033</v>
      </c>
      <c r="D4610">
        <v>54860</v>
      </c>
      <c r="E4610">
        <v>25</v>
      </c>
      <c r="F4610" t="s">
        <v>44</v>
      </c>
      <c r="G4610" t="s">
        <v>122</v>
      </c>
      <c r="H4610" t="s">
        <v>50</v>
      </c>
      <c r="I4610">
        <v>9</v>
      </c>
    </row>
    <row r="4611" spans="1:9" x14ac:dyDescent="0.2">
      <c r="A4611">
        <v>22024746</v>
      </c>
      <c r="B4611">
        <v>4</v>
      </c>
      <c r="C4611">
        <v>3026</v>
      </c>
      <c r="D4611">
        <v>54860</v>
      </c>
      <c r="E4611">
        <v>25</v>
      </c>
      <c r="F4611" t="s">
        <v>44</v>
      </c>
      <c r="G4611" t="s">
        <v>170</v>
      </c>
      <c r="H4611" t="s">
        <v>50</v>
      </c>
      <c r="I4611">
        <v>9</v>
      </c>
    </row>
    <row r="4612" spans="1:9" x14ac:dyDescent="0.2">
      <c r="A4612">
        <v>22024746</v>
      </c>
      <c r="B4612">
        <v>5</v>
      </c>
      <c r="C4612">
        <v>1386</v>
      </c>
      <c r="D4612">
        <v>54980</v>
      </c>
      <c r="E4612">
        <v>25</v>
      </c>
      <c r="F4612" t="s">
        <v>21</v>
      </c>
      <c r="G4612" t="s">
        <v>170</v>
      </c>
      <c r="H4612" t="s">
        <v>20</v>
      </c>
      <c r="I4612">
        <v>8</v>
      </c>
    </row>
    <row r="4613" spans="1:9" x14ac:dyDescent="0.2">
      <c r="A4613">
        <v>22024746</v>
      </c>
      <c r="B4613">
        <v>6</v>
      </c>
      <c r="C4613">
        <v>3225</v>
      </c>
      <c r="D4613">
        <v>54950</v>
      </c>
      <c r="E4613">
        <v>24</v>
      </c>
      <c r="F4613" t="s">
        <v>47</v>
      </c>
      <c r="G4613" t="s">
        <v>106</v>
      </c>
      <c r="H4613" t="s">
        <v>46</v>
      </c>
      <c r="I4613">
        <v>10</v>
      </c>
    </row>
    <row r="4614" spans="1:9" x14ac:dyDescent="0.2">
      <c r="A4614">
        <v>22024746</v>
      </c>
      <c r="B4614">
        <v>7</v>
      </c>
      <c r="C4614">
        <v>1940</v>
      </c>
      <c r="D4614">
        <v>0</v>
      </c>
      <c r="E4614">
        <v>26</v>
      </c>
      <c r="F4614" t="s">
        <v>32</v>
      </c>
      <c r="G4614" t="s">
        <v>170</v>
      </c>
      <c r="H4614" t="s">
        <v>31</v>
      </c>
      <c r="I4614">
        <v>5</v>
      </c>
    </row>
    <row r="4615" spans="1:9" x14ac:dyDescent="0.2">
      <c r="A4615">
        <v>22024746</v>
      </c>
      <c r="B4615">
        <v>8</v>
      </c>
      <c r="C4615">
        <v>1950</v>
      </c>
      <c r="D4615">
        <v>0</v>
      </c>
      <c r="E4615">
        <v>26</v>
      </c>
      <c r="F4615" t="s">
        <v>32</v>
      </c>
      <c r="G4615" t="s">
        <v>122</v>
      </c>
      <c r="H4615" t="s">
        <v>31</v>
      </c>
      <c r="I4615">
        <v>5</v>
      </c>
    </row>
    <row r="4616" spans="1:9" x14ac:dyDescent="0.2">
      <c r="A4616">
        <v>22026381</v>
      </c>
      <c r="B4616">
        <v>1</v>
      </c>
      <c r="C4616">
        <v>3239</v>
      </c>
      <c r="D4616">
        <v>0</v>
      </c>
      <c r="E4616">
        <v>36</v>
      </c>
      <c r="F4616" t="s">
        <v>47</v>
      </c>
      <c r="G4616" t="s">
        <v>107</v>
      </c>
      <c r="H4616" t="s">
        <v>46</v>
      </c>
      <c r="I4616">
        <v>10</v>
      </c>
    </row>
    <row r="4617" spans="1:9" x14ac:dyDescent="0.2">
      <c r="A4617">
        <v>22026381</v>
      </c>
      <c r="B4617">
        <v>2</v>
      </c>
      <c r="C4617">
        <v>3243</v>
      </c>
      <c r="D4617">
        <v>0</v>
      </c>
      <c r="E4617">
        <v>36</v>
      </c>
      <c r="F4617" t="s">
        <v>47</v>
      </c>
      <c r="G4617" t="s">
        <v>75</v>
      </c>
      <c r="H4617" t="s">
        <v>46</v>
      </c>
      <c r="I4617">
        <v>10</v>
      </c>
    </row>
    <row r="4618" spans="1:9" x14ac:dyDescent="0.2">
      <c r="A4618">
        <v>22026381</v>
      </c>
      <c r="B4618">
        <v>3</v>
      </c>
      <c r="C4618">
        <v>3234</v>
      </c>
      <c r="D4618">
        <v>0</v>
      </c>
      <c r="E4618">
        <v>36</v>
      </c>
      <c r="F4618" t="s">
        <v>47</v>
      </c>
      <c r="G4618" t="s">
        <v>76</v>
      </c>
      <c r="H4618" t="s">
        <v>46</v>
      </c>
      <c r="I4618">
        <v>10</v>
      </c>
    </row>
    <row r="4619" spans="1:9" x14ac:dyDescent="0.2">
      <c r="A4619">
        <v>22026381</v>
      </c>
      <c r="B4619">
        <v>4</v>
      </c>
      <c r="C4619">
        <v>3252</v>
      </c>
      <c r="D4619">
        <v>0</v>
      </c>
      <c r="E4619">
        <v>36</v>
      </c>
      <c r="F4619" t="s">
        <v>47</v>
      </c>
      <c r="G4619" t="s">
        <v>45</v>
      </c>
      <c r="H4619" t="s">
        <v>46</v>
      </c>
      <c r="I4619">
        <v>10</v>
      </c>
    </row>
    <row r="4620" spans="1:9" x14ac:dyDescent="0.2">
      <c r="A4620">
        <v>22026381</v>
      </c>
      <c r="B4620">
        <v>5</v>
      </c>
      <c r="C4620">
        <v>3251</v>
      </c>
      <c r="D4620">
        <v>0</v>
      </c>
      <c r="E4620">
        <v>36</v>
      </c>
      <c r="F4620" t="s">
        <v>47</v>
      </c>
      <c r="G4620" t="s">
        <v>48</v>
      </c>
      <c r="H4620" t="s">
        <v>46</v>
      </c>
      <c r="I4620">
        <v>10</v>
      </c>
    </row>
    <row r="4621" spans="1:9" x14ac:dyDescent="0.2">
      <c r="A4621">
        <v>22026381</v>
      </c>
      <c r="B4621">
        <v>6</v>
      </c>
      <c r="C4621">
        <v>3261</v>
      </c>
      <c r="D4621">
        <v>0</v>
      </c>
      <c r="E4621">
        <v>36</v>
      </c>
      <c r="F4621" t="s">
        <v>47</v>
      </c>
      <c r="G4621" t="s">
        <v>93</v>
      </c>
      <c r="H4621" t="s">
        <v>46</v>
      </c>
      <c r="I4621">
        <v>10</v>
      </c>
    </row>
    <row r="4622" spans="1:9" x14ac:dyDescent="0.2">
      <c r="A4622">
        <v>22026381</v>
      </c>
      <c r="B4622">
        <v>7</v>
      </c>
      <c r="C4622">
        <v>3248</v>
      </c>
      <c r="D4622">
        <v>0</v>
      </c>
      <c r="E4622">
        <v>36</v>
      </c>
      <c r="F4622" t="s">
        <v>47</v>
      </c>
      <c r="G4622" t="s">
        <v>92</v>
      </c>
      <c r="H4622" t="s">
        <v>46</v>
      </c>
      <c r="I4622">
        <v>10</v>
      </c>
    </row>
    <row r="4623" spans="1:9" x14ac:dyDescent="0.2">
      <c r="A4623">
        <v>22026381</v>
      </c>
      <c r="B4623">
        <v>8</v>
      </c>
      <c r="C4623">
        <v>3269</v>
      </c>
      <c r="D4623">
        <v>0</v>
      </c>
      <c r="E4623">
        <v>36</v>
      </c>
      <c r="F4623" t="s">
        <v>47</v>
      </c>
      <c r="G4623" t="s">
        <v>180</v>
      </c>
      <c r="H4623" t="s">
        <v>46</v>
      </c>
      <c r="I4623">
        <v>10</v>
      </c>
    </row>
    <row r="4624" spans="1:9" x14ac:dyDescent="0.2">
      <c r="A4624">
        <v>22028550</v>
      </c>
      <c r="B4624">
        <v>1</v>
      </c>
      <c r="C4624">
        <v>3234</v>
      </c>
      <c r="D4624">
        <v>58325</v>
      </c>
      <c r="E4624">
        <v>24</v>
      </c>
      <c r="F4624" t="s">
        <v>47</v>
      </c>
      <c r="G4624" t="s">
        <v>76</v>
      </c>
      <c r="H4624" t="s">
        <v>46</v>
      </c>
      <c r="I4624">
        <v>10</v>
      </c>
    </row>
    <row r="4625" spans="1:9" x14ac:dyDescent="0.2">
      <c r="A4625">
        <v>22028550</v>
      </c>
      <c r="B4625">
        <v>2</v>
      </c>
      <c r="C4625">
        <v>3252</v>
      </c>
      <c r="D4625">
        <v>0</v>
      </c>
      <c r="E4625">
        <v>26</v>
      </c>
      <c r="F4625" t="s">
        <v>47</v>
      </c>
      <c r="G4625" t="s">
        <v>45</v>
      </c>
      <c r="H4625" t="s">
        <v>46</v>
      </c>
      <c r="I4625">
        <v>10</v>
      </c>
    </row>
    <row r="4626" spans="1:9" x14ac:dyDescent="0.2">
      <c r="A4626">
        <v>22028550</v>
      </c>
      <c r="B4626">
        <v>3</v>
      </c>
      <c r="C4626">
        <v>3251</v>
      </c>
      <c r="D4626">
        <v>0</v>
      </c>
      <c r="E4626">
        <v>26</v>
      </c>
      <c r="F4626" t="s">
        <v>47</v>
      </c>
      <c r="G4626" t="s">
        <v>48</v>
      </c>
      <c r="H4626" t="s">
        <v>46</v>
      </c>
      <c r="I4626">
        <v>10</v>
      </c>
    </row>
    <row r="4627" spans="1:9" x14ac:dyDescent="0.2">
      <c r="A4627">
        <v>22028550</v>
      </c>
      <c r="B4627">
        <v>4</v>
      </c>
      <c r="C4627">
        <v>3261</v>
      </c>
      <c r="D4627">
        <v>0</v>
      </c>
      <c r="E4627">
        <v>26</v>
      </c>
      <c r="F4627" t="s">
        <v>47</v>
      </c>
      <c r="G4627" t="s">
        <v>93</v>
      </c>
      <c r="H4627" t="s">
        <v>46</v>
      </c>
      <c r="I4627">
        <v>10</v>
      </c>
    </row>
    <row r="4628" spans="1:9" x14ac:dyDescent="0.2">
      <c r="A4628">
        <v>22059075</v>
      </c>
      <c r="B4628">
        <v>1</v>
      </c>
      <c r="C4628">
        <v>1705</v>
      </c>
      <c r="D4628">
        <v>45500</v>
      </c>
      <c r="E4628">
        <v>25</v>
      </c>
      <c r="F4628" t="s">
        <v>57</v>
      </c>
      <c r="G4628" t="s">
        <v>102</v>
      </c>
      <c r="H4628" t="s">
        <v>69</v>
      </c>
      <c r="I4628">
        <v>10</v>
      </c>
    </row>
    <row r="4629" spans="1:9" x14ac:dyDescent="0.2">
      <c r="A4629">
        <v>22059075</v>
      </c>
      <c r="B4629">
        <v>2</v>
      </c>
      <c r="C4629">
        <v>1701</v>
      </c>
      <c r="D4629">
        <v>44015</v>
      </c>
      <c r="E4629">
        <v>25</v>
      </c>
      <c r="F4629" t="s">
        <v>57</v>
      </c>
      <c r="G4629" t="s">
        <v>96</v>
      </c>
      <c r="H4629" t="s">
        <v>69</v>
      </c>
      <c r="I4629">
        <v>10</v>
      </c>
    </row>
    <row r="4630" spans="1:9" x14ac:dyDescent="0.2">
      <c r="A4630">
        <v>22059075</v>
      </c>
      <c r="B4630">
        <v>3</v>
      </c>
      <c r="C4630">
        <v>1728</v>
      </c>
      <c r="D4630">
        <v>44885</v>
      </c>
      <c r="E4630">
        <v>25</v>
      </c>
      <c r="F4630" t="s">
        <v>57</v>
      </c>
      <c r="G4630" t="s">
        <v>103</v>
      </c>
      <c r="H4630" t="s">
        <v>69</v>
      </c>
      <c r="I4630">
        <v>10</v>
      </c>
    </row>
    <row r="4631" spans="1:9" x14ac:dyDescent="0.2">
      <c r="A4631">
        <v>22059075</v>
      </c>
      <c r="B4631">
        <v>4</v>
      </c>
      <c r="C4631">
        <v>1789</v>
      </c>
      <c r="D4631">
        <v>44885</v>
      </c>
      <c r="E4631">
        <v>25</v>
      </c>
      <c r="F4631" t="s">
        <v>57</v>
      </c>
      <c r="G4631" t="s">
        <v>122</v>
      </c>
      <c r="H4631" t="s">
        <v>69</v>
      </c>
      <c r="I4631">
        <v>10</v>
      </c>
    </row>
    <row r="4632" spans="1:9" x14ac:dyDescent="0.2">
      <c r="A4632">
        <v>22059075</v>
      </c>
      <c r="B4632">
        <v>5</v>
      </c>
      <c r="C4632">
        <v>1714</v>
      </c>
      <c r="D4632">
        <v>45420</v>
      </c>
      <c r="E4632">
        <v>25</v>
      </c>
      <c r="F4632" t="s">
        <v>57</v>
      </c>
      <c r="G4632" t="s">
        <v>95</v>
      </c>
      <c r="H4632" t="s">
        <v>69</v>
      </c>
      <c r="I4632">
        <v>10</v>
      </c>
    </row>
    <row r="4633" spans="1:9" x14ac:dyDescent="0.2">
      <c r="A4633">
        <v>22063463</v>
      </c>
      <c r="B4633">
        <v>1</v>
      </c>
      <c r="C4633">
        <v>1328</v>
      </c>
      <c r="D4633">
        <v>0</v>
      </c>
      <c r="E4633">
        <v>36</v>
      </c>
      <c r="F4633" t="s">
        <v>21</v>
      </c>
      <c r="G4633" t="s">
        <v>255</v>
      </c>
      <c r="H4633" t="s">
        <v>20</v>
      </c>
      <c r="I4633">
        <v>8</v>
      </c>
    </row>
    <row r="4634" spans="1:9" x14ac:dyDescent="0.2">
      <c r="A4634">
        <v>22101242</v>
      </c>
      <c r="B4634">
        <v>1</v>
      </c>
      <c r="C4634">
        <v>3239</v>
      </c>
      <c r="D4634">
        <v>49420</v>
      </c>
      <c r="E4634">
        <v>25</v>
      </c>
      <c r="F4634" t="s">
        <v>47</v>
      </c>
      <c r="G4634" t="s">
        <v>107</v>
      </c>
      <c r="H4634" t="s">
        <v>46</v>
      </c>
      <c r="I4634">
        <v>10</v>
      </c>
    </row>
    <row r="4635" spans="1:9" x14ac:dyDescent="0.2">
      <c r="A4635">
        <v>22101242</v>
      </c>
      <c r="B4635">
        <v>2</v>
      </c>
      <c r="C4635">
        <v>3245</v>
      </c>
      <c r="D4635">
        <v>49420</v>
      </c>
      <c r="E4635">
        <v>25</v>
      </c>
      <c r="F4635" t="s">
        <v>47</v>
      </c>
      <c r="G4635" t="s">
        <v>157</v>
      </c>
      <c r="H4635" t="s">
        <v>74</v>
      </c>
      <c r="I4635">
        <v>10</v>
      </c>
    </row>
    <row r="4636" spans="1:9" x14ac:dyDescent="0.2">
      <c r="A4636">
        <v>22101242</v>
      </c>
      <c r="B4636">
        <v>3</v>
      </c>
      <c r="C4636">
        <v>3047</v>
      </c>
      <c r="D4636">
        <v>0</v>
      </c>
      <c r="E4636">
        <v>31</v>
      </c>
      <c r="F4636" t="s">
        <v>44</v>
      </c>
      <c r="G4636" t="s">
        <v>200</v>
      </c>
      <c r="H4636" t="s">
        <v>52</v>
      </c>
      <c r="I4636">
        <v>9</v>
      </c>
    </row>
    <row r="4637" spans="1:9" x14ac:dyDescent="0.2">
      <c r="A4637">
        <v>22101242</v>
      </c>
      <c r="B4637">
        <v>4</v>
      </c>
      <c r="C4637">
        <v>1774</v>
      </c>
      <c r="D4637">
        <v>0</v>
      </c>
      <c r="E4637">
        <v>31</v>
      </c>
      <c r="F4637" t="s">
        <v>57</v>
      </c>
      <c r="G4637" t="s">
        <v>296</v>
      </c>
      <c r="H4637" t="s">
        <v>69</v>
      </c>
      <c r="I4637">
        <v>10</v>
      </c>
    </row>
    <row r="4638" spans="1:9" x14ac:dyDescent="0.2">
      <c r="A4638">
        <v>22101242</v>
      </c>
      <c r="B4638">
        <v>5</v>
      </c>
      <c r="C4638">
        <v>2971</v>
      </c>
      <c r="D4638">
        <v>0</v>
      </c>
      <c r="E4638">
        <v>31</v>
      </c>
      <c r="F4638" t="s">
        <v>119</v>
      </c>
      <c r="G4638" t="s">
        <v>374</v>
      </c>
      <c r="H4638" t="s">
        <v>136</v>
      </c>
      <c r="I4638">
        <v>8</v>
      </c>
    </row>
    <row r="4639" spans="1:9" x14ac:dyDescent="0.2">
      <c r="A4639">
        <v>22101242</v>
      </c>
      <c r="B4639">
        <v>6</v>
      </c>
      <c r="C4639">
        <v>3023</v>
      </c>
      <c r="D4639">
        <v>0</v>
      </c>
      <c r="E4639">
        <v>30</v>
      </c>
      <c r="F4639" t="s">
        <v>44</v>
      </c>
      <c r="G4639" t="s">
        <v>124</v>
      </c>
      <c r="H4639" t="s">
        <v>50</v>
      </c>
      <c r="I4639">
        <v>9</v>
      </c>
    </row>
    <row r="4640" spans="1:9" x14ac:dyDescent="0.2">
      <c r="A4640">
        <v>22101242</v>
      </c>
      <c r="B4640">
        <v>7</v>
      </c>
      <c r="C4640">
        <v>1776</v>
      </c>
      <c r="D4640">
        <v>0</v>
      </c>
      <c r="E4640">
        <v>30</v>
      </c>
      <c r="F4640" t="s">
        <v>57</v>
      </c>
      <c r="G4640" t="s">
        <v>124</v>
      </c>
      <c r="H4640" t="s">
        <v>125</v>
      </c>
      <c r="I4640">
        <v>10</v>
      </c>
    </row>
    <row r="4641" spans="1:9" x14ac:dyDescent="0.2">
      <c r="A4641">
        <v>22116569</v>
      </c>
      <c r="B4641">
        <v>1</v>
      </c>
      <c r="C4641">
        <v>1239</v>
      </c>
      <c r="D4641">
        <v>69640</v>
      </c>
      <c r="E4641">
        <v>25</v>
      </c>
      <c r="F4641" t="s">
        <v>19</v>
      </c>
      <c r="G4641" t="s">
        <v>160</v>
      </c>
      <c r="H4641" t="s">
        <v>16</v>
      </c>
      <c r="I4641" t="s">
        <v>448</v>
      </c>
    </row>
    <row r="4642" spans="1:9" x14ac:dyDescent="0.2">
      <c r="A4642">
        <v>22116569</v>
      </c>
      <c r="B4642">
        <v>2</v>
      </c>
      <c r="C4642">
        <v>1145</v>
      </c>
      <c r="D4642">
        <v>69640</v>
      </c>
      <c r="E4642">
        <v>25</v>
      </c>
      <c r="F4642" t="s">
        <v>17</v>
      </c>
      <c r="G4642" t="s">
        <v>159</v>
      </c>
      <c r="H4642" t="s">
        <v>16</v>
      </c>
      <c r="I4642" t="s">
        <v>448</v>
      </c>
    </row>
    <row r="4643" spans="1:9" x14ac:dyDescent="0.2">
      <c r="A4643">
        <v>22116569</v>
      </c>
      <c r="B4643">
        <v>3</v>
      </c>
      <c r="C4643">
        <v>1601</v>
      </c>
      <c r="D4643">
        <v>69805</v>
      </c>
      <c r="E4643">
        <v>24</v>
      </c>
      <c r="F4643" t="s">
        <v>128</v>
      </c>
      <c r="G4643" t="s">
        <v>412</v>
      </c>
      <c r="H4643" t="s">
        <v>127</v>
      </c>
      <c r="I4643" t="s">
        <v>448</v>
      </c>
    </row>
    <row r="4644" spans="1:9" x14ac:dyDescent="0.2">
      <c r="A4644">
        <v>22116569</v>
      </c>
      <c r="B4644">
        <v>4</v>
      </c>
      <c r="C4644">
        <v>1203</v>
      </c>
      <c r="D4644">
        <v>0</v>
      </c>
      <c r="E4644">
        <v>26</v>
      </c>
      <c r="F4644" t="s">
        <v>19</v>
      </c>
      <c r="G4644" t="s">
        <v>248</v>
      </c>
      <c r="H4644" t="s">
        <v>16</v>
      </c>
      <c r="I4644" t="s">
        <v>448</v>
      </c>
    </row>
    <row r="4645" spans="1:9" x14ac:dyDescent="0.2">
      <c r="A4645">
        <v>22129413</v>
      </c>
      <c r="B4645">
        <v>1</v>
      </c>
      <c r="C4645">
        <v>3424</v>
      </c>
      <c r="D4645">
        <v>52725</v>
      </c>
      <c r="E4645">
        <v>25</v>
      </c>
      <c r="F4645" t="s">
        <v>36</v>
      </c>
      <c r="G4645" t="s">
        <v>124</v>
      </c>
      <c r="H4645" t="s">
        <v>35</v>
      </c>
      <c r="I4645">
        <v>7</v>
      </c>
    </row>
    <row r="4646" spans="1:9" x14ac:dyDescent="0.2">
      <c r="A4646">
        <v>22129413</v>
      </c>
      <c r="B4646">
        <v>2</v>
      </c>
      <c r="C4646">
        <v>3023</v>
      </c>
      <c r="D4646">
        <v>52640</v>
      </c>
      <c r="E4646">
        <v>25</v>
      </c>
      <c r="F4646" t="s">
        <v>44</v>
      </c>
      <c r="G4646" t="s">
        <v>124</v>
      </c>
      <c r="H4646" t="s">
        <v>50</v>
      </c>
      <c r="I4646">
        <v>9</v>
      </c>
    </row>
    <row r="4647" spans="1:9" x14ac:dyDescent="0.2">
      <c r="A4647">
        <v>22129413</v>
      </c>
      <c r="B4647">
        <v>3</v>
      </c>
      <c r="C4647">
        <v>1943</v>
      </c>
      <c r="D4647">
        <v>52555</v>
      </c>
      <c r="E4647">
        <v>25</v>
      </c>
      <c r="F4647" t="s">
        <v>32</v>
      </c>
      <c r="G4647" t="s">
        <v>233</v>
      </c>
      <c r="H4647" t="s">
        <v>31</v>
      </c>
      <c r="I4647">
        <v>5</v>
      </c>
    </row>
    <row r="4648" spans="1:9" x14ac:dyDescent="0.2">
      <c r="A4648">
        <v>22129413</v>
      </c>
      <c r="B4648">
        <v>4</v>
      </c>
      <c r="C4648">
        <v>1415</v>
      </c>
      <c r="D4648">
        <v>52810</v>
      </c>
      <c r="E4648">
        <v>25</v>
      </c>
      <c r="F4648" t="s">
        <v>25</v>
      </c>
      <c r="G4648" t="s">
        <v>233</v>
      </c>
      <c r="H4648" t="s">
        <v>24</v>
      </c>
      <c r="I4648">
        <v>5</v>
      </c>
    </row>
    <row r="4649" spans="1:9" x14ac:dyDescent="0.2">
      <c r="A4649">
        <v>22196880</v>
      </c>
      <c r="B4649">
        <v>1</v>
      </c>
      <c r="C4649">
        <v>1700</v>
      </c>
      <c r="D4649">
        <v>53100</v>
      </c>
      <c r="E4649">
        <v>24</v>
      </c>
      <c r="F4649" t="s">
        <v>57</v>
      </c>
      <c r="G4649" t="s">
        <v>58</v>
      </c>
      <c r="H4649" t="s">
        <v>69</v>
      </c>
      <c r="I4649">
        <v>10</v>
      </c>
    </row>
    <row r="4650" spans="1:9" x14ac:dyDescent="0.2">
      <c r="A4650">
        <v>22196880</v>
      </c>
      <c r="B4650">
        <v>2</v>
      </c>
      <c r="C4650">
        <v>1477</v>
      </c>
      <c r="D4650">
        <v>0</v>
      </c>
      <c r="E4650">
        <v>26</v>
      </c>
      <c r="F4650" t="s">
        <v>25</v>
      </c>
      <c r="G4650" t="s">
        <v>106</v>
      </c>
      <c r="H4650" t="s">
        <v>24</v>
      </c>
      <c r="I4650">
        <v>5</v>
      </c>
    </row>
    <row r="4651" spans="1:9" x14ac:dyDescent="0.2">
      <c r="A4651">
        <v>22196880</v>
      </c>
      <c r="B4651">
        <v>3</v>
      </c>
      <c r="C4651">
        <v>3225</v>
      </c>
      <c r="D4651">
        <v>0</v>
      </c>
      <c r="E4651">
        <v>26</v>
      </c>
      <c r="F4651" t="s">
        <v>47</v>
      </c>
      <c r="G4651" t="s">
        <v>106</v>
      </c>
      <c r="H4651" t="s">
        <v>46</v>
      </c>
      <c r="I4651">
        <v>10</v>
      </c>
    </row>
    <row r="4652" spans="1:9" x14ac:dyDescent="0.2">
      <c r="A4652">
        <v>22197505</v>
      </c>
      <c r="B4652">
        <v>1</v>
      </c>
      <c r="C4652">
        <v>3252</v>
      </c>
      <c r="D4652">
        <v>49970</v>
      </c>
      <c r="E4652">
        <v>25</v>
      </c>
      <c r="F4652" t="s">
        <v>47</v>
      </c>
      <c r="G4652" t="s">
        <v>45</v>
      </c>
      <c r="H4652" t="s">
        <v>46</v>
      </c>
      <c r="I4652">
        <v>10</v>
      </c>
    </row>
    <row r="4653" spans="1:9" x14ac:dyDescent="0.2">
      <c r="A4653">
        <v>22197505</v>
      </c>
      <c r="B4653">
        <v>2</v>
      </c>
      <c r="C4653">
        <v>3248</v>
      </c>
      <c r="D4653">
        <v>49835</v>
      </c>
      <c r="E4653">
        <v>24</v>
      </c>
      <c r="F4653" t="s">
        <v>47</v>
      </c>
      <c r="G4653" t="s">
        <v>92</v>
      </c>
      <c r="H4653" t="s">
        <v>46</v>
      </c>
      <c r="I4653">
        <v>10</v>
      </c>
    </row>
    <row r="4654" spans="1:9" x14ac:dyDescent="0.2">
      <c r="A4654">
        <v>22197505</v>
      </c>
      <c r="B4654">
        <v>3</v>
      </c>
      <c r="C4654">
        <v>3261</v>
      </c>
      <c r="D4654">
        <v>0</v>
      </c>
      <c r="E4654">
        <v>26</v>
      </c>
      <c r="F4654" t="s">
        <v>47</v>
      </c>
      <c r="G4654" t="s">
        <v>93</v>
      </c>
      <c r="H4654" t="s">
        <v>46</v>
      </c>
      <c r="I4654">
        <v>10</v>
      </c>
    </row>
    <row r="4655" spans="1:9" x14ac:dyDescent="0.2">
      <c r="A4655">
        <v>22197505</v>
      </c>
      <c r="B4655">
        <v>4</v>
      </c>
      <c r="C4655">
        <v>3296</v>
      </c>
      <c r="D4655">
        <v>0</v>
      </c>
      <c r="E4655">
        <v>26</v>
      </c>
      <c r="F4655" t="s">
        <v>47</v>
      </c>
      <c r="G4655" t="s">
        <v>100</v>
      </c>
      <c r="H4655" t="s">
        <v>46</v>
      </c>
      <c r="I4655">
        <v>10</v>
      </c>
    </row>
    <row r="4656" spans="1:9" x14ac:dyDescent="0.2">
      <c r="A4656">
        <v>22197505</v>
      </c>
      <c r="B4656">
        <v>5</v>
      </c>
      <c r="C4656">
        <v>3243</v>
      </c>
      <c r="D4656">
        <v>0</v>
      </c>
      <c r="E4656">
        <v>26</v>
      </c>
      <c r="F4656" t="s">
        <v>47</v>
      </c>
      <c r="G4656" t="s">
        <v>75</v>
      </c>
      <c r="H4656" t="s">
        <v>46</v>
      </c>
      <c r="I4656">
        <v>10</v>
      </c>
    </row>
    <row r="4657" spans="1:9" x14ac:dyDescent="0.2">
      <c r="A4657">
        <v>22239141</v>
      </c>
      <c r="B4657">
        <v>1</v>
      </c>
      <c r="C4657">
        <v>1525</v>
      </c>
      <c r="D4657">
        <v>54225</v>
      </c>
      <c r="E4657">
        <v>25</v>
      </c>
      <c r="F4657" t="s">
        <v>142</v>
      </c>
      <c r="G4657" t="s">
        <v>152</v>
      </c>
      <c r="H4657" t="s">
        <v>31</v>
      </c>
      <c r="I4657">
        <v>5</v>
      </c>
    </row>
    <row r="4658" spans="1:9" x14ac:dyDescent="0.2">
      <c r="A4658">
        <v>22246811</v>
      </c>
      <c r="B4658">
        <v>1</v>
      </c>
      <c r="C4658">
        <v>1350</v>
      </c>
      <c r="D4658">
        <v>57780</v>
      </c>
      <c r="E4658">
        <v>25</v>
      </c>
      <c r="F4658" t="s">
        <v>21</v>
      </c>
      <c r="G4658" t="s">
        <v>247</v>
      </c>
      <c r="H4658" t="s">
        <v>20</v>
      </c>
      <c r="I4658">
        <v>8</v>
      </c>
    </row>
    <row r="4659" spans="1:9" x14ac:dyDescent="0.2">
      <c r="A4659">
        <v>22246811</v>
      </c>
      <c r="B4659">
        <v>2</v>
      </c>
      <c r="C4659">
        <v>3029</v>
      </c>
      <c r="D4659">
        <v>57020</v>
      </c>
      <c r="E4659">
        <v>25</v>
      </c>
      <c r="F4659" t="s">
        <v>44</v>
      </c>
      <c r="G4659" t="s">
        <v>247</v>
      </c>
      <c r="H4659" t="s">
        <v>50</v>
      </c>
      <c r="I4659">
        <v>9</v>
      </c>
    </row>
    <row r="4660" spans="1:9" x14ac:dyDescent="0.2">
      <c r="A4660">
        <v>22246811</v>
      </c>
      <c r="B4660">
        <v>3</v>
      </c>
      <c r="C4660">
        <v>2954</v>
      </c>
      <c r="D4660">
        <v>54880</v>
      </c>
      <c r="E4660">
        <v>25</v>
      </c>
      <c r="F4660" t="s">
        <v>119</v>
      </c>
      <c r="G4660" t="s">
        <v>247</v>
      </c>
      <c r="H4660" t="s">
        <v>136</v>
      </c>
      <c r="I4660">
        <v>8</v>
      </c>
    </row>
    <row r="4661" spans="1:9" x14ac:dyDescent="0.2">
      <c r="A4661">
        <v>22246811</v>
      </c>
      <c r="B4661">
        <v>4</v>
      </c>
      <c r="C4661">
        <v>3651</v>
      </c>
      <c r="D4661">
        <v>55960</v>
      </c>
      <c r="E4661">
        <v>25</v>
      </c>
      <c r="F4661" t="s">
        <v>108</v>
      </c>
      <c r="G4661" t="s">
        <v>247</v>
      </c>
      <c r="H4661" t="s">
        <v>20</v>
      </c>
      <c r="I4661">
        <v>8</v>
      </c>
    </row>
    <row r="4662" spans="1:9" x14ac:dyDescent="0.2">
      <c r="A4662">
        <v>22246811</v>
      </c>
      <c r="B4662">
        <v>5</v>
      </c>
      <c r="C4662">
        <v>1991</v>
      </c>
      <c r="D4662">
        <v>56820</v>
      </c>
      <c r="E4662">
        <v>25</v>
      </c>
      <c r="F4662" t="s">
        <v>32</v>
      </c>
      <c r="G4662" t="s">
        <v>247</v>
      </c>
      <c r="H4662" t="s">
        <v>31</v>
      </c>
      <c r="I4662">
        <v>5</v>
      </c>
    </row>
    <row r="4663" spans="1:9" x14ac:dyDescent="0.2">
      <c r="A4663">
        <v>22246812</v>
      </c>
      <c r="B4663">
        <v>1</v>
      </c>
      <c r="C4663">
        <v>1590</v>
      </c>
      <c r="D4663">
        <v>62010</v>
      </c>
      <c r="E4663">
        <v>25</v>
      </c>
      <c r="F4663" t="s">
        <v>142</v>
      </c>
      <c r="G4663" t="s">
        <v>229</v>
      </c>
      <c r="H4663" t="s">
        <v>113</v>
      </c>
      <c r="I4663">
        <v>5</v>
      </c>
    </row>
    <row r="4664" spans="1:9" x14ac:dyDescent="0.2">
      <c r="A4664">
        <v>22246812</v>
      </c>
      <c r="B4664">
        <v>2</v>
      </c>
      <c r="C4664">
        <v>1592</v>
      </c>
      <c r="D4664">
        <v>62165</v>
      </c>
      <c r="E4664">
        <v>24</v>
      </c>
      <c r="F4664" t="s">
        <v>142</v>
      </c>
      <c r="G4664" t="s">
        <v>190</v>
      </c>
      <c r="H4664" t="s">
        <v>113</v>
      </c>
      <c r="I4664">
        <v>5</v>
      </c>
    </row>
    <row r="4665" spans="1:9" x14ac:dyDescent="0.2">
      <c r="A4665">
        <v>22246812</v>
      </c>
      <c r="B4665">
        <v>3</v>
      </c>
      <c r="C4665">
        <v>1366</v>
      </c>
      <c r="D4665">
        <v>0</v>
      </c>
      <c r="E4665">
        <v>26</v>
      </c>
      <c r="F4665" t="s">
        <v>21</v>
      </c>
      <c r="G4665" t="s">
        <v>436</v>
      </c>
      <c r="H4665" t="s">
        <v>20</v>
      </c>
      <c r="I4665">
        <v>8</v>
      </c>
    </row>
    <row r="4666" spans="1:9" x14ac:dyDescent="0.2">
      <c r="A4666">
        <v>22246812</v>
      </c>
      <c r="B4666">
        <v>4</v>
      </c>
      <c r="C4666">
        <v>1574</v>
      </c>
      <c r="D4666">
        <v>0</v>
      </c>
      <c r="E4666">
        <v>26</v>
      </c>
      <c r="F4666" t="s">
        <v>142</v>
      </c>
      <c r="G4666" t="s">
        <v>263</v>
      </c>
      <c r="H4666" t="s">
        <v>113</v>
      </c>
      <c r="I4666">
        <v>5</v>
      </c>
    </row>
    <row r="4667" spans="1:9" x14ac:dyDescent="0.2">
      <c r="A4667">
        <v>22246812</v>
      </c>
      <c r="B4667">
        <v>5</v>
      </c>
      <c r="C4667">
        <v>1607</v>
      </c>
      <c r="D4667">
        <v>0</v>
      </c>
      <c r="E4667">
        <v>26</v>
      </c>
      <c r="F4667" t="s">
        <v>128</v>
      </c>
      <c r="G4667" t="s">
        <v>440</v>
      </c>
      <c r="H4667" t="s">
        <v>127</v>
      </c>
      <c r="I4667" t="s">
        <v>448</v>
      </c>
    </row>
    <row r="4668" spans="1:9" x14ac:dyDescent="0.2">
      <c r="A4668">
        <v>22246812</v>
      </c>
      <c r="B4668">
        <v>6</v>
      </c>
      <c r="C4668">
        <v>1602</v>
      </c>
      <c r="D4668">
        <v>0</v>
      </c>
      <c r="E4668">
        <v>26</v>
      </c>
      <c r="F4668" t="s">
        <v>128</v>
      </c>
      <c r="G4668" t="s">
        <v>361</v>
      </c>
      <c r="H4668" t="s">
        <v>127</v>
      </c>
      <c r="I4668" t="s">
        <v>448</v>
      </c>
    </row>
    <row r="4669" spans="1:9" x14ac:dyDescent="0.2">
      <c r="A4669">
        <v>22246812</v>
      </c>
      <c r="B4669">
        <v>7</v>
      </c>
      <c r="C4669">
        <v>1994</v>
      </c>
      <c r="D4669">
        <v>0</v>
      </c>
      <c r="E4669">
        <v>26</v>
      </c>
      <c r="F4669" t="s">
        <v>32</v>
      </c>
      <c r="G4669" t="s">
        <v>67</v>
      </c>
      <c r="H4669" t="s">
        <v>113</v>
      </c>
      <c r="I4669">
        <v>5</v>
      </c>
    </row>
    <row r="4670" spans="1:9" x14ac:dyDescent="0.2">
      <c r="A4670">
        <v>22246812</v>
      </c>
      <c r="B4670">
        <v>8</v>
      </c>
      <c r="C4670">
        <v>1603</v>
      </c>
      <c r="D4670">
        <v>0</v>
      </c>
      <c r="E4670">
        <v>26</v>
      </c>
      <c r="F4670" t="s">
        <v>128</v>
      </c>
      <c r="G4670" t="s">
        <v>254</v>
      </c>
      <c r="H4670" t="s">
        <v>127</v>
      </c>
      <c r="I4670" t="s">
        <v>448</v>
      </c>
    </row>
    <row r="4671" spans="1:9" x14ac:dyDescent="0.2">
      <c r="A4671">
        <v>22301438</v>
      </c>
      <c r="B4671">
        <v>1</v>
      </c>
      <c r="C4671">
        <v>1754</v>
      </c>
      <c r="D4671">
        <v>56230</v>
      </c>
      <c r="E4671">
        <v>24</v>
      </c>
      <c r="F4671" t="s">
        <v>57</v>
      </c>
      <c r="G4671" t="s">
        <v>85</v>
      </c>
      <c r="H4671" t="s">
        <v>69</v>
      </c>
      <c r="I4671">
        <v>10</v>
      </c>
    </row>
    <row r="4672" spans="1:9" x14ac:dyDescent="0.2">
      <c r="A4672">
        <v>22301438</v>
      </c>
      <c r="B4672">
        <v>2</v>
      </c>
      <c r="C4672">
        <v>1714</v>
      </c>
      <c r="D4672">
        <v>0</v>
      </c>
      <c r="E4672">
        <v>26</v>
      </c>
      <c r="F4672" t="s">
        <v>57</v>
      </c>
      <c r="G4672" t="s">
        <v>95</v>
      </c>
      <c r="H4672" t="s">
        <v>69</v>
      </c>
      <c r="I4672">
        <v>10</v>
      </c>
    </row>
    <row r="4673" spans="1:9" x14ac:dyDescent="0.2">
      <c r="A4673">
        <v>22301438</v>
      </c>
      <c r="B4673">
        <v>3</v>
      </c>
      <c r="C4673">
        <v>1710</v>
      </c>
      <c r="D4673">
        <v>0</v>
      </c>
      <c r="E4673">
        <v>26</v>
      </c>
      <c r="F4673" t="s">
        <v>57</v>
      </c>
      <c r="G4673" t="s">
        <v>169</v>
      </c>
      <c r="H4673" t="s">
        <v>69</v>
      </c>
      <c r="I4673">
        <v>10</v>
      </c>
    </row>
    <row r="4674" spans="1:9" x14ac:dyDescent="0.2">
      <c r="A4674">
        <v>22312881</v>
      </c>
      <c r="B4674">
        <v>1</v>
      </c>
      <c r="C4674">
        <v>1258</v>
      </c>
      <c r="D4674">
        <v>56470</v>
      </c>
      <c r="E4674">
        <v>25</v>
      </c>
      <c r="F4674" t="s">
        <v>19</v>
      </c>
      <c r="G4674" t="s">
        <v>170</v>
      </c>
      <c r="H4674" t="s">
        <v>16</v>
      </c>
      <c r="I4674" t="s">
        <v>448</v>
      </c>
    </row>
    <row r="4675" spans="1:9" x14ac:dyDescent="0.2">
      <c r="A4675">
        <v>22312881</v>
      </c>
      <c r="B4675">
        <v>2</v>
      </c>
      <c r="C4675">
        <v>1731</v>
      </c>
      <c r="D4675">
        <v>56360</v>
      </c>
      <c r="E4675">
        <v>25</v>
      </c>
      <c r="F4675" t="s">
        <v>57</v>
      </c>
      <c r="G4675" t="s">
        <v>172</v>
      </c>
      <c r="H4675" t="s">
        <v>69</v>
      </c>
      <c r="I4675">
        <v>10</v>
      </c>
    </row>
    <row r="4676" spans="1:9" x14ac:dyDescent="0.2">
      <c r="A4676">
        <v>22312881</v>
      </c>
      <c r="B4676">
        <v>3</v>
      </c>
      <c r="C4676">
        <v>1713</v>
      </c>
      <c r="D4676">
        <v>56360</v>
      </c>
      <c r="E4676">
        <v>25</v>
      </c>
      <c r="F4676" t="s">
        <v>57</v>
      </c>
      <c r="G4676" t="s">
        <v>170</v>
      </c>
      <c r="H4676" t="s">
        <v>69</v>
      </c>
      <c r="I4676">
        <v>10</v>
      </c>
    </row>
    <row r="4677" spans="1:9" x14ac:dyDescent="0.2">
      <c r="A4677">
        <v>22312881</v>
      </c>
      <c r="B4677">
        <v>4</v>
      </c>
      <c r="C4677">
        <v>1776</v>
      </c>
      <c r="D4677">
        <v>56080</v>
      </c>
      <c r="E4677">
        <v>25</v>
      </c>
      <c r="F4677" t="s">
        <v>57</v>
      </c>
      <c r="G4677" t="s">
        <v>124</v>
      </c>
      <c r="H4677" t="s">
        <v>125</v>
      </c>
      <c r="I4677">
        <v>10</v>
      </c>
    </row>
    <row r="4678" spans="1:9" x14ac:dyDescent="0.2">
      <c r="A4678">
        <v>22312881</v>
      </c>
      <c r="B4678">
        <v>5</v>
      </c>
      <c r="C4678">
        <v>1732</v>
      </c>
      <c r="D4678">
        <v>55960</v>
      </c>
      <c r="E4678">
        <v>25</v>
      </c>
      <c r="F4678" t="s">
        <v>57</v>
      </c>
      <c r="G4678" t="s">
        <v>104</v>
      </c>
      <c r="H4678" t="s">
        <v>69</v>
      </c>
      <c r="I4678">
        <v>10</v>
      </c>
    </row>
    <row r="4679" spans="1:9" x14ac:dyDescent="0.2">
      <c r="A4679">
        <v>22312881</v>
      </c>
      <c r="B4679">
        <v>6</v>
      </c>
      <c r="C4679">
        <v>1715</v>
      </c>
      <c r="D4679">
        <v>56750</v>
      </c>
      <c r="E4679">
        <v>25</v>
      </c>
      <c r="F4679" t="s">
        <v>57</v>
      </c>
      <c r="G4679" t="s">
        <v>151</v>
      </c>
      <c r="H4679" t="s">
        <v>69</v>
      </c>
      <c r="I4679">
        <v>10</v>
      </c>
    </row>
    <row r="4680" spans="1:9" x14ac:dyDescent="0.2">
      <c r="A4680">
        <v>22327242</v>
      </c>
      <c r="B4680">
        <v>1</v>
      </c>
      <c r="C4680">
        <v>3212</v>
      </c>
      <c r="D4680">
        <v>46590</v>
      </c>
      <c r="E4680">
        <v>25</v>
      </c>
      <c r="F4680" t="s">
        <v>47</v>
      </c>
      <c r="G4680" t="s">
        <v>84</v>
      </c>
      <c r="H4680" t="s">
        <v>46</v>
      </c>
      <c r="I4680">
        <v>10</v>
      </c>
    </row>
    <row r="4681" spans="1:9" x14ac:dyDescent="0.2">
      <c r="A4681">
        <v>22327242</v>
      </c>
      <c r="B4681">
        <v>2</v>
      </c>
      <c r="C4681">
        <v>3211</v>
      </c>
      <c r="D4681">
        <v>46825</v>
      </c>
      <c r="E4681">
        <v>24</v>
      </c>
      <c r="F4681" t="s">
        <v>47</v>
      </c>
      <c r="G4681" t="s">
        <v>99</v>
      </c>
      <c r="H4681" t="s">
        <v>46</v>
      </c>
      <c r="I4681">
        <v>10</v>
      </c>
    </row>
    <row r="4682" spans="1:9" x14ac:dyDescent="0.2">
      <c r="A4682">
        <v>22327242</v>
      </c>
      <c r="B4682">
        <v>3</v>
      </c>
      <c r="C4682">
        <v>3296</v>
      </c>
      <c r="D4682">
        <v>0</v>
      </c>
      <c r="E4682">
        <v>26</v>
      </c>
      <c r="F4682" t="s">
        <v>47</v>
      </c>
      <c r="G4682" t="s">
        <v>100</v>
      </c>
      <c r="H4682" t="s">
        <v>46</v>
      </c>
      <c r="I4682">
        <v>10</v>
      </c>
    </row>
    <row r="4683" spans="1:9" x14ac:dyDescent="0.2">
      <c r="A4683">
        <v>22369018</v>
      </c>
      <c r="B4683">
        <v>1</v>
      </c>
      <c r="C4683">
        <v>3252</v>
      </c>
      <c r="D4683">
        <v>50700</v>
      </c>
      <c r="E4683">
        <v>25</v>
      </c>
      <c r="F4683" t="s">
        <v>47</v>
      </c>
      <c r="G4683" t="s">
        <v>45</v>
      </c>
      <c r="H4683" t="s">
        <v>46</v>
      </c>
      <c r="I4683">
        <v>10</v>
      </c>
    </row>
    <row r="4684" spans="1:9" x14ac:dyDescent="0.2">
      <c r="A4684">
        <v>22369018</v>
      </c>
      <c r="B4684">
        <v>2</v>
      </c>
      <c r="C4684">
        <v>3261</v>
      </c>
      <c r="D4684">
        <v>50280</v>
      </c>
      <c r="E4684">
        <v>25</v>
      </c>
      <c r="F4684" t="s">
        <v>47</v>
      </c>
      <c r="G4684" t="s">
        <v>93</v>
      </c>
      <c r="H4684" t="s">
        <v>46</v>
      </c>
      <c r="I4684">
        <v>10</v>
      </c>
    </row>
    <row r="4685" spans="1:9" x14ac:dyDescent="0.2">
      <c r="A4685">
        <v>22369018</v>
      </c>
      <c r="B4685">
        <v>3</v>
      </c>
      <c r="C4685">
        <v>3251</v>
      </c>
      <c r="D4685">
        <v>50570</v>
      </c>
      <c r="E4685">
        <v>24</v>
      </c>
      <c r="F4685" t="s">
        <v>47</v>
      </c>
      <c r="G4685" t="s">
        <v>48</v>
      </c>
      <c r="H4685" t="s">
        <v>46</v>
      </c>
      <c r="I4685">
        <v>10</v>
      </c>
    </row>
    <row r="4686" spans="1:9" x14ac:dyDescent="0.2">
      <c r="A4686">
        <v>22385577</v>
      </c>
      <c r="B4686">
        <v>1</v>
      </c>
      <c r="C4686">
        <v>3020</v>
      </c>
      <c r="D4686">
        <v>50330</v>
      </c>
      <c r="E4686">
        <v>25</v>
      </c>
      <c r="F4686" t="s">
        <v>44</v>
      </c>
      <c r="G4686" t="s">
        <v>102</v>
      </c>
      <c r="H4686" t="s">
        <v>50</v>
      </c>
      <c r="I4686">
        <v>9</v>
      </c>
    </row>
    <row r="4687" spans="1:9" x14ac:dyDescent="0.2">
      <c r="A4687">
        <v>22385577</v>
      </c>
      <c r="B4687">
        <v>2</v>
      </c>
      <c r="C4687">
        <v>3029</v>
      </c>
      <c r="D4687">
        <v>50330</v>
      </c>
      <c r="E4687">
        <v>25</v>
      </c>
      <c r="F4687" t="s">
        <v>44</v>
      </c>
      <c r="G4687" t="s">
        <v>247</v>
      </c>
      <c r="H4687" t="s">
        <v>50</v>
      </c>
      <c r="I4687">
        <v>9</v>
      </c>
    </row>
    <row r="4688" spans="1:9" x14ac:dyDescent="0.2">
      <c r="A4688">
        <v>22385577</v>
      </c>
      <c r="B4688">
        <v>3</v>
      </c>
      <c r="C4688">
        <v>3023</v>
      </c>
      <c r="D4688">
        <v>50330</v>
      </c>
      <c r="E4688">
        <v>25</v>
      </c>
      <c r="F4688" t="s">
        <v>44</v>
      </c>
      <c r="G4688" t="s">
        <v>124</v>
      </c>
      <c r="H4688" t="s">
        <v>50</v>
      </c>
      <c r="I4688">
        <v>9</v>
      </c>
    </row>
    <row r="4689" spans="1:9" x14ac:dyDescent="0.2">
      <c r="A4689">
        <v>22385577</v>
      </c>
      <c r="B4689">
        <v>4</v>
      </c>
      <c r="C4689">
        <v>3717</v>
      </c>
      <c r="D4689">
        <v>48960</v>
      </c>
      <c r="E4689">
        <v>24</v>
      </c>
      <c r="F4689" t="s">
        <v>116</v>
      </c>
      <c r="G4689" t="s">
        <v>426</v>
      </c>
      <c r="H4689" t="s">
        <v>61</v>
      </c>
      <c r="I4689">
        <v>9</v>
      </c>
    </row>
    <row r="4690" spans="1:9" x14ac:dyDescent="0.2">
      <c r="A4690">
        <v>22414190</v>
      </c>
      <c r="B4690">
        <v>1</v>
      </c>
      <c r="C4690">
        <v>1705</v>
      </c>
      <c r="D4690">
        <v>60830</v>
      </c>
      <c r="E4690">
        <v>25</v>
      </c>
      <c r="F4690" t="s">
        <v>57</v>
      </c>
      <c r="G4690" t="s">
        <v>102</v>
      </c>
      <c r="H4690" t="s">
        <v>69</v>
      </c>
      <c r="I4690">
        <v>10</v>
      </c>
    </row>
    <row r="4691" spans="1:9" x14ac:dyDescent="0.2">
      <c r="A4691">
        <v>22414190</v>
      </c>
      <c r="B4691">
        <v>2</v>
      </c>
      <c r="C4691">
        <v>1941</v>
      </c>
      <c r="D4691">
        <v>61780</v>
      </c>
      <c r="E4691">
        <v>25</v>
      </c>
      <c r="F4691" t="s">
        <v>32</v>
      </c>
      <c r="G4691" t="s">
        <v>102</v>
      </c>
      <c r="H4691" t="s">
        <v>31</v>
      </c>
      <c r="I4691">
        <v>5</v>
      </c>
    </row>
    <row r="4692" spans="1:9" x14ac:dyDescent="0.2">
      <c r="A4692">
        <v>22414190</v>
      </c>
      <c r="B4692">
        <v>3</v>
      </c>
      <c r="C4692">
        <v>1715</v>
      </c>
      <c r="D4692">
        <v>61300</v>
      </c>
      <c r="E4692">
        <v>24</v>
      </c>
      <c r="F4692" t="s">
        <v>57</v>
      </c>
      <c r="G4692" t="s">
        <v>151</v>
      </c>
      <c r="H4692" t="s">
        <v>69</v>
      </c>
      <c r="I4692">
        <v>10</v>
      </c>
    </row>
    <row r="4693" spans="1:9" x14ac:dyDescent="0.2">
      <c r="A4693">
        <v>22414190</v>
      </c>
      <c r="B4693">
        <v>4</v>
      </c>
      <c r="C4693">
        <v>1947</v>
      </c>
      <c r="D4693">
        <v>0</v>
      </c>
      <c r="E4693">
        <v>26</v>
      </c>
      <c r="F4693" t="s">
        <v>32</v>
      </c>
      <c r="G4693" t="s">
        <v>151</v>
      </c>
      <c r="H4693" t="s">
        <v>31</v>
      </c>
      <c r="I4693">
        <v>5</v>
      </c>
    </row>
    <row r="4694" spans="1:9" x14ac:dyDescent="0.2">
      <c r="A4694">
        <v>22414190</v>
      </c>
      <c r="B4694">
        <v>5</v>
      </c>
      <c r="C4694">
        <v>1776</v>
      </c>
      <c r="D4694">
        <v>0</v>
      </c>
      <c r="E4694">
        <v>26</v>
      </c>
      <c r="F4694" t="s">
        <v>57</v>
      </c>
      <c r="G4694" t="s">
        <v>124</v>
      </c>
      <c r="H4694" t="s">
        <v>125</v>
      </c>
      <c r="I4694">
        <v>10</v>
      </c>
    </row>
    <row r="4695" spans="1:9" x14ac:dyDescent="0.2">
      <c r="A4695">
        <v>22414190</v>
      </c>
      <c r="B4695">
        <v>6</v>
      </c>
      <c r="C4695">
        <v>1411</v>
      </c>
      <c r="D4695">
        <v>0</v>
      </c>
      <c r="E4695">
        <v>26</v>
      </c>
      <c r="F4695" t="s">
        <v>25</v>
      </c>
      <c r="G4695" t="s">
        <v>430</v>
      </c>
      <c r="H4695" t="s">
        <v>24</v>
      </c>
      <c r="I4695">
        <v>5</v>
      </c>
    </row>
    <row r="4696" spans="1:9" x14ac:dyDescent="0.2">
      <c r="A4696">
        <v>22414190</v>
      </c>
      <c r="B4696">
        <v>7</v>
      </c>
      <c r="C4696">
        <v>1786</v>
      </c>
      <c r="D4696">
        <v>0</v>
      </c>
      <c r="E4696">
        <v>26</v>
      </c>
      <c r="F4696" t="s">
        <v>57</v>
      </c>
      <c r="G4696" t="s">
        <v>103</v>
      </c>
      <c r="H4696" t="s">
        <v>56</v>
      </c>
      <c r="I4696">
        <v>10</v>
      </c>
    </row>
    <row r="4697" spans="1:9" x14ac:dyDescent="0.2">
      <c r="A4697">
        <v>22414190</v>
      </c>
      <c r="B4697">
        <v>8</v>
      </c>
      <c r="C4697">
        <v>1728</v>
      </c>
      <c r="D4697">
        <v>0</v>
      </c>
      <c r="E4697">
        <v>26</v>
      </c>
      <c r="F4697" t="s">
        <v>57</v>
      </c>
      <c r="G4697" t="s">
        <v>103</v>
      </c>
      <c r="H4697" t="s">
        <v>69</v>
      </c>
      <c r="I4697">
        <v>10</v>
      </c>
    </row>
    <row r="4698" spans="1:9" x14ac:dyDescent="0.2">
      <c r="A4698">
        <v>22428236</v>
      </c>
      <c r="B4698">
        <v>1</v>
      </c>
      <c r="C4698">
        <v>1372</v>
      </c>
      <c r="D4698">
        <v>67535</v>
      </c>
      <c r="E4698">
        <v>25</v>
      </c>
      <c r="F4698" t="s">
        <v>21</v>
      </c>
      <c r="G4698" t="s">
        <v>66</v>
      </c>
      <c r="H4698" t="s">
        <v>20</v>
      </c>
      <c r="I4698">
        <v>8</v>
      </c>
    </row>
    <row r="4699" spans="1:9" x14ac:dyDescent="0.2">
      <c r="A4699">
        <v>22428236</v>
      </c>
      <c r="B4699">
        <v>2</v>
      </c>
      <c r="C4699">
        <v>3002</v>
      </c>
      <c r="D4699">
        <v>67680</v>
      </c>
      <c r="E4699">
        <v>24</v>
      </c>
      <c r="F4699" t="s">
        <v>44</v>
      </c>
      <c r="G4699" t="s">
        <v>147</v>
      </c>
      <c r="H4699" t="s">
        <v>55</v>
      </c>
      <c r="I4699">
        <v>9</v>
      </c>
    </row>
    <row r="4700" spans="1:9" x14ac:dyDescent="0.2">
      <c r="A4700">
        <v>22428236</v>
      </c>
      <c r="B4700">
        <v>3</v>
      </c>
      <c r="C4700">
        <v>1369</v>
      </c>
      <c r="D4700">
        <v>0</v>
      </c>
      <c r="E4700">
        <v>26</v>
      </c>
      <c r="F4700" t="s">
        <v>21</v>
      </c>
      <c r="G4700" t="s">
        <v>121</v>
      </c>
      <c r="H4700" t="s">
        <v>20</v>
      </c>
      <c r="I4700">
        <v>8</v>
      </c>
    </row>
    <row r="4701" spans="1:9" x14ac:dyDescent="0.2">
      <c r="A4701">
        <v>22428236</v>
      </c>
      <c r="B4701">
        <v>4</v>
      </c>
      <c r="C4701">
        <v>1145</v>
      </c>
      <c r="D4701">
        <v>0</v>
      </c>
      <c r="E4701">
        <v>26</v>
      </c>
      <c r="F4701" t="s">
        <v>17</v>
      </c>
      <c r="G4701" t="s">
        <v>159</v>
      </c>
      <c r="H4701" t="s">
        <v>16</v>
      </c>
      <c r="I4701" t="s">
        <v>448</v>
      </c>
    </row>
    <row r="4702" spans="1:9" x14ac:dyDescent="0.2">
      <c r="A4702">
        <v>22428236</v>
      </c>
      <c r="B4702">
        <v>5</v>
      </c>
      <c r="C4702">
        <v>1574</v>
      </c>
      <c r="D4702">
        <v>0</v>
      </c>
      <c r="E4702">
        <v>26</v>
      </c>
      <c r="F4702" t="s">
        <v>142</v>
      </c>
      <c r="G4702" t="s">
        <v>263</v>
      </c>
      <c r="H4702" t="s">
        <v>113</v>
      </c>
      <c r="I4702">
        <v>5</v>
      </c>
    </row>
    <row r="4703" spans="1:9" x14ac:dyDescent="0.2">
      <c r="A4703">
        <v>22428236</v>
      </c>
      <c r="B4703">
        <v>6</v>
      </c>
      <c r="C4703">
        <v>3719</v>
      </c>
      <c r="D4703">
        <v>0</v>
      </c>
      <c r="E4703">
        <v>26</v>
      </c>
      <c r="F4703" t="s">
        <v>116</v>
      </c>
      <c r="G4703" t="s">
        <v>66</v>
      </c>
      <c r="H4703" t="s">
        <v>61</v>
      </c>
      <c r="I4703">
        <v>9</v>
      </c>
    </row>
    <row r="4704" spans="1:9" x14ac:dyDescent="0.2">
      <c r="A4704">
        <v>22428236</v>
      </c>
      <c r="B4704">
        <v>7</v>
      </c>
      <c r="C4704">
        <v>2920</v>
      </c>
      <c r="D4704">
        <v>0</v>
      </c>
      <c r="E4704">
        <v>26</v>
      </c>
      <c r="F4704" t="s">
        <v>119</v>
      </c>
      <c r="G4704" t="s">
        <v>67</v>
      </c>
      <c r="H4704" t="s">
        <v>20</v>
      </c>
      <c r="I4704">
        <v>8</v>
      </c>
    </row>
    <row r="4705" spans="1:9" x14ac:dyDescent="0.2">
      <c r="A4705">
        <v>22428531</v>
      </c>
      <c r="B4705">
        <v>1</v>
      </c>
      <c r="C4705">
        <v>1574</v>
      </c>
      <c r="D4705">
        <v>66165</v>
      </c>
      <c r="E4705">
        <v>25</v>
      </c>
      <c r="F4705" t="s">
        <v>142</v>
      </c>
      <c r="G4705" t="s">
        <v>263</v>
      </c>
      <c r="H4705" t="s">
        <v>113</v>
      </c>
      <c r="I4705">
        <v>5</v>
      </c>
    </row>
    <row r="4706" spans="1:9" x14ac:dyDescent="0.2">
      <c r="A4706">
        <v>22428531</v>
      </c>
      <c r="B4706">
        <v>2</v>
      </c>
      <c r="C4706">
        <v>1571</v>
      </c>
      <c r="D4706">
        <v>66165</v>
      </c>
      <c r="E4706">
        <v>24</v>
      </c>
      <c r="F4706" t="s">
        <v>142</v>
      </c>
      <c r="G4706" t="s">
        <v>264</v>
      </c>
      <c r="H4706" t="s">
        <v>113</v>
      </c>
      <c r="I4706">
        <v>5</v>
      </c>
    </row>
    <row r="4707" spans="1:9" x14ac:dyDescent="0.2">
      <c r="A4707">
        <v>22428531</v>
      </c>
      <c r="B4707">
        <v>3</v>
      </c>
      <c r="C4707">
        <v>3218</v>
      </c>
      <c r="D4707">
        <v>0</v>
      </c>
      <c r="E4707">
        <v>26</v>
      </c>
      <c r="F4707" t="s">
        <v>47</v>
      </c>
      <c r="G4707" t="s">
        <v>66</v>
      </c>
      <c r="H4707" t="s">
        <v>74</v>
      </c>
      <c r="I4707">
        <v>10</v>
      </c>
    </row>
    <row r="4708" spans="1:9" x14ac:dyDescent="0.2">
      <c r="A4708">
        <v>22456752</v>
      </c>
      <c r="B4708">
        <v>1</v>
      </c>
      <c r="C4708">
        <v>3244</v>
      </c>
      <c r="D4708">
        <v>0</v>
      </c>
      <c r="E4708">
        <v>36</v>
      </c>
      <c r="F4708" t="s">
        <v>47</v>
      </c>
      <c r="G4708" t="s">
        <v>73</v>
      </c>
      <c r="H4708" t="s">
        <v>74</v>
      </c>
      <c r="I4708">
        <v>10</v>
      </c>
    </row>
    <row r="4709" spans="1:9" x14ac:dyDescent="0.2">
      <c r="A4709">
        <v>22456752</v>
      </c>
      <c r="B4709">
        <v>2</v>
      </c>
      <c r="C4709">
        <v>3261</v>
      </c>
      <c r="D4709">
        <v>0</v>
      </c>
      <c r="E4709">
        <v>36</v>
      </c>
      <c r="F4709" t="s">
        <v>47</v>
      </c>
      <c r="G4709" t="s">
        <v>93</v>
      </c>
      <c r="H4709" t="s">
        <v>46</v>
      </c>
      <c r="I4709">
        <v>10</v>
      </c>
    </row>
    <row r="4710" spans="1:9" x14ac:dyDescent="0.2">
      <c r="A4710">
        <v>22456752</v>
      </c>
      <c r="B4710">
        <v>3</v>
      </c>
      <c r="C4710">
        <v>3214</v>
      </c>
      <c r="D4710">
        <v>0</v>
      </c>
      <c r="E4710">
        <v>36</v>
      </c>
      <c r="F4710" t="s">
        <v>47</v>
      </c>
      <c r="G4710" t="s">
        <v>98</v>
      </c>
      <c r="H4710" t="s">
        <v>74</v>
      </c>
      <c r="I4710">
        <v>10</v>
      </c>
    </row>
    <row r="4711" spans="1:9" x14ac:dyDescent="0.2">
      <c r="A4711">
        <v>22456752</v>
      </c>
      <c r="B4711">
        <v>4</v>
      </c>
      <c r="C4711">
        <v>3252</v>
      </c>
      <c r="D4711">
        <v>0</v>
      </c>
      <c r="E4711">
        <v>36</v>
      </c>
      <c r="F4711" t="s">
        <v>47</v>
      </c>
      <c r="G4711" t="s">
        <v>45</v>
      </c>
      <c r="H4711" t="s">
        <v>46</v>
      </c>
      <c r="I4711">
        <v>10</v>
      </c>
    </row>
    <row r="4712" spans="1:9" x14ac:dyDescent="0.2">
      <c r="A4712">
        <v>22456752</v>
      </c>
      <c r="B4712">
        <v>5</v>
      </c>
      <c r="C4712">
        <v>3251</v>
      </c>
      <c r="D4712">
        <v>0</v>
      </c>
      <c r="E4712">
        <v>36</v>
      </c>
      <c r="F4712" t="s">
        <v>47</v>
      </c>
      <c r="G4712" t="s">
        <v>48</v>
      </c>
      <c r="H4712" t="s">
        <v>46</v>
      </c>
      <c r="I4712">
        <v>10</v>
      </c>
    </row>
    <row r="4713" spans="1:9" x14ac:dyDescent="0.2">
      <c r="A4713">
        <v>22456752</v>
      </c>
      <c r="B4713">
        <v>6</v>
      </c>
      <c r="C4713">
        <v>3248</v>
      </c>
      <c r="D4713">
        <v>0</v>
      </c>
      <c r="E4713">
        <v>36</v>
      </c>
      <c r="F4713" t="s">
        <v>47</v>
      </c>
      <c r="G4713" t="s">
        <v>92</v>
      </c>
      <c r="H4713" t="s">
        <v>46</v>
      </c>
      <c r="I4713">
        <v>10</v>
      </c>
    </row>
    <row r="4714" spans="1:9" x14ac:dyDescent="0.2">
      <c r="A4714">
        <v>22545624</v>
      </c>
      <c r="B4714">
        <v>1</v>
      </c>
      <c r="C4714">
        <v>2408</v>
      </c>
      <c r="D4714">
        <v>50940</v>
      </c>
      <c r="E4714">
        <v>24</v>
      </c>
      <c r="F4714" t="s">
        <v>42</v>
      </c>
      <c r="G4714" t="s">
        <v>106</v>
      </c>
      <c r="H4714" t="s">
        <v>220</v>
      </c>
      <c r="I4714">
        <v>2</v>
      </c>
    </row>
    <row r="4715" spans="1:9" x14ac:dyDescent="0.2">
      <c r="A4715">
        <v>22545624</v>
      </c>
      <c r="B4715">
        <v>2</v>
      </c>
      <c r="C4715">
        <v>2437</v>
      </c>
      <c r="D4715">
        <v>0</v>
      </c>
      <c r="E4715">
        <v>26</v>
      </c>
      <c r="F4715" t="s">
        <v>42</v>
      </c>
      <c r="G4715" t="s">
        <v>105</v>
      </c>
      <c r="H4715" t="s">
        <v>307</v>
      </c>
      <c r="I4715">
        <v>2</v>
      </c>
    </row>
    <row r="4716" spans="1:9" x14ac:dyDescent="0.2">
      <c r="A4716">
        <v>22545624</v>
      </c>
      <c r="B4716">
        <v>3</v>
      </c>
      <c r="C4716">
        <v>1846</v>
      </c>
      <c r="D4716">
        <v>0</v>
      </c>
      <c r="E4716">
        <v>26</v>
      </c>
      <c r="F4716" t="s">
        <v>223</v>
      </c>
      <c r="G4716" t="s">
        <v>84</v>
      </c>
      <c r="H4716" t="s">
        <v>41</v>
      </c>
      <c r="I4716">
        <v>2</v>
      </c>
    </row>
    <row r="4717" spans="1:9" x14ac:dyDescent="0.2">
      <c r="A4717">
        <v>22545624</v>
      </c>
      <c r="B4717">
        <v>4</v>
      </c>
      <c r="C4717">
        <v>1867</v>
      </c>
      <c r="D4717">
        <v>0</v>
      </c>
      <c r="E4717">
        <v>26</v>
      </c>
      <c r="F4717" t="s">
        <v>223</v>
      </c>
      <c r="G4717" t="s">
        <v>121</v>
      </c>
      <c r="H4717" t="s">
        <v>41</v>
      </c>
      <c r="I4717">
        <v>2</v>
      </c>
    </row>
    <row r="4718" spans="1:9" x14ac:dyDescent="0.2">
      <c r="A4718">
        <v>22545624</v>
      </c>
      <c r="B4718">
        <v>5</v>
      </c>
      <c r="C4718">
        <v>1855</v>
      </c>
      <c r="D4718">
        <v>0</v>
      </c>
      <c r="E4718">
        <v>26</v>
      </c>
      <c r="F4718" t="s">
        <v>223</v>
      </c>
      <c r="G4718" t="s">
        <v>308</v>
      </c>
      <c r="H4718" t="s">
        <v>41</v>
      </c>
      <c r="I4718">
        <v>2</v>
      </c>
    </row>
    <row r="4719" spans="1:9" x14ac:dyDescent="0.2">
      <c r="A4719">
        <v>22546353</v>
      </c>
      <c r="B4719">
        <v>1</v>
      </c>
      <c r="C4719">
        <v>1945</v>
      </c>
      <c r="D4719">
        <v>48440</v>
      </c>
      <c r="E4719">
        <v>25</v>
      </c>
      <c r="F4719" t="s">
        <v>32</v>
      </c>
      <c r="G4719" t="s">
        <v>97</v>
      </c>
      <c r="H4719" t="s">
        <v>31</v>
      </c>
      <c r="I4719">
        <v>5</v>
      </c>
    </row>
    <row r="4720" spans="1:9" x14ac:dyDescent="0.2">
      <c r="A4720">
        <v>22546353</v>
      </c>
      <c r="B4720">
        <v>2</v>
      </c>
      <c r="C4720">
        <v>2564</v>
      </c>
      <c r="D4720">
        <v>48255</v>
      </c>
      <c r="E4720">
        <v>25</v>
      </c>
      <c r="F4720" t="s">
        <v>175</v>
      </c>
      <c r="G4720" t="s">
        <v>97</v>
      </c>
      <c r="H4720" t="s">
        <v>174</v>
      </c>
      <c r="I4720">
        <v>4</v>
      </c>
    </row>
    <row r="4721" spans="1:9" x14ac:dyDescent="0.2">
      <c r="A4721">
        <v>22546353</v>
      </c>
      <c r="B4721">
        <v>3</v>
      </c>
      <c r="C4721">
        <v>2361</v>
      </c>
      <c r="D4721">
        <v>47590</v>
      </c>
      <c r="E4721">
        <v>25</v>
      </c>
      <c r="F4721" t="s">
        <v>39</v>
      </c>
      <c r="G4721" t="s">
        <v>97</v>
      </c>
      <c r="H4721" t="s">
        <v>176</v>
      </c>
      <c r="I4721">
        <v>1</v>
      </c>
    </row>
    <row r="4722" spans="1:9" x14ac:dyDescent="0.2">
      <c r="A4722">
        <v>22546353</v>
      </c>
      <c r="B4722">
        <v>4</v>
      </c>
      <c r="C4722">
        <v>1660</v>
      </c>
      <c r="D4722">
        <v>0</v>
      </c>
      <c r="E4722">
        <v>17</v>
      </c>
      <c r="F4722" t="s">
        <v>128</v>
      </c>
      <c r="G4722" t="s">
        <v>97</v>
      </c>
      <c r="H4722" t="s">
        <v>127</v>
      </c>
      <c r="I4722" t="s">
        <v>448</v>
      </c>
    </row>
    <row r="4723" spans="1:9" x14ac:dyDescent="0.2">
      <c r="A4723">
        <v>22546353</v>
      </c>
      <c r="B4723">
        <v>5</v>
      </c>
      <c r="C4723">
        <v>2294</v>
      </c>
      <c r="D4723">
        <v>47815</v>
      </c>
      <c r="E4723">
        <v>24</v>
      </c>
      <c r="F4723" t="s">
        <v>177</v>
      </c>
      <c r="G4723" t="s">
        <v>97</v>
      </c>
      <c r="H4723" t="s">
        <v>38</v>
      </c>
      <c r="I4723">
        <v>2</v>
      </c>
    </row>
    <row r="4724" spans="1:9" x14ac:dyDescent="0.2">
      <c r="A4724">
        <v>22560467</v>
      </c>
      <c r="B4724">
        <v>1</v>
      </c>
      <c r="C4724">
        <v>1940</v>
      </c>
      <c r="D4724">
        <v>63665</v>
      </c>
      <c r="E4724">
        <v>25</v>
      </c>
      <c r="F4724" t="s">
        <v>32</v>
      </c>
      <c r="G4724" t="s">
        <v>170</v>
      </c>
      <c r="H4724" t="s">
        <v>31</v>
      </c>
      <c r="I4724">
        <v>5</v>
      </c>
    </row>
    <row r="4725" spans="1:9" x14ac:dyDescent="0.2">
      <c r="A4725">
        <v>22560467</v>
      </c>
      <c r="B4725">
        <v>2</v>
      </c>
      <c r="C4725">
        <v>1386</v>
      </c>
      <c r="D4725">
        <v>62285</v>
      </c>
      <c r="E4725">
        <v>25</v>
      </c>
      <c r="F4725" t="s">
        <v>21</v>
      </c>
      <c r="G4725" t="s">
        <v>170</v>
      </c>
      <c r="H4725" t="s">
        <v>20</v>
      </c>
      <c r="I4725">
        <v>8</v>
      </c>
    </row>
    <row r="4726" spans="1:9" x14ac:dyDescent="0.2">
      <c r="A4726">
        <v>22560467</v>
      </c>
      <c r="B4726">
        <v>3</v>
      </c>
      <c r="C4726">
        <v>3026</v>
      </c>
      <c r="D4726">
        <v>63400</v>
      </c>
      <c r="E4726">
        <v>25</v>
      </c>
      <c r="F4726" t="s">
        <v>44</v>
      </c>
      <c r="G4726" t="s">
        <v>170</v>
      </c>
      <c r="H4726" t="s">
        <v>50</v>
      </c>
      <c r="I4726">
        <v>9</v>
      </c>
    </row>
    <row r="4727" spans="1:9" x14ac:dyDescent="0.2">
      <c r="A4727">
        <v>22560467</v>
      </c>
      <c r="B4727">
        <v>4</v>
      </c>
      <c r="C4727">
        <v>1713</v>
      </c>
      <c r="D4727">
        <v>62870</v>
      </c>
      <c r="E4727">
        <v>25</v>
      </c>
      <c r="F4727" t="s">
        <v>57</v>
      </c>
      <c r="G4727" t="s">
        <v>170</v>
      </c>
      <c r="H4727" t="s">
        <v>69</v>
      </c>
      <c r="I4727">
        <v>10</v>
      </c>
    </row>
    <row r="4728" spans="1:9" x14ac:dyDescent="0.2">
      <c r="A4728">
        <v>22560467</v>
      </c>
      <c r="B4728">
        <v>5</v>
      </c>
      <c r="C4728">
        <v>1362</v>
      </c>
      <c r="D4728">
        <v>61725</v>
      </c>
      <c r="E4728">
        <v>25</v>
      </c>
      <c r="F4728" t="s">
        <v>21</v>
      </c>
      <c r="G4728" t="s">
        <v>268</v>
      </c>
      <c r="H4728" t="s">
        <v>20</v>
      </c>
      <c r="I4728">
        <v>8</v>
      </c>
    </row>
    <row r="4729" spans="1:9" x14ac:dyDescent="0.2">
      <c r="A4729">
        <v>22560467</v>
      </c>
      <c r="B4729">
        <v>6</v>
      </c>
      <c r="C4729">
        <v>1976</v>
      </c>
      <c r="D4729">
        <v>62250</v>
      </c>
      <c r="E4729">
        <v>24</v>
      </c>
      <c r="F4729" t="s">
        <v>32</v>
      </c>
      <c r="G4729" t="s">
        <v>433</v>
      </c>
      <c r="H4729" t="s">
        <v>31</v>
      </c>
      <c r="I4729">
        <v>5</v>
      </c>
    </row>
    <row r="4730" spans="1:9" x14ac:dyDescent="0.2">
      <c r="A4730">
        <v>22560467</v>
      </c>
      <c r="B4730">
        <v>7</v>
      </c>
      <c r="C4730">
        <v>1320</v>
      </c>
      <c r="D4730">
        <v>0</v>
      </c>
      <c r="E4730">
        <v>26</v>
      </c>
      <c r="F4730" t="s">
        <v>21</v>
      </c>
      <c r="G4730" t="s">
        <v>343</v>
      </c>
      <c r="H4730" t="s">
        <v>20</v>
      </c>
      <c r="I4730">
        <v>8</v>
      </c>
    </row>
    <row r="4731" spans="1:9" x14ac:dyDescent="0.2">
      <c r="A4731">
        <v>22560467</v>
      </c>
      <c r="B4731">
        <v>8</v>
      </c>
      <c r="C4731">
        <v>3068</v>
      </c>
      <c r="D4731">
        <v>0</v>
      </c>
      <c r="E4731">
        <v>26</v>
      </c>
      <c r="F4731" t="s">
        <v>44</v>
      </c>
      <c r="G4731" t="s">
        <v>40</v>
      </c>
      <c r="H4731" t="s">
        <v>43</v>
      </c>
      <c r="I4731">
        <v>9</v>
      </c>
    </row>
    <row r="4732" spans="1:9" x14ac:dyDescent="0.2">
      <c r="A4732">
        <v>22562651</v>
      </c>
      <c r="B4732">
        <v>1</v>
      </c>
      <c r="C4732">
        <v>3012</v>
      </c>
      <c r="D4732">
        <v>62640</v>
      </c>
      <c r="E4732">
        <v>24</v>
      </c>
      <c r="F4732" t="s">
        <v>44</v>
      </c>
      <c r="G4732" t="s">
        <v>78</v>
      </c>
      <c r="H4732" t="s">
        <v>55</v>
      </c>
      <c r="I4732">
        <v>9</v>
      </c>
    </row>
    <row r="4733" spans="1:9" x14ac:dyDescent="0.2">
      <c r="A4733">
        <v>22562651</v>
      </c>
      <c r="B4733">
        <v>2</v>
      </c>
      <c r="C4733">
        <v>3077</v>
      </c>
      <c r="D4733">
        <v>0</v>
      </c>
      <c r="E4733">
        <v>26</v>
      </c>
      <c r="F4733" t="s">
        <v>44</v>
      </c>
      <c r="G4733" t="s">
        <v>120</v>
      </c>
      <c r="H4733" t="s">
        <v>61</v>
      </c>
      <c r="I4733">
        <v>9</v>
      </c>
    </row>
    <row r="4734" spans="1:9" x14ac:dyDescent="0.2">
      <c r="A4734">
        <v>22562651</v>
      </c>
      <c r="B4734">
        <v>3</v>
      </c>
      <c r="C4734">
        <v>3086</v>
      </c>
      <c r="D4734">
        <v>0</v>
      </c>
      <c r="E4734">
        <v>26</v>
      </c>
      <c r="F4734" t="s">
        <v>44</v>
      </c>
      <c r="G4734" t="s">
        <v>150</v>
      </c>
      <c r="H4734" t="s">
        <v>55</v>
      </c>
      <c r="I4734">
        <v>9</v>
      </c>
    </row>
    <row r="4735" spans="1:9" x14ac:dyDescent="0.2">
      <c r="A4735">
        <v>22646180</v>
      </c>
      <c r="B4735">
        <v>1</v>
      </c>
      <c r="C4735">
        <v>1778</v>
      </c>
      <c r="D4735">
        <v>50730</v>
      </c>
      <c r="E4735">
        <v>25</v>
      </c>
      <c r="F4735" t="s">
        <v>57</v>
      </c>
      <c r="G4735" t="s">
        <v>84</v>
      </c>
      <c r="H4735" t="s">
        <v>56</v>
      </c>
      <c r="I4735">
        <v>10</v>
      </c>
    </row>
    <row r="4736" spans="1:9" x14ac:dyDescent="0.2">
      <c r="A4736">
        <v>22646180</v>
      </c>
      <c r="B4736">
        <v>2</v>
      </c>
      <c r="C4736">
        <v>1709</v>
      </c>
      <c r="D4736">
        <v>50730</v>
      </c>
      <c r="E4736">
        <v>25</v>
      </c>
      <c r="F4736" t="s">
        <v>57</v>
      </c>
      <c r="G4736" t="s">
        <v>84</v>
      </c>
      <c r="H4736" t="s">
        <v>69</v>
      </c>
      <c r="I4736">
        <v>10</v>
      </c>
    </row>
    <row r="4737" spans="1:9" x14ac:dyDescent="0.2">
      <c r="A4737">
        <v>22646180</v>
      </c>
      <c r="B4737">
        <v>3</v>
      </c>
      <c r="C4737">
        <v>3212</v>
      </c>
      <c r="D4737">
        <v>50390</v>
      </c>
      <c r="E4737">
        <v>24</v>
      </c>
      <c r="F4737" t="s">
        <v>47</v>
      </c>
      <c r="G4737" t="s">
        <v>84</v>
      </c>
      <c r="H4737" t="s">
        <v>46</v>
      </c>
      <c r="I4737">
        <v>10</v>
      </c>
    </row>
    <row r="4738" spans="1:9" x14ac:dyDescent="0.2">
      <c r="A4738">
        <v>22646180</v>
      </c>
      <c r="B4738">
        <v>4</v>
      </c>
      <c r="C4738">
        <v>3085</v>
      </c>
      <c r="D4738">
        <v>0</v>
      </c>
      <c r="E4738">
        <v>26</v>
      </c>
      <c r="F4738" t="s">
        <v>44</v>
      </c>
      <c r="G4738" t="s">
        <v>84</v>
      </c>
      <c r="H4738" t="s">
        <v>55</v>
      </c>
      <c r="I4738">
        <v>9</v>
      </c>
    </row>
    <row r="4739" spans="1:9" x14ac:dyDescent="0.2">
      <c r="A4739">
        <v>22646180</v>
      </c>
      <c r="B4739">
        <v>5</v>
      </c>
      <c r="C4739">
        <v>2949</v>
      </c>
      <c r="D4739">
        <v>0</v>
      </c>
      <c r="E4739">
        <v>26</v>
      </c>
      <c r="F4739" t="s">
        <v>119</v>
      </c>
      <c r="G4739" t="s">
        <v>84</v>
      </c>
      <c r="H4739" t="s">
        <v>20</v>
      </c>
      <c r="I4739">
        <v>8</v>
      </c>
    </row>
    <row r="4740" spans="1:9" x14ac:dyDescent="0.2">
      <c r="A4740">
        <v>22647846</v>
      </c>
      <c r="B4740">
        <v>1</v>
      </c>
      <c r="C4740">
        <v>1786</v>
      </c>
      <c r="D4740">
        <v>53775</v>
      </c>
      <c r="E4740">
        <v>25</v>
      </c>
      <c r="F4740" t="s">
        <v>57</v>
      </c>
      <c r="G4740" t="s">
        <v>103</v>
      </c>
      <c r="H4740" t="s">
        <v>56</v>
      </c>
      <c r="I4740">
        <v>10</v>
      </c>
    </row>
    <row r="4741" spans="1:9" x14ac:dyDescent="0.2">
      <c r="A4741">
        <v>22647846</v>
      </c>
      <c r="B4741">
        <v>2</v>
      </c>
      <c r="C4741">
        <v>1776</v>
      </c>
      <c r="D4741">
        <v>54090</v>
      </c>
      <c r="E4741">
        <v>25</v>
      </c>
      <c r="F4741" t="s">
        <v>57</v>
      </c>
      <c r="G4741" t="s">
        <v>124</v>
      </c>
      <c r="H4741" t="s">
        <v>125</v>
      </c>
      <c r="I4741">
        <v>10</v>
      </c>
    </row>
    <row r="4742" spans="1:9" x14ac:dyDescent="0.2">
      <c r="A4742">
        <v>22647846</v>
      </c>
      <c r="B4742">
        <v>3</v>
      </c>
      <c r="C4742">
        <v>1350</v>
      </c>
      <c r="D4742">
        <v>54855</v>
      </c>
      <c r="E4742">
        <v>25</v>
      </c>
      <c r="F4742" t="s">
        <v>21</v>
      </c>
      <c r="G4742" t="s">
        <v>247</v>
      </c>
      <c r="H4742" t="s">
        <v>20</v>
      </c>
      <c r="I4742">
        <v>8</v>
      </c>
    </row>
    <row r="4743" spans="1:9" x14ac:dyDescent="0.2">
      <c r="A4743">
        <v>22647846</v>
      </c>
      <c r="B4743">
        <v>4</v>
      </c>
      <c r="C4743">
        <v>1590</v>
      </c>
      <c r="D4743">
        <v>54910</v>
      </c>
      <c r="E4743">
        <v>25</v>
      </c>
      <c r="F4743" t="s">
        <v>142</v>
      </c>
      <c r="G4743" t="s">
        <v>229</v>
      </c>
      <c r="H4743" t="s">
        <v>113</v>
      </c>
      <c r="I4743">
        <v>5</v>
      </c>
    </row>
    <row r="4744" spans="1:9" x14ac:dyDescent="0.2">
      <c r="A4744">
        <v>22663743</v>
      </c>
      <c r="B4744">
        <v>1</v>
      </c>
      <c r="C4744">
        <v>1787</v>
      </c>
      <c r="D4744">
        <v>0</v>
      </c>
      <c r="E4744">
        <v>31</v>
      </c>
      <c r="F4744" t="s">
        <v>57</v>
      </c>
      <c r="G4744" t="s">
        <v>49</v>
      </c>
      <c r="H4744" t="s">
        <v>56</v>
      </c>
      <c r="I4744">
        <v>10</v>
      </c>
    </row>
    <row r="4745" spans="1:9" x14ac:dyDescent="0.2">
      <c r="A4745">
        <v>22680020</v>
      </c>
      <c r="B4745">
        <v>1</v>
      </c>
      <c r="C4745">
        <v>3211</v>
      </c>
      <c r="D4745">
        <v>50450</v>
      </c>
      <c r="E4745">
        <v>24</v>
      </c>
      <c r="F4745" t="s">
        <v>47</v>
      </c>
      <c r="G4745" t="s">
        <v>99</v>
      </c>
      <c r="H4745" t="s">
        <v>46</v>
      </c>
      <c r="I4745">
        <v>10</v>
      </c>
    </row>
    <row r="4746" spans="1:9" x14ac:dyDescent="0.2">
      <c r="A4746">
        <v>22680020</v>
      </c>
      <c r="B4746">
        <v>2</v>
      </c>
      <c r="C4746">
        <v>3252</v>
      </c>
      <c r="D4746">
        <v>0</v>
      </c>
      <c r="E4746">
        <v>26</v>
      </c>
      <c r="F4746" t="s">
        <v>47</v>
      </c>
      <c r="G4746" t="s">
        <v>45</v>
      </c>
      <c r="H4746" t="s">
        <v>46</v>
      </c>
      <c r="I4746">
        <v>10</v>
      </c>
    </row>
    <row r="4747" spans="1:9" x14ac:dyDescent="0.2">
      <c r="A4747">
        <v>22680020</v>
      </c>
      <c r="B4747">
        <v>3</v>
      </c>
      <c r="C4747">
        <v>3248</v>
      </c>
      <c r="D4747">
        <v>0</v>
      </c>
      <c r="E4747">
        <v>26</v>
      </c>
      <c r="F4747" t="s">
        <v>47</v>
      </c>
      <c r="G4747" t="s">
        <v>92</v>
      </c>
      <c r="H4747" t="s">
        <v>46</v>
      </c>
      <c r="I4747">
        <v>10</v>
      </c>
    </row>
    <row r="4748" spans="1:9" x14ac:dyDescent="0.2">
      <c r="A4748">
        <v>22728113</v>
      </c>
      <c r="B4748">
        <v>1</v>
      </c>
      <c r="C4748">
        <v>3234</v>
      </c>
      <c r="D4748">
        <v>54865</v>
      </c>
      <c r="E4748">
        <v>25</v>
      </c>
      <c r="F4748" t="s">
        <v>47</v>
      </c>
      <c r="G4748" t="s">
        <v>76</v>
      </c>
      <c r="H4748" t="s">
        <v>46</v>
      </c>
      <c r="I4748">
        <v>10</v>
      </c>
    </row>
    <row r="4749" spans="1:9" x14ac:dyDescent="0.2">
      <c r="A4749">
        <v>22728113</v>
      </c>
      <c r="B4749">
        <v>2</v>
      </c>
      <c r="C4749">
        <v>3243</v>
      </c>
      <c r="D4749">
        <v>55060</v>
      </c>
      <c r="E4749">
        <v>24</v>
      </c>
      <c r="F4749" t="s">
        <v>47</v>
      </c>
      <c r="G4749" t="s">
        <v>75</v>
      </c>
      <c r="H4749" t="s">
        <v>46</v>
      </c>
      <c r="I4749">
        <v>10</v>
      </c>
    </row>
    <row r="4750" spans="1:9" x14ac:dyDescent="0.2">
      <c r="A4750">
        <v>22728113</v>
      </c>
      <c r="B4750">
        <v>3</v>
      </c>
      <c r="C4750">
        <v>3252</v>
      </c>
      <c r="D4750">
        <v>0</v>
      </c>
      <c r="E4750">
        <v>26</v>
      </c>
      <c r="F4750" t="s">
        <v>47</v>
      </c>
      <c r="G4750" t="s">
        <v>45</v>
      </c>
      <c r="H4750" t="s">
        <v>46</v>
      </c>
      <c r="I4750">
        <v>10</v>
      </c>
    </row>
    <row r="4751" spans="1:9" x14ac:dyDescent="0.2">
      <c r="A4751">
        <v>22728113</v>
      </c>
      <c r="B4751">
        <v>4</v>
      </c>
      <c r="C4751">
        <v>3211</v>
      </c>
      <c r="D4751">
        <v>0</v>
      </c>
      <c r="E4751">
        <v>26</v>
      </c>
      <c r="F4751" t="s">
        <v>47</v>
      </c>
      <c r="G4751" t="s">
        <v>99</v>
      </c>
      <c r="H4751" t="s">
        <v>46</v>
      </c>
      <c r="I4751">
        <v>10</v>
      </c>
    </row>
    <row r="4752" spans="1:9" x14ac:dyDescent="0.2">
      <c r="A4752">
        <v>22731662</v>
      </c>
      <c r="B4752">
        <v>1</v>
      </c>
      <c r="C4752">
        <v>3239</v>
      </c>
      <c r="D4752">
        <v>0</v>
      </c>
      <c r="E4752">
        <v>36</v>
      </c>
      <c r="F4752" t="s">
        <v>47</v>
      </c>
      <c r="G4752" t="s">
        <v>107</v>
      </c>
      <c r="H4752" t="s">
        <v>46</v>
      </c>
      <c r="I4752">
        <v>10</v>
      </c>
    </row>
    <row r="4753" spans="1:9" x14ac:dyDescent="0.2">
      <c r="A4753">
        <v>22731662</v>
      </c>
      <c r="B4753">
        <v>2</v>
      </c>
      <c r="C4753">
        <v>3245</v>
      </c>
      <c r="D4753">
        <v>0</v>
      </c>
      <c r="E4753">
        <v>36</v>
      </c>
      <c r="F4753" t="s">
        <v>47</v>
      </c>
      <c r="G4753" t="s">
        <v>157</v>
      </c>
      <c r="H4753" t="s">
        <v>74</v>
      </c>
      <c r="I4753">
        <v>10</v>
      </c>
    </row>
    <row r="4754" spans="1:9" x14ac:dyDescent="0.2">
      <c r="A4754">
        <v>22731662</v>
      </c>
      <c r="B4754">
        <v>3</v>
      </c>
      <c r="C4754">
        <v>3246</v>
      </c>
      <c r="D4754">
        <v>0</v>
      </c>
      <c r="E4754">
        <v>36</v>
      </c>
      <c r="F4754" t="s">
        <v>47</v>
      </c>
      <c r="G4754" t="s">
        <v>91</v>
      </c>
      <c r="H4754" t="s">
        <v>74</v>
      </c>
      <c r="I4754">
        <v>10</v>
      </c>
    </row>
    <row r="4755" spans="1:9" x14ac:dyDescent="0.2">
      <c r="A4755">
        <v>22731662</v>
      </c>
      <c r="B4755">
        <v>4</v>
      </c>
      <c r="C4755">
        <v>3252</v>
      </c>
      <c r="D4755">
        <v>0</v>
      </c>
      <c r="E4755">
        <v>36</v>
      </c>
      <c r="F4755" t="s">
        <v>47</v>
      </c>
      <c r="G4755" t="s">
        <v>45</v>
      </c>
      <c r="H4755" t="s">
        <v>46</v>
      </c>
      <c r="I4755">
        <v>10</v>
      </c>
    </row>
    <row r="4756" spans="1:9" x14ac:dyDescent="0.2">
      <c r="A4756">
        <v>22731662</v>
      </c>
      <c r="B4756">
        <v>5</v>
      </c>
      <c r="C4756">
        <v>3234</v>
      </c>
      <c r="D4756">
        <v>0</v>
      </c>
      <c r="E4756">
        <v>36</v>
      </c>
      <c r="F4756" t="s">
        <v>47</v>
      </c>
      <c r="G4756" t="s">
        <v>76</v>
      </c>
      <c r="H4756" t="s">
        <v>46</v>
      </c>
      <c r="I4756">
        <v>10</v>
      </c>
    </row>
    <row r="4757" spans="1:9" x14ac:dyDescent="0.2">
      <c r="A4757">
        <v>22735980</v>
      </c>
      <c r="B4757">
        <v>1</v>
      </c>
      <c r="C4757">
        <v>3242</v>
      </c>
      <c r="D4757">
        <v>53200</v>
      </c>
      <c r="E4757">
        <v>25</v>
      </c>
      <c r="F4757" t="s">
        <v>47</v>
      </c>
      <c r="G4757" t="s">
        <v>90</v>
      </c>
      <c r="H4757" t="s">
        <v>46</v>
      </c>
      <c r="I4757">
        <v>10</v>
      </c>
    </row>
    <row r="4758" spans="1:9" x14ac:dyDescent="0.2">
      <c r="A4758">
        <v>22735980</v>
      </c>
      <c r="B4758">
        <v>2</v>
      </c>
      <c r="C4758">
        <v>1785</v>
      </c>
      <c r="D4758">
        <v>53870</v>
      </c>
      <c r="E4758">
        <v>25</v>
      </c>
      <c r="F4758" t="s">
        <v>57</v>
      </c>
      <c r="G4758" t="s">
        <v>86</v>
      </c>
      <c r="H4758" t="s">
        <v>69</v>
      </c>
      <c r="I4758">
        <v>10</v>
      </c>
    </row>
    <row r="4759" spans="1:9" x14ac:dyDescent="0.2">
      <c r="A4759">
        <v>22735980</v>
      </c>
      <c r="B4759">
        <v>3</v>
      </c>
      <c r="C4759">
        <v>3234</v>
      </c>
      <c r="D4759">
        <v>53510</v>
      </c>
      <c r="E4759">
        <v>25</v>
      </c>
      <c r="F4759" t="s">
        <v>47</v>
      </c>
      <c r="G4759" t="s">
        <v>76</v>
      </c>
      <c r="H4759" t="s">
        <v>46</v>
      </c>
      <c r="I4759">
        <v>10</v>
      </c>
    </row>
    <row r="4760" spans="1:9" x14ac:dyDescent="0.2">
      <c r="A4760">
        <v>22735980</v>
      </c>
      <c r="B4760">
        <v>4</v>
      </c>
      <c r="C4760">
        <v>1782</v>
      </c>
      <c r="D4760">
        <v>53350</v>
      </c>
      <c r="E4760">
        <v>25</v>
      </c>
      <c r="F4760" t="s">
        <v>57</v>
      </c>
      <c r="G4760" t="s">
        <v>63</v>
      </c>
      <c r="H4760" t="s">
        <v>69</v>
      </c>
      <c r="I4760">
        <v>10</v>
      </c>
    </row>
    <row r="4761" spans="1:9" x14ac:dyDescent="0.2">
      <c r="A4761">
        <v>22799315</v>
      </c>
      <c r="B4761">
        <v>1</v>
      </c>
      <c r="C4761">
        <v>1703</v>
      </c>
      <c r="D4761">
        <v>54330</v>
      </c>
      <c r="E4761">
        <v>24</v>
      </c>
      <c r="F4761" t="s">
        <v>57</v>
      </c>
      <c r="G4761" t="s">
        <v>109</v>
      </c>
      <c r="H4761" t="s">
        <v>69</v>
      </c>
      <c r="I4761">
        <v>10</v>
      </c>
    </row>
    <row r="4762" spans="1:9" x14ac:dyDescent="0.2">
      <c r="A4762">
        <v>22799315</v>
      </c>
      <c r="B4762">
        <v>2</v>
      </c>
      <c r="C4762">
        <v>1754</v>
      </c>
      <c r="D4762">
        <v>0</v>
      </c>
      <c r="E4762">
        <v>26</v>
      </c>
      <c r="F4762" t="s">
        <v>57</v>
      </c>
      <c r="G4762" t="s">
        <v>85</v>
      </c>
      <c r="H4762" t="s">
        <v>69</v>
      </c>
      <c r="I4762">
        <v>10</v>
      </c>
    </row>
    <row r="4763" spans="1:9" x14ac:dyDescent="0.2">
      <c r="A4763">
        <v>22799315</v>
      </c>
      <c r="B4763">
        <v>3</v>
      </c>
      <c r="C4763">
        <v>1753</v>
      </c>
      <c r="D4763">
        <v>0</v>
      </c>
      <c r="E4763">
        <v>26</v>
      </c>
      <c r="F4763" t="s">
        <v>57</v>
      </c>
      <c r="G4763" t="s">
        <v>105</v>
      </c>
      <c r="H4763" t="s">
        <v>69</v>
      </c>
      <c r="I4763">
        <v>10</v>
      </c>
    </row>
    <row r="4764" spans="1:9" x14ac:dyDescent="0.2">
      <c r="A4764">
        <v>22799315</v>
      </c>
      <c r="B4764">
        <v>4</v>
      </c>
      <c r="C4764">
        <v>3296</v>
      </c>
      <c r="D4764">
        <v>0</v>
      </c>
      <c r="E4764">
        <v>26</v>
      </c>
      <c r="F4764" t="s">
        <v>47</v>
      </c>
      <c r="G4764" t="s">
        <v>100</v>
      </c>
      <c r="H4764" t="s">
        <v>46</v>
      </c>
      <c r="I4764">
        <v>10</v>
      </c>
    </row>
    <row r="4765" spans="1:9" x14ac:dyDescent="0.2">
      <c r="A4765">
        <v>22799315</v>
      </c>
      <c r="B4765">
        <v>5</v>
      </c>
      <c r="C4765">
        <v>3223</v>
      </c>
      <c r="D4765">
        <v>0</v>
      </c>
      <c r="E4765">
        <v>26</v>
      </c>
      <c r="F4765" t="s">
        <v>47</v>
      </c>
      <c r="G4765" t="s">
        <v>105</v>
      </c>
      <c r="H4765" t="s">
        <v>46</v>
      </c>
      <c r="I4765">
        <v>10</v>
      </c>
    </row>
    <row r="4766" spans="1:9" x14ac:dyDescent="0.2">
      <c r="A4766">
        <v>22799315</v>
      </c>
      <c r="B4766">
        <v>6</v>
      </c>
      <c r="C4766">
        <v>3229</v>
      </c>
      <c r="D4766">
        <v>0</v>
      </c>
      <c r="E4766">
        <v>26</v>
      </c>
      <c r="F4766" t="s">
        <v>47</v>
      </c>
      <c r="G4766" t="s">
        <v>101</v>
      </c>
      <c r="H4766" t="s">
        <v>46</v>
      </c>
      <c r="I4766">
        <v>10</v>
      </c>
    </row>
    <row r="4767" spans="1:9" x14ac:dyDescent="0.2">
      <c r="A4767">
        <v>22799315</v>
      </c>
      <c r="B4767">
        <v>7</v>
      </c>
      <c r="C4767">
        <v>3211</v>
      </c>
      <c r="D4767">
        <v>0</v>
      </c>
      <c r="E4767">
        <v>26</v>
      </c>
      <c r="F4767" t="s">
        <v>47</v>
      </c>
      <c r="G4767" t="s">
        <v>99</v>
      </c>
      <c r="H4767" t="s">
        <v>46</v>
      </c>
      <c r="I4767">
        <v>10</v>
      </c>
    </row>
    <row r="4768" spans="1:9" x14ac:dyDescent="0.2">
      <c r="A4768">
        <v>22803329</v>
      </c>
      <c r="B4768">
        <v>1</v>
      </c>
      <c r="C4768">
        <v>1255</v>
      </c>
      <c r="D4768">
        <v>67205</v>
      </c>
      <c r="E4768">
        <v>25</v>
      </c>
      <c r="F4768" t="s">
        <v>19</v>
      </c>
      <c r="G4768" t="s">
        <v>292</v>
      </c>
      <c r="H4768" t="s">
        <v>16</v>
      </c>
      <c r="I4768" t="s">
        <v>448</v>
      </c>
    </row>
    <row r="4769" spans="1:9" x14ac:dyDescent="0.2">
      <c r="A4769">
        <v>22803329</v>
      </c>
      <c r="B4769">
        <v>2</v>
      </c>
      <c r="C4769">
        <v>1137</v>
      </c>
      <c r="D4769">
        <v>66785</v>
      </c>
      <c r="E4769">
        <v>24</v>
      </c>
      <c r="F4769" t="s">
        <v>17</v>
      </c>
      <c r="G4769" t="s">
        <v>291</v>
      </c>
      <c r="H4769" t="s">
        <v>16</v>
      </c>
      <c r="I4769" t="s">
        <v>448</v>
      </c>
    </row>
    <row r="4770" spans="1:9" x14ac:dyDescent="0.2">
      <c r="A4770">
        <v>22803329</v>
      </c>
      <c r="B4770">
        <v>3</v>
      </c>
      <c r="C4770">
        <v>1734</v>
      </c>
      <c r="D4770">
        <v>0</v>
      </c>
      <c r="E4770">
        <v>26</v>
      </c>
      <c r="F4770" t="s">
        <v>57</v>
      </c>
      <c r="G4770" t="s">
        <v>81</v>
      </c>
      <c r="H4770" t="s">
        <v>69</v>
      </c>
      <c r="I4770">
        <v>10</v>
      </c>
    </row>
    <row r="4771" spans="1:9" x14ac:dyDescent="0.2">
      <c r="A4771">
        <v>22804940</v>
      </c>
      <c r="B4771">
        <v>1</v>
      </c>
      <c r="C4771">
        <v>1713</v>
      </c>
      <c r="D4771">
        <v>69830</v>
      </c>
      <c r="E4771">
        <v>25</v>
      </c>
      <c r="F4771" t="s">
        <v>57</v>
      </c>
      <c r="G4771" t="s">
        <v>170</v>
      </c>
      <c r="H4771" t="s">
        <v>69</v>
      </c>
      <c r="I4771">
        <v>10</v>
      </c>
    </row>
    <row r="4772" spans="1:9" x14ac:dyDescent="0.2">
      <c r="A4772">
        <v>22804940</v>
      </c>
      <c r="B4772">
        <v>2</v>
      </c>
      <c r="C4772">
        <v>1731</v>
      </c>
      <c r="D4772">
        <v>69830</v>
      </c>
      <c r="E4772">
        <v>25</v>
      </c>
      <c r="F4772" t="s">
        <v>57</v>
      </c>
      <c r="G4772" t="s">
        <v>172</v>
      </c>
      <c r="H4772" t="s">
        <v>69</v>
      </c>
      <c r="I4772">
        <v>10</v>
      </c>
    </row>
    <row r="4773" spans="1:9" x14ac:dyDescent="0.2">
      <c r="A4773">
        <v>22804940</v>
      </c>
      <c r="B4773">
        <v>3</v>
      </c>
      <c r="C4773">
        <v>3026</v>
      </c>
      <c r="D4773">
        <v>69560</v>
      </c>
      <c r="E4773">
        <v>25</v>
      </c>
      <c r="F4773" t="s">
        <v>44</v>
      </c>
      <c r="G4773" t="s">
        <v>170</v>
      </c>
      <c r="H4773" t="s">
        <v>50</v>
      </c>
      <c r="I4773">
        <v>9</v>
      </c>
    </row>
    <row r="4774" spans="1:9" x14ac:dyDescent="0.2">
      <c r="A4774">
        <v>22804940</v>
      </c>
      <c r="B4774">
        <v>4</v>
      </c>
      <c r="C4774">
        <v>1178</v>
      </c>
      <c r="D4774">
        <v>69820</v>
      </c>
      <c r="E4774">
        <v>24</v>
      </c>
      <c r="F4774" t="s">
        <v>17</v>
      </c>
      <c r="G4774" t="s">
        <v>238</v>
      </c>
      <c r="H4774" t="s">
        <v>16</v>
      </c>
      <c r="I4774" t="s">
        <v>448</v>
      </c>
    </row>
    <row r="4775" spans="1:9" x14ac:dyDescent="0.2">
      <c r="A4775">
        <v>22804940</v>
      </c>
      <c r="B4775">
        <v>5</v>
      </c>
      <c r="C4775">
        <v>1691</v>
      </c>
      <c r="D4775">
        <v>0</v>
      </c>
      <c r="E4775">
        <v>26</v>
      </c>
      <c r="F4775" t="s">
        <v>128</v>
      </c>
      <c r="G4775" t="s">
        <v>170</v>
      </c>
      <c r="H4775" t="s">
        <v>127</v>
      </c>
      <c r="I4775" t="s">
        <v>448</v>
      </c>
    </row>
    <row r="4776" spans="1:9" x14ac:dyDescent="0.2">
      <c r="A4776">
        <v>22804940</v>
      </c>
      <c r="B4776">
        <v>6</v>
      </c>
      <c r="C4776">
        <v>1939</v>
      </c>
      <c r="D4776">
        <v>0</v>
      </c>
      <c r="E4776">
        <v>26</v>
      </c>
      <c r="F4776" t="s">
        <v>32</v>
      </c>
      <c r="G4776" t="s">
        <v>170</v>
      </c>
      <c r="H4776" t="s">
        <v>239</v>
      </c>
      <c r="I4776">
        <v>5</v>
      </c>
    </row>
    <row r="4777" spans="1:9" x14ac:dyDescent="0.2">
      <c r="A4777">
        <v>22804940</v>
      </c>
      <c r="B4777">
        <v>7</v>
      </c>
      <c r="C4777">
        <v>3620</v>
      </c>
      <c r="D4777">
        <v>0</v>
      </c>
      <c r="E4777">
        <v>26</v>
      </c>
      <c r="F4777" t="s">
        <v>108</v>
      </c>
      <c r="G4777" t="s">
        <v>170</v>
      </c>
      <c r="H4777" t="s">
        <v>20</v>
      </c>
      <c r="I4777">
        <v>8</v>
      </c>
    </row>
    <row r="4778" spans="1:9" x14ac:dyDescent="0.2">
      <c r="A4778">
        <v>22804940</v>
      </c>
      <c r="B4778">
        <v>8</v>
      </c>
      <c r="C4778">
        <v>2447</v>
      </c>
      <c r="D4778">
        <v>0</v>
      </c>
      <c r="E4778">
        <v>26</v>
      </c>
      <c r="F4778" t="s">
        <v>42</v>
      </c>
      <c r="G4778" t="s">
        <v>170</v>
      </c>
      <c r="H4778" t="s">
        <v>220</v>
      </c>
      <c r="I4778">
        <v>2</v>
      </c>
    </row>
    <row r="4779" spans="1:9" x14ac:dyDescent="0.2">
      <c r="A4779">
        <v>22809216</v>
      </c>
      <c r="B4779">
        <v>1</v>
      </c>
      <c r="C4779">
        <v>3251</v>
      </c>
      <c r="D4779">
        <v>0</v>
      </c>
      <c r="E4779">
        <v>36</v>
      </c>
      <c r="F4779" t="s">
        <v>47</v>
      </c>
      <c r="G4779" t="s">
        <v>48</v>
      </c>
      <c r="H4779" t="s">
        <v>46</v>
      </c>
      <c r="I4779">
        <v>10</v>
      </c>
    </row>
    <row r="4780" spans="1:9" x14ac:dyDescent="0.2">
      <c r="A4780">
        <v>22809216</v>
      </c>
      <c r="B4780">
        <v>2</v>
      </c>
      <c r="C4780">
        <v>2310</v>
      </c>
      <c r="D4780">
        <v>0</v>
      </c>
      <c r="E4780">
        <v>36</v>
      </c>
      <c r="F4780" t="s">
        <v>39</v>
      </c>
      <c r="G4780" t="s">
        <v>48</v>
      </c>
      <c r="H4780" t="s">
        <v>38</v>
      </c>
      <c r="I4780">
        <v>1</v>
      </c>
    </row>
    <row r="4781" spans="1:9" x14ac:dyDescent="0.2">
      <c r="A4781">
        <v>22809216</v>
      </c>
      <c r="B4781">
        <v>3</v>
      </c>
      <c r="C4781">
        <v>3723</v>
      </c>
      <c r="D4781">
        <v>0</v>
      </c>
      <c r="E4781">
        <v>36</v>
      </c>
      <c r="F4781" t="s">
        <v>116</v>
      </c>
      <c r="G4781" t="s">
        <v>134</v>
      </c>
      <c r="H4781" t="s">
        <v>61</v>
      </c>
      <c r="I4781">
        <v>9</v>
      </c>
    </row>
    <row r="4782" spans="1:9" x14ac:dyDescent="0.2">
      <c r="A4782">
        <v>22809216</v>
      </c>
      <c r="B4782">
        <v>4</v>
      </c>
      <c r="C4782">
        <v>2980</v>
      </c>
      <c r="D4782">
        <v>0</v>
      </c>
      <c r="E4782">
        <v>36</v>
      </c>
      <c r="F4782" t="s">
        <v>119</v>
      </c>
      <c r="G4782" t="s">
        <v>135</v>
      </c>
      <c r="H4782" t="s">
        <v>136</v>
      </c>
      <c r="I4782">
        <v>8</v>
      </c>
    </row>
    <row r="4783" spans="1:9" x14ac:dyDescent="0.2">
      <c r="A4783">
        <v>22809216</v>
      </c>
      <c r="B4783">
        <v>5</v>
      </c>
      <c r="C4783">
        <v>2600</v>
      </c>
      <c r="D4783">
        <v>0</v>
      </c>
      <c r="E4783">
        <v>36</v>
      </c>
      <c r="F4783" t="s">
        <v>71</v>
      </c>
      <c r="G4783" t="s">
        <v>137</v>
      </c>
      <c r="H4783" t="s">
        <v>24</v>
      </c>
      <c r="I4783">
        <v>5</v>
      </c>
    </row>
    <row r="4784" spans="1:9" x14ac:dyDescent="0.2">
      <c r="A4784">
        <v>22809216</v>
      </c>
      <c r="B4784">
        <v>6</v>
      </c>
      <c r="C4784">
        <v>2604</v>
      </c>
      <c r="D4784">
        <v>0</v>
      </c>
      <c r="E4784">
        <v>36</v>
      </c>
      <c r="F4784" t="s">
        <v>71</v>
      </c>
      <c r="G4784" t="s">
        <v>138</v>
      </c>
      <c r="H4784" t="s">
        <v>139</v>
      </c>
      <c r="I4784">
        <v>5</v>
      </c>
    </row>
    <row r="4785" spans="1:9" x14ac:dyDescent="0.2">
      <c r="A4785">
        <v>22809216</v>
      </c>
      <c r="B4785">
        <v>7</v>
      </c>
      <c r="C4785">
        <v>3252</v>
      </c>
      <c r="D4785">
        <v>0</v>
      </c>
      <c r="E4785">
        <v>36</v>
      </c>
      <c r="F4785" t="s">
        <v>47</v>
      </c>
      <c r="G4785" t="s">
        <v>45</v>
      </c>
      <c r="H4785" t="s">
        <v>46</v>
      </c>
      <c r="I4785">
        <v>10</v>
      </c>
    </row>
    <row r="4786" spans="1:9" x14ac:dyDescent="0.2">
      <c r="A4786">
        <v>22809216</v>
      </c>
      <c r="B4786">
        <v>8</v>
      </c>
      <c r="C4786">
        <v>3246</v>
      </c>
      <c r="D4786">
        <v>0</v>
      </c>
      <c r="E4786">
        <v>36</v>
      </c>
      <c r="F4786" t="s">
        <v>47</v>
      </c>
      <c r="G4786" t="s">
        <v>91</v>
      </c>
      <c r="H4786" t="s">
        <v>74</v>
      </c>
      <c r="I4786">
        <v>10</v>
      </c>
    </row>
    <row r="4787" spans="1:9" x14ac:dyDescent="0.2">
      <c r="A4787">
        <v>22820531</v>
      </c>
      <c r="B4787">
        <v>1</v>
      </c>
      <c r="C4787">
        <v>3237</v>
      </c>
      <c r="D4787">
        <v>50925</v>
      </c>
      <c r="E4787">
        <v>24</v>
      </c>
      <c r="F4787" t="s">
        <v>47</v>
      </c>
      <c r="G4787" t="s">
        <v>181</v>
      </c>
      <c r="H4787" t="s">
        <v>46</v>
      </c>
      <c r="I4787">
        <v>10</v>
      </c>
    </row>
    <row r="4788" spans="1:9" x14ac:dyDescent="0.2">
      <c r="A4788">
        <v>22820531</v>
      </c>
      <c r="B4788">
        <v>2</v>
      </c>
      <c r="C4788">
        <v>3225</v>
      </c>
      <c r="D4788">
        <v>0</v>
      </c>
      <c r="E4788">
        <v>26</v>
      </c>
      <c r="F4788" t="s">
        <v>47</v>
      </c>
      <c r="G4788" t="s">
        <v>106</v>
      </c>
      <c r="H4788" t="s">
        <v>46</v>
      </c>
      <c r="I4788">
        <v>10</v>
      </c>
    </row>
    <row r="4789" spans="1:9" x14ac:dyDescent="0.2">
      <c r="A4789">
        <v>22820531</v>
      </c>
      <c r="B4789">
        <v>3</v>
      </c>
      <c r="C4789">
        <v>3229</v>
      </c>
      <c r="D4789">
        <v>0</v>
      </c>
      <c r="E4789">
        <v>26</v>
      </c>
      <c r="F4789" t="s">
        <v>47</v>
      </c>
      <c r="G4789" t="s">
        <v>101</v>
      </c>
      <c r="H4789" t="s">
        <v>46</v>
      </c>
      <c r="I4789">
        <v>10</v>
      </c>
    </row>
    <row r="4790" spans="1:9" x14ac:dyDescent="0.2">
      <c r="A4790">
        <v>22877088</v>
      </c>
      <c r="B4790">
        <v>1</v>
      </c>
      <c r="C4790">
        <v>3243</v>
      </c>
      <c r="D4790">
        <v>48045</v>
      </c>
      <c r="E4790">
        <v>25</v>
      </c>
      <c r="F4790" t="s">
        <v>47</v>
      </c>
      <c r="G4790" t="s">
        <v>75</v>
      </c>
      <c r="H4790" t="s">
        <v>46</v>
      </c>
      <c r="I4790">
        <v>10</v>
      </c>
    </row>
    <row r="4791" spans="1:9" x14ac:dyDescent="0.2">
      <c r="A4791">
        <v>22877088</v>
      </c>
      <c r="B4791">
        <v>2</v>
      </c>
      <c r="C4791">
        <v>3252</v>
      </c>
      <c r="D4791">
        <v>47820</v>
      </c>
      <c r="E4791">
        <v>25</v>
      </c>
      <c r="F4791" t="s">
        <v>47</v>
      </c>
      <c r="G4791" t="s">
        <v>45</v>
      </c>
      <c r="H4791" t="s">
        <v>46</v>
      </c>
      <c r="I4791">
        <v>10</v>
      </c>
    </row>
    <row r="4792" spans="1:9" x14ac:dyDescent="0.2">
      <c r="A4792">
        <v>22877088</v>
      </c>
      <c r="B4792">
        <v>3</v>
      </c>
      <c r="C4792">
        <v>3242</v>
      </c>
      <c r="D4792">
        <v>47885</v>
      </c>
      <c r="E4792">
        <v>25</v>
      </c>
      <c r="F4792" t="s">
        <v>47</v>
      </c>
      <c r="G4792" t="s">
        <v>90</v>
      </c>
      <c r="H4792" t="s">
        <v>46</v>
      </c>
      <c r="I4792">
        <v>10</v>
      </c>
    </row>
    <row r="4793" spans="1:9" x14ac:dyDescent="0.2">
      <c r="A4793">
        <v>22877088</v>
      </c>
      <c r="B4793">
        <v>4</v>
      </c>
      <c r="C4793">
        <v>3239</v>
      </c>
      <c r="D4793">
        <v>48145</v>
      </c>
      <c r="E4793">
        <v>25</v>
      </c>
      <c r="F4793" t="s">
        <v>47</v>
      </c>
      <c r="G4793" t="s">
        <v>107</v>
      </c>
      <c r="H4793" t="s">
        <v>46</v>
      </c>
      <c r="I4793">
        <v>10</v>
      </c>
    </row>
    <row r="4794" spans="1:9" x14ac:dyDescent="0.2">
      <c r="A4794">
        <v>22877088</v>
      </c>
      <c r="B4794">
        <v>5</v>
      </c>
      <c r="C4794">
        <v>3261</v>
      </c>
      <c r="D4794">
        <v>48000</v>
      </c>
      <c r="E4794">
        <v>25</v>
      </c>
      <c r="F4794" t="s">
        <v>47</v>
      </c>
      <c r="G4794" t="s">
        <v>93</v>
      </c>
      <c r="H4794" t="s">
        <v>46</v>
      </c>
      <c r="I4794">
        <v>10</v>
      </c>
    </row>
    <row r="4795" spans="1:9" x14ac:dyDescent="0.2">
      <c r="A4795">
        <v>22905703</v>
      </c>
      <c r="B4795">
        <v>1</v>
      </c>
      <c r="C4795">
        <v>2295</v>
      </c>
      <c r="D4795">
        <v>54750</v>
      </c>
      <c r="E4795">
        <v>24</v>
      </c>
      <c r="F4795" t="s">
        <v>177</v>
      </c>
      <c r="G4795" t="s">
        <v>63</v>
      </c>
      <c r="H4795" t="s">
        <v>38</v>
      </c>
      <c r="I4795">
        <v>2</v>
      </c>
    </row>
    <row r="4796" spans="1:9" x14ac:dyDescent="0.2">
      <c r="A4796">
        <v>22905703</v>
      </c>
      <c r="B4796">
        <v>2</v>
      </c>
      <c r="C4796">
        <v>2316</v>
      </c>
      <c r="D4796">
        <v>0</v>
      </c>
      <c r="E4796">
        <v>26</v>
      </c>
      <c r="F4796" t="s">
        <v>39</v>
      </c>
      <c r="G4796" t="s">
        <v>63</v>
      </c>
      <c r="H4796" t="s">
        <v>38</v>
      </c>
      <c r="I4796">
        <v>1</v>
      </c>
    </row>
    <row r="4797" spans="1:9" x14ac:dyDescent="0.2">
      <c r="A4797">
        <v>22905703</v>
      </c>
      <c r="B4797">
        <v>3</v>
      </c>
      <c r="C4797">
        <v>1782</v>
      </c>
      <c r="D4797">
        <v>0</v>
      </c>
      <c r="E4797">
        <v>26</v>
      </c>
      <c r="F4797" t="s">
        <v>57</v>
      </c>
      <c r="G4797" t="s">
        <v>63</v>
      </c>
      <c r="H4797" t="s">
        <v>69</v>
      </c>
      <c r="I4797">
        <v>10</v>
      </c>
    </row>
    <row r="4798" spans="1:9" x14ac:dyDescent="0.2">
      <c r="A4798">
        <v>22905703</v>
      </c>
      <c r="B4798">
        <v>4</v>
      </c>
      <c r="C4798">
        <v>3740</v>
      </c>
      <c r="D4798">
        <v>0</v>
      </c>
      <c r="E4798">
        <v>26</v>
      </c>
      <c r="F4798" t="s">
        <v>116</v>
      </c>
      <c r="G4798" t="s">
        <v>63</v>
      </c>
      <c r="H4798" t="s">
        <v>61</v>
      </c>
      <c r="I4798">
        <v>9</v>
      </c>
    </row>
    <row r="4799" spans="1:9" x14ac:dyDescent="0.2">
      <c r="A4799">
        <v>22905703</v>
      </c>
      <c r="B4799">
        <v>5</v>
      </c>
      <c r="C4799">
        <v>1778</v>
      </c>
      <c r="D4799">
        <v>0</v>
      </c>
      <c r="E4799">
        <v>26</v>
      </c>
      <c r="F4799" t="s">
        <v>57</v>
      </c>
      <c r="G4799" t="s">
        <v>84</v>
      </c>
      <c r="H4799" t="s">
        <v>56</v>
      </c>
      <c r="I4799">
        <v>10</v>
      </c>
    </row>
    <row r="4800" spans="1:9" x14ac:dyDescent="0.2">
      <c r="A4800">
        <v>22905703</v>
      </c>
      <c r="B4800">
        <v>6</v>
      </c>
      <c r="C4800">
        <v>1930</v>
      </c>
      <c r="D4800">
        <v>0</v>
      </c>
      <c r="E4800">
        <v>26</v>
      </c>
      <c r="F4800" t="s">
        <v>32</v>
      </c>
      <c r="G4800" t="s">
        <v>63</v>
      </c>
      <c r="H4800" t="s">
        <v>31</v>
      </c>
      <c r="I4800">
        <v>5</v>
      </c>
    </row>
    <row r="4801" spans="1:9" x14ac:dyDescent="0.2">
      <c r="A4801">
        <v>22905703</v>
      </c>
      <c r="B4801">
        <v>7</v>
      </c>
      <c r="C4801">
        <v>2365</v>
      </c>
      <c r="D4801">
        <v>0</v>
      </c>
      <c r="E4801">
        <v>26</v>
      </c>
      <c r="F4801" t="s">
        <v>39</v>
      </c>
      <c r="G4801" t="s">
        <v>124</v>
      </c>
      <c r="H4801" t="s">
        <v>38</v>
      </c>
      <c r="I4801">
        <v>1</v>
      </c>
    </row>
    <row r="4802" spans="1:9" x14ac:dyDescent="0.2">
      <c r="A4802">
        <v>22905703</v>
      </c>
      <c r="B4802">
        <v>8</v>
      </c>
      <c r="C4802">
        <v>3032</v>
      </c>
      <c r="D4802">
        <v>0</v>
      </c>
      <c r="E4802">
        <v>26</v>
      </c>
      <c r="F4802" t="s">
        <v>44</v>
      </c>
      <c r="G4802" t="s">
        <v>151</v>
      </c>
      <c r="H4802" t="s">
        <v>50</v>
      </c>
      <c r="I4802">
        <v>9</v>
      </c>
    </row>
    <row r="4803" spans="1:9" x14ac:dyDescent="0.2">
      <c r="A4803">
        <v>22921833</v>
      </c>
      <c r="B4803">
        <v>1</v>
      </c>
      <c r="C4803">
        <v>3229</v>
      </c>
      <c r="D4803">
        <v>50575</v>
      </c>
      <c r="E4803">
        <v>25</v>
      </c>
      <c r="F4803" t="s">
        <v>47</v>
      </c>
      <c r="G4803" t="s">
        <v>101</v>
      </c>
      <c r="H4803" t="s">
        <v>46</v>
      </c>
      <c r="I4803">
        <v>10</v>
      </c>
    </row>
    <row r="4804" spans="1:9" x14ac:dyDescent="0.2">
      <c r="A4804">
        <v>22932070</v>
      </c>
      <c r="B4804">
        <v>1</v>
      </c>
      <c r="C4804">
        <v>1782</v>
      </c>
      <c r="D4804">
        <v>49960</v>
      </c>
      <c r="E4804">
        <v>25</v>
      </c>
      <c r="F4804" t="s">
        <v>57</v>
      </c>
      <c r="G4804" t="s">
        <v>63</v>
      </c>
      <c r="H4804" t="s">
        <v>69</v>
      </c>
      <c r="I4804">
        <v>10</v>
      </c>
    </row>
    <row r="4805" spans="1:9" x14ac:dyDescent="0.2">
      <c r="A4805">
        <v>22932070</v>
      </c>
      <c r="B4805">
        <v>2</v>
      </c>
      <c r="C4805">
        <v>1439</v>
      </c>
      <c r="D4805">
        <v>50060</v>
      </c>
      <c r="E4805">
        <v>25</v>
      </c>
      <c r="F4805" t="s">
        <v>25</v>
      </c>
      <c r="G4805" t="s">
        <v>29</v>
      </c>
      <c r="H4805" t="s">
        <v>24</v>
      </c>
      <c r="I4805">
        <v>5</v>
      </c>
    </row>
    <row r="4806" spans="1:9" x14ac:dyDescent="0.2">
      <c r="A4806">
        <v>22932070</v>
      </c>
      <c r="B4806">
        <v>3</v>
      </c>
      <c r="C4806">
        <v>1259</v>
      </c>
      <c r="D4806">
        <v>0</v>
      </c>
      <c r="E4806">
        <v>20</v>
      </c>
      <c r="F4806" t="s">
        <v>19</v>
      </c>
      <c r="G4806" t="s">
        <v>217</v>
      </c>
      <c r="H4806" t="s">
        <v>16</v>
      </c>
      <c r="I4806" t="s">
        <v>448</v>
      </c>
    </row>
    <row r="4807" spans="1:9" x14ac:dyDescent="0.2">
      <c r="A4807">
        <v>22932070</v>
      </c>
      <c r="B4807">
        <v>4</v>
      </c>
      <c r="C4807">
        <v>1405</v>
      </c>
      <c r="D4807">
        <v>0</v>
      </c>
      <c r="E4807">
        <v>17</v>
      </c>
      <c r="F4807" t="s">
        <v>25</v>
      </c>
      <c r="G4807" t="s">
        <v>84</v>
      </c>
      <c r="H4807" t="s">
        <v>24</v>
      </c>
      <c r="I4807">
        <v>5</v>
      </c>
    </row>
    <row r="4808" spans="1:9" x14ac:dyDescent="0.2">
      <c r="A4808">
        <v>22932070</v>
      </c>
      <c r="B4808">
        <v>5</v>
      </c>
      <c r="C4808">
        <v>2348</v>
      </c>
      <c r="D4808">
        <v>0</v>
      </c>
      <c r="E4808">
        <v>30</v>
      </c>
      <c r="F4808" t="s">
        <v>39</v>
      </c>
      <c r="G4808" t="s">
        <v>218</v>
      </c>
      <c r="H4808" t="s">
        <v>38</v>
      </c>
      <c r="I4808">
        <v>1</v>
      </c>
    </row>
    <row r="4809" spans="1:9" x14ac:dyDescent="0.2">
      <c r="A4809">
        <v>22932070</v>
      </c>
      <c r="B4809">
        <v>6</v>
      </c>
      <c r="C4809">
        <v>1730</v>
      </c>
      <c r="D4809">
        <v>0</v>
      </c>
      <c r="E4809">
        <v>30</v>
      </c>
      <c r="F4809" t="s">
        <v>57</v>
      </c>
      <c r="G4809" t="s">
        <v>83</v>
      </c>
      <c r="H4809" t="s">
        <v>79</v>
      </c>
      <c r="I4809">
        <v>10</v>
      </c>
    </row>
    <row r="4810" spans="1:9" x14ac:dyDescent="0.2">
      <c r="A4810">
        <v>22932070</v>
      </c>
      <c r="B4810">
        <v>7</v>
      </c>
      <c r="C4810">
        <v>2445</v>
      </c>
      <c r="D4810">
        <v>50760</v>
      </c>
      <c r="E4810">
        <v>24</v>
      </c>
      <c r="F4810" t="s">
        <v>42</v>
      </c>
      <c r="G4810" t="s">
        <v>219</v>
      </c>
      <c r="H4810" t="s">
        <v>220</v>
      </c>
      <c r="I4810">
        <v>2</v>
      </c>
    </row>
    <row r="4811" spans="1:9" x14ac:dyDescent="0.2">
      <c r="A4811">
        <v>22932070</v>
      </c>
      <c r="B4811">
        <v>8</v>
      </c>
      <c r="C4811">
        <v>1996</v>
      </c>
      <c r="D4811">
        <v>0</v>
      </c>
      <c r="E4811">
        <v>26</v>
      </c>
      <c r="F4811" t="s">
        <v>32</v>
      </c>
      <c r="G4811" t="s">
        <v>221</v>
      </c>
      <c r="H4811" t="s">
        <v>222</v>
      </c>
      <c r="I4811">
        <v>5</v>
      </c>
    </row>
    <row r="4812" spans="1:9" x14ac:dyDescent="0.2">
      <c r="A4812">
        <v>22948597</v>
      </c>
      <c r="B4812">
        <v>1</v>
      </c>
      <c r="C4812">
        <v>3243</v>
      </c>
      <c r="D4812">
        <v>47320</v>
      </c>
      <c r="E4812">
        <v>25</v>
      </c>
      <c r="F4812" t="s">
        <v>47</v>
      </c>
      <c r="G4812" t="s">
        <v>75</v>
      </c>
      <c r="H4812" t="s">
        <v>46</v>
      </c>
      <c r="I4812">
        <v>10</v>
      </c>
    </row>
    <row r="4813" spans="1:9" x14ac:dyDescent="0.2">
      <c r="A4813">
        <v>22948597</v>
      </c>
      <c r="B4813">
        <v>2</v>
      </c>
      <c r="C4813">
        <v>3248</v>
      </c>
      <c r="D4813">
        <v>46130</v>
      </c>
      <c r="E4813">
        <v>25</v>
      </c>
      <c r="F4813" t="s">
        <v>47</v>
      </c>
      <c r="G4813" t="s">
        <v>92</v>
      </c>
      <c r="H4813" t="s">
        <v>46</v>
      </c>
      <c r="I4813">
        <v>10</v>
      </c>
    </row>
    <row r="4814" spans="1:9" x14ac:dyDescent="0.2">
      <c r="A4814">
        <v>22948597</v>
      </c>
      <c r="B4814">
        <v>3</v>
      </c>
      <c r="C4814">
        <v>3261</v>
      </c>
      <c r="D4814">
        <v>46320</v>
      </c>
      <c r="E4814">
        <v>25</v>
      </c>
      <c r="F4814" t="s">
        <v>47</v>
      </c>
      <c r="G4814" t="s">
        <v>93</v>
      </c>
      <c r="H4814" t="s">
        <v>46</v>
      </c>
      <c r="I4814">
        <v>10</v>
      </c>
    </row>
    <row r="4815" spans="1:9" x14ac:dyDescent="0.2">
      <c r="A4815">
        <v>23005764</v>
      </c>
      <c r="B4815">
        <v>1</v>
      </c>
      <c r="C4815">
        <v>3225</v>
      </c>
      <c r="D4815">
        <v>52275</v>
      </c>
      <c r="E4815">
        <v>24</v>
      </c>
      <c r="F4815" t="s">
        <v>47</v>
      </c>
      <c r="G4815" t="s">
        <v>106</v>
      </c>
      <c r="H4815" t="s">
        <v>46</v>
      </c>
      <c r="I4815">
        <v>10</v>
      </c>
    </row>
    <row r="4816" spans="1:9" x14ac:dyDescent="0.2">
      <c r="A4816">
        <v>23005764</v>
      </c>
      <c r="B4816">
        <v>2</v>
      </c>
      <c r="C4816">
        <v>3223</v>
      </c>
      <c r="D4816">
        <v>0</v>
      </c>
      <c r="E4816">
        <v>26</v>
      </c>
      <c r="F4816" t="s">
        <v>47</v>
      </c>
      <c r="G4816" t="s">
        <v>105</v>
      </c>
      <c r="H4816" t="s">
        <v>46</v>
      </c>
      <c r="I4816">
        <v>10</v>
      </c>
    </row>
    <row r="4817" spans="1:9" x14ac:dyDescent="0.2">
      <c r="A4817">
        <v>23005764</v>
      </c>
      <c r="B4817">
        <v>3</v>
      </c>
      <c r="C4817">
        <v>3226</v>
      </c>
      <c r="D4817">
        <v>0</v>
      </c>
      <c r="E4817">
        <v>26</v>
      </c>
      <c r="F4817" t="s">
        <v>47</v>
      </c>
      <c r="G4817" t="s">
        <v>96</v>
      </c>
      <c r="H4817" t="s">
        <v>46</v>
      </c>
      <c r="I4817">
        <v>10</v>
      </c>
    </row>
    <row r="4818" spans="1:9" x14ac:dyDescent="0.2">
      <c r="A4818">
        <v>23005764</v>
      </c>
      <c r="B4818">
        <v>4</v>
      </c>
      <c r="C4818">
        <v>3269</v>
      </c>
      <c r="D4818">
        <v>0</v>
      </c>
      <c r="E4818">
        <v>26</v>
      </c>
      <c r="F4818" t="s">
        <v>47</v>
      </c>
      <c r="G4818" t="s">
        <v>180</v>
      </c>
      <c r="H4818" t="s">
        <v>46</v>
      </c>
      <c r="I4818">
        <v>10</v>
      </c>
    </row>
    <row r="4819" spans="1:9" x14ac:dyDescent="0.2">
      <c r="A4819">
        <v>23005764</v>
      </c>
      <c r="B4819">
        <v>5</v>
      </c>
      <c r="C4819">
        <v>3229</v>
      </c>
      <c r="D4819">
        <v>0</v>
      </c>
      <c r="E4819">
        <v>26</v>
      </c>
      <c r="F4819" t="s">
        <v>47</v>
      </c>
      <c r="G4819" t="s">
        <v>101</v>
      </c>
      <c r="H4819" t="s">
        <v>46</v>
      </c>
      <c r="I4819">
        <v>10</v>
      </c>
    </row>
    <row r="4820" spans="1:9" x14ac:dyDescent="0.2">
      <c r="A4820">
        <v>23005765</v>
      </c>
      <c r="B4820">
        <v>1</v>
      </c>
      <c r="C4820">
        <v>1324</v>
      </c>
      <c r="D4820">
        <v>64355</v>
      </c>
      <c r="E4820">
        <v>24</v>
      </c>
      <c r="F4820" t="s">
        <v>21</v>
      </c>
      <c r="G4820" t="s">
        <v>63</v>
      </c>
      <c r="H4820" t="s">
        <v>20</v>
      </c>
      <c r="I4820">
        <v>8</v>
      </c>
    </row>
    <row r="4821" spans="1:9" x14ac:dyDescent="0.2">
      <c r="A4821">
        <v>23005765</v>
      </c>
      <c r="B4821">
        <v>2</v>
      </c>
      <c r="C4821">
        <v>1430</v>
      </c>
      <c r="D4821">
        <v>0</v>
      </c>
      <c r="E4821">
        <v>26</v>
      </c>
      <c r="F4821" t="s">
        <v>25</v>
      </c>
      <c r="G4821" t="s">
        <v>63</v>
      </c>
      <c r="H4821" t="s">
        <v>24</v>
      </c>
      <c r="I4821">
        <v>5</v>
      </c>
    </row>
    <row r="4822" spans="1:9" x14ac:dyDescent="0.2">
      <c r="A4822">
        <v>23005765</v>
      </c>
      <c r="B4822">
        <v>3</v>
      </c>
      <c r="C4822">
        <v>3601</v>
      </c>
      <c r="D4822">
        <v>0</v>
      </c>
      <c r="E4822">
        <v>26</v>
      </c>
      <c r="F4822" t="s">
        <v>108</v>
      </c>
      <c r="G4822" t="s">
        <v>63</v>
      </c>
      <c r="H4822" t="s">
        <v>20</v>
      </c>
      <c r="I4822">
        <v>8</v>
      </c>
    </row>
    <row r="4823" spans="1:9" x14ac:dyDescent="0.2">
      <c r="A4823">
        <v>23005765</v>
      </c>
      <c r="B4823">
        <v>4</v>
      </c>
      <c r="C4823">
        <v>1782</v>
      </c>
      <c r="D4823">
        <v>0</v>
      </c>
      <c r="E4823">
        <v>26</v>
      </c>
      <c r="F4823" t="s">
        <v>57</v>
      </c>
      <c r="G4823" t="s">
        <v>63</v>
      </c>
      <c r="H4823" t="s">
        <v>69</v>
      </c>
      <c r="I4823">
        <v>10</v>
      </c>
    </row>
    <row r="4824" spans="1:9" x14ac:dyDescent="0.2">
      <c r="A4824">
        <v>23010606</v>
      </c>
      <c r="B4824">
        <v>1</v>
      </c>
      <c r="C4824">
        <v>1713</v>
      </c>
      <c r="D4824">
        <v>73360</v>
      </c>
      <c r="E4824">
        <v>24</v>
      </c>
      <c r="F4824" t="s">
        <v>57</v>
      </c>
      <c r="G4824" t="s">
        <v>170</v>
      </c>
      <c r="H4824" t="s">
        <v>69</v>
      </c>
      <c r="I4824">
        <v>10</v>
      </c>
    </row>
    <row r="4825" spans="1:9" x14ac:dyDescent="0.2">
      <c r="A4825">
        <v>23010606</v>
      </c>
      <c r="B4825">
        <v>2</v>
      </c>
      <c r="C4825">
        <v>1731</v>
      </c>
      <c r="D4825">
        <v>0</v>
      </c>
      <c r="E4825">
        <v>26</v>
      </c>
      <c r="F4825" t="s">
        <v>57</v>
      </c>
      <c r="G4825" t="s">
        <v>172</v>
      </c>
      <c r="H4825" t="s">
        <v>69</v>
      </c>
      <c r="I4825">
        <v>10</v>
      </c>
    </row>
    <row r="4826" spans="1:9" x14ac:dyDescent="0.2">
      <c r="A4826">
        <v>23010606</v>
      </c>
      <c r="B4826">
        <v>3</v>
      </c>
      <c r="C4826">
        <v>1386</v>
      </c>
      <c r="D4826">
        <v>0</v>
      </c>
      <c r="E4826">
        <v>26</v>
      </c>
      <c r="F4826" t="s">
        <v>21</v>
      </c>
      <c r="G4826" t="s">
        <v>170</v>
      </c>
      <c r="H4826" t="s">
        <v>20</v>
      </c>
      <c r="I4826">
        <v>8</v>
      </c>
    </row>
    <row r="4827" spans="1:9" x14ac:dyDescent="0.2">
      <c r="A4827">
        <v>23010606</v>
      </c>
      <c r="B4827">
        <v>4</v>
      </c>
      <c r="C4827">
        <v>3026</v>
      </c>
      <c r="D4827">
        <v>0</v>
      </c>
      <c r="E4827">
        <v>26</v>
      </c>
      <c r="F4827" t="s">
        <v>44</v>
      </c>
      <c r="G4827" t="s">
        <v>170</v>
      </c>
      <c r="H4827" t="s">
        <v>50</v>
      </c>
      <c r="I4827">
        <v>9</v>
      </c>
    </row>
    <row r="4828" spans="1:9" x14ac:dyDescent="0.2">
      <c r="A4828">
        <v>23010606</v>
      </c>
      <c r="B4828">
        <v>5</v>
      </c>
      <c r="C4828">
        <v>1728</v>
      </c>
      <c r="D4828">
        <v>0</v>
      </c>
      <c r="E4828">
        <v>26</v>
      </c>
      <c r="F4828" t="s">
        <v>57</v>
      </c>
      <c r="G4828" t="s">
        <v>103</v>
      </c>
      <c r="H4828" t="s">
        <v>69</v>
      </c>
      <c r="I4828">
        <v>10</v>
      </c>
    </row>
    <row r="4829" spans="1:9" x14ac:dyDescent="0.2">
      <c r="A4829">
        <v>23010606</v>
      </c>
      <c r="B4829">
        <v>6</v>
      </c>
      <c r="C4829">
        <v>1702</v>
      </c>
      <c r="D4829">
        <v>0</v>
      </c>
      <c r="E4829">
        <v>26</v>
      </c>
      <c r="F4829" t="s">
        <v>57</v>
      </c>
      <c r="G4829" t="s">
        <v>164</v>
      </c>
      <c r="H4829" t="s">
        <v>69</v>
      </c>
      <c r="I4829">
        <v>10</v>
      </c>
    </row>
    <row r="4830" spans="1:9" x14ac:dyDescent="0.2">
      <c r="A4830">
        <v>23029485</v>
      </c>
      <c r="B4830">
        <v>1</v>
      </c>
      <c r="C4830">
        <v>3252</v>
      </c>
      <c r="D4830">
        <v>53315</v>
      </c>
      <c r="E4830">
        <v>24</v>
      </c>
      <c r="F4830" t="s">
        <v>47</v>
      </c>
      <c r="G4830" t="s">
        <v>45</v>
      </c>
      <c r="H4830" t="s">
        <v>46</v>
      </c>
      <c r="I4830">
        <v>10</v>
      </c>
    </row>
    <row r="4831" spans="1:9" x14ac:dyDescent="0.2">
      <c r="A4831">
        <v>23029485</v>
      </c>
      <c r="B4831">
        <v>2</v>
      </c>
      <c r="C4831">
        <v>3234</v>
      </c>
      <c r="D4831">
        <v>0</v>
      </c>
      <c r="E4831">
        <v>26</v>
      </c>
      <c r="F4831" t="s">
        <v>47</v>
      </c>
      <c r="G4831" t="s">
        <v>76</v>
      </c>
      <c r="H4831" t="s">
        <v>46</v>
      </c>
      <c r="I4831">
        <v>10</v>
      </c>
    </row>
    <row r="4832" spans="1:9" x14ac:dyDescent="0.2">
      <c r="A4832">
        <v>23037134</v>
      </c>
      <c r="B4832">
        <v>1</v>
      </c>
      <c r="C4832">
        <v>3248</v>
      </c>
      <c r="D4832">
        <v>52520</v>
      </c>
      <c r="E4832">
        <v>24</v>
      </c>
      <c r="F4832" t="s">
        <v>47</v>
      </c>
      <c r="G4832" t="s">
        <v>92</v>
      </c>
      <c r="H4832" t="s">
        <v>46</v>
      </c>
      <c r="I4832">
        <v>10</v>
      </c>
    </row>
    <row r="4833" spans="1:9" x14ac:dyDescent="0.2">
      <c r="A4833">
        <v>23037134</v>
      </c>
      <c r="B4833">
        <v>2</v>
      </c>
      <c r="C4833">
        <v>3242</v>
      </c>
      <c r="D4833">
        <v>0</v>
      </c>
      <c r="E4833">
        <v>26</v>
      </c>
      <c r="F4833" t="s">
        <v>47</v>
      </c>
      <c r="G4833" t="s">
        <v>90</v>
      </c>
      <c r="H4833" t="s">
        <v>46</v>
      </c>
      <c r="I4833">
        <v>10</v>
      </c>
    </row>
    <row r="4834" spans="1:9" x14ac:dyDescent="0.2">
      <c r="A4834">
        <v>23037134</v>
      </c>
      <c r="B4834">
        <v>3</v>
      </c>
      <c r="C4834">
        <v>3212</v>
      </c>
      <c r="D4834">
        <v>0</v>
      </c>
      <c r="E4834">
        <v>26</v>
      </c>
      <c r="F4834" t="s">
        <v>47</v>
      </c>
      <c r="G4834" t="s">
        <v>84</v>
      </c>
      <c r="H4834" t="s">
        <v>46</v>
      </c>
      <c r="I4834">
        <v>10</v>
      </c>
    </row>
    <row r="4835" spans="1:9" x14ac:dyDescent="0.2">
      <c r="A4835">
        <v>23043294</v>
      </c>
      <c r="B4835">
        <v>1</v>
      </c>
      <c r="C4835">
        <v>3243</v>
      </c>
      <c r="D4835">
        <v>55235</v>
      </c>
      <c r="E4835">
        <v>24</v>
      </c>
      <c r="F4835" t="s">
        <v>47</v>
      </c>
      <c r="G4835" t="s">
        <v>75</v>
      </c>
      <c r="H4835" t="s">
        <v>46</v>
      </c>
      <c r="I4835">
        <v>10</v>
      </c>
    </row>
    <row r="4836" spans="1:9" x14ac:dyDescent="0.2">
      <c r="A4836">
        <v>23043294</v>
      </c>
      <c r="B4836">
        <v>2</v>
      </c>
      <c r="C4836">
        <v>3251</v>
      </c>
      <c r="D4836">
        <v>0</v>
      </c>
      <c r="E4836">
        <v>26</v>
      </c>
      <c r="F4836" t="s">
        <v>47</v>
      </c>
      <c r="G4836" t="s">
        <v>48</v>
      </c>
      <c r="H4836" t="s">
        <v>46</v>
      </c>
      <c r="I4836">
        <v>10</v>
      </c>
    </row>
    <row r="4837" spans="1:9" x14ac:dyDescent="0.2">
      <c r="A4837">
        <v>23043294</v>
      </c>
      <c r="B4837">
        <v>3</v>
      </c>
      <c r="C4837">
        <v>3252</v>
      </c>
      <c r="D4837">
        <v>0</v>
      </c>
      <c r="E4837">
        <v>26</v>
      </c>
      <c r="F4837" t="s">
        <v>47</v>
      </c>
      <c r="G4837" t="s">
        <v>45</v>
      </c>
      <c r="H4837" t="s">
        <v>46</v>
      </c>
      <c r="I4837">
        <v>10</v>
      </c>
    </row>
    <row r="4838" spans="1:9" x14ac:dyDescent="0.2">
      <c r="A4838">
        <v>23120773</v>
      </c>
      <c r="B4838">
        <v>1</v>
      </c>
      <c r="C4838">
        <v>1101</v>
      </c>
      <c r="D4838">
        <v>63100</v>
      </c>
      <c r="E4838">
        <v>25</v>
      </c>
      <c r="F4838" t="s">
        <v>17</v>
      </c>
      <c r="G4838" t="s">
        <v>15</v>
      </c>
      <c r="H4838" t="s">
        <v>16</v>
      </c>
      <c r="I4838" t="s">
        <v>448</v>
      </c>
    </row>
    <row r="4839" spans="1:9" x14ac:dyDescent="0.2">
      <c r="A4839">
        <v>23120773</v>
      </c>
      <c r="B4839">
        <v>2</v>
      </c>
      <c r="C4839">
        <v>1670</v>
      </c>
      <c r="D4839">
        <v>63945</v>
      </c>
      <c r="E4839">
        <v>25</v>
      </c>
      <c r="F4839" t="s">
        <v>128</v>
      </c>
      <c r="G4839" t="s">
        <v>18</v>
      </c>
      <c r="H4839" t="s">
        <v>127</v>
      </c>
      <c r="I4839" t="s">
        <v>448</v>
      </c>
    </row>
    <row r="4840" spans="1:9" x14ac:dyDescent="0.2">
      <c r="A4840">
        <v>23120773</v>
      </c>
      <c r="B4840">
        <v>3</v>
      </c>
      <c r="C4840">
        <v>1116</v>
      </c>
      <c r="D4840">
        <v>63850</v>
      </c>
      <c r="E4840">
        <v>25</v>
      </c>
      <c r="F4840" t="s">
        <v>17</v>
      </c>
      <c r="G4840" t="s">
        <v>226</v>
      </c>
      <c r="H4840" t="s">
        <v>16</v>
      </c>
      <c r="I4840" t="s">
        <v>448</v>
      </c>
    </row>
    <row r="4841" spans="1:9" x14ac:dyDescent="0.2">
      <c r="A4841">
        <v>23120773</v>
      </c>
      <c r="B4841">
        <v>4</v>
      </c>
      <c r="C4841">
        <v>2147</v>
      </c>
      <c r="D4841">
        <v>62195</v>
      </c>
      <c r="E4841">
        <v>24</v>
      </c>
      <c r="F4841" t="s">
        <v>193</v>
      </c>
      <c r="G4841" t="s">
        <v>18</v>
      </c>
      <c r="H4841" t="s">
        <v>216</v>
      </c>
      <c r="I4841" t="s">
        <v>448</v>
      </c>
    </row>
    <row r="4842" spans="1:9" x14ac:dyDescent="0.2">
      <c r="A4842">
        <v>23122676</v>
      </c>
      <c r="B4842">
        <v>1</v>
      </c>
      <c r="C4842">
        <v>3239</v>
      </c>
      <c r="D4842">
        <v>49080</v>
      </c>
      <c r="E4842">
        <v>25</v>
      </c>
      <c r="F4842" t="s">
        <v>47</v>
      </c>
      <c r="G4842" t="s">
        <v>107</v>
      </c>
      <c r="H4842" t="s">
        <v>46</v>
      </c>
      <c r="I4842">
        <v>10</v>
      </c>
    </row>
    <row r="4843" spans="1:9" x14ac:dyDescent="0.2">
      <c r="A4843">
        <v>23122676</v>
      </c>
      <c r="B4843">
        <v>2</v>
      </c>
      <c r="C4843">
        <v>3212</v>
      </c>
      <c r="D4843">
        <v>48705</v>
      </c>
      <c r="E4843">
        <v>24</v>
      </c>
      <c r="F4843" t="s">
        <v>47</v>
      </c>
      <c r="G4843" t="s">
        <v>84</v>
      </c>
      <c r="H4843" t="s">
        <v>46</v>
      </c>
      <c r="I4843">
        <v>10</v>
      </c>
    </row>
    <row r="4844" spans="1:9" x14ac:dyDescent="0.2">
      <c r="A4844">
        <v>23122676</v>
      </c>
      <c r="B4844">
        <v>3</v>
      </c>
      <c r="C4844">
        <v>3234</v>
      </c>
      <c r="D4844">
        <v>0</v>
      </c>
      <c r="E4844">
        <v>26</v>
      </c>
      <c r="F4844" t="s">
        <v>47</v>
      </c>
      <c r="G4844" t="s">
        <v>76</v>
      </c>
      <c r="H4844" t="s">
        <v>46</v>
      </c>
      <c r="I4844">
        <v>10</v>
      </c>
    </row>
    <row r="4845" spans="1:9" x14ac:dyDescent="0.2">
      <c r="A4845">
        <v>23122676</v>
      </c>
      <c r="B4845">
        <v>4</v>
      </c>
      <c r="C4845">
        <v>3261</v>
      </c>
      <c r="D4845">
        <v>0</v>
      </c>
      <c r="E4845">
        <v>26</v>
      </c>
      <c r="F4845" t="s">
        <v>47</v>
      </c>
      <c r="G4845" t="s">
        <v>93</v>
      </c>
      <c r="H4845" t="s">
        <v>46</v>
      </c>
      <c r="I4845">
        <v>10</v>
      </c>
    </row>
    <row r="4846" spans="1:9" x14ac:dyDescent="0.2">
      <c r="A4846">
        <v>23165283</v>
      </c>
      <c r="B4846">
        <v>1</v>
      </c>
      <c r="C4846">
        <v>3239</v>
      </c>
      <c r="D4846">
        <v>49745</v>
      </c>
      <c r="E4846">
        <v>25</v>
      </c>
      <c r="F4846" t="s">
        <v>47</v>
      </c>
      <c r="G4846" t="s">
        <v>107</v>
      </c>
      <c r="H4846" t="s">
        <v>46</v>
      </c>
      <c r="I4846">
        <v>10</v>
      </c>
    </row>
    <row r="4847" spans="1:9" x14ac:dyDescent="0.2">
      <c r="A4847">
        <v>23165283</v>
      </c>
      <c r="B4847">
        <v>2</v>
      </c>
      <c r="C4847">
        <v>3296</v>
      </c>
      <c r="D4847">
        <v>49780</v>
      </c>
      <c r="E4847">
        <v>24</v>
      </c>
      <c r="F4847" t="s">
        <v>47</v>
      </c>
      <c r="G4847" t="s">
        <v>100</v>
      </c>
      <c r="H4847" t="s">
        <v>46</v>
      </c>
      <c r="I4847">
        <v>10</v>
      </c>
    </row>
    <row r="4848" spans="1:9" x14ac:dyDescent="0.2">
      <c r="A4848">
        <v>23165283</v>
      </c>
      <c r="B4848">
        <v>3</v>
      </c>
      <c r="C4848">
        <v>3212</v>
      </c>
      <c r="D4848">
        <v>0</v>
      </c>
      <c r="E4848">
        <v>26</v>
      </c>
      <c r="F4848" t="s">
        <v>47</v>
      </c>
      <c r="G4848" t="s">
        <v>84</v>
      </c>
      <c r="H4848" t="s">
        <v>46</v>
      </c>
      <c r="I4848">
        <v>10</v>
      </c>
    </row>
    <row r="4849" spans="1:9" x14ac:dyDescent="0.2">
      <c r="A4849">
        <v>23165283</v>
      </c>
      <c r="B4849">
        <v>4</v>
      </c>
      <c r="C4849">
        <v>3252</v>
      </c>
      <c r="D4849">
        <v>0</v>
      </c>
      <c r="E4849">
        <v>26</v>
      </c>
      <c r="F4849" t="s">
        <v>47</v>
      </c>
      <c r="G4849" t="s">
        <v>45</v>
      </c>
      <c r="H4849" t="s">
        <v>46</v>
      </c>
      <c r="I4849">
        <v>10</v>
      </c>
    </row>
    <row r="4850" spans="1:9" x14ac:dyDescent="0.2">
      <c r="A4850">
        <v>23179885</v>
      </c>
      <c r="B4850">
        <v>1</v>
      </c>
      <c r="C4850">
        <v>1381</v>
      </c>
      <c r="D4850">
        <v>69050</v>
      </c>
      <c r="E4850">
        <v>24</v>
      </c>
      <c r="F4850" t="s">
        <v>21</v>
      </c>
      <c r="G4850" t="s">
        <v>103</v>
      </c>
      <c r="H4850" t="s">
        <v>20</v>
      </c>
      <c r="I4850">
        <v>8</v>
      </c>
    </row>
    <row r="4851" spans="1:9" x14ac:dyDescent="0.2">
      <c r="A4851">
        <v>23179885</v>
      </c>
      <c r="B4851">
        <v>2</v>
      </c>
      <c r="C4851">
        <v>1728</v>
      </c>
      <c r="D4851">
        <v>0</v>
      </c>
      <c r="E4851">
        <v>26</v>
      </c>
      <c r="F4851" t="s">
        <v>57</v>
      </c>
      <c r="G4851" t="s">
        <v>103</v>
      </c>
      <c r="H4851" t="s">
        <v>69</v>
      </c>
      <c r="I4851">
        <v>10</v>
      </c>
    </row>
    <row r="4852" spans="1:9" x14ac:dyDescent="0.2">
      <c r="A4852">
        <v>23179885</v>
      </c>
      <c r="B4852">
        <v>3</v>
      </c>
      <c r="C4852">
        <v>3035</v>
      </c>
      <c r="D4852">
        <v>0</v>
      </c>
      <c r="E4852">
        <v>26</v>
      </c>
      <c r="F4852" t="s">
        <v>44</v>
      </c>
      <c r="G4852" t="s">
        <v>103</v>
      </c>
      <c r="H4852" t="s">
        <v>50</v>
      </c>
      <c r="I4852">
        <v>9</v>
      </c>
    </row>
    <row r="4853" spans="1:9" x14ac:dyDescent="0.2">
      <c r="A4853">
        <v>23179885</v>
      </c>
      <c r="B4853">
        <v>4</v>
      </c>
      <c r="C4853">
        <v>1383</v>
      </c>
      <c r="D4853">
        <v>0</v>
      </c>
      <c r="E4853">
        <v>26</v>
      </c>
      <c r="F4853" t="s">
        <v>21</v>
      </c>
      <c r="G4853" t="s">
        <v>124</v>
      </c>
      <c r="H4853" t="s">
        <v>20</v>
      </c>
      <c r="I4853">
        <v>8</v>
      </c>
    </row>
    <row r="4854" spans="1:9" x14ac:dyDescent="0.2">
      <c r="A4854">
        <v>23179885</v>
      </c>
      <c r="B4854">
        <v>5</v>
      </c>
      <c r="C4854">
        <v>3023</v>
      </c>
      <c r="D4854">
        <v>0</v>
      </c>
      <c r="E4854">
        <v>26</v>
      </c>
      <c r="F4854" t="s">
        <v>44</v>
      </c>
      <c r="G4854" t="s">
        <v>124</v>
      </c>
      <c r="H4854" t="s">
        <v>50</v>
      </c>
      <c r="I4854">
        <v>9</v>
      </c>
    </row>
    <row r="4855" spans="1:9" x14ac:dyDescent="0.2">
      <c r="A4855">
        <v>23181542</v>
      </c>
      <c r="B4855">
        <v>1</v>
      </c>
      <c r="C4855">
        <v>1205</v>
      </c>
      <c r="D4855">
        <v>56715</v>
      </c>
      <c r="E4855">
        <v>25</v>
      </c>
      <c r="F4855" t="s">
        <v>19</v>
      </c>
      <c r="G4855" t="s">
        <v>23</v>
      </c>
      <c r="H4855" t="s">
        <v>16</v>
      </c>
      <c r="I4855" t="s">
        <v>448</v>
      </c>
    </row>
    <row r="4856" spans="1:9" x14ac:dyDescent="0.2">
      <c r="A4856">
        <v>23181542</v>
      </c>
      <c r="B4856">
        <v>2</v>
      </c>
      <c r="C4856">
        <v>1354</v>
      </c>
      <c r="D4856">
        <v>59900</v>
      </c>
      <c r="E4856">
        <v>24</v>
      </c>
      <c r="F4856" t="s">
        <v>21</v>
      </c>
      <c r="G4856" t="s">
        <v>253</v>
      </c>
      <c r="H4856" t="s">
        <v>20</v>
      </c>
      <c r="I4856">
        <v>8</v>
      </c>
    </row>
    <row r="4857" spans="1:9" x14ac:dyDescent="0.2">
      <c r="A4857">
        <v>23181542</v>
      </c>
      <c r="B4857">
        <v>3</v>
      </c>
      <c r="C4857">
        <v>1765</v>
      </c>
      <c r="D4857">
        <v>0</v>
      </c>
      <c r="E4857">
        <v>26</v>
      </c>
      <c r="F4857" t="s">
        <v>57</v>
      </c>
      <c r="G4857" t="s">
        <v>68</v>
      </c>
      <c r="H4857" t="s">
        <v>69</v>
      </c>
      <c r="I4857">
        <v>10</v>
      </c>
    </row>
    <row r="4858" spans="1:9" x14ac:dyDescent="0.2">
      <c r="A4858">
        <v>23195210</v>
      </c>
      <c r="B4858">
        <v>1</v>
      </c>
      <c r="C4858">
        <v>3212</v>
      </c>
      <c r="D4858">
        <v>0</v>
      </c>
      <c r="E4858">
        <v>36</v>
      </c>
      <c r="F4858" t="s">
        <v>47</v>
      </c>
      <c r="G4858" t="s">
        <v>84</v>
      </c>
      <c r="H4858" t="s">
        <v>46</v>
      </c>
      <c r="I4858">
        <v>10</v>
      </c>
    </row>
    <row r="4859" spans="1:9" x14ac:dyDescent="0.2">
      <c r="A4859">
        <v>23195210</v>
      </c>
      <c r="B4859">
        <v>2</v>
      </c>
      <c r="C4859">
        <v>3211</v>
      </c>
      <c r="D4859">
        <v>0</v>
      </c>
      <c r="E4859">
        <v>36</v>
      </c>
      <c r="F4859" t="s">
        <v>47</v>
      </c>
      <c r="G4859" t="s">
        <v>99</v>
      </c>
      <c r="H4859" t="s">
        <v>46</v>
      </c>
      <c r="I4859">
        <v>10</v>
      </c>
    </row>
    <row r="4860" spans="1:9" x14ac:dyDescent="0.2">
      <c r="A4860">
        <v>23195210</v>
      </c>
      <c r="B4860">
        <v>3</v>
      </c>
      <c r="C4860">
        <v>3213</v>
      </c>
      <c r="D4860">
        <v>0</v>
      </c>
      <c r="E4860">
        <v>36</v>
      </c>
      <c r="F4860" t="s">
        <v>47</v>
      </c>
      <c r="G4860" t="s">
        <v>158</v>
      </c>
      <c r="H4860" t="s">
        <v>74</v>
      </c>
      <c r="I4860">
        <v>10</v>
      </c>
    </row>
    <row r="4861" spans="1:9" x14ac:dyDescent="0.2">
      <c r="A4861">
        <v>23195210</v>
      </c>
      <c r="B4861">
        <v>4</v>
      </c>
      <c r="C4861">
        <v>3214</v>
      </c>
      <c r="D4861">
        <v>0</v>
      </c>
      <c r="E4861">
        <v>36</v>
      </c>
      <c r="F4861" t="s">
        <v>47</v>
      </c>
      <c r="G4861" t="s">
        <v>98</v>
      </c>
      <c r="H4861" t="s">
        <v>74</v>
      </c>
      <c r="I4861">
        <v>10</v>
      </c>
    </row>
    <row r="4862" spans="1:9" x14ac:dyDescent="0.2">
      <c r="A4862">
        <v>23222919</v>
      </c>
      <c r="B4862">
        <v>1</v>
      </c>
      <c r="C4862">
        <v>1776</v>
      </c>
      <c r="D4862">
        <v>53770</v>
      </c>
      <c r="E4862">
        <v>25</v>
      </c>
      <c r="F4862" t="s">
        <v>57</v>
      </c>
      <c r="G4862" t="s">
        <v>124</v>
      </c>
      <c r="H4862" t="s">
        <v>125</v>
      </c>
      <c r="I4862">
        <v>10</v>
      </c>
    </row>
    <row r="4863" spans="1:9" x14ac:dyDescent="0.2">
      <c r="A4863">
        <v>23222919</v>
      </c>
      <c r="B4863">
        <v>2</v>
      </c>
      <c r="C4863">
        <v>1732</v>
      </c>
      <c r="D4863">
        <v>54750</v>
      </c>
      <c r="E4863">
        <v>25</v>
      </c>
      <c r="F4863" t="s">
        <v>57</v>
      </c>
      <c r="G4863" t="s">
        <v>104</v>
      </c>
      <c r="H4863" t="s">
        <v>69</v>
      </c>
      <c r="I4863">
        <v>10</v>
      </c>
    </row>
    <row r="4864" spans="1:9" x14ac:dyDescent="0.2">
      <c r="A4864">
        <v>23222919</v>
      </c>
      <c r="B4864">
        <v>3</v>
      </c>
      <c r="C4864">
        <v>1715</v>
      </c>
      <c r="D4864">
        <v>55000</v>
      </c>
      <c r="E4864">
        <v>25</v>
      </c>
      <c r="F4864" t="s">
        <v>57</v>
      </c>
      <c r="G4864" t="s">
        <v>151</v>
      </c>
      <c r="H4864" t="s">
        <v>69</v>
      </c>
      <c r="I4864">
        <v>10</v>
      </c>
    </row>
    <row r="4865" spans="1:9" x14ac:dyDescent="0.2">
      <c r="A4865">
        <v>23222919</v>
      </c>
      <c r="B4865">
        <v>4</v>
      </c>
      <c r="C4865">
        <v>3023</v>
      </c>
      <c r="D4865">
        <v>54520</v>
      </c>
      <c r="E4865">
        <v>25</v>
      </c>
      <c r="F4865" t="s">
        <v>44</v>
      </c>
      <c r="G4865" t="s">
        <v>124</v>
      </c>
      <c r="H4865" t="s">
        <v>50</v>
      </c>
      <c r="I4865">
        <v>9</v>
      </c>
    </row>
    <row r="4866" spans="1:9" x14ac:dyDescent="0.2">
      <c r="A4866">
        <v>23222919</v>
      </c>
      <c r="B4866">
        <v>5</v>
      </c>
      <c r="C4866">
        <v>3032</v>
      </c>
      <c r="D4866">
        <v>54520</v>
      </c>
      <c r="E4866">
        <v>25</v>
      </c>
      <c r="F4866" t="s">
        <v>44</v>
      </c>
      <c r="G4866" t="s">
        <v>151</v>
      </c>
      <c r="H4866" t="s">
        <v>50</v>
      </c>
      <c r="I4866">
        <v>9</v>
      </c>
    </row>
    <row r="4867" spans="1:9" x14ac:dyDescent="0.2">
      <c r="A4867">
        <v>23223488</v>
      </c>
      <c r="B4867">
        <v>1</v>
      </c>
      <c r="C4867">
        <v>3234</v>
      </c>
      <c r="D4867">
        <v>56380</v>
      </c>
      <c r="E4867">
        <v>24</v>
      </c>
      <c r="F4867" t="s">
        <v>47</v>
      </c>
      <c r="G4867" t="s">
        <v>76</v>
      </c>
      <c r="H4867" t="s">
        <v>46</v>
      </c>
      <c r="I4867">
        <v>10</v>
      </c>
    </row>
    <row r="4868" spans="1:9" x14ac:dyDescent="0.2">
      <c r="A4868">
        <v>23223488</v>
      </c>
      <c r="B4868">
        <v>2</v>
      </c>
      <c r="C4868">
        <v>3243</v>
      </c>
      <c r="D4868">
        <v>0</v>
      </c>
      <c r="E4868">
        <v>26</v>
      </c>
      <c r="F4868" t="s">
        <v>47</v>
      </c>
      <c r="G4868" t="s">
        <v>75</v>
      </c>
      <c r="H4868" t="s">
        <v>46</v>
      </c>
      <c r="I4868">
        <v>10</v>
      </c>
    </row>
    <row r="4869" spans="1:9" x14ac:dyDescent="0.2">
      <c r="A4869">
        <v>23223488</v>
      </c>
      <c r="B4869">
        <v>3</v>
      </c>
      <c r="C4869">
        <v>3248</v>
      </c>
      <c r="D4869">
        <v>0</v>
      </c>
      <c r="E4869">
        <v>26</v>
      </c>
      <c r="F4869" t="s">
        <v>47</v>
      </c>
      <c r="G4869" t="s">
        <v>92</v>
      </c>
      <c r="H4869" t="s">
        <v>46</v>
      </c>
      <c r="I4869">
        <v>10</v>
      </c>
    </row>
    <row r="4870" spans="1:9" x14ac:dyDescent="0.2">
      <c r="A4870">
        <v>23236837</v>
      </c>
      <c r="B4870">
        <v>1</v>
      </c>
      <c r="C4870">
        <v>3252</v>
      </c>
      <c r="D4870">
        <v>46550</v>
      </c>
      <c r="E4870">
        <v>25</v>
      </c>
      <c r="F4870" t="s">
        <v>47</v>
      </c>
      <c r="G4870" t="s">
        <v>45</v>
      </c>
      <c r="H4870" t="s">
        <v>46</v>
      </c>
      <c r="I4870">
        <v>10</v>
      </c>
    </row>
    <row r="4871" spans="1:9" x14ac:dyDescent="0.2">
      <c r="A4871">
        <v>23236837</v>
      </c>
      <c r="B4871">
        <v>2</v>
      </c>
      <c r="C4871">
        <v>3243</v>
      </c>
      <c r="D4871">
        <v>46915</v>
      </c>
      <c r="E4871">
        <v>25</v>
      </c>
      <c r="F4871" t="s">
        <v>47</v>
      </c>
      <c r="G4871" t="s">
        <v>75</v>
      </c>
      <c r="H4871" t="s">
        <v>46</v>
      </c>
      <c r="I4871">
        <v>10</v>
      </c>
    </row>
    <row r="4872" spans="1:9" x14ac:dyDescent="0.2">
      <c r="A4872">
        <v>23236837</v>
      </c>
      <c r="B4872">
        <v>3</v>
      </c>
      <c r="C4872">
        <v>3261</v>
      </c>
      <c r="D4872">
        <v>46270</v>
      </c>
      <c r="E4872">
        <v>25</v>
      </c>
      <c r="F4872" t="s">
        <v>47</v>
      </c>
      <c r="G4872" t="s">
        <v>93</v>
      </c>
      <c r="H4872" t="s">
        <v>46</v>
      </c>
      <c r="I4872">
        <v>10</v>
      </c>
    </row>
    <row r="4873" spans="1:9" x14ac:dyDescent="0.2">
      <c r="A4873">
        <v>23252721</v>
      </c>
      <c r="B4873">
        <v>1</v>
      </c>
      <c r="C4873">
        <v>3243</v>
      </c>
      <c r="D4873">
        <v>0</v>
      </c>
      <c r="E4873">
        <v>36</v>
      </c>
      <c r="F4873" t="s">
        <v>47</v>
      </c>
      <c r="G4873" t="s">
        <v>75</v>
      </c>
      <c r="H4873" t="s">
        <v>46</v>
      </c>
      <c r="I4873">
        <v>10</v>
      </c>
    </row>
    <row r="4874" spans="1:9" x14ac:dyDescent="0.2">
      <c r="A4874">
        <v>23252721</v>
      </c>
      <c r="B4874">
        <v>2</v>
      </c>
      <c r="C4874">
        <v>3248</v>
      </c>
      <c r="D4874">
        <v>0</v>
      </c>
      <c r="E4874">
        <v>36</v>
      </c>
      <c r="F4874" t="s">
        <v>47</v>
      </c>
      <c r="G4874" t="s">
        <v>92</v>
      </c>
      <c r="H4874" t="s">
        <v>46</v>
      </c>
      <c r="I4874">
        <v>10</v>
      </c>
    </row>
    <row r="4875" spans="1:9" x14ac:dyDescent="0.2">
      <c r="A4875">
        <v>23252721</v>
      </c>
      <c r="B4875">
        <v>3</v>
      </c>
      <c r="C4875">
        <v>3261</v>
      </c>
      <c r="D4875">
        <v>0</v>
      </c>
      <c r="E4875">
        <v>36</v>
      </c>
      <c r="F4875" t="s">
        <v>47</v>
      </c>
      <c r="G4875" t="s">
        <v>93</v>
      </c>
      <c r="H4875" t="s">
        <v>46</v>
      </c>
      <c r="I4875">
        <v>10</v>
      </c>
    </row>
    <row r="4876" spans="1:9" x14ac:dyDescent="0.2">
      <c r="A4876">
        <v>23280423</v>
      </c>
      <c r="B4876">
        <v>1</v>
      </c>
      <c r="C4876">
        <v>1728</v>
      </c>
      <c r="D4876">
        <v>62525</v>
      </c>
      <c r="E4876">
        <v>25</v>
      </c>
      <c r="F4876" t="s">
        <v>57</v>
      </c>
      <c r="G4876" t="s">
        <v>103</v>
      </c>
      <c r="H4876" t="s">
        <v>69</v>
      </c>
      <c r="I4876">
        <v>10</v>
      </c>
    </row>
    <row r="4877" spans="1:9" x14ac:dyDescent="0.2">
      <c r="A4877">
        <v>23280423</v>
      </c>
      <c r="B4877">
        <v>2</v>
      </c>
      <c r="C4877">
        <v>1786</v>
      </c>
      <c r="D4877">
        <v>63050</v>
      </c>
      <c r="E4877">
        <v>24</v>
      </c>
      <c r="F4877" t="s">
        <v>57</v>
      </c>
      <c r="G4877" t="s">
        <v>103</v>
      </c>
      <c r="H4877" t="s">
        <v>56</v>
      </c>
      <c r="I4877">
        <v>10</v>
      </c>
    </row>
    <row r="4878" spans="1:9" x14ac:dyDescent="0.2">
      <c r="A4878">
        <v>23280423</v>
      </c>
      <c r="B4878">
        <v>3</v>
      </c>
      <c r="C4878">
        <v>1701</v>
      </c>
      <c r="D4878">
        <v>0</v>
      </c>
      <c r="E4878">
        <v>26</v>
      </c>
      <c r="F4878" t="s">
        <v>57</v>
      </c>
      <c r="G4878" t="s">
        <v>96</v>
      </c>
      <c r="H4878" t="s">
        <v>69</v>
      </c>
      <c r="I4878">
        <v>10</v>
      </c>
    </row>
    <row r="4879" spans="1:9" x14ac:dyDescent="0.2">
      <c r="A4879">
        <v>23280423</v>
      </c>
      <c r="B4879">
        <v>4</v>
      </c>
      <c r="C4879">
        <v>1708</v>
      </c>
      <c r="D4879">
        <v>0</v>
      </c>
      <c r="E4879">
        <v>26</v>
      </c>
      <c r="F4879" t="s">
        <v>57</v>
      </c>
      <c r="G4879" t="s">
        <v>80</v>
      </c>
      <c r="H4879" t="s">
        <v>79</v>
      </c>
      <c r="I4879">
        <v>10</v>
      </c>
    </row>
    <row r="4880" spans="1:9" x14ac:dyDescent="0.2">
      <c r="A4880">
        <v>23324403</v>
      </c>
      <c r="B4880">
        <v>1</v>
      </c>
      <c r="C4880">
        <v>3242</v>
      </c>
      <c r="D4880">
        <v>49420</v>
      </c>
      <c r="E4880">
        <v>25</v>
      </c>
      <c r="F4880" t="s">
        <v>47</v>
      </c>
      <c r="G4880" t="s">
        <v>90</v>
      </c>
      <c r="H4880" t="s">
        <v>46</v>
      </c>
      <c r="I4880">
        <v>10</v>
      </c>
    </row>
    <row r="4881" spans="1:9" x14ac:dyDescent="0.2">
      <c r="A4881">
        <v>23324403</v>
      </c>
      <c r="B4881">
        <v>2</v>
      </c>
      <c r="C4881">
        <v>3243</v>
      </c>
      <c r="D4881">
        <v>49370</v>
      </c>
      <c r="E4881">
        <v>25</v>
      </c>
      <c r="F4881" t="s">
        <v>47</v>
      </c>
      <c r="G4881" t="s">
        <v>75</v>
      </c>
      <c r="H4881" t="s">
        <v>46</v>
      </c>
      <c r="I4881">
        <v>10</v>
      </c>
    </row>
    <row r="4882" spans="1:9" x14ac:dyDescent="0.2">
      <c r="A4882">
        <v>23324403</v>
      </c>
      <c r="B4882">
        <v>3</v>
      </c>
      <c r="C4882">
        <v>3239</v>
      </c>
      <c r="D4882">
        <v>50150</v>
      </c>
      <c r="E4882">
        <v>25</v>
      </c>
      <c r="F4882" t="s">
        <v>47</v>
      </c>
      <c r="G4882" t="s">
        <v>107</v>
      </c>
      <c r="H4882" t="s">
        <v>46</v>
      </c>
      <c r="I4882">
        <v>10</v>
      </c>
    </row>
    <row r="4883" spans="1:9" x14ac:dyDescent="0.2">
      <c r="A4883">
        <v>23324403</v>
      </c>
      <c r="B4883">
        <v>4</v>
      </c>
      <c r="C4883">
        <v>3248</v>
      </c>
      <c r="D4883">
        <v>49330</v>
      </c>
      <c r="E4883">
        <v>25</v>
      </c>
      <c r="F4883" t="s">
        <v>47</v>
      </c>
      <c r="G4883" t="s">
        <v>92</v>
      </c>
      <c r="H4883" t="s">
        <v>46</v>
      </c>
      <c r="I4883">
        <v>10</v>
      </c>
    </row>
    <row r="4884" spans="1:9" x14ac:dyDescent="0.2">
      <c r="A4884">
        <v>23324403</v>
      </c>
      <c r="B4884">
        <v>5</v>
      </c>
      <c r="C4884">
        <v>3246</v>
      </c>
      <c r="D4884">
        <v>49305</v>
      </c>
      <c r="E4884">
        <v>25</v>
      </c>
      <c r="F4884" t="s">
        <v>47</v>
      </c>
      <c r="G4884" t="s">
        <v>91</v>
      </c>
      <c r="H4884" t="s">
        <v>74</v>
      </c>
      <c r="I4884">
        <v>10</v>
      </c>
    </row>
    <row r="4885" spans="1:9" x14ac:dyDescent="0.2">
      <c r="A4885">
        <v>23324403</v>
      </c>
      <c r="B4885">
        <v>6</v>
      </c>
      <c r="C4885">
        <v>3252</v>
      </c>
      <c r="D4885">
        <v>49305</v>
      </c>
      <c r="E4885">
        <v>25</v>
      </c>
      <c r="F4885" t="s">
        <v>47</v>
      </c>
      <c r="G4885" t="s">
        <v>45</v>
      </c>
      <c r="H4885" t="s">
        <v>46</v>
      </c>
      <c r="I4885">
        <v>10</v>
      </c>
    </row>
    <row r="4886" spans="1:9" x14ac:dyDescent="0.2">
      <c r="A4886">
        <v>23324403</v>
      </c>
      <c r="B4886">
        <v>7</v>
      </c>
      <c r="C4886">
        <v>3251</v>
      </c>
      <c r="D4886">
        <v>50315</v>
      </c>
      <c r="E4886">
        <v>24</v>
      </c>
      <c r="F4886" t="s">
        <v>47</v>
      </c>
      <c r="G4886" t="s">
        <v>48</v>
      </c>
      <c r="H4886" t="s">
        <v>46</v>
      </c>
      <c r="I4886">
        <v>10</v>
      </c>
    </row>
    <row r="4887" spans="1:9" x14ac:dyDescent="0.2">
      <c r="A4887">
        <v>23324403</v>
      </c>
      <c r="B4887">
        <v>8</v>
      </c>
      <c r="C4887">
        <v>3261</v>
      </c>
      <c r="D4887">
        <v>0</v>
      </c>
      <c r="E4887">
        <v>26</v>
      </c>
      <c r="F4887" t="s">
        <v>47</v>
      </c>
      <c r="G4887" t="s">
        <v>93</v>
      </c>
      <c r="H4887" t="s">
        <v>46</v>
      </c>
      <c r="I4887">
        <v>10</v>
      </c>
    </row>
    <row r="4888" spans="1:9" x14ac:dyDescent="0.2">
      <c r="A4888">
        <v>23336986</v>
      </c>
      <c r="B4888">
        <v>1</v>
      </c>
      <c r="C4888">
        <v>3200</v>
      </c>
      <c r="D4888">
        <v>54180</v>
      </c>
      <c r="E4888">
        <v>24</v>
      </c>
      <c r="F4888" t="s">
        <v>47</v>
      </c>
      <c r="G4888" t="s">
        <v>18</v>
      </c>
      <c r="H4888" t="s">
        <v>46</v>
      </c>
      <c r="I4888">
        <v>10</v>
      </c>
    </row>
    <row r="4889" spans="1:9" x14ac:dyDescent="0.2">
      <c r="A4889">
        <v>23336986</v>
      </c>
      <c r="B4889">
        <v>2</v>
      </c>
      <c r="C4889">
        <v>3296</v>
      </c>
      <c r="D4889">
        <v>0</v>
      </c>
      <c r="E4889">
        <v>26</v>
      </c>
      <c r="F4889" t="s">
        <v>47</v>
      </c>
      <c r="G4889" t="s">
        <v>100</v>
      </c>
      <c r="H4889" t="s">
        <v>46</v>
      </c>
      <c r="I4889">
        <v>10</v>
      </c>
    </row>
    <row r="4890" spans="1:9" x14ac:dyDescent="0.2">
      <c r="A4890">
        <v>23336986</v>
      </c>
      <c r="B4890">
        <v>3</v>
      </c>
      <c r="C4890">
        <v>3212</v>
      </c>
      <c r="D4890">
        <v>0</v>
      </c>
      <c r="E4890">
        <v>26</v>
      </c>
      <c r="F4890" t="s">
        <v>47</v>
      </c>
      <c r="G4890" t="s">
        <v>84</v>
      </c>
      <c r="H4890" t="s">
        <v>46</v>
      </c>
      <c r="I4890">
        <v>10</v>
      </c>
    </row>
    <row r="4891" spans="1:9" x14ac:dyDescent="0.2">
      <c r="A4891">
        <v>23439621</v>
      </c>
      <c r="B4891">
        <v>1</v>
      </c>
      <c r="C4891">
        <v>1155</v>
      </c>
      <c r="D4891">
        <v>69590</v>
      </c>
      <c r="E4891">
        <v>25</v>
      </c>
      <c r="F4891" t="s">
        <v>17</v>
      </c>
      <c r="G4891" t="s">
        <v>62</v>
      </c>
      <c r="H4891" t="s">
        <v>16</v>
      </c>
      <c r="I4891" t="s">
        <v>448</v>
      </c>
    </row>
    <row r="4892" spans="1:9" x14ac:dyDescent="0.2">
      <c r="A4892">
        <v>23439621</v>
      </c>
      <c r="B4892">
        <v>2</v>
      </c>
      <c r="C4892">
        <v>1221</v>
      </c>
      <c r="D4892">
        <v>69590</v>
      </c>
      <c r="E4892">
        <v>24</v>
      </c>
      <c r="F4892" t="s">
        <v>19</v>
      </c>
      <c r="G4892" t="s">
        <v>63</v>
      </c>
      <c r="H4892" t="s">
        <v>16</v>
      </c>
      <c r="I4892" t="s">
        <v>448</v>
      </c>
    </row>
    <row r="4893" spans="1:9" x14ac:dyDescent="0.2">
      <c r="A4893">
        <v>23439621</v>
      </c>
      <c r="B4893">
        <v>3</v>
      </c>
      <c r="C4893">
        <v>1324</v>
      </c>
      <c r="D4893">
        <v>0</v>
      </c>
      <c r="E4893">
        <v>26</v>
      </c>
      <c r="F4893" t="s">
        <v>21</v>
      </c>
      <c r="G4893" t="s">
        <v>63</v>
      </c>
      <c r="H4893" t="s">
        <v>20</v>
      </c>
      <c r="I4893">
        <v>8</v>
      </c>
    </row>
    <row r="4894" spans="1:9" x14ac:dyDescent="0.2">
      <c r="A4894">
        <v>23439621</v>
      </c>
      <c r="B4894">
        <v>4</v>
      </c>
      <c r="C4894">
        <v>1782</v>
      </c>
      <c r="D4894">
        <v>0</v>
      </c>
      <c r="E4894">
        <v>26</v>
      </c>
      <c r="F4894" t="s">
        <v>57</v>
      </c>
      <c r="G4894" t="s">
        <v>63</v>
      </c>
      <c r="H4894" t="s">
        <v>69</v>
      </c>
      <c r="I4894">
        <v>10</v>
      </c>
    </row>
    <row r="4895" spans="1:9" x14ac:dyDescent="0.2">
      <c r="A4895">
        <v>23439621</v>
      </c>
      <c r="B4895">
        <v>5</v>
      </c>
      <c r="C4895">
        <v>1168</v>
      </c>
      <c r="D4895">
        <v>0</v>
      </c>
      <c r="E4895">
        <v>16</v>
      </c>
      <c r="F4895" t="s">
        <v>17</v>
      </c>
      <c r="G4895" t="s">
        <v>246</v>
      </c>
      <c r="H4895" t="s">
        <v>16</v>
      </c>
      <c r="I4895" t="s">
        <v>448</v>
      </c>
    </row>
    <row r="4896" spans="1:9" x14ac:dyDescent="0.2">
      <c r="A4896">
        <v>23439621</v>
      </c>
      <c r="B4896">
        <v>6</v>
      </c>
      <c r="C4896">
        <v>1246</v>
      </c>
      <c r="D4896">
        <v>0</v>
      </c>
      <c r="E4896">
        <v>16</v>
      </c>
      <c r="F4896" t="s">
        <v>19</v>
      </c>
      <c r="G4896" t="s">
        <v>245</v>
      </c>
      <c r="H4896" t="s">
        <v>16</v>
      </c>
      <c r="I4896" t="s">
        <v>448</v>
      </c>
    </row>
    <row r="4897" spans="1:9" x14ac:dyDescent="0.2">
      <c r="A4897">
        <v>23439621</v>
      </c>
      <c r="B4897">
        <v>7</v>
      </c>
      <c r="C4897">
        <v>1331</v>
      </c>
      <c r="D4897">
        <v>0</v>
      </c>
      <c r="E4897">
        <v>26</v>
      </c>
      <c r="F4897" t="s">
        <v>21</v>
      </c>
      <c r="G4897" t="s">
        <v>89</v>
      </c>
      <c r="H4897" t="s">
        <v>20</v>
      </c>
      <c r="I4897">
        <v>8</v>
      </c>
    </row>
    <row r="4898" spans="1:9" x14ac:dyDescent="0.2">
      <c r="A4898">
        <v>23439621</v>
      </c>
      <c r="B4898">
        <v>8</v>
      </c>
      <c r="C4898">
        <v>1237</v>
      </c>
      <c r="D4898">
        <v>0</v>
      </c>
      <c r="E4898">
        <v>16</v>
      </c>
      <c r="F4898" t="s">
        <v>19</v>
      </c>
      <c r="G4898" t="s">
        <v>65</v>
      </c>
      <c r="H4898" t="s">
        <v>16</v>
      </c>
      <c r="I4898" t="s">
        <v>448</v>
      </c>
    </row>
    <row r="4899" spans="1:9" x14ac:dyDescent="0.2">
      <c r="A4899">
        <v>23441018</v>
      </c>
      <c r="B4899">
        <v>1</v>
      </c>
      <c r="C4899">
        <v>3234</v>
      </c>
      <c r="D4899">
        <v>53770</v>
      </c>
      <c r="E4899">
        <v>25</v>
      </c>
      <c r="F4899" t="s">
        <v>47</v>
      </c>
      <c r="G4899" t="s">
        <v>76</v>
      </c>
      <c r="H4899" t="s">
        <v>46</v>
      </c>
      <c r="I4899">
        <v>10</v>
      </c>
    </row>
    <row r="4900" spans="1:9" x14ac:dyDescent="0.2">
      <c r="A4900">
        <v>23441018</v>
      </c>
      <c r="B4900">
        <v>2</v>
      </c>
      <c r="C4900">
        <v>3243</v>
      </c>
      <c r="D4900">
        <v>55200</v>
      </c>
      <c r="E4900">
        <v>24</v>
      </c>
      <c r="F4900" t="s">
        <v>47</v>
      </c>
      <c r="G4900" t="s">
        <v>75</v>
      </c>
      <c r="H4900" t="s">
        <v>46</v>
      </c>
      <c r="I4900">
        <v>10</v>
      </c>
    </row>
    <row r="4901" spans="1:9" x14ac:dyDescent="0.2">
      <c r="A4901">
        <v>23441018</v>
      </c>
      <c r="B4901">
        <v>3</v>
      </c>
      <c r="C4901">
        <v>3261</v>
      </c>
      <c r="D4901">
        <v>0</v>
      </c>
      <c r="E4901">
        <v>26</v>
      </c>
      <c r="F4901" t="s">
        <v>47</v>
      </c>
      <c r="G4901" t="s">
        <v>93</v>
      </c>
      <c r="H4901" t="s">
        <v>46</v>
      </c>
      <c r="I4901">
        <v>10</v>
      </c>
    </row>
    <row r="4902" spans="1:9" x14ac:dyDescent="0.2">
      <c r="A4902">
        <v>23441018</v>
      </c>
      <c r="B4902">
        <v>4</v>
      </c>
      <c r="C4902">
        <v>3740</v>
      </c>
      <c r="D4902">
        <v>0</v>
      </c>
      <c r="E4902">
        <v>26</v>
      </c>
      <c r="F4902" t="s">
        <v>116</v>
      </c>
      <c r="G4902" t="s">
        <v>63</v>
      </c>
      <c r="H4902" t="s">
        <v>61</v>
      </c>
      <c r="I4902">
        <v>9</v>
      </c>
    </row>
    <row r="4903" spans="1:9" x14ac:dyDescent="0.2">
      <c r="A4903">
        <v>23441018</v>
      </c>
      <c r="B4903">
        <v>5</v>
      </c>
      <c r="C4903">
        <v>1782</v>
      </c>
      <c r="D4903">
        <v>0</v>
      </c>
      <c r="E4903">
        <v>26</v>
      </c>
      <c r="F4903" t="s">
        <v>57</v>
      </c>
      <c r="G4903" t="s">
        <v>63</v>
      </c>
      <c r="H4903" t="s">
        <v>69</v>
      </c>
      <c r="I4903">
        <v>10</v>
      </c>
    </row>
    <row r="4904" spans="1:9" x14ac:dyDescent="0.2">
      <c r="A4904">
        <v>23441018</v>
      </c>
      <c r="B4904">
        <v>6</v>
      </c>
      <c r="C4904">
        <v>1777</v>
      </c>
      <c r="D4904">
        <v>0</v>
      </c>
      <c r="E4904">
        <v>26</v>
      </c>
      <c r="F4904" t="s">
        <v>57</v>
      </c>
      <c r="G4904" t="s">
        <v>88</v>
      </c>
      <c r="H4904" t="s">
        <v>69</v>
      </c>
      <c r="I4904">
        <v>10</v>
      </c>
    </row>
    <row r="4905" spans="1:9" x14ac:dyDescent="0.2">
      <c r="A4905">
        <v>23453288</v>
      </c>
      <c r="B4905">
        <v>1</v>
      </c>
      <c r="C4905">
        <v>1714</v>
      </c>
      <c r="D4905">
        <v>61210</v>
      </c>
      <c r="E4905">
        <v>24</v>
      </c>
      <c r="F4905" t="s">
        <v>57</v>
      </c>
      <c r="G4905" t="s">
        <v>95</v>
      </c>
      <c r="H4905" t="s">
        <v>69</v>
      </c>
      <c r="I4905">
        <v>10</v>
      </c>
    </row>
    <row r="4906" spans="1:9" x14ac:dyDescent="0.2">
      <c r="A4906">
        <v>23453288</v>
      </c>
      <c r="B4906">
        <v>2</v>
      </c>
      <c r="C4906">
        <v>1776</v>
      </c>
      <c r="D4906">
        <v>0</v>
      </c>
      <c r="E4906">
        <v>26</v>
      </c>
      <c r="F4906" t="s">
        <v>57</v>
      </c>
      <c r="G4906" t="s">
        <v>124</v>
      </c>
      <c r="H4906" t="s">
        <v>125</v>
      </c>
      <c r="I4906">
        <v>10</v>
      </c>
    </row>
    <row r="4907" spans="1:9" x14ac:dyDescent="0.2">
      <c r="A4907">
        <v>23453288</v>
      </c>
      <c r="B4907">
        <v>3</v>
      </c>
      <c r="C4907">
        <v>1753</v>
      </c>
      <c r="D4907">
        <v>0</v>
      </c>
      <c r="E4907">
        <v>26</v>
      </c>
      <c r="F4907" t="s">
        <v>57</v>
      </c>
      <c r="G4907" t="s">
        <v>105</v>
      </c>
      <c r="H4907" t="s">
        <v>69</v>
      </c>
      <c r="I4907">
        <v>10</v>
      </c>
    </row>
    <row r="4908" spans="1:9" x14ac:dyDescent="0.2">
      <c r="A4908">
        <v>23453288</v>
      </c>
      <c r="B4908">
        <v>4</v>
      </c>
      <c r="C4908">
        <v>1711</v>
      </c>
      <c r="D4908">
        <v>0</v>
      </c>
      <c r="E4908">
        <v>26</v>
      </c>
      <c r="F4908" t="s">
        <v>57</v>
      </c>
      <c r="G4908" t="s">
        <v>201</v>
      </c>
      <c r="H4908" t="s">
        <v>69</v>
      </c>
      <c r="I4908">
        <v>10</v>
      </c>
    </row>
    <row r="4909" spans="1:9" x14ac:dyDescent="0.2">
      <c r="A4909">
        <v>23453288</v>
      </c>
      <c r="B4909">
        <v>5</v>
      </c>
      <c r="C4909">
        <v>1701</v>
      </c>
      <c r="D4909">
        <v>0</v>
      </c>
      <c r="E4909">
        <v>26</v>
      </c>
      <c r="F4909" t="s">
        <v>57</v>
      </c>
      <c r="G4909" t="s">
        <v>96</v>
      </c>
      <c r="H4909" t="s">
        <v>69</v>
      </c>
      <c r="I4909">
        <v>10</v>
      </c>
    </row>
    <row r="4910" spans="1:9" x14ac:dyDescent="0.2">
      <c r="A4910">
        <v>23477080</v>
      </c>
      <c r="B4910">
        <v>1</v>
      </c>
      <c r="C4910">
        <v>3200</v>
      </c>
      <c r="D4910">
        <v>50700</v>
      </c>
      <c r="E4910">
        <v>24</v>
      </c>
      <c r="F4910" t="s">
        <v>47</v>
      </c>
      <c r="G4910" t="s">
        <v>18</v>
      </c>
      <c r="H4910" t="s">
        <v>46</v>
      </c>
      <c r="I4910">
        <v>10</v>
      </c>
    </row>
    <row r="4911" spans="1:9" x14ac:dyDescent="0.2">
      <c r="A4911">
        <v>23477080</v>
      </c>
      <c r="B4911">
        <v>2</v>
      </c>
      <c r="C4911">
        <v>3211</v>
      </c>
      <c r="D4911">
        <v>0</v>
      </c>
      <c r="E4911">
        <v>26</v>
      </c>
      <c r="F4911" t="s">
        <v>47</v>
      </c>
      <c r="G4911" t="s">
        <v>99</v>
      </c>
      <c r="H4911" t="s">
        <v>46</v>
      </c>
      <c r="I4911">
        <v>10</v>
      </c>
    </row>
    <row r="4912" spans="1:9" x14ac:dyDescent="0.2">
      <c r="A4912">
        <v>23477080</v>
      </c>
      <c r="B4912">
        <v>3</v>
      </c>
      <c r="C4912">
        <v>3212</v>
      </c>
      <c r="D4912">
        <v>0</v>
      </c>
      <c r="E4912">
        <v>26</v>
      </c>
      <c r="F4912" t="s">
        <v>47</v>
      </c>
      <c r="G4912" t="s">
        <v>84</v>
      </c>
      <c r="H4912" t="s">
        <v>46</v>
      </c>
      <c r="I4912">
        <v>10</v>
      </c>
    </row>
    <row r="4913" spans="1:9" x14ac:dyDescent="0.2">
      <c r="A4913">
        <v>23477080</v>
      </c>
      <c r="B4913">
        <v>4</v>
      </c>
      <c r="C4913">
        <v>3213</v>
      </c>
      <c r="D4913">
        <v>0</v>
      </c>
      <c r="E4913">
        <v>26</v>
      </c>
      <c r="F4913" t="s">
        <v>47</v>
      </c>
      <c r="G4913" t="s">
        <v>158</v>
      </c>
      <c r="H4913" t="s">
        <v>74</v>
      </c>
      <c r="I4913">
        <v>10</v>
      </c>
    </row>
    <row r="4914" spans="1:9" x14ac:dyDescent="0.2">
      <c r="A4914">
        <v>23477080</v>
      </c>
      <c r="B4914">
        <v>5</v>
      </c>
      <c r="C4914">
        <v>3226</v>
      </c>
      <c r="D4914">
        <v>0</v>
      </c>
      <c r="E4914">
        <v>26</v>
      </c>
      <c r="F4914" t="s">
        <v>47</v>
      </c>
      <c r="G4914" t="s">
        <v>96</v>
      </c>
      <c r="H4914" t="s">
        <v>46</v>
      </c>
      <c r="I4914">
        <v>10</v>
      </c>
    </row>
    <row r="4915" spans="1:9" x14ac:dyDescent="0.2">
      <c r="A4915">
        <v>23477080</v>
      </c>
      <c r="B4915">
        <v>6</v>
      </c>
      <c r="C4915">
        <v>3225</v>
      </c>
      <c r="D4915">
        <v>0</v>
      </c>
      <c r="E4915">
        <v>26</v>
      </c>
      <c r="F4915" t="s">
        <v>47</v>
      </c>
      <c r="G4915" t="s">
        <v>106</v>
      </c>
      <c r="H4915" t="s">
        <v>46</v>
      </c>
      <c r="I4915">
        <v>10</v>
      </c>
    </row>
    <row r="4916" spans="1:9" x14ac:dyDescent="0.2">
      <c r="A4916">
        <v>23477080</v>
      </c>
      <c r="B4916">
        <v>7</v>
      </c>
      <c r="C4916">
        <v>3261</v>
      </c>
      <c r="D4916">
        <v>0</v>
      </c>
      <c r="E4916">
        <v>26</v>
      </c>
      <c r="F4916" t="s">
        <v>47</v>
      </c>
      <c r="G4916" t="s">
        <v>93</v>
      </c>
      <c r="H4916" t="s">
        <v>46</v>
      </c>
      <c r="I4916">
        <v>10</v>
      </c>
    </row>
    <row r="4917" spans="1:9" x14ac:dyDescent="0.2">
      <c r="A4917">
        <v>23477080</v>
      </c>
      <c r="B4917">
        <v>8</v>
      </c>
      <c r="C4917">
        <v>3214</v>
      </c>
      <c r="D4917">
        <v>0</v>
      </c>
      <c r="E4917">
        <v>26</v>
      </c>
      <c r="F4917" t="s">
        <v>47</v>
      </c>
      <c r="G4917" t="s">
        <v>98</v>
      </c>
      <c r="H4917" t="s">
        <v>74</v>
      </c>
      <c r="I4917">
        <v>10</v>
      </c>
    </row>
    <row r="4918" spans="1:9" x14ac:dyDescent="0.2">
      <c r="A4918">
        <v>23496643</v>
      </c>
      <c r="B4918">
        <v>1</v>
      </c>
      <c r="C4918">
        <v>3251</v>
      </c>
      <c r="D4918">
        <v>0</v>
      </c>
      <c r="E4918">
        <v>36</v>
      </c>
      <c r="F4918" t="s">
        <v>47</v>
      </c>
      <c r="G4918" t="s">
        <v>48</v>
      </c>
      <c r="H4918" t="s">
        <v>46</v>
      </c>
      <c r="I4918">
        <v>10</v>
      </c>
    </row>
    <row r="4919" spans="1:9" x14ac:dyDescent="0.2">
      <c r="A4919">
        <v>23496643</v>
      </c>
      <c r="B4919">
        <v>2</v>
      </c>
      <c r="C4919">
        <v>3248</v>
      </c>
      <c r="D4919">
        <v>0</v>
      </c>
      <c r="E4919">
        <v>36</v>
      </c>
      <c r="F4919" t="s">
        <v>47</v>
      </c>
      <c r="G4919" t="s">
        <v>92</v>
      </c>
      <c r="H4919" t="s">
        <v>46</v>
      </c>
      <c r="I4919">
        <v>10</v>
      </c>
    </row>
    <row r="4920" spans="1:9" x14ac:dyDescent="0.2">
      <c r="A4920">
        <v>23504764</v>
      </c>
      <c r="B4920">
        <v>1</v>
      </c>
      <c r="C4920">
        <v>1186</v>
      </c>
      <c r="D4920">
        <v>67425</v>
      </c>
      <c r="E4920">
        <v>25</v>
      </c>
      <c r="F4920" t="s">
        <v>17</v>
      </c>
      <c r="G4920" t="s">
        <v>444</v>
      </c>
      <c r="H4920" t="s">
        <v>16</v>
      </c>
      <c r="I4920" t="s">
        <v>448</v>
      </c>
    </row>
    <row r="4921" spans="1:9" x14ac:dyDescent="0.2">
      <c r="A4921">
        <v>23504764</v>
      </c>
      <c r="B4921">
        <v>2</v>
      </c>
      <c r="C4921">
        <v>1130</v>
      </c>
      <c r="D4921">
        <v>67520</v>
      </c>
      <c r="E4921">
        <v>25</v>
      </c>
      <c r="F4921" t="s">
        <v>17</v>
      </c>
      <c r="G4921" t="s">
        <v>237</v>
      </c>
      <c r="H4921" t="s">
        <v>16</v>
      </c>
      <c r="I4921" t="s">
        <v>448</v>
      </c>
    </row>
    <row r="4922" spans="1:9" x14ac:dyDescent="0.2">
      <c r="A4922">
        <v>23504764</v>
      </c>
      <c r="B4922">
        <v>3</v>
      </c>
      <c r="C4922">
        <v>1641</v>
      </c>
      <c r="D4922">
        <v>67565</v>
      </c>
      <c r="E4922">
        <v>24</v>
      </c>
      <c r="F4922" t="s">
        <v>128</v>
      </c>
      <c r="G4922" t="s">
        <v>445</v>
      </c>
      <c r="H4922" t="s">
        <v>127</v>
      </c>
      <c r="I4922" t="s">
        <v>448</v>
      </c>
    </row>
    <row r="4923" spans="1:9" x14ac:dyDescent="0.2">
      <c r="A4923">
        <v>23504764</v>
      </c>
      <c r="B4923">
        <v>4</v>
      </c>
      <c r="C4923">
        <v>1607</v>
      </c>
      <c r="D4923">
        <v>0</v>
      </c>
      <c r="E4923">
        <v>26</v>
      </c>
      <c r="F4923" t="s">
        <v>128</v>
      </c>
      <c r="G4923" t="s">
        <v>440</v>
      </c>
      <c r="H4923" t="s">
        <v>127</v>
      </c>
      <c r="I4923" t="s">
        <v>448</v>
      </c>
    </row>
    <row r="4924" spans="1:9" x14ac:dyDescent="0.2">
      <c r="A4924">
        <v>23524355</v>
      </c>
      <c r="B4924">
        <v>1</v>
      </c>
      <c r="C4924">
        <v>1519</v>
      </c>
      <c r="D4924">
        <v>62960</v>
      </c>
      <c r="E4924">
        <v>24</v>
      </c>
      <c r="F4924" t="s">
        <v>142</v>
      </c>
      <c r="G4924" t="s">
        <v>18</v>
      </c>
      <c r="H4924" t="s">
        <v>31</v>
      </c>
      <c r="I4924">
        <v>5</v>
      </c>
    </row>
    <row r="4925" spans="1:9" x14ac:dyDescent="0.2">
      <c r="A4925">
        <v>23524355</v>
      </c>
      <c r="B4925">
        <v>2</v>
      </c>
      <c r="C4925">
        <v>1101</v>
      </c>
      <c r="D4925">
        <v>0</v>
      </c>
      <c r="E4925">
        <v>26</v>
      </c>
      <c r="F4925" t="s">
        <v>17</v>
      </c>
      <c r="G4925" t="s">
        <v>15</v>
      </c>
      <c r="H4925" t="s">
        <v>16</v>
      </c>
      <c r="I4925" t="s">
        <v>448</v>
      </c>
    </row>
    <row r="4926" spans="1:9" x14ac:dyDescent="0.2">
      <c r="A4926">
        <v>23524355</v>
      </c>
      <c r="B4926">
        <v>3</v>
      </c>
      <c r="C4926">
        <v>1380</v>
      </c>
      <c r="D4926">
        <v>0</v>
      </c>
      <c r="E4926">
        <v>26</v>
      </c>
      <c r="F4926" t="s">
        <v>21</v>
      </c>
      <c r="G4926" t="s">
        <v>18</v>
      </c>
      <c r="H4926" t="s">
        <v>20</v>
      </c>
      <c r="I4926">
        <v>8</v>
      </c>
    </row>
    <row r="4927" spans="1:9" x14ac:dyDescent="0.2">
      <c r="A4927">
        <v>23524355</v>
      </c>
      <c r="B4927">
        <v>4</v>
      </c>
      <c r="C4927">
        <v>1733</v>
      </c>
      <c r="D4927">
        <v>0</v>
      </c>
      <c r="E4927">
        <v>26</v>
      </c>
      <c r="F4927" t="s">
        <v>57</v>
      </c>
      <c r="G4927" t="s">
        <v>18</v>
      </c>
      <c r="H4927" t="s">
        <v>69</v>
      </c>
      <c r="I4927">
        <v>10</v>
      </c>
    </row>
    <row r="4928" spans="1:9" x14ac:dyDescent="0.2">
      <c r="A4928">
        <v>23527554</v>
      </c>
      <c r="B4928">
        <v>1</v>
      </c>
      <c r="C4928">
        <v>1255</v>
      </c>
      <c r="D4928">
        <v>61025</v>
      </c>
      <c r="E4928">
        <v>25</v>
      </c>
      <c r="F4928" t="s">
        <v>19</v>
      </c>
      <c r="G4928" t="s">
        <v>292</v>
      </c>
      <c r="H4928" t="s">
        <v>16</v>
      </c>
      <c r="I4928" t="s">
        <v>448</v>
      </c>
    </row>
    <row r="4929" spans="1:9" x14ac:dyDescent="0.2">
      <c r="A4929">
        <v>23527554</v>
      </c>
      <c r="B4929">
        <v>2</v>
      </c>
      <c r="C4929">
        <v>1137</v>
      </c>
      <c r="D4929">
        <v>60085</v>
      </c>
      <c r="E4929">
        <v>25</v>
      </c>
      <c r="F4929" t="s">
        <v>17</v>
      </c>
      <c r="G4929" t="s">
        <v>291</v>
      </c>
      <c r="H4929" t="s">
        <v>16</v>
      </c>
      <c r="I4929" t="s">
        <v>448</v>
      </c>
    </row>
    <row r="4930" spans="1:9" x14ac:dyDescent="0.2">
      <c r="A4930">
        <v>23527554</v>
      </c>
      <c r="B4930">
        <v>3</v>
      </c>
      <c r="C4930">
        <v>1734</v>
      </c>
      <c r="D4930">
        <v>60125</v>
      </c>
      <c r="E4930">
        <v>25</v>
      </c>
      <c r="F4930" t="s">
        <v>57</v>
      </c>
      <c r="G4930" t="s">
        <v>81</v>
      </c>
      <c r="H4930" t="s">
        <v>69</v>
      </c>
      <c r="I4930">
        <v>10</v>
      </c>
    </row>
    <row r="4931" spans="1:9" x14ac:dyDescent="0.2">
      <c r="A4931">
        <v>23574961</v>
      </c>
      <c r="B4931">
        <v>1</v>
      </c>
      <c r="C4931">
        <v>1239</v>
      </c>
      <c r="D4931">
        <v>80470</v>
      </c>
      <c r="E4931">
        <v>24</v>
      </c>
      <c r="F4931" t="s">
        <v>19</v>
      </c>
      <c r="G4931" t="s">
        <v>160</v>
      </c>
      <c r="H4931" t="s">
        <v>16</v>
      </c>
      <c r="I4931" t="s">
        <v>448</v>
      </c>
    </row>
    <row r="4932" spans="1:9" x14ac:dyDescent="0.2">
      <c r="A4932">
        <v>23574961</v>
      </c>
      <c r="B4932">
        <v>2</v>
      </c>
      <c r="C4932">
        <v>1145</v>
      </c>
      <c r="D4932">
        <v>0</v>
      </c>
      <c r="E4932">
        <v>26</v>
      </c>
      <c r="F4932" t="s">
        <v>17</v>
      </c>
      <c r="G4932" t="s">
        <v>159</v>
      </c>
      <c r="H4932" t="s">
        <v>16</v>
      </c>
      <c r="I4932" t="s">
        <v>448</v>
      </c>
    </row>
    <row r="4933" spans="1:9" x14ac:dyDescent="0.2">
      <c r="A4933">
        <v>23574961</v>
      </c>
      <c r="B4933">
        <v>3</v>
      </c>
      <c r="C4933">
        <v>1525</v>
      </c>
      <c r="D4933">
        <v>0</v>
      </c>
      <c r="E4933">
        <v>26</v>
      </c>
      <c r="F4933" t="s">
        <v>142</v>
      </c>
      <c r="G4933" t="s">
        <v>152</v>
      </c>
      <c r="H4933" t="s">
        <v>31</v>
      </c>
      <c r="I4933">
        <v>5</v>
      </c>
    </row>
    <row r="4934" spans="1:9" x14ac:dyDescent="0.2">
      <c r="A4934">
        <v>23584053</v>
      </c>
      <c r="B4934">
        <v>1</v>
      </c>
      <c r="C4934">
        <v>1708</v>
      </c>
      <c r="D4934">
        <v>54720</v>
      </c>
      <c r="E4934">
        <v>24</v>
      </c>
      <c r="F4934" t="s">
        <v>57</v>
      </c>
      <c r="G4934" t="s">
        <v>80</v>
      </c>
      <c r="H4934" t="s">
        <v>79</v>
      </c>
      <c r="I4934">
        <v>10</v>
      </c>
    </row>
    <row r="4935" spans="1:9" x14ac:dyDescent="0.2">
      <c r="A4935">
        <v>23584053</v>
      </c>
      <c r="B4935">
        <v>2</v>
      </c>
      <c r="C4935">
        <v>3718</v>
      </c>
      <c r="D4935">
        <v>0</v>
      </c>
      <c r="E4935">
        <v>26</v>
      </c>
      <c r="F4935" t="s">
        <v>116</v>
      </c>
      <c r="G4935" t="s">
        <v>80</v>
      </c>
      <c r="H4935" t="s">
        <v>61</v>
      </c>
      <c r="I4935">
        <v>9</v>
      </c>
    </row>
    <row r="4936" spans="1:9" x14ac:dyDescent="0.2">
      <c r="A4936">
        <v>23584053</v>
      </c>
      <c r="B4936">
        <v>3</v>
      </c>
      <c r="C4936">
        <v>1464</v>
      </c>
      <c r="D4936">
        <v>0</v>
      </c>
      <c r="E4936">
        <v>26</v>
      </c>
      <c r="F4936" t="s">
        <v>25</v>
      </c>
      <c r="G4936" t="s">
        <v>339</v>
      </c>
      <c r="H4936" t="s">
        <v>24</v>
      </c>
      <c r="I4936">
        <v>5</v>
      </c>
    </row>
    <row r="4937" spans="1:9" x14ac:dyDescent="0.2">
      <c r="A4937">
        <v>23584053</v>
      </c>
      <c r="B4937">
        <v>4</v>
      </c>
      <c r="C4937">
        <v>1985</v>
      </c>
      <c r="D4937">
        <v>0</v>
      </c>
      <c r="E4937">
        <v>26</v>
      </c>
      <c r="F4937" t="s">
        <v>32</v>
      </c>
      <c r="G4937" t="s">
        <v>385</v>
      </c>
      <c r="H4937" t="s">
        <v>31</v>
      </c>
      <c r="I4937">
        <v>5</v>
      </c>
    </row>
    <row r="4938" spans="1:9" x14ac:dyDescent="0.2">
      <c r="A4938">
        <v>23584053</v>
      </c>
      <c r="B4938">
        <v>5</v>
      </c>
      <c r="C4938">
        <v>2927</v>
      </c>
      <c r="D4938">
        <v>0</v>
      </c>
      <c r="E4938">
        <v>26</v>
      </c>
      <c r="F4938" t="s">
        <v>119</v>
      </c>
      <c r="G4938" t="s">
        <v>165</v>
      </c>
      <c r="H4938" t="s">
        <v>20</v>
      </c>
      <c r="I4938">
        <v>8</v>
      </c>
    </row>
    <row r="4939" spans="1:9" x14ac:dyDescent="0.2">
      <c r="A4939">
        <v>23584053</v>
      </c>
      <c r="B4939">
        <v>6</v>
      </c>
      <c r="C4939">
        <v>2957</v>
      </c>
      <c r="D4939">
        <v>0</v>
      </c>
      <c r="E4939">
        <v>26</v>
      </c>
      <c r="F4939" t="s">
        <v>119</v>
      </c>
      <c r="G4939" t="s">
        <v>441</v>
      </c>
      <c r="H4939" t="s">
        <v>136</v>
      </c>
      <c r="I4939">
        <v>8</v>
      </c>
    </row>
    <row r="4940" spans="1:9" x14ac:dyDescent="0.2">
      <c r="A4940">
        <v>23584053</v>
      </c>
      <c r="B4940">
        <v>7</v>
      </c>
      <c r="C4940">
        <v>3540</v>
      </c>
      <c r="D4940">
        <v>0</v>
      </c>
      <c r="E4940">
        <v>26</v>
      </c>
      <c r="F4940" t="s">
        <v>234</v>
      </c>
      <c r="G4940" t="s">
        <v>249</v>
      </c>
      <c r="H4940" t="s">
        <v>35</v>
      </c>
      <c r="I4940">
        <v>7</v>
      </c>
    </row>
    <row r="4941" spans="1:9" x14ac:dyDescent="0.2">
      <c r="A4941">
        <v>23584053</v>
      </c>
      <c r="B4941">
        <v>8</v>
      </c>
      <c r="C4941">
        <v>1736</v>
      </c>
      <c r="D4941">
        <v>0</v>
      </c>
      <c r="E4941">
        <v>26</v>
      </c>
      <c r="F4941" t="s">
        <v>57</v>
      </c>
      <c r="G4941" t="s">
        <v>78</v>
      </c>
      <c r="H4941" t="s">
        <v>79</v>
      </c>
      <c r="I4941">
        <v>10</v>
      </c>
    </row>
    <row r="4942" spans="1:9" x14ac:dyDescent="0.2">
      <c r="A4942">
        <v>23596755</v>
      </c>
      <c r="B4942">
        <v>1</v>
      </c>
      <c r="C4942">
        <v>3740</v>
      </c>
      <c r="D4942">
        <v>61275</v>
      </c>
      <c r="E4942">
        <v>24</v>
      </c>
      <c r="F4942" t="s">
        <v>116</v>
      </c>
      <c r="G4942" t="s">
        <v>63</v>
      </c>
      <c r="H4942" t="s">
        <v>61</v>
      </c>
      <c r="I4942">
        <v>9</v>
      </c>
    </row>
    <row r="4943" spans="1:9" x14ac:dyDescent="0.2">
      <c r="A4943">
        <v>23596755</v>
      </c>
      <c r="B4943">
        <v>2</v>
      </c>
      <c r="C4943">
        <v>1782</v>
      </c>
      <c r="D4943">
        <v>0</v>
      </c>
      <c r="E4943">
        <v>26</v>
      </c>
      <c r="F4943" t="s">
        <v>57</v>
      </c>
      <c r="G4943" t="s">
        <v>63</v>
      </c>
      <c r="H4943" t="s">
        <v>69</v>
      </c>
      <c r="I4943">
        <v>10</v>
      </c>
    </row>
    <row r="4944" spans="1:9" x14ac:dyDescent="0.2">
      <c r="A4944">
        <v>23596755</v>
      </c>
      <c r="B4944">
        <v>3</v>
      </c>
      <c r="C4944">
        <v>1324</v>
      </c>
      <c r="D4944">
        <v>0</v>
      </c>
      <c r="E4944">
        <v>26</v>
      </c>
      <c r="F4944" t="s">
        <v>21</v>
      </c>
      <c r="G4944" t="s">
        <v>63</v>
      </c>
      <c r="H4944" t="s">
        <v>20</v>
      </c>
      <c r="I4944">
        <v>8</v>
      </c>
    </row>
    <row r="4945" spans="1:9" x14ac:dyDescent="0.2">
      <c r="A4945">
        <v>23596755</v>
      </c>
      <c r="B4945">
        <v>4</v>
      </c>
      <c r="C4945">
        <v>1377</v>
      </c>
      <c r="D4945">
        <v>0</v>
      </c>
      <c r="E4945">
        <v>26</v>
      </c>
      <c r="F4945" t="s">
        <v>21</v>
      </c>
      <c r="G4945" t="s">
        <v>251</v>
      </c>
      <c r="H4945" t="s">
        <v>20</v>
      </c>
      <c r="I4945">
        <v>8</v>
      </c>
    </row>
    <row r="4946" spans="1:9" x14ac:dyDescent="0.2">
      <c r="A4946">
        <v>23596755</v>
      </c>
      <c r="B4946">
        <v>5</v>
      </c>
      <c r="C4946">
        <v>1323</v>
      </c>
      <c r="D4946">
        <v>0</v>
      </c>
      <c r="E4946">
        <v>26</v>
      </c>
      <c r="F4946" t="s">
        <v>21</v>
      </c>
      <c r="G4946" t="s">
        <v>98</v>
      </c>
      <c r="H4946" t="s">
        <v>20</v>
      </c>
      <c r="I4946">
        <v>8</v>
      </c>
    </row>
    <row r="4947" spans="1:9" x14ac:dyDescent="0.2">
      <c r="A4947">
        <v>23596755</v>
      </c>
      <c r="B4947">
        <v>6</v>
      </c>
      <c r="C4947">
        <v>1788</v>
      </c>
      <c r="D4947">
        <v>0</v>
      </c>
      <c r="E4947">
        <v>26</v>
      </c>
      <c r="F4947" t="s">
        <v>57</v>
      </c>
      <c r="G4947" t="s">
        <v>97</v>
      </c>
      <c r="H4947" t="s">
        <v>56</v>
      </c>
      <c r="I4947">
        <v>10</v>
      </c>
    </row>
    <row r="4948" spans="1:9" x14ac:dyDescent="0.2">
      <c r="A4948">
        <v>23596755</v>
      </c>
      <c r="B4948">
        <v>7</v>
      </c>
      <c r="C4948">
        <v>3214</v>
      </c>
      <c r="D4948">
        <v>0</v>
      </c>
      <c r="E4948">
        <v>26</v>
      </c>
      <c r="F4948" t="s">
        <v>47</v>
      </c>
      <c r="G4948" t="s">
        <v>98</v>
      </c>
      <c r="H4948" t="s">
        <v>74</v>
      </c>
      <c r="I4948">
        <v>10</v>
      </c>
    </row>
    <row r="4949" spans="1:9" x14ac:dyDescent="0.2">
      <c r="A4949">
        <v>23612540</v>
      </c>
      <c r="B4949">
        <v>1</v>
      </c>
      <c r="C4949">
        <v>1782</v>
      </c>
      <c r="D4949">
        <v>55955</v>
      </c>
      <c r="E4949">
        <v>25</v>
      </c>
      <c r="F4949" t="s">
        <v>57</v>
      </c>
      <c r="G4949" t="s">
        <v>63</v>
      </c>
      <c r="H4949" t="s">
        <v>69</v>
      </c>
      <c r="I4949">
        <v>10</v>
      </c>
    </row>
    <row r="4950" spans="1:9" x14ac:dyDescent="0.2">
      <c r="A4950">
        <v>23612540</v>
      </c>
      <c r="B4950">
        <v>2</v>
      </c>
      <c r="C4950">
        <v>3248</v>
      </c>
      <c r="D4950">
        <v>56105</v>
      </c>
      <c r="E4950">
        <v>24</v>
      </c>
      <c r="F4950" t="s">
        <v>47</v>
      </c>
      <c r="G4950" t="s">
        <v>92</v>
      </c>
      <c r="H4950" t="s">
        <v>46</v>
      </c>
      <c r="I4950">
        <v>10</v>
      </c>
    </row>
    <row r="4951" spans="1:9" x14ac:dyDescent="0.2">
      <c r="A4951">
        <v>23612540</v>
      </c>
      <c r="B4951">
        <v>3</v>
      </c>
      <c r="C4951">
        <v>3261</v>
      </c>
      <c r="D4951">
        <v>0</v>
      </c>
      <c r="E4951">
        <v>26</v>
      </c>
      <c r="F4951" t="s">
        <v>47</v>
      </c>
      <c r="G4951" t="s">
        <v>93</v>
      </c>
      <c r="H4951" t="s">
        <v>46</v>
      </c>
      <c r="I4951">
        <v>10</v>
      </c>
    </row>
    <row r="4952" spans="1:9" x14ac:dyDescent="0.2">
      <c r="A4952">
        <v>23612540</v>
      </c>
      <c r="B4952">
        <v>4</v>
      </c>
      <c r="C4952">
        <v>1729</v>
      </c>
      <c r="D4952">
        <v>0</v>
      </c>
      <c r="E4952">
        <v>26</v>
      </c>
      <c r="F4952" t="s">
        <v>57</v>
      </c>
      <c r="G4952" t="s">
        <v>72</v>
      </c>
      <c r="H4952" t="s">
        <v>69</v>
      </c>
      <c r="I4952">
        <v>10</v>
      </c>
    </row>
    <row r="4953" spans="1:9" x14ac:dyDescent="0.2">
      <c r="A4953">
        <v>23612540</v>
      </c>
      <c r="B4953">
        <v>5</v>
      </c>
      <c r="C4953">
        <v>1788</v>
      </c>
      <c r="D4953">
        <v>0</v>
      </c>
      <c r="E4953">
        <v>26</v>
      </c>
      <c r="F4953" t="s">
        <v>57</v>
      </c>
      <c r="G4953" t="s">
        <v>97</v>
      </c>
      <c r="H4953" t="s">
        <v>56</v>
      </c>
      <c r="I4953">
        <v>10</v>
      </c>
    </row>
    <row r="4954" spans="1:9" x14ac:dyDescent="0.2">
      <c r="A4954">
        <v>23612540</v>
      </c>
      <c r="B4954">
        <v>6</v>
      </c>
      <c r="C4954">
        <v>1756</v>
      </c>
      <c r="D4954">
        <v>0</v>
      </c>
      <c r="E4954">
        <v>26</v>
      </c>
      <c r="F4954" t="s">
        <v>57</v>
      </c>
      <c r="G4954" t="s">
        <v>89</v>
      </c>
      <c r="H4954" t="s">
        <v>69</v>
      </c>
      <c r="I4954">
        <v>10</v>
      </c>
    </row>
    <row r="4955" spans="1:9" x14ac:dyDescent="0.2">
      <c r="A4955">
        <v>23613152</v>
      </c>
      <c r="B4955">
        <v>1</v>
      </c>
      <c r="C4955">
        <v>1705</v>
      </c>
      <c r="D4955">
        <v>60490</v>
      </c>
      <c r="E4955">
        <v>25</v>
      </c>
      <c r="F4955" t="s">
        <v>57</v>
      </c>
      <c r="G4955" t="s">
        <v>102</v>
      </c>
      <c r="H4955" t="s">
        <v>69</v>
      </c>
      <c r="I4955">
        <v>10</v>
      </c>
    </row>
    <row r="4956" spans="1:9" x14ac:dyDescent="0.2">
      <c r="A4956">
        <v>23613152</v>
      </c>
      <c r="B4956">
        <v>2</v>
      </c>
      <c r="C4956">
        <v>1387</v>
      </c>
      <c r="D4956">
        <v>60555</v>
      </c>
      <c r="E4956">
        <v>25</v>
      </c>
      <c r="F4956" t="s">
        <v>21</v>
      </c>
      <c r="G4956" t="s">
        <v>102</v>
      </c>
      <c r="H4956" t="s">
        <v>20</v>
      </c>
      <c r="I4956">
        <v>8</v>
      </c>
    </row>
    <row r="4957" spans="1:9" x14ac:dyDescent="0.2">
      <c r="A4957">
        <v>23613152</v>
      </c>
      <c r="B4957">
        <v>3</v>
      </c>
      <c r="C4957">
        <v>3020</v>
      </c>
      <c r="D4957">
        <v>60490</v>
      </c>
      <c r="E4957">
        <v>25</v>
      </c>
      <c r="F4957" t="s">
        <v>44</v>
      </c>
      <c r="G4957" t="s">
        <v>102</v>
      </c>
      <c r="H4957" t="s">
        <v>50</v>
      </c>
      <c r="I4957">
        <v>9</v>
      </c>
    </row>
    <row r="4958" spans="1:9" x14ac:dyDescent="0.2">
      <c r="A4958">
        <v>23613152</v>
      </c>
      <c r="B4958">
        <v>4</v>
      </c>
      <c r="C4958">
        <v>2403</v>
      </c>
      <c r="D4958">
        <v>61155</v>
      </c>
      <c r="E4958">
        <v>24</v>
      </c>
      <c r="F4958" t="s">
        <v>42</v>
      </c>
      <c r="G4958" t="s">
        <v>102</v>
      </c>
      <c r="H4958" t="s">
        <v>220</v>
      </c>
      <c r="I4958">
        <v>2</v>
      </c>
    </row>
    <row r="4959" spans="1:9" x14ac:dyDescent="0.2">
      <c r="A4959">
        <v>23627990</v>
      </c>
      <c r="B4959">
        <v>1</v>
      </c>
      <c r="C4959">
        <v>1732</v>
      </c>
      <c r="D4959">
        <v>57335</v>
      </c>
      <c r="E4959">
        <v>25</v>
      </c>
      <c r="F4959" t="s">
        <v>57</v>
      </c>
      <c r="G4959" t="s">
        <v>104</v>
      </c>
      <c r="H4959" t="s">
        <v>69</v>
      </c>
      <c r="I4959">
        <v>10</v>
      </c>
    </row>
    <row r="4960" spans="1:9" x14ac:dyDescent="0.2">
      <c r="A4960">
        <v>23627990</v>
      </c>
      <c r="B4960">
        <v>2</v>
      </c>
      <c r="C4960">
        <v>1237</v>
      </c>
      <c r="D4960">
        <v>58860</v>
      </c>
      <c r="E4960">
        <v>25</v>
      </c>
      <c r="F4960" t="s">
        <v>19</v>
      </c>
      <c r="G4960" t="s">
        <v>65</v>
      </c>
      <c r="H4960" t="s">
        <v>16</v>
      </c>
      <c r="I4960" t="s">
        <v>448</v>
      </c>
    </row>
    <row r="4961" spans="1:9" x14ac:dyDescent="0.2">
      <c r="A4961">
        <v>23627990</v>
      </c>
      <c r="B4961">
        <v>3</v>
      </c>
      <c r="C4961">
        <v>1648</v>
      </c>
      <c r="D4961">
        <v>59430</v>
      </c>
      <c r="E4961">
        <v>25</v>
      </c>
      <c r="F4961" t="s">
        <v>128</v>
      </c>
      <c r="G4961" t="s">
        <v>432</v>
      </c>
      <c r="H4961" t="s">
        <v>127</v>
      </c>
      <c r="I4961" t="s">
        <v>448</v>
      </c>
    </row>
    <row r="4962" spans="1:9" x14ac:dyDescent="0.2">
      <c r="A4962">
        <v>23627990</v>
      </c>
      <c r="B4962">
        <v>4</v>
      </c>
      <c r="C4962">
        <v>1636</v>
      </c>
      <c r="D4962">
        <v>60325</v>
      </c>
      <c r="E4962">
        <v>25</v>
      </c>
      <c r="F4962" t="s">
        <v>128</v>
      </c>
      <c r="G4962" t="s">
        <v>168</v>
      </c>
      <c r="H4962" t="s">
        <v>127</v>
      </c>
      <c r="I4962" t="s">
        <v>448</v>
      </c>
    </row>
    <row r="4963" spans="1:9" x14ac:dyDescent="0.2">
      <c r="A4963">
        <v>23627990</v>
      </c>
      <c r="B4963">
        <v>5</v>
      </c>
      <c r="C4963">
        <v>1734</v>
      </c>
      <c r="D4963">
        <v>60035</v>
      </c>
      <c r="E4963">
        <v>25</v>
      </c>
      <c r="F4963" t="s">
        <v>57</v>
      </c>
      <c r="G4963" t="s">
        <v>81</v>
      </c>
      <c r="H4963" t="s">
        <v>69</v>
      </c>
      <c r="I4963">
        <v>10</v>
      </c>
    </row>
    <row r="4964" spans="1:9" x14ac:dyDescent="0.2">
      <c r="A4964">
        <v>23627990</v>
      </c>
      <c r="B4964">
        <v>6</v>
      </c>
      <c r="C4964">
        <v>1709</v>
      </c>
      <c r="D4964">
        <v>60090</v>
      </c>
      <c r="E4964">
        <v>24</v>
      </c>
      <c r="F4964" t="s">
        <v>57</v>
      </c>
      <c r="G4964" t="s">
        <v>84</v>
      </c>
      <c r="H4964" t="s">
        <v>69</v>
      </c>
      <c r="I4964">
        <v>10</v>
      </c>
    </row>
    <row r="4965" spans="1:9" x14ac:dyDescent="0.2">
      <c r="A4965">
        <v>23627990</v>
      </c>
      <c r="B4965">
        <v>7</v>
      </c>
      <c r="C4965">
        <v>1303</v>
      </c>
      <c r="D4965">
        <v>0</v>
      </c>
      <c r="E4965">
        <v>26</v>
      </c>
      <c r="F4965" t="s">
        <v>21</v>
      </c>
      <c r="G4965" t="s">
        <v>149</v>
      </c>
      <c r="H4965" t="s">
        <v>20</v>
      </c>
      <c r="I4965">
        <v>8</v>
      </c>
    </row>
    <row r="4966" spans="1:9" x14ac:dyDescent="0.2">
      <c r="A4966">
        <v>23627990</v>
      </c>
      <c r="B4966">
        <v>8</v>
      </c>
      <c r="C4966">
        <v>1752</v>
      </c>
      <c r="D4966">
        <v>0</v>
      </c>
      <c r="E4966">
        <v>26</v>
      </c>
      <c r="F4966" t="s">
        <v>57</v>
      </c>
      <c r="G4966" t="s">
        <v>66</v>
      </c>
      <c r="H4966" t="s">
        <v>56</v>
      </c>
      <c r="I4966">
        <v>10</v>
      </c>
    </row>
    <row r="4967" spans="1:9" x14ac:dyDescent="0.2">
      <c r="A4967">
        <v>23629126</v>
      </c>
      <c r="B4967">
        <v>1</v>
      </c>
      <c r="C4967">
        <v>3200</v>
      </c>
      <c r="D4967">
        <v>54230</v>
      </c>
      <c r="E4967">
        <v>24</v>
      </c>
      <c r="F4967" t="s">
        <v>47</v>
      </c>
      <c r="G4967" t="s">
        <v>18</v>
      </c>
      <c r="H4967" t="s">
        <v>46</v>
      </c>
      <c r="I4967">
        <v>10</v>
      </c>
    </row>
    <row r="4968" spans="1:9" x14ac:dyDescent="0.2">
      <c r="A4968">
        <v>23629126</v>
      </c>
      <c r="B4968">
        <v>2</v>
      </c>
      <c r="C4968">
        <v>3296</v>
      </c>
      <c r="D4968">
        <v>0</v>
      </c>
      <c r="E4968">
        <v>26</v>
      </c>
      <c r="F4968" t="s">
        <v>47</v>
      </c>
      <c r="G4968" t="s">
        <v>100</v>
      </c>
      <c r="H4968" t="s">
        <v>46</v>
      </c>
      <c r="I4968">
        <v>10</v>
      </c>
    </row>
    <row r="4969" spans="1:9" x14ac:dyDescent="0.2">
      <c r="A4969">
        <v>23629127</v>
      </c>
      <c r="B4969">
        <v>1</v>
      </c>
      <c r="C4969">
        <v>1708</v>
      </c>
      <c r="D4969">
        <v>56750</v>
      </c>
      <c r="E4969">
        <v>24</v>
      </c>
      <c r="F4969" t="s">
        <v>57</v>
      </c>
      <c r="G4969" t="s">
        <v>80</v>
      </c>
      <c r="H4969" t="s">
        <v>79</v>
      </c>
      <c r="I4969">
        <v>10</v>
      </c>
    </row>
    <row r="4970" spans="1:9" x14ac:dyDescent="0.2">
      <c r="A4970">
        <v>23629127</v>
      </c>
      <c r="B4970">
        <v>2</v>
      </c>
      <c r="C4970">
        <v>1759</v>
      </c>
      <c r="D4970">
        <v>0</v>
      </c>
      <c r="E4970">
        <v>26</v>
      </c>
      <c r="F4970" t="s">
        <v>57</v>
      </c>
      <c r="G4970" t="s">
        <v>154</v>
      </c>
      <c r="H4970" t="s">
        <v>56</v>
      </c>
      <c r="I4970">
        <v>10</v>
      </c>
    </row>
    <row r="4971" spans="1:9" x14ac:dyDescent="0.2">
      <c r="A4971">
        <v>23629127</v>
      </c>
      <c r="B4971">
        <v>3</v>
      </c>
      <c r="C4971">
        <v>3718</v>
      </c>
      <c r="D4971">
        <v>0</v>
      </c>
      <c r="E4971">
        <v>26</v>
      </c>
      <c r="F4971" t="s">
        <v>116</v>
      </c>
      <c r="G4971" t="s">
        <v>80</v>
      </c>
      <c r="H4971" t="s">
        <v>61</v>
      </c>
      <c r="I4971">
        <v>9</v>
      </c>
    </row>
    <row r="4972" spans="1:9" x14ac:dyDescent="0.2">
      <c r="A4972">
        <v>23629127</v>
      </c>
      <c r="B4972">
        <v>4</v>
      </c>
      <c r="C4972">
        <v>3086</v>
      </c>
      <c r="D4972">
        <v>0</v>
      </c>
      <c r="E4972">
        <v>26</v>
      </c>
      <c r="F4972" t="s">
        <v>44</v>
      </c>
      <c r="G4972" t="s">
        <v>150</v>
      </c>
      <c r="H4972" t="s">
        <v>55</v>
      </c>
      <c r="I4972">
        <v>9</v>
      </c>
    </row>
    <row r="4973" spans="1:9" x14ac:dyDescent="0.2">
      <c r="A4973">
        <v>23629127</v>
      </c>
      <c r="B4973">
        <v>5</v>
      </c>
      <c r="C4973">
        <v>1464</v>
      </c>
      <c r="D4973">
        <v>0</v>
      </c>
      <c r="E4973">
        <v>26</v>
      </c>
      <c r="F4973" t="s">
        <v>25</v>
      </c>
      <c r="G4973" t="s">
        <v>339</v>
      </c>
      <c r="H4973" t="s">
        <v>24</v>
      </c>
      <c r="I4973">
        <v>5</v>
      </c>
    </row>
    <row r="4974" spans="1:9" x14ac:dyDescent="0.2">
      <c r="A4974">
        <v>23629127</v>
      </c>
      <c r="B4974">
        <v>6</v>
      </c>
      <c r="C4974">
        <v>1508</v>
      </c>
      <c r="D4974">
        <v>0</v>
      </c>
      <c r="E4974">
        <v>26</v>
      </c>
      <c r="F4974" t="s">
        <v>142</v>
      </c>
      <c r="G4974" t="s">
        <v>249</v>
      </c>
      <c r="H4974" t="s">
        <v>31</v>
      </c>
      <c r="I4974">
        <v>5</v>
      </c>
    </row>
    <row r="4975" spans="1:9" x14ac:dyDescent="0.2">
      <c r="A4975">
        <v>23654518</v>
      </c>
      <c r="B4975">
        <v>1</v>
      </c>
      <c r="C4975">
        <v>3244</v>
      </c>
      <c r="D4975">
        <v>0</v>
      </c>
      <c r="E4975">
        <v>36</v>
      </c>
      <c r="F4975" t="s">
        <v>47</v>
      </c>
      <c r="G4975" t="s">
        <v>73</v>
      </c>
      <c r="H4975" t="s">
        <v>74</v>
      </c>
      <c r="I4975">
        <v>10</v>
      </c>
    </row>
    <row r="4976" spans="1:9" x14ac:dyDescent="0.2">
      <c r="A4976">
        <v>23654518</v>
      </c>
      <c r="B4976">
        <v>2</v>
      </c>
      <c r="C4976">
        <v>3296</v>
      </c>
      <c r="D4976">
        <v>0</v>
      </c>
      <c r="E4976">
        <v>36</v>
      </c>
      <c r="F4976" t="s">
        <v>47</v>
      </c>
      <c r="G4976" t="s">
        <v>100</v>
      </c>
      <c r="H4976" t="s">
        <v>46</v>
      </c>
      <c r="I4976">
        <v>10</v>
      </c>
    </row>
    <row r="4977" spans="1:9" x14ac:dyDescent="0.2">
      <c r="A4977">
        <v>23654518</v>
      </c>
      <c r="B4977">
        <v>3</v>
      </c>
      <c r="C4977">
        <v>3252</v>
      </c>
      <c r="D4977">
        <v>0</v>
      </c>
      <c r="E4977">
        <v>36</v>
      </c>
      <c r="F4977" t="s">
        <v>47</v>
      </c>
      <c r="G4977" t="s">
        <v>45</v>
      </c>
      <c r="H4977" t="s">
        <v>46</v>
      </c>
      <c r="I4977">
        <v>10</v>
      </c>
    </row>
    <row r="4978" spans="1:9" x14ac:dyDescent="0.2">
      <c r="A4978">
        <v>23683859</v>
      </c>
      <c r="B4978">
        <v>1</v>
      </c>
      <c r="C4978">
        <v>1312</v>
      </c>
      <c r="D4978">
        <v>71245</v>
      </c>
      <c r="E4978">
        <v>24</v>
      </c>
      <c r="F4978" t="s">
        <v>21</v>
      </c>
      <c r="G4978" t="s">
        <v>33</v>
      </c>
      <c r="H4978" t="s">
        <v>20</v>
      </c>
      <c r="I4978">
        <v>8</v>
      </c>
    </row>
    <row r="4979" spans="1:9" x14ac:dyDescent="0.2">
      <c r="A4979">
        <v>23683859</v>
      </c>
      <c r="B4979">
        <v>2</v>
      </c>
      <c r="C4979">
        <v>1362</v>
      </c>
      <c r="D4979">
        <v>0</v>
      </c>
      <c r="E4979">
        <v>26</v>
      </c>
      <c r="F4979" t="s">
        <v>21</v>
      </c>
      <c r="G4979" t="s">
        <v>268</v>
      </c>
      <c r="H4979" t="s">
        <v>20</v>
      </c>
      <c r="I4979">
        <v>8</v>
      </c>
    </row>
    <row r="4980" spans="1:9" x14ac:dyDescent="0.2">
      <c r="A4980">
        <v>23683859</v>
      </c>
      <c r="B4980">
        <v>3</v>
      </c>
      <c r="C4980">
        <v>1320</v>
      </c>
      <c r="D4980">
        <v>0</v>
      </c>
      <c r="E4980">
        <v>26</v>
      </c>
      <c r="F4980" t="s">
        <v>21</v>
      </c>
      <c r="G4980" t="s">
        <v>343</v>
      </c>
      <c r="H4980" t="s">
        <v>20</v>
      </c>
      <c r="I4980">
        <v>8</v>
      </c>
    </row>
    <row r="4981" spans="1:9" x14ac:dyDescent="0.2">
      <c r="A4981">
        <v>23683859</v>
      </c>
      <c r="B4981">
        <v>4</v>
      </c>
      <c r="C4981">
        <v>1372</v>
      </c>
      <c r="D4981">
        <v>0</v>
      </c>
      <c r="E4981">
        <v>26</v>
      </c>
      <c r="F4981" t="s">
        <v>21</v>
      </c>
      <c r="G4981" t="s">
        <v>66</v>
      </c>
      <c r="H4981" t="s">
        <v>20</v>
      </c>
      <c r="I4981">
        <v>8</v>
      </c>
    </row>
    <row r="4982" spans="1:9" x14ac:dyDescent="0.2">
      <c r="A4982">
        <v>23683859</v>
      </c>
      <c r="B4982">
        <v>5</v>
      </c>
      <c r="C4982">
        <v>1316</v>
      </c>
      <c r="D4982">
        <v>0</v>
      </c>
      <c r="E4982">
        <v>26</v>
      </c>
      <c r="F4982" t="s">
        <v>21</v>
      </c>
      <c r="G4982" t="s">
        <v>344</v>
      </c>
      <c r="H4982" t="s">
        <v>20</v>
      </c>
      <c r="I4982">
        <v>8</v>
      </c>
    </row>
    <row r="4983" spans="1:9" x14ac:dyDescent="0.2">
      <c r="A4983">
        <v>23683859</v>
      </c>
      <c r="B4983">
        <v>6</v>
      </c>
      <c r="C4983">
        <v>3223</v>
      </c>
      <c r="D4983">
        <v>0</v>
      </c>
      <c r="E4983">
        <v>26</v>
      </c>
      <c r="F4983" t="s">
        <v>47</v>
      </c>
      <c r="G4983" t="s">
        <v>105</v>
      </c>
      <c r="H4983" t="s">
        <v>46</v>
      </c>
      <c r="I4983">
        <v>10</v>
      </c>
    </row>
    <row r="4984" spans="1:9" x14ac:dyDescent="0.2">
      <c r="A4984">
        <v>23683859</v>
      </c>
      <c r="B4984">
        <v>7</v>
      </c>
      <c r="C4984">
        <v>3226</v>
      </c>
      <c r="D4984">
        <v>0</v>
      </c>
      <c r="E4984">
        <v>26</v>
      </c>
      <c r="F4984" t="s">
        <v>47</v>
      </c>
      <c r="G4984" t="s">
        <v>96</v>
      </c>
      <c r="H4984" t="s">
        <v>46</v>
      </c>
      <c r="I4984">
        <v>10</v>
      </c>
    </row>
    <row r="4985" spans="1:9" x14ac:dyDescent="0.2">
      <c r="A4985">
        <v>23683859</v>
      </c>
      <c r="B4985">
        <v>8</v>
      </c>
      <c r="C4985">
        <v>3200</v>
      </c>
      <c r="D4985">
        <v>0</v>
      </c>
      <c r="E4985">
        <v>26</v>
      </c>
      <c r="F4985" t="s">
        <v>47</v>
      </c>
      <c r="G4985" t="s">
        <v>18</v>
      </c>
      <c r="H4985" t="s">
        <v>46</v>
      </c>
      <c r="I4985">
        <v>10</v>
      </c>
    </row>
    <row r="4986" spans="1:9" x14ac:dyDescent="0.2">
      <c r="A4986">
        <v>23711248</v>
      </c>
      <c r="B4986">
        <v>1</v>
      </c>
      <c r="C4986">
        <v>3242</v>
      </c>
      <c r="D4986">
        <v>55155</v>
      </c>
      <c r="E4986">
        <v>24</v>
      </c>
      <c r="F4986" t="s">
        <v>47</v>
      </c>
      <c r="G4986" t="s">
        <v>90</v>
      </c>
      <c r="H4986" t="s">
        <v>46</v>
      </c>
      <c r="I4986">
        <v>10</v>
      </c>
    </row>
    <row r="4987" spans="1:9" x14ac:dyDescent="0.2">
      <c r="A4987">
        <v>23711248</v>
      </c>
      <c r="B4987">
        <v>2</v>
      </c>
      <c r="C4987">
        <v>3234</v>
      </c>
      <c r="D4987">
        <v>0</v>
      </c>
      <c r="E4987">
        <v>26</v>
      </c>
      <c r="F4987" t="s">
        <v>47</v>
      </c>
      <c r="G4987" t="s">
        <v>76</v>
      </c>
      <c r="H4987" t="s">
        <v>46</v>
      </c>
      <c r="I4987">
        <v>10</v>
      </c>
    </row>
    <row r="4988" spans="1:9" x14ac:dyDescent="0.2">
      <c r="A4988">
        <v>23711248</v>
      </c>
      <c r="B4988">
        <v>3</v>
      </c>
      <c r="C4988">
        <v>3223</v>
      </c>
      <c r="D4988">
        <v>0</v>
      </c>
      <c r="E4988">
        <v>26</v>
      </c>
      <c r="F4988" t="s">
        <v>47</v>
      </c>
      <c r="G4988" t="s">
        <v>105</v>
      </c>
      <c r="H4988" t="s">
        <v>46</v>
      </c>
      <c r="I4988">
        <v>10</v>
      </c>
    </row>
    <row r="4989" spans="1:9" x14ac:dyDescent="0.2">
      <c r="A4989">
        <v>23711248</v>
      </c>
      <c r="B4989">
        <v>4</v>
      </c>
      <c r="C4989">
        <v>3237</v>
      </c>
      <c r="D4989">
        <v>0</v>
      </c>
      <c r="E4989">
        <v>26</v>
      </c>
      <c r="F4989" t="s">
        <v>47</v>
      </c>
      <c r="G4989" t="s">
        <v>181</v>
      </c>
      <c r="H4989" t="s">
        <v>46</v>
      </c>
      <c r="I4989">
        <v>10</v>
      </c>
    </row>
    <row r="4990" spans="1:9" x14ac:dyDescent="0.2">
      <c r="A4990">
        <v>23711248</v>
      </c>
      <c r="B4990">
        <v>5</v>
      </c>
      <c r="C4990">
        <v>3229</v>
      </c>
      <c r="D4990">
        <v>0</v>
      </c>
      <c r="E4990">
        <v>26</v>
      </c>
      <c r="F4990" t="s">
        <v>47</v>
      </c>
      <c r="G4990" t="s">
        <v>101</v>
      </c>
      <c r="H4990" t="s">
        <v>46</v>
      </c>
      <c r="I4990">
        <v>10</v>
      </c>
    </row>
    <row r="4991" spans="1:9" x14ac:dyDescent="0.2">
      <c r="A4991">
        <v>23711248</v>
      </c>
      <c r="B4991">
        <v>6</v>
      </c>
      <c r="C4991">
        <v>3226</v>
      </c>
      <c r="D4991">
        <v>0</v>
      </c>
      <c r="E4991">
        <v>26</v>
      </c>
      <c r="F4991" t="s">
        <v>47</v>
      </c>
      <c r="G4991" t="s">
        <v>96</v>
      </c>
      <c r="H4991" t="s">
        <v>46</v>
      </c>
      <c r="I4991">
        <v>10</v>
      </c>
    </row>
    <row r="4992" spans="1:9" x14ac:dyDescent="0.2">
      <c r="A4992">
        <v>23711248</v>
      </c>
      <c r="B4992">
        <v>7</v>
      </c>
      <c r="C4992">
        <v>3225</v>
      </c>
      <c r="D4992">
        <v>0</v>
      </c>
      <c r="E4992">
        <v>26</v>
      </c>
      <c r="F4992" t="s">
        <v>47</v>
      </c>
      <c r="G4992" t="s">
        <v>106</v>
      </c>
      <c r="H4992" t="s">
        <v>46</v>
      </c>
      <c r="I4992">
        <v>10</v>
      </c>
    </row>
    <row r="4993" spans="1:9" x14ac:dyDescent="0.2">
      <c r="A4993">
        <v>23724430</v>
      </c>
      <c r="B4993">
        <v>1</v>
      </c>
      <c r="C4993">
        <v>1525</v>
      </c>
      <c r="D4993">
        <v>72425</v>
      </c>
      <c r="E4993">
        <v>24</v>
      </c>
      <c r="F4993" t="s">
        <v>142</v>
      </c>
      <c r="G4993" t="s">
        <v>152</v>
      </c>
      <c r="H4993" t="s">
        <v>31</v>
      </c>
      <c r="I4993">
        <v>5</v>
      </c>
    </row>
    <row r="4994" spans="1:9" x14ac:dyDescent="0.2">
      <c r="A4994">
        <v>23724430</v>
      </c>
      <c r="B4994">
        <v>2</v>
      </c>
      <c r="C4994">
        <v>1145</v>
      </c>
      <c r="D4994">
        <v>0</v>
      </c>
      <c r="E4994">
        <v>26</v>
      </c>
      <c r="F4994" t="s">
        <v>17</v>
      </c>
      <c r="G4994" t="s">
        <v>159</v>
      </c>
      <c r="H4994" t="s">
        <v>16</v>
      </c>
      <c r="I4994" t="s">
        <v>448</v>
      </c>
    </row>
    <row r="4995" spans="1:9" x14ac:dyDescent="0.2">
      <c r="A4995">
        <v>23724430</v>
      </c>
      <c r="B4995">
        <v>3</v>
      </c>
      <c r="C4995">
        <v>1214</v>
      </c>
      <c r="D4995">
        <v>0</v>
      </c>
      <c r="E4995">
        <v>26</v>
      </c>
      <c r="F4995" t="s">
        <v>19</v>
      </c>
      <c r="G4995" t="s">
        <v>112</v>
      </c>
      <c r="H4995" t="s">
        <v>16</v>
      </c>
      <c r="I4995" t="s">
        <v>448</v>
      </c>
    </row>
    <row r="4996" spans="1:9" x14ac:dyDescent="0.2">
      <c r="A4996">
        <v>23757376</v>
      </c>
      <c r="B4996">
        <v>1</v>
      </c>
      <c r="C4996">
        <v>1709</v>
      </c>
      <c r="D4996">
        <v>73170</v>
      </c>
      <c r="E4996">
        <v>24</v>
      </c>
      <c r="F4996" t="s">
        <v>57</v>
      </c>
      <c r="G4996" t="s">
        <v>84</v>
      </c>
      <c r="H4996" t="s">
        <v>69</v>
      </c>
      <c r="I4996">
        <v>10</v>
      </c>
    </row>
    <row r="4997" spans="1:9" x14ac:dyDescent="0.2">
      <c r="A4997">
        <v>23757376</v>
      </c>
      <c r="B4997">
        <v>2</v>
      </c>
      <c r="C4997">
        <v>1778</v>
      </c>
      <c r="D4997">
        <v>0</v>
      </c>
      <c r="E4997">
        <v>26</v>
      </c>
      <c r="F4997" t="s">
        <v>57</v>
      </c>
      <c r="G4997" t="s">
        <v>84</v>
      </c>
      <c r="H4997" t="s">
        <v>56</v>
      </c>
      <c r="I4997">
        <v>10</v>
      </c>
    </row>
    <row r="4998" spans="1:9" x14ac:dyDescent="0.2">
      <c r="A4998">
        <v>23757376</v>
      </c>
      <c r="B4998">
        <v>3</v>
      </c>
      <c r="C4998">
        <v>3212</v>
      </c>
      <c r="D4998">
        <v>0</v>
      </c>
      <c r="E4998">
        <v>26</v>
      </c>
      <c r="F4998" t="s">
        <v>47</v>
      </c>
      <c r="G4998" t="s">
        <v>84</v>
      </c>
      <c r="H4998" t="s">
        <v>46</v>
      </c>
      <c r="I4998">
        <v>10</v>
      </c>
    </row>
    <row r="4999" spans="1:9" x14ac:dyDescent="0.2">
      <c r="A4999">
        <v>23787431</v>
      </c>
      <c r="B4999">
        <v>1</v>
      </c>
      <c r="C4999">
        <v>3252</v>
      </c>
      <c r="D4999">
        <v>0</v>
      </c>
      <c r="E4999">
        <v>36</v>
      </c>
      <c r="F4999" t="s">
        <v>47</v>
      </c>
      <c r="G4999" t="s">
        <v>45</v>
      </c>
      <c r="H4999" t="s">
        <v>46</v>
      </c>
      <c r="I4999">
        <v>10</v>
      </c>
    </row>
    <row r="5000" spans="1:9" x14ac:dyDescent="0.2">
      <c r="A5000">
        <v>23787431</v>
      </c>
      <c r="B5000">
        <v>2</v>
      </c>
      <c r="C5000">
        <v>3246</v>
      </c>
      <c r="D5000">
        <v>0</v>
      </c>
      <c r="E5000">
        <v>36</v>
      </c>
      <c r="F5000" t="s">
        <v>47</v>
      </c>
      <c r="G5000" t="s">
        <v>91</v>
      </c>
      <c r="H5000" t="s">
        <v>74</v>
      </c>
      <c r="I5000">
        <v>10</v>
      </c>
    </row>
    <row r="5001" spans="1:9" x14ac:dyDescent="0.2">
      <c r="A5001">
        <v>23787431</v>
      </c>
      <c r="B5001">
        <v>3</v>
      </c>
      <c r="C5001">
        <v>3239</v>
      </c>
      <c r="D5001">
        <v>0</v>
      </c>
      <c r="E5001">
        <v>36</v>
      </c>
      <c r="F5001" t="s">
        <v>47</v>
      </c>
      <c r="G5001" t="s">
        <v>107</v>
      </c>
      <c r="H5001" t="s">
        <v>46</v>
      </c>
      <c r="I5001">
        <v>10</v>
      </c>
    </row>
    <row r="5002" spans="1:9" x14ac:dyDescent="0.2">
      <c r="A5002">
        <v>23787431</v>
      </c>
      <c r="B5002">
        <v>4</v>
      </c>
      <c r="C5002">
        <v>3242</v>
      </c>
      <c r="D5002">
        <v>0</v>
      </c>
      <c r="E5002">
        <v>36</v>
      </c>
      <c r="F5002" t="s">
        <v>47</v>
      </c>
      <c r="G5002" t="s">
        <v>90</v>
      </c>
      <c r="H5002" t="s">
        <v>46</v>
      </c>
      <c r="I5002">
        <v>10</v>
      </c>
    </row>
    <row r="5003" spans="1:9" x14ac:dyDescent="0.2">
      <c r="A5003">
        <v>23787431</v>
      </c>
      <c r="B5003">
        <v>5</v>
      </c>
      <c r="C5003">
        <v>3237</v>
      </c>
      <c r="D5003">
        <v>0</v>
      </c>
      <c r="E5003">
        <v>36</v>
      </c>
      <c r="F5003" t="s">
        <v>47</v>
      </c>
      <c r="G5003" t="s">
        <v>181</v>
      </c>
      <c r="H5003" t="s">
        <v>46</v>
      </c>
      <c r="I5003">
        <v>10</v>
      </c>
    </row>
    <row r="5004" spans="1:9" x14ac:dyDescent="0.2">
      <c r="A5004">
        <v>23787431</v>
      </c>
      <c r="B5004">
        <v>6</v>
      </c>
      <c r="C5004">
        <v>3234</v>
      </c>
      <c r="D5004">
        <v>0</v>
      </c>
      <c r="E5004">
        <v>36</v>
      </c>
      <c r="F5004" t="s">
        <v>47</v>
      </c>
      <c r="G5004" t="s">
        <v>76</v>
      </c>
      <c r="H5004" t="s">
        <v>46</v>
      </c>
      <c r="I5004">
        <v>10</v>
      </c>
    </row>
    <row r="5005" spans="1:9" x14ac:dyDescent="0.2">
      <c r="A5005">
        <v>23787678</v>
      </c>
      <c r="B5005">
        <v>1</v>
      </c>
      <c r="C5005">
        <v>1258</v>
      </c>
      <c r="D5005">
        <v>67630</v>
      </c>
      <c r="E5005">
        <v>25</v>
      </c>
      <c r="F5005" t="s">
        <v>19</v>
      </c>
      <c r="G5005" t="s">
        <v>170</v>
      </c>
      <c r="H5005" t="s">
        <v>16</v>
      </c>
      <c r="I5005" t="s">
        <v>448</v>
      </c>
    </row>
    <row r="5006" spans="1:9" x14ac:dyDescent="0.2">
      <c r="A5006">
        <v>23787678</v>
      </c>
      <c r="B5006">
        <v>2</v>
      </c>
      <c r="C5006">
        <v>1183</v>
      </c>
      <c r="D5006">
        <v>67940</v>
      </c>
      <c r="E5006">
        <v>25</v>
      </c>
      <c r="F5006" t="s">
        <v>17</v>
      </c>
      <c r="G5006" t="s">
        <v>171</v>
      </c>
      <c r="H5006" t="s">
        <v>16</v>
      </c>
      <c r="I5006" t="s">
        <v>448</v>
      </c>
    </row>
    <row r="5007" spans="1:9" x14ac:dyDescent="0.2">
      <c r="A5007">
        <v>23787678</v>
      </c>
      <c r="B5007">
        <v>3</v>
      </c>
      <c r="C5007">
        <v>1713</v>
      </c>
      <c r="D5007">
        <v>67870</v>
      </c>
      <c r="E5007">
        <v>25</v>
      </c>
      <c r="F5007" t="s">
        <v>57</v>
      </c>
      <c r="G5007" t="s">
        <v>170</v>
      </c>
      <c r="H5007" t="s">
        <v>69</v>
      </c>
      <c r="I5007">
        <v>10</v>
      </c>
    </row>
    <row r="5008" spans="1:9" x14ac:dyDescent="0.2">
      <c r="A5008">
        <v>23787678</v>
      </c>
      <c r="B5008">
        <v>4</v>
      </c>
      <c r="C5008">
        <v>1195</v>
      </c>
      <c r="D5008">
        <v>67940</v>
      </c>
      <c r="E5008">
        <v>25</v>
      </c>
      <c r="F5008" t="s">
        <v>17</v>
      </c>
      <c r="G5008" t="s">
        <v>353</v>
      </c>
      <c r="H5008" t="s">
        <v>16</v>
      </c>
      <c r="I5008" t="s">
        <v>448</v>
      </c>
    </row>
    <row r="5009" spans="1:9" x14ac:dyDescent="0.2">
      <c r="A5009">
        <v>23787678</v>
      </c>
      <c r="B5009">
        <v>5</v>
      </c>
      <c r="C5009">
        <v>1789</v>
      </c>
      <c r="D5009">
        <v>67870</v>
      </c>
      <c r="E5009">
        <v>25</v>
      </c>
      <c r="F5009" t="s">
        <v>57</v>
      </c>
      <c r="G5009" t="s">
        <v>122</v>
      </c>
      <c r="H5009" t="s">
        <v>69</v>
      </c>
      <c r="I5009">
        <v>10</v>
      </c>
    </row>
    <row r="5010" spans="1:9" x14ac:dyDescent="0.2">
      <c r="A5010">
        <v>23787678</v>
      </c>
      <c r="B5010">
        <v>6</v>
      </c>
      <c r="C5010">
        <v>1511</v>
      </c>
      <c r="D5010">
        <v>66630</v>
      </c>
      <c r="E5010">
        <v>24</v>
      </c>
      <c r="F5010" t="s">
        <v>142</v>
      </c>
      <c r="G5010" t="s">
        <v>163</v>
      </c>
      <c r="H5010" t="s">
        <v>31</v>
      </c>
      <c r="I5010">
        <v>5</v>
      </c>
    </row>
    <row r="5011" spans="1:9" x14ac:dyDescent="0.2">
      <c r="A5011">
        <v>23787678</v>
      </c>
      <c r="B5011">
        <v>7</v>
      </c>
      <c r="C5011">
        <v>1386</v>
      </c>
      <c r="D5011">
        <v>0</v>
      </c>
      <c r="E5011">
        <v>26</v>
      </c>
      <c r="F5011" t="s">
        <v>21</v>
      </c>
      <c r="G5011" t="s">
        <v>170</v>
      </c>
      <c r="H5011" t="s">
        <v>20</v>
      </c>
      <c r="I5011">
        <v>8</v>
      </c>
    </row>
    <row r="5012" spans="1:9" x14ac:dyDescent="0.2">
      <c r="A5012">
        <v>23787678</v>
      </c>
      <c r="B5012">
        <v>8</v>
      </c>
      <c r="C5012">
        <v>1391</v>
      </c>
      <c r="D5012">
        <v>0</v>
      </c>
      <c r="E5012">
        <v>26</v>
      </c>
      <c r="F5012" t="s">
        <v>21</v>
      </c>
      <c r="G5012" t="s">
        <v>122</v>
      </c>
      <c r="H5012" t="s">
        <v>20</v>
      </c>
      <c r="I5012">
        <v>8</v>
      </c>
    </row>
    <row r="5013" spans="1:9" x14ac:dyDescent="0.2">
      <c r="A5013">
        <v>23798553</v>
      </c>
      <c r="B5013">
        <v>1</v>
      </c>
      <c r="C5013">
        <v>1137</v>
      </c>
      <c r="D5013">
        <v>68300</v>
      </c>
      <c r="E5013">
        <v>24</v>
      </c>
      <c r="F5013" t="s">
        <v>17</v>
      </c>
      <c r="G5013" t="s">
        <v>291</v>
      </c>
      <c r="H5013" t="s">
        <v>16</v>
      </c>
      <c r="I5013" t="s">
        <v>448</v>
      </c>
    </row>
    <row r="5014" spans="1:9" x14ac:dyDescent="0.2">
      <c r="A5014">
        <v>23798553</v>
      </c>
      <c r="B5014">
        <v>2</v>
      </c>
      <c r="C5014">
        <v>1734</v>
      </c>
      <c r="D5014">
        <v>0</v>
      </c>
      <c r="E5014">
        <v>26</v>
      </c>
      <c r="F5014" t="s">
        <v>57</v>
      </c>
      <c r="G5014" t="s">
        <v>81</v>
      </c>
      <c r="H5014" t="s">
        <v>69</v>
      </c>
      <c r="I5014">
        <v>10</v>
      </c>
    </row>
    <row r="5015" spans="1:9" x14ac:dyDescent="0.2">
      <c r="A5015">
        <v>23798553</v>
      </c>
      <c r="B5015">
        <v>3</v>
      </c>
      <c r="C5015">
        <v>1571</v>
      </c>
      <c r="D5015">
        <v>0</v>
      </c>
      <c r="E5015">
        <v>26</v>
      </c>
      <c r="F5015" t="s">
        <v>142</v>
      </c>
      <c r="G5015" t="s">
        <v>264</v>
      </c>
      <c r="H5015" t="s">
        <v>113</v>
      </c>
      <c r="I5015">
        <v>5</v>
      </c>
    </row>
    <row r="5016" spans="1:9" x14ac:dyDescent="0.2">
      <c r="A5016">
        <v>23798553</v>
      </c>
      <c r="B5016">
        <v>4</v>
      </c>
      <c r="C5016">
        <v>1255</v>
      </c>
      <c r="D5016">
        <v>0</v>
      </c>
      <c r="E5016">
        <v>26</v>
      </c>
      <c r="F5016" t="s">
        <v>19</v>
      </c>
      <c r="G5016" t="s">
        <v>292</v>
      </c>
      <c r="H5016" t="s">
        <v>16</v>
      </c>
      <c r="I5016" t="s">
        <v>448</v>
      </c>
    </row>
    <row r="5017" spans="1:9" x14ac:dyDescent="0.2">
      <c r="A5017">
        <v>23798553</v>
      </c>
      <c r="B5017">
        <v>5</v>
      </c>
      <c r="C5017">
        <v>1704</v>
      </c>
      <c r="D5017">
        <v>0</v>
      </c>
      <c r="E5017">
        <v>26</v>
      </c>
      <c r="F5017" t="s">
        <v>57</v>
      </c>
      <c r="G5017" t="s">
        <v>82</v>
      </c>
      <c r="H5017" t="s">
        <v>79</v>
      </c>
      <c r="I5017">
        <v>10</v>
      </c>
    </row>
    <row r="5018" spans="1:9" x14ac:dyDescent="0.2">
      <c r="A5018">
        <v>23798553</v>
      </c>
      <c r="B5018">
        <v>6</v>
      </c>
      <c r="C5018">
        <v>1728</v>
      </c>
      <c r="D5018">
        <v>0</v>
      </c>
      <c r="E5018">
        <v>26</v>
      </c>
      <c r="F5018" t="s">
        <v>57</v>
      </c>
      <c r="G5018" t="s">
        <v>103</v>
      </c>
      <c r="H5018" t="s">
        <v>69</v>
      </c>
      <c r="I5018">
        <v>10</v>
      </c>
    </row>
    <row r="5019" spans="1:9" x14ac:dyDescent="0.2">
      <c r="A5019">
        <v>23798553</v>
      </c>
      <c r="B5019">
        <v>7</v>
      </c>
      <c r="C5019">
        <v>1601</v>
      </c>
      <c r="D5019">
        <v>0</v>
      </c>
      <c r="E5019">
        <v>26</v>
      </c>
      <c r="F5019" t="s">
        <v>128</v>
      </c>
      <c r="G5019" t="s">
        <v>412</v>
      </c>
      <c r="H5019" t="s">
        <v>127</v>
      </c>
      <c r="I5019" t="s">
        <v>448</v>
      </c>
    </row>
    <row r="5020" spans="1:9" x14ac:dyDescent="0.2">
      <c r="A5020">
        <v>23798553</v>
      </c>
      <c r="B5020">
        <v>8</v>
      </c>
      <c r="C5020">
        <v>1608</v>
      </c>
      <c r="D5020">
        <v>0</v>
      </c>
      <c r="E5020">
        <v>26</v>
      </c>
      <c r="F5020" t="s">
        <v>128</v>
      </c>
      <c r="G5020" t="s">
        <v>357</v>
      </c>
      <c r="H5020" t="s">
        <v>127</v>
      </c>
      <c r="I5020" t="s">
        <v>448</v>
      </c>
    </row>
    <row r="5021" spans="1:9" x14ac:dyDescent="0.2">
      <c r="A5021">
        <v>23803475</v>
      </c>
      <c r="B5021">
        <v>1</v>
      </c>
      <c r="C5021">
        <v>3225</v>
      </c>
      <c r="D5021">
        <v>48920</v>
      </c>
      <c r="E5021">
        <v>24</v>
      </c>
      <c r="F5021" t="s">
        <v>47</v>
      </c>
      <c r="G5021" t="s">
        <v>106</v>
      </c>
      <c r="H5021" t="s">
        <v>46</v>
      </c>
      <c r="I5021">
        <v>10</v>
      </c>
    </row>
    <row r="5022" spans="1:9" x14ac:dyDescent="0.2">
      <c r="A5022">
        <v>23803475</v>
      </c>
      <c r="B5022">
        <v>2</v>
      </c>
      <c r="C5022">
        <v>3269</v>
      </c>
      <c r="D5022">
        <v>0</v>
      </c>
      <c r="E5022">
        <v>26</v>
      </c>
      <c r="F5022" t="s">
        <v>47</v>
      </c>
      <c r="G5022" t="s">
        <v>180</v>
      </c>
      <c r="H5022" t="s">
        <v>46</v>
      </c>
      <c r="I5022">
        <v>10</v>
      </c>
    </row>
    <row r="5023" spans="1:9" x14ac:dyDescent="0.2">
      <c r="A5023">
        <v>23803475</v>
      </c>
      <c r="B5023">
        <v>3</v>
      </c>
      <c r="C5023">
        <v>3226</v>
      </c>
      <c r="D5023">
        <v>0</v>
      </c>
      <c r="E5023">
        <v>26</v>
      </c>
      <c r="F5023" t="s">
        <v>47</v>
      </c>
      <c r="G5023" t="s">
        <v>96</v>
      </c>
      <c r="H5023" t="s">
        <v>46</v>
      </c>
      <c r="I5023">
        <v>10</v>
      </c>
    </row>
    <row r="5024" spans="1:9" x14ac:dyDescent="0.2">
      <c r="A5024">
        <v>23803475</v>
      </c>
      <c r="B5024">
        <v>4</v>
      </c>
      <c r="C5024">
        <v>3237</v>
      </c>
      <c r="D5024">
        <v>0</v>
      </c>
      <c r="E5024">
        <v>26</v>
      </c>
      <c r="F5024" t="s">
        <v>47</v>
      </c>
      <c r="G5024" t="s">
        <v>181</v>
      </c>
      <c r="H5024" t="s">
        <v>46</v>
      </c>
      <c r="I5024">
        <v>10</v>
      </c>
    </row>
    <row r="5025" spans="1:9" x14ac:dyDescent="0.2">
      <c r="A5025">
        <v>23814261</v>
      </c>
      <c r="B5025">
        <v>1</v>
      </c>
      <c r="C5025">
        <v>1439</v>
      </c>
      <c r="D5025">
        <v>63955</v>
      </c>
      <c r="E5025">
        <v>24</v>
      </c>
      <c r="F5025" t="s">
        <v>25</v>
      </c>
      <c r="G5025" t="s">
        <v>29</v>
      </c>
      <c r="H5025" t="s">
        <v>24</v>
      </c>
      <c r="I5025">
        <v>5</v>
      </c>
    </row>
    <row r="5026" spans="1:9" x14ac:dyDescent="0.2">
      <c r="A5026">
        <v>23814261</v>
      </c>
      <c r="B5026">
        <v>2</v>
      </c>
      <c r="C5026">
        <v>2640</v>
      </c>
      <c r="D5026">
        <v>0</v>
      </c>
      <c r="E5026">
        <v>26</v>
      </c>
      <c r="F5026" t="s">
        <v>71</v>
      </c>
      <c r="G5026" t="s">
        <v>184</v>
      </c>
      <c r="H5026" t="s">
        <v>24</v>
      </c>
      <c r="I5026">
        <v>5</v>
      </c>
    </row>
    <row r="5027" spans="1:9" x14ac:dyDescent="0.2">
      <c r="A5027">
        <v>23814261</v>
      </c>
      <c r="B5027">
        <v>3</v>
      </c>
      <c r="C5027">
        <v>1339</v>
      </c>
      <c r="D5027">
        <v>0</v>
      </c>
      <c r="E5027">
        <v>26</v>
      </c>
      <c r="F5027" t="s">
        <v>21</v>
      </c>
      <c r="G5027" t="s">
        <v>185</v>
      </c>
      <c r="H5027" t="s">
        <v>20</v>
      </c>
      <c r="I5027">
        <v>8</v>
      </c>
    </row>
    <row r="5028" spans="1:9" x14ac:dyDescent="0.2">
      <c r="A5028">
        <v>23814261</v>
      </c>
      <c r="B5028">
        <v>4</v>
      </c>
      <c r="C5028">
        <v>3244</v>
      </c>
      <c r="D5028">
        <v>0</v>
      </c>
      <c r="E5028">
        <v>26</v>
      </c>
      <c r="F5028" t="s">
        <v>47</v>
      </c>
      <c r="G5028" t="s">
        <v>73</v>
      </c>
      <c r="H5028" t="s">
        <v>74</v>
      </c>
      <c r="I5028">
        <v>10</v>
      </c>
    </row>
    <row r="5029" spans="1:9" x14ac:dyDescent="0.2">
      <c r="A5029">
        <v>23814261</v>
      </c>
      <c r="B5029">
        <v>5</v>
      </c>
      <c r="C5029">
        <v>2544</v>
      </c>
      <c r="D5029">
        <v>0</v>
      </c>
      <c r="E5029">
        <v>26</v>
      </c>
      <c r="F5029" t="s">
        <v>175</v>
      </c>
      <c r="G5029" t="s">
        <v>185</v>
      </c>
      <c r="H5029" t="s">
        <v>213</v>
      </c>
      <c r="I5029">
        <v>4</v>
      </c>
    </row>
    <row r="5030" spans="1:9" x14ac:dyDescent="0.2">
      <c r="A5030">
        <v>23814261</v>
      </c>
      <c r="B5030">
        <v>6</v>
      </c>
      <c r="C5030">
        <v>1323</v>
      </c>
      <c r="D5030">
        <v>0</v>
      </c>
      <c r="E5030">
        <v>26</v>
      </c>
      <c r="F5030" t="s">
        <v>21</v>
      </c>
      <c r="G5030" t="s">
        <v>98</v>
      </c>
      <c r="H5030" t="s">
        <v>20</v>
      </c>
      <c r="I5030">
        <v>8</v>
      </c>
    </row>
    <row r="5031" spans="1:9" x14ac:dyDescent="0.2">
      <c r="A5031">
        <v>23814261</v>
      </c>
      <c r="B5031">
        <v>7</v>
      </c>
      <c r="C5031">
        <v>2650</v>
      </c>
      <c r="D5031">
        <v>0</v>
      </c>
      <c r="E5031">
        <v>26</v>
      </c>
      <c r="F5031" t="s">
        <v>71</v>
      </c>
      <c r="G5031" t="s">
        <v>189</v>
      </c>
      <c r="H5031" t="s">
        <v>24</v>
      </c>
      <c r="I5031">
        <v>5</v>
      </c>
    </row>
    <row r="5032" spans="1:9" x14ac:dyDescent="0.2">
      <c r="A5032">
        <v>23857285</v>
      </c>
      <c r="B5032">
        <v>1</v>
      </c>
      <c r="C5032">
        <v>1777</v>
      </c>
      <c r="D5032">
        <v>69480</v>
      </c>
      <c r="E5032">
        <v>24</v>
      </c>
      <c r="F5032" t="s">
        <v>57</v>
      </c>
      <c r="G5032" t="s">
        <v>88</v>
      </c>
      <c r="H5032" t="s">
        <v>69</v>
      </c>
      <c r="I5032">
        <v>10</v>
      </c>
    </row>
    <row r="5033" spans="1:9" x14ac:dyDescent="0.2">
      <c r="A5033">
        <v>23857285</v>
      </c>
      <c r="B5033">
        <v>2</v>
      </c>
      <c r="C5033">
        <v>1235</v>
      </c>
      <c r="D5033">
        <v>0</v>
      </c>
      <c r="E5033">
        <v>26</v>
      </c>
      <c r="F5033" t="s">
        <v>19</v>
      </c>
      <c r="G5033" t="s">
        <v>179</v>
      </c>
      <c r="H5033" t="s">
        <v>16</v>
      </c>
      <c r="I5033" t="s">
        <v>448</v>
      </c>
    </row>
    <row r="5034" spans="1:9" x14ac:dyDescent="0.2">
      <c r="A5034">
        <v>23857285</v>
      </c>
      <c r="B5034">
        <v>3</v>
      </c>
      <c r="C5034">
        <v>1728</v>
      </c>
      <c r="D5034">
        <v>0</v>
      </c>
      <c r="E5034">
        <v>26</v>
      </c>
      <c r="F5034" t="s">
        <v>57</v>
      </c>
      <c r="G5034" t="s">
        <v>103</v>
      </c>
      <c r="H5034" t="s">
        <v>69</v>
      </c>
      <c r="I5034">
        <v>10</v>
      </c>
    </row>
    <row r="5035" spans="1:9" x14ac:dyDescent="0.2">
      <c r="A5035">
        <v>23857285</v>
      </c>
      <c r="B5035">
        <v>4</v>
      </c>
      <c r="C5035">
        <v>1711</v>
      </c>
      <c r="D5035">
        <v>0</v>
      </c>
      <c r="E5035">
        <v>26</v>
      </c>
      <c r="F5035" t="s">
        <v>57</v>
      </c>
      <c r="G5035" t="s">
        <v>201</v>
      </c>
      <c r="H5035" t="s">
        <v>69</v>
      </c>
      <c r="I5035">
        <v>10</v>
      </c>
    </row>
    <row r="5036" spans="1:9" x14ac:dyDescent="0.2">
      <c r="A5036">
        <v>23870805</v>
      </c>
      <c r="B5036">
        <v>1</v>
      </c>
      <c r="C5036">
        <v>1740</v>
      </c>
      <c r="D5036">
        <v>58700</v>
      </c>
      <c r="E5036">
        <v>24</v>
      </c>
      <c r="F5036" t="s">
        <v>57</v>
      </c>
      <c r="G5036" t="s">
        <v>209</v>
      </c>
      <c r="H5036" t="s">
        <v>79</v>
      </c>
      <c r="I5036">
        <v>10</v>
      </c>
    </row>
    <row r="5037" spans="1:9" x14ac:dyDescent="0.2">
      <c r="A5037">
        <v>23870805</v>
      </c>
      <c r="B5037">
        <v>2</v>
      </c>
      <c r="C5037">
        <v>1737</v>
      </c>
      <c r="D5037">
        <v>0</v>
      </c>
      <c r="E5037">
        <v>26</v>
      </c>
      <c r="F5037" t="s">
        <v>57</v>
      </c>
      <c r="G5037" t="s">
        <v>54</v>
      </c>
      <c r="H5037" t="s">
        <v>79</v>
      </c>
      <c r="I5037">
        <v>10</v>
      </c>
    </row>
    <row r="5038" spans="1:9" x14ac:dyDescent="0.2">
      <c r="A5038">
        <v>23870805</v>
      </c>
      <c r="B5038">
        <v>3</v>
      </c>
      <c r="C5038">
        <v>1774</v>
      </c>
      <c r="D5038">
        <v>0</v>
      </c>
      <c r="E5038">
        <v>26</v>
      </c>
      <c r="F5038" t="s">
        <v>57</v>
      </c>
      <c r="G5038" t="s">
        <v>296</v>
      </c>
      <c r="H5038" t="s">
        <v>69</v>
      </c>
      <c r="I5038">
        <v>10</v>
      </c>
    </row>
    <row r="5039" spans="1:9" x14ac:dyDescent="0.2">
      <c r="A5039">
        <v>23887247</v>
      </c>
      <c r="B5039">
        <v>1</v>
      </c>
      <c r="C5039">
        <v>1776</v>
      </c>
      <c r="D5039">
        <v>52540</v>
      </c>
      <c r="E5039">
        <v>25</v>
      </c>
      <c r="F5039" t="s">
        <v>57</v>
      </c>
      <c r="G5039" t="s">
        <v>124</v>
      </c>
      <c r="H5039" t="s">
        <v>125</v>
      </c>
      <c r="I5039">
        <v>10</v>
      </c>
    </row>
    <row r="5040" spans="1:9" x14ac:dyDescent="0.2">
      <c r="A5040">
        <v>23887247</v>
      </c>
      <c r="B5040">
        <v>2</v>
      </c>
      <c r="C5040">
        <v>3032</v>
      </c>
      <c r="D5040">
        <v>51820</v>
      </c>
      <c r="E5040">
        <v>25</v>
      </c>
      <c r="F5040" t="s">
        <v>44</v>
      </c>
      <c r="G5040" t="s">
        <v>151</v>
      </c>
      <c r="H5040" t="s">
        <v>50</v>
      </c>
      <c r="I5040">
        <v>9</v>
      </c>
    </row>
    <row r="5041" spans="1:9" x14ac:dyDescent="0.2">
      <c r="A5041">
        <v>23887247</v>
      </c>
      <c r="B5041">
        <v>3</v>
      </c>
      <c r="C5041">
        <v>1714</v>
      </c>
      <c r="D5041">
        <v>52540</v>
      </c>
      <c r="E5041">
        <v>25</v>
      </c>
      <c r="F5041" t="s">
        <v>57</v>
      </c>
      <c r="G5041" t="s">
        <v>95</v>
      </c>
      <c r="H5041" t="s">
        <v>69</v>
      </c>
      <c r="I5041">
        <v>10</v>
      </c>
    </row>
    <row r="5042" spans="1:9" x14ac:dyDescent="0.2">
      <c r="A5042">
        <v>23887247</v>
      </c>
      <c r="B5042">
        <v>4</v>
      </c>
      <c r="C5042">
        <v>3501</v>
      </c>
      <c r="D5042">
        <v>54625</v>
      </c>
      <c r="E5042">
        <v>25</v>
      </c>
      <c r="F5042" t="s">
        <v>234</v>
      </c>
      <c r="G5042" t="s">
        <v>124</v>
      </c>
      <c r="H5042" t="s">
        <v>35</v>
      </c>
      <c r="I5042">
        <v>7</v>
      </c>
    </row>
    <row r="5043" spans="1:9" x14ac:dyDescent="0.2">
      <c r="A5043">
        <v>23887247</v>
      </c>
      <c r="B5043">
        <v>5</v>
      </c>
      <c r="C5043">
        <v>1715</v>
      </c>
      <c r="D5043">
        <v>52475</v>
      </c>
      <c r="E5043">
        <v>25</v>
      </c>
      <c r="F5043" t="s">
        <v>57</v>
      </c>
      <c r="G5043" t="s">
        <v>151</v>
      </c>
      <c r="H5043" t="s">
        <v>69</v>
      </c>
      <c r="I5043">
        <v>10</v>
      </c>
    </row>
    <row r="5044" spans="1:9" x14ac:dyDescent="0.2">
      <c r="A5044">
        <v>23887247</v>
      </c>
      <c r="B5044">
        <v>6</v>
      </c>
      <c r="C5044">
        <v>3060</v>
      </c>
      <c r="D5044">
        <v>52300</v>
      </c>
      <c r="E5044">
        <v>25</v>
      </c>
      <c r="F5044" t="s">
        <v>44</v>
      </c>
      <c r="G5044" t="s">
        <v>51</v>
      </c>
      <c r="H5044" t="s">
        <v>52</v>
      </c>
      <c r="I5044">
        <v>9</v>
      </c>
    </row>
    <row r="5045" spans="1:9" x14ac:dyDescent="0.2">
      <c r="A5045">
        <v>23887247</v>
      </c>
      <c r="B5045">
        <v>7</v>
      </c>
      <c r="C5045">
        <v>3657</v>
      </c>
      <c r="D5045">
        <v>52890</v>
      </c>
      <c r="E5045">
        <v>25</v>
      </c>
      <c r="F5045" t="s">
        <v>108</v>
      </c>
      <c r="G5045" t="s">
        <v>325</v>
      </c>
      <c r="H5045" t="s">
        <v>20</v>
      </c>
      <c r="I5045">
        <v>8</v>
      </c>
    </row>
    <row r="5046" spans="1:9" x14ac:dyDescent="0.2">
      <c r="A5046">
        <v>23887247</v>
      </c>
      <c r="B5046">
        <v>8</v>
      </c>
      <c r="C5046">
        <v>1335</v>
      </c>
      <c r="D5046">
        <v>52475</v>
      </c>
      <c r="E5046">
        <v>25</v>
      </c>
      <c r="F5046" t="s">
        <v>21</v>
      </c>
      <c r="G5046" t="s">
        <v>326</v>
      </c>
      <c r="H5046" t="s">
        <v>20</v>
      </c>
      <c r="I5046">
        <v>8</v>
      </c>
    </row>
    <row r="5047" spans="1:9" x14ac:dyDescent="0.2">
      <c r="A5047">
        <v>23899867</v>
      </c>
      <c r="B5047">
        <v>1</v>
      </c>
      <c r="C5047">
        <v>3219</v>
      </c>
      <c r="D5047">
        <v>55370</v>
      </c>
      <c r="E5047">
        <v>24</v>
      </c>
      <c r="F5047" t="s">
        <v>47</v>
      </c>
      <c r="G5047" t="s">
        <v>205</v>
      </c>
      <c r="H5047" t="s">
        <v>74</v>
      </c>
      <c r="I5047">
        <v>10</v>
      </c>
    </row>
    <row r="5048" spans="1:9" x14ac:dyDescent="0.2">
      <c r="A5048">
        <v>23899867</v>
      </c>
      <c r="B5048">
        <v>2</v>
      </c>
      <c r="C5048">
        <v>1974</v>
      </c>
      <c r="D5048">
        <v>0</v>
      </c>
      <c r="E5048">
        <v>26</v>
      </c>
      <c r="F5048" t="s">
        <v>32</v>
      </c>
      <c r="G5048" t="s">
        <v>306</v>
      </c>
      <c r="H5048" t="s">
        <v>31</v>
      </c>
      <c r="I5048">
        <v>5</v>
      </c>
    </row>
    <row r="5049" spans="1:9" x14ac:dyDescent="0.2">
      <c r="A5049">
        <v>23899867</v>
      </c>
      <c r="B5049">
        <v>3</v>
      </c>
      <c r="C5049">
        <v>1361</v>
      </c>
      <c r="D5049">
        <v>0</v>
      </c>
      <c r="E5049">
        <v>26</v>
      </c>
      <c r="F5049" t="s">
        <v>21</v>
      </c>
      <c r="G5049" t="s">
        <v>306</v>
      </c>
      <c r="H5049" t="s">
        <v>20</v>
      </c>
      <c r="I5049">
        <v>8</v>
      </c>
    </row>
    <row r="5050" spans="1:9" x14ac:dyDescent="0.2">
      <c r="A5050">
        <v>23899867</v>
      </c>
      <c r="B5050">
        <v>4</v>
      </c>
      <c r="C5050">
        <v>1700</v>
      </c>
      <c r="D5050">
        <v>0</v>
      </c>
      <c r="E5050">
        <v>26</v>
      </c>
      <c r="F5050" t="s">
        <v>57</v>
      </c>
      <c r="G5050" t="s">
        <v>58</v>
      </c>
      <c r="H5050" t="s">
        <v>69</v>
      </c>
      <c r="I5050">
        <v>10</v>
      </c>
    </row>
    <row r="5051" spans="1:9" x14ac:dyDescent="0.2">
      <c r="A5051">
        <v>23943663</v>
      </c>
      <c r="B5051">
        <v>1</v>
      </c>
      <c r="C5051">
        <v>3296</v>
      </c>
      <c r="D5051">
        <v>58930</v>
      </c>
      <c r="E5051">
        <v>24</v>
      </c>
      <c r="F5051" t="s">
        <v>47</v>
      </c>
      <c r="G5051" t="s">
        <v>100</v>
      </c>
      <c r="H5051" t="s">
        <v>46</v>
      </c>
      <c r="I5051">
        <v>10</v>
      </c>
    </row>
    <row r="5052" spans="1:9" x14ac:dyDescent="0.2">
      <c r="A5052">
        <v>23944667</v>
      </c>
      <c r="B5052">
        <v>1</v>
      </c>
      <c r="C5052">
        <v>3237</v>
      </c>
      <c r="D5052">
        <v>49380</v>
      </c>
      <c r="E5052">
        <v>25</v>
      </c>
      <c r="F5052" t="s">
        <v>47</v>
      </c>
      <c r="G5052" t="s">
        <v>181</v>
      </c>
      <c r="H5052" t="s">
        <v>46</v>
      </c>
      <c r="I5052">
        <v>10</v>
      </c>
    </row>
    <row r="5053" spans="1:9" x14ac:dyDescent="0.2">
      <c r="A5053">
        <v>23944667</v>
      </c>
      <c r="B5053">
        <v>2</v>
      </c>
      <c r="C5053">
        <v>3225</v>
      </c>
      <c r="D5053">
        <v>48710</v>
      </c>
      <c r="E5053">
        <v>24</v>
      </c>
      <c r="F5053" t="s">
        <v>47</v>
      </c>
      <c r="G5053" t="s">
        <v>106</v>
      </c>
      <c r="H5053" t="s">
        <v>46</v>
      </c>
      <c r="I5053">
        <v>10</v>
      </c>
    </row>
    <row r="5054" spans="1:9" x14ac:dyDescent="0.2">
      <c r="A5054">
        <v>24061501</v>
      </c>
      <c r="B5054">
        <v>1</v>
      </c>
      <c r="C5054">
        <v>3248</v>
      </c>
      <c r="D5054">
        <v>58720</v>
      </c>
      <c r="E5054">
        <v>24</v>
      </c>
      <c r="F5054" t="s">
        <v>47</v>
      </c>
      <c r="G5054" t="s">
        <v>92</v>
      </c>
      <c r="H5054" t="s">
        <v>46</v>
      </c>
      <c r="I5054">
        <v>10</v>
      </c>
    </row>
    <row r="5055" spans="1:9" x14ac:dyDescent="0.2">
      <c r="A5055">
        <v>24061501</v>
      </c>
      <c r="B5055">
        <v>2</v>
      </c>
      <c r="C5055">
        <v>2054</v>
      </c>
      <c r="D5055">
        <v>0</v>
      </c>
      <c r="E5055">
        <v>26</v>
      </c>
      <c r="F5055" t="s">
        <v>132</v>
      </c>
      <c r="G5055" t="s">
        <v>338</v>
      </c>
      <c r="H5055" t="s">
        <v>300</v>
      </c>
      <c r="I5055" t="s">
        <v>448</v>
      </c>
    </row>
    <row r="5056" spans="1:9" x14ac:dyDescent="0.2">
      <c r="A5056">
        <v>24061501</v>
      </c>
      <c r="B5056">
        <v>3</v>
      </c>
      <c r="C5056">
        <v>1788</v>
      </c>
      <c r="D5056">
        <v>0</v>
      </c>
      <c r="E5056">
        <v>26</v>
      </c>
      <c r="F5056" t="s">
        <v>57</v>
      </c>
      <c r="G5056" t="s">
        <v>97</v>
      </c>
      <c r="H5056" t="s">
        <v>56</v>
      </c>
      <c r="I5056">
        <v>10</v>
      </c>
    </row>
    <row r="5057" spans="1:9" x14ac:dyDescent="0.2">
      <c r="A5057">
        <v>24061501</v>
      </c>
      <c r="B5057">
        <v>4</v>
      </c>
      <c r="C5057">
        <v>3261</v>
      </c>
      <c r="D5057">
        <v>0</v>
      </c>
      <c r="E5057">
        <v>26</v>
      </c>
      <c r="F5057" t="s">
        <v>47</v>
      </c>
      <c r="G5057" t="s">
        <v>93</v>
      </c>
      <c r="H5057" t="s">
        <v>46</v>
      </c>
      <c r="I5057">
        <v>10</v>
      </c>
    </row>
    <row r="5058" spans="1:9" x14ac:dyDescent="0.2">
      <c r="A5058">
        <v>24104006</v>
      </c>
      <c r="B5058">
        <v>1</v>
      </c>
      <c r="C5058">
        <v>3252</v>
      </c>
      <c r="D5058">
        <v>46405</v>
      </c>
      <c r="E5058">
        <v>25</v>
      </c>
      <c r="F5058" t="s">
        <v>47</v>
      </c>
      <c r="G5058" t="s">
        <v>45</v>
      </c>
      <c r="H5058" t="s">
        <v>46</v>
      </c>
      <c r="I5058">
        <v>10</v>
      </c>
    </row>
    <row r="5059" spans="1:9" x14ac:dyDescent="0.2">
      <c r="A5059">
        <v>24104006</v>
      </c>
      <c r="B5059">
        <v>2</v>
      </c>
      <c r="C5059">
        <v>3248</v>
      </c>
      <c r="D5059">
        <v>46315</v>
      </c>
      <c r="E5059">
        <v>25</v>
      </c>
      <c r="F5059" t="s">
        <v>47</v>
      </c>
      <c r="G5059" t="s">
        <v>92</v>
      </c>
      <c r="H5059" t="s">
        <v>46</v>
      </c>
      <c r="I5059">
        <v>10</v>
      </c>
    </row>
    <row r="5060" spans="1:9" x14ac:dyDescent="0.2">
      <c r="A5060">
        <v>24104006</v>
      </c>
      <c r="B5060">
        <v>3</v>
      </c>
      <c r="C5060">
        <v>3246</v>
      </c>
      <c r="D5060">
        <v>46405</v>
      </c>
      <c r="E5060">
        <v>25</v>
      </c>
      <c r="F5060" t="s">
        <v>47</v>
      </c>
      <c r="G5060" t="s">
        <v>91</v>
      </c>
      <c r="H5060" t="s">
        <v>74</v>
      </c>
      <c r="I5060">
        <v>10</v>
      </c>
    </row>
    <row r="5061" spans="1:9" x14ac:dyDescent="0.2">
      <c r="A5061">
        <v>24104006</v>
      </c>
      <c r="B5061">
        <v>4</v>
      </c>
      <c r="C5061">
        <v>3261</v>
      </c>
      <c r="D5061">
        <v>46150</v>
      </c>
      <c r="E5061">
        <v>25</v>
      </c>
      <c r="F5061" t="s">
        <v>47</v>
      </c>
      <c r="G5061" t="s">
        <v>93</v>
      </c>
      <c r="H5061" t="s">
        <v>46</v>
      </c>
      <c r="I5061">
        <v>10</v>
      </c>
    </row>
    <row r="5062" spans="1:9" x14ac:dyDescent="0.2">
      <c r="A5062">
        <v>24135316</v>
      </c>
      <c r="B5062">
        <v>1</v>
      </c>
      <c r="C5062">
        <v>1754</v>
      </c>
      <c r="D5062">
        <v>51830</v>
      </c>
      <c r="E5062">
        <v>25</v>
      </c>
      <c r="F5062" t="s">
        <v>57</v>
      </c>
      <c r="G5062" t="s">
        <v>85</v>
      </c>
      <c r="H5062" t="s">
        <v>69</v>
      </c>
      <c r="I5062">
        <v>10</v>
      </c>
    </row>
    <row r="5063" spans="1:9" x14ac:dyDescent="0.2">
      <c r="A5063">
        <v>24135316</v>
      </c>
      <c r="B5063">
        <v>2</v>
      </c>
      <c r="C5063">
        <v>1709</v>
      </c>
      <c r="D5063">
        <v>53180</v>
      </c>
      <c r="E5063">
        <v>25</v>
      </c>
      <c r="F5063" t="s">
        <v>57</v>
      </c>
      <c r="G5063" t="s">
        <v>84</v>
      </c>
      <c r="H5063" t="s">
        <v>69</v>
      </c>
      <c r="I5063">
        <v>10</v>
      </c>
    </row>
    <row r="5064" spans="1:9" x14ac:dyDescent="0.2">
      <c r="A5064">
        <v>24148776</v>
      </c>
      <c r="B5064">
        <v>1</v>
      </c>
      <c r="C5064">
        <v>3226</v>
      </c>
      <c r="D5064">
        <v>52190</v>
      </c>
      <c r="E5064">
        <v>24</v>
      </c>
      <c r="F5064" t="s">
        <v>47</v>
      </c>
      <c r="G5064" t="s">
        <v>96</v>
      </c>
      <c r="H5064" t="s">
        <v>46</v>
      </c>
      <c r="I5064">
        <v>10</v>
      </c>
    </row>
    <row r="5065" spans="1:9" x14ac:dyDescent="0.2">
      <c r="A5065">
        <v>24148776</v>
      </c>
      <c r="B5065">
        <v>2</v>
      </c>
      <c r="C5065">
        <v>1758</v>
      </c>
      <c r="D5065">
        <v>0</v>
      </c>
      <c r="E5065">
        <v>26</v>
      </c>
      <c r="F5065" t="s">
        <v>57</v>
      </c>
      <c r="G5065" t="s">
        <v>106</v>
      </c>
      <c r="H5065" t="s">
        <v>56</v>
      </c>
      <c r="I5065">
        <v>10</v>
      </c>
    </row>
    <row r="5066" spans="1:9" x14ac:dyDescent="0.2">
      <c r="A5066">
        <v>24148776</v>
      </c>
      <c r="B5066">
        <v>3</v>
      </c>
      <c r="C5066">
        <v>1701</v>
      </c>
      <c r="D5066">
        <v>0</v>
      </c>
      <c r="E5066">
        <v>26</v>
      </c>
      <c r="F5066" t="s">
        <v>57</v>
      </c>
      <c r="G5066" t="s">
        <v>96</v>
      </c>
      <c r="H5066" t="s">
        <v>69</v>
      </c>
      <c r="I5066">
        <v>10</v>
      </c>
    </row>
    <row r="5067" spans="1:9" x14ac:dyDescent="0.2">
      <c r="A5067">
        <v>24148776</v>
      </c>
      <c r="B5067">
        <v>4</v>
      </c>
      <c r="C5067">
        <v>1776</v>
      </c>
      <c r="D5067">
        <v>0</v>
      </c>
      <c r="E5067">
        <v>26</v>
      </c>
      <c r="F5067" t="s">
        <v>57</v>
      </c>
      <c r="G5067" t="s">
        <v>124</v>
      </c>
      <c r="H5067" t="s">
        <v>125</v>
      </c>
      <c r="I5067">
        <v>10</v>
      </c>
    </row>
    <row r="5068" spans="1:9" x14ac:dyDescent="0.2">
      <c r="A5068">
        <v>24191890</v>
      </c>
      <c r="B5068">
        <v>1</v>
      </c>
      <c r="C5068">
        <v>1700</v>
      </c>
      <c r="D5068">
        <v>54120</v>
      </c>
      <c r="E5068">
        <v>24</v>
      </c>
      <c r="F5068" t="s">
        <v>57</v>
      </c>
      <c r="G5068" t="s">
        <v>58</v>
      </c>
      <c r="H5068" t="s">
        <v>69</v>
      </c>
      <c r="I5068">
        <v>10</v>
      </c>
    </row>
    <row r="5069" spans="1:9" x14ac:dyDescent="0.2">
      <c r="A5069">
        <v>24191890</v>
      </c>
      <c r="B5069">
        <v>2</v>
      </c>
      <c r="C5069">
        <v>1753</v>
      </c>
      <c r="D5069">
        <v>0</v>
      </c>
      <c r="E5069">
        <v>26</v>
      </c>
      <c r="F5069" t="s">
        <v>57</v>
      </c>
      <c r="G5069" t="s">
        <v>105</v>
      </c>
      <c r="H5069" t="s">
        <v>69</v>
      </c>
      <c r="I5069">
        <v>10</v>
      </c>
    </row>
    <row r="5070" spans="1:9" x14ac:dyDescent="0.2">
      <c r="A5070">
        <v>24191890</v>
      </c>
      <c r="B5070">
        <v>3</v>
      </c>
      <c r="C5070">
        <v>1701</v>
      </c>
      <c r="D5070">
        <v>0</v>
      </c>
      <c r="E5070">
        <v>26</v>
      </c>
      <c r="F5070" t="s">
        <v>57</v>
      </c>
      <c r="G5070" t="s">
        <v>96</v>
      </c>
      <c r="H5070" t="s">
        <v>69</v>
      </c>
      <c r="I5070">
        <v>10</v>
      </c>
    </row>
    <row r="5071" spans="1:9" x14ac:dyDescent="0.2">
      <c r="A5071">
        <v>24208725</v>
      </c>
      <c r="B5071">
        <v>1</v>
      </c>
      <c r="C5071">
        <v>1507</v>
      </c>
      <c r="D5071">
        <v>72245</v>
      </c>
      <c r="E5071">
        <v>24</v>
      </c>
      <c r="F5071" t="s">
        <v>142</v>
      </c>
      <c r="G5071" t="s">
        <v>66</v>
      </c>
      <c r="H5071" t="s">
        <v>31</v>
      </c>
      <c r="I5071">
        <v>5</v>
      </c>
    </row>
    <row r="5072" spans="1:9" x14ac:dyDescent="0.2">
      <c r="A5072">
        <v>24208725</v>
      </c>
      <c r="B5072">
        <v>2</v>
      </c>
      <c r="C5072">
        <v>1504</v>
      </c>
      <c r="D5072">
        <v>0</v>
      </c>
      <c r="E5072">
        <v>26</v>
      </c>
      <c r="F5072" t="s">
        <v>142</v>
      </c>
      <c r="G5072" t="s">
        <v>121</v>
      </c>
      <c r="H5072" t="s">
        <v>31</v>
      </c>
      <c r="I5072">
        <v>5</v>
      </c>
    </row>
    <row r="5073" spans="1:9" x14ac:dyDescent="0.2">
      <c r="A5073">
        <v>24208725</v>
      </c>
      <c r="B5073">
        <v>3</v>
      </c>
      <c r="C5073">
        <v>1509</v>
      </c>
      <c r="D5073">
        <v>0</v>
      </c>
      <c r="E5073">
        <v>26</v>
      </c>
      <c r="F5073" t="s">
        <v>142</v>
      </c>
      <c r="G5073" t="s">
        <v>162</v>
      </c>
      <c r="H5073" t="s">
        <v>31</v>
      </c>
      <c r="I5073">
        <v>5</v>
      </c>
    </row>
    <row r="5074" spans="1:9" x14ac:dyDescent="0.2">
      <c r="A5074">
        <v>24208725</v>
      </c>
      <c r="B5074">
        <v>4</v>
      </c>
      <c r="C5074">
        <v>1503</v>
      </c>
      <c r="D5074">
        <v>0</v>
      </c>
      <c r="E5074">
        <v>26</v>
      </c>
      <c r="F5074" t="s">
        <v>142</v>
      </c>
      <c r="G5074" t="s">
        <v>161</v>
      </c>
      <c r="H5074" t="s">
        <v>31</v>
      </c>
      <c r="I5074">
        <v>5</v>
      </c>
    </row>
    <row r="5075" spans="1:9" x14ac:dyDescent="0.2">
      <c r="A5075">
        <v>24233541</v>
      </c>
      <c r="B5075">
        <v>1</v>
      </c>
      <c r="C5075">
        <v>1181</v>
      </c>
      <c r="D5075">
        <v>66475</v>
      </c>
      <c r="E5075">
        <v>25</v>
      </c>
      <c r="F5075" t="s">
        <v>17</v>
      </c>
      <c r="G5075" t="s">
        <v>349</v>
      </c>
      <c r="H5075" t="s">
        <v>16</v>
      </c>
      <c r="I5075" t="s">
        <v>448</v>
      </c>
    </row>
    <row r="5076" spans="1:9" x14ac:dyDescent="0.2">
      <c r="A5076">
        <v>24233541</v>
      </c>
      <c r="B5076">
        <v>2</v>
      </c>
      <c r="C5076">
        <v>1382</v>
      </c>
      <c r="D5076">
        <v>67125</v>
      </c>
      <c r="E5076">
        <v>24</v>
      </c>
      <c r="F5076" t="s">
        <v>21</v>
      </c>
      <c r="G5076" t="s">
        <v>49</v>
      </c>
      <c r="H5076" t="s">
        <v>20</v>
      </c>
      <c r="I5076">
        <v>8</v>
      </c>
    </row>
    <row r="5077" spans="1:9" x14ac:dyDescent="0.2">
      <c r="A5077">
        <v>24233541</v>
      </c>
      <c r="B5077">
        <v>3</v>
      </c>
      <c r="C5077">
        <v>3021</v>
      </c>
      <c r="D5077">
        <v>0</v>
      </c>
      <c r="E5077">
        <v>26</v>
      </c>
      <c r="F5077" t="s">
        <v>44</v>
      </c>
      <c r="G5077" t="s">
        <v>49</v>
      </c>
      <c r="H5077" t="s">
        <v>50</v>
      </c>
      <c r="I5077">
        <v>9</v>
      </c>
    </row>
    <row r="5078" spans="1:9" x14ac:dyDescent="0.2">
      <c r="A5078">
        <v>24233541</v>
      </c>
      <c r="B5078">
        <v>4</v>
      </c>
      <c r="C5078">
        <v>1787</v>
      </c>
      <c r="D5078">
        <v>0</v>
      </c>
      <c r="E5078">
        <v>26</v>
      </c>
      <c r="F5078" t="s">
        <v>57</v>
      </c>
      <c r="G5078" t="s">
        <v>49</v>
      </c>
      <c r="H5078" t="s">
        <v>56</v>
      </c>
      <c r="I5078">
        <v>10</v>
      </c>
    </row>
    <row r="5079" spans="1:9" x14ac:dyDescent="0.2">
      <c r="A5079">
        <v>24233541</v>
      </c>
      <c r="B5079">
        <v>5</v>
      </c>
      <c r="C5079">
        <v>1732</v>
      </c>
      <c r="D5079">
        <v>0</v>
      </c>
      <c r="E5079">
        <v>26</v>
      </c>
      <c r="F5079" t="s">
        <v>57</v>
      </c>
      <c r="G5079" t="s">
        <v>104</v>
      </c>
      <c r="H5079" t="s">
        <v>69</v>
      </c>
      <c r="I5079">
        <v>10</v>
      </c>
    </row>
    <row r="5080" spans="1:9" x14ac:dyDescent="0.2">
      <c r="A5080">
        <v>24233541</v>
      </c>
      <c r="B5080">
        <v>6</v>
      </c>
      <c r="C5080">
        <v>1387</v>
      </c>
      <c r="D5080">
        <v>0</v>
      </c>
      <c r="E5080">
        <v>26</v>
      </c>
      <c r="F5080" t="s">
        <v>21</v>
      </c>
      <c r="G5080" t="s">
        <v>102</v>
      </c>
      <c r="H5080" t="s">
        <v>20</v>
      </c>
      <c r="I5080">
        <v>8</v>
      </c>
    </row>
    <row r="5081" spans="1:9" x14ac:dyDescent="0.2">
      <c r="A5081">
        <v>24233541</v>
      </c>
      <c r="B5081">
        <v>7</v>
      </c>
      <c r="C5081">
        <v>3020</v>
      </c>
      <c r="D5081">
        <v>0</v>
      </c>
      <c r="E5081">
        <v>26</v>
      </c>
      <c r="F5081" t="s">
        <v>44</v>
      </c>
      <c r="G5081" t="s">
        <v>102</v>
      </c>
      <c r="H5081" t="s">
        <v>50</v>
      </c>
      <c r="I5081">
        <v>9</v>
      </c>
    </row>
    <row r="5082" spans="1:9" x14ac:dyDescent="0.2">
      <c r="A5082">
        <v>24233541</v>
      </c>
      <c r="B5082">
        <v>8</v>
      </c>
      <c r="C5082">
        <v>1705</v>
      </c>
      <c r="D5082">
        <v>0</v>
      </c>
      <c r="E5082">
        <v>26</v>
      </c>
      <c r="F5082" t="s">
        <v>57</v>
      </c>
      <c r="G5082" t="s">
        <v>102</v>
      </c>
      <c r="H5082" t="s">
        <v>69</v>
      </c>
      <c r="I5082">
        <v>10</v>
      </c>
    </row>
    <row r="5083" spans="1:9" x14ac:dyDescent="0.2">
      <c r="A5083">
        <v>24236545</v>
      </c>
      <c r="B5083">
        <v>1</v>
      </c>
      <c r="C5083">
        <v>1163</v>
      </c>
      <c r="D5083">
        <v>60365</v>
      </c>
      <c r="E5083">
        <v>25</v>
      </c>
      <c r="F5083" t="s">
        <v>17</v>
      </c>
      <c r="G5083" t="s">
        <v>64</v>
      </c>
      <c r="H5083" t="s">
        <v>16</v>
      </c>
      <c r="I5083" t="s">
        <v>448</v>
      </c>
    </row>
    <row r="5084" spans="1:9" x14ac:dyDescent="0.2">
      <c r="A5084">
        <v>24236545</v>
      </c>
      <c r="B5084">
        <v>2</v>
      </c>
      <c r="C5084">
        <v>1777</v>
      </c>
      <c r="D5084">
        <v>59575</v>
      </c>
      <c r="E5084">
        <v>25</v>
      </c>
      <c r="F5084" t="s">
        <v>57</v>
      </c>
      <c r="G5084" t="s">
        <v>88</v>
      </c>
      <c r="H5084" t="s">
        <v>69</v>
      </c>
      <c r="I5084">
        <v>10</v>
      </c>
    </row>
    <row r="5085" spans="1:9" x14ac:dyDescent="0.2">
      <c r="A5085">
        <v>24236545</v>
      </c>
      <c r="B5085">
        <v>3</v>
      </c>
      <c r="C5085">
        <v>3243</v>
      </c>
      <c r="D5085">
        <v>61085</v>
      </c>
      <c r="E5085">
        <v>24</v>
      </c>
      <c r="F5085" t="s">
        <v>47</v>
      </c>
      <c r="G5085" t="s">
        <v>75</v>
      </c>
      <c r="H5085" t="s">
        <v>46</v>
      </c>
      <c r="I5085">
        <v>10</v>
      </c>
    </row>
    <row r="5086" spans="1:9" x14ac:dyDescent="0.2">
      <c r="A5086">
        <v>24236545</v>
      </c>
      <c r="B5086">
        <v>4</v>
      </c>
      <c r="C5086">
        <v>3234</v>
      </c>
      <c r="D5086">
        <v>0</v>
      </c>
      <c r="E5086">
        <v>26</v>
      </c>
      <c r="F5086" t="s">
        <v>47</v>
      </c>
      <c r="G5086" t="s">
        <v>76</v>
      </c>
      <c r="H5086" t="s">
        <v>46</v>
      </c>
      <c r="I5086">
        <v>10</v>
      </c>
    </row>
    <row r="5087" spans="1:9" x14ac:dyDescent="0.2">
      <c r="A5087">
        <v>24236545</v>
      </c>
      <c r="B5087">
        <v>5</v>
      </c>
      <c r="C5087">
        <v>1782</v>
      </c>
      <c r="D5087">
        <v>0</v>
      </c>
      <c r="E5087">
        <v>26</v>
      </c>
      <c r="F5087" t="s">
        <v>57</v>
      </c>
      <c r="G5087" t="s">
        <v>63</v>
      </c>
      <c r="H5087" t="s">
        <v>69</v>
      </c>
      <c r="I5087">
        <v>10</v>
      </c>
    </row>
    <row r="5088" spans="1:9" x14ac:dyDescent="0.2">
      <c r="A5088">
        <v>24236545</v>
      </c>
      <c r="B5088">
        <v>6</v>
      </c>
      <c r="C5088">
        <v>3214</v>
      </c>
      <c r="D5088">
        <v>0</v>
      </c>
      <c r="E5088">
        <v>26</v>
      </c>
      <c r="F5088" t="s">
        <v>47</v>
      </c>
      <c r="G5088" t="s">
        <v>98</v>
      </c>
      <c r="H5088" t="s">
        <v>74</v>
      </c>
      <c r="I5088">
        <v>10</v>
      </c>
    </row>
    <row r="5089" spans="1:9" x14ac:dyDescent="0.2">
      <c r="A5089">
        <v>24259361</v>
      </c>
      <c r="B5089">
        <v>1</v>
      </c>
      <c r="C5089">
        <v>1371</v>
      </c>
      <c r="D5089">
        <v>65720</v>
      </c>
      <c r="E5089">
        <v>24</v>
      </c>
      <c r="F5089" t="s">
        <v>21</v>
      </c>
      <c r="G5089" t="s">
        <v>78</v>
      </c>
      <c r="H5089" t="s">
        <v>20</v>
      </c>
      <c r="I5089">
        <v>8</v>
      </c>
    </row>
    <row r="5090" spans="1:9" x14ac:dyDescent="0.2">
      <c r="A5090">
        <v>24259361</v>
      </c>
      <c r="B5090">
        <v>2</v>
      </c>
      <c r="C5090">
        <v>1370</v>
      </c>
      <c r="D5090">
        <v>0</v>
      </c>
      <c r="E5090">
        <v>26</v>
      </c>
      <c r="F5090" t="s">
        <v>21</v>
      </c>
      <c r="G5090" t="s">
        <v>120</v>
      </c>
      <c r="H5090" t="s">
        <v>20</v>
      </c>
      <c r="I5090">
        <v>8</v>
      </c>
    </row>
    <row r="5091" spans="1:9" x14ac:dyDescent="0.2">
      <c r="A5091">
        <v>24259361</v>
      </c>
      <c r="B5091">
        <v>3</v>
      </c>
      <c r="C5091">
        <v>1368</v>
      </c>
      <c r="D5091">
        <v>0</v>
      </c>
      <c r="E5091">
        <v>26</v>
      </c>
      <c r="F5091" t="s">
        <v>21</v>
      </c>
      <c r="G5091" t="s">
        <v>140</v>
      </c>
      <c r="H5091" t="s">
        <v>20</v>
      </c>
      <c r="I5091">
        <v>8</v>
      </c>
    </row>
    <row r="5092" spans="1:9" x14ac:dyDescent="0.2">
      <c r="A5092">
        <v>24259361</v>
      </c>
      <c r="B5092">
        <v>4</v>
      </c>
      <c r="C5092">
        <v>1374</v>
      </c>
      <c r="D5092">
        <v>0</v>
      </c>
      <c r="E5092">
        <v>26</v>
      </c>
      <c r="F5092" t="s">
        <v>21</v>
      </c>
      <c r="G5092" t="s">
        <v>162</v>
      </c>
      <c r="H5092" t="s">
        <v>20</v>
      </c>
      <c r="I5092">
        <v>8</v>
      </c>
    </row>
    <row r="5093" spans="1:9" x14ac:dyDescent="0.2">
      <c r="A5093">
        <v>24259361</v>
      </c>
      <c r="B5093">
        <v>5</v>
      </c>
      <c r="C5093">
        <v>2935</v>
      </c>
      <c r="D5093">
        <v>0</v>
      </c>
      <c r="E5093">
        <v>26</v>
      </c>
      <c r="F5093" t="s">
        <v>119</v>
      </c>
      <c r="G5093" t="s">
        <v>197</v>
      </c>
      <c r="H5093" t="s">
        <v>20</v>
      </c>
      <c r="I5093">
        <v>8</v>
      </c>
    </row>
    <row r="5094" spans="1:9" x14ac:dyDescent="0.2">
      <c r="A5094">
        <v>24259361</v>
      </c>
      <c r="B5094">
        <v>6</v>
      </c>
      <c r="C5094">
        <v>2926</v>
      </c>
      <c r="D5094">
        <v>0</v>
      </c>
      <c r="E5094">
        <v>26</v>
      </c>
      <c r="F5094" t="s">
        <v>119</v>
      </c>
      <c r="G5094" t="s">
        <v>162</v>
      </c>
      <c r="H5094" t="s">
        <v>20</v>
      </c>
      <c r="I5094">
        <v>8</v>
      </c>
    </row>
    <row r="5095" spans="1:9" x14ac:dyDescent="0.2">
      <c r="A5095">
        <v>24265169</v>
      </c>
      <c r="B5095">
        <v>1</v>
      </c>
      <c r="C5095">
        <v>3212</v>
      </c>
      <c r="D5095">
        <v>55190</v>
      </c>
      <c r="E5095">
        <v>24</v>
      </c>
      <c r="F5095" t="s">
        <v>47</v>
      </c>
      <c r="G5095" t="s">
        <v>84</v>
      </c>
      <c r="H5095" t="s">
        <v>46</v>
      </c>
      <c r="I5095">
        <v>10</v>
      </c>
    </row>
    <row r="5096" spans="1:9" x14ac:dyDescent="0.2">
      <c r="A5096">
        <v>24265169</v>
      </c>
      <c r="B5096">
        <v>2</v>
      </c>
      <c r="C5096">
        <v>1759</v>
      </c>
      <c r="D5096">
        <v>0</v>
      </c>
      <c r="E5096">
        <v>26</v>
      </c>
      <c r="F5096" t="s">
        <v>57</v>
      </c>
      <c r="G5096" t="s">
        <v>154</v>
      </c>
      <c r="H5096" t="s">
        <v>56</v>
      </c>
      <c r="I5096">
        <v>10</v>
      </c>
    </row>
    <row r="5097" spans="1:9" x14ac:dyDescent="0.2">
      <c r="A5097">
        <v>24265169</v>
      </c>
      <c r="B5097">
        <v>3</v>
      </c>
      <c r="C5097">
        <v>3242</v>
      </c>
      <c r="D5097">
        <v>0</v>
      </c>
      <c r="E5097">
        <v>26</v>
      </c>
      <c r="F5097" t="s">
        <v>47</v>
      </c>
      <c r="G5097" t="s">
        <v>90</v>
      </c>
      <c r="H5097" t="s">
        <v>46</v>
      </c>
      <c r="I5097">
        <v>10</v>
      </c>
    </row>
    <row r="5098" spans="1:9" x14ac:dyDescent="0.2">
      <c r="A5098">
        <v>24265169</v>
      </c>
      <c r="B5098">
        <v>4</v>
      </c>
      <c r="C5098">
        <v>3211</v>
      </c>
      <c r="D5098">
        <v>0</v>
      </c>
      <c r="E5098">
        <v>26</v>
      </c>
      <c r="F5098" t="s">
        <v>47</v>
      </c>
      <c r="G5098" t="s">
        <v>99</v>
      </c>
      <c r="H5098" t="s">
        <v>46</v>
      </c>
      <c r="I5098">
        <v>10</v>
      </c>
    </row>
    <row r="5099" spans="1:9" x14ac:dyDescent="0.2">
      <c r="A5099">
        <v>24290677</v>
      </c>
      <c r="B5099">
        <v>1</v>
      </c>
      <c r="C5099">
        <v>3021</v>
      </c>
      <c r="D5099">
        <v>56390</v>
      </c>
      <c r="E5099">
        <v>25</v>
      </c>
      <c r="F5099" t="s">
        <v>44</v>
      </c>
      <c r="G5099" t="s">
        <v>49</v>
      </c>
      <c r="H5099" t="s">
        <v>50</v>
      </c>
      <c r="I5099">
        <v>9</v>
      </c>
    </row>
    <row r="5100" spans="1:9" x14ac:dyDescent="0.2">
      <c r="A5100">
        <v>24290677</v>
      </c>
      <c r="B5100">
        <v>2</v>
      </c>
      <c r="C5100">
        <v>3425</v>
      </c>
      <c r="D5100">
        <v>57740</v>
      </c>
      <c r="E5100">
        <v>25</v>
      </c>
      <c r="F5100" t="s">
        <v>36</v>
      </c>
      <c r="G5100" t="s">
        <v>49</v>
      </c>
      <c r="H5100" t="s">
        <v>35</v>
      </c>
      <c r="I5100">
        <v>7</v>
      </c>
    </row>
    <row r="5101" spans="1:9" x14ac:dyDescent="0.2">
      <c r="A5101">
        <v>24290677</v>
      </c>
      <c r="B5101">
        <v>3</v>
      </c>
      <c r="C5101">
        <v>2955</v>
      </c>
      <c r="D5101">
        <v>57300</v>
      </c>
      <c r="E5101">
        <v>25</v>
      </c>
      <c r="F5101" t="s">
        <v>119</v>
      </c>
      <c r="G5101" t="s">
        <v>49</v>
      </c>
      <c r="H5101" t="s">
        <v>136</v>
      </c>
      <c r="I5101">
        <v>8</v>
      </c>
    </row>
    <row r="5102" spans="1:9" x14ac:dyDescent="0.2">
      <c r="A5102">
        <v>24290677</v>
      </c>
      <c r="B5102">
        <v>4</v>
      </c>
      <c r="C5102">
        <v>1787</v>
      </c>
      <c r="D5102">
        <v>56725</v>
      </c>
      <c r="E5102">
        <v>25</v>
      </c>
      <c r="F5102" t="s">
        <v>57</v>
      </c>
      <c r="G5102" t="s">
        <v>49</v>
      </c>
      <c r="H5102" t="s">
        <v>56</v>
      </c>
      <c r="I5102">
        <v>10</v>
      </c>
    </row>
    <row r="5103" spans="1:9" x14ac:dyDescent="0.2">
      <c r="A5103">
        <v>24290677</v>
      </c>
      <c r="B5103">
        <v>5</v>
      </c>
      <c r="C5103">
        <v>1382</v>
      </c>
      <c r="D5103">
        <v>56915</v>
      </c>
      <c r="E5103">
        <v>25</v>
      </c>
      <c r="F5103" t="s">
        <v>21</v>
      </c>
      <c r="G5103" t="s">
        <v>49</v>
      </c>
      <c r="H5103" t="s">
        <v>20</v>
      </c>
      <c r="I5103">
        <v>8</v>
      </c>
    </row>
    <row r="5104" spans="1:9" x14ac:dyDescent="0.2">
      <c r="A5104">
        <v>24290677</v>
      </c>
      <c r="B5104">
        <v>6</v>
      </c>
      <c r="C5104">
        <v>3029</v>
      </c>
      <c r="D5104">
        <v>56380</v>
      </c>
      <c r="E5104">
        <v>25</v>
      </c>
      <c r="F5104" t="s">
        <v>44</v>
      </c>
      <c r="G5104" t="s">
        <v>247</v>
      </c>
      <c r="H5104" t="s">
        <v>50</v>
      </c>
      <c r="I5104">
        <v>9</v>
      </c>
    </row>
    <row r="5105" spans="1:9" x14ac:dyDescent="0.2">
      <c r="A5105">
        <v>24290677</v>
      </c>
      <c r="B5105">
        <v>7</v>
      </c>
      <c r="C5105">
        <v>3651</v>
      </c>
      <c r="D5105">
        <v>57280</v>
      </c>
      <c r="E5105">
        <v>25</v>
      </c>
      <c r="F5105" t="s">
        <v>108</v>
      </c>
      <c r="G5105" t="s">
        <v>247</v>
      </c>
      <c r="H5105" t="s">
        <v>20</v>
      </c>
      <c r="I5105">
        <v>8</v>
      </c>
    </row>
    <row r="5106" spans="1:9" x14ac:dyDescent="0.2">
      <c r="A5106">
        <v>24332486</v>
      </c>
      <c r="B5106">
        <v>1</v>
      </c>
      <c r="C5106">
        <v>1779</v>
      </c>
      <c r="D5106">
        <v>51910</v>
      </c>
      <c r="E5106">
        <v>24</v>
      </c>
      <c r="F5106" t="s">
        <v>57</v>
      </c>
      <c r="G5106" t="s">
        <v>162</v>
      </c>
      <c r="H5106" t="s">
        <v>79</v>
      </c>
      <c r="I5106">
        <v>10</v>
      </c>
    </row>
    <row r="5107" spans="1:9" x14ac:dyDescent="0.2">
      <c r="A5107">
        <v>24332486</v>
      </c>
      <c r="B5107">
        <v>2</v>
      </c>
      <c r="C5107">
        <v>1704</v>
      </c>
      <c r="D5107">
        <v>0</v>
      </c>
      <c r="E5107">
        <v>26</v>
      </c>
      <c r="F5107" t="s">
        <v>57</v>
      </c>
      <c r="G5107" t="s">
        <v>82</v>
      </c>
      <c r="H5107" t="s">
        <v>79</v>
      </c>
      <c r="I5107">
        <v>10</v>
      </c>
    </row>
    <row r="5108" spans="1:9" x14ac:dyDescent="0.2">
      <c r="A5108">
        <v>24332486</v>
      </c>
      <c r="B5108">
        <v>3</v>
      </c>
      <c r="C5108">
        <v>1372</v>
      </c>
      <c r="D5108">
        <v>0</v>
      </c>
      <c r="E5108">
        <v>26</v>
      </c>
      <c r="F5108" t="s">
        <v>21</v>
      </c>
      <c r="G5108" t="s">
        <v>66</v>
      </c>
      <c r="H5108" t="s">
        <v>20</v>
      </c>
      <c r="I5108">
        <v>8</v>
      </c>
    </row>
    <row r="5109" spans="1:9" x14ac:dyDescent="0.2">
      <c r="A5109">
        <v>24332486</v>
      </c>
      <c r="B5109">
        <v>4</v>
      </c>
      <c r="C5109">
        <v>1752</v>
      </c>
      <c r="D5109">
        <v>0</v>
      </c>
      <c r="E5109">
        <v>26</v>
      </c>
      <c r="F5109" t="s">
        <v>57</v>
      </c>
      <c r="G5109" t="s">
        <v>66</v>
      </c>
      <c r="H5109" t="s">
        <v>56</v>
      </c>
      <c r="I5109">
        <v>10</v>
      </c>
    </row>
    <row r="5110" spans="1:9" x14ac:dyDescent="0.2">
      <c r="A5110">
        <v>24332486</v>
      </c>
      <c r="B5110">
        <v>5</v>
      </c>
      <c r="C5110">
        <v>3719</v>
      </c>
      <c r="D5110">
        <v>0</v>
      </c>
      <c r="E5110">
        <v>26</v>
      </c>
      <c r="F5110" t="s">
        <v>116</v>
      </c>
      <c r="G5110" t="s">
        <v>66</v>
      </c>
      <c r="H5110" t="s">
        <v>61</v>
      </c>
      <c r="I5110">
        <v>9</v>
      </c>
    </row>
    <row r="5111" spans="1:9" x14ac:dyDescent="0.2">
      <c r="A5111">
        <v>24332486</v>
      </c>
      <c r="B5111">
        <v>6</v>
      </c>
      <c r="C5111">
        <v>1740</v>
      </c>
      <c r="D5111">
        <v>0</v>
      </c>
      <c r="E5111">
        <v>26</v>
      </c>
      <c r="F5111" t="s">
        <v>57</v>
      </c>
      <c r="G5111" t="s">
        <v>209</v>
      </c>
      <c r="H5111" t="s">
        <v>79</v>
      </c>
      <c r="I5111">
        <v>10</v>
      </c>
    </row>
    <row r="5112" spans="1:9" x14ac:dyDescent="0.2">
      <c r="A5112">
        <v>24332486</v>
      </c>
      <c r="B5112">
        <v>7</v>
      </c>
      <c r="C5112">
        <v>1737</v>
      </c>
      <c r="D5112">
        <v>0</v>
      </c>
      <c r="E5112">
        <v>26</v>
      </c>
      <c r="F5112" t="s">
        <v>57</v>
      </c>
      <c r="G5112" t="s">
        <v>54</v>
      </c>
      <c r="H5112" t="s">
        <v>79</v>
      </c>
      <c r="I5112">
        <v>10</v>
      </c>
    </row>
    <row r="5113" spans="1:9" x14ac:dyDescent="0.2">
      <c r="A5113">
        <v>24332486</v>
      </c>
      <c r="B5113">
        <v>8</v>
      </c>
      <c r="C5113">
        <v>3718</v>
      </c>
      <c r="D5113">
        <v>0</v>
      </c>
      <c r="E5113">
        <v>26</v>
      </c>
      <c r="F5113" t="s">
        <v>116</v>
      </c>
      <c r="G5113" t="s">
        <v>80</v>
      </c>
      <c r="H5113" t="s">
        <v>61</v>
      </c>
      <c r="I5113">
        <v>9</v>
      </c>
    </row>
    <row r="5114" spans="1:9" x14ac:dyDescent="0.2">
      <c r="A5114">
        <v>24338210</v>
      </c>
      <c r="B5114">
        <v>1</v>
      </c>
      <c r="C5114">
        <v>1504</v>
      </c>
      <c r="D5114">
        <v>73355</v>
      </c>
      <c r="E5114">
        <v>24</v>
      </c>
      <c r="F5114" t="s">
        <v>142</v>
      </c>
      <c r="G5114" t="s">
        <v>121</v>
      </c>
      <c r="H5114" t="s">
        <v>31</v>
      </c>
      <c r="I5114">
        <v>5</v>
      </c>
    </row>
    <row r="5115" spans="1:9" x14ac:dyDescent="0.2">
      <c r="A5115">
        <v>24338210</v>
      </c>
      <c r="B5115">
        <v>2</v>
      </c>
      <c r="C5115">
        <v>1145</v>
      </c>
      <c r="D5115">
        <v>0</v>
      </c>
      <c r="E5115">
        <v>26</v>
      </c>
      <c r="F5115" t="s">
        <v>17</v>
      </c>
      <c r="G5115" t="s">
        <v>159</v>
      </c>
      <c r="H5115" t="s">
        <v>16</v>
      </c>
      <c r="I5115" t="s">
        <v>448</v>
      </c>
    </row>
    <row r="5116" spans="1:9" x14ac:dyDescent="0.2">
      <c r="A5116">
        <v>24338210</v>
      </c>
      <c r="B5116">
        <v>3</v>
      </c>
      <c r="C5116">
        <v>1369</v>
      </c>
      <c r="D5116">
        <v>0</v>
      </c>
      <c r="E5116">
        <v>26</v>
      </c>
      <c r="F5116" t="s">
        <v>21</v>
      </c>
      <c r="G5116" t="s">
        <v>121</v>
      </c>
      <c r="H5116" t="s">
        <v>20</v>
      </c>
      <c r="I5116">
        <v>8</v>
      </c>
    </row>
    <row r="5117" spans="1:9" x14ac:dyDescent="0.2">
      <c r="A5117">
        <v>24338210</v>
      </c>
      <c r="B5117">
        <v>4</v>
      </c>
      <c r="C5117">
        <v>1481</v>
      </c>
      <c r="D5117">
        <v>0</v>
      </c>
      <c r="E5117">
        <v>26</v>
      </c>
      <c r="F5117" t="s">
        <v>25</v>
      </c>
      <c r="G5117" t="s">
        <v>121</v>
      </c>
      <c r="H5117" t="s">
        <v>24</v>
      </c>
      <c r="I5117">
        <v>5</v>
      </c>
    </row>
    <row r="5118" spans="1:9" x14ac:dyDescent="0.2">
      <c r="A5118">
        <v>24338210</v>
      </c>
      <c r="B5118">
        <v>5</v>
      </c>
      <c r="C5118">
        <v>1704</v>
      </c>
      <c r="D5118">
        <v>0</v>
      </c>
      <c r="E5118">
        <v>26</v>
      </c>
      <c r="F5118" t="s">
        <v>57</v>
      </c>
      <c r="G5118" t="s">
        <v>82</v>
      </c>
      <c r="H5118" t="s">
        <v>79</v>
      </c>
      <c r="I5118">
        <v>10</v>
      </c>
    </row>
    <row r="5119" spans="1:9" x14ac:dyDescent="0.2">
      <c r="A5119">
        <v>24338210</v>
      </c>
      <c r="B5119">
        <v>6</v>
      </c>
      <c r="C5119">
        <v>1507</v>
      </c>
      <c r="D5119">
        <v>0</v>
      </c>
      <c r="E5119">
        <v>26</v>
      </c>
      <c r="F5119" t="s">
        <v>142</v>
      </c>
      <c r="G5119" t="s">
        <v>66</v>
      </c>
      <c r="H5119" t="s">
        <v>31</v>
      </c>
      <c r="I5119">
        <v>5</v>
      </c>
    </row>
    <row r="5120" spans="1:9" x14ac:dyDescent="0.2">
      <c r="A5120">
        <v>24392204</v>
      </c>
      <c r="B5120">
        <v>1</v>
      </c>
      <c r="C5120">
        <v>3251</v>
      </c>
      <c r="D5120">
        <v>51170</v>
      </c>
      <c r="E5120">
        <v>24</v>
      </c>
      <c r="F5120" t="s">
        <v>47</v>
      </c>
      <c r="G5120" t="s">
        <v>48</v>
      </c>
      <c r="H5120" t="s">
        <v>46</v>
      </c>
      <c r="I5120">
        <v>10</v>
      </c>
    </row>
    <row r="5121" spans="1:9" x14ac:dyDescent="0.2">
      <c r="A5121">
        <v>24392204</v>
      </c>
      <c r="B5121">
        <v>2</v>
      </c>
      <c r="C5121">
        <v>3252</v>
      </c>
      <c r="D5121">
        <v>0</v>
      </c>
      <c r="E5121">
        <v>26</v>
      </c>
      <c r="F5121" t="s">
        <v>47</v>
      </c>
      <c r="G5121" t="s">
        <v>45</v>
      </c>
      <c r="H5121" t="s">
        <v>46</v>
      </c>
      <c r="I5121">
        <v>10</v>
      </c>
    </row>
    <row r="5122" spans="1:9" x14ac:dyDescent="0.2">
      <c r="A5122">
        <v>24392204</v>
      </c>
      <c r="B5122">
        <v>3</v>
      </c>
      <c r="C5122">
        <v>3261</v>
      </c>
      <c r="D5122">
        <v>0</v>
      </c>
      <c r="E5122">
        <v>26</v>
      </c>
      <c r="F5122" t="s">
        <v>47</v>
      </c>
      <c r="G5122" t="s">
        <v>93</v>
      </c>
      <c r="H5122" t="s">
        <v>46</v>
      </c>
      <c r="I5122">
        <v>10</v>
      </c>
    </row>
    <row r="5123" spans="1:9" x14ac:dyDescent="0.2">
      <c r="A5123">
        <v>24392204</v>
      </c>
      <c r="B5123">
        <v>4</v>
      </c>
      <c r="C5123">
        <v>3248</v>
      </c>
      <c r="D5123">
        <v>0</v>
      </c>
      <c r="E5123">
        <v>26</v>
      </c>
      <c r="F5123" t="s">
        <v>47</v>
      </c>
      <c r="G5123" t="s">
        <v>92</v>
      </c>
      <c r="H5123" t="s">
        <v>46</v>
      </c>
      <c r="I5123">
        <v>10</v>
      </c>
    </row>
    <row r="5124" spans="1:9" x14ac:dyDescent="0.2">
      <c r="A5124">
        <v>24436641</v>
      </c>
      <c r="B5124">
        <v>1</v>
      </c>
      <c r="C5124">
        <v>1239</v>
      </c>
      <c r="D5124">
        <v>75840</v>
      </c>
      <c r="E5124">
        <v>24</v>
      </c>
      <c r="F5124" t="s">
        <v>19</v>
      </c>
      <c r="G5124" t="s">
        <v>160</v>
      </c>
      <c r="H5124" t="s">
        <v>16</v>
      </c>
      <c r="I5124" t="s">
        <v>448</v>
      </c>
    </row>
    <row r="5125" spans="1:9" x14ac:dyDescent="0.2">
      <c r="A5125">
        <v>24436641</v>
      </c>
      <c r="B5125">
        <v>2</v>
      </c>
      <c r="C5125">
        <v>1145</v>
      </c>
      <c r="D5125">
        <v>0</v>
      </c>
      <c r="E5125">
        <v>26</v>
      </c>
      <c r="F5125" t="s">
        <v>17</v>
      </c>
      <c r="G5125" t="s">
        <v>159</v>
      </c>
      <c r="H5125" t="s">
        <v>16</v>
      </c>
      <c r="I5125" t="s">
        <v>448</v>
      </c>
    </row>
    <row r="5126" spans="1:9" x14ac:dyDescent="0.2">
      <c r="A5126">
        <v>24436641</v>
      </c>
      <c r="B5126">
        <v>3</v>
      </c>
      <c r="C5126">
        <v>1386</v>
      </c>
      <c r="D5126">
        <v>0</v>
      </c>
      <c r="E5126">
        <v>26</v>
      </c>
      <c r="F5126" t="s">
        <v>21</v>
      </c>
      <c r="G5126" t="s">
        <v>170</v>
      </c>
      <c r="H5126" t="s">
        <v>20</v>
      </c>
      <c r="I5126">
        <v>8</v>
      </c>
    </row>
    <row r="5127" spans="1:9" x14ac:dyDescent="0.2">
      <c r="A5127">
        <v>24436641</v>
      </c>
      <c r="B5127">
        <v>4</v>
      </c>
      <c r="C5127">
        <v>1203</v>
      </c>
      <c r="D5127">
        <v>0</v>
      </c>
      <c r="E5127">
        <v>26</v>
      </c>
      <c r="F5127" t="s">
        <v>19</v>
      </c>
      <c r="G5127" t="s">
        <v>248</v>
      </c>
      <c r="H5127" t="s">
        <v>16</v>
      </c>
      <c r="I5127" t="s">
        <v>448</v>
      </c>
    </row>
    <row r="5128" spans="1:9" x14ac:dyDescent="0.2">
      <c r="A5128">
        <v>24436641</v>
      </c>
      <c r="B5128">
        <v>5</v>
      </c>
      <c r="C5128">
        <v>1713</v>
      </c>
      <c r="D5128">
        <v>0</v>
      </c>
      <c r="E5128">
        <v>26</v>
      </c>
      <c r="F5128" t="s">
        <v>57</v>
      </c>
      <c r="G5128" t="s">
        <v>170</v>
      </c>
      <c r="H5128" t="s">
        <v>69</v>
      </c>
      <c r="I5128">
        <v>10</v>
      </c>
    </row>
    <row r="5129" spans="1:9" x14ac:dyDescent="0.2">
      <c r="A5129">
        <v>24436641</v>
      </c>
      <c r="B5129">
        <v>6</v>
      </c>
      <c r="C5129">
        <v>1182</v>
      </c>
      <c r="D5129">
        <v>0</v>
      </c>
      <c r="E5129">
        <v>16</v>
      </c>
      <c r="F5129" t="s">
        <v>17</v>
      </c>
      <c r="G5129" t="s">
        <v>405</v>
      </c>
      <c r="H5129" t="s">
        <v>16</v>
      </c>
      <c r="I5129" t="s">
        <v>448</v>
      </c>
    </row>
    <row r="5130" spans="1:9" x14ac:dyDescent="0.2">
      <c r="A5130">
        <v>24476470</v>
      </c>
      <c r="B5130">
        <v>1</v>
      </c>
      <c r="C5130">
        <v>1703</v>
      </c>
      <c r="D5130">
        <v>55050</v>
      </c>
      <c r="E5130">
        <v>24</v>
      </c>
      <c r="F5130" t="s">
        <v>57</v>
      </c>
      <c r="G5130" t="s">
        <v>109</v>
      </c>
      <c r="H5130" t="s">
        <v>69</v>
      </c>
      <c r="I5130">
        <v>10</v>
      </c>
    </row>
    <row r="5131" spans="1:9" x14ac:dyDescent="0.2">
      <c r="A5131">
        <v>24476470</v>
      </c>
      <c r="B5131">
        <v>2</v>
      </c>
      <c r="C5131">
        <v>1754</v>
      </c>
      <c r="D5131">
        <v>0</v>
      </c>
      <c r="E5131">
        <v>26</v>
      </c>
      <c r="F5131" t="s">
        <v>57</v>
      </c>
      <c r="G5131" t="s">
        <v>85</v>
      </c>
      <c r="H5131" t="s">
        <v>69</v>
      </c>
      <c r="I5131">
        <v>10</v>
      </c>
    </row>
    <row r="5132" spans="1:9" x14ac:dyDescent="0.2">
      <c r="A5132">
        <v>24476470</v>
      </c>
      <c r="B5132">
        <v>3</v>
      </c>
      <c r="C5132">
        <v>1788</v>
      </c>
      <c r="D5132">
        <v>0</v>
      </c>
      <c r="E5132">
        <v>26</v>
      </c>
      <c r="F5132" t="s">
        <v>57</v>
      </c>
      <c r="G5132" t="s">
        <v>97</v>
      </c>
      <c r="H5132" t="s">
        <v>56</v>
      </c>
      <c r="I5132">
        <v>10</v>
      </c>
    </row>
    <row r="5133" spans="1:9" x14ac:dyDescent="0.2">
      <c r="A5133">
        <v>24476470</v>
      </c>
      <c r="B5133">
        <v>4</v>
      </c>
      <c r="C5133">
        <v>3213</v>
      </c>
      <c r="D5133">
        <v>0</v>
      </c>
      <c r="E5133">
        <v>26</v>
      </c>
      <c r="F5133" t="s">
        <v>47</v>
      </c>
      <c r="G5133" t="s">
        <v>158</v>
      </c>
      <c r="H5133" t="s">
        <v>74</v>
      </c>
      <c r="I5133">
        <v>10</v>
      </c>
    </row>
    <row r="5134" spans="1:9" x14ac:dyDescent="0.2">
      <c r="A5134">
        <v>24476470</v>
      </c>
      <c r="B5134">
        <v>5</v>
      </c>
      <c r="C5134">
        <v>1774</v>
      </c>
      <c r="D5134">
        <v>0</v>
      </c>
      <c r="E5134">
        <v>26</v>
      </c>
      <c r="F5134" t="s">
        <v>57</v>
      </c>
      <c r="G5134" t="s">
        <v>296</v>
      </c>
      <c r="H5134" t="s">
        <v>69</v>
      </c>
      <c r="I5134">
        <v>10</v>
      </c>
    </row>
    <row r="5135" spans="1:9" x14ac:dyDescent="0.2">
      <c r="A5135">
        <v>24490759</v>
      </c>
      <c r="B5135">
        <v>1</v>
      </c>
      <c r="C5135">
        <v>3239</v>
      </c>
      <c r="D5135">
        <v>0</v>
      </c>
      <c r="E5135">
        <v>36</v>
      </c>
      <c r="F5135" t="s">
        <v>47</v>
      </c>
      <c r="G5135" t="s">
        <v>107</v>
      </c>
      <c r="H5135" t="s">
        <v>46</v>
      </c>
      <c r="I5135">
        <v>10</v>
      </c>
    </row>
    <row r="5136" spans="1:9" x14ac:dyDescent="0.2">
      <c r="A5136">
        <v>24490759</v>
      </c>
      <c r="B5136">
        <v>2</v>
      </c>
      <c r="C5136">
        <v>3296</v>
      </c>
      <c r="D5136">
        <v>0</v>
      </c>
      <c r="E5136">
        <v>36</v>
      </c>
      <c r="F5136" t="s">
        <v>47</v>
      </c>
      <c r="G5136" t="s">
        <v>100</v>
      </c>
      <c r="H5136" t="s">
        <v>46</v>
      </c>
      <c r="I5136">
        <v>10</v>
      </c>
    </row>
    <row r="5137" spans="1:9" x14ac:dyDescent="0.2">
      <c r="A5137">
        <v>24490759</v>
      </c>
      <c r="B5137">
        <v>3</v>
      </c>
      <c r="C5137">
        <v>3261</v>
      </c>
      <c r="D5137">
        <v>0</v>
      </c>
      <c r="E5137">
        <v>36</v>
      </c>
      <c r="F5137" t="s">
        <v>47</v>
      </c>
      <c r="G5137" t="s">
        <v>93</v>
      </c>
      <c r="H5137" t="s">
        <v>46</v>
      </c>
      <c r="I5137">
        <v>10</v>
      </c>
    </row>
    <row r="5138" spans="1:9" x14ac:dyDescent="0.2">
      <c r="A5138">
        <v>24490759</v>
      </c>
      <c r="B5138">
        <v>4</v>
      </c>
      <c r="C5138">
        <v>3252</v>
      </c>
      <c r="D5138">
        <v>0</v>
      </c>
      <c r="E5138">
        <v>36</v>
      </c>
      <c r="F5138" t="s">
        <v>47</v>
      </c>
      <c r="G5138" t="s">
        <v>45</v>
      </c>
      <c r="H5138" t="s">
        <v>46</v>
      </c>
      <c r="I5138">
        <v>10</v>
      </c>
    </row>
    <row r="5139" spans="1:9" x14ac:dyDescent="0.2">
      <c r="A5139">
        <v>24490759</v>
      </c>
      <c r="B5139">
        <v>5</v>
      </c>
      <c r="C5139">
        <v>3248</v>
      </c>
      <c r="D5139">
        <v>0</v>
      </c>
      <c r="E5139">
        <v>36</v>
      </c>
      <c r="F5139" t="s">
        <v>47</v>
      </c>
      <c r="G5139" t="s">
        <v>92</v>
      </c>
      <c r="H5139" t="s">
        <v>46</v>
      </c>
      <c r="I5139">
        <v>10</v>
      </c>
    </row>
    <row r="5140" spans="1:9" x14ac:dyDescent="0.2">
      <c r="A5140">
        <v>24490759</v>
      </c>
      <c r="B5140">
        <v>6</v>
      </c>
      <c r="C5140">
        <v>3242</v>
      </c>
      <c r="D5140">
        <v>0</v>
      </c>
      <c r="E5140">
        <v>36</v>
      </c>
      <c r="F5140" t="s">
        <v>47</v>
      </c>
      <c r="G5140" t="s">
        <v>90</v>
      </c>
      <c r="H5140" t="s">
        <v>46</v>
      </c>
      <c r="I5140">
        <v>10</v>
      </c>
    </row>
    <row r="5141" spans="1:9" x14ac:dyDescent="0.2">
      <c r="A5141">
        <v>24490759</v>
      </c>
      <c r="B5141">
        <v>7</v>
      </c>
      <c r="C5141">
        <v>3212</v>
      </c>
      <c r="D5141">
        <v>0</v>
      </c>
      <c r="E5141">
        <v>36</v>
      </c>
      <c r="F5141" t="s">
        <v>47</v>
      </c>
      <c r="G5141" t="s">
        <v>84</v>
      </c>
      <c r="H5141" t="s">
        <v>46</v>
      </c>
      <c r="I5141">
        <v>10</v>
      </c>
    </row>
    <row r="5142" spans="1:9" x14ac:dyDescent="0.2">
      <c r="A5142">
        <v>24490759</v>
      </c>
      <c r="B5142">
        <v>8</v>
      </c>
      <c r="C5142">
        <v>3722</v>
      </c>
      <c r="D5142">
        <v>0</v>
      </c>
      <c r="E5142">
        <v>36</v>
      </c>
      <c r="F5142" t="s">
        <v>116</v>
      </c>
      <c r="G5142" t="s">
        <v>198</v>
      </c>
      <c r="H5142" t="s">
        <v>61</v>
      </c>
      <c r="I5142">
        <v>9</v>
      </c>
    </row>
    <row r="5143" spans="1:9" x14ac:dyDescent="0.2">
      <c r="A5143">
        <v>24491280</v>
      </c>
      <c r="B5143">
        <v>1</v>
      </c>
      <c r="C5143">
        <v>3251</v>
      </c>
      <c r="D5143">
        <v>57545</v>
      </c>
      <c r="E5143">
        <v>24</v>
      </c>
      <c r="F5143" t="s">
        <v>47</v>
      </c>
      <c r="G5143" t="s">
        <v>48</v>
      </c>
      <c r="H5143" t="s">
        <v>46</v>
      </c>
      <c r="I5143">
        <v>10</v>
      </c>
    </row>
    <row r="5144" spans="1:9" x14ac:dyDescent="0.2">
      <c r="A5144">
        <v>24491280</v>
      </c>
      <c r="B5144">
        <v>2</v>
      </c>
      <c r="C5144">
        <v>3261</v>
      </c>
      <c r="D5144">
        <v>0</v>
      </c>
      <c r="E5144">
        <v>26</v>
      </c>
      <c r="F5144" t="s">
        <v>47</v>
      </c>
      <c r="G5144" t="s">
        <v>93</v>
      </c>
      <c r="H5144" t="s">
        <v>46</v>
      </c>
      <c r="I5144">
        <v>10</v>
      </c>
    </row>
    <row r="5145" spans="1:9" x14ac:dyDescent="0.2">
      <c r="A5145">
        <v>24491280</v>
      </c>
      <c r="B5145">
        <v>3</v>
      </c>
      <c r="C5145">
        <v>3211</v>
      </c>
      <c r="D5145">
        <v>0</v>
      </c>
      <c r="E5145">
        <v>26</v>
      </c>
      <c r="F5145" t="s">
        <v>47</v>
      </c>
      <c r="G5145" t="s">
        <v>99</v>
      </c>
      <c r="H5145" t="s">
        <v>46</v>
      </c>
      <c r="I5145">
        <v>10</v>
      </c>
    </row>
    <row r="5146" spans="1:9" x14ac:dyDescent="0.2">
      <c r="A5146">
        <v>24491280</v>
      </c>
      <c r="B5146">
        <v>4</v>
      </c>
      <c r="C5146">
        <v>3213</v>
      </c>
      <c r="D5146">
        <v>0</v>
      </c>
      <c r="E5146">
        <v>26</v>
      </c>
      <c r="F5146" t="s">
        <v>47</v>
      </c>
      <c r="G5146" t="s">
        <v>158</v>
      </c>
      <c r="H5146" t="s">
        <v>74</v>
      </c>
      <c r="I5146">
        <v>10</v>
      </c>
    </row>
    <row r="5147" spans="1:9" x14ac:dyDescent="0.2">
      <c r="A5147">
        <v>24491280</v>
      </c>
      <c r="B5147">
        <v>5</v>
      </c>
      <c r="C5147">
        <v>1782</v>
      </c>
      <c r="D5147">
        <v>0</v>
      </c>
      <c r="E5147">
        <v>26</v>
      </c>
      <c r="F5147" t="s">
        <v>57</v>
      </c>
      <c r="G5147" t="s">
        <v>63</v>
      </c>
      <c r="H5147" t="s">
        <v>69</v>
      </c>
      <c r="I5147">
        <v>10</v>
      </c>
    </row>
    <row r="5148" spans="1:9" x14ac:dyDescent="0.2">
      <c r="A5148">
        <v>24522325</v>
      </c>
      <c r="B5148">
        <v>1</v>
      </c>
      <c r="C5148">
        <v>1732</v>
      </c>
      <c r="D5148">
        <v>57365</v>
      </c>
      <c r="E5148">
        <v>25</v>
      </c>
      <c r="F5148" t="s">
        <v>57</v>
      </c>
      <c r="G5148" t="s">
        <v>104</v>
      </c>
      <c r="H5148" t="s">
        <v>69</v>
      </c>
      <c r="I5148">
        <v>10</v>
      </c>
    </row>
    <row r="5149" spans="1:9" x14ac:dyDescent="0.2">
      <c r="A5149">
        <v>24522325</v>
      </c>
      <c r="B5149">
        <v>2</v>
      </c>
      <c r="C5149">
        <v>3229</v>
      </c>
      <c r="D5149">
        <v>58180</v>
      </c>
      <c r="E5149">
        <v>24</v>
      </c>
      <c r="F5149" t="s">
        <v>47</v>
      </c>
      <c r="G5149" t="s">
        <v>101</v>
      </c>
      <c r="H5149" t="s">
        <v>46</v>
      </c>
      <c r="I5149">
        <v>10</v>
      </c>
    </row>
    <row r="5150" spans="1:9" x14ac:dyDescent="0.2">
      <c r="A5150">
        <v>24522325</v>
      </c>
      <c r="B5150">
        <v>3</v>
      </c>
      <c r="C5150">
        <v>1734</v>
      </c>
      <c r="D5150">
        <v>0</v>
      </c>
      <c r="E5150">
        <v>26</v>
      </c>
      <c r="F5150" t="s">
        <v>57</v>
      </c>
      <c r="G5150" t="s">
        <v>81</v>
      </c>
      <c r="H5150" t="s">
        <v>69</v>
      </c>
      <c r="I5150">
        <v>10</v>
      </c>
    </row>
    <row r="5151" spans="1:9" x14ac:dyDescent="0.2">
      <c r="A5151">
        <v>24550247</v>
      </c>
      <c r="B5151">
        <v>1</v>
      </c>
      <c r="C5151">
        <v>3078</v>
      </c>
      <c r="D5151">
        <v>63240</v>
      </c>
      <c r="E5151">
        <v>24</v>
      </c>
      <c r="F5151" t="s">
        <v>44</v>
      </c>
      <c r="G5151" t="s">
        <v>149</v>
      </c>
      <c r="H5151" t="s">
        <v>61</v>
      </c>
      <c r="I5151">
        <v>9</v>
      </c>
    </row>
    <row r="5152" spans="1:9" x14ac:dyDescent="0.2">
      <c r="A5152">
        <v>24550247</v>
      </c>
      <c r="B5152">
        <v>2</v>
      </c>
      <c r="C5152">
        <v>1303</v>
      </c>
      <c r="D5152">
        <v>0</v>
      </c>
      <c r="E5152">
        <v>26</v>
      </c>
      <c r="F5152" t="s">
        <v>21</v>
      </c>
      <c r="G5152" t="s">
        <v>149</v>
      </c>
      <c r="H5152" t="s">
        <v>20</v>
      </c>
      <c r="I5152">
        <v>8</v>
      </c>
    </row>
    <row r="5153" spans="1:9" x14ac:dyDescent="0.2">
      <c r="A5153">
        <v>24550247</v>
      </c>
      <c r="B5153">
        <v>3</v>
      </c>
      <c r="C5153">
        <v>1365</v>
      </c>
      <c r="D5153">
        <v>0</v>
      </c>
      <c r="E5153">
        <v>26</v>
      </c>
      <c r="F5153" t="s">
        <v>21</v>
      </c>
      <c r="G5153" t="s">
        <v>432</v>
      </c>
      <c r="H5153" t="s">
        <v>20</v>
      </c>
      <c r="I5153">
        <v>8</v>
      </c>
    </row>
    <row r="5154" spans="1:9" x14ac:dyDescent="0.2">
      <c r="A5154">
        <v>24550247</v>
      </c>
      <c r="B5154">
        <v>4</v>
      </c>
      <c r="C5154">
        <v>3058</v>
      </c>
      <c r="D5154">
        <v>0</v>
      </c>
      <c r="E5154">
        <v>26</v>
      </c>
      <c r="F5154" t="s">
        <v>44</v>
      </c>
      <c r="G5154" t="s">
        <v>53</v>
      </c>
      <c r="H5154" t="s">
        <v>52</v>
      </c>
      <c r="I5154">
        <v>9</v>
      </c>
    </row>
    <row r="5155" spans="1:9" x14ac:dyDescent="0.2">
      <c r="A5155">
        <v>24550247</v>
      </c>
      <c r="B5155">
        <v>5</v>
      </c>
      <c r="C5155">
        <v>3237</v>
      </c>
      <c r="D5155">
        <v>0</v>
      </c>
      <c r="E5155">
        <v>26</v>
      </c>
      <c r="F5155" t="s">
        <v>47</v>
      </c>
      <c r="G5155" t="s">
        <v>181</v>
      </c>
      <c r="H5155" t="s">
        <v>46</v>
      </c>
      <c r="I5155">
        <v>10</v>
      </c>
    </row>
    <row r="5156" spans="1:9" x14ac:dyDescent="0.2">
      <c r="A5156">
        <v>24561535</v>
      </c>
      <c r="B5156">
        <v>1</v>
      </c>
      <c r="C5156">
        <v>1257</v>
      </c>
      <c r="D5156">
        <v>64855</v>
      </c>
      <c r="E5156">
        <v>25</v>
      </c>
      <c r="F5156" t="s">
        <v>19</v>
      </c>
      <c r="G5156" t="s">
        <v>199</v>
      </c>
      <c r="H5156" t="s">
        <v>16</v>
      </c>
      <c r="I5156" t="s">
        <v>448</v>
      </c>
    </row>
    <row r="5157" spans="1:9" x14ac:dyDescent="0.2">
      <c r="A5157">
        <v>24561535</v>
      </c>
      <c r="B5157">
        <v>2</v>
      </c>
      <c r="C5157">
        <v>1180</v>
      </c>
      <c r="D5157">
        <v>64285</v>
      </c>
      <c r="E5157">
        <v>25</v>
      </c>
      <c r="F5157" t="s">
        <v>17</v>
      </c>
      <c r="G5157" t="s">
        <v>203</v>
      </c>
      <c r="H5157" t="s">
        <v>16</v>
      </c>
      <c r="I5157" t="s">
        <v>448</v>
      </c>
    </row>
    <row r="5158" spans="1:9" x14ac:dyDescent="0.2">
      <c r="A5158">
        <v>24561535</v>
      </c>
      <c r="B5158">
        <v>3</v>
      </c>
      <c r="C5158">
        <v>1705</v>
      </c>
      <c r="D5158">
        <v>64590</v>
      </c>
      <c r="E5158">
        <v>24</v>
      </c>
      <c r="F5158" t="s">
        <v>57</v>
      </c>
      <c r="G5158" t="s">
        <v>102</v>
      </c>
      <c r="H5158" t="s">
        <v>69</v>
      </c>
      <c r="I5158">
        <v>10</v>
      </c>
    </row>
    <row r="5159" spans="1:9" x14ac:dyDescent="0.2">
      <c r="A5159">
        <v>24561535</v>
      </c>
      <c r="B5159">
        <v>4</v>
      </c>
      <c r="C5159">
        <v>1211</v>
      </c>
      <c r="D5159">
        <v>0</v>
      </c>
      <c r="E5159">
        <v>26</v>
      </c>
      <c r="F5159" t="s">
        <v>19</v>
      </c>
      <c r="G5159" t="s">
        <v>204</v>
      </c>
      <c r="H5159" t="s">
        <v>16</v>
      </c>
      <c r="I5159" t="s">
        <v>448</v>
      </c>
    </row>
    <row r="5160" spans="1:9" x14ac:dyDescent="0.2">
      <c r="A5160">
        <v>24561535</v>
      </c>
      <c r="B5160">
        <v>5</v>
      </c>
      <c r="C5160">
        <v>1692</v>
      </c>
      <c r="D5160">
        <v>0</v>
      </c>
      <c r="E5160">
        <v>26</v>
      </c>
      <c r="F5160" t="s">
        <v>128</v>
      </c>
      <c r="G5160" t="s">
        <v>102</v>
      </c>
      <c r="H5160" t="s">
        <v>127</v>
      </c>
      <c r="I5160" t="s">
        <v>448</v>
      </c>
    </row>
    <row r="5161" spans="1:9" x14ac:dyDescent="0.2">
      <c r="A5161">
        <v>24561535</v>
      </c>
      <c r="B5161">
        <v>6</v>
      </c>
      <c r="C5161">
        <v>1776</v>
      </c>
      <c r="D5161">
        <v>0</v>
      </c>
      <c r="E5161">
        <v>26</v>
      </c>
      <c r="F5161" t="s">
        <v>57</v>
      </c>
      <c r="G5161" t="s">
        <v>124</v>
      </c>
      <c r="H5161" t="s">
        <v>125</v>
      </c>
      <c r="I5161">
        <v>10</v>
      </c>
    </row>
    <row r="5162" spans="1:9" x14ac:dyDescent="0.2">
      <c r="A5162">
        <v>24608266</v>
      </c>
      <c r="B5162">
        <v>1</v>
      </c>
      <c r="C5162">
        <v>1213</v>
      </c>
      <c r="D5162">
        <v>63270</v>
      </c>
      <c r="E5162">
        <v>25</v>
      </c>
      <c r="F5162" t="s">
        <v>19</v>
      </c>
      <c r="G5162" t="s">
        <v>155</v>
      </c>
      <c r="H5162" t="s">
        <v>16</v>
      </c>
      <c r="I5162" t="s">
        <v>448</v>
      </c>
    </row>
    <row r="5163" spans="1:9" x14ac:dyDescent="0.2">
      <c r="A5163">
        <v>24608266</v>
      </c>
      <c r="B5163">
        <v>2</v>
      </c>
      <c r="C5163">
        <v>1120</v>
      </c>
      <c r="D5163">
        <v>63780</v>
      </c>
      <c r="E5163">
        <v>24</v>
      </c>
      <c r="F5163" t="s">
        <v>17</v>
      </c>
      <c r="G5163" t="s">
        <v>261</v>
      </c>
      <c r="H5163" t="s">
        <v>16</v>
      </c>
      <c r="I5163" t="s">
        <v>448</v>
      </c>
    </row>
    <row r="5164" spans="1:9" x14ac:dyDescent="0.2">
      <c r="A5164">
        <v>24608266</v>
      </c>
      <c r="B5164">
        <v>3</v>
      </c>
      <c r="C5164">
        <v>1122</v>
      </c>
      <c r="D5164">
        <v>0</v>
      </c>
      <c r="E5164">
        <v>26</v>
      </c>
      <c r="F5164" t="s">
        <v>17</v>
      </c>
      <c r="G5164" t="s">
        <v>77</v>
      </c>
      <c r="H5164" t="s">
        <v>16</v>
      </c>
      <c r="I5164" t="s">
        <v>448</v>
      </c>
    </row>
    <row r="5165" spans="1:9" x14ac:dyDescent="0.2">
      <c r="A5165">
        <v>24608266</v>
      </c>
      <c r="B5165">
        <v>4</v>
      </c>
      <c r="C5165">
        <v>1123</v>
      </c>
      <c r="D5165">
        <v>0</v>
      </c>
      <c r="E5165">
        <v>26</v>
      </c>
      <c r="F5165" t="s">
        <v>17</v>
      </c>
      <c r="G5165" t="s">
        <v>403</v>
      </c>
      <c r="H5165" t="s">
        <v>16</v>
      </c>
      <c r="I5165" t="s">
        <v>448</v>
      </c>
    </row>
    <row r="5166" spans="1:9" x14ac:dyDescent="0.2">
      <c r="A5166">
        <v>24608266</v>
      </c>
      <c r="B5166">
        <v>5</v>
      </c>
      <c r="C5166">
        <v>1667</v>
      </c>
      <c r="D5166">
        <v>0</v>
      </c>
      <c r="E5166">
        <v>26</v>
      </c>
      <c r="F5166" t="s">
        <v>128</v>
      </c>
      <c r="G5166" t="s">
        <v>404</v>
      </c>
      <c r="H5166" t="s">
        <v>127</v>
      </c>
      <c r="I5166" t="s">
        <v>448</v>
      </c>
    </row>
    <row r="5167" spans="1:9" x14ac:dyDescent="0.2">
      <c r="A5167">
        <v>24608266</v>
      </c>
      <c r="B5167">
        <v>6</v>
      </c>
      <c r="C5167">
        <v>1622</v>
      </c>
      <c r="D5167">
        <v>0</v>
      </c>
      <c r="E5167">
        <v>26</v>
      </c>
      <c r="F5167" t="s">
        <v>128</v>
      </c>
      <c r="G5167" t="s">
        <v>306</v>
      </c>
      <c r="H5167" t="s">
        <v>127</v>
      </c>
      <c r="I5167" t="s">
        <v>448</v>
      </c>
    </row>
    <row r="5168" spans="1:9" x14ac:dyDescent="0.2">
      <c r="A5168">
        <v>24608266</v>
      </c>
      <c r="B5168">
        <v>7</v>
      </c>
      <c r="C5168">
        <v>1571</v>
      </c>
      <c r="D5168">
        <v>0</v>
      </c>
      <c r="E5168">
        <v>26</v>
      </c>
      <c r="F5168" t="s">
        <v>142</v>
      </c>
      <c r="G5168" t="s">
        <v>264</v>
      </c>
      <c r="H5168" t="s">
        <v>113</v>
      </c>
      <c r="I5168">
        <v>5</v>
      </c>
    </row>
    <row r="5169" spans="1:9" x14ac:dyDescent="0.2">
      <c r="A5169">
        <v>24623013</v>
      </c>
      <c r="B5169">
        <v>1</v>
      </c>
      <c r="C5169">
        <v>3234</v>
      </c>
      <c r="D5169">
        <v>52090</v>
      </c>
      <c r="E5169">
        <v>25</v>
      </c>
      <c r="F5169" t="s">
        <v>47</v>
      </c>
      <c r="G5169" t="s">
        <v>76</v>
      </c>
      <c r="H5169" t="s">
        <v>46</v>
      </c>
      <c r="I5169">
        <v>10</v>
      </c>
    </row>
    <row r="5170" spans="1:9" x14ac:dyDescent="0.2">
      <c r="A5170">
        <v>24623013</v>
      </c>
      <c r="B5170">
        <v>2</v>
      </c>
      <c r="C5170">
        <v>3055</v>
      </c>
      <c r="D5170">
        <v>52165</v>
      </c>
      <c r="E5170">
        <v>25</v>
      </c>
      <c r="F5170" t="s">
        <v>44</v>
      </c>
      <c r="G5170" t="s">
        <v>188</v>
      </c>
      <c r="H5170" t="s">
        <v>52</v>
      </c>
      <c r="I5170">
        <v>9</v>
      </c>
    </row>
    <row r="5171" spans="1:9" x14ac:dyDescent="0.2">
      <c r="A5171">
        <v>24623013</v>
      </c>
      <c r="B5171">
        <v>3</v>
      </c>
      <c r="C5171">
        <v>1777</v>
      </c>
      <c r="D5171">
        <v>52325</v>
      </c>
      <c r="E5171">
        <v>25</v>
      </c>
      <c r="F5171" t="s">
        <v>57</v>
      </c>
      <c r="G5171" t="s">
        <v>88</v>
      </c>
      <c r="H5171" t="s">
        <v>69</v>
      </c>
      <c r="I5171">
        <v>10</v>
      </c>
    </row>
    <row r="5172" spans="1:9" x14ac:dyDescent="0.2">
      <c r="A5172">
        <v>24623013</v>
      </c>
      <c r="B5172">
        <v>4</v>
      </c>
      <c r="C5172">
        <v>1784</v>
      </c>
      <c r="D5172">
        <v>52510</v>
      </c>
      <c r="E5172">
        <v>25</v>
      </c>
      <c r="F5172" t="s">
        <v>57</v>
      </c>
      <c r="G5172" t="s">
        <v>87</v>
      </c>
      <c r="H5172" t="s">
        <v>69</v>
      </c>
      <c r="I5172">
        <v>10</v>
      </c>
    </row>
    <row r="5173" spans="1:9" x14ac:dyDescent="0.2">
      <c r="A5173">
        <v>24623013</v>
      </c>
      <c r="B5173">
        <v>5</v>
      </c>
      <c r="C5173">
        <v>3044</v>
      </c>
      <c r="D5173">
        <v>52400</v>
      </c>
      <c r="E5173">
        <v>25</v>
      </c>
      <c r="F5173" t="s">
        <v>44</v>
      </c>
      <c r="G5173" t="s">
        <v>250</v>
      </c>
      <c r="H5173" t="s">
        <v>52</v>
      </c>
      <c r="I5173">
        <v>9</v>
      </c>
    </row>
    <row r="5174" spans="1:9" x14ac:dyDescent="0.2">
      <c r="A5174">
        <v>24623013</v>
      </c>
      <c r="B5174">
        <v>6</v>
      </c>
      <c r="C5174">
        <v>3252</v>
      </c>
      <c r="D5174">
        <v>52115</v>
      </c>
      <c r="E5174">
        <v>24</v>
      </c>
      <c r="F5174" t="s">
        <v>47</v>
      </c>
      <c r="G5174" t="s">
        <v>45</v>
      </c>
      <c r="H5174" t="s">
        <v>46</v>
      </c>
      <c r="I5174">
        <v>10</v>
      </c>
    </row>
    <row r="5175" spans="1:9" x14ac:dyDescent="0.2">
      <c r="A5175">
        <v>24623013</v>
      </c>
      <c r="B5175">
        <v>7</v>
      </c>
      <c r="C5175">
        <v>3243</v>
      </c>
      <c r="D5175">
        <v>0</v>
      </c>
      <c r="E5175">
        <v>26</v>
      </c>
      <c r="F5175" t="s">
        <v>47</v>
      </c>
      <c r="G5175" t="s">
        <v>75</v>
      </c>
      <c r="H5175" t="s">
        <v>46</v>
      </c>
      <c r="I5175">
        <v>10</v>
      </c>
    </row>
    <row r="5176" spans="1:9" x14ac:dyDescent="0.2">
      <c r="A5176">
        <v>24665890</v>
      </c>
      <c r="B5176">
        <v>1</v>
      </c>
      <c r="C5176">
        <v>1782</v>
      </c>
      <c r="D5176">
        <v>57715</v>
      </c>
      <c r="E5176">
        <v>25</v>
      </c>
      <c r="F5176" t="s">
        <v>57</v>
      </c>
      <c r="G5176" t="s">
        <v>63</v>
      </c>
      <c r="H5176" t="s">
        <v>69</v>
      </c>
      <c r="I5176">
        <v>10</v>
      </c>
    </row>
    <row r="5177" spans="1:9" x14ac:dyDescent="0.2">
      <c r="A5177">
        <v>24665890</v>
      </c>
      <c r="B5177">
        <v>2</v>
      </c>
      <c r="C5177">
        <v>1729</v>
      </c>
      <c r="D5177">
        <v>58275</v>
      </c>
      <c r="E5177">
        <v>25</v>
      </c>
      <c r="F5177" t="s">
        <v>57</v>
      </c>
      <c r="G5177" t="s">
        <v>72</v>
      </c>
      <c r="H5177" t="s">
        <v>69</v>
      </c>
      <c r="I5177">
        <v>10</v>
      </c>
    </row>
    <row r="5178" spans="1:9" x14ac:dyDescent="0.2">
      <c r="A5178">
        <v>24665890</v>
      </c>
      <c r="B5178">
        <v>3</v>
      </c>
      <c r="C5178">
        <v>1756</v>
      </c>
      <c r="D5178">
        <v>58010</v>
      </c>
      <c r="E5178">
        <v>24</v>
      </c>
      <c r="F5178" t="s">
        <v>57</v>
      </c>
      <c r="G5178" t="s">
        <v>89</v>
      </c>
      <c r="H5178" t="s">
        <v>69</v>
      </c>
      <c r="I5178">
        <v>10</v>
      </c>
    </row>
    <row r="5179" spans="1:9" x14ac:dyDescent="0.2">
      <c r="A5179">
        <v>24665890</v>
      </c>
      <c r="B5179">
        <v>4</v>
      </c>
      <c r="C5179">
        <v>1777</v>
      </c>
      <c r="D5179">
        <v>0</v>
      </c>
      <c r="E5179">
        <v>26</v>
      </c>
      <c r="F5179" t="s">
        <v>57</v>
      </c>
      <c r="G5179" t="s">
        <v>88</v>
      </c>
      <c r="H5179" t="s">
        <v>69</v>
      </c>
      <c r="I5179">
        <v>10</v>
      </c>
    </row>
    <row r="5180" spans="1:9" x14ac:dyDescent="0.2">
      <c r="A5180">
        <v>24665890</v>
      </c>
      <c r="B5180">
        <v>5</v>
      </c>
      <c r="C5180">
        <v>1784</v>
      </c>
      <c r="D5180">
        <v>0</v>
      </c>
      <c r="E5180">
        <v>26</v>
      </c>
      <c r="F5180" t="s">
        <v>57</v>
      </c>
      <c r="G5180" t="s">
        <v>87</v>
      </c>
      <c r="H5180" t="s">
        <v>69</v>
      </c>
      <c r="I5180">
        <v>10</v>
      </c>
    </row>
    <row r="5181" spans="1:9" x14ac:dyDescent="0.2">
      <c r="A5181">
        <v>24698185</v>
      </c>
      <c r="B5181">
        <v>1</v>
      </c>
      <c r="C5181">
        <v>1507</v>
      </c>
      <c r="D5181">
        <v>63200</v>
      </c>
      <c r="E5181">
        <v>25</v>
      </c>
      <c r="F5181" t="s">
        <v>142</v>
      </c>
      <c r="G5181" t="s">
        <v>66</v>
      </c>
      <c r="H5181" t="s">
        <v>31</v>
      </c>
      <c r="I5181">
        <v>5</v>
      </c>
    </row>
    <row r="5182" spans="1:9" x14ac:dyDescent="0.2">
      <c r="A5182">
        <v>24698185</v>
      </c>
      <c r="B5182">
        <v>2</v>
      </c>
      <c r="C5182">
        <v>1525</v>
      </c>
      <c r="D5182">
        <v>63200</v>
      </c>
      <c r="E5182">
        <v>24</v>
      </c>
      <c r="F5182" t="s">
        <v>142</v>
      </c>
      <c r="G5182" t="s">
        <v>152</v>
      </c>
      <c r="H5182" t="s">
        <v>31</v>
      </c>
      <c r="I5182">
        <v>5</v>
      </c>
    </row>
    <row r="5183" spans="1:9" x14ac:dyDescent="0.2">
      <c r="A5183">
        <v>24698185</v>
      </c>
      <c r="B5183">
        <v>3</v>
      </c>
      <c r="C5183">
        <v>1508</v>
      </c>
      <c r="D5183">
        <v>0</v>
      </c>
      <c r="E5183">
        <v>26</v>
      </c>
      <c r="F5183" t="s">
        <v>142</v>
      </c>
      <c r="G5183" t="s">
        <v>249</v>
      </c>
      <c r="H5183" t="s">
        <v>31</v>
      </c>
      <c r="I5183">
        <v>5</v>
      </c>
    </row>
    <row r="5184" spans="1:9" x14ac:dyDescent="0.2">
      <c r="A5184">
        <v>24698185</v>
      </c>
      <c r="B5184">
        <v>4</v>
      </c>
      <c r="C5184">
        <v>1511</v>
      </c>
      <c r="D5184">
        <v>0</v>
      </c>
      <c r="E5184">
        <v>26</v>
      </c>
      <c r="F5184" t="s">
        <v>142</v>
      </c>
      <c r="G5184" t="s">
        <v>163</v>
      </c>
      <c r="H5184" t="s">
        <v>31</v>
      </c>
      <c r="I5184">
        <v>5</v>
      </c>
    </row>
    <row r="5185" spans="1:9" x14ac:dyDescent="0.2">
      <c r="A5185">
        <v>24698185</v>
      </c>
      <c r="B5185">
        <v>5</v>
      </c>
      <c r="C5185">
        <v>1503</v>
      </c>
      <c r="D5185">
        <v>0</v>
      </c>
      <c r="E5185">
        <v>26</v>
      </c>
      <c r="F5185" t="s">
        <v>142</v>
      </c>
      <c r="G5185" t="s">
        <v>161</v>
      </c>
      <c r="H5185" t="s">
        <v>31</v>
      </c>
      <c r="I5185">
        <v>5</v>
      </c>
    </row>
    <row r="5186" spans="1:9" x14ac:dyDescent="0.2">
      <c r="A5186">
        <v>24698185</v>
      </c>
      <c r="B5186">
        <v>6</v>
      </c>
      <c r="C5186">
        <v>1505</v>
      </c>
      <c r="D5186">
        <v>0</v>
      </c>
      <c r="E5186">
        <v>26</v>
      </c>
      <c r="F5186" t="s">
        <v>142</v>
      </c>
      <c r="G5186" t="s">
        <v>120</v>
      </c>
      <c r="H5186" t="s">
        <v>31</v>
      </c>
      <c r="I5186">
        <v>5</v>
      </c>
    </row>
    <row r="5187" spans="1:9" x14ac:dyDescent="0.2">
      <c r="A5187">
        <v>24698185</v>
      </c>
      <c r="B5187">
        <v>7</v>
      </c>
      <c r="C5187">
        <v>1526</v>
      </c>
      <c r="D5187">
        <v>0</v>
      </c>
      <c r="E5187">
        <v>26</v>
      </c>
      <c r="F5187" t="s">
        <v>142</v>
      </c>
      <c r="G5187" t="s">
        <v>276</v>
      </c>
      <c r="H5187" t="s">
        <v>31</v>
      </c>
      <c r="I5187">
        <v>5</v>
      </c>
    </row>
    <row r="5188" spans="1:9" x14ac:dyDescent="0.2">
      <c r="A5188">
        <v>24698185</v>
      </c>
      <c r="B5188">
        <v>8</v>
      </c>
      <c r="C5188">
        <v>1510</v>
      </c>
      <c r="D5188">
        <v>0</v>
      </c>
      <c r="E5188">
        <v>26</v>
      </c>
      <c r="F5188" t="s">
        <v>142</v>
      </c>
      <c r="G5188" t="s">
        <v>323</v>
      </c>
      <c r="H5188" t="s">
        <v>31</v>
      </c>
      <c r="I5188">
        <v>5</v>
      </c>
    </row>
    <row r="5189" spans="1:9" x14ac:dyDescent="0.2">
      <c r="A5189">
        <v>24698186</v>
      </c>
      <c r="B5189">
        <v>1</v>
      </c>
      <c r="C5189">
        <v>3229</v>
      </c>
      <c r="D5189">
        <v>58060</v>
      </c>
      <c r="E5189">
        <v>24</v>
      </c>
      <c r="F5189" t="s">
        <v>47</v>
      </c>
      <c r="G5189" t="s">
        <v>101</v>
      </c>
      <c r="H5189" t="s">
        <v>46</v>
      </c>
      <c r="I5189">
        <v>10</v>
      </c>
    </row>
    <row r="5190" spans="1:9" x14ac:dyDescent="0.2">
      <c r="A5190">
        <v>24698186</v>
      </c>
      <c r="B5190">
        <v>2</v>
      </c>
      <c r="C5190">
        <v>3223</v>
      </c>
      <c r="D5190">
        <v>0</v>
      </c>
      <c r="E5190">
        <v>26</v>
      </c>
      <c r="F5190" t="s">
        <v>47</v>
      </c>
      <c r="G5190" t="s">
        <v>105</v>
      </c>
      <c r="H5190" t="s">
        <v>46</v>
      </c>
      <c r="I5190">
        <v>10</v>
      </c>
    </row>
    <row r="5191" spans="1:9" x14ac:dyDescent="0.2">
      <c r="A5191">
        <v>24724766</v>
      </c>
      <c r="B5191">
        <v>1</v>
      </c>
      <c r="C5191">
        <v>1239</v>
      </c>
      <c r="D5191">
        <v>78610</v>
      </c>
      <c r="E5191">
        <v>24</v>
      </c>
      <c r="F5191" t="s">
        <v>19</v>
      </c>
      <c r="G5191" t="s">
        <v>160</v>
      </c>
      <c r="H5191" t="s">
        <v>16</v>
      </c>
      <c r="I5191" t="s">
        <v>448</v>
      </c>
    </row>
    <row r="5192" spans="1:9" x14ac:dyDescent="0.2">
      <c r="A5192">
        <v>24724766</v>
      </c>
      <c r="B5192">
        <v>2</v>
      </c>
      <c r="C5192">
        <v>1145</v>
      </c>
      <c r="D5192">
        <v>0</v>
      </c>
      <c r="E5192">
        <v>26</v>
      </c>
      <c r="F5192" t="s">
        <v>17</v>
      </c>
      <c r="G5192" t="s">
        <v>159</v>
      </c>
      <c r="H5192" t="s">
        <v>16</v>
      </c>
      <c r="I5192" t="s">
        <v>448</v>
      </c>
    </row>
    <row r="5193" spans="1:9" x14ac:dyDescent="0.2">
      <c r="A5193">
        <v>24724766</v>
      </c>
      <c r="B5193">
        <v>3</v>
      </c>
      <c r="C5193">
        <v>1258</v>
      </c>
      <c r="D5193">
        <v>0</v>
      </c>
      <c r="E5193">
        <v>26</v>
      </c>
      <c r="F5193" t="s">
        <v>19</v>
      </c>
      <c r="G5193" t="s">
        <v>170</v>
      </c>
      <c r="H5193" t="s">
        <v>16</v>
      </c>
      <c r="I5193" t="s">
        <v>448</v>
      </c>
    </row>
    <row r="5194" spans="1:9" x14ac:dyDescent="0.2">
      <c r="A5194">
        <v>24724766</v>
      </c>
      <c r="B5194">
        <v>4</v>
      </c>
      <c r="C5194">
        <v>1183</v>
      </c>
      <c r="D5194">
        <v>0</v>
      </c>
      <c r="E5194">
        <v>26</v>
      </c>
      <c r="F5194" t="s">
        <v>17</v>
      </c>
      <c r="G5194" t="s">
        <v>171</v>
      </c>
      <c r="H5194" t="s">
        <v>16</v>
      </c>
      <c r="I5194" t="s">
        <v>448</v>
      </c>
    </row>
    <row r="5195" spans="1:9" x14ac:dyDescent="0.2">
      <c r="A5195">
        <v>24724766</v>
      </c>
      <c r="B5195">
        <v>5</v>
      </c>
      <c r="C5195">
        <v>1504</v>
      </c>
      <c r="D5195">
        <v>0</v>
      </c>
      <c r="E5195">
        <v>26</v>
      </c>
      <c r="F5195" t="s">
        <v>142</v>
      </c>
      <c r="G5195" t="s">
        <v>121</v>
      </c>
      <c r="H5195" t="s">
        <v>31</v>
      </c>
      <c r="I5195">
        <v>5</v>
      </c>
    </row>
    <row r="5196" spans="1:9" x14ac:dyDescent="0.2">
      <c r="A5196">
        <v>24725787</v>
      </c>
      <c r="B5196">
        <v>1</v>
      </c>
      <c r="C5196">
        <v>1705</v>
      </c>
      <c r="D5196">
        <v>59600</v>
      </c>
      <c r="E5196">
        <v>25</v>
      </c>
      <c r="F5196" t="s">
        <v>57</v>
      </c>
      <c r="G5196" t="s">
        <v>102</v>
      </c>
      <c r="H5196" t="s">
        <v>69</v>
      </c>
      <c r="I5196">
        <v>10</v>
      </c>
    </row>
    <row r="5197" spans="1:9" x14ac:dyDescent="0.2">
      <c r="A5197">
        <v>24725787</v>
      </c>
      <c r="B5197">
        <v>2</v>
      </c>
      <c r="C5197">
        <v>1715</v>
      </c>
      <c r="D5197">
        <v>59550</v>
      </c>
      <c r="E5197">
        <v>25</v>
      </c>
      <c r="F5197" t="s">
        <v>57</v>
      </c>
      <c r="G5197" t="s">
        <v>151</v>
      </c>
      <c r="H5197" t="s">
        <v>69</v>
      </c>
      <c r="I5197">
        <v>10</v>
      </c>
    </row>
    <row r="5198" spans="1:9" x14ac:dyDescent="0.2">
      <c r="A5198">
        <v>24725787</v>
      </c>
      <c r="B5198">
        <v>3</v>
      </c>
      <c r="C5198">
        <v>1711</v>
      </c>
      <c r="D5198">
        <v>58890</v>
      </c>
      <c r="E5198">
        <v>24</v>
      </c>
      <c r="F5198" t="s">
        <v>57</v>
      </c>
      <c r="G5198" t="s">
        <v>201</v>
      </c>
      <c r="H5198" t="s">
        <v>69</v>
      </c>
      <c r="I5198">
        <v>10</v>
      </c>
    </row>
    <row r="5199" spans="1:9" x14ac:dyDescent="0.2">
      <c r="A5199">
        <v>24725787</v>
      </c>
      <c r="B5199">
        <v>4</v>
      </c>
      <c r="C5199">
        <v>1732</v>
      </c>
      <c r="D5199">
        <v>0</v>
      </c>
      <c r="E5199">
        <v>26</v>
      </c>
      <c r="F5199" t="s">
        <v>57</v>
      </c>
      <c r="G5199" t="s">
        <v>104</v>
      </c>
      <c r="H5199" t="s">
        <v>69</v>
      </c>
      <c r="I5199">
        <v>10</v>
      </c>
    </row>
    <row r="5200" spans="1:9" x14ac:dyDescent="0.2">
      <c r="A5200">
        <v>24725787</v>
      </c>
      <c r="B5200">
        <v>5</v>
      </c>
      <c r="C5200">
        <v>1776</v>
      </c>
      <c r="D5200">
        <v>0</v>
      </c>
      <c r="E5200">
        <v>26</v>
      </c>
      <c r="F5200" t="s">
        <v>57</v>
      </c>
      <c r="G5200" t="s">
        <v>124</v>
      </c>
      <c r="H5200" t="s">
        <v>125</v>
      </c>
      <c r="I5200">
        <v>10</v>
      </c>
    </row>
    <row r="5201" spans="1:9" x14ac:dyDescent="0.2">
      <c r="A5201">
        <v>24725787</v>
      </c>
      <c r="B5201">
        <v>6</v>
      </c>
      <c r="C5201">
        <v>3360</v>
      </c>
      <c r="D5201">
        <v>0</v>
      </c>
      <c r="E5201">
        <v>26</v>
      </c>
      <c r="F5201" t="s">
        <v>207</v>
      </c>
      <c r="G5201" t="s">
        <v>199</v>
      </c>
      <c r="H5201" t="s">
        <v>206</v>
      </c>
      <c r="I5201">
        <v>12</v>
      </c>
    </row>
    <row r="5202" spans="1:9" x14ac:dyDescent="0.2">
      <c r="A5202">
        <v>24725787</v>
      </c>
      <c r="B5202">
        <v>7</v>
      </c>
      <c r="C5202">
        <v>3324</v>
      </c>
      <c r="D5202">
        <v>0</v>
      </c>
      <c r="E5202">
        <v>26</v>
      </c>
      <c r="F5202" t="s">
        <v>207</v>
      </c>
      <c r="G5202" t="s">
        <v>104</v>
      </c>
      <c r="H5202" t="s">
        <v>206</v>
      </c>
      <c r="I5202">
        <v>12</v>
      </c>
    </row>
    <row r="5203" spans="1:9" x14ac:dyDescent="0.2">
      <c r="A5203">
        <v>24725787</v>
      </c>
      <c r="B5203">
        <v>8</v>
      </c>
      <c r="C5203">
        <v>3323</v>
      </c>
      <c r="D5203">
        <v>0</v>
      </c>
      <c r="E5203">
        <v>26</v>
      </c>
      <c r="F5203" t="s">
        <v>207</v>
      </c>
      <c r="G5203" t="s">
        <v>124</v>
      </c>
      <c r="H5203" t="s">
        <v>206</v>
      </c>
      <c r="I5203">
        <v>12</v>
      </c>
    </row>
    <row r="5204" spans="1:9" x14ac:dyDescent="0.2">
      <c r="A5204">
        <v>24766346</v>
      </c>
      <c r="B5204">
        <v>1</v>
      </c>
      <c r="C5204">
        <v>1782</v>
      </c>
      <c r="D5204">
        <v>63000</v>
      </c>
      <c r="E5204">
        <v>24</v>
      </c>
      <c r="F5204" t="s">
        <v>57</v>
      </c>
      <c r="G5204" t="s">
        <v>63</v>
      </c>
      <c r="H5204" t="s">
        <v>69</v>
      </c>
      <c r="I5204">
        <v>10</v>
      </c>
    </row>
    <row r="5205" spans="1:9" x14ac:dyDescent="0.2">
      <c r="A5205">
        <v>24766346</v>
      </c>
      <c r="B5205">
        <v>2</v>
      </c>
      <c r="C5205">
        <v>3740</v>
      </c>
      <c r="D5205">
        <v>0</v>
      </c>
      <c r="E5205">
        <v>26</v>
      </c>
      <c r="F5205" t="s">
        <v>116</v>
      </c>
      <c r="G5205" t="s">
        <v>63</v>
      </c>
      <c r="H5205" t="s">
        <v>61</v>
      </c>
      <c r="I5205">
        <v>9</v>
      </c>
    </row>
    <row r="5206" spans="1:9" x14ac:dyDescent="0.2">
      <c r="A5206">
        <v>24766346</v>
      </c>
      <c r="B5206">
        <v>3</v>
      </c>
      <c r="C5206">
        <v>3234</v>
      </c>
      <c r="D5206">
        <v>0</v>
      </c>
      <c r="E5206">
        <v>26</v>
      </c>
      <c r="F5206" t="s">
        <v>47</v>
      </c>
      <c r="G5206" t="s">
        <v>76</v>
      </c>
      <c r="H5206" t="s">
        <v>46</v>
      </c>
      <c r="I5206">
        <v>10</v>
      </c>
    </row>
    <row r="5207" spans="1:9" x14ac:dyDescent="0.2">
      <c r="A5207">
        <v>24766346</v>
      </c>
      <c r="B5207">
        <v>4</v>
      </c>
      <c r="C5207">
        <v>1777</v>
      </c>
      <c r="D5207">
        <v>0</v>
      </c>
      <c r="E5207">
        <v>26</v>
      </c>
      <c r="F5207" t="s">
        <v>57</v>
      </c>
      <c r="G5207" t="s">
        <v>88</v>
      </c>
      <c r="H5207" t="s">
        <v>69</v>
      </c>
      <c r="I5207">
        <v>10</v>
      </c>
    </row>
    <row r="5208" spans="1:9" x14ac:dyDescent="0.2">
      <c r="A5208">
        <v>24787065</v>
      </c>
      <c r="B5208">
        <v>1</v>
      </c>
      <c r="C5208">
        <v>3212</v>
      </c>
      <c r="D5208">
        <v>51910</v>
      </c>
      <c r="E5208">
        <v>24</v>
      </c>
      <c r="F5208" t="s">
        <v>47</v>
      </c>
      <c r="G5208" t="s">
        <v>84</v>
      </c>
      <c r="H5208" t="s">
        <v>46</v>
      </c>
      <c r="I5208">
        <v>10</v>
      </c>
    </row>
    <row r="5209" spans="1:9" x14ac:dyDescent="0.2">
      <c r="A5209">
        <v>24787065</v>
      </c>
      <c r="B5209">
        <v>2</v>
      </c>
      <c r="C5209">
        <v>3211</v>
      </c>
      <c r="D5209">
        <v>0</v>
      </c>
      <c r="E5209">
        <v>26</v>
      </c>
      <c r="F5209" t="s">
        <v>47</v>
      </c>
      <c r="G5209" t="s">
        <v>99</v>
      </c>
      <c r="H5209" t="s">
        <v>46</v>
      </c>
      <c r="I5209">
        <v>10</v>
      </c>
    </row>
    <row r="5210" spans="1:9" x14ac:dyDescent="0.2">
      <c r="A5210">
        <v>24787065</v>
      </c>
      <c r="B5210">
        <v>3</v>
      </c>
      <c r="C5210">
        <v>3242</v>
      </c>
      <c r="D5210">
        <v>0</v>
      </c>
      <c r="E5210">
        <v>26</v>
      </c>
      <c r="F5210" t="s">
        <v>47</v>
      </c>
      <c r="G5210" t="s">
        <v>90</v>
      </c>
      <c r="H5210" t="s">
        <v>46</v>
      </c>
      <c r="I5210">
        <v>10</v>
      </c>
    </row>
    <row r="5211" spans="1:9" x14ac:dyDescent="0.2">
      <c r="A5211">
        <v>24787065</v>
      </c>
      <c r="B5211">
        <v>4</v>
      </c>
      <c r="C5211">
        <v>3234</v>
      </c>
      <c r="D5211">
        <v>0</v>
      </c>
      <c r="E5211">
        <v>26</v>
      </c>
      <c r="F5211" t="s">
        <v>47</v>
      </c>
      <c r="G5211" t="s">
        <v>76</v>
      </c>
      <c r="H5211" t="s">
        <v>46</v>
      </c>
      <c r="I5211">
        <v>10</v>
      </c>
    </row>
    <row r="5212" spans="1:9" x14ac:dyDescent="0.2">
      <c r="A5212">
        <v>24787065</v>
      </c>
      <c r="B5212">
        <v>5</v>
      </c>
      <c r="C5212">
        <v>3243</v>
      </c>
      <c r="D5212">
        <v>0</v>
      </c>
      <c r="E5212">
        <v>26</v>
      </c>
      <c r="F5212" t="s">
        <v>47</v>
      </c>
      <c r="G5212" t="s">
        <v>75</v>
      </c>
      <c r="H5212" t="s">
        <v>46</v>
      </c>
      <c r="I5212">
        <v>10</v>
      </c>
    </row>
    <row r="5213" spans="1:9" x14ac:dyDescent="0.2">
      <c r="A5213">
        <v>24787065</v>
      </c>
      <c r="B5213">
        <v>6</v>
      </c>
      <c r="C5213">
        <v>3261</v>
      </c>
      <c r="D5213">
        <v>0</v>
      </c>
      <c r="E5213">
        <v>26</v>
      </c>
      <c r="F5213" t="s">
        <v>47</v>
      </c>
      <c r="G5213" t="s">
        <v>93</v>
      </c>
      <c r="H5213" t="s">
        <v>46</v>
      </c>
      <c r="I5213">
        <v>10</v>
      </c>
    </row>
    <row r="5214" spans="1:9" x14ac:dyDescent="0.2">
      <c r="A5214">
        <v>24798265</v>
      </c>
      <c r="B5214">
        <v>1</v>
      </c>
      <c r="C5214">
        <v>3740</v>
      </c>
      <c r="D5214">
        <v>51210</v>
      </c>
      <c r="E5214">
        <v>25</v>
      </c>
      <c r="F5214" t="s">
        <v>116</v>
      </c>
      <c r="G5214" t="s">
        <v>63</v>
      </c>
      <c r="H5214" t="s">
        <v>61</v>
      </c>
      <c r="I5214">
        <v>9</v>
      </c>
    </row>
    <row r="5215" spans="1:9" x14ac:dyDescent="0.2">
      <c r="A5215">
        <v>24832343</v>
      </c>
      <c r="B5215">
        <v>1</v>
      </c>
      <c r="C5215">
        <v>3261</v>
      </c>
      <c r="D5215">
        <v>0</v>
      </c>
      <c r="E5215">
        <v>36</v>
      </c>
      <c r="F5215" t="s">
        <v>47</v>
      </c>
      <c r="G5215" t="s">
        <v>93</v>
      </c>
      <c r="H5215" t="s">
        <v>46</v>
      </c>
      <c r="I5215">
        <v>10</v>
      </c>
    </row>
    <row r="5216" spans="1:9" x14ac:dyDescent="0.2">
      <c r="A5216">
        <v>24832343</v>
      </c>
      <c r="B5216">
        <v>2</v>
      </c>
      <c r="C5216">
        <v>3252</v>
      </c>
      <c r="D5216">
        <v>0</v>
      </c>
      <c r="E5216">
        <v>36</v>
      </c>
      <c r="F5216" t="s">
        <v>47</v>
      </c>
      <c r="G5216" t="s">
        <v>45</v>
      </c>
      <c r="H5216" t="s">
        <v>46</v>
      </c>
      <c r="I5216">
        <v>10</v>
      </c>
    </row>
    <row r="5217" spans="1:9" x14ac:dyDescent="0.2">
      <c r="A5217">
        <v>24832343</v>
      </c>
      <c r="B5217">
        <v>3</v>
      </c>
      <c r="C5217">
        <v>3248</v>
      </c>
      <c r="D5217">
        <v>0</v>
      </c>
      <c r="E5217">
        <v>36</v>
      </c>
      <c r="F5217" t="s">
        <v>47</v>
      </c>
      <c r="G5217" t="s">
        <v>92</v>
      </c>
      <c r="H5217" t="s">
        <v>46</v>
      </c>
      <c r="I5217">
        <v>10</v>
      </c>
    </row>
    <row r="5218" spans="1:9" x14ac:dyDescent="0.2">
      <c r="A5218">
        <v>24832343</v>
      </c>
      <c r="B5218">
        <v>4</v>
      </c>
      <c r="C5218">
        <v>3239</v>
      </c>
      <c r="D5218">
        <v>0</v>
      </c>
      <c r="E5218">
        <v>36</v>
      </c>
      <c r="F5218" t="s">
        <v>47</v>
      </c>
      <c r="G5218" t="s">
        <v>107</v>
      </c>
      <c r="H5218" t="s">
        <v>46</v>
      </c>
      <c r="I5218">
        <v>10</v>
      </c>
    </row>
    <row r="5219" spans="1:9" x14ac:dyDescent="0.2">
      <c r="A5219">
        <v>24832343</v>
      </c>
      <c r="B5219">
        <v>5</v>
      </c>
      <c r="C5219">
        <v>3234</v>
      </c>
      <c r="D5219">
        <v>0</v>
      </c>
      <c r="E5219">
        <v>36</v>
      </c>
      <c r="F5219" t="s">
        <v>47</v>
      </c>
      <c r="G5219" t="s">
        <v>76</v>
      </c>
      <c r="H5219" t="s">
        <v>46</v>
      </c>
      <c r="I5219">
        <v>10</v>
      </c>
    </row>
    <row r="5220" spans="1:9" x14ac:dyDescent="0.2">
      <c r="A5220">
        <v>24832343</v>
      </c>
      <c r="B5220">
        <v>6</v>
      </c>
      <c r="C5220">
        <v>3212</v>
      </c>
      <c r="D5220">
        <v>0</v>
      </c>
      <c r="E5220">
        <v>36</v>
      </c>
      <c r="F5220" t="s">
        <v>47</v>
      </c>
      <c r="G5220" t="s">
        <v>84</v>
      </c>
      <c r="H5220" t="s">
        <v>46</v>
      </c>
      <c r="I5220">
        <v>10</v>
      </c>
    </row>
    <row r="5221" spans="1:9" x14ac:dyDescent="0.2">
      <c r="A5221">
        <v>24832343</v>
      </c>
      <c r="B5221">
        <v>7</v>
      </c>
      <c r="C5221">
        <v>3211</v>
      </c>
      <c r="D5221">
        <v>0</v>
      </c>
      <c r="E5221">
        <v>36</v>
      </c>
      <c r="F5221" t="s">
        <v>47</v>
      </c>
      <c r="G5221" t="s">
        <v>99</v>
      </c>
      <c r="H5221" t="s">
        <v>46</v>
      </c>
      <c r="I5221">
        <v>10</v>
      </c>
    </row>
    <row r="5222" spans="1:9" x14ac:dyDescent="0.2">
      <c r="A5222">
        <v>24838372</v>
      </c>
      <c r="B5222">
        <v>1</v>
      </c>
      <c r="C5222">
        <v>1701</v>
      </c>
      <c r="D5222">
        <v>56195</v>
      </c>
      <c r="E5222">
        <v>24</v>
      </c>
      <c r="F5222" t="s">
        <v>57</v>
      </c>
      <c r="G5222" t="s">
        <v>96</v>
      </c>
      <c r="H5222" t="s">
        <v>69</v>
      </c>
      <c r="I5222">
        <v>10</v>
      </c>
    </row>
    <row r="5223" spans="1:9" x14ac:dyDescent="0.2">
      <c r="A5223">
        <v>24838372</v>
      </c>
      <c r="B5223">
        <v>2</v>
      </c>
      <c r="C5223">
        <v>1736</v>
      </c>
      <c r="D5223">
        <v>0</v>
      </c>
      <c r="E5223">
        <v>26</v>
      </c>
      <c r="F5223" t="s">
        <v>57</v>
      </c>
      <c r="G5223" t="s">
        <v>78</v>
      </c>
      <c r="H5223" t="s">
        <v>79</v>
      </c>
      <c r="I5223">
        <v>10</v>
      </c>
    </row>
    <row r="5224" spans="1:9" x14ac:dyDescent="0.2">
      <c r="A5224">
        <v>24838372</v>
      </c>
      <c r="B5224">
        <v>3</v>
      </c>
      <c r="C5224">
        <v>1734</v>
      </c>
      <c r="D5224">
        <v>0</v>
      </c>
      <c r="E5224">
        <v>26</v>
      </c>
      <c r="F5224" t="s">
        <v>57</v>
      </c>
      <c r="G5224" t="s">
        <v>81</v>
      </c>
      <c r="H5224" t="s">
        <v>69</v>
      </c>
      <c r="I5224">
        <v>10</v>
      </c>
    </row>
    <row r="5225" spans="1:9" x14ac:dyDescent="0.2">
      <c r="A5225">
        <v>24838372</v>
      </c>
      <c r="B5225">
        <v>4</v>
      </c>
      <c r="C5225">
        <v>3226</v>
      </c>
      <c r="D5225">
        <v>0</v>
      </c>
      <c r="E5225">
        <v>26</v>
      </c>
      <c r="F5225" t="s">
        <v>47</v>
      </c>
      <c r="G5225" t="s">
        <v>96</v>
      </c>
      <c r="H5225" t="s">
        <v>46</v>
      </c>
      <c r="I5225">
        <v>10</v>
      </c>
    </row>
    <row r="5226" spans="1:9" x14ac:dyDescent="0.2">
      <c r="A5226">
        <v>24838372</v>
      </c>
      <c r="B5226">
        <v>5</v>
      </c>
      <c r="C5226">
        <v>3269</v>
      </c>
      <c r="D5226">
        <v>0</v>
      </c>
      <c r="E5226">
        <v>26</v>
      </c>
      <c r="F5226" t="s">
        <v>47</v>
      </c>
      <c r="G5226" t="s">
        <v>180</v>
      </c>
      <c r="H5226" t="s">
        <v>46</v>
      </c>
      <c r="I5226">
        <v>10</v>
      </c>
    </row>
    <row r="5227" spans="1:9" x14ac:dyDescent="0.2">
      <c r="A5227">
        <v>24838372</v>
      </c>
      <c r="B5227">
        <v>6</v>
      </c>
      <c r="C5227">
        <v>3029</v>
      </c>
      <c r="D5227">
        <v>0</v>
      </c>
      <c r="E5227">
        <v>26</v>
      </c>
      <c r="F5227" t="s">
        <v>44</v>
      </c>
      <c r="G5227" t="s">
        <v>247</v>
      </c>
      <c r="H5227" t="s">
        <v>50</v>
      </c>
      <c r="I5227">
        <v>9</v>
      </c>
    </row>
    <row r="5228" spans="1:9" x14ac:dyDescent="0.2">
      <c r="A5228">
        <v>24838372</v>
      </c>
      <c r="B5228">
        <v>7</v>
      </c>
      <c r="C5228">
        <v>3740</v>
      </c>
      <c r="D5228">
        <v>0</v>
      </c>
      <c r="E5228">
        <v>26</v>
      </c>
      <c r="F5228" t="s">
        <v>116</v>
      </c>
      <c r="G5228" t="s">
        <v>63</v>
      </c>
      <c r="H5228" t="s">
        <v>61</v>
      </c>
      <c r="I5228">
        <v>9</v>
      </c>
    </row>
    <row r="5229" spans="1:9" x14ac:dyDescent="0.2">
      <c r="A5229">
        <v>24855794</v>
      </c>
      <c r="B5229">
        <v>1</v>
      </c>
      <c r="C5229">
        <v>3064</v>
      </c>
      <c r="D5229">
        <v>54980</v>
      </c>
      <c r="E5229">
        <v>25</v>
      </c>
      <c r="F5229" t="s">
        <v>44</v>
      </c>
      <c r="G5229" t="s">
        <v>97</v>
      </c>
      <c r="H5229" t="s">
        <v>52</v>
      </c>
      <c r="I5229">
        <v>9</v>
      </c>
    </row>
    <row r="5230" spans="1:9" x14ac:dyDescent="0.2">
      <c r="A5230">
        <v>24855794</v>
      </c>
      <c r="B5230">
        <v>2</v>
      </c>
      <c r="C5230">
        <v>1788</v>
      </c>
      <c r="D5230">
        <v>52700</v>
      </c>
      <c r="E5230">
        <v>25</v>
      </c>
      <c r="F5230" t="s">
        <v>57</v>
      </c>
      <c r="G5230" t="s">
        <v>97</v>
      </c>
      <c r="H5230" t="s">
        <v>56</v>
      </c>
      <c r="I5230">
        <v>10</v>
      </c>
    </row>
    <row r="5231" spans="1:9" x14ac:dyDescent="0.2">
      <c r="A5231">
        <v>24905469</v>
      </c>
      <c r="B5231">
        <v>1</v>
      </c>
      <c r="C5231">
        <v>3237</v>
      </c>
      <c r="D5231">
        <v>59295</v>
      </c>
      <c r="E5231">
        <v>24</v>
      </c>
      <c r="F5231" t="s">
        <v>47</v>
      </c>
      <c r="G5231" t="s">
        <v>181</v>
      </c>
      <c r="H5231" t="s">
        <v>46</v>
      </c>
      <c r="I5231">
        <v>10</v>
      </c>
    </row>
    <row r="5232" spans="1:9" x14ac:dyDescent="0.2">
      <c r="A5232">
        <v>24905469</v>
      </c>
      <c r="B5232">
        <v>2</v>
      </c>
      <c r="C5232">
        <v>1645</v>
      </c>
      <c r="D5232">
        <v>0</v>
      </c>
      <c r="E5232">
        <v>26</v>
      </c>
      <c r="F5232" t="s">
        <v>128</v>
      </c>
      <c r="G5232" t="s">
        <v>126</v>
      </c>
      <c r="H5232" t="s">
        <v>127</v>
      </c>
      <c r="I5232" t="s">
        <v>448</v>
      </c>
    </row>
    <row r="5233" spans="1:9" x14ac:dyDescent="0.2">
      <c r="A5233">
        <v>24905469</v>
      </c>
      <c r="B5233">
        <v>3</v>
      </c>
      <c r="C5233">
        <v>3078</v>
      </c>
      <c r="D5233">
        <v>0</v>
      </c>
      <c r="E5233">
        <v>26</v>
      </c>
      <c r="F5233" t="s">
        <v>44</v>
      </c>
      <c r="G5233" t="s">
        <v>149</v>
      </c>
      <c r="H5233" t="s">
        <v>61</v>
      </c>
      <c r="I5233">
        <v>9</v>
      </c>
    </row>
    <row r="5234" spans="1:9" x14ac:dyDescent="0.2">
      <c r="A5234">
        <v>24905469</v>
      </c>
      <c r="B5234">
        <v>4</v>
      </c>
      <c r="C5234">
        <v>3212</v>
      </c>
      <c r="D5234">
        <v>0</v>
      </c>
      <c r="E5234">
        <v>26</v>
      </c>
      <c r="F5234" t="s">
        <v>47</v>
      </c>
      <c r="G5234" t="s">
        <v>84</v>
      </c>
      <c r="H5234" t="s">
        <v>46</v>
      </c>
      <c r="I5234">
        <v>10</v>
      </c>
    </row>
    <row r="5235" spans="1:9" x14ac:dyDescent="0.2">
      <c r="A5235">
        <v>24905469</v>
      </c>
      <c r="B5235">
        <v>5</v>
      </c>
      <c r="C5235">
        <v>3211</v>
      </c>
      <c r="D5235">
        <v>0</v>
      </c>
      <c r="E5235">
        <v>26</v>
      </c>
      <c r="F5235" t="s">
        <v>47</v>
      </c>
      <c r="G5235" t="s">
        <v>99</v>
      </c>
      <c r="H5235" t="s">
        <v>46</v>
      </c>
      <c r="I5235">
        <v>10</v>
      </c>
    </row>
    <row r="5236" spans="1:9" x14ac:dyDescent="0.2">
      <c r="A5236">
        <v>24905469</v>
      </c>
      <c r="B5236">
        <v>6</v>
      </c>
      <c r="C5236">
        <v>1705</v>
      </c>
      <c r="D5236">
        <v>0</v>
      </c>
      <c r="E5236">
        <v>26</v>
      </c>
      <c r="F5236" t="s">
        <v>57</v>
      </c>
      <c r="G5236" t="s">
        <v>102</v>
      </c>
      <c r="H5236" t="s">
        <v>69</v>
      </c>
      <c r="I5236">
        <v>10</v>
      </c>
    </row>
    <row r="5237" spans="1:9" x14ac:dyDescent="0.2">
      <c r="A5237">
        <v>24905469</v>
      </c>
      <c r="B5237">
        <v>7</v>
      </c>
      <c r="C5237">
        <v>1710</v>
      </c>
      <c r="D5237">
        <v>0</v>
      </c>
      <c r="E5237">
        <v>26</v>
      </c>
      <c r="F5237" t="s">
        <v>57</v>
      </c>
      <c r="G5237" t="s">
        <v>169</v>
      </c>
      <c r="H5237" t="s">
        <v>69</v>
      </c>
      <c r="I5237">
        <v>10</v>
      </c>
    </row>
    <row r="5238" spans="1:9" x14ac:dyDescent="0.2">
      <c r="A5238">
        <v>24905469</v>
      </c>
      <c r="B5238">
        <v>8</v>
      </c>
      <c r="C5238">
        <v>3252</v>
      </c>
      <c r="D5238">
        <v>0</v>
      </c>
      <c r="E5238">
        <v>26</v>
      </c>
      <c r="F5238" t="s">
        <v>47</v>
      </c>
      <c r="G5238" t="s">
        <v>45</v>
      </c>
      <c r="H5238" t="s">
        <v>46</v>
      </c>
      <c r="I5238">
        <v>10</v>
      </c>
    </row>
    <row r="5239" spans="1:9" x14ac:dyDescent="0.2">
      <c r="A5239">
        <v>24940761</v>
      </c>
      <c r="B5239">
        <v>1</v>
      </c>
      <c r="C5239">
        <v>1463</v>
      </c>
      <c r="D5239">
        <v>58515</v>
      </c>
      <c r="E5239">
        <v>25</v>
      </c>
      <c r="F5239" t="s">
        <v>25</v>
      </c>
      <c r="G5239" t="s">
        <v>66</v>
      </c>
      <c r="H5239" t="s">
        <v>24</v>
      </c>
      <c r="I5239">
        <v>5</v>
      </c>
    </row>
    <row r="5240" spans="1:9" x14ac:dyDescent="0.2">
      <c r="A5240">
        <v>24940761</v>
      </c>
      <c r="B5240">
        <v>2</v>
      </c>
      <c r="C5240">
        <v>1405</v>
      </c>
      <c r="D5240">
        <v>56035</v>
      </c>
      <c r="E5240">
        <v>25</v>
      </c>
      <c r="F5240" t="s">
        <v>25</v>
      </c>
      <c r="G5240" t="s">
        <v>84</v>
      </c>
      <c r="H5240" t="s">
        <v>24</v>
      </c>
      <c r="I5240">
        <v>5</v>
      </c>
    </row>
    <row r="5241" spans="1:9" x14ac:dyDescent="0.2">
      <c r="A5241">
        <v>24956551</v>
      </c>
      <c r="B5241">
        <v>1</v>
      </c>
      <c r="C5241">
        <v>1753</v>
      </c>
      <c r="D5241">
        <v>56555</v>
      </c>
      <c r="E5241">
        <v>24</v>
      </c>
      <c r="F5241" t="s">
        <v>57</v>
      </c>
      <c r="G5241" t="s">
        <v>105</v>
      </c>
      <c r="H5241" t="s">
        <v>69</v>
      </c>
      <c r="I5241">
        <v>10</v>
      </c>
    </row>
    <row r="5242" spans="1:9" x14ac:dyDescent="0.2">
      <c r="A5242">
        <v>24956551</v>
      </c>
      <c r="B5242">
        <v>2</v>
      </c>
      <c r="C5242">
        <v>1715</v>
      </c>
      <c r="D5242">
        <v>0</v>
      </c>
      <c r="E5242">
        <v>26</v>
      </c>
      <c r="F5242" t="s">
        <v>57</v>
      </c>
      <c r="G5242" t="s">
        <v>151</v>
      </c>
      <c r="H5242" t="s">
        <v>69</v>
      </c>
      <c r="I5242">
        <v>10</v>
      </c>
    </row>
    <row r="5243" spans="1:9" x14ac:dyDescent="0.2">
      <c r="A5243">
        <v>24956551</v>
      </c>
      <c r="B5243">
        <v>3</v>
      </c>
      <c r="C5243">
        <v>1709</v>
      </c>
      <c r="D5243">
        <v>0</v>
      </c>
      <c r="E5243">
        <v>26</v>
      </c>
      <c r="F5243" t="s">
        <v>57</v>
      </c>
      <c r="G5243" t="s">
        <v>84</v>
      </c>
      <c r="H5243" t="s">
        <v>69</v>
      </c>
      <c r="I5243">
        <v>10</v>
      </c>
    </row>
    <row r="5244" spans="1:9" x14ac:dyDescent="0.2">
      <c r="A5244">
        <v>24956551</v>
      </c>
      <c r="B5244">
        <v>4</v>
      </c>
      <c r="C5244">
        <v>1754</v>
      </c>
      <c r="D5244">
        <v>0</v>
      </c>
      <c r="E5244">
        <v>26</v>
      </c>
      <c r="F5244" t="s">
        <v>57</v>
      </c>
      <c r="G5244" t="s">
        <v>85</v>
      </c>
      <c r="H5244" t="s">
        <v>69</v>
      </c>
      <c r="I5244">
        <v>10</v>
      </c>
    </row>
    <row r="5245" spans="1:9" x14ac:dyDescent="0.2">
      <c r="A5245">
        <v>24970245</v>
      </c>
      <c r="B5245">
        <v>1</v>
      </c>
      <c r="C5245">
        <v>3081</v>
      </c>
      <c r="D5245">
        <v>50620</v>
      </c>
      <c r="E5245">
        <v>25</v>
      </c>
      <c r="F5245" t="s">
        <v>44</v>
      </c>
      <c r="G5245" t="s">
        <v>337</v>
      </c>
      <c r="H5245" t="s">
        <v>55</v>
      </c>
      <c r="I5245">
        <v>9</v>
      </c>
    </row>
    <row r="5246" spans="1:9" x14ac:dyDescent="0.2">
      <c r="A5246">
        <v>24970245</v>
      </c>
      <c r="B5246">
        <v>2</v>
      </c>
      <c r="C5246">
        <v>3076</v>
      </c>
      <c r="D5246">
        <v>50620</v>
      </c>
      <c r="E5246">
        <v>25</v>
      </c>
      <c r="F5246" t="s">
        <v>44</v>
      </c>
      <c r="G5246" t="s">
        <v>60</v>
      </c>
      <c r="H5246" t="s">
        <v>61</v>
      </c>
      <c r="I5246">
        <v>9</v>
      </c>
    </row>
    <row r="5247" spans="1:9" x14ac:dyDescent="0.2">
      <c r="A5247">
        <v>24970245</v>
      </c>
      <c r="B5247">
        <v>3</v>
      </c>
      <c r="C5247">
        <v>3086</v>
      </c>
      <c r="D5247">
        <v>50620</v>
      </c>
      <c r="E5247">
        <v>25</v>
      </c>
      <c r="F5247" t="s">
        <v>44</v>
      </c>
      <c r="G5247" t="s">
        <v>150</v>
      </c>
      <c r="H5247" t="s">
        <v>55</v>
      </c>
      <c r="I5247">
        <v>9</v>
      </c>
    </row>
    <row r="5248" spans="1:9" x14ac:dyDescent="0.2">
      <c r="A5248">
        <v>24970245</v>
      </c>
      <c r="B5248">
        <v>4</v>
      </c>
      <c r="C5248">
        <v>1759</v>
      </c>
      <c r="D5248">
        <v>49920</v>
      </c>
      <c r="E5248">
        <v>24</v>
      </c>
      <c r="F5248" t="s">
        <v>57</v>
      </c>
      <c r="G5248" t="s">
        <v>154</v>
      </c>
      <c r="H5248" t="s">
        <v>56</v>
      </c>
      <c r="I5248">
        <v>10</v>
      </c>
    </row>
    <row r="5249" spans="1:9" x14ac:dyDescent="0.2">
      <c r="A5249">
        <v>24970245</v>
      </c>
      <c r="B5249">
        <v>5</v>
      </c>
      <c r="C5249">
        <v>3085</v>
      </c>
      <c r="D5249">
        <v>0</v>
      </c>
      <c r="E5249">
        <v>26</v>
      </c>
      <c r="F5249" t="s">
        <v>44</v>
      </c>
      <c r="G5249" t="s">
        <v>84</v>
      </c>
      <c r="H5249" t="s">
        <v>55</v>
      </c>
      <c r="I5249">
        <v>9</v>
      </c>
    </row>
    <row r="5250" spans="1:9" x14ac:dyDescent="0.2">
      <c r="A5250">
        <v>24970245</v>
      </c>
      <c r="B5250">
        <v>6</v>
      </c>
      <c r="C5250">
        <v>1710</v>
      </c>
      <c r="D5250">
        <v>0</v>
      </c>
      <c r="E5250">
        <v>26</v>
      </c>
      <c r="F5250" t="s">
        <v>57</v>
      </c>
      <c r="G5250" t="s">
        <v>169</v>
      </c>
      <c r="H5250" t="s">
        <v>69</v>
      </c>
      <c r="I5250">
        <v>10</v>
      </c>
    </row>
  </sheetData>
  <mergeCells count="2">
    <mergeCell ref="L2:M2"/>
    <mergeCell ref="L12:M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2B5A1-ED5E-4B4F-895E-4750F549F236}">
  <dimension ref="A1:M2089"/>
  <sheetViews>
    <sheetView workbookViewId="0">
      <selection activeCell="A1621" sqref="A1621"/>
    </sheetView>
  </sheetViews>
  <sheetFormatPr baseColWidth="10" defaultRowHeight="16" x14ac:dyDescent="0.2"/>
  <sheetData>
    <row r="1" spans="1:13" x14ac:dyDescent="0.2">
      <c r="A1" s="1" t="s">
        <v>8</v>
      </c>
      <c r="B1" t="s">
        <v>466</v>
      </c>
      <c r="C1" t="s">
        <v>467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469</v>
      </c>
      <c r="J1" t="s">
        <v>488</v>
      </c>
      <c r="K1" t="s">
        <v>491</v>
      </c>
      <c r="L1" t="s">
        <v>490</v>
      </c>
      <c r="M1" t="s">
        <v>494</v>
      </c>
    </row>
    <row r="2" spans="1:13" hidden="1" x14ac:dyDescent="0.2">
      <c r="A2" s="1">
        <v>6359918</v>
      </c>
      <c r="B2">
        <v>1</v>
      </c>
      <c r="C2">
        <v>2</v>
      </c>
      <c r="D2">
        <v>683</v>
      </c>
      <c r="E2">
        <v>458</v>
      </c>
      <c r="F2">
        <v>441</v>
      </c>
      <c r="G2">
        <v>397</v>
      </c>
      <c r="H2">
        <v>428</v>
      </c>
      <c r="I2">
        <f>VLOOKUP(Scores[[#This Row],[MRUN]],Demographics[],3,FALSE)</f>
        <v>0</v>
      </c>
      <c r="J2">
        <f>AVERAGE(Scores[[#This Row],[LYC]],Scores[[#This Row],[MATE]])</f>
        <v>449.5</v>
      </c>
      <c r="K2">
        <f>VLOOKUP(Scores[[#This Row],[MRUN]],Demographics[],6,FALSE)</f>
        <v>3</v>
      </c>
      <c r="L2">
        <f>VLOOKUP(Scores[[#This Row],[MRUN]],Demographics[], 7,FALSE)</f>
        <v>3</v>
      </c>
      <c r="M2">
        <f>VLOOKUP(Scores[[#This Row],[MRUN]],Demographics[], 5, FALSE)</f>
        <v>1</v>
      </c>
    </row>
    <row r="3" spans="1:13" x14ac:dyDescent="0.2">
      <c r="A3" s="1">
        <v>19942312</v>
      </c>
      <c r="B3">
        <v>1</v>
      </c>
      <c r="C3">
        <v>3</v>
      </c>
      <c r="D3">
        <v>661</v>
      </c>
      <c r="E3">
        <v>618</v>
      </c>
      <c r="F3">
        <v>828</v>
      </c>
      <c r="G3">
        <v>657</v>
      </c>
      <c r="H3">
        <v>0</v>
      </c>
      <c r="I3">
        <f>VLOOKUP(Scores[[#This Row],[MRUN]],Demographics[],3,FALSE)</f>
        <v>4</v>
      </c>
      <c r="J3">
        <f>AVERAGE(Scores[[#This Row],[LYC]],Scores[[#This Row],[MATE]])</f>
        <v>723</v>
      </c>
      <c r="K3">
        <f>VLOOKUP(Scores[[#This Row],[MRUN]],Demographics[],6,FALSE)</f>
        <v>2</v>
      </c>
      <c r="L3">
        <f>VLOOKUP(Scores[[#This Row],[MRUN]],Demographics[], 7,FALSE)</f>
        <v>4</v>
      </c>
      <c r="M3">
        <f>VLOOKUP(Scores[[#This Row],[MRUN]],Demographics[], 5, FALSE)</f>
        <v>2</v>
      </c>
    </row>
    <row r="4" spans="1:13" hidden="1" x14ac:dyDescent="0.2">
      <c r="A4" s="1">
        <v>2329184</v>
      </c>
      <c r="B4">
        <v>1</v>
      </c>
      <c r="C4">
        <v>4</v>
      </c>
      <c r="D4">
        <v>599</v>
      </c>
      <c r="E4">
        <v>581</v>
      </c>
      <c r="F4">
        <v>527</v>
      </c>
      <c r="G4">
        <v>692</v>
      </c>
      <c r="H4">
        <v>0</v>
      </c>
      <c r="I4">
        <f>VLOOKUP(Scores[[#This Row],[MRUN]],Demographics[],3,FALSE)</f>
        <v>1</v>
      </c>
      <c r="J4">
        <f>AVERAGE(Scores[[#This Row],[LYC]],Scores[[#This Row],[MATE]])</f>
        <v>554</v>
      </c>
      <c r="K4">
        <f>VLOOKUP(Scores[[#This Row],[MRUN]],Demographics[],6,FALSE)</f>
        <v>2</v>
      </c>
      <c r="L4">
        <f>VLOOKUP(Scores[[#This Row],[MRUN]],Demographics[], 7,FALSE)</f>
        <v>3</v>
      </c>
      <c r="M4">
        <f>VLOOKUP(Scores[[#This Row],[MRUN]],Demographics[], 5, FALSE)</f>
        <v>1</v>
      </c>
    </row>
    <row r="5" spans="1:13" hidden="1" x14ac:dyDescent="0.2">
      <c r="A5" s="1">
        <v>11339507</v>
      </c>
      <c r="B5">
        <v>1</v>
      </c>
      <c r="C5">
        <v>2</v>
      </c>
      <c r="D5">
        <v>339</v>
      </c>
      <c r="E5">
        <v>464</v>
      </c>
      <c r="F5">
        <v>472</v>
      </c>
      <c r="G5">
        <v>0</v>
      </c>
      <c r="H5">
        <v>404</v>
      </c>
      <c r="I5">
        <f>VLOOKUP(Scores[[#This Row],[MRUN]],Demographics[],3,FALSE)</f>
        <v>4</v>
      </c>
      <c r="J5">
        <f>AVERAGE(Scores[[#This Row],[LYC]],Scores[[#This Row],[MATE]])</f>
        <v>468</v>
      </c>
      <c r="K5">
        <f>VLOOKUP(Scores[[#This Row],[MRUN]],Demographics[],6,FALSE)</f>
        <v>2</v>
      </c>
      <c r="L5">
        <f>VLOOKUP(Scores[[#This Row],[MRUN]],Demographics[], 7,FALSE)</f>
        <v>2</v>
      </c>
      <c r="M5">
        <f>VLOOKUP(Scores[[#This Row],[MRUN]],Demographics[], 5, FALSE)</f>
        <v>2</v>
      </c>
    </row>
    <row r="6" spans="1:13" hidden="1" x14ac:dyDescent="0.2">
      <c r="A6" s="1">
        <v>14990773</v>
      </c>
      <c r="B6">
        <v>2</v>
      </c>
      <c r="C6">
        <v>4</v>
      </c>
      <c r="D6">
        <v>702</v>
      </c>
      <c r="E6">
        <v>0</v>
      </c>
      <c r="F6">
        <v>0</v>
      </c>
      <c r="G6">
        <v>0</v>
      </c>
      <c r="H6">
        <v>0</v>
      </c>
      <c r="I6">
        <f>VLOOKUP(Scores[[#This Row],[MRUN]],Demographics[],3,FALSE)</f>
        <v>6</v>
      </c>
      <c r="J6">
        <f>AVERAGE(Scores[[#This Row],[LYC]],Scores[[#This Row],[MATE]])</f>
        <v>0</v>
      </c>
      <c r="K6">
        <f>VLOOKUP(Scores[[#This Row],[MRUN]],Demographics[],6,FALSE)</f>
        <v>9</v>
      </c>
      <c r="L6">
        <f>VLOOKUP(Scores[[#This Row],[MRUN]],Demographics[], 7,FALSE)</f>
        <v>5</v>
      </c>
      <c r="M6">
        <f>VLOOKUP(Scores[[#This Row],[MRUN]],Demographics[], 5, FALSE)</f>
        <v>1</v>
      </c>
    </row>
    <row r="7" spans="1:13" hidden="1" x14ac:dyDescent="0.2">
      <c r="A7" s="1">
        <v>6997586</v>
      </c>
      <c r="B7">
        <v>1</v>
      </c>
      <c r="C7">
        <v>2</v>
      </c>
      <c r="D7">
        <v>521</v>
      </c>
      <c r="E7">
        <v>488</v>
      </c>
      <c r="F7">
        <v>428</v>
      </c>
      <c r="G7">
        <v>461</v>
      </c>
      <c r="H7">
        <v>404</v>
      </c>
      <c r="I7">
        <f>VLOOKUP(Scores[[#This Row],[MRUN]],Demographics[],3,FALSE)</f>
        <v>0</v>
      </c>
      <c r="J7">
        <f>AVERAGE(Scores[[#This Row],[LYC]],Scores[[#This Row],[MATE]])</f>
        <v>458</v>
      </c>
      <c r="K7">
        <f>VLOOKUP(Scores[[#This Row],[MRUN]],Demographics[],6,FALSE)</f>
        <v>3</v>
      </c>
      <c r="L7">
        <f>VLOOKUP(Scores[[#This Row],[MRUN]],Demographics[], 7,FALSE)</f>
        <v>3</v>
      </c>
      <c r="M7">
        <f>VLOOKUP(Scores[[#This Row],[MRUN]],Demographics[], 5, FALSE)</f>
        <v>1</v>
      </c>
    </row>
    <row r="8" spans="1:13" hidden="1" x14ac:dyDescent="0.2">
      <c r="A8" s="1">
        <v>18732301</v>
      </c>
      <c r="B8">
        <v>1</v>
      </c>
      <c r="C8">
        <v>3</v>
      </c>
      <c r="D8">
        <v>579</v>
      </c>
      <c r="E8">
        <v>613</v>
      </c>
      <c r="F8">
        <v>585</v>
      </c>
      <c r="G8">
        <v>0</v>
      </c>
      <c r="H8">
        <v>594</v>
      </c>
      <c r="I8">
        <f>VLOOKUP(Scores[[#This Row],[MRUN]],Demographics[],3,FALSE)</f>
        <v>1</v>
      </c>
      <c r="J8">
        <f>AVERAGE(Scores[[#This Row],[LYC]],Scores[[#This Row],[MATE]])</f>
        <v>599</v>
      </c>
      <c r="K8">
        <f>VLOOKUP(Scores[[#This Row],[MRUN]],Demographics[],6,FALSE)</f>
        <v>1</v>
      </c>
      <c r="L8">
        <f>VLOOKUP(Scores[[#This Row],[MRUN]],Demographics[], 7,FALSE)</f>
        <v>1</v>
      </c>
      <c r="M8">
        <f>VLOOKUP(Scores[[#This Row],[MRUN]],Demographics[], 5, FALSE)</f>
        <v>1</v>
      </c>
    </row>
    <row r="9" spans="1:13" hidden="1" x14ac:dyDescent="0.2">
      <c r="A9" s="1">
        <v>13328516</v>
      </c>
      <c r="B9">
        <v>1</v>
      </c>
      <c r="C9">
        <v>2</v>
      </c>
      <c r="D9">
        <v>0</v>
      </c>
      <c r="E9">
        <v>0</v>
      </c>
      <c r="F9">
        <v>0</v>
      </c>
      <c r="G9">
        <v>0</v>
      </c>
      <c r="H9">
        <v>0</v>
      </c>
      <c r="I9">
        <f>VLOOKUP(Scores[[#This Row],[MRUN]],Demographics[],3,FALSE)</f>
        <v>0</v>
      </c>
      <c r="J9">
        <f>AVERAGE(Scores[[#This Row],[LYC]],Scores[[#This Row],[MATE]])</f>
        <v>0</v>
      </c>
      <c r="K9">
        <f>VLOOKUP(Scores[[#This Row],[MRUN]],Demographics[],6,FALSE)</f>
        <v>0</v>
      </c>
      <c r="L9">
        <f>VLOOKUP(Scores[[#This Row],[MRUN]],Demographics[], 7,FALSE)</f>
        <v>0</v>
      </c>
      <c r="M9">
        <f>VLOOKUP(Scores[[#This Row],[MRUN]],Demographics[], 5, FALSE)</f>
        <v>1</v>
      </c>
    </row>
    <row r="10" spans="1:13" hidden="1" x14ac:dyDescent="0.2">
      <c r="A10" s="1">
        <v>1297686</v>
      </c>
      <c r="B10">
        <v>1</v>
      </c>
      <c r="C10">
        <v>2</v>
      </c>
      <c r="D10">
        <v>499</v>
      </c>
      <c r="E10">
        <v>499</v>
      </c>
      <c r="F10">
        <v>549</v>
      </c>
      <c r="G10">
        <v>651</v>
      </c>
      <c r="H10">
        <v>0</v>
      </c>
      <c r="I10">
        <f>VLOOKUP(Scores[[#This Row],[MRUN]],Demographics[],3,FALSE)</f>
        <v>5</v>
      </c>
      <c r="J10">
        <f>AVERAGE(Scores[[#This Row],[LYC]],Scores[[#This Row],[MATE]])</f>
        <v>524</v>
      </c>
      <c r="K10">
        <f>VLOOKUP(Scores[[#This Row],[MRUN]],Demographics[],6,FALSE)</f>
        <v>4</v>
      </c>
      <c r="L10">
        <f>VLOOKUP(Scores[[#This Row],[MRUN]],Demographics[], 7,FALSE)</f>
        <v>2</v>
      </c>
      <c r="M10">
        <f>VLOOKUP(Scores[[#This Row],[MRUN]],Demographics[], 5, FALSE)</f>
        <v>1</v>
      </c>
    </row>
    <row r="11" spans="1:13" hidden="1" x14ac:dyDescent="0.2">
      <c r="A11" s="1">
        <v>20711393</v>
      </c>
      <c r="B11">
        <v>2</v>
      </c>
      <c r="C11">
        <v>2</v>
      </c>
      <c r="D11">
        <v>662</v>
      </c>
      <c r="E11">
        <v>244</v>
      </c>
      <c r="F11">
        <v>395</v>
      </c>
      <c r="G11">
        <v>370</v>
      </c>
      <c r="H11">
        <v>376</v>
      </c>
      <c r="I11">
        <f>VLOOKUP(Scores[[#This Row],[MRUN]],Demographics[],3,FALSE)</f>
        <v>5</v>
      </c>
      <c r="J11">
        <f>AVERAGE(Scores[[#This Row],[LYC]],Scores[[#This Row],[MATE]])</f>
        <v>319.5</v>
      </c>
      <c r="K11">
        <f>VLOOKUP(Scores[[#This Row],[MRUN]],Demographics[],6,FALSE)</f>
        <v>4</v>
      </c>
      <c r="L11">
        <f>VLOOKUP(Scores[[#This Row],[MRUN]],Demographics[], 7,FALSE)</f>
        <v>3</v>
      </c>
      <c r="M11">
        <f>VLOOKUP(Scores[[#This Row],[MRUN]],Demographics[], 5, FALSE)</f>
        <v>1</v>
      </c>
    </row>
    <row r="12" spans="1:13" hidden="1" x14ac:dyDescent="0.2">
      <c r="A12" s="1">
        <v>6669917</v>
      </c>
      <c r="B12">
        <v>2</v>
      </c>
      <c r="C12">
        <v>3</v>
      </c>
      <c r="D12">
        <v>642</v>
      </c>
      <c r="E12">
        <v>494</v>
      </c>
      <c r="F12">
        <v>211</v>
      </c>
      <c r="G12">
        <v>484</v>
      </c>
      <c r="H12">
        <v>288</v>
      </c>
      <c r="I12">
        <f>VLOOKUP(Scores[[#This Row],[MRUN]],Demographics[],3,FALSE)</f>
        <v>6</v>
      </c>
      <c r="J12">
        <f>AVERAGE(Scores[[#This Row],[LYC]],Scores[[#This Row],[MATE]])</f>
        <v>352.5</v>
      </c>
      <c r="K12">
        <f>VLOOKUP(Scores[[#This Row],[MRUN]],Demographics[],6,FALSE)</f>
        <v>2</v>
      </c>
      <c r="L12">
        <f>VLOOKUP(Scores[[#This Row],[MRUN]],Demographics[], 7,FALSE)</f>
        <v>2</v>
      </c>
      <c r="M12">
        <f>VLOOKUP(Scores[[#This Row],[MRUN]],Demographics[], 5, FALSE)</f>
        <v>1</v>
      </c>
    </row>
    <row r="13" spans="1:13" hidden="1" x14ac:dyDescent="0.2">
      <c r="A13" s="1">
        <v>13390415</v>
      </c>
      <c r="B13">
        <v>1</v>
      </c>
      <c r="C13">
        <v>2</v>
      </c>
      <c r="D13">
        <v>602</v>
      </c>
      <c r="E13">
        <v>244</v>
      </c>
      <c r="F13">
        <v>395</v>
      </c>
      <c r="G13">
        <v>454</v>
      </c>
      <c r="H13">
        <v>0</v>
      </c>
      <c r="I13">
        <f>VLOOKUP(Scores[[#This Row],[MRUN]],Demographics[],3,FALSE)</f>
        <v>5</v>
      </c>
      <c r="J13">
        <f>AVERAGE(Scores[[#This Row],[LYC]],Scores[[#This Row],[MATE]])</f>
        <v>319.5</v>
      </c>
      <c r="K13">
        <f>VLOOKUP(Scores[[#This Row],[MRUN]],Demographics[],6,FALSE)</f>
        <v>0</v>
      </c>
      <c r="L13">
        <f>VLOOKUP(Scores[[#This Row],[MRUN]],Demographics[], 7,FALSE)</f>
        <v>0</v>
      </c>
      <c r="M13">
        <f>VLOOKUP(Scores[[#This Row],[MRUN]],Demographics[], 5, FALSE)</f>
        <v>1</v>
      </c>
    </row>
    <row r="14" spans="1:13" hidden="1" x14ac:dyDescent="0.2">
      <c r="A14" s="1">
        <v>5099564</v>
      </c>
      <c r="B14">
        <v>1</v>
      </c>
      <c r="C14">
        <v>2</v>
      </c>
      <c r="D14">
        <v>435</v>
      </c>
      <c r="E14">
        <v>505</v>
      </c>
      <c r="F14">
        <v>603</v>
      </c>
      <c r="G14">
        <v>0</v>
      </c>
      <c r="H14">
        <v>497</v>
      </c>
      <c r="I14">
        <f>VLOOKUP(Scores[[#This Row],[MRUN]],Demographics[],3,FALSE)</f>
        <v>2</v>
      </c>
      <c r="J14">
        <f>AVERAGE(Scores[[#This Row],[LYC]],Scores[[#This Row],[MATE]])</f>
        <v>554</v>
      </c>
      <c r="K14">
        <f>VLOOKUP(Scores[[#This Row],[MRUN]],Demographics[],6,FALSE)</f>
        <v>4</v>
      </c>
      <c r="L14">
        <f>VLOOKUP(Scores[[#This Row],[MRUN]],Demographics[], 7,FALSE)</f>
        <v>4</v>
      </c>
      <c r="M14">
        <f>VLOOKUP(Scores[[#This Row],[MRUN]],Demographics[], 5, FALSE)</f>
        <v>2</v>
      </c>
    </row>
    <row r="15" spans="1:13" hidden="1" x14ac:dyDescent="0.2">
      <c r="A15" s="1">
        <v>22722846</v>
      </c>
      <c r="B15">
        <v>1</v>
      </c>
      <c r="C15">
        <v>2</v>
      </c>
      <c r="D15">
        <v>380</v>
      </c>
      <c r="E15">
        <v>471</v>
      </c>
      <c r="F15">
        <v>463</v>
      </c>
      <c r="G15">
        <v>0</v>
      </c>
      <c r="H15">
        <v>497</v>
      </c>
      <c r="I15">
        <f>VLOOKUP(Scores[[#This Row],[MRUN]],Demographics[],3,FALSE)</f>
        <v>3</v>
      </c>
      <c r="J15">
        <f>AVERAGE(Scores[[#This Row],[LYC]],Scores[[#This Row],[MATE]])</f>
        <v>467</v>
      </c>
      <c r="K15">
        <f>VLOOKUP(Scores[[#This Row],[MRUN]],Demographics[],6,FALSE)</f>
        <v>10</v>
      </c>
      <c r="L15">
        <f>VLOOKUP(Scores[[#This Row],[MRUN]],Demographics[], 7,FALSE)</f>
        <v>10</v>
      </c>
      <c r="M15">
        <f>VLOOKUP(Scores[[#This Row],[MRUN]],Demographics[], 5, FALSE)</f>
        <v>1</v>
      </c>
    </row>
    <row r="16" spans="1:13" hidden="1" x14ac:dyDescent="0.2">
      <c r="A16" s="1">
        <v>14076904</v>
      </c>
      <c r="B16">
        <v>1</v>
      </c>
      <c r="C16">
        <v>2</v>
      </c>
      <c r="D16">
        <v>683</v>
      </c>
      <c r="E16">
        <v>367</v>
      </c>
      <c r="F16">
        <v>376</v>
      </c>
      <c r="G16">
        <v>0</v>
      </c>
      <c r="H16">
        <v>245</v>
      </c>
      <c r="I16">
        <f>VLOOKUP(Scores[[#This Row],[MRUN]],Demographics[],3,FALSE)</f>
        <v>0</v>
      </c>
      <c r="J16">
        <f>AVERAGE(Scores[[#This Row],[LYC]],Scores[[#This Row],[MATE]])</f>
        <v>371.5</v>
      </c>
      <c r="K16">
        <f>VLOOKUP(Scores[[#This Row],[MRUN]],Demographics[],6,FALSE)</f>
        <v>0</v>
      </c>
      <c r="L16">
        <f>VLOOKUP(Scores[[#This Row],[MRUN]],Demographics[], 7,FALSE)</f>
        <v>0</v>
      </c>
      <c r="M16">
        <f>VLOOKUP(Scores[[#This Row],[MRUN]],Demographics[], 5, FALSE)</f>
        <v>1</v>
      </c>
    </row>
    <row r="17" spans="1:13" hidden="1" x14ac:dyDescent="0.2">
      <c r="A17" s="1">
        <v>14944702</v>
      </c>
      <c r="B17">
        <v>2</v>
      </c>
      <c r="C17">
        <v>2</v>
      </c>
      <c r="D17">
        <v>561</v>
      </c>
      <c r="E17">
        <v>488</v>
      </c>
      <c r="F17">
        <v>472</v>
      </c>
      <c r="G17">
        <v>501</v>
      </c>
      <c r="H17">
        <v>0</v>
      </c>
      <c r="I17">
        <f>VLOOKUP(Scores[[#This Row],[MRUN]],Demographics[],3,FALSE)</f>
        <v>5</v>
      </c>
      <c r="J17">
        <f>AVERAGE(Scores[[#This Row],[LYC]],Scores[[#This Row],[MATE]])</f>
        <v>480</v>
      </c>
      <c r="K17">
        <f>VLOOKUP(Scores[[#This Row],[MRUN]],Demographics[],6,FALSE)</f>
        <v>10</v>
      </c>
      <c r="L17">
        <f>VLOOKUP(Scores[[#This Row],[MRUN]],Demographics[], 7,FALSE)</f>
        <v>4</v>
      </c>
      <c r="M17">
        <f>VLOOKUP(Scores[[#This Row],[MRUN]],Demographics[], 5, FALSE)</f>
        <v>1</v>
      </c>
    </row>
    <row r="18" spans="1:13" hidden="1" x14ac:dyDescent="0.2">
      <c r="A18" s="1">
        <v>1430656</v>
      </c>
      <c r="B18">
        <v>2</v>
      </c>
      <c r="C18">
        <v>2</v>
      </c>
      <c r="D18">
        <v>437</v>
      </c>
      <c r="E18">
        <v>596</v>
      </c>
      <c r="F18">
        <v>552</v>
      </c>
      <c r="G18">
        <v>557</v>
      </c>
      <c r="H18">
        <v>602</v>
      </c>
      <c r="I18">
        <f>VLOOKUP(Scores[[#This Row],[MRUN]],Demographics[],3,FALSE)</f>
        <v>5</v>
      </c>
      <c r="J18">
        <f>AVERAGE(Scores[[#This Row],[LYC]],Scores[[#This Row],[MATE]])</f>
        <v>574</v>
      </c>
      <c r="K18">
        <f>VLOOKUP(Scores[[#This Row],[MRUN]],Demographics[],6,FALSE)</f>
        <v>0</v>
      </c>
      <c r="L18">
        <f>VLOOKUP(Scores[[#This Row],[MRUN]],Demographics[], 7,FALSE)</f>
        <v>2</v>
      </c>
      <c r="M18">
        <f>VLOOKUP(Scores[[#This Row],[MRUN]],Demographics[], 5, FALSE)</f>
        <v>1</v>
      </c>
    </row>
    <row r="19" spans="1:13" hidden="1" x14ac:dyDescent="0.2">
      <c r="A19" s="1">
        <v>14879454</v>
      </c>
      <c r="B19">
        <v>1</v>
      </c>
      <c r="C19">
        <v>2</v>
      </c>
      <c r="D19">
        <v>541</v>
      </c>
      <c r="E19">
        <v>476</v>
      </c>
      <c r="F19">
        <v>395</v>
      </c>
      <c r="G19">
        <v>479</v>
      </c>
      <c r="H19">
        <v>326</v>
      </c>
      <c r="I19">
        <f>VLOOKUP(Scores[[#This Row],[MRUN]],Demographics[],3,FALSE)</f>
        <v>0</v>
      </c>
      <c r="J19">
        <f>AVERAGE(Scores[[#This Row],[LYC]],Scores[[#This Row],[MATE]])</f>
        <v>435.5</v>
      </c>
      <c r="K19">
        <f>VLOOKUP(Scores[[#This Row],[MRUN]],Demographics[],6,FALSE)</f>
        <v>4</v>
      </c>
      <c r="L19">
        <f>VLOOKUP(Scores[[#This Row],[MRUN]],Demographics[], 7,FALSE)</f>
        <v>3</v>
      </c>
      <c r="M19">
        <f>VLOOKUP(Scores[[#This Row],[MRUN]],Demographics[], 5, FALSE)</f>
        <v>1</v>
      </c>
    </row>
    <row r="20" spans="1:13" hidden="1" x14ac:dyDescent="0.2">
      <c r="A20" s="1">
        <v>21174269</v>
      </c>
      <c r="B20">
        <v>1</v>
      </c>
      <c r="C20">
        <v>4</v>
      </c>
      <c r="D20">
        <v>723</v>
      </c>
      <c r="E20">
        <v>757</v>
      </c>
      <c r="F20">
        <v>624</v>
      </c>
      <c r="G20">
        <v>724</v>
      </c>
      <c r="H20">
        <v>0</v>
      </c>
      <c r="I20">
        <f>VLOOKUP(Scores[[#This Row],[MRUN]],Demographics[],3,FALSE)</f>
        <v>1</v>
      </c>
      <c r="J20">
        <f>AVERAGE(Scores[[#This Row],[LYC]],Scores[[#This Row],[MATE]])</f>
        <v>690.5</v>
      </c>
      <c r="K20">
        <f>VLOOKUP(Scores[[#This Row],[MRUN]],Demographics[],6,FALSE)</f>
        <v>2</v>
      </c>
      <c r="L20">
        <f>VLOOKUP(Scores[[#This Row],[MRUN]],Demographics[], 7,FALSE)</f>
        <v>2</v>
      </c>
      <c r="M20">
        <f>VLOOKUP(Scores[[#This Row],[MRUN]],Demographics[], 5, FALSE)</f>
        <v>2</v>
      </c>
    </row>
    <row r="21" spans="1:13" hidden="1" x14ac:dyDescent="0.2">
      <c r="A21" s="1">
        <v>2065956</v>
      </c>
      <c r="B21">
        <v>1</v>
      </c>
      <c r="C21">
        <v>4</v>
      </c>
      <c r="D21">
        <v>682</v>
      </c>
      <c r="E21">
        <v>737</v>
      </c>
      <c r="F21">
        <v>719</v>
      </c>
      <c r="G21">
        <v>746</v>
      </c>
      <c r="H21">
        <v>642</v>
      </c>
      <c r="I21">
        <f>VLOOKUP(Scores[[#This Row],[MRUN]],Demographics[],3,FALSE)</f>
        <v>3</v>
      </c>
      <c r="J21">
        <f>AVERAGE(Scores[[#This Row],[LYC]],Scores[[#This Row],[MATE]])</f>
        <v>728</v>
      </c>
      <c r="K21">
        <f>VLOOKUP(Scores[[#This Row],[MRUN]],Demographics[],6,FALSE)</f>
        <v>5</v>
      </c>
      <c r="L21">
        <f>VLOOKUP(Scores[[#This Row],[MRUN]],Demographics[], 7,FALSE)</f>
        <v>4</v>
      </c>
      <c r="M21">
        <f>VLOOKUP(Scores[[#This Row],[MRUN]],Demographics[], 5, FALSE)</f>
        <v>1</v>
      </c>
    </row>
    <row r="22" spans="1:13" hidden="1" x14ac:dyDescent="0.2">
      <c r="A22" s="1">
        <v>4720393</v>
      </c>
      <c r="B22">
        <v>1</v>
      </c>
      <c r="C22">
        <v>2</v>
      </c>
      <c r="D22">
        <v>417</v>
      </c>
      <c r="E22">
        <v>613</v>
      </c>
      <c r="F22">
        <v>540</v>
      </c>
      <c r="G22">
        <v>684</v>
      </c>
      <c r="H22">
        <v>0</v>
      </c>
      <c r="I22">
        <f>VLOOKUP(Scores[[#This Row],[MRUN]],Demographics[],3,FALSE)</f>
        <v>2</v>
      </c>
      <c r="J22">
        <f>AVERAGE(Scores[[#This Row],[LYC]],Scores[[#This Row],[MATE]])</f>
        <v>576.5</v>
      </c>
      <c r="K22">
        <f>VLOOKUP(Scores[[#This Row],[MRUN]],Demographics[],6,FALSE)</f>
        <v>2</v>
      </c>
      <c r="L22">
        <f>VLOOKUP(Scores[[#This Row],[MRUN]],Demographics[], 7,FALSE)</f>
        <v>2</v>
      </c>
      <c r="M22">
        <f>VLOOKUP(Scores[[#This Row],[MRUN]],Demographics[], 5, FALSE)</f>
        <v>1</v>
      </c>
    </row>
    <row r="23" spans="1:13" hidden="1" x14ac:dyDescent="0.2">
      <c r="A23" s="1">
        <v>15616310</v>
      </c>
      <c r="B23">
        <v>2</v>
      </c>
      <c r="C23">
        <v>2</v>
      </c>
      <c r="D23">
        <v>541</v>
      </c>
      <c r="E23">
        <v>415</v>
      </c>
      <c r="F23">
        <v>274</v>
      </c>
      <c r="G23">
        <v>421</v>
      </c>
      <c r="H23">
        <v>0</v>
      </c>
      <c r="I23">
        <f>VLOOKUP(Scores[[#This Row],[MRUN]],Demographics[],3,FALSE)</f>
        <v>5</v>
      </c>
      <c r="J23">
        <f>AVERAGE(Scores[[#This Row],[LYC]],Scores[[#This Row],[MATE]])</f>
        <v>344.5</v>
      </c>
      <c r="K23">
        <f>VLOOKUP(Scores[[#This Row],[MRUN]],Demographics[],6,FALSE)</f>
        <v>2</v>
      </c>
      <c r="L23">
        <f>VLOOKUP(Scores[[#This Row],[MRUN]],Demographics[], 7,FALSE)</f>
        <v>2</v>
      </c>
      <c r="M23">
        <f>VLOOKUP(Scores[[#This Row],[MRUN]],Demographics[], 5, FALSE)</f>
        <v>1</v>
      </c>
    </row>
    <row r="24" spans="1:13" hidden="1" x14ac:dyDescent="0.2">
      <c r="A24" s="1">
        <v>3687329</v>
      </c>
      <c r="B24">
        <v>2</v>
      </c>
      <c r="C24">
        <v>2</v>
      </c>
      <c r="D24">
        <v>373</v>
      </c>
      <c r="E24">
        <v>521</v>
      </c>
      <c r="F24">
        <v>452</v>
      </c>
      <c r="G24">
        <v>541</v>
      </c>
      <c r="H24">
        <v>0</v>
      </c>
      <c r="I24">
        <f>VLOOKUP(Scores[[#This Row],[MRUN]],Demographics[],3,FALSE)</f>
        <v>2</v>
      </c>
      <c r="J24">
        <f>AVERAGE(Scores[[#This Row],[LYC]],Scores[[#This Row],[MATE]])</f>
        <v>486.5</v>
      </c>
      <c r="K24">
        <f>VLOOKUP(Scores[[#This Row],[MRUN]],Demographics[],6,FALSE)</f>
        <v>3</v>
      </c>
      <c r="L24">
        <f>VLOOKUP(Scores[[#This Row],[MRUN]],Demographics[], 7,FALSE)</f>
        <v>3</v>
      </c>
      <c r="M24">
        <f>VLOOKUP(Scores[[#This Row],[MRUN]],Demographics[], 5, FALSE)</f>
        <v>4</v>
      </c>
    </row>
    <row r="25" spans="1:13" hidden="1" x14ac:dyDescent="0.2">
      <c r="A25" s="1">
        <v>6718065</v>
      </c>
      <c r="B25">
        <v>1</v>
      </c>
      <c r="C25">
        <v>2</v>
      </c>
      <c r="D25">
        <v>335</v>
      </c>
      <c r="E25">
        <v>551</v>
      </c>
      <c r="F25">
        <v>463</v>
      </c>
      <c r="G25">
        <v>572</v>
      </c>
      <c r="H25">
        <v>0</v>
      </c>
      <c r="I25">
        <f>VLOOKUP(Scores[[#This Row],[MRUN]],Demographics[],3,FALSE)</f>
        <v>3</v>
      </c>
      <c r="J25">
        <f>AVERAGE(Scores[[#This Row],[LYC]],Scores[[#This Row],[MATE]])</f>
        <v>507</v>
      </c>
      <c r="K25">
        <f>VLOOKUP(Scores[[#This Row],[MRUN]],Demographics[],6,FALSE)</f>
        <v>2</v>
      </c>
      <c r="L25">
        <f>VLOOKUP(Scores[[#This Row],[MRUN]],Demographics[], 7,FALSE)</f>
        <v>9</v>
      </c>
      <c r="M25">
        <f>VLOOKUP(Scores[[#This Row],[MRUN]],Demographics[], 5, FALSE)</f>
        <v>1</v>
      </c>
    </row>
    <row r="26" spans="1:13" hidden="1" x14ac:dyDescent="0.2">
      <c r="A26" s="1">
        <v>5450980</v>
      </c>
      <c r="B26">
        <v>2</v>
      </c>
      <c r="C26">
        <v>2</v>
      </c>
      <c r="D26">
        <v>440</v>
      </c>
      <c r="E26">
        <v>476</v>
      </c>
      <c r="F26">
        <v>452</v>
      </c>
      <c r="G26">
        <v>449</v>
      </c>
      <c r="H26">
        <v>0</v>
      </c>
      <c r="I26">
        <f>VLOOKUP(Scores[[#This Row],[MRUN]],Demographics[],3,FALSE)</f>
        <v>3</v>
      </c>
      <c r="J26">
        <f>AVERAGE(Scores[[#This Row],[LYC]],Scores[[#This Row],[MATE]])</f>
        <v>464</v>
      </c>
      <c r="K26">
        <f>VLOOKUP(Scores[[#This Row],[MRUN]],Demographics[],6,FALSE)</f>
        <v>2</v>
      </c>
      <c r="L26">
        <f>VLOOKUP(Scores[[#This Row],[MRUN]],Demographics[], 7,FALSE)</f>
        <v>9</v>
      </c>
      <c r="M26">
        <f>VLOOKUP(Scores[[#This Row],[MRUN]],Demographics[], 5, FALSE)</f>
        <v>2</v>
      </c>
    </row>
    <row r="27" spans="1:13" hidden="1" x14ac:dyDescent="0.2">
      <c r="A27" s="1">
        <v>16716758</v>
      </c>
      <c r="B27">
        <v>1</v>
      </c>
      <c r="C27">
        <v>4</v>
      </c>
      <c r="D27">
        <v>582</v>
      </c>
      <c r="E27">
        <v>488</v>
      </c>
      <c r="F27">
        <v>494</v>
      </c>
      <c r="G27">
        <v>0</v>
      </c>
      <c r="H27">
        <v>516</v>
      </c>
      <c r="I27">
        <f>VLOOKUP(Scores[[#This Row],[MRUN]],Demographics[],3,FALSE)</f>
        <v>7</v>
      </c>
      <c r="J27">
        <f>AVERAGE(Scores[[#This Row],[LYC]],Scores[[#This Row],[MATE]])</f>
        <v>491</v>
      </c>
      <c r="K27">
        <f>VLOOKUP(Scores[[#This Row],[MRUN]],Demographics[],6,FALSE)</f>
        <v>2</v>
      </c>
      <c r="L27">
        <f>VLOOKUP(Scores[[#This Row],[MRUN]],Demographics[], 7,FALSE)</f>
        <v>3</v>
      </c>
      <c r="M27">
        <f>VLOOKUP(Scores[[#This Row],[MRUN]],Demographics[], 5, FALSE)</f>
        <v>1</v>
      </c>
    </row>
    <row r="28" spans="1:13" hidden="1" x14ac:dyDescent="0.2">
      <c r="A28" s="1">
        <v>23807658</v>
      </c>
      <c r="B28">
        <v>2</v>
      </c>
      <c r="C28">
        <v>2</v>
      </c>
      <c r="D28">
        <v>601</v>
      </c>
      <c r="E28">
        <v>0</v>
      </c>
      <c r="F28">
        <v>0</v>
      </c>
      <c r="G28">
        <v>0</v>
      </c>
      <c r="H28">
        <v>0</v>
      </c>
      <c r="I28">
        <f>VLOOKUP(Scores[[#This Row],[MRUN]],Demographics[],3,FALSE)</f>
        <v>4</v>
      </c>
      <c r="J28">
        <f>AVERAGE(Scores[[#This Row],[LYC]],Scores[[#This Row],[MATE]])</f>
        <v>0</v>
      </c>
      <c r="K28">
        <f>VLOOKUP(Scores[[#This Row],[MRUN]],Demographics[],6,FALSE)</f>
        <v>2</v>
      </c>
      <c r="L28">
        <f>VLOOKUP(Scores[[#This Row],[MRUN]],Demographics[], 7,FALSE)</f>
        <v>2</v>
      </c>
      <c r="M28">
        <f>VLOOKUP(Scores[[#This Row],[MRUN]],Demographics[], 5, FALSE)</f>
        <v>2</v>
      </c>
    </row>
    <row r="29" spans="1:13" hidden="1" x14ac:dyDescent="0.2">
      <c r="A29" s="1">
        <v>7312986</v>
      </c>
      <c r="B29">
        <v>1</v>
      </c>
      <c r="C29">
        <v>2</v>
      </c>
      <c r="D29">
        <v>519</v>
      </c>
      <c r="E29">
        <v>521</v>
      </c>
      <c r="F29">
        <v>614</v>
      </c>
      <c r="G29">
        <v>0</v>
      </c>
      <c r="H29">
        <v>639</v>
      </c>
      <c r="I29">
        <f>VLOOKUP(Scores[[#This Row],[MRUN]],Demographics[],3,FALSE)</f>
        <v>4</v>
      </c>
      <c r="J29">
        <f>AVERAGE(Scores[[#This Row],[LYC]],Scores[[#This Row],[MATE]])</f>
        <v>567.5</v>
      </c>
      <c r="K29">
        <f>VLOOKUP(Scores[[#This Row],[MRUN]],Demographics[],6,FALSE)</f>
        <v>0</v>
      </c>
      <c r="L29">
        <f>VLOOKUP(Scores[[#This Row],[MRUN]],Demographics[], 7,FALSE)</f>
        <v>3</v>
      </c>
      <c r="M29">
        <f>VLOOKUP(Scores[[#This Row],[MRUN]],Demographics[], 5, FALSE)</f>
        <v>1</v>
      </c>
    </row>
    <row r="30" spans="1:13" hidden="1" x14ac:dyDescent="0.2">
      <c r="A30" s="1">
        <v>8077404</v>
      </c>
      <c r="B30">
        <v>1</v>
      </c>
      <c r="C30">
        <v>3</v>
      </c>
      <c r="D30">
        <v>641</v>
      </c>
      <c r="E30">
        <v>683</v>
      </c>
      <c r="F30">
        <v>617</v>
      </c>
      <c r="G30">
        <v>0</v>
      </c>
      <c r="H30">
        <v>663</v>
      </c>
      <c r="I30">
        <f>VLOOKUP(Scores[[#This Row],[MRUN]],Demographics[],3,FALSE)</f>
        <v>5</v>
      </c>
      <c r="J30">
        <f>AVERAGE(Scores[[#This Row],[LYC]],Scores[[#This Row],[MATE]])</f>
        <v>650</v>
      </c>
      <c r="K30">
        <f>VLOOKUP(Scores[[#This Row],[MRUN]],Demographics[],6,FALSE)</f>
        <v>5</v>
      </c>
      <c r="L30">
        <f>VLOOKUP(Scores[[#This Row],[MRUN]],Demographics[], 7,FALSE)</f>
        <v>9</v>
      </c>
      <c r="M30">
        <f>VLOOKUP(Scores[[#This Row],[MRUN]],Demographics[], 5, FALSE)</f>
        <v>2</v>
      </c>
    </row>
    <row r="31" spans="1:13" hidden="1" x14ac:dyDescent="0.2">
      <c r="A31" s="1">
        <v>12386605</v>
      </c>
      <c r="B31">
        <v>1</v>
      </c>
      <c r="C31">
        <v>2</v>
      </c>
      <c r="D31">
        <v>417</v>
      </c>
      <c r="E31">
        <v>531</v>
      </c>
      <c r="F31">
        <v>517</v>
      </c>
      <c r="G31">
        <v>0</v>
      </c>
      <c r="H31">
        <v>523</v>
      </c>
      <c r="I31">
        <f>VLOOKUP(Scores[[#This Row],[MRUN]],Demographics[],3,FALSE)</f>
        <v>1</v>
      </c>
      <c r="J31">
        <f>AVERAGE(Scores[[#This Row],[LYC]],Scores[[#This Row],[MATE]])</f>
        <v>524</v>
      </c>
      <c r="K31">
        <f>VLOOKUP(Scores[[#This Row],[MRUN]],Demographics[],6,FALSE)</f>
        <v>4</v>
      </c>
      <c r="L31">
        <f>VLOOKUP(Scores[[#This Row],[MRUN]],Demographics[], 7,FALSE)</f>
        <v>2</v>
      </c>
      <c r="M31">
        <f>VLOOKUP(Scores[[#This Row],[MRUN]],Demographics[], 5, FALSE)</f>
        <v>1</v>
      </c>
    </row>
    <row r="32" spans="1:13" hidden="1" x14ac:dyDescent="0.2">
      <c r="A32" s="1">
        <v>11419632</v>
      </c>
      <c r="B32">
        <v>1</v>
      </c>
      <c r="C32">
        <v>3</v>
      </c>
      <c r="D32">
        <v>496</v>
      </c>
      <c r="E32">
        <v>655</v>
      </c>
      <c r="F32">
        <v>560</v>
      </c>
      <c r="G32">
        <v>699</v>
      </c>
      <c r="H32">
        <v>0</v>
      </c>
      <c r="I32">
        <f>VLOOKUP(Scores[[#This Row],[MRUN]],Demographics[],3,FALSE)</f>
        <v>5</v>
      </c>
      <c r="J32">
        <f>AVERAGE(Scores[[#This Row],[LYC]],Scores[[#This Row],[MATE]])</f>
        <v>607.5</v>
      </c>
      <c r="K32">
        <f>VLOOKUP(Scores[[#This Row],[MRUN]],Demographics[],6,FALSE)</f>
        <v>5</v>
      </c>
      <c r="L32">
        <f>VLOOKUP(Scores[[#This Row],[MRUN]],Demographics[], 7,FALSE)</f>
        <v>9</v>
      </c>
      <c r="M32">
        <f>VLOOKUP(Scores[[#This Row],[MRUN]],Demographics[], 5, FALSE)</f>
        <v>2</v>
      </c>
    </row>
    <row r="33" spans="1:13" hidden="1" x14ac:dyDescent="0.2">
      <c r="A33" s="1">
        <v>12475183</v>
      </c>
      <c r="B33">
        <v>1</v>
      </c>
      <c r="C33">
        <v>2</v>
      </c>
      <c r="D33">
        <v>315</v>
      </c>
      <c r="E33">
        <v>0</v>
      </c>
      <c r="F33">
        <v>0</v>
      </c>
      <c r="G33">
        <v>0</v>
      </c>
      <c r="H33">
        <v>0</v>
      </c>
      <c r="I33">
        <f>VLOOKUP(Scores[[#This Row],[MRUN]],Demographics[],3,FALSE)</f>
        <v>4</v>
      </c>
      <c r="J33">
        <f>AVERAGE(Scores[[#This Row],[LYC]],Scores[[#This Row],[MATE]])</f>
        <v>0</v>
      </c>
      <c r="K33">
        <f>VLOOKUP(Scores[[#This Row],[MRUN]],Demographics[],6,FALSE)</f>
        <v>4</v>
      </c>
      <c r="L33">
        <f>VLOOKUP(Scores[[#This Row],[MRUN]],Demographics[], 7,FALSE)</f>
        <v>4</v>
      </c>
      <c r="M33">
        <f>VLOOKUP(Scores[[#This Row],[MRUN]],Demographics[], 5, FALSE)</f>
        <v>1</v>
      </c>
    </row>
    <row r="34" spans="1:13" hidden="1" x14ac:dyDescent="0.2">
      <c r="A34" s="1">
        <v>21980852</v>
      </c>
      <c r="B34">
        <v>1</v>
      </c>
      <c r="C34">
        <v>2</v>
      </c>
      <c r="D34">
        <v>560</v>
      </c>
      <c r="E34">
        <v>571</v>
      </c>
      <c r="F34">
        <v>501</v>
      </c>
      <c r="G34">
        <v>442</v>
      </c>
      <c r="H34">
        <v>0</v>
      </c>
      <c r="I34">
        <f>VLOOKUP(Scores[[#This Row],[MRUN]],Demographics[],3,FALSE)</f>
        <v>5</v>
      </c>
      <c r="J34">
        <f>AVERAGE(Scores[[#This Row],[LYC]],Scores[[#This Row],[MATE]])</f>
        <v>536</v>
      </c>
      <c r="K34">
        <f>VLOOKUP(Scores[[#This Row],[MRUN]],Demographics[],6,FALSE)</f>
        <v>2</v>
      </c>
      <c r="L34">
        <f>VLOOKUP(Scores[[#This Row],[MRUN]],Demographics[], 7,FALSE)</f>
        <v>2</v>
      </c>
      <c r="M34">
        <f>VLOOKUP(Scores[[#This Row],[MRUN]],Demographics[], 5, FALSE)</f>
        <v>1</v>
      </c>
    </row>
    <row r="35" spans="1:13" hidden="1" x14ac:dyDescent="0.2">
      <c r="A35" s="1">
        <v>18679782</v>
      </c>
      <c r="B35">
        <v>1</v>
      </c>
      <c r="C35">
        <v>2</v>
      </c>
      <c r="D35">
        <v>397</v>
      </c>
      <c r="E35">
        <v>516</v>
      </c>
      <c r="F35">
        <v>512</v>
      </c>
      <c r="G35">
        <v>0</v>
      </c>
      <c r="H35">
        <v>539</v>
      </c>
      <c r="I35">
        <f>VLOOKUP(Scores[[#This Row],[MRUN]],Demographics[],3,FALSE)</f>
        <v>4</v>
      </c>
      <c r="J35">
        <f>AVERAGE(Scores[[#This Row],[LYC]],Scores[[#This Row],[MATE]])</f>
        <v>514</v>
      </c>
      <c r="K35">
        <f>VLOOKUP(Scores[[#This Row],[MRUN]],Demographics[],6,FALSE)</f>
        <v>4</v>
      </c>
      <c r="L35">
        <f>VLOOKUP(Scores[[#This Row],[MRUN]],Demographics[], 7,FALSE)</f>
        <v>3</v>
      </c>
      <c r="M35">
        <f>VLOOKUP(Scores[[#This Row],[MRUN]],Demographics[], 5, FALSE)</f>
        <v>1</v>
      </c>
    </row>
    <row r="36" spans="1:13" hidden="1" x14ac:dyDescent="0.2">
      <c r="A36" s="1">
        <v>8157767</v>
      </c>
      <c r="B36">
        <v>1</v>
      </c>
      <c r="C36">
        <v>2</v>
      </c>
      <c r="D36">
        <v>0</v>
      </c>
      <c r="E36">
        <v>0</v>
      </c>
      <c r="F36">
        <v>0</v>
      </c>
      <c r="G36">
        <v>0</v>
      </c>
      <c r="H36">
        <v>0</v>
      </c>
      <c r="I36">
        <f>VLOOKUP(Scores[[#This Row],[MRUN]],Demographics[],3,FALSE)</f>
        <v>0</v>
      </c>
      <c r="J36">
        <f>AVERAGE(Scores[[#This Row],[LYC]],Scores[[#This Row],[MATE]])</f>
        <v>0</v>
      </c>
      <c r="K36">
        <f>VLOOKUP(Scores[[#This Row],[MRUN]],Demographics[],6,FALSE)</f>
        <v>0</v>
      </c>
      <c r="L36">
        <f>VLOOKUP(Scores[[#This Row],[MRUN]],Demographics[], 7,FALSE)</f>
        <v>0</v>
      </c>
      <c r="M36">
        <f>VLOOKUP(Scores[[#This Row],[MRUN]],Demographics[], 5, FALSE)</f>
        <v>1</v>
      </c>
    </row>
    <row r="37" spans="1:13" hidden="1" x14ac:dyDescent="0.2">
      <c r="A37" s="1">
        <v>9144043</v>
      </c>
      <c r="B37">
        <v>1</v>
      </c>
      <c r="C37">
        <v>2</v>
      </c>
      <c r="D37">
        <v>476</v>
      </c>
      <c r="E37">
        <v>567</v>
      </c>
      <c r="F37">
        <v>487</v>
      </c>
      <c r="G37">
        <v>657</v>
      </c>
      <c r="H37">
        <v>0</v>
      </c>
      <c r="I37">
        <f>VLOOKUP(Scores[[#This Row],[MRUN]],Demographics[],3,FALSE)</f>
        <v>5</v>
      </c>
      <c r="J37">
        <f>AVERAGE(Scores[[#This Row],[LYC]],Scores[[#This Row],[MATE]])</f>
        <v>527</v>
      </c>
      <c r="K37">
        <f>VLOOKUP(Scores[[#This Row],[MRUN]],Demographics[],6,FALSE)</f>
        <v>2</v>
      </c>
      <c r="L37">
        <f>VLOOKUP(Scores[[#This Row],[MRUN]],Demographics[], 7,FALSE)</f>
        <v>2</v>
      </c>
      <c r="M37">
        <f>VLOOKUP(Scores[[#This Row],[MRUN]],Demographics[], 5, FALSE)</f>
        <v>1</v>
      </c>
    </row>
    <row r="38" spans="1:13" hidden="1" x14ac:dyDescent="0.2">
      <c r="A38" s="1">
        <v>63805</v>
      </c>
      <c r="B38">
        <v>2</v>
      </c>
      <c r="C38">
        <v>2</v>
      </c>
      <c r="D38">
        <v>580</v>
      </c>
      <c r="E38">
        <v>581</v>
      </c>
      <c r="F38">
        <v>549</v>
      </c>
      <c r="G38">
        <v>0</v>
      </c>
      <c r="H38">
        <v>594</v>
      </c>
      <c r="I38">
        <f>VLOOKUP(Scores[[#This Row],[MRUN]],Demographics[],3,FALSE)</f>
        <v>2</v>
      </c>
      <c r="J38">
        <f>AVERAGE(Scores[[#This Row],[LYC]],Scores[[#This Row],[MATE]])</f>
        <v>565</v>
      </c>
      <c r="K38">
        <f>VLOOKUP(Scores[[#This Row],[MRUN]],Demographics[],6,FALSE)</f>
        <v>3</v>
      </c>
      <c r="L38">
        <f>VLOOKUP(Scores[[#This Row],[MRUN]],Demographics[], 7,FALSE)</f>
        <v>3</v>
      </c>
      <c r="M38">
        <f>VLOOKUP(Scores[[#This Row],[MRUN]],Demographics[], 5, FALSE)</f>
        <v>1</v>
      </c>
    </row>
    <row r="39" spans="1:13" hidden="1" x14ac:dyDescent="0.2">
      <c r="A39" s="1">
        <v>23029485</v>
      </c>
      <c r="B39">
        <v>1</v>
      </c>
      <c r="C39">
        <v>2</v>
      </c>
      <c r="D39">
        <v>517</v>
      </c>
      <c r="E39">
        <v>526</v>
      </c>
      <c r="F39">
        <v>536</v>
      </c>
      <c r="G39">
        <v>572</v>
      </c>
      <c r="H39">
        <v>0</v>
      </c>
      <c r="I39">
        <f>VLOOKUP(Scores[[#This Row],[MRUN]],Demographics[],3,FALSE)</f>
        <v>3</v>
      </c>
      <c r="J39">
        <f>AVERAGE(Scores[[#This Row],[LYC]],Scores[[#This Row],[MATE]])</f>
        <v>531</v>
      </c>
      <c r="K39">
        <f>VLOOKUP(Scores[[#This Row],[MRUN]],Demographics[],6,FALSE)</f>
        <v>4</v>
      </c>
      <c r="L39">
        <f>VLOOKUP(Scores[[#This Row],[MRUN]],Demographics[], 7,FALSE)</f>
        <v>2</v>
      </c>
      <c r="M39">
        <f>VLOOKUP(Scores[[#This Row],[MRUN]],Demographics[], 5, FALSE)</f>
        <v>1</v>
      </c>
    </row>
    <row r="40" spans="1:13" hidden="1" x14ac:dyDescent="0.2">
      <c r="A40" s="1">
        <v>12804712</v>
      </c>
      <c r="B40">
        <v>2</v>
      </c>
      <c r="C40">
        <v>2</v>
      </c>
      <c r="D40">
        <v>641</v>
      </c>
      <c r="E40">
        <v>586</v>
      </c>
      <c r="F40">
        <v>545</v>
      </c>
      <c r="G40">
        <v>562</v>
      </c>
      <c r="H40">
        <v>0</v>
      </c>
      <c r="I40">
        <f>VLOOKUP(Scores[[#This Row],[MRUN]],Demographics[],3,FALSE)</f>
        <v>5</v>
      </c>
      <c r="J40">
        <f>AVERAGE(Scores[[#This Row],[LYC]],Scores[[#This Row],[MATE]])</f>
        <v>565.5</v>
      </c>
      <c r="K40">
        <f>VLOOKUP(Scores[[#This Row],[MRUN]],Demographics[],6,FALSE)</f>
        <v>5</v>
      </c>
      <c r="L40">
        <f>VLOOKUP(Scores[[#This Row],[MRUN]],Demographics[], 7,FALSE)</f>
        <v>5</v>
      </c>
      <c r="M40">
        <f>VLOOKUP(Scores[[#This Row],[MRUN]],Demographics[], 5, FALSE)</f>
        <v>1</v>
      </c>
    </row>
    <row r="41" spans="1:13" hidden="1" x14ac:dyDescent="0.2">
      <c r="A41" s="1">
        <v>7425182</v>
      </c>
      <c r="B41">
        <v>1</v>
      </c>
      <c r="C41">
        <v>2</v>
      </c>
      <c r="D41">
        <v>455</v>
      </c>
      <c r="E41">
        <v>262</v>
      </c>
      <c r="F41">
        <v>328</v>
      </c>
      <c r="G41">
        <v>414</v>
      </c>
      <c r="H41">
        <v>0</v>
      </c>
      <c r="I41">
        <f>VLOOKUP(Scores[[#This Row],[MRUN]],Demographics[],3,FALSE)</f>
        <v>6</v>
      </c>
      <c r="J41">
        <f>AVERAGE(Scores[[#This Row],[LYC]],Scores[[#This Row],[MATE]])</f>
        <v>295</v>
      </c>
      <c r="K41">
        <f>VLOOKUP(Scores[[#This Row],[MRUN]],Demographics[],6,FALSE)</f>
        <v>4</v>
      </c>
      <c r="L41">
        <f>VLOOKUP(Scores[[#This Row],[MRUN]],Demographics[], 7,FALSE)</f>
        <v>5</v>
      </c>
      <c r="M41">
        <f>VLOOKUP(Scores[[#This Row],[MRUN]],Demographics[], 5, FALSE)</f>
        <v>1</v>
      </c>
    </row>
    <row r="42" spans="1:13" hidden="1" x14ac:dyDescent="0.2">
      <c r="A42" s="1">
        <v>11129989</v>
      </c>
      <c r="B42">
        <v>1</v>
      </c>
      <c r="C42">
        <v>2</v>
      </c>
      <c r="D42">
        <v>519</v>
      </c>
      <c r="E42">
        <v>0</v>
      </c>
      <c r="F42">
        <v>0</v>
      </c>
      <c r="G42">
        <v>0</v>
      </c>
      <c r="H42">
        <v>0</v>
      </c>
      <c r="I42">
        <f>VLOOKUP(Scores[[#This Row],[MRUN]],Demographics[],3,FALSE)</f>
        <v>0</v>
      </c>
      <c r="J42">
        <f>AVERAGE(Scores[[#This Row],[LYC]],Scores[[#This Row],[MATE]])</f>
        <v>0</v>
      </c>
      <c r="K42">
        <f>VLOOKUP(Scores[[#This Row],[MRUN]],Demographics[],6,FALSE)</f>
        <v>2</v>
      </c>
      <c r="L42">
        <f>VLOOKUP(Scores[[#This Row],[MRUN]],Demographics[], 7,FALSE)</f>
        <v>3</v>
      </c>
      <c r="M42">
        <f>VLOOKUP(Scores[[#This Row],[MRUN]],Demographics[], 5, FALSE)</f>
        <v>1</v>
      </c>
    </row>
    <row r="43" spans="1:13" hidden="1" x14ac:dyDescent="0.2">
      <c r="A43" s="1">
        <v>2399438</v>
      </c>
      <c r="B43">
        <v>1</v>
      </c>
      <c r="C43">
        <v>3</v>
      </c>
      <c r="D43">
        <v>723</v>
      </c>
      <c r="E43">
        <v>787</v>
      </c>
      <c r="F43">
        <v>681</v>
      </c>
      <c r="G43">
        <v>684</v>
      </c>
      <c r="H43">
        <v>639</v>
      </c>
      <c r="I43">
        <f>VLOOKUP(Scores[[#This Row],[MRUN]],Demographics[],3,FALSE)</f>
        <v>4</v>
      </c>
      <c r="J43">
        <f>AVERAGE(Scores[[#This Row],[LYC]],Scores[[#This Row],[MATE]])</f>
        <v>734</v>
      </c>
      <c r="K43">
        <f>VLOOKUP(Scores[[#This Row],[MRUN]],Demographics[],6,FALSE)</f>
        <v>5</v>
      </c>
      <c r="L43">
        <f>VLOOKUP(Scores[[#This Row],[MRUN]],Demographics[], 7,FALSE)</f>
        <v>9</v>
      </c>
      <c r="M43">
        <f>VLOOKUP(Scores[[#This Row],[MRUN]],Demographics[], 5, FALSE)</f>
        <v>2</v>
      </c>
    </row>
    <row r="44" spans="1:13" hidden="1" x14ac:dyDescent="0.2">
      <c r="A44" s="1">
        <v>2892668</v>
      </c>
      <c r="B44">
        <v>2</v>
      </c>
      <c r="C44">
        <v>2</v>
      </c>
      <c r="D44">
        <v>538</v>
      </c>
      <c r="E44">
        <v>521</v>
      </c>
      <c r="F44">
        <v>413</v>
      </c>
      <c r="G44">
        <v>479</v>
      </c>
      <c r="H44">
        <v>0</v>
      </c>
      <c r="I44">
        <f>VLOOKUP(Scores[[#This Row],[MRUN]],Demographics[],3,FALSE)</f>
        <v>4</v>
      </c>
      <c r="J44">
        <f>AVERAGE(Scores[[#This Row],[LYC]],Scores[[#This Row],[MATE]])</f>
        <v>467</v>
      </c>
      <c r="K44">
        <f>VLOOKUP(Scores[[#This Row],[MRUN]],Demographics[],6,FALSE)</f>
        <v>2</v>
      </c>
      <c r="L44">
        <f>VLOOKUP(Scores[[#This Row],[MRUN]],Demographics[], 7,FALSE)</f>
        <v>2</v>
      </c>
      <c r="M44">
        <f>VLOOKUP(Scores[[#This Row],[MRUN]],Demographics[], 5, FALSE)</f>
        <v>1</v>
      </c>
    </row>
    <row r="45" spans="1:13" hidden="1" x14ac:dyDescent="0.2">
      <c r="A45" s="1">
        <v>19346989</v>
      </c>
      <c r="B45">
        <v>1</v>
      </c>
      <c r="C45">
        <v>3</v>
      </c>
      <c r="D45">
        <v>0</v>
      </c>
      <c r="E45">
        <v>0</v>
      </c>
      <c r="F45">
        <v>0</v>
      </c>
      <c r="G45">
        <v>0</v>
      </c>
      <c r="H45">
        <v>0</v>
      </c>
      <c r="I45">
        <f>VLOOKUP(Scores[[#This Row],[MRUN]],Demographics[],3,FALSE)</f>
        <v>0</v>
      </c>
      <c r="J45">
        <f>AVERAGE(Scores[[#This Row],[LYC]],Scores[[#This Row],[MATE]])</f>
        <v>0</v>
      </c>
      <c r="K45">
        <f>VLOOKUP(Scores[[#This Row],[MRUN]],Demographics[],6,FALSE)</f>
        <v>2</v>
      </c>
      <c r="L45">
        <f>VLOOKUP(Scores[[#This Row],[MRUN]],Demographics[], 7,FALSE)</f>
        <v>2</v>
      </c>
      <c r="M45">
        <f>VLOOKUP(Scores[[#This Row],[MRUN]],Demographics[], 5, FALSE)</f>
        <v>1</v>
      </c>
    </row>
    <row r="46" spans="1:13" hidden="1" x14ac:dyDescent="0.2">
      <c r="A46" s="1">
        <v>575075</v>
      </c>
      <c r="B46">
        <v>2</v>
      </c>
      <c r="C46">
        <v>2</v>
      </c>
      <c r="D46">
        <v>622</v>
      </c>
      <c r="E46">
        <v>547</v>
      </c>
      <c r="F46">
        <v>494</v>
      </c>
      <c r="G46">
        <v>0</v>
      </c>
      <c r="H46">
        <v>534</v>
      </c>
      <c r="I46">
        <f>VLOOKUP(Scores[[#This Row],[MRUN]],Demographics[],3,FALSE)</f>
        <v>4</v>
      </c>
      <c r="J46">
        <f>AVERAGE(Scores[[#This Row],[LYC]],Scores[[#This Row],[MATE]])</f>
        <v>520.5</v>
      </c>
      <c r="K46">
        <f>VLOOKUP(Scores[[#This Row],[MRUN]],Demographics[],6,FALSE)</f>
        <v>0</v>
      </c>
      <c r="L46">
        <f>VLOOKUP(Scores[[#This Row],[MRUN]],Demographics[], 7,FALSE)</f>
        <v>0</v>
      </c>
      <c r="M46">
        <f>VLOOKUP(Scores[[#This Row],[MRUN]],Demographics[], 5, FALSE)</f>
        <v>1</v>
      </c>
    </row>
    <row r="47" spans="1:13" hidden="1" x14ac:dyDescent="0.2">
      <c r="A47" s="1">
        <v>23196334</v>
      </c>
      <c r="B47">
        <v>1</v>
      </c>
      <c r="C47">
        <v>2</v>
      </c>
      <c r="D47">
        <v>478</v>
      </c>
      <c r="E47">
        <v>0</v>
      </c>
      <c r="F47">
        <v>0</v>
      </c>
      <c r="G47">
        <v>0</v>
      </c>
      <c r="H47">
        <v>0</v>
      </c>
      <c r="I47">
        <f>VLOOKUP(Scores[[#This Row],[MRUN]],Demographics[],3,FALSE)</f>
        <v>2</v>
      </c>
      <c r="J47">
        <f>AVERAGE(Scores[[#This Row],[LYC]],Scores[[#This Row],[MATE]])</f>
        <v>0</v>
      </c>
      <c r="K47">
        <f>VLOOKUP(Scores[[#This Row],[MRUN]],Demographics[],6,FALSE)</f>
        <v>3</v>
      </c>
      <c r="L47">
        <f>VLOOKUP(Scores[[#This Row],[MRUN]],Demographics[], 7,FALSE)</f>
        <v>4</v>
      </c>
      <c r="M47">
        <f>VLOOKUP(Scores[[#This Row],[MRUN]],Demographics[], 5, FALSE)</f>
        <v>1</v>
      </c>
    </row>
    <row r="48" spans="1:13" hidden="1" x14ac:dyDescent="0.2">
      <c r="A48" s="1">
        <v>23896044</v>
      </c>
      <c r="B48">
        <v>1</v>
      </c>
      <c r="C48">
        <v>2</v>
      </c>
      <c r="D48">
        <v>642</v>
      </c>
      <c r="E48">
        <v>406</v>
      </c>
      <c r="F48">
        <v>413</v>
      </c>
      <c r="G48">
        <v>0</v>
      </c>
      <c r="H48">
        <v>428</v>
      </c>
      <c r="I48">
        <f>VLOOKUP(Scores[[#This Row],[MRUN]],Demographics[],3,FALSE)</f>
        <v>0</v>
      </c>
      <c r="J48">
        <f>AVERAGE(Scores[[#This Row],[LYC]],Scores[[#This Row],[MATE]])</f>
        <v>409.5</v>
      </c>
      <c r="K48">
        <f>VLOOKUP(Scores[[#This Row],[MRUN]],Demographics[],6,FALSE)</f>
        <v>0</v>
      </c>
      <c r="L48">
        <f>VLOOKUP(Scores[[#This Row],[MRUN]],Demographics[], 7,FALSE)</f>
        <v>0</v>
      </c>
      <c r="M48">
        <f>VLOOKUP(Scores[[#This Row],[MRUN]],Demographics[], 5, FALSE)</f>
        <v>1</v>
      </c>
    </row>
    <row r="49" spans="1:13" hidden="1" x14ac:dyDescent="0.2">
      <c r="A49" s="1">
        <v>20332402</v>
      </c>
      <c r="B49">
        <v>1</v>
      </c>
      <c r="C49">
        <v>2</v>
      </c>
      <c r="D49">
        <v>601</v>
      </c>
      <c r="E49">
        <v>0</v>
      </c>
      <c r="F49">
        <v>0</v>
      </c>
      <c r="G49">
        <v>0</v>
      </c>
      <c r="H49">
        <v>0</v>
      </c>
      <c r="I49">
        <f>VLOOKUP(Scores[[#This Row],[MRUN]],Demographics[],3,FALSE)</f>
        <v>1</v>
      </c>
      <c r="J49">
        <f>AVERAGE(Scores[[#This Row],[LYC]],Scores[[#This Row],[MATE]])</f>
        <v>0</v>
      </c>
      <c r="K49">
        <f>VLOOKUP(Scores[[#This Row],[MRUN]],Demographics[],6,FALSE)</f>
        <v>4</v>
      </c>
      <c r="L49">
        <f>VLOOKUP(Scores[[#This Row],[MRUN]],Demographics[], 7,FALSE)</f>
        <v>2</v>
      </c>
      <c r="M49">
        <f>VLOOKUP(Scores[[#This Row],[MRUN]],Demographics[], 5, FALSE)</f>
        <v>1</v>
      </c>
    </row>
    <row r="50" spans="1:13" hidden="1" x14ac:dyDescent="0.2">
      <c r="A50" s="1">
        <v>948797</v>
      </c>
      <c r="B50">
        <v>1</v>
      </c>
      <c r="C50">
        <v>2</v>
      </c>
      <c r="D50">
        <v>601</v>
      </c>
      <c r="E50">
        <v>0</v>
      </c>
      <c r="F50">
        <v>0</v>
      </c>
      <c r="G50">
        <v>0</v>
      </c>
      <c r="H50">
        <v>0</v>
      </c>
      <c r="I50">
        <f>VLOOKUP(Scores[[#This Row],[MRUN]],Demographics[],3,FALSE)</f>
        <v>0</v>
      </c>
      <c r="J50">
        <f>AVERAGE(Scores[[#This Row],[LYC]],Scores[[#This Row],[MATE]])</f>
        <v>0</v>
      </c>
      <c r="K50">
        <f>VLOOKUP(Scores[[#This Row],[MRUN]],Demographics[],6,FALSE)</f>
        <v>3</v>
      </c>
      <c r="L50">
        <f>VLOOKUP(Scores[[#This Row],[MRUN]],Demographics[], 7,FALSE)</f>
        <v>3</v>
      </c>
      <c r="M50">
        <f>VLOOKUP(Scores[[#This Row],[MRUN]],Demographics[], 5, FALSE)</f>
        <v>1</v>
      </c>
    </row>
    <row r="51" spans="1:13" hidden="1" x14ac:dyDescent="0.2">
      <c r="A51" s="1">
        <v>16582019</v>
      </c>
      <c r="B51">
        <v>2</v>
      </c>
      <c r="C51">
        <v>4</v>
      </c>
      <c r="D51">
        <v>538</v>
      </c>
      <c r="E51">
        <v>516</v>
      </c>
      <c r="F51">
        <v>540</v>
      </c>
      <c r="G51">
        <v>0</v>
      </c>
      <c r="H51">
        <v>598</v>
      </c>
      <c r="I51">
        <f>VLOOKUP(Scores[[#This Row],[MRUN]],Demographics[],3,FALSE)</f>
        <v>6</v>
      </c>
      <c r="J51">
        <f>AVERAGE(Scores[[#This Row],[LYC]],Scores[[#This Row],[MATE]])</f>
        <v>528</v>
      </c>
      <c r="K51">
        <f>VLOOKUP(Scores[[#This Row],[MRUN]],Demographics[],6,FALSE)</f>
        <v>10</v>
      </c>
      <c r="L51">
        <f>VLOOKUP(Scores[[#This Row],[MRUN]],Demographics[], 7,FALSE)</f>
        <v>10</v>
      </c>
      <c r="M51">
        <f>VLOOKUP(Scores[[#This Row],[MRUN]],Demographics[], 5, FALSE)</f>
        <v>3</v>
      </c>
    </row>
    <row r="52" spans="1:13" hidden="1" x14ac:dyDescent="0.2">
      <c r="A52" s="1">
        <v>16760001</v>
      </c>
      <c r="B52">
        <v>2</v>
      </c>
      <c r="C52">
        <v>2</v>
      </c>
      <c r="D52">
        <v>417</v>
      </c>
      <c r="E52">
        <v>464</v>
      </c>
      <c r="F52">
        <v>463</v>
      </c>
      <c r="G52">
        <v>521</v>
      </c>
      <c r="H52">
        <v>0</v>
      </c>
      <c r="I52">
        <f>VLOOKUP(Scores[[#This Row],[MRUN]],Demographics[],3,FALSE)</f>
        <v>7</v>
      </c>
      <c r="J52">
        <f>AVERAGE(Scores[[#This Row],[LYC]],Scores[[#This Row],[MATE]])</f>
        <v>463.5</v>
      </c>
      <c r="K52">
        <f>VLOOKUP(Scores[[#This Row],[MRUN]],Demographics[],6,FALSE)</f>
        <v>2</v>
      </c>
      <c r="L52">
        <f>VLOOKUP(Scores[[#This Row],[MRUN]],Demographics[], 7,FALSE)</f>
        <v>5</v>
      </c>
      <c r="M52">
        <f>VLOOKUP(Scores[[#This Row],[MRUN]],Demographics[], 5, FALSE)</f>
        <v>1</v>
      </c>
    </row>
    <row r="53" spans="1:13" hidden="1" x14ac:dyDescent="0.2">
      <c r="A53" s="1">
        <v>15339515</v>
      </c>
      <c r="B53">
        <v>2</v>
      </c>
      <c r="C53">
        <v>2</v>
      </c>
      <c r="D53">
        <v>0</v>
      </c>
      <c r="E53">
        <v>0</v>
      </c>
      <c r="F53">
        <v>0</v>
      </c>
      <c r="G53">
        <v>0</v>
      </c>
      <c r="H53">
        <v>0</v>
      </c>
      <c r="I53">
        <f>VLOOKUP(Scores[[#This Row],[MRUN]],Demographics[],3,FALSE)</f>
        <v>5</v>
      </c>
      <c r="J53">
        <f>AVERAGE(Scores[[#This Row],[LYC]],Scores[[#This Row],[MATE]])</f>
        <v>0</v>
      </c>
      <c r="K53">
        <f>VLOOKUP(Scores[[#This Row],[MRUN]],Demographics[],6,FALSE)</f>
        <v>2</v>
      </c>
      <c r="L53">
        <f>VLOOKUP(Scores[[#This Row],[MRUN]],Demographics[], 7,FALSE)</f>
        <v>4</v>
      </c>
      <c r="M53">
        <f>VLOOKUP(Scores[[#This Row],[MRUN]],Demographics[], 5, FALSE)</f>
        <v>1</v>
      </c>
    </row>
    <row r="54" spans="1:13" hidden="1" x14ac:dyDescent="0.2">
      <c r="A54" s="1">
        <v>4074944</v>
      </c>
      <c r="B54">
        <v>2</v>
      </c>
      <c r="C54">
        <v>3</v>
      </c>
      <c r="D54">
        <v>499</v>
      </c>
      <c r="E54">
        <v>0</v>
      </c>
      <c r="F54">
        <v>0</v>
      </c>
      <c r="G54">
        <v>0</v>
      </c>
      <c r="H54">
        <v>0</v>
      </c>
      <c r="I54">
        <f>VLOOKUP(Scores[[#This Row],[MRUN]],Demographics[],3,FALSE)</f>
        <v>10</v>
      </c>
      <c r="J54">
        <f>AVERAGE(Scores[[#This Row],[LYC]],Scores[[#This Row],[MATE]])</f>
        <v>0</v>
      </c>
      <c r="K54">
        <f>VLOOKUP(Scores[[#This Row],[MRUN]],Demographics[],6,FALSE)</f>
        <v>2</v>
      </c>
      <c r="L54">
        <f>VLOOKUP(Scores[[#This Row],[MRUN]],Demographics[], 7,FALSE)</f>
        <v>2</v>
      </c>
      <c r="M54">
        <f>VLOOKUP(Scores[[#This Row],[MRUN]],Demographics[], 5, FALSE)</f>
        <v>1</v>
      </c>
    </row>
    <row r="55" spans="1:13" hidden="1" x14ac:dyDescent="0.2">
      <c r="A55" s="1">
        <v>18006089</v>
      </c>
      <c r="B55">
        <v>2</v>
      </c>
      <c r="C55">
        <v>2</v>
      </c>
      <c r="D55">
        <v>476</v>
      </c>
      <c r="E55">
        <v>0</v>
      </c>
      <c r="F55">
        <v>0</v>
      </c>
      <c r="G55">
        <v>0</v>
      </c>
      <c r="H55">
        <v>0</v>
      </c>
      <c r="I55">
        <f>VLOOKUP(Scores[[#This Row],[MRUN]],Demographics[],3,FALSE)</f>
        <v>5</v>
      </c>
      <c r="J55">
        <f>AVERAGE(Scores[[#This Row],[LYC]],Scores[[#This Row],[MATE]])</f>
        <v>0</v>
      </c>
      <c r="K55">
        <f>VLOOKUP(Scores[[#This Row],[MRUN]],Demographics[],6,FALSE)</f>
        <v>7</v>
      </c>
      <c r="L55">
        <f>VLOOKUP(Scores[[#This Row],[MRUN]],Demographics[], 7,FALSE)</f>
        <v>2</v>
      </c>
      <c r="M55">
        <f>VLOOKUP(Scores[[#This Row],[MRUN]],Demographics[], 5, FALSE)</f>
        <v>2</v>
      </c>
    </row>
    <row r="56" spans="1:13" hidden="1" x14ac:dyDescent="0.2">
      <c r="A56" s="1">
        <v>7859595</v>
      </c>
      <c r="B56">
        <v>1</v>
      </c>
      <c r="C56">
        <v>2</v>
      </c>
      <c r="D56">
        <v>541</v>
      </c>
      <c r="E56">
        <v>0</v>
      </c>
      <c r="F56">
        <v>0</v>
      </c>
      <c r="G56">
        <v>0</v>
      </c>
      <c r="H56">
        <v>0</v>
      </c>
      <c r="I56">
        <f>VLOOKUP(Scores[[#This Row],[MRUN]],Demographics[],3,FALSE)</f>
        <v>0</v>
      </c>
      <c r="J56">
        <f>AVERAGE(Scores[[#This Row],[LYC]],Scores[[#This Row],[MATE]])</f>
        <v>0</v>
      </c>
      <c r="K56">
        <f>VLOOKUP(Scores[[#This Row],[MRUN]],Demographics[],6,FALSE)</f>
        <v>0</v>
      </c>
      <c r="L56">
        <f>VLOOKUP(Scores[[#This Row],[MRUN]],Demographics[], 7,FALSE)</f>
        <v>0</v>
      </c>
      <c r="M56">
        <f>VLOOKUP(Scores[[#This Row],[MRUN]],Demographics[], 5, FALSE)</f>
        <v>1</v>
      </c>
    </row>
    <row r="57" spans="1:13" hidden="1" x14ac:dyDescent="0.2">
      <c r="A57" s="1">
        <v>2708923</v>
      </c>
      <c r="B57">
        <v>2</v>
      </c>
      <c r="C57">
        <v>4</v>
      </c>
      <c r="D57">
        <v>501</v>
      </c>
      <c r="E57">
        <v>0</v>
      </c>
      <c r="F57">
        <v>0</v>
      </c>
      <c r="G57">
        <v>0</v>
      </c>
      <c r="H57">
        <v>0</v>
      </c>
      <c r="I57">
        <f>VLOOKUP(Scores[[#This Row],[MRUN]],Demographics[],3,FALSE)</f>
        <v>4</v>
      </c>
      <c r="J57">
        <f>AVERAGE(Scores[[#This Row],[LYC]],Scores[[#This Row],[MATE]])</f>
        <v>0</v>
      </c>
      <c r="K57">
        <f>VLOOKUP(Scores[[#This Row],[MRUN]],Demographics[],6,FALSE)</f>
        <v>8</v>
      </c>
      <c r="L57">
        <f>VLOOKUP(Scores[[#This Row],[MRUN]],Demographics[], 7,FALSE)</f>
        <v>4</v>
      </c>
      <c r="M57">
        <f>VLOOKUP(Scores[[#This Row],[MRUN]],Demographics[], 5, FALSE)</f>
        <v>1</v>
      </c>
    </row>
    <row r="58" spans="1:13" hidden="1" x14ac:dyDescent="0.2">
      <c r="A58" s="1">
        <v>7127111</v>
      </c>
      <c r="B58">
        <v>1</v>
      </c>
      <c r="C58">
        <v>3</v>
      </c>
      <c r="D58">
        <v>496</v>
      </c>
      <c r="E58">
        <v>648</v>
      </c>
      <c r="F58">
        <v>628</v>
      </c>
      <c r="G58">
        <v>724</v>
      </c>
      <c r="H58">
        <v>0</v>
      </c>
      <c r="I58">
        <f>VLOOKUP(Scores[[#This Row],[MRUN]],Demographics[],3,FALSE)</f>
        <v>4</v>
      </c>
      <c r="J58">
        <f>AVERAGE(Scores[[#This Row],[LYC]],Scores[[#This Row],[MATE]])</f>
        <v>638</v>
      </c>
      <c r="K58">
        <f>VLOOKUP(Scores[[#This Row],[MRUN]],Demographics[],6,FALSE)</f>
        <v>8</v>
      </c>
      <c r="L58">
        <f>VLOOKUP(Scores[[#This Row],[MRUN]],Demographics[], 7,FALSE)</f>
        <v>6</v>
      </c>
      <c r="M58">
        <f>VLOOKUP(Scores[[#This Row],[MRUN]],Demographics[], 5, FALSE)</f>
        <v>6</v>
      </c>
    </row>
    <row r="59" spans="1:13" hidden="1" x14ac:dyDescent="0.2">
      <c r="A59" s="1">
        <v>13030210</v>
      </c>
      <c r="B59">
        <v>1</v>
      </c>
      <c r="C59">
        <v>2</v>
      </c>
      <c r="D59">
        <v>458</v>
      </c>
      <c r="E59">
        <v>499</v>
      </c>
      <c r="F59">
        <v>527</v>
      </c>
      <c r="G59">
        <v>557</v>
      </c>
      <c r="H59">
        <v>0</v>
      </c>
      <c r="I59">
        <f>VLOOKUP(Scores[[#This Row],[MRUN]],Demographics[],3,FALSE)</f>
        <v>2</v>
      </c>
      <c r="J59">
        <f>AVERAGE(Scores[[#This Row],[LYC]],Scores[[#This Row],[MATE]])</f>
        <v>513</v>
      </c>
      <c r="K59">
        <f>VLOOKUP(Scores[[#This Row],[MRUN]],Demographics[],6,FALSE)</f>
        <v>5</v>
      </c>
      <c r="L59">
        <f>VLOOKUP(Scores[[#This Row],[MRUN]],Demographics[], 7,FALSE)</f>
        <v>2</v>
      </c>
      <c r="M59">
        <f>VLOOKUP(Scores[[#This Row],[MRUN]],Demographics[], 5, FALSE)</f>
        <v>3</v>
      </c>
    </row>
    <row r="60" spans="1:13" hidden="1" x14ac:dyDescent="0.2">
      <c r="A60" s="1">
        <v>11428426</v>
      </c>
      <c r="B60">
        <v>1</v>
      </c>
      <c r="C60">
        <v>3</v>
      </c>
      <c r="D60">
        <v>517</v>
      </c>
      <c r="E60">
        <v>557</v>
      </c>
      <c r="F60">
        <v>552</v>
      </c>
      <c r="G60">
        <v>557</v>
      </c>
      <c r="H60">
        <v>504</v>
      </c>
      <c r="I60">
        <f>VLOOKUP(Scores[[#This Row],[MRUN]],Demographics[],3,FALSE)</f>
        <v>5</v>
      </c>
      <c r="J60">
        <f>AVERAGE(Scores[[#This Row],[LYC]],Scores[[#This Row],[MATE]])</f>
        <v>554.5</v>
      </c>
      <c r="K60">
        <f>VLOOKUP(Scores[[#This Row],[MRUN]],Demographics[],6,FALSE)</f>
        <v>5</v>
      </c>
      <c r="L60">
        <f>VLOOKUP(Scores[[#This Row],[MRUN]],Demographics[], 7,FALSE)</f>
        <v>9</v>
      </c>
      <c r="M60">
        <f>VLOOKUP(Scores[[#This Row],[MRUN]],Demographics[], 5, FALSE)</f>
        <v>2</v>
      </c>
    </row>
    <row r="61" spans="1:13" hidden="1" x14ac:dyDescent="0.2">
      <c r="A61" s="1">
        <v>19337736</v>
      </c>
      <c r="B61">
        <v>2</v>
      </c>
      <c r="C61">
        <v>2</v>
      </c>
      <c r="D61">
        <v>414</v>
      </c>
      <c r="E61">
        <v>581</v>
      </c>
      <c r="F61">
        <v>480</v>
      </c>
      <c r="G61">
        <v>0</v>
      </c>
      <c r="H61">
        <v>0</v>
      </c>
      <c r="I61">
        <f>VLOOKUP(Scores[[#This Row],[MRUN]],Demographics[],3,FALSE)</f>
        <v>5</v>
      </c>
      <c r="J61">
        <f>AVERAGE(Scores[[#This Row],[LYC]],Scores[[#This Row],[MATE]])</f>
        <v>530.5</v>
      </c>
      <c r="K61">
        <f>VLOOKUP(Scores[[#This Row],[MRUN]],Demographics[],6,FALSE)</f>
        <v>3</v>
      </c>
      <c r="L61">
        <f>VLOOKUP(Scores[[#This Row],[MRUN]],Demographics[], 7,FALSE)</f>
        <v>8</v>
      </c>
      <c r="M61">
        <f>VLOOKUP(Scores[[#This Row],[MRUN]],Demographics[], 5, FALSE)</f>
        <v>1</v>
      </c>
    </row>
    <row r="62" spans="1:13" hidden="1" x14ac:dyDescent="0.2">
      <c r="A62" s="1">
        <v>22456752</v>
      </c>
      <c r="B62">
        <v>2</v>
      </c>
      <c r="C62">
        <v>2</v>
      </c>
      <c r="D62">
        <v>501</v>
      </c>
      <c r="E62">
        <v>499</v>
      </c>
      <c r="F62">
        <v>395</v>
      </c>
      <c r="G62">
        <v>552</v>
      </c>
      <c r="H62">
        <v>0</v>
      </c>
      <c r="I62">
        <f>VLOOKUP(Scores[[#This Row],[MRUN]],Demographics[],3,FALSE)</f>
        <v>3</v>
      </c>
      <c r="J62">
        <f>AVERAGE(Scores[[#This Row],[LYC]],Scores[[#This Row],[MATE]])</f>
        <v>447</v>
      </c>
      <c r="K62">
        <f>VLOOKUP(Scores[[#This Row],[MRUN]],Demographics[],6,FALSE)</f>
        <v>3</v>
      </c>
      <c r="L62">
        <f>VLOOKUP(Scores[[#This Row],[MRUN]],Demographics[], 7,FALSE)</f>
        <v>3</v>
      </c>
      <c r="M62">
        <f>VLOOKUP(Scores[[#This Row],[MRUN]],Demographics[], 5, FALSE)</f>
        <v>1</v>
      </c>
    </row>
    <row r="63" spans="1:13" hidden="1" x14ac:dyDescent="0.2">
      <c r="A63" s="1">
        <v>14979665</v>
      </c>
      <c r="B63">
        <v>2</v>
      </c>
      <c r="C63">
        <v>2</v>
      </c>
      <c r="D63">
        <v>417</v>
      </c>
      <c r="E63">
        <v>451</v>
      </c>
      <c r="F63">
        <v>376</v>
      </c>
      <c r="G63">
        <v>490</v>
      </c>
      <c r="H63">
        <v>0</v>
      </c>
      <c r="I63">
        <f>VLOOKUP(Scores[[#This Row],[MRUN]],Demographics[],3,FALSE)</f>
        <v>2</v>
      </c>
      <c r="J63">
        <f>AVERAGE(Scores[[#This Row],[LYC]],Scores[[#This Row],[MATE]])</f>
        <v>413.5</v>
      </c>
      <c r="K63">
        <f>VLOOKUP(Scores[[#This Row],[MRUN]],Demographics[],6,FALSE)</f>
        <v>5</v>
      </c>
      <c r="L63">
        <f>VLOOKUP(Scores[[#This Row],[MRUN]],Demographics[], 7,FALSE)</f>
        <v>2</v>
      </c>
      <c r="M63">
        <f>VLOOKUP(Scores[[#This Row],[MRUN]],Demographics[], 5, FALSE)</f>
        <v>1</v>
      </c>
    </row>
    <row r="64" spans="1:13" hidden="1" x14ac:dyDescent="0.2">
      <c r="A64" s="1">
        <v>19251867</v>
      </c>
      <c r="B64">
        <v>2</v>
      </c>
      <c r="C64">
        <v>3</v>
      </c>
      <c r="D64">
        <v>400</v>
      </c>
      <c r="E64">
        <v>0</v>
      </c>
      <c r="F64">
        <v>0</v>
      </c>
      <c r="G64">
        <v>0</v>
      </c>
      <c r="H64">
        <v>0</v>
      </c>
      <c r="I64">
        <f>VLOOKUP(Scores[[#This Row],[MRUN]],Demographics[],3,FALSE)</f>
        <v>9</v>
      </c>
      <c r="J64">
        <f>AVERAGE(Scores[[#This Row],[LYC]],Scores[[#This Row],[MATE]])</f>
        <v>0</v>
      </c>
      <c r="K64">
        <f>VLOOKUP(Scores[[#This Row],[MRUN]],Demographics[],6,FALSE)</f>
        <v>2</v>
      </c>
      <c r="L64">
        <f>VLOOKUP(Scores[[#This Row],[MRUN]],Demographics[], 7,FALSE)</f>
        <v>3</v>
      </c>
      <c r="M64">
        <f>VLOOKUP(Scores[[#This Row],[MRUN]],Demographics[], 5, FALSE)</f>
        <v>1</v>
      </c>
    </row>
    <row r="65" spans="1:13" hidden="1" x14ac:dyDescent="0.2">
      <c r="A65" s="1">
        <v>1656022</v>
      </c>
      <c r="B65">
        <v>1</v>
      </c>
      <c r="C65">
        <v>2</v>
      </c>
      <c r="D65">
        <v>558</v>
      </c>
      <c r="E65">
        <v>0</v>
      </c>
      <c r="F65">
        <v>0</v>
      </c>
      <c r="G65">
        <v>0</v>
      </c>
      <c r="H65">
        <v>0</v>
      </c>
      <c r="I65">
        <f>VLOOKUP(Scores[[#This Row],[MRUN]],Demographics[],3,FALSE)</f>
        <v>4</v>
      </c>
      <c r="J65">
        <f>AVERAGE(Scores[[#This Row],[LYC]],Scores[[#This Row],[MATE]])</f>
        <v>0</v>
      </c>
      <c r="K65">
        <f>VLOOKUP(Scores[[#This Row],[MRUN]],Demographics[],6,FALSE)</f>
        <v>5</v>
      </c>
      <c r="L65">
        <f>VLOOKUP(Scores[[#This Row],[MRUN]],Demographics[], 7,FALSE)</f>
        <v>9</v>
      </c>
      <c r="M65">
        <f>VLOOKUP(Scores[[#This Row],[MRUN]],Demographics[], 5, FALSE)</f>
        <v>2</v>
      </c>
    </row>
    <row r="66" spans="1:13" hidden="1" x14ac:dyDescent="0.2">
      <c r="A66" s="1">
        <v>13118274</v>
      </c>
      <c r="B66">
        <v>2</v>
      </c>
      <c r="C66">
        <v>3</v>
      </c>
      <c r="D66">
        <v>560</v>
      </c>
      <c r="E66">
        <v>345</v>
      </c>
      <c r="F66">
        <v>395</v>
      </c>
      <c r="G66">
        <v>202</v>
      </c>
      <c r="H66">
        <v>0</v>
      </c>
      <c r="I66">
        <f>VLOOKUP(Scores[[#This Row],[MRUN]],Demographics[],3,FALSE)</f>
        <v>8</v>
      </c>
      <c r="J66">
        <f>AVERAGE(Scores[[#This Row],[LYC]],Scores[[#This Row],[MATE]])</f>
        <v>370</v>
      </c>
      <c r="K66">
        <f>VLOOKUP(Scores[[#This Row],[MRUN]],Demographics[],6,FALSE)</f>
        <v>2</v>
      </c>
      <c r="L66">
        <f>VLOOKUP(Scores[[#This Row],[MRUN]],Demographics[], 7,FALSE)</f>
        <v>2</v>
      </c>
      <c r="M66">
        <f>VLOOKUP(Scores[[#This Row],[MRUN]],Demographics[], 5, FALSE)</f>
        <v>1</v>
      </c>
    </row>
    <row r="67" spans="1:13" hidden="1" x14ac:dyDescent="0.2">
      <c r="A67" s="1">
        <v>21160358</v>
      </c>
      <c r="B67">
        <v>1</v>
      </c>
      <c r="C67">
        <v>3</v>
      </c>
      <c r="D67">
        <v>0</v>
      </c>
      <c r="E67">
        <v>0</v>
      </c>
      <c r="F67">
        <v>0</v>
      </c>
      <c r="G67">
        <v>0</v>
      </c>
      <c r="H67">
        <v>0</v>
      </c>
      <c r="I67">
        <f>VLOOKUP(Scores[[#This Row],[MRUN]],Demographics[],3,FALSE)</f>
        <v>3</v>
      </c>
      <c r="J67">
        <f>AVERAGE(Scores[[#This Row],[LYC]],Scores[[#This Row],[MATE]])</f>
        <v>0</v>
      </c>
      <c r="K67">
        <f>VLOOKUP(Scores[[#This Row],[MRUN]],Demographics[],6,FALSE)</f>
        <v>0</v>
      </c>
      <c r="L67">
        <f>VLOOKUP(Scores[[#This Row],[MRUN]],Demographics[], 7,FALSE)</f>
        <v>0</v>
      </c>
      <c r="M67">
        <f>VLOOKUP(Scores[[#This Row],[MRUN]],Demographics[], 5, FALSE)</f>
        <v>1</v>
      </c>
    </row>
    <row r="68" spans="1:13" hidden="1" x14ac:dyDescent="0.2">
      <c r="A68" s="1">
        <v>17855163</v>
      </c>
      <c r="B68">
        <v>2</v>
      </c>
      <c r="C68">
        <v>2</v>
      </c>
      <c r="D68">
        <v>682</v>
      </c>
      <c r="E68">
        <v>648</v>
      </c>
      <c r="F68">
        <v>582</v>
      </c>
      <c r="G68">
        <v>651</v>
      </c>
      <c r="H68">
        <v>0</v>
      </c>
      <c r="I68">
        <f>VLOOKUP(Scores[[#This Row],[MRUN]],Demographics[],3,FALSE)</f>
        <v>5</v>
      </c>
      <c r="J68">
        <f>AVERAGE(Scores[[#This Row],[LYC]],Scores[[#This Row],[MATE]])</f>
        <v>615</v>
      </c>
      <c r="K68">
        <f>VLOOKUP(Scores[[#This Row],[MRUN]],Demographics[],6,FALSE)</f>
        <v>5</v>
      </c>
      <c r="L68">
        <f>VLOOKUP(Scores[[#This Row],[MRUN]],Demographics[], 7,FALSE)</f>
        <v>5</v>
      </c>
      <c r="M68">
        <f>VLOOKUP(Scores[[#This Row],[MRUN]],Demographics[], 5, FALSE)</f>
        <v>1</v>
      </c>
    </row>
    <row r="69" spans="1:13" hidden="1" x14ac:dyDescent="0.2">
      <c r="A69" s="1">
        <v>10204448</v>
      </c>
      <c r="B69">
        <v>1</v>
      </c>
      <c r="C69">
        <v>2</v>
      </c>
      <c r="D69">
        <v>458</v>
      </c>
      <c r="E69">
        <v>397</v>
      </c>
      <c r="F69">
        <v>353</v>
      </c>
      <c r="G69">
        <v>516</v>
      </c>
      <c r="H69">
        <v>475</v>
      </c>
      <c r="I69">
        <f>VLOOKUP(Scores[[#This Row],[MRUN]],Demographics[],3,FALSE)</f>
        <v>6</v>
      </c>
      <c r="J69">
        <f>AVERAGE(Scores[[#This Row],[LYC]],Scores[[#This Row],[MATE]])</f>
        <v>375</v>
      </c>
      <c r="K69">
        <f>VLOOKUP(Scores[[#This Row],[MRUN]],Demographics[],6,FALSE)</f>
        <v>4</v>
      </c>
      <c r="L69">
        <f>VLOOKUP(Scores[[#This Row],[MRUN]],Demographics[], 7,FALSE)</f>
        <v>1</v>
      </c>
      <c r="M69">
        <f>VLOOKUP(Scores[[#This Row],[MRUN]],Demographics[], 5, FALSE)</f>
        <v>1</v>
      </c>
    </row>
    <row r="70" spans="1:13" hidden="1" x14ac:dyDescent="0.2">
      <c r="A70" s="1">
        <v>13510261</v>
      </c>
      <c r="B70">
        <v>1</v>
      </c>
      <c r="C70">
        <v>2</v>
      </c>
      <c r="D70">
        <v>0</v>
      </c>
      <c r="E70">
        <v>0</v>
      </c>
      <c r="F70">
        <v>0</v>
      </c>
      <c r="G70">
        <v>0</v>
      </c>
      <c r="H70">
        <v>0</v>
      </c>
      <c r="I70">
        <f>VLOOKUP(Scores[[#This Row],[MRUN]],Demographics[],3,FALSE)</f>
        <v>5</v>
      </c>
      <c r="J70">
        <f>AVERAGE(Scores[[#This Row],[LYC]],Scores[[#This Row],[MATE]])</f>
        <v>0</v>
      </c>
      <c r="K70">
        <f>VLOOKUP(Scores[[#This Row],[MRUN]],Demographics[],6,FALSE)</f>
        <v>2</v>
      </c>
      <c r="L70">
        <f>VLOOKUP(Scores[[#This Row],[MRUN]],Demographics[], 7,FALSE)</f>
        <v>2</v>
      </c>
      <c r="M70">
        <f>VLOOKUP(Scores[[#This Row],[MRUN]],Demographics[], 5, FALSE)</f>
        <v>1</v>
      </c>
    </row>
    <row r="71" spans="1:13" hidden="1" x14ac:dyDescent="0.2">
      <c r="A71" s="1">
        <v>17146984</v>
      </c>
      <c r="B71">
        <v>2</v>
      </c>
      <c r="C71">
        <v>3</v>
      </c>
      <c r="D71">
        <v>499</v>
      </c>
      <c r="E71">
        <v>464</v>
      </c>
      <c r="F71">
        <v>441</v>
      </c>
      <c r="G71">
        <v>449</v>
      </c>
      <c r="H71">
        <v>0</v>
      </c>
      <c r="I71">
        <f>VLOOKUP(Scores[[#This Row],[MRUN]],Demographics[],3,FALSE)</f>
        <v>3</v>
      </c>
      <c r="J71">
        <f>AVERAGE(Scores[[#This Row],[LYC]],Scores[[#This Row],[MATE]])</f>
        <v>452.5</v>
      </c>
      <c r="K71">
        <f>VLOOKUP(Scores[[#This Row],[MRUN]],Demographics[],6,FALSE)</f>
        <v>2</v>
      </c>
      <c r="L71">
        <f>VLOOKUP(Scores[[#This Row],[MRUN]],Demographics[], 7,FALSE)</f>
        <v>2</v>
      </c>
      <c r="M71">
        <f>VLOOKUP(Scores[[#This Row],[MRUN]],Demographics[], 5, FALSE)</f>
        <v>1</v>
      </c>
    </row>
    <row r="72" spans="1:13" hidden="1" x14ac:dyDescent="0.2">
      <c r="A72" s="1">
        <v>2294820</v>
      </c>
      <c r="B72">
        <v>1</v>
      </c>
      <c r="C72">
        <v>3</v>
      </c>
      <c r="D72">
        <v>458</v>
      </c>
      <c r="E72">
        <v>333</v>
      </c>
      <c r="F72">
        <v>428</v>
      </c>
      <c r="G72">
        <v>320</v>
      </c>
      <c r="H72">
        <v>0</v>
      </c>
      <c r="I72">
        <f>VLOOKUP(Scores[[#This Row],[MRUN]],Demographics[],3,FALSE)</f>
        <v>3</v>
      </c>
      <c r="J72">
        <f>AVERAGE(Scores[[#This Row],[LYC]],Scores[[#This Row],[MATE]])</f>
        <v>380.5</v>
      </c>
      <c r="K72">
        <f>VLOOKUP(Scores[[#This Row],[MRUN]],Demographics[],6,FALSE)</f>
        <v>5</v>
      </c>
      <c r="L72">
        <f>VLOOKUP(Scores[[#This Row],[MRUN]],Demographics[], 7,FALSE)</f>
        <v>5</v>
      </c>
      <c r="M72">
        <f>VLOOKUP(Scores[[#This Row],[MRUN]],Demographics[], 5, FALSE)</f>
        <v>2</v>
      </c>
    </row>
    <row r="73" spans="1:13" hidden="1" x14ac:dyDescent="0.2">
      <c r="A73" s="1">
        <v>708274</v>
      </c>
      <c r="B73">
        <v>1</v>
      </c>
      <c r="C73">
        <v>3</v>
      </c>
      <c r="D73">
        <v>496</v>
      </c>
      <c r="E73">
        <v>406</v>
      </c>
      <c r="F73">
        <v>0</v>
      </c>
      <c r="G73">
        <v>0</v>
      </c>
      <c r="H73">
        <v>0</v>
      </c>
      <c r="I73">
        <f>VLOOKUP(Scores[[#This Row],[MRUN]],Demographics[],3,FALSE)</f>
        <v>6</v>
      </c>
      <c r="J73">
        <f>AVERAGE(Scores[[#This Row],[LYC]],Scores[[#This Row],[MATE]])</f>
        <v>203</v>
      </c>
      <c r="K73">
        <f>VLOOKUP(Scores[[#This Row],[MRUN]],Demographics[],6,FALSE)</f>
        <v>5</v>
      </c>
      <c r="L73">
        <f>VLOOKUP(Scores[[#This Row],[MRUN]],Demographics[], 7,FALSE)</f>
        <v>2</v>
      </c>
      <c r="M73">
        <f>VLOOKUP(Scores[[#This Row],[MRUN]],Demographics[], 5, FALSE)</f>
        <v>1</v>
      </c>
    </row>
    <row r="74" spans="1:13" hidden="1" x14ac:dyDescent="0.2">
      <c r="A74" s="1">
        <v>24553936</v>
      </c>
      <c r="B74">
        <v>2</v>
      </c>
      <c r="C74">
        <v>3</v>
      </c>
      <c r="D74">
        <v>356</v>
      </c>
      <c r="E74">
        <v>378</v>
      </c>
      <c r="F74">
        <v>441</v>
      </c>
      <c r="G74">
        <v>370</v>
      </c>
      <c r="H74">
        <v>0</v>
      </c>
      <c r="I74">
        <f>VLOOKUP(Scores[[#This Row],[MRUN]],Demographics[],3,FALSE)</f>
        <v>4</v>
      </c>
      <c r="J74">
        <f>AVERAGE(Scores[[#This Row],[LYC]],Scores[[#This Row],[MATE]])</f>
        <v>409.5</v>
      </c>
      <c r="K74">
        <f>VLOOKUP(Scores[[#This Row],[MRUN]],Demographics[],6,FALSE)</f>
        <v>1</v>
      </c>
      <c r="L74">
        <f>VLOOKUP(Scores[[#This Row],[MRUN]],Demographics[], 7,FALSE)</f>
        <v>2</v>
      </c>
      <c r="M74">
        <f>VLOOKUP(Scores[[#This Row],[MRUN]],Demographics[], 5, FALSE)</f>
        <v>1</v>
      </c>
    </row>
    <row r="75" spans="1:13" hidden="1" x14ac:dyDescent="0.2">
      <c r="A75" s="1">
        <v>6857774</v>
      </c>
      <c r="B75">
        <v>1</v>
      </c>
      <c r="C75">
        <v>4</v>
      </c>
      <c r="D75">
        <v>538</v>
      </c>
      <c r="E75">
        <v>675</v>
      </c>
      <c r="F75">
        <v>648</v>
      </c>
      <c r="G75">
        <v>0</v>
      </c>
      <c r="H75">
        <v>697</v>
      </c>
      <c r="I75">
        <f>VLOOKUP(Scores[[#This Row],[MRUN]],Demographics[],3,FALSE)</f>
        <v>4</v>
      </c>
      <c r="J75">
        <f>AVERAGE(Scores[[#This Row],[LYC]],Scores[[#This Row],[MATE]])</f>
        <v>661.5</v>
      </c>
      <c r="K75">
        <f>VLOOKUP(Scores[[#This Row],[MRUN]],Demographics[],6,FALSE)</f>
        <v>8</v>
      </c>
      <c r="L75">
        <f>VLOOKUP(Scores[[#This Row],[MRUN]],Demographics[], 7,FALSE)</f>
        <v>5</v>
      </c>
      <c r="M75">
        <f>VLOOKUP(Scores[[#This Row],[MRUN]],Demographics[], 5, FALSE)</f>
        <v>2</v>
      </c>
    </row>
    <row r="76" spans="1:13" hidden="1" x14ac:dyDescent="0.2">
      <c r="A76" s="1">
        <v>1258248</v>
      </c>
      <c r="B76">
        <v>1</v>
      </c>
      <c r="C76">
        <v>2</v>
      </c>
      <c r="D76">
        <v>579</v>
      </c>
      <c r="E76">
        <v>0</v>
      </c>
      <c r="F76">
        <v>0</v>
      </c>
      <c r="G76">
        <v>0</v>
      </c>
      <c r="H76">
        <v>0</v>
      </c>
      <c r="I76">
        <f>VLOOKUP(Scores[[#This Row],[MRUN]],Demographics[],3,FALSE)</f>
        <v>5</v>
      </c>
      <c r="J76">
        <f>AVERAGE(Scores[[#This Row],[LYC]],Scores[[#This Row],[MATE]])</f>
        <v>0</v>
      </c>
      <c r="K76">
        <f>VLOOKUP(Scores[[#This Row],[MRUN]],Demographics[],6,FALSE)</f>
        <v>4</v>
      </c>
      <c r="L76">
        <f>VLOOKUP(Scores[[#This Row],[MRUN]],Demographics[], 7,FALSE)</f>
        <v>2</v>
      </c>
      <c r="M76">
        <f>VLOOKUP(Scores[[#This Row],[MRUN]],Demographics[], 5, FALSE)</f>
        <v>1</v>
      </c>
    </row>
    <row r="77" spans="1:13" hidden="1" x14ac:dyDescent="0.2">
      <c r="A77" s="1">
        <v>14176730</v>
      </c>
      <c r="B77">
        <v>2</v>
      </c>
      <c r="C77">
        <v>3</v>
      </c>
      <c r="D77">
        <v>661</v>
      </c>
      <c r="E77">
        <v>561</v>
      </c>
      <c r="F77">
        <v>582</v>
      </c>
      <c r="G77">
        <v>0</v>
      </c>
      <c r="H77">
        <v>523</v>
      </c>
      <c r="I77">
        <f>VLOOKUP(Scores[[#This Row],[MRUN]],Demographics[],3,FALSE)</f>
        <v>6</v>
      </c>
      <c r="J77">
        <f>AVERAGE(Scores[[#This Row],[LYC]],Scores[[#This Row],[MATE]])</f>
        <v>571.5</v>
      </c>
      <c r="K77">
        <f>VLOOKUP(Scores[[#This Row],[MRUN]],Demographics[],6,FALSE)</f>
        <v>3</v>
      </c>
      <c r="L77">
        <f>VLOOKUP(Scores[[#This Row],[MRUN]],Demographics[], 7,FALSE)</f>
        <v>5</v>
      </c>
      <c r="M77">
        <f>VLOOKUP(Scores[[#This Row],[MRUN]],Demographics[], 5, FALSE)</f>
        <v>1</v>
      </c>
    </row>
    <row r="78" spans="1:13" hidden="1" x14ac:dyDescent="0.2">
      <c r="A78" s="1">
        <v>19577128</v>
      </c>
      <c r="B78">
        <v>1</v>
      </c>
      <c r="C78">
        <v>2</v>
      </c>
      <c r="D78">
        <v>458</v>
      </c>
      <c r="E78">
        <v>0</v>
      </c>
      <c r="F78">
        <v>0</v>
      </c>
      <c r="G78">
        <v>0</v>
      </c>
      <c r="H78">
        <v>0</v>
      </c>
      <c r="I78">
        <f>VLOOKUP(Scores[[#This Row],[MRUN]],Demographics[],3,FALSE)</f>
        <v>4</v>
      </c>
      <c r="J78">
        <f>AVERAGE(Scores[[#This Row],[LYC]],Scores[[#This Row],[MATE]])</f>
        <v>0</v>
      </c>
      <c r="K78">
        <f>VLOOKUP(Scores[[#This Row],[MRUN]],Demographics[],6,FALSE)</f>
        <v>2</v>
      </c>
      <c r="L78">
        <f>VLOOKUP(Scores[[#This Row],[MRUN]],Demographics[], 7,FALSE)</f>
        <v>2</v>
      </c>
      <c r="M78">
        <f>VLOOKUP(Scores[[#This Row],[MRUN]],Demographics[], 5, FALSE)</f>
        <v>1</v>
      </c>
    </row>
    <row r="79" spans="1:13" hidden="1" x14ac:dyDescent="0.2">
      <c r="A79" s="1">
        <v>4652099</v>
      </c>
      <c r="B79">
        <v>2</v>
      </c>
      <c r="C79">
        <v>2</v>
      </c>
      <c r="D79">
        <v>517</v>
      </c>
      <c r="E79">
        <v>557</v>
      </c>
      <c r="F79">
        <v>545</v>
      </c>
      <c r="G79">
        <v>0</v>
      </c>
      <c r="H79">
        <v>539</v>
      </c>
      <c r="I79">
        <f>VLOOKUP(Scores[[#This Row],[MRUN]],Demographics[],3,FALSE)</f>
        <v>2</v>
      </c>
      <c r="J79">
        <f>AVERAGE(Scores[[#This Row],[LYC]],Scores[[#This Row],[MATE]])</f>
        <v>551</v>
      </c>
      <c r="K79">
        <f>VLOOKUP(Scores[[#This Row],[MRUN]],Demographics[],6,FALSE)</f>
        <v>5</v>
      </c>
      <c r="L79">
        <f>VLOOKUP(Scores[[#This Row],[MRUN]],Demographics[], 7,FALSE)</f>
        <v>5</v>
      </c>
      <c r="M79">
        <f>VLOOKUP(Scores[[#This Row],[MRUN]],Demographics[], 5, FALSE)</f>
        <v>1</v>
      </c>
    </row>
    <row r="80" spans="1:13" hidden="1" x14ac:dyDescent="0.2">
      <c r="A80" s="1">
        <v>20057776</v>
      </c>
      <c r="B80">
        <v>2</v>
      </c>
      <c r="C80">
        <v>3</v>
      </c>
      <c r="D80">
        <v>440</v>
      </c>
      <c r="E80">
        <v>494</v>
      </c>
      <c r="F80">
        <v>463</v>
      </c>
      <c r="G80">
        <v>436</v>
      </c>
      <c r="H80">
        <v>0</v>
      </c>
      <c r="I80">
        <f>VLOOKUP(Scores[[#This Row],[MRUN]],Demographics[],3,FALSE)</f>
        <v>7</v>
      </c>
      <c r="J80">
        <f>AVERAGE(Scores[[#This Row],[LYC]],Scores[[#This Row],[MATE]])</f>
        <v>478.5</v>
      </c>
      <c r="K80">
        <f>VLOOKUP(Scores[[#This Row],[MRUN]],Demographics[],6,FALSE)</f>
        <v>5</v>
      </c>
      <c r="L80">
        <f>VLOOKUP(Scores[[#This Row],[MRUN]],Demographics[], 7,FALSE)</f>
        <v>4</v>
      </c>
      <c r="M80">
        <f>VLOOKUP(Scores[[#This Row],[MRUN]],Demographics[], 5, FALSE)</f>
        <v>1</v>
      </c>
    </row>
    <row r="81" spans="1:13" hidden="1" x14ac:dyDescent="0.2">
      <c r="A81" s="1">
        <v>22528932</v>
      </c>
      <c r="B81">
        <v>2</v>
      </c>
      <c r="C81">
        <v>2</v>
      </c>
      <c r="D81">
        <v>437</v>
      </c>
      <c r="E81">
        <v>430</v>
      </c>
      <c r="F81">
        <v>353</v>
      </c>
      <c r="G81">
        <v>495</v>
      </c>
      <c r="H81">
        <v>428</v>
      </c>
      <c r="I81">
        <f>VLOOKUP(Scores[[#This Row],[MRUN]],Demographics[],3,FALSE)</f>
        <v>3</v>
      </c>
      <c r="J81">
        <f>AVERAGE(Scores[[#This Row],[LYC]],Scores[[#This Row],[MATE]])</f>
        <v>391.5</v>
      </c>
      <c r="K81">
        <f>VLOOKUP(Scores[[#This Row],[MRUN]],Demographics[],6,FALSE)</f>
        <v>5</v>
      </c>
      <c r="L81">
        <f>VLOOKUP(Scores[[#This Row],[MRUN]],Demographics[], 7,FALSE)</f>
        <v>5</v>
      </c>
      <c r="M81">
        <f>VLOOKUP(Scores[[#This Row],[MRUN]],Demographics[], 5, FALSE)</f>
        <v>1</v>
      </c>
    </row>
    <row r="82" spans="1:13" hidden="1" x14ac:dyDescent="0.2">
      <c r="A82" s="1">
        <v>16580423</v>
      </c>
      <c r="B82">
        <v>1</v>
      </c>
      <c r="C82">
        <v>2</v>
      </c>
      <c r="D82">
        <v>437</v>
      </c>
      <c r="E82">
        <v>438</v>
      </c>
      <c r="F82">
        <v>472</v>
      </c>
      <c r="G82">
        <v>454</v>
      </c>
      <c r="H82">
        <v>0</v>
      </c>
      <c r="I82">
        <f>VLOOKUP(Scores[[#This Row],[MRUN]],Demographics[],3,FALSE)</f>
        <v>4</v>
      </c>
      <c r="J82">
        <f>AVERAGE(Scores[[#This Row],[LYC]],Scores[[#This Row],[MATE]])</f>
        <v>455</v>
      </c>
      <c r="K82">
        <f>VLOOKUP(Scores[[#This Row],[MRUN]],Demographics[],6,FALSE)</f>
        <v>3</v>
      </c>
      <c r="L82">
        <f>VLOOKUP(Scores[[#This Row],[MRUN]],Demographics[], 7,FALSE)</f>
        <v>2</v>
      </c>
      <c r="M82">
        <f>VLOOKUP(Scores[[#This Row],[MRUN]],Demographics[], 5, FALSE)</f>
        <v>1</v>
      </c>
    </row>
    <row r="83" spans="1:13" hidden="1" x14ac:dyDescent="0.2">
      <c r="A83" s="1">
        <v>19699552</v>
      </c>
      <c r="B83">
        <v>1</v>
      </c>
      <c r="C83">
        <v>2</v>
      </c>
      <c r="D83">
        <v>560</v>
      </c>
      <c r="E83">
        <v>516</v>
      </c>
      <c r="F83">
        <v>501</v>
      </c>
      <c r="G83">
        <v>552</v>
      </c>
      <c r="H83">
        <v>459</v>
      </c>
      <c r="I83">
        <f>VLOOKUP(Scores[[#This Row],[MRUN]],Demographics[],3,FALSE)</f>
        <v>4</v>
      </c>
      <c r="J83">
        <f>AVERAGE(Scores[[#This Row],[LYC]],Scores[[#This Row],[MATE]])</f>
        <v>508.5</v>
      </c>
      <c r="K83">
        <f>VLOOKUP(Scores[[#This Row],[MRUN]],Demographics[],6,FALSE)</f>
        <v>2</v>
      </c>
      <c r="L83">
        <f>VLOOKUP(Scores[[#This Row],[MRUN]],Demographics[], 7,FALSE)</f>
        <v>5</v>
      </c>
      <c r="M83">
        <f>VLOOKUP(Scores[[#This Row],[MRUN]],Demographics[], 5, FALSE)</f>
        <v>1</v>
      </c>
    </row>
    <row r="84" spans="1:13" hidden="1" x14ac:dyDescent="0.2">
      <c r="A84" s="1">
        <v>17044660</v>
      </c>
      <c r="B84">
        <v>2</v>
      </c>
      <c r="C84">
        <v>2</v>
      </c>
      <c r="D84">
        <v>476</v>
      </c>
      <c r="E84">
        <v>499</v>
      </c>
      <c r="F84">
        <v>506</v>
      </c>
      <c r="G84">
        <v>0</v>
      </c>
      <c r="H84">
        <v>468</v>
      </c>
      <c r="I84">
        <f>VLOOKUP(Scores[[#This Row],[MRUN]],Demographics[],3,FALSE)</f>
        <v>5</v>
      </c>
      <c r="J84">
        <f>AVERAGE(Scores[[#This Row],[LYC]],Scores[[#This Row],[MATE]])</f>
        <v>502.5</v>
      </c>
      <c r="K84">
        <f>VLOOKUP(Scores[[#This Row],[MRUN]],Demographics[],6,FALSE)</f>
        <v>2</v>
      </c>
      <c r="L84">
        <f>VLOOKUP(Scores[[#This Row],[MRUN]],Demographics[], 7,FALSE)</f>
        <v>2</v>
      </c>
      <c r="M84">
        <f>VLOOKUP(Scores[[#This Row],[MRUN]],Demographics[], 5, FALSE)</f>
        <v>1</v>
      </c>
    </row>
    <row r="85" spans="1:13" hidden="1" x14ac:dyDescent="0.2">
      <c r="A85" s="1">
        <v>21374481</v>
      </c>
      <c r="B85">
        <v>1</v>
      </c>
      <c r="C85">
        <v>2</v>
      </c>
      <c r="D85">
        <v>437</v>
      </c>
      <c r="E85">
        <v>345</v>
      </c>
      <c r="F85">
        <v>328</v>
      </c>
      <c r="G85">
        <v>0</v>
      </c>
      <c r="H85">
        <v>307</v>
      </c>
      <c r="I85">
        <f>VLOOKUP(Scores[[#This Row],[MRUN]],Demographics[],3,FALSE)</f>
        <v>0</v>
      </c>
      <c r="J85">
        <f>AVERAGE(Scores[[#This Row],[LYC]],Scores[[#This Row],[MATE]])</f>
        <v>336.5</v>
      </c>
      <c r="K85">
        <f>VLOOKUP(Scores[[#This Row],[MRUN]],Demographics[],6,FALSE)</f>
        <v>3</v>
      </c>
      <c r="L85">
        <f>VLOOKUP(Scores[[#This Row],[MRUN]],Demographics[], 7,FALSE)</f>
        <v>3</v>
      </c>
      <c r="M85">
        <f>VLOOKUP(Scores[[#This Row],[MRUN]],Demographics[], 5, FALSE)</f>
        <v>1</v>
      </c>
    </row>
    <row r="86" spans="1:13" hidden="1" x14ac:dyDescent="0.2">
      <c r="A86" s="1">
        <v>19890446</v>
      </c>
      <c r="B86">
        <v>1</v>
      </c>
      <c r="C86">
        <v>2</v>
      </c>
      <c r="D86">
        <v>414</v>
      </c>
      <c r="E86">
        <v>444</v>
      </c>
      <c r="F86">
        <v>395</v>
      </c>
      <c r="G86">
        <v>428</v>
      </c>
      <c r="H86">
        <v>0</v>
      </c>
      <c r="I86">
        <f>VLOOKUP(Scores[[#This Row],[MRUN]],Demographics[],3,FALSE)</f>
        <v>4</v>
      </c>
      <c r="J86">
        <f>AVERAGE(Scores[[#This Row],[LYC]],Scores[[#This Row],[MATE]])</f>
        <v>419.5</v>
      </c>
      <c r="K86">
        <f>VLOOKUP(Scores[[#This Row],[MRUN]],Demographics[],6,FALSE)</f>
        <v>5</v>
      </c>
      <c r="L86">
        <f>VLOOKUP(Scores[[#This Row],[MRUN]],Demographics[], 7,FALSE)</f>
        <v>5</v>
      </c>
      <c r="M86">
        <f>VLOOKUP(Scores[[#This Row],[MRUN]],Demographics[], 5, FALSE)</f>
        <v>1</v>
      </c>
    </row>
    <row r="87" spans="1:13" hidden="1" x14ac:dyDescent="0.2">
      <c r="A87" s="1">
        <v>18375696</v>
      </c>
      <c r="B87">
        <v>1</v>
      </c>
      <c r="C87">
        <v>2</v>
      </c>
      <c r="D87">
        <v>538</v>
      </c>
      <c r="E87">
        <v>0</v>
      </c>
      <c r="F87">
        <v>0</v>
      </c>
      <c r="G87">
        <v>0</v>
      </c>
      <c r="H87">
        <v>0</v>
      </c>
      <c r="I87">
        <f>VLOOKUP(Scores[[#This Row],[MRUN]],Demographics[],3,FALSE)</f>
        <v>4</v>
      </c>
      <c r="J87">
        <f>AVERAGE(Scores[[#This Row],[LYC]],Scores[[#This Row],[MATE]])</f>
        <v>0</v>
      </c>
      <c r="K87">
        <f>VLOOKUP(Scores[[#This Row],[MRUN]],Demographics[],6,FALSE)</f>
        <v>0</v>
      </c>
      <c r="L87">
        <f>VLOOKUP(Scores[[#This Row],[MRUN]],Demographics[], 7,FALSE)</f>
        <v>8</v>
      </c>
      <c r="M87">
        <f>VLOOKUP(Scores[[#This Row],[MRUN]],Demographics[], 5, FALSE)</f>
        <v>1</v>
      </c>
    </row>
    <row r="88" spans="1:13" hidden="1" x14ac:dyDescent="0.2">
      <c r="A88" s="1">
        <v>8653894</v>
      </c>
      <c r="B88">
        <v>1</v>
      </c>
      <c r="C88">
        <v>2</v>
      </c>
      <c r="D88">
        <v>417</v>
      </c>
      <c r="E88">
        <v>458</v>
      </c>
      <c r="F88">
        <v>506</v>
      </c>
      <c r="G88">
        <v>490</v>
      </c>
      <c r="H88">
        <v>0</v>
      </c>
      <c r="I88">
        <f>VLOOKUP(Scores[[#This Row],[MRUN]],Demographics[],3,FALSE)</f>
        <v>6</v>
      </c>
      <c r="J88">
        <f>AVERAGE(Scores[[#This Row],[LYC]],Scores[[#This Row],[MATE]])</f>
        <v>482</v>
      </c>
      <c r="K88">
        <f>VLOOKUP(Scores[[#This Row],[MRUN]],Demographics[],6,FALSE)</f>
        <v>4</v>
      </c>
      <c r="L88">
        <f>VLOOKUP(Scores[[#This Row],[MRUN]],Demographics[], 7,FALSE)</f>
        <v>4</v>
      </c>
      <c r="M88">
        <f>VLOOKUP(Scores[[#This Row],[MRUN]],Demographics[], 5, FALSE)</f>
        <v>1</v>
      </c>
    </row>
    <row r="89" spans="1:13" hidden="1" x14ac:dyDescent="0.2">
      <c r="A89" s="1">
        <v>4278352</v>
      </c>
      <c r="B89">
        <v>2</v>
      </c>
      <c r="C89">
        <v>4</v>
      </c>
      <c r="D89">
        <v>620</v>
      </c>
      <c r="E89">
        <v>0</v>
      </c>
      <c r="F89">
        <v>0</v>
      </c>
      <c r="G89">
        <v>0</v>
      </c>
      <c r="H89">
        <v>0</v>
      </c>
      <c r="I89">
        <f>VLOOKUP(Scores[[#This Row],[MRUN]],Demographics[],3,FALSE)</f>
        <v>4</v>
      </c>
      <c r="J89">
        <f>AVERAGE(Scores[[#This Row],[LYC]],Scores[[#This Row],[MATE]])</f>
        <v>0</v>
      </c>
      <c r="K89">
        <f>VLOOKUP(Scores[[#This Row],[MRUN]],Demographics[],6,FALSE)</f>
        <v>9</v>
      </c>
      <c r="L89">
        <f>VLOOKUP(Scores[[#This Row],[MRUN]],Demographics[], 7,FALSE)</f>
        <v>9</v>
      </c>
      <c r="M89">
        <f>VLOOKUP(Scores[[#This Row],[MRUN]],Demographics[], 5, FALSE)</f>
        <v>3</v>
      </c>
    </row>
    <row r="90" spans="1:13" hidden="1" x14ac:dyDescent="0.2">
      <c r="A90" s="1">
        <v>17271</v>
      </c>
      <c r="B90">
        <v>1</v>
      </c>
      <c r="C90">
        <v>2</v>
      </c>
      <c r="D90">
        <v>458</v>
      </c>
      <c r="E90">
        <v>494</v>
      </c>
      <c r="F90">
        <v>328</v>
      </c>
      <c r="G90">
        <v>537</v>
      </c>
      <c r="H90">
        <v>0</v>
      </c>
      <c r="I90">
        <f>VLOOKUP(Scores[[#This Row],[MRUN]],Demographics[],3,FALSE)</f>
        <v>3</v>
      </c>
      <c r="J90">
        <f>AVERAGE(Scores[[#This Row],[LYC]],Scores[[#This Row],[MATE]])</f>
        <v>411</v>
      </c>
      <c r="K90">
        <f>VLOOKUP(Scores[[#This Row],[MRUN]],Demographics[],6,FALSE)</f>
        <v>0</v>
      </c>
      <c r="L90">
        <f>VLOOKUP(Scores[[#This Row],[MRUN]],Demographics[], 7,FALSE)</f>
        <v>2</v>
      </c>
      <c r="M90">
        <f>VLOOKUP(Scores[[#This Row],[MRUN]],Demographics[], 5, FALSE)</f>
        <v>1</v>
      </c>
    </row>
    <row r="91" spans="1:13" hidden="1" x14ac:dyDescent="0.2">
      <c r="A91" s="1">
        <v>10989095</v>
      </c>
      <c r="B91">
        <v>1</v>
      </c>
      <c r="C91">
        <v>2</v>
      </c>
      <c r="D91">
        <v>496</v>
      </c>
      <c r="E91">
        <v>510</v>
      </c>
      <c r="F91">
        <v>571</v>
      </c>
      <c r="G91">
        <v>527</v>
      </c>
      <c r="H91">
        <v>428</v>
      </c>
      <c r="I91">
        <f>VLOOKUP(Scores[[#This Row],[MRUN]],Demographics[],3,FALSE)</f>
        <v>4</v>
      </c>
      <c r="J91">
        <f>AVERAGE(Scores[[#This Row],[LYC]],Scores[[#This Row],[MATE]])</f>
        <v>540.5</v>
      </c>
      <c r="K91">
        <f>VLOOKUP(Scores[[#This Row],[MRUN]],Demographics[],6,FALSE)</f>
        <v>4</v>
      </c>
      <c r="L91">
        <f>VLOOKUP(Scores[[#This Row],[MRUN]],Demographics[], 7,FALSE)</f>
        <v>5</v>
      </c>
      <c r="M91">
        <f>VLOOKUP(Scores[[#This Row],[MRUN]],Demographics[], 5, FALSE)</f>
        <v>1</v>
      </c>
    </row>
    <row r="92" spans="1:13" hidden="1" x14ac:dyDescent="0.2">
      <c r="A92" s="1">
        <v>10084270</v>
      </c>
      <c r="B92">
        <v>2</v>
      </c>
      <c r="C92">
        <v>3</v>
      </c>
      <c r="D92">
        <v>580</v>
      </c>
      <c r="E92">
        <v>415</v>
      </c>
      <c r="F92">
        <v>463</v>
      </c>
      <c r="G92">
        <v>484</v>
      </c>
      <c r="H92">
        <v>0</v>
      </c>
      <c r="I92">
        <f>VLOOKUP(Scores[[#This Row],[MRUN]],Demographics[],3,FALSE)</f>
        <v>3</v>
      </c>
      <c r="J92">
        <f>AVERAGE(Scores[[#This Row],[LYC]],Scores[[#This Row],[MATE]])</f>
        <v>439</v>
      </c>
      <c r="K92">
        <f>VLOOKUP(Scores[[#This Row],[MRUN]],Demographics[],6,FALSE)</f>
        <v>2</v>
      </c>
      <c r="L92">
        <f>VLOOKUP(Scores[[#This Row],[MRUN]],Demographics[], 7,FALSE)</f>
        <v>2</v>
      </c>
      <c r="M92">
        <f>VLOOKUP(Scores[[#This Row],[MRUN]],Demographics[], 5, FALSE)</f>
        <v>1</v>
      </c>
    </row>
    <row r="93" spans="1:13" hidden="1" x14ac:dyDescent="0.2">
      <c r="A93" s="1">
        <v>16581673</v>
      </c>
      <c r="B93">
        <v>1</v>
      </c>
      <c r="C93">
        <v>2</v>
      </c>
      <c r="D93">
        <v>599</v>
      </c>
      <c r="E93">
        <v>505</v>
      </c>
      <c r="F93">
        <v>560</v>
      </c>
      <c r="G93">
        <v>0</v>
      </c>
      <c r="H93">
        <v>523</v>
      </c>
      <c r="I93">
        <f>VLOOKUP(Scores[[#This Row],[MRUN]],Demographics[],3,FALSE)</f>
        <v>7</v>
      </c>
      <c r="J93">
        <f>AVERAGE(Scores[[#This Row],[LYC]],Scores[[#This Row],[MATE]])</f>
        <v>532.5</v>
      </c>
      <c r="K93">
        <f>VLOOKUP(Scores[[#This Row],[MRUN]],Demographics[],6,FALSE)</f>
        <v>5</v>
      </c>
      <c r="L93">
        <f>VLOOKUP(Scores[[#This Row],[MRUN]],Demographics[], 7,FALSE)</f>
        <v>8</v>
      </c>
      <c r="M93">
        <f>VLOOKUP(Scores[[#This Row],[MRUN]],Demographics[], 5, FALSE)</f>
        <v>3</v>
      </c>
    </row>
    <row r="94" spans="1:13" hidden="1" x14ac:dyDescent="0.2">
      <c r="A94" s="1">
        <v>3438133</v>
      </c>
      <c r="B94">
        <v>2</v>
      </c>
      <c r="C94">
        <v>3</v>
      </c>
      <c r="D94">
        <v>380</v>
      </c>
      <c r="E94">
        <v>388</v>
      </c>
      <c r="F94">
        <v>328</v>
      </c>
      <c r="G94">
        <v>370</v>
      </c>
      <c r="H94">
        <v>326</v>
      </c>
      <c r="I94">
        <f>VLOOKUP(Scores[[#This Row],[MRUN]],Demographics[],3,FALSE)</f>
        <v>2</v>
      </c>
      <c r="J94">
        <f>AVERAGE(Scores[[#This Row],[LYC]],Scores[[#This Row],[MATE]])</f>
        <v>358</v>
      </c>
      <c r="K94">
        <f>VLOOKUP(Scores[[#This Row],[MRUN]],Demographics[],6,FALSE)</f>
        <v>10</v>
      </c>
      <c r="L94">
        <f>VLOOKUP(Scores[[#This Row],[MRUN]],Demographics[], 7,FALSE)</f>
        <v>9</v>
      </c>
      <c r="M94">
        <f>VLOOKUP(Scores[[#This Row],[MRUN]],Demographics[], 5, FALSE)</f>
        <v>3</v>
      </c>
    </row>
    <row r="95" spans="1:13" hidden="1" x14ac:dyDescent="0.2">
      <c r="A95" s="1">
        <v>2766647</v>
      </c>
      <c r="B95">
        <v>2</v>
      </c>
      <c r="C95">
        <v>3</v>
      </c>
      <c r="D95">
        <v>521</v>
      </c>
      <c r="E95">
        <v>494</v>
      </c>
      <c r="F95">
        <v>395</v>
      </c>
      <c r="G95">
        <v>521</v>
      </c>
      <c r="H95">
        <v>0</v>
      </c>
      <c r="I95">
        <f>VLOOKUP(Scores[[#This Row],[MRUN]],Demographics[],3,FALSE)</f>
        <v>7</v>
      </c>
      <c r="J95">
        <f>AVERAGE(Scores[[#This Row],[LYC]],Scores[[#This Row],[MATE]])</f>
        <v>444.5</v>
      </c>
      <c r="K95">
        <f>VLOOKUP(Scores[[#This Row],[MRUN]],Demographics[],6,FALSE)</f>
        <v>2</v>
      </c>
      <c r="L95">
        <f>VLOOKUP(Scores[[#This Row],[MRUN]],Demographics[], 7,FALSE)</f>
        <v>2</v>
      </c>
      <c r="M95">
        <f>VLOOKUP(Scores[[#This Row],[MRUN]],Demographics[], 5, FALSE)</f>
        <v>2</v>
      </c>
    </row>
    <row r="96" spans="1:13" hidden="1" x14ac:dyDescent="0.2">
      <c r="A96" s="1">
        <v>9232487</v>
      </c>
      <c r="B96">
        <v>1</v>
      </c>
      <c r="C96">
        <v>2</v>
      </c>
      <c r="D96">
        <v>499</v>
      </c>
      <c r="E96">
        <v>430</v>
      </c>
      <c r="F96">
        <v>413</v>
      </c>
      <c r="G96">
        <v>406</v>
      </c>
      <c r="H96">
        <v>0</v>
      </c>
      <c r="I96">
        <f>VLOOKUP(Scores[[#This Row],[MRUN]],Demographics[],3,FALSE)</f>
        <v>4</v>
      </c>
      <c r="J96">
        <f>AVERAGE(Scores[[#This Row],[LYC]],Scores[[#This Row],[MATE]])</f>
        <v>421.5</v>
      </c>
      <c r="K96">
        <f>VLOOKUP(Scores[[#This Row],[MRUN]],Demographics[],6,FALSE)</f>
        <v>5</v>
      </c>
      <c r="L96">
        <f>VLOOKUP(Scores[[#This Row],[MRUN]],Demographics[], 7,FALSE)</f>
        <v>8</v>
      </c>
      <c r="M96">
        <f>VLOOKUP(Scores[[#This Row],[MRUN]],Demographics[], 5, FALSE)</f>
        <v>1</v>
      </c>
    </row>
    <row r="97" spans="1:13" hidden="1" x14ac:dyDescent="0.2">
      <c r="A97" s="1">
        <v>11902970</v>
      </c>
      <c r="B97">
        <v>1</v>
      </c>
      <c r="C97">
        <v>2</v>
      </c>
      <c r="D97">
        <v>437</v>
      </c>
      <c r="E97">
        <v>488</v>
      </c>
      <c r="F97">
        <v>480</v>
      </c>
      <c r="G97">
        <v>0</v>
      </c>
      <c r="H97">
        <v>562</v>
      </c>
      <c r="I97">
        <f>VLOOKUP(Scores[[#This Row],[MRUN]],Demographics[],3,FALSE)</f>
        <v>6</v>
      </c>
      <c r="J97">
        <f>AVERAGE(Scores[[#This Row],[LYC]],Scores[[#This Row],[MATE]])</f>
        <v>484</v>
      </c>
      <c r="K97">
        <f>VLOOKUP(Scores[[#This Row],[MRUN]],Demographics[],6,FALSE)</f>
        <v>5</v>
      </c>
      <c r="L97">
        <f>VLOOKUP(Scores[[#This Row],[MRUN]],Demographics[], 7,FALSE)</f>
        <v>4</v>
      </c>
      <c r="M97">
        <f>VLOOKUP(Scores[[#This Row],[MRUN]],Demographics[], 5, FALSE)</f>
        <v>1</v>
      </c>
    </row>
    <row r="98" spans="1:13" hidden="1" x14ac:dyDescent="0.2">
      <c r="A98" s="1">
        <v>22925996</v>
      </c>
      <c r="B98">
        <v>2</v>
      </c>
      <c r="C98">
        <v>2</v>
      </c>
      <c r="D98">
        <v>478</v>
      </c>
      <c r="E98">
        <v>0</v>
      </c>
      <c r="F98">
        <v>0</v>
      </c>
      <c r="G98">
        <v>0</v>
      </c>
      <c r="H98">
        <v>0</v>
      </c>
      <c r="I98">
        <f>VLOOKUP(Scores[[#This Row],[MRUN]],Demographics[],3,FALSE)</f>
        <v>5</v>
      </c>
      <c r="J98">
        <f>AVERAGE(Scores[[#This Row],[LYC]],Scores[[#This Row],[MATE]])</f>
        <v>0</v>
      </c>
      <c r="K98">
        <f>VLOOKUP(Scores[[#This Row],[MRUN]],Demographics[],6,FALSE)</f>
        <v>2</v>
      </c>
      <c r="L98">
        <f>VLOOKUP(Scores[[#This Row],[MRUN]],Demographics[], 7,FALSE)</f>
        <v>4</v>
      </c>
      <c r="M98">
        <f>VLOOKUP(Scores[[#This Row],[MRUN]],Demographics[], 5, FALSE)</f>
        <v>1</v>
      </c>
    </row>
    <row r="99" spans="1:13" hidden="1" x14ac:dyDescent="0.2">
      <c r="A99" s="1">
        <v>11409904</v>
      </c>
      <c r="B99">
        <v>1</v>
      </c>
      <c r="C99">
        <v>4</v>
      </c>
      <c r="D99">
        <v>420</v>
      </c>
      <c r="E99">
        <v>526</v>
      </c>
      <c r="F99">
        <v>512</v>
      </c>
      <c r="G99">
        <v>0</v>
      </c>
      <c r="H99">
        <v>539</v>
      </c>
      <c r="I99">
        <f>VLOOKUP(Scores[[#This Row],[MRUN]],Demographics[],3,FALSE)</f>
        <v>5</v>
      </c>
      <c r="J99">
        <f>AVERAGE(Scores[[#This Row],[LYC]],Scores[[#This Row],[MATE]])</f>
        <v>519</v>
      </c>
      <c r="K99">
        <f>VLOOKUP(Scores[[#This Row],[MRUN]],Demographics[],6,FALSE)</f>
        <v>9</v>
      </c>
      <c r="L99">
        <f>VLOOKUP(Scores[[#This Row],[MRUN]],Demographics[], 7,FALSE)</f>
        <v>9</v>
      </c>
      <c r="M99">
        <f>VLOOKUP(Scores[[#This Row],[MRUN]],Demographics[], 5, FALSE)</f>
        <v>4</v>
      </c>
    </row>
    <row r="100" spans="1:13" hidden="1" x14ac:dyDescent="0.2">
      <c r="A100" s="1">
        <v>3686004</v>
      </c>
      <c r="B100">
        <v>1</v>
      </c>
      <c r="C100">
        <v>3</v>
      </c>
      <c r="D100">
        <v>359</v>
      </c>
      <c r="E100">
        <v>415</v>
      </c>
      <c r="F100">
        <v>376</v>
      </c>
      <c r="G100">
        <v>454</v>
      </c>
      <c r="H100">
        <v>0</v>
      </c>
      <c r="I100">
        <f>VLOOKUP(Scores[[#This Row],[MRUN]],Demographics[],3,FALSE)</f>
        <v>8</v>
      </c>
      <c r="J100">
        <f>AVERAGE(Scores[[#This Row],[LYC]],Scores[[#This Row],[MATE]])</f>
        <v>395.5</v>
      </c>
      <c r="K100">
        <f>VLOOKUP(Scores[[#This Row],[MRUN]],Demographics[],6,FALSE)</f>
        <v>3</v>
      </c>
      <c r="L100">
        <f>VLOOKUP(Scores[[#This Row],[MRUN]],Demographics[], 7,FALSE)</f>
        <v>3</v>
      </c>
      <c r="M100">
        <f>VLOOKUP(Scores[[#This Row],[MRUN]],Demographics[], 5, FALSE)</f>
        <v>1</v>
      </c>
    </row>
    <row r="101" spans="1:13" hidden="1" x14ac:dyDescent="0.2">
      <c r="A101" s="1">
        <v>19135863</v>
      </c>
      <c r="B101">
        <v>1</v>
      </c>
      <c r="C101">
        <v>2</v>
      </c>
      <c r="D101">
        <v>558</v>
      </c>
      <c r="E101">
        <v>0</v>
      </c>
      <c r="F101">
        <v>0</v>
      </c>
      <c r="G101">
        <v>0</v>
      </c>
      <c r="H101">
        <v>0</v>
      </c>
      <c r="I101">
        <f>VLOOKUP(Scores[[#This Row],[MRUN]],Demographics[],3,FALSE)</f>
        <v>4</v>
      </c>
      <c r="J101">
        <f>AVERAGE(Scores[[#This Row],[LYC]],Scores[[#This Row],[MATE]])</f>
        <v>0</v>
      </c>
      <c r="K101">
        <f>VLOOKUP(Scores[[#This Row],[MRUN]],Demographics[],6,FALSE)</f>
        <v>2</v>
      </c>
      <c r="L101">
        <f>VLOOKUP(Scores[[#This Row],[MRUN]],Demographics[], 7,FALSE)</f>
        <v>2</v>
      </c>
      <c r="M101">
        <f>VLOOKUP(Scores[[#This Row],[MRUN]],Demographics[], 5, FALSE)</f>
        <v>1</v>
      </c>
    </row>
    <row r="102" spans="1:13" hidden="1" x14ac:dyDescent="0.2">
      <c r="A102" s="1">
        <v>6370953</v>
      </c>
      <c r="B102">
        <v>1</v>
      </c>
      <c r="C102">
        <v>2</v>
      </c>
      <c r="D102">
        <v>455</v>
      </c>
      <c r="E102">
        <v>557</v>
      </c>
      <c r="F102">
        <v>494</v>
      </c>
      <c r="G102">
        <v>516</v>
      </c>
      <c r="H102">
        <v>0</v>
      </c>
      <c r="I102">
        <f>VLOOKUP(Scores[[#This Row],[MRUN]],Demographics[],3,FALSE)</f>
        <v>5</v>
      </c>
      <c r="J102">
        <f>AVERAGE(Scores[[#This Row],[LYC]],Scores[[#This Row],[MATE]])</f>
        <v>525.5</v>
      </c>
      <c r="K102">
        <f>VLOOKUP(Scores[[#This Row],[MRUN]],Demographics[],6,FALSE)</f>
        <v>9</v>
      </c>
      <c r="L102">
        <f>VLOOKUP(Scores[[#This Row],[MRUN]],Demographics[], 7,FALSE)</f>
        <v>5</v>
      </c>
      <c r="M102">
        <f>VLOOKUP(Scores[[#This Row],[MRUN]],Demographics[], 5, FALSE)</f>
        <v>2</v>
      </c>
    </row>
    <row r="103" spans="1:13" hidden="1" x14ac:dyDescent="0.2">
      <c r="A103" s="1">
        <v>15550542</v>
      </c>
      <c r="B103">
        <v>2</v>
      </c>
      <c r="C103">
        <v>3</v>
      </c>
      <c r="D103">
        <v>641</v>
      </c>
      <c r="E103">
        <v>406</v>
      </c>
      <c r="F103">
        <v>428</v>
      </c>
      <c r="G103">
        <v>289</v>
      </c>
      <c r="H103">
        <v>267</v>
      </c>
      <c r="I103">
        <f>VLOOKUP(Scores[[#This Row],[MRUN]],Demographics[],3,FALSE)</f>
        <v>6</v>
      </c>
      <c r="J103">
        <f>AVERAGE(Scores[[#This Row],[LYC]],Scores[[#This Row],[MATE]])</f>
        <v>417</v>
      </c>
      <c r="K103">
        <f>VLOOKUP(Scores[[#This Row],[MRUN]],Demographics[],6,FALSE)</f>
        <v>0</v>
      </c>
      <c r="L103">
        <f>VLOOKUP(Scores[[#This Row],[MRUN]],Demographics[], 7,FALSE)</f>
        <v>0</v>
      </c>
      <c r="M103">
        <f>VLOOKUP(Scores[[#This Row],[MRUN]],Demographics[], 5, FALSE)</f>
        <v>1</v>
      </c>
    </row>
    <row r="104" spans="1:13" hidden="1" x14ac:dyDescent="0.2">
      <c r="A104" s="1">
        <v>2214889</v>
      </c>
      <c r="B104">
        <v>1</v>
      </c>
      <c r="C104">
        <v>2</v>
      </c>
      <c r="D104">
        <v>440</v>
      </c>
      <c r="E104">
        <v>483</v>
      </c>
      <c r="F104">
        <v>480</v>
      </c>
      <c r="G104">
        <v>552</v>
      </c>
      <c r="H104">
        <v>475</v>
      </c>
      <c r="I104">
        <f>VLOOKUP(Scores[[#This Row],[MRUN]],Demographics[],3,FALSE)</f>
        <v>1</v>
      </c>
      <c r="J104">
        <f>AVERAGE(Scores[[#This Row],[LYC]],Scores[[#This Row],[MATE]])</f>
        <v>481.5</v>
      </c>
      <c r="K104">
        <f>VLOOKUP(Scores[[#This Row],[MRUN]],Demographics[],6,FALSE)</f>
        <v>2</v>
      </c>
      <c r="L104">
        <f>VLOOKUP(Scores[[#This Row],[MRUN]],Demographics[], 7,FALSE)</f>
        <v>3</v>
      </c>
      <c r="M104">
        <f>VLOOKUP(Scores[[#This Row],[MRUN]],Demographics[], 5, FALSE)</f>
        <v>1</v>
      </c>
    </row>
    <row r="105" spans="1:13" hidden="1" x14ac:dyDescent="0.2">
      <c r="A105" s="1">
        <v>16201928</v>
      </c>
      <c r="B105">
        <v>1</v>
      </c>
      <c r="C105">
        <v>2</v>
      </c>
      <c r="D105">
        <v>560</v>
      </c>
      <c r="E105">
        <v>458</v>
      </c>
      <c r="F105">
        <v>376</v>
      </c>
      <c r="G105">
        <v>479</v>
      </c>
      <c r="H105">
        <v>0</v>
      </c>
      <c r="I105">
        <f>VLOOKUP(Scores[[#This Row],[MRUN]],Demographics[],3,FALSE)</f>
        <v>4</v>
      </c>
      <c r="J105">
        <f>AVERAGE(Scores[[#This Row],[LYC]],Scores[[#This Row],[MATE]])</f>
        <v>417</v>
      </c>
      <c r="K105">
        <f>VLOOKUP(Scores[[#This Row],[MRUN]],Demographics[],6,FALSE)</f>
        <v>5</v>
      </c>
      <c r="L105">
        <f>VLOOKUP(Scores[[#This Row],[MRUN]],Demographics[], 7,FALSE)</f>
        <v>3</v>
      </c>
      <c r="M105">
        <f>VLOOKUP(Scores[[#This Row],[MRUN]],Demographics[], 5, FALSE)</f>
        <v>1</v>
      </c>
    </row>
    <row r="106" spans="1:13" hidden="1" x14ac:dyDescent="0.2">
      <c r="A106" s="1">
        <v>24645692</v>
      </c>
      <c r="B106">
        <v>1</v>
      </c>
      <c r="C106">
        <v>3</v>
      </c>
      <c r="D106">
        <v>460</v>
      </c>
      <c r="E106">
        <v>505</v>
      </c>
      <c r="F106">
        <v>428</v>
      </c>
      <c r="G106">
        <v>552</v>
      </c>
      <c r="H106">
        <v>0</v>
      </c>
      <c r="I106">
        <f>VLOOKUP(Scores[[#This Row],[MRUN]],Demographics[],3,FALSE)</f>
        <v>4</v>
      </c>
      <c r="J106">
        <f>AVERAGE(Scores[[#This Row],[LYC]],Scores[[#This Row],[MATE]])</f>
        <v>466.5</v>
      </c>
      <c r="K106">
        <f>VLOOKUP(Scores[[#This Row],[MRUN]],Demographics[],6,FALSE)</f>
        <v>0</v>
      </c>
      <c r="L106">
        <f>VLOOKUP(Scores[[#This Row],[MRUN]],Demographics[], 7,FALSE)</f>
        <v>2</v>
      </c>
      <c r="M106">
        <f>VLOOKUP(Scores[[#This Row],[MRUN]],Demographics[], 5, FALSE)</f>
        <v>1</v>
      </c>
    </row>
    <row r="107" spans="1:13" hidden="1" x14ac:dyDescent="0.2">
      <c r="A107" s="1">
        <v>11930167</v>
      </c>
      <c r="B107">
        <v>2</v>
      </c>
      <c r="C107">
        <v>2</v>
      </c>
      <c r="D107">
        <v>519</v>
      </c>
      <c r="E107">
        <v>576</v>
      </c>
      <c r="F107">
        <v>328</v>
      </c>
      <c r="G107">
        <v>521</v>
      </c>
      <c r="H107">
        <v>0</v>
      </c>
      <c r="I107">
        <f>VLOOKUP(Scores[[#This Row],[MRUN]],Demographics[],3,FALSE)</f>
        <v>4</v>
      </c>
      <c r="J107">
        <f>AVERAGE(Scores[[#This Row],[LYC]],Scores[[#This Row],[MATE]])</f>
        <v>452</v>
      </c>
      <c r="K107">
        <f>VLOOKUP(Scores[[#This Row],[MRUN]],Demographics[],6,FALSE)</f>
        <v>8</v>
      </c>
      <c r="L107">
        <f>VLOOKUP(Scores[[#This Row],[MRUN]],Demographics[], 7,FALSE)</f>
        <v>2</v>
      </c>
      <c r="M107">
        <f>VLOOKUP(Scores[[#This Row],[MRUN]],Demographics[], 5, FALSE)</f>
        <v>1</v>
      </c>
    </row>
    <row r="108" spans="1:13" hidden="1" x14ac:dyDescent="0.2">
      <c r="A108" s="1">
        <v>1146554</v>
      </c>
      <c r="B108">
        <v>2</v>
      </c>
      <c r="C108">
        <v>2</v>
      </c>
      <c r="D108">
        <v>476</v>
      </c>
      <c r="E108">
        <v>567</v>
      </c>
      <c r="F108">
        <v>441</v>
      </c>
      <c r="G108">
        <v>557</v>
      </c>
      <c r="H108">
        <v>0</v>
      </c>
      <c r="I108">
        <f>VLOOKUP(Scores[[#This Row],[MRUN]],Demographics[],3,FALSE)</f>
        <v>5</v>
      </c>
      <c r="J108">
        <f>AVERAGE(Scores[[#This Row],[LYC]],Scores[[#This Row],[MATE]])</f>
        <v>504</v>
      </c>
      <c r="K108">
        <f>VLOOKUP(Scores[[#This Row],[MRUN]],Demographics[],6,FALSE)</f>
        <v>4</v>
      </c>
      <c r="L108">
        <f>VLOOKUP(Scores[[#This Row],[MRUN]],Demographics[], 7,FALSE)</f>
        <v>4</v>
      </c>
      <c r="M108">
        <f>VLOOKUP(Scores[[#This Row],[MRUN]],Demographics[], 5, FALSE)</f>
        <v>1</v>
      </c>
    </row>
    <row r="109" spans="1:13" hidden="1" x14ac:dyDescent="0.2">
      <c r="A109" s="1">
        <v>4541506</v>
      </c>
      <c r="B109">
        <v>2</v>
      </c>
      <c r="C109">
        <v>2</v>
      </c>
      <c r="D109">
        <v>496</v>
      </c>
      <c r="E109">
        <v>0</v>
      </c>
      <c r="F109">
        <v>0</v>
      </c>
      <c r="G109">
        <v>0</v>
      </c>
      <c r="H109">
        <v>0</v>
      </c>
      <c r="I109">
        <f>VLOOKUP(Scores[[#This Row],[MRUN]],Demographics[],3,FALSE)</f>
        <v>5</v>
      </c>
      <c r="J109">
        <f>AVERAGE(Scores[[#This Row],[LYC]],Scores[[#This Row],[MATE]])</f>
        <v>0</v>
      </c>
      <c r="K109">
        <f>VLOOKUP(Scores[[#This Row],[MRUN]],Demographics[],6,FALSE)</f>
        <v>0</v>
      </c>
      <c r="L109">
        <f>VLOOKUP(Scores[[#This Row],[MRUN]],Demographics[], 7,FALSE)</f>
        <v>3</v>
      </c>
      <c r="M109">
        <f>VLOOKUP(Scores[[#This Row],[MRUN]],Demographics[], 5, FALSE)</f>
        <v>1</v>
      </c>
    </row>
    <row r="110" spans="1:13" hidden="1" x14ac:dyDescent="0.2">
      <c r="A110" s="1">
        <v>5508773</v>
      </c>
      <c r="B110">
        <v>2</v>
      </c>
      <c r="C110">
        <v>2</v>
      </c>
      <c r="D110">
        <v>478</v>
      </c>
      <c r="E110">
        <v>541</v>
      </c>
      <c r="F110">
        <v>560</v>
      </c>
      <c r="G110">
        <v>0</v>
      </c>
      <c r="H110">
        <v>571</v>
      </c>
      <c r="I110">
        <f>VLOOKUP(Scores[[#This Row],[MRUN]],Demographics[],3,FALSE)</f>
        <v>5</v>
      </c>
      <c r="J110">
        <f>AVERAGE(Scores[[#This Row],[LYC]],Scores[[#This Row],[MATE]])</f>
        <v>550.5</v>
      </c>
      <c r="K110">
        <f>VLOOKUP(Scores[[#This Row],[MRUN]],Demographics[],6,FALSE)</f>
        <v>4</v>
      </c>
      <c r="L110">
        <f>VLOOKUP(Scores[[#This Row],[MRUN]],Demographics[], 7,FALSE)</f>
        <v>3</v>
      </c>
      <c r="M110">
        <f>VLOOKUP(Scores[[#This Row],[MRUN]],Demographics[], 5, FALSE)</f>
        <v>1</v>
      </c>
    </row>
    <row r="111" spans="1:13" hidden="1" x14ac:dyDescent="0.2">
      <c r="A111" s="1">
        <v>6576932</v>
      </c>
      <c r="B111">
        <v>2</v>
      </c>
      <c r="C111">
        <v>2</v>
      </c>
      <c r="D111">
        <v>601</v>
      </c>
      <c r="E111">
        <v>567</v>
      </c>
      <c r="F111">
        <v>428</v>
      </c>
      <c r="G111">
        <v>537</v>
      </c>
      <c r="H111">
        <v>0</v>
      </c>
      <c r="I111">
        <f>VLOOKUP(Scores[[#This Row],[MRUN]],Demographics[],3,FALSE)</f>
        <v>7</v>
      </c>
      <c r="J111">
        <f>AVERAGE(Scores[[#This Row],[LYC]],Scores[[#This Row],[MATE]])</f>
        <v>497.5</v>
      </c>
      <c r="K111">
        <f>VLOOKUP(Scores[[#This Row],[MRUN]],Demographics[],6,FALSE)</f>
        <v>0</v>
      </c>
      <c r="L111">
        <f>VLOOKUP(Scores[[#This Row],[MRUN]],Demographics[], 7,FALSE)</f>
        <v>5</v>
      </c>
      <c r="M111">
        <f>VLOOKUP(Scores[[#This Row],[MRUN]],Demographics[], 5, FALSE)</f>
        <v>1</v>
      </c>
    </row>
    <row r="112" spans="1:13" hidden="1" x14ac:dyDescent="0.2">
      <c r="A112" s="1">
        <v>195961</v>
      </c>
      <c r="B112">
        <v>2</v>
      </c>
      <c r="C112">
        <v>3</v>
      </c>
      <c r="D112">
        <v>0</v>
      </c>
      <c r="E112">
        <v>0</v>
      </c>
      <c r="F112">
        <v>0</v>
      </c>
      <c r="G112">
        <v>0</v>
      </c>
      <c r="H112">
        <v>0</v>
      </c>
      <c r="I112">
        <f>VLOOKUP(Scores[[#This Row],[MRUN]],Demographics[],3,FALSE)</f>
        <v>8</v>
      </c>
      <c r="J112">
        <f>AVERAGE(Scores[[#This Row],[LYC]],Scores[[#This Row],[MATE]])</f>
        <v>0</v>
      </c>
      <c r="K112">
        <f>VLOOKUP(Scores[[#This Row],[MRUN]],Demographics[],6,FALSE)</f>
        <v>5</v>
      </c>
      <c r="L112">
        <f>VLOOKUP(Scores[[#This Row],[MRUN]],Demographics[], 7,FALSE)</f>
        <v>4</v>
      </c>
      <c r="M112">
        <f>VLOOKUP(Scores[[#This Row],[MRUN]],Demographics[], 5, FALSE)</f>
        <v>1</v>
      </c>
    </row>
    <row r="113" spans="1:13" hidden="1" x14ac:dyDescent="0.2">
      <c r="A113" s="1">
        <v>6418505</v>
      </c>
      <c r="B113">
        <v>1</v>
      </c>
      <c r="C113">
        <v>2</v>
      </c>
      <c r="D113">
        <v>499</v>
      </c>
      <c r="E113">
        <v>438</v>
      </c>
      <c r="F113">
        <v>523</v>
      </c>
      <c r="G113">
        <v>516</v>
      </c>
      <c r="H113">
        <v>0</v>
      </c>
      <c r="I113">
        <f>VLOOKUP(Scores[[#This Row],[MRUN]],Demographics[],3,FALSE)</f>
        <v>3</v>
      </c>
      <c r="J113">
        <f>AVERAGE(Scores[[#This Row],[LYC]],Scores[[#This Row],[MATE]])</f>
        <v>480.5</v>
      </c>
      <c r="K113">
        <f>VLOOKUP(Scores[[#This Row],[MRUN]],Demographics[],6,FALSE)</f>
        <v>4</v>
      </c>
      <c r="L113">
        <f>VLOOKUP(Scores[[#This Row],[MRUN]],Demographics[], 7,FALSE)</f>
        <v>4</v>
      </c>
      <c r="M113">
        <f>VLOOKUP(Scores[[#This Row],[MRUN]],Demographics[], 5, FALSE)</f>
        <v>1</v>
      </c>
    </row>
    <row r="114" spans="1:13" hidden="1" x14ac:dyDescent="0.2">
      <c r="A114" s="1">
        <v>7648323</v>
      </c>
      <c r="B114">
        <v>2</v>
      </c>
      <c r="C114">
        <v>2</v>
      </c>
      <c r="D114">
        <v>458</v>
      </c>
      <c r="E114">
        <v>451</v>
      </c>
      <c r="F114">
        <v>428</v>
      </c>
      <c r="G114">
        <v>473</v>
      </c>
      <c r="H114">
        <v>449</v>
      </c>
      <c r="I114">
        <f>VLOOKUP(Scores[[#This Row],[MRUN]],Demographics[],3,FALSE)</f>
        <v>5</v>
      </c>
      <c r="J114">
        <f>AVERAGE(Scores[[#This Row],[LYC]],Scores[[#This Row],[MATE]])</f>
        <v>439.5</v>
      </c>
      <c r="K114">
        <f>VLOOKUP(Scores[[#This Row],[MRUN]],Demographics[],6,FALSE)</f>
        <v>2</v>
      </c>
      <c r="L114">
        <f>VLOOKUP(Scores[[#This Row],[MRUN]],Demographics[], 7,FALSE)</f>
        <v>2</v>
      </c>
      <c r="M114">
        <f>VLOOKUP(Scores[[#This Row],[MRUN]],Demographics[], 5, FALSE)</f>
        <v>1</v>
      </c>
    </row>
    <row r="115" spans="1:13" hidden="1" x14ac:dyDescent="0.2">
      <c r="A115" s="1">
        <v>19495326</v>
      </c>
      <c r="B115">
        <v>1</v>
      </c>
      <c r="C115">
        <v>3</v>
      </c>
      <c r="D115">
        <v>541</v>
      </c>
      <c r="E115">
        <v>571</v>
      </c>
      <c r="F115">
        <v>527</v>
      </c>
      <c r="G115">
        <v>657</v>
      </c>
      <c r="H115">
        <v>491</v>
      </c>
      <c r="I115">
        <f>VLOOKUP(Scores[[#This Row],[MRUN]],Demographics[],3,FALSE)</f>
        <v>6</v>
      </c>
      <c r="J115">
        <f>AVERAGE(Scores[[#This Row],[LYC]],Scores[[#This Row],[MATE]])</f>
        <v>549</v>
      </c>
      <c r="K115">
        <f>VLOOKUP(Scores[[#This Row],[MRUN]],Demographics[],6,FALSE)</f>
        <v>3</v>
      </c>
      <c r="L115">
        <f>VLOOKUP(Scores[[#This Row],[MRUN]],Demographics[], 7,FALSE)</f>
        <v>4</v>
      </c>
      <c r="M115">
        <f>VLOOKUP(Scores[[#This Row],[MRUN]],Demographics[], 5, FALSE)</f>
        <v>1</v>
      </c>
    </row>
    <row r="116" spans="1:13" hidden="1" x14ac:dyDescent="0.2">
      <c r="A116" s="1">
        <v>3626946</v>
      </c>
      <c r="B116">
        <v>2</v>
      </c>
      <c r="C116">
        <v>2</v>
      </c>
      <c r="D116">
        <v>437</v>
      </c>
      <c r="E116">
        <v>0</v>
      </c>
      <c r="F116">
        <v>0</v>
      </c>
      <c r="G116">
        <v>0</v>
      </c>
      <c r="H116">
        <v>0</v>
      </c>
      <c r="I116">
        <f>VLOOKUP(Scores[[#This Row],[MRUN]],Demographics[],3,FALSE)</f>
        <v>3</v>
      </c>
      <c r="J116">
        <f>AVERAGE(Scores[[#This Row],[LYC]],Scores[[#This Row],[MATE]])</f>
        <v>0</v>
      </c>
      <c r="K116">
        <f>VLOOKUP(Scores[[#This Row],[MRUN]],Demographics[],6,FALSE)</f>
        <v>3</v>
      </c>
      <c r="L116">
        <f>VLOOKUP(Scores[[#This Row],[MRUN]],Demographics[], 7,FALSE)</f>
        <v>5</v>
      </c>
      <c r="M116">
        <f>VLOOKUP(Scores[[#This Row],[MRUN]],Demographics[], 5, FALSE)</f>
        <v>1</v>
      </c>
    </row>
    <row r="117" spans="1:13" hidden="1" x14ac:dyDescent="0.2">
      <c r="A117" s="1">
        <v>7315945</v>
      </c>
      <c r="B117">
        <v>1</v>
      </c>
      <c r="C117">
        <v>3</v>
      </c>
      <c r="D117">
        <v>460</v>
      </c>
      <c r="E117">
        <v>262</v>
      </c>
      <c r="F117">
        <v>376</v>
      </c>
      <c r="G117">
        <v>428</v>
      </c>
      <c r="H117">
        <v>307</v>
      </c>
      <c r="I117">
        <f>VLOOKUP(Scores[[#This Row],[MRUN]],Demographics[],3,FALSE)</f>
        <v>5</v>
      </c>
      <c r="J117">
        <f>AVERAGE(Scores[[#This Row],[LYC]],Scores[[#This Row],[MATE]])</f>
        <v>319</v>
      </c>
      <c r="K117">
        <f>VLOOKUP(Scores[[#This Row],[MRUN]],Demographics[],6,FALSE)</f>
        <v>5</v>
      </c>
      <c r="L117">
        <f>VLOOKUP(Scores[[#This Row],[MRUN]],Demographics[], 7,FALSE)</f>
        <v>5</v>
      </c>
      <c r="M117">
        <f>VLOOKUP(Scores[[#This Row],[MRUN]],Demographics[], 5, FALSE)</f>
        <v>2</v>
      </c>
    </row>
    <row r="118" spans="1:13" hidden="1" x14ac:dyDescent="0.2">
      <c r="A118" s="1">
        <v>8934054</v>
      </c>
      <c r="B118">
        <v>2</v>
      </c>
      <c r="C118">
        <v>2</v>
      </c>
      <c r="D118">
        <v>478</v>
      </c>
      <c r="E118">
        <v>505</v>
      </c>
      <c r="F118">
        <v>494</v>
      </c>
      <c r="G118">
        <v>442</v>
      </c>
      <c r="H118">
        <v>0</v>
      </c>
      <c r="I118">
        <f>VLOOKUP(Scores[[#This Row],[MRUN]],Demographics[],3,FALSE)</f>
        <v>5</v>
      </c>
      <c r="J118">
        <f>AVERAGE(Scores[[#This Row],[LYC]],Scores[[#This Row],[MATE]])</f>
        <v>499.5</v>
      </c>
      <c r="K118">
        <f>VLOOKUP(Scores[[#This Row],[MRUN]],Demographics[],6,FALSE)</f>
        <v>0</v>
      </c>
      <c r="L118">
        <f>VLOOKUP(Scores[[#This Row],[MRUN]],Demographics[], 7,FALSE)</f>
        <v>3</v>
      </c>
      <c r="M118">
        <f>VLOOKUP(Scores[[#This Row],[MRUN]],Demographics[], 5, FALSE)</f>
        <v>1</v>
      </c>
    </row>
    <row r="119" spans="1:13" hidden="1" x14ac:dyDescent="0.2">
      <c r="A119" s="1">
        <v>7764957</v>
      </c>
      <c r="B119">
        <v>2</v>
      </c>
      <c r="C119">
        <v>4</v>
      </c>
      <c r="D119">
        <v>440</v>
      </c>
      <c r="E119">
        <v>476</v>
      </c>
      <c r="F119">
        <v>395</v>
      </c>
      <c r="G119">
        <v>0</v>
      </c>
      <c r="H119">
        <v>326</v>
      </c>
      <c r="I119">
        <f>VLOOKUP(Scores[[#This Row],[MRUN]],Demographics[],3,FALSE)</f>
        <v>6</v>
      </c>
      <c r="J119">
        <f>AVERAGE(Scores[[#This Row],[LYC]],Scores[[#This Row],[MATE]])</f>
        <v>435.5</v>
      </c>
      <c r="K119">
        <f>VLOOKUP(Scores[[#This Row],[MRUN]],Demographics[],6,FALSE)</f>
        <v>9</v>
      </c>
      <c r="L119">
        <f>VLOOKUP(Scores[[#This Row],[MRUN]],Demographics[], 7,FALSE)</f>
        <v>9</v>
      </c>
      <c r="M119">
        <f>VLOOKUP(Scores[[#This Row],[MRUN]],Demographics[], 5, FALSE)</f>
        <v>3</v>
      </c>
    </row>
    <row r="120" spans="1:13" hidden="1" x14ac:dyDescent="0.2">
      <c r="A120" s="1">
        <v>22775546</v>
      </c>
      <c r="B120">
        <v>1</v>
      </c>
      <c r="C120">
        <v>2</v>
      </c>
      <c r="D120">
        <v>359</v>
      </c>
      <c r="E120">
        <v>378</v>
      </c>
      <c r="F120">
        <v>300</v>
      </c>
      <c r="G120">
        <v>0</v>
      </c>
      <c r="H120">
        <v>391</v>
      </c>
      <c r="I120">
        <f>VLOOKUP(Scores[[#This Row],[MRUN]],Demographics[],3,FALSE)</f>
        <v>3</v>
      </c>
      <c r="J120">
        <f>AVERAGE(Scores[[#This Row],[LYC]],Scores[[#This Row],[MATE]])</f>
        <v>339</v>
      </c>
      <c r="K120">
        <f>VLOOKUP(Scores[[#This Row],[MRUN]],Demographics[],6,FALSE)</f>
        <v>4</v>
      </c>
      <c r="L120">
        <f>VLOOKUP(Scores[[#This Row],[MRUN]],Demographics[], 7,FALSE)</f>
        <v>5</v>
      </c>
      <c r="M120">
        <f>VLOOKUP(Scores[[#This Row],[MRUN]],Demographics[], 5, FALSE)</f>
        <v>2</v>
      </c>
    </row>
    <row r="121" spans="1:13" hidden="1" x14ac:dyDescent="0.2">
      <c r="A121" s="1">
        <v>7057293</v>
      </c>
      <c r="B121">
        <v>1</v>
      </c>
      <c r="C121">
        <v>4</v>
      </c>
      <c r="D121">
        <v>579</v>
      </c>
      <c r="E121">
        <v>624</v>
      </c>
      <c r="F121">
        <v>763</v>
      </c>
      <c r="G121">
        <v>684</v>
      </c>
      <c r="H121">
        <v>655</v>
      </c>
      <c r="I121">
        <f>VLOOKUP(Scores[[#This Row],[MRUN]],Demographics[],3,FALSE)</f>
        <v>3</v>
      </c>
      <c r="J121">
        <f>AVERAGE(Scores[[#This Row],[LYC]],Scores[[#This Row],[MATE]])</f>
        <v>693.5</v>
      </c>
      <c r="K121">
        <f>VLOOKUP(Scores[[#This Row],[MRUN]],Demographics[],6,FALSE)</f>
        <v>8</v>
      </c>
      <c r="L121">
        <f>VLOOKUP(Scores[[#This Row],[MRUN]],Demographics[], 7,FALSE)</f>
        <v>9</v>
      </c>
      <c r="M121">
        <f>VLOOKUP(Scores[[#This Row],[MRUN]],Demographics[], 5, FALSE)</f>
        <v>2</v>
      </c>
    </row>
    <row r="122" spans="1:13" hidden="1" x14ac:dyDescent="0.2">
      <c r="A122" s="1">
        <v>113800</v>
      </c>
      <c r="B122">
        <v>1</v>
      </c>
      <c r="C122">
        <v>2</v>
      </c>
      <c r="D122">
        <v>476</v>
      </c>
      <c r="E122">
        <v>551</v>
      </c>
      <c r="F122">
        <v>487</v>
      </c>
      <c r="G122">
        <v>613</v>
      </c>
      <c r="H122">
        <v>0</v>
      </c>
      <c r="I122">
        <f>VLOOKUP(Scores[[#This Row],[MRUN]],Demographics[],3,FALSE)</f>
        <v>4</v>
      </c>
      <c r="J122">
        <f>AVERAGE(Scores[[#This Row],[LYC]],Scores[[#This Row],[MATE]])</f>
        <v>519</v>
      </c>
      <c r="K122">
        <f>VLOOKUP(Scores[[#This Row],[MRUN]],Demographics[],6,FALSE)</f>
        <v>5</v>
      </c>
      <c r="L122">
        <f>VLOOKUP(Scores[[#This Row],[MRUN]],Demographics[], 7,FALSE)</f>
        <v>4</v>
      </c>
      <c r="M122">
        <f>VLOOKUP(Scores[[#This Row],[MRUN]],Demographics[], 5, FALSE)</f>
        <v>2</v>
      </c>
    </row>
    <row r="123" spans="1:13" hidden="1" x14ac:dyDescent="0.2">
      <c r="A123" s="1">
        <v>9888750</v>
      </c>
      <c r="B123">
        <v>1</v>
      </c>
      <c r="C123">
        <v>4</v>
      </c>
      <c r="D123">
        <v>496</v>
      </c>
      <c r="E123">
        <v>0</v>
      </c>
      <c r="F123">
        <v>0</v>
      </c>
      <c r="G123">
        <v>0</v>
      </c>
      <c r="H123">
        <v>0</v>
      </c>
      <c r="I123">
        <f>VLOOKUP(Scores[[#This Row],[MRUN]],Demographics[],3,FALSE)</f>
        <v>5</v>
      </c>
      <c r="J123">
        <f>AVERAGE(Scores[[#This Row],[LYC]],Scores[[#This Row],[MATE]])</f>
        <v>0</v>
      </c>
      <c r="K123">
        <f>VLOOKUP(Scores[[#This Row],[MRUN]],Demographics[],6,FALSE)</f>
        <v>10</v>
      </c>
      <c r="L123">
        <f>VLOOKUP(Scores[[#This Row],[MRUN]],Demographics[], 7,FALSE)</f>
        <v>9</v>
      </c>
      <c r="M123">
        <f>VLOOKUP(Scores[[#This Row],[MRUN]],Demographics[], 5, FALSE)</f>
        <v>4</v>
      </c>
    </row>
    <row r="124" spans="1:13" hidden="1" x14ac:dyDescent="0.2">
      <c r="A124" s="1">
        <v>19501809</v>
      </c>
      <c r="B124">
        <v>2</v>
      </c>
      <c r="C124">
        <v>2</v>
      </c>
      <c r="D124">
        <v>723</v>
      </c>
      <c r="E124">
        <v>0</v>
      </c>
      <c r="F124">
        <v>0</v>
      </c>
      <c r="G124">
        <v>0</v>
      </c>
      <c r="H124">
        <v>0</v>
      </c>
      <c r="I124">
        <f>VLOOKUP(Scores[[#This Row],[MRUN]],Demographics[],3,FALSE)</f>
        <v>3</v>
      </c>
      <c r="J124">
        <f>AVERAGE(Scores[[#This Row],[LYC]],Scores[[#This Row],[MATE]])</f>
        <v>0</v>
      </c>
      <c r="K124">
        <f>VLOOKUP(Scores[[#This Row],[MRUN]],Demographics[],6,FALSE)</f>
        <v>0</v>
      </c>
      <c r="L124">
        <f>VLOOKUP(Scores[[#This Row],[MRUN]],Demographics[], 7,FALSE)</f>
        <v>9</v>
      </c>
      <c r="M124">
        <f>VLOOKUP(Scores[[#This Row],[MRUN]],Demographics[], 5, FALSE)</f>
        <v>2</v>
      </c>
    </row>
    <row r="125" spans="1:13" hidden="1" x14ac:dyDescent="0.2">
      <c r="A125" s="1">
        <v>8046346</v>
      </c>
      <c r="B125">
        <v>1</v>
      </c>
      <c r="C125">
        <v>2</v>
      </c>
      <c r="D125">
        <v>580</v>
      </c>
      <c r="E125">
        <v>624</v>
      </c>
      <c r="F125">
        <v>636</v>
      </c>
      <c r="G125">
        <v>0</v>
      </c>
      <c r="H125">
        <v>594</v>
      </c>
      <c r="I125">
        <f>VLOOKUP(Scores[[#This Row],[MRUN]],Demographics[],3,FALSE)</f>
        <v>5</v>
      </c>
      <c r="J125">
        <f>AVERAGE(Scores[[#This Row],[LYC]],Scores[[#This Row],[MATE]])</f>
        <v>630</v>
      </c>
      <c r="K125">
        <f>VLOOKUP(Scores[[#This Row],[MRUN]],Demographics[],6,FALSE)</f>
        <v>9</v>
      </c>
      <c r="L125">
        <f>VLOOKUP(Scores[[#This Row],[MRUN]],Demographics[], 7,FALSE)</f>
        <v>4</v>
      </c>
      <c r="M125">
        <f>VLOOKUP(Scores[[#This Row],[MRUN]],Demographics[], 5, FALSE)</f>
        <v>2</v>
      </c>
    </row>
    <row r="126" spans="1:13" hidden="1" x14ac:dyDescent="0.2">
      <c r="A126" s="1">
        <v>18529126</v>
      </c>
      <c r="B126">
        <v>1</v>
      </c>
      <c r="C126">
        <v>3</v>
      </c>
      <c r="D126">
        <v>541</v>
      </c>
      <c r="E126">
        <v>320</v>
      </c>
      <c r="F126">
        <v>353</v>
      </c>
      <c r="G126">
        <v>0</v>
      </c>
      <c r="H126">
        <v>223</v>
      </c>
      <c r="I126">
        <f>VLOOKUP(Scores[[#This Row],[MRUN]],Demographics[],3,FALSE)</f>
        <v>6</v>
      </c>
      <c r="J126">
        <f>AVERAGE(Scores[[#This Row],[LYC]],Scores[[#This Row],[MATE]])</f>
        <v>336.5</v>
      </c>
      <c r="K126">
        <f>VLOOKUP(Scores[[#This Row],[MRUN]],Demographics[],6,FALSE)</f>
        <v>5</v>
      </c>
      <c r="L126">
        <f>VLOOKUP(Scores[[#This Row],[MRUN]],Demographics[], 7,FALSE)</f>
        <v>4</v>
      </c>
      <c r="M126">
        <f>VLOOKUP(Scores[[#This Row],[MRUN]],Demographics[], 5, FALSE)</f>
        <v>1</v>
      </c>
    </row>
    <row r="127" spans="1:13" hidden="1" x14ac:dyDescent="0.2">
      <c r="A127" s="1">
        <v>22059075</v>
      </c>
      <c r="B127">
        <v>1</v>
      </c>
      <c r="C127">
        <v>2</v>
      </c>
      <c r="D127">
        <v>373</v>
      </c>
      <c r="E127">
        <v>476</v>
      </c>
      <c r="F127">
        <v>480</v>
      </c>
      <c r="G127">
        <v>0</v>
      </c>
      <c r="H127">
        <v>468</v>
      </c>
      <c r="I127">
        <f>VLOOKUP(Scores[[#This Row],[MRUN]],Demographics[],3,FALSE)</f>
        <v>3</v>
      </c>
      <c r="J127">
        <f>AVERAGE(Scores[[#This Row],[LYC]],Scores[[#This Row],[MATE]])</f>
        <v>478</v>
      </c>
      <c r="K127">
        <f>VLOOKUP(Scores[[#This Row],[MRUN]],Demographics[],6,FALSE)</f>
        <v>8</v>
      </c>
      <c r="L127">
        <f>VLOOKUP(Scores[[#This Row],[MRUN]],Demographics[], 7,FALSE)</f>
        <v>10</v>
      </c>
      <c r="M127">
        <f>VLOOKUP(Scores[[#This Row],[MRUN]],Demographics[], 5, FALSE)</f>
        <v>1</v>
      </c>
    </row>
    <row r="128" spans="1:13" hidden="1" x14ac:dyDescent="0.2">
      <c r="A128" s="1">
        <v>19200896</v>
      </c>
      <c r="B128">
        <v>1</v>
      </c>
      <c r="C128">
        <v>2</v>
      </c>
      <c r="D128">
        <v>458</v>
      </c>
      <c r="E128">
        <v>0</v>
      </c>
      <c r="F128">
        <v>0</v>
      </c>
      <c r="G128">
        <v>0</v>
      </c>
      <c r="H128">
        <v>0</v>
      </c>
      <c r="I128">
        <f>VLOOKUP(Scores[[#This Row],[MRUN]],Demographics[],3,FALSE)</f>
        <v>3</v>
      </c>
      <c r="J128">
        <f>AVERAGE(Scores[[#This Row],[LYC]],Scores[[#This Row],[MATE]])</f>
        <v>0</v>
      </c>
      <c r="K128">
        <f>VLOOKUP(Scores[[#This Row],[MRUN]],Demographics[],6,FALSE)</f>
        <v>5</v>
      </c>
      <c r="L128">
        <f>VLOOKUP(Scores[[#This Row],[MRUN]],Demographics[], 7,FALSE)</f>
        <v>5</v>
      </c>
      <c r="M128">
        <f>VLOOKUP(Scores[[#This Row],[MRUN]],Demographics[], 5, FALSE)</f>
        <v>1</v>
      </c>
    </row>
    <row r="129" spans="1:13" hidden="1" x14ac:dyDescent="0.2">
      <c r="A129" s="1">
        <v>24832343</v>
      </c>
      <c r="B129">
        <v>1</v>
      </c>
      <c r="C129">
        <v>3</v>
      </c>
      <c r="D129">
        <v>521</v>
      </c>
      <c r="E129">
        <v>458</v>
      </c>
      <c r="F129">
        <v>441</v>
      </c>
      <c r="G129">
        <v>512</v>
      </c>
      <c r="H129">
        <v>0</v>
      </c>
      <c r="I129">
        <f>VLOOKUP(Scores[[#This Row],[MRUN]],Demographics[],3,FALSE)</f>
        <v>5</v>
      </c>
      <c r="J129">
        <f>AVERAGE(Scores[[#This Row],[LYC]],Scores[[#This Row],[MATE]])</f>
        <v>449.5</v>
      </c>
      <c r="K129">
        <f>VLOOKUP(Scores[[#This Row],[MRUN]],Demographics[],6,FALSE)</f>
        <v>5</v>
      </c>
      <c r="L129">
        <f>VLOOKUP(Scores[[#This Row],[MRUN]],Demographics[], 7,FALSE)</f>
        <v>5</v>
      </c>
      <c r="M129">
        <f>VLOOKUP(Scores[[#This Row],[MRUN]],Demographics[], 5, FALSE)</f>
        <v>1</v>
      </c>
    </row>
    <row r="130" spans="1:13" hidden="1" x14ac:dyDescent="0.2">
      <c r="A130" s="1">
        <v>7227082</v>
      </c>
      <c r="B130">
        <v>2</v>
      </c>
      <c r="C130">
        <v>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f>VLOOKUP(Scores[[#This Row],[MRUN]],Demographics[],3,FALSE)</f>
        <v>6</v>
      </c>
      <c r="J130">
        <f>AVERAGE(Scores[[#This Row],[LYC]],Scores[[#This Row],[MATE]])</f>
        <v>0</v>
      </c>
      <c r="K130">
        <f>VLOOKUP(Scores[[#This Row],[MRUN]],Demographics[],6,FALSE)</f>
        <v>2</v>
      </c>
      <c r="L130">
        <f>VLOOKUP(Scores[[#This Row],[MRUN]],Demographics[], 7,FALSE)</f>
        <v>1</v>
      </c>
      <c r="M130">
        <f>VLOOKUP(Scores[[#This Row],[MRUN]],Demographics[], 5, FALSE)</f>
        <v>1</v>
      </c>
    </row>
    <row r="131" spans="1:13" hidden="1" x14ac:dyDescent="0.2">
      <c r="A131" s="1">
        <v>21434767</v>
      </c>
      <c r="B131">
        <v>2</v>
      </c>
      <c r="C131">
        <v>2</v>
      </c>
      <c r="D131">
        <v>393</v>
      </c>
      <c r="E131">
        <v>458</v>
      </c>
      <c r="F131">
        <v>353</v>
      </c>
      <c r="G131">
        <v>521</v>
      </c>
      <c r="H131">
        <v>0</v>
      </c>
      <c r="I131">
        <f>VLOOKUP(Scores[[#This Row],[MRUN]],Demographics[],3,FALSE)</f>
        <v>6</v>
      </c>
      <c r="J131">
        <f>AVERAGE(Scores[[#This Row],[LYC]],Scores[[#This Row],[MATE]])</f>
        <v>405.5</v>
      </c>
      <c r="K131">
        <f>VLOOKUP(Scores[[#This Row],[MRUN]],Demographics[],6,FALSE)</f>
        <v>5</v>
      </c>
      <c r="L131">
        <f>VLOOKUP(Scores[[#This Row],[MRUN]],Demographics[], 7,FALSE)</f>
        <v>4</v>
      </c>
      <c r="M131">
        <f>VLOOKUP(Scores[[#This Row],[MRUN]],Demographics[], 5, FALSE)</f>
        <v>1</v>
      </c>
    </row>
    <row r="132" spans="1:13" hidden="1" x14ac:dyDescent="0.2">
      <c r="A132" s="1">
        <v>16987198</v>
      </c>
      <c r="B132">
        <v>2</v>
      </c>
      <c r="C132">
        <v>3</v>
      </c>
      <c r="D132">
        <v>558</v>
      </c>
      <c r="E132">
        <v>576</v>
      </c>
      <c r="F132">
        <v>574</v>
      </c>
      <c r="G132">
        <v>0</v>
      </c>
      <c r="H132">
        <v>539</v>
      </c>
      <c r="I132">
        <f>VLOOKUP(Scores[[#This Row],[MRUN]],Demographics[],3,FALSE)</f>
        <v>6</v>
      </c>
      <c r="J132">
        <f>AVERAGE(Scores[[#This Row],[LYC]],Scores[[#This Row],[MATE]])</f>
        <v>575</v>
      </c>
      <c r="K132">
        <f>VLOOKUP(Scores[[#This Row],[MRUN]],Demographics[],6,FALSE)</f>
        <v>5</v>
      </c>
      <c r="L132">
        <f>VLOOKUP(Scores[[#This Row],[MRUN]],Demographics[], 7,FALSE)</f>
        <v>7</v>
      </c>
      <c r="M132">
        <f>VLOOKUP(Scores[[#This Row],[MRUN]],Demographics[], 5, FALSE)</f>
        <v>1</v>
      </c>
    </row>
    <row r="133" spans="1:13" hidden="1" x14ac:dyDescent="0.2">
      <c r="A133" s="1">
        <v>15632579</v>
      </c>
      <c r="B133">
        <v>2</v>
      </c>
      <c r="C133">
        <v>3</v>
      </c>
      <c r="D133">
        <v>641</v>
      </c>
      <c r="E133">
        <v>483</v>
      </c>
      <c r="F133">
        <v>506</v>
      </c>
      <c r="G133">
        <v>501</v>
      </c>
      <c r="H133">
        <v>0</v>
      </c>
      <c r="I133">
        <f>VLOOKUP(Scores[[#This Row],[MRUN]],Demographics[],3,FALSE)</f>
        <v>5</v>
      </c>
      <c r="J133">
        <f>AVERAGE(Scores[[#This Row],[LYC]],Scores[[#This Row],[MATE]])</f>
        <v>494.5</v>
      </c>
      <c r="K133">
        <f>VLOOKUP(Scores[[#This Row],[MRUN]],Demographics[],6,FALSE)</f>
        <v>3</v>
      </c>
      <c r="L133">
        <f>VLOOKUP(Scores[[#This Row],[MRUN]],Demographics[], 7,FALSE)</f>
        <v>2</v>
      </c>
      <c r="M133">
        <f>VLOOKUP(Scores[[#This Row],[MRUN]],Demographics[], 5, FALSE)</f>
        <v>1</v>
      </c>
    </row>
    <row r="134" spans="1:13" hidden="1" x14ac:dyDescent="0.2">
      <c r="A134" s="1">
        <v>15833735</v>
      </c>
      <c r="B134">
        <v>1</v>
      </c>
      <c r="C134">
        <v>2</v>
      </c>
      <c r="D134">
        <v>460</v>
      </c>
      <c r="E134">
        <v>0</v>
      </c>
      <c r="F134">
        <v>0</v>
      </c>
      <c r="G134">
        <v>0</v>
      </c>
      <c r="H134">
        <v>0</v>
      </c>
      <c r="I134">
        <f>VLOOKUP(Scores[[#This Row],[MRUN]],Demographics[],3,FALSE)</f>
        <v>5</v>
      </c>
      <c r="J134">
        <f>AVERAGE(Scores[[#This Row],[LYC]],Scores[[#This Row],[MATE]])</f>
        <v>0</v>
      </c>
      <c r="K134">
        <f>VLOOKUP(Scores[[#This Row],[MRUN]],Demographics[],6,FALSE)</f>
        <v>3</v>
      </c>
      <c r="L134">
        <f>VLOOKUP(Scores[[#This Row],[MRUN]],Demographics[], 7,FALSE)</f>
        <v>4</v>
      </c>
      <c r="M134">
        <f>VLOOKUP(Scores[[#This Row],[MRUN]],Demographics[], 5, FALSE)</f>
        <v>1</v>
      </c>
    </row>
    <row r="135" spans="1:13" hidden="1" x14ac:dyDescent="0.2">
      <c r="A135" s="1">
        <v>3652937</v>
      </c>
      <c r="B135">
        <v>2</v>
      </c>
      <c r="C135">
        <v>2</v>
      </c>
      <c r="D135">
        <v>496</v>
      </c>
      <c r="E135">
        <v>571</v>
      </c>
      <c r="F135">
        <v>527</v>
      </c>
      <c r="G135">
        <v>537</v>
      </c>
      <c r="H135">
        <v>459</v>
      </c>
      <c r="I135">
        <f>VLOOKUP(Scores[[#This Row],[MRUN]],Demographics[],3,FALSE)</f>
        <v>3</v>
      </c>
      <c r="J135">
        <f>AVERAGE(Scores[[#This Row],[LYC]],Scores[[#This Row],[MATE]])</f>
        <v>549</v>
      </c>
      <c r="K135">
        <f>VLOOKUP(Scores[[#This Row],[MRUN]],Demographics[],6,FALSE)</f>
        <v>7</v>
      </c>
      <c r="L135">
        <f>VLOOKUP(Scores[[#This Row],[MRUN]],Demographics[], 7,FALSE)</f>
        <v>7</v>
      </c>
      <c r="M135">
        <f>VLOOKUP(Scores[[#This Row],[MRUN]],Demographics[], 5, FALSE)</f>
        <v>1</v>
      </c>
    </row>
    <row r="136" spans="1:13" hidden="1" x14ac:dyDescent="0.2">
      <c r="A136" s="1">
        <v>17869894</v>
      </c>
      <c r="B136">
        <v>2</v>
      </c>
      <c r="C136">
        <v>2</v>
      </c>
      <c r="D136">
        <v>496</v>
      </c>
      <c r="E136">
        <v>345</v>
      </c>
      <c r="F136">
        <v>413</v>
      </c>
      <c r="G136">
        <v>388</v>
      </c>
      <c r="H136">
        <v>0</v>
      </c>
      <c r="I136">
        <f>VLOOKUP(Scores[[#This Row],[MRUN]],Demographics[],3,FALSE)</f>
        <v>4</v>
      </c>
      <c r="J136">
        <f>AVERAGE(Scores[[#This Row],[LYC]],Scores[[#This Row],[MATE]])</f>
        <v>379</v>
      </c>
      <c r="K136">
        <f>VLOOKUP(Scores[[#This Row],[MRUN]],Demographics[],6,FALSE)</f>
        <v>4</v>
      </c>
      <c r="L136">
        <f>VLOOKUP(Scores[[#This Row],[MRUN]],Demographics[], 7,FALSE)</f>
        <v>3</v>
      </c>
      <c r="M136">
        <f>VLOOKUP(Scores[[#This Row],[MRUN]],Demographics[], 5, FALSE)</f>
        <v>1</v>
      </c>
    </row>
    <row r="137" spans="1:13" hidden="1" x14ac:dyDescent="0.2">
      <c r="A137" s="1">
        <v>15215327</v>
      </c>
      <c r="B137">
        <v>2</v>
      </c>
      <c r="C137">
        <v>2</v>
      </c>
      <c r="D137">
        <v>478</v>
      </c>
      <c r="E137">
        <v>561</v>
      </c>
      <c r="F137">
        <v>441</v>
      </c>
      <c r="G137">
        <v>586</v>
      </c>
      <c r="H137">
        <v>0</v>
      </c>
      <c r="I137">
        <f>VLOOKUP(Scores[[#This Row],[MRUN]],Demographics[],3,FALSE)</f>
        <v>3</v>
      </c>
      <c r="J137">
        <f>AVERAGE(Scores[[#This Row],[LYC]],Scores[[#This Row],[MATE]])</f>
        <v>501</v>
      </c>
      <c r="K137">
        <f>VLOOKUP(Scores[[#This Row],[MRUN]],Demographics[],6,FALSE)</f>
        <v>7</v>
      </c>
      <c r="L137">
        <f>VLOOKUP(Scores[[#This Row],[MRUN]],Demographics[], 7,FALSE)</f>
        <v>3</v>
      </c>
      <c r="M137">
        <f>VLOOKUP(Scores[[#This Row],[MRUN]],Demographics[], 5, FALSE)</f>
        <v>1</v>
      </c>
    </row>
    <row r="138" spans="1:13" hidden="1" x14ac:dyDescent="0.2">
      <c r="A138" s="1">
        <v>6513067</v>
      </c>
      <c r="B138">
        <v>1</v>
      </c>
      <c r="C138">
        <v>2</v>
      </c>
      <c r="D138">
        <v>376</v>
      </c>
      <c r="E138">
        <v>526</v>
      </c>
      <c r="F138">
        <v>506</v>
      </c>
      <c r="G138">
        <v>501</v>
      </c>
      <c r="H138">
        <v>0</v>
      </c>
      <c r="I138">
        <f>VLOOKUP(Scores[[#This Row],[MRUN]],Demographics[],3,FALSE)</f>
        <v>5</v>
      </c>
      <c r="J138">
        <f>AVERAGE(Scores[[#This Row],[LYC]],Scores[[#This Row],[MATE]])</f>
        <v>516</v>
      </c>
      <c r="K138">
        <f>VLOOKUP(Scores[[#This Row],[MRUN]],Demographics[],6,FALSE)</f>
        <v>3</v>
      </c>
      <c r="L138">
        <f>VLOOKUP(Scores[[#This Row],[MRUN]],Demographics[], 7,FALSE)</f>
        <v>3</v>
      </c>
      <c r="M138">
        <f>VLOOKUP(Scores[[#This Row],[MRUN]],Demographics[], 5, FALSE)</f>
        <v>1</v>
      </c>
    </row>
    <row r="139" spans="1:13" hidden="1" x14ac:dyDescent="0.2">
      <c r="A139" s="1">
        <v>7494989</v>
      </c>
      <c r="B139">
        <v>2</v>
      </c>
      <c r="C139">
        <v>2</v>
      </c>
      <c r="D139">
        <v>521</v>
      </c>
      <c r="E139">
        <v>541</v>
      </c>
      <c r="F139">
        <v>428</v>
      </c>
      <c r="G139">
        <v>541</v>
      </c>
      <c r="H139">
        <v>0</v>
      </c>
      <c r="I139">
        <f>VLOOKUP(Scores[[#This Row],[MRUN]],Demographics[],3,FALSE)</f>
        <v>0</v>
      </c>
      <c r="J139">
        <f>AVERAGE(Scores[[#This Row],[LYC]],Scores[[#This Row],[MATE]])</f>
        <v>484.5</v>
      </c>
      <c r="K139">
        <f>VLOOKUP(Scores[[#This Row],[MRUN]],Demographics[],6,FALSE)</f>
        <v>0</v>
      </c>
      <c r="L139">
        <f>VLOOKUP(Scores[[#This Row],[MRUN]],Demographics[], 7,FALSE)</f>
        <v>0</v>
      </c>
      <c r="M139">
        <f>VLOOKUP(Scores[[#This Row],[MRUN]],Demographics[], 5, FALSE)</f>
        <v>1</v>
      </c>
    </row>
    <row r="140" spans="1:13" hidden="1" x14ac:dyDescent="0.2">
      <c r="A140" s="1">
        <v>6759394</v>
      </c>
      <c r="B140">
        <v>1</v>
      </c>
      <c r="C140">
        <v>2</v>
      </c>
      <c r="D140">
        <v>558</v>
      </c>
      <c r="E140">
        <v>561</v>
      </c>
      <c r="F140">
        <v>631</v>
      </c>
      <c r="G140">
        <v>0</v>
      </c>
      <c r="H140">
        <v>504</v>
      </c>
      <c r="I140">
        <f>VLOOKUP(Scores[[#This Row],[MRUN]],Demographics[],3,FALSE)</f>
        <v>1</v>
      </c>
      <c r="J140">
        <f>AVERAGE(Scores[[#This Row],[LYC]],Scores[[#This Row],[MATE]])</f>
        <v>596</v>
      </c>
      <c r="K140">
        <f>VLOOKUP(Scores[[#This Row],[MRUN]],Demographics[],6,FALSE)</f>
        <v>0</v>
      </c>
      <c r="L140">
        <f>VLOOKUP(Scores[[#This Row],[MRUN]],Demographics[], 7,FALSE)</f>
        <v>2</v>
      </c>
      <c r="M140">
        <f>VLOOKUP(Scores[[#This Row],[MRUN]],Demographics[], 5, FALSE)</f>
        <v>1</v>
      </c>
    </row>
    <row r="141" spans="1:13" hidden="1" x14ac:dyDescent="0.2">
      <c r="A141" s="1">
        <v>22809216</v>
      </c>
      <c r="B141">
        <v>2</v>
      </c>
      <c r="C141">
        <v>3</v>
      </c>
      <c r="D141">
        <v>476</v>
      </c>
      <c r="E141">
        <v>422</v>
      </c>
      <c r="F141">
        <v>452</v>
      </c>
      <c r="G141">
        <v>466</v>
      </c>
      <c r="H141">
        <v>483</v>
      </c>
      <c r="I141">
        <f>VLOOKUP(Scores[[#This Row],[MRUN]],Demographics[],3,FALSE)</f>
        <v>4</v>
      </c>
      <c r="J141">
        <f>AVERAGE(Scores[[#This Row],[LYC]],Scores[[#This Row],[MATE]])</f>
        <v>437</v>
      </c>
      <c r="K141">
        <f>VLOOKUP(Scores[[#This Row],[MRUN]],Demographics[],6,FALSE)</f>
        <v>4</v>
      </c>
      <c r="L141">
        <f>VLOOKUP(Scores[[#This Row],[MRUN]],Demographics[], 7,FALSE)</f>
        <v>5</v>
      </c>
      <c r="M141">
        <f>VLOOKUP(Scores[[#This Row],[MRUN]],Demographics[], 5, FALSE)</f>
        <v>1</v>
      </c>
    </row>
    <row r="142" spans="1:13" hidden="1" x14ac:dyDescent="0.2">
      <c r="A142" s="1">
        <v>13729791</v>
      </c>
      <c r="B142">
        <v>1</v>
      </c>
      <c r="C142">
        <v>2</v>
      </c>
      <c r="D142">
        <v>437</v>
      </c>
      <c r="E142">
        <v>397</v>
      </c>
      <c r="F142">
        <v>472</v>
      </c>
      <c r="G142">
        <v>406</v>
      </c>
      <c r="H142">
        <v>0</v>
      </c>
      <c r="I142">
        <f>VLOOKUP(Scores[[#This Row],[MRUN]],Demographics[],3,FALSE)</f>
        <v>6</v>
      </c>
      <c r="J142">
        <f>AVERAGE(Scores[[#This Row],[LYC]],Scores[[#This Row],[MATE]])</f>
        <v>434.5</v>
      </c>
      <c r="K142">
        <f>VLOOKUP(Scores[[#This Row],[MRUN]],Demographics[],6,FALSE)</f>
        <v>2</v>
      </c>
      <c r="L142">
        <f>VLOOKUP(Scores[[#This Row],[MRUN]],Demographics[], 7,FALSE)</f>
        <v>2</v>
      </c>
      <c r="M142">
        <f>VLOOKUP(Scores[[#This Row],[MRUN]],Demographics[], 5, FALSE)</f>
        <v>2</v>
      </c>
    </row>
    <row r="143" spans="1:13" hidden="1" x14ac:dyDescent="0.2">
      <c r="A143" s="1">
        <v>15344500</v>
      </c>
      <c r="B143">
        <v>1</v>
      </c>
      <c r="C143">
        <v>2</v>
      </c>
      <c r="D143">
        <v>579</v>
      </c>
      <c r="E143">
        <v>526</v>
      </c>
      <c r="F143">
        <v>536</v>
      </c>
      <c r="G143">
        <v>613</v>
      </c>
      <c r="H143">
        <v>0</v>
      </c>
      <c r="I143">
        <f>VLOOKUP(Scores[[#This Row],[MRUN]],Demographics[],3,FALSE)</f>
        <v>4</v>
      </c>
      <c r="J143">
        <f>AVERAGE(Scores[[#This Row],[LYC]],Scores[[#This Row],[MATE]])</f>
        <v>531</v>
      </c>
      <c r="K143">
        <f>VLOOKUP(Scores[[#This Row],[MRUN]],Demographics[],6,FALSE)</f>
        <v>5</v>
      </c>
      <c r="L143">
        <f>VLOOKUP(Scores[[#This Row],[MRUN]],Demographics[], 7,FALSE)</f>
        <v>5</v>
      </c>
      <c r="M143">
        <f>VLOOKUP(Scores[[#This Row],[MRUN]],Demographics[], 5, FALSE)</f>
        <v>1</v>
      </c>
    </row>
    <row r="144" spans="1:13" hidden="1" x14ac:dyDescent="0.2">
      <c r="A144" s="1">
        <v>22369018</v>
      </c>
      <c r="B144">
        <v>2</v>
      </c>
      <c r="C144">
        <v>3</v>
      </c>
      <c r="D144">
        <v>499</v>
      </c>
      <c r="E144">
        <v>521</v>
      </c>
      <c r="F144">
        <v>523</v>
      </c>
      <c r="G144">
        <v>461</v>
      </c>
      <c r="H144">
        <v>0</v>
      </c>
      <c r="I144">
        <f>VLOOKUP(Scores[[#This Row],[MRUN]],Demographics[],3,FALSE)</f>
        <v>5</v>
      </c>
      <c r="J144">
        <f>AVERAGE(Scores[[#This Row],[LYC]],Scores[[#This Row],[MATE]])</f>
        <v>522</v>
      </c>
      <c r="K144">
        <f>VLOOKUP(Scores[[#This Row],[MRUN]],Demographics[],6,FALSE)</f>
        <v>2</v>
      </c>
      <c r="L144">
        <f>VLOOKUP(Scores[[#This Row],[MRUN]],Demographics[], 7,FALSE)</f>
        <v>3</v>
      </c>
      <c r="M144">
        <f>VLOOKUP(Scores[[#This Row],[MRUN]],Demographics[], 5, FALSE)</f>
        <v>1</v>
      </c>
    </row>
    <row r="145" spans="1:13" hidden="1" x14ac:dyDescent="0.2">
      <c r="A145" s="1">
        <v>2543888</v>
      </c>
      <c r="B145">
        <v>2</v>
      </c>
      <c r="C145">
        <v>3</v>
      </c>
      <c r="D145">
        <v>496</v>
      </c>
      <c r="E145">
        <v>561</v>
      </c>
      <c r="F145">
        <v>487</v>
      </c>
      <c r="G145">
        <v>0</v>
      </c>
      <c r="H145">
        <v>516</v>
      </c>
      <c r="I145">
        <f>VLOOKUP(Scores[[#This Row],[MRUN]],Demographics[],3,FALSE)</f>
        <v>4</v>
      </c>
      <c r="J145">
        <f>AVERAGE(Scores[[#This Row],[LYC]],Scores[[#This Row],[MATE]])</f>
        <v>524</v>
      </c>
      <c r="K145">
        <f>VLOOKUP(Scores[[#This Row],[MRUN]],Demographics[],6,FALSE)</f>
        <v>5</v>
      </c>
      <c r="L145">
        <f>VLOOKUP(Scores[[#This Row],[MRUN]],Demographics[], 7,FALSE)</f>
        <v>5</v>
      </c>
      <c r="M145">
        <f>VLOOKUP(Scores[[#This Row],[MRUN]],Demographics[], 5, FALSE)</f>
        <v>1</v>
      </c>
    </row>
    <row r="146" spans="1:13" hidden="1" x14ac:dyDescent="0.2">
      <c r="A146" s="1">
        <v>14883448</v>
      </c>
      <c r="B146">
        <v>2</v>
      </c>
      <c r="C146">
        <v>2</v>
      </c>
      <c r="D146">
        <v>541</v>
      </c>
      <c r="E146">
        <v>488</v>
      </c>
      <c r="F146">
        <v>353</v>
      </c>
      <c r="G146">
        <v>406</v>
      </c>
      <c r="H146">
        <v>0</v>
      </c>
      <c r="I146">
        <f>VLOOKUP(Scores[[#This Row],[MRUN]],Demographics[],3,FALSE)</f>
        <v>8</v>
      </c>
      <c r="J146">
        <f>AVERAGE(Scores[[#This Row],[LYC]],Scores[[#This Row],[MATE]])</f>
        <v>420.5</v>
      </c>
      <c r="K146">
        <f>VLOOKUP(Scores[[#This Row],[MRUN]],Demographics[],6,FALSE)</f>
        <v>5</v>
      </c>
      <c r="L146">
        <f>VLOOKUP(Scores[[#This Row],[MRUN]],Demographics[], 7,FALSE)</f>
        <v>4</v>
      </c>
      <c r="M146">
        <f>VLOOKUP(Scores[[#This Row],[MRUN]],Demographics[], 5, FALSE)</f>
        <v>1</v>
      </c>
    </row>
    <row r="147" spans="1:13" hidden="1" x14ac:dyDescent="0.2">
      <c r="A147" s="1">
        <v>5372237</v>
      </c>
      <c r="B147">
        <v>1</v>
      </c>
      <c r="C147">
        <v>3</v>
      </c>
      <c r="D147">
        <v>496</v>
      </c>
      <c r="E147">
        <v>727</v>
      </c>
      <c r="F147">
        <v>640</v>
      </c>
      <c r="G147">
        <v>724</v>
      </c>
      <c r="H147">
        <v>0</v>
      </c>
      <c r="I147">
        <f>VLOOKUP(Scores[[#This Row],[MRUN]],Demographics[],3,FALSE)</f>
        <v>4</v>
      </c>
      <c r="J147">
        <f>AVERAGE(Scores[[#This Row],[LYC]],Scores[[#This Row],[MATE]])</f>
        <v>683.5</v>
      </c>
      <c r="K147">
        <f>VLOOKUP(Scores[[#This Row],[MRUN]],Demographics[],6,FALSE)</f>
        <v>9</v>
      </c>
      <c r="L147">
        <f>VLOOKUP(Scores[[#This Row],[MRUN]],Demographics[], 7,FALSE)</f>
        <v>5</v>
      </c>
      <c r="M147">
        <f>VLOOKUP(Scores[[#This Row],[MRUN]],Demographics[], 5, FALSE)</f>
        <v>2</v>
      </c>
    </row>
    <row r="148" spans="1:13" hidden="1" x14ac:dyDescent="0.2">
      <c r="A148" s="1">
        <v>7940938</v>
      </c>
      <c r="B148">
        <v>1</v>
      </c>
      <c r="C148">
        <v>4</v>
      </c>
      <c r="D148">
        <v>496</v>
      </c>
      <c r="E148">
        <v>0</v>
      </c>
      <c r="F148">
        <v>0</v>
      </c>
      <c r="G148">
        <v>0</v>
      </c>
      <c r="H148">
        <v>0</v>
      </c>
      <c r="I148">
        <f>VLOOKUP(Scores[[#This Row],[MRUN]],Demographics[],3,FALSE)</f>
        <v>6</v>
      </c>
      <c r="J148">
        <f>AVERAGE(Scores[[#This Row],[LYC]],Scores[[#This Row],[MATE]])</f>
        <v>0</v>
      </c>
      <c r="K148">
        <f>VLOOKUP(Scores[[#This Row],[MRUN]],Demographics[],6,FALSE)</f>
        <v>9</v>
      </c>
      <c r="L148">
        <f>VLOOKUP(Scores[[#This Row],[MRUN]],Demographics[], 7,FALSE)</f>
        <v>5</v>
      </c>
      <c r="M148">
        <f>VLOOKUP(Scores[[#This Row],[MRUN]],Demographics[], 5, FALSE)</f>
        <v>6</v>
      </c>
    </row>
    <row r="149" spans="1:13" hidden="1" x14ac:dyDescent="0.2">
      <c r="A149" s="1">
        <v>10304598</v>
      </c>
      <c r="B149">
        <v>2</v>
      </c>
      <c r="C149">
        <v>2</v>
      </c>
      <c r="D149">
        <v>539</v>
      </c>
      <c r="E149">
        <v>613</v>
      </c>
      <c r="F149">
        <v>536</v>
      </c>
      <c r="G149">
        <v>699</v>
      </c>
      <c r="H149">
        <v>0</v>
      </c>
      <c r="I149">
        <f>VLOOKUP(Scores[[#This Row],[MRUN]],Demographics[],3,FALSE)</f>
        <v>3</v>
      </c>
      <c r="J149">
        <f>AVERAGE(Scores[[#This Row],[LYC]],Scores[[#This Row],[MATE]])</f>
        <v>574.5</v>
      </c>
      <c r="K149">
        <f>VLOOKUP(Scores[[#This Row],[MRUN]],Demographics[],6,FALSE)</f>
        <v>0</v>
      </c>
      <c r="L149">
        <f>VLOOKUP(Scores[[#This Row],[MRUN]],Demographics[], 7,FALSE)</f>
        <v>3</v>
      </c>
      <c r="M149">
        <f>VLOOKUP(Scores[[#This Row],[MRUN]],Demographics[], 5, FALSE)</f>
        <v>1</v>
      </c>
    </row>
    <row r="150" spans="1:13" hidden="1" x14ac:dyDescent="0.2">
      <c r="A150" s="1">
        <v>15908255</v>
      </c>
      <c r="B150">
        <v>1</v>
      </c>
      <c r="C150">
        <v>2</v>
      </c>
      <c r="D150">
        <v>478</v>
      </c>
      <c r="E150">
        <v>516</v>
      </c>
      <c r="F150">
        <v>395</v>
      </c>
      <c r="G150">
        <v>552</v>
      </c>
      <c r="H150">
        <v>428</v>
      </c>
      <c r="I150">
        <f>VLOOKUP(Scores[[#This Row],[MRUN]],Demographics[],3,FALSE)</f>
        <v>4</v>
      </c>
      <c r="J150">
        <f>AVERAGE(Scores[[#This Row],[LYC]],Scores[[#This Row],[MATE]])</f>
        <v>455.5</v>
      </c>
      <c r="K150">
        <f>VLOOKUP(Scores[[#This Row],[MRUN]],Demographics[],6,FALSE)</f>
        <v>2</v>
      </c>
      <c r="L150">
        <f>VLOOKUP(Scores[[#This Row],[MRUN]],Demographics[], 7,FALSE)</f>
        <v>4</v>
      </c>
      <c r="M150">
        <f>VLOOKUP(Scores[[#This Row],[MRUN]],Demographics[], 5, FALSE)</f>
        <v>1</v>
      </c>
    </row>
    <row r="151" spans="1:13" hidden="1" x14ac:dyDescent="0.2">
      <c r="A151" s="1">
        <v>9238949</v>
      </c>
      <c r="B151">
        <v>2</v>
      </c>
      <c r="C151">
        <v>2</v>
      </c>
      <c r="D151">
        <v>580</v>
      </c>
      <c r="E151">
        <v>476</v>
      </c>
      <c r="F151">
        <v>480</v>
      </c>
      <c r="G151">
        <v>421</v>
      </c>
      <c r="H151">
        <v>0</v>
      </c>
      <c r="I151">
        <f>VLOOKUP(Scores[[#This Row],[MRUN]],Demographics[],3,FALSE)</f>
        <v>2</v>
      </c>
      <c r="J151">
        <f>AVERAGE(Scores[[#This Row],[LYC]],Scores[[#This Row],[MATE]])</f>
        <v>478</v>
      </c>
      <c r="K151">
        <f>VLOOKUP(Scores[[#This Row],[MRUN]],Demographics[],6,FALSE)</f>
        <v>7</v>
      </c>
      <c r="L151">
        <f>VLOOKUP(Scores[[#This Row],[MRUN]],Demographics[], 7,FALSE)</f>
        <v>9</v>
      </c>
      <c r="M151">
        <f>VLOOKUP(Scores[[#This Row],[MRUN]],Demographics[], 5, FALSE)</f>
        <v>1</v>
      </c>
    </row>
    <row r="152" spans="1:13" hidden="1" x14ac:dyDescent="0.2">
      <c r="A152" s="1">
        <v>8488131</v>
      </c>
      <c r="B152">
        <v>1</v>
      </c>
      <c r="C152">
        <v>2</v>
      </c>
      <c r="D152">
        <v>393</v>
      </c>
      <c r="E152">
        <v>430</v>
      </c>
      <c r="F152">
        <v>395</v>
      </c>
      <c r="G152">
        <v>436</v>
      </c>
      <c r="H152">
        <v>0</v>
      </c>
      <c r="I152">
        <f>VLOOKUP(Scores[[#This Row],[MRUN]],Demographics[],3,FALSE)</f>
        <v>4</v>
      </c>
      <c r="J152">
        <f>AVERAGE(Scores[[#This Row],[LYC]],Scores[[#This Row],[MATE]])</f>
        <v>412.5</v>
      </c>
      <c r="K152">
        <f>VLOOKUP(Scores[[#This Row],[MRUN]],Demographics[],6,FALSE)</f>
        <v>3</v>
      </c>
      <c r="L152">
        <f>VLOOKUP(Scores[[#This Row],[MRUN]],Demographics[], 7,FALSE)</f>
        <v>3</v>
      </c>
      <c r="M152">
        <f>VLOOKUP(Scores[[#This Row],[MRUN]],Demographics[], 5, FALSE)</f>
        <v>3</v>
      </c>
    </row>
    <row r="153" spans="1:13" hidden="1" x14ac:dyDescent="0.2">
      <c r="A153" s="1">
        <v>8482121</v>
      </c>
      <c r="B153">
        <v>1</v>
      </c>
      <c r="C153">
        <v>3</v>
      </c>
      <c r="D153">
        <v>521</v>
      </c>
      <c r="E153">
        <v>422</v>
      </c>
      <c r="F153">
        <v>487</v>
      </c>
      <c r="G153">
        <v>0</v>
      </c>
      <c r="H153">
        <v>0</v>
      </c>
      <c r="I153">
        <f>VLOOKUP(Scores[[#This Row],[MRUN]],Demographics[],3,FALSE)</f>
        <v>6</v>
      </c>
      <c r="J153">
        <f>AVERAGE(Scores[[#This Row],[LYC]],Scores[[#This Row],[MATE]])</f>
        <v>454.5</v>
      </c>
      <c r="K153">
        <f>VLOOKUP(Scores[[#This Row],[MRUN]],Demographics[],6,FALSE)</f>
        <v>5</v>
      </c>
      <c r="L153">
        <f>VLOOKUP(Scores[[#This Row],[MRUN]],Demographics[], 7,FALSE)</f>
        <v>5</v>
      </c>
      <c r="M153">
        <f>VLOOKUP(Scores[[#This Row],[MRUN]],Demographics[], 5, FALSE)</f>
        <v>2</v>
      </c>
    </row>
    <row r="154" spans="1:13" hidden="1" x14ac:dyDescent="0.2">
      <c r="A154" s="1">
        <v>13907007</v>
      </c>
      <c r="B154">
        <v>2</v>
      </c>
      <c r="C154">
        <v>3</v>
      </c>
      <c r="D154">
        <v>621</v>
      </c>
      <c r="E154">
        <v>551</v>
      </c>
      <c r="F154">
        <v>487</v>
      </c>
      <c r="G154">
        <v>0</v>
      </c>
      <c r="H154">
        <v>549</v>
      </c>
      <c r="I154">
        <f>VLOOKUP(Scores[[#This Row],[MRUN]],Demographics[],3,FALSE)</f>
        <v>4</v>
      </c>
      <c r="J154">
        <f>AVERAGE(Scores[[#This Row],[LYC]],Scores[[#This Row],[MATE]])</f>
        <v>519</v>
      </c>
      <c r="K154">
        <f>VLOOKUP(Scores[[#This Row],[MRUN]],Demographics[],6,FALSE)</f>
        <v>2</v>
      </c>
      <c r="L154">
        <f>VLOOKUP(Scores[[#This Row],[MRUN]],Demographics[], 7,FALSE)</f>
        <v>2</v>
      </c>
      <c r="M154">
        <f>VLOOKUP(Scores[[#This Row],[MRUN]],Demographics[], 5, FALSE)</f>
        <v>1</v>
      </c>
    </row>
    <row r="155" spans="1:13" hidden="1" x14ac:dyDescent="0.2">
      <c r="A155" s="1">
        <v>23043294</v>
      </c>
      <c r="B155">
        <v>2</v>
      </c>
      <c r="C155">
        <v>3</v>
      </c>
      <c r="D155">
        <v>580</v>
      </c>
      <c r="E155">
        <v>567</v>
      </c>
      <c r="F155">
        <v>463</v>
      </c>
      <c r="G155">
        <v>537</v>
      </c>
      <c r="H155">
        <v>0</v>
      </c>
      <c r="I155">
        <f>VLOOKUP(Scores[[#This Row],[MRUN]],Demographics[],3,FALSE)</f>
        <v>4</v>
      </c>
      <c r="J155">
        <f>AVERAGE(Scores[[#This Row],[LYC]],Scores[[#This Row],[MATE]])</f>
        <v>515</v>
      </c>
      <c r="K155">
        <f>VLOOKUP(Scores[[#This Row],[MRUN]],Demographics[],6,FALSE)</f>
        <v>3</v>
      </c>
      <c r="L155">
        <f>VLOOKUP(Scores[[#This Row],[MRUN]],Demographics[], 7,FALSE)</f>
        <v>3</v>
      </c>
      <c r="M155">
        <f>VLOOKUP(Scores[[#This Row],[MRUN]],Demographics[], 5, FALSE)</f>
        <v>1</v>
      </c>
    </row>
    <row r="156" spans="1:13" hidden="1" x14ac:dyDescent="0.2">
      <c r="A156" s="1">
        <v>2850425</v>
      </c>
      <c r="B156">
        <v>1</v>
      </c>
      <c r="C156">
        <v>2</v>
      </c>
      <c r="D156">
        <v>519</v>
      </c>
      <c r="E156">
        <v>586</v>
      </c>
      <c r="F156">
        <v>552</v>
      </c>
      <c r="G156">
        <v>613</v>
      </c>
      <c r="H156">
        <v>543</v>
      </c>
      <c r="I156">
        <f>VLOOKUP(Scores[[#This Row],[MRUN]],Demographics[],3,FALSE)</f>
        <v>3</v>
      </c>
      <c r="J156">
        <f>AVERAGE(Scores[[#This Row],[LYC]],Scores[[#This Row],[MATE]])</f>
        <v>569</v>
      </c>
      <c r="K156">
        <f>VLOOKUP(Scores[[#This Row],[MRUN]],Demographics[],6,FALSE)</f>
        <v>3</v>
      </c>
      <c r="L156">
        <f>VLOOKUP(Scores[[#This Row],[MRUN]],Demographics[], 7,FALSE)</f>
        <v>4</v>
      </c>
      <c r="M156">
        <f>VLOOKUP(Scores[[#This Row],[MRUN]],Demographics[], 5, FALSE)</f>
        <v>2</v>
      </c>
    </row>
    <row r="157" spans="1:13" hidden="1" x14ac:dyDescent="0.2">
      <c r="A157" s="1">
        <v>12580130</v>
      </c>
      <c r="B157">
        <v>2</v>
      </c>
      <c r="C157">
        <v>3</v>
      </c>
      <c r="D157">
        <v>359</v>
      </c>
      <c r="E157">
        <v>499</v>
      </c>
      <c r="F157">
        <v>413</v>
      </c>
      <c r="G157">
        <v>0</v>
      </c>
      <c r="H157">
        <v>417</v>
      </c>
      <c r="I157">
        <f>VLOOKUP(Scores[[#This Row],[MRUN]],Demographics[],3,FALSE)</f>
        <v>5</v>
      </c>
      <c r="J157">
        <f>AVERAGE(Scores[[#This Row],[LYC]],Scores[[#This Row],[MATE]])</f>
        <v>456</v>
      </c>
      <c r="K157">
        <f>VLOOKUP(Scores[[#This Row],[MRUN]],Demographics[],6,FALSE)</f>
        <v>9</v>
      </c>
      <c r="L157">
        <f>VLOOKUP(Scores[[#This Row],[MRUN]],Demographics[], 7,FALSE)</f>
        <v>9</v>
      </c>
      <c r="M157">
        <f>VLOOKUP(Scores[[#This Row],[MRUN]],Demographics[], 5, FALSE)</f>
        <v>2</v>
      </c>
    </row>
    <row r="158" spans="1:13" hidden="1" x14ac:dyDescent="0.2">
      <c r="A158" s="1">
        <v>14716081</v>
      </c>
      <c r="B158">
        <v>2</v>
      </c>
      <c r="C158">
        <v>4</v>
      </c>
      <c r="D158">
        <v>620</v>
      </c>
      <c r="E158">
        <v>0</v>
      </c>
      <c r="F158">
        <v>0</v>
      </c>
      <c r="G158">
        <v>0</v>
      </c>
      <c r="H158">
        <v>0</v>
      </c>
      <c r="I158">
        <f>VLOOKUP(Scores[[#This Row],[MRUN]],Demographics[],3,FALSE)</f>
        <v>3</v>
      </c>
      <c r="J158">
        <f>AVERAGE(Scores[[#This Row],[LYC]],Scores[[#This Row],[MATE]])</f>
        <v>0</v>
      </c>
      <c r="K158">
        <f>VLOOKUP(Scores[[#This Row],[MRUN]],Demographics[],6,FALSE)</f>
        <v>9</v>
      </c>
      <c r="L158">
        <f>VLOOKUP(Scores[[#This Row],[MRUN]],Demographics[], 7,FALSE)</f>
        <v>9</v>
      </c>
      <c r="M158">
        <f>VLOOKUP(Scores[[#This Row],[MRUN]],Demographics[], 5, FALSE)</f>
        <v>1</v>
      </c>
    </row>
    <row r="159" spans="1:13" hidden="1" x14ac:dyDescent="0.2">
      <c r="A159" s="1">
        <v>23405829</v>
      </c>
      <c r="B159">
        <v>1</v>
      </c>
      <c r="C159">
        <v>4</v>
      </c>
      <c r="D159">
        <v>517</v>
      </c>
      <c r="E159">
        <v>541</v>
      </c>
      <c r="F159">
        <v>0</v>
      </c>
      <c r="G159">
        <v>0</v>
      </c>
      <c r="H159">
        <v>0</v>
      </c>
      <c r="I159">
        <f>VLOOKUP(Scores[[#This Row],[MRUN]],Demographics[],3,FALSE)</f>
        <v>4</v>
      </c>
      <c r="J159">
        <f>AVERAGE(Scores[[#This Row],[LYC]],Scores[[#This Row],[MATE]])</f>
        <v>270.5</v>
      </c>
      <c r="K159">
        <f>VLOOKUP(Scores[[#This Row],[MRUN]],Demographics[],6,FALSE)</f>
        <v>8</v>
      </c>
      <c r="L159">
        <f>VLOOKUP(Scores[[#This Row],[MRUN]],Demographics[], 7,FALSE)</f>
        <v>9</v>
      </c>
      <c r="M159">
        <f>VLOOKUP(Scores[[#This Row],[MRUN]],Demographics[], 5, FALSE)</f>
        <v>5</v>
      </c>
    </row>
    <row r="160" spans="1:13" hidden="1" x14ac:dyDescent="0.2">
      <c r="A160" s="1">
        <v>21371049</v>
      </c>
      <c r="B160">
        <v>1</v>
      </c>
      <c r="C160">
        <v>4</v>
      </c>
      <c r="D160">
        <v>455</v>
      </c>
      <c r="E160">
        <v>636</v>
      </c>
      <c r="F160">
        <v>686</v>
      </c>
      <c r="G160">
        <v>646</v>
      </c>
      <c r="H160">
        <v>682</v>
      </c>
      <c r="I160">
        <f>VLOOKUP(Scores[[#This Row],[MRUN]],Demographics[],3,FALSE)</f>
        <v>5</v>
      </c>
      <c r="J160">
        <f>AVERAGE(Scores[[#This Row],[LYC]],Scores[[#This Row],[MATE]])</f>
        <v>661</v>
      </c>
      <c r="K160">
        <f>VLOOKUP(Scores[[#This Row],[MRUN]],Demographics[],6,FALSE)</f>
        <v>5</v>
      </c>
      <c r="L160">
        <f>VLOOKUP(Scores[[#This Row],[MRUN]],Demographics[], 7,FALSE)</f>
        <v>9</v>
      </c>
      <c r="M160">
        <f>VLOOKUP(Scores[[#This Row],[MRUN]],Demographics[], 5, FALSE)</f>
        <v>3</v>
      </c>
    </row>
    <row r="161" spans="1:13" hidden="1" x14ac:dyDescent="0.2">
      <c r="A161" s="1">
        <v>20735790</v>
      </c>
      <c r="B161">
        <v>1</v>
      </c>
      <c r="C161">
        <v>2</v>
      </c>
      <c r="D161">
        <v>496</v>
      </c>
      <c r="E161">
        <v>547</v>
      </c>
      <c r="F161">
        <v>501</v>
      </c>
      <c r="G161">
        <v>572</v>
      </c>
      <c r="H161">
        <v>0</v>
      </c>
      <c r="I161">
        <f>VLOOKUP(Scores[[#This Row],[MRUN]],Demographics[],3,FALSE)</f>
        <v>5</v>
      </c>
      <c r="J161">
        <f>AVERAGE(Scores[[#This Row],[LYC]],Scores[[#This Row],[MATE]])</f>
        <v>524</v>
      </c>
      <c r="K161">
        <f>VLOOKUP(Scores[[#This Row],[MRUN]],Demographics[],6,FALSE)</f>
        <v>5</v>
      </c>
      <c r="L161">
        <f>VLOOKUP(Scores[[#This Row],[MRUN]],Demographics[], 7,FALSE)</f>
        <v>5</v>
      </c>
      <c r="M161">
        <f>VLOOKUP(Scores[[#This Row],[MRUN]],Demographics[], 5, FALSE)</f>
        <v>1</v>
      </c>
    </row>
    <row r="162" spans="1:13" hidden="1" x14ac:dyDescent="0.2">
      <c r="A162" s="1">
        <v>5248480</v>
      </c>
      <c r="B162">
        <v>2</v>
      </c>
      <c r="C162">
        <v>3</v>
      </c>
      <c r="D162">
        <v>621</v>
      </c>
      <c r="E162">
        <v>406</v>
      </c>
      <c r="F162">
        <v>441</v>
      </c>
      <c r="G162">
        <v>0</v>
      </c>
      <c r="H162">
        <v>326</v>
      </c>
      <c r="I162">
        <f>VLOOKUP(Scores[[#This Row],[MRUN]],Demographics[],3,FALSE)</f>
        <v>0</v>
      </c>
      <c r="J162">
        <f>AVERAGE(Scores[[#This Row],[LYC]],Scores[[#This Row],[MATE]])</f>
        <v>423.5</v>
      </c>
      <c r="K162">
        <f>VLOOKUP(Scores[[#This Row],[MRUN]],Demographics[],6,FALSE)</f>
        <v>0</v>
      </c>
      <c r="L162">
        <f>VLOOKUP(Scores[[#This Row],[MRUN]],Demographics[], 7,FALSE)</f>
        <v>0</v>
      </c>
      <c r="M162">
        <f>VLOOKUP(Scores[[#This Row],[MRUN]],Demographics[], 5, FALSE)</f>
        <v>1</v>
      </c>
    </row>
    <row r="163" spans="1:13" hidden="1" x14ac:dyDescent="0.2">
      <c r="A163" s="1">
        <v>1711896</v>
      </c>
      <c r="B163">
        <v>2</v>
      </c>
      <c r="C163">
        <v>3</v>
      </c>
      <c r="D163">
        <v>538</v>
      </c>
      <c r="E163">
        <v>571</v>
      </c>
      <c r="F163">
        <v>582</v>
      </c>
      <c r="G163">
        <v>516</v>
      </c>
      <c r="H163">
        <v>326</v>
      </c>
      <c r="I163">
        <f>VLOOKUP(Scores[[#This Row],[MRUN]],Demographics[],3,FALSE)</f>
        <v>5</v>
      </c>
      <c r="J163">
        <f>AVERAGE(Scores[[#This Row],[LYC]],Scores[[#This Row],[MATE]])</f>
        <v>576.5</v>
      </c>
      <c r="K163">
        <f>VLOOKUP(Scores[[#This Row],[MRUN]],Demographics[],6,FALSE)</f>
        <v>5</v>
      </c>
      <c r="L163">
        <f>VLOOKUP(Scores[[#This Row],[MRUN]],Demographics[], 7,FALSE)</f>
        <v>5</v>
      </c>
      <c r="M163">
        <f>VLOOKUP(Scores[[#This Row],[MRUN]],Demographics[], 5, FALSE)</f>
        <v>1</v>
      </c>
    </row>
    <row r="164" spans="1:13" hidden="1" x14ac:dyDescent="0.2">
      <c r="A164" s="1">
        <v>5075078</v>
      </c>
      <c r="B164">
        <v>2</v>
      </c>
      <c r="C164">
        <v>2</v>
      </c>
      <c r="D164">
        <v>476</v>
      </c>
      <c r="E164">
        <v>0</v>
      </c>
      <c r="F164">
        <v>0</v>
      </c>
      <c r="G164">
        <v>0</v>
      </c>
      <c r="H164">
        <v>0</v>
      </c>
      <c r="I164">
        <f>VLOOKUP(Scores[[#This Row],[MRUN]],Demographics[],3,FALSE)</f>
        <v>5</v>
      </c>
      <c r="J164">
        <f>AVERAGE(Scores[[#This Row],[LYC]],Scores[[#This Row],[MATE]])</f>
        <v>0</v>
      </c>
      <c r="K164">
        <f>VLOOKUP(Scores[[#This Row],[MRUN]],Demographics[],6,FALSE)</f>
        <v>4</v>
      </c>
      <c r="L164">
        <f>VLOOKUP(Scores[[#This Row],[MRUN]],Demographics[], 7,FALSE)</f>
        <v>2</v>
      </c>
      <c r="M164">
        <f>VLOOKUP(Scores[[#This Row],[MRUN]],Demographics[], 5, FALSE)</f>
        <v>1</v>
      </c>
    </row>
    <row r="165" spans="1:13" hidden="1" x14ac:dyDescent="0.2">
      <c r="A165" s="1">
        <v>2404829</v>
      </c>
      <c r="B165">
        <v>2</v>
      </c>
      <c r="C165">
        <v>2</v>
      </c>
      <c r="D165">
        <v>478</v>
      </c>
      <c r="E165">
        <v>444</v>
      </c>
      <c r="F165">
        <v>494</v>
      </c>
      <c r="G165">
        <v>479</v>
      </c>
      <c r="H165">
        <v>0</v>
      </c>
      <c r="I165">
        <f>VLOOKUP(Scores[[#This Row],[MRUN]],Demographics[],3,FALSE)</f>
        <v>3</v>
      </c>
      <c r="J165">
        <f>AVERAGE(Scores[[#This Row],[LYC]],Scores[[#This Row],[MATE]])</f>
        <v>469</v>
      </c>
      <c r="K165">
        <f>VLOOKUP(Scores[[#This Row],[MRUN]],Demographics[],6,FALSE)</f>
        <v>2</v>
      </c>
      <c r="L165">
        <f>VLOOKUP(Scores[[#This Row],[MRUN]],Demographics[], 7,FALSE)</f>
        <v>2</v>
      </c>
      <c r="M165">
        <f>VLOOKUP(Scores[[#This Row],[MRUN]],Demographics[], 5, FALSE)</f>
        <v>1</v>
      </c>
    </row>
    <row r="166" spans="1:13" hidden="1" x14ac:dyDescent="0.2">
      <c r="A166" s="1">
        <v>5609400</v>
      </c>
      <c r="B166">
        <v>1</v>
      </c>
      <c r="C166">
        <v>2</v>
      </c>
      <c r="D166">
        <v>352</v>
      </c>
      <c r="E166">
        <v>0</v>
      </c>
      <c r="F166">
        <v>0</v>
      </c>
      <c r="G166">
        <v>0</v>
      </c>
      <c r="H166">
        <v>0</v>
      </c>
      <c r="I166">
        <f>VLOOKUP(Scores[[#This Row],[MRUN]],Demographics[],3,FALSE)</f>
        <v>0</v>
      </c>
      <c r="J166">
        <f>AVERAGE(Scores[[#This Row],[LYC]],Scores[[#This Row],[MATE]])</f>
        <v>0</v>
      </c>
      <c r="K166">
        <f>VLOOKUP(Scores[[#This Row],[MRUN]],Demographics[],6,FALSE)</f>
        <v>0</v>
      </c>
      <c r="L166">
        <f>VLOOKUP(Scores[[#This Row],[MRUN]],Demographics[], 7,FALSE)</f>
        <v>0</v>
      </c>
      <c r="M166">
        <f>VLOOKUP(Scores[[#This Row],[MRUN]],Demographics[], 5, FALSE)</f>
        <v>1</v>
      </c>
    </row>
    <row r="167" spans="1:13" hidden="1" x14ac:dyDescent="0.2">
      <c r="A167" s="1">
        <v>13518835</v>
      </c>
      <c r="B167">
        <v>2</v>
      </c>
      <c r="C167">
        <v>3</v>
      </c>
      <c r="D167">
        <v>478</v>
      </c>
      <c r="E167">
        <v>438</v>
      </c>
      <c r="F167">
        <v>428</v>
      </c>
      <c r="G167">
        <v>586</v>
      </c>
      <c r="H167">
        <v>0</v>
      </c>
      <c r="I167">
        <f>VLOOKUP(Scores[[#This Row],[MRUN]],Demographics[],3,FALSE)</f>
        <v>4</v>
      </c>
      <c r="J167">
        <f>AVERAGE(Scores[[#This Row],[LYC]],Scores[[#This Row],[MATE]])</f>
        <v>433</v>
      </c>
      <c r="K167">
        <f>VLOOKUP(Scores[[#This Row],[MRUN]],Demographics[],6,FALSE)</f>
        <v>3</v>
      </c>
      <c r="L167">
        <f>VLOOKUP(Scores[[#This Row],[MRUN]],Demographics[], 7,FALSE)</f>
        <v>5</v>
      </c>
      <c r="M167">
        <f>VLOOKUP(Scores[[#This Row],[MRUN]],Demographics[], 5, FALSE)</f>
        <v>1</v>
      </c>
    </row>
    <row r="168" spans="1:13" hidden="1" x14ac:dyDescent="0.2">
      <c r="A168" s="1">
        <v>8295038</v>
      </c>
      <c r="B168">
        <v>2</v>
      </c>
      <c r="C168">
        <v>4</v>
      </c>
      <c r="D168">
        <v>517</v>
      </c>
      <c r="E168">
        <v>602</v>
      </c>
      <c r="F168">
        <v>549</v>
      </c>
      <c r="G168">
        <v>628</v>
      </c>
      <c r="H168">
        <v>0</v>
      </c>
      <c r="I168">
        <f>VLOOKUP(Scores[[#This Row],[MRUN]],Demographics[],3,FALSE)</f>
        <v>2</v>
      </c>
      <c r="J168">
        <f>AVERAGE(Scores[[#This Row],[LYC]],Scores[[#This Row],[MATE]])</f>
        <v>575.5</v>
      </c>
      <c r="K168">
        <f>VLOOKUP(Scores[[#This Row],[MRUN]],Demographics[],6,FALSE)</f>
        <v>5</v>
      </c>
      <c r="L168">
        <f>VLOOKUP(Scores[[#This Row],[MRUN]],Demographics[], 7,FALSE)</f>
        <v>5</v>
      </c>
      <c r="M168">
        <f>VLOOKUP(Scores[[#This Row],[MRUN]],Demographics[], 5, FALSE)</f>
        <v>1</v>
      </c>
    </row>
    <row r="169" spans="1:13" hidden="1" x14ac:dyDescent="0.2">
      <c r="A169" s="1">
        <v>3099476</v>
      </c>
      <c r="B169">
        <v>1</v>
      </c>
      <c r="C169">
        <v>3</v>
      </c>
      <c r="D169">
        <v>558</v>
      </c>
      <c r="E169">
        <v>521</v>
      </c>
      <c r="F169">
        <v>609</v>
      </c>
      <c r="G169">
        <v>578</v>
      </c>
      <c r="H169">
        <v>0</v>
      </c>
      <c r="I169">
        <f>VLOOKUP(Scores[[#This Row],[MRUN]],Demographics[],3,FALSE)</f>
        <v>6</v>
      </c>
      <c r="J169">
        <f>AVERAGE(Scores[[#This Row],[LYC]],Scores[[#This Row],[MATE]])</f>
        <v>565</v>
      </c>
      <c r="K169">
        <f>VLOOKUP(Scores[[#This Row],[MRUN]],Demographics[],6,FALSE)</f>
        <v>9</v>
      </c>
      <c r="L169">
        <f>VLOOKUP(Scores[[#This Row],[MRUN]],Demographics[], 7,FALSE)</f>
        <v>9</v>
      </c>
      <c r="M169">
        <f>VLOOKUP(Scores[[#This Row],[MRUN]],Demographics[], 5, FALSE)</f>
        <v>6</v>
      </c>
    </row>
    <row r="170" spans="1:13" hidden="1" x14ac:dyDescent="0.2">
      <c r="A170" s="1">
        <v>21265253</v>
      </c>
      <c r="B170">
        <v>1</v>
      </c>
      <c r="C170">
        <v>3</v>
      </c>
      <c r="D170">
        <v>580</v>
      </c>
      <c r="E170">
        <v>537</v>
      </c>
      <c r="F170">
        <v>494</v>
      </c>
      <c r="G170">
        <v>516</v>
      </c>
      <c r="H170">
        <v>0</v>
      </c>
      <c r="I170">
        <f>VLOOKUP(Scores[[#This Row],[MRUN]],Demographics[],3,FALSE)</f>
        <v>6</v>
      </c>
      <c r="J170">
        <f>AVERAGE(Scores[[#This Row],[LYC]],Scores[[#This Row],[MATE]])</f>
        <v>515.5</v>
      </c>
      <c r="K170">
        <f>VLOOKUP(Scores[[#This Row],[MRUN]],Demographics[],6,FALSE)</f>
        <v>2</v>
      </c>
      <c r="L170">
        <f>VLOOKUP(Scores[[#This Row],[MRUN]],Demographics[], 7,FALSE)</f>
        <v>3</v>
      </c>
      <c r="M170">
        <f>VLOOKUP(Scores[[#This Row],[MRUN]],Demographics[], 5, FALSE)</f>
        <v>1</v>
      </c>
    </row>
    <row r="171" spans="1:13" hidden="1" x14ac:dyDescent="0.2">
      <c r="A171" s="1">
        <v>10078446</v>
      </c>
      <c r="B171">
        <v>1</v>
      </c>
      <c r="C171">
        <v>2</v>
      </c>
      <c r="D171">
        <v>481</v>
      </c>
      <c r="E171">
        <v>0</v>
      </c>
      <c r="F171">
        <v>0</v>
      </c>
      <c r="G171">
        <v>0</v>
      </c>
      <c r="H171">
        <v>0</v>
      </c>
      <c r="I171">
        <f>VLOOKUP(Scores[[#This Row],[MRUN]],Demographics[],3,FALSE)</f>
        <v>0</v>
      </c>
      <c r="J171">
        <f>AVERAGE(Scores[[#This Row],[LYC]],Scores[[#This Row],[MATE]])</f>
        <v>0</v>
      </c>
      <c r="K171">
        <f>VLOOKUP(Scores[[#This Row],[MRUN]],Demographics[],6,FALSE)</f>
        <v>0</v>
      </c>
      <c r="L171">
        <f>VLOOKUP(Scores[[#This Row],[MRUN]],Demographics[], 7,FALSE)</f>
        <v>0</v>
      </c>
      <c r="M171">
        <f>VLOOKUP(Scores[[#This Row],[MRUN]],Demographics[], 5, FALSE)</f>
        <v>1</v>
      </c>
    </row>
    <row r="172" spans="1:13" hidden="1" x14ac:dyDescent="0.2">
      <c r="A172" s="1">
        <v>17469613</v>
      </c>
      <c r="B172">
        <v>2</v>
      </c>
      <c r="C172">
        <v>2</v>
      </c>
      <c r="D172">
        <v>519</v>
      </c>
      <c r="E172">
        <v>444</v>
      </c>
      <c r="F172">
        <v>413</v>
      </c>
      <c r="G172">
        <v>0</v>
      </c>
      <c r="H172">
        <v>491</v>
      </c>
      <c r="I172">
        <f>VLOOKUP(Scores[[#This Row],[MRUN]],Demographics[],3,FALSE)</f>
        <v>5</v>
      </c>
      <c r="J172">
        <f>AVERAGE(Scores[[#This Row],[LYC]],Scores[[#This Row],[MATE]])</f>
        <v>428.5</v>
      </c>
      <c r="K172">
        <f>VLOOKUP(Scores[[#This Row],[MRUN]],Demographics[],6,FALSE)</f>
        <v>4</v>
      </c>
      <c r="L172">
        <f>VLOOKUP(Scores[[#This Row],[MRUN]],Demographics[], 7,FALSE)</f>
        <v>4</v>
      </c>
      <c r="M172">
        <f>VLOOKUP(Scores[[#This Row],[MRUN]],Demographics[], 5, FALSE)</f>
        <v>1</v>
      </c>
    </row>
    <row r="173" spans="1:13" hidden="1" x14ac:dyDescent="0.2">
      <c r="A173" s="1">
        <v>5420511</v>
      </c>
      <c r="B173">
        <v>2</v>
      </c>
      <c r="C173">
        <v>4</v>
      </c>
      <c r="D173">
        <v>455</v>
      </c>
      <c r="E173">
        <v>505</v>
      </c>
      <c r="F173">
        <v>506</v>
      </c>
      <c r="G173">
        <v>479</v>
      </c>
      <c r="H173">
        <v>0</v>
      </c>
      <c r="I173">
        <f>VLOOKUP(Scores[[#This Row],[MRUN]],Demographics[],3,FALSE)</f>
        <v>6</v>
      </c>
      <c r="J173">
        <f>AVERAGE(Scores[[#This Row],[LYC]],Scores[[#This Row],[MATE]])</f>
        <v>505.5</v>
      </c>
      <c r="K173">
        <f>VLOOKUP(Scores[[#This Row],[MRUN]],Demographics[],6,FALSE)</f>
        <v>9</v>
      </c>
      <c r="L173">
        <f>VLOOKUP(Scores[[#This Row],[MRUN]],Demographics[], 7,FALSE)</f>
        <v>9</v>
      </c>
      <c r="M173">
        <f>VLOOKUP(Scores[[#This Row],[MRUN]],Demographics[], 5, FALSE)</f>
        <v>4</v>
      </c>
    </row>
    <row r="174" spans="1:13" hidden="1" x14ac:dyDescent="0.2">
      <c r="A174" s="1">
        <v>6462211</v>
      </c>
      <c r="B174">
        <v>1</v>
      </c>
      <c r="C174">
        <v>2</v>
      </c>
      <c r="D174">
        <v>397</v>
      </c>
      <c r="E174">
        <v>581</v>
      </c>
      <c r="F174">
        <v>624</v>
      </c>
      <c r="G174">
        <v>0</v>
      </c>
      <c r="H174">
        <v>587</v>
      </c>
      <c r="I174">
        <f>VLOOKUP(Scores[[#This Row],[MRUN]],Demographics[],3,FALSE)</f>
        <v>6</v>
      </c>
      <c r="J174">
        <f>AVERAGE(Scores[[#This Row],[LYC]],Scores[[#This Row],[MATE]])</f>
        <v>602.5</v>
      </c>
      <c r="K174">
        <f>VLOOKUP(Scores[[#This Row],[MRUN]],Demographics[],6,FALSE)</f>
        <v>8</v>
      </c>
      <c r="L174">
        <f>VLOOKUP(Scores[[#This Row],[MRUN]],Demographics[], 7,FALSE)</f>
        <v>5</v>
      </c>
      <c r="M174">
        <f>VLOOKUP(Scores[[#This Row],[MRUN]],Demographics[], 5, FALSE)</f>
        <v>1</v>
      </c>
    </row>
    <row r="175" spans="1:13" hidden="1" x14ac:dyDescent="0.2">
      <c r="A175" s="1">
        <v>11370228</v>
      </c>
      <c r="B175">
        <v>2</v>
      </c>
      <c r="C175">
        <v>2</v>
      </c>
      <c r="D175">
        <v>393</v>
      </c>
      <c r="E175">
        <v>541</v>
      </c>
      <c r="F175">
        <v>506</v>
      </c>
      <c r="G175">
        <v>537</v>
      </c>
      <c r="H175">
        <v>0</v>
      </c>
      <c r="I175">
        <f>VLOOKUP(Scores[[#This Row],[MRUN]],Demographics[],3,FALSE)</f>
        <v>6</v>
      </c>
      <c r="J175">
        <f>AVERAGE(Scores[[#This Row],[LYC]],Scores[[#This Row],[MATE]])</f>
        <v>523.5</v>
      </c>
      <c r="K175">
        <f>VLOOKUP(Scores[[#This Row],[MRUN]],Demographics[],6,FALSE)</f>
        <v>2</v>
      </c>
      <c r="L175">
        <f>VLOOKUP(Scores[[#This Row],[MRUN]],Demographics[], 7,FALSE)</f>
        <v>2</v>
      </c>
      <c r="M175">
        <f>VLOOKUP(Scores[[#This Row],[MRUN]],Demographics[], 5, FALSE)</f>
        <v>2</v>
      </c>
    </row>
    <row r="176" spans="1:13" hidden="1" x14ac:dyDescent="0.2">
      <c r="A176" s="1">
        <v>18210590</v>
      </c>
      <c r="B176">
        <v>2</v>
      </c>
      <c r="C176">
        <v>3</v>
      </c>
      <c r="D176">
        <v>641</v>
      </c>
      <c r="E176">
        <v>648</v>
      </c>
      <c r="F176">
        <v>564</v>
      </c>
      <c r="G176">
        <v>0</v>
      </c>
      <c r="H176">
        <v>587</v>
      </c>
      <c r="I176">
        <f>VLOOKUP(Scores[[#This Row],[MRUN]],Demographics[],3,FALSE)</f>
        <v>3</v>
      </c>
      <c r="J176">
        <f>AVERAGE(Scores[[#This Row],[LYC]],Scores[[#This Row],[MATE]])</f>
        <v>606</v>
      </c>
      <c r="K176">
        <f>VLOOKUP(Scores[[#This Row],[MRUN]],Demographics[],6,FALSE)</f>
        <v>7</v>
      </c>
      <c r="L176">
        <f>VLOOKUP(Scores[[#This Row],[MRUN]],Demographics[], 7,FALSE)</f>
        <v>4</v>
      </c>
      <c r="M176">
        <f>VLOOKUP(Scores[[#This Row],[MRUN]],Demographics[], 5, FALSE)</f>
        <v>1</v>
      </c>
    </row>
    <row r="177" spans="1:13" hidden="1" x14ac:dyDescent="0.2">
      <c r="A177" s="1">
        <v>3273665</v>
      </c>
      <c r="B177">
        <v>1</v>
      </c>
      <c r="C177">
        <v>3</v>
      </c>
      <c r="D177">
        <v>641</v>
      </c>
      <c r="E177">
        <v>581</v>
      </c>
      <c r="F177">
        <v>661</v>
      </c>
      <c r="G177">
        <v>0</v>
      </c>
      <c r="H177">
        <v>591</v>
      </c>
      <c r="I177">
        <f>VLOOKUP(Scores[[#This Row],[MRUN]],Demographics[],3,FALSE)</f>
        <v>3</v>
      </c>
      <c r="J177">
        <f>AVERAGE(Scores[[#This Row],[LYC]],Scores[[#This Row],[MATE]])</f>
        <v>621</v>
      </c>
      <c r="K177">
        <f>VLOOKUP(Scores[[#This Row],[MRUN]],Demographics[],6,FALSE)</f>
        <v>0</v>
      </c>
      <c r="L177">
        <f>VLOOKUP(Scores[[#This Row],[MRUN]],Demographics[], 7,FALSE)</f>
        <v>2</v>
      </c>
      <c r="M177">
        <f>VLOOKUP(Scores[[#This Row],[MRUN]],Demographics[], 5, FALSE)</f>
        <v>1</v>
      </c>
    </row>
    <row r="178" spans="1:13" hidden="1" x14ac:dyDescent="0.2">
      <c r="A178" s="1">
        <v>1063700</v>
      </c>
      <c r="B178">
        <v>1</v>
      </c>
      <c r="C178">
        <v>2</v>
      </c>
      <c r="D178">
        <v>397</v>
      </c>
      <c r="E178">
        <v>505</v>
      </c>
      <c r="F178">
        <v>480</v>
      </c>
      <c r="G178">
        <v>397</v>
      </c>
      <c r="H178">
        <v>0</v>
      </c>
      <c r="I178">
        <f>VLOOKUP(Scores[[#This Row],[MRUN]],Demographics[],3,FALSE)</f>
        <v>4</v>
      </c>
      <c r="J178">
        <f>AVERAGE(Scores[[#This Row],[LYC]],Scores[[#This Row],[MATE]])</f>
        <v>492.5</v>
      </c>
      <c r="K178">
        <f>VLOOKUP(Scores[[#This Row],[MRUN]],Demographics[],6,FALSE)</f>
        <v>4</v>
      </c>
      <c r="L178">
        <f>VLOOKUP(Scores[[#This Row],[MRUN]],Demographics[], 7,FALSE)</f>
        <v>4</v>
      </c>
      <c r="M178">
        <f>VLOOKUP(Scores[[#This Row],[MRUN]],Demographics[], 5, FALSE)</f>
        <v>1</v>
      </c>
    </row>
    <row r="179" spans="1:13" hidden="1" x14ac:dyDescent="0.2">
      <c r="A179" s="1">
        <v>22758666</v>
      </c>
      <c r="B179">
        <v>2</v>
      </c>
      <c r="C179">
        <v>2</v>
      </c>
      <c r="D179">
        <v>458</v>
      </c>
      <c r="E179">
        <v>458</v>
      </c>
      <c r="F179">
        <v>463</v>
      </c>
      <c r="G179">
        <v>0</v>
      </c>
      <c r="H179">
        <v>428</v>
      </c>
      <c r="I179">
        <f>VLOOKUP(Scores[[#This Row],[MRUN]],Demographics[],3,FALSE)</f>
        <v>5</v>
      </c>
      <c r="J179">
        <f>AVERAGE(Scores[[#This Row],[LYC]],Scores[[#This Row],[MATE]])</f>
        <v>460.5</v>
      </c>
      <c r="K179">
        <f>VLOOKUP(Scores[[#This Row],[MRUN]],Demographics[],6,FALSE)</f>
        <v>2</v>
      </c>
      <c r="L179">
        <f>VLOOKUP(Scores[[#This Row],[MRUN]],Demographics[], 7,FALSE)</f>
        <v>2</v>
      </c>
      <c r="M179">
        <f>VLOOKUP(Scores[[#This Row],[MRUN]],Demographics[], 5, FALSE)</f>
        <v>1</v>
      </c>
    </row>
    <row r="180" spans="1:13" hidden="1" x14ac:dyDescent="0.2">
      <c r="A180" s="1">
        <v>10143125</v>
      </c>
      <c r="B180">
        <v>1</v>
      </c>
      <c r="C180">
        <v>2</v>
      </c>
      <c r="D180">
        <v>376</v>
      </c>
      <c r="E180">
        <v>0</v>
      </c>
      <c r="F180">
        <v>0</v>
      </c>
      <c r="G180">
        <v>0</v>
      </c>
      <c r="H180">
        <v>0</v>
      </c>
      <c r="I180">
        <f>VLOOKUP(Scores[[#This Row],[MRUN]],Demographics[],3,FALSE)</f>
        <v>4</v>
      </c>
      <c r="J180">
        <f>AVERAGE(Scores[[#This Row],[LYC]],Scores[[#This Row],[MATE]])</f>
        <v>0</v>
      </c>
      <c r="K180">
        <f>VLOOKUP(Scores[[#This Row],[MRUN]],Demographics[],6,FALSE)</f>
        <v>2</v>
      </c>
      <c r="L180">
        <f>VLOOKUP(Scores[[#This Row],[MRUN]],Demographics[], 7,FALSE)</f>
        <v>2</v>
      </c>
      <c r="M180">
        <f>VLOOKUP(Scores[[#This Row],[MRUN]],Demographics[], 5, FALSE)</f>
        <v>1</v>
      </c>
    </row>
    <row r="181" spans="1:13" hidden="1" x14ac:dyDescent="0.2">
      <c r="A181" s="1">
        <v>19019407</v>
      </c>
      <c r="B181">
        <v>1</v>
      </c>
      <c r="C181">
        <v>3</v>
      </c>
      <c r="D181">
        <v>0</v>
      </c>
      <c r="E181">
        <v>0</v>
      </c>
      <c r="F181">
        <v>0</v>
      </c>
      <c r="G181">
        <v>0</v>
      </c>
      <c r="H181">
        <v>0</v>
      </c>
      <c r="I181">
        <f>VLOOKUP(Scores[[#This Row],[MRUN]],Demographics[],3,FALSE)</f>
        <v>5</v>
      </c>
      <c r="J181">
        <f>AVERAGE(Scores[[#This Row],[LYC]],Scores[[#This Row],[MATE]])</f>
        <v>0</v>
      </c>
      <c r="K181">
        <f>VLOOKUP(Scores[[#This Row],[MRUN]],Demographics[],6,FALSE)</f>
        <v>0</v>
      </c>
      <c r="L181">
        <f>VLOOKUP(Scores[[#This Row],[MRUN]],Demographics[], 7,FALSE)</f>
        <v>2</v>
      </c>
      <c r="M181">
        <f>VLOOKUP(Scores[[#This Row],[MRUN]],Demographics[], 5, FALSE)</f>
        <v>1</v>
      </c>
    </row>
    <row r="182" spans="1:13" hidden="1" x14ac:dyDescent="0.2">
      <c r="A182" s="1">
        <v>16551557</v>
      </c>
      <c r="B182">
        <v>2</v>
      </c>
      <c r="C182">
        <v>2</v>
      </c>
      <c r="D182">
        <v>393</v>
      </c>
      <c r="E182">
        <v>458</v>
      </c>
      <c r="F182">
        <v>274</v>
      </c>
      <c r="G182">
        <v>501</v>
      </c>
      <c r="H182">
        <v>0</v>
      </c>
      <c r="I182">
        <f>VLOOKUP(Scores[[#This Row],[MRUN]],Demographics[],3,FALSE)</f>
        <v>7</v>
      </c>
      <c r="J182">
        <f>AVERAGE(Scores[[#This Row],[LYC]],Scores[[#This Row],[MATE]])</f>
        <v>366</v>
      </c>
      <c r="K182">
        <f>VLOOKUP(Scores[[#This Row],[MRUN]],Demographics[],6,FALSE)</f>
        <v>4</v>
      </c>
      <c r="L182">
        <f>VLOOKUP(Scores[[#This Row],[MRUN]],Demographics[], 7,FALSE)</f>
        <v>2</v>
      </c>
      <c r="M182">
        <f>VLOOKUP(Scores[[#This Row],[MRUN]],Demographics[], 5, FALSE)</f>
        <v>1</v>
      </c>
    </row>
    <row r="183" spans="1:13" hidden="1" x14ac:dyDescent="0.2">
      <c r="A183" s="1">
        <v>19902743</v>
      </c>
      <c r="B183">
        <v>2</v>
      </c>
      <c r="C183">
        <v>2</v>
      </c>
      <c r="D183">
        <v>481</v>
      </c>
      <c r="E183">
        <v>0</v>
      </c>
      <c r="F183">
        <v>0</v>
      </c>
      <c r="G183">
        <v>0</v>
      </c>
      <c r="H183">
        <v>0</v>
      </c>
      <c r="I183">
        <f>VLOOKUP(Scores[[#This Row],[MRUN]],Demographics[],3,FALSE)</f>
        <v>3</v>
      </c>
      <c r="J183">
        <f>AVERAGE(Scores[[#This Row],[LYC]],Scores[[#This Row],[MATE]])</f>
        <v>0</v>
      </c>
      <c r="K183">
        <f>VLOOKUP(Scores[[#This Row],[MRUN]],Demographics[],6,FALSE)</f>
        <v>4</v>
      </c>
      <c r="L183">
        <f>VLOOKUP(Scores[[#This Row],[MRUN]],Demographics[], 7,FALSE)</f>
        <v>4</v>
      </c>
      <c r="M183">
        <f>VLOOKUP(Scores[[#This Row],[MRUN]],Demographics[], 5, FALSE)</f>
        <v>1</v>
      </c>
    </row>
    <row r="184" spans="1:13" hidden="1" x14ac:dyDescent="0.2">
      <c r="A184" s="1">
        <v>8168789</v>
      </c>
      <c r="B184">
        <v>2</v>
      </c>
      <c r="C184">
        <v>3</v>
      </c>
      <c r="D184">
        <v>460</v>
      </c>
      <c r="E184">
        <v>290</v>
      </c>
      <c r="F184">
        <v>204</v>
      </c>
      <c r="G184">
        <v>406</v>
      </c>
      <c r="H184">
        <v>0</v>
      </c>
      <c r="I184">
        <f>VLOOKUP(Scores[[#This Row],[MRUN]],Demographics[],3,FALSE)</f>
        <v>2</v>
      </c>
      <c r="J184">
        <f>AVERAGE(Scores[[#This Row],[LYC]],Scores[[#This Row],[MATE]])</f>
        <v>247</v>
      </c>
      <c r="K184">
        <f>VLOOKUP(Scores[[#This Row],[MRUN]],Demographics[],6,FALSE)</f>
        <v>5</v>
      </c>
      <c r="L184">
        <f>VLOOKUP(Scores[[#This Row],[MRUN]],Demographics[], 7,FALSE)</f>
        <v>5</v>
      </c>
      <c r="M184">
        <f>VLOOKUP(Scores[[#This Row],[MRUN]],Demographics[], 5, FALSE)</f>
        <v>1</v>
      </c>
    </row>
    <row r="185" spans="1:13" hidden="1" x14ac:dyDescent="0.2">
      <c r="A185" s="1">
        <v>9669667</v>
      </c>
      <c r="B185">
        <v>2</v>
      </c>
      <c r="C185">
        <v>2</v>
      </c>
      <c r="D185">
        <v>539</v>
      </c>
      <c r="E185">
        <v>488</v>
      </c>
      <c r="F185">
        <v>428</v>
      </c>
      <c r="G185">
        <v>461</v>
      </c>
      <c r="H185">
        <v>0</v>
      </c>
      <c r="I185">
        <f>VLOOKUP(Scores[[#This Row],[MRUN]],Demographics[],3,FALSE)</f>
        <v>6</v>
      </c>
      <c r="J185">
        <f>AVERAGE(Scores[[#This Row],[LYC]],Scores[[#This Row],[MATE]])</f>
        <v>458</v>
      </c>
      <c r="K185">
        <f>VLOOKUP(Scores[[#This Row],[MRUN]],Demographics[],6,FALSE)</f>
        <v>4</v>
      </c>
      <c r="L185">
        <f>VLOOKUP(Scores[[#This Row],[MRUN]],Demographics[], 7,FALSE)</f>
        <v>8</v>
      </c>
      <c r="M185">
        <f>VLOOKUP(Scores[[#This Row],[MRUN]],Demographics[], 5, FALSE)</f>
        <v>2</v>
      </c>
    </row>
    <row r="186" spans="1:13" hidden="1" x14ac:dyDescent="0.2">
      <c r="A186" s="1">
        <v>10737679</v>
      </c>
      <c r="B186">
        <v>1</v>
      </c>
      <c r="C186">
        <v>4</v>
      </c>
      <c r="D186">
        <v>455</v>
      </c>
      <c r="E186">
        <v>607</v>
      </c>
      <c r="F186">
        <v>631</v>
      </c>
      <c r="G186">
        <v>617</v>
      </c>
      <c r="H186">
        <v>617</v>
      </c>
      <c r="I186">
        <f>VLOOKUP(Scores[[#This Row],[MRUN]],Demographics[],3,FALSE)</f>
        <v>4</v>
      </c>
      <c r="J186">
        <f>AVERAGE(Scores[[#This Row],[LYC]],Scores[[#This Row],[MATE]])</f>
        <v>619</v>
      </c>
      <c r="K186">
        <f>VLOOKUP(Scores[[#This Row],[MRUN]],Demographics[],6,FALSE)</f>
        <v>2</v>
      </c>
      <c r="L186">
        <f>VLOOKUP(Scores[[#This Row],[MRUN]],Demographics[], 7,FALSE)</f>
        <v>2</v>
      </c>
      <c r="M186">
        <f>VLOOKUP(Scores[[#This Row],[MRUN]],Demographics[], 5, FALSE)</f>
        <v>3</v>
      </c>
    </row>
    <row r="187" spans="1:13" hidden="1" x14ac:dyDescent="0.2">
      <c r="A187" s="1">
        <v>17477129</v>
      </c>
      <c r="B187">
        <v>2</v>
      </c>
      <c r="C187">
        <v>2</v>
      </c>
      <c r="D187">
        <v>437</v>
      </c>
      <c r="E187">
        <v>458</v>
      </c>
      <c r="F187">
        <v>452</v>
      </c>
      <c r="G187">
        <v>490</v>
      </c>
      <c r="H187">
        <v>0</v>
      </c>
      <c r="I187">
        <f>VLOOKUP(Scores[[#This Row],[MRUN]],Demographics[],3,FALSE)</f>
        <v>6</v>
      </c>
      <c r="J187">
        <f>AVERAGE(Scores[[#This Row],[LYC]],Scores[[#This Row],[MATE]])</f>
        <v>455</v>
      </c>
      <c r="K187">
        <f>VLOOKUP(Scores[[#This Row],[MRUN]],Demographics[],6,FALSE)</f>
        <v>4</v>
      </c>
      <c r="L187">
        <f>VLOOKUP(Scores[[#This Row],[MRUN]],Demographics[], 7,FALSE)</f>
        <v>3</v>
      </c>
      <c r="M187">
        <f>VLOOKUP(Scores[[#This Row],[MRUN]],Demographics[], 5, FALSE)</f>
        <v>1</v>
      </c>
    </row>
    <row r="188" spans="1:13" hidden="1" x14ac:dyDescent="0.2">
      <c r="A188" s="1">
        <v>12165691</v>
      </c>
      <c r="B188">
        <v>2</v>
      </c>
      <c r="C188">
        <v>3</v>
      </c>
      <c r="D188">
        <v>0</v>
      </c>
      <c r="E188">
        <v>0</v>
      </c>
      <c r="F188">
        <v>0</v>
      </c>
      <c r="G188">
        <v>0</v>
      </c>
      <c r="H188">
        <v>0</v>
      </c>
      <c r="I188">
        <f>VLOOKUP(Scores[[#This Row],[MRUN]],Demographics[],3,FALSE)</f>
        <v>6</v>
      </c>
      <c r="J188">
        <f>AVERAGE(Scores[[#This Row],[LYC]],Scores[[#This Row],[MATE]])</f>
        <v>0</v>
      </c>
      <c r="K188">
        <f>VLOOKUP(Scores[[#This Row],[MRUN]],Demographics[],6,FALSE)</f>
        <v>5</v>
      </c>
      <c r="L188">
        <f>VLOOKUP(Scores[[#This Row],[MRUN]],Demographics[], 7,FALSE)</f>
        <v>3</v>
      </c>
      <c r="M188">
        <f>VLOOKUP(Scores[[#This Row],[MRUN]],Demographics[], 5, FALSE)</f>
        <v>1</v>
      </c>
    </row>
    <row r="189" spans="1:13" hidden="1" x14ac:dyDescent="0.2">
      <c r="A189" s="1">
        <v>6494043</v>
      </c>
      <c r="B189">
        <v>1</v>
      </c>
      <c r="C189">
        <v>2</v>
      </c>
      <c r="D189">
        <v>435</v>
      </c>
      <c r="E189">
        <v>0</v>
      </c>
      <c r="F189">
        <v>0</v>
      </c>
      <c r="G189">
        <v>0</v>
      </c>
      <c r="H189">
        <v>0</v>
      </c>
      <c r="I189">
        <f>VLOOKUP(Scores[[#This Row],[MRUN]],Demographics[],3,FALSE)</f>
        <v>4</v>
      </c>
      <c r="J189">
        <f>AVERAGE(Scores[[#This Row],[LYC]],Scores[[#This Row],[MATE]])</f>
        <v>0</v>
      </c>
      <c r="K189">
        <f>VLOOKUP(Scores[[#This Row],[MRUN]],Demographics[],6,FALSE)</f>
        <v>5</v>
      </c>
      <c r="L189">
        <f>VLOOKUP(Scores[[#This Row],[MRUN]],Demographics[], 7,FALSE)</f>
        <v>5</v>
      </c>
      <c r="M189">
        <f>VLOOKUP(Scores[[#This Row],[MRUN]],Demographics[], 5, FALSE)</f>
        <v>1</v>
      </c>
    </row>
    <row r="190" spans="1:13" hidden="1" x14ac:dyDescent="0.2">
      <c r="A190" s="1">
        <v>16886595</v>
      </c>
      <c r="B190">
        <v>2</v>
      </c>
      <c r="C190">
        <v>2</v>
      </c>
      <c r="D190">
        <v>580</v>
      </c>
      <c r="E190">
        <v>471</v>
      </c>
      <c r="F190">
        <v>512</v>
      </c>
      <c r="G190">
        <v>0</v>
      </c>
      <c r="H190">
        <v>439</v>
      </c>
      <c r="I190">
        <f>VLOOKUP(Scores[[#This Row],[MRUN]],Demographics[],3,FALSE)</f>
        <v>4</v>
      </c>
      <c r="J190">
        <f>AVERAGE(Scores[[#This Row],[LYC]],Scores[[#This Row],[MATE]])</f>
        <v>491.5</v>
      </c>
      <c r="K190">
        <f>VLOOKUP(Scores[[#This Row],[MRUN]],Demographics[],6,FALSE)</f>
        <v>3</v>
      </c>
      <c r="L190">
        <f>VLOOKUP(Scores[[#This Row],[MRUN]],Demographics[], 7,FALSE)</f>
        <v>3</v>
      </c>
      <c r="M190">
        <f>VLOOKUP(Scores[[#This Row],[MRUN]],Demographics[], 5, FALSE)</f>
        <v>1</v>
      </c>
    </row>
    <row r="191" spans="1:13" hidden="1" x14ac:dyDescent="0.2">
      <c r="A191" s="1">
        <v>8775596</v>
      </c>
      <c r="B191">
        <v>2</v>
      </c>
      <c r="C191">
        <v>2</v>
      </c>
      <c r="D191">
        <v>458</v>
      </c>
      <c r="E191">
        <v>557</v>
      </c>
      <c r="F191">
        <v>527</v>
      </c>
      <c r="G191">
        <v>501</v>
      </c>
      <c r="H191">
        <v>326</v>
      </c>
      <c r="I191">
        <f>VLOOKUP(Scores[[#This Row],[MRUN]],Demographics[],3,FALSE)</f>
        <v>4</v>
      </c>
      <c r="J191">
        <f>AVERAGE(Scores[[#This Row],[LYC]],Scores[[#This Row],[MATE]])</f>
        <v>542</v>
      </c>
      <c r="K191">
        <f>VLOOKUP(Scores[[#This Row],[MRUN]],Demographics[],6,FALSE)</f>
        <v>2</v>
      </c>
      <c r="L191">
        <f>VLOOKUP(Scores[[#This Row],[MRUN]],Demographics[], 7,FALSE)</f>
        <v>4</v>
      </c>
      <c r="M191">
        <f>VLOOKUP(Scores[[#This Row],[MRUN]],Demographics[], 5, FALSE)</f>
        <v>1</v>
      </c>
    </row>
    <row r="192" spans="1:13" hidden="1" x14ac:dyDescent="0.2">
      <c r="A192" s="1">
        <v>7908865</v>
      </c>
      <c r="B192">
        <v>1</v>
      </c>
      <c r="C192">
        <v>3</v>
      </c>
      <c r="D192">
        <v>400</v>
      </c>
      <c r="E192">
        <v>388</v>
      </c>
      <c r="F192">
        <v>395</v>
      </c>
      <c r="G192">
        <v>414</v>
      </c>
      <c r="H192">
        <v>417</v>
      </c>
      <c r="I192">
        <f>VLOOKUP(Scores[[#This Row],[MRUN]],Demographics[],3,FALSE)</f>
        <v>5</v>
      </c>
      <c r="J192">
        <f>AVERAGE(Scores[[#This Row],[LYC]],Scores[[#This Row],[MATE]])</f>
        <v>391.5</v>
      </c>
      <c r="K192">
        <f>VLOOKUP(Scores[[#This Row],[MRUN]],Demographics[],6,FALSE)</f>
        <v>8</v>
      </c>
      <c r="L192">
        <f>VLOOKUP(Scores[[#This Row],[MRUN]],Demographics[], 7,FALSE)</f>
        <v>8</v>
      </c>
      <c r="M192">
        <f>VLOOKUP(Scores[[#This Row],[MRUN]],Demographics[], 5, FALSE)</f>
        <v>3</v>
      </c>
    </row>
    <row r="193" spans="1:13" hidden="1" x14ac:dyDescent="0.2">
      <c r="A193" s="1">
        <v>3536619</v>
      </c>
      <c r="B193">
        <v>1</v>
      </c>
      <c r="C193">
        <v>3</v>
      </c>
      <c r="D193">
        <v>538</v>
      </c>
      <c r="E193">
        <v>531</v>
      </c>
      <c r="F193">
        <v>692</v>
      </c>
      <c r="G193">
        <v>0</v>
      </c>
      <c r="H193">
        <v>587</v>
      </c>
      <c r="I193">
        <f>VLOOKUP(Scores[[#This Row],[MRUN]],Demographics[],3,FALSE)</f>
        <v>2</v>
      </c>
      <c r="J193">
        <f>AVERAGE(Scores[[#This Row],[LYC]],Scores[[#This Row],[MATE]])</f>
        <v>611.5</v>
      </c>
      <c r="K193">
        <f>VLOOKUP(Scores[[#This Row],[MRUN]],Demographics[],6,FALSE)</f>
        <v>5</v>
      </c>
      <c r="L193">
        <f>VLOOKUP(Scores[[#This Row],[MRUN]],Demographics[], 7,FALSE)</f>
        <v>5</v>
      </c>
      <c r="M193">
        <f>VLOOKUP(Scores[[#This Row],[MRUN]],Demographics[], 5, FALSE)</f>
        <v>1</v>
      </c>
    </row>
    <row r="194" spans="1:13" hidden="1" x14ac:dyDescent="0.2">
      <c r="A194" s="1">
        <v>15212167</v>
      </c>
      <c r="B194">
        <v>2</v>
      </c>
      <c r="C194">
        <v>2</v>
      </c>
      <c r="D194">
        <v>538</v>
      </c>
      <c r="E194">
        <v>526</v>
      </c>
      <c r="F194">
        <v>517</v>
      </c>
      <c r="G194">
        <v>0</v>
      </c>
      <c r="H194">
        <v>439</v>
      </c>
      <c r="I194">
        <f>VLOOKUP(Scores[[#This Row],[MRUN]],Demographics[],3,FALSE)</f>
        <v>4</v>
      </c>
      <c r="J194">
        <f>AVERAGE(Scores[[#This Row],[LYC]],Scores[[#This Row],[MATE]])</f>
        <v>521.5</v>
      </c>
      <c r="K194">
        <f>VLOOKUP(Scores[[#This Row],[MRUN]],Demographics[],6,FALSE)</f>
        <v>2</v>
      </c>
      <c r="L194">
        <f>VLOOKUP(Scores[[#This Row],[MRUN]],Demographics[], 7,FALSE)</f>
        <v>2</v>
      </c>
      <c r="M194">
        <f>VLOOKUP(Scores[[#This Row],[MRUN]],Demographics[], 5, FALSE)</f>
        <v>1</v>
      </c>
    </row>
    <row r="195" spans="1:13" hidden="1" x14ac:dyDescent="0.2">
      <c r="A195" s="1">
        <v>20653791</v>
      </c>
      <c r="B195">
        <v>2</v>
      </c>
      <c r="C195">
        <v>2</v>
      </c>
      <c r="D195">
        <v>601</v>
      </c>
      <c r="E195">
        <v>526</v>
      </c>
      <c r="F195">
        <v>536</v>
      </c>
      <c r="G195">
        <v>442</v>
      </c>
      <c r="H195">
        <v>391</v>
      </c>
      <c r="I195">
        <f>VLOOKUP(Scores[[#This Row],[MRUN]],Demographics[],3,FALSE)</f>
        <v>4</v>
      </c>
      <c r="J195">
        <f>AVERAGE(Scores[[#This Row],[LYC]],Scores[[#This Row],[MATE]])</f>
        <v>531</v>
      </c>
      <c r="K195">
        <f>VLOOKUP(Scores[[#This Row],[MRUN]],Demographics[],6,FALSE)</f>
        <v>4</v>
      </c>
      <c r="L195">
        <f>VLOOKUP(Scores[[#This Row],[MRUN]],Demographics[], 7,FALSE)</f>
        <v>4</v>
      </c>
      <c r="M195">
        <f>VLOOKUP(Scores[[#This Row],[MRUN]],Demographics[], 5, FALSE)</f>
        <v>1</v>
      </c>
    </row>
    <row r="196" spans="1:13" hidden="1" x14ac:dyDescent="0.2">
      <c r="A196" s="1">
        <v>9770938</v>
      </c>
      <c r="B196">
        <v>2</v>
      </c>
      <c r="C196">
        <v>2</v>
      </c>
      <c r="D196">
        <v>558</v>
      </c>
      <c r="E196">
        <v>494</v>
      </c>
      <c r="F196">
        <v>512</v>
      </c>
      <c r="G196">
        <v>501</v>
      </c>
      <c r="H196">
        <v>0</v>
      </c>
      <c r="I196">
        <f>VLOOKUP(Scores[[#This Row],[MRUN]],Demographics[],3,FALSE)</f>
        <v>4</v>
      </c>
      <c r="J196">
        <f>AVERAGE(Scores[[#This Row],[LYC]],Scores[[#This Row],[MATE]])</f>
        <v>503</v>
      </c>
      <c r="K196">
        <f>VLOOKUP(Scores[[#This Row],[MRUN]],Demographics[],6,FALSE)</f>
        <v>0</v>
      </c>
      <c r="L196">
        <f>VLOOKUP(Scores[[#This Row],[MRUN]],Demographics[], 7,FALSE)</f>
        <v>5</v>
      </c>
      <c r="M196">
        <f>VLOOKUP(Scores[[#This Row],[MRUN]],Demographics[], 5, FALSE)</f>
        <v>1</v>
      </c>
    </row>
    <row r="197" spans="1:13" hidden="1" x14ac:dyDescent="0.2">
      <c r="A197" s="1">
        <v>15486019</v>
      </c>
      <c r="B197">
        <v>1</v>
      </c>
      <c r="C197">
        <v>3</v>
      </c>
      <c r="D197">
        <v>458</v>
      </c>
      <c r="E197">
        <v>551</v>
      </c>
      <c r="F197">
        <v>517</v>
      </c>
      <c r="G197">
        <v>657</v>
      </c>
      <c r="H197">
        <v>0</v>
      </c>
      <c r="I197">
        <f>VLOOKUP(Scores[[#This Row],[MRUN]],Demographics[],3,FALSE)</f>
        <v>4</v>
      </c>
      <c r="J197">
        <f>AVERAGE(Scores[[#This Row],[LYC]],Scores[[#This Row],[MATE]])</f>
        <v>534</v>
      </c>
      <c r="K197">
        <f>VLOOKUP(Scores[[#This Row],[MRUN]],Demographics[],6,FALSE)</f>
        <v>4</v>
      </c>
      <c r="L197">
        <f>VLOOKUP(Scores[[#This Row],[MRUN]],Demographics[], 7,FALSE)</f>
        <v>3</v>
      </c>
      <c r="M197">
        <f>VLOOKUP(Scores[[#This Row],[MRUN]],Demographics[], 5, FALSE)</f>
        <v>1</v>
      </c>
    </row>
    <row r="198" spans="1:13" hidden="1" x14ac:dyDescent="0.2">
      <c r="A198" s="1">
        <v>14316974</v>
      </c>
      <c r="B198">
        <v>2</v>
      </c>
      <c r="C198">
        <v>2</v>
      </c>
      <c r="D198">
        <v>476</v>
      </c>
      <c r="E198">
        <v>451</v>
      </c>
      <c r="F198">
        <v>353</v>
      </c>
      <c r="G198">
        <v>466</v>
      </c>
      <c r="H198">
        <v>0</v>
      </c>
      <c r="I198">
        <f>VLOOKUP(Scores[[#This Row],[MRUN]],Demographics[],3,FALSE)</f>
        <v>3</v>
      </c>
      <c r="J198">
        <f>AVERAGE(Scores[[#This Row],[LYC]],Scores[[#This Row],[MATE]])</f>
        <v>402</v>
      </c>
      <c r="K198">
        <f>VLOOKUP(Scores[[#This Row],[MRUN]],Demographics[],6,FALSE)</f>
        <v>2</v>
      </c>
      <c r="L198">
        <f>VLOOKUP(Scores[[#This Row],[MRUN]],Demographics[], 7,FALSE)</f>
        <v>4</v>
      </c>
      <c r="M198">
        <f>VLOOKUP(Scores[[#This Row],[MRUN]],Demographics[], 5, FALSE)</f>
        <v>1</v>
      </c>
    </row>
    <row r="199" spans="1:13" hidden="1" x14ac:dyDescent="0.2">
      <c r="A199" s="1">
        <v>1701842</v>
      </c>
      <c r="B199">
        <v>2</v>
      </c>
      <c r="C199">
        <v>3</v>
      </c>
      <c r="D199">
        <v>538</v>
      </c>
      <c r="E199">
        <v>0</v>
      </c>
      <c r="F199">
        <v>0</v>
      </c>
      <c r="G199">
        <v>0</v>
      </c>
      <c r="H199">
        <v>0</v>
      </c>
      <c r="I199">
        <f>VLOOKUP(Scores[[#This Row],[MRUN]],Demographics[],3,FALSE)</f>
        <v>5</v>
      </c>
      <c r="J199">
        <f>AVERAGE(Scores[[#This Row],[LYC]],Scores[[#This Row],[MATE]])</f>
        <v>0</v>
      </c>
      <c r="K199">
        <f>VLOOKUP(Scores[[#This Row],[MRUN]],Demographics[],6,FALSE)</f>
        <v>9</v>
      </c>
      <c r="L199">
        <f>VLOOKUP(Scores[[#This Row],[MRUN]],Demographics[], 7,FALSE)</f>
        <v>7</v>
      </c>
      <c r="M199">
        <f>VLOOKUP(Scores[[#This Row],[MRUN]],Demographics[], 5, FALSE)</f>
        <v>2</v>
      </c>
    </row>
    <row r="200" spans="1:13" hidden="1" x14ac:dyDescent="0.2">
      <c r="A200" s="1">
        <v>24148776</v>
      </c>
      <c r="B200">
        <v>1</v>
      </c>
      <c r="C200">
        <v>2</v>
      </c>
      <c r="D200">
        <v>478</v>
      </c>
      <c r="E200">
        <v>541</v>
      </c>
      <c r="F200">
        <v>596</v>
      </c>
      <c r="G200">
        <v>0</v>
      </c>
      <c r="H200">
        <v>449</v>
      </c>
      <c r="I200">
        <f>VLOOKUP(Scores[[#This Row],[MRUN]],Demographics[],3,FALSE)</f>
        <v>4</v>
      </c>
      <c r="J200">
        <f>AVERAGE(Scores[[#This Row],[LYC]],Scores[[#This Row],[MATE]])</f>
        <v>568.5</v>
      </c>
      <c r="K200">
        <f>VLOOKUP(Scores[[#This Row],[MRUN]],Demographics[],6,FALSE)</f>
        <v>8</v>
      </c>
      <c r="L200">
        <f>VLOOKUP(Scores[[#This Row],[MRUN]],Demographics[], 7,FALSE)</f>
        <v>2</v>
      </c>
      <c r="M200">
        <f>VLOOKUP(Scores[[#This Row],[MRUN]],Demographics[], 5, FALSE)</f>
        <v>1</v>
      </c>
    </row>
    <row r="201" spans="1:13" hidden="1" x14ac:dyDescent="0.2">
      <c r="A201" s="1">
        <v>5889598</v>
      </c>
      <c r="B201">
        <v>2</v>
      </c>
      <c r="C201">
        <v>2</v>
      </c>
      <c r="D201">
        <v>455</v>
      </c>
      <c r="E201">
        <v>505</v>
      </c>
      <c r="F201">
        <v>395</v>
      </c>
      <c r="G201">
        <v>521</v>
      </c>
      <c r="H201">
        <v>0</v>
      </c>
      <c r="I201">
        <f>VLOOKUP(Scores[[#This Row],[MRUN]],Demographics[],3,FALSE)</f>
        <v>5</v>
      </c>
      <c r="J201">
        <f>AVERAGE(Scores[[#This Row],[LYC]],Scores[[#This Row],[MATE]])</f>
        <v>450</v>
      </c>
      <c r="K201">
        <f>VLOOKUP(Scores[[#This Row],[MRUN]],Demographics[],6,FALSE)</f>
        <v>7</v>
      </c>
      <c r="L201">
        <f>VLOOKUP(Scores[[#This Row],[MRUN]],Demographics[], 7,FALSE)</f>
        <v>4</v>
      </c>
      <c r="M201">
        <f>VLOOKUP(Scores[[#This Row],[MRUN]],Demographics[], 5, FALSE)</f>
        <v>1</v>
      </c>
    </row>
    <row r="202" spans="1:13" hidden="1" x14ac:dyDescent="0.2">
      <c r="A202" s="1">
        <v>12933634</v>
      </c>
      <c r="B202">
        <v>1</v>
      </c>
      <c r="C202">
        <v>2</v>
      </c>
      <c r="D202">
        <v>539</v>
      </c>
      <c r="E202">
        <v>567</v>
      </c>
      <c r="F202">
        <v>540</v>
      </c>
      <c r="G202">
        <v>623</v>
      </c>
      <c r="H202">
        <v>0</v>
      </c>
      <c r="I202">
        <f>VLOOKUP(Scores[[#This Row],[MRUN]],Demographics[],3,FALSE)</f>
        <v>4</v>
      </c>
      <c r="J202">
        <f>AVERAGE(Scores[[#This Row],[LYC]],Scores[[#This Row],[MATE]])</f>
        <v>553.5</v>
      </c>
      <c r="K202">
        <f>VLOOKUP(Scores[[#This Row],[MRUN]],Demographics[],6,FALSE)</f>
        <v>4</v>
      </c>
      <c r="L202">
        <f>VLOOKUP(Scores[[#This Row],[MRUN]],Demographics[], 7,FALSE)</f>
        <v>4</v>
      </c>
      <c r="M202">
        <f>VLOOKUP(Scores[[#This Row],[MRUN]],Demographics[], 5, FALSE)</f>
        <v>1</v>
      </c>
    </row>
    <row r="203" spans="1:13" hidden="1" x14ac:dyDescent="0.2">
      <c r="A203" s="1">
        <v>17536652</v>
      </c>
      <c r="B203">
        <v>2</v>
      </c>
      <c r="C203">
        <v>3</v>
      </c>
      <c r="D203">
        <v>539</v>
      </c>
      <c r="E203">
        <v>0</v>
      </c>
      <c r="F203">
        <v>0</v>
      </c>
      <c r="G203">
        <v>0</v>
      </c>
      <c r="H203">
        <v>0</v>
      </c>
      <c r="I203">
        <f>VLOOKUP(Scores[[#This Row],[MRUN]],Demographics[],3,FALSE)</f>
        <v>3</v>
      </c>
      <c r="J203">
        <f>AVERAGE(Scores[[#This Row],[LYC]],Scores[[#This Row],[MATE]])</f>
        <v>0</v>
      </c>
      <c r="K203">
        <f>VLOOKUP(Scores[[#This Row],[MRUN]],Demographics[],6,FALSE)</f>
        <v>4</v>
      </c>
      <c r="L203">
        <f>VLOOKUP(Scores[[#This Row],[MRUN]],Demographics[], 7,FALSE)</f>
        <v>2</v>
      </c>
      <c r="M203">
        <f>VLOOKUP(Scores[[#This Row],[MRUN]],Demographics[], 5, FALSE)</f>
        <v>1</v>
      </c>
    </row>
    <row r="204" spans="1:13" hidden="1" x14ac:dyDescent="0.2">
      <c r="A204" s="1">
        <v>548130</v>
      </c>
      <c r="B204">
        <v>2</v>
      </c>
      <c r="C204">
        <v>3</v>
      </c>
      <c r="D204">
        <v>478</v>
      </c>
      <c r="E204">
        <v>397</v>
      </c>
      <c r="F204">
        <v>395</v>
      </c>
      <c r="G204">
        <v>0</v>
      </c>
      <c r="H204">
        <v>417</v>
      </c>
      <c r="I204">
        <f>VLOOKUP(Scores[[#This Row],[MRUN]],Demographics[],3,FALSE)</f>
        <v>3</v>
      </c>
      <c r="J204">
        <f>AVERAGE(Scores[[#This Row],[LYC]],Scores[[#This Row],[MATE]])</f>
        <v>396</v>
      </c>
      <c r="K204">
        <f>VLOOKUP(Scores[[#This Row],[MRUN]],Demographics[],6,FALSE)</f>
        <v>5</v>
      </c>
      <c r="L204">
        <f>VLOOKUP(Scores[[#This Row],[MRUN]],Demographics[], 7,FALSE)</f>
        <v>2</v>
      </c>
      <c r="M204">
        <f>VLOOKUP(Scores[[#This Row],[MRUN]],Demographics[], 5, FALSE)</f>
        <v>1</v>
      </c>
    </row>
    <row r="205" spans="1:13" hidden="1" x14ac:dyDescent="0.2">
      <c r="A205" s="1">
        <v>14968262</v>
      </c>
      <c r="B205">
        <v>2</v>
      </c>
      <c r="C205">
        <v>3</v>
      </c>
      <c r="D205">
        <v>458</v>
      </c>
      <c r="E205">
        <v>244</v>
      </c>
      <c r="F205">
        <v>300</v>
      </c>
      <c r="G205">
        <v>0</v>
      </c>
      <c r="H205">
        <v>326</v>
      </c>
      <c r="I205">
        <f>VLOOKUP(Scores[[#This Row],[MRUN]],Demographics[],3,FALSE)</f>
        <v>3</v>
      </c>
      <c r="J205">
        <f>AVERAGE(Scores[[#This Row],[LYC]],Scores[[#This Row],[MATE]])</f>
        <v>272</v>
      </c>
      <c r="K205">
        <f>VLOOKUP(Scores[[#This Row],[MRUN]],Demographics[],6,FALSE)</f>
        <v>5</v>
      </c>
      <c r="L205">
        <f>VLOOKUP(Scores[[#This Row],[MRUN]],Demographics[], 7,FALSE)</f>
        <v>3</v>
      </c>
      <c r="M205">
        <f>VLOOKUP(Scores[[#This Row],[MRUN]],Demographics[], 5, FALSE)</f>
        <v>1</v>
      </c>
    </row>
    <row r="206" spans="1:13" hidden="1" x14ac:dyDescent="0.2">
      <c r="A206" s="1">
        <v>11865835</v>
      </c>
      <c r="B206">
        <v>2</v>
      </c>
      <c r="C206">
        <v>3</v>
      </c>
      <c r="D206">
        <v>476</v>
      </c>
      <c r="E206">
        <v>444</v>
      </c>
      <c r="F206">
        <v>0</v>
      </c>
      <c r="G206">
        <v>0</v>
      </c>
      <c r="H206">
        <v>0</v>
      </c>
      <c r="I206">
        <f>VLOOKUP(Scores[[#This Row],[MRUN]],Demographics[],3,FALSE)</f>
        <v>4</v>
      </c>
      <c r="J206">
        <f>AVERAGE(Scores[[#This Row],[LYC]],Scores[[#This Row],[MATE]])</f>
        <v>222</v>
      </c>
      <c r="K206">
        <f>VLOOKUP(Scores[[#This Row],[MRUN]],Demographics[],6,FALSE)</f>
        <v>4</v>
      </c>
      <c r="L206">
        <f>VLOOKUP(Scores[[#This Row],[MRUN]],Demographics[], 7,FALSE)</f>
        <v>2</v>
      </c>
      <c r="M206">
        <f>VLOOKUP(Scores[[#This Row],[MRUN]],Demographics[], 5, FALSE)</f>
        <v>1</v>
      </c>
    </row>
    <row r="207" spans="1:13" hidden="1" x14ac:dyDescent="0.2">
      <c r="A207" s="1">
        <v>19876989</v>
      </c>
      <c r="B207">
        <v>1</v>
      </c>
      <c r="C207">
        <v>3</v>
      </c>
      <c r="D207">
        <v>397</v>
      </c>
      <c r="E207">
        <v>397</v>
      </c>
      <c r="F207">
        <v>413</v>
      </c>
      <c r="G207">
        <v>484</v>
      </c>
      <c r="H207">
        <v>0</v>
      </c>
      <c r="I207">
        <f>VLOOKUP(Scores[[#This Row],[MRUN]],Demographics[],3,FALSE)</f>
        <v>5</v>
      </c>
      <c r="J207">
        <f>AVERAGE(Scores[[#This Row],[LYC]],Scores[[#This Row],[MATE]])</f>
        <v>405</v>
      </c>
      <c r="K207">
        <f>VLOOKUP(Scores[[#This Row],[MRUN]],Demographics[],6,FALSE)</f>
        <v>5</v>
      </c>
      <c r="L207">
        <f>VLOOKUP(Scores[[#This Row],[MRUN]],Demographics[], 7,FALSE)</f>
        <v>3</v>
      </c>
      <c r="M207">
        <f>VLOOKUP(Scores[[#This Row],[MRUN]],Demographics[], 5, FALSE)</f>
        <v>1</v>
      </c>
    </row>
    <row r="208" spans="1:13" hidden="1" x14ac:dyDescent="0.2">
      <c r="A208" s="1">
        <v>10797503</v>
      </c>
      <c r="B208">
        <v>1</v>
      </c>
      <c r="C208">
        <v>3</v>
      </c>
      <c r="D208">
        <v>496</v>
      </c>
      <c r="E208">
        <v>618</v>
      </c>
      <c r="F208">
        <v>644</v>
      </c>
      <c r="G208">
        <v>692</v>
      </c>
      <c r="H208">
        <v>0</v>
      </c>
      <c r="I208">
        <f>VLOOKUP(Scores[[#This Row],[MRUN]],Demographics[],3,FALSE)</f>
        <v>5</v>
      </c>
      <c r="J208">
        <f>AVERAGE(Scores[[#This Row],[LYC]],Scores[[#This Row],[MATE]])</f>
        <v>631</v>
      </c>
      <c r="K208">
        <f>VLOOKUP(Scores[[#This Row],[MRUN]],Demographics[],6,FALSE)</f>
        <v>5</v>
      </c>
      <c r="L208">
        <f>VLOOKUP(Scores[[#This Row],[MRUN]],Demographics[], 7,FALSE)</f>
        <v>5</v>
      </c>
      <c r="M208">
        <f>VLOOKUP(Scores[[#This Row],[MRUN]],Demographics[], 5, FALSE)</f>
        <v>1</v>
      </c>
    </row>
    <row r="209" spans="1:13" hidden="1" x14ac:dyDescent="0.2">
      <c r="A209" s="1">
        <v>20549603</v>
      </c>
      <c r="B209">
        <v>1</v>
      </c>
      <c r="C209">
        <v>3</v>
      </c>
      <c r="D209">
        <v>400</v>
      </c>
      <c r="E209">
        <v>0</v>
      </c>
      <c r="F209">
        <v>0</v>
      </c>
      <c r="G209">
        <v>0</v>
      </c>
      <c r="H209">
        <v>0</v>
      </c>
      <c r="I209">
        <f>VLOOKUP(Scores[[#This Row],[MRUN]],Demographics[],3,FALSE)</f>
        <v>3</v>
      </c>
      <c r="J209">
        <f>AVERAGE(Scores[[#This Row],[LYC]],Scores[[#This Row],[MATE]])</f>
        <v>0</v>
      </c>
      <c r="K209">
        <f>VLOOKUP(Scores[[#This Row],[MRUN]],Demographics[],6,FALSE)</f>
        <v>10</v>
      </c>
      <c r="L209">
        <f>VLOOKUP(Scores[[#This Row],[MRUN]],Demographics[], 7,FALSE)</f>
        <v>4</v>
      </c>
      <c r="M209">
        <f>VLOOKUP(Scores[[#This Row],[MRUN]],Demographics[], 5, FALSE)</f>
        <v>1</v>
      </c>
    </row>
    <row r="210" spans="1:13" hidden="1" x14ac:dyDescent="0.2">
      <c r="A210" s="1">
        <v>1424007</v>
      </c>
      <c r="B210">
        <v>1</v>
      </c>
      <c r="C210">
        <v>2</v>
      </c>
      <c r="D210">
        <v>397</v>
      </c>
      <c r="E210">
        <v>276</v>
      </c>
      <c r="F210">
        <v>300</v>
      </c>
      <c r="G210">
        <v>388</v>
      </c>
      <c r="H210">
        <v>0</v>
      </c>
      <c r="I210">
        <f>VLOOKUP(Scores[[#This Row],[MRUN]],Demographics[],3,FALSE)</f>
        <v>6</v>
      </c>
      <c r="J210">
        <f>AVERAGE(Scores[[#This Row],[LYC]],Scores[[#This Row],[MATE]])</f>
        <v>288</v>
      </c>
      <c r="K210">
        <f>VLOOKUP(Scores[[#This Row],[MRUN]],Demographics[],6,FALSE)</f>
        <v>5</v>
      </c>
      <c r="L210">
        <f>VLOOKUP(Scores[[#This Row],[MRUN]],Demographics[], 7,FALSE)</f>
        <v>3</v>
      </c>
      <c r="M210">
        <f>VLOOKUP(Scores[[#This Row],[MRUN]],Demographics[], 5, FALSE)</f>
        <v>1</v>
      </c>
    </row>
    <row r="211" spans="1:13" hidden="1" x14ac:dyDescent="0.2">
      <c r="A211" s="1">
        <v>18415640</v>
      </c>
      <c r="B211">
        <v>2</v>
      </c>
      <c r="C211">
        <v>2</v>
      </c>
      <c r="D211">
        <v>499</v>
      </c>
      <c r="E211">
        <v>586</v>
      </c>
      <c r="F211">
        <v>413</v>
      </c>
      <c r="G211">
        <v>597</v>
      </c>
      <c r="H211">
        <v>0</v>
      </c>
      <c r="I211">
        <f>VLOOKUP(Scores[[#This Row],[MRUN]],Demographics[],3,FALSE)</f>
        <v>6</v>
      </c>
      <c r="J211">
        <f>AVERAGE(Scores[[#This Row],[LYC]],Scores[[#This Row],[MATE]])</f>
        <v>499.5</v>
      </c>
      <c r="K211">
        <f>VLOOKUP(Scores[[#This Row],[MRUN]],Demographics[],6,FALSE)</f>
        <v>3</v>
      </c>
      <c r="L211">
        <f>VLOOKUP(Scores[[#This Row],[MRUN]],Demographics[], 7,FALSE)</f>
        <v>3</v>
      </c>
      <c r="M211">
        <f>VLOOKUP(Scores[[#This Row],[MRUN]],Demographics[], 5, FALSE)</f>
        <v>1</v>
      </c>
    </row>
    <row r="212" spans="1:13" hidden="1" x14ac:dyDescent="0.2">
      <c r="A212" s="1">
        <v>2193773</v>
      </c>
      <c r="B212">
        <v>1</v>
      </c>
      <c r="C212">
        <v>3</v>
      </c>
      <c r="D212">
        <v>641</v>
      </c>
      <c r="E212">
        <v>592</v>
      </c>
      <c r="F212">
        <v>692</v>
      </c>
      <c r="G212">
        <v>0</v>
      </c>
      <c r="H212">
        <v>591</v>
      </c>
      <c r="I212">
        <f>VLOOKUP(Scores[[#This Row],[MRUN]],Demographics[],3,FALSE)</f>
        <v>4</v>
      </c>
      <c r="J212">
        <f>AVERAGE(Scores[[#This Row],[LYC]],Scores[[#This Row],[MATE]])</f>
        <v>642</v>
      </c>
      <c r="K212">
        <f>VLOOKUP(Scores[[#This Row],[MRUN]],Demographics[],6,FALSE)</f>
        <v>4</v>
      </c>
      <c r="L212">
        <f>VLOOKUP(Scores[[#This Row],[MRUN]],Demographics[], 7,FALSE)</f>
        <v>5</v>
      </c>
      <c r="M212">
        <f>VLOOKUP(Scores[[#This Row],[MRUN]],Demographics[], 5, FALSE)</f>
        <v>1</v>
      </c>
    </row>
    <row r="213" spans="1:13" hidden="1" x14ac:dyDescent="0.2">
      <c r="A213" s="1">
        <v>11925562</v>
      </c>
      <c r="B213">
        <v>1</v>
      </c>
      <c r="C213">
        <v>3</v>
      </c>
      <c r="D213">
        <v>0</v>
      </c>
      <c r="E213">
        <v>345</v>
      </c>
      <c r="F213">
        <v>480</v>
      </c>
      <c r="G213">
        <v>442</v>
      </c>
      <c r="H213">
        <v>0</v>
      </c>
      <c r="I213">
        <f>VLOOKUP(Scores[[#This Row],[MRUN]],Demographics[],3,FALSE)</f>
        <v>6</v>
      </c>
      <c r="J213">
        <f>AVERAGE(Scores[[#This Row],[LYC]],Scores[[#This Row],[MATE]])</f>
        <v>412.5</v>
      </c>
      <c r="K213">
        <f>VLOOKUP(Scores[[#This Row],[MRUN]],Demographics[],6,FALSE)</f>
        <v>5</v>
      </c>
      <c r="L213">
        <f>VLOOKUP(Scores[[#This Row],[MRUN]],Demographics[], 7,FALSE)</f>
        <v>5</v>
      </c>
      <c r="M213">
        <f>VLOOKUP(Scores[[#This Row],[MRUN]],Demographics[], 5, FALSE)</f>
        <v>1</v>
      </c>
    </row>
    <row r="214" spans="1:13" hidden="1" x14ac:dyDescent="0.2">
      <c r="A214" s="1">
        <v>8953072</v>
      </c>
      <c r="B214">
        <v>2</v>
      </c>
      <c r="C214">
        <v>2</v>
      </c>
      <c r="D214">
        <v>517</v>
      </c>
      <c r="E214">
        <v>618</v>
      </c>
      <c r="F214">
        <v>501</v>
      </c>
      <c r="G214">
        <v>567</v>
      </c>
      <c r="H214">
        <v>391</v>
      </c>
      <c r="I214">
        <f>VLOOKUP(Scores[[#This Row],[MRUN]],Demographics[],3,FALSE)</f>
        <v>4</v>
      </c>
      <c r="J214">
        <f>AVERAGE(Scores[[#This Row],[LYC]],Scores[[#This Row],[MATE]])</f>
        <v>559.5</v>
      </c>
      <c r="K214">
        <f>VLOOKUP(Scores[[#This Row],[MRUN]],Demographics[],6,FALSE)</f>
        <v>5</v>
      </c>
      <c r="L214">
        <f>VLOOKUP(Scores[[#This Row],[MRUN]],Demographics[], 7,FALSE)</f>
        <v>5</v>
      </c>
      <c r="M214">
        <f>VLOOKUP(Scores[[#This Row],[MRUN]],Demographics[], 5, FALSE)</f>
        <v>1</v>
      </c>
    </row>
    <row r="215" spans="1:13" hidden="1" x14ac:dyDescent="0.2">
      <c r="A215" s="1">
        <v>12337459</v>
      </c>
      <c r="B215">
        <v>1</v>
      </c>
      <c r="C215">
        <v>3</v>
      </c>
      <c r="D215">
        <v>481</v>
      </c>
      <c r="E215">
        <v>505</v>
      </c>
      <c r="F215">
        <v>376</v>
      </c>
      <c r="G215">
        <v>479</v>
      </c>
      <c r="H215">
        <v>0</v>
      </c>
      <c r="I215">
        <f>VLOOKUP(Scores[[#This Row],[MRUN]],Demographics[],3,FALSE)</f>
        <v>2</v>
      </c>
      <c r="J215">
        <f>AVERAGE(Scores[[#This Row],[LYC]],Scores[[#This Row],[MATE]])</f>
        <v>440.5</v>
      </c>
      <c r="K215">
        <f>VLOOKUP(Scores[[#This Row],[MRUN]],Demographics[],6,FALSE)</f>
        <v>8</v>
      </c>
      <c r="L215">
        <f>VLOOKUP(Scores[[#This Row],[MRUN]],Demographics[], 7,FALSE)</f>
        <v>9</v>
      </c>
      <c r="M215">
        <f>VLOOKUP(Scores[[#This Row],[MRUN]],Demographics[], 5, FALSE)</f>
        <v>1</v>
      </c>
    </row>
    <row r="216" spans="1:13" hidden="1" x14ac:dyDescent="0.2">
      <c r="A216" s="1">
        <v>20486454</v>
      </c>
      <c r="B216">
        <v>2</v>
      </c>
      <c r="C216">
        <v>2</v>
      </c>
      <c r="D216">
        <v>499</v>
      </c>
      <c r="E216">
        <v>0</v>
      </c>
      <c r="F216">
        <v>0</v>
      </c>
      <c r="G216">
        <v>0</v>
      </c>
      <c r="H216">
        <v>0</v>
      </c>
      <c r="I216">
        <f>VLOOKUP(Scores[[#This Row],[MRUN]],Demographics[],3,FALSE)</f>
        <v>6</v>
      </c>
      <c r="J216">
        <f>AVERAGE(Scores[[#This Row],[LYC]],Scores[[#This Row],[MATE]])</f>
        <v>0</v>
      </c>
      <c r="K216">
        <f>VLOOKUP(Scores[[#This Row],[MRUN]],Demographics[],6,FALSE)</f>
        <v>5</v>
      </c>
      <c r="L216">
        <f>VLOOKUP(Scores[[#This Row],[MRUN]],Demographics[], 7,FALSE)</f>
        <v>5</v>
      </c>
      <c r="M216">
        <f>VLOOKUP(Scores[[#This Row],[MRUN]],Demographics[], 5, FALSE)</f>
        <v>1</v>
      </c>
    </row>
    <row r="217" spans="1:13" hidden="1" x14ac:dyDescent="0.2">
      <c r="A217" s="1">
        <v>11542365</v>
      </c>
      <c r="B217">
        <v>1</v>
      </c>
      <c r="C217">
        <v>2</v>
      </c>
      <c r="D217">
        <v>435</v>
      </c>
      <c r="E217">
        <v>276</v>
      </c>
      <c r="F217">
        <v>328</v>
      </c>
      <c r="G217">
        <v>370</v>
      </c>
      <c r="H217">
        <v>0</v>
      </c>
      <c r="I217">
        <f>VLOOKUP(Scores[[#This Row],[MRUN]],Demographics[],3,FALSE)</f>
        <v>5</v>
      </c>
      <c r="J217">
        <f>AVERAGE(Scores[[#This Row],[LYC]],Scores[[#This Row],[MATE]])</f>
        <v>302</v>
      </c>
      <c r="K217">
        <f>VLOOKUP(Scores[[#This Row],[MRUN]],Demographics[],6,FALSE)</f>
        <v>4</v>
      </c>
      <c r="L217">
        <f>VLOOKUP(Scores[[#This Row],[MRUN]],Demographics[], 7,FALSE)</f>
        <v>4</v>
      </c>
      <c r="M217">
        <f>VLOOKUP(Scores[[#This Row],[MRUN]],Demographics[], 5, FALSE)</f>
        <v>1</v>
      </c>
    </row>
    <row r="218" spans="1:13" hidden="1" x14ac:dyDescent="0.2">
      <c r="A218" s="1">
        <v>2112157</v>
      </c>
      <c r="B218">
        <v>1</v>
      </c>
      <c r="C218">
        <v>4</v>
      </c>
      <c r="D218">
        <v>641</v>
      </c>
      <c r="E218">
        <v>717</v>
      </c>
      <c r="F218">
        <v>738</v>
      </c>
      <c r="G218">
        <v>756</v>
      </c>
      <c r="H218">
        <v>738</v>
      </c>
      <c r="I218">
        <f>VLOOKUP(Scores[[#This Row],[MRUN]],Demographics[],3,FALSE)</f>
        <v>5</v>
      </c>
      <c r="J218">
        <f>AVERAGE(Scores[[#This Row],[LYC]],Scores[[#This Row],[MATE]])</f>
        <v>727.5</v>
      </c>
      <c r="K218">
        <f>VLOOKUP(Scores[[#This Row],[MRUN]],Demographics[],6,FALSE)</f>
        <v>9</v>
      </c>
      <c r="L218">
        <f>VLOOKUP(Scores[[#This Row],[MRUN]],Demographics[], 7,FALSE)</f>
        <v>5</v>
      </c>
      <c r="M218">
        <f>VLOOKUP(Scores[[#This Row],[MRUN]],Demographics[], 5, FALSE)</f>
        <v>6</v>
      </c>
    </row>
    <row r="219" spans="1:13" hidden="1" x14ac:dyDescent="0.2">
      <c r="A219" s="1">
        <v>474805</v>
      </c>
      <c r="B219">
        <v>2</v>
      </c>
      <c r="C219">
        <v>4</v>
      </c>
      <c r="D219">
        <v>435</v>
      </c>
      <c r="E219">
        <v>494</v>
      </c>
      <c r="F219">
        <v>441</v>
      </c>
      <c r="G219">
        <v>466</v>
      </c>
      <c r="H219">
        <v>0</v>
      </c>
      <c r="I219">
        <f>VLOOKUP(Scores[[#This Row],[MRUN]],Demographics[],3,FALSE)</f>
        <v>5</v>
      </c>
      <c r="J219">
        <f>AVERAGE(Scores[[#This Row],[LYC]],Scores[[#This Row],[MATE]])</f>
        <v>467.5</v>
      </c>
      <c r="K219">
        <f>VLOOKUP(Scores[[#This Row],[MRUN]],Demographics[],6,FALSE)</f>
        <v>9</v>
      </c>
      <c r="L219">
        <f>VLOOKUP(Scores[[#This Row],[MRUN]],Demographics[], 7,FALSE)</f>
        <v>7</v>
      </c>
      <c r="M219">
        <f>VLOOKUP(Scores[[#This Row],[MRUN]],Demographics[], 5, FALSE)</f>
        <v>3</v>
      </c>
    </row>
    <row r="220" spans="1:13" hidden="1" x14ac:dyDescent="0.2">
      <c r="A220" s="1">
        <v>6328040</v>
      </c>
      <c r="B220">
        <v>1</v>
      </c>
      <c r="C220">
        <v>3</v>
      </c>
      <c r="D220">
        <v>0</v>
      </c>
      <c r="E220">
        <v>333</v>
      </c>
      <c r="F220">
        <v>248</v>
      </c>
      <c r="G220">
        <v>359</v>
      </c>
      <c r="H220">
        <v>361</v>
      </c>
      <c r="I220">
        <f>VLOOKUP(Scores[[#This Row],[MRUN]],Demographics[],3,FALSE)</f>
        <v>8</v>
      </c>
      <c r="J220">
        <f>AVERAGE(Scores[[#This Row],[LYC]],Scores[[#This Row],[MATE]])</f>
        <v>290.5</v>
      </c>
      <c r="K220">
        <f>VLOOKUP(Scores[[#This Row],[MRUN]],Demographics[],6,FALSE)</f>
        <v>2</v>
      </c>
      <c r="L220">
        <f>VLOOKUP(Scores[[#This Row],[MRUN]],Demographics[], 7,FALSE)</f>
        <v>2</v>
      </c>
      <c r="M220">
        <f>VLOOKUP(Scores[[#This Row],[MRUN]],Demographics[], 5, FALSE)</f>
        <v>1</v>
      </c>
    </row>
    <row r="221" spans="1:13" hidden="1" x14ac:dyDescent="0.2">
      <c r="A221" s="1">
        <v>16575627</v>
      </c>
      <c r="B221">
        <v>2</v>
      </c>
      <c r="C221">
        <v>3</v>
      </c>
      <c r="D221">
        <v>601</v>
      </c>
      <c r="E221">
        <v>499</v>
      </c>
      <c r="F221">
        <v>274</v>
      </c>
      <c r="G221">
        <v>359</v>
      </c>
      <c r="H221">
        <v>0</v>
      </c>
      <c r="I221">
        <f>VLOOKUP(Scores[[#This Row],[MRUN]],Demographics[],3,FALSE)</f>
        <v>5</v>
      </c>
      <c r="J221">
        <f>AVERAGE(Scores[[#This Row],[LYC]],Scores[[#This Row],[MATE]])</f>
        <v>386.5</v>
      </c>
      <c r="K221">
        <f>VLOOKUP(Scores[[#This Row],[MRUN]],Demographics[],6,FALSE)</f>
        <v>2</v>
      </c>
      <c r="L221">
        <f>VLOOKUP(Scores[[#This Row],[MRUN]],Demographics[], 7,FALSE)</f>
        <v>2</v>
      </c>
      <c r="M221">
        <f>VLOOKUP(Scores[[#This Row],[MRUN]],Demographics[], 5, FALSE)</f>
        <v>1</v>
      </c>
    </row>
    <row r="222" spans="1:13" hidden="1" x14ac:dyDescent="0.2">
      <c r="A222" s="1">
        <v>5582344</v>
      </c>
      <c r="B222">
        <v>1</v>
      </c>
      <c r="C222">
        <v>3</v>
      </c>
      <c r="D222">
        <v>455</v>
      </c>
      <c r="E222">
        <v>483</v>
      </c>
      <c r="F222">
        <v>472</v>
      </c>
      <c r="G222">
        <v>495</v>
      </c>
      <c r="H222">
        <v>0</v>
      </c>
      <c r="I222">
        <f>VLOOKUP(Scores[[#This Row],[MRUN]],Demographics[],3,FALSE)</f>
        <v>5</v>
      </c>
      <c r="J222">
        <f>AVERAGE(Scores[[#This Row],[LYC]],Scores[[#This Row],[MATE]])</f>
        <v>477.5</v>
      </c>
      <c r="K222">
        <f>VLOOKUP(Scores[[#This Row],[MRUN]],Demographics[],6,FALSE)</f>
        <v>7</v>
      </c>
      <c r="L222">
        <f>VLOOKUP(Scores[[#This Row],[MRUN]],Demographics[], 7,FALSE)</f>
        <v>4</v>
      </c>
      <c r="M222">
        <f>VLOOKUP(Scores[[#This Row],[MRUN]],Demographics[], 5, FALSE)</f>
        <v>2</v>
      </c>
    </row>
    <row r="223" spans="1:13" hidden="1" x14ac:dyDescent="0.2">
      <c r="A223" s="1">
        <v>4262906</v>
      </c>
      <c r="B223">
        <v>1</v>
      </c>
      <c r="C223">
        <v>3</v>
      </c>
      <c r="D223">
        <v>620</v>
      </c>
      <c r="E223">
        <v>675</v>
      </c>
      <c r="F223">
        <v>589</v>
      </c>
      <c r="G223">
        <v>0</v>
      </c>
      <c r="H223">
        <v>631</v>
      </c>
      <c r="I223">
        <f>VLOOKUP(Scores[[#This Row],[MRUN]],Demographics[],3,FALSE)</f>
        <v>3</v>
      </c>
      <c r="J223">
        <f>AVERAGE(Scores[[#This Row],[LYC]],Scores[[#This Row],[MATE]])</f>
        <v>632</v>
      </c>
      <c r="K223">
        <f>VLOOKUP(Scores[[#This Row],[MRUN]],Demographics[],6,FALSE)</f>
        <v>7</v>
      </c>
      <c r="L223">
        <f>VLOOKUP(Scores[[#This Row],[MRUN]],Demographics[], 7,FALSE)</f>
        <v>9</v>
      </c>
      <c r="M223">
        <f>VLOOKUP(Scores[[#This Row],[MRUN]],Demographics[], 5, FALSE)</f>
        <v>2</v>
      </c>
    </row>
    <row r="224" spans="1:13" hidden="1" x14ac:dyDescent="0.2">
      <c r="A224" s="1">
        <v>4039068</v>
      </c>
      <c r="B224">
        <v>1</v>
      </c>
      <c r="C224">
        <v>3</v>
      </c>
      <c r="D224">
        <v>380</v>
      </c>
      <c r="E224">
        <v>438</v>
      </c>
      <c r="F224">
        <v>441</v>
      </c>
      <c r="G224">
        <v>473</v>
      </c>
      <c r="H224">
        <v>0</v>
      </c>
      <c r="I224">
        <f>VLOOKUP(Scores[[#This Row],[MRUN]],Demographics[],3,FALSE)</f>
        <v>5</v>
      </c>
      <c r="J224">
        <f>AVERAGE(Scores[[#This Row],[LYC]],Scores[[#This Row],[MATE]])</f>
        <v>439.5</v>
      </c>
      <c r="K224">
        <f>VLOOKUP(Scores[[#This Row],[MRUN]],Demographics[],6,FALSE)</f>
        <v>5</v>
      </c>
      <c r="L224">
        <f>VLOOKUP(Scores[[#This Row],[MRUN]],Demographics[], 7,FALSE)</f>
        <v>9</v>
      </c>
      <c r="M224">
        <f>VLOOKUP(Scores[[#This Row],[MRUN]],Demographics[], 5, FALSE)</f>
        <v>2</v>
      </c>
    </row>
    <row r="225" spans="1:13" hidden="1" x14ac:dyDescent="0.2">
      <c r="A225" s="1">
        <v>4496875</v>
      </c>
      <c r="B225">
        <v>1</v>
      </c>
      <c r="C225">
        <v>2</v>
      </c>
      <c r="D225">
        <v>458</v>
      </c>
      <c r="E225">
        <v>547</v>
      </c>
      <c r="F225">
        <v>501</v>
      </c>
      <c r="G225">
        <v>0</v>
      </c>
      <c r="H225">
        <v>539</v>
      </c>
      <c r="I225">
        <f>VLOOKUP(Scores[[#This Row],[MRUN]],Demographics[],3,FALSE)</f>
        <v>5</v>
      </c>
      <c r="J225">
        <f>AVERAGE(Scores[[#This Row],[LYC]],Scores[[#This Row],[MATE]])</f>
        <v>524</v>
      </c>
      <c r="K225">
        <f>VLOOKUP(Scores[[#This Row],[MRUN]],Demographics[],6,FALSE)</f>
        <v>3</v>
      </c>
      <c r="L225">
        <f>VLOOKUP(Scores[[#This Row],[MRUN]],Demographics[], 7,FALSE)</f>
        <v>2</v>
      </c>
      <c r="M225">
        <f>VLOOKUP(Scores[[#This Row],[MRUN]],Demographics[], 5, FALSE)</f>
        <v>1</v>
      </c>
    </row>
    <row r="226" spans="1:13" hidden="1" x14ac:dyDescent="0.2">
      <c r="A226" s="1">
        <v>21918367</v>
      </c>
      <c r="B226">
        <v>1</v>
      </c>
      <c r="C226">
        <v>3</v>
      </c>
      <c r="D226">
        <v>478</v>
      </c>
      <c r="E226">
        <v>505</v>
      </c>
      <c r="F226">
        <v>560</v>
      </c>
      <c r="G226">
        <v>512</v>
      </c>
      <c r="H226">
        <v>0</v>
      </c>
      <c r="I226">
        <f>VLOOKUP(Scores[[#This Row],[MRUN]],Demographics[],3,FALSE)</f>
        <v>3</v>
      </c>
      <c r="J226">
        <f>AVERAGE(Scores[[#This Row],[LYC]],Scores[[#This Row],[MATE]])</f>
        <v>532.5</v>
      </c>
      <c r="K226">
        <f>VLOOKUP(Scores[[#This Row],[MRUN]],Demographics[],6,FALSE)</f>
        <v>4</v>
      </c>
      <c r="L226">
        <f>VLOOKUP(Scores[[#This Row],[MRUN]],Demographics[], 7,FALSE)</f>
        <v>4</v>
      </c>
      <c r="M226">
        <f>VLOOKUP(Scores[[#This Row],[MRUN]],Demographics[], 5, FALSE)</f>
        <v>1</v>
      </c>
    </row>
    <row r="227" spans="1:13" hidden="1" x14ac:dyDescent="0.2">
      <c r="A227" s="1">
        <v>8380322</v>
      </c>
      <c r="B227">
        <v>2</v>
      </c>
      <c r="C227">
        <v>2</v>
      </c>
      <c r="D227">
        <v>723</v>
      </c>
      <c r="E227">
        <v>537</v>
      </c>
      <c r="F227">
        <v>545</v>
      </c>
      <c r="G227">
        <v>572</v>
      </c>
      <c r="H227">
        <v>0</v>
      </c>
      <c r="I227">
        <f>VLOOKUP(Scores[[#This Row],[MRUN]],Demographics[],3,FALSE)</f>
        <v>4</v>
      </c>
      <c r="J227">
        <f>AVERAGE(Scores[[#This Row],[LYC]],Scores[[#This Row],[MATE]])</f>
        <v>541</v>
      </c>
      <c r="K227">
        <f>VLOOKUP(Scores[[#This Row],[MRUN]],Demographics[],6,FALSE)</f>
        <v>5</v>
      </c>
      <c r="L227">
        <f>VLOOKUP(Scores[[#This Row],[MRUN]],Demographics[], 7,FALSE)</f>
        <v>3</v>
      </c>
      <c r="M227">
        <f>VLOOKUP(Scores[[#This Row],[MRUN]],Demographics[], 5, FALSE)</f>
        <v>1</v>
      </c>
    </row>
    <row r="228" spans="1:13" hidden="1" x14ac:dyDescent="0.2">
      <c r="A228" s="1">
        <v>10718885</v>
      </c>
      <c r="B228">
        <v>2</v>
      </c>
      <c r="C228">
        <v>2</v>
      </c>
      <c r="D228">
        <v>501</v>
      </c>
      <c r="E228">
        <v>0</v>
      </c>
      <c r="F228">
        <v>0</v>
      </c>
      <c r="G228">
        <v>0</v>
      </c>
      <c r="H228">
        <v>0</v>
      </c>
      <c r="I228">
        <f>VLOOKUP(Scores[[#This Row],[MRUN]],Demographics[],3,FALSE)</f>
        <v>6</v>
      </c>
      <c r="J228">
        <f>AVERAGE(Scores[[#This Row],[LYC]],Scores[[#This Row],[MATE]])</f>
        <v>0</v>
      </c>
      <c r="K228">
        <f>VLOOKUP(Scores[[#This Row],[MRUN]],Demographics[],6,FALSE)</f>
        <v>2</v>
      </c>
      <c r="L228">
        <f>VLOOKUP(Scores[[#This Row],[MRUN]],Demographics[], 7,FALSE)</f>
        <v>2</v>
      </c>
      <c r="M228">
        <f>VLOOKUP(Scores[[#This Row],[MRUN]],Demographics[], 5, FALSE)</f>
        <v>1</v>
      </c>
    </row>
    <row r="229" spans="1:13" hidden="1" x14ac:dyDescent="0.2">
      <c r="A229" s="1">
        <v>7678589</v>
      </c>
      <c r="B229">
        <v>1</v>
      </c>
      <c r="C229">
        <v>2</v>
      </c>
      <c r="D229">
        <v>437</v>
      </c>
      <c r="E229">
        <v>0</v>
      </c>
      <c r="F229">
        <v>0</v>
      </c>
      <c r="G229">
        <v>0</v>
      </c>
      <c r="H229">
        <v>0</v>
      </c>
      <c r="I229">
        <f>VLOOKUP(Scores[[#This Row],[MRUN]],Demographics[],3,FALSE)</f>
        <v>4</v>
      </c>
      <c r="J229">
        <f>AVERAGE(Scores[[#This Row],[LYC]],Scores[[#This Row],[MATE]])</f>
        <v>0</v>
      </c>
      <c r="K229">
        <f>VLOOKUP(Scores[[#This Row],[MRUN]],Demographics[],6,FALSE)</f>
        <v>0</v>
      </c>
      <c r="L229">
        <f>VLOOKUP(Scores[[#This Row],[MRUN]],Demographics[], 7,FALSE)</f>
        <v>5</v>
      </c>
      <c r="M229">
        <f>VLOOKUP(Scores[[#This Row],[MRUN]],Demographics[], 5, FALSE)</f>
        <v>1</v>
      </c>
    </row>
    <row r="230" spans="1:13" hidden="1" x14ac:dyDescent="0.2">
      <c r="A230" s="1">
        <v>11808641</v>
      </c>
      <c r="B230">
        <v>1</v>
      </c>
      <c r="C230">
        <v>2</v>
      </c>
      <c r="D230">
        <v>455</v>
      </c>
      <c r="E230">
        <v>438</v>
      </c>
      <c r="F230">
        <v>517</v>
      </c>
      <c r="G230">
        <v>0</v>
      </c>
      <c r="H230">
        <v>497</v>
      </c>
      <c r="I230">
        <f>VLOOKUP(Scores[[#This Row],[MRUN]],Demographics[],3,FALSE)</f>
        <v>2</v>
      </c>
      <c r="J230">
        <f>AVERAGE(Scores[[#This Row],[LYC]],Scores[[#This Row],[MATE]])</f>
        <v>477.5</v>
      </c>
      <c r="K230">
        <f>VLOOKUP(Scores[[#This Row],[MRUN]],Demographics[],6,FALSE)</f>
        <v>1</v>
      </c>
      <c r="L230">
        <f>VLOOKUP(Scores[[#This Row],[MRUN]],Demographics[], 7,FALSE)</f>
        <v>7</v>
      </c>
      <c r="M230">
        <f>VLOOKUP(Scores[[#This Row],[MRUN]],Demographics[], 5, FALSE)</f>
        <v>1</v>
      </c>
    </row>
    <row r="231" spans="1:13" hidden="1" x14ac:dyDescent="0.2">
      <c r="A231" s="1">
        <v>4432769</v>
      </c>
      <c r="B231">
        <v>2</v>
      </c>
      <c r="C231">
        <v>3</v>
      </c>
      <c r="D231">
        <v>621</v>
      </c>
      <c r="E231">
        <v>422</v>
      </c>
      <c r="F231">
        <v>353</v>
      </c>
      <c r="G231">
        <v>388</v>
      </c>
      <c r="H231">
        <v>0</v>
      </c>
      <c r="I231">
        <f>VLOOKUP(Scores[[#This Row],[MRUN]],Demographics[],3,FALSE)</f>
        <v>5</v>
      </c>
      <c r="J231">
        <f>AVERAGE(Scores[[#This Row],[LYC]],Scores[[#This Row],[MATE]])</f>
        <v>387.5</v>
      </c>
      <c r="K231">
        <f>VLOOKUP(Scores[[#This Row],[MRUN]],Demographics[],6,FALSE)</f>
        <v>10</v>
      </c>
      <c r="L231">
        <f>VLOOKUP(Scores[[#This Row],[MRUN]],Demographics[], 7,FALSE)</f>
        <v>2</v>
      </c>
      <c r="M231">
        <f>VLOOKUP(Scores[[#This Row],[MRUN]],Demographics[], 5, FALSE)</f>
        <v>1</v>
      </c>
    </row>
    <row r="232" spans="1:13" hidden="1" x14ac:dyDescent="0.2">
      <c r="A232" s="1">
        <v>3899161</v>
      </c>
      <c r="B232">
        <v>1</v>
      </c>
      <c r="C232">
        <v>3</v>
      </c>
      <c r="D232">
        <v>458</v>
      </c>
      <c r="E232">
        <v>378</v>
      </c>
      <c r="F232">
        <v>413</v>
      </c>
      <c r="G232">
        <v>537</v>
      </c>
      <c r="H232">
        <v>528</v>
      </c>
      <c r="I232">
        <f>VLOOKUP(Scores[[#This Row],[MRUN]],Demographics[],3,FALSE)</f>
        <v>4</v>
      </c>
      <c r="J232">
        <f>AVERAGE(Scores[[#This Row],[LYC]],Scores[[#This Row],[MATE]])</f>
        <v>395.5</v>
      </c>
      <c r="K232">
        <f>VLOOKUP(Scores[[#This Row],[MRUN]],Demographics[],6,FALSE)</f>
        <v>2</v>
      </c>
      <c r="L232">
        <f>VLOOKUP(Scores[[#This Row],[MRUN]],Demographics[], 7,FALSE)</f>
        <v>2</v>
      </c>
      <c r="M232">
        <f>VLOOKUP(Scores[[#This Row],[MRUN]],Demographics[], 5, FALSE)</f>
        <v>1</v>
      </c>
    </row>
    <row r="233" spans="1:13" hidden="1" x14ac:dyDescent="0.2">
      <c r="A233" s="1">
        <v>396348</v>
      </c>
      <c r="B233">
        <v>1</v>
      </c>
      <c r="C233">
        <v>2</v>
      </c>
      <c r="D233">
        <v>417</v>
      </c>
      <c r="E233">
        <v>464</v>
      </c>
      <c r="F233">
        <v>353</v>
      </c>
      <c r="G233">
        <v>578</v>
      </c>
      <c r="H233">
        <v>0</v>
      </c>
      <c r="I233">
        <f>VLOOKUP(Scores[[#This Row],[MRUN]],Demographics[],3,FALSE)</f>
        <v>5</v>
      </c>
      <c r="J233">
        <f>AVERAGE(Scores[[#This Row],[LYC]],Scores[[#This Row],[MATE]])</f>
        <v>408.5</v>
      </c>
      <c r="K233">
        <f>VLOOKUP(Scores[[#This Row],[MRUN]],Demographics[],6,FALSE)</f>
        <v>2</v>
      </c>
      <c r="L233">
        <f>VLOOKUP(Scores[[#This Row],[MRUN]],Demographics[], 7,FALSE)</f>
        <v>5</v>
      </c>
      <c r="M233">
        <f>VLOOKUP(Scores[[#This Row],[MRUN]],Demographics[], 5, FALSE)</f>
        <v>1</v>
      </c>
    </row>
    <row r="234" spans="1:13" hidden="1" x14ac:dyDescent="0.2">
      <c r="A234" s="1">
        <v>7023654</v>
      </c>
      <c r="B234">
        <v>1</v>
      </c>
      <c r="C234">
        <v>3</v>
      </c>
      <c r="D234">
        <v>519</v>
      </c>
      <c r="E234">
        <v>581</v>
      </c>
      <c r="F234">
        <v>472</v>
      </c>
      <c r="G234">
        <v>592</v>
      </c>
      <c r="H234">
        <v>0</v>
      </c>
      <c r="I234">
        <f>VLOOKUP(Scores[[#This Row],[MRUN]],Demographics[],3,FALSE)</f>
        <v>4</v>
      </c>
      <c r="J234">
        <f>AVERAGE(Scores[[#This Row],[LYC]],Scores[[#This Row],[MATE]])</f>
        <v>526.5</v>
      </c>
      <c r="K234">
        <f>VLOOKUP(Scores[[#This Row],[MRUN]],Demographics[],6,FALSE)</f>
        <v>4</v>
      </c>
      <c r="L234">
        <f>VLOOKUP(Scores[[#This Row],[MRUN]],Demographics[], 7,FALSE)</f>
        <v>2</v>
      </c>
      <c r="M234">
        <f>VLOOKUP(Scores[[#This Row],[MRUN]],Demographics[], 5, FALSE)</f>
        <v>2</v>
      </c>
    </row>
    <row r="235" spans="1:13" hidden="1" x14ac:dyDescent="0.2">
      <c r="A235" s="1">
        <v>13648500</v>
      </c>
      <c r="B235">
        <v>2</v>
      </c>
      <c r="C235">
        <v>3</v>
      </c>
      <c r="D235">
        <v>661</v>
      </c>
      <c r="E235">
        <v>0</v>
      </c>
      <c r="F235">
        <v>0</v>
      </c>
      <c r="G235">
        <v>0</v>
      </c>
      <c r="H235">
        <v>0</v>
      </c>
      <c r="I235">
        <f>VLOOKUP(Scores[[#This Row],[MRUN]],Demographics[],3,FALSE)</f>
        <v>5</v>
      </c>
      <c r="J235">
        <f>AVERAGE(Scores[[#This Row],[LYC]],Scores[[#This Row],[MATE]])</f>
        <v>0</v>
      </c>
      <c r="K235">
        <f>VLOOKUP(Scores[[#This Row],[MRUN]],Demographics[],6,FALSE)</f>
        <v>7</v>
      </c>
      <c r="L235">
        <f>VLOOKUP(Scores[[#This Row],[MRUN]],Demographics[], 7,FALSE)</f>
        <v>5</v>
      </c>
      <c r="M235">
        <f>VLOOKUP(Scores[[#This Row],[MRUN]],Demographics[], 5, FALSE)</f>
        <v>2</v>
      </c>
    </row>
    <row r="236" spans="1:13" hidden="1" x14ac:dyDescent="0.2">
      <c r="A236" s="1">
        <v>13745379</v>
      </c>
      <c r="B236">
        <v>2</v>
      </c>
      <c r="C236">
        <v>2</v>
      </c>
      <c r="D236">
        <v>435</v>
      </c>
      <c r="E236">
        <v>444</v>
      </c>
      <c r="F236">
        <v>328</v>
      </c>
      <c r="G236">
        <v>397</v>
      </c>
      <c r="H236">
        <v>391</v>
      </c>
      <c r="I236">
        <f>VLOOKUP(Scores[[#This Row],[MRUN]],Demographics[],3,FALSE)</f>
        <v>5</v>
      </c>
      <c r="J236">
        <f>AVERAGE(Scores[[#This Row],[LYC]],Scores[[#This Row],[MATE]])</f>
        <v>386</v>
      </c>
      <c r="K236">
        <f>VLOOKUP(Scores[[#This Row],[MRUN]],Demographics[],6,FALSE)</f>
        <v>0</v>
      </c>
      <c r="L236">
        <f>VLOOKUP(Scores[[#This Row],[MRUN]],Demographics[], 7,FALSE)</f>
        <v>2</v>
      </c>
      <c r="M236">
        <f>VLOOKUP(Scores[[#This Row],[MRUN]],Demographics[], 5, FALSE)</f>
        <v>1</v>
      </c>
    </row>
    <row r="237" spans="1:13" hidden="1" x14ac:dyDescent="0.2">
      <c r="A237" s="1">
        <v>12105560</v>
      </c>
      <c r="B237">
        <v>2</v>
      </c>
      <c r="C237">
        <v>2</v>
      </c>
      <c r="D237">
        <v>519</v>
      </c>
      <c r="E237">
        <v>494</v>
      </c>
      <c r="F237">
        <v>472</v>
      </c>
      <c r="G237">
        <v>541</v>
      </c>
      <c r="H237">
        <v>428</v>
      </c>
      <c r="I237">
        <f>VLOOKUP(Scores[[#This Row],[MRUN]],Demographics[],3,FALSE)</f>
        <v>7</v>
      </c>
      <c r="J237">
        <f>AVERAGE(Scores[[#This Row],[LYC]],Scores[[#This Row],[MATE]])</f>
        <v>483</v>
      </c>
      <c r="K237">
        <f>VLOOKUP(Scores[[#This Row],[MRUN]],Demographics[],6,FALSE)</f>
        <v>9</v>
      </c>
      <c r="L237">
        <f>VLOOKUP(Scores[[#This Row],[MRUN]],Demographics[], 7,FALSE)</f>
        <v>4</v>
      </c>
      <c r="M237">
        <f>VLOOKUP(Scores[[#This Row],[MRUN]],Demographics[], 5, FALSE)</f>
        <v>2</v>
      </c>
    </row>
    <row r="238" spans="1:13" hidden="1" x14ac:dyDescent="0.2">
      <c r="A238" s="1">
        <v>21598174</v>
      </c>
      <c r="B238">
        <v>2</v>
      </c>
      <c r="C238">
        <v>3</v>
      </c>
      <c r="D238">
        <v>356</v>
      </c>
      <c r="E238">
        <v>158</v>
      </c>
      <c r="F238">
        <v>196</v>
      </c>
      <c r="G238">
        <v>320</v>
      </c>
      <c r="H238">
        <v>0</v>
      </c>
      <c r="I238">
        <f>VLOOKUP(Scores[[#This Row],[MRUN]],Demographics[],3,FALSE)</f>
        <v>9</v>
      </c>
      <c r="J238">
        <f>AVERAGE(Scores[[#This Row],[LYC]],Scores[[#This Row],[MATE]])</f>
        <v>177</v>
      </c>
      <c r="K238">
        <f>VLOOKUP(Scores[[#This Row],[MRUN]],Demographics[],6,FALSE)</f>
        <v>2</v>
      </c>
      <c r="L238">
        <f>VLOOKUP(Scores[[#This Row],[MRUN]],Demographics[], 7,FALSE)</f>
        <v>1</v>
      </c>
      <c r="M238">
        <f>VLOOKUP(Scores[[#This Row],[MRUN]],Demographics[], 5, FALSE)</f>
        <v>1</v>
      </c>
    </row>
    <row r="239" spans="1:13" hidden="1" x14ac:dyDescent="0.2">
      <c r="A239" s="1">
        <v>3557563</v>
      </c>
      <c r="B239">
        <v>1</v>
      </c>
      <c r="C239">
        <v>2</v>
      </c>
      <c r="D239">
        <v>517</v>
      </c>
      <c r="E239">
        <v>0</v>
      </c>
      <c r="F239">
        <v>0</v>
      </c>
      <c r="G239">
        <v>0</v>
      </c>
      <c r="H239">
        <v>0</v>
      </c>
      <c r="I239">
        <f>VLOOKUP(Scores[[#This Row],[MRUN]],Demographics[],3,FALSE)</f>
        <v>5</v>
      </c>
      <c r="J239">
        <f>AVERAGE(Scores[[#This Row],[LYC]],Scores[[#This Row],[MATE]])</f>
        <v>0</v>
      </c>
      <c r="K239">
        <f>VLOOKUP(Scores[[#This Row],[MRUN]],Demographics[],6,FALSE)</f>
        <v>5</v>
      </c>
      <c r="L239">
        <f>VLOOKUP(Scores[[#This Row],[MRUN]],Demographics[], 7,FALSE)</f>
        <v>3</v>
      </c>
      <c r="M239">
        <f>VLOOKUP(Scores[[#This Row],[MRUN]],Demographics[], 5, FALSE)</f>
        <v>1</v>
      </c>
    </row>
    <row r="240" spans="1:13" hidden="1" x14ac:dyDescent="0.2">
      <c r="A240" s="1">
        <v>4568255</v>
      </c>
      <c r="B240">
        <v>1</v>
      </c>
      <c r="C240">
        <v>4</v>
      </c>
      <c r="D240">
        <v>476</v>
      </c>
      <c r="E240">
        <v>458</v>
      </c>
      <c r="F240">
        <v>487</v>
      </c>
      <c r="G240">
        <v>0</v>
      </c>
      <c r="H240">
        <v>528</v>
      </c>
      <c r="I240">
        <f>VLOOKUP(Scores[[#This Row],[MRUN]],Demographics[],3,FALSE)</f>
        <v>6</v>
      </c>
      <c r="J240">
        <f>AVERAGE(Scores[[#This Row],[LYC]],Scores[[#This Row],[MATE]])</f>
        <v>472.5</v>
      </c>
      <c r="K240">
        <f>VLOOKUP(Scores[[#This Row],[MRUN]],Demographics[],6,FALSE)</f>
        <v>8</v>
      </c>
      <c r="L240">
        <f>VLOOKUP(Scores[[#This Row],[MRUN]],Demographics[], 7,FALSE)</f>
        <v>9</v>
      </c>
      <c r="M240">
        <f>VLOOKUP(Scores[[#This Row],[MRUN]],Demographics[], 5, FALSE)</f>
        <v>3</v>
      </c>
    </row>
    <row r="241" spans="1:13" hidden="1" x14ac:dyDescent="0.2">
      <c r="A241" s="1">
        <v>7042176</v>
      </c>
      <c r="B241">
        <v>1</v>
      </c>
      <c r="C241">
        <v>2</v>
      </c>
      <c r="D241">
        <v>620</v>
      </c>
      <c r="E241">
        <v>0</v>
      </c>
      <c r="F241">
        <v>0</v>
      </c>
      <c r="G241">
        <v>0</v>
      </c>
      <c r="H241">
        <v>0</v>
      </c>
      <c r="I241">
        <f>VLOOKUP(Scores[[#This Row],[MRUN]],Demographics[],3,FALSE)</f>
        <v>4</v>
      </c>
      <c r="J241">
        <f>AVERAGE(Scores[[#This Row],[LYC]],Scores[[#This Row],[MATE]])</f>
        <v>0</v>
      </c>
      <c r="K241">
        <f>VLOOKUP(Scores[[#This Row],[MRUN]],Demographics[],6,FALSE)</f>
        <v>2</v>
      </c>
      <c r="L241">
        <f>VLOOKUP(Scores[[#This Row],[MRUN]],Demographics[], 7,FALSE)</f>
        <v>2</v>
      </c>
      <c r="M241">
        <f>VLOOKUP(Scores[[#This Row],[MRUN]],Demographics[], 5, FALSE)</f>
        <v>1</v>
      </c>
    </row>
    <row r="242" spans="1:13" hidden="1" x14ac:dyDescent="0.2">
      <c r="A242" s="1">
        <v>17520052</v>
      </c>
      <c r="B242">
        <v>2</v>
      </c>
      <c r="C242">
        <v>2</v>
      </c>
      <c r="D242">
        <v>499</v>
      </c>
      <c r="E242">
        <v>596</v>
      </c>
      <c r="F242">
        <v>480</v>
      </c>
      <c r="G242">
        <v>557</v>
      </c>
      <c r="H242">
        <v>0</v>
      </c>
      <c r="I242">
        <f>VLOOKUP(Scores[[#This Row],[MRUN]],Demographics[],3,FALSE)</f>
        <v>4</v>
      </c>
      <c r="J242">
        <f>AVERAGE(Scores[[#This Row],[LYC]],Scores[[#This Row],[MATE]])</f>
        <v>538</v>
      </c>
      <c r="K242">
        <f>VLOOKUP(Scores[[#This Row],[MRUN]],Demographics[],6,FALSE)</f>
        <v>2</v>
      </c>
      <c r="L242">
        <f>VLOOKUP(Scores[[#This Row],[MRUN]],Demographics[], 7,FALSE)</f>
        <v>2</v>
      </c>
      <c r="M242">
        <f>VLOOKUP(Scores[[#This Row],[MRUN]],Demographics[], 5, FALSE)</f>
        <v>1</v>
      </c>
    </row>
    <row r="243" spans="1:13" hidden="1" x14ac:dyDescent="0.2">
      <c r="A243" s="1">
        <v>10577647</v>
      </c>
      <c r="B243">
        <v>2</v>
      </c>
      <c r="C243">
        <v>2</v>
      </c>
      <c r="D243">
        <v>499</v>
      </c>
      <c r="E243">
        <v>494</v>
      </c>
      <c r="F243">
        <v>463</v>
      </c>
      <c r="G243">
        <v>592</v>
      </c>
      <c r="H243">
        <v>0</v>
      </c>
      <c r="I243">
        <f>VLOOKUP(Scores[[#This Row],[MRUN]],Demographics[],3,FALSE)</f>
        <v>5</v>
      </c>
      <c r="J243">
        <f>AVERAGE(Scores[[#This Row],[LYC]],Scores[[#This Row],[MATE]])</f>
        <v>478.5</v>
      </c>
      <c r="K243">
        <f>VLOOKUP(Scores[[#This Row],[MRUN]],Demographics[],6,FALSE)</f>
        <v>2</v>
      </c>
      <c r="L243">
        <f>VLOOKUP(Scores[[#This Row],[MRUN]],Demographics[], 7,FALSE)</f>
        <v>2</v>
      </c>
      <c r="M243">
        <f>VLOOKUP(Scores[[#This Row],[MRUN]],Demographics[], 5, FALSE)</f>
        <v>1</v>
      </c>
    </row>
    <row r="244" spans="1:13" hidden="1" x14ac:dyDescent="0.2">
      <c r="A244" s="1">
        <v>21996391</v>
      </c>
      <c r="B244">
        <v>2</v>
      </c>
      <c r="C244">
        <v>2</v>
      </c>
      <c r="D244">
        <v>437</v>
      </c>
      <c r="E244">
        <v>276</v>
      </c>
      <c r="F244">
        <v>428</v>
      </c>
      <c r="G244">
        <v>0</v>
      </c>
      <c r="H244">
        <v>223</v>
      </c>
      <c r="I244">
        <f>VLOOKUP(Scores[[#This Row],[MRUN]],Demographics[],3,FALSE)</f>
        <v>3</v>
      </c>
      <c r="J244">
        <f>AVERAGE(Scores[[#This Row],[LYC]],Scores[[#This Row],[MATE]])</f>
        <v>352</v>
      </c>
      <c r="K244">
        <f>VLOOKUP(Scores[[#This Row],[MRUN]],Demographics[],6,FALSE)</f>
        <v>2</v>
      </c>
      <c r="L244">
        <f>VLOOKUP(Scores[[#This Row],[MRUN]],Demographics[], 7,FALSE)</f>
        <v>4</v>
      </c>
      <c r="M244">
        <f>VLOOKUP(Scores[[#This Row],[MRUN]],Demographics[], 5, FALSE)</f>
        <v>1</v>
      </c>
    </row>
    <row r="245" spans="1:13" hidden="1" x14ac:dyDescent="0.2">
      <c r="A245" s="1">
        <v>20219440</v>
      </c>
      <c r="B245">
        <v>2</v>
      </c>
      <c r="C245">
        <v>3</v>
      </c>
      <c r="D245">
        <v>622</v>
      </c>
      <c r="E245">
        <v>451</v>
      </c>
      <c r="F245">
        <v>300</v>
      </c>
      <c r="G245">
        <v>449</v>
      </c>
      <c r="H245">
        <v>0</v>
      </c>
      <c r="I245">
        <f>VLOOKUP(Scores[[#This Row],[MRUN]],Demographics[],3,FALSE)</f>
        <v>5</v>
      </c>
      <c r="J245">
        <f>AVERAGE(Scores[[#This Row],[LYC]],Scores[[#This Row],[MATE]])</f>
        <v>375.5</v>
      </c>
      <c r="K245">
        <f>VLOOKUP(Scores[[#This Row],[MRUN]],Demographics[],6,FALSE)</f>
        <v>0</v>
      </c>
      <c r="L245">
        <f>VLOOKUP(Scores[[#This Row],[MRUN]],Demographics[], 7,FALSE)</f>
        <v>2</v>
      </c>
      <c r="M245">
        <f>VLOOKUP(Scores[[#This Row],[MRUN]],Demographics[], 5, FALSE)</f>
        <v>1</v>
      </c>
    </row>
    <row r="246" spans="1:13" hidden="1" x14ac:dyDescent="0.2">
      <c r="A246" s="1">
        <v>12411841</v>
      </c>
      <c r="B246">
        <v>1</v>
      </c>
      <c r="C246">
        <v>2</v>
      </c>
      <c r="D246">
        <v>455</v>
      </c>
      <c r="E246">
        <v>458</v>
      </c>
      <c r="F246">
        <v>472</v>
      </c>
      <c r="G246">
        <v>501</v>
      </c>
      <c r="H246">
        <v>0</v>
      </c>
      <c r="I246">
        <f>VLOOKUP(Scores[[#This Row],[MRUN]],Demographics[],3,FALSE)</f>
        <v>6</v>
      </c>
      <c r="J246">
        <f>AVERAGE(Scores[[#This Row],[LYC]],Scores[[#This Row],[MATE]])</f>
        <v>465</v>
      </c>
      <c r="K246">
        <f>VLOOKUP(Scores[[#This Row],[MRUN]],Demographics[],6,FALSE)</f>
        <v>4</v>
      </c>
      <c r="L246">
        <f>VLOOKUP(Scores[[#This Row],[MRUN]],Demographics[], 7,FALSE)</f>
        <v>2</v>
      </c>
      <c r="M246">
        <f>VLOOKUP(Scores[[#This Row],[MRUN]],Demographics[], 5, FALSE)</f>
        <v>1</v>
      </c>
    </row>
    <row r="247" spans="1:13" hidden="1" x14ac:dyDescent="0.2">
      <c r="A247" s="1">
        <v>24491280</v>
      </c>
      <c r="B247">
        <v>2</v>
      </c>
      <c r="C247">
        <v>2</v>
      </c>
      <c r="D247">
        <v>580</v>
      </c>
      <c r="E247">
        <v>596</v>
      </c>
      <c r="F247">
        <v>501</v>
      </c>
      <c r="G247">
        <v>586</v>
      </c>
      <c r="H247">
        <v>0</v>
      </c>
      <c r="I247">
        <f>VLOOKUP(Scores[[#This Row],[MRUN]],Demographics[],3,FALSE)</f>
        <v>5</v>
      </c>
      <c r="J247">
        <f>AVERAGE(Scores[[#This Row],[LYC]],Scores[[#This Row],[MATE]])</f>
        <v>548.5</v>
      </c>
      <c r="K247">
        <f>VLOOKUP(Scores[[#This Row],[MRUN]],Demographics[],6,FALSE)</f>
        <v>4</v>
      </c>
      <c r="L247">
        <f>VLOOKUP(Scores[[#This Row],[MRUN]],Demographics[], 7,FALSE)</f>
        <v>5</v>
      </c>
      <c r="M247">
        <f>VLOOKUP(Scores[[#This Row],[MRUN]],Demographics[], 5, FALSE)</f>
        <v>1</v>
      </c>
    </row>
    <row r="248" spans="1:13" hidden="1" x14ac:dyDescent="0.2">
      <c r="A248" s="1">
        <v>11674541</v>
      </c>
      <c r="B248">
        <v>2</v>
      </c>
      <c r="C248">
        <v>2</v>
      </c>
      <c r="D248">
        <v>561</v>
      </c>
      <c r="E248">
        <v>451</v>
      </c>
      <c r="F248">
        <v>472</v>
      </c>
      <c r="G248">
        <v>461</v>
      </c>
      <c r="H248">
        <v>0</v>
      </c>
      <c r="I248">
        <f>VLOOKUP(Scores[[#This Row],[MRUN]],Demographics[],3,FALSE)</f>
        <v>6</v>
      </c>
      <c r="J248">
        <f>AVERAGE(Scores[[#This Row],[LYC]],Scores[[#This Row],[MATE]])</f>
        <v>461.5</v>
      </c>
      <c r="K248">
        <f>VLOOKUP(Scores[[#This Row],[MRUN]],Demographics[],6,FALSE)</f>
        <v>0</v>
      </c>
      <c r="L248">
        <f>VLOOKUP(Scores[[#This Row],[MRUN]],Demographics[], 7,FALSE)</f>
        <v>0</v>
      </c>
      <c r="M248">
        <f>VLOOKUP(Scores[[#This Row],[MRUN]],Demographics[], 5, FALSE)</f>
        <v>1</v>
      </c>
    </row>
    <row r="249" spans="1:13" hidden="1" x14ac:dyDescent="0.2">
      <c r="A249" s="1">
        <v>8470086</v>
      </c>
      <c r="B249">
        <v>1</v>
      </c>
      <c r="C249">
        <v>2</v>
      </c>
      <c r="D249">
        <v>519</v>
      </c>
      <c r="E249">
        <v>438</v>
      </c>
      <c r="F249">
        <v>557</v>
      </c>
      <c r="G249">
        <v>541</v>
      </c>
      <c r="H249">
        <v>510</v>
      </c>
      <c r="I249">
        <f>VLOOKUP(Scores[[#This Row],[MRUN]],Demographics[],3,FALSE)</f>
        <v>4</v>
      </c>
      <c r="J249">
        <f>AVERAGE(Scores[[#This Row],[LYC]],Scores[[#This Row],[MATE]])</f>
        <v>497.5</v>
      </c>
      <c r="K249">
        <f>VLOOKUP(Scores[[#This Row],[MRUN]],Demographics[],6,FALSE)</f>
        <v>3</v>
      </c>
      <c r="L249">
        <f>VLOOKUP(Scores[[#This Row],[MRUN]],Demographics[], 7,FALSE)</f>
        <v>4</v>
      </c>
      <c r="M249">
        <f>VLOOKUP(Scores[[#This Row],[MRUN]],Demographics[], 5, FALSE)</f>
        <v>1</v>
      </c>
    </row>
    <row r="250" spans="1:13" hidden="1" x14ac:dyDescent="0.2">
      <c r="A250" s="1">
        <v>1008803</v>
      </c>
      <c r="B250">
        <v>1</v>
      </c>
      <c r="C250">
        <v>3</v>
      </c>
      <c r="D250">
        <v>380</v>
      </c>
      <c r="E250">
        <v>0</v>
      </c>
      <c r="F250">
        <v>0</v>
      </c>
      <c r="G250">
        <v>0</v>
      </c>
      <c r="H250">
        <v>0</v>
      </c>
      <c r="I250">
        <f>VLOOKUP(Scores[[#This Row],[MRUN]],Demographics[],3,FALSE)</f>
        <v>2</v>
      </c>
      <c r="J250">
        <f>AVERAGE(Scores[[#This Row],[LYC]],Scores[[#This Row],[MATE]])</f>
        <v>0</v>
      </c>
      <c r="K250">
        <f>VLOOKUP(Scores[[#This Row],[MRUN]],Demographics[],6,FALSE)</f>
        <v>5</v>
      </c>
      <c r="L250">
        <f>VLOOKUP(Scores[[#This Row],[MRUN]],Demographics[], 7,FALSE)</f>
        <v>2</v>
      </c>
      <c r="M250">
        <f>VLOOKUP(Scores[[#This Row],[MRUN]],Demographics[], 5, FALSE)</f>
        <v>1</v>
      </c>
    </row>
    <row r="251" spans="1:13" hidden="1" x14ac:dyDescent="0.2">
      <c r="A251" s="1">
        <v>16828767</v>
      </c>
      <c r="B251">
        <v>1</v>
      </c>
      <c r="C251">
        <v>3</v>
      </c>
      <c r="D251">
        <v>517</v>
      </c>
      <c r="E251">
        <v>430</v>
      </c>
      <c r="F251">
        <v>472</v>
      </c>
      <c r="G251">
        <v>490</v>
      </c>
      <c r="H251">
        <v>361</v>
      </c>
      <c r="I251">
        <f>VLOOKUP(Scores[[#This Row],[MRUN]],Demographics[],3,FALSE)</f>
        <v>4</v>
      </c>
      <c r="J251">
        <f>AVERAGE(Scores[[#This Row],[LYC]],Scores[[#This Row],[MATE]])</f>
        <v>451</v>
      </c>
      <c r="K251">
        <f>VLOOKUP(Scores[[#This Row],[MRUN]],Demographics[],6,FALSE)</f>
        <v>5</v>
      </c>
      <c r="L251">
        <f>VLOOKUP(Scores[[#This Row],[MRUN]],Demographics[], 7,FALSE)</f>
        <v>5</v>
      </c>
      <c r="M251">
        <f>VLOOKUP(Scores[[#This Row],[MRUN]],Demographics[], 5, FALSE)</f>
        <v>1</v>
      </c>
    </row>
    <row r="252" spans="1:13" hidden="1" x14ac:dyDescent="0.2">
      <c r="A252" s="1">
        <v>8631916</v>
      </c>
      <c r="B252">
        <v>2</v>
      </c>
      <c r="C252">
        <v>2</v>
      </c>
      <c r="D252">
        <v>496</v>
      </c>
      <c r="E252">
        <v>0</v>
      </c>
      <c r="F252">
        <v>0</v>
      </c>
      <c r="G252">
        <v>0</v>
      </c>
      <c r="H252">
        <v>0</v>
      </c>
      <c r="I252">
        <f>VLOOKUP(Scores[[#This Row],[MRUN]],Demographics[],3,FALSE)</f>
        <v>6</v>
      </c>
      <c r="J252">
        <f>AVERAGE(Scores[[#This Row],[LYC]],Scores[[#This Row],[MATE]])</f>
        <v>0</v>
      </c>
      <c r="K252">
        <f>VLOOKUP(Scores[[#This Row],[MRUN]],Demographics[],6,FALSE)</f>
        <v>5</v>
      </c>
      <c r="L252">
        <f>VLOOKUP(Scores[[#This Row],[MRUN]],Demographics[], 7,FALSE)</f>
        <v>4</v>
      </c>
      <c r="M252">
        <f>VLOOKUP(Scores[[#This Row],[MRUN]],Demographics[], 5, FALSE)</f>
        <v>1</v>
      </c>
    </row>
    <row r="253" spans="1:13" hidden="1" x14ac:dyDescent="0.2">
      <c r="A253" s="1">
        <v>13005559</v>
      </c>
      <c r="B253">
        <v>2</v>
      </c>
      <c r="C253">
        <v>3</v>
      </c>
      <c r="D253">
        <v>521</v>
      </c>
      <c r="E253">
        <v>378</v>
      </c>
      <c r="F253">
        <v>413</v>
      </c>
      <c r="G253">
        <v>501</v>
      </c>
      <c r="H253">
        <v>0</v>
      </c>
      <c r="I253">
        <f>VLOOKUP(Scores[[#This Row],[MRUN]],Demographics[],3,FALSE)</f>
        <v>7</v>
      </c>
      <c r="J253">
        <f>AVERAGE(Scores[[#This Row],[LYC]],Scores[[#This Row],[MATE]])</f>
        <v>395.5</v>
      </c>
      <c r="K253">
        <f>VLOOKUP(Scores[[#This Row],[MRUN]],Demographics[],6,FALSE)</f>
        <v>5</v>
      </c>
      <c r="L253">
        <f>VLOOKUP(Scores[[#This Row],[MRUN]],Demographics[], 7,FALSE)</f>
        <v>7</v>
      </c>
      <c r="M253">
        <f>VLOOKUP(Scores[[#This Row],[MRUN]],Demographics[], 5, FALSE)</f>
        <v>2</v>
      </c>
    </row>
    <row r="254" spans="1:13" hidden="1" x14ac:dyDescent="0.2">
      <c r="A254" s="1">
        <v>9700075</v>
      </c>
      <c r="B254">
        <v>1</v>
      </c>
      <c r="C254">
        <v>3</v>
      </c>
      <c r="D254">
        <v>481</v>
      </c>
      <c r="E254">
        <v>406</v>
      </c>
      <c r="F254">
        <v>428</v>
      </c>
      <c r="G254">
        <v>348</v>
      </c>
      <c r="H254">
        <v>0</v>
      </c>
      <c r="I254">
        <f>VLOOKUP(Scores[[#This Row],[MRUN]],Demographics[],3,FALSE)</f>
        <v>6</v>
      </c>
      <c r="J254">
        <f>AVERAGE(Scores[[#This Row],[LYC]],Scores[[#This Row],[MATE]])</f>
        <v>417</v>
      </c>
      <c r="K254">
        <f>VLOOKUP(Scores[[#This Row],[MRUN]],Demographics[],6,FALSE)</f>
        <v>5</v>
      </c>
      <c r="L254">
        <f>VLOOKUP(Scores[[#This Row],[MRUN]],Demographics[], 7,FALSE)</f>
        <v>4</v>
      </c>
      <c r="M254">
        <f>VLOOKUP(Scores[[#This Row],[MRUN]],Demographics[], 5, FALSE)</f>
        <v>2</v>
      </c>
    </row>
    <row r="255" spans="1:13" hidden="1" x14ac:dyDescent="0.2">
      <c r="A255" s="1">
        <v>4488949</v>
      </c>
      <c r="B255">
        <v>2</v>
      </c>
      <c r="C255">
        <v>2</v>
      </c>
      <c r="D255">
        <v>599</v>
      </c>
      <c r="E255">
        <v>458</v>
      </c>
      <c r="F255">
        <v>472</v>
      </c>
      <c r="G255">
        <v>0</v>
      </c>
      <c r="H255">
        <v>598</v>
      </c>
      <c r="I255">
        <f>VLOOKUP(Scores[[#This Row],[MRUN]],Demographics[],3,FALSE)</f>
        <v>3</v>
      </c>
      <c r="J255">
        <f>AVERAGE(Scores[[#This Row],[LYC]],Scores[[#This Row],[MATE]])</f>
        <v>465</v>
      </c>
      <c r="K255">
        <f>VLOOKUP(Scores[[#This Row],[MRUN]],Demographics[],6,FALSE)</f>
        <v>0</v>
      </c>
      <c r="L255">
        <f>VLOOKUP(Scores[[#This Row],[MRUN]],Demographics[], 7,FALSE)</f>
        <v>5</v>
      </c>
      <c r="M255">
        <f>VLOOKUP(Scores[[#This Row],[MRUN]],Demographics[], 5, FALSE)</f>
        <v>1</v>
      </c>
    </row>
    <row r="256" spans="1:13" hidden="1" x14ac:dyDescent="0.2">
      <c r="A256" s="1">
        <v>10695009</v>
      </c>
      <c r="B256">
        <v>1</v>
      </c>
      <c r="C256">
        <v>2</v>
      </c>
      <c r="D256">
        <v>744</v>
      </c>
      <c r="E256">
        <v>737</v>
      </c>
      <c r="F256">
        <v>719</v>
      </c>
      <c r="G256">
        <v>0</v>
      </c>
      <c r="H256">
        <v>738</v>
      </c>
      <c r="I256">
        <f>VLOOKUP(Scores[[#This Row],[MRUN]],Demographics[],3,FALSE)</f>
        <v>5</v>
      </c>
      <c r="J256">
        <f>AVERAGE(Scores[[#This Row],[LYC]],Scores[[#This Row],[MATE]])</f>
        <v>728</v>
      </c>
      <c r="K256">
        <f>VLOOKUP(Scores[[#This Row],[MRUN]],Demographics[],6,FALSE)</f>
        <v>7</v>
      </c>
      <c r="L256">
        <f>VLOOKUP(Scores[[#This Row],[MRUN]],Demographics[], 7,FALSE)</f>
        <v>7</v>
      </c>
      <c r="M256">
        <f>VLOOKUP(Scores[[#This Row],[MRUN]],Demographics[], 5, FALSE)</f>
        <v>2</v>
      </c>
    </row>
    <row r="257" spans="1:13" hidden="1" x14ac:dyDescent="0.2">
      <c r="A257" s="1">
        <v>12831243</v>
      </c>
      <c r="B257">
        <v>2</v>
      </c>
      <c r="C257">
        <v>3</v>
      </c>
      <c r="D257">
        <v>335</v>
      </c>
      <c r="E257">
        <v>415</v>
      </c>
      <c r="F257">
        <v>428</v>
      </c>
      <c r="G257">
        <v>370</v>
      </c>
      <c r="H257">
        <v>417</v>
      </c>
      <c r="I257">
        <f>VLOOKUP(Scores[[#This Row],[MRUN]],Demographics[],3,FALSE)</f>
        <v>0</v>
      </c>
      <c r="J257">
        <f>AVERAGE(Scores[[#This Row],[LYC]],Scores[[#This Row],[MATE]])</f>
        <v>421.5</v>
      </c>
      <c r="K257">
        <f>VLOOKUP(Scores[[#This Row],[MRUN]],Demographics[],6,FALSE)</f>
        <v>2</v>
      </c>
      <c r="L257">
        <f>VLOOKUP(Scores[[#This Row],[MRUN]],Demographics[], 7,FALSE)</f>
        <v>2</v>
      </c>
      <c r="M257">
        <f>VLOOKUP(Scores[[#This Row],[MRUN]],Demographics[], 5, FALSE)</f>
        <v>1</v>
      </c>
    </row>
    <row r="258" spans="1:13" hidden="1" x14ac:dyDescent="0.2">
      <c r="A258" s="1">
        <v>6091641</v>
      </c>
      <c r="B258">
        <v>1</v>
      </c>
      <c r="C258">
        <v>2</v>
      </c>
      <c r="D258">
        <v>455</v>
      </c>
      <c r="E258">
        <v>476</v>
      </c>
      <c r="F258">
        <v>557</v>
      </c>
      <c r="G258">
        <v>0</v>
      </c>
      <c r="H258">
        <v>528</v>
      </c>
      <c r="I258">
        <f>VLOOKUP(Scores[[#This Row],[MRUN]],Demographics[],3,FALSE)</f>
        <v>5</v>
      </c>
      <c r="J258">
        <f>AVERAGE(Scores[[#This Row],[LYC]],Scores[[#This Row],[MATE]])</f>
        <v>516.5</v>
      </c>
      <c r="K258">
        <f>VLOOKUP(Scores[[#This Row],[MRUN]],Demographics[],6,FALSE)</f>
        <v>9</v>
      </c>
      <c r="L258">
        <f>VLOOKUP(Scores[[#This Row],[MRUN]],Demographics[], 7,FALSE)</f>
        <v>7</v>
      </c>
      <c r="M258">
        <f>VLOOKUP(Scores[[#This Row],[MRUN]],Demographics[], 5, FALSE)</f>
        <v>3</v>
      </c>
    </row>
    <row r="259" spans="1:13" hidden="1" x14ac:dyDescent="0.2">
      <c r="A259" s="1">
        <v>22877088</v>
      </c>
      <c r="B259">
        <v>2</v>
      </c>
      <c r="C259">
        <v>3</v>
      </c>
      <c r="D259">
        <v>496</v>
      </c>
      <c r="E259">
        <v>476</v>
      </c>
      <c r="F259">
        <v>463</v>
      </c>
      <c r="G259">
        <v>479</v>
      </c>
      <c r="H259">
        <v>0</v>
      </c>
      <c r="I259">
        <f>VLOOKUP(Scores[[#This Row],[MRUN]],Demographics[],3,FALSE)</f>
        <v>4</v>
      </c>
      <c r="J259">
        <f>AVERAGE(Scores[[#This Row],[LYC]],Scores[[#This Row],[MATE]])</f>
        <v>469.5</v>
      </c>
      <c r="K259">
        <f>VLOOKUP(Scores[[#This Row],[MRUN]],Demographics[],6,FALSE)</f>
        <v>7</v>
      </c>
      <c r="L259">
        <f>VLOOKUP(Scores[[#This Row],[MRUN]],Demographics[], 7,FALSE)</f>
        <v>7</v>
      </c>
      <c r="M259">
        <f>VLOOKUP(Scores[[#This Row],[MRUN]],Demographics[], 5, FALSE)</f>
        <v>2</v>
      </c>
    </row>
    <row r="260" spans="1:13" hidden="1" x14ac:dyDescent="0.2">
      <c r="A260" s="1">
        <v>10363644</v>
      </c>
      <c r="B260">
        <v>2</v>
      </c>
      <c r="C260">
        <v>2</v>
      </c>
      <c r="D260">
        <v>458</v>
      </c>
      <c r="E260">
        <v>488</v>
      </c>
      <c r="F260">
        <v>395</v>
      </c>
      <c r="G260">
        <v>567</v>
      </c>
      <c r="H260">
        <v>449</v>
      </c>
      <c r="I260">
        <f>VLOOKUP(Scores[[#This Row],[MRUN]],Demographics[],3,FALSE)</f>
        <v>3</v>
      </c>
      <c r="J260">
        <f>AVERAGE(Scores[[#This Row],[LYC]],Scores[[#This Row],[MATE]])</f>
        <v>441.5</v>
      </c>
      <c r="K260">
        <f>VLOOKUP(Scores[[#This Row],[MRUN]],Demographics[],6,FALSE)</f>
        <v>3</v>
      </c>
      <c r="L260">
        <f>VLOOKUP(Scores[[#This Row],[MRUN]],Demographics[], 7,FALSE)</f>
        <v>2</v>
      </c>
      <c r="M260">
        <f>VLOOKUP(Scores[[#This Row],[MRUN]],Demographics[], 5, FALSE)</f>
        <v>1</v>
      </c>
    </row>
    <row r="261" spans="1:13" hidden="1" x14ac:dyDescent="0.2">
      <c r="A261" s="1">
        <v>22546353</v>
      </c>
      <c r="B261">
        <v>2</v>
      </c>
      <c r="C261">
        <v>2</v>
      </c>
      <c r="D261">
        <v>435</v>
      </c>
      <c r="E261">
        <v>531</v>
      </c>
      <c r="F261">
        <v>494</v>
      </c>
      <c r="G261">
        <v>479</v>
      </c>
      <c r="H261">
        <v>0</v>
      </c>
      <c r="I261">
        <f>VLOOKUP(Scores[[#This Row],[MRUN]],Demographics[],3,FALSE)</f>
        <v>5</v>
      </c>
      <c r="J261">
        <f>AVERAGE(Scores[[#This Row],[LYC]],Scores[[#This Row],[MATE]])</f>
        <v>512.5</v>
      </c>
      <c r="K261">
        <f>VLOOKUP(Scores[[#This Row],[MRUN]],Demographics[],6,FALSE)</f>
        <v>5</v>
      </c>
      <c r="L261">
        <f>VLOOKUP(Scores[[#This Row],[MRUN]],Demographics[], 7,FALSE)</f>
        <v>4</v>
      </c>
      <c r="M261">
        <f>VLOOKUP(Scores[[#This Row],[MRUN]],Demographics[], 5, FALSE)</f>
        <v>2</v>
      </c>
    </row>
    <row r="262" spans="1:13" hidden="1" x14ac:dyDescent="0.2">
      <c r="A262" s="1">
        <v>2498249</v>
      </c>
      <c r="B262">
        <v>1</v>
      </c>
      <c r="C262">
        <v>3</v>
      </c>
      <c r="D262">
        <v>501</v>
      </c>
      <c r="E262">
        <v>551</v>
      </c>
      <c r="F262">
        <v>512</v>
      </c>
      <c r="G262">
        <v>724</v>
      </c>
      <c r="H262">
        <v>0</v>
      </c>
      <c r="I262">
        <f>VLOOKUP(Scores[[#This Row],[MRUN]],Demographics[],3,FALSE)</f>
        <v>4</v>
      </c>
      <c r="J262">
        <f>AVERAGE(Scores[[#This Row],[LYC]],Scores[[#This Row],[MATE]])</f>
        <v>531.5</v>
      </c>
      <c r="K262">
        <f>VLOOKUP(Scores[[#This Row],[MRUN]],Demographics[],6,FALSE)</f>
        <v>5</v>
      </c>
      <c r="L262">
        <f>VLOOKUP(Scores[[#This Row],[MRUN]],Demographics[], 7,FALSE)</f>
        <v>5</v>
      </c>
      <c r="M262">
        <f>VLOOKUP(Scores[[#This Row],[MRUN]],Demographics[], 5, FALSE)</f>
        <v>1</v>
      </c>
    </row>
    <row r="263" spans="1:13" hidden="1" x14ac:dyDescent="0.2">
      <c r="A263" s="1">
        <v>8906478</v>
      </c>
      <c r="B263">
        <v>1</v>
      </c>
      <c r="C263">
        <v>2</v>
      </c>
      <c r="D263">
        <v>435</v>
      </c>
      <c r="E263">
        <v>406</v>
      </c>
      <c r="F263">
        <v>353</v>
      </c>
      <c r="G263">
        <v>289</v>
      </c>
      <c r="H263">
        <v>0</v>
      </c>
      <c r="I263">
        <f>VLOOKUP(Scores[[#This Row],[MRUN]],Demographics[],3,FALSE)</f>
        <v>5</v>
      </c>
      <c r="J263">
        <f>AVERAGE(Scores[[#This Row],[LYC]],Scores[[#This Row],[MATE]])</f>
        <v>379.5</v>
      </c>
      <c r="K263">
        <f>VLOOKUP(Scores[[#This Row],[MRUN]],Demographics[],6,FALSE)</f>
        <v>4</v>
      </c>
      <c r="L263">
        <f>VLOOKUP(Scores[[#This Row],[MRUN]],Demographics[], 7,FALSE)</f>
        <v>4</v>
      </c>
      <c r="M263">
        <f>VLOOKUP(Scores[[#This Row],[MRUN]],Demographics[], 5, FALSE)</f>
        <v>1</v>
      </c>
    </row>
    <row r="264" spans="1:13" hidden="1" x14ac:dyDescent="0.2">
      <c r="A264" s="1">
        <v>9440674</v>
      </c>
      <c r="B264">
        <v>1</v>
      </c>
      <c r="C264">
        <v>4</v>
      </c>
      <c r="D264">
        <v>620</v>
      </c>
      <c r="E264">
        <v>655</v>
      </c>
      <c r="F264">
        <v>738</v>
      </c>
      <c r="G264">
        <v>0</v>
      </c>
      <c r="H264">
        <v>729</v>
      </c>
      <c r="I264">
        <f>VLOOKUP(Scores[[#This Row],[MRUN]],Demographics[],3,FALSE)</f>
        <v>7</v>
      </c>
      <c r="J264">
        <f>AVERAGE(Scores[[#This Row],[LYC]],Scores[[#This Row],[MATE]])</f>
        <v>696.5</v>
      </c>
      <c r="K264">
        <f>VLOOKUP(Scores[[#This Row],[MRUN]],Demographics[],6,FALSE)</f>
        <v>10</v>
      </c>
      <c r="L264">
        <f>VLOOKUP(Scores[[#This Row],[MRUN]],Demographics[], 7,FALSE)</f>
        <v>9</v>
      </c>
      <c r="M264">
        <f>VLOOKUP(Scores[[#This Row],[MRUN]],Demographics[], 5, FALSE)</f>
        <v>3</v>
      </c>
    </row>
    <row r="265" spans="1:13" hidden="1" x14ac:dyDescent="0.2">
      <c r="A265" s="1">
        <v>5702616</v>
      </c>
      <c r="B265">
        <v>1</v>
      </c>
      <c r="C265">
        <v>2</v>
      </c>
      <c r="D265">
        <v>599</v>
      </c>
      <c r="E265">
        <v>388</v>
      </c>
      <c r="F265">
        <v>472</v>
      </c>
      <c r="G265">
        <v>0</v>
      </c>
      <c r="H265">
        <v>497</v>
      </c>
      <c r="I265">
        <f>VLOOKUP(Scores[[#This Row],[MRUN]],Demographics[],3,FALSE)</f>
        <v>4</v>
      </c>
      <c r="J265">
        <f>AVERAGE(Scores[[#This Row],[LYC]],Scores[[#This Row],[MATE]])</f>
        <v>430</v>
      </c>
      <c r="K265">
        <f>VLOOKUP(Scores[[#This Row],[MRUN]],Demographics[],6,FALSE)</f>
        <v>0</v>
      </c>
      <c r="L265">
        <f>VLOOKUP(Scores[[#This Row],[MRUN]],Demographics[], 7,FALSE)</f>
        <v>3</v>
      </c>
      <c r="M265">
        <f>VLOOKUP(Scores[[#This Row],[MRUN]],Demographics[], 5, FALSE)</f>
        <v>2</v>
      </c>
    </row>
    <row r="266" spans="1:13" hidden="1" x14ac:dyDescent="0.2">
      <c r="A266" s="1">
        <v>17350274</v>
      </c>
      <c r="B266">
        <v>1</v>
      </c>
      <c r="C266">
        <v>2</v>
      </c>
      <c r="D266">
        <v>517</v>
      </c>
      <c r="E266">
        <v>464</v>
      </c>
      <c r="F266">
        <v>274</v>
      </c>
      <c r="G266">
        <v>512</v>
      </c>
      <c r="H266">
        <v>0</v>
      </c>
      <c r="I266">
        <f>VLOOKUP(Scores[[#This Row],[MRUN]],Demographics[],3,FALSE)</f>
        <v>0</v>
      </c>
      <c r="J266">
        <f>AVERAGE(Scores[[#This Row],[LYC]],Scores[[#This Row],[MATE]])</f>
        <v>369</v>
      </c>
      <c r="K266">
        <f>VLOOKUP(Scores[[#This Row],[MRUN]],Demographics[],6,FALSE)</f>
        <v>2</v>
      </c>
      <c r="L266">
        <f>VLOOKUP(Scores[[#This Row],[MRUN]],Demographics[], 7,FALSE)</f>
        <v>0</v>
      </c>
      <c r="M266">
        <f>VLOOKUP(Scores[[#This Row],[MRUN]],Demographics[], 5, FALSE)</f>
        <v>1</v>
      </c>
    </row>
    <row r="267" spans="1:13" hidden="1" x14ac:dyDescent="0.2">
      <c r="A267" s="1">
        <v>10941980</v>
      </c>
      <c r="B267">
        <v>1</v>
      </c>
      <c r="C267">
        <v>3</v>
      </c>
      <c r="D267">
        <v>702</v>
      </c>
      <c r="E267">
        <v>747</v>
      </c>
      <c r="F267">
        <v>666</v>
      </c>
      <c r="G267">
        <v>0</v>
      </c>
      <c r="H267">
        <v>708</v>
      </c>
      <c r="I267">
        <f>VLOOKUP(Scores[[#This Row],[MRUN]],Demographics[],3,FALSE)</f>
        <v>4</v>
      </c>
      <c r="J267">
        <f>AVERAGE(Scores[[#This Row],[LYC]],Scores[[#This Row],[MATE]])</f>
        <v>706.5</v>
      </c>
      <c r="K267">
        <f>VLOOKUP(Scores[[#This Row],[MRUN]],Demographics[],6,FALSE)</f>
        <v>8</v>
      </c>
      <c r="L267">
        <f>VLOOKUP(Scores[[#This Row],[MRUN]],Demographics[], 7,FALSE)</f>
        <v>5</v>
      </c>
      <c r="M267">
        <f>VLOOKUP(Scores[[#This Row],[MRUN]],Demographics[], 5, FALSE)</f>
        <v>2</v>
      </c>
    </row>
    <row r="268" spans="1:13" hidden="1" x14ac:dyDescent="0.2">
      <c r="A268" s="1">
        <v>28995</v>
      </c>
      <c r="B268">
        <v>1</v>
      </c>
      <c r="C268">
        <v>3</v>
      </c>
      <c r="D268">
        <v>560</v>
      </c>
      <c r="E268">
        <v>388</v>
      </c>
      <c r="F268">
        <v>428</v>
      </c>
      <c r="G268">
        <v>0</v>
      </c>
      <c r="H268">
        <v>475</v>
      </c>
      <c r="I268">
        <f>VLOOKUP(Scores[[#This Row],[MRUN]],Demographics[],3,FALSE)</f>
        <v>4</v>
      </c>
      <c r="J268">
        <f>AVERAGE(Scores[[#This Row],[LYC]],Scores[[#This Row],[MATE]])</f>
        <v>408</v>
      </c>
      <c r="K268">
        <f>VLOOKUP(Scores[[#This Row],[MRUN]],Demographics[],6,FALSE)</f>
        <v>4</v>
      </c>
      <c r="L268">
        <f>VLOOKUP(Scores[[#This Row],[MRUN]],Demographics[], 7,FALSE)</f>
        <v>5</v>
      </c>
      <c r="M268">
        <f>VLOOKUP(Scores[[#This Row],[MRUN]],Demographics[], 5, FALSE)</f>
        <v>2</v>
      </c>
    </row>
    <row r="269" spans="1:13" hidden="1" x14ac:dyDescent="0.2">
      <c r="A269" s="1">
        <v>19081125</v>
      </c>
      <c r="B269">
        <v>2</v>
      </c>
      <c r="C269">
        <v>2</v>
      </c>
      <c r="D269">
        <v>621</v>
      </c>
      <c r="E269">
        <v>561</v>
      </c>
      <c r="F269">
        <v>582</v>
      </c>
      <c r="G269">
        <v>501</v>
      </c>
      <c r="H269">
        <v>0</v>
      </c>
      <c r="I269">
        <f>VLOOKUP(Scores[[#This Row],[MRUN]],Demographics[],3,FALSE)</f>
        <v>4</v>
      </c>
      <c r="J269">
        <f>AVERAGE(Scores[[#This Row],[LYC]],Scores[[#This Row],[MATE]])</f>
        <v>571.5</v>
      </c>
      <c r="K269">
        <f>VLOOKUP(Scores[[#This Row],[MRUN]],Demographics[],6,FALSE)</f>
        <v>3</v>
      </c>
      <c r="L269">
        <f>VLOOKUP(Scores[[#This Row],[MRUN]],Demographics[], 7,FALSE)</f>
        <v>3</v>
      </c>
      <c r="M269">
        <f>VLOOKUP(Scores[[#This Row],[MRUN]],Demographics[], 5, FALSE)</f>
        <v>1</v>
      </c>
    </row>
    <row r="270" spans="1:13" hidden="1" x14ac:dyDescent="0.2">
      <c r="A270" s="1">
        <v>1991921</v>
      </c>
      <c r="B270">
        <v>1</v>
      </c>
      <c r="C270">
        <v>3</v>
      </c>
      <c r="D270">
        <v>481</v>
      </c>
      <c r="E270">
        <v>388</v>
      </c>
      <c r="F270">
        <v>376</v>
      </c>
      <c r="G270">
        <v>370</v>
      </c>
      <c r="H270">
        <v>344</v>
      </c>
      <c r="I270">
        <f>VLOOKUP(Scores[[#This Row],[MRUN]],Demographics[],3,FALSE)</f>
        <v>4</v>
      </c>
      <c r="J270">
        <f>AVERAGE(Scores[[#This Row],[LYC]],Scores[[#This Row],[MATE]])</f>
        <v>382</v>
      </c>
      <c r="K270">
        <f>VLOOKUP(Scores[[#This Row],[MRUN]],Demographics[],6,FALSE)</f>
        <v>5</v>
      </c>
      <c r="L270">
        <f>VLOOKUP(Scores[[#This Row],[MRUN]],Demographics[], 7,FALSE)</f>
        <v>5</v>
      </c>
      <c r="M270">
        <f>VLOOKUP(Scores[[#This Row],[MRUN]],Demographics[], 5, FALSE)</f>
        <v>1</v>
      </c>
    </row>
    <row r="271" spans="1:13" hidden="1" x14ac:dyDescent="0.2">
      <c r="A271" s="1">
        <v>15242158</v>
      </c>
      <c r="B271">
        <v>1</v>
      </c>
      <c r="C271">
        <v>2</v>
      </c>
      <c r="D271">
        <v>458</v>
      </c>
      <c r="E271">
        <v>378</v>
      </c>
      <c r="F271">
        <v>428</v>
      </c>
      <c r="G271">
        <v>421</v>
      </c>
      <c r="H271">
        <v>449</v>
      </c>
      <c r="I271">
        <f>VLOOKUP(Scores[[#This Row],[MRUN]],Demographics[],3,FALSE)</f>
        <v>3</v>
      </c>
      <c r="J271">
        <f>AVERAGE(Scores[[#This Row],[LYC]],Scores[[#This Row],[MATE]])</f>
        <v>403</v>
      </c>
      <c r="K271">
        <f>VLOOKUP(Scores[[#This Row],[MRUN]],Demographics[],6,FALSE)</f>
        <v>5</v>
      </c>
      <c r="L271">
        <f>VLOOKUP(Scores[[#This Row],[MRUN]],Demographics[], 7,FALSE)</f>
        <v>5</v>
      </c>
      <c r="M271">
        <f>VLOOKUP(Scores[[#This Row],[MRUN]],Demographics[], 5, FALSE)</f>
        <v>1</v>
      </c>
    </row>
    <row r="272" spans="1:13" hidden="1" x14ac:dyDescent="0.2">
      <c r="A272" s="1">
        <v>490431</v>
      </c>
      <c r="B272">
        <v>1</v>
      </c>
      <c r="C272">
        <v>2</v>
      </c>
      <c r="D272">
        <v>641</v>
      </c>
      <c r="E272">
        <v>451</v>
      </c>
      <c r="F272">
        <v>549</v>
      </c>
      <c r="G272">
        <v>0</v>
      </c>
      <c r="H272">
        <v>475</v>
      </c>
      <c r="I272">
        <f>VLOOKUP(Scores[[#This Row],[MRUN]],Demographics[],3,FALSE)</f>
        <v>8</v>
      </c>
      <c r="J272">
        <f>AVERAGE(Scores[[#This Row],[LYC]],Scores[[#This Row],[MATE]])</f>
        <v>500</v>
      </c>
      <c r="K272">
        <f>VLOOKUP(Scores[[#This Row],[MRUN]],Demographics[],6,FALSE)</f>
        <v>0</v>
      </c>
      <c r="L272">
        <f>VLOOKUP(Scores[[#This Row],[MRUN]],Demographics[], 7,FALSE)</f>
        <v>2</v>
      </c>
      <c r="M272">
        <f>VLOOKUP(Scores[[#This Row],[MRUN]],Demographics[], 5, FALSE)</f>
        <v>1</v>
      </c>
    </row>
    <row r="273" spans="1:13" hidden="1" x14ac:dyDescent="0.2">
      <c r="A273" s="1">
        <v>17479024</v>
      </c>
      <c r="B273">
        <v>1</v>
      </c>
      <c r="C273">
        <v>2</v>
      </c>
      <c r="D273">
        <v>517</v>
      </c>
      <c r="E273">
        <v>541</v>
      </c>
      <c r="F273">
        <v>501</v>
      </c>
      <c r="G273">
        <v>613</v>
      </c>
      <c r="H273">
        <v>0</v>
      </c>
      <c r="I273">
        <f>VLOOKUP(Scores[[#This Row],[MRUN]],Demographics[],3,FALSE)</f>
        <v>5</v>
      </c>
      <c r="J273">
        <f>AVERAGE(Scores[[#This Row],[LYC]],Scores[[#This Row],[MATE]])</f>
        <v>521</v>
      </c>
      <c r="K273">
        <f>VLOOKUP(Scores[[#This Row],[MRUN]],Demographics[],6,FALSE)</f>
        <v>3</v>
      </c>
      <c r="L273">
        <f>VLOOKUP(Scores[[#This Row],[MRUN]],Demographics[], 7,FALSE)</f>
        <v>3</v>
      </c>
      <c r="M273">
        <f>VLOOKUP(Scores[[#This Row],[MRUN]],Demographics[], 5, FALSE)</f>
        <v>1</v>
      </c>
    </row>
    <row r="274" spans="1:13" hidden="1" x14ac:dyDescent="0.2">
      <c r="A274" s="1">
        <v>24855459</v>
      </c>
      <c r="B274">
        <v>1</v>
      </c>
      <c r="C274">
        <v>4</v>
      </c>
      <c r="D274">
        <v>393</v>
      </c>
      <c r="E274">
        <v>458</v>
      </c>
      <c r="F274">
        <v>557</v>
      </c>
      <c r="G274">
        <v>0</v>
      </c>
      <c r="H274">
        <v>497</v>
      </c>
      <c r="I274">
        <f>VLOOKUP(Scores[[#This Row],[MRUN]],Demographics[],3,FALSE)</f>
        <v>5</v>
      </c>
      <c r="J274">
        <f>AVERAGE(Scores[[#This Row],[LYC]],Scores[[#This Row],[MATE]])</f>
        <v>507.5</v>
      </c>
      <c r="K274">
        <f>VLOOKUP(Scores[[#This Row],[MRUN]],Demographics[],6,FALSE)</f>
        <v>7</v>
      </c>
      <c r="L274">
        <f>VLOOKUP(Scores[[#This Row],[MRUN]],Demographics[], 7,FALSE)</f>
        <v>4</v>
      </c>
      <c r="M274">
        <f>VLOOKUP(Scores[[#This Row],[MRUN]],Demographics[], 5, FALSE)</f>
        <v>5</v>
      </c>
    </row>
    <row r="275" spans="1:13" hidden="1" x14ac:dyDescent="0.2">
      <c r="A275" s="1">
        <v>21032574</v>
      </c>
      <c r="B275">
        <v>1</v>
      </c>
      <c r="C275">
        <v>3</v>
      </c>
      <c r="D275">
        <v>539</v>
      </c>
      <c r="E275">
        <v>576</v>
      </c>
      <c r="F275">
        <v>480</v>
      </c>
      <c r="G275">
        <v>613</v>
      </c>
      <c r="H275">
        <v>361</v>
      </c>
      <c r="I275">
        <f>VLOOKUP(Scores[[#This Row],[MRUN]],Demographics[],3,FALSE)</f>
        <v>0</v>
      </c>
      <c r="J275">
        <f>AVERAGE(Scores[[#This Row],[LYC]],Scores[[#This Row],[MATE]])</f>
        <v>528</v>
      </c>
      <c r="K275">
        <f>VLOOKUP(Scores[[#This Row],[MRUN]],Demographics[],6,FALSE)</f>
        <v>3</v>
      </c>
      <c r="L275">
        <f>VLOOKUP(Scores[[#This Row],[MRUN]],Demographics[], 7,FALSE)</f>
        <v>4</v>
      </c>
      <c r="M275">
        <f>VLOOKUP(Scores[[#This Row],[MRUN]],Demographics[], 5, FALSE)</f>
        <v>1</v>
      </c>
    </row>
    <row r="276" spans="1:13" hidden="1" x14ac:dyDescent="0.2">
      <c r="A276" s="1">
        <v>11318560</v>
      </c>
      <c r="B276">
        <v>2</v>
      </c>
      <c r="C276">
        <v>2</v>
      </c>
      <c r="D276">
        <v>541</v>
      </c>
      <c r="E276">
        <v>333</v>
      </c>
      <c r="F276">
        <v>472</v>
      </c>
      <c r="G276">
        <v>271</v>
      </c>
      <c r="H276">
        <v>0</v>
      </c>
      <c r="I276">
        <f>VLOOKUP(Scores[[#This Row],[MRUN]],Demographics[],3,FALSE)</f>
        <v>9</v>
      </c>
      <c r="J276">
        <f>AVERAGE(Scores[[#This Row],[LYC]],Scores[[#This Row],[MATE]])</f>
        <v>402.5</v>
      </c>
      <c r="K276">
        <f>VLOOKUP(Scores[[#This Row],[MRUN]],Demographics[],6,FALSE)</f>
        <v>2</v>
      </c>
      <c r="L276">
        <f>VLOOKUP(Scores[[#This Row],[MRUN]],Demographics[], 7,FALSE)</f>
        <v>2</v>
      </c>
      <c r="M276">
        <f>VLOOKUP(Scores[[#This Row],[MRUN]],Demographics[], 5, FALSE)</f>
        <v>1</v>
      </c>
    </row>
    <row r="277" spans="1:13" hidden="1" x14ac:dyDescent="0.2">
      <c r="A277" s="1">
        <v>18895672</v>
      </c>
      <c r="B277">
        <v>2</v>
      </c>
      <c r="C277">
        <v>4</v>
      </c>
      <c r="D277">
        <v>661</v>
      </c>
      <c r="E277">
        <v>707</v>
      </c>
      <c r="F277">
        <v>606</v>
      </c>
      <c r="G277">
        <v>607</v>
      </c>
      <c r="H277">
        <v>617</v>
      </c>
      <c r="I277">
        <f>VLOOKUP(Scores[[#This Row],[MRUN]],Demographics[],3,FALSE)</f>
        <v>4</v>
      </c>
      <c r="J277">
        <f>AVERAGE(Scores[[#This Row],[LYC]],Scores[[#This Row],[MATE]])</f>
        <v>656.5</v>
      </c>
      <c r="K277">
        <f>VLOOKUP(Scores[[#This Row],[MRUN]],Demographics[],6,FALSE)</f>
        <v>5</v>
      </c>
      <c r="L277">
        <f>VLOOKUP(Scores[[#This Row],[MRUN]],Demographics[], 7,FALSE)</f>
        <v>5</v>
      </c>
      <c r="M277">
        <f>VLOOKUP(Scores[[#This Row],[MRUN]],Demographics[], 5, FALSE)</f>
        <v>3</v>
      </c>
    </row>
    <row r="278" spans="1:13" hidden="1" x14ac:dyDescent="0.2">
      <c r="A278" s="1">
        <v>24135316</v>
      </c>
      <c r="B278">
        <v>1</v>
      </c>
      <c r="C278">
        <v>3</v>
      </c>
      <c r="D278">
        <v>435</v>
      </c>
      <c r="E278">
        <v>516</v>
      </c>
      <c r="F278">
        <v>606</v>
      </c>
      <c r="G278">
        <v>557</v>
      </c>
      <c r="H278">
        <v>0</v>
      </c>
      <c r="I278">
        <f>VLOOKUP(Scores[[#This Row],[MRUN]],Demographics[],3,FALSE)</f>
        <v>4</v>
      </c>
      <c r="J278">
        <f>AVERAGE(Scores[[#This Row],[LYC]],Scores[[#This Row],[MATE]])</f>
        <v>561</v>
      </c>
      <c r="K278">
        <f>VLOOKUP(Scores[[#This Row],[MRUN]],Demographics[],6,FALSE)</f>
        <v>5</v>
      </c>
      <c r="L278">
        <f>VLOOKUP(Scores[[#This Row],[MRUN]],Demographics[], 7,FALSE)</f>
        <v>5</v>
      </c>
      <c r="M278">
        <f>VLOOKUP(Scores[[#This Row],[MRUN]],Demographics[], 5, FALSE)</f>
        <v>1</v>
      </c>
    </row>
    <row r="279" spans="1:13" hidden="1" x14ac:dyDescent="0.2">
      <c r="A279" s="1">
        <v>6714030</v>
      </c>
      <c r="B279">
        <v>2</v>
      </c>
      <c r="C279">
        <v>3</v>
      </c>
      <c r="D279">
        <v>496</v>
      </c>
      <c r="E279">
        <v>557</v>
      </c>
      <c r="F279">
        <v>549</v>
      </c>
      <c r="G279">
        <v>466</v>
      </c>
      <c r="H279">
        <v>449</v>
      </c>
      <c r="I279">
        <f>VLOOKUP(Scores[[#This Row],[MRUN]],Demographics[],3,FALSE)</f>
        <v>4</v>
      </c>
      <c r="J279">
        <f>AVERAGE(Scores[[#This Row],[LYC]],Scores[[#This Row],[MATE]])</f>
        <v>553</v>
      </c>
      <c r="K279">
        <f>VLOOKUP(Scores[[#This Row],[MRUN]],Demographics[],6,FALSE)</f>
        <v>5</v>
      </c>
      <c r="L279">
        <f>VLOOKUP(Scores[[#This Row],[MRUN]],Demographics[], 7,FALSE)</f>
        <v>4</v>
      </c>
      <c r="M279">
        <f>VLOOKUP(Scores[[#This Row],[MRUN]],Demographics[], 5, FALSE)</f>
        <v>2</v>
      </c>
    </row>
    <row r="280" spans="1:13" hidden="1" x14ac:dyDescent="0.2">
      <c r="A280" s="1">
        <v>2238661</v>
      </c>
      <c r="B280">
        <v>2</v>
      </c>
      <c r="C280">
        <v>2</v>
      </c>
      <c r="D280">
        <v>580</v>
      </c>
      <c r="E280">
        <v>531</v>
      </c>
      <c r="F280">
        <v>540</v>
      </c>
      <c r="G280">
        <v>490</v>
      </c>
      <c r="H280">
        <v>0</v>
      </c>
      <c r="I280">
        <f>VLOOKUP(Scores[[#This Row],[MRUN]],Demographics[],3,FALSE)</f>
        <v>3</v>
      </c>
      <c r="J280">
        <f>AVERAGE(Scores[[#This Row],[LYC]],Scores[[#This Row],[MATE]])</f>
        <v>535.5</v>
      </c>
      <c r="K280">
        <f>VLOOKUP(Scores[[#This Row],[MRUN]],Demographics[],6,FALSE)</f>
        <v>2</v>
      </c>
      <c r="L280">
        <f>VLOOKUP(Scores[[#This Row],[MRUN]],Demographics[], 7,FALSE)</f>
        <v>2</v>
      </c>
      <c r="M280">
        <f>VLOOKUP(Scores[[#This Row],[MRUN]],Demographics[], 5, FALSE)</f>
        <v>1</v>
      </c>
    </row>
    <row r="281" spans="1:13" hidden="1" x14ac:dyDescent="0.2">
      <c r="A281" s="1">
        <v>5278107</v>
      </c>
      <c r="B281">
        <v>1</v>
      </c>
      <c r="C281">
        <v>2</v>
      </c>
      <c r="D281">
        <v>435</v>
      </c>
      <c r="E281">
        <v>306</v>
      </c>
      <c r="F281">
        <v>376</v>
      </c>
      <c r="G281">
        <v>406</v>
      </c>
      <c r="H281">
        <v>0</v>
      </c>
      <c r="I281">
        <f>VLOOKUP(Scores[[#This Row],[MRUN]],Demographics[],3,FALSE)</f>
        <v>4</v>
      </c>
      <c r="J281">
        <f>AVERAGE(Scores[[#This Row],[LYC]],Scores[[#This Row],[MATE]])</f>
        <v>341</v>
      </c>
      <c r="K281">
        <f>VLOOKUP(Scores[[#This Row],[MRUN]],Demographics[],6,FALSE)</f>
        <v>4</v>
      </c>
      <c r="L281">
        <f>VLOOKUP(Scores[[#This Row],[MRUN]],Demographics[], 7,FALSE)</f>
        <v>5</v>
      </c>
      <c r="M281">
        <f>VLOOKUP(Scores[[#This Row],[MRUN]],Demographics[], 5, FALSE)</f>
        <v>1</v>
      </c>
    </row>
    <row r="282" spans="1:13" hidden="1" x14ac:dyDescent="0.2">
      <c r="A282" s="1">
        <v>16824975</v>
      </c>
      <c r="B282">
        <v>1</v>
      </c>
      <c r="C282">
        <v>3</v>
      </c>
      <c r="D282">
        <v>538</v>
      </c>
      <c r="E282">
        <v>661</v>
      </c>
      <c r="F282">
        <v>557</v>
      </c>
      <c r="G282">
        <v>634</v>
      </c>
      <c r="H282">
        <v>475</v>
      </c>
      <c r="I282">
        <f>VLOOKUP(Scores[[#This Row],[MRUN]],Demographics[],3,FALSE)</f>
        <v>5</v>
      </c>
      <c r="J282">
        <f>AVERAGE(Scores[[#This Row],[LYC]],Scores[[#This Row],[MATE]])</f>
        <v>609</v>
      </c>
      <c r="K282">
        <f>VLOOKUP(Scores[[#This Row],[MRUN]],Demographics[],6,FALSE)</f>
        <v>5</v>
      </c>
      <c r="L282">
        <f>VLOOKUP(Scores[[#This Row],[MRUN]],Demographics[], 7,FALSE)</f>
        <v>5</v>
      </c>
      <c r="M282">
        <f>VLOOKUP(Scores[[#This Row],[MRUN]],Demographics[], 5, FALSE)</f>
        <v>1</v>
      </c>
    </row>
    <row r="283" spans="1:13" hidden="1" x14ac:dyDescent="0.2">
      <c r="A283" s="1">
        <v>20564007</v>
      </c>
      <c r="B283">
        <v>1</v>
      </c>
      <c r="C283">
        <v>2</v>
      </c>
      <c r="D283">
        <v>496</v>
      </c>
      <c r="E283">
        <v>458</v>
      </c>
      <c r="F283">
        <v>527</v>
      </c>
      <c r="G283">
        <v>501</v>
      </c>
      <c r="H283">
        <v>534</v>
      </c>
      <c r="I283">
        <f>VLOOKUP(Scores[[#This Row],[MRUN]],Demographics[],3,FALSE)</f>
        <v>5</v>
      </c>
      <c r="J283">
        <f>AVERAGE(Scores[[#This Row],[LYC]],Scores[[#This Row],[MATE]])</f>
        <v>492.5</v>
      </c>
      <c r="K283">
        <f>VLOOKUP(Scores[[#This Row],[MRUN]],Demographics[],6,FALSE)</f>
        <v>5</v>
      </c>
      <c r="L283">
        <f>VLOOKUP(Scores[[#This Row],[MRUN]],Demographics[], 7,FALSE)</f>
        <v>3</v>
      </c>
      <c r="M283">
        <f>VLOOKUP(Scores[[#This Row],[MRUN]],Demographics[], 5, FALSE)</f>
        <v>1</v>
      </c>
    </row>
    <row r="284" spans="1:13" hidden="1" x14ac:dyDescent="0.2">
      <c r="A284" s="1">
        <v>3041251</v>
      </c>
      <c r="B284">
        <v>1</v>
      </c>
      <c r="C284">
        <v>3</v>
      </c>
      <c r="D284">
        <v>519</v>
      </c>
      <c r="E284">
        <v>471</v>
      </c>
      <c r="F284">
        <v>395</v>
      </c>
      <c r="G284">
        <v>0</v>
      </c>
      <c r="H284">
        <v>326</v>
      </c>
      <c r="I284">
        <f>VLOOKUP(Scores[[#This Row],[MRUN]],Demographics[],3,FALSE)</f>
        <v>7</v>
      </c>
      <c r="J284">
        <f>AVERAGE(Scores[[#This Row],[LYC]],Scores[[#This Row],[MATE]])</f>
        <v>433</v>
      </c>
      <c r="K284">
        <f>VLOOKUP(Scores[[#This Row],[MRUN]],Demographics[],6,FALSE)</f>
        <v>0</v>
      </c>
      <c r="L284">
        <f>VLOOKUP(Scores[[#This Row],[MRUN]],Demographics[], 7,FALSE)</f>
        <v>2</v>
      </c>
      <c r="M284">
        <f>VLOOKUP(Scores[[#This Row],[MRUN]],Demographics[], 5, FALSE)</f>
        <v>1</v>
      </c>
    </row>
    <row r="285" spans="1:13" hidden="1" x14ac:dyDescent="0.2">
      <c r="A285" s="1">
        <v>16391335</v>
      </c>
      <c r="B285">
        <v>2</v>
      </c>
      <c r="C285">
        <v>2</v>
      </c>
      <c r="D285">
        <v>437</v>
      </c>
      <c r="E285">
        <v>438</v>
      </c>
      <c r="F285">
        <v>494</v>
      </c>
      <c r="G285">
        <v>380</v>
      </c>
      <c r="H285">
        <v>391</v>
      </c>
      <c r="I285">
        <f>VLOOKUP(Scores[[#This Row],[MRUN]],Demographics[],3,FALSE)</f>
        <v>4</v>
      </c>
      <c r="J285">
        <f>AVERAGE(Scores[[#This Row],[LYC]],Scores[[#This Row],[MATE]])</f>
        <v>466</v>
      </c>
      <c r="K285">
        <f>VLOOKUP(Scores[[#This Row],[MRUN]],Demographics[],6,FALSE)</f>
        <v>5</v>
      </c>
      <c r="L285">
        <f>VLOOKUP(Scores[[#This Row],[MRUN]],Demographics[], 7,FALSE)</f>
        <v>5</v>
      </c>
      <c r="M285">
        <f>VLOOKUP(Scores[[#This Row],[MRUN]],Demographics[], 5, FALSE)</f>
        <v>1</v>
      </c>
    </row>
    <row r="286" spans="1:13" hidden="1" x14ac:dyDescent="0.2">
      <c r="A286" s="1">
        <v>23435479</v>
      </c>
      <c r="B286">
        <v>2</v>
      </c>
      <c r="C286">
        <v>2</v>
      </c>
      <c r="D286">
        <v>517</v>
      </c>
      <c r="E286">
        <v>290</v>
      </c>
      <c r="F286">
        <v>376</v>
      </c>
      <c r="G286">
        <v>406</v>
      </c>
      <c r="H286">
        <v>0</v>
      </c>
      <c r="I286">
        <f>VLOOKUP(Scores[[#This Row],[MRUN]],Demographics[],3,FALSE)</f>
        <v>0</v>
      </c>
      <c r="J286">
        <f>AVERAGE(Scores[[#This Row],[LYC]],Scores[[#This Row],[MATE]])</f>
        <v>333</v>
      </c>
      <c r="K286">
        <f>VLOOKUP(Scores[[#This Row],[MRUN]],Demographics[],6,FALSE)</f>
        <v>0</v>
      </c>
      <c r="L286">
        <f>VLOOKUP(Scores[[#This Row],[MRUN]],Demographics[], 7,FALSE)</f>
        <v>0</v>
      </c>
      <c r="M286">
        <f>VLOOKUP(Scores[[#This Row],[MRUN]],Demographics[], 5, FALSE)</f>
        <v>1</v>
      </c>
    </row>
    <row r="287" spans="1:13" hidden="1" x14ac:dyDescent="0.2">
      <c r="A287" s="1">
        <v>18961054</v>
      </c>
      <c r="B287">
        <v>1</v>
      </c>
      <c r="C287">
        <v>2</v>
      </c>
      <c r="D287">
        <v>455</v>
      </c>
      <c r="E287">
        <v>476</v>
      </c>
      <c r="F287">
        <v>494</v>
      </c>
      <c r="G287">
        <v>557</v>
      </c>
      <c r="H287">
        <v>475</v>
      </c>
      <c r="I287">
        <f>VLOOKUP(Scores[[#This Row],[MRUN]],Demographics[],3,FALSE)</f>
        <v>8</v>
      </c>
      <c r="J287">
        <f>AVERAGE(Scores[[#This Row],[LYC]],Scores[[#This Row],[MATE]])</f>
        <v>485</v>
      </c>
      <c r="K287">
        <f>VLOOKUP(Scores[[#This Row],[MRUN]],Demographics[],6,FALSE)</f>
        <v>9</v>
      </c>
      <c r="L287">
        <f>VLOOKUP(Scores[[#This Row],[MRUN]],Demographics[], 7,FALSE)</f>
        <v>9</v>
      </c>
      <c r="M287">
        <f>VLOOKUP(Scores[[#This Row],[MRUN]],Demographics[], 5, FALSE)</f>
        <v>3</v>
      </c>
    </row>
    <row r="288" spans="1:13" hidden="1" x14ac:dyDescent="0.2">
      <c r="A288" s="1">
        <v>12119798</v>
      </c>
      <c r="B288">
        <v>1</v>
      </c>
      <c r="C288">
        <v>2</v>
      </c>
      <c r="D288">
        <v>499</v>
      </c>
      <c r="E288">
        <v>483</v>
      </c>
      <c r="F288">
        <v>463</v>
      </c>
      <c r="G288">
        <v>442</v>
      </c>
      <c r="H288">
        <v>404</v>
      </c>
      <c r="I288">
        <f>VLOOKUP(Scores[[#This Row],[MRUN]],Demographics[],3,FALSE)</f>
        <v>0</v>
      </c>
      <c r="J288">
        <f>AVERAGE(Scores[[#This Row],[LYC]],Scores[[#This Row],[MATE]])</f>
        <v>473</v>
      </c>
      <c r="K288">
        <f>VLOOKUP(Scores[[#This Row],[MRUN]],Demographics[],6,FALSE)</f>
        <v>0</v>
      </c>
      <c r="L288">
        <f>VLOOKUP(Scores[[#This Row],[MRUN]],Demographics[], 7,FALSE)</f>
        <v>0</v>
      </c>
      <c r="M288">
        <f>VLOOKUP(Scores[[#This Row],[MRUN]],Demographics[], 5, FALSE)</f>
        <v>1</v>
      </c>
    </row>
    <row r="289" spans="1:13" hidden="1" x14ac:dyDescent="0.2">
      <c r="A289" s="1">
        <v>19162825</v>
      </c>
      <c r="B289">
        <v>1</v>
      </c>
      <c r="C289">
        <v>3</v>
      </c>
      <c r="D289">
        <v>397</v>
      </c>
      <c r="E289">
        <v>356</v>
      </c>
      <c r="F289">
        <v>353</v>
      </c>
      <c r="G289">
        <v>370</v>
      </c>
      <c r="H289">
        <v>326</v>
      </c>
      <c r="I289">
        <f>VLOOKUP(Scores[[#This Row],[MRUN]],Demographics[],3,FALSE)</f>
        <v>4</v>
      </c>
      <c r="J289">
        <f>AVERAGE(Scores[[#This Row],[LYC]],Scores[[#This Row],[MATE]])</f>
        <v>354.5</v>
      </c>
      <c r="K289">
        <f>VLOOKUP(Scores[[#This Row],[MRUN]],Demographics[],6,FALSE)</f>
        <v>9</v>
      </c>
      <c r="L289">
        <f>VLOOKUP(Scores[[#This Row],[MRUN]],Demographics[], 7,FALSE)</f>
        <v>9</v>
      </c>
      <c r="M289">
        <f>VLOOKUP(Scores[[#This Row],[MRUN]],Demographics[], 5, FALSE)</f>
        <v>3</v>
      </c>
    </row>
    <row r="290" spans="1:13" hidden="1" x14ac:dyDescent="0.2">
      <c r="A290" s="1">
        <v>22166231</v>
      </c>
      <c r="B290">
        <v>2</v>
      </c>
      <c r="C290">
        <v>3</v>
      </c>
      <c r="D290">
        <v>499</v>
      </c>
      <c r="E290">
        <v>0</v>
      </c>
      <c r="F290">
        <v>0</v>
      </c>
      <c r="G290">
        <v>0</v>
      </c>
      <c r="H290">
        <v>0</v>
      </c>
      <c r="I290">
        <f>VLOOKUP(Scores[[#This Row],[MRUN]],Demographics[],3,FALSE)</f>
        <v>7</v>
      </c>
      <c r="J290">
        <f>AVERAGE(Scores[[#This Row],[LYC]],Scores[[#This Row],[MATE]])</f>
        <v>0</v>
      </c>
      <c r="K290">
        <f>VLOOKUP(Scores[[#This Row],[MRUN]],Demographics[],6,FALSE)</f>
        <v>2</v>
      </c>
      <c r="L290">
        <f>VLOOKUP(Scores[[#This Row],[MRUN]],Demographics[], 7,FALSE)</f>
        <v>2</v>
      </c>
      <c r="M290">
        <f>VLOOKUP(Scores[[#This Row],[MRUN]],Demographics[], 5, FALSE)</f>
        <v>1</v>
      </c>
    </row>
    <row r="291" spans="1:13" hidden="1" x14ac:dyDescent="0.2">
      <c r="A291" s="1">
        <v>12277899</v>
      </c>
      <c r="B291">
        <v>1</v>
      </c>
      <c r="C291">
        <v>2</v>
      </c>
      <c r="D291">
        <v>437</v>
      </c>
      <c r="E291">
        <v>464</v>
      </c>
      <c r="F291">
        <v>452</v>
      </c>
      <c r="G291">
        <v>495</v>
      </c>
      <c r="H291">
        <v>504</v>
      </c>
      <c r="I291">
        <f>VLOOKUP(Scores[[#This Row],[MRUN]],Demographics[],3,FALSE)</f>
        <v>5</v>
      </c>
      <c r="J291">
        <f>AVERAGE(Scores[[#This Row],[LYC]],Scores[[#This Row],[MATE]])</f>
        <v>458</v>
      </c>
      <c r="K291">
        <f>VLOOKUP(Scores[[#This Row],[MRUN]],Demographics[],6,FALSE)</f>
        <v>2</v>
      </c>
      <c r="L291">
        <f>VLOOKUP(Scores[[#This Row],[MRUN]],Demographics[], 7,FALSE)</f>
        <v>2</v>
      </c>
      <c r="M291">
        <f>VLOOKUP(Scores[[#This Row],[MRUN]],Demographics[], 5, FALSE)</f>
        <v>1</v>
      </c>
    </row>
    <row r="292" spans="1:13" hidden="1" x14ac:dyDescent="0.2">
      <c r="A292" s="1">
        <v>14947730</v>
      </c>
      <c r="B292">
        <v>1</v>
      </c>
      <c r="C292">
        <v>3</v>
      </c>
      <c r="D292">
        <v>420</v>
      </c>
      <c r="E292">
        <v>0</v>
      </c>
      <c r="F292">
        <v>0</v>
      </c>
      <c r="G292">
        <v>0</v>
      </c>
      <c r="H292">
        <v>0</v>
      </c>
      <c r="I292">
        <f>VLOOKUP(Scores[[#This Row],[MRUN]],Demographics[],3,FALSE)</f>
        <v>0</v>
      </c>
      <c r="J292">
        <f>AVERAGE(Scores[[#This Row],[LYC]],Scores[[#This Row],[MATE]])</f>
        <v>0</v>
      </c>
      <c r="K292">
        <f>VLOOKUP(Scores[[#This Row],[MRUN]],Demographics[],6,FALSE)</f>
        <v>0</v>
      </c>
      <c r="L292">
        <f>VLOOKUP(Scores[[#This Row],[MRUN]],Demographics[], 7,FALSE)</f>
        <v>0</v>
      </c>
      <c r="M292">
        <f>VLOOKUP(Scores[[#This Row],[MRUN]],Demographics[], 5, FALSE)</f>
        <v>1</v>
      </c>
    </row>
    <row r="293" spans="1:13" hidden="1" x14ac:dyDescent="0.2">
      <c r="A293" s="1">
        <v>18685483</v>
      </c>
      <c r="B293">
        <v>2</v>
      </c>
      <c r="C293">
        <v>2</v>
      </c>
      <c r="D293">
        <v>560</v>
      </c>
      <c r="E293">
        <v>483</v>
      </c>
      <c r="F293">
        <v>395</v>
      </c>
      <c r="G293">
        <v>527</v>
      </c>
      <c r="H293">
        <v>0</v>
      </c>
      <c r="I293">
        <f>VLOOKUP(Scores[[#This Row],[MRUN]],Demographics[],3,FALSE)</f>
        <v>4</v>
      </c>
      <c r="J293">
        <f>AVERAGE(Scores[[#This Row],[LYC]],Scores[[#This Row],[MATE]])</f>
        <v>439</v>
      </c>
      <c r="K293">
        <f>VLOOKUP(Scores[[#This Row],[MRUN]],Demographics[],6,FALSE)</f>
        <v>3</v>
      </c>
      <c r="L293">
        <f>VLOOKUP(Scores[[#This Row],[MRUN]],Demographics[], 7,FALSE)</f>
        <v>2</v>
      </c>
      <c r="M293">
        <f>VLOOKUP(Scores[[#This Row],[MRUN]],Demographics[], 5, FALSE)</f>
        <v>1</v>
      </c>
    </row>
    <row r="294" spans="1:13" hidden="1" x14ac:dyDescent="0.2">
      <c r="A294" s="1">
        <v>6937006</v>
      </c>
      <c r="B294">
        <v>1</v>
      </c>
      <c r="C294">
        <v>2</v>
      </c>
      <c r="D294">
        <v>458</v>
      </c>
      <c r="E294">
        <v>0</v>
      </c>
      <c r="F294">
        <v>0</v>
      </c>
      <c r="G294">
        <v>0</v>
      </c>
      <c r="H294">
        <v>0</v>
      </c>
      <c r="I294">
        <f>VLOOKUP(Scores[[#This Row],[MRUN]],Demographics[],3,FALSE)</f>
        <v>4</v>
      </c>
      <c r="J294">
        <f>AVERAGE(Scores[[#This Row],[LYC]],Scores[[#This Row],[MATE]])</f>
        <v>0</v>
      </c>
      <c r="K294">
        <f>VLOOKUP(Scores[[#This Row],[MRUN]],Demographics[],6,FALSE)</f>
        <v>3</v>
      </c>
      <c r="L294">
        <f>VLOOKUP(Scores[[#This Row],[MRUN]],Demographics[], 7,FALSE)</f>
        <v>5</v>
      </c>
      <c r="M294">
        <f>VLOOKUP(Scores[[#This Row],[MRUN]],Demographics[], 5, FALSE)</f>
        <v>1</v>
      </c>
    </row>
    <row r="295" spans="1:13" hidden="1" x14ac:dyDescent="0.2">
      <c r="A295" s="1">
        <v>8539121</v>
      </c>
      <c r="B295">
        <v>2</v>
      </c>
      <c r="C295">
        <v>3</v>
      </c>
      <c r="D295">
        <v>376</v>
      </c>
      <c r="E295">
        <v>415</v>
      </c>
      <c r="F295">
        <v>0</v>
      </c>
      <c r="G295">
        <v>449</v>
      </c>
      <c r="H295">
        <v>361</v>
      </c>
      <c r="I295">
        <f>VLOOKUP(Scores[[#This Row],[MRUN]],Demographics[],3,FALSE)</f>
        <v>7</v>
      </c>
      <c r="J295">
        <f>AVERAGE(Scores[[#This Row],[LYC]],Scores[[#This Row],[MATE]])</f>
        <v>207.5</v>
      </c>
      <c r="K295">
        <f>VLOOKUP(Scores[[#This Row],[MRUN]],Demographics[],6,FALSE)</f>
        <v>2</v>
      </c>
      <c r="L295">
        <f>VLOOKUP(Scores[[#This Row],[MRUN]],Demographics[], 7,FALSE)</f>
        <v>2</v>
      </c>
      <c r="M295">
        <f>VLOOKUP(Scores[[#This Row],[MRUN]],Demographics[], 5, FALSE)</f>
        <v>1</v>
      </c>
    </row>
    <row r="296" spans="1:13" hidden="1" x14ac:dyDescent="0.2">
      <c r="A296" s="1">
        <v>15684214</v>
      </c>
      <c r="B296">
        <v>1</v>
      </c>
      <c r="C296">
        <v>2</v>
      </c>
      <c r="D296">
        <v>539</v>
      </c>
      <c r="E296">
        <v>0</v>
      </c>
      <c r="F296">
        <v>0</v>
      </c>
      <c r="G296">
        <v>0</v>
      </c>
      <c r="H296">
        <v>0</v>
      </c>
      <c r="I296">
        <f>VLOOKUP(Scores[[#This Row],[MRUN]],Demographics[],3,FALSE)</f>
        <v>5</v>
      </c>
      <c r="J296">
        <f>AVERAGE(Scores[[#This Row],[LYC]],Scores[[#This Row],[MATE]])</f>
        <v>0</v>
      </c>
      <c r="K296">
        <f>VLOOKUP(Scores[[#This Row],[MRUN]],Demographics[],6,FALSE)</f>
        <v>2</v>
      </c>
      <c r="L296">
        <f>VLOOKUP(Scores[[#This Row],[MRUN]],Demographics[], 7,FALSE)</f>
        <v>4</v>
      </c>
      <c r="M296">
        <f>VLOOKUP(Scores[[#This Row],[MRUN]],Demographics[], 5, FALSE)</f>
        <v>1</v>
      </c>
    </row>
    <row r="297" spans="1:13" hidden="1" x14ac:dyDescent="0.2">
      <c r="A297" s="1">
        <v>7038421</v>
      </c>
      <c r="B297">
        <v>2</v>
      </c>
      <c r="C297">
        <v>3</v>
      </c>
      <c r="D297">
        <v>560</v>
      </c>
      <c r="E297">
        <v>367</v>
      </c>
      <c r="F297">
        <v>452</v>
      </c>
      <c r="G297">
        <v>370</v>
      </c>
      <c r="H297">
        <v>0</v>
      </c>
      <c r="I297">
        <f>VLOOKUP(Scores[[#This Row],[MRUN]],Demographics[],3,FALSE)</f>
        <v>5</v>
      </c>
      <c r="J297">
        <f>AVERAGE(Scores[[#This Row],[LYC]],Scores[[#This Row],[MATE]])</f>
        <v>409.5</v>
      </c>
      <c r="K297">
        <f>VLOOKUP(Scores[[#This Row],[MRUN]],Demographics[],6,FALSE)</f>
        <v>0</v>
      </c>
      <c r="L297">
        <f>VLOOKUP(Scores[[#This Row],[MRUN]],Demographics[], 7,FALSE)</f>
        <v>2</v>
      </c>
      <c r="M297">
        <f>VLOOKUP(Scores[[#This Row],[MRUN]],Demographics[], 5, FALSE)</f>
        <v>1</v>
      </c>
    </row>
    <row r="298" spans="1:13" hidden="1" x14ac:dyDescent="0.2">
      <c r="A298" s="1">
        <v>9607423</v>
      </c>
      <c r="B298">
        <v>1</v>
      </c>
      <c r="C298">
        <v>2</v>
      </c>
      <c r="D298">
        <v>496</v>
      </c>
      <c r="E298">
        <v>464</v>
      </c>
      <c r="F298">
        <v>480</v>
      </c>
      <c r="G298">
        <v>0</v>
      </c>
      <c r="H298">
        <v>376</v>
      </c>
      <c r="I298">
        <f>VLOOKUP(Scores[[#This Row],[MRUN]],Demographics[],3,FALSE)</f>
        <v>5</v>
      </c>
      <c r="J298">
        <f>AVERAGE(Scores[[#This Row],[LYC]],Scores[[#This Row],[MATE]])</f>
        <v>472</v>
      </c>
      <c r="K298">
        <f>VLOOKUP(Scores[[#This Row],[MRUN]],Demographics[],6,FALSE)</f>
        <v>4</v>
      </c>
      <c r="L298">
        <f>VLOOKUP(Scores[[#This Row],[MRUN]],Demographics[], 7,FALSE)</f>
        <v>2</v>
      </c>
      <c r="M298">
        <f>VLOOKUP(Scores[[#This Row],[MRUN]],Demographics[], 5, FALSE)</f>
        <v>1</v>
      </c>
    </row>
    <row r="299" spans="1:13" hidden="1" x14ac:dyDescent="0.2">
      <c r="A299" s="1">
        <v>12496434</v>
      </c>
      <c r="B299">
        <v>1</v>
      </c>
      <c r="C299">
        <v>2</v>
      </c>
      <c r="D299">
        <v>539</v>
      </c>
      <c r="E299">
        <v>0</v>
      </c>
      <c r="F299">
        <v>0</v>
      </c>
      <c r="G299">
        <v>0</v>
      </c>
      <c r="H299">
        <v>0</v>
      </c>
      <c r="I299">
        <f>VLOOKUP(Scores[[#This Row],[MRUN]],Demographics[],3,FALSE)</f>
        <v>2</v>
      </c>
      <c r="J299">
        <f>AVERAGE(Scores[[#This Row],[LYC]],Scores[[#This Row],[MATE]])</f>
        <v>0</v>
      </c>
      <c r="K299">
        <f>VLOOKUP(Scores[[#This Row],[MRUN]],Demographics[],6,FALSE)</f>
        <v>2</v>
      </c>
      <c r="L299">
        <f>VLOOKUP(Scores[[#This Row],[MRUN]],Demographics[], 7,FALSE)</f>
        <v>3</v>
      </c>
      <c r="M299">
        <f>VLOOKUP(Scores[[#This Row],[MRUN]],Demographics[], 5, FALSE)</f>
        <v>1</v>
      </c>
    </row>
    <row r="300" spans="1:13" hidden="1" x14ac:dyDescent="0.2">
      <c r="A300" s="1">
        <v>2883290</v>
      </c>
      <c r="B300">
        <v>1</v>
      </c>
      <c r="C300">
        <v>3</v>
      </c>
      <c r="D300">
        <v>435</v>
      </c>
      <c r="E300">
        <v>0</v>
      </c>
      <c r="F300">
        <v>0</v>
      </c>
      <c r="G300">
        <v>0</v>
      </c>
      <c r="H300">
        <v>0</v>
      </c>
      <c r="I300">
        <f>VLOOKUP(Scores[[#This Row],[MRUN]],Demographics[],3,FALSE)</f>
        <v>5</v>
      </c>
      <c r="J300">
        <f>AVERAGE(Scores[[#This Row],[LYC]],Scores[[#This Row],[MATE]])</f>
        <v>0</v>
      </c>
      <c r="K300">
        <f>VLOOKUP(Scores[[#This Row],[MRUN]],Demographics[],6,FALSE)</f>
        <v>3</v>
      </c>
      <c r="L300">
        <f>VLOOKUP(Scores[[#This Row],[MRUN]],Demographics[], 7,FALSE)</f>
        <v>9</v>
      </c>
      <c r="M300">
        <f>VLOOKUP(Scores[[#This Row],[MRUN]],Demographics[], 5, FALSE)</f>
        <v>2</v>
      </c>
    </row>
    <row r="301" spans="1:13" hidden="1" x14ac:dyDescent="0.2">
      <c r="A301" s="1">
        <v>11327296</v>
      </c>
      <c r="B301">
        <v>2</v>
      </c>
      <c r="C301">
        <v>3</v>
      </c>
      <c r="D301">
        <v>460</v>
      </c>
      <c r="E301">
        <v>464</v>
      </c>
      <c r="F301">
        <v>395</v>
      </c>
      <c r="G301">
        <v>0</v>
      </c>
      <c r="H301">
        <v>504</v>
      </c>
      <c r="I301">
        <f>VLOOKUP(Scores[[#This Row],[MRUN]],Demographics[],3,FALSE)</f>
        <v>6</v>
      </c>
      <c r="J301">
        <f>AVERAGE(Scores[[#This Row],[LYC]],Scores[[#This Row],[MATE]])</f>
        <v>429.5</v>
      </c>
      <c r="K301">
        <f>VLOOKUP(Scores[[#This Row],[MRUN]],Demographics[],6,FALSE)</f>
        <v>2</v>
      </c>
      <c r="L301">
        <f>VLOOKUP(Scores[[#This Row],[MRUN]],Demographics[], 7,FALSE)</f>
        <v>5</v>
      </c>
      <c r="M301">
        <f>VLOOKUP(Scores[[#This Row],[MRUN]],Demographics[], 5, FALSE)</f>
        <v>1</v>
      </c>
    </row>
    <row r="302" spans="1:13" hidden="1" x14ac:dyDescent="0.2">
      <c r="A302" s="1">
        <v>23711248</v>
      </c>
      <c r="B302">
        <v>1</v>
      </c>
      <c r="C302">
        <v>2</v>
      </c>
      <c r="D302">
        <v>417</v>
      </c>
      <c r="E302">
        <v>629</v>
      </c>
      <c r="F302">
        <v>557</v>
      </c>
      <c r="G302">
        <v>562</v>
      </c>
      <c r="H302">
        <v>459</v>
      </c>
      <c r="I302">
        <f>VLOOKUP(Scores[[#This Row],[MRUN]],Demographics[],3,FALSE)</f>
        <v>5</v>
      </c>
      <c r="J302">
        <f>AVERAGE(Scores[[#This Row],[LYC]],Scores[[#This Row],[MATE]])</f>
        <v>593</v>
      </c>
      <c r="K302">
        <f>VLOOKUP(Scores[[#This Row],[MRUN]],Demographics[],6,FALSE)</f>
        <v>4</v>
      </c>
      <c r="L302">
        <f>VLOOKUP(Scores[[#This Row],[MRUN]],Demographics[], 7,FALSE)</f>
        <v>5</v>
      </c>
      <c r="M302">
        <f>VLOOKUP(Scores[[#This Row],[MRUN]],Demographics[], 5, FALSE)</f>
        <v>1</v>
      </c>
    </row>
    <row r="303" spans="1:13" hidden="1" x14ac:dyDescent="0.2">
      <c r="A303" s="1">
        <v>1381764</v>
      </c>
      <c r="B303">
        <v>2</v>
      </c>
      <c r="C303">
        <v>3</v>
      </c>
      <c r="D303">
        <v>397</v>
      </c>
      <c r="E303">
        <v>0</v>
      </c>
      <c r="F303">
        <v>0</v>
      </c>
      <c r="G303">
        <v>0</v>
      </c>
      <c r="H303">
        <v>0</v>
      </c>
      <c r="I303">
        <f>VLOOKUP(Scores[[#This Row],[MRUN]],Demographics[],3,FALSE)</f>
        <v>0</v>
      </c>
      <c r="J303">
        <f>AVERAGE(Scores[[#This Row],[LYC]],Scores[[#This Row],[MATE]])</f>
        <v>0</v>
      </c>
      <c r="K303">
        <f>VLOOKUP(Scores[[#This Row],[MRUN]],Demographics[],6,FALSE)</f>
        <v>1</v>
      </c>
      <c r="L303">
        <f>VLOOKUP(Scores[[#This Row],[MRUN]],Demographics[], 7,FALSE)</f>
        <v>1</v>
      </c>
      <c r="M303">
        <f>VLOOKUP(Scores[[#This Row],[MRUN]],Demographics[], 5, FALSE)</f>
        <v>1</v>
      </c>
    </row>
    <row r="304" spans="1:13" hidden="1" x14ac:dyDescent="0.2">
      <c r="A304" s="1">
        <v>20406265</v>
      </c>
      <c r="B304">
        <v>1</v>
      </c>
      <c r="C304">
        <v>3</v>
      </c>
      <c r="D304">
        <v>539</v>
      </c>
      <c r="E304">
        <v>0</v>
      </c>
      <c r="F304">
        <v>0</v>
      </c>
      <c r="G304">
        <v>0</v>
      </c>
      <c r="H304">
        <v>0</v>
      </c>
      <c r="I304">
        <f>VLOOKUP(Scores[[#This Row],[MRUN]],Demographics[],3,FALSE)</f>
        <v>3</v>
      </c>
      <c r="J304">
        <f>AVERAGE(Scores[[#This Row],[LYC]],Scores[[#This Row],[MATE]])</f>
        <v>0</v>
      </c>
      <c r="K304">
        <f>VLOOKUP(Scores[[#This Row],[MRUN]],Demographics[],6,FALSE)</f>
        <v>2</v>
      </c>
      <c r="L304">
        <f>VLOOKUP(Scores[[#This Row],[MRUN]],Demographics[], 7,FALSE)</f>
        <v>4</v>
      </c>
      <c r="M304">
        <f>VLOOKUP(Scores[[#This Row],[MRUN]],Demographics[], 5, FALSE)</f>
        <v>1</v>
      </c>
    </row>
    <row r="305" spans="1:13" hidden="1" x14ac:dyDescent="0.2">
      <c r="A305" s="1">
        <v>22889171</v>
      </c>
      <c r="B305">
        <v>1</v>
      </c>
      <c r="C305">
        <v>2</v>
      </c>
      <c r="D305">
        <v>580</v>
      </c>
      <c r="E305">
        <v>356</v>
      </c>
      <c r="F305">
        <v>376</v>
      </c>
      <c r="G305">
        <v>436</v>
      </c>
      <c r="H305">
        <v>0</v>
      </c>
      <c r="I305">
        <f>VLOOKUP(Scores[[#This Row],[MRUN]],Demographics[],3,FALSE)</f>
        <v>0</v>
      </c>
      <c r="J305">
        <f>AVERAGE(Scores[[#This Row],[LYC]],Scores[[#This Row],[MATE]])</f>
        <v>366</v>
      </c>
      <c r="K305">
        <f>VLOOKUP(Scores[[#This Row],[MRUN]],Demographics[],6,FALSE)</f>
        <v>0</v>
      </c>
      <c r="L305">
        <f>VLOOKUP(Scores[[#This Row],[MRUN]],Demographics[], 7,FALSE)</f>
        <v>0</v>
      </c>
      <c r="M305">
        <f>VLOOKUP(Scores[[#This Row],[MRUN]],Demographics[], 5, FALSE)</f>
        <v>1</v>
      </c>
    </row>
    <row r="306" spans="1:13" hidden="1" x14ac:dyDescent="0.2">
      <c r="A306" s="1">
        <v>3764676</v>
      </c>
      <c r="B306">
        <v>1</v>
      </c>
      <c r="C306">
        <v>2</v>
      </c>
      <c r="D306">
        <v>641</v>
      </c>
      <c r="E306">
        <v>771</v>
      </c>
      <c r="F306">
        <v>661</v>
      </c>
      <c r="G306">
        <v>803</v>
      </c>
      <c r="H306">
        <v>0</v>
      </c>
      <c r="I306">
        <f>VLOOKUP(Scores[[#This Row],[MRUN]],Demographics[],3,FALSE)</f>
        <v>3</v>
      </c>
      <c r="J306">
        <f>AVERAGE(Scores[[#This Row],[LYC]],Scores[[#This Row],[MATE]])</f>
        <v>716</v>
      </c>
      <c r="K306">
        <f>VLOOKUP(Scores[[#This Row],[MRUN]],Demographics[],6,FALSE)</f>
        <v>9</v>
      </c>
      <c r="L306">
        <f>VLOOKUP(Scores[[#This Row],[MRUN]],Demographics[], 7,FALSE)</f>
        <v>8</v>
      </c>
      <c r="M306">
        <f>VLOOKUP(Scores[[#This Row],[MRUN]],Demographics[], 5, FALSE)</f>
        <v>1</v>
      </c>
    </row>
    <row r="307" spans="1:13" hidden="1" x14ac:dyDescent="0.2">
      <c r="A307" s="1">
        <v>8469548</v>
      </c>
      <c r="B307">
        <v>1</v>
      </c>
      <c r="C307">
        <v>3</v>
      </c>
      <c r="D307">
        <v>642</v>
      </c>
      <c r="E307">
        <v>675</v>
      </c>
      <c r="F307">
        <v>527</v>
      </c>
      <c r="G307">
        <v>670</v>
      </c>
      <c r="H307">
        <v>528</v>
      </c>
      <c r="I307">
        <f>VLOOKUP(Scores[[#This Row],[MRUN]],Demographics[],3,FALSE)</f>
        <v>3</v>
      </c>
      <c r="J307">
        <f>AVERAGE(Scores[[#This Row],[LYC]],Scores[[#This Row],[MATE]])</f>
        <v>601</v>
      </c>
      <c r="K307">
        <f>VLOOKUP(Scores[[#This Row],[MRUN]],Demographics[],6,FALSE)</f>
        <v>5</v>
      </c>
      <c r="L307">
        <f>VLOOKUP(Scores[[#This Row],[MRUN]],Demographics[], 7,FALSE)</f>
        <v>5</v>
      </c>
      <c r="M307">
        <f>VLOOKUP(Scores[[#This Row],[MRUN]],Demographics[], 5, FALSE)</f>
        <v>1</v>
      </c>
    </row>
    <row r="308" spans="1:13" hidden="1" x14ac:dyDescent="0.2">
      <c r="A308" s="1">
        <v>23524355</v>
      </c>
      <c r="B308">
        <v>1</v>
      </c>
      <c r="C308">
        <v>3</v>
      </c>
      <c r="D308">
        <v>538</v>
      </c>
      <c r="E308">
        <v>618</v>
      </c>
      <c r="F308">
        <v>686</v>
      </c>
      <c r="G308">
        <v>628</v>
      </c>
      <c r="H308">
        <v>587</v>
      </c>
      <c r="I308">
        <f>VLOOKUP(Scores[[#This Row],[MRUN]],Demographics[],3,FALSE)</f>
        <v>5</v>
      </c>
      <c r="J308">
        <f>AVERAGE(Scores[[#This Row],[LYC]],Scores[[#This Row],[MATE]])</f>
        <v>652</v>
      </c>
      <c r="K308">
        <f>VLOOKUP(Scores[[#This Row],[MRUN]],Demographics[],6,FALSE)</f>
        <v>5</v>
      </c>
      <c r="L308">
        <f>VLOOKUP(Scores[[#This Row],[MRUN]],Demographics[], 7,FALSE)</f>
        <v>7</v>
      </c>
      <c r="M308">
        <f>VLOOKUP(Scores[[#This Row],[MRUN]],Demographics[], 5, FALSE)</f>
        <v>1</v>
      </c>
    </row>
    <row r="309" spans="1:13" hidden="1" x14ac:dyDescent="0.2">
      <c r="A309" s="1">
        <v>16047127</v>
      </c>
      <c r="B309">
        <v>2</v>
      </c>
      <c r="C309">
        <v>2</v>
      </c>
      <c r="D309">
        <v>414</v>
      </c>
      <c r="E309">
        <v>262</v>
      </c>
      <c r="F309">
        <v>248</v>
      </c>
      <c r="G309">
        <v>202</v>
      </c>
      <c r="H309">
        <v>0</v>
      </c>
      <c r="I309">
        <f>VLOOKUP(Scores[[#This Row],[MRUN]],Demographics[],3,FALSE)</f>
        <v>4</v>
      </c>
      <c r="J309">
        <f>AVERAGE(Scores[[#This Row],[LYC]],Scores[[#This Row],[MATE]])</f>
        <v>255</v>
      </c>
      <c r="K309">
        <f>VLOOKUP(Scores[[#This Row],[MRUN]],Demographics[],6,FALSE)</f>
        <v>3</v>
      </c>
      <c r="L309">
        <f>VLOOKUP(Scores[[#This Row],[MRUN]],Demographics[], 7,FALSE)</f>
        <v>3</v>
      </c>
      <c r="M309">
        <f>VLOOKUP(Scores[[#This Row],[MRUN]],Demographics[], 5, FALSE)</f>
        <v>1</v>
      </c>
    </row>
    <row r="310" spans="1:13" hidden="1" x14ac:dyDescent="0.2">
      <c r="A310" s="1">
        <v>8902603</v>
      </c>
      <c r="B310">
        <v>2</v>
      </c>
      <c r="C310">
        <v>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f>VLOOKUP(Scores[[#This Row],[MRUN]],Demographics[],3,FALSE)</f>
        <v>4</v>
      </c>
      <c r="J310">
        <f>AVERAGE(Scores[[#This Row],[LYC]],Scores[[#This Row],[MATE]])</f>
        <v>0</v>
      </c>
      <c r="K310">
        <f>VLOOKUP(Scores[[#This Row],[MRUN]],Demographics[],6,FALSE)</f>
        <v>2</v>
      </c>
      <c r="L310">
        <f>VLOOKUP(Scores[[#This Row],[MRUN]],Demographics[], 7,FALSE)</f>
        <v>3</v>
      </c>
      <c r="M310">
        <f>VLOOKUP(Scores[[#This Row],[MRUN]],Demographics[], 5, FALSE)</f>
        <v>1</v>
      </c>
    </row>
    <row r="311" spans="1:13" hidden="1" x14ac:dyDescent="0.2">
      <c r="A311" s="1">
        <v>19048986</v>
      </c>
      <c r="B311">
        <v>2</v>
      </c>
      <c r="C311">
        <v>2</v>
      </c>
      <c r="D311">
        <v>582</v>
      </c>
      <c r="E311">
        <v>0</v>
      </c>
      <c r="F311">
        <v>0</v>
      </c>
      <c r="G311">
        <v>0</v>
      </c>
      <c r="H311">
        <v>0</v>
      </c>
      <c r="I311">
        <f>VLOOKUP(Scores[[#This Row],[MRUN]],Demographics[],3,FALSE)</f>
        <v>4</v>
      </c>
      <c r="J311">
        <f>AVERAGE(Scores[[#This Row],[LYC]],Scores[[#This Row],[MATE]])</f>
        <v>0</v>
      </c>
      <c r="K311">
        <f>VLOOKUP(Scores[[#This Row],[MRUN]],Demographics[],6,FALSE)</f>
        <v>5</v>
      </c>
      <c r="L311">
        <f>VLOOKUP(Scores[[#This Row],[MRUN]],Demographics[], 7,FALSE)</f>
        <v>5</v>
      </c>
      <c r="M311">
        <f>VLOOKUP(Scores[[#This Row],[MRUN]],Demographics[], 5, FALSE)</f>
        <v>1</v>
      </c>
    </row>
    <row r="312" spans="1:13" hidden="1" x14ac:dyDescent="0.2">
      <c r="A312" s="1">
        <v>14344017</v>
      </c>
      <c r="B312">
        <v>1</v>
      </c>
      <c r="C312">
        <v>2</v>
      </c>
      <c r="D312">
        <v>455</v>
      </c>
      <c r="E312">
        <v>0</v>
      </c>
      <c r="F312">
        <v>0</v>
      </c>
      <c r="G312">
        <v>0</v>
      </c>
      <c r="H312">
        <v>0</v>
      </c>
      <c r="I312">
        <f>VLOOKUP(Scores[[#This Row],[MRUN]],Demographics[],3,FALSE)</f>
        <v>6</v>
      </c>
      <c r="J312">
        <f>AVERAGE(Scores[[#This Row],[LYC]],Scores[[#This Row],[MATE]])</f>
        <v>0</v>
      </c>
      <c r="K312">
        <f>VLOOKUP(Scores[[#This Row],[MRUN]],Demographics[],6,FALSE)</f>
        <v>4</v>
      </c>
      <c r="L312">
        <f>VLOOKUP(Scores[[#This Row],[MRUN]],Demographics[], 7,FALSE)</f>
        <v>5</v>
      </c>
      <c r="M312">
        <f>VLOOKUP(Scores[[#This Row],[MRUN]],Demographics[], 5, FALSE)</f>
        <v>1</v>
      </c>
    </row>
    <row r="313" spans="1:13" hidden="1" x14ac:dyDescent="0.2">
      <c r="A313" s="1">
        <v>24490759</v>
      </c>
      <c r="B313">
        <v>1</v>
      </c>
      <c r="C313">
        <v>2</v>
      </c>
      <c r="D313">
        <v>478</v>
      </c>
      <c r="E313">
        <v>415</v>
      </c>
      <c r="F313">
        <v>472</v>
      </c>
      <c r="G313">
        <v>473</v>
      </c>
      <c r="H313">
        <v>0</v>
      </c>
      <c r="I313">
        <f>VLOOKUP(Scores[[#This Row],[MRUN]],Demographics[],3,FALSE)</f>
        <v>5</v>
      </c>
      <c r="J313">
        <f>AVERAGE(Scores[[#This Row],[LYC]],Scores[[#This Row],[MATE]])</f>
        <v>443.5</v>
      </c>
      <c r="K313">
        <f>VLOOKUP(Scores[[#This Row],[MRUN]],Demographics[],6,FALSE)</f>
        <v>2</v>
      </c>
      <c r="L313">
        <f>VLOOKUP(Scores[[#This Row],[MRUN]],Demographics[], 7,FALSE)</f>
        <v>5</v>
      </c>
      <c r="M313">
        <f>VLOOKUP(Scores[[#This Row],[MRUN]],Demographics[], 5, FALSE)</f>
        <v>1</v>
      </c>
    </row>
    <row r="314" spans="1:13" hidden="1" x14ac:dyDescent="0.2">
      <c r="A314" s="1">
        <v>22456654</v>
      </c>
      <c r="B314">
        <v>1</v>
      </c>
      <c r="C314">
        <v>2</v>
      </c>
      <c r="D314">
        <v>560</v>
      </c>
      <c r="E314">
        <v>422</v>
      </c>
      <c r="F314">
        <v>480</v>
      </c>
      <c r="G314">
        <v>0</v>
      </c>
      <c r="H314">
        <v>344</v>
      </c>
      <c r="I314">
        <f>VLOOKUP(Scores[[#This Row],[MRUN]],Demographics[],3,FALSE)</f>
        <v>7</v>
      </c>
      <c r="J314">
        <f>AVERAGE(Scores[[#This Row],[LYC]],Scores[[#This Row],[MATE]])</f>
        <v>451</v>
      </c>
      <c r="K314">
        <f>VLOOKUP(Scores[[#This Row],[MRUN]],Demographics[],6,FALSE)</f>
        <v>4</v>
      </c>
      <c r="L314">
        <f>VLOOKUP(Scores[[#This Row],[MRUN]],Demographics[], 7,FALSE)</f>
        <v>2</v>
      </c>
      <c r="M314">
        <f>VLOOKUP(Scores[[#This Row],[MRUN]],Demographics[], 5, FALSE)</f>
        <v>1</v>
      </c>
    </row>
    <row r="315" spans="1:13" hidden="1" x14ac:dyDescent="0.2">
      <c r="A315" s="1">
        <v>3230629</v>
      </c>
      <c r="B315">
        <v>1</v>
      </c>
      <c r="C315">
        <v>3</v>
      </c>
      <c r="D315">
        <v>356</v>
      </c>
      <c r="E315">
        <v>0</v>
      </c>
      <c r="F315">
        <v>0</v>
      </c>
      <c r="G315">
        <v>0</v>
      </c>
      <c r="H315">
        <v>0</v>
      </c>
      <c r="I315">
        <f>VLOOKUP(Scores[[#This Row],[MRUN]],Demographics[],3,FALSE)</f>
        <v>4</v>
      </c>
      <c r="J315">
        <f>AVERAGE(Scores[[#This Row],[LYC]],Scores[[#This Row],[MATE]])</f>
        <v>0</v>
      </c>
      <c r="K315">
        <f>VLOOKUP(Scores[[#This Row],[MRUN]],Demographics[],6,FALSE)</f>
        <v>2</v>
      </c>
      <c r="L315">
        <f>VLOOKUP(Scores[[#This Row],[MRUN]],Demographics[], 7,FALSE)</f>
        <v>4</v>
      </c>
      <c r="M315">
        <f>VLOOKUP(Scores[[#This Row],[MRUN]],Demographics[], 5, FALSE)</f>
        <v>1</v>
      </c>
    </row>
    <row r="316" spans="1:13" hidden="1" x14ac:dyDescent="0.2">
      <c r="A316" s="1">
        <v>22383581</v>
      </c>
      <c r="B316">
        <v>2</v>
      </c>
      <c r="C316">
        <v>3</v>
      </c>
      <c r="D316">
        <v>478</v>
      </c>
      <c r="E316">
        <v>345</v>
      </c>
      <c r="F316">
        <v>248</v>
      </c>
      <c r="G316">
        <v>406</v>
      </c>
      <c r="H316">
        <v>0</v>
      </c>
      <c r="I316">
        <f>VLOOKUP(Scores[[#This Row],[MRUN]],Demographics[],3,FALSE)</f>
        <v>5</v>
      </c>
      <c r="J316">
        <f>AVERAGE(Scores[[#This Row],[LYC]],Scores[[#This Row],[MATE]])</f>
        <v>296.5</v>
      </c>
      <c r="K316">
        <f>VLOOKUP(Scores[[#This Row],[MRUN]],Demographics[],6,FALSE)</f>
        <v>2</v>
      </c>
      <c r="L316">
        <f>VLOOKUP(Scores[[#This Row],[MRUN]],Demographics[], 7,FALSE)</f>
        <v>2</v>
      </c>
      <c r="M316">
        <f>VLOOKUP(Scores[[#This Row],[MRUN]],Demographics[], 5, FALSE)</f>
        <v>1</v>
      </c>
    </row>
    <row r="317" spans="1:13" hidden="1" x14ac:dyDescent="0.2">
      <c r="A317" s="1">
        <v>4674318</v>
      </c>
      <c r="B317">
        <v>2</v>
      </c>
      <c r="C317">
        <v>3</v>
      </c>
      <c r="D317">
        <v>481</v>
      </c>
      <c r="E317">
        <v>0</v>
      </c>
      <c r="F317">
        <v>0</v>
      </c>
      <c r="G317">
        <v>0</v>
      </c>
      <c r="H317">
        <v>0</v>
      </c>
      <c r="I317">
        <f>VLOOKUP(Scores[[#This Row],[MRUN]],Demographics[],3,FALSE)</f>
        <v>5</v>
      </c>
      <c r="J317">
        <f>AVERAGE(Scores[[#This Row],[LYC]],Scores[[#This Row],[MATE]])</f>
        <v>0</v>
      </c>
      <c r="K317">
        <f>VLOOKUP(Scores[[#This Row],[MRUN]],Demographics[],6,FALSE)</f>
        <v>4</v>
      </c>
      <c r="L317">
        <f>VLOOKUP(Scores[[#This Row],[MRUN]],Demographics[], 7,FALSE)</f>
        <v>5</v>
      </c>
      <c r="M317">
        <f>VLOOKUP(Scores[[#This Row],[MRUN]],Demographics[], 5, FALSE)</f>
        <v>1</v>
      </c>
    </row>
    <row r="318" spans="1:13" hidden="1" x14ac:dyDescent="0.2">
      <c r="A318" s="1">
        <v>9727870</v>
      </c>
      <c r="B318">
        <v>2</v>
      </c>
      <c r="C318">
        <v>3</v>
      </c>
      <c r="D318">
        <v>662</v>
      </c>
      <c r="E318">
        <v>547</v>
      </c>
      <c r="F318">
        <v>441</v>
      </c>
      <c r="G318">
        <v>0</v>
      </c>
      <c r="H318">
        <v>516</v>
      </c>
      <c r="I318">
        <f>VLOOKUP(Scores[[#This Row],[MRUN]],Demographics[],3,FALSE)</f>
        <v>3</v>
      </c>
      <c r="J318">
        <f>AVERAGE(Scores[[#This Row],[LYC]],Scores[[#This Row],[MATE]])</f>
        <v>494</v>
      </c>
      <c r="K318">
        <f>VLOOKUP(Scores[[#This Row],[MRUN]],Demographics[],6,FALSE)</f>
        <v>4</v>
      </c>
      <c r="L318">
        <f>VLOOKUP(Scores[[#This Row],[MRUN]],Demographics[], 7,FALSE)</f>
        <v>4</v>
      </c>
      <c r="M318">
        <f>VLOOKUP(Scores[[#This Row],[MRUN]],Demographics[], 5, FALSE)</f>
        <v>1</v>
      </c>
    </row>
    <row r="319" spans="1:13" hidden="1" x14ac:dyDescent="0.2">
      <c r="A319" s="1">
        <v>10261856</v>
      </c>
      <c r="B319">
        <v>2</v>
      </c>
      <c r="C319">
        <v>3</v>
      </c>
      <c r="D319">
        <v>601</v>
      </c>
      <c r="E319">
        <v>0</v>
      </c>
      <c r="F319">
        <v>0</v>
      </c>
      <c r="G319">
        <v>0</v>
      </c>
      <c r="H319">
        <v>0</v>
      </c>
      <c r="I319">
        <f>VLOOKUP(Scores[[#This Row],[MRUN]],Demographics[],3,FALSE)</f>
        <v>5</v>
      </c>
      <c r="J319">
        <f>AVERAGE(Scores[[#This Row],[LYC]],Scores[[#This Row],[MATE]])</f>
        <v>0</v>
      </c>
      <c r="K319">
        <f>VLOOKUP(Scores[[#This Row],[MRUN]],Demographics[],6,FALSE)</f>
        <v>5</v>
      </c>
      <c r="L319">
        <f>VLOOKUP(Scores[[#This Row],[MRUN]],Demographics[], 7,FALSE)</f>
        <v>5</v>
      </c>
      <c r="M319">
        <f>VLOOKUP(Scores[[#This Row],[MRUN]],Demographics[], 5, FALSE)</f>
        <v>1</v>
      </c>
    </row>
    <row r="320" spans="1:13" hidden="1" x14ac:dyDescent="0.2">
      <c r="A320" s="1">
        <v>22545785</v>
      </c>
      <c r="B320">
        <v>2</v>
      </c>
      <c r="C320">
        <v>2</v>
      </c>
      <c r="D320">
        <v>496</v>
      </c>
      <c r="E320">
        <v>521</v>
      </c>
      <c r="F320">
        <v>441</v>
      </c>
      <c r="G320">
        <v>0</v>
      </c>
      <c r="H320">
        <v>497</v>
      </c>
      <c r="I320">
        <f>VLOOKUP(Scores[[#This Row],[MRUN]],Demographics[],3,FALSE)</f>
        <v>3</v>
      </c>
      <c r="J320">
        <f>AVERAGE(Scores[[#This Row],[LYC]],Scores[[#This Row],[MATE]])</f>
        <v>481</v>
      </c>
      <c r="K320">
        <f>VLOOKUP(Scores[[#This Row],[MRUN]],Demographics[],6,FALSE)</f>
        <v>4</v>
      </c>
      <c r="L320">
        <f>VLOOKUP(Scores[[#This Row],[MRUN]],Demographics[], 7,FALSE)</f>
        <v>4</v>
      </c>
      <c r="M320">
        <f>VLOOKUP(Scores[[#This Row],[MRUN]],Demographics[], 5, FALSE)</f>
        <v>1</v>
      </c>
    </row>
    <row r="321" spans="1:13" hidden="1" x14ac:dyDescent="0.2">
      <c r="A321" s="1">
        <v>8558253</v>
      </c>
      <c r="B321">
        <v>1</v>
      </c>
      <c r="C321">
        <v>2</v>
      </c>
      <c r="D321">
        <v>458</v>
      </c>
      <c r="E321">
        <v>531</v>
      </c>
      <c r="F321">
        <v>413</v>
      </c>
      <c r="G321">
        <v>557</v>
      </c>
      <c r="H321">
        <v>0</v>
      </c>
      <c r="I321">
        <f>VLOOKUP(Scores[[#This Row],[MRUN]],Demographics[],3,FALSE)</f>
        <v>4</v>
      </c>
      <c r="J321">
        <f>AVERAGE(Scores[[#This Row],[LYC]],Scores[[#This Row],[MATE]])</f>
        <v>472</v>
      </c>
      <c r="K321">
        <f>VLOOKUP(Scores[[#This Row],[MRUN]],Demographics[],6,FALSE)</f>
        <v>5</v>
      </c>
      <c r="L321">
        <f>VLOOKUP(Scores[[#This Row],[MRUN]],Demographics[], 7,FALSE)</f>
        <v>4</v>
      </c>
      <c r="M321">
        <f>VLOOKUP(Scores[[#This Row],[MRUN]],Demographics[], 5, FALSE)</f>
        <v>1</v>
      </c>
    </row>
    <row r="322" spans="1:13" hidden="1" x14ac:dyDescent="0.2">
      <c r="A322" s="1">
        <v>3881964</v>
      </c>
      <c r="B322">
        <v>1</v>
      </c>
      <c r="C322">
        <v>3</v>
      </c>
      <c r="D322">
        <v>0</v>
      </c>
      <c r="E322">
        <v>0</v>
      </c>
      <c r="F322">
        <v>0</v>
      </c>
      <c r="G322">
        <v>0</v>
      </c>
      <c r="H322">
        <v>0</v>
      </c>
      <c r="I322">
        <f>VLOOKUP(Scores[[#This Row],[MRUN]],Demographics[],3,FALSE)</f>
        <v>4</v>
      </c>
      <c r="J322">
        <f>AVERAGE(Scores[[#This Row],[LYC]],Scores[[#This Row],[MATE]])</f>
        <v>0</v>
      </c>
      <c r="K322">
        <f>VLOOKUP(Scores[[#This Row],[MRUN]],Demographics[],6,FALSE)</f>
        <v>5</v>
      </c>
      <c r="L322">
        <f>VLOOKUP(Scores[[#This Row],[MRUN]],Demographics[], 7,FALSE)</f>
        <v>5</v>
      </c>
      <c r="M322">
        <f>VLOOKUP(Scores[[#This Row],[MRUN]],Demographics[], 5, FALSE)</f>
        <v>1</v>
      </c>
    </row>
    <row r="323" spans="1:13" hidden="1" x14ac:dyDescent="0.2">
      <c r="A323" s="1">
        <v>17996716</v>
      </c>
      <c r="B323">
        <v>2</v>
      </c>
      <c r="C323">
        <v>2</v>
      </c>
      <c r="D323">
        <v>435</v>
      </c>
      <c r="E323">
        <v>378</v>
      </c>
      <c r="F323">
        <v>413</v>
      </c>
      <c r="G323">
        <v>0</v>
      </c>
      <c r="H323">
        <v>288</v>
      </c>
      <c r="I323">
        <f>VLOOKUP(Scores[[#This Row],[MRUN]],Demographics[],3,FALSE)</f>
        <v>4</v>
      </c>
      <c r="J323">
        <f>AVERAGE(Scores[[#This Row],[LYC]],Scores[[#This Row],[MATE]])</f>
        <v>395.5</v>
      </c>
      <c r="K323">
        <f>VLOOKUP(Scores[[#This Row],[MRUN]],Demographics[],6,FALSE)</f>
        <v>5</v>
      </c>
      <c r="L323">
        <f>VLOOKUP(Scores[[#This Row],[MRUN]],Demographics[], 7,FALSE)</f>
        <v>5</v>
      </c>
      <c r="M323">
        <f>VLOOKUP(Scores[[#This Row],[MRUN]],Demographics[], 5, FALSE)</f>
        <v>1</v>
      </c>
    </row>
    <row r="324" spans="1:13" hidden="1" x14ac:dyDescent="0.2">
      <c r="A324" s="1">
        <v>3060221</v>
      </c>
      <c r="B324">
        <v>2</v>
      </c>
      <c r="C324">
        <v>2</v>
      </c>
      <c r="D324">
        <v>539</v>
      </c>
      <c r="E324">
        <v>345</v>
      </c>
      <c r="F324">
        <v>328</v>
      </c>
      <c r="G324">
        <v>461</v>
      </c>
      <c r="H324">
        <v>0</v>
      </c>
      <c r="I324">
        <f>VLOOKUP(Scores[[#This Row],[MRUN]],Demographics[],3,FALSE)</f>
        <v>4</v>
      </c>
      <c r="J324">
        <f>AVERAGE(Scores[[#This Row],[LYC]],Scores[[#This Row],[MATE]])</f>
        <v>336.5</v>
      </c>
      <c r="K324">
        <f>VLOOKUP(Scores[[#This Row],[MRUN]],Demographics[],6,FALSE)</f>
        <v>2</v>
      </c>
      <c r="L324">
        <f>VLOOKUP(Scores[[#This Row],[MRUN]],Demographics[], 7,FALSE)</f>
        <v>4</v>
      </c>
      <c r="M324">
        <f>VLOOKUP(Scores[[#This Row],[MRUN]],Demographics[], 5, FALSE)</f>
        <v>1</v>
      </c>
    </row>
    <row r="325" spans="1:13" hidden="1" x14ac:dyDescent="0.2">
      <c r="A325" s="1">
        <v>1558105</v>
      </c>
      <c r="B325">
        <v>1</v>
      </c>
      <c r="C325">
        <v>2</v>
      </c>
      <c r="D325">
        <v>455</v>
      </c>
      <c r="E325">
        <v>406</v>
      </c>
      <c r="F325">
        <v>413</v>
      </c>
      <c r="G325">
        <v>484</v>
      </c>
      <c r="H325">
        <v>404</v>
      </c>
      <c r="I325">
        <f>VLOOKUP(Scores[[#This Row],[MRUN]],Demographics[],3,FALSE)</f>
        <v>3</v>
      </c>
      <c r="J325">
        <f>AVERAGE(Scores[[#This Row],[LYC]],Scores[[#This Row],[MATE]])</f>
        <v>409.5</v>
      </c>
      <c r="K325">
        <f>VLOOKUP(Scores[[#This Row],[MRUN]],Demographics[],6,FALSE)</f>
        <v>5</v>
      </c>
      <c r="L325">
        <f>VLOOKUP(Scores[[#This Row],[MRUN]],Demographics[], 7,FALSE)</f>
        <v>5</v>
      </c>
      <c r="M325">
        <f>VLOOKUP(Scores[[#This Row],[MRUN]],Demographics[], 5, FALSE)</f>
        <v>1</v>
      </c>
    </row>
    <row r="326" spans="1:13" hidden="1" x14ac:dyDescent="0.2">
      <c r="A326" s="1">
        <v>18879309</v>
      </c>
      <c r="B326">
        <v>2</v>
      </c>
      <c r="C326">
        <v>2</v>
      </c>
      <c r="D326">
        <v>517</v>
      </c>
      <c r="E326">
        <v>356</v>
      </c>
      <c r="F326">
        <v>328</v>
      </c>
      <c r="G326">
        <v>370</v>
      </c>
      <c r="H326">
        <v>361</v>
      </c>
      <c r="I326">
        <f>VLOOKUP(Scores[[#This Row],[MRUN]],Demographics[],3,FALSE)</f>
        <v>4</v>
      </c>
      <c r="J326">
        <f>AVERAGE(Scores[[#This Row],[LYC]],Scores[[#This Row],[MATE]])</f>
        <v>342</v>
      </c>
      <c r="K326">
        <f>VLOOKUP(Scores[[#This Row],[MRUN]],Demographics[],6,FALSE)</f>
        <v>2</v>
      </c>
      <c r="L326">
        <f>VLOOKUP(Scores[[#This Row],[MRUN]],Demographics[], 7,FALSE)</f>
        <v>4</v>
      </c>
      <c r="M326">
        <f>VLOOKUP(Scores[[#This Row],[MRUN]],Demographics[], 5, FALSE)</f>
        <v>1</v>
      </c>
    </row>
    <row r="327" spans="1:13" hidden="1" x14ac:dyDescent="0.2">
      <c r="A327" s="1">
        <v>10463680</v>
      </c>
      <c r="B327">
        <v>2</v>
      </c>
      <c r="C327">
        <v>4</v>
      </c>
      <c r="D327">
        <v>455</v>
      </c>
      <c r="E327">
        <v>648</v>
      </c>
      <c r="F327">
        <v>517</v>
      </c>
      <c r="G327">
        <v>677</v>
      </c>
      <c r="H327">
        <v>0</v>
      </c>
      <c r="I327">
        <f>VLOOKUP(Scores[[#This Row],[MRUN]],Demographics[],3,FALSE)</f>
        <v>4</v>
      </c>
      <c r="J327">
        <f>AVERAGE(Scores[[#This Row],[LYC]],Scores[[#This Row],[MATE]])</f>
        <v>582.5</v>
      </c>
      <c r="K327">
        <f>VLOOKUP(Scores[[#This Row],[MRUN]],Demographics[],6,FALSE)</f>
        <v>5</v>
      </c>
      <c r="L327">
        <f>VLOOKUP(Scores[[#This Row],[MRUN]],Demographics[], 7,FALSE)</f>
        <v>5</v>
      </c>
      <c r="M327">
        <f>VLOOKUP(Scores[[#This Row],[MRUN]],Demographics[], 5, FALSE)</f>
        <v>2</v>
      </c>
    </row>
    <row r="328" spans="1:13" hidden="1" x14ac:dyDescent="0.2">
      <c r="A328" s="1">
        <v>20756236</v>
      </c>
      <c r="B328">
        <v>2</v>
      </c>
      <c r="C328">
        <v>2</v>
      </c>
      <c r="D328">
        <v>455</v>
      </c>
      <c r="E328">
        <v>444</v>
      </c>
      <c r="F328">
        <v>494</v>
      </c>
      <c r="G328">
        <v>421</v>
      </c>
      <c r="H328">
        <v>459</v>
      </c>
      <c r="I328">
        <f>VLOOKUP(Scores[[#This Row],[MRUN]],Demographics[],3,FALSE)</f>
        <v>5</v>
      </c>
      <c r="J328">
        <f>AVERAGE(Scores[[#This Row],[LYC]],Scores[[#This Row],[MATE]])</f>
        <v>469</v>
      </c>
      <c r="K328">
        <f>VLOOKUP(Scores[[#This Row],[MRUN]],Demographics[],6,FALSE)</f>
        <v>3</v>
      </c>
      <c r="L328">
        <f>VLOOKUP(Scores[[#This Row],[MRUN]],Demographics[], 7,FALSE)</f>
        <v>3</v>
      </c>
      <c r="M328">
        <f>VLOOKUP(Scores[[#This Row],[MRUN]],Demographics[], 5, FALSE)</f>
        <v>1</v>
      </c>
    </row>
    <row r="329" spans="1:13" hidden="1" x14ac:dyDescent="0.2">
      <c r="A329" s="1">
        <v>6972024</v>
      </c>
      <c r="B329">
        <v>2</v>
      </c>
      <c r="C329">
        <v>2</v>
      </c>
      <c r="D329">
        <v>620</v>
      </c>
      <c r="E329">
        <v>476</v>
      </c>
      <c r="F329">
        <v>487</v>
      </c>
      <c r="G329">
        <v>0</v>
      </c>
      <c r="H329">
        <v>491</v>
      </c>
      <c r="I329">
        <f>VLOOKUP(Scores[[#This Row],[MRUN]],Demographics[],3,FALSE)</f>
        <v>5</v>
      </c>
      <c r="J329">
        <f>AVERAGE(Scores[[#This Row],[LYC]],Scores[[#This Row],[MATE]])</f>
        <v>481.5</v>
      </c>
      <c r="K329">
        <f>VLOOKUP(Scores[[#This Row],[MRUN]],Demographics[],6,FALSE)</f>
        <v>5</v>
      </c>
      <c r="L329">
        <f>VLOOKUP(Scores[[#This Row],[MRUN]],Demographics[], 7,FALSE)</f>
        <v>5</v>
      </c>
      <c r="M329">
        <f>VLOOKUP(Scores[[#This Row],[MRUN]],Demographics[], 5, FALSE)</f>
        <v>1</v>
      </c>
    </row>
    <row r="330" spans="1:13" hidden="1" x14ac:dyDescent="0.2">
      <c r="A330" s="1">
        <v>14982907</v>
      </c>
      <c r="B330">
        <v>1</v>
      </c>
      <c r="C330">
        <v>3</v>
      </c>
      <c r="D330">
        <v>299</v>
      </c>
      <c r="E330">
        <v>0</v>
      </c>
      <c r="F330">
        <v>0</v>
      </c>
      <c r="G330">
        <v>0</v>
      </c>
      <c r="H330">
        <v>0</v>
      </c>
      <c r="I330">
        <f>VLOOKUP(Scores[[#This Row],[MRUN]],Demographics[],3,FALSE)</f>
        <v>4</v>
      </c>
      <c r="J330">
        <f>AVERAGE(Scores[[#This Row],[LYC]],Scores[[#This Row],[MATE]])</f>
        <v>0</v>
      </c>
      <c r="K330">
        <f>VLOOKUP(Scores[[#This Row],[MRUN]],Demographics[],6,FALSE)</f>
        <v>8</v>
      </c>
      <c r="L330">
        <f>VLOOKUP(Scores[[#This Row],[MRUN]],Demographics[], 7,FALSE)</f>
        <v>5</v>
      </c>
      <c r="M330">
        <f>VLOOKUP(Scores[[#This Row],[MRUN]],Demographics[], 5, FALSE)</f>
        <v>1</v>
      </c>
    </row>
    <row r="331" spans="1:13" hidden="1" x14ac:dyDescent="0.2">
      <c r="A331" s="1">
        <v>3986374</v>
      </c>
      <c r="B331">
        <v>1</v>
      </c>
      <c r="C331">
        <v>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f>VLOOKUP(Scores[[#This Row],[MRUN]],Demographics[],3,FALSE)</f>
        <v>8</v>
      </c>
      <c r="J331">
        <f>AVERAGE(Scores[[#This Row],[LYC]],Scores[[#This Row],[MATE]])</f>
        <v>0</v>
      </c>
      <c r="K331">
        <f>VLOOKUP(Scores[[#This Row],[MRUN]],Demographics[],6,FALSE)</f>
        <v>0</v>
      </c>
      <c r="L331">
        <f>VLOOKUP(Scores[[#This Row],[MRUN]],Demographics[], 7,FALSE)</f>
        <v>0</v>
      </c>
      <c r="M331">
        <f>VLOOKUP(Scores[[#This Row],[MRUN]],Demographics[], 5, FALSE)</f>
        <v>1</v>
      </c>
    </row>
    <row r="332" spans="1:13" hidden="1" x14ac:dyDescent="0.2">
      <c r="A332" s="1">
        <v>17871290</v>
      </c>
      <c r="B332">
        <v>2</v>
      </c>
      <c r="C332">
        <v>2</v>
      </c>
      <c r="D332">
        <v>620</v>
      </c>
      <c r="E332">
        <v>581</v>
      </c>
      <c r="F332">
        <v>589</v>
      </c>
      <c r="G332">
        <v>0</v>
      </c>
      <c r="H332">
        <v>591</v>
      </c>
      <c r="I332">
        <f>VLOOKUP(Scores[[#This Row],[MRUN]],Demographics[],3,FALSE)</f>
        <v>5</v>
      </c>
      <c r="J332">
        <f>AVERAGE(Scores[[#This Row],[LYC]],Scores[[#This Row],[MATE]])</f>
        <v>585</v>
      </c>
      <c r="K332">
        <f>VLOOKUP(Scores[[#This Row],[MRUN]],Demographics[],6,FALSE)</f>
        <v>9</v>
      </c>
      <c r="L332">
        <f>VLOOKUP(Scores[[#This Row],[MRUN]],Demographics[], 7,FALSE)</f>
        <v>5</v>
      </c>
      <c r="M332">
        <f>VLOOKUP(Scores[[#This Row],[MRUN]],Demographics[], 5, FALSE)</f>
        <v>2</v>
      </c>
    </row>
    <row r="333" spans="1:13" hidden="1" x14ac:dyDescent="0.2">
      <c r="A333" s="1">
        <v>20441293</v>
      </c>
      <c r="B333">
        <v>2</v>
      </c>
      <c r="C333">
        <v>3</v>
      </c>
      <c r="D333">
        <v>641</v>
      </c>
      <c r="E333">
        <v>471</v>
      </c>
      <c r="F333">
        <v>413</v>
      </c>
      <c r="G333">
        <v>442</v>
      </c>
      <c r="H333">
        <v>0</v>
      </c>
      <c r="I333">
        <f>VLOOKUP(Scores[[#This Row],[MRUN]],Demographics[],3,FALSE)</f>
        <v>5</v>
      </c>
      <c r="J333">
        <f>AVERAGE(Scores[[#This Row],[LYC]],Scores[[#This Row],[MATE]])</f>
        <v>442</v>
      </c>
      <c r="K333">
        <f>VLOOKUP(Scores[[#This Row],[MRUN]],Demographics[],6,FALSE)</f>
        <v>5</v>
      </c>
      <c r="L333">
        <f>VLOOKUP(Scores[[#This Row],[MRUN]],Demographics[], 7,FALSE)</f>
        <v>2</v>
      </c>
      <c r="M333">
        <f>VLOOKUP(Scores[[#This Row],[MRUN]],Demographics[], 5, FALSE)</f>
        <v>1</v>
      </c>
    </row>
    <row r="334" spans="1:13" hidden="1" x14ac:dyDescent="0.2">
      <c r="A334" s="1">
        <v>19372710</v>
      </c>
      <c r="B334">
        <v>2</v>
      </c>
      <c r="C334">
        <v>3</v>
      </c>
      <c r="D334">
        <v>435</v>
      </c>
      <c r="E334">
        <v>483</v>
      </c>
      <c r="F334">
        <v>328</v>
      </c>
      <c r="G334">
        <v>527</v>
      </c>
      <c r="H334">
        <v>491</v>
      </c>
      <c r="I334">
        <f>VLOOKUP(Scores[[#This Row],[MRUN]],Demographics[],3,FALSE)</f>
        <v>4</v>
      </c>
      <c r="J334">
        <f>AVERAGE(Scores[[#This Row],[LYC]],Scores[[#This Row],[MATE]])</f>
        <v>405.5</v>
      </c>
      <c r="K334">
        <f>VLOOKUP(Scores[[#This Row],[MRUN]],Demographics[],6,FALSE)</f>
        <v>5</v>
      </c>
      <c r="L334">
        <f>VLOOKUP(Scores[[#This Row],[MRUN]],Demographics[], 7,FALSE)</f>
        <v>7</v>
      </c>
      <c r="M334">
        <f>VLOOKUP(Scores[[#This Row],[MRUN]],Demographics[], 5, FALSE)</f>
        <v>3</v>
      </c>
    </row>
    <row r="335" spans="1:13" hidden="1" x14ac:dyDescent="0.2">
      <c r="A335" s="1">
        <v>11896191</v>
      </c>
      <c r="B335">
        <v>1</v>
      </c>
      <c r="C335">
        <v>2</v>
      </c>
      <c r="D335">
        <v>437</v>
      </c>
      <c r="E335">
        <v>547</v>
      </c>
      <c r="F335">
        <v>506</v>
      </c>
      <c r="G335">
        <v>541</v>
      </c>
      <c r="H335">
        <v>0</v>
      </c>
      <c r="I335">
        <f>VLOOKUP(Scores[[#This Row],[MRUN]],Demographics[],3,FALSE)</f>
        <v>5</v>
      </c>
      <c r="J335">
        <f>AVERAGE(Scores[[#This Row],[LYC]],Scores[[#This Row],[MATE]])</f>
        <v>526.5</v>
      </c>
      <c r="K335">
        <f>VLOOKUP(Scores[[#This Row],[MRUN]],Demographics[],6,FALSE)</f>
        <v>4</v>
      </c>
      <c r="L335">
        <f>VLOOKUP(Scores[[#This Row],[MRUN]],Demographics[], 7,FALSE)</f>
        <v>4</v>
      </c>
      <c r="M335">
        <f>VLOOKUP(Scores[[#This Row],[MRUN]],Demographics[], 5, FALSE)</f>
        <v>1</v>
      </c>
    </row>
    <row r="336" spans="1:13" hidden="1" x14ac:dyDescent="0.2">
      <c r="A336" s="1">
        <v>7724273</v>
      </c>
      <c r="B336">
        <v>1</v>
      </c>
      <c r="C336">
        <v>2</v>
      </c>
      <c r="D336">
        <v>414</v>
      </c>
      <c r="E336">
        <v>415</v>
      </c>
      <c r="F336">
        <v>413</v>
      </c>
      <c r="G336">
        <v>512</v>
      </c>
      <c r="H336">
        <v>0</v>
      </c>
      <c r="I336">
        <f>VLOOKUP(Scores[[#This Row],[MRUN]],Demographics[],3,FALSE)</f>
        <v>4</v>
      </c>
      <c r="J336">
        <f>AVERAGE(Scores[[#This Row],[LYC]],Scores[[#This Row],[MATE]])</f>
        <v>414</v>
      </c>
      <c r="K336">
        <f>VLOOKUP(Scores[[#This Row],[MRUN]],Demographics[],6,FALSE)</f>
        <v>3</v>
      </c>
      <c r="L336">
        <f>VLOOKUP(Scores[[#This Row],[MRUN]],Demographics[], 7,FALSE)</f>
        <v>3</v>
      </c>
      <c r="M336">
        <f>VLOOKUP(Scores[[#This Row],[MRUN]],Demographics[], 5, FALSE)</f>
        <v>2</v>
      </c>
    </row>
    <row r="337" spans="1:13" hidden="1" x14ac:dyDescent="0.2">
      <c r="A337" s="1">
        <v>7190306</v>
      </c>
      <c r="B337">
        <v>2</v>
      </c>
      <c r="C337">
        <v>2</v>
      </c>
      <c r="D337">
        <v>579</v>
      </c>
      <c r="E337">
        <v>547</v>
      </c>
      <c r="F337">
        <v>523</v>
      </c>
      <c r="G337">
        <v>557</v>
      </c>
      <c r="H337">
        <v>0</v>
      </c>
      <c r="I337">
        <f>VLOOKUP(Scores[[#This Row],[MRUN]],Demographics[],3,FALSE)</f>
        <v>4</v>
      </c>
      <c r="J337">
        <f>AVERAGE(Scores[[#This Row],[LYC]],Scores[[#This Row],[MATE]])</f>
        <v>535</v>
      </c>
      <c r="K337">
        <f>VLOOKUP(Scores[[#This Row],[MRUN]],Demographics[],6,FALSE)</f>
        <v>8</v>
      </c>
      <c r="L337">
        <f>VLOOKUP(Scores[[#This Row],[MRUN]],Demographics[], 7,FALSE)</f>
        <v>6</v>
      </c>
      <c r="M337">
        <f>VLOOKUP(Scores[[#This Row],[MRUN]],Demographics[], 5, FALSE)</f>
        <v>1</v>
      </c>
    </row>
    <row r="338" spans="1:13" hidden="1" x14ac:dyDescent="0.2">
      <c r="A338" s="1">
        <v>14824368</v>
      </c>
      <c r="B338">
        <v>1</v>
      </c>
      <c r="C338">
        <v>3</v>
      </c>
      <c r="D338">
        <v>539</v>
      </c>
      <c r="E338">
        <v>458</v>
      </c>
      <c r="F338">
        <v>274</v>
      </c>
      <c r="G338">
        <v>421</v>
      </c>
      <c r="H338">
        <v>0</v>
      </c>
      <c r="I338">
        <f>VLOOKUP(Scores[[#This Row],[MRUN]],Demographics[],3,FALSE)</f>
        <v>0</v>
      </c>
      <c r="J338">
        <f>AVERAGE(Scores[[#This Row],[LYC]],Scores[[#This Row],[MATE]])</f>
        <v>366</v>
      </c>
      <c r="K338">
        <f>VLOOKUP(Scores[[#This Row],[MRUN]],Demographics[],6,FALSE)</f>
        <v>0</v>
      </c>
      <c r="L338">
        <f>VLOOKUP(Scores[[#This Row],[MRUN]],Demographics[], 7,FALSE)</f>
        <v>0</v>
      </c>
      <c r="M338">
        <f>VLOOKUP(Scores[[#This Row],[MRUN]],Demographics[], 5, FALSE)</f>
        <v>1</v>
      </c>
    </row>
    <row r="339" spans="1:13" hidden="1" x14ac:dyDescent="0.2">
      <c r="A339" s="1">
        <v>12255832</v>
      </c>
      <c r="B339">
        <v>1</v>
      </c>
      <c r="C339">
        <v>3</v>
      </c>
      <c r="D339">
        <v>496</v>
      </c>
      <c r="E339">
        <v>668</v>
      </c>
      <c r="F339">
        <v>579</v>
      </c>
      <c r="G339">
        <v>706</v>
      </c>
      <c r="H339">
        <v>650</v>
      </c>
      <c r="I339">
        <f>VLOOKUP(Scores[[#This Row],[MRUN]],Demographics[],3,FALSE)</f>
        <v>0</v>
      </c>
      <c r="J339">
        <f>AVERAGE(Scores[[#This Row],[LYC]],Scores[[#This Row],[MATE]])</f>
        <v>623.5</v>
      </c>
      <c r="K339">
        <f>VLOOKUP(Scores[[#This Row],[MRUN]],Demographics[],6,FALSE)</f>
        <v>0</v>
      </c>
      <c r="L339">
        <f>VLOOKUP(Scores[[#This Row],[MRUN]],Demographics[], 7,FALSE)</f>
        <v>0</v>
      </c>
      <c r="M339">
        <f>VLOOKUP(Scores[[#This Row],[MRUN]],Demographics[], 5, FALSE)</f>
        <v>1</v>
      </c>
    </row>
    <row r="340" spans="1:13" hidden="1" x14ac:dyDescent="0.2">
      <c r="A340" s="1">
        <v>404913</v>
      </c>
      <c r="B340">
        <v>1</v>
      </c>
      <c r="C340">
        <v>2</v>
      </c>
      <c r="D340">
        <v>435</v>
      </c>
      <c r="E340">
        <v>444</v>
      </c>
      <c r="F340">
        <v>328</v>
      </c>
      <c r="G340">
        <v>454</v>
      </c>
      <c r="H340">
        <v>0</v>
      </c>
      <c r="I340">
        <f>VLOOKUP(Scores[[#This Row],[MRUN]],Demographics[],3,FALSE)</f>
        <v>4</v>
      </c>
      <c r="J340">
        <f>AVERAGE(Scores[[#This Row],[LYC]],Scores[[#This Row],[MATE]])</f>
        <v>386</v>
      </c>
      <c r="K340">
        <f>VLOOKUP(Scores[[#This Row],[MRUN]],Demographics[],6,FALSE)</f>
        <v>5</v>
      </c>
      <c r="L340">
        <f>VLOOKUP(Scores[[#This Row],[MRUN]],Demographics[], 7,FALSE)</f>
        <v>5</v>
      </c>
      <c r="M340">
        <f>VLOOKUP(Scores[[#This Row],[MRUN]],Demographics[], 5, FALSE)</f>
        <v>2</v>
      </c>
    </row>
    <row r="341" spans="1:13" hidden="1" x14ac:dyDescent="0.2">
      <c r="A341" s="1">
        <v>24235941</v>
      </c>
      <c r="B341">
        <v>1</v>
      </c>
      <c r="C341">
        <v>3</v>
      </c>
      <c r="D341">
        <v>560</v>
      </c>
      <c r="E341">
        <v>0</v>
      </c>
      <c r="F341">
        <v>0</v>
      </c>
      <c r="G341">
        <v>0</v>
      </c>
      <c r="H341">
        <v>0</v>
      </c>
      <c r="I341">
        <f>VLOOKUP(Scores[[#This Row],[MRUN]],Demographics[],3,FALSE)</f>
        <v>0</v>
      </c>
      <c r="J341">
        <f>AVERAGE(Scores[[#This Row],[LYC]],Scores[[#This Row],[MATE]])</f>
        <v>0</v>
      </c>
      <c r="K341">
        <f>VLOOKUP(Scores[[#This Row],[MRUN]],Demographics[],6,FALSE)</f>
        <v>0</v>
      </c>
      <c r="L341">
        <f>VLOOKUP(Scores[[#This Row],[MRUN]],Demographics[], 7,FALSE)</f>
        <v>0</v>
      </c>
      <c r="M341">
        <f>VLOOKUP(Scores[[#This Row],[MRUN]],Demographics[], 5, FALSE)</f>
        <v>1</v>
      </c>
    </row>
    <row r="342" spans="1:13" hidden="1" x14ac:dyDescent="0.2">
      <c r="A342" s="1">
        <v>7982963</v>
      </c>
      <c r="B342">
        <v>1</v>
      </c>
      <c r="C342">
        <v>3</v>
      </c>
      <c r="D342">
        <v>481</v>
      </c>
      <c r="E342">
        <v>510</v>
      </c>
      <c r="F342">
        <v>480</v>
      </c>
      <c r="G342">
        <v>537</v>
      </c>
      <c r="H342">
        <v>491</v>
      </c>
      <c r="I342">
        <f>VLOOKUP(Scores[[#This Row],[MRUN]],Demographics[],3,FALSE)</f>
        <v>5</v>
      </c>
      <c r="J342">
        <f>AVERAGE(Scores[[#This Row],[LYC]],Scores[[#This Row],[MATE]])</f>
        <v>495</v>
      </c>
      <c r="K342">
        <f>VLOOKUP(Scores[[#This Row],[MRUN]],Demographics[],6,FALSE)</f>
        <v>8</v>
      </c>
      <c r="L342">
        <f>VLOOKUP(Scores[[#This Row],[MRUN]],Demographics[], 7,FALSE)</f>
        <v>5</v>
      </c>
      <c r="M342">
        <f>VLOOKUP(Scores[[#This Row],[MRUN]],Demographics[], 5, FALSE)</f>
        <v>1</v>
      </c>
    </row>
    <row r="343" spans="1:13" hidden="1" x14ac:dyDescent="0.2">
      <c r="A343" s="1">
        <v>1573930</v>
      </c>
      <c r="B343">
        <v>1</v>
      </c>
      <c r="C343">
        <v>3</v>
      </c>
      <c r="D343">
        <v>519</v>
      </c>
      <c r="E343">
        <v>276</v>
      </c>
      <c r="F343">
        <v>413</v>
      </c>
      <c r="G343">
        <v>320</v>
      </c>
      <c r="H343">
        <v>0</v>
      </c>
      <c r="I343">
        <f>VLOOKUP(Scores[[#This Row],[MRUN]],Demographics[],3,FALSE)</f>
        <v>9</v>
      </c>
      <c r="J343">
        <f>AVERAGE(Scores[[#This Row],[LYC]],Scores[[#This Row],[MATE]])</f>
        <v>344.5</v>
      </c>
      <c r="K343">
        <f>VLOOKUP(Scores[[#This Row],[MRUN]],Demographics[],6,FALSE)</f>
        <v>7</v>
      </c>
      <c r="L343">
        <f>VLOOKUP(Scores[[#This Row],[MRUN]],Demographics[], 7,FALSE)</f>
        <v>5</v>
      </c>
      <c r="M343">
        <f>VLOOKUP(Scores[[#This Row],[MRUN]],Demographics[], 5, FALSE)</f>
        <v>1</v>
      </c>
    </row>
    <row r="344" spans="1:13" hidden="1" x14ac:dyDescent="0.2">
      <c r="A344" s="1">
        <v>9051361</v>
      </c>
      <c r="B344">
        <v>1</v>
      </c>
      <c r="C344">
        <v>2</v>
      </c>
      <c r="D344">
        <v>455</v>
      </c>
      <c r="E344">
        <v>521</v>
      </c>
      <c r="F344">
        <v>494</v>
      </c>
      <c r="G344">
        <v>706</v>
      </c>
      <c r="H344">
        <v>0</v>
      </c>
      <c r="I344">
        <f>VLOOKUP(Scores[[#This Row],[MRUN]],Demographics[],3,FALSE)</f>
        <v>5</v>
      </c>
      <c r="J344">
        <f>AVERAGE(Scores[[#This Row],[LYC]],Scores[[#This Row],[MATE]])</f>
        <v>507.5</v>
      </c>
      <c r="K344">
        <f>VLOOKUP(Scores[[#This Row],[MRUN]],Demographics[],6,FALSE)</f>
        <v>9</v>
      </c>
      <c r="L344">
        <f>VLOOKUP(Scores[[#This Row],[MRUN]],Demographics[], 7,FALSE)</f>
        <v>5</v>
      </c>
      <c r="M344">
        <f>VLOOKUP(Scores[[#This Row],[MRUN]],Demographics[], 5, FALSE)</f>
        <v>2</v>
      </c>
    </row>
    <row r="345" spans="1:13" hidden="1" x14ac:dyDescent="0.2">
      <c r="A345" s="1">
        <v>10451190</v>
      </c>
      <c r="B345">
        <v>1</v>
      </c>
      <c r="C345">
        <v>2</v>
      </c>
      <c r="D345">
        <v>435</v>
      </c>
      <c r="E345">
        <v>367</v>
      </c>
      <c r="F345">
        <v>395</v>
      </c>
      <c r="G345">
        <v>428</v>
      </c>
      <c r="H345">
        <v>0</v>
      </c>
      <c r="I345">
        <f>VLOOKUP(Scores[[#This Row],[MRUN]],Demographics[],3,FALSE)</f>
        <v>0</v>
      </c>
      <c r="J345">
        <f>AVERAGE(Scores[[#This Row],[LYC]],Scores[[#This Row],[MATE]])</f>
        <v>381</v>
      </c>
      <c r="K345">
        <f>VLOOKUP(Scores[[#This Row],[MRUN]],Demographics[],6,FALSE)</f>
        <v>9</v>
      </c>
      <c r="L345">
        <f>VLOOKUP(Scores[[#This Row],[MRUN]],Demographics[], 7,FALSE)</f>
        <v>9</v>
      </c>
      <c r="M345">
        <f>VLOOKUP(Scores[[#This Row],[MRUN]],Demographics[], 5, FALSE)</f>
        <v>2</v>
      </c>
    </row>
    <row r="346" spans="1:13" hidden="1" x14ac:dyDescent="0.2">
      <c r="A346" s="1">
        <v>9585400</v>
      </c>
      <c r="B346">
        <v>2</v>
      </c>
      <c r="C346">
        <v>3</v>
      </c>
      <c r="D346">
        <v>702</v>
      </c>
      <c r="E346">
        <v>648</v>
      </c>
      <c r="F346">
        <v>640</v>
      </c>
      <c r="G346">
        <v>0</v>
      </c>
      <c r="H346">
        <v>591</v>
      </c>
      <c r="I346">
        <f>VLOOKUP(Scores[[#This Row],[MRUN]],Demographics[],3,FALSE)</f>
        <v>5</v>
      </c>
      <c r="J346">
        <f>AVERAGE(Scores[[#This Row],[LYC]],Scores[[#This Row],[MATE]])</f>
        <v>644</v>
      </c>
      <c r="K346">
        <f>VLOOKUP(Scores[[#This Row],[MRUN]],Demographics[],6,FALSE)</f>
        <v>4</v>
      </c>
      <c r="L346">
        <f>VLOOKUP(Scores[[#This Row],[MRUN]],Demographics[], 7,FALSE)</f>
        <v>4</v>
      </c>
      <c r="M346">
        <f>VLOOKUP(Scores[[#This Row],[MRUN]],Demographics[], 5, FALSE)</f>
        <v>1</v>
      </c>
    </row>
    <row r="347" spans="1:13" hidden="1" x14ac:dyDescent="0.2">
      <c r="A347" s="1">
        <v>8416044</v>
      </c>
      <c r="B347">
        <v>2</v>
      </c>
      <c r="C347">
        <v>2</v>
      </c>
      <c r="D347">
        <v>538</v>
      </c>
      <c r="E347">
        <v>576</v>
      </c>
      <c r="F347">
        <v>413</v>
      </c>
      <c r="G347">
        <v>506</v>
      </c>
      <c r="H347">
        <v>0</v>
      </c>
      <c r="I347">
        <f>VLOOKUP(Scores[[#This Row],[MRUN]],Demographics[],3,FALSE)</f>
        <v>5</v>
      </c>
      <c r="J347">
        <f>AVERAGE(Scores[[#This Row],[LYC]],Scores[[#This Row],[MATE]])</f>
        <v>494.5</v>
      </c>
      <c r="K347">
        <f>VLOOKUP(Scores[[#This Row],[MRUN]],Demographics[],6,FALSE)</f>
        <v>9</v>
      </c>
      <c r="L347">
        <f>VLOOKUP(Scores[[#This Row],[MRUN]],Demographics[], 7,FALSE)</f>
        <v>3</v>
      </c>
      <c r="M347">
        <f>VLOOKUP(Scores[[#This Row],[MRUN]],Demographics[], 5, FALSE)</f>
        <v>2</v>
      </c>
    </row>
    <row r="348" spans="1:13" hidden="1" x14ac:dyDescent="0.2">
      <c r="A348" s="1">
        <v>21560498</v>
      </c>
      <c r="B348">
        <v>2</v>
      </c>
      <c r="C348">
        <v>2</v>
      </c>
      <c r="D348">
        <v>661</v>
      </c>
      <c r="E348">
        <v>607</v>
      </c>
      <c r="F348">
        <v>631</v>
      </c>
      <c r="G348">
        <v>0</v>
      </c>
      <c r="H348">
        <v>631</v>
      </c>
      <c r="I348">
        <f>VLOOKUP(Scores[[#This Row],[MRUN]],Demographics[],3,FALSE)</f>
        <v>4</v>
      </c>
      <c r="J348">
        <f>AVERAGE(Scores[[#This Row],[LYC]],Scores[[#This Row],[MATE]])</f>
        <v>619</v>
      </c>
      <c r="K348">
        <f>VLOOKUP(Scores[[#This Row],[MRUN]],Demographics[],6,FALSE)</f>
        <v>9</v>
      </c>
      <c r="L348">
        <f>VLOOKUP(Scores[[#This Row],[MRUN]],Demographics[], 7,FALSE)</f>
        <v>9</v>
      </c>
      <c r="M348">
        <f>VLOOKUP(Scores[[#This Row],[MRUN]],Demographics[], 5, FALSE)</f>
        <v>2</v>
      </c>
    </row>
    <row r="349" spans="1:13" hidden="1" x14ac:dyDescent="0.2">
      <c r="A349" s="1">
        <v>24561535</v>
      </c>
      <c r="B349">
        <v>2</v>
      </c>
      <c r="C349">
        <v>3</v>
      </c>
      <c r="D349">
        <v>702</v>
      </c>
      <c r="E349">
        <v>613</v>
      </c>
      <c r="F349">
        <v>666</v>
      </c>
      <c r="G349">
        <v>0</v>
      </c>
      <c r="H349">
        <v>609</v>
      </c>
      <c r="I349">
        <f>VLOOKUP(Scores[[#This Row],[MRUN]],Demographics[],3,FALSE)</f>
        <v>4</v>
      </c>
      <c r="J349">
        <f>AVERAGE(Scores[[#This Row],[LYC]],Scores[[#This Row],[MATE]])</f>
        <v>639.5</v>
      </c>
      <c r="K349">
        <f>VLOOKUP(Scores[[#This Row],[MRUN]],Demographics[],6,FALSE)</f>
        <v>5</v>
      </c>
      <c r="L349">
        <f>VLOOKUP(Scores[[#This Row],[MRUN]],Demographics[], 7,FALSE)</f>
        <v>5</v>
      </c>
      <c r="M349">
        <f>VLOOKUP(Scores[[#This Row],[MRUN]],Demographics[], 5, FALSE)</f>
        <v>2</v>
      </c>
    </row>
    <row r="350" spans="1:13" hidden="1" x14ac:dyDescent="0.2">
      <c r="A350" s="1">
        <v>15685252</v>
      </c>
      <c r="B350">
        <v>1</v>
      </c>
      <c r="C350">
        <v>3</v>
      </c>
      <c r="D350">
        <v>319</v>
      </c>
      <c r="E350">
        <v>471</v>
      </c>
      <c r="F350">
        <v>480</v>
      </c>
      <c r="G350">
        <v>436</v>
      </c>
      <c r="H350">
        <v>0</v>
      </c>
      <c r="I350">
        <f>VLOOKUP(Scores[[#This Row],[MRUN]],Demographics[],3,FALSE)</f>
        <v>3</v>
      </c>
      <c r="J350">
        <f>AVERAGE(Scores[[#This Row],[LYC]],Scores[[#This Row],[MATE]])</f>
        <v>475.5</v>
      </c>
      <c r="K350">
        <f>VLOOKUP(Scores[[#This Row],[MRUN]],Demographics[],6,FALSE)</f>
        <v>4</v>
      </c>
      <c r="L350">
        <f>VLOOKUP(Scores[[#This Row],[MRUN]],Demographics[], 7,FALSE)</f>
        <v>5</v>
      </c>
      <c r="M350">
        <f>VLOOKUP(Scores[[#This Row],[MRUN]],Demographics[], 5, FALSE)</f>
        <v>1</v>
      </c>
    </row>
    <row r="351" spans="1:13" hidden="1" x14ac:dyDescent="0.2">
      <c r="A351" s="1">
        <v>20492714</v>
      </c>
      <c r="B351">
        <v>1</v>
      </c>
      <c r="C351">
        <v>2</v>
      </c>
      <c r="D351">
        <v>397</v>
      </c>
      <c r="E351">
        <v>0</v>
      </c>
      <c r="F351">
        <v>0</v>
      </c>
      <c r="G351">
        <v>0</v>
      </c>
      <c r="H351">
        <v>0</v>
      </c>
      <c r="I351">
        <f>VLOOKUP(Scores[[#This Row],[MRUN]],Demographics[],3,FALSE)</f>
        <v>3</v>
      </c>
      <c r="J351">
        <f>AVERAGE(Scores[[#This Row],[LYC]],Scores[[#This Row],[MATE]])</f>
        <v>0</v>
      </c>
      <c r="K351">
        <f>VLOOKUP(Scores[[#This Row],[MRUN]],Demographics[],6,FALSE)</f>
        <v>3</v>
      </c>
      <c r="L351">
        <f>VLOOKUP(Scores[[#This Row],[MRUN]],Demographics[], 7,FALSE)</f>
        <v>3</v>
      </c>
      <c r="M351">
        <f>VLOOKUP(Scores[[#This Row],[MRUN]],Demographics[], 5, FALSE)</f>
        <v>1</v>
      </c>
    </row>
    <row r="352" spans="1:13" hidden="1" x14ac:dyDescent="0.2">
      <c r="A352" s="1">
        <v>17720601</v>
      </c>
      <c r="B352">
        <v>2</v>
      </c>
      <c r="C352">
        <v>2</v>
      </c>
      <c r="D352">
        <v>455</v>
      </c>
      <c r="E352">
        <v>367</v>
      </c>
      <c r="F352">
        <v>487</v>
      </c>
      <c r="G352">
        <v>406</v>
      </c>
      <c r="H352">
        <v>439</v>
      </c>
      <c r="I352">
        <f>VLOOKUP(Scores[[#This Row],[MRUN]],Demographics[],3,FALSE)</f>
        <v>5</v>
      </c>
      <c r="J352">
        <f>AVERAGE(Scores[[#This Row],[LYC]],Scores[[#This Row],[MATE]])</f>
        <v>427</v>
      </c>
      <c r="K352">
        <f>VLOOKUP(Scores[[#This Row],[MRUN]],Demographics[],6,FALSE)</f>
        <v>2</v>
      </c>
      <c r="L352">
        <f>VLOOKUP(Scores[[#This Row],[MRUN]],Demographics[], 7,FALSE)</f>
        <v>3</v>
      </c>
      <c r="M352">
        <f>VLOOKUP(Scores[[#This Row],[MRUN]],Demographics[], 5, FALSE)</f>
        <v>1</v>
      </c>
    </row>
    <row r="353" spans="1:13" hidden="1" x14ac:dyDescent="0.2">
      <c r="A353" s="1">
        <v>14083682</v>
      </c>
      <c r="B353">
        <v>2</v>
      </c>
      <c r="C353">
        <v>2</v>
      </c>
      <c r="D353">
        <v>435</v>
      </c>
      <c r="E353">
        <v>306</v>
      </c>
      <c r="F353">
        <v>428</v>
      </c>
      <c r="G353">
        <v>334</v>
      </c>
      <c r="H353">
        <v>0</v>
      </c>
      <c r="I353">
        <f>VLOOKUP(Scores[[#This Row],[MRUN]],Demographics[],3,FALSE)</f>
        <v>7</v>
      </c>
      <c r="J353">
        <f>AVERAGE(Scores[[#This Row],[LYC]],Scores[[#This Row],[MATE]])</f>
        <v>367</v>
      </c>
      <c r="K353">
        <f>VLOOKUP(Scores[[#This Row],[MRUN]],Demographics[],6,FALSE)</f>
        <v>2</v>
      </c>
      <c r="L353">
        <f>VLOOKUP(Scores[[#This Row],[MRUN]],Demographics[], 7,FALSE)</f>
        <v>2</v>
      </c>
      <c r="M353">
        <f>VLOOKUP(Scores[[#This Row],[MRUN]],Demographics[], 5, FALSE)</f>
        <v>1</v>
      </c>
    </row>
    <row r="354" spans="1:13" hidden="1" x14ac:dyDescent="0.2">
      <c r="A354" s="1">
        <v>19857415</v>
      </c>
      <c r="B354">
        <v>1</v>
      </c>
      <c r="C354">
        <v>2</v>
      </c>
      <c r="D354">
        <v>599</v>
      </c>
      <c r="E354">
        <v>422</v>
      </c>
      <c r="F354">
        <v>480</v>
      </c>
      <c r="G354">
        <v>512</v>
      </c>
      <c r="H354">
        <v>0</v>
      </c>
      <c r="I354">
        <f>VLOOKUP(Scores[[#This Row],[MRUN]],Demographics[],3,FALSE)</f>
        <v>5</v>
      </c>
      <c r="J354">
        <f>AVERAGE(Scores[[#This Row],[LYC]],Scores[[#This Row],[MATE]])</f>
        <v>451</v>
      </c>
      <c r="K354">
        <f>VLOOKUP(Scores[[#This Row],[MRUN]],Demographics[],6,FALSE)</f>
        <v>4</v>
      </c>
      <c r="L354">
        <f>VLOOKUP(Scores[[#This Row],[MRUN]],Demographics[], 7,FALSE)</f>
        <v>4</v>
      </c>
      <c r="M354">
        <f>VLOOKUP(Scores[[#This Row],[MRUN]],Demographics[], 5, FALSE)</f>
        <v>1</v>
      </c>
    </row>
    <row r="355" spans="1:13" hidden="1" x14ac:dyDescent="0.2">
      <c r="A355" s="1">
        <v>14099415</v>
      </c>
      <c r="B355">
        <v>2</v>
      </c>
      <c r="C355">
        <v>2</v>
      </c>
      <c r="D355">
        <v>458</v>
      </c>
      <c r="E355">
        <v>367</v>
      </c>
      <c r="F355">
        <v>353</v>
      </c>
      <c r="G355">
        <v>271</v>
      </c>
      <c r="H355">
        <v>0</v>
      </c>
      <c r="I355">
        <f>VLOOKUP(Scores[[#This Row],[MRUN]],Demographics[],3,FALSE)</f>
        <v>4</v>
      </c>
      <c r="J355">
        <f>AVERAGE(Scores[[#This Row],[LYC]],Scores[[#This Row],[MATE]])</f>
        <v>360</v>
      </c>
      <c r="K355">
        <f>VLOOKUP(Scores[[#This Row],[MRUN]],Demographics[],6,FALSE)</f>
        <v>3</v>
      </c>
      <c r="L355">
        <f>VLOOKUP(Scores[[#This Row],[MRUN]],Demographics[], 7,FALSE)</f>
        <v>5</v>
      </c>
      <c r="M355">
        <f>VLOOKUP(Scores[[#This Row],[MRUN]],Demographics[], 5, FALSE)</f>
        <v>1</v>
      </c>
    </row>
    <row r="356" spans="1:13" hidden="1" x14ac:dyDescent="0.2">
      <c r="A356" s="1">
        <v>19439895</v>
      </c>
      <c r="B356">
        <v>1</v>
      </c>
      <c r="C356">
        <v>3</v>
      </c>
      <c r="D356">
        <v>359</v>
      </c>
      <c r="E356">
        <v>276</v>
      </c>
      <c r="F356">
        <v>353</v>
      </c>
      <c r="G356">
        <v>414</v>
      </c>
      <c r="H356">
        <v>0</v>
      </c>
      <c r="I356">
        <f>VLOOKUP(Scores[[#This Row],[MRUN]],Demographics[],3,FALSE)</f>
        <v>8</v>
      </c>
      <c r="J356">
        <f>AVERAGE(Scores[[#This Row],[LYC]],Scores[[#This Row],[MATE]])</f>
        <v>314.5</v>
      </c>
      <c r="K356">
        <f>VLOOKUP(Scores[[#This Row],[MRUN]],Demographics[],6,FALSE)</f>
        <v>1</v>
      </c>
      <c r="L356">
        <f>VLOOKUP(Scores[[#This Row],[MRUN]],Demographics[], 7,FALSE)</f>
        <v>4</v>
      </c>
      <c r="M356">
        <f>VLOOKUP(Scores[[#This Row],[MRUN]],Demographics[], 5, FALSE)</f>
        <v>1</v>
      </c>
    </row>
    <row r="357" spans="1:13" hidden="1" x14ac:dyDescent="0.2">
      <c r="A357" s="1">
        <v>9826774</v>
      </c>
      <c r="B357">
        <v>2</v>
      </c>
      <c r="C357">
        <v>2</v>
      </c>
      <c r="D357">
        <v>0</v>
      </c>
      <c r="E357">
        <v>0</v>
      </c>
      <c r="F357">
        <v>0</v>
      </c>
      <c r="G357">
        <v>0</v>
      </c>
      <c r="H357">
        <v>0</v>
      </c>
      <c r="I357">
        <f>VLOOKUP(Scores[[#This Row],[MRUN]],Demographics[],3,FALSE)</f>
        <v>3</v>
      </c>
      <c r="J357">
        <f>AVERAGE(Scores[[#This Row],[LYC]],Scores[[#This Row],[MATE]])</f>
        <v>0</v>
      </c>
      <c r="K357">
        <f>VLOOKUP(Scores[[#This Row],[MRUN]],Demographics[],6,FALSE)</f>
        <v>2</v>
      </c>
      <c r="L357">
        <f>VLOOKUP(Scores[[#This Row],[MRUN]],Demographics[], 7,FALSE)</f>
        <v>2</v>
      </c>
      <c r="M357">
        <f>VLOOKUP(Scores[[#This Row],[MRUN]],Demographics[], 5, FALSE)</f>
        <v>2</v>
      </c>
    </row>
    <row r="358" spans="1:13" hidden="1" x14ac:dyDescent="0.2">
      <c r="A358" s="1">
        <v>11862148</v>
      </c>
      <c r="B358">
        <v>2</v>
      </c>
      <c r="C358">
        <v>2</v>
      </c>
      <c r="D358">
        <v>560</v>
      </c>
      <c r="E358">
        <v>571</v>
      </c>
      <c r="F358">
        <v>536</v>
      </c>
      <c r="G358">
        <v>0</v>
      </c>
      <c r="H358">
        <v>549</v>
      </c>
      <c r="I358">
        <f>VLOOKUP(Scores[[#This Row],[MRUN]],Demographics[],3,FALSE)</f>
        <v>5</v>
      </c>
      <c r="J358">
        <f>AVERAGE(Scores[[#This Row],[LYC]],Scores[[#This Row],[MATE]])</f>
        <v>553.5</v>
      </c>
      <c r="K358">
        <f>VLOOKUP(Scores[[#This Row],[MRUN]],Demographics[],6,FALSE)</f>
        <v>4</v>
      </c>
      <c r="L358">
        <f>VLOOKUP(Scores[[#This Row],[MRUN]],Demographics[], 7,FALSE)</f>
        <v>3</v>
      </c>
      <c r="M358">
        <f>VLOOKUP(Scores[[#This Row],[MRUN]],Demographics[], 5, FALSE)</f>
        <v>1</v>
      </c>
    </row>
    <row r="359" spans="1:13" hidden="1" x14ac:dyDescent="0.2">
      <c r="A359" s="1">
        <v>3519809</v>
      </c>
      <c r="B359">
        <v>1</v>
      </c>
      <c r="C359">
        <v>2</v>
      </c>
      <c r="D359">
        <v>437</v>
      </c>
      <c r="E359">
        <v>406</v>
      </c>
      <c r="F359">
        <v>395</v>
      </c>
      <c r="G359">
        <v>397</v>
      </c>
      <c r="H359">
        <v>0</v>
      </c>
      <c r="I359">
        <f>VLOOKUP(Scores[[#This Row],[MRUN]],Demographics[],3,FALSE)</f>
        <v>4</v>
      </c>
      <c r="J359">
        <f>AVERAGE(Scores[[#This Row],[LYC]],Scores[[#This Row],[MATE]])</f>
        <v>400.5</v>
      </c>
      <c r="K359">
        <f>VLOOKUP(Scores[[#This Row],[MRUN]],Demographics[],6,FALSE)</f>
        <v>0</v>
      </c>
      <c r="L359">
        <f>VLOOKUP(Scores[[#This Row],[MRUN]],Demographics[], 7,FALSE)</f>
        <v>0</v>
      </c>
      <c r="M359">
        <f>VLOOKUP(Scores[[#This Row],[MRUN]],Demographics[], 5, FALSE)</f>
        <v>1</v>
      </c>
    </row>
    <row r="360" spans="1:13" hidden="1" x14ac:dyDescent="0.2">
      <c r="A360" s="1">
        <v>2350022</v>
      </c>
      <c r="B360">
        <v>1</v>
      </c>
      <c r="C360">
        <v>2</v>
      </c>
      <c r="D360">
        <v>499</v>
      </c>
      <c r="E360">
        <v>438</v>
      </c>
      <c r="F360">
        <v>545</v>
      </c>
      <c r="G360">
        <v>582</v>
      </c>
      <c r="H360">
        <v>0</v>
      </c>
      <c r="I360">
        <f>VLOOKUP(Scores[[#This Row],[MRUN]],Demographics[],3,FALSE)</f>
        <v>4</v>
      </c>
      <c r="J360">
        <f>AVERAGE(Scores[[#This Row],[LYC]],Scores[[#This Row],[MATE]])</f>
        <v>491.5</v>
      </c>
      <c r="K360">
        <f>VLOOKUP(Scores[[#This Row],[MRUN]],Demographics[],6,FALSE)</f>
        <v>9</v>
      </c>
      <c r="L360">
        <f>VLOOKUP(Scores[[#This Row],[MRUN]],Demographics[], 7,FALSE)</f>
        <v>4</v>
      </c>
      <c r="M360">
        <f>VLOOKUP(Scores[[#This Row],[MRUN]],Demographics[], 5, FALSE)</f>
        <v>1</v>
      </c>
    </row>
    <row r="361" spans="1:13" hidden="1" x14ac:dyDescent="0.2">
      <c r="A361" s="1">
        <v>8224713</v>
      </c>
      <c r="B361">
        <v>2</v>
      </c>
      <c r="C361">
        <v>2</v>
      </c>
      <c r="D361">
        <v>476</v>
      </c>
      <c r="E361">
        <v>510</v>
      </c>
      <c r="F361">
        <v>441</v>
      </c>
      <c r="G361">
        <v>0</v>
      </c>
      <c r="H361">
        <v>288</v>
      </c>
      <c r="I361">
        <f>VLOOKUP(Scores[[#This Row],[MRUN]],Demographics[],3,FALSE)</f>
        <v>3</v>
      </c>
      <c r="J361">
        <f>AVERAGE(Scores[[#This Row],[LYC]],Scores[[#This Row],[MATE]])</f>
        <v>475.5</v>
      </c>
      <c r="K361">
        <f>VLOOKUP(Scores[[#This Row],[MRUN]],Demographics[],6,FALSE)</f>
        <v>3</v>
      </c>
      <c r="L361">
        <f>VLOOKUP(Scores[[#This Row],[MRUN]],Demographics[], 7,FALSE)</f>
        <v>4</v>
      </c>
      <c r="M361">
        <f>VLOOKUP(Scores[[#This Row],[MRUN]],Demographics[], 5, FALSE)</f>
        <v>1</v>
      </c>
    </row>
    <row r="362" spans="1:13" hidden="1" x14ac:dyDescent="0.2">
      <c r="A362" s="1">
        <v>9652857</v>
      </c>
      <c r="B362">
        <v>1</v>
      </c>
      <c r="C362">
        <v>2</v>
      </c>
      <c r="D362">
        <v>519</v>
      </c>
      <c r="E362">
        <v>464</v>
      </c>
      <c r="F362">
        <v>506</v>
      </c>
      <c r="G362">
        <v>531</v>
      </c>
      <c r="H362">
        <v>0</v>
      </c>
      <c r="I362">
        <f>VLOOKUP(Scores[[#This Row],[MRUN]],Demographics[],3,FALSE)</f>
        <v>6</v>
      </c>
      <c r="J362">
        <f>AVERAGE(Scores[[#This Row],[LYC]],Scores[[#This Row],[MATE]])</f>
        <v>485</v>
      </c>
      <c r="K362">
        <f>VLOOKUP(Scores[[#This Row],[MRUN]],Demographics[],6,FALSE)</f>
        <v>4</v>
      </c>
      <c r="L362">
        <f>VLOOKUP(Scores[[#This Row],[MRUN]],Demographics[], 7,FALSE)</f>
        <v>2</v>
      </c>
      <c r="M362">
        <f>VLOOKUP(Scores[[#This Row],[MRUN]],Demographics[], 5, FALSE)</f>
        <v>1</v>
      </c>
    </row>
    <row r="363" spans="1:13" hidden="1" x14ac:dyDescent="0.2">
      <c r="A363" s="1">
        <v>3576511</v>
      </c>
      <c r="B363">
        <v>2</v>
      </c>
      <c r="C363">
        <v>2</v>
      </c>
      <c r="D363">
        <v>455</v>
      </c>
      <c r="E363">
        <v>541</v>
      </c>
      <c r="F363">
        <v>353</v>
      </c>
      <c r="G363">
        <v>490</v>
      </c>
      <c r="H363">
        <v>0</v>
      </c>
      <c r="I363">
        <f>VLOOKUP(Scores[[#This Row],[MRUN]],Demographics[],3,FALSE)</f>
        <v>5</v>
      </c>
      <c r="J363">
        <f>AVERAGE(Scores[[#This Row],[LYC]],Scores[[#This Row],[MATE]])</f>
        <v>447</v>
      </c>
      <c r="K363">
        <f>VLOOKUP(Scores[[#This Row],[MRUN]],Demographics[],6,FALSE)</f>
        <v>4</v>
      </c>
      <c r="L363">
        <f>VLOOKUP(Scores[[#This Row],[MRUN]],Demographics[], 7,FALSE)</f>
        <v>4</v>
      </c>
      <c r="M363">
        <f>VLOOKUP(Scores[[#This Row],[MRUN]],Demographics[], 5, FALSE)</f>
        <v>1</v>
      </c>
    </row>
    <row r="364" spans="1:13" hidden="1" x14ac:dyDescent="0.2">
      <c r="A364" s="1">
        <v>17460538</v>
      </c>
      <c r="B364">
        <v>2</v>
      </c>
      <c r="C364">
        <v>2</v>
      </c>
      <c r="D364">
        <v>538</v>
      </c>
      <c r="E364">
        <v>306</v>
      </c>
      <c r="F364">
        <v>480</v>
      </c>
      <c r="G364">
        <v>320</v>
      </c>
      <c r="H364">
        <v>0</v>
      </c>
      <c r="I364">
        <f>VLOOKUP(Scores[[#This Row],[MRUN]],Demographics[],3,FALSE)</f>
        <v>3</v>
      </c>
      <c r="J364">
        <f>AVERAGE(Scores[[#This Row],[LYC]],Scores[[#This Row],[MATE]])</f>
        <v>393</v>
      </c>
      <c r="K364">
        <f>VLOOKUP(Scores[[#This Row],[MRUN]],Demographics[],6,FALSE)</f>
        <v>2</v>
      </c>
      <c r="L364">
        <f>VLOOKUP(Scores[[#This Row],[MRUN]],Demographics[], 7,FALSE)</f>
        <v>2</v>
      </c>
      <c r="M364">
        <f>VLOOKUP(Scores[[#This Row],[MRUN]],Demographics[], 5, FALSE)</f>
        <v>1</v>
      </c>
    </row>
    <row r="365" spans="1:13" hidden="1" x14ac:dyDescent="0.2">
      <c r="A365" s="1">
        <v>14256652</v>
      </c>
      <c r="B365">
        <v>2</v>
      </c>
      <c r="C365">
        <v>2</v>
      </c>
      <c r="D365">
        <v>335</v>
      </c>
      <c r="E365">
        <v>0</v>
      </c>
      <c r="F365">
        <v>0</v>
      </c>
      <c r="G365">
        <v>0</v>
      </c>
      <c r="H365">
        <v>0</v>
      </c>
      <c r="I365">
        <f>VLOOKUP(Scores[[#This Row],[MRUN]],Demographics[],3,FALSE)</f>
        <v>6</v>
      </c>
      <c r="J365">
        <f>AVERAGE(Scores[[#This Row],[LYC]],Scores[[#This Row],[MATE]])</f>
        <v>0</v>
      </c>
      <c r="K365">
        <f>VLOOKUP(Scores[[#This Row],[MRUN]],Demographics[],6,FALSE)</f>
        <v>4</v>
      </c>
      <c r="L365">
        <f>VLOOKUP(Scores[[#This Row],[MRUN]],Demographics[], 7,FALSE)</f>
        <v>2</v>
      </c>
      <c r="M365">
        <f>VLOOKUP(Scores[[#This Row],[MRUN]],Demographics[], 5, FALSE)</f>
        <v>1</v>
      </c>
    </row>
    <row r="366" spans="1:13" hidden="1" x14ac:dyDescent="0.2">
      <c r="A366" s="1">
        <v>20131530</v>
      </c>
      <c r="B366">
        <v>1</v>
      </c>
      <c r="C366">
        <v>3</v>
      </c>
      <c r="D366">
        <v>420</v>
      </c>
      <c r="E366">
        <v>422</v>
      </c>
      <c r="F366">
        <v>480</v>
      </c>
      <c r="G366">
        <v>0</v>
      </c>
      <c r="H366">
        <v>439</v>
      </c>
      <c r="I366">
        <f>VLOOKUP(Scores[[#This Row],[MRUN]],Demographics[],3,FALSE)</f>
        <v>5</v>
      </c>
      <c r="J366">
        <f>AVERAGE(Scores[[#This Row],[LYC]],Scores[[#This Row],[MATE]])</f>
        <v>451</v>
      </c>
      <c r="K366">
        <f>VLOOKUP(Scores[[#This Row],[MRUN]],Demographics[],6,FALSE)</f>
        <v>7</v>
      </c>
      <c r="L366">
        <f>VLOOKUP(Scores[[#This Row],[MRUN]],Demographics[], 7,FALSE)</f>
        <v>6</v>
      </c>
      <c r="M366">
        <f>VLOOKUP(Scores[[#This Row],[MRUN]],Demographics[], 5, FALSE)</f>
        <v>2</v>
      </c>
    </row>
    <row r="367" spans="1:13" hidden="1" x14ac:dyDescent="0.2">
      <c r="A367" s="1">
        <v>17561584</v>
      </c>
      <c r="B367">
        <v>2</v>
      </c>
      <c r="C367">
        <v>2</v>
      </c>
      <c r="D367">
        <v>455</v>
      </c>
      <c r="E367">
        <v>464</v>
      </c>
      <c r="F367">
        <v>328</v>
      </c>
      <c r="G367">
        <v>406</v>
      </c>
      <c r="H367">
        <v>0</v>
      </c>
      <c r="I367">
        <f>VLOOKUP(Scores[[#This Row],[MRUN]],Demographics[],3,FALSE)</f>
        <v>5</v>
      </c>
      <c r="J367">
        <f>AVERAGE(Scores[[#This Row],[LYC]],Scores[[#This Row],[MATE]])</f>
        <v>396</v>
      </c>
      <c r="K367">
        <f>VLOOKUP(Scores[[#This Row],[MRUN]],Demographics[],6,FALSE)</f>
        <v>5</v>
      </c>
      <c r="L367">
        <f>VLOOKUP(Scores[[#This Row],[MRUN]],Demographics[], 7,FALSE)</f>
        <v>4</v>
      </c>
      <c r="M367">
        <f>VLOOKUP(Scores[[#This Row],[MRUN]],Demographics[], 5, FALSE)</f>
        <v>1</v>
      </c>
    </row>
    <row r="368" spans="1:13" hidden="1" x14ac:dyDescent="0.2">
      <c r="A368" s="1">
        <v>4845782</v>
      </c>
      <c r="B368">
        <v>1</v>
      </c>
      <c r="C368">
        <v>2</v>
      </c>
      <c r="D368">
        <v>579</v>
      </c>
      <c r="E368">
        <v>430</v>
      </c>
      <c r="F368">
        <v>501</v>
      </c>
      <c r="G368">
        <v>397</v>
      </c>
      <c r="H368">
        <v>0</v>
      </c>
      <c r="I368">
        <f>VLOOKUP(Scores[[#This Row],[MRUN]],Demographics[],3,FALSE)</f>
        <v>5</v>
      </c>
      <c r="J368">
        <f>AVERAGE(Scores[[#This Row],[LYC]],Scores[[#This Row],[MATE]])</f>
        <v>465.5</v>
      </c>
      <c r="K368">
        <f>VLOOKUP(Scores[[#This Row],[MRUN]],Demographics[],6,FALSE)</f>
        <v>5</v>
      </c>
      <c r="L368">
        <f>VLOOKUP(Scores[[#This Row],[MRUN]],Demographics[], 7,FALSE)</f>
        <v>4</v>
      </c>
      <c r="M368">
        <f>VLOOKUP(Scores[[#This Row],[MRUN]],Demographics[], 5, FALSE)</f>
        <v>1</v>
      </c>
    </row>
    <row r="369" spans="1:13" hidden="1" x14ac:dyDescent="0.2">
      <c r="A369" s="1">
        <v>20232565</v>
      </c>
      <c r="B369">
        <v>1</v>
      </c>
      <c r="C369">
        <v>3</v>
      </c>
      <c r="D369">
        <v>417</v>
      </c>
      <c r="E369">
        <v>464</v>
      </c>
      <c r="F369">
        <v>501</v>
      </c>
      <c r="G369">
        <v>0</v>
      </c>
      <c r="H369">
        <v>543</v>
      </c>
      <c r="I369">
        <f>VLOOKUP(Scores[[#This Row],[MRUN]],Demographics[],3,FALSE)</f>
        <v>5</v>
      </c>
      <c r="J369">
        <f>AVERAGE(Scores[[#This Row],[LYC]],Scores[[#This Row],[MATE]])</f>
        <v>482.5</v>
      </c>
      <c r="K369">
        <f>VLOOKUP(Scores[[#This Row],[MRUN]],Demographics[],6,FALSE)</f>
        <v>4</v>
      </c>
      <c r="L369">
        <f>VLOOKUP(Scores[[#This Row],[MRUN]],Demographics[], 7,FALSE)</f>
        <v>4</v>
      </c>
      <c r="M369">
        <f>VLOOKUP(Scores[[#This Row],[MRUN]],Demographics[], 5, FALSE)</f>
        <v>1</v>
      </c>
    </row>
    <row r="370" spans="1:13" hidden="1" x14ac:dyDescent="0.2">
      <c r="A370" s="1">
        <v>21733379</v>
      </c>
      <c r="B370">
        <v>2</v>
      </c>
      <c r="C370">
        <v>2</v>
      </c>
      <c r="D370">
        <v>496</v>
      </c>
      <c r="E370">
        <v>406</v>
      </c>
      <c r="F370">
        <v>463</v>
      </c>
      <c r="G370">
        <v>436</v>
      </c>
      <c r="H370">
        <v>0</v>
      </c>
      <c r="I370">
        <f>VLOOKUP(Scores[[#This Row],[MRUN]],Demographics[],3,FALSE)</f>
        <v>5</v>
      </c>
      <c r="J370">
        <f>AVERAGE(Scores[[#This Row],[LYC]],Scores[[#This Row],[MATE]])</f>
        <v>434.5</v>
      </c>
      <c r="K370">
        <f>VLOOKUP(Scores[[#This Row],[MRUN]],Demographics[],6,FALSE)</f>
        <v>9</v>
      </c>
      <c r="L370">
        <f>VLOOKUP(Scores[[#This Row],[MRUN]],Demographics[], 7,FALSE)</f>
        <v>7</v>
      </c>
      <c r="M370">
        <f>VLOOKUP(Scores[[#This Row],[MRUN]],Demographics[], 5, FALSE)</f>
        <v>2</v>
      </c>
    </row>
    <row r="371" spans="1:13" hidden="1" x14ac:dyDescent="0.2">
      <c r="A371" s="1">
        <v>14373512</v>
      </c>
      <c r="B371">
        <v>2</v>
      </c>
      <c r="C371">
        <v>2</v>
      </c>
      <c r="D371">
        <v>435</v>
      </c>
      <c r="E371">
        <v>345</v>
      </c>
      <c r="F371">
        <v>395</v>
      </c>
      <c r="G371">
        <v>0</v>
      </c>
      <c r="H371">
        <v>417</v>
      </c>
      <c r="I371">
        <f>VLOOKUP(Scores[[#This Row],[MRUN]],Demographics[],3,FALSE)</f>
        <v>4</v>
      </c>
      <c r="J371">
        <f>AVERAGE(Scores[[#This Row],[LYC]],Scores[[#This Row],[MATE]])</f>
        <v>370</v>
      </c>
      <c r="K371">
        <f>VLOOKUP(Scores[[#This Row],[MRUN]],Demographics[],6,FALSE)</f>
        <v>3</v>
      </c>
      <c r="L371">
        <f>VLOOKUP(Scores[[#This Row],[MRUN]],Demographics[], 7,FALSE)</f>
        <v>4</v>
      </c>
      <c r="M371">
        <f>VLOOKUP(Scores[[#This Row],[MRUN]],Demographics[], 5, FALSE)</f>
        <v>1</v>
      </c>
    </row>
    <row r="372" spans="1:13" hidden="1" x14ac:dyDescent="0.2">
      <c r="A372" s="1">
        <v>6778744</v>
      </c>
      <c r="B372">
        <v>1</v>
      </c>
      <c r="C372">
        <v>3</v>
      </c>
      <c r="D372">
        <v>521</v>
      </c>
      <c r="E372">
        <v>581</v>
      </c>
      <c r="F372">
        <v>523</v>
      </c>
      <c r="G372">
        <v>501</v>
      </c>
      <c r="H372">
        <v>0</v>
      </c>
      <c r="I372">
        <f>VLOOKUP(Scores[[#This Row],[MRUN]],Demographics[],3,FALSE)</f>
        <v>0</v>
      </c>
      <c r="J372">
        <f>AVERAGE(Scores[[#This Row],[LYC]],Scores[[#This Row],[MATE]])</f>
        <v>552</v>
      </c>
      <c r="K372">
        <f>VLOOKUP(Scores[[#This Row],[MRUN]],Demographics[],6,FALSE)</f>
        <v>0</v>
      </c>
      <c r="L372">
        <f>VLOOKUP(Scores[[#This Row],[MRUN]],Demographics[], 7,FALSE)</f>
        <v>0</v>
      </c>
      <c r="M372">
        <f>VLOOKUP(Scores[[#This Row],[MRUN]],Demographics[], 5, FALSE)</f>
        <v>2</v>
      </c>
    </row>
    <row r="373" spans="1:13" hidden="1" x14ac:dyDescent="0.2">
      <c r="A373" s="1">
        <v>24798351</v>
      </c>
      <c r="B373">
        <v>1</v>
      </c>
      <c r="C373">
        <v>4</v>
      </c>
      <c r="D373">
        <v>558</v>
      </c>
      <c r="E373">
        <v>488</v>
      </c>
      <c r="F373">
        <v>536</v>
      </c>
      <c r="G373">
        <v>461</v>
      </c>
      <c r="H373">
        <v>528</v>
      </c>
      <c r="I373">
        <f>VLOOKUP(Scores[[#This Row],[MRUN]],Demographics[],3,FALSE)</f>
        <v>4</v>
      </c>
      <c r="J373">
        <f>AVERAGE(Scores[[#This Row],[LYC]],Scores[[#This Row],[MATE]])</f>
        <v>512</v>
      </c>
      <c r="K373">
        <f>VLOOKUP(Scores[[#This Row],[MRUN]],Demographics[],6,FALSE)</f>
        <v>9</v>
      </c>
      <c r="L373">
        <f>VLOOKUP(Scores[[#This Row],[MRUN]],Demographics[], 7,FALSE)</f>
        <v>9</v>
      </c>
      <c r="M373">
        <f>VLOOKUP(Scores[[#This Row],[MRUN]],Demographics[], 5, FALSE)</f>
        <v>3</v>
      </c>
    </row>
    <row r="374" spans="1:13" hidden="1" x14ac:dyDescent="0.2">
      <c r="A374" s="1">
        <v>8173311</v>
      </c>
      <c r="B374">
        <v>1</v>
      </c>
      <c r="C374">
        <v>3</v>
      </c>
      <c r="D374">
        <v>440</v>
      </c>
      <c r="E374">
        <v>602</v>
      </c>
      <c r="F374">
        <v>512</v>
      </c>
      <c r="G374">
        <v>623</v>
      </c>
      <c r="H374">
        <v>0</v>
      </c>
      <c r="I374">
        <f>VLOOKUP(Scores[[#This Row],[MRUN]],Demographics[],3,FALSE)</f>
        <v>3</v>
      </c>
      <c r="J374">
        <f>AVERAGE(Scores[[#This Row],[LYC]],Scores[[#This Row],[MATE]])</f>
        <v>557</v>
      </c>
      <c r="K374">
        <f>VLOOKUP(Scores[[#This Row],[MRUN]],Demographics[],6,FALSE)</f>
        <v>9</v>
      </c>
      <c r="L374">
        <f>VLOOKUP(Scores[[#This Row],[MRUN]],Demographics[], 7,FALSE)</f>
        <v>7</v>
      </c>
      <c r="M374">
        <f>VLOOKUP(Scores[[#This Row],[MRUN]],Demographics[], 5, FALSE)</f>
        <v>2</v>
      </c>
    </row>
    <row r="375" spans="1:13" hidden="1" x14ac:dyDescent="0.2">
      <c r="A375" s="1">
        <v>16502131</v>
      </c>
      <c r="B375">
        <v>2</v>
      </c>
      <c r="C375">
        <v>3</v>
      </c>
      <c r="D375">
        <v>723</v>
      </c>
      <c r="E375">
        <v>691</v>
      </c>
      <c r="F375">
        <v>631</v>
      </c>
      <c r="G375">
        <v>639</v>
      </c>
      <c r="H375">
        <v>491</v>
      </c>
      <c r="I375">
        <f>VLOOKUP(Scores[[#This Row],[MRUN]],Demographics[],3,FALSE)</f>
        <v>6</v>
      </c>
      <c r="J375">
        <f>AVERAGE(Scores[[#This Row],[LYC]],Scores[[#This Row],[MATE]])</f>
        <v>661</v>
      </c>
      <c r="K375">
        <f>VLOOKUP(Scores[[#This Row],[MRUN]],Demographics[],6,FALSE)</f>
        <v>9</v>
      </c>
      <c r="L375">
        <f>VLOOKUP(Scores[[#This Row],[MRUN]],Demographics[], 7,FALSE)</f>
        <v>8</v>
      </c>
      <c r="M375">
        <f>VLOOKUP(Scores[[#This Row],[MRUN]],Demographics[], 5, FALSE)</f>
        <v>5</v>
      </c>
    </row>
    <row r="376" spans="1:13" hidden="1" x14ac:dyDescent="0.2">
      <c r="A376" s="1">
        <v>11028389</v>
      </c>
      <c r="B376">
        <v>1</v>
      </c>
      <c r="C376">
        <v>2</v>
      </c>
      <c r="D376">
        <v>539</v>
      </c>
      <c r="E376">
        <v>306</v>
      </c>
      <c r="F376">
        <v>523</v>
      </c>
      <c r="G376">
        <v>428</v>
      </c>
      <c r="H376">
        <v>417</v>
      </c>
      <c r="I376">
        <f>VLOOKUP(Scores[[#This Row],[MRUN]],Demographics[],3,FALSE)</f>
        <v>4</v>
      </c>
      <c r="J376">
        <f>AVERAGE(Scores[[#This Row],[LYC]],Scores[[#This Row],[MATE]])</f>
        <v>414.5</v>
      </c>
      <c r="K376">
        <f>VLOOKUP(Scores[[#This Row],[MRUN]],Demographics[],6,FALSE)</f>
        <v>4</v>
      </c>
      <c r="L376">
        <f>VLOOKUP(Scores[[#This Row],[MRUN]],Demographics[], 7,FALSE)</f>
        <v>4</v>
      </c>
      <c r="M376">
        <f>VLOOKUP(Scores[[#This Row],[MRUN]],Demographics[], 5, FALSE)</f>
        <v>1</v>
      </c>
    </row>
    <row r="377" spans="1:13" hidden="1" x14ac:dyDescent="0.2">
      <c r="A377" s="1">
        <v>18131096</v>
      </c>
      <c r="B377">
        <v>1</v>
      </c>
      <c r="C377">
        <v>2</v>
      </c>
      <c r="D377">
        <v>496</v>
      </c>
      <c r="E377">
        <v>378</v>
      </c>
      <c r="F377">
        <v>472</v>
      </c>
      <c r="G377">
        <v>557</v>
      </c>
      <c r="H377">
        <v>0</v>
      </c>
      <c r="I377">
        <f>VLOOKUP(Scores[[#This Row],[MRUN]],Demographics[],3,FALSE)</f>
        <v>4</v>
      </c>
      <c r="J377">
        <f>AVERAGE(Scores[[#This Row],[LYC]],Scores[[#This Row],[MATE]])</f>
        <v>425</v>
      </c>
      <c r="K377">
        <f>VLOOKUP(Scores[[#This Row],[MRUN]],Demographics[],6,FALSE)</f>
        <v>5</v>
      </c>
      <c r="L377">
        <f>VLOOKUP(Scores[[#This Row],[MRUN]],Demographics[], 7,FALSE)</f>
        <v>2</v>
      </c>
      <c r="M377">
        <f>VLOOKUP(Scores[[#This Row],[MRUN]],Demographics[], 5, FALSE)</f>
        <v>1</v>
      </c>
    </row>
    <row r="378" spans="1:13" hidden="1" x14ac:dyDescent="0.2">
      <c r="A378" s="1">
        <v>7017942</v>
      </c>
      <c r="B378">
        <v>2</v>
      </c>
      <c r="C378">
        <v>3</v>
      </c>
      <c r="D378">
        <v>420</v>
      </c>
      <c r="E378">
        <v>415</v>
      </c>
      <c r="F378">
        <v>300</v>
      </c>
      <c r="G378">
        <v>397</v>
      </c>
      <c r="H378">
        <v>0</v>
      </c>
      <c r="I378">
        <f>VLOOKUP(Scores[[#This Row],[MRUN]],Demographics[],3,FALSE)</f>
        <v>2</v>
      </c>
      <c r="J378">
        <f>AVERAGE(Scores[[#This Row],[LYC]],Scores[[#This Row],[MATE]])</f>
        <v>357.5</v>
      </c>
      <c r="K378">
        <f>VLOOKUP(Scores[[#This Row],[MRUN]],Demographics[],6,FALSE)</f>
        <v>5</v>
      </c>
      <c r="L378">
        <f>VLOOKUP(Scores[[#This Row],[MRUN]],Demographics[], 7,FALSE)</f>
        <v>4</v>
      </c>
      <c r="M378">
        <f>VLOOKUP(Scores[[#This Row],[MRUN]],Demographics[], 5, FALSE)</f>
        <v>1</v>
      </c>
    </row>
    <row r="379" spans="1:13" hidden="1" x14ac:dyDescent="0.2">
      <c r="A379" s="1">
        <v>13672790</v>
      </c>
      <c r="B379">
        <v>2</v>
      </c>
      <c r="C379">
        <v>2</v>
      </c>
      <c r="D379">
        <v>519</v>
      </c>
      <c r="E379">
        <v>444</v>
      </c>
      <c r="F379">
        <v>480</v>
      </c>
      <c r="G379">
        <v>495</v>
      </c>
      <c r="H379">
        <v>0</v>
      </c>
      <c r="I379">
        <f>VLOOKUP(Scores[[#This Row],[MRUN]],Demographics[],3,FALSE)</f>
        <v>6</v>
      </c>
      <c r="J379">
        <f>AVERAGE(Scores[[#This Row],[LYC]],Scores[[#This Row],[MATE]])</f>
        <v>462</v>
      </c>
      <c r="K379">
        <f>VLOOKUP(Scores[[#This Row],[MRUN]],Demographics[],6,FALSE)</f>
        <v>2</v>
      </c>
      <c r="L379">
        <f>VLOOKUP(Scores[[#This Row],[MRUN]],Demographics[], 7,FALSE)</f>
        <v>3</v>
      </c>
      <c r="M379">
        <f>VLOOKUP(Scores[[#This Row],[MRUN]],Demographics[], 5, FALSE)</f>
        <v>1</v>
      </c>
    </row>
    <row r="380" spans="1:13" hidden="1" x14ac:dyDescent="0.2">
      <c r="A380" s="1">
        <v>11476182</v>
      </c>
      <c r="B380">
        <v>1</v>
      </c>
      <c r="C380">
        <v>3</v>
      </c>
      <c r="D380">
        <v>0</v>
      </c>
      <c r="E380">
        <v>0</v>
      </c>
      <c r="F380">
        <v>0</v>
      </c>
      <c r="G380">
        <v>0</v>
      </c>
      <c r="H380">
        <v>0</v>
      </c>
      <c r="I380">
        <f>VLOOKUP(Scores[[#This Row],[MRUN]],Demographics[],3,FALSE)</f>
        <v>5</v>
      </c>
      <c r="J380">
        <f>AVERAGE(Scores[[#This Row],[LYC]],Scores[[#This Row],[MATE]])</f>
        <v>0</v>
      </c>
      <c r="K380">
        <f>VLOOKUP(Scores[[#This Row],[MRUN]],Demographics[],6,FALSE)</f>
        <v>5</v>
      </c>
      <c r="L380">
        <f>VLOOKUP(Scores[[#This Row],[MRUN]],Demographics[], 7,FALSE)</f>
        <v>4</v>
      </c>
      <c r="M380">
        <f>VLOOKUP(Scores[[#This Row],[MRUN]],Demographics[], 5, FALSE)</f>
        <v>1</v>
      </c>
    </row>
    <row r="381" spans="1:13" hidden="1" x14ac:dyDescent="0.2">
      <c r="A381" s="1">
        <v>19965055</v>
      </c>
      <c r="B381">
        <v>2</v>
      </c>
      <c r="C381">
        <v>2</v>
      </c>
      <c r="D381">
        <v>437</v>
      </c>
      <c r="E381">
        <v>430</v>
      </c>
      <c r="F381">
        <v>376</v>
      </c>
      <c r="G381">
        <v>359</v>
      </c>
      <c r="H381">
        <v>0</v>
      </c>
      <c r="I381">
        <f>VLOOKUP(Scores[[#This Row],[MRUN]],Demographics[],3,FALSE)</f>
        <v>8</v>
      </c>
      <c r="J381">
        <f>AVERAGE(Scores[[#This Row],[LYC]],Scores[[#This Row],[MATE]])</f>
        <v>403</v>
      </c>
      <c r="K381">
        <f>VLOOKUP(Scores[[#This Row],[MRUN]],Demographics[],6,FALSE)</f>
        <v>1</v>
      </c>
      <c r="L381">
        <f>VLOOKUP(Scores[[#This Row],[MRUN]],Demographics[], 7,FALSE)</f>
        <v>4</v>
      </c>
      <c r="M381">
        <f>VLOOKUP(Scores[[#This Row],[MRUN]],Demographics[], 5, FALSE)</f>
        <v>1</v>
      </c>
    </row>
    <row r="382" spans="1:13" hidden="1" x14ac:dyDescent="0.2">
      <c r="A382" s="1">
        <v>8681573</v>
      </c>
      <c r="B382">
        <v>2</v>
      </c>
      <c r="C382">
        <v>3</v>
      </c>
      <c r="D382">
        <v>414</v>
      </c>
      <c r="E382">
        <v>438</v>
      </c>
      <c r="F382">
        <v>328</v>
      </c>
      <c r="G382">
        <v>406</v>
      </c>
      <c r="H382">
        <v>0</v>
      </c>
      <c r="I382">
        <f>VLOOKUP(Scores[[#This Row],[MRUN]],Demographics[],3,FALSE)</f>
        <v>4</v>
      </c>
      <c r="J382">
        <f>AVERAGE(Scores[[#This Row],[LYC]],Scores[[#This Row],[MATE]])</f>
        <v>383</v>
      </c>
      <c r="K382">
        <f>VLOOKUP(Scores[[#This Row],[MRUN]],Demographics[],6,FALSE)</f>
        <v>7</v>
      </c>
      <c r="L382">
        <f>VLOOKUP(Scores[[#This Row],[MRUN]],Demographics[], 7,FALSE)</f>
        <v>9</v>
      </c>
      <c r="M382">
        <f>VLOOKUP(Scores[[#This Row],[MRUN]],Demographics[], 5, FALSE)</f>
        <v>2</v>
      </c>
    </row>
    <row r="383" spans="1:13" hidden="1" x14ac:dyDescent="0.2">
      <c r="A383" s="1">
        <v>10298890</v>
      </c>
      <c r="B383">
        <v>1</v>
      </c>
      <c r="C383">
        <v>3</v>
      </c>
      <c r="D383">
        <v>356</v>
      </c>
      <c r="E383">
        <v>557</v>
      </c>
      <c r="F383">
        <v>480</v>
      </c>
      <c r="G383">
        <v>586</v>
      </c>
      <c r="H383">
        <v>0</v>
      </c>
      <c r="I383">
        <f>VLOOKUP(Scores[[#This Row],[MRUN]],Demographics[],3,FALSE)</f>
        <v>7</v>
      </c>
      <c r="J383">
        <f>AVERAGE(Scores[[#This Row],[LYC]],Scores[[#This Row],[MATE]])</f>
        <v>518.5</v>
      </c>
      <c r="K383">
        <f>VLOOKUP(Scores[[#This Row],[MRUN]],Demographics[],6,FALSE)</f>
        <v>5</v>
      </c>
      <c r="L383">
        <f>VLOOKUP(Scores[[#This Row],[MRUN]],Demographics[], 7,FALSE)</f>
        <v>4</v>
      </c>
      <c r="M383">
        <f>VLOOKUP(Scores[[#This Row],[MRUN]],Demographics[], 5, FALSE)</f>
        <v>1</v>
      </c>
    </row>
    <row r="384" spans="1:13" hidden="1" x14ac:dyDescent="0.2">
      <c r="A384" s="1">
        <v>1534573</v>
      </c>
      <c r="B384">
        <v>2</v>
      </c>
      <c r="C384">
        <v>2</v>
      </c>
      <c r="D384">
        <v>558</v>
      </c>
      <c r="E384">
        <v>464</v>
      </c>
      <c r="F384">
        <v>523</v>
      </c>
      <c r="G384">
        <v>0</v>
      </c>
      <c r="H384">
        <v>528</v>
      </c>
      <c r="I384">
        <f>VLOOKUP(Scores[[#This Row],[MRUN]],Demographics[],3,FALSE)</f>
        <v>6</v>
      </c>
      <c r="J384">
        <f>AVERAGE(Scores[[#This Row],[LYC]],Scores[[#This Row],[MATE]])</f>
        <v>493.5</v>
      </c>
      <c r="K384">
        <f>VLOOKUP(Scores[[#This Row],[MRUN]],Demographics[],6,FALSE)</f>
        <v>9</v>
      </c>
      <c r="L384">
        <f>VLOOKUP(Scores[[#This Row],[MRUN]],Demographics[], 7,FALSE)</f>
        <v>5</v>
      </c>
      <c r="M384">
        <f>VLOOKUP(Scores[[#This Row],[MRUN]],Demographics[], 5, FALSE)</f>
        <v>2</v>
      </c>
    </row>
    <row r="385" spans="1:13" hidden="1" x14ac:dyDescent="0.2">
      <c r="A385" s="1">
        <v>17889597</v>
      </c>
      <c r="B385">
        <v>2</v>
      </c>
      <c r="C385">
        <v>4</v>
      </c>
      <c r="D385">
        <v>702</v>
      </c>
      <c r="E385">
        <v>668</v>
      </c>
      <c r="F385">
        <v>549</v>
      </c>
      <c r="G385">
        <v>0</v>
      </c>
      <c r="H385">
        <v>659</v>
      </c>
      <c r="I385">
        <f>VLOOKUP(Scores[[#This Row],[MRUN]],Demographics[],3,FALSE)</f>
        <v>5</v>
      </c>
      <c r="J385">
        <f>AVERAGE(Scores[[#This Row],[LYC]],Scores[[#This Row],[MATE]])</f>
        <v>608.5</v>
      </c>
      <c r="K385">
        <f>VLOOKUP(Scores[[#This Row],[MRUN]],Demographics[],6,FALSE)</f>
        <v>9</v>
      </c>
      <c r="L385">
        <f>VLOOKUP(Scores[[#This Row],[MRUN]],Demographics[], 7,FALSE)</f>
        <v>9</v>
      </c>
      <c r="M385">
        <f>VLOOKUP(Scores[[#This Row],[MRUN]],Demographics[], 5, FALSE)</f>
        <v>4</v>
      </c>
    </row>
    <row r="386" spans="1:13" hidden="1" x14ac:dyDescent="0.2">
      <c r="A386" s="1">
        <v>17085189</v>
      </c>
      <c r="B386">
        <v>1</v>
      </c>
      <c r="C386">
        <v>3</v>
      </c>
      <c r="D386">
        <v>538</v>
      </c>
      <c r="E386">
        <v>576</v>
      </c>
      <c r="F386">
        <v>582</v>
      </c>
      <c r="G386">
        <v>557</v>
      </c>
      <c r="H386">
        <v>0</v>
      </c>
      <c r="I386">
        <f>VLOOKUP(Scores[[#This Row],[MRUN]],Demographics[],3,FALSE)</f>
        <v>5</v>
      </c>
      <c r="J386">
        <f>AVERAGE(Scores[[#This Row],[LYC]],Scores[[#This Row],[MATE]])</f>
        <v>579</v>
      </c>
      <c r="K386">
        <f>VLOOKUP(Scores[[#This Row],[MRUN]],Demographics[],6,FALSE)</f>
        <v>9</v>
      </c>
      <c r="L386">
        <f>VLOOKUP(Scores[[#This Row],[MRUN]],Demographics[], 7,FALSE)</f>
        <v>7</v>
      </c>
      <c r="M386">
        <f>VLOOKUP(Scores[[#This Row],[MRUN]],Demographics[], 5, FALSE)</f>
        <v>1</v>
      </c>
    </row>
    <row r="387" spans="1:13" hidden="1" x14ac:dyDescent="0.2">
      <c r="A387" s="1">
        <v>17482758</v>
      </c>
      <c r="B387">
        <v>1</v>
      </c>
      <c r="C387">
        <v>3</v>
      </c>
      <c r="D387">
        <v>440</v>
      </c>
      <c r="E387">
        <v>367</v>
      </c>
      <c r="F387">
        <v>353</v>
      </c>
      <c r="G387">
        <v>495</v>
      </c>
      <c r="H387">
        <v>0</v>
      </c>
      <c r="I387">
        <f>VLOOKUP(Scores[[#This Row],[MRUN]],Demographics[],3,FALSE)</f>
        <v>3</v>
      </c>
      <c r="J387">
        <f>AVERAGE(Scores[[#This Row],[LYC]],Scores[[#This Row],[MATE]])</f>
        <v>360</v>
      </c>
      <c r="K387">
        <f>VLOOKUP(Scores[[#This Row],[MRUN]],Demographics[],6,FALSE)</f>
        <v>9</v>
      </c>
      <c r="L387">
        <f>VLOOKUP(Scores[[#This Row],[MRUN]],Demographics[], 7,FALSE)</f>
        <v>9</v>
      </c>
      <c r="M387">
        <f>VLOOKUP(Scores[[#This Row],[MRUN]],Demographics[], 5, FALSE)</f>
        <v>1</v>
      </c>
    </row>
    <row r="388" spans="1:13" hidden="1" x14ac:dyDescent="0.2">
      <c r="A388" s="1">
        <v>18117862</v>
      </c>
      <c r="B388">
        <v>2</v>
      </c>
      <c r="C388">
        <v>2</v>
      </c>
      <c r="D388">
        <v>478</v>
      </c>
      <c r="E388">
        <v>0</v>
      </c>
      <c r="F388">
        <v>0</v>
      </c>
      <c r="G388">
        <v>0</v>
      </c>
      <c r="H388">
        <v>0</v>
      </c>
      <c r="I388">
        <f>VLOOKUP(Scores[[#This Row],[MRUN]],Demographics[],3,FALSE)</f>
        <v>8</v>
      </c>
      <c r="J388">
        <f>AVERAGE(Scores[[#This Row],[LYC]],Scores[[#This Row],[MATE]])</f>
        <v>0</v>
      </c>
      <c r="K388">
        <f>VLOOKUP(Scores[[#This Row],[MRUN]],Demographics[],6,FALSE)</f>
        <v>2</v>
      </c>
      <c r="L388">
        <f>VLOOKUP(Scores[[#This Row],[MRUN]],Demographics[], 7,FALSE)</f>
        <v>2</v>
      </c>
      <c r="M388">
        <f>VLOOKUP(Scores[[#This Row],[MRUN]],Demographics[], 5, FALSE)</f>
        <v>1</v>
      </c>
    </row>
    <row r="389" spans="1:13" hidden="1" x14ac:dyDescent="0.2">
      <c r="A389" s="1">
        <v>19838513</v>
      </c>
      <c r="B389">
        <v>2</v>
      </c>
      <c r="C389">
        <v>2</v>
      </c>
      <c r="D389">
        <v>458</v>
      </c>
      <c r="E389">
        <v>0</v>
      </c>
      <c r="F389">
        <v>0</v>
      </c>
      <c r="G389">
        <v>0</v>
      </c>
      <c r="H389">
        <v>0</v>
      </c>
      <c r="I389">
        <f>VLOOKUP(Scores[[#This Row],[MRUN]],Demographics[],3,FALSE)</f>
        <v>3</v>
      </c>
      <c r="J389">
        <f>AVERAGE(Scores[[#This Row],[LYC]],Scores[[#This Row],[MATE]])</f>
        <v>0</v>
      </c>
      <c r="K389">
        <f>VLOOKUP(Scores[[#This Row],[MRUN]],Demographics[],6,FALSE)</f>
        <v>1</v>
      </c>
      <c r="L389">
        <f>VLOOKUP(Scores[[#This Row],[MRUN]],Demographics[], 7,FALSE)</f>
        <v>5</v>
      </c>
      <c r="M389">
        <f>VLOOKUP(Scores[[#This Row],[MRUN]],Demographics[], 5, FALSE)</f>
        <v>1</v>
      </c>
    </row>
    <row r="390" spans="1:13" hidden="1" x14ac:dyDescent="0.2">
      <c r="A390" s="1">
        <v>1578160</v>
      </c>
      <c r="B390">
        <v>2</v>
      </c>
      <c r="C390">
        <v>3</v>
      </c>
      <c r="D390">
        <v>458</v>
      </c>
      <c r="E390">
        <v>0</v>
      </c>
      <c r="F390">
        <v>0</v>
      </c>
      <c r="G390">
        <v>0</v>
      </c>
      <c r="H390">
        <v>0</v>
      </c>
      <c r="I390">
        <f>VLOOKUP(Scores[[#This Row],[MRUN]],Demographics[],3,FALSE)</f>
        <v>6</v>
      </c>
      <c r="J390">
        <f>AVERAGE(Scores[[#This Row],[LYC]],Scores[[#This Row],[MATE]])</f>
        <v>0</v>
      </c>
      <c r="K390">
        <f>VLOOKUP(Scores[[#This Row],[MRUN]],Demographics[],6,FALSE)</f>
        <v>3</v>
      </c>
      <c r="L390">
        <f>VLOOKUP(Scores[[#This Row],[MRUN]],Demographics[], 7,FALSE)</f>
        <v>3</v>
      </c>
      <c r="M390">
        <f>VLOOKUP(Scores[[#This Row],[MRUN]],Demographics[], 5, FALSE)</f>
        <v>1</v>
      </c>
    </row>
    <row r="391" spans="1:13" hidden="1" x14ac:dyDescent="0.2">
      <c r="A391" s="1">
        <v>23347301</v>
      </c>
      <c r="B391">
        <v>2</v>
      </c>
      <c r="C391">
        <v>3</v>
      </c>
      <c r="D391">
        <v>400</v>
      </c>
      <c r="E391">
        <v>378</v>
      </c>
      <c r="F391">
        <v>413</v>
      </c>
      <c r="G391">
        <v>348</v>
      </c>
      <c r="H391">
        <v>344</v>
      </c>
      <c r="I391">
        <f>VLOOKUP(Scores[[#This Row],[MRUN]],Demographics[],3,FALSE)</f>
        <v>4</v>
      </c>
      <c r="J391">
        <f>AVERAGE(Scores[[#This Row],[LYC]],Scores[[#This Row],[MATE]])</f>
        <v>395.5</v>
      </c>
      <c r="K391">
        <f>VLOOKUP(Scores[[#This Row],[MRUN]],Demographics[],6,FALSE)</f>
        <v>5</v>
      </c>
      <c r="L391">
        <f>VLOOKUP(Scores[[#This Row],[MRUN]],Demographics[], 7,FALSE)</f>
        <v>5</v>
      </c>
      <c r="M391">
        <f>VLOOKUP(Scores[[#This Row],[MRUN]],Demographics[], 5, FALSE)</f>
        <v>2</v>
      </c>
    </row>
    <row r="392" spans="1:13" hidden="1" x14ac:dyDescent="0.2">
      <c r="A392" s="1">
        <v>22733736</v>
      </c>
      <c r="B392">
        <v>1</v>
      </c>
      <c r="C392">
        <v>3</v>
      </c>
      <c r="D392">
        <v>521</v>
      </c>
      <c r="E392">
        <v>388</v>
      </c>
      <c r="F392">
        <v>395</v>
      </c>
      <c r="G392">
        <v>370</v>
      </c>
      <c r="H392">
        <v>0</v>
      </c>
      <c r="I392">
        <f>VLOOKUP(Scores[[#This Row],[MRUN]],Demographics[],3,FALSE)</f>
        <v>10</v>
      </c>
      <c r="J392">
        <f>AVERAGE(Scores[[#This Row],[LYC]],Scores[[#This Row],[MATE]])</f>
        <v>391.5</v>
      </c>
      <c r="K392">
        <f>VLOOKUP(Scores[[#This Row],[MRUN]],Demographics[],6,FALSE)</f>
        <v>5</v>
      </c>
      <c r="L392">
        <f>VLOOKUP(Scores[[#This Row],[MRUN]],Demographics[], 7,FALSE)</f>
        <v>0</v>
      </c>
      <c r="M392">
        <f>VLOOKUP(Scores[[#This Row],[MRUN]],Demographics[], 5, FALSE)</f>
        <v>1</v>
      </c>
    </row>
    <row r="393" spans="1:13" hidden="1" x14ac:dyDescent="0.2">
      <c r="A393" s="1">
        <v>87383</v>
      </c>
      <c r="B393">
        <v>2</v>
      </c>
      <c r="C393">
        <v>3</v>
      </c>
      <c r="D393">
        <v>539</v>
      </c>
      <c r="E393">
        <v>218</v>
      </c>
      <c r="F393">
        <v>395</v>
      </c>
      <c r="G393">
        <v>348</v>
      </c>
      <c r="H393">
        <v>0</v>
      </c>
      <c r="I393">
        <f>VLOOKUP(Scores[[#This Row],[MRUN]],Demographics[],3,FALSE)</f>
        <v>7</v>
      </c>
      <c r="J393">
        <f>AVERAGE(Scores[[#This Row],[LYC]],Scores[[#This Row],[MATE]])</f>
        <v>306.5</v>
      </c>
      <c r="K393">
        <f>VLOOKUP(Scores[[#This Row],[MRUN]],Demographics[],6,FALSE)</f>
        <v>1</v>
      </c>
      <c r="L393">
        <f>VLOOKUP(Scores[[#This Row],[MRUN]],Demographics[], 7,FALSE)</f>
        <v>2</v>
      </c>
      <c r="M393">
        <f>VLOOKUP(Scores[[#This Row],[MRUN]],Demographics[], 5, FALSE)</f>
        <v>1</v>
      </c>
    </row>
    <row r="394" spans="1:13" hidden="1" x14ac:dyDescent="0.2">
      <c r="A394" s="1">
        <v>14991864</v>
      </c>
      <c r="B394">
        <v>1</v>
      </c>
      <c r="C394">
        <v>2</v>
      </c>
      <c r="D394">
        <v>0</v>
      </c>
      <c r="E394">
        <v>0</v>
      </c>
      <c r="F394">
        <v>0</v>
      </c>
      <c r="G394">
        <v>0</v>
      </c>
      <c r="H394">
        <v>0</v>
      </c>
      <c r="I394">
        <f>VLOOKUP(Scores[[#This Row],[MRUN]],Demographics[],3,FALSE)</f>
        <v>4</v>
      </c>
      <c r="J394">
        <f>AVERAGE(Scores[[#This Row],[LYC]],Scores[[#This Row],[MATE]])</f>
        <v>0</v>
      </c>
      <c r="K394">
        <f>VLOOKUP(Scores[[#This Row],[MRUN]],Demographics[],6,FALSE)</f>
        <v>5</v>
      </c>
      <c r="L394">
        <f>VLOOKUP(Scores[[#This Row],[MRUN]],Demographics[], 7,FALSE)</f>
        <v>5</v>
      </c>
      <c r="M394">
        <f>VLOOKUP(Scores[[#This Row],[MRUN]],Demographics[], 5, FALSE)</f>
        <v>1</v>
      </c>
    </row>
    <row r="395" spans="1:13" hidden="1" x14ac:dyDescent="0.2">
      <c r="A395" s="1">
        <v>22932070</v>
      </c>
      <c r="B395">
        <v>1</v>
      </c>
      <c r="C395">
        <v>2</v>
      </c>
      <c r="D395">
        <v>539</v>
      </c>
      <c r="E395">
        <v>499</v>
      </c>
      <c r="F395">
        <v>472</v>
      </c>
      <c r="G395">
        <v>479</v>
      </c>
      <c r="H395">
        <v>0</v>
      </c>
      <c r="I395">
        <f>VLOOKUP(Scores[[#This Row],[MRUN]],Demographics[],3,FALSE)</f>
        <v>5</v>
      </c>
      <c r="J395">
        <f>AVERAGE(Scores[[#This Row],[LYC]],Scores[[#This Row],[MATE]])</f>
        <v>485.5</v>
      </c>
      <c r="K395">
        <f>VLOOKUP(Scores[[#This Row],[MRUN]],Demographics[],6,FALSE)</f>
        <v>4</v>
      </c>
      <c r="L395">
        <f>VLOOKUP(Scores[[#This Row],[MRUN]],Demographics[], 7,FALSE)</f>
        <v>4</v>
      </c>
      <c r="M395">
        <f>VLOOKUP(Scores[[#This Row],[MRUN]],Demographics[], 5, FALSE)</f>
        <v>1</v>
      </c>
    </row>
    <row r="396" spans="1:13" hidden="1" x14ac:dyDescent="0.2">
      <c r="A396" s="1">
        <v>1929648</v>
      </c>
      <c r="B396">
        <v>1</v>
      </c>
      <c r="C396">
        <v>4</v>
      </c>
      <c r="D396">
        <v>393</v>
      </c>
      <c r="E396">
        <v>576</v>
      </c>
      <c r="F396">
        <v>527</v>
      </c>
      <c r="G396">
        <v>586</v>
      </c>
      <c r="H396">
        <v>0</v>
      </c>
      <c r="I396">
        <f>VLOOKUP(Scores[[#This Row],[MRUN]],Demographics[],3,FALSE)</f>
        <v>4</v>
      </c>
      <c r="J396">
        <f>AVERAGE(Scores[[#This Row],[LYC]],Scores[[#This Row],[MATE]])</f>
        <v>551.5</v>
      </c>
      <c r="K396">
        <f>VLOOKUP(Scores[[#This Row],[MRUN]],Demographics[],6,FALSE)</f>
        <v>8</v>
      </c>
      <c r="L396">
        <f>VLOOKUP(Scores[[#This Row],[MRUN]],Demographics[], 7,FALSE)</f>
        <v>9</v>
      </c>
      <c r="M396">
        <f>VLOOKUP(Scores[[#This Row],[MRUN]],Demographics[], 5, FALSE)</f>
        <v>4</v>
      </c>
    </row>
    <row r="397" spans="1:13" hidden="1" x14ac:dyDescent="0.2">
      <c r="A397" s="1">
        <v>3411838</v>
      </c>
      <c r="B397">
        <v>1</v>
      </c>
      <c r="C397">
        <v>2</v>
      </c>
      <c r="D397">
        <v>620</v>
      </c>
      <c r="E397">
        <v>602</v>
      </c>
      <c r="F397">
        <v>593</v>
      </c>
      <c r="G397">
        <v>617</v>
      </c>
      <c r="H397">
        <v>567</v>
      </c>
      <c r="I397">
        <f>VLOOKUP(Scores[[#This Row],[MRUN]],Demographics[],3,FALSE)</f>
        <v>5</v>
      </c>
      <c r="J397">
        <f>AVERAGE(Scores[[#This Row],[LYC]],Scores[[#This Row],[MATE]])</f>
        <v>597.5</v>
      </c>
      <c r="K397">
        <f>VLOOKUP(Scores[[#This Row],[MRUN]],Demographics[],6,FALSE)</f>
        <v>4</v>
      </c>
      <c r="L397">
        <f>VLOOKUP(Scores[[#This Row],[MRUN]],Demographics[], 7,FALSE)</f>
        <v>2</v>
      </c>
      <c r="M397">
        <f>VLOOKUP(Scores[[#This Row],[MRUN]],Demographics[], 5, FALSE)</f>
        <v>1</v>
      </c>
    </row>
    <row r="398" spans="1:13" hidden="1" x14ac:dyDescent="0.2">
      <c r="A398" s="1">
        <v>12396664</v>
      </c>
      <c r="B398">
        <v>1</v>
      </c>
      <c r="C398">
        <v>3</v>
      </c>
      <c r="D398">
        <v>499</v>
      </c>
      <c r="E398">
        <v>0</v>
      </c>
      <c r="F398">
        <v>0</v>
      </c>
      <c r="G398">
        <v>0</v>
      </c>
      <c r="H398">
        <v>0</v>
      </c>
      <c r="I398">
        <f>VLOOKUP(Scores[[#This Row],[MRUN]],Demographics[],3,FALSE)</f>
        <v>5</v>
      </c>
      <c r="J398">
        <f>AVERAGE(Scores[[#This Row],[LYC]],Scores[[#This Row],[MATE]])</f>
        <v>0</v>
      </c>
      <c r="K398">
        <f>VLOOKUP(Scores[[#This Row],[MRUN]],Demographics[],6,FALSE)</f>
        <v>2</v>
      </c>
      <c r="L398">
        <f>VLOOKUP(Scores[[#This Row],[MRUN]],Demographics[], 7,FALSE)</f>
        <v>4</v>
      </c>
      <c r="M398">
        <f>VLOOKUP(Scores[[#This Row],[MRUN]],Demographics[], 5, FALSE)</f>
        <v>1</v>
      </c>
    </row>
    <row r="399" spans="1:13" hidden="1" x14ac:dyDescent="0.2">
      <c r="A399" s="1">
        <v>2061889</v>
      </c>
      <c r="B399">
        <v>2</v>
      </c>
      <c r="C399">
        <v>2</v>
      </c>
      <c r="D399">
        <v>641</v>
      </c>
      <c r="E399">
        <v>451</v>
      </c>
      <c r="F399">
        <v>472</v>
      </c>
      <c r="G399">
        <v>479</v>
      </c>
      <c r="H399">
        <v>475</v>
      </c>
      <c r="I399">
        <f>VLOOKUP(Scores[[#This Row],[MRUN]],Demographics[],3,FALSE)</f>
        <v>5</v>
      </c>
      <c r="J399">
        <f>AVERAGE(Scores[[#This Row],[LYC]],Scores[[#This Row],[MATE]])</f>
        <v>461.5</v>
      </c>
      <c r="K399">
        <f>VLOOKUP(Scores[[#This Row],[MRUN]],Demographics[],6,FALSE)</f>
        <v>5</v>
      </c>
      <c r="L399">
        <f>VLOOKUP(Scores[[#This Row],[MRUN]],Demographics[], 7,FALSE)</f>
        <v>2</v>
      </c>
      <c r="M399">
        <f>VLOOKUP(Scores[[#This Row],[MRUN]],Demographics[], 5, FALSE)</f>
        <v>1</v>
      </c>
    </row>
    <row r="400" spans="1:13" hidden="1" x14ac:dyDescent="0.2">
      <c r="A400" s="1">
        <v>18534395</v>
      </c>
      <c r="B400">
        <v>2</v>
      </c>
      <c r="C400">
        <v>3</v>
      </c>
      <c r="D400">
        <v>420</v>
      </c>
      <c r="E400">
        <v>397</v>
      </c>
      <c r="F400">
        <v>395</v>
      </c>
      <c r="G400">
        <v>484</v>
      </c>
      <c r="H400">
        <v>439</v>
      </c>
      <c r="I400">
        <f>VLOOKUP(Scores[[#This Row],[MRUN]],Demographics[],3,FALSE)</f>
        <v>2</v>
      </c>
      <c r="J400">
        <f>AVERAGE(Scores[[#This Row],[LYC]],Scores[[#This Row],[MATE]])</f>
        <v>396</v>
      </c>
      <c r="K400">
        <f>VLOOKUP(Scores[[#This Row],[MRUN]],Demographics[],6,FALSE)</f>
        <v>9</v>
      </c>
      <c r="L400">
        <f>VLOOKUP(Scores[[#This Row],[MRUN]],Demographics[], 7,FALSE)</f>
        <v>8</v>
      </c>
      <c r="M400">
        <f>VLOOKUP(Scores[[#This Row],[MRUN]],Demographics[], 5, FALSE)</f>
        <v>2</v>
      </c>
    </row>
    <row r="401" spans="1:13" hidden="1" x14ac:dyDescent="0.2">
      <c r="A401" s="1">
        <v>2728766</v>
      </c>
      <c r="B401">
        <v>1</v>
      </c>
      <c r="C401">
        <v>2</v>
      </c>
      <c r="D401">
        <v>499</v>
      </c>
      <c r="E401">
        <v>499</v>
      </c>
      <c r="F401">
        <v>545</v>
      </c>
      <c r="G401">
        <v>521</v>
      </c>
      <c r="H401">
        <v>0</v>
      </c>
      <c r="I401">
        <f>VLOOKUP(Scores[[#This Row],[MRUN]],Demographics[],3,FALSE)</f>
        <v>4</v>
      </c>
      <c r="J401">
        <f>AVERAGE(Scores[[#This Row],[LYC]],Scores[[#This Row],[MATE]])</f>
        <v>522</v>
      </c>
      <c r="K401">
        <f>VLOOKUP(Scores[[#This Row],[MRUN]],Demographics[],6,FALSE)</f>
        <v>2</v>
      </c>
      <c r="L401">
        <f>VLOOKUP(Scores[[#This Row],[MRUN]],Demographics[], 7,FALSE)</f>
        <v>2</v>
      </c>
      <c r="M401">
        <f>VLOOKUP(Scores[[#This Row],[MRUN]],Demographics[], 5, FALSE)</f>
        <v>1</v>
      </c>
    </row>
    <row r="402" spans="1:13" hidden="1" x14ac:dyDescent="0.2">
      <c r="A402" s="1">
        <v>19774372</v>
      </c>
      <c r="B402">
        <v>1</v>
      </c>
      <c r="C402">
        <v>4</v>
      </c>
      <c r="D402">
        <v>496</v>
      </c>
      <c r="E402">
        <v>586</v>
      </c>
      <c r="F402">
        <v>545</v>
      </c>
      <c r="G402">
        <v>651</v>
      </c>
      <c r="H402">
        <v>0</v>
      </c>
      <c r="I402">
        <f>VLOOKUP(Scores[[#This Row],[MRUN]],Demographics[],3,FALSE)</f>
        <v>4</v>
      </c>
      <c r="J402">
        <f>AVERAGE(Scores[[#This Row],[LYC]],Scores[[#This Row],[MATE]])</f>
        <v>565.5</v>
      </c>
      <c r="K402">
        <f>VLOOKUP(Scores[[#This Row],[MRUN]],Demographics[],6,FALSE)</f>
        <v>9</v>
      </c>
      <c r="L402">
        <f>VLOOKUP(Scores[[#This Row],[MRUN]],Demographics[], 7,FALSE)</f>
        <v>9</v>
      </c>
      <c r="M402">
        <f>VLOOKUP(Scores[[#This Row],[MRUN]],Demographics[], 5, FALSE)</f>
        <v>1</v>
      </c>
    </row>
    <row r="403" spans="1:13" hidden="1" x14ac:dyDescent="0.2">
      <c r="A403" s="1">
        <v>3898078</v>
      </c>
      <c r="B403">
        <v>1</v>
      </c>
      <c r="C403">
        <v>2</v>
      </c>
      <c r="D403">
        <v>373</v>
      </c>
      <c r="E403">
        <v>451</v>
      </c>
      <c r="F403">
        <v>328</v>
      </c>
      <c r="G403">
        <v>484</v>
      </c>
      <c r="H403">
        <v>0</v>
      </c>
      <c r="I403">
        <f>VLOOKUP(Scores[[#This Row],[MRUN]],Demographics[],3,FALSE)</f>
        <v>5</v>
      </c>
      <c r="J403">
        <f>AVERAGE(Scores[[#This Row],[LYC]],Scores[[#This Row],[MATE]])</f>
        <v>389.5</v>
      </c>
      <c r="K403">
        <f>VLOOKUP(Scores[[#This Row],[MRUN]],Demographics[],6,FALSE)</f>
        <v>8</v>
      </c>
      <c r="L403">
        <f>VLOOKUP(Scores[[#This Row],[MRUN]],Demographics[], 7,FALSE)</f>
        <v>5</v>
      </c>
      <c r="M403">
        <f>VLOOKUP(Scores[[#This Row],[MRUN]],Demographics[], 5, FALSE)</f>
        <v>3</v>
      </c>
    </row>
    <row r="404" spans="1:13" hidden="1" x14ac:dyDescent="0.2">
      <c r="A404" s="1">
        <v>24191890</v>
      </c>
      <c r="B404">
        <v>1</v>
      </c>
      <c r="C404">
        <v>4</v>
      </c>
      <c r="D404">
        <v>517</v>
      </c>
      <c r="E404">
        <v>483</v>
      </c>
      <c r="F404">
        <v>579</v>
      </c>
      <c r="G404">
        <v>0</v>
      </c>
      <c r="H404">
        <v>579</v>
      </c>
      <c r="I404">
        <f>VLOOKUP(Scores[[#This Row],[MRUN]],Demographics[],3,FALSE)</f>
        <v>6</v>
      </c>
      <c r="J404">
        <f>AVERAGE(Scores[[#This Row],[LYC]],Scores[[#This Row],[MATE]])</f>
        <v>531</v>
      </c>
      <c r="K404">
        <f>VLOOKUP(Scores[[#This Row],[MRUN]],Demographics[],6,FALSE)</f>
        <v>9</v>
      </c>
      <c r="L404">
        <f>VLOOKUP(Scores[[#This Row],[MRUN]],Demographics[], 7,FALSE)</f>
        <v>9</v>
      </c>
      <c r="M404">
        <f>VLOOKUP(Scores[[#This Row],[MRUN]],Demographics[], 5, FALSE)</f>
        <v>3</v>
      </c>
    </row>
    <row r="405" spans="1:13" hidden="1" x14ac:dyDescent="0.2">
      <c r="A405" s="1">
        <v>12154705</v>
      </c>
      <c r="B405">
        <v>2</v>
      </c>
      <c r="C405">
        <v>3</v>
      </c>
      <c r="D405">
        <v>0</v>
      </c>
      <c r="E405">
        <v>464</v>
      </c>
      <c r="F405">
        <v>463</v>
      </c>
      <c r="G405">
        <v>0</v>
      </c>
      <c r="H405">
        <v>404</v>
      </c>
      <c r="I405">
        <f>VLOOKUP(Scores[[#This Row],[MRUN]],Demographics[],3,FALSE)</f>
        <v>4</v>
      </c>
      <c r="J405">
        <f>AVERAGE(Scores[[#This Row],[LYC]],Scores[[#This Row],[MATE]])</f>
        <v>463.5</v>
      </c>
      <c r="K405">
        <f>VLOOKUP(Scores[[#This Row],[MRUN]],Demographics[],6,FALSE)</f>
        <v>3</v>
      </c>
      <c r="L405">
        <f>VLOOKUP(Scores[[#This Row],[MRUN]],Demographics[], 7,FALSE)</f>
        <v>4</v>
      </c>
      <c r="M405">
        <f>VLOOKUP(Scores[[#This Row],[MRUN]],Demographics[], 5, FALSE)</f>
        <v>1</v>
      </c>
    </row>
    <row r="406" spans="1:13" hidden="1" x14ac:dyDescent="0.2">
      <c r="A406" s="1">
        <v>23268918</v>
      </c>
      <c r="B406">
        <v>1</v>
      </c>
      <c r="C406">
        <v>4</v>
      </c>
      <c r="D406">
        <v>0</v>
      </c>
      <c r="E406">
        <v>378</v>
      </c>
      <c r="F406">
        <v>353</v>
      </c>
      <c r="G406">
        <v>442</v>
      </c>
      <c r="H406">
        <v>0</v>
      </c>
      <c r="I406">
        <f>VLOOKUP(Scores[[#This Row],[MRUN]],Demographics[],3,FALSE)</f>
        <v>5</v>
      </c>
      <c r="J406">
        <f>AVERAGE(Scores[[#This Row],[LYC]],Scores[[#This Row],[MATE]])</f>
        <v>365.5</v>
      </c>
      <c r="K406">
        <f>VLOOKUP(Scores[[#This Row],[MRUN]],Demographics[],6,FALSE)</f>
        <v>7</v>
      </c>
      <c r="L406">
        <f>VLOOKUP(Scores[[#This Row],[MRUN]],Demographics[], 7,FALSE)</f>
        <v>9</v>
      </c>
      <c r="M406">
        <f>VLOOKUP(Scores[[#This Row],[MRUN]],Demographics[], 5, FALSE)</f>
        <v>1</v>
      </c>
    </row>
    <row r="407" spans="1:13" hidden="1" x14ac:dyDescent="0.2">
      <c r="A407" s="1">
        <v>6697708</v>
      </c>
      <c r="B407">
        <v>1</v>
      </c>
      <c r="C407">
        <v>3</v>
      </c>
      <c r="D407">
        <v>641</v>
      </c>
      <c r="E407">
        <v>596</v>
      </c>
      <c r="F407">
        <v>395</v>
      </c>
      <c r="G407">
        <v>617</v>
      </c>
      <c r="H407">
        <v>0</v>
      </c>
      <c r="I407">
        <f>VLOOKUP(Scores[[#This Row],[MRUN]],Demographics[],3,FALSE)</f>
        <v>5</v>
      </c>
      <c r="J407">
        <f>AVERAGE(Scores[[#This Row],[LYC]],Scores[[#This Row],[MATE]])</f>
        <v>495.5</v>
      </c>
      <c r="K407">
        <f>VLOOKUP(Scores[[#This Row],[MRUN]],Demographics[],6,FALSE)</f>
        <v>7</v>
      </c>
      <c r="L407">
        <f>VLOOKUP(Scores[[#This Row],[MRUN]],Demographics[], 7,FALSE)</f>
        <v>7</v>
      </c>
      <c r="M407">
        <f>VLOOKUP(Scores[[#This Row],[MRUN]],Demographics[], 5, FALSE)</f>
        <v>1</v>
      </c>
    </row>
    <row r="408" spans="1:13" hidden="1" x14ac:dyDescent="0.2">
      <c r="A408" s="1">
        <v>9667801</v>
      </c>
      <c r="B408">
        <v>1</v>
      </c>
      <c r="C408">
        <v>3</v>
      </c>
      <c r="D408">
        <v>0</v>
      </c>
      <c r="E408">
        <v>0</v>
      </c>
      <c r="F408">
        <v>0</v>
      </c>
      <c r="G408">
        <v>0</v>
      </c>
      <c r="H408">
        <v>0</v>
      </c>
      <c r="I408">
        <f>VLOOKUP(Scores[[#This Row],[MRUN]],Demographics[],3,FALSE)</f>
        <v>7</v>
      </c>
      <c r="J408">
        <f>AVERAGE(Scores[[#This Row],[LYC]],Scores[[#This Row],[MATE]])</f>
        <v>0</v>
      </c>
      <c r="K408">
        <f>VLOOKUP(Scores[[#This Row],[MRUN]],Demographics[],6,FALSE)</f>
        <v>5</v>
      </c>
      <c r="L408">
        <f>VLOOKUP(Scores[[#This Row],[MRUN]],Demographics[], 7,FALSE)</f>
        <v>5</v>
      </c>
      <c r="M408">
        <f>VLOOKUP(Scores[[#This Row],[MRUN]],Demographics[], 5, FALSE)</f>
        <v>1</v>
      </c>
    </row>
    <row r="409" spans="1:13" hidden="1" x14ac:dyDescent="0.2">
      <c r="A409" s="1">
        <v>23654518</v>
      </c>
      <c r="B409">
        <v>2</v>
      </c>
      <c r="C409">
        <v>2</v>
      </c>
      <c r="D409">
        <v>455</v>
      </c>
      <c r="E409">
        <v>406</v>
      </c>
      <c r="F409">
        <v>428</v>
      </c>
      <c r="G409">
        <v>215</v>
      </c>
      <c r="H409">
        <v>0</v>
      </c>
      <c r="I409">
        <f>VLOOKUP(Scores[[#This Row],[MRUN]],Demographics[],3,FALSE)</f>
        <v>4</v>
      </c>
      <c r="J409">
        <f>AVERAGE(Scores[[#This Row],[LYC]],Scores[[#This Row],[MATE]])</f>
        <v>417</v>
      </c>
      <c r="K409">
        <f>VLOOKUP(Scores[[#This Row],[MRUN]],Demographics[],6,FALSE)</f>
        <v>0</v>
      </c>
      <c r="L409">
        <f>VLOOKUP(Scores[[#This Row],[MRUN]],Demographics[], 7,FALSE)</f>
        <v>5</v>
      </c>
      <c r="M409">
        <f>VLOOKUP(Scores[[#This Row],[MRUN]],Demographics[], 5, FALSE)</f>
        <v>1</v>
      </c>
    </row>
    <row r="410" spans="1:13" hidden="1" x14ac:dyDescent="0.2">
      <c r="A410" s="1">
        <v>13940207</v>
      </c>
      <c r="B410">
        <v>1</v>
      </c>
      <c r="C410">
        <v>2</v>
      </c>
      <c r="D410">
        <v>420</v>
      </c>
      <c r="E410">
        <v>397</v>
      </c>
      <c r="F410">
        <v>452</v>
      </c>
      <c r="G410">
        <v>506</v>
      </c>
      <c r="H410">
        <v>0</v>
      </c>
      <c r="I410">
        <f>VLOOKUP(Scores[[#This Row],[MRUN]],Demographics[],3,FALSE)</f>
        <v>3</v>
      </c>
      <c r="J410">
        <f>AVERAGE(Scores[[#This Row],[LYC]],Scores[[#This Row],[MATE]])</f>
        <v>424.5</v>
      </c>
      <c r="K410">
        <f>VLOOKUP(Scores[[#This Row],[MRUN]],Demographics[],6,FALSE)</f>
        <v>5</v>
      </c>
      <c r="L410">
        <f>VLOOKUP(Scores[[#This Row],[MRUN]],Demographics[], 7,FALSE)</f>
        <v>5</v>
      </c>
      <c r="M410">
        <f>VLOOKUP(Scores[[#This Row],[MRUN]],Demographics[], 5, FALSE)</f>
        <v>1</v>
      </c>
    </row>
    <row r="411" spans="1:13" hidden="1" x14ac:dyDescent="0.2">
      <c r="A411" s="1">
        <v>2826423</v>
      </c>
      <c r="B411">
        <v>1</v>
      </c>
      <c r="C411">
        <v>4</v>
      </c>
      <c r="D411">
        <v>682</v>
      </c>
      <c r="E411">
        <v>0</v>
      </c>
      <c r="F411">
        <v>0</v>
      </c>
      <c r="G411">
        <v>0</v>
      </c>
      <c r="H411">
        <v>0</v>
      </c>
      <c r="I411">
        <f>VLOOKUP(Scores[[#This Row],[MRUN]],Demographics[],3,FALSE)</f>
        <v>6</v>
      </c>
      <c r="J411">
        <f>AVERAGE(Scores[[#This Row],[LYC]],Scores[[#This Row],[MATE]])</f>
        <v>0</v>
      </c>
      <c r="K411">
        <f>VLOOKUP(Scores[[#This Row],[MRUN]],Demographics[],6,FALSE)</f>
        <v>9</v>
      </c>
      <c r="L411">
        <f>VLOOKUP(Scores[[#This Row],[MRUN]],Demographics[], 7,FALSE)</f>
        <v>9</v>
      </c>
      <c r="M411">
        <f>VLOOKUP(Scores[[#This Row],[MRUN]],Demographics[], 5, FALSE)</f>
        <v>2</v>
      </c>
    </row>
    <row r="412" spans="1:13" hidden="1" x14ac:dyDescent="0.2">
      <c r="A412" s="1">
        <v>20984642</v>
      </c>
      <c r="B412">
        <v>1</v>
      </c>
      <c r="C412">
        <v>2</v>
      </c>
      <c r="D412">
        <v>458</v>
      </c>
      <c r="E412">
        <v>0</v>
      </c>
      <c r="F412">
        <v>0</v>
      </c>
      <c r="G412">
        <v>0</v>
      </c>
      <c r="H412">
        <v>0</v>
      </c>
      <c r="I412">
        <f>VLOOKUP(Scores[[#This Row],[MRUN]],Demographics[],3,FALSE)</f>
        <v>5</v>
      </c>
      <c r="J412">
        <f>AVERAGE(Scores[[#This Row],[LYC]],Scores[[#This Row],[MATE]])</f>
        <v>0</v>
      </c>
      <c r="K412">
        <f>VLOOKUP(Scores[[#This Row],[MRUN]],Demographics[],6,FALSE)</f>
        <v>7</v>
      </c>
      <c r="L412">
        <f>VLOOKUP(Scores[[#This Row],[MRUN]],Demographics[], 7,FALSE)</f>
        <v>5</v>
      </c>
      <c r="M412">
        <f>VLOOKUP(Scores[[#This Row],[MRUN]],Demographics[], 5, FALSE)</f>
        <v>2</v>
      </c>
    </row>
    <row r="413" spans="1:13" hidden="1" x14ac:dyDescent="0.2">
      <c r="A413" s="1">
        <v>23120773</v>
      </c>
      <c r="B413">
        <v>2</v>
      </c>
      <c r="C413">
        <v>3</v>
      </c>
      <c r="D413">
        <v>661</v>
      </c>
      <c r="E413">
        <v>602</v>
      </c>
      <c r="F413">
        <v>585</v>
      </c>
      <c r="G413">
        <v>684</v>
      </c>
      <c r="H413">
        <v>0</v>
      </c>
      <c r="I413">
        <f>VLOOKUP(Scores[[#This Row],[MRUN]],Demographics[],3,FALSE)</f>
        <v>4</v>
      </c>
      <c r="J413">
        <f>AVERAGE(Scores[[#This Row],[LYC]],Scores[[#This Row],[MATE]])</f>
        <v>593.5</v>
      </c>
      <c r="K413">
        <f>VLOOKUP(Scores[[#This Row],[MRUN]],Demographics[],6,FALSE)</f>
        <v>9</v>
      </c>
      <c r="L413">
        <f>VLOOKUP(Scores[[#This Row],[MRUN]],Demographics[], 7,FALSE)</f>
        <v>5</v>
      </c>
      <c r="M413">
        <f>VLOOKUP(Scores[[#This Row],[MRUN]],Demographics[], 5, FALSE)</f>
        <v>2</v>
      </c>
    </row>
    <row r="414" spans="1:13" hidden="1" x14ac:dyDescent="0.2">
      <c r="A414" s="1">
        <v>18414329</v>
      </c>
      <c r="B414">
        <v>2</v>
      </c>
      <c r="C414">
        <v>2</v>
      </c>
      <c r="D414">
        <v>0</v>
      </c>
      <c r="E414">
        <v>0</v>
      </c>
      <c r="F414">
        <v>0</v>
      </c>
      <c r="G414">
        <v>0</v>
      </c>
      <c r="H414">
        <v>0</v>
      </c>
      <c r="I414">
        <f>VLOOKUP(Scores[[#This Row],[MRUN]],Demographics[],3,FALSE)</f>
        <v>5</v>
      </c>
      <c r="J414">
        <f>AVERAGE(Scores[[#This Row],[LYC]],Scores[[#This Row],[MATE]])</f>
        <v>0</v>
      </c>
      <c r="K414">
        <f>VLOOKUP(Scores[[#This Row],[MRUN]],Demographics[],6,FALSE)</f>
        <v>5</v>
      </c>
      <c r="L414">
        <f>VLOOKUP(Scores[[#This Row],[MRUN]],Demographics[], 7,FALSE)</f>
        <v>9</v>
      </c>
      <c r="M414">
        <f>VLOOKUP(Scores[[#This Row],[MRUN]],Demographics[], 5, FALSE)</f>
        <v>1</v>
      </c>
    </row>
    <row r="415" spans="1:13" hidden="1" x14ac:dyDescent="0.2">
      <c r="A415" s="1">
        <v>10938244</v>
      </c>
      <c r="B415">
        <v>2</v>
      </c>
      <c r="C415">
        <v>3</v>
      </c>
      <c r="D415">
        <v>458</v>
      </c>
      <c r="E415">
        <v>576</v>
      </c>
      <c r="F415">
        <v>527</v>
      </c>
      <c r="G415">
        <v>501</v>
      </c>
      <c r="H415">
        <v>0</v>
      </c>
      <c r="I415">
        <f>VLOOKUP(Scores[[#This Row],[MRUN]],Demographics[],3,FALSE)</f>
        <v>4</v>
      </c>
      <c r="J415">
        <f>AVERAGE(Scores[[#This Row],[LYC]],Scores[[#This Row],[MATE]])</f>
        <v>551.5</v>
      </c>
      <c r="K415">
        <f>VLOOKUP(Scores[[#This Row],[MRUN]],Demographics[],6,FALSE)</f>
        <v>8</v>
      </c>
      <c r="L415">
        <f>VLOOKUP(Scores[[#This Row],[MRUN]],Demographics[], 7,FALSE)</f>
        <v>4</v>
      </c>
      <c r="M415">
        <f>VLOOKUP(Scores[[#This Row],[MRUN]],Demographics[], 5, FALSE)</f>
        <v>1</v>
      </c>
    </row>
    <row r="416" spans="1:13" hidden="1" x14ac:dyDescent="0.2">
      <c r="A416" s="1">
        <v>10837293</v>
      </c>
      <c r="B416">
        <v>2</v>
      </c>
      <c r="C416">
        <v>3</v>
      </c>
      <c r="D416">
        <v>376</v>
      </c>
      <c r="E416">
        <v>406</v>
      </c>
      <c r="F416">
        <v>211</v>
      </c>
      <c r="G416">
        <v>516</v>
      </c>
      <c r="H416">
        <v>0</v>
      </c>
      <c r="I416">
        <f>VLOOKUP(Scores[[#This Row],[MRUN]],Demographics[],3,FALSE)</f>
        <v>6</v>
      </c>
      <c r="J416">
        <f>AVERAGE(Scores[[#This Row],[LYC]],Scores[[#This Row],[MATE]])</f>
        <v>308.5</v>
      </c>
      <c r="K416">
        <f>VLOOKUP(Scores[[#This Row],[MRUN]],Demographics[],6,FALSE)</f>
        <v>3</v>
      </c>
      <c r="L416">
        <f>VLOOKUP(Scores[[#This Row],[MRUN]],Demographics[], 7,FALSE)</f>
        <v>2</v>
      </c>
      <c r="M416">
        <f>VLOOKUP(Scores[[#This Row],[MRUN]],Demographics[], 5, FALSE)</f>
        <v>1</v>
      </c>
    </row>
    <row r="417" spans="1:13" hidden="1" x14ac:dyDescent="0.2">
      <c r="A417" s="1">
        <v>13940206</v>
      </c>
      <c r="B417">
        <v>1</v>
      </c>
      <c r="C417">
        <v>3</v>
      </c>
      <c r="D417">
        <v>455</v>
      </c>
      <c r="E417">
        <v>655</v>
      </c>
      <c r="F417">
        <v>487</v>
      </c>
      <c r="G417">
        <v>670</v>
      </c>
      <c r="H417">
        <v>0</v>
      </c>
      <c r="I417">
        <f>VLOOKUP(Scores[[#This Row],[MRUN]],Demographics[],3,FALSE)</f>
        <v>3</v>
      </c>
      <c r="J417">
        <f>AVERAGE(Scores[[#This Row],[LYC]],Scores[[#This Row],[MATE]])</f>
        <v>571</v>
      </c>
      <c r="K417">
        <f>VLOOKUP(Scores[[#This Row],[MRUN]],Demographics[],6,FALSE)</f>
        <v>9</v>
      </c>
      <c r="L417">
        <f>VLOOKUP(Scores[[#This Row],[MRUN]],Demographics[], 7,FALSE)</f>
        <v>9</v>
      </c>
      <c r="M417">
        <f>VLOOKUP(Scores[[#This Row],[MRUN]],Demographics[], 5, FALSE)</f>
        <v>3</v>
      </c>
    </row>
    <row r="418" spans="1:13" hidden="1" x14ac:dyDescent="0.2">
      <c r="A418" s="1">
        <v>16638796</v>
      </c>
      <c r="B418">
        <v>1</v>
      </c>
      <c r="C418">
        <v>2</v>
      </c>
      <c r="D418">
        <v>458</v>
      </c>
      <c r="E418">
        <v>415</v>
      </c>
      <c r="F418">
        <v>413</v>
      </c>
      <c r="G418">
        <v>527</v>
      </c>
      <c r="H418">
        <v>0</v>
      </c>
      <c r="I418">
        <f>VLOOKUP(Scores[[#This Row],[MRUN]],Demographics[],3,FALSE)</f>
        <v>5</v>
      </c>
      <c r="J418">
        <f>AVERAGE(Scores[[#This Row],[LYC]],Scores[[#This Row],[MATE]])</f>
        <v>414</v>
      </c>
      <c r="K418">
        <f>VLOOKUP(Scores[[#This Row],[MRUN]],Demographics[],6,FALSE)</f>
        <v>5</v>
      </c>
      <c r="L418">
        <f>VLOOKUP(Scores[[#This Row],[MRUN]],Demographics[], 7,FALSE)</f>
        <v>4</v>
      </c>
      <c r="M418">
        <f>VLOOKUP(Scores[[#This Row],[MRUN]],Demographics[], 5, FALSE)</f>
        <v>1</v>
      </c>
    </row>
    <row r="419" spans="1:13" hidden="1" x14ac:dyDescent="0.2">
      <c r="A419" s="1">
        <v>8094033</v>
      </c>
      <c r="B419">
        <v>2</v>
      </c>
      <c r="C419">
        <v>2</v>
      </c>
      <c r="D419">
        <v>599</v>
      </c>
      <c r="E419">
        <v>547</v>
      </c>
      <c r="F419">
        <v>517</v>
      </c>
      <c r="G419">
        <v>572</v>
      </c>
      <c r="H419">
        <v>0</v>
      </c>
      <c r="I419">
        <f>VLOOKUP(Scores[[#This Row],[MRUN]],Demographics[],3,FALSE)</f>
        <v>0</v>
      </c>
      <c r="J419">
        <f>AVERAGE(Scores[[#This Row],[LYC]],Scores[[#This Row],[MATE]])</f>
        <v>532</v>
      </c>
      <c r="K419">
        <f>VLOOKUP(Scores[[#This Row],[MRUN]],Demographics[],6,FALSE)</f>
        <v>0</v>
      </c>
      <c r="L419">
        <f>VLOOKUP(Scores[[#This Row],[MRUN]],Demographics[], 7,FALSE)</f>
        <v>0</v>
      </c>
      <c r="M419">
        <f>VLOOKUP(Scores[[#This Row],[MRUN]],Demographics[], 5, FALSE)</f>
        <v>1</v>
      </c>
    </row>
    <row r="420" spans="1:13" hidden="1" x14ac:dyDescent="0.2">
      <c r="A420" s="1">
        <v>8830299</v>
      </c>
      <c r="B420">
        <v>2</v>
      </c>
      <c r="C420">
        <v>3</v>
      </c>
      <c r="D420">
        <v>620</v>
      </c>
      <c r="E420">
        <v>624</v>
      </c>
      <c r="F420">
        <v>549</v>
      </c>
      <c r="G420">
        <v>617</v>
      </c>
      <c r="H420">
        <v>0</v>
      </c>
      <c r="I420">
        <f>VLOOKUP(Scores[[#This Row],[MRUN]],Demographics[],3,FALSE)</f>
        <v>2</v>
      </c>
      <c r="J420">
        <f>AVERAGE(Scores[[#This Row],[LYC]],Scores[[#This Row],[MATE]])</f>
        <v>586.5</v>
      </c>
      <c r="K420">
        <f>VLOOKUP(Scores[[#This Row],[MRUN]],Demographics[],6,FALSE)</f>
        <v>8</v>
      </c>
      <c r="L420">
        <f>VLOOKUP(Scores[[#This Row],[MRUN]],Demographics[], 7,FALSE)</f>
        <v>0</v>
      </c>
      <c r="M420">
        <f>VLOOKUP(Scores[[#This Row],[MRUN]],Demographics[], 5, FALSE)</f>
        <v>2</v>
      </c>
    </row>
    <row r="421" spans="1:13" hidden="1" x14ac:dyDescent="0.2">
      <c r="A421" s="1">
        <v>15671778</v>
      </c>
      <c r="B421">
        <v>2</v>
      </c>
      <c r="C421">
        <v>2</v>
      </c>
      <c r="D421">
        <v>517</v>
      </c>
      <c r="E421">
        <v>378</v>
      </c>
      <c r="F421">
        <v>480</v>
      </c>
      <c r="G421">
        <v>370</v>
      </c>
      <c r="H421">
        <v>0</v>
      </c>
      <c r="I421">
        <f>VLOOKUP(Scores[[#This Row],[MRUN]],Demographics[],3,FALSE)</f>
        <v>7</v>
      </c>
      <c r="J421">
        <f>AVERAGE(Scores[[#This Row],[LYC]],Scores[[#This Row],[MATE]])</f>
        <v>429</v>
      </c>
      <c r="K421">
        <f>VLOOKUP(Scores[[#This Row],[MRUN]],Demographics[],6,FALSE)</f>
        <v>2</v>
      </c>
      <c r="L421">
        <f>VLOOKUP(Scores[[#This Row],[MRUN]],Demographics[], 7,FALSE)</f>
        <v>2</v>
      </c>
      <c r="M421">
        <f>VLOOKUP(Scores[[#This Row],[MRUN]],Demographics[], 5, FALSE)</f>
        <v>1</v>
      </c>
    </row>
    <row r="422" spans="1:13" hidden="1" x14ac:dyDescent="0.2">
      <c r="A422" s="1">
        <v>21445667</v>
      </c>
      <c r="B422">
        <v>2</v>
      </c>
      <c r="C422">
        <v>3</v>
      </c>
      <c r="D422">
        <v>417</v>
      </c>
      <c r="E422">
        <v>406</v>
      </c>
      <c r="F422">
        <v>300</v>
      </c>
      <c r="G422">
        <v>461</v>
      </c>
      <c r="H422">
        <v>0</v>
      </c>
      <c r="I422">
        <f>VLOOKUP(Scores[[#This Row],[MRUN]],Demographics[],3,FALSE)</f>
        <v>2</v>
      </c>
      <c r="J422">
        <f>AVERAGE(Scores[[#This Row],[LYC]],Scores[[#This Row],[MATE]])</f>
        <v>353</v>
      </c>
      <c r="K422">
        <f>VLOOKUP(Scores[[#This Row],[MRUN]],Demographics[],6,FALSE)</f>
        <v>4</v>
      </c>
      <c r="L422">
        <f>VLOOKUP(Scores[[#This Row],[MRUN]],Demographics[], 7,FALSE)</f>
        <v>5</v>
      </c>
      <c r="M422">
        <f>VLOOKUP(Scores[[#This Row],[MRUN]],Demographics[], 5, FALSE)</f>
        <v>1</v>
      </c>
    </row>
    <row r="423" spans="1:13" hidden="1" x14ac:dyDescent="0.2">
      <c r="A423" s="1">
        <v>12034820</v>
      </c>
      <c r="B423">
        <v>2</v>
      </c>
      <c r="C423">
        <v>2</v>
      </c>
      <c r="D423">
        <v>519</v>
      </c>
      <c r="E423">
        <v>613</v>
      </c>
      <c r="F423">
        <v>494</v>
      </c>
      <c r="G423">
        <v>586</v>
      </c>
      <c r="H423">
        <v>0</v>
      </c>
      <c r="I423">
        <f>VLOOKUP(Scores[[#This Row],[MRUN]],Demographics[],3,FALSE)</f>
        <v>4</v>
      </c>
      <c r="J423">
        <f>AVERAGE(Scores[[#This Row],[LYC]],Scores[[#This Row],[MATE]])</f>
        <v>553.5</v>
      </c>
      <c r="K423">
        <f>VLOOKUP(Scores[[#This Row],[MRUN]],Demographics[],6,FALSE)</f>
        <v>0</v>
      </c>
      <c r="L423">
        <f>VLOOKUP(Scores[[#This Row],[MRUN]],Demographics[], 7,FALSE)</f>
        <v>0</v>
      </c>
      <c r="M423">
        <f>VLOOKUP(Scores[[#This Row],[MRUN]],Demographics[], 5, FALSE)</f>
        <v>1</v>
      </c>
    </row>
    <row r="424" spans="1:13" hidden="1" x14ac:dyDescent="0.2">
      <c r="A424" s="1">
        <v>5092164</v>
      </c>
      <c r="B424">
        <v>1</v>
      </c>
      <c r="C424">
        <v>2</v>
      </c>
      <c r="D424">
        <v>414</v>
      </c>
      <c r="E424">
        <v>592</v>
      </c>
      <c r="F424">
        <v>536</v>
      </c>
      <c r="G424">
        <v>657</v>
      </c>
      <c r="H424">
        <v>0</v>
      </c>
      <c r="I424">
        <f>VLOOKUP(Scores[[#This Row],[MRUN]],Demographics[],3,FALSE)</f>
        <v>3</v>
      </c>
      <c r="J424">
        <f>AVERAGE(Scores[[#This Row],[LYC]],Scores[[#This Row],[MATE]])</f>
        <v>564</v>
      </c>
      <c r="K424">
        <f>VLOOKUP(Scores[[#This Row],[MRUN]],Demographics[],6,FALSE)</f>
        <v>3</v>
      </c>
      <c r="L424">
        <f>VLOOKUP(Scores[[#This Row],[MRUN]],Demographics[], 7,FALSE)</f>
        <v>5</v>
      </c>
      <c r="M424">
        <f>VLOOKUP(Scores[[#This Row],[MRUN]],Demographics[], 5, FALSE)</f>
        <v>1</v>
      </c>
    </row>
    <row r="425" spans="1:13" hidden="1" x14ac:dyDescent="0.2">
      <c r="A425" s="1">
        <v>5771331</v>
      </c>
      <c r="B425">
        <v>1</v>
      </c>
      <c r="C425">
        <v>2</v>
      </c>
      <c r="D425">
        <v>455</v>
      </c>
      <c r="E425">
        <v>0</v>
      </c>
      <c r="F425">
        <v>0</v>
      </c>
      <c r="G425">
        <v>0</v>
      </c>
      <c r="H425">
        <v>0</v>
      </c>
      <c r="I425">
        <f>VLOOKUP(Scores[[#This Row],[MRUN]],Demographics[],3,FALSE)</f>
        <v>2</v>
      </c>
      <c r="J425">
        <f>AVERAGE(Scores[[#This Row],[LYC]],Scores[[#This Row],[MATE]])</f>
        <v>0</v>
      </c>
      <c r="K425">
        <f>VLOOKUP(Scores[[#This Row],[MRUN]],Demographics[],6,FALSE)</f>
        <v>7</v>
      </c>
      <c r="L425">
        <f>VLOOKUP(Scores[[#This Row],[MRUN]],Demographics[], 7,FALSE)</f>
        <v>7</v>
      </c>
      <c r="M425">
        <f>VLOOKUP(Scores[[#This Row],[MRUN]],Demographics[], 5, FALSE)</f>
        <v>1</v>
      </c>
    </row>
    <row r="426" spans="1:13" hidden="1" x14ac:dyDescent="0.2">
      <c r="A426" s="1">
        <v>22962178</v>
      </c>
      <c r="B426">
        <v>2</v>
      </c>
      <c r="C426">
        <v>2</v>
      </c>
      <c r="D426">
        <v>478</v>
      </c>
      <c r="E426">
        <v>499</v>
      </c>
      <c r="F426">
        <v>527</v>
      </c>
      <c r="G426">
        <v>0</v>
      </c>
      <c r="H426">
        <v>483</v>
      </c>
      <c r="I426">
        <f>VLOOKUP(Scores[[#This Row],[MRUN]],Demographics[],3,FALSE)</f>
        <v>4</v>
      </c>
      <c r="J426">
        <f>AVERAGE(Scores[[#This Row],[LYC]],Scores[[#This Row],[MATE]])</f>
        <v>513</v>
      </c>
      <c r="K426">
        <f>VLOOKUP(Scores[[#This Row],[MRUN]],Demographics[],6,FALSE)</f>
        <v>5</v>
      </c>
      <c r="L426">
        <f>VLOOKUP(Scores[[#This Row],[MRUN]],Demographics[], 7,FALSE)</f>
        <v>4</v>
      </c>
      <c r="M426">
        <f>VLOOKUP(Scores[[#This Row],[MRUN]],Demographics[], 5, FALSE)</f>
        <v>1</v>
      </c>
    </row>
    <row r="427" spans="1:13" hidden="1" x14ac:dyDescent="0.2">
      <c r="A427" s="1">
        <v>12079013</v>
      </c>
      <c r="B427">
        <v>2</v>
      </c>
      <c r="C427">
        <v>3</v>
      </c>
      <c r="D427">
        <v>356</v>
      </c>
      <c r="E427">
        <v>0</v>
      </c>
      <c r="F427">
        <v>0</v>
      </c>
      <c r="G427">
        <v>0</v>
      </c>
      <c r="H427">
        <v>0</v>
      </c>
      <c r="I427">
        <f>VLOOKUP(Scores[[#This Row],[MRUN]],Demographics[],3,FALSE)</f>
        <v>3</v>
      </c>
      <c r="J427">
        <f>AVERAGE(Scores[[#This Row],[LYC]],Scores[[#This Row],[MATE]])</f>
        <v>0</v>
      </c>
      <c r="K427">
        <f>VLOOKUP(Scores[[#This Row],[MRUN]],Demographics[],6,FALSE)</f>
        <v>5</v>
      </c>
      <c r="L427">
        <f>VLOOKUP(Scores[[#This Row],[MRUN]],Demographics[], 7,FALSE)</f>
        <v>5</v>
      </c>
      <c r="M427">
        <f>VLOOKUP(Scores[[#This Row],[MRUN]],Demographics[], 5, FALSE)</f>
        <v>1</v>
      </c>
    </row>
    <row r="428" spans="1:13" hidden="1" x14ac:dyDescent="0.2">
      <c r="A428" s="1">
        <v>20825930</v>
      </c>
      <c r="B428">
        <v>2</v>
      </c>
      <c r="C428">
        <v>3</v>
      </c>
      <c r="D428">
        <v>541</v>
      </c>
      <c r="E428">
        <v>483</v>
      </c>
      <c r="F428">
        <v>376</v>
      </c>
      <c r="G428">
        <v>506</v>
      </c>
      <c r="H428">
        <v>0</v>
      </c>
      <c r="I428">
        <f>VLOOKUP(Scores[[#This Row],[MRUN]],Demographics[],3,FALSE)</f>
        <v>9</v>
      </c>
      <c r="J428">
        <f>AVERAGE(Scores[[#This Row],[LYC]],Scores[[#This Row],[MATE]])</f>
        <v>429.5</v>
      </c>
      <c r="K428">
        <f>VLOOKUP(Scores[[#This Row],[MRUN]],Demographics[],6,FALSE)</f>
        <v>5</v>
      </c>
      <c r="L428">
        <f>VLOOKUP(Scores[[#This Row],[MRUN]],Demographics[], 7,FALSE)</f>
        <v>5</v>
      </c>
      <c r="M428">
        <f>VLOOKUP(Scores[[#This Row],[MRUN]],Demographics[], 5, FALSE)</f>
        <v>1</v>
      </c>
    </row>
    <row r="429" spans="1:13" hidden="1" x14ac:dyDescent="0.2">
      <c r="A429" s="1">
        <v>1700581</v>
      </c>
      <c r="B429">
        <v>2</v>
      </c>
      <c r="C429">
        <v>3</v>
      </c>
      <c r="D429">
        <v>744</v>
      </c>
      <c r="E429">
        <v>668</v>
      </c>
      <c r="F429">
        <v>648</v>
      </c>
      <c r="G429">
        <v>0</v>
      </c>
      <c r="H429">
        <v>655</v>
      </c>
      <c r="I429">
        <f>VLOOKUP(Scores[[#This Row],[MRUN]],Demographics[],3,FALSE)</f>
        <v>4</v>
      </c>
      <c r="J429">
        <f>AVERAGE(Scores[[#This Row],[LYC]],Scores[[#This Row],[MATE]])</f>
        <v>658</v>
      </c>
      <c r="K429">
        <f>VLOOKUP(Scores[[#This Row],[MRUN]],Demographics[],6,FALSE)</f>
        <v>9</v>
      </c>
      <c r="L429">
        <f>VLOOKUP(Scores[[#This Row],[MRUN]],Demographics[], 7,FALSE)</f>
        <v>5</v>
      </c>
      <c r="M429">
        <f>VLOOKUP(Scores[[#This Row],[MRUN]],Demographics[], 5, FALSE)</f>
        <v>3</v>
      </c>
    </row>
    <row r="430" spans="1:13" hidden="1" x14ac:dyDescent="0.2">
      <c r="A430" s="1">
        <v>2769406</v>
      </c>
      <c r="B430">
        <v>1</v>
      </c>
      <c r="C430">
        <v>4</v>
      </c>
      <c r="D430">
        <v>661</v>
      </c>
      <c r="E430">
        <v>624</v>
      </c>
      <c r="F430">
        <v>675</v>
      </c>
      <c r="G430">
        <v>586</v>
      </c>
      <c r="H430">
        <v>708</v>
      </c>
      <c r="I430">
        <f>VLOOKUP(Scores[[#This Row],[MRUN]],Demographics[],3,FALSE)</f>
        <v>7</v>
      </c>
      <c r="J430">
        <f>AVERAGE(Scores[[#This Row],[LYC]],Scores[[#This Row],[MATE]])</f>
        <v>649.5</v>
      </c>
      <c r="K430">
        <f>VLOOKUP(Scores[[#This Row],[MRUN]],Demographics[],6,FALSE)</f>
        <v>5</v>
      </c>
      <c r="L430">
        <f>VLOOKUP(Scores[[#This Row],[MRUN]],Demographics[], 7,FALSE)</f>
        <v>9</v>
      </c>
      <c r="M430">
        <f>VLOOKUP(Scores[[#This Row],[MRUN]],Demographics[], 5, FALSE)</f>
        <v>2</v>
      </c>
    </row>
    <row r="431" spans="1:13" hidden="1" x14ac:dyDescent="0.2">
      <c r="A431" s="1">
        <v>23827691</v>
      </c>
      <c r="B431">
        <v>2</v>
      </c>
      <c r="C431">
        <v>3</v>
      </c>
      <c r="D431">
        <v>420</v>
      </c>
      <c r="E431">
        <v>596</v>
      </c>
      <c r="F431">
        <v>506</v>
      </c>
      <c r="G431">
        <v>0</v>
      </c>
      <c r="H431">
        <v>553</v>
      </c>
      <c r="I431">
        <f>VLOOKUP(Scores[[#This Row],[MRUN]],Demographics[],3,FALSE)</f>
        <v>4</v>
      </c>
      <c r="J431">
        <f>AVERAGE(Scores[[#This Row],[LYC]],Scores[[#This Row],[MATE]])</f>
        <v>551</v>
      </c>
      <c r="K431">
        <f>VLOOKUP(Scores[[#This Row],[MRUN]],Demographics[],6,FALSE)</f>
        <v>9</v>
      </c>
      <c r="L431">
        <f>VLOOKUP(Scores[[#This Row],[MRUN]],Demographics[], 7,FALSE)</f>
        <v>9</v>
      </c>
      <c r="M431">
        <f>VLOOKUP(Scores[[#This Row],[MRUN]],Demographics[], 5, FALSE)</f>
        <v>5</v>
      </c>
    </row>
    <row r="432" spans="1:13" hidden="1" x14ac:dyDescent="0.2">
      <c r="A432" s="1">
        <v>632544</v>
      </c>
      <c r="B432">
        <v>1</v>
      </c>
      <c r="C432">
        <v>4</v>
      </c>
      <c r="D432">
        <v>661</v>
      </c>
      <c r="E432">
        <v>717</v>
      </c>
      <c r="F432">
        <v>806</v>
      </c>
      <c r="G432">
        <v>0</v>
      </c>
      <c r="H432">
        <v>663</v>
      </c>
      <c r="I432">
        <f>VLOOKUP(Scores[[#This Row],[MRUN]],Demographics[],3,FALSE)</f>
        <v>3</v>
      </c>
      <c r="J432">
        <f>AVERAGE(Scores[[#This Row],[LYC]],Scores[[#This Row],[MATE]])</f>
        <v>761.5</v>
      </c>
      <c r="K432">
        <f>VLOOKUP(Scores[[#This Row],[MRUN]],Demographics[],6,FALSE)</f>
        <v>0</v>
      </c>
      <c r="L432">
        <f>VLOOKUP(Scores[[#This Row],[MRUN]],Demographics[], 7,FALSE)</f>
        <v>0</v>
      </c>
      <c r="M432">
        <f>VLOOKUP(Scores[[#This Row],[MRUN]],Demographics[], 5, FALSE)</f>
        <v>4</v>
      </c>
    </row>
    <row r="433" spans="1:13" hidden="1" x14ac:dyDescent="0.2">
      <c r="A433" s="1">
        <v>3736360</v>
      </c>
      <c r="B433">
        <v>2</v>
      </c>
      <c r="C433">
        <v>3</v>
      </c>
      <c r="D433">
        <v>579</v>
      </c>
      <c r="E433">
        <v>596</v>
      </c>
      <c r="F433">
        <v>574</v>
      </c>
      <c r="G433">
        <v>562</v>
      </c>
      <c r="H433">
        <v>0</v>
      </c>
      <c r="I433">
        <f>VLOOKUP(Scores[[#This Row],[MRUN]],Demographics[],3,FALSE)</f>
        <v>8</v>
      </c>
      <c r="J433">
        <f>AVERAGE(Scores[[#This Row],[LYC]],Scores[[#This Row],[MATE]])</f>
        <v>585</v>
      </c>
      <c r="K433">
        <f>VLOOKUP(Scores[[#This Row],[MRUN]],Demographics[],6,FALSE)</f>
        <v>10</v>
      </c>
      <c r="L433">
        <f>VLOOKUP(Scores[[#This Row],[MRUN]],Demographics[], 7,FALSE)</f>
        <v>10</v>
      </c>
      <c r="M433">
        <f>VLOOKUP(Scores[[#This Row],[MRUN]],Demographics[], 5, FALSE)</f>
        <v>3</v>
      </c>
    </row>
    <row r="434" spans="1:13" hidden="1" x14ac:dyDescent="0.2">
      <c r="A434" s="1">
        <v>16884793</v>
      </c>
      <c r="B434">
        <v>1</v>
      </c>
      <c r="C434">
        <v>4</v>
      </c>
      <c r="D434">
        <v>702</v>
      </c>
      <c r="E434">
        <v>779</v>
      </c>
      <c r="F434">
        <v>699</v>
      </c>
      <c r="G434">
        <v>706</v>
      </c>
      <c r="H434">
        <v>777</v>
      </c>
      <c r="I434">
        <f>VLOOKUP(Scores[[#This Row],[MRUN]],Demographics[],3,FALSE)</f>
        <v>5</v>
      </c>
      <c r="J434">
        <f>AVERAGE(Scores[[#This Row],[LYC]],Scores[[#This Row],[MATE]])</f>
        <v>739</v>
      </c>
      <c r="K434">
        <f>VLOOKUP(Scores[[#This Row],[MRUN]],Demographics[],6,FALSE)</f>
        <v>9</v>
      </c>
      <c r="L434">
        <f>VLOOKUP(Scores[[#This Row],[MRUN]],Demographics[], 7,FALSE)</f>
        <v>8</v>
      </c>
      <c r="M434">
        <f>VLOOKUP(Scores[[#This Row],[MRUN]],Demographics[], 5, FALSE)</f>
        <v>5</v>
      </c>
    </row>
    <row r="435" spans="1:13" hidden="1" x14ac:dyDescent="0.2">
      <c r="A435" s="1">
        <v>4905339</v>
      </c>
      <c r="B435">
        <v>1</v>
      </c>
      <c r="C435">
        <v>3</v>
      </c>
      <c r="D435">
        <v>435</v>
      </c>
      <c r="E435">
        <v>378</v>
      </c>
      <c r="F435">
        <v>328</v>
      </c>
      <c r="G435">
        <v>0</v>
      </c>
      <c r="H435">
        <v>376</v>
      </c>
      <c r="I435">
        <f>VLOOKUP(Scores[[#This Row],[MRUN]],Demographics[],3,FALSE)</f>
        <v>5</v>
      </c>
      <c r="J435">
        <f>AVERAGE(Scores[[#This Row],[LYC]],Scores[[#This Row],[MATE]])</f>
        <v>353</v>
      </c>
      <c r="K435">
        <f>VLOOKUP(Scores[[#This Row],[MRUN]],Demographics[],6,FALSE)</f>
        <v>6</v>
      </c>
      <c r="L435">
        <f>VLOOKUP(Scores[[#This Row],[MRUN]],Demographics[], 7,FALSE)</f>
        <v>4</v>
      </c>
      <c r="M435">
        <f>VLOOKUP(Scores[[#This Row],[MRUN]],Demographics[], 5, FALSE)</f>
        <v>2</v>
      </c>
    </row>
    <row r="436" spans="1:13" hidden="1" x14ac:dyDescent="0.2">
      <c r="A436" s="1">
        <v>11155476</v>
      </c>
      <c r="B436">
        <v>2</v>
      </c>
      <c r="C436">
        <v>2</v>
      </c>
      <c r="D436">
        <v>682</v>
      </c>
      <c r="E436">
        <v>0</v>
      </c>
      <c r="F436">
        <v>0</v>
      </c>
      <c r="G436">
        <v>0</v>
      </c>
      <c r="H436">
        <v>0</v>
      </c>
      <c r="I436">
        <f>VLOOKUP(Scores[[#This Row],[MRUN]],Demographics[],3,FALSE)</f>
        <v>3</v>
      </c>
      <c r="J436">
        <f>AVERAGE(Scores[[#This Row],[LYC]],Scores[[#This Row],[MATE]])</f>
        <v>0</v>
      </c>
      <c r="K436">
        <f>VLOOKUP(Scores[[#This Row],[MRUN]],Demographics[],6,FALSE)</f>
        <v>2</v>
      </c>
      <c r="L436">
        <f>VLOOKUP(Scores[[#This Row],[MRUN]],Demographics[], 7,FALSE)</f>
        <v>7</v>
      </c>
      <c r="M436">
        <f>VLOOKUP(Scores[[#This Row],[MRUN]],Demographics[], 5, FALSE)</f>
        <v>1</v>
      </c>
    </row>
    <row r="437" spans="1:13" hidden="1" x14ac:dyDescent="0.2">
      <c r="A437" s="1">
        <v>21302151</v>
      </c>
      <c r="B437">
        <v>1</v>
      </c>
      <c r="C437">
        <v>2</v>
      </c>
      <c r="D437">
        <v>476</v>
      </c>
      <c r="E437">
        <v>430</v>
      </c>
      <c r="F437">
        <v>395</v>
      </c>
      <c r="G437">
        <v>436</v>
      </c>
      <c r="H437">
        <v>0</v>
      </c>
      <c r="I437">
        <f>VLOOKUP(Scores[[#This Row],[MRUN]],Demographics[],3,FALSE)</f>
        <v>4</v>
      </c>
      <c r="J437">
        <f>AVERAGE(Scores[[#This Row],[LYC]],Scores[[#This Row],[MATE]])</f>
        <v>412.5</v>
      </c>
      <c r="K437">
        <f>VLOOKUP(Scores[[#This Row],[MRUN]],Demographics[],6,FALSE)</f>
        <v>9</v>
      </c>
      <c r="L437">
        <f>VLOOKUP(Scores[[#This Row],[MRUN]],Demographics[], 7,FALSE)</f>
        <v>9</v>
      </c>
      <c r="M437">
        <f>VLOOKUP(Scores[[#This Row],[MRUN]],Demographics[], 5, FALSE)</f>
        <v>2</v>
      </c>
    </row>
    <row r="438" spans="1:13" hidden="1" x14ac:dyDescent="0.2">
      <c r="A438" s="1">
        <v>5815079</v>
      </c>
      <c r="B438">
        <v>2</v>
      </c>
      <c r="C438">
        <v>3</v>
      </c>
      <c r="D438">
        <v>496</v>
      </c>
      <c r="E438">
        <v>483</v>
      </c>
      <c r="F438">
        <v>501</v>
      </c>
      <c r="G438">
        <v>506</v>
      </c>
      <c r="H438">
        <v>417</v>
      </c>
      <c r="I438">
        <f>VLOOKUP(Scores[[#This Row],[MRUN]],Demographics[],3,FALSE)</f>
        <v>5</v>
      </c>
      <c r="J438">
        <f>AVERAGE(Scores[[#This Row],[LYC]],Scores[[#This Row],[MATE]])</f>
        <v>492</v>
      </c>
      <c r="K438">
        <f>VLOOKUP(Scores[[#This Row],[MRUN]],Demographics[],6,FALSE)</f>
        <v>7</v>
      </c>
      <c r="L438">
        <f>VLOOKUP(Scores[[#This Row],[MRUN]],Demographics[], 7,FALSE)</f>
        <v>7</v>
      </c>
      <c r="M438">
        <f>VLOOKUP(Scores[[#This Row],[MRUN]],Demographics[], 5, FALSE)</f>
        <v>2</v>
      </c>
    </row>
    <row r="439" spans="1:13" hidden="1" x14ac:dyDescent="0.2">
      <c r="A439" s="1">
        <v>20768354</v>
      </c>
      <c r="B439">
        <v>2</v>
      </c>
      <c r="C439">
        <v>2</v>
      </c>
      <c r="D439">
        <v>496</v>
      </c>
      <c r="E439">
        <v>451</v>
      </c>
      <c r="F439">
        <v>353</v>
      </c>
      <c r="G439">
        <v>0</v>
      </c>
      <c r="H439">
        <v>475</v>
      </c>
      <c r="I439">
        <f>VLOOKUP(Scores[[#This Row],[MRUN]],Demographics[],3,FALSE)</f>
        <v>6</v>
      </c>
      <c r="J439">
        <f>AVERAGE(Scores[[#This Row],[LYC]],Scores[[#This Row],[MATE]])</f>
        <v>402</v>
      </c>
      <c r="K439">
        <f>VLOOKUP(Scores[[#This Row],[MRUN]],Demographics[],6,FALSE)</f>
        <v>9</v>
      </c>
      <c r="L439">
        <f>VLOOKUP(Scores[[#This Row],[MRUN]],Demographics[], 7,FALSE)</f>
        <v>5</v>
      </c>
      <c r="M439">
        <f>VLOOKUP(Scores[[#This Row],[MRUN]],Demographics[], 5, FALSE)</f>
        <v>1</v>
      </c>
    </row>
    <row r="440" spans="1:13" hidden="1" x14ac:dyDescent="0.2">
      <c r="A440" s="1">
        <v>12122609</v>
      </c>
      <c r="B440">
        <v>1</v>
      </c>
      <c r="C440">
        <v>4</v>
      </c>
      <c r="D440">
        <v>682</v>
      </c>
      <c r="E440">
        <v>629</v>
      </c>
      <c r="F440">
        <v>681</v>
      </c>
      <c r="G440">
        <v>0</v>
      </c>
      <c r="H440">
        <v>746</v>
      </c>
      <c r="I440">
        <f>VLOOKUP(Scores[[#This Row],[MRUN]],Demographics[],3,FALSE)</f>
        <v>5</v>
      </c>
      <c r="J440">
        <f>AVERAGE(Scores[[#This Row],[LYC]],Scores[[#This Row],[MATE]])</f>
        <v>655</v>
      </c>
      <c r="K440">
        <f>VLOOKUP(Scores[[#This Row],[MRUN]],Demographics[],6,FALSE)</f>
        <v>9</v>
      </c>
      <c r="L440">
        <f>VLOOKUP(Scores[[#This Row],[MRUN]],Demographics[], 7,FALSE)</f>
        <v>9</v>
      </c>
      <c r="M440">
        <f>VLOOKUP(Scores[[#This Row],[MRUN]],Demographics[], 5, FALSE)</f>
        <v>4</v>
      </c>
    </row>
    <row r="441" spans="1:13" hidden="1" x14ac:dyDescent="0.2">
      <c r="A441" s="1">
        <v>10086897</v>
      </c>
      <c r="B441">
        <v>2</v>
      </c>
      <c r="C441">
        <v>3</v>
      </c>
      <c r="D441">
        <v>496</v>
      </c>
      <c r="E441">
        <v>521</v>
      </c>
      <c r="F441">
        <v>463</v>
      </c>
      <c r="G441">
        <v>512</v>
      </c>
      <c r="H441">
        <v>0</v>
      </c>
      <c r="I441">
        <f>VLOOKUP(Scores[[#This Row],[MRUN]],Demographics[],3,FALSE)</f>
        <v>5</v>
      </c>
      <c r="J441">
        <f>AVERAGE(Scores[[#This Row],[LYC]],Scores[[#This Row],[MATE]])</f>
        <v>492</v>
      </c>
      <c r="K441">
        <f>VLOOKUP(Scores[[#This Row],[MRUN]],Demographics[],6,FALSE)</f>
        <v>9</v>
      </c>
      <c r="L441">
        <f>VLOOKUP(Scores[[#This Row],[MRUN]],Demographics[], 7,FALSE)</f>
        <v>9</v>
      </c>
      <c r="M441">
        <f>VLOOKUP(Scores[[#This Row],[MRUN]],Demographics[], 5, FALSE)</f>
        <v>1</v>
      </c>
    </row>
    <row r="442" spans="1:13" hidden="1" x14ac:dyDescent="0.2">
      <c r="A442" s="1">
        <v>19165695</v>
      </c>
      <c r="B442">
        <v>1</v>
      </c>
      <c r="C442">
        <v>4</v>
      </c>
      <c r="D442">
        <v>723</v>
      </c>
      <c r="E442">
        <v>727</v>
      </c>
      <c r="F442">
        <v>699</v>
      </c>
      <c r="G442">
        <v>0</v>
      </c>
      <c r="H442">
        <v>798</v>
      </c>
      <c r="I442">
        <f>VLOOKUP(Scores[[#This Row],[MRUN]],Demographics[],3,FALSE)</f>
        <v>6</v>
      </c>
      <c r="J442">
        <f>AVERAGE(Scores[[#This Row],[LYC]],Scores[[#This Row],[MATE]])</f>
        <v>713</v>
      </c>
      <c r="K442">
        <f>VLOOKUP(Scores[[#This Row],[MRUN]],Demographics[],6,FALSE)</f>
        <v>9</v>
      </c>
      <c r="L442">
        <f>VLOOKUP(Scores[[#This Row],[MRUN]],Demographics[], 7,FALSE)</f>
        <v>9</v>
      </c>
      <c r="M442">
        <f>VLOOKUP(Scores[[#This Row],[MRUN]],Demographics[], 5, FALSE)</f>
        <v>6</v>
      </c>
    </row>
    <row r="443" spans="1:13" hidden="1" x14ac:dyDescent="0.2">
      <c r="A443" s="1">
        <v>5280960</v>
      </c>
      <c r="B443">
        <v>1</v>
      </c>
      <c r="C443">
        <v>2</v>
      </c>
      <c r="D443">
        <v>373</v>
      </c>
      <c r="E443">
        <v>430</v>
      </c>
      <c r="F443">
        <v>353</v>
      </c>
      <c r="G443">
        <v>0</v>
      </c>
      <c r="H443">
        <v>404</v>
      </c>
      <c r="I443">
        <f>VLOOKUP(Scores[[#This Row],[MRUN]],Demographics[],3,FALSE)</f>
        <v>5</v>
      </c>
      <c r="J443">
        <f>AVERAGE(Scores[[#This Row],[LYC]],Scores[[#This Row],[MATE]])</f>
        <v>391.5</v>
      </c>
      <c r="K443">
        <f>VLOOKUP(Scores[[#This Row],[MRUN]],Demographics[],6,FALSE)</f>
        <v>8</v>
      </c>
      <c r="L443">
        <f>VLOOKUP(Scores[[#This Row],[MRUN]],Demographics[], 7,FALSE)</f>
        <v>9</v>
      </c>
      <c r="M443">
        <f>VLOOKUP(Scores[[#This Row],[MRUN]],Demographics[], 5, FALSE)</f>
        <v>2</v>
      </c>
    </row>
    <row r="444" spans="1:13" hidden="1" x14ac:dyDescent="0.2">
      <c r="A444" s="1">
        <v>4111958</v>
      </c>
      <c r="B444">
        <v>1</v>
      </c>
      <c r="C444">
        <v>3</v>
      </c>
      <c r="D444">
        <v>517</v>
      </c>
      <c r="E444">
        <v>618</v>
      </c>
      <c r="F444">
        <v>557</v>
      </c>
      <c r="G444">
        <v>0</v>
      </c>
      <c r="H444">
        <v>528</v>
      </c>
      <c r="I444">
        <f>VLOOKUP(Scores[[#This Row],[MRUN]],Demographics[],3,FALSE)</f>
        <v>5</v>
      </c>
      <c r="J444">
        <f>AVERAGE(Scores[[#This Row],[LYC]],Scores[[#This Row],[MATE]])</f>
        <v>587.5</v>
      </c>
      <c r="K444">
        <f>VLOOKUP(Scores[[#This Row],[MRUN]],Demographics[],6,FALSE)</f>
        <v>5</v>
      </c>
      <c r="L444">
        <f>VLOOKUP(Scores[[#This Row],[MRUN]],Demographics[], 7,FALSE)</f>
        <v>4</v>
      </c>
      <c r="M444">
        <f>VLOOKUP(Scores[[#This Row],[MRUN]],Demographics[], 5, FALSE)</f>
        <v>1</v>
      </c>
    </row>
    <row r="445" spans="1:13" hidden="1" x14ac:dyDescent="0.2">
      <c r="A445" s="1">
        <v>21735177</v>
      </c>
      <c r="B445">
        <v>1</v>
      </c>
      <c r="C445">
        <v>3</v>
      </c>
      <c r="D445">
        <v>476</v>
      </c>
      <c r="E445">
        <v>567</v>
      </c>
      <c r="F445">
        <v>624</v>
      </c>
      <c r="G445">
        <v>0</v>
      </c>
      <c r="H445">
        <v>583</v>
      </c>
      <c r="I445">
        <f>VLOOKUP(Scores[[#This Row],[MRUN]],Demographics[],3,FALSE)</f>
        <v>5</v>
      </c>
      <c r="J445">
        <f>AVERAGE(Scores[[#This Row],[LYC]],Scores[[#This Row],[MATE]])</f>
        <v>595.5</v>
      </c>
      <c r="K445">
        <f>VLOOKUP(Scores[[#This Row],[MRUN]],Demographics[],6,FALSE)</f>
        <v>4</v>
      </c>
      <c r="L445">
        <f>VLOOKUP(Scores[[#This Row],[MRUN]],Demographics[], 7,FALSE)</f>
        <v>5</v>
      </c>
      <c r="M445">
        <f>VLOOKUP(Scores[[#This Row],[MRUN]],Demographics[], 5, FALSE)</f>
        <v>2</v>
      </c>
    </row>
    <row r="446" spans="1:13" hidden="1" x14ac:dyDescent="0.2">
      <c r="A446" s="1">
        <v>14359473</v>
      </c>
      <c r="B446">
        <v>2</v>
      </c>
      <c r="C446">
        <v>2</v>
      </c>
      <c r="D446">
        <v>455</v>
      </c>
      <c r="E446">
        <v>422</v>
      </c>
      <c r="F446">
        <v>413</v>
      </c>
      <c r="G446">
        <v>380</v>
      </c>
      <c r="H446">
        <v>0</v>
      </c>
      <c r="I446">
        <f>VLOOKUP(Scores[[#This Row],[MRUN]],Demographics[],3,FALSE)</f>
        <v>8</v>
      </c>
      <c r="J446">
        <f>AVERAGE(Scores[[#This Row],[LYC]],Scores[[#This Row],[MATE]])</f>
        <v>417.5</v>
      </c>
      <c r="K446">
        <f>VLOOKUP(Scores[[#This Row],[MRUN]],Demographics[],6,FALSE)</f>
        <v>5</v>
      </c>
      <c r="L446">
        <f>VLOOKUP(Scores[[#This Row],[MRUN]],Demographics[], 7,FALSE)</f>
        <v>5</v>
      </c>
      <c r="M446">
        <f>VLOOKUP(Scores[[#This Row],[MRUN]],Demographics[], 5, FALSE)</f>
        <v>1</v>
      </c>
    </row>
    <row r="447" spans="1:13" hidden="1" x14ac:dyDescent="0.2">
      <c r="A447" s="1">
        <v>14258463</v>
      </c>
      <c r="B447">
        <v>2</v>
      </c>
      <c r="C447">
        <v>4</v>
      </c>
      <c r="D447">
        <v>620</v>
      </c>
      <c r="E447">
        <v>737</v>
      </c>
      <c r="F447">
        <v>614</v>
      </c>
      <c r="G447">
        <v>602</v>
      </c>
      <c r="H447">
        <v>0</v>
      </c>
      <c r="I447">
        <f>VLOOKUP(Scores[[#This Row],[MRUN]],Demographics[],3,FALSE)</f>
        <v>6</v>
      </c>
      <c r="J447">
        <f>AVERAGE(Scores[[#This Row],[LYC]],Scores[[#This Row],[MATE]])</f>
        <v>675.5</v>
      </c>
      <c r="K447">
        <f>VLOOKUP(Scores[[#This Row],[MRUN]],Demographics[],6,FALSE)</f>
        <v>9</v>
      </c>
      <c r="L447">
        <f>VLOOKUP(Scores[[#This Row],[MRUN]],Demographics[], 7,FALSE)</f>
        <v>9</v>
      </c>
      <c r="M447">
        <f>VLOOKUP(Scores[[#This Row],[MRUN]],Demographics[], 5, FALSE)</f>
        <v>3</v>
      </c>
    </row>
    <row r="448" spans="1:13" hidden="1" x14ac:dyDescent="0.2">
      <c r="A448" s="1">
        <v>15859832</v>
      </c>
      <c r="B448">
        <v>2</v>
      </c>
      <c r="C448">
        <v>2</v>
      </c>
      <c r="D448">
        <v>435</v>
      </c>
      <c r="E448">
        <v>438</v>
      </c>
      <c r="F448">
        <v>376</v>
      </c>
      <c r="G448">
        <v>501</v>
      </c>
      <c r="H448">
        <v>0</v>
      </c>
      <c r="I448">
        <f>VLOOKUP(Scores[[#This Row],[MRUN]],Demographics[],3,FALSE)</f>
        <v>4</v>
      </c>
      <c r="J448">
        <f>AVERAGE(Scores[[#This Row],[LYC]],Scores[[#This Row],[MATE]])</f>
        <v>407</v>
      </c>
      <c r="K448">
        <f>VLOOKUP(Scores[[#This Row],[MRUN]],Demographics[],6,FALSE)</f>
        <v>4</v>
      </c>
      <c r="L448">
        <f>VLOOKUP(Scores[[#This Row],[MRUN]],Demographics[], 7,FALSE)</f>
        <v>5</v>
      </c>
      <c r="M448">
        <f>VLOOKUP(Scores[[#This Row],[MRUN]],Demographics[], 5, FALSE)</f>
        <v>2</v>
      </c>
    </row>
    <row r="449" spans="1:13" hidden="1" x14ac:dyDescent="0.2">
      <c r="A449" s="1">
        <v>17029329</v>
      </c>
      <c r="B449">
        <v>2</v>
      </c>
      <c r="C449">
        <v>3</v>
      </c>
      <c r="D449">
        <v>580</v>
      </c>
      <c r="E449">
        <v>430</v>
      </c>
      <c r="F449">
        <v>395</v>
      </c>
      <c r="G449">
        <v>436</v>
      </c>
      <c r="H449">
        <v>0</v>
      </c>
      <c r="I449">
        <f>VLOOKUP(Scores[[#This Row],[MRUN]],Demographics[],3,FALSE)</f>
        <v>6</v>
      </c>
      <c r="J449">
        <f>AVERAGE(Scores[[#This Row],[LYC]],Scores[[#This Row],[MATE]])</f>
        <v>412.5</v>
      </c>
      <c r="K449">
        <f>VLOOKUP(Scores[[#This Row],[MRUN]],Demographics[],6,FALSE)</f>
        <v>5</v>
      </c>
      <c r="L449">
        <f>VLOOKUP(Scores[[#This Row],[MRUN]],Demographics[], 7,FALSE)</f>
        <v>10</v>
      </c>
      <c r="M449">
        <f>VLOOKUP(Scores[[#This Row],[MRUN]],Demographics[], 5, FALSE)</f>
        <v>2</v>
      </c>
    </row>
    <row r="450" spans="1:13" hidden="1" x14ac:dyDescent="0.2">
      <c r="A450" s="1">
        <v>23236837</v>
      </c>
      <c r="B450">
        <v>1</v>
      </c>
      <c r="C450">
        <v>2</v>
      </c>
      <c r="D450">
        <v>417</v>
      </c>
      <c r="E450">
        <v>494</v>
      </c>
      <c r="F450">
        <v>463</v>
      </c>
      <c r="G450">
        <v>484</v>
      </c>
      <c r="H450">
        <v>0</v>
      </c>
      <c r="I450">
        <f>VLOOKUP(Scores[[#This Row],[MRUN]],Demographics[],3,FALSE)</f>
        <v>4</v>
      </c>
      <c r="J450">
        <f>AVERAGE(Scores[[#This Row],[LYC]],Scores[[#This Row],[MATE]])</f>
        <v>478.5</v>
      </c>
      <c r="K450">
        <f>VLOOKUP(Scores[[#This Row],[MRUN]],Demographics[],6,FALSE)</f>
        <v>4</v>
      </c>
      <c r="L450">
        <f>VLOOKUP(Scores[[#This Row],[MRUN]],Demographics[], 7,FALSE)</f>
        <v>5</v>
      </c>
      <c r="M450">
        <f>VLOOKUP(Scores[[#This Row],[MRUN]],Demographics[], 5, FALSE)</f>
        <v>1</v>
      </c>
    </row>
    <row r="451" spans="1:13" hidden="1" x14ac:dyDescent="0.2">
      <c r="A451" s="1">
        <v>1441219</v>
      </c>
      <c r="B451">
        <v>1</v>
      </c>
      <c r="C451">
        <v>3</v>
      </c>
      <c r="D451">
        <v>311</v>
      </c>
      <c r="E451">
        <v>226</v>
      </c>
      <c r="F451">
        <v>353</v>
      </c>
      <c r="G451">
        <v>252</v>
      </c>
      <c r="H451">
        <v>0</v>
      </c>
      <c r="I451">
        <f>VLOOKUP(Scores[[#This Row],[MRUN]],Demographics[],3,FALSE)</f>
        <v>3</v>
      </c>
      <c r="J451">
        <f>AVERAGE(Scores[[#This Row],[LYC]],Scores[[#This Row],[MATE]])</f>
        <v>289.5</v>
      </c>
      <c r="K451">
        <f>VLOOKUP(Scores[[#This Row],[MRUN]],Demographics[],6,FALSE)</f>
        <v>5</v>
      </c>
      <c r="L451">
        <f>VLOOKUP(Scores[[#This Row],[MRUN]],Demographics[], 7,FALSE)</f>
        <v>5</v>
      </c>
      <c r="M451">
        <f>VLOOKUP(Scores[[#This Row],[MRUN]],Demographics[], 5, FALSE)</f>
        <v>1</v>
      </c>
    </row>
    <row r="452" spans="1:13" hidden="1" x14ac:dyDescent="0.2">
      <c r="A452" s="1">
        <v>6984147</v>
      </c>
      <c r="B452">
        <v>2</v>
      </c>
      <c r="C452">
        <v>3</v>
      </c>
      <c r="D452">
        <v>496</v>
      </c>
      <c r="E452">
        <v>356</v>
      </c>
      <c r="F452">
        <v>395</v>
      </c>
      <c r="G452">
        <v>406</v>
      </c>
      <c r="H452">
        <v>0</v>
      </c>
      <c r="I452">
        <f>VLOOKUP(Scores[[#This Row],[MRUN]],Demographics[],3,FALSE)</f>
        <v>5</v>
      </c>
      <c r="J452">
        <f>AVERAGE(Scores[[#This Row],[LYC]],Scores[[#This Row],[MATE]])</f>
        <v>375.5</v>
      </c>
      <c r="K452">
        <f>VLOOKUP(Scores[[#This Row],[MRUN]],Demographics[],6,FALSE)</f>
        <v>5</v>
      </c>
      <c r="L452">
        <f>VLOOKUP(Scores[[#This Row],[MRUN]],Demographics[], 7,FALSE)</f>
        <v>5</v>
      </c>
      <c r="M452">
        <f>VLOOKUP(Scores[[#This Row],[MRUN]],Demographics[], 5, FALSE)</f>
        <v>2</v>
      </c>
    </row>
    <row r="453" spans="1:13" hidden="1" x14ac:dyDescent="0.2">
      <c r="A453" s="1">
        <v>13825231</v>
      </c>
      <c r="B453">
        <v>1</v>
      </c>
      <c r="C453">
        <v>2</v>
      </c>
      <c r="D453">
        <v>0</v>
      </c>
      <c r="E453">
        <v>476</v>
      </c>
      <c r="F453">
        <v>523</v>
      </c>
      <c r="G453">
        <v>0</v>
      </c>
      <c r="H453">
        <v>449</v>
      </c>
      <c r="I453">
        <f>VLOOKUP(Scores[[#This Row],[MRUN]],Demographics[],3,FALSE)</f>
        <v>3</v>
      </c>
      <c r="J453">
        <f>AVERAGE(Scores[[#This Row],[LYC]],Scores[[#This Row],[MATE]])</f>
        <v>499.5</v>
      </c>
      <c r="K453">
        <f>VLOOKUP(Scores[[#This Row],[MRUN]],Demographics[],6,FALSE)</f>
        <v>10</v>
      </c>
      <c r="L453">
        <f>VLOOKUP(Scores[[#This Row],[MRUN]],Demographics[], 7,FALSE)</f>
        <v>5</v>
      </c>
      <c r="M453">
        <f>VLOOKUP(Scores[[#This Row],[MRUN]],Demographics[], 5, FALSE)</f>
        <v>1</v>
      </c>
    </row>
    <row r="454" spans="1:13" hidden="1" x14ac:dyDescent="0.2">
      <c r="A454" s="1">
        <v>9553289</v>
      </c>
      <c r="B454">
        <v>2</v>
      </c>
      <c r="C454">
        <v>2</v>
      </c>
      <c r="D454">
        <v>579</v>
      </c>
      <c r="E454">
        <v>464</v>
      </c>
      <c r="F454">
        <v>376</v>
      </c>
      <c r="G454">
        <v>484</v>
      </c>
      <c r="H454">
        <v>0</v>
      </c>
      <c r="I454">
        <f>VLOOKUP(Scores[[#This Row],[MRUN]],Demographics[],3,FALSE)</f>
        <v>7</v>
      </c>
      <c r="J454">
        <f>AVERAGE(Scores[[#This Row],[LYC]],Scores[[#This Row],[MATE]])</f>
        <v>420</v>
      </c>
      <c r="K454">
        <f>VLOOKUP(Scores[[#This Row],[MRUN]],Demographics[],6,FALSE)</f>
        <v>7</v>
      </c>
      <c r="L454">
        <f>VLOOKUP(Scores[[#This Row],[MRUN]],Demographics[], 7,FALSE)</f>
        <v>7</v>
      </c>
      <c r="M454">
        <f>VLOOKUP(Scores[[#This Row],[MRUN]],Demographics[], 5, FALSE)</f>
        <v>1</v>
      </c>
    </row>
    <row r="455" spans="1:13" hidden="1" x14ac:dyDescent="0.2">
      <c r="A455" s="1">
        <v>17563422</v>
      </c>
      <c r="B455">
        <v>2</v>
      </c>
      <c r="C455">
        <v>4</v>
      </c>
      <c r="D455">
        <v>538</v>
      </c>
      <c r="E455">
        <v>547</v>
      </c>
      <c r="F455">
        <v>506</v>
      </c>
      <c r="G455">
        <v>0</v>
      </c>
      <c r="H455">
        <v>591</v>
      </c>
      <c r="I455">
        <f>VLOOKUP(Scores[[#This Row],[MRUN]],Demographics[],3,FALSE)</f>
        <v>2</v>
      </c>
      <c r="J455">
        <f>AVERAGE(Scores[[#This Row],[LYC]],Scores[[#This Row],[MATE]])</f>
        <v>526.5</v>
      </c>
      <c r="K455">
        <f>VLOOKUP(Scores[[#This Row],[MRUN]],Demographics[],6,FALSE)</f>
        <v>9</v>
      </c>
      <c r="L455">
        <f>VLOOKUP(Scores[[#This Row],[MRUN]],Demographics[], 7,FALSE)</f>
        <v>9</v>
      </c>
      <c r="M455">
        <f>VLOOKUP(Scores[[#This Row],[MRUN]],Demographics[], 5, FALSE)</f>
        <v>1</v>
      </c>
    </row>
    <row r="456" spans="1:13" hidden="1" x14ac:dyDescent="0.2">
      <c r="A456" s="1">
        <v>6450531</v>
      </c>
      <c r="B456">
        <v>1</v>
      </c>
      <c r="C456">
        <v>2</v>
      </c>
      <c r="D456">
        <v>641</v>
      </c>
      <c r="E456">
        <v>521</v>
      </c>
      <c r="F456">
        <v>617</v>
      </c>
      <c r="G456">
        <v>0</v>
      </c>
      <c r="H456">
        <v>606</v>
      </c>
      <c r="I456">
        <f>VLOOKUP(Scores[[#This Row],[MRUN]],Demographics[],3,FALSE)</f>
        <v>4</v>
      </c>
      <c r="J456">
        <f>AVERAGE(Scores[[#This Row],[LYC]],Scores[[#This Row],[MATE]])</f>
        <v>569</v>
      </c>
      <c r="K456">
        <f>VLOOKUP(Scores[[#This Row],[MRUN]],Demographics[],6,FALSE)</f>
        <v>4</v>
      </c>
      <c r="L456">
        <f>VLOOKUP(Scores[[#This Row],[MRUN]],Demographics[], 7,FALSE)</f>
        <v>5</v>
      </c>
      <c r="M456">
        <f>VLOOKUP(Scores[[#This Row],[MRUN]],Demographics[], 5, FALSE)</f>
        <v>1</v>
      </c>
    </row>
    <row r="457" spans="1:13" hidden="1" x14ac:dyDescent="0.2">
      <c r="A457" s="1">
        <v>24766346</v>
      </c>
      <c r="B457">
        <v>2</v>
      </c>
      <c r="C457">
        <v>3</v>
      </c>
      <c r="D457">
        <v>682</v>
      </c>
      <c r="E457">
        <v>618</v>
      </c>
      <c r="F457">
        <v>582</v>
      </c>
      <c r="G457">
        <v>634</v>
      </c>
      <c r="H457">
        <v>0</v>
      </c>
      <c r="I457">
        <f>VLOOKUP(Scores[[#This Row],[MRUN]],Demographics[],3,FALSE)</f>
        <v>4</v>
      </c>
      <c r="J457">
        <f>AVERAGE(Scores[[#This Row],[LYC]],Scores[[#This Row],[MATE]])</f>
        <v>600</v>
      </c>
      <c r="K457">
        <f>VLOOKUP(Scores[[#This Row],[MRUN]],Demographics[],6,FALSE)</f>
        <v>5</v>
      </c>
      <c r="L457">
        <f>VLOOKUP(Scores[[#This Row],[MRUN]],Demographics[], 7,FALSE)</f>
        <v>5</v>
      </c>
      <c r="M457">
        <f>VLOOKUP(Scores[[#This Row],[MRUN]],Demographics[], 5, FALSE)</f>
        <v>1</v>
      </c>
    </row>
    <row r="458" spans="1:13" hidden="1" x14ac:dyDescent="0.2">
      <c r="A458" s="1">
        <v>20494543</v>
      </c>
      <c r="B458">
        <v>2</v>
      </c>
      <c r="C458">
        <v>2</v>
      </c>
      <c r="D458">
        <v>393</v>
      </c>
      <c r="E458">
        <v>521</v>
      </c>
      <c r="F458">
        <v>480</v>
      </c>
      <c r="G458">
        <v>449</v>
      </c>
      <c r="H458">
        <v>459</v>
      </c>
      <c r="I458">
        <f>VLOOKUP(Scores[[#This Row],[MRUN]],Demographics[],3,FALSE)</f>
        <v>6</v>
      </c>
      <c r="J458">
        <f>AVERAGE(Scores[[#This Row],[LYC]],Scores[[#This Row],[MATE]])</f>
        <v>500.5</v>
      </c>
      <c r="K458">
        <f>VLOOKUP(Scores[[#This Row],[MRUN]],Demographics[],6,FALSE)</f>
        <v>5</v>
      </c>
      <c r="L458">
        <f>VLOOKUP(Scores[[#This Row],[MRUN]],Demographics[], 7,FALSE)</f>
        <v>5</v>
      </c>
      <c r="M458">
        <f>VLOOKUP(Scores[[#This Row],[MRUN]],Demographics[], 5, FALSE)</f>
        <v>1</v>
      </c>
    </row>
    <row r="459" spans="1:13" hidden="1" x14ac:dyDescent="0.2">
      <c r="A459" s="1">
        <v>1700025</v>
      </c>
      <c r="B459">
        <v>1</v>
      </c>
      <c r="C459">
        <v>4</v>
      </c>
      <c r="D459">
        <v>558</v>
      </c>
      <c r="E459">
        <v>592</v>
      </c>
      <c r="F459">
        <v>671</v>
      </c>
      <c r="G459">
        <v>592</v>
      </c>
      <c r="H459">
        <v>639</v>
      </c>
      <c r="I459">
        <f>VLOOKUP(Scores[[#This Row],[MRUN]],Demographics[],3,FALSE)</f>
        <v>6</v>
      </c>
      <c r="J459">
        <f>AVERAGE(Scores[[#This Row],[LYC]],Scores[[#This Row],[MATE]])</f>
        <v>631.5</v>
      </c>
      <c r="K459">
        <f>VLOOKUP(Scores[[#This Row],[MRUN]],Demographics[],6,FALSE)</f>
        <v>8</v>
      </c>
      <c r="L459">
        <f>VLOOKUP(Scores[[#This Row],[MRUN]],Demographics[], 7,FALSE)</f>
        <v>8</v>
      </c>
      <c r="M459">
        <f>VLOOKUP(Scores[[#This Row],[MRUN]],Demographics[], 5, FALSE)</f>
        <v>3</v>
      </c>
    </row>
    <row r="460" spans="1:13" hidden="1" x14ac:dyDescent="0.2">
      <c r="A460" s="1">
        <v>9177839</v>
      </c>
      <c r="B460">
        <v>1</v>
      </c>
      <c r="C460">
        <v>2</v>
      </c>
      <c r="D460">
        <v>437</v>
      </c>
      <c r="E460">
        <v>464</v>
      </c>
      <c r="F460">
        <v>487</v>
      </c>
      <c r="G460">
        <v>442</v>
      </c>
      <c r="H460">
        <v>0</v>
      </c>
      <c r="I460">
        <f>VLOOKUP(Scores[[#This Row],[MRUN]],Demographics[],3,FALSE)</f>
        <v>5</v>
      </c>
      <c r="J460">
        <f>AVERAGE(Scores[[#This Row],[LYC]],Scores[[#This Row],[MATE]])</f>
        <v>475.5</v>
      </c>
      <c r="K460">
        <f>VLOOKUP(Scores[[#This Row],[MRUN]],Demographics[],6,FALSE)</f>
        <v>2</v>
      </c>
      <c r="L460">
        <f>VLOOKUP(Scores[[#This Row],[MRUN]],Demographics[], 7,FALSE)</f>
        <v>3</v>
      </c>
      <c r="M460">
        <f>VLOOKUP(Scores[[#This Row],[MRUN]],Demographics[], 5, FALSE)</f>
        <v>1</v>
      </c>
    </row>
    <row r="461" spans="1:13" hidden="1" x14ac:dyDescent="0.2">
      <c r="A461" s="1">
        <v>24563328</v>
      </c>
      <c r="B461">
        <v>2</v>
      </c>
      <c r="C461">
        <v>3</v>
      </c>
      <c r="D461">
        <v>376</v>
      </c>
      <c r="E461">
        <v>406</v>
      </c>
      <c r="F461">
        <v>274</v>
      </c>
      <c r="G461">
        <v>380</v>
      </c>
      <c r="H461">
        <v>0</v>
      </c>
      <c r="I461">
        <f>VLOOKUP(Scores[[#This Row],[MRUN]],Demographics[],3,FALSE)</f>
        <v>4</v>
      </c>
      <c r="J461">
        <f>AVERAGE(Scores[[#This Row],[LYC]],Scores[[#This Row],[MATE]])</f>
        <v>340</v>
      </c>
      <c r="K461">
        <f>VLOOKUP(Scores[[#This Row],[MRUN]],Demographics[],6,FALSE)</f>
        <v>5</v>
      </c>
      <c r="L461">
        <f>VLOOKUP(Scores[[#This Row],[MRUN]],Demographics[], 7,FALSE)</f>
        <v>3</v>
      </c>
      <c r="M461">
        <f>VLOOKUP(Scores[[#This Row],[MRUN]],Demographics[], 5, FALSE)</f>
        <v>1</v>
      </c>
    </row>
    <row r="462" spans="1:13" hidden="1" x14ac:dyDescent="0.2">
      <c r="A462" s="1">
        <v>20291421</v>
      </c>
      <c r="B462">
        <v>2</v>
      </c>
      <c r="C462">
        <v>2</v>
      </c>
      <c r="D462">
        <v>476</v>
      </c>
      <c r="E462">
        <v>510</v>
      </c>
      <c r="F462">
        <v>545</v>
      </c>
      <c r="G462">
        <v>490</v>
      </c>
      <c r="H462">
        <v>0</v>
      </c>
      <c r="I462">
        <f>VLOOKUP(Scores[[#This Row],[MRUN]],Demographics[],3,FALSE)</f>
        <v>5</v>
      </c>
      <c r="J462">
        <f>AVERAGE(Scores[[#This Row],[LYC]],Scores[[#This Row],[MATE]])</f>
        <v>527.5</v>
      </c>
      <c r="K462">
        <f>VLOOKUP(Scores[[#This Row],[MRUN]],Demographics[],6,FALSE)</f>
        <v>3</v>
      </c>
      <c r="L462">
        <f>VLOOKUP(Scores[[#This Row],[MRUN]],Demographics[], 7,FALSE)</f>
        <v>3</v>
      </c>
      <c r="M462">
        <f>VLOOKUP(Scores[[#This Row],[MRUN]],Demographics[], 5, FALSE)</f>
        <v>1</v>
      </c>
    </row>
    <row r="463" spans="1:13" hidden="1" x14ac:dyDescent="0.2">
      <c r="A463" s="1">
        <v>733576</v>
      </c>
      <c r="B463">
        <v>2</v>
      </c>
      <c r="C463">
        <v>3</v>
      </c>
      <c r="D463">
        <v>496</v>
      </c>
      <c r="E463">
        <v>561</v>
      </c>
      <c r="F463">
        <v>501</v>
      </c>
      <c r="G463">
        <v>547</v>
      </c>
      <c r="H463">
        <v>0</v>
      </c>
      <c r="I463">
        <f>VLOOKUP(Scores[[#This Row],[MRUN]],Demographics[],3,FALSE)</f>
        <v>6</v>
      </c>
      <c r="J463">
        <f>AVERAGE(Scores[[#This Row],[LYC]],Scores[[#This Row],[MATE]])</f>
        <v>531</v>
      </c>
      <c r="K463">
        <f>VLOOKUP(Scores[[#This Row],[MRUN]],Demographics[],6,FALSE)</f>
        <v>9</v>
      </c>
      <c r="L463">
        <f>VLOOKUP(Scores[[#This Row],[MRUN]],Demographics[], 7,FALSE)</f>
        <v>4</v>
      </c>
      <c r="M463">
        <f>VLOOKUP(Scores[[#This Row],[MRUN]],Demographics[], 5, FALSE)</f>
        <v>2</v>
      </c>
    </row>
    <row r="464" spans="1:13" hidden="1" x14ac:dyDescent="0.2">
      <c r="A464" s="1">
        <v>15687081</v>
      </c>
      <c r="B464">
        <v>1</v>
      </c>
      <c r="C464">
        <v>2</v>
      </c>
      <c r="D464">
        <v>517</v>
      </c>
      <c r="E464">
        <v>345</v>
      </c>
      <c r="F464">
        <v>428</v>
      </c>
      <c r="G464">
        <v>547</v>
      </c>
      <c r="H464">
        <v>504</v>
      </c>
      <c r="I464">
        <f>VLOOKUP(Scores[[#This Row],[MRUN]],Demographics[],3,FALSE)</f>
        <v>5</v>
      </c>
      <c r="J464">
        <f>AVERAGE(Scores[[#This Row],[LYC]],Scores[[#This Row],[MATE]])</f>
        <v>386.5</v>
      </c>
      <c r="K464">
        <f>VLOOKUP(Scores[[#This Row],[MRUN]],Demographics[],6,FALSE)</f>
        <v>2</v>
      </c>
      <c r="L464">
        <f>VLOOKUP(Scores[[#This Row],[MRUN]],Demographics[], 7,FALSE)</f>
        <v>3</v>
      </c>
      <c r="M464">
        <f>VLOOKUP(Scores[[#This Row],[MRUN]],Demographics[], 5, FALSE)</f>
        <v>1</v>
      </c>
    </row>
    <row r="465" spans="1:13" hidden="1" x14ac:dyDescent="0.2">
      <c r="A465" s="1">
        <v>24131058</v>
      </c>
      <c r="B465">
        <v>1</v>
      </c>
      <c r="C465">
        <v>2</v>
      </c>
      <c r="D465">
        <v>478</v>
      </c>
      <c r="E465">
        <v>430</v>
      </c>
      <c r="F465">
        <v>579</v>
      </c>
      <c r="G465">
        <v>0</v>
      </c>
      <c r="H465">
        <v>428</v>
      </c>
      <c r="I465">
        <f>VLOOKUP(Scores[[#This Row],[MRUN]],Demographics[],3,FALSE)</f>
        <v>2</v>
      </c>
      <c r="J465">
        <f>AVERAGE(Scores[[#This Row],[LYC]],Scores[[#This Row],[MATE]])</f>
        <v>504.5</v>
      </c>
      <c r="K465">
        <f>VLOOKUP(Scores[[#This Row],[MRUN]],Demographics[],6,FALSE)</f>
        <v>10</v>
      </c>
      <c r="L465">
        <f>VLOOKUP(Scores[[#This Row],[MRUN]],Demographics[], 7,FALSE)</f>
        <v>2</v>
      </c>
      <c r="M465">
        <f>VLOOKUP(Scores[[#This Row],[MRUN]],Demographics[], 5, FALSE)</f>
        <v>1</v>
      </c>
    </row>
    <row r="466" spans="1:13" hidden="1" x14ac:dyDescent="0.2">
      <c r="A466" s="1">
        <v>23698352</v>
      </c>
      <c r="B466">
        <v>2</v>
      </c>
      <c r="C466">
        <v>4</v>
      </c>
      <c r="D466">
        <v>496</v>
      </c>
      <c r="E466">
        <v>531</v>
      </c>
      <c r="F466">
        <v>540</v>
      </c>
      <c r="G466">
        <v>484</v>
      </c>
      <c r="H466">
        <v>0</v>
      </c>
      <c r="I466">
        <f>VLOOKUP(Scores[[#This Row],[MRUN]],Demographics[],3,FALSE)</f>
        <v>4</v>
      </c>
      <c r="J466">
        <f>AVERAGE(Scores[[#This Row],[LYC]],Scores[[#This Row],[MATE]])</f>
        <v>535.5</v>
      </c>
      <c r="K466">
        <f>VLOOKUP(Scores[[#This Row],[MRUN]],Demographics[],6,FALSE)</f>
        <v>5</v>
      </c>
      <c r="L466">
        <f>VLOOKUP(Scores[[#This Row],[MRUN]],Demographics[], 7,FALSE)</f>
        <v>7</v>
      </c>
      <c r="M466">
        <f>VLOOKUP(Scores[[#This Row],[MRUN]],Demographics[], 5, FALSE)</f>
        <v>1</v>
      </c>
    </row>
    <row r="467" spans="1:13" hidden="1" x14ac:dyDescent="0.2">
      <c r="A467" s="1">
        <v>13017198</v>
      </c>
      <c r="B467">
        <v>1</v>
      </c>
      <c r="C467">
        <v>4</v>
      </c>
      <c r="D467">
        <v>455</v>
      </c>
      <c r="E467">
        <v>521</v>
      </c>
      <c r="F467">
        <v>585</v>
      </c>
      <c r="G467">
        <v>0</v>
      </c>
      <c r="H467">
        <v>575</v>
      </c>
      <c r="I467">
        <f>VLOOKUP(Scores[[#This Row],[MRUN]],Demographics[],3,FALSE)</f>
        <v>6</v>
      </c>
      <c r="J467">
        <f>AVERAGE(Scores[[#This Row],[LYC]],Scores[[#This Row],[MATE]])</f>
        <v>553</v>
      </c>
      <c r="K467">
        <f>VLOOKUP(Scores[[#This Row],[MRUN]],Demographics[],6,FALSE)</f>
        <v>6</v>
      </c>
      <c r="L467">
        <f>VLOOKUP(Scores[[#This Row],[MRUN]],Demographics[], 7,FALSE)</f>
        <v>9</v>
      </c>
      <c r="M467">
        <f>VLOOKUP(Scores[[#This Row],[MRUN]],Demographics[], 5, FALSE)</f>
        <v>2</v>
      </c>
    </row>
    <row r="468" spans="1:13" hidden="1" x14ac:dyDescent="0.2">
      <c r="A468" s="1">
        <v>2768843</v>
      </c>
      <c r="B468">
        <v>2</v>
      </c>
      <c r="C468">
        <v>2</v>
      </c>
      <c r="D468">
        <v>435</v>
      </c>
      <c r="E468">
        <v>458</v>
      </c>
      <c r="F468">
        <v>328</v>
      </c>
      <c r="G468">
        <v>414</v>
      </c>
      <c r="H468">
        <v>0</v>
      </c>
      <c r="I468">
        <f>VLOOKUP(Scores[[#This Row],[MRUN]],Demographics[],3,FALSE)</f>
        <v>4</v>
      </c>
      <c r="J468">
        <f>AVERAGE(Scores[[#This Row],[LYC]],Scores[[#This Row],[MATE]])</f>
        <v>393</v>
      </c>
      <c r="K468">
        <f>VLOOKUP(Scores[[#This Row],[MRUN]],Demographics[],6,FALSE)</f>
        <v>5</v>
      </c>
      <c r="L468">
        <f>VLOOKUP(Scores[[#This Row],[MRUN]],Demographics[], 7,FALSE)</f>
        <v>6</v>
      </c>
      <c r="M468">
        <f>VLOOKUP(Scores[[#This Row],[MRUN]],Demographics[], 5, FALSE)</f>
        <v>2</v>
      </c>
    </row>
    <row r="469" spans="1:13" hidden="1" x14ac:dyDescent="0.2">
      <c r="A469" s="1">
        <v>6507548</v>
      </c>
      <c r="B469">
        <v>2</v>
      </c>
      <c r="C469">
        <v>2</v>
      </c>
      <c r="D469">
        <v>538</v>
      </c>
      <c r="E469">
        <v>0</v>
      </c>
      <c r="F469">
        <v>0</v>
      </c>
      <c r="G469">
        <v>0</v>
      </c>
      <c r="H469">
        <v>0</v>
      </c>
      <c r="I469">
        <f>VLOOKUP(Scores[[#This Row],[MRUN]],Demographics[],3,FALSE)</f>
        <v>5</v>
      </c>
      <c r="J469">
        <f>AVERAGE(Scores[[#This Row],[LYC]],Scores[[#This Row],[MATE]])</f>
        <v>0</v>
      </c>
      <c r="K469">
        <f>VLOOKUP(Scores[[#This Row],[MRUN]],Demographics[],6,FALSE)</f>
        <v>0</v>
      </c>
      <c r="L469">
        <f>VLOOKUP(Scores[[#This Row],[MRUN]],Demographics[], 7,FALSE)</f>
        <v>5</v>
      </c>
      <c r="M469">
        <f>VLOOKUP(Scores[[#This Row],[MRUN]],Demographics[], 5, FALSE)</f>
        <v>1</v>
      </c>
    </row>
    <row r="470" spans="1:13" hidden="1" x14ac:dyDescent="0.2">
      <c r="A470" s="1">
        <v>12483560</v>
      </c>
      <c r="B470">
        <v>1</v>
      </c>
      <c r="C470">
        <v>3</v>
      </c>
      <c r="D470">
        <v>0</v>
      </c>
      <c r="E470">
        <v>422</v>
      </c>
      <c r="F470">
        <v>428</v>
      </c>
      <c r="G470">
        <v>406</v>
      </c>
      <c r="H470">
        <v>404</v>
      </c>
      <c r="I470">
        <f>VLOOKUP(Scores[[#This Row],[MRUN]],Demographics[],3,FALSE)</f>
        <v>5</v>
      </c>
      <c r="J470">
        <f>AVERAGE(Scores[[#This Row],[LYC]],Scores[[#This Row],[MATE]])</f>
        <v>425</v>
      </c>
      <c r="K470">
        <f>VLOOKUP(Scores[[#This Row],[MRUN]],Demographics[],6,FALSE)</f>
        <v>0</v>
      </c>
      <c r="L470">
        <f>VLOOKUP(Scores[[#This Row],[MRUN]],Demographics[], 7,FALSE)</f>
        <v>0</v>
      </c>
      <c r="M470">
        <f>VLOOKUP(Scores[[#This Row],[MRUN]],Demographics[], 5, FALSE)</f>
        <v>1</v>
      </c>
    </row>
    <row r="471" spans="1:13" hidden="1" x14ac:dyDescent="0.2">
      <c r="A471" s="1">
        <v>21995492</v>
      </c>
      <c r="B471">
        <v>2</v>
      </c>
      <c r="C471">
        <v>4</v>
      </c>
      <c r="D471">
        <v>723</v>
      </c>
      <c r="E471">
        <v>675</v>
      </c>
      <c r="F471">
        <v>705</v>
      </c>
      <c r="G471">
        <v>0</v>
      </c>
      <c r="H471">
        <v>655</v>
      </c>
      <c r="I471">
        <f>VLOOKUP(Scores[[#This Row],[MRUN]],Demographics[],3,FALSE)</f>
        <v>4</v>
      </c>
      <c r="J471">
        <f>AVERAGE(Scores[[#This Row],[LYC]],Scores[[#This Row],[MATE]])</f>
        <v>690</v>
      </c>
      <c r="K471">
        <f>VLOOKUP(Scores[[#This Row],[MRUN]],Demographics[],6,FALSE)</f>
        <v>5</v>
      </c>
      <c r="L471">
        <f>VLOOKUP(Scores[[#This Row],[MRUN]],Demographics[], 7,FALSE)</f>
        <v>9</v>
      </c>
      <c r="M471">
        <f>VLOOKUP(Scores[[#This Row],[MRUN]],Demographics[], 5, FALSE)</f>
        <v>3</v>
      </c>
    </row>
    <row r="472" spans="1:13" hidden="1" x14ac:dyDescent="0.2">
      <c r="A472" s="1">
        <v>2870353</v>
      </c>
      <c r="B472">
        <v>1</v>
      </c>
      <c r="C472">
        <v>2</v>
      </c>
      <c r="D472">
        <v>476</v>
      </c>
      <c r="E472">
        <v>547</v>
      </c>
      <c r="F472">
        <v>274</v>
      </c>
      <c r="G472">
        <v>547</v>
      </c>
      <c r="H472">
        <v>0</v>
      </c>
      <c r="I472">
        <f>VLOOKUP(Scores[[#This Row],[MRUN]],Demographics[],3,FALSE)</f>
        <v>4</v>
      </c>
      <c r="J472">
        <f>AVERAGE(Scores[[#This Row],[LYC]],Scores[[#This Row],[MATE]])</f>
        <v>410.5</v>
      </c>
      <c r="K472">
        <f>VLOOKUP(Scores[[#This Row],[MRUN]],Demographics[],6,FALSE)</f>
        <v>6</v>
      </c>
      <c r="L472">
        <f>VLOOKUP(Scores[[#This Row],[MRUN]],Demographics[], 7,FALSE)</f>
        <v>2</v>
      </c>
      <c r="M472">
        <f>VLOOKUP(Scores[[#This Row],[MRUN]],Demographics[], 5, FALSE)</f>
        <v>1</v>
      </c>
    </row>
    <row r="473" spans="1:13" hidden="1" x14ac:dyDescent="0.2">
      <c r="A473" s="1">
        <v>20393286</v>
      </c>
      <c r="B473">
        <v>2</v>
      </c>
      <c r="C473">
        <v>3</v>
      </c>
      <c r="D473">
        <v>476</v>
      </c>
      <c r="E473">
        <v>458</v>
      </c>
      <c r="F473">
        <v>395</v>
      </c>
      <c r="G473">
        <v>0</v>
      </c>
      <c r="H473">
        <v>0</v>
      </c>
      <c r="I473">
        <f>VLOOKUP(Scores[[#This Row],[MRUN]],Demographics[],3,FALSE)</f>
        <v>4</v>
      </c>
      <c r="J473">
        <f>AVERAGE(Scores[[#This Row],[LYC]],Scores[[#This Row],[MATE]])</f>
        <v>426.5</v>
      </c>
      <c r="K473">
        <f>VLOOKUP(Scores[[#This Row],[MRUN]],Demographics[],6,FALSE)</f>
        <v>10</v>
      </c>
      <c r="L473">
        <f>VLOOKUP(Scores[[#This Row],[MRUN]],Demographics[], 7,FALSE)</f>
        <v>5</v>
      </c>
      <c r="M473">
        <f>VLOOKUP(Scores[[#This Row],[MRUN]],Demographics[], 5, FALSE)</f>
        <v>2</v>
      </c>
    </row>
    <row r="474" spans="1:13" hidden="1" x14ac:dyDescent="0.2">
      <c r="A474" s="1">
        <v>1165986</v>
      </c>
      <c r="B474">
        <v>2</v>
      </c>
      <c r="C474">
        <v>2</v>
      </c>
      <c r="D474">
        <v>476</v>
      </c>
      <c r="E474">
        <v>499</v>
      </c>
      <c r="F474">
        <v>480</v>
      </c>
      <c r="G474">
        <v>602</v>
      </c>
      <c r="H474">
        <v>0</v>
      </c>
      <c r="I474">
        <f>VLOOKUP(Scores[[#This Row],[MRUN]],Demographics[],3,FALSE)</f>
        <v>3</v>
      </c>
      <c r="J474">
        <f>AVERAGE(Scores[[#This Row],[LYC]],Scores[[#This Row],[MATE]])</f>
        <v>489.5</v>
      </c>
      <c r="K474">
        <f>VLOOKUP(Scores[[#This Row],[MRUN]],Demographics[],6,FALSE)</f>
        <v>4</v>
      </c>
      <c r="L474">
        <f>VLOOKUP(Scores[[#This Row],[MRUN]],Demographics[], 7,FALSE)</f>
        <v>5</v>
      </c>
      <c r="M474">
        <f>VLOOKUP(Scores[[#This Row],[MRUN]],Demographics[], 5, FALSE)</f>
        <v>1</v>
      </c>
    </row>
    <row r="475" spans="1:13" hidden="1" x14ac:dyDescent="0.2">
      <c r="A475" s="1">
        <v>9278998</v>
      </c>
      <c r="B475">
        <v>2</v>
      </c>
      <c r="C475">
        <v>3</v>
      </c>
      <c r="D475">
        <v>599</v>
      </c>
      <c r="E475">
        <v>668</v>
      </c>
      <c r="F475">
        <v>614</v>
      </c>
      <c r="G475">
        <v>0</v>
      </c>
      <c r="H475">
        <v>594</v>
      </c>
      <c r="I475">
        <f>VLOOKUP(Scores[[#This Row],[MRUN]],Demographics[],3,FALSE)</f>
        <v>6</v>
      </c>
      <c r="J475">
        <f>AVERAGE(Scores[[#This Row],[LYC]],Scores[[#This Row],[MATE]])</f>
        <v>641</v>
      </c>
      <c r="K475">
        <f>VLOOKUP(Scores[[#This Row],[MRUN]],Demographics[],6,FALSE)</f>
        <v>9</v>
      </c>
      <c r="L475">
        <f>VLOOKUP(Scores[[#This Row],[MRUN]],Demographics[], 7,FALSE)</f>
        <v>9</v>
      </c>
      <c r="M475">
        <f>VLOOKUP(Scores[[#This Row],[MRUN]],Demographics[], 5, FALSE)</f>
        <v>2</v>
      </c>
    </row>
    <row r="476" spans="1:13" hidden="1" x14ac:dyDescent="0.2">
      <c r="A476" s="1">
        <v>10779793</v>
      </c>
      <c r="B476">
        <v>2</v>
      </c>
      <c r="C476">
        <v>2</v>
      </c>
      <c r="D476">
        <v>455</v>
      </c>
      <c r="E476">
        <v>430</v>
      </c>
      <c r="F476">
        <v>353</v>
      </c>
      <c r="G476">
        <v>0</v>
      </c>
      <c r="H476">
        <v>344</v>
      </c>
      <c r="I476">
        <f>VLOOKUP(Scores[[#This Row],[MRUN]],Demographics[],3,FALSE)</f>
        <v>3</v>
      </c>
      <c r="J476">
        <f>AVERAGE(Scores[[#This Row],[LYC]],Scores[[#This Row],[MATE]])</f>
        <v>391.5</v>
      </c>
      <c r="K476">
        <f>VLOOKUP(Scores[[#This Row],[MRUN]],Demographics[],6,FALSE)</f>
        <v>0</v>
      </c>
      <c r="L476">
        <f>VLOOKUP(Scores[[#This Row],[MRUN]],Demographics[], 7,FALSE)</f>
        <v>7</v>
      </c>
      <c r="M476">
        <f>VLOOKUP(Scores[[#This Row],[MRUN]],Demographics[], 5, FALSE)</f>
        <v>2</v>
      </c>
    </row>
    <row r="477" spans="1:13" hidden="1" x14ac:dyDescent="0.2">
      <c r="A477" s="1">
        <v>9379818</v>
      </c>
      <c r="B477">
        <v>2</v>
      </c>
      <c r="C477">
        <v>4</v>
      </c>
      <c r="D477">
        <v>538</v>
      </c>
      <c r="E477">
        <v>494</v>
      </c>
      <c r="F477">
        <v>527</v>
      </c>
      <c r="G477">
        <v>557</v>
      </c>
      <c r="H477">
        <v>0</v>
      </c>
      <c r="I477">
        <f>VLOOKUP(Scores[[#This Row],[MRUN]],Demographics[],3,FALSE)</f>
        <v>5</v>
      </c>
      <c r="J477">
        <f>AVERAGE(Scores[[#This Row],[LYC]],Scores[[#This Row],[MATE]])</f>
        <v>510.5</v>
      </c>
      <c r="K477">
        <f>VLOOKUP(Scores[[#This Row],[MRUN]],Demographics[],6,FALSE)</f>
        <v>6</v>
      </c>
      <c r="L477">
        <f>VLOOKUP(Scores[[#This Row],[MRUN]],Demographics[], 7,FALSE)</f>
        <v>5</v>
      </c>
      <c r="M477">
        <f>VLOOKUP(Scores[[#This Row],[MRUN]],Demographics[], 5, FALSE)</f>
        <v>3</v>
      </c>
    </row>
    <row r="478" spans="1:13" hidden="1" x14ac:dyDescent="0.2">
      <c r="A478" s="1">
        <v>8210724</v>
      </c>
      <c r="B478">
        <v>2</v>
      </c>
      <c r="C478">
        <v>3</v>
      </c>
      <c r="D478">
        <v>599</v>
      </c>
      <c r="E478">
        <v>0</v>
      </c>
      <c r="F478">
        <v>0</v>
      </c>
      <c r="G478">
        <v>0</v>
      </c>
      <c r="H478">
        <v>0</v>
      </c>
      <c r="I478">
        <f>VLOOKUP(Scores[[#This Row],[MRUN]],Demographics[],3,FALSE)</f>
        <v>4</v>
      </c>
      <c r="J478">
        <f>AVERAGE(Scores[[#This Row],[LYC]],Scores[[#This Row],[MATE]])</f>
        <v>0</v>
      </c>
      <c r="K478">
        <f>VLOOKUP(Scores[[#This Row],[MRUN]],Demographics[],6,FALSE)</f>
        <v>7</v>
      </c>
      <c r="L478">
        <f>VLOOKUP(Scores[[#This Row],[MRUN]],Demographics[], 7,FALSE)</f>
        <v>5</v>
      </c>
      <c r="M478">
        <f>VLOOKUP(Scores[[#This Row],[MRUN]],Demographics[], 5, FALSE)</f>
        <v>2</v>
      </c>
    </row>
    <row r="479" spans="1:13" hidden="1" x14ac:dyDescent="0.2">
      <c r="A479" s="1">
        <v>8643546</v>
      </c>
      <c r="B479">
        <v>1</v>
      </c>
      <c r="C479">
        <v>2</v>
      </c>
      <c r="D479">
        <v>476</v>
      </c>
      <c r="E479">
        <v>551</v>
      </c>
      <c r="F479">
        <v>487</v>
      </c>
      <c r="G479">
        <v>602</v>
      </c>
      <c r="H479">
        <v>0</v>
      </c>
      <c r="I479">
        <f>VLOOKUP(Scores[[#This Row],[MRUN]],Demographics[],3,FALSE)</f>
        <v>5</v>
      </c>
      <c r="J479">
        <f>AVERAGE(Scores[[#This Row],[LYC]],Scores[[#This Row],[MATE]])</f>
        <v>519</v>
      </c>
      <c r="K479">
        <f>VLOOKUP(Scores[[#This Row],[MRUN]],Demographics[],6,FALSE)</f>
        <v>5</v>
      </c>
      <c r="L479">
        <f>VLOOKUP(Scores[[#This Row],[MRUN]],Demographics[], 7,FALSE)</f>
        <v>3</v>
      </c>
      <c r="M479">
        <f>VLOOKUP(Scores[[#This Row],[MRUN]],Demographics[], 5, FALSE)</f>
        <v>1</v>
      </c>
    </row>
    <row r="480" spans="1:13" hidden="1" x14ac:dyDescent="0.2">
      <c r="A480" s="1">
        <v>10346838</v>
      </c>
      <c r="B480">
        <v>2</v>
      </c>
      <c r="C480">
        <v>3</v>
      </c>
      <c r="D480">
        <v>641</v>
      </c>
      <c r="E480">
        <v>747</v>
      </c>
      <c r="F480">
        <v>644</v>
      </c>
      <c r="G480">
        <v>0</v>
      </c>
      <c r="H480">
        <v>628</v>
      </c>
      <c r="I480">
        <f>VLOOKUP(Scores[[#This Row],[MRUN]],Demographics[],3,FALSE)</f>
        <v>8</v>
      </c>
      <c r="J480">
        <f>AVERAGE(Scores[[#This Row],[LYC]],Scores[[#This Row],[MATE]])</f>
        <v>695.5</v>
      </c>
      <c r="K480">
        <f>VLOOKUP(Scores[[#This Row],[MRUN]],Demographics[],6,FALSE)</f>
        <v>9</v>
      </c>
      <c r="L480">
        <f>VLOOKUP(Scores[[#This Row],[MRUN]],Demographics[], 7,FALSE)</f>
        <v>9</v>
      </c>
      <c r="M480">
        <f>VLOOKUP(Scores[[#This Row],[MRUN]],Demographics[], 5, FALSE)</f>
        <v>3</v>
      </c>
    </row>
    <row r="481" spans="1:13" hidden="1" x14ac:dyDescent="0.2">
      <c r="A481" s="1">
        <v>18256147</v>
      </c>
      <c r="B481">
        <v>2</v>
      </c>
      <c r="C481">
        <v>2</v>
      </c>
      <c r="D481">
        <v>517</v>
      </c>
      <c r="E481">
        <v>499</v>
      </c>
      <c r="F481">
        <v>353</v>
      </c>
      <c r="G481">
        <v>541</v>
      </c>
      <c r="H481">
        <v>0</v>
      </c>
      <c r="I481">
        <f>VLOOKUP(Scores[[#This Row],[MRUN]],Demographics[],3,FALSE)</f>
        <v>3</v>
      </c>
      <c r="J481">
        <f>AVERAGE(Scores[[#This Row],[LYC]],Scores[[#This Row],[MATE]])</f>
        <v>426</v>
      </c>
      <c r="K481">
        <f>VLOOKUP(Scores[[#This Row],[MRUN]],Demographics[],6,FALSE)</f>
        <v>4</v>
      </c>
      <c r="L481">
        <f>VLOOKUP(Scores[[#This Row],[MRUN]],Demographics[], 7,FALSE)</f>
        <v>3</v>
      </c>
      <c r="M481">
        <f>VLOOKUP(Scores[[#This Row],[MRUN]],Demographics[], 5, FALSE)</f>
        <v>1</v>
      </c>
    </row>
    <row r="482" spans="1:13" hidden="1" x14ac:dyDescent="0.2">
      <c r="A482" s="1">
        <v>19222784</v>
      </c>
      <c r="B482">
        <v>1</v>
      </c>
      <c r="C482">
        <v>4</v>
      </c>
      <c r="D482">
        <v>476</v>
      </c>
      <c r="E482">
        <v>521</v>
      </c>
      <c r="F482">
        <v>593</v>
      </c>
      <c r="G482">
        <v>0</v>
      </c>
      <c r="H482">
        <v>528</v>
      </c>
      <c r="I482">
        <f>VLOOKUP(Scores[[#This Row],[MRUN]],Demographics[],3,FALSE)</f>
        <v>5</v>
      </c>
      <c r="J482">
        <f>AVERAGE(Scores[[#This Row],[LYC]],Scores[[#This Row],[MATE]])</f>
        <v>557</v>
      </c>
      <c r="K482">
        <f>VLOOKUP(Scores[[#This Row],[MRUN]],Demographics[],6,FALSE)</f>
        <v>8</v>
      </c>
      <c r="L482">
        <f>VLOOKUP(Scores[[#This Row],[MRUN]],Demographics[], 7,FALSE)</f>
        <v>9</v>
      </c>
      <c r="M482">
        <f>VLOOKUP(Scores[[#This Row],[MRUN]],Demographics[], 5, FALSE)</f>
        <v>3</v>
      </c>
    </row>
    <row r="483" spans="1:13" hidden="1" x14ac:dyDescent="0.2">
      <c r="A483" s="1">
        <v>1267611</v>
      </c>
      <c r="B483">
        <v>1</v>
      </c>
      <c r="C483">
        <v>2</v>
      </c>
      <c r="D483">
        <v>458</v>
      </c>
      <c r="E483">
        <v>378</v>
      </c>
      <c r="F483">
        <v>487</v>
      </c>
      <c r="G483">
        <v>0</v>
      </c>
      <c r="H483">
        <v>361</v>
      </c>
      <c r="I483">
        <f>VLOOKUP(Scores[[#This Row],[MRUN]],Demographics[],3,FALSE)</f>
        <v>6</v>
      </c>
      <c r="J483">
        <f>AVERAGE(Scores[[#This Row],[LYC]],Scores[[#This Row],[MATE]])</f>
        <v>432.5</v>
      </c>
      <c r="K483">
        <f>VLOOKUP(Scores[[#This Row],[MRUN]],Demographics[],6,FALSE)</f>
        <v>5</v>
      </c>
      <c r="L483">
        <f>VLOOKUP(Scores[[#This Row],[MRUN]],Demographics[], 7,FALSE)</f>
        <v>5</v>
      </c>
      <c r="M483">
        <f>VLOOKUP(Scores[[#This Row],[MRUN]],Demographics[], 5, FALSE)</f>
        <v>2</v>
      </c>
    </row>
    <row r="484" spans="1:13" hidden="1" x14ac:dyDescent="0.2">
      <c r="A484" s="1">
        <v>16654238</v>
      </c>
      <c r="B484">
        <v>2</v>
      </c>
      <c r="C484">
        <v>2</v>
      </c>
      <c r="D484">
        <v>558</v>
      </c>
      <c r="E484">
        <v>557</v>
      </c>
      <c r="F484">
        <v>560</v>
      </c>
      <c r="G484">
        <v>0</v>
      </c>
      <c r="H484">
        <v>579</v>
      </c>
      <c r="I484">
        <f>VLOOKUP(Scores[[#This Row],[MRUN]],Demographics[],3,FALSE)</f>
        <v>5</v>
      </c>
      <c r="J484">
        <f>AVERAGE(Scores[[#This Row],[LYC]],Scores[[#This Row],[MATE]])</f>
        <v>558.5</v>
      </c>
      <c r="K484">
        <f>VLOOKUP(Scores[[#This Row],[MRUN]],Demographics[],6,FALSE)</f>
        <v>9</v>
      </c>
      <c r="L484">
        <f>VLOOKUP(Scores[[#This Row],[MRUN]],Demographics[], 7,FALSE)</f>
        <v>7</v>
      </c>
      <c r="M484">
        <f>VLOOKUP(Scores[[#This Row],[MRUN]],Demographics[], 5, FALSE)</f>
        <v>2</v>
      </c>
    </row>
    <row r="485" spans="1:13" hidden="1" x14ac:dyDescent="0.2">
      <c r="A485" s="1">
        <v>8845583</v>
      </c>
      <c r="B485">
        <v>2</v>
      </c>
      <c r="C485">
        <v>4</v>
      </c>
      <c r="D485">
        <v>476</v>
      </c>
      <c r="E485">
        <v>541</v>
      </c>
      <c r="F485">
        <v>517</v>
      </c>
      <c r="G485">
        <v>516</v>
      </c>
      <c r="H485">
        <v>0</v>
      </c>
      <c r="I485">
        <f>VLOOKUP(Scores[[#This Row],[MRUN]],Demographics[],3,FALSE)</f>
        <v>4</v>
      </c>
      <c r="J485">
        <f>AVERAGE(Scores[[#This Row],[LYC]],Scores[[#This Row],[MATE]])</f>
        <v>529</v>
      </c>
      <c r="K485">
        <f>VLOOKUP(Scores[[#This Row],[MRUN]],Demographics[],6,FALSE)</f>
        <v>10</v>
      </c>
      <c r="L485">
        <f>VLOOKUP(Scores[[#This Row],[MRUN]],Demographics[], 7,FALSE)</f>
        <v>10</v>
      </c>
      <c r="M485">
        <f>VLOOKUP(Scores[[#This Row],[MRUN]],Demographics[], 5, FALSE)</f>
        <v>3</v>
      </c>
    </row>
    <row r="486" spans="1:13" hidden="1" x14ac:dyDescent="0.2">
      <c r="A486" s="1">
        <v>8109435</v>
      </c>
      <c r="B486">
        <v>1</v>
      </c>
      <c r="C486">
        <v>2</v>
      </c>
      <c r="D486">
        <v>295</v>
      </c>
      <c r="E486">
        <v>0</v>
      </c>
      <c r="F486">
        <v>0</v>
      </c>
      <c r="G486">
        <v>0</v>
      </c>
      <c r="H486">
        <v>0</v>
      </c>
      <c r="I486">
        <f>VLOOKUP(Scores[[#This Row],[MRUN]],Demographics[],3,FALSE)</f>
        <v>4</v>
      </c>
      <c r="J486">
        <f>AVERAGE(Scores[[#This Row],[LYC]],Scores[[#This Row],[MATE]])</f>
        <v>0</v>
      </c>
      <c r="K486">
        <f>VLOOKUP(Scores[[#This Row],[MRUN]],Demographics[],6,FALSE)</f>
        <v>4</v>
      </c>
      <c r="L486">
        <f>VLOOKUP(Scores[[#This Row],[MRUN]],Demographics[], 7,FALSE)</f>
        <v>4</v>
      </c>
      <c r="M486">
        <f>VLOOKUP(Scores[[#This Row],[MRUN]],Demographics[], 5, FALSE)</f>
        <v>1</v>
      </c>
    </row>
    <row r="487" spans="1:13" hidden="1" x14ac:dyDescent="0.2">
      <c r="A487" s="1">
        <v>3319062</v>
      </c>
      <c r="B487">
        <v>2</v>
      </c>
      <c r="C487">
        <v>3</v>
      </c>
      <c r="D487">
        <v>440</v>
      </c>
      <c r="E487">
        <v>406</v>
      </c>
      <c r="F487">
        <v>274</v>
      </c>
      <c r="G487">
        <v>428</v>
      </c>
      <c r="H487">
        <v>0</v>
      </c>
      <c r="I487">
        <f>VLOOKUP(Scores[[#This Row],[MRUN]],Demographics[],3,FALSE)</f>
        <v>5</v>
      </c>
      <c r="J487">
        <f>AVERAGE(Scores[[#This Row],[LYC]],Scores[[#This Row],[MATE]])</f>
        <v>340</v>
      </c>
      <c r="K487">
        <f>VLOOKUP(Scores[[#This Row],[MRUN]],Demographics[],6,FALSE)</f>
        <v>5</v>
      </c>
      <c r="L487">
        <f>VLOOKUP(Scores[[#This Row],[MRUN]],Demographics[], 7,FALSE)</f>
        <v>4</v>
      </c>
      <c r="M487">
        <f>VLOOKUP(Scores[[#This Row],[MRUN]],Demographics[], 5, FALSE)</f>
        <v>1</v>
      </c>
    </row>
    <row r="488" spans="1:13" hidden="1" x14ac:dyDescent="0.2">
      <c r="A488" s="1">
        <v>15269494</v>
      </c>
      <c r="B488">
        <v>2</v>
      </c>
      <c r="C488">
        <v>2</v>
      </c>
      <c r="D488">
        <v>661</v>
      </c>
      <c r="E488">
        <v>510</v>
      </c>
      <c r="F488">
        <v>480</v>
      </c>
      <c r="G488">
        <v>0</v>
      </c>
      <c r="H488">
        <v>539</v>
      </c>
      <c r="I488">
        <f>VLOOKUP(Scores[[#This Row],[MRUN]],Demographics[],3,FALSE)</f>
        <v>6</v>
      </c>
      <c r="J488">
        <f>AVERAGE(Scores[[#This Row],[LYC]],Scores[[#This Row],[MATE]])</f>
        <v>495</v>
      </c>
      <c r="K488">
        <f>VLOOKUP(Scores[[#This Row],[MRUN]],Demographics[],6,FALSE)</f>
        <v>5</v>
      </c>
      <c r="L488">
        <f>VLOOKUP(Scores[[#This Row],[MRUN]],Demographics[], 7,FALSE)</f>
        <v>5</v>
      </c>
      <c r="M488">
        <f>VLOOKUP(Scores[[#This Row],[MRUN]],Demographics[], 5, FALSE)</f>
        <v>2</v>
      </c>
    </row>
    <row r="489" spans="1:13" hidden="1" x14ac:dyDescent="0.2">
      <c r="A489" s="1">
        <v>16337601</v>
      </c>
      <c r="B489">
        <v>2</v>
      </c>
      <c r="C489">
        <v>3</v>
      </c>
      <c r="D489">
        <v>476</v>
      </c>
      <c r="E489">
        <v>510</v>
      </c>
      <c r="F489">
        <v>472</v>
      </c>
      <c r="G489">
        <v>454</v>
      </c>
      <c r="H489">
        <v>0</v>
      </c>
      <c r="I489">
        <f>VLOOKUP(Scores[[#This Row],[MRUN]],Demographics[],3,FALSE)</f>
        <v>3</v>
      </c>
      <c r="J489">
        <f>AVERAGE(Scores[[#This Row],[LYC]],Scores[[#This Row],[MATE]])</f>
        <v>491</v>
      </c>
      <c r="K489">
        <f>VLOOKUP(Scores[[#This Row],[MRUN]],Demographics[],6,FALSE)</f>
        <v>5</v>
      </c>
      <c r="L489">
        <f>VLOOKUP(Scores[[#This Row],[MRUN]],Demographics[], 7,FALSE)</f>
        <v>9</v>
      </c>
      <c r="M489">
        <f>VLOOKUP(Scores[[#This Row],[MRUN]],Demographics[], 5, FALSE)</f>
        <v>2</v>
      </c>
    </row>
    <row r="490" spans="1:13" hidden="1" x14ac:dyDescent="0.2">
      <c r="A490" s="1">
        <v>749447</v>
      </c>
      <c r="B490">
        <v>1</v>
      </c>
      <c r="C490">
        <v>4</v>
      </c>
      <c r="D490">
        <v>682</v>
      </c>
      <c r="E490">
        <v>675</v>
      </c>
      <c r="F490">
        <v>675</v>
      </c>
      <c r="G490">
        <v>692</v>
      </c>
      <c r="H490">
        <v>0</v>
      </c>
      <c r="I490">
        <f>VLOOKUP(Scores[[#This Row],[MRUN]],Demographics[],3,FALSE)</f>
        <v>4</v>
      </c>
      <c r="J490">
        <f>AVERAGE(Scores[[#This Row],[LYC]],Scores[[#This Row],[MATE]])</f>
        <v>675</v>
      </c>
      <c r="K490">
        <f>VLOOKUP(Scores[[#This Row],[MRUN]],Demographics[],6,FALSE)</f>
        <v>8</v>
      </c>
      <c r="L490">
        <f>VLOOKUP(Scores[[#This Row],[MRUN]],Demographics[], 7,FALSE)</f>
        <v>7</v>
      </c>
      <c r="M490">
        <f>VLOOKUP(Scores[[#This Row],[MRUN]],Demographics[], 5, FALSE)</f>
        <v>5</v>
      </c>
    </row>
    <row r="491" spans="1:13" hidden="1" x14ac:dyDescent="0.2">
      <c r="A491" s="1">
        <v>23180259</v>
      </c>
      <c r="B491">
        <v>2</v>
      </c>
      <c r="C491">
        <v>3</v>
      </c>
      <c r="D491">
        <v>496</v>
      </c>
      <c r="E491">
        <v>499</v>
      </c>
      <c r="F491">
        <v>472</v>
      </c>
      <c r="G491">
        <v>479</v>
      </c>
      <c r="H491">
        <v>0</v>
      </c>
      <c r="I491">
        <f>VLOOKUP(Scores[[#This Row],[MRUN]],Demographics[],3,FALSE)</f>
        <v>4</v>
      </c>
      <c r="J491">
        <f>AVERAGE(Scores[[#This Row],[LYC]],Scores[[#This Row],[MATE]])</f>
        <v>485.5</v>
      </c>
      <c r="K491">
        <f>VLOOKUP(Scores[[#This Row],[MRUN]],Demographics[],6,FALSE)</f>
        <v>0</v>
      </c>
      <c r="L491">
        <f>VLOOKUP(Scores[[#This Row],[MRUN]],Demographics[], 7,FALSE)</f>
        <v>5</v>
      </c>
      <c r="M491">
        <f>VLOOKUP(Scores[[#This Row],[MRUN]],Demographics[], 5, FALSE)</f>
        <v>2</v>
      </c>
    </row>
    <row r="492" spans="1:13" hidden="1" x14ac:dyDescent="0.2">
      <c r="A492" s="1">
        <v>20510293</v>
      </c>
      <c r="B492">
        <v>1</v>
      </c>
      <c r="C492">
        <v>3</v>
      </c>
      <c r="D492">
        <v>440</v>
      </c>
      <c r="E492">
        <v>378</v>
      </c>
      <c r="F492">
        <v>441</v>
      </c>
      <c r="G492">
        <v>414</v>
      </c>
      <c r="H492">
        <v>0</v>
      </c>
      <c r="I492">
        <f>VLOOKUP(Scores[[#This Row],[MRUN]],Demographics[],3,FALSE)</f>
        <v>5</v>
      </c>
      <c r="J492">
        <f>AVERAGE(Scores[[#This Row],[LYC]],Scores[[#This Row],[MATE]])</f>
        <v>409.5</v>
      </c>
      <c r="K492">
        <f>VLOOKUP(Scores[[#This Row],[MRUN]],Demographics[],6,FALSE)</f>
        <v>8</v>
      </c>
      <c r="L492">
        <f>VLOOKUP(Scores[[#This Row],[MRUN]],Demographics[], 7,FALSE)</f>
        <v>4</v>
      </c>
      <c r="M492">
        <f>VLOOKUP(Scores[[#This Row],[MRUN]],Demographics[], 5, FALSE)</f>
        <v>2</v>
      </c>
    </row>
    <row r="493" spans="1:13" hidden="1" x14ac:dyDescent="0.2">
      <c r="A493" s="1">
        <v>12499342</v>
      </c>
      <c r="B493">
        <v>2</v>
      </c>
      <c r="C493">
        <v>2</v>
      </c>
      <c r="D493">
        <v>496</v>
      </c>
      <c r="E493">
        <v>499</v>
      </c>
      <c r="F493">
        <v>413</v>
      </c>
      <c r="G493">
        <v>527</v>
      </c>
      <c r="H493">
        <v>391</v>
      </c>
      <c r="I493">
        <f>VLOOKUP(Scores[[#This Row],[MRUN]],Demographics[],3,FALSE)</f>
        <v>6</v>
      </c>
      <c r="J493">
        <f>AVERAGE(Scores[[#This Row],[LYC]],Scores[[#This Row],[MATE]])</f>
        <v>456</v>
      </c>
      <c r="K493">
        <f>VLOOKUP(Scores[[#This Row],[MRUN]],Demographics[],6,FALSE)</f>
        <v>4</v>
      </c>
      <c r="L493">
        <f>VLOOKUP(Scores[[#This Row],[MRUN]],Demographics[], 7,FALSE)</f>
        <v>5</v>
      </c>
      <c r="M493">
        <f>VLOOKUP(Scores[[#This Row],[MRUN]],Demographics[], 5, FALSE)</f>
        <v>1</v>
      </c>
    </row>
    <row r="494" spans="1:13" hidden="1" x14ac:dyDescent="0.2">
      <c r="A494" s="1">
        <v>1817513</v>
      </c>
      <c r="B494">
        <v>2</v>
      </c>
      <c r="C494">
        <v>2</v>
      </c>
      <c r="D494">
        <v>558</v>
      </c>
      <c r="E494">
        <v>561</v>
      </c>
      <c r="F494">
        <v>328</v>
      </c>
      <c r="G494">
        <v>552</v>
      </c>
      <c r="H494">
        <v>0</v>
      </c>
      <c r="I494">
        <f>VLOOKUP(Scores[[#This Row],[MRUN]],Demographics[],3,FALSE)</f>
        <v>4</v>
      </c>
      <c r="J494">
        <f>AVERAGE(Scores[[#This Row],[LYC]],Scores[[#This Row],[MATE]])</f>
        <v>444.5</v>
      </c>
      <c r="K494">
        <f>VLOOKUP(Scores[[#This Row],[MRUN]],Demographics[],6,FALSE)</f>
        <v>9</v>
      </c>
      <c r="L494">
        <f>VLOOKUP(Scores[[#This Row],[MRUN]],Demographics[], 7,FALSE)</f>
        <v>4</v>
      </c>
      <c r="M494">
        <f>VLOOKUP(Scores[[#This Row],[MRUN]],Demographics[], 5, FALSE)</f>
        <v>2</v>
      </c>
    </row>
    <row r="495" spans="1:13" hidden="1" x14ac:dyDescent="0.2">
      <c r="A495" s="1">
        <v>23079148</v>
      </c>
      <c r="B495">
        <v>2</v>
      </c>
      <c r="C495">
        <v>3</v>
      </c>
      <c r="D495">
        <v>579</v>
      </c>
      <c r="E495">
        <v>483</v>
      </c>
      <c r="F495">
        <v>501</v>
      </c>
      <c r="G495">
        <v>479</v>
      </c>
      <c r="H495">
        <v>0</v>
      </c>
      <c r="I495">
        <f>VLOOKUP(Scores[[#This Row],[MRUN]],Demographics[],3,FALSE)</f>
        <v>5</v>
      </c>
      <c r="J495">
        <f>AVERAGE(Scores[[#This Row],[LYC]],Scores[[#This Row],[MATE]])</f>
        <v>492</v>
      </c>
      <c r="K495">
        <f>VLOOKUP(Scores[[#This Row],[MRUN]],Demographics[],6,FALSE)</f>
        <v>9</v>
      </c>
      <c r="L495">
        <f>VLOOKUP(Scores[[#This Row],[MRUN]],Demographics[], 7,FALSE)</f>
        <v>9</v>
      </c>
      <c r="M495">
        <f>VLOOKUP(Scores[[#This Row],[MRUN]],Demographics[], 5, FALSE)</f>
        <v>3</v>
      </c>
    </row>
    <row r="496" spans="1:13" hidden="1" x14ac:dyDescent="0.2">
      <c r="A496" s="1">
        <v>18272016</v>
      </c>
      <c r="B496">
        <v>1</v>
      </c>
      <c r="C496">
        <v>4</v>
      </c>
      <c r="D496">
        <v>476</v>
      </c>
      <c r="E496">
        <v>596</v>
      </c>
      <c r="F496">
        <v>620</v>
      </c>
      <c r="G496">
        <v>582</v>
      </c>
      <c r="H496">
        <v>587</v>
      </c>
      <c r="I496">
        <f>VLOOKUP(Scores[[#This Row],[MRUN]],Demographics[],3,FALSE)</f>
        <v>3</v>
      </c>
      <c r="J496">
        <f>AVERAGE(Scores[[#This Row],[LYC]],Scores[[#This Row],[MATE]])</f>
        <v>608</v>
      </c>
      <c r="K496">
        <f>VLOOKUP(Scores[[#This Row],[MRUN]],Demographics[],6,FALSE)</f>
        <v>7</v>
      </c>
      <c r="L496">
        <f>VLOOKUP(Scores[[#This Row],[MRUN]],Demographics[], 7,FALSE)</f>
        <v>9</v>
      </c>
      <c r="M496">
        <f>VLOOKUP(Scores[[#This Row],[MRUN]],Demographics[], 5, FALSE)</f>
        <v>2</v>
      </c>
    </row>
    <row r="497" spans="1:13" hidden="1" x14ac:dyDescent="0.2">
      <c r="A497" s="1">
        <v>19340520</v>
      </c>
      <c r="B497">
        <v>2</v>
      </c>
      <c r="C497">
        <v>2</v>
      </c>
      <c r="D497">
        <v>460</v>
      </c>
      <c r="E497">
        <v>531</v>
      </c>
      <c r="F497">
        <v>376</v>
      </c>
      <c r="G497">
        <v>0</v>
      </c>
      <c r="H497">
        <v>417</v>
      </c>
      <c r="I497">
        <f>VLOOKUP(Scores[[#This Row],[MRUN]],Demographics[],3,FALSE)</f>
        <v>4</v>
      </c>
      <c r="J497">
        <f>AVERAGE(Scores[[#This Row],[LYC]],Scores[[#This Row],[MATE]])</f>
        <v>453.5</v>
      </c>
      <c r="K497">
        <f>VLOOKUP(Scores[[#This Row],[MRUN]],Demographics[],6,FALSE)</f>
        <v>0</v>
      </c>
      <c r="L497">
        <f>VLOOKUP(Scores[[#This Row],[MRUN]],Demographics[], 7,FALSE)</f>
        <v>0</v>
      </c>
      <c r="M497">
        <f>VLOOKUP(Scores[[#This Row],[MRUN]],Demographics[], 5, FALSE)</f>
        <v>1</v>
      </c>
    </row>
    <row r="498" spans="1:13" hidden="1" x14ac:dyDescent="0.2">
      <c r="A498" s="1">
        <v>16236963</v>
      </c>
      <c r="B498">
        <v>2</v>
      </c>
      <c r="C498">
        <v>3</v>
      </c>
      <c r="D498">
        <v>400</v>
      </c>
      <c r="E498">
        <v>561</v>
      </c>
      <c r="F498">
        <v>441</v>
      </c>
      <c r="G498">
        <v>0</v>
      </c>
      <c r="H498">
        <v>523</v>
      </c>
      <c r="I498">
        <f>VLOOKUP(Scores[[#This Row],[MRUN]],Demographics[],3,FALSE)</f>
        <v>3</v>
      </c>
      <c r="J498">
        <f>AVERAGE(Scores[[#This Row],[LYC]],Scores[[#This Row],[MATE]])</f>
        <v>501</v>
      </c>
      <c r="K498">
        <f>VLOOKUP(Scores[[#This Row],[MRUN]],Demographics[],6,FALSE)</f>
        <v>5</v>
      </c>
      <c r="L498">
        <f>VLOOKUP(Scores[[#This Row],[MRUN]],Demographics[], 7,FALSE)</f>
        <v>2</v>
      </c>
      <c r="M498">
        <f>VLOOKUP(Scores[[#This Row],[MRUN]],Demographics[], 5, FALSE)</f>
        <v>1</v>
      </c>
    </row>
    <row r="499" spans="1:13" hidden="1" x14ac:dyDescent="0.2">
      <c r="A499" s="1">
        <v>20943070</v>
      </c>
      <c r="B499">
        <v>2</v>
      </c>
      <c r="C499">
        <v>4</v>
      </c>
      <c r="D499">
        <v>435</v>
      </c>
      <c r="E499">
        <v>464</v>
      </c>
      <c r="F499">
        <v>557</v>
      </c>
      <c r="G499">
        <v>501</v>
      </c>
      <c r="H499">
        <v>575</v>
      </c>
      <c r="I499">
        <f>VLOOKUP(Scores[[#This Row],[MRUN]],Demographics[],3,FALSE)</f>
        <v>6</v>
      </c>
      <c r="J499">
        <f>AVERAGE(Scores[[#This Row],[LYC]],Scores[[#This Row],[MATE]])</f>
        <v>510.5</v>
      </c>
      <c r="K499">
        <f>VLOOKUP(Scores[[#This Row],[MRUN]],Demographics[],6,FALSE)</f>
        <v>9</v>
      </c>
      <c r="L499">
        <f>VLOOKUP(Scores[[#This Row],[MRUN]],Demographics[], 7,FALSE)</f>
        <v>7</v>
      </c>
      <c r="M499">
        <f>VLOOKUP(Scores[[#This Row],[MRUN]],Demographics[], 5, FALSE)</f>
        <v>5</v>
      </c>
    </row>
    <row r="500" spans="1:13" hidden="1" x14ac:dyDescent="0.2">
      <c r="A500" s="1">
        <v>5455224</v>
      </c>
      <c r="B500">
        <v>1</v>
      </c>
      <c r="C500">
        <v>3</v>
      </c>
      <c r="D500">
        <v>460</v>
      </c>
      <c r="E500">
        <v>602</v>
      </c>
      <c r="F500">
        <v>549</v>
      </c>
      <c r="G500">
        <v>0</v>
      </c>
      <c r="H500">
        <v>606</v>
      </c>
      <c r="I500">
        <f>VLOOKUP(Scores[[#This Row],[MRUN]],Demographics[],3,FALSE)</f>
        <v>6</v>
      </c>
      <c r="J500">
        <f>AVERAGE(Scores[[#This Row],[LYC]],Scores[[#This Row],[MATE]])</f>
        <v>575.5</v>
      </c>
      <c r="K500">
        <f>VLOOKUP(Scores[[#This Row],[MRUN]],Demographics[],6,FALSE)</f>
        <v>8</v>
      </c>
      <c r="L500">
        <f>VLOOKUP(Scores[[#This Row],[MRUN]],Demographics[], 7,FALSE)</f>
        <v>9</v>
      </c>
      <c r="M500">
        <f>VLOOKUP(Scores[[#This Row],[MRUN]],Demographics[], 5, FALSE)</f>
        <v>4</v>
      </c>
    </row>
    <row r="501" spans="1:13" hidden="1" x14ac:dyDescent="0.2">
      <c r="A501" s="1">
        <v>2784775</v>
      </c>
      <c r="B501">
        <v>2</v>
      </c>
      <c r="C501">
        <v>2</v>
      </c>
      <c r="D501">
        <v>499</v>
      </c>
      <c r="E501">
        <v>0</v>
      </c>
      <c r="F501">
        <v>0</v>
      </c>
      <c r="G501">
        <v>0</v>
      </c>
      <c r="H501">
        <v>0</v>
      </c>
      <c r="I501">
        <f>VLOOKUP(Scores[[#This Row],[MRUN]],Demographics[],3,FALSE)</f>
        <v>4</v>
      </c>
      <c r="J501">
        <f>AVERAGE(Scores[[#This Row],[LYC]],Scores[[#This Row],[MATE]])</f>
        <v>0</v>
      </c>
      <c r="K501">
        <f>VLOOKUP(Scores[[#This Row],[MRUN]],Demographics[],6,FALSE)</f>
        <v>3</v>
      </c>
      <c r="L501">
        <f>VLOOKUP(Scores[[#This Row],[MRUN]],Demographics[], 7,FALSE)</f>
        <v>2</v>
      </c>
      <c r="M501">
        <f>VLOOKUP(Scores[[#This Row],[MRUN]],Demographics[], 5, FALSE)</f>
        <v>1</v>
      </c>
    </row>
    <row r="502" spans="1:13" hidden="1" x14ac:dyDescent="0.2">
      <c r="A502" s="1">
        <v>16337600</v>
      </c>
      <c r="B502">
        <v>2</v>
      </c>
      <c r="C502">
        <v>3</v>
      </c>
      <c r="D502">
        <v>501</v>
      </c>
      <c r="E502">
        <v>430</v>
      </c>
      <c r="F502">
        <v>413</v>
      </c>
      <c r="G502">
        <v>406</v>
      </c>
      <c r="H502">
        <v>0</v>
      </c>
      <c r="I502">
        <f>VLOOKUP(Scores[[#This Row],[MRUN]],Demographics[],3,FALSE)</f>
        <v>5</v>
      </c>
      <c r="J502">
        <f>AVERAGE(Scores[[#This Row],[LYC]],Scores[[#This Row],[MATE]])</f>
        <v>421.5</v>
      </c>
      <c r="K502">
        <f>VLOOKUP(Scores[[#This Row],[MRUN]],Demographics[],6,FALSE)</f>
        <v>5</v>
      </c>
      <c r="L502">
        <f>VLOOKUP(Scores[[#This Row],[MRUN]],Demographics[], 7,FALSE)</f>
        <v>3</v>
      </c>
      <c r="M502">
        <f>VLOOKUP(Scores[[#This Row],[MRUN]],Demographics[], 5, FALSE)</f>
        <v>1</v>
      </c>
    </row>
    <row r="503" spans="1:13" hidden="1" x14ac:dyDescent="0.2">
      <c r="A503" s="1">
        <v>5022106</v>
      </c>
      <c r="B503">
        <v>2</v>
      </c>
      <c r="C503">
        <v>4</v>
      </c>
      <c r="D503">
        <v>517</v>
      </c>
      <c r="E503">
        <v>683</v>
      </c>
      <c r="F503">
        <v>596</v>
      </c>
      <c r="G503">
        <v>639</v>
      </c>
      <c r="H503">
        <v>0</v>
      </c>
      <c r="I503">
        <f>VLOOKUP(Scores[[#This Row],[MRUN]],Demographics[],3,FALSE)</f>
        <v>5</v>
      </c>
      <c r="J503">
        <f>AVERAGE(Scores[[#This Row],[LYC]],Scores[[#This Row],[MATE]])</f>
        <v>639.5</v>
      </c>
      <c r="K503">
        <f>VLOOKUP(Scores[[#This Row],[MRUN]],Demographics[],6,FALSE)</f>
        <v>4</v>
      </c>
      <c r="L503">
        <f>VLOOKUP(Scores[[#This Row],[MRUN]],Demographics[], 7,FALSE)</f>
        <v>9</v>
      </c>
      <c r="M503">
        <f>VLOOKUP(Scores[[#This Row],[MRUN]],Demographics[], 5, FALSE)</f>
        <v>3</v>
      </c>
    </row>
    <row r="504" spans="1:13" hidden="1" x14ac:dyDescent="0.2">
      <c r="A504" s="1">
        <v>9828646</v>
      </c>
      <c r="B504">
        <v>1</v>
      </c>
      <c r="C504">
        <v>4</v>
      </c>
      <c r="D504">
        <v>455</v>
      </c>
      <c r="E504">
        <v>551</v>
      </c>
      <c r="F504">
        <v>564</v>
      </c>
      <c r="G504">
        <v>0</v>
      </c>
      <c r="H504">
        <v>567</v>
      </c>
      <c r="I504">
        <f>VLOOKUP(Scores[[#This Row],[MRUN]],Demographics[],3,FALSE)</f>
        <v>4</v>
      </c>
      <c r="J504">
        <f>AVERAGE(Scores[[#This Row],[LYC]],Scores[[#This Row],[MATE]])</f>
        <v>557.5</v>
      </c>
      <c r="K504">
        <f>VLOOKUP(Scores[[#This Row],[MRUN]],Demographics[],6,FALSE)</f>
        <v>9</v>
      </c>
      <c r="L504">
        <f>VLOOKUP(Scores[[#This Row],[MRUN]],Demographics[], 7,FALSE)</f>
        <v>5</v>
      </c>
      <c r="M504">
        <f>VLOOKUP(Scores[[#This Row],[MRUN]],Demographics[], 5, FALSE)</f>
        <v>4</v>
      </c>
    </row>
    <row r="505" spans="1:13" hidden="1" x14ac:dyDescent="0.2">
      <c r="A505" s="1">
        <v>7793186</v>
      </c>
      <c r="B505">
        <v>1</v>
      </c>
      <c r="C505">
        <v>4</v>
      </c>
      <c r="D505">
        <v>538</v>
      </c>
      <c r="E505">
        <v>629</v>
      </c>
      <c r="F505">
        <v>624</v>
      </c>
      <c r="G505">
        <v>0</v>
      </c>
      <c r="H505">
        <v>609</v>
      </c>
      <c r="I505">
        <f>VLOOKUP(Scores[[#This Row],[MRUN]],Demographics[],3,FALSE)</f>
        <v>4</v>
      </c>
      <c r="J505">
        <f>AVERAGE(Scores[[#This Row],[LYC]],Scores[[#This Row],[MATE]])</f>
        <v>626.5</v>
      </c>
      <c r="K505">
        <f>VLOOKUP(Scores[[#This Row],[MRUN]],Demographics[],6,FALSE)</f>
        <v>9</v>
      </c>
      <c r="L505">
        <f>VLOOKUP(Scores[[#This Row],[MRUN]],Demographics[], 7,FALSE)</f>
        <v>7</v>
      </c>
      <c r="M505">
        <f>VLOOKUP(Scores[[#This Row],[MRUN]],Demographics[], 5, FALSE)</f>
        <v>2</v>
      </c>
    </row>
    <row r="506" spans="1:13" hidden="1" x14ac:dyDescent="0.2">
      <c r="A506" s="1">
        <v>16771283</v>
      </c>
      <c r="B506">
        <v>1</v>
      </c>
      <c r="C506">
        <v>3</v>
      </c>
      <c r="D506">
        <v>560</v>
      </c>
      <c r="E506">
        <v>430</v>
      </c>
      <c r="F506">
        <v>506</v>
      </c>
      <c r="G506">
        <v>537</v>
      </c>
      <c r="H506">
        <v>0</v>
      </c>
      <c r="I506">
        <f>VLOOKUP(Scores[[#This Row],[MRUN]],Demographics[],3,FALSE)</f>
        <v>6</v>
      </c>
      <c r="J506">
        <f>AVERAGE(Scores[[#This Row],[LYC]],Scores[[#This Row],[MATE]])</f>
        <v>468</v>
      </c>
      <c r="K506">
        <f>VLOOKUP(Scores[[#This Row],[MRUN]],Demographics[],6,FALSE)</f>
        <v>5</v>
      </c>
      <c r="L506">
        <f>VLOOKUP(Scores[[#This Row],[MRUN]],Demographics[], 7,FALSE)</f>
        <v>5</v>
      </c>
      <c r="M506">
        <f>VLOOKUP(Scores[[#This Row],[MRUN]],Demographics[], 5, FALSE)</f>
        <v>2</v>
      </c>
    </row>
    <row r="507" spans="1:13" hidden="1" x14ac:dyDescent="0.2">
      <c r="A507" s="1">
        <v>19976205</v>
      </c>
      <c r="B507">
        <v>2</v>
      </c>
      <c r="C507">
        <v>3</v>
      </c>
      <c r="D507">
        <v>702</v>
      </c>
      <c r="E507">
        <v>668</v>
      </c>
      <c r="F507">
        <v>603</v>
      </c>
      <c r="G507">
        <v>699</v>
      </c>
      <c r="H507">
        <v>0</v>
      </c>
      <c r="I507">
        <f>VLOOKUP(Scores[[#This Row],[MRUN]],Demographics[],3,FALSE)</f>
        <v>4</v>
      </c>
      <c r="J507">
        <f>AVERAGE(Scores[[#This Row],[LYC]],Scores[[#This Row],[MATE]])</f>
        <v>635.5</v>
      </c>
      <c r="K507">
        <f>VLOOKUP(Scores[[#This Row],[MRUN]],Demographics[],6,FALSE)</f>
        <v>8</v>
      </c>
      <c r="L507">
        <f>VLOOKUP(Scores[[#This Row],[MRUN]],Demographics[], 7,FALSE)</f>
        <v>9</v>
      </c>
      <c r="M507">
        <f>VLOOKUP(Scores[[#This Row],[MRUN]],Demographics[], 5, FALSE)</f>
        <v>1</v>
      </c>
    </row>
    <row r="508" spans="1:13" hidden="1" x14ac:dyDescent="0.2">
      <c r="A508" s="1">
        <v>8226577</v>
      </c>
      <c r="B508">
        <v>1</v>
      </c>
      <c r="C508">
        <v>4</v>
      </c>
      <c r="D508">
        <v>558</v>
      </c>
      <c r="E508">
        <v>607</v>
      </c>
      <c r="F508">
        <v>648</v>
      </c>
      <c r="G508">
        <v>0</v>
      </c>
      <c r="H508">
        <v>655</v>
      </c>
      <c r="I508">
        <f>VLOOKUP(Scores[[#This Row],[MRUN]],Demographics[],3,FALSE)</f>
        <v>0</v>
      </c>
      <c r="J508">
        <f>AVERAGE(Scores[[#This Row],[LYC]],Scores[[#This Row],[MATE]])</f>
        <v>627.5</v>
      </c>
      <c r="K508">
        <f>VLOOKUP(Scores[[#This Row],[MRUN]],Demographics[],6,FALSE)</f>
        <v>0</v>
      </c>
      <c r="L508">
        <f>VLOOKUP(Scores[[#This Row],[MRUN]],Demographics[], 7,FALSE)</f>
        <v>0</v>
      </c>
      <c r="M508">
        <f>VLOOKUP(Scores[[#This Row],[MRUN]],Demographics[], 5, FALSE)</f>
        <v>6</v>
      </c>
    </row>
    <row r="509" spans="1:13" hidden="1" x14ac:dyDescent="0.2">
      <c r="A509" s="1">
        <v>4386656</v>
      </c>
      <c r="B509">
        <v>1</v>
      </c>
      <c r="C509">
        <v>2</v>
      </c>
      <c r="D509">
        <v>0</v>
      </c>
      <c r="E509">
        <v>0</v>
      </c>
      <c r="F509">
        <v>0</v>
      </c>
      <c r="G509">
        <v>0</v>
      </c>
      <c r="H509">
        <v>0</v>
      </c>
      <c r="I509">
        <f>VLOOKUP(Scores[[#This Row],[MRUN]],Demographics[],3,FALSE)</f>
        <v>5</v>
      </c>
      <c r="J509">
        <f>AVERAGE(Scores[[#This Row],[LYC]],Scores[[#This Row],[MATE]])</f>
        <v>0</v>
      </c>
      <c r="K509">
        <f>VLOOKUP(Scores[[#This Row],[MRUN]],Demographics[],6,FALSE)</f>
        <v>5</v>
      </c>
      <c r="L509">
        <f>VLOOKUP(Scores[[#This Row],[MRUN]],Demographics[], 7,FALSE)</f>
        <v>5</v>
      </c>
      <c r="M509">
        <f>VLOOKUP(Scores[[#This Row],[MRUN]],Demographics[], 5, FALSE)</f>
        <v>1</v>
      </c>
    </row>
    <row r="510" spans="1:13" hidden="1" x14ac:dyDescent="0.2">
      <c r="A510" s="1">
        <v>7158261</v>
      </c>
      <c r="B510">
        <v>2</v>
      </c>
      <c r="C510">
        <v>4</v>
      </c>
      <c r="D510">
        <v>579</v>
      </c>
      <c r="E510">
        <v>567</v>
      </c>
      <c r="F510">
        <v>624</v>
      </c>
      <c r="G510">
        <v>0</v>
      </c>
      <c r="H510">
        <v>628</v>
      </c>
      <c r="I510">
        <f>VLOOKUP(Scores[[#This Row],[MRUN]],Demographics[],3,FALSE)</f>
        <v>8</v>
      </c>
      <c r="J510">
        <f>AVERAGE(Scores[[#This Row],[LYC]],Scores[[#This Row],[MATE]])</f>
        <v>595.5</v>
      </c>
      <c r="K510">
        <f>VLOOKUP(Scores[[#This Row],[MRUN]],Demographics[],6,FALSE)</f>
        <v>0</v>
      </c>
      <c r="L510">
        <f>VLOOKUP(Scores[[#This Row],[MRUN]],Demographics[], 7,FALSE)</f>
        <v>0</v>
      </c>
      <c r="M510">
        <f>VLOOKUP(Scores[[#This Row],[MRUN]],Demographics[], 5, FALSE)</f>
        <v>2</v>
      </c>
    </row>
    <row r="511" spans="1:13" hidden="1" x14ac:dyDescent="0.2">
      <c r="A511" s="1">
        <v>18272017</v>
      </c>
      <c r="B511">
        <v>2</v>
      </c>
      <c r="C511">
        <v>2</v>
      </c>
      <c r="D511">
        <v>558</v>
      </c>
      <c r="E511">
        <v>471</v>
      </c>
      <c r="F511">
        <v>428</v>
      </c>
      <c r="G511">
        <v>521</v>
      </c>
      <c r="H511">
        <v>0</v>
      </c>
      <c r="I511">
        <f>VLOOKUP(Scores[[#This Row],[MRUN]],Demographics[],3,FALSE)</f>
        <v>5</v>
      </c>
      <c r="J511">
        <f>AVERAGE(Scores[[#This Row],[LYC]],Scores[[#This Row],[MATE]])</f>
        <v>449.5</v>
      </c>
      <c r="K511">
        <f>VLOOKUP(Scores[[#This Row],[MRUN]],Demographics[],6,FALSE)</f>
        <v>5</v>
      </c>
      <c r="L511">
        <f>VLOOKUP(Scores[[#This Row],[MRUN]],Demographics[], 7,FALSE)</f>
        <v>4</v>
      </c>
      <c r="M511">
        <f>VLOOKUP(Scores[[#This Row],[MRUN]],Demographics[], 5, FALSE)</f>
        <v>1</v>
      </c>
    </row>
    <row r="512" spans="1:13" hidden="1" x14ac:dyDescent="0.2">
      <c r="A512" s="1">
        <v>1731941</v>
      </c>
      <c r="B512">
        <v>1</v>
      </c>
      <c r="C512">
        <v>2</v>
      </c>
      <c r="D512">
        <v>661</v>
      </c>
      <c r="E512">
        <v>618</v>
      </c>
      <c r="F512">
        <v>606</v>
      </c>
      <c r="G512">
        <v>597</v>
      </c>
      <c r="H512">
        <v>587</v>
      </c>
      <c r="I512">
        <f>VLOOKUP(Scores[[#This Row],[MRUN]],Demographics[],3,FALSE)</f>
        <v>4</v>
      </c>
      <c r="J512">
        <f>AVERAGE(Scores[[#This Row],[LYC]],Scores[[#This Row],[MATE]])</f>
        <v>612</v>
      </c>
      <c r="K512">
        <f>VLOOKUP(Scores[[#This Row],[MRUN]],Demographics[],6,FALSE)</f>
        <v>5</v>
      </c>
      <c r="L512">
        <f>VLOOKUP(Scores[[#This Row],[MRUN]],Demographics[], 7,FALSE)</f>
        <v>3</v>
      </c>
      <c r="M512">
        <f>VLOOKUP(Scores[[#This Row],[MRUN]],Demographics[], 5, FALSE)</f>
        <v>4</v>
      </c>
    </row>
    <row r="513" spans="1:13" hidden="1" x14ac:dyDescent="0.2">
      <c r="A513" s="1">
        <v>2266328</v>
      </c>
      <c r="B513">
        <v>1</v>
      </c>
      <c r="C513">
        <v>3</v>
      </c>
      <c r="D513">
        <v>420</v>
      </c>
      <c r="E513">
        <v>471</v>
      </c>
      <c r="F513">
        <v>517</v>
      </c>
      <c r="G513">
        <v>0</v>
      </c>
      <c r="H513">
        <v>326</v>
      </c>
      <c r="I513">
        <f>VLOOKUP(Scores[[#This Row],[MRUN]],Demographics[],3,FALSE)</f>
        <v>3</v>
      </c>
      <c r="J513">
        <f>AVERAGE(Scores[[#This Row],[LYC]],Scores[[#This Row],[MATE]])</f>
        <v>494</v>
      </c>
      <c r="K513">
        <f>VLOOKUP(Scores[[#This Row],[MRUN]],Demographics[],6,FALSE)</f>
        <v>5</v>
      </c>
      <c r="L513">
        <f>VLOOKUP(Scores[[#This Row],[MRUN]],Demographics[], 7,FALSE)</f>
        <v>3</v>
      </c>
      <c r="M513">
        <f>VLOOKUP(Scores[[#This Row],[MRUN]],Demographics[], 5, FALSE)</f>
        <v>2</v>
      </c>
    </row>
    <row r="514" spans="1:13" hidden="1" x14ac:dyDescent="0.2">
      <c r="A514" s="1">
        <v>1197931</v>
      </c>
      <c r="B514">
        <v>1</v>
      </c>
      <c r="C514">
        <v>4</v>
      </c>
      <c r="D514">
        <v>476</v>
      </c>
      <c r="E514">
        <v>624</v>
      </c>
      <c r="F514">
        <v>614</v>
      </c>
      <c r="G514">
        <v>0</v>
      </c>
      <c r="H514">
        <v>686</v>
      </c>
      <c r="I514">
        <f>VLOOKUP(Scores[[#This Row],[MRUN]],Demographics[],3,FALSE)</f>
        <v>4</v>
      </c>
      <c r="J514">
        <f>AVERAGE(Scores[[#This Row],[LYC]],Scores[[#This Row],[MATE]])</f>
        <v>619</v>
      </c>
      <c r="K514">
        <f>VLOOKUP(Scores[[#This Row],[MRUN]],Demographics[],6,FALSE)</f>
        <v>10</v>
      </c>
      <c r="L514">
        <f>VLOOKUP(Scores[[#This Row],[MRUN]],Demographics[], 7,FALSE)</f>
        <v>8</v>
      </c>
      <c r="M514">
        <f>VLOOKUP(Scores[[#This Row],[MRUN]],Demographics[], 5, FALSE)</f>
        <v>3</v>
      </c>
    </row>
    <row r="515" spans="1:13" hidden="1" x14ac:dyDescent="0.2">
      <c r="A515" s="1">
        <v>20120829</v>
      </c>
      <c r="B515">
        <v>1</v>
      </c>
      <c r="C515">
        <v>3</v>
      </c>
      <c r="D515">
        <v>744</v>
      </c>
      <c r="E515">
        <v>757</v>
      </c>
      <c r="F515">
        <v>666</v>
      </c>
      <c r="G515">
        <v>663</v>
      </c>
      <c r="H515">
        <v>703</v>
      </c>
      <c r="I515">
        <f>VLOOKUP(Scores[[#This Row],[MRUN]],Demographics[],3,FALSE)</f>
        <v>5</v>
      </c>
      <c r="J515">
        <f>AVERAGE(Scores[[#This Row],[LYC]],Scores[[#This Row],[MATE]])</f>
        <v>711.5</v>
      </c>
      <c r="K515">
        <f>VLOOKUP(Scores[[#This Row],[MRUN]],Demographics[],6,FALSE)</f>
        <v>9</v>
      </c>
      <c r="L515">
        <f>VLOOKUP(Scores[[#This Row],[MRUN]],Demographics[], 7,FALSE)</f>
        <v>7</v>
      </c>
      <c r="M515">
        <f>VLOOKUP(Scores[[#This Row],[MRUN]],Demographics[], 5, FALSE)</f>
        <v>2</v>
      </c>
    </row>
    <row r="516" spans="1:13" hidden="1" x14ac:dyDescent="0.2">
      <c r="A516" s="1">
        <v>2598038</v>
      </c>
      <c r="B516">
        <v>1</v>
      </c>
      <c r="C516">
        <v>3</v>
      </c>
      <c r="D516">
        <v>599</v>
      </c>
      <c r="E516">
        <v>717</v>
      </c>
      <c r="F516">
        <v>636</v>
      </c>
      <c r="G516">
        <v>663</v>
      </c>
      <c r="H516">
        <v>650</v>
      </c>
      <c r="I516">
        <f>VLOOKUP(Scores[[#This Row],[MRUN]],Demographics[],3,FALSE)</f>
        <v>3</v>
      </c>
      <c r="J516">
        <f>AVERAGE(Scores[[#This Row],[LYC]],Scores[[#This Row],[MATE]])</f>
        <v>676.5</v>
      </c>
      <c r="K516">
        <f>VLOOKUP(Scores[[#This Row],[MRUN]],Demographics[],6,FALSE)</f>
        <v>5</v>
      </c>
      <c r="L516">
        <f>VLOOKUP(Scores[[#This Row],[MRUN]],Demographics[], 7,FALSE)</f>
        <v>9</v>
      </c>
      <c r="M516">
        <f>VLOOKUP(Scores[[#This Row],[MRUN]],Demographics[], 5, FALSE)</f>
        <v>2</v>
      </c>
    </row>
    <row r="517" spans="1:13" hidden="1" x14ac:dyDescent="0.2">
      <c r="A517" s="1">
        <v>23324817</v>
      </c>
      <c r="B517">
        <v>1</v>
      </c>
      <c r="C517">
        <v>4</v>
      </c>
      <c r="D517">
        <v>496</v>
      </c>
      <c r="E517">
        <v>451</v>
      </c>
      <c r="F517">
        <v>480</v>
      </c>
      <c r="G517">
        <v>552</v>
      </c>
      <c r="H517">
        <v>0</v>
      </c>
      <c r="I517">
        <f>VLOOKUP(Scores[[#This Row],[MRUN]],Demographics[],3,FALSE)</f>
        <v>5</v>
      </c>
      <c r="J517">
        <f>AVERAGE(Scores[[#This Row],[LYC]],Scores[[#This Row],[MATE]])</f>
        <v>465.5</v>
      </c>
      <c r="K517">
        <f>VLOOKUP(Scores[[#This Row],[MRUN]],Demographics[],6,FALSE)</f>
        <v>4</v>
      </c>
      <c r="L517">
        <f>VLOOKUP(Scores[[#This Row],[MRUN]],Demographics[], 7,FALSE)</f>
        <v>6</v>
      </c>
      <c r="M517">
        <f>VLOOKUP(Scores[[#This Row],[MRUN]],Demographics[], 5, FALSE)</f>
        <v>2</v>
      </c>
    </row>
    <row r="518" spans="1:13" hidden="1" x14ac:dyDescent="0.2">
      <c r="A518" s="1">
        <v>7073039</v>
      </c>
      <c r="B518">
        <v>2</v>
      </c>
      <c r="C518">
        <v>2</v>
      </c>
      <c r="D518">
        <v>599</v>
      </c>
      <c r="E518">
        <v>576</v>
      </c>
      <c r="F518">
        <v>574</v>
      </c>
      <c r="G518">
        <v>572</v>
      </c>
      <c r="H518">
        <v>0</v>
      </c>
      <c r="I518">
        <f>VLOOKUP(Scores[[#This Row],[MRUN]],Demographics[],3,FALSE)</f>
        <v>4</v>
      </c>
      <c r="J518">
        <f>AVERAGE(Scores[[#This Row],[LYC]],Scores[[#This Row],[MATE]])</f>
        <v>575</v>
      </c>
      <c r="K518">
        <f>VLOOKUP(Scores[[#This Row],[MRUN]],Demographics[],6,FALSE)</f>
        <v>5</v>
      </c>
      <c r="L518">
        <f>VLOOKUP(Scores[[#This Row],[MRUN]],Demographics[], 7,FALSE)</f>
        <v>5</v>
      </c>
      <c r="M518">
        <f>VLOOKUP(Scores[[#This Row],[MRUN]],Demographics[], 5, FALSE)</f>
        <v>3</v>
      </c>
    </row>
    <row r="519" spans="1:13" hidden="1" x14ac:dyDescent="0.2">
      <c r="A519" s="1">
        <v>10175920</v>
      </c>
      <c r="B519">
        <v>2</v>
      </c>
      <c r="C519">
        <v>4</v>
      </c>
      <c r="D519">
        <v>620</v>
      </c>
      <c r="E519">
        <v>683</v>
      </c>
      <c r="F519">
        <v>713</v>
      </c>
      <c r="G519">
        <v>699</v>
      </c>
      <c r="H519">
        <v>636</v>
      </c>
      <c r="I519">
        <f>VLOOKUP(Scores[[#This Row],[MRUN]],Demographics[],3,FALSE)</f>
        <v>7</v>
      </c>
      <c r="J519">
        <f>AVERAGE(Scores[[#This Row],[LYC]],Scores[[#This Row],[MATE]])</f>
        <v>698</v>
      </c>
      <c r="K519">
        <f>VLOOKUP(Scores[[#This Row],[MRUN]],Demographics[],6,FALSE)</f>
        <v>9</v>
      </c>
      <c r="L519">
        <f>VLOOKUP(Scores[[#This Row],[MRUN]],Demographics[], 7,FALSE)</f>
        <v>7</v>
      </c>
      <c r="M519">
        <f>VLOOKUP(Scores[[#This Row],[MRUN]],Demographics[], 5, FALSE)</f>
        <v>5</v>
      </c>
    </row>
    <row r="520" spans="1:13" hidden="1" x14ac:dyDescent="0.2">
      <c r="A520" s="1">
        <v>3767574</v>
      </c>
      <c r="B520">
        <v>1</v>
      </c>
      <c r="C520">
        <v>2</v>
      </c>
      <c r="D520">
        <v>496</v>
      </c>
      <c r="E520">
        <v>415</v>
      </c>
      <c r="F520">
        <v>413</v>
      </c>
      <c r="G520">
        <v>473</v>
      </c>
      <c r="H520">
        <v>0</v>
      </c>
      <c r="I520">
        <f>VLOOKUP(Scores[[#This Row],[MRUN]],Demographics[],3,FALSE)</f>
        <v>4</v>
      </c>
      <c r="J520">
        <f>AVERAGE(Scores[[#This Row],[LYC]],Scores[[#This Row],[MATE]])</f>
        <v>414</v>
      </c>
      <c r="K520">
        <f>VLOOKUP(Scores[[#This Row],[MRUN]],Demographics[],6,FALSE)</f>
        <v>5</v>
      </c>
      <c r="L520">
        <f>VLOOKUP(Scores[[#This Row],[MRUN]],Demographics[], 7,FALSE)</f>
        <v>5</v>
      </c>
      <c r="M520">
        <f>VLOOKUP(Scores[[#This Row],[MRUN]],Demographics[], 5, FALSE)</f>
        <v>1</v>
      </c>
    </row>
    <row r="521" spans="1:13" hidden="1" x14ac:dyDescent="0.2">
      <c r="A521" s="1">
        <v>7060411</v>
      </c>
      <c r="B521">
        <v>2</v>
      </c>
      <c r="C521">
        <v>4</v>
      </c>
      <c r="D521">
        <v>599</v>
      </c>
      <c r="E521">
        <v>581</v>
      </c>
      <c r="F521">
        <v>600</v>
      </c>
      <c r="G521">
        <v>0</v>
      </c>
      <c r="H521">
        <v>617</v>
      </c>
      <c r="I521">
        <f>VLOOKUP(Scores[[#This Row],[MRUN]],Demographics[],3,FALSE)</f>
        <v>5</v>
      </c>
      <c r="J521">
        <f>AVERAGE(Scores[[#This Row],[LYC]],Scores[[#This Row],[MATE]])</f>
        <v>590.5</v>
      </c>
      <c r="K521">
        <f>VLOOKUP(Scores[[#This Row],[MRUN]],Demographics[],6,FALSE)</f>
        <v>9</v>
      </c>
      <c r="L521">
        <f>VLOOKUP(Scores[[#This Row],[MRUN]],Demographics[], 7,FALSE)</f>
        <v>5</v>
      </c>
      <c r="M521">
        <f>VLOOKUP(Scores[[#This Row],[MRUN]],Demographics[], 5, FALSE)</f>
        <v>3</v>
      </c>
    </row>
    <row r="522" spans="1:13" hidden="1" x14ac:dyDescent="0.2">
      <c r="A522" s="1">
        <v>5227390</v>
      </c>
      <c r="B522">
        <v>1</v>
      </c>
      <c r="C522">
        <v>2</v>
      </c>
      <c r="D522">
        <v>0</v>
      </c>
      <c r="E522">
        <v>471</v>
      </c>
      <c r="F522">
        <v>328</v>
      </c>
      <c r="G522">
        <v>428</v>
      </c>
      <c r="H522">
        <v>0</v>
      </c>
      <c r="I522">
        <f>VLOOKUP(Scores[[#This Row],[MRUN]],Demographics[],3,FALSE)</f>
        <v>3</v>
      </c>
      <c r="J522">
        <f>AVERAGE(Scores[[#This Row],[LYC]],Scores[[#This Row],[MATE]])</f>
        <v>399.5</v>
      </c>
      <c r="K522">
        <f>VLOOKUP(Scores[[#This Row],[MRUN]],Demographics[],6,FALSE)</f>
        <v>5</v>
      </c>
      <c r="L522">
        <f>VLOOKUP(Scores[[#This Row],[MRUN]],Demographics[], 7,FALSE)</f>
        <v>4</v>
      </c>
      <c r="M522">
        <f>VLOOKUP(Scores[[#This Row],[MRUN]],Demographics[], 5, FALSE)</f>
        <v>2</v>
      </c>
    </row>
    <row r="523" spans="1:13" hidden="1" x14ac:dyDescent="0.2">
      <c r="A523" s="1">
        <v>15001562</v>
      </c>
      <c r="B523">
        <v>2</v>
      </c>
      <c r="C523">
        <v>2</v>
      </c>
      <c r="D523">
        <v>579</v>
      </c>
      <c r="E523">
        <v>547</v>
      </c>
      <c r="F523">
        <v>300</v>
      </c>
      <c r="G523">
        <v>521</v>
      </c>
      <c r="H523">
        <v>0</v>
      </c>
      <c r="I523">
        <f>VLOOKUP(Scores[[#This Row],[MRUN]],Demographics[],3,FALSE)</f>
        <v>4</v>
      </c>
      <c r="J523">
        <f>AVERAGE(Scores[[#This Row],[LYC]],Scores[[#This Row],[MATE]])</f>
        <v>423.5</v>
      </c>
      <c r="K523">
        <f>VLOOKUP(Scores[[#This Row],[MRUN]],Demographics[],6,FALSE)</f>
        <v>6</v>
      </c>
      <c r="L523">
        <f>VLOOKUP(Scores[[#This Row],[MRUN]],Demographics[], 7,FALSE)</f>
        <v>4</v>
      </c>
      <c r="M523">
        <f>VLOOKUP(Scores[[#This Row],[MRUN]],Demographics[], 5, FALSE)</f>
        <v>2</v>
      </c>
    </row>
    <row r="524" spans="1:13" hidden="1" x14ac:dyDescent="0.2">
      <c r="A524" s="1">
        <v>12534149</v>
      </c>
      <c r="B524">
        <v>2</v>
      </c>
      <c r="C524">
        <v>4</v>
      </c>
      <c r="D524">
        <v>785</v>
      </c>
      <c r="E524">
        <v>779</v>
      </c>
      <c r="F524">
        <v>763</v>
      </c>
      <c r="G524">
        <v>0</v>
      </c>
      <c r="H524">
        <v>798</v>
      </c>
      <c r="I524">
        <f>VLOOKUP(Scores[[#This Row],[MRUN]],Demographics[],3,FALSE)</f>
        <v>0</v>
      </c>
      <c r="J524">
        <f>AVERAGE(Scores[[#This Row],[LYC]],Scores[[#This Row],[MATE]])</f>
        <v>771</v>
      </c>
      <c r="K524">
        <f>VLOOKUP(Scores[[#This Row],[MRUN]],Demographics[],6,FALSE)</f>
        <v>0</v>
      </c>
      <c r="L524">
        <f>VLOOKUP(Scores[[#This Row],[MRUN]],Demographics[], 7,FALSE)</f>
        <v>0</v>
      </c>
      <c r="M524">
        <f>VLOOKUP(Scores[[#This Row],[MRUN]],Demographics[], 5, FALSE)</f>
        <v>3</v>
      </c>
    </row>
    <row r="525" spans="1:13" hidden="1" x14ac:dyDescent="0.2">
      <c r="A525" s="1">
        <v>3455649</v>
      </c>
      <c r="B525">
        <v>1</v>
      </c>
      <c r="C525">
        <v>2</v>
      </c>
      <c r="D525">
        <v>538</v>
      </c>
      <c r="E525">
        <v>521</v>
      </c>
      <c r="F525">
        <v>523</v>
      </c>
      <c r="G525">
        <v>0</v>
      </c>
      <c r="H525">
        <v>491</v>
      </c>
      <c r="I525">
        <f>VLOOKUP(Scores[[#This Row],[MRUN]],Demographics[],3,FALSE)</f>
        <v>5</v>
      </c>
      <c r="J525">
        <f>AVERAGE(Scores[[#This Row],[LYC]],Scores[[#This Row],[MATE]])</f>
        <v>522</v>
      </c>
      <c r="K525">
        <f>VLOOKUP(Scores[[#This Row],[MRUN]],Demographics[],6,FALSE)</f>
        <v>9</v>
      </c>
      <c r="L525">
        <f>VLOOKUP(Scores[[#This Row],[MRUN]],Demographics[], 7,FALSE)</f>
        <v>7</v>
      </c>
      <c r="M525">
        <f>VLOOKUP(Scores[[#This Row],[MRUN]],Demographics[], 5, FALSE)</f>
        <v>2</v>
      </c>
    </row>
    <row r="526" spans="1:13" hidden="1" x14ac:dyDescent="0.2">
      <c r="A526" s="1">
        <v>250308</v>
      </c>
      <c r="B526">
        <v>2</v>
      </c>
      <c r="C526">
        <v>3</v>
      </c>
      <c r="D526">
        <v>476</v>
      </c>
      <c r="E526">
        <v>526</v>
      </c>
      <c r="F526">
        <v>661</v>
      </c>
      <c r="G526">
        <v>0</v>
      </c>
      <c r="H526">
        <v>602</v>
      </c>
      <c r="I526">
        <f>VLOOKUP(Scores[[#This Row],[MRUN]],Demographics[],3,FALSE)</f>
        <v>4</v>
      </c>
      <c r="J526">
        <f>AVERAGE(Scores[[#This Row],[LYC]],Scores[[#This Row],[MATE]])</f>
        <v>593.5</v>
      </c>
      <c r="K526">
        <f>VLOOKUP(Scores[[#This Row],[MRUN]],Demographics[],6,FALSE)</f>
        <v>7</v>
      </c>
      <c r="L526">
        <f>VLOOKUP(Scores[[#This Row],[MRUN]],Demographics[], 7,FALSE)</f>
        <v>7</v>
      </c>
      <c r="M526">
        <f>VLOOKUP(Scores[[#This Row],[MRUN]],Demographics[], 5, FALSE)</f>
        <v>1</v>
      </c>
    </row>
    <row r="527" spans="1:13" hidden="1" x14ac:dyDescent="0.2">
      <c r="A527" s="1">
        <v>21612966</v>
      </c>
      <c r="B527">
        <v>2</v>
      </c>
      <c r="C527">
        <v>2</v>
      </c>
      <c r="D527">
        <v>476</v>
      </c>
      <c r="E527">
        <v>367</v>
      </c>
      <c r="F527">
        <v>300</v>
      </c>
      <c r="G527">
        <v>501</v>
      </c>
      <c r="H527">
        <v>0</v>
      </c>
      <c r="I527">
        <f>VLOOKUP(Scores[[#This Row],[MRUN]],Demographics[],3,FALSE)</f>
        <v>5</v>
      </c>
      <c r="J527">
        <f>AVERAGE(Scores[[#This Row],[LYC]],Scores[[#This Row],[MATE]])</f>
        <v>333.5</v>
      </c>
      <c r="K527">
        <f>VLOOKUP(Scores[[#This Row],[MRUN]],Demographics[],6,FALSE)</f>
        <v>6</v>
      </c>
      <c r="L527">
        <f>VLOOKUP(Scores[[#This Row],[MRUN]],Demographics[], 7,FALSE)</f>
        <v>4</v>
      </c>
      <c r="M527">
        <f>VLOOKUP(Scores[[#This Row],[MRUN]],Demographics[], 5, FALSE)</f>
        <v>1</v>
      </c>
    </row>
    <row r="528" spans="1:13" hidden="1" x14ac:dyDescent="0.2">
      <c r="A528" s="1">
        <v>7523946</v>
      </c>
      <c r="B528">
        <v>2</v>
      </c>
      <c r="C528">
        <v>3</v>
      </c>
      <c r="D528">
        <v>376</v>
      </c>
      <c r="E528">
        <v>0</v>
      </c>
      <c r="F528">
        <v>0</v>
      </c>
      <c r="G528">
        <v>0</v>
      </c>
      <c r="H528">
        <v>0</v>
      </c>
      <c r="I528">
        <f>VLOOKUP(Scores[[#This Row],[MRUN]],Demographics[],3,FALSE)</f>
        <v>6</v>
      </c>
      <c r="J528">
        <f>AVERAGE(Scores[[#This Row],[LYC]],Scores[[#This Row],[MATE]])</f>
        <v>0</v>
      </c>
      <c r="K528">
        <f>VLOOKUP(Scores[[#This Row],[MRUN]],Demographics[],6,FALSE)</f>
        <v>4</v>
      </c>
      <c r="L528">
        <f>VLOOKUP(Scores[[#This Row],[MRUN]],Demographics[], 7,FALSE)</f>
        <v>2</v>
      </c>
      <c r="M528">
        <f>VLOOKUP(Scores[[#This Row],[MRUN]],Demographics[], 5, FALSE)</f>
        <v>1</v>
      </c>
    </row>
    <row r="529" spans="1:13" hidden="1" x14ac:dyDescent="0.2">
      <c r="A529" s="1">
        <v>11465521</v>
      </c>
      <c r="B529">
        <v>2</v>
      </c>
      <c r="C529">
        <v>2</v>
      </c>
      <c r="D529">
        <v>458</v>
      </c>
      <c r="E529">
        <v>567</v>
      </c>
      <c r="F529">
        <v>480</v>
      </c>
      <c r="G529">
        <v>531</v>
      </c>
      <c r="H529">
        <v>0</v>
      </c>
      <c r="I529">
        <f>VLOOKUP(Scores[[#This Row],[MRUN]],Demographics[],3,FALSE)</f>
        <v>10</v>
      </c>
      <c r="J529">
        <f>AVERAGE(Scores[[#This Row],[LYC]],Scores[[#This Row],[MATE]])</f>
        <v>523.5</v>
      </c>
      <c r="K529">
        <f>VLOOKUP(Scores[[#This Row],[MRUN]],Demographics[],6,FALSE)</f>
        <v>5</v>
      </c>
      <c r="L529">
        <f>VLOOKUP(Scores[[#This Row],[MRUN]],Demographics[], 7,FALSE)</f>
        <v>7</v>
      </c>
      <c r="M529">
        <f>VLOOKUP(Scores[[#This Row],[MRUN]],Demographics[], 5, FALSE)</f>
        <v>1</v>
      </c>
    </row>
    <row r="530" spans="1:13" hidden="1" x14ac:dyDescent="0.2">
      <c r="A530" s="1">
        <v>9126719</v>
      </c>
      <c r="B530">
        <v>1</v>
      </c>
      <c r="C530">
        <v>2</v>
      </c>
      <c r="D530">
        <v>435</v>
      </c>
      <c r="E530">
        <v>388</v>
      </c>
      <c r="F530">
        <v>463</v>
      </c>
      <c r="G530">
        <v>428</v>
      </c>
      <c r="H530">
        <v>376</v>
      </c>
      <c r="I530">
        <f>VLOOKUP(Scores[[#This Row],[MRUN]],Demographics[],3,FALSE)</f>
        <v>5</v>
      </c>
      <c r="J530">
        <f>AVERAGE(Scores[[#This Row],[LYC]],Scores[[#This Row],[MATE]])</f>
        <v>425.5</v>
      </c>
      <c r="K530">
        <f>VLOOKUP(Scores[[#This Row],[MRUN]],Demographics[],6,FALSE)</f>
        <v>9</v>
      </c>
      <c r="L530">
        <f>VLOOKUP(Scores[[#This Row],[MRUN]],Demographics[], 7,FALSE)</f>
        <v>5</v>
      </c>
      <c r="M530">
        <f>VLOOKUP(Scores[[#This Row],[MRUN]],Demographics[], 5, FALSE)</f>
        <v>2</v>
      </c>
    </row>
    <row r="531" spans="1:13" hidden="1" x14ac:dyDescent="0.2">
      <c r="A531" s="1">
        <v>24731336</v>
      </c>
      <c r="B531">
        <v>2</v>
      </c>
      <c r="C531">
        <v>3</v>
      </c>
      <c r="D531">
        <v>417</v>
      </c>
      <c r="E531">
        <v>388</v>
      </c>
      <c r="F531">
        <v>441</v>
      </c>
      <c r="G531">
        <v>380</v>
      </c>
      <c r="H531">
        <v>417</v>
      </c>
      <c r="I531">
        <f>VLOOKUP(Scores[[#This Row],[MRUN]],Demographics[],3,FALSE)</f>
        <v>3</v>
      </c>
      <c r="J531">
        <f>AVERAGE(Scores[[#This Row],[LYC]],Scores[[#This Row],[MATE]])</f>
        <v>414.5</v>
      </c>
      <c r="K531">
        <f>VLOOKUP(Scores[[#This Row],[MRUN]],Demographics[],6,FALSE)</f>
        <v>3</v>
      </c>
      <c r="L531">
        <f>VLOOKUP(Scores[[#This Row],[MRUN]],Demographics[], 7,FALSE)</f>
        <v>3</v>
      </c>
      <c r="M531">
        <f>VLOOKUP(Scores[[#This Row],[MRUN]],Demographics[], 5, FALSE)</f>
        <v>1</v>
      </c>
    </row>
    <row r="532" spans="1:13" hidden="1" x14ac:dyDescent="0.2">
      <c r="A532" s="1">
        <v>8333367</v>
      </c>
      <c r="B532">
        <v>1</v>
      </c>
      <c r="C532">
        <v>3</v>
      </c>
      <c r="D532">
        <v>641</v>
      </c>
      <c r="E532">
        <v>636</v>
      </c>
      <c r="F532">
        <v>609</v>
      </c>
      <c r="G532">
        <v>0</v>
      </c>
      <c r="H532">
        <v>636</v>
      </c>
      <c r="I532">
        <f>VLOOKUP(Scores[[#This Row],[MRUN]],Demographics[],3,FALSE)</f>
        <v>6</v>
      </c>
      <c r="J532">
        <f>AVERAGE(Scores[[#This Row],[LYC]],Scores[[#This Row],[MATE]])</f>
        <v>622.5</v>
      </c>
      <c r="K532">
        <f>VLOOKUP(Scores[[#This Row],[MRUN]],Demographics[],6,FALSE)</f>
        <v>8</v>
      </c>
      <c r="L532">
        <f>VLOOKUP(Scores[[#This Row],[MRUN]],Demographics[], 7,FALSE)</f>
        <v>8</v>
      </c>
      <c r="M532">
        <f>VLOOKUP(Scores[[#This Row],[MRUN]],Demographics[], 5, FALSE)</f>
        <v>4</v>
      </c>
    </row>
    <row r="533" spans="1:13" hidden="1" x14ac:dyDescent="0.2">
      <c r="A533" s="1">
        <v>14207749</v>
      </c>
      <c r="B533">
        <v>1</v>
      </c>
      <c r="C533">
        <v>3</v>
      </c>
      <c r="D533">
        <v>517</v>
      </c>
      <c r="E533">
        <v>494</v>
      </c>
      <c r="F533">
        <v>527</v>
      </c>
      <c r="G533">
        <v>639</v>
      </c>
      <c r="H533">
        <v>0</v>
      </c>
      <c r="I533">
        <f>VLOOKUP(Scores[[#This Row],[MRUN]],Demographics[],3,FALSE)</f>
        <v>4</v>
      </c>
      <c r="J533">
        <f>AVERAGE(Scores[[#This Row],[LYC]],Scores[[#This Row],[MATE]])</f>
        <v>510.5</v>
      </c>
      <c r="K533">
        <f>VLOOKUP(Scores[[#This Row],[MRUN]],Demographics[],6,FALSE)</f>
        <v>9</v>
      </c>
      <c r="L533">
        <f>VLOOKUP(Scores[[#This Row],[MRUN]],Demographics[], 7,FALSE)</f>
        <v>9</v>
      </c>
      <c r="M533">
        <f>VLOOKUP(Scores[[#This Row],[MRUN]],Demographics[], 5, FALSE)</f>
        <v>2</v>
      </c>
    </row>
    <row r="534" spans="1:13" hidden="1" x14ac:dyDescent="0.2">
      <c r="A534" s="1">
        <v>4932811</v>
      </c>
      <c r="B534">
        <v>1</v>
      </c>
      <c r="C534">
        <v>2</v>
      </c>
      <c r="D534">
        <v>580</v>
      </c>
      <c r="E534">
        <v>547</v>
      </c>
      <c r="F534">
        <v>480</v>
      </c>
      <c r="G534">
        <v>0</v>
      </c>
      <c r="H534">
        <v>543</v>
      </c>
      <c r="I534">
        <f>VLOOKUP(Scores[[#This Row],[MRUN]],Demographics[],3,FALSE)</f>
        <v>6</v>
      </c>
      <c r="J534">
        <f>AVERAGE(Scores[[#This Row],[LYC]],Scores[[#This Row],[MATE]])</f>
        <v>513.5</v>
      </c>
      <c r="K534">
        <f>VLOOKUP(Scores[[#This Row],[MRUN]],Demographics[],6,FALSE)</f>
        <v>5</v>
      </c>
      <c r="L534">
        <f>VLOOKUP(Scores[[#This Row],[MRUN]],Demographics[], 7,FALSE)</f>
        <v>5</v>
      </c>
      <c r="M534">
        <f>VLOOKUP(Scores[[#This Row],[MRUN]],Demographics[], 5, FALSE)</f>
        <v>1</v>
      </c>
    </row>
    <row r="535" spans="1:13" hidden="1" x14ac:dyDescent="0.2">
      <c r="A535" s="1">
        <v>2176575</v>
      </c>
      <c r="B535">
        <v>1</v>
      </c>
      <c r="C535">
        <v>2</v>
      </c>
      <c r="D535">
        <v>373</v>
      </c>
      <c r="E535">
        <v>516</v>
      </c>
      <c r="F535">
        <v>536</v>
      </c>
      <c r="G535">
        <v>0</v>
      </c>
      <c r="H535">
        <v>504</v>
      </c>
      <c r="I535">
        <f>VLOOKUP(Scores[[#This Row],[MRUN]],Demographics[],3,FALSE)</f>
        <v>5</v>
      </c>
      <c r="J535">
        <f>AVERAGE(Scores[[#This Row],[LYC]],Scores[[#This Row],[MATE]])</f>
        <v>526</v>
      </c>
      <c r="K535">
        <f>VLOOKUP(Scores[[#This Row],[MRUN]],Demographics[],6,FALSE)</f>
        <v>3</v>
      </c>
      <c r="L535">
        <f>VLOOKUP(Scores[[#This Row],[MRUN]],Demographics[], 7,FALSE)</f>
        <v>5</v>
      </c>
      <c r="M535">
        <f>VLOOKUP(Scores[[#This Row],[MRUN]],Demographics[], 5, FALSE)</f>
        <v>1</v>
      </c>
    </row>
    <row r="536" spans="1:13" hidden="1" x14ac:dyDescent="0.2">
      <c r="A536" s="1">
        <v>23539344</v>
      </c>
      <c r="B536">
        <v>2</v>
      </c>
      <c r="C536">
        <v>2</v>
      </c>
      <c r="D536">
        <v>580</v>
      </c>
      <c r="E536">
        <v>499</v>
      </c>
      <c r="F536">
        <v>506</v>
      </c>
      <c r="G536">
        <v>557</v>
      </c>
      <c r="H536">
        <v>0</v>
      </c>
      <c r="I536">
        <f>VLOOKUP(Scores[[#This Row],[MRUN]],Demographics[],3,FALSE)</f>
        <v>4</v>
      </c>
      <c r="J536">
        <f>AVERAGE(Scores[[#This Row],[LYC]],Scores[[#This Row],[MATE]])</f>
        <v>502.5</v>
      </c>
      <c r="K536">
        <f>VLOOKUP(Scores[[#This Row],[MRUN]],Demographics[],6,FALSE)</f>
        <v>2</v>
      </c>
      <c r="L536">
        <f>VLOOKUP(Scores[[#This Row],[MRUN]],Demographics[], 7,FALSE)</f>
        <v>2</v>
      </c>
      <c r="M536">
        <f>VLOOKUP(Scores[[#This Row],[MRUN]],Demographics[], 5, FALSE)</f>
        <v>1</v>
      </c>
    </row>
    <row r="537" spans="1:13" hidden="1" x14ac:dyDescent="0.2">
      <c r="A537" s="1">
        <v>18834158</v>
      </c>
      <c r="B537">
        <v>1</v>
      </c>
      <c r="C537">
        <v>2</v>
      </c>
      <c r="D537">
        <v>478</v>
      </c>
      <c r="E537">
        <v>444</v>
      </c>
      <c r="F537">
        <v>0</v>
      </c>
      <c r="G537">
        <v>348</v>
      </c>
      <c r="H537">
        <v>344</v>
      </c>
      <c r="I537">
        <f>VLOOKUP(Scores[[#This Row],[MRUN]],Demographics[],3,FALSE)</f>
        <v>4</v>
      </c>
      <c r="J537">
        <f>AVERAGE(Scores[[#This Row],[LYC]],Scores[[#This Row],[MATE]])</f>
        <v>222</v>
      </c>
      <c r="K537">
        <f>VLOOKUP(Scores[[#This Row],[MRUN]],Demographics[],6,FALSE)</f>
        <v>2</v>
      </c>
      <c r="L537">
        <f>VLOOKUP(Scores[[#This Row],[MRUN]],Demographics[], 7,FALSE)</f>
        <v>2</v>
      </c>
      <c r="M537">
        <f>VLOOKUP(Scores[[#This Row],[MRUN]],Demographics[], 5, FALSE)</f>
        <v>1</v>
      </c>
    </row>
    <row r="538" spans="1:13" hidden="1" x14ac:dyDescent="0.2">
      <c r="A538" s="1">
        <v>20004027</v>
      </c>
      <c r="B538">
        <v>2</v>
      </c>
      <c r="C538">
        <v>2</v>
      </c>
      <c r="D538">
        <v>499</v>
      </c>
      <c r="E538">
        <v>0</v>
      </c>
      <c r="F538">
        <v>0</v>
      </c>
      <c r="G538">
        <v>0</v>
      </c>
      <c r="H538">
        <v>0</v>
      </c>
      <c r="I538">
        <f>VLOOKUP(Scores[[#This Row],[MRUN]],Demographics[],3,FALSE)</f>
        <v>4</v>
      </c>
      <c r="J538">
        <f>AVERAGE(Scores[[#This Row],[LYC]],Scores[[#This Row],[MATE]])</f>
        <v>0</v>
      </c>
      <c r="K538">
        <f>VLOOKUP(Scores[[#This Row],[MRUN]],Demographics[],6,FALSE)</f>
        <v>2</v>
      </c>
      <c r="L538">
        <f>VLOOKUP(Scores[[#This Row],[MRUN]],Demographics[], 7,FALSE)</f>
        <v>2</v>
      </c>
      <c r="M538">
        <f>VLOOKUP(Scores[[#This Row],[MRUN]],Demographics[], 5, FALSE)</f>
        <v>1</v>
      </c>
    </row>
    <row r="539" spans="1:13" hidden="1" x14ac:dyDescent="0.2">
      <c r="A539" s="1">
        <v>17525049</v>
      </c>
      <c r="B539">
        <v>2</v>
      </c>
      <c r="C539">
        <v>3</v>
      </c>
      <c r="D539">
        <v>641</v>
      </c>
      <c r="E539">
        <v>571</v>
      </c>
      <c r="F539">
        <v>600</v>
      </c>
      <c r="G539">
        <v>0</v>
      </c>
      <c r="H539">
        <v>606</v>
      </c>
      <c r="I539">
        <f>VLOOKUP(Scores[[#This Row],[MRUN]],Demographics[],3,FALSE)</f>
        <v>5</v>
      </c>
      <c r="J539">
        <f>AVERAGE(Scores[[#This Row],[LYC]],Scores[[#This Row],[MATE]])</f>
        <v>585.5</v>
      </c>
      <c r="K539">
        <f>VLOOKUP(Scores[[#This Row],[MRUN]],Demographics[],6,FALSE)</f>
        <v>9</v>
      </c>
      <c r="L539">
        <f>VLOOKUP(Scores[[#This Row],[MRUN]],Demographics[], 7,FALSE)</f>
        <v>8</v>
      </c>
      <c r="M539">
        <f>VLOOKUP(Scores[[#This Row],[MRUN]],Demographics[], 5, FALSE)</f>
        <v>2</v>
      </c>
    </row>
    <row r="540" spans="1:13" hidden="1" x14ac:dyDescent="0.2">
      <c r="A540" s="1">
        <v>511371</v>
      </c>
      <c r="B540">
        <v>2</v>
      </c>
      <c r="C540">
        <v>3</v>
      </c>
      <c r="D540">
        <v>0</v>
      </c>
      <c r="E540">
        <v>0</v>
      </c>
      <c r="F540">
        <v>0</v>
      </c>
      <c r="G540">
        <v>0</v>
      </c>
      <c r="H540">
        <v>0</v>
      </c>
      <c r="I540">
        <f>VLOOKUP(Scores[[#This Row],[MRUN]],Demographics[],3,FALSE)</f>
        <v>5</v>
      </c>
      <c r="J540">
        <f>AVERAGE(Scores[[#This Row],[LYC]],Scores[[#This Row],[MATE]])</f>
        <v>0</v>
      </c>
      <c r="K540">
        <f>VLOOKUP(Scores[[#This Row],[MRUN]],Demographics[],6,FALSE)</f>
        <v>4</v>
      </c>
      <c r="L540">
        <f>VLOOKUP(Scores[[#This Row],[MRUN]],Demographics[], 7,FALSE)</f>
        <v>4</v>
      </c>
      <c r="M540">
        <f>VLOOKUP(Scores[[#This Row],[MRUN]],Demographics[], 5, FALSE)</f>
        <v>1</v>
      </c>
    </row>
    <row r="541" spans="1:13" hidden="1" x14ac:dyDescent="0.2">
      <c r="A541" s="1">
        <v>5217612</v>
      </c>
      <c r="B541">
        <v>1</v>
      </c>
      <c r="C541">
        <v>2</v>
      </c>
      <c r="D541">
        <v>539</v>
      </c>
      <c r="E541">
        <v>0</v>
      </c>
      <c r="F541">
        <v>0</v>
      </c>
      <c r="G541">
        <v>0</v>
      </c>
      <c r="H541">
        <v>0</v>
      </c>
      <c r="I541">
        <f>VLOOKUP(Scores[[#This Row],[MRUN]],Demographics[],3,FALSE)</f>
        <v>5</v>
      </c>
      <c r="J541">
        <f>AVERAGE(Scores[[#This Row],[LYC]],Scores[[#This Row],[MATE]])</f>
        <v>0</v>
      </c>
      <c r="K541">
        <f>VLOOKUP(Scores[[#This Row],[MRUN]],Demographics[],6,FALSE)</f>
        <v>5</v>
      </c>
      <c r="L541">
        <f>VLOOKUP(Scores[[#This Row],[MRUN]],Demographics[], 7,FALSE)</f>
        <v>3</v>
      </c>
      <c r="M541">
        <f>VLOOKUP(Scores[[#This Row],[MRUN]],Demographics[], 5, FALSE)</f>
        <v>1</v>
      </c>
    </row>
    <row r="542" spans="1:13" hidden="1" x14ac:dyDescent="0.2">
      <c r="A542" s="1">
        <v>12059356</v>
      </c>
      <c r="B542">
        <v>2</v>
      </c>
      <c r="C542">
        <v>2</v>
      </c>
      <c r="D542">
        <v>435</v>
      </c>
      <c r="E542">
        <v>464</v>
      </c>
      <c r="F542">
        <v>395</v>
      </c>
      <c r="G542">
        <v>495</v>
      </c>
      <c r="H542">
        <v>0</v>
      </c>
      <c r="I542">
        <f>VLOOKUP(Scores[[#This Row],[MRUN]],Demographics[],3,FALSE)</f>
        <v>4</v>
      </c>
      <c r="J542">
        <f>AVERAGE(Scores[[#This Row],[LYC]],Scores[[#This Row],[MATE]])</f>
        <v>429.5</v>
      </c>
      <c r="K542">
        <f>VLOOKUP(Scores[[#This Row],[MRUN]],Demographics[],6,FALSE)</f>
        <v>5</v>
      </c>
      <c r="L542">
        <f>VLOOKUP(Scores[[#This Row],[MRUN]],Demographics[], 7,FALSE)</f>
        <v>5</v>
      </c>
      <c r="M542">
        <f>VLOOKUP(Scores[[#This Row],[MRUN]],Demographics[], 5, FALSE)</f>
        <v>1</v>
      </c>
    </row>
    <row r="543" spans="1:13" hidden="1" x14ac:dyDescent="0.2">
      <c r="A543" s="1">
        <v>21138170</v>
      </c>
      <c r="B543">
        <v>2</v>
      </c>
      <c r="C543">
        <v>2</v>
      </c>
      <c r="D543">
        <v>499</v>
      </c>
      <c r="E543">
        <v>378</v>
      </c>
      <c r="F543">
        <v>480</v>
      </c>
      <c r="G543">
        <v>0</v>
      </c>
      <c r="H543">
        <v>459</v>
      </c>
      <c r="I543">
        <f>VLOOKUP(Scores[[#This Row],[MRUN]],Demographics[],3,FALSE)</f>
        <v>6</v>
      </c>
      <c r="J543">
        <f>AVERAGE(Scores[[#This Row],[LYC]],Scores[[#This Row],[MATE]])</f>
        <v>429</v>
      </c>
      <c r="K543">
        <f>VLOOKUP(Scores[[#This Row],[MRUN]],Demographics[],6,FALSE)</f>
        <v>5</v>
      </c>
      <c r="L543">
        <f>VLOOKUP(Scores[[#This Row],[MRUN]],Demographics[], 7,FALSE)</f>
        <v>3</v>
      </c>
      <c r="M543">
        <f>VLOOKUP(Scores[[#This Row],[MRUN]],Demographics[], 5, FALSE)</f>
        <v>1</v>
      </c>
    </row>
    <row r="544" spans="1:13" hidden="1" x14ac:dyDescent="0.2">
      <c r="A544" s="1">
        <v>15263016</v>
      </c>
      <c r="B544">
        <v>1</v>
      </c>
      <c r="C544">
        <v>2</v>
      </c>
      <c r="D544">
        <v>599</v>
      </c>
      <c r="E544">
        <v>592</v>
      </c>
      <c r="F544">
        <v>628</v>
      </c>
      <c r="G544">
        <v>557</v>
      </c>
      <c r="H544">
        <v>567</v>
      </c>
      <c r="I544">
        <f>VLOOKUP(Scores[[#This Row],[MRUN]],Demographics[],3,FALSE)</f>
        <v>5</v>
      </c>
      <c r="J544">
        <f>AVERAGE(Scores[[#This Row],[LYC]],Scores[[#This Row],[MATE]])</f>
        <v>610</v>
      </c>
      <c r="K544">
        <f>VLOOKUP(Scores[[#This Row],[MRUN]],Demographics[],6,FALSE)</f>
        <v>5</v>
      </c>
      <c r="L544">
        <f>VLOOKUP(Scores[[#This Row],[MRUN]],Demographics[], 7,FALSE)</f>
        <v>4</v>
      </c>
      <c r="M544">
        <f>VLOOKUP(Scores[[#This Row],[MRUN]],Demographics[], 5, FALSE)</f>
        <v>1</v>
      </c>
    </row>
    <row r="545" spans="1:13" hidden="1" x14ac:dyDescent="0.2">
      <c r="A545" s="1">
        <v>21339985</v>
      </c>
      <c r="B545">
        <v>2</v>
      </c>
      <c r="C545">
        <v>2</v>
      </c>
      <c r="D545">
        <v>538</v>
      </c>
      <c r="E545">
        <v>516</v>
      </c>
      <c r="F545">
        <v>582</v>
      </c>
      <c r="G545">
        <v>473</v>
      </c>
      <c r="H545">
        <v>0</v>
      </c>
      <c r="I545">
        <f>VLOOKUP(Scores[[#This Row],[MRUN]],Demographics[],3,FALSE)</f>
        <v>5</v>
      </c>
      <c r="J545">
        <f>AVERAGE(Scores[[#This Row],[LYC]],Scores[[#This Row],[MATE]])</f>
        <v>549</v>
      </c>
      <c r="K545">
        <f>VLOOKUP(Scores[[#This Row],[MRUN]],Demographics[],6,FALSE)</f>
        <v>0</v>
      </c>
      <c r="L545">
        <f>VLOOKUP(Scores[[#This Row],[MRUN]],Demographics[], 7,FALSE)</f>
        <v>2</v>
      </c>
      <c r="M545">
        <f>VLOOKUP(Scores[[#This Row],[MRUN]],Demographics[], 5, FALSE)</f>
        <v>2</v>
      </c>
    </row>
    <row r="546" spans="1:13" hidden="1" x14ac:dyDescent="0.2">
      <c r="A546" s="1">
        <v>18567681</v>
      </c>
      <c r="B546">
        <v>2</v>
      </c>
      <c r="C546">
        <v>3</v>
      </c>
      <c r="D546">
        <v>582</v>
      </c>
      <c r="E546">
        <v>415</v>
      </c>
      <c r="F546">
        <v>211</v>
      </c>
      <c r="G546">
        <v>0</v>
      </c>
      <c r="H546">
        <v>439</v>
      </c>
      <c r="I546">
        <f>VLOOKUP(Scores[[#This Row],[MRUN]],Demographics[],3,FALSE)</f>
        <v>0</v>
      </c>
      <c r="J546">
        <f>AVERAGE(Scores[[#This Row],[LYC]],Scores[[#This Row],[MATE]])</f>
        <v>313</v>
      </c>
      <c r="K546">
        <f>VLOOKUP(Scores[[#This Row],[MRUN]],Demographics[],6,FALSE)</f>
        <v>0</v>
      </c>
      <c r="L546">
        <f>VLOOKUP(Scores[[#This Row],[MRUN]],Demographics[], 7,FALSE)</f>
        <v>0</v>
      </c>
      <c r="M546">
        <f>VLOOKUP(Scores[[#This Row],[MRUN]],Demographics[], 5, FALSE)</f>
        <v>1</v>
      </c>
    </row>
    <row r="547" spans="1:13" hidden="1" x14ac:dyDescent="0.2">
      <c r="A547" s="1">
        <v>5031459</v>
      </c>
      <c r="B547">
        <v>1</v>
      </c>
      <c r="C547">
        <v>2</v>
      </c>
      <c r="D547">
        <v>538</v>
      </c>
      <c r="E547">
        <v>510</v>
      </c>
      <c r="F547">
        <v>0</v>
      </c>
      <c r="G547">
        <v>527</v>
      </c>
      <c r="H547">
        <v>0</v>
      </c>
      <c r="I547">
        <f>VLOOKUP(Scores[[#This Row],[MRUN]],Demographics[],3,FALSE)</f>
        <v>4</v>
      </c>
      <c r="J547">
        <f>AVERAGE(Scores[[#This Row],[LYC]],Scores[[#This Row],[MATE]])</f>
        <v>255</v>
      </c>
      <c r="K547">
        <f>VLOOKUP(Scores[[#This Row],[MRUN]],Demographics[],6,FALSE)</f>
        <v>5</v>
      </c>
      <c r="L547">
        <f>VLOOKUP(Scores[[#This Row],[MRUN]],Demographics[], 7,FALSE)</f>
        <v>5</v>
      </c>
      <c r="M547">
        <f>VLOOKUP(Scores[[#This Row],[MRUN]],Demographics[], 5, FALSE)</f>
        <v>1</v>
      </c>
    </row>
    <row r="548" spans="1:13" hidden="1" x14ac:dyDescent="0.2">
      <c r="A548" s="1">
        <v>3963624</v>
      </c>
      <c r="B548">
        <v>1</v>
      </c>
      <c r="C548">
        <v>2</v>
      </c>
      <c r="D548">
        <v>414</v>
      </c>
      <c r="E548">
        <v>356</v>
      </c>
      <c r="F548">
        <v>300</v>
      </c>
      <c r="G548">
        <v>0</v>
      </c>
      <c r="H548">
        <v>417</v>
      </c>
      <c r="I548">
        <f>VLOOKUP(Scores[[#This Row],[MRUN]],Demographics[],3,FALSE)</f>
        <v>7</v>
      </c>
      <c r="J548">
        <f>AVERAGE(Scores[[#This Row],[LYC]],Scores[[#This Row],[MATE]])</f>
        <v>328</v>
      </c>
      <c r="K548">
        <f>VLOOKUP(Scores[[#This Row],[MRUN]],Demographics[],6,FALSE)</f>
        <v>3</v>
      </c>
      <c r="L548">
        <f>VLOOKUP(Scores[[#This Row],[MRUN]],Demographics[], 7,FALSE)</f>
        <v>2</v>
      </c>
      <c r="M548">
        <f>VLOOKUP(Scores[[#This Row],[MRUN]],Demographics[], 5, FALSE)</f>
        <v>1</v>
      </c>
    </row>
    <row r="549" spans="1:13" hidden="1" x14ac:dyDescent="0.2">
      <c r="A549" s="1">
        <v>20418494</v>
      </c>
      <c r="B549">
        <v>1</v>
      </c>
      <c r="C549">
        <v>2</v>
      </c>
      <c r="D549">
        <v>437</v>
      </c>
      <c r="E549">
        <v>378</v>
      </c>
      <c r="F549">
        <v>428</v>
      </c>
      <c r="G549">
        <v>442</v>
      </c>
      <c r="H549">
        <v>0</v>
      </c>
      <c r="I549">
        <f>VLOOKUP(Scores[[#This Row],[MRUN]],Demographics[],3,FALSE)</f>
        <v>6</v>
      </c>
      <c r="J549">
        <f>AVERAGE(Scores[[#This Row],[LYC]],Scores[[#This Row],[MATE]])</f>
        <v>403</v>
      </c>
      <c r="K549">
        <f>VLOOKUP(Scores[[#This Row],[MRUN]],Demographics[],6,FALSE)</f>
        <v>3</v>
      </c>
      <c r="L549">
        <f>VLOOKUP(Scores[[#This Row],[MRUN]],Demographics[], 7,FALSE)</f>
        <v>5</v>
      </c>
      <c r="M549">
        <f>VLOOKUP(Scores[[#This Row],[MRUN]],Demographics[], 5, FALSE)</f>
        <v>1</v>
      </c>
    </row>
    <row r="550" spans="1:13" hidden="1" x14ac:dyDescent="0.2">
      <c r="A550" s="1">
        <v>23622229</v>
      </c>
      <c r="B550">
        <v>1</v>
      </c>
      <c r="C550">
        <v>2</v>
      </c>
      <c r="D550">
        <v>455</v>
      </c>
      <c r="E550">
        <v>547</v>
      </c>
      <c r="F550">
        <v>523</v>
      </c>
      <c r="G550">
        <v>521</v>
      </c>
      <c r="H550">
        <v>449</v>
      </c>
      <c r="I550">
        <f>VLOOKUP(Scores[[#This Row],[MRUN]],Demographics[],3,FALSE)</f>
        <v>5</v>
      </c>
      <c r="J550">
        <f>AVERAGE(Scores[[#This Row],[LYC]],Scores[[#This Row],[MATE]])</f>
        <v>535</v>
      </c>
      <c r="K550">
        <f>VLOOKUP(Scores[[#This Row],[MRUN]],Demographics[],6,FALSE)</f>
        <v>2</v>
      </c>
      <c r="L550">
        <f>VLOOKUP(Scores[[#This Row],[MRUN]],Demographics[], 7,FALSE)</f>
        <v>7</v>
      </c>
      <c r="M550">
        <f>VLOOKUP(Scores[[#This Row],[MRUN]],Demographics[], 5, FALSE)</f>
        <v>1</v>
      </c>
    </row>
    <row r="551" spans="1:13" hidden="1" x14ac:dyDescent="0.2">
      <c r="A551" s="1">
        <v>878415</v>
      </c>
      <c r="B551">
        <v>2</v>
      </c>
      <c r="C551">
        <v>4</v>
      </c>
      <c r="D551">
        <v>764</v>
      </c>
      <c r="E551">
        <v>737</v>
      </c>
      <c r="F551">
        <v>728</v>
      </c>
      <c r="G551">
        <v>0</v>
      </c>
      <c r="H551">
        <v>756</v>
      </c>
      <c r="I551">
        <f>VLOOKUP(Scores[[#This Row],[MRUN]],Demographics[],3,FALSE)</f>
        <v>4</v>
      </c>
      <c r="J551">
        <f>AVERAGE(Scores[[#This Row],[LYC]],Scores[[#This Row],[MATE]])</f>
        <v>732.5</v>
      </c>
      <c r="K551">
        <f>VLOOKUP(Scores[[#This Row],[MRUN]],Demographics[],6,FALSE)</f>
        <v>9</v>
      </c>
      <c r="L551">
        <f>VLOOKUP(Scores[[#This Row],[MRUN]],Demographics[], 7,FALSE)</f>
        <v>8</v>
      </c>
      <c r="M551">
        <f>VLOOKUP(Scores[[#This Row],[MRUN]],Demographics[], 5, FALSE)</f>
        <v>3</v>
      </c>
    </row>
    <row r="552" spans="1:13" hidden="1" x14ac:dyDescent="0.2">
      <c r="A552" s="1">
        <v>10399630</v>
      </c>
      <c r="B552">
        <v>1</v>
      </c>
      <c r="C552">
        <v>4</v>
      </c>
      <c r="D552">
        <v>682</v>
      </c>
      <c r="E552">
        <v>641</v>
      </c>
      <c r="F552">
        <v>719</v>
      </c>
      <c r="G552">
        <v>0</v>
      </c>
      <c r="H552">
        <v>703</v>
      </c>
      <c r="I552">
        <f>VLOOKUP(Scores[[#This Row],[MRUN]],Demographics[],3,FALSE)</f>
        <v>6</v>
      </c>
      <c r="J552">
        <f>AVERAGE(Scores[[#This Row],[LYC]],Scores[[#This Row],[MATE]])</f>
        <v>680</v>
      </c>
      <c r="K552">
        <f>VLOOKUP(Scores[[#This Row],[MRUN]],Demographics[],6,FALSE)</f>
        <v>9</v>
      </c>
      <c r="L552">
        <f>VLOOKUP(Scores[[#This Row],[MRUN]],Demographics[], 7,FALSE)</f>
        <v>9</v>
      </c>
      <c r="M552">
        <f>VLOOKUP(Scores[[#This Row],[MRUN]],Demographics[], 5, FALSE)</f>
        <v>4</v>
      </c>
    </row>
    <row r="553" spans="1:13" x14ac:dyDescent="0.2">
      <c r="A553" s="1">
        <v>4167382</v>
      </c>
      <c r="B553">
        <v>2</v>
      </c>
      <c r="C553">
        <v>4</v>
      </c>
      <c r="D553">
        <v>785</v>
      </c>
      <c r="E553">
        <v>707</v>
      </c>
      <c r="F553">
        <v>828</v>
      </c>
      <c r="G553">
        <v>0</v>
      </c>
      <c r="H553">
        <v>829</v>
      </c>
      <c r="I553">
        <f>VLOOKUP(Scores[[#This Row],[MRUN]],Demographics[],3,FALSE)</f>
        <v>0</v>
      </c>
      <c r="J553">
        <f>AVERAGE(Scores[[#This Row],[LYC]],Scores[[#This Row],[MATE]])</f>
        <v>767.5</v>
      </c>
      <c r="K553">
        <f>VLOOKUP(Scores[[#This Row],[MRUN]],Demographics[],6,FALSE)</f>
        <v>0</v>
      </c>
      <c r="L553">
        <f>VLOOKUP(Scores[[#This Row],[MRUN]],Demographics[], 7,FALSE)</f>
        <v>0</v>
      </c>
      <c r="M553">
        <f>VLOOKUP(Scores[[#This Row],[MRUN]],Demographics[], 5, FALSE)</f>
        <v>4</v>
      </c>
    </row>
    <row r="554" spans="1:13" hidden="1" x14ac:dyDescent="0.2">
      <c r="A554" s="1">
        <v>8862940</v>
      </c>
      <c r="B554">
        <v>1</v>
      </c>
      <c r="C554">
        <v>2</v>
      </c>
      <c r="D554">
        <v>458</v>
      </c>
      <c r="E554">
        <v>464</v>
      </c>
      <c r="F554">
        <v>480</v>
      </c>
      <c r="G554">
        <v>442</v>
      </c>
      <c r="H554">
        <v>0</v>
      </c>
      <c r="I554">
        <f>VLOOKUP(Scores[[#This Row],[MRUN]],Demographics[],3,FALSE)</f>
        <v>4</v>
      </c>
      <c r="J554">
        <f>AVERAGE(Scores[[#This Row],[LYC]],Scores[[#This Row],[MATE]])</f>
        <v>472</v>
      </c>
      <c r="K554">
        <f>VLOOKUP(Scores[[#This Row],[MRUN]],Demographics[],6,FALSE)</f>
        <v>2</v>
      </c>
      <c r="L554">
        <f>VLOOKUP(Scores[[#This Row],[MRUN]],Demographics[], 7,FALSE)</f>
        <v>2</v>
      </c>
      <c r="M554">
        <f>VLOOKUP(Scores[[#This Row],[MRUN]],Demographics[], 5, FALSE)</f>
        <v>1</v>
      </c>
    </row>
    <row r="555" spans="1:13" hidden="1" x14ac:dyDescent="0.2">
      <c r="A555" s="1">
        <v>16254368</v>
      </c>
      <c r="B555">
        <v>2</v>
      </c>
      <c r="C555">
        <v>2</v>
      </c>
      <c r="D555">
        <v>538</v>
      </c>
      <c r="E555">
        <v>0</v>
      </c>
      <c r="F555">
        <v>0</v>
      </c>
      <c r="G555">
        <v>0</v>
      </c>
      <c r="H555">
        <v>0</v>
      </c>
      <c r="I555">
        <f>VLOOKUP(Scores[[#This Row],[MRUN]],Demographics[],3,FALSE)</f>
        <v>5</v>
      </c>
      <c r="J555">
        <f>AVERAGE(Scores[[#This Row],[LYC]],Scores[[#This Row],[MATE]])</f>
        <v>0</v>
      </c>
      <c r="K555">
        <f>VLOOKUP(Scores[[#This Row],[MRUN]],Demographics[],6,FALSE)</f>
        <v>2</v>
      </c>
      <c r="L555">
        <f>VLOOKUP(Scores[[#This Row],[MRUN]],Demographics[], 7,FALSE)</f>
        <v>2</v>
      </c>
      <c r="M555">
        <f>VLOOKUP(Scores[[#This Row],[MRUN]],Demographics[], 5, FALSE)</f>
        <v>1</v>
      </c>
    </row>
    <row r="556" spans="1:13" hidden="1" x14ac:dyDescent="0.2">
      <c r="A556" s="1">
        <v>7109619</v>
      </c>
      <c r="B556">
        <v>2</v>
      </c>
      <c r="C556">
        <v>2</v>
      </c>
      <c r="D556">
        <v>315</v>
      </c>
      <c r="E556">
        <v>0</v>
      </c>
      <c r="F556">
        <v>0</v>
      </c>
      <c r="G556">
        <v>0</v>
      </c>
      <c r="H556">
        <v>0</v>
      </c>
      <c r="I556">
        <f>VLOOKUP(Scores[[#This Row],[MRUN]],Demographics[],3,FALSE)</f>
        <v>4</v>
      </c>
      <c r="J556">
        <f>AVERAGE(Scores[[#This Row],[LYC]],Scores[[#This Row],[MATE]])</f>
        <v>0</v>
      </c>
      <c r="K556">
        <f>VLOOKUP(Scores[[#This Row],[MRUN]],Demographics[],6,FALSE)</f>
        <v>5</v>
      </c>
      <c r="L556">
        <f>VLOOKUP(Scores[[#This Row],[MRUN]],Demographics[], 7,FALSE)</f>
        <v>3</v>
      </c>
      <c r="M556">
        <f>VLOOKUP(Scores[[#This Row],[MRUN]],Demographics[], 5, FALSE)</f>
        <v>1</v>
      </c>
    </row>
    <row r="557" spans="1:13" hidden="1" x14ac:dyDescent="0.2">
      <c r="A557" s="1">
        <v>22129413</v>
      </c>
      <c r="B557">
        <v>2</v>
      </c>
      <c r="C557">
        <v>3</v>
      </c>
      <c r="D557">
        <v>538</v>
      </c>
      <c r="E557">
        <v>537</v>
      </c>
      <c r="F557">
        <v>523</v>
      </c>
      <c r="G557">
        <v>0</v>
      </c>
      <c r="H557">
        <v>504</v>
      </c>
      <c r="I557">
        <f>VLOOKUP(Scores[[#This Row],[MRUN]],Demographics[],3,FALSE)</f>
        <v>4</v>
      </c>
      <c r="J557">
        <f>AVERAGE(Scores[[#This Row],[LYC]],Scores[[#This Row],[MATE]])</f>
        <v>530</v>
      </c>
      <c r="K557">
        <f>VLOOKUP(Scores[[#This Row],[MRUN]],Demographics[],6,FALSE)</f>
        <v>7</v>
      </c>
      <c r="L557">
        <f>VLOOKUP(Scores[[#This Row],[MRUN]],Demographics[], 7,FALSE)</f>
        <v>5</v>
      </c>
      <c r="M557">
        <f>VLOOKUP(Scores[[#This Row],[MRUN]],Demographics[], 5, FALSE)</f>
        <v>2</v>
      </c>
    </row>
    <row r="558" spans="1:13" hidden="1" x14ac:dyDescent="0.2">
      <c r="A558" s="1">
        <v>18987693</v>
      </c>
      <c r="B558">
        <v>1</v>
      </c>
      <c r="C558">
        <v>2</v>
      </c>
      <c r="D558">
        <v>538</v>
      </c>
      <c r="E558">
        <v>488</v>
      </c>
      <c r="F558">
        <v>603</v>
      </c>
      <c r="G558">
        <v>0</v>
      </c>
      <c r="H558">
        <v>663</v>
      </c>
      <c r="I558">
        <f>VLOOKUP(Scores[[#This Row],[MRUN]],Demographics[],3,FALSE)</f>
        <v>3</v>
      </c>
      <c r="J558">
        <f>AVERAGE(Scores[[#This Row],[LYC]],Scores[[#This Row],[MATE]])</f>
        <v>545.5</v>
      </c>
      <c r="K558">
        <f>VLOOKUP(Scores[[#This Row],[MRUN]],Demographics[],6,FALSE)</f>
        <v>7</v>
      </c>
      <c r="L558">
        <f>VLOOKUP(Scores[[#This Row],[MRUN]],Demographics[], 7,FALSE)</f>
        <v>7</v>
      </c>
      <c r="M558">
        <f>VLOOKUP(Scores[[#This Row],[MRUN]],Demographics[], 5, FALSE)</f>
        <v>1</v>
      </c>
    </row>
    <row r="559" spans="1:13" hidden="1" x14ac:dyDescent="0.2">
      <c r="A559" s="1">
        <v>11081520</v>
      </c>
      <c r="B559">
        <v>1</v>
      </c>
      <c r="C559">
        <v>2</v>
      </c>
      <c r="D559">
        <v>558</v>
      </c>
      <c r="E559">
        <v>510</v>
      </c>
      <c r="F559">
        <v>480</v>
      </c>
      <c r="G559">
        <v>617</v>
      </c>
      <c r="H559">
        <v>428</v>
      </c>
      <c r="I559">
        <f>VLOOKUP(Scores[[#This Row],[MRUN]],Demographics[],3,FALSE)</f>
        <v>7</v>
      </c>
      <c r="J559">
        <f>AVERAGE(Scores[[#This Row],[LYC]],Scores[[#This Row],[MATE]])</f>
        <v>495</v>
      </c>
      <c r="K559">
        <f>VLOOKUP(Scores[[#This Row],[MRUN]],Demographics[],6,FALSE)</f>
        <v>5</v>
      </c>
      <c r="L559">
        <f>VLOOKUP(Scores[[#This Row],[MRUN]],Demographics[], 7,FALSE)</f>
        <v>5</v>
      </c>
      <c r="M559">
        <f>VLOOKUP(Scores[[#This Row],[MRUN]],Demographics[], 5, FALSE)</f>
        <v>1</v>
      </c>
    </row>
    <row r="560" spans="1:13" hidden="1" x14ac:dyDescent="0.2">
      <c r="A560" s="1">
        <v>17145855</v>
      </c>
      <c r="B560">
        <v>1</v>
      </c>
      <c r="C560">
        <v>3</v>
      </c>
      <c r="D560">
        <v>437</v>
      </c>
      <c r="E560">
        <v>415</v>
      </c>
      <c r="F560">
        <v>472</v>
      </c>
      <c r="G560">
        <v>527</v>
      </c>
      <c r="H560">
        <v>391</v>
      </c>
      <c r="I560">
        <f>VLOOKUP(Scores[[#This Row],[MRUN]],Demographics[],3,FALSE)</f>
        <v>4</v>
      </c>
      <c r="J560">
        <f>AVERAGE(Scores[[#This Row],[LYC]],Scores[[#This Row],[MATE]])</f>
        <v>443.5</v>
      </c>
      <c r="K560">
        <f>VLOOKUP(Scores[[#This Row],[MRUN]],Demographics[],6,FALSE)</f>
        <v>5</v>
      </c>
      <c r="L560">
        <f>VLOOKUP(Scores[[#This Row],[MRUN]],Demographics[], 7,FALSE)</f>
        <v>7</v>
      </c>
      <c r="M560">
        <f>VLOOKUP(Scores[[#This Row],[MRUN]],Demographics[], 5, FALSE)</f>
        <v>2</v>
      </c>
    </row>
    <row r="561" spans="1:13" hidden="1" x14ac:dyDescent="0.2">
      <c r="A561" s="1">
        <v>21961882</v>
      </c>
      <c r="B561">
        <v>2</v>
      </c>
      <c r="C561">
        <v>2</v>
      </c>
      <c r="D561">
        <v>455</v>
      </c>
      <c r="E561">
        <v>641</v>
      </c>
      <c r="F561">
        <v>549</v>
      </c>
      <c r="G561">
        <v>639</v>
      </c>
      <c r="H561">
        <v>0</v>
      </c>
      <c r="I561">
        <f>VLOOKUP(Scores[[#This Row],[MRUN]],Demographics[],3,FALSE)</f>
        <v>5</v>
      </c>
      <c r="J561">
        <f>AVERAGE(Scores[[#This Row],[LYC]],Scores[[#This Row],[MATE]])</f>
        <v>595</v>
      </c>
      <c r="K561">
        <f>VLOOKUP(Scores[[#This Row],[MRUN]],Demographics[],6,FALSE)</f>
        <v>9</v>
      </c>
      <c r="L561">
        <f>VLOOKUP(Scores[[#This Row],[MRUN]],Demographics[], 7,FALSE)</f>
        <v>9</v>
      </c>
      <c r="M561">
        <f>VLOOKUP(Scores[[#This Row],[MRUN]],Demographics[], 5, FALSE)</f>
        <v>1</v>
      </c>
    </row>
    <row r="562" spans="1:13" hidden="1" x14ac:dyDescent="0.2">
      <c r="A562" s="1">
        <v>9119038</v>
      </c>
      <c r="B562">
        <v>1</v>
      </c>
      <c r="C562">
        <v>2</v>
      </c>
      <c r="D562">
        <v>476</v>
      </c>
      <c r="E562">
        <v>451</v>
      </c>
      <c r="F562">
        <v>441</v>
      </c>
      <c r="G562">
        <v>0</v>
      </c>
      <c r="H562">
        <v>376</v>
      </c>
      <c r="I562">
        <f>VLOOKUP(Scores[[#This Row],[MRUN]],Demographics[],3,FALSE)</f>
        <v>5</v>
      </c>
      <c r="J562">
        <f>AVERAGE(Scores[[#This Row],[LYC]],Scores[[#This Row],[MATE]])</f>
        <v>446</v>
      </c>
      <c r="K562">
        <f>VLOOKUP(Scores[[#This Row],[MRUN]],Demographics[],6,FALSE)</f>
        <v>5</v>
      </c>
      <c r="L562">
        <f>VLOOKUP(Scores[[#This Row],[MRUN]],Demographics[], 7,FALSE)</f>
        <v>5</v>
      </c>
      <c r="M562">
        <f>VLOOKUP(Scores[[#This Row],[MRUN]],Demographics[], 5, FALSE)</f>
        <v>1</v>
      </c>
    </row>
    <row r="563" spans="1:13" hidden="1" x14ac:dyDescent="0.2">
      <c r="A563" s="1">
        <v>23787431</v>
      </c>
      <c r="B563">
        <v>1</v>
      </c>
      <c r="C563">
        <v>2</v>
      </c>
      <c r="D563">
        <v>499</v>
      </c>
      <c r="E563">
        <v>430</v>
      </c>
      <c r="F563">
        <v>452</v>
      </c>
      <c r="G563">
        <v>512</v>
      </c>
      <c r="H563">
        <v>0</v>
      </c>
      <c r="I563">
        <f>VLOOKUP(Scores[[#This Row],[MRUN]],Demographics[],3,FALSE)</f>
        <v>4</v>
      </c>
      <c r="J563">
        <f>AVERAGE(Scores[[#This Row],[LYC]],Scores[[#This Row],[MATE]])</f>
        <v>441</v>
      </c>
      <c r="K563">
        <f>VLOOKUP(Scores[[#This Row],[MRUN]],Demographics[],6,FALSE)</f>
        <v>7</v>
      </c>
      <c r="L563">
        <f>VLOOKUP(Scores[[#This Row],[MRUN]],Demographics[], 7,FALSE)</f>
        <v>7</v>
      </c>
      <c r="M563">
        <f>VLOOKUP(Scores[[#This Row],[MRUN]],Demographics[], 5, FALSE)</f>
        <v>1</v>
      </c>
    </row>
    <row r="564" spans="1:13" hidden="1" x14ac:dyDescent="0.2">
      <c r="A564" s="1">
        <v>18651451</v>
      </c>
      <c r="B564">
        <v>2</v>
      </c>
      <c r="C564">
        <v>4</v>
      </c>
      <c r="D564">
        <v>538</v>
      </c>
      <c r="E564">
        <v>592</v>
      </c>
      <c r="F564">
        <v>557</v>
      </c>
      <c r="G564">
        <v>0</v>
      </c>
      <c r="H564">
        <v>549</v>
      </c>
      <c r="I564">
        <f>VLOOKUP(Scores[[#This Row],[MRUN]],Demographics[],3,FALSE)</f>
        <v>3</v>
      </c>
      <c r="J564">
        <f>AVERAGE(Scores[[#This Row],[LYC]],Scores[[#This Row],[MATE]])</f>
        <v>574.5</v>
      </c>
      <c r="K564">
        <f>VLOOKUP(Scores[[#This Row],[MRUN]],Demographics[],6,FALSE)</f>
        <v>10</v>
      </c>
      <c r="L564">
        <f>VLOOKUP(Scores[[#This Row],[MRUN]],Demographics[], 7,FALSE)</f>
        <v>9</v>
      </c>
      <c r="M564">
        <f>VLOOKUP(Scores[[#This Row],[MRUN]],Demographics[], 5, FALSE)</f>
        <v>3</v>
      </c>
    </row>
    <row r="565" spans="1:13" hidden="1" x14ac:dyDescent="0.2">
      <c r="A565" s="1">
        <v>17656279</v>
      </c>
      <c r="B565">
        <v>2</v>
      </c>
      <c r="C565">
        <v>3</v>
      </c>
      <c r="D565">
        <v>435</v>
      </c>
      <c r="E565">
        <v>499</v>
      </c>
      <c r="F565">
        <v>300</v>
      </c>
      <c r="G565">
        <v>454</v>
      </c>
      <c r="H565">
        <v>0</v>
      </c>
      <c r="I565">
        <f>VLOOKUP(Scores[[#This Row],[MRUN]],Demographics[],3,FALSE)</f>
        <v>3</v>
      </c>
      <c r="J565">
        <f>AVERAGE(Scores[[#This Row],[LYC]],Scores[[#This Row],[MATE]])</f>
        <v>399.5</v>
      </c>
      <c r="K565">
        <f>VLOOKUP(Scores[[#This Row],[MRUN]],Demographics[],6,FALSE)</f>
        <v>4</v>
      </c>
      <c r="L565">
        <f>VLOOKUP(Scores[[#This Row],[MRUN]],Demographics[], 7,FALSE)</f>
        <v>3</v>
      </c>
      <c r="M565">
        <f>VLOOKUP(Scores[[#This Row],[MRUN]],Demographics[], 5, FALSE)</f>
        <v>1</v>
      </c>
    </row>
    <row r="566" spans="1:13" hidden="1" x14ac:dyDescent="0.2">
      <c r="A566" s="1">
        <v>7824638</v>
      </c>
      <c r="B566">
        <v>2</v>
      </c>
      <c r="C566">
        <v>3</v>
      </c>
      <c r="D566">
        <v>539</v>
      </c>
      <c r="E566">
        <v>458</v>
      </c>
      <c r="F566">
        <v>472</v>
      </c>
      <c r="G566">
        <v>506</v>
      </c>
      <c r="H566">
        <v>528</v>
      </c>
      <c r="I566">
        <f>VLOOKUP(Scores[[#This Row],[MRUN]],Demographics[],3,FALSE)</f>
        <v>5</v>
      </c>
      <c r="J566">
        <f>AVERAGE(Scores[[#This Row],[LYC]],Scores[[#This Row],[MATE]])</f>
        <v>465</v>
      </c>
      <c r="K566">
        <f>VLOOKUP(Scores[[#This Row],[MRUN]],Demographics[],6,FALSE)</f>
        <v>5</v>
      </c>
      <c r="L566">
        <f>VLOOKUP(Scores[[#This Row],[MRUN]],Demographics[], 7,FALSE)</f>
        <v>2</v>
      </c>
      <c r="M566">
        <f>VLOOKUP(Scores[[#This Row],[MRUN]],Demographics[], 5, FALSE)</f>
        <v>2</v>
      </c>
    </row>
    <row r="567" spans="1:13" hidden="1" x14ac:dyDescent="0.2">
      <c r="A567" s="1">
        <v>20314408</v>
      </c>
      <c r="B567">
        <v>2</v>
      </c>
      <c r="C567">
        <v>3</v>
      </c>
      <c r="D567">
        <v>476</v>
      </c>
      <c r="E567">
        <v>458</v>
      </c>
      <c r="F567">
        <v>413</v>
      </c>
      <c r="G567">
        <v>0</v>
      </c>
      <c r="H567">
        <v>510</v>
      </c>
      <c r="I567">
        <f>VLOOKUP(Scores[[#This Row],[MRUN]],Demographics[],3,FALSE)</f>
        <v>4</v>
      </c>
      <c r="J567">
        <f>AVERAGE(Scores[[#This Row],[LYC]],Scores[[#This Row],[MATE]])</f>
        <v>435.5</v>
      </c>
      <c r="K567">
        <f>VLOOKUP(Scores[[#This Row],[MRUN]],Demographics[],6,FALSE)</f>
        <v>5</v>
      </c>
      <c r="L567">
        <f>VLOOKUP(Scores[[#This Row],[MRUN]],Demographics[], 7,FALSE)</f>
        <v>5</v>
      </c>
      <c r="M567">
        <f>VLOOKUP(Scores[[#This Row],[MRUN]],Demographics[], 5, FALSE)</f>
        <v>2</v>
      </c>
    </row>
    <row r="568" spans="1:13" x14ac:dyDescent="0.2">
      <c r="A568" s="1">
        <v>23724430</v>
      </c>
      <c r="B568">
        <v>1</v>
      </c>
      <c r="C568">
        <v>4</v>
      </c>
      <c r="D568">
        <v>599</v>
      </c>
      <c r="E568">
        <v>661</v>
      </c>
      <c r="F568">
        <v>828</v>
      </c>
      <c r="G568">
        <v>623</v>
      </c>
      <c r="H568">
        <v>697</v>
      </c>
      <c r="I568">
        <f>VLOOKUP(Scores[[#This Row],[MRUN]],Demographics[],3,FALSE)</f>
        <v>5</v>
      </c>
      <c r="J568">
        <f>AVERAGE(Scores[[#This Row],[LYC]],Scores[[#This Row],[MATE]])</f>
        <v>744.5</v>
      </c>
      <c r="K568">
        <f>VLOOKUP(Scores[[#This Row],[MRUN]],Demographics[],6,FALSE)</f>
        <v>9</v>
      </c>
      <c r="L568">
        <f>VLOOKUP(Scores[[#This Row],[MRUN]],Demographics[], 7,FALSE)</f>
        <v>9</v>
      </c>
      <c r="M568">
        <f>VLOOKUP(Scores[[#This Row],[MRUN]],Demographics[], 5, FALSE)</f>
        <v>3</v>
      </c>
    </row>
    <row r="569" spans="1:13" hidden="1" x14ac:dyDescent="0.2">
      <c r="A569" s="1">
        <v>3329433</v>
      </c>
      <c r="B569">
        <v>1</v>
      </c>
      <c r="C569">
        <v>4</v>
      </c>
      <c r="D569">
        <v>435</v>
      </c>
      <c r="E569">
        <v>655</v>
      </c>
      <c r="F569">
        <v>681</v>
      </c>
      <c r="G569">
        <v>692</v>
      </c>
      <c r="H569">
        <v>583</v>
      </c>
      <c r="I569">
        <f>VLOOKUP(Scores[[#This Row],[MRUN]],Demographics[],3,FALSE)</f>
        <v>3</v>
      </c>
      <c r="J569">
        <f>AVERAGE(Scores[[#This Row],[LYC]],Scores[[#This Row],[MATE]])</f>
        <v>668</v>
      </c>
      <c r="K569">
        <f>VLOOKUP(Scores[[#This Row],[MRUN]],Demographics[],6,FALSE)</f>
        <v>5</v>
      </c>
      <c r="L569">
        <f>VLOOKUP(Scores[[#This Row],[MRUN]],Demographics[], 7,FALSE)</f>
        <v>9</v>
      </c>
      <c r="M569">
        <f>VLOOKUP(Scores[[#This Row],[MRUN]],Demographics[], 5, FALSE)</f>
        <v>2</v>
      </c>
    </row>
    <row r="570" spans="1:13" hidden="1" x14ac:dyDescent="0.2">
      <c r="A570" s="1">
        <v>9582165</v>
      </c>
      <c r="B570">
        <v>2</v>
      </c>
      <c r="C570">
        <v>3</v>
      </c>
      <c r="D570">
        <v>420</v>
      </c>
      <c r="E570">
        <v>557</v>
      </c>
      <c r="F570">
        <v>353</v>
      </c>
      <c r="G570">
        <v>449</v>
      </c>
      <c r="H570">
        <v>0</v>
      </c>
      <c r="I570">
        <f>VLOOKUP(Scores[[#This Row],[MRUN]],Demographics[],3,FALSE)</f>
        <v>5</v>
      </c>
      <c r="J570">
        <f>AVERAGE(Scores[[#This Row],[LYC]],Scores[[#This Row],[MATE]])</f>
        <v>455</v>
      </c>
      <c r="K570">
        <f>VLOOKUP(Scores[[#This Row],[MRUN]],Demographics[],6,FALSE)</f>
        <v>5</v>
      </c>
      <c r="L570">
        <f>VLOOKUP(Scores[[#This Row],[MRUN]],Demographics[], 7,FALSE)</f>
        <v>4</v>
      </c>
      <c r="M570">
        <f>VLOOKUP(Scores[[#This Row],[MRUN]],Demographics[], 5, FALSE)</f>
        <v>1</v>
      </c>
    </row>
    <row r="571" spans="1:13" hidden="1" x14ac:dyDescent="0.2">
      <c r="A571" s="1">
        <v>7000538</v>
      </c>
      <c r="B571">
        <v>2</v>
      </c>
      <c r="C571">
        <v>3</v>
      </c>
      <c r="D571">
        <v>455</v>
      </c>
      <c r="E571">
        <v>551</v>
      </c>
      <c r="F571">
        <v>494</v>
      </c>
      <c r="G571">
        <v>657</v>
      </c>
      <c r="H571">
        <v>428</v>
      </c>
      <c r="I571">
        <f>VLOOKUP(Scores[[#This Row],[MRUN]],Demographics[],3,FALSE)</f>
        <v>6</v>
      </c>
      <c r="J571">
        <f>AVERAGE(Scores[[#This Row],[LYC]],Scores[[#This Row],[MATE]])</f>
        <v>522.5</v>
      </c>
      <c r="K571">
        <f>VLOOKUP(Scores[[#This Row],[MRUN]],Demographics[],6,FALSE)</f>
        <v>8</v>
      </c>
      <c r="L571">
        <f>VLOOKUP(Scores[[#This Row],[MRUN]],Demographics[], 7,FALSE)</f>
        <v>9</v>
      </c>
      <c r="M571">
        <f>VLOOKUP(Scores[[#This Row],[MRUN]],Demographics[], 5, FALSE)</f>
        <v>2</v>
      </c>
    </row>
    <row r="572" spans="1:13" hidden="1" x14ac:dyDescent="0.2">
      <c r="A572" s="1">
        <v>1501418</v>
      </c>
      <c r="B572">
        <v>2</v>
      </c>
      <c r="C572">
        <v>4</v>
      </c>
      <c r="D572">
        <v>641</v>
      </c>
      <c r="E572">
        <v>613</v>
      </c>
      <c r="F572">
        <v>644</v>
      </c>
      <c r="G572">
        <v>692</v>
      </c>
      <c r="H572">
        <v>0</v>
      </c>
      <c r="I572">
        <f>VLOOKUP(Scores[[#This Row],[MRUN]],Demographics[],3,FALSE)</f>
        <v>5</v>
      </c>
      <c r="J572">
        <f>AVERAGE(Scores[[#This Row],[LYC]],Scores[[#This Row],[MATE]])</f>
        <v>628.5</v>
      </c>
      <c r="K572">
        <f>VLOOKUP(Scores[[#This Row],[MRUN]],Demographics[],6,FALSE)</f>
        <v>9</v>
      </c>
      <c r="L572">
        <f>VLOOKUP(Scores[[#This Row],[MRUN]],Demographics[], 7,FALSE)</f>
        <v>7</v>
      </c>
      <c r="M572">
        <f>VLOOKUP(Scores[[#This Row],[MRUN]],Demographics[], 5, FALSE)</f>
        <v>3</v>
      </c>
    </row>
    <row r="573" spans="1:13" hidden="1" x14ac:dyDescent="0.2">
      <c r="A573" s="1">
        <v>24842556</v>
      </c>
      <c r="B573">
        <v>1</v>
      </c>
      <c r="C573">
        <v>4</v>
      </c>
      <c r="D573">
        <v>558</v>
      </c>
      <c r="E573">
        <v>537</v>
      </c>
      <c r="F573">
        <v>675</v>
      </c>
      <c r="G573">
        <v>531</v>
      </c>
      <c r="H573">
        <v>575</v>
      </c>
      <c r="I573">
        <f>VLOOKUP(Scores[[#This Row],[MRUN]],Demographics[],3,FALSE)</f>
        <v>7</v>
      </c>
      <c r="J573">
        <f>AVERAGE(Scores[[#This Row],[LYC]],Scores[[#This Row],[MATE]])</f>
        <v>606</v>
      </c>
      <c r="K573">
        <f>VLOOKUP(Scores[[#This Row],[MRUN]],Demographics[],6,FALSE)</f>
        <v>9</v>
      </c>
      <c r="L573">
        <f>VLOOKUP(Scores[[#This Row],[MRUN]],Demographics[], 7,FALSE)</f>
        <v>9</v>
      </c>
      <c r="M573">
        <f>VLOOKUP(Scores[[#This Row],[MRUN]],Demographics[], 5, FALSE)</f>
        <v>4</v>
      </c>
    </row>
    <row r="574" spans="1:13" hidden="1" x14ac:dyDescent="0.2">
      <c r="A574" s="1">
        <v>10818080</v>
      </c>
      <c r="B574">
        <v>2</v>
      </c>
      <c r="C574">
        <v>4</v>
      </c>
      <c r="D574">
        <v>538</v>
      </c>
      <c r="E574">
        <v>0</v>
      </c>
      <c r="F574">
        <v>0</v>
      </c>
      <c r="G574">
        <v>0</v>
      </c>
      <c r="H574">
        <v>0</v>
      </c>
      <c r="I574">
        <f>VLOOKUP(Scores[[#This Row],[MRUN]],Demographics[],3,FALSE)</f>
        <v>4</v>
      </c>
      <c r="J574">
        <f>AVERAGE(Scores[[#This Row],[LYC]],Scores[[#This Row],[MATE]])</f>
        <v>0</v>
      </c>
      <c r="K574">
        <f>VLOOKUP(Scores[[#This Row],[MRUN]],Demographics[],6,FALSE)</f>
        <v>9</v>
      </c>
      <c r="L574">
        <f>VLOOKUP(Scores[[#This Row],[MRUN]],Demographics[], 7,FALSE)</f>
        <v>5</v>
      </c>
      <c r="M574">
        <f>VLOOKUP(Scores[[#This Row],[MRUN]],Demographics[], 5, FALSE)</f>
        <v>2</v>
      </c>
    </row>
    <row r="575" spans="1:13" hidden="1" x14ac:dyDescent="0.2">
      <c r="A575" s="1">
        <v>916889</v>
      </c>
      <c r="B575">
        <v>1</v>
      </c>
      <c r="C575">
        <v>4</v>
      </c>
      <c r="D575">
        <v>414</v>
      </c>
      <c r="E575">
        <v>586</v>
      </c>
      <c r="F575">
        <v>579</v>
      </c>
      <c r="G575">
        <v>623</v>
      </c>
      <c r="H575">
        <v>0</v>
      </c>
      <c r="I575">
        <f>VLOOKUP(Scores[[#This Row],[MRUN]],Demographics[],3,FALSE)</f>
        <v>0</v>
      </c>
      <c r="J575">
        <f>AVERAGE(Scores[[#This Row],[LYC]],Scores[[#This Row],[MATE]])</f>
        <v>582.5</v>
      </c>
      <c r="K575">
        <f>VLOOKUP(Scores[[#This Row],[MRUN]],Demographics[],6,FALSE)</f>
        <v>0</v>
      </c>
      <c r="L575">
        <f>VLOOKUP(Scores[[#This Row],[MRUN]],Demographics[], 7,FALSE)</f>
        <v>0</v>
      </c>
      <c r="M575">
        <f>VLOOKUP(Scores[[#This Row],[MRUN]],Demographics[], 5, FALSE)</f>
        <v>3</v>
      </c>
    </row>
    <row r="576" spans="1:13" hidden="1" x14ac:dyDescent="0.2">
      <c r="A576" s="1">
        <v>23943663</v>
      </c>
      <c r="B576">
        <v>2</v>
      </c>
      <c r="C576">
        <v>4</v>
      </c>
      <c r="D576">
        <v>538</v>
      </c>
      <c r="E576">
        <v>629</v>
      </c>
      <c r="F576">
        <v>600</v>
      </c>
      <c r="G576">
        <v>592</v>
      </c>
      <c r="H576">
        <v>0</v>
      </c>
      <c r="I576">
        <f>VLOOKUP(Scores[[#This Row],[MRUN]],Demographics[],3,FALSE)</f>
        <v>5</v>
      </c>
      <c r="J576">
        <f>AVERAGE(Scores[[#This Row],[LYC]],Scores[[#This Row],[MATE]])</f>
        <v>614.5</v>
      </c>
      <c r="K576">
        <f>VLOOKUP(Scores[[#This Row],[MRUN]],Demographics[],6,FALSE)</f>
        <v>9</v>
      </c>
      <c r="L576">
        <f>VLOOKUP(Scores[[#This Row],[MRUN]],Demographics[], 7,FALSE)</f>
        <v>8</v>
      </c>
      <c r="M576">
        <f>VLOOKUP(Scores[[#This Row],[MRUN]],Demographics[], 5, FALSE)</f>
        <v>2</v>
      </c>
    </row>
    <row r="577" spans="1:13" hidden="1" x14ac:dyDescent="0.2">
      <c r="A577" s="1">
        <v>546257</v>
      </c>
      <c r="B577">
        <v>2</v>
      </c>
      <c r="C577">
        <v>4</v>
      </c>
      <c r="D577">
        <v>517</v>
      </c>
      <c r="E577">
        <v>636</v>
      </c>
      <c r="F577">
        <v>579</v>
      </c>
      <c r="G577">
        <v>557</v>
      </c>
      <c r="H577">
        <v>0</v>
      </c>
      <c r="I577">
        <f>VLOOKUP(Scores[[#This Row],[MRUN]],Demographics[],3,FALSE)</f>
        <v>5</v>
      </c>
      <c r="J577">
        <f>AVERAGE(Scores[[#This Row],[LYC]],Scores[[#This Row],[MATE]])</f>
        <v>607.5</v>
      </c>
      <c r="K577">
        <f>VLOOKUP(Scores[[#This Row],[MRUN]],Demographics[],6,FALSE)</f>
        <v>9</v>
      </c>
      <c r="L577">
        <f>VLOOKUP(Scores[[#This Row],[MRUN]],Demographics[], 7,FALSE)</f>
        <v>8</v>
      </c>
      <c r="M577">
        <f>VLOOKUP(Scores[[#This Row],[MRUN]],Demographics[], 5, FALSE)</f>
        <v>2</v>
      </c>
    </row>
    <row r="578" spans="1:13" hidden="1" x14ac:dyDescent="0.2">
      <c r="A578" s="1">
        <v>14311837</v>
      </c>
      <c r="B578">
        <v>2</v>
      </c>
      <c r="C578">
        <v>3</v>
      </c>
      <c r="D578">
        <v>499</v>
      </c>
      <c r="E578">
        <v>0</v>
      </c>
      <c r="F578">
        <v>0</v>
      </c>
      <c r="G578">
        <v>0</v>
      </c>
      <c r="H578">
        <v>0</v>
      </c>
      <c r="I578">
        <f>VLOOKUP(Scores[[#This Row],[MRUN]],Demographics[],3,FALSE)</f>
        <v>10</v>
      </c>
      <c r="J578">
        <f>AVERAGE(Scores[[#This Row],[LYC]],Scores[[#This Row],[MATE]])</f>
        <v>0</v>
      </c>
      <c r="K578">
        <f>VLOOKUP(Scores[[#This Row],[MRUN]],Demographics[],6,FALSE)</f>
        <v>2</v>
      </c>
      <c r="L578">
        <f>VLOOKUP(Scores[[#This Row],[MRUN]],Demographics[], 7,FALSE)</f>
        <v>2</v>
      </c>
      <c r="M578">
        <f>VLOOKUP(Scores[[#This Row],[MRUN]],Demographics[], 5, FALSE)</f>
        <v>1</v>
      </c>
    </row>
    <row r="579" spans="1:13" hidden="1" x14ac:dyDescent="0.2">
      <c r="A579" s="1">
        <v>13101366</v>
      </c>
      <c r="B579">
        <v>2</v>
      </c>
      <c r="C579">
        <v>2</v>
      </c>
      <c r="D579">
        <v>599</v>
      </c>
      <c r="E579">
        <v>655</v>
      </c>
      <c r="F579">
        <v>675</v>
      </c>
      <c r="G579">
        <v>0</v>
      </c>
      <c r="H579">
        <v>591</v>
      </c>
      <c r="I579">
        <f>VLOOKUP(Scores[[#This Row],[MRUN]],Demographics[],3,FALSE)</f>
        <v>2</v>
      </c>
      <c r="J579">
        <f>AVERAGE(Scores[[#This Row],[LYC]],Scores[[#This Row],[MATE]])</f>
        <v>665</v>
      </c>
      <c r="K579">
        <f>VLOOKUP(Scores[[#This Row],[MRUN]],Demographics[],6,FALSE)</f>
        <v>2</v>
      </c>
      <c r="L579">
        <f>VLOOKUP(Scores[[#This Row],[MRUN]],Demographics[], 7,FALSE)</f>
        <v>5</v>
      </c>
      <c r="M579">
        <f>VLOOKUP(Scores[[#This Row],[MRUN]],Demographics[], 5, FALSE)</f>
        <v>1</v>
      </c>
    </row>
    <row r="580" spans="1:13" hidden="1" x14ac:dyDescent="0.2">
      <c r="A580" s="1">
        <v>18084157</v>
      </c>
      <c r="B580">
        <v>2</v>
      </c>
      <c r="C580">
        <v>2</v>
      </c>
      <c r="D580">
        <v>517</v>
      </c>
      <c r="E580">
        <v>510</v>
      </c>
      <c r="F580">
        <v>376</v>
      </c>
      <c r="G580">
        <v>567</v>
      </c>
      <c r="H580">
        <v>0</v>
      </c>
      <c r="I580">
        <f>VLOOKUP(Scores[[#This Row],[MRUN]],Demographics[],3,FALSE)</f>
        <v>3</v>
      </c>
      <c r="J580">
        <f>AVERAGE(Scores[[#This Row],[LYC]],Scores[[#This Row],[MATE]])</f>
        <v>443</v>
      </c>
      <c r="K580">
        <f>VLOOKUP(Scores[[#This Row],[MRUN]],Demographics[],6,FALSE)</f>
        <v>5</v>
      </c>
      <c r="L580">
        <f>VLOOKUP(Scores[[#This Row],[MRUN]],Demographics[], 7,FALSE)</f>
        <v>5</v>
      </c>
      <c r="M580">
        <f>VLOOKUP(Scores[[#This Row],[MRUN]],Demographics[], 5, FALSE)</f>
        <v>1</v>
      </c>
    </row>
    <row r="581" spans="1:13" hidden="1" x14ac:dyDescent="0.2">
      <c r="A581" s="1">
        <v>10522603</v>
      </c>
      <c r="B581">
        <v>2</v>
      </c>
      <c r="C581">
        <v>2</v>
      </c>
      <c r="D581">
        <v>538</v>
      </c>
      <c r="E581">
        <v>592</v>
      </c>
      <c r="F581">
        <v>395</v>
      </c>
      <c r="G581">
        <v>670</v>
      </c>
      <c r="H581">
        <v>0</v>
      </c>
      <c r="I581">
        <f>VLOOKUP(Scores[[#This Row],[MRUN]],Demographics[],3,FALSE)</f>
        <v>4</v>
      </c>
      <c r="J581">
        <f>AVERAGE(Scores[[#This Row],[LYC]],Scores[[#This Row],[MATE]])</f>
        <v>493.5</v>
      </c>
      <c r="K581">
        <f>VLOOKUP(Scores[[#This Row],[MRUN]],Demographics[],6,FALSE)</f>
        <v>5</v>
      </c>
      <c r="L581">
        <f>VLOOKUP(Scores[[#This Row],[MRUN]],Demographics[], 7,FALSE)</f>
        <v>4</v>
      </c>
      <c r="M581">
        <f>VLOOKUP(Scores[[#This Row],[MRUN]],Demographics[], 5, FALSE)</f>
        <v>1</v>
      </c>
    </row>
    <row r="582" spans="1:13" hidden="1" x14ac:dyDescent="0.2">
      <c r="A582" s="1">
        <v>9224217</v>
      </c>
      <c r="B582">
        <v>2</v>
      </c>
      <c r="C582">
        <v>3</v>
      </c>
      <c r="D582">
        <v>478</v>
      </c>
      <c r="E582">
        <v>526</v>
      </c>
      <c r="F582">
        <v>494</v>
      </c>
      <c r="G582">
        <v>547</v>
      </c>
      <c r="H582">
        <v>497</v>
      </c>
      <c r="I582">
        <f>VLOOKUP(Scores[[#This Row],[MRUN]],Demographics[],3,FALSE)</f>
        <v>4</v>
      </c>
      <c r="J582">
        <f>AVERAGE(Scores[[#This Row],[LYC]],Scores[[#This Row],[MATE]])</f>
        <v>510</v>
      </c>
      <c r="K582">
        <f>VLOOKUP(Scores[[#This Row],[MRUN]],Demographics[],6,FALSE)</f>
        <v>4</v>
      </c>
      <c r="L582">
        <f>VLOOKUP(Scores[[#This Row],[MRUN]],Demographics[], 7,FALSE)</f>
        <v>4</v>
      </c>
      <c r="M582">
        <f>VLOOKUP(Scores[[#This Row],[MRUN]],Demographics[], 5, FALSE)</f>
        <v>1</v>
      </c>
    </row>
    <row r="583" spans="1:13" hidden="1" x14ac:dyDescent="0.2">
      <c r="A583" s="1">
        <v>9021191</v>
      </c>
      <c r="B583">
        <v>1</v>
      </c>
      <c r="C583">
        <v>3</v>
      </c>
      <c r="D583">
        <v>420</v>
      </c>
      <c r="E583">
        <v>0</v>
      </c>
      <c r="F583">
        <v>0</v>
      </c>
      <c r="G583">
        <v>0</v>
      </c>
      <c r="H583">
        <v>0</v>
      </c>
      <c r="I583">
        <f>VLOOKUP(Scores[[#This Row],[MRUN]],Demographics[],3,FALSE)</f>
        <v>8</v>
      </c>
      <c r="J583">
        <f>AVERAGE(Scores[[#This Row],[LYC]],Scores[[#This Row],[MATE]])</f>
        <v>0</v>
      </c>
      <c r="K583">
        <f>VLOOKUP(Scores[[#This Row],[MRUN]],Demographics[],6,FALSE)</f>
        <v>4</v>
      </c>
      <c r="L583">
        <f>VLOOKUP(Scores[[#This Row],[MRUN]],Demographics[], 7,FALSE)</f>
        <v>5</v>
      </c>
      <c r="M583">
        <f>VLOOKUP(Scores[[#This Row],[MRUN]],Demographics[], 5, FALSE)</f>
        <v>1</v>
      </c>
    </row>
    <row r="584" spans="1:13" hidden="1" x14ac:dyDescent="0.2">
      <c r="A584" s="1">
        <v>3899609</v>
      </c>
      <c r="B584">
        <v>2</v>
      </c>
      <c r="C584">
        <v>2</v>
      </c>
      <c r="D584">
        <v>311</v>
      </c>
      <c r="E584">
        <v>422</v>
      </c>
      <c r="F584">
        <v>395</v>
      </c>
      <c r="G584">
        <v>461</v>
      </c>
      <c r="H584">
        <v>0</v>
      </c>
      <c r="I584">
        <f>VLOOKUP(Scores[[#This Row],[MRUN]],Demographics[],3,FALSE)</f>
        <v>0</v>
      </c>
      <c r="J584">
        <f>AVERAGE(Scores[[#This Row],[LYC]],Scores[[#This Row],[MATE]])</f>
        <v>408.5</v>
      </c>
      <c r="K584">
        <f>VLOOKUP(Scores[[#This Row],[MRUN]],Demographics[],6,FALSE)</f>
        <v>0</v>
      </c>
      <c r="L584">
        <f>VLOOKUP(Scores[[#This Row],[MRUN]],Demographics[], 7,FALSE)</f>
        <v>0</v>
      </c>
      <c r="M584">
        <f>VLOOKUP(Scores[[#This Row],[MRUN]],Demographics[], 5, FALSE)</f>
        <v>1</v>
      </c>
    </row>
    <row r="585" spans="1:13" hidden="1" x14ac:dyDescent="0.2">
      <c r="A585" s="1">
        <v>9240104</v>
      </c>
      <c r="B585">
        <v>1</v>
      </c>
      <c r="C585">
        <v>3</v>
      </c>
      <c r="D585">
        <v>335</v>
      </c>
      <c r="E585">
        <v>0</v>
      </c>
      <c r="F585">
        <v>0</v>
      </c>
      <c r="G585">
        <v>0</v>
      </c>
      <c r="H585">
        <v>0</v>
      </c>
      <c r="I585">
        <f>VLOOKUP(Scores[[#This Row],[MRUN]],Demographics[],3,FALSE)</f>
        <v>5</v>
      </c>
      <c r="J585">
        <f>AVERAGE(Scores[[#This Row],[LYC]],Scores[[#This Row],[MATE]])</f>
        <v>0</v>
      </c>
      <c r="K585">
        <f>VLOOKUP(Scores[[#This Row],[MRUN]],Demographics[],6,FALSE)</f>
        <v>1</v>
      </c>
      <c r="L585">
        <f>VLOOKUP(Scores[[#This Row],[MRUN]],Demographics[], 7,FALSE)</f>
        <v>0</v>
      </c>
      <c r="M585">
        <f>VLOOKUP(Scores[[#This Row],[MRUN]],Demographics[], 5, FALSE)</f>
        <v>1</v>
      </c>
    </row>
    <row r="586" spans="1:13" hidden="1" x14ac:dyDescent="0.2">
      <c r="A586" s="1">
        <v>24872461</v>
      </c>
      <c r="B586">
        <v>1</v>
      </c>
      <c r="C586">
        <v>2</v>
      </c>
      <c r="D586">
        <v>437</v>
      </c>
      <c r="E586">
        <v>356</v>
      </c>
      <c r="F586">
        <v>413</v>
      </c>
      <c r="G586">
        <v>473</v>
      </c>
      <c r="H586">
        <v>0</v>
      </c>
      <c r="I586">
        <f>VLOOKUP(Scores[[#This Row],[MRUN]],Demographics[],3,FALSE)</f>
        <v>4</v>
      </c>
      <c r="J586">
        <f>AVERAGE(Scores[[#This Row],[LYC]],Scores[[#This Row],[MATE]])</f>
        <v>384.5</v>
      </c>
      <c r="K586">
        <f>VLOOKUP(Scores[[#This Row],[MRUN]],Demographics[],6,FALSE)</f>
        <v>5</v>
      </c>
      <c r="L586">
        <f>VLOOKUP(Scores[[#This Row],[MRUN]],Demographics[], 7,FALSE)</f>
        <v>2</v>
      </c>
      <c r="M586">
        <f>VLOOKUP(Scores[[#This Row],[MRUN]],Demographics[], 5, FALSE)</f>
        <v>1</v>
      </c>
    </row>
    <row r="587" spans="1:13" hidden="1" x14ac:dyDescent="0.2">
      <c r="A587" s="1">
        <v>8957662</v>
      </c>
      <c r="B587">
        <v>2</v>
      </c>
      <c r="C587">
        <v>2</v>
      </c>
      <c r="D587">
        <v>662</v>
      </c>
      <c r="E587">
        <v>648</v>
      </c>
      <c r="F587">
        <v>512</v>
      </c>
      <c r="G587">
        <v>562</v>
      </c>
      <c r="H587">
        <v>0</v>
      </c>
      <c r="I587">
        <f>VLOOKUP(Scores[[#This Row],[MRUN]],Demographics[],3,FALSE)</f>
        <v>3</v>
      </c>
      <c r="J587">
        <f>AVERAGE(Scores[[#This Row],[LYC]],Scores[[#This Row],[MATE]])</f>
        <v>580</v>
      </c>
      <c r="K587">
        <f>VLOOKUP(Scores[[#This Row],[MRUN]],Demographics[],6,FALSE)</f>
        <v>5</v>
      </c>
      <c r="L587">
        <f>VLOOKUP(Scores[[#This Row],[MRUN]],Demographics[], 7,FALSE)</f>
        <v>3</v>
      </c>
      <c r="M587">
        <f>VLOOKUP(Scores[[#This Row],[MRUN]],Demographics[], 5, FALSE)</f>
        <v>1</v>
      </c>
    </row>
    <row r="588" spans="1:13" hidden="1" x14ac:dyDescent="0.2">
      <c r="A588" s="1">
        <v>15558793</v>
      </c>
      <c r="B588">
        <v>1</v>
      </c>
      <c r="C588">
        <v>3</v>
      </c>
      <c r="D588">
        <v>0</v>
      </c>
      <c r="E588">
        <v>422</v>
      </c>
      <c r="F588">
        <v>494</v>
      </c>
      <c r="G588">
        <v>0</v>
      </c>
      <c r="H588">
        <v>449</v>
      </c>
      <c r="I588">
        <f>VLOOKUP(Scores[[#This Row],[MRUN]],Demographics[],3,FALSE)</f>
        <v>4</v>
      </c>
      <c r="J588">
        <f>AVERAGE(Scores[[#This Row],[LYC]],Scores[[#This Row],[MATE]])</f>
        <v>458</v>
      </c>
      <c r="K588">
        <f>VLOOKUP(Scores[[#This Row],[MRUN]],Demographics[],6,FALSE)</f>
        <v>5</v>
      </c>
      <c r="L588">
        <f>VLOOKUP(Scores[[#This Row],[MRUN]],Demographics[], 7,FALSE)</f>
        <v>5</v>
      </c>
      <c r="M588">
        <f>VLOOKUP(Scores[[#This Row],[MRUN]],Demographics[], 5, FALSE)</f>
        <v>1</v>
      </c>
    </row>
    <row r="589" spans="1:13" hidden="1" x14ac:dyDescent="0.2">
      <c r="A589" s="1">
        <v>4668757</v>
      </c>
      <c r="B589">
        <v>2</v>
      </c>
      <c r="C589">
        <v>3</v>
      </c>
      <c r="D589">
        <v>661</v>
      </c>
      <c r="E589">
        <v>0</v>
      </c>
      <c r="F589">
        <v>0</v>
      </c>
      <c r="G589">
        <v>0</v>
      </c>
      <c r="H589">
        <v>0</v>
      </c>
      <c r="I589">
        <f>VLOOKUP(Scores[[#This Row],[MRUN]],Demographics[],3,FALSE)</f>
        <v>3</v>
      </c>
      <c r="J589">
        <f>AVERAGE(Scores[[#This Row],[LYC]],Scores[[#This Row],[MATE]])</f>
        <v>0</v>
      </c>
      <c r="K589">
        <f>VLOOKUP(Scores[[#This Row],[MRUN]],Demographics[],6,FALSE)</f>
        <v>0</v>
      </c>
      <c r="L589">
        <f>VLOOKUP(Scores[[#This Row],[MRUN]],Demographics[], 7,FALSE)</f>
        <v>4</v>
      </c>
      <c r="M589">
        <f>VLOOKUP(Scores[[#This Row],[MRUN]],Demographics[], 5, FALSE)</f>
        <v>1</v>
      </c>
    </row>
    <row r="590" spans="1:13" hidden="1" x14ac:dyDescent="0.2">
      <c r="A590" s="1">
        <v>21641541</v>
      </c>
      <c r="B590">
        <v>2</v>
      </c>
      <c r="C590">
        <v>3</v>
      </c>
      <c r="D590">
        <v>580</v>
      </c>
      <c r="E590">
        <v>0</v>
      </c>
      <c r="F590">
        <v>0</v>
      </c>
      <c r="G590">
        <v>0</v>
      </c>
      <c r="H590">
        <v>0</v>
      </c>
      <c r="I590">
        <f>VLOOKUP(Scores[[#This Row],[MRUN]],Demographics[],3,FALSE)</f>
        <v>7</v>
      </c>
      <c r="J590">
        <f>AVERAGE(Scores[[#This Row],[LYC]],Scores[[#This Row],[MATE]])</f>
        <v>0</v>
      </c>
      <c r="K590">
        <f>VLOOKUP(Scores[[#This Row],[MRUN]],Demographics[],6,FALSE)</f>
        <v>3</v>
      </c>
      <c r="L590">
        <f>VLOOKUP(Scores[[#This Row],[MRUN]],Demographics[], 7,FALSE)</f>
        <v>5</v>
      </c>
      <c r="M590">
        <f>VLOOKUP(Scores[[#This Row],[MRUN]],Demographics[], 5, FALSE)</f>
        <v>1</v>
      </c>
    </row>
    <row r="591" spans="1:13" hidden="1" x14ac:dyDescent="0.2">
      <c r="A591" s="1">
        <v>5871701</v>
      </c>
      <c r="B591">
        <v>2</v>
      </c>
      <c r="C591">
        <v>4</v>
      </c>
      <c r="D591">
        <v>661</v>
      </c>
      <c r="E591">
        <v>655</v>
      </c>
      <c r="F591">
        <v>657</v>
      </c>
      <c r="G591">
        <v>0</v>
      </c>
      <c r="H591">
        <v>738</v>
      </c>
      <c r="I591">
        <f>VLOOKUP(Scores[[#This Row],[MRUN]],Demographics[],3,FALSE)</f>
        <v>4</v>
      </c>
      <c r="J591">
        <f>AVERAGE(Scores[[#This Row],[LYC]],Scores[[#This Row],[MATE]])</f>
        <v>656</v>
      </c>
      <c r="K591">
        <f>VLOOKUP(Scores[[#This Row],[MRUN]],Demographics[],6,FALSE)</f>
        <v>9</v>
      </c>
      <c r="L591">
        <f>VLOOKUP(Scores[[#This Row],[MRUN]],Demographics[], 7,FALSE)</f>
        <v>9</v>
      </c>
      <c r="M591">
        <f>VLOOKUP(Scores[[#This Row],[MRUN]],Demographics[], 5, FALSE)</f>
        <v>3</v>
      </c>
    </row>
    <row r="592" spans="1:13" hidden="1" x14ac:dyDescent="0.2">
      <c r="A592" s="1">
        <v>3126076</v>
      </c>
      <c r="B592">
        <v>2</v>
      </c>
      <c r="C592">
        <v>2</v>
      </c>
      <c r="D592">
        <v>682</v>
      </c>
      <c r="E592">
        <v>613</v>
      </c>
      <c r="F592">
        <v>571</v>
      </c>
      <c r="G592">
        <v>0</v>
      </c>
      <c r="H592">
        <v>613</v>
      </c>
      <c r="I592">
        <f>VLOOKUP(Scores[[#This Row],[MRUN]],Demographics[],3,FALSE)</f>
        <v>5</v>
      </c>
      <c r="J592">
        <f>AVERAGE(Scores[[#This Row],[LYC]],Scores[[#This Row],[MATE]])</f>
        <v>592</v>
      </c>
      <c r="K592">
        <f>VLOOKUP(Scores[[#This Row],[MRUN]],Demographics[],6,FALSE)</f>
        <v>8</v>
      </c>
      <c r="L592">
        <f>VLOOKUP(Scores[[#This Row],[MRUN]],Demographics[], 7,FALSE)</f>
        <v>7</v>
      </c>
      <c r="M592">
        <f>VLOOKUP(Scores[[#This Row],[MRUN]],Demographics[], 5, FALSE)</f>
        <v>2</v>
      </c>
    </row>
    <row r="593" spans="1:13" hidden="1" x14ac:dyDescent="0.2">
      <c r="A593" s="1">
        <v>22150271</v>
      </c>
      <c r="B593">
        <v>2</v>
      </c>
      <c r="C593">
        <v>2</v>
      </c>
      <c r="D593">
        <v>620</v>
      </c>
      <c r="E593">
        <v>541</v>
      </c>
      <c r="F593">
        <v>512</v>
      </c>
      <c r="G593">
        <v>557</v>
      </c>
      <c r="H593">
        <v>0</v>
      </c>
      <c r="I593">
        <f>VLOOKUP(Scores[[#This Row],[MRUN]],Demographics[],3,FALSE)</f>
        <v>4</v>
      </c>
      <c r="J593">
        <f>AVERAGE(Scores[[#This Row],[LYC]],Scores[[#This Row],[MATE]])</f>
        <v>526.5</v>
      </c>
      <c r="K593">
        <f>VLOOKUP(Scores[[#This Row],[MRUN]],Demographics[],6,FALSE)</f>
        <v>5</v>
      </c>
      <c r="L593">
        <f>VLOOKUP(Scores[[#This Row],[MRUN]],Demographics[], 7,FALSE)</f>
        <v>4</v>
      </c>
      <c r="M593">
        <f>VLOOKUP(Scores[[#This Row],[MRUN]],Demographics[], 5, FALSE)</f>
        <v>2</v>
      </c>
    </row>
    <row r="594" spans="1:13" hidden="1" x14ac:dyDescent="0.2">
      <c r="A594" s="1">
        <v>5502662</v>
      </c>
      <c r="B594">
        <v>1</v>
      </c>
      <c r="C594">
        <v>3</v>
      </c>
      <c r="D594">
        <v>641</v>
      </c>
      <c r="E594">
        <v>675</v>
      </c>
      <c r="F594">
        <v>713</v>
      </c>
      <c r="G594">
        <v>646</v>
      </c>
      <c r="H594">
        <v>598</v>
      </c>
      <c r="I594">
        <f>VLOOKUP(Scores[[#This Row],[MRUN]],Demographics[],3,FALSE)</f>
        <v>5</v>
      </c>
      <c r="J594">
        <f>AVERAGE(Scores[[#This Row],[LYC]],Scores[[#This Row],[MATE]])</f>
        <v>694</v>
      </c>
      <c r="K594">
        <f>VLOOKUP(Scores[[#This Row],[MRUN]],Demographics[],6,FALSE)</f>
        <v>9</v>
      </c>
      <c r="L594">
        <f>VLOOKUP(Scores[[#This Row],[MRUN]],Demographics[], 7,FALSE)</f>
        <v>7</v>
      </c>
      <c r="M594">
        <f>VLOOKUP(Scores[[#This Row],[MRUN]],Demographics[], 5, FALSE)</f>
        <v>1</v>
      </c>
    </row>
    <row r="595" spans="1:13" hidden="1" x14ac:dyDescent="0.2">
      <c r="A595" s="1">
        <v>12590396</v>
      </c>
      <c r="B595">
        <v>1</v>
      </c>
      <c r="C595">
        <v>4</v>
      </c>
      <c r="D595">
        <v>702</v>
      </c>
      <c r="E595">
        <v>717</v>
      </c>
      <c r="F595">
        <v>705</v>
      </c>
      <c r="G595">
        <v>684</v>
      </c>
      <c r="H595">
        <v>746</v>
      </c>
      <c r="I595">
        <f>VLOOKUP(Scores[[#This Row],[MRUN]],Demographics[],3,FALSE)</f>
        <v>5</v>
      </c>
      <c r="J595">
        <f>AVERAGE(Scores[[#This Row],[LYC]],Scores[[#This Row],[MATE]])</f>
        <v>711</v>
      </c>
      <c r="K595">
        <f>VLOOKUP(Scores[[#This Row],[MRUN]],Demographics[],6,FALSE)</f>
        <v>8</v>
      </c>
      <c r="L595">
        <f>VLOOKUP(Scores[[#This Row],[MRUN]],Demographics[], 7,FALSE)</f>
        <v>8</v>
      </c>
      <c r="M595">
        <f>VLOOKUP(Scores[[#This Row],[MRUN]],Demographics[], 5, FALSE)</f>
        <v>3</v>
      </c>
    </row>
    <row r="596" spans="1:13" hidden="1" x14ac:dyDescent="0.2">
      <c r="A596" s="1">
        <v>309028</v>
      </c>
      <c r="B596">
        <v>2</v>
      </c>
      <c r="C596">
        <v>3</v>
      </c>
      <c r="D596">
        <v>440</v>
      </c>
      <c r="E596">
        <v>494</v>
      </c>
      <c r="F596">
        <v>428</v>
      </c>
      <c r="G596">
        <v>501</v>
      </c>
      <c r="H596">
        <v>0</v>
      </c>
      <c r="I596">
        <f>VLOOKUP(Scores[[#This Row],[MRUN]],Demographics[],3,FALSE)</f>
        <v>6</v>
      </c>
      <c r="J596">
        <f>AVERAGE(Scores[[#This Row],[LYC]],Scores[[#This Row],[MATE]])</f>
        <v>461</v>
      </c>
      <c r="K596">
        <f>VLOOKUP(Scores[[#This Row],[MRUN]],Demographics[],6,FALSE)</f>
        <v>9</v>
      </c>
      <c r="L596">
        <f>VLOOKUP(Scores[[#This Row],[MRUN]],Demographics[], 7,FALSE)</f>
        <v>8</v>
      </c>
      <c r="M596">
        <f>VLOOKUP(Scores[[#This Row],[MRUN]],Demographics[], 5, FALSE)</f>
        <v>2</v>
      </c>
    </row>
    <row r="597" spans="1:13" hidden="1" x14ac:dyDescent="0.2">
      <c r="A597" s="1">
        <v>13976836</v>
      </c>
      <c r="B597">
        <v>2</v>
      </c>
      <c r="C597">
        <v>3</v>
      </c>
      <c r="D597">
        <v>478</v>
      </c>
      <c r="E597">
        <v>290</v>
      </c>
      <c r="F597">
        <v>413</v>
      </c>
      <c r="G597">
        <v>215</v>
      </c>
      <c r="H597">
        <v>0</v>
      </c>
      <c r="I597">
        <f>VLOOKUP(Scores[[#This Row],[MRUN]],Demographics[],3,FALSE)</f>
        <v>7</v>
      </c>
      <c r="J597">
        <f>AVERAGE(Scores[[#This Row],[LYC]],Scores[[#This Row],[MATE]])</f>
        <v>351.5</v>
      </c>
      <c r="K597">
        <f>VLOOKUP(Scores[[#This Row],[MRUN]],Demographics[],6,FALSE)</f>
        <v>0</v>
      </c>
      <c r="L597">
        <f>VLOOKUP(Scores[[#This Row],[MRUN]],Demographics[], 7,FALSE)</f>
        <v>0</v>
      </c>
      <c r="M597">
        <f>VLOOKUP(Scores[[#This Row],[MRUN]],Demographics[], 5, FALSE)</f>
        <v>2</v>
      </c>
    </row>
    <row r="598" spans="1:13" hidden="1" x14ac:dyDescent="0.2">
      <c r="A598" s="1">
        <v>24369440</v>
      </c>
      <c r="B598">
        <v>1</v>
      </c>
      <c r="C598">
        <v>2</v>
      </c>
      <c r="D598">
        <v>0</v>
      </c>
      <c r="E598">
        <v>0</v>
      </c>
      <c r="F598">
        <v>0</v>
      </c>
      <c r="G598">
        <v>0</v>
      </c>
      <c r="H598">
        <v>0</v>
      </c>
      <c r="I598">
        <f>VLOOKUP(Scores[[#This Row],[MRUN]],Demographics[],3,FALSE)</f>
        <v>3</v>
      </c>
      <c r="J598">
        <f>AVERAGE(Scores[[#This Row],[LYC]],Scores[[#This Row],[MATE]])</f>
        <v>0</v>
      </c>
      <c r="K598">
        <f>VLOOKUP(Scores[[#This Row],[MRUN]],Demographics[],6,FALSE)</f>
        <v>5</v>
      </c>
      <c r="L598">
        <f>VLOOKUP(Scores[[#This Row],[MRUN]],Demographics[], 7,FALSE)</f>
        <v>4</v>
      </c>
      <c r="M598">
        <f>VLOOKUP(Scores[[#This Row],[MRUN]],Demographics[], 5, FALSE)</f>
        <v>2</v>
      </c>
    </row>
    <row r="599" spans="1:13" hidden="1" x14ac:dyDescent="0.2">
      <c r="A599" s="1">
        <v>8060721</v>
      </c>
      <c r="B599">
        <v>1</v>
      </c>
      <c r="C599">
        <v>2</v>
      </c>
      <c r="D599">
        <v>517</v>
      </c>
      <c r="E599">
        <v>505</v>
      </c>
      <c r="F599">
        <v>328</v>
      </c>
      <c r="G599">
        <v>0</v>
      </c>
      <c r="H599">
        <v>459</v>
      </c>
      <c r="I599">
        <f>VLOOKUP(Scores[[#This Row],[MRUN]],Demographics[],3,FALSE)</f>
        <v>4</v>
      </c>
      <c r="J599">
        <f>AVERAGE(Scores[[#This Row],[LYC]],Scores[[#This Row],[MATE]])</f>
        <v>416.5</v>
      </c>
      <c r="K599">
        <f>VLOOKUP(Scores[[#This Row],[MRUN]],Demographics[],6,FALSE)</f>
        <v>4</v>
      </c>
      <c r="L599">
        <f>VLOOKUP(Scores[[#This Row],[MRUN]],Demographics[], 7,FALSE)</f>
        <v>7</v>
      </c>
      <c r="M599">
        <f>VLOOKUP(Scores[[#This Row],[MRUN]],Demographics[], 5, FALSE)</f>
        <v>1</v>
      </c>
    </row>
    <row r="600" spans="1:13" hidden="1" x14ac:dyDescent="0.2">
      <c r="A600" s="1">
        <v>15997992</v>
      </c>
      <c r="B600">
        <v>2</v>
      </c>
      <c r="C600">
        <v>4</v>
      </c>
      <c r="D600">
        <v>496</v>
      </c>
      <c r="E600">
        <v>571</v>
      </c>
      <c r="F600">
        <v>494</v>
      </c>
      <c r="G600">
        <v>597</v>
      </c>
      <c r="H600">
        <v>0</v>
      </c>
      <c r="I600">
        <f>VLOOKUP(Scores[[#This Row],[MRUN]],Demographics[],3,FALSE)</f>
        <v>4</v>
      </c>
      <c r="J600">
        <f>AVERAGE(Scores[[#This Row],[LYC]],Scores[[#This Row],[MATE]])</f>
        <v>532.5</v>
      </c>
      <c r="K600">
        <f>VLOOKUP(Scores[[#This Row],[MRUN]],Demographics[],6,FALSE)</f>
        <v>9</v>
      </c>
      <c r="L600">
        <f>VLOOKUP(Scores[[#This Row],[MRUN]],Demographics[], 7,FALSE)</f>
        <v>9</v>
      </c>
      <c r="M600">
        <f>VLOOKUP(Scores[[#This Row],[MRUN]],Demographics[], 5, FALSE)</f>
        <v>4</v>
      </c>
    </row>
    <row r="601" spans="1:13" hidden="1" x14ac:dyDescent="0.2">
      <c r="A601" s="1">
        <v>19450167</v>
      </c>
      <c r="B601">
        <v>1</v>
      </c>
      <c r="C601">
        <v>2</v>
      </c>
      <c r="D601">
        <v>455</v>
      </c>
      <c r="E601">
        <v>592</v>
      </c>
      <c r="F601">
        <v>549</v>
      </c>
      <c r="G601">
        <v>0</v>
      </c>
      <c r="H601">
        <v>558</v>
      </c>
      <c r="I601">
        <f>VLOOKUP(Scores[[#This Row],[MRUN]],Demographics[],3,FALSE)</f>
        <v>4</v>
      </c>
      <c r="J601">
        <f>AVERAGE(Scores[[#This Row],[LYC]],Scores[[#This Row],[MATE]])</f>
        <v>570.5</v>
      </c>
      <c r="K601">
        <f>VLOOKUP(Scores[[#This Row],[MRUN]],Demographics[],6,FALSE)</f>
        <v>9</v>
      </c>
      <c r="L601">
        <f>VLOOKUP(Scores[[#This Row],[MRUN]],Demographics[], 7,FALSE)</f>
        <v>9</v>
      </c>
      <c r="M601">
        <f>VLOOKUP(Scores[[#This Row],[MRUN]],Demographics[], 5, FALSE)</f>
        <v>1</v>
      </c>
    </row>
    <row r="602" spans="1:13" hidden="1" x14ac:dyDescent="0.2">
      <c r="A602" s="1">
        <v>7760164</v>
      </c>
      <c r="B602">
        <v>1</v>
      </c>
      <c r="C602">
        <v>3</v>
      </c>
      <c r="D602">
        <v>561</v>
      </c>
      <c r="E602">
        <v>537</v>
      </c>
      <c r="F602">
        <v>480</v>
      </c>
      <c r="G602">
        <v>516</v>
      </c>
      <c r="H602">
        <v>0</v>
      </c>
      <c r="I602">
        <f>VLOOKUP(Scores[[#This Row],[MRUN]],Demographics[],3,FALSE)</f>
        <v>3</v>
      </c>
      <c r="J602">
        <f>AVERAGE(Scores[[#This Row],[LYC]],Scores[[#This Row],[MATE]])</f>
        <v>508.5</v>
      </c>
      <c r="K602">
        <f>VLOOKUP(Scores[[#This Row],[MRUN]],Demographics[],6,FALSE)</f>
        <v>8</v>
      </c>
      <c r="L602">
        <f>VLOOKUP(Scores[[#This Row],[MRUN]],Demographics[], 7,FALSE)</f>
        <v>8</v>
      </c>
      <c r="M602">
        <f>VLOOKUP(Scores[[#This Row],[MRUN]],Demographics[], 5, FALSE)</f>
        <v>2</v>
      </c>
    </row>
    <row r="603" spans="1:13" hidden="1" x14ac:dyDescent="0.2">
      <c r="A603" s="1">
        <v>12152305</v>
      </c>
      <c r="B603">
        <v>1</v>
      </c>
      <c r="C603">
        <v>2</v>
      </c>
      <c r="D603">
        <v>599</v>
      </c>
      <c r="E603">
        <v>505</v>
      </c>
      <c r="F603">
        <v>527</v>
      </c>
      <c r="G603">
        <v>0</v>
      </c>
      <c r="H603">
        <v>510</v>
      </c>
      <c r="I603">
        <f>VLOOKUP(Scores[[#This Row],[MRUN]],Demographics[],3,FALSE)</f>
        <v>4</v>
      </c>
      <c r="J603">
        <f>AVERAGE(Scores[[#This Row],[LYC]],Scores[[#This Row],[MATE]])</f>
        <v>516</v>
      </c>
      <c r="K603">
        <f>VLOOKUP(Scores[[#This Row],[MRUN]],Demographics[],6,FALSE)</f>
        <v>5</v>
      </c>
      <c r="L603">
        <f>VLOOKUP(Scores[[#This Row],[MRUN]],Demographics[], 7,FALSE)</f>
        <v>4</v>
      </c>
      <c r="M603">
        <f>VLOOKUP(Scores[[#This Row],[MRUN]],Demographics[], 5, FALSE)</f>
        <v>2</v>
      </c>
    </row>
    <row r="604" spans="1:13" hidden="1" x14ac:dyDescent="0.2">
      <c r="A604" s="1">
        <v>13816743</v>
      </c>
      <c r="B604">
        <v>2</v>
      </c>
      <c r="C604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f>VLOOKUP(Scores[[#This Row],[MRUN]],Demographics[],3,FALSE)</f>
        <v>2</v>
      </c>
      <c r="J604">
        <f>AVERAGE(Scores[[#This Row],[LYC]],Scores[[#This Row],[MATE]])</f>
        <v>0</v>
      </c>
      <c r="K604">
        <f>VLOOKUP(Scores[[#This Row],[MRUN]],Demographics[],6,FALSE)</f>
        <v>1</v>
      </c>
      <c r="L604">
        <f>VLOOKUP(Scores[[#This Row],[MRUN]],Demographics[], 7,FALSE)</f>
        <v>2</v>
      </c>
      <c r="M604">
        <f>VLOOKUP(Scores[[#This Row],[MRUN]],Demographics[], 5, FALSE)</f>
        <v>1</v>
      </c>
    </row>
    <row r="605" spans="1:13" hidden="1" x14ac:dyDescent="0.2">
      <c r="A605" s="1">
        <v>10675668</v>
      </c>
      <c r="B605">
        <v>1</v>
      </c>
      <c r="C605">
        <v>3</v>
      </c>
      <c r="D605">
        <v>702</v>
      </c>
      <c r="E605">
        <v>727</v>
      </c>
      <c r="F605">
        <v>738</v>
      </c>
      <c r="G605">
        <v>803</v>
      </c>
      <c r="H605">
        <v>642</v>
      </c>
      <c r="I605">
        <f>VLOOKUP(Scores[[#This Row],[MRUN]],Demographics[],3,FALSE)</f>
        <v>3</v>
      </c>
      <c r="J605">
        <f>AVERAGE(Scores[[#This Row],[LYC]],Scores[[#This Row],[MATE]])</f>
        <v>732.5</v>
      </c>
      <c r="K605">
        <f>VLOOKUP(Scores[[#This Row],[MRUN]],Demographics[],6,FALSE)</f>
        <v>0</v>
      </c>
      <c r="L605">
        <f>VLOOKUP(Scores[[#This Row],[MRUN]],Demographics[], 7,FALSE)</f>
        <v>9</v>
      </c>
      <c r="M605">
        <f>VLOOKUP(Scores[[#This Row],[MRUN]],Demographics[], 5, FALSE)</f>
        <v>2</v>
      </c>
    </row>
    <row r="606" spans="1:13" hidden="1" x14ac:dyDescent="0.2">
      <c r="A606" s="1">
        <v>9898566</v>
      </c>
      <c r="B606">
        <v>1</v>
      </c>
      <c r="C606">
        <v>2</v>
      </c>
      <c r="D606">
        <v>397</v>
      </c>
      <c r="E606">
        <v>567</v>
      </c>
      <c r="F606">
        <v>501</v>
      </c>
      <c r="G606">
        <v>552</v>
      </c>
      <c r="H606">
        <v>0</v>
      </c>
      <c r="I606">
        <f>VLOOKUP(Scores[[#This Row],[MRUN]],Demographics[],3,FALSE)</f>
        <v>6</v>
      </c>
      <c r="J606">
        <f>AVERAGE(Scores[[#This Row],[LYC]],Scores[[#This Row],[MATE]])</f>
        <v>534</v>
      </c>
      <c r="K606">
        <f>VLOOKUP(Scores[[#This Row],[MRUN]],Demographics[],6,FALSE)</f>
        <v>4</v>
      </c>
      <c r="L606">
        <f>VLOOKUP(Scores[[#This Row],[MRUN]],Demographics[], 7,FALSE)</f>
        <v>5</v>
      </c>
      <c r="M606">
        <f>VLOOKUP(Scores[[#This Row],[MRUN]],Demographics[], 5, FALSE)</f>
        <v>1</v>
      </c>
    </row>
    <row r="607" spans="1:13" hidden="1" x14ac:dyDescent="0.2">
      <c r="A607" s="1">
        <v>16756345</v>
      </c>
      <c r="B607">
        <v>1</v>
      </c>
      <c r="C607">
        <v>2</v>
      </c>
      <c r="D607">
        <v>560</v>
      </c>
      <c r="E607">
        <v>499</v>
      </c>
      <c r="F607">
        <v>636</v>
      </c>
      <c r="G607">
        <v>527</v>
      </c>
      <c r="H607">
        <v>543</v>
      </c>
      <c r="I607">
        <f>VLOOKUP(Scores[[#This Row],[MRUN]],Demographics[],3,FALSE)</f>
        <v>4</v>
      </c>
      <c r="J607">
        <f>AVERAGE(Scores[[#This Row],[LYC]],Scores[[#This Row],[MATE]])</f>
        <v>567.5</v>
      </c>
      <c r="K607">
        <f>VLOOKUP(Scores[[#This Row],[MRUN]],Demographics[],6,FALSE)</f>
        <v>5</v>
      </c>
      <c r="L607">
        <f>VLOOKUP(Scores[[#This Row],[MRUN]],Demographics[], 7,FALSE)</f>
        <v>5</v>
      </c>
      <c r="M607">
        <f>VLOOKUP(Scores[[#This Row],[MRUN]],Demographics[], 5, FALSE)</f>
        <v>2</v>
      </c>
    </row>
    <row r="608" spans="1:13" hidden="1" x14ac:dyDescent="0.2">
      <c r="A608" s="1">
        <v>20292229</v>
      </c>
      <c r="B608">
        <v>2</v>
      </c>
      <c r="C608">
        <v>3</v>
      </c>
      <c r="D608">
        <v>397</v>
      </c>
      <c r="E608">
        <v>444</v>
      </c>
      <c r="F608">
        <v>204</v>
      </c>
      <c r="G608">
        <v>0</v>
      </c>
      <c r="H608">
        <v>404</v>
      </c>
      <c r="I608">
        <f>VLOOKUP(Scores[[#This Row],[MRUN]],Demographics[],3,FALSE)</f>
        <v>2</v>
      </c>
      <c r="J608">
        <f>AVERAGE(Scores[[#This Row],[LYC]],Scores[[#This Row],[MATE]])</f>
        <v>324</v>
      </c>
      <c r="K608">
        <f>VLOOKUP(Scores[[#This Row],[MRUN]],Demographics[],6,FALSE)</f>
        <v>2</v>
      </c>
      <c r="L608">
        <f>VLOOKUP(Scores[[#This Row],[MRUN]],Demographics[], 7,FALSE)</f>
        <v>3</v>
      </c>
      <c r="M608">
        <f>VLOOKUP(Scores[[#This Row],[MRUN]],Demographics[], 5, FALSE)</f>
        <v>1</v>
      </c>
    </row>
    <row r="609" spans="1:13" hidden="1" x14ac:dyDescent="0.2">
      <c r="A609" s="1">
        <v>5007103</v>
      </c>
      <c r="B609">
        <v>1</v>
      </c>
      <c r="C609">
        <v>2</v>
      </c>
      <c r="D609">
        <v>579</v>
      </c>
      <c r="E609">
        <v>458</v>
      </c>
      <c r="F609">
        <v>540</v>
      </c>
      <c r="G609">
        <v>0</v>
      </c>
      <c r="H609">
        <v>539</v>
      </c>
      <c r="I609">
        <f>VLOOKUP(Scores[[#This Row],[MRUN]],Demographics[],3,FALSE)</f>
        <v>4</v>
      </c>
      <c r="J609">
        <f>AVERAGE(Scores[[#This Row],[LYC]],Scores[[#This Row],[MATE]])</f>
        <v>499</v>
      </c>
      <c r="K609">
        <f>VLOOKUP(Scores[[#This Row],[MRUN]],Demographics[],6,FALSE)</f>
        <v>5</v>
      </c>
      <c r="L609">
        <f>VLOOKUP(Scores[[#This Row],[MRUN]],Demographics[], 7,FALSE)</f>
        <v>4</v>
      </c>
      <c r="M609">
        <f>VLOOKUP(Scores[[#This Row],[MRUN]],Demographics[], 5, FALSE)</f>
        <v>1</v>
      </c>
    </row>
    <row r="610" spans="1:13" hidden="1" x14ac:dyDescent="0.2">
      <c r="A610" s="1">
        <v>21894375</v>
      </c>
      <c r="B610">
        <v>1</v>
      </c>
      <c r="C610">
        <v>2</v>
      </c>
      <c r="D610">
        <v>499</v>
      </c>
      <c r="E610">
        <v>356</v>
      </c>
      <c r="F610">
        <v>413</v>
      </c>
      <c r="G610">
        <v>479</v>
      </c>
      <c r="H610">
        <v>0</v>
      </c>
      <c r="I610">
        <f>VLOOKUP(Scores[[#This Row],[MRUN]],Demographics[],3,FALSE)</f>
        <v>4</v>
      </c>
      <c r="J610">
        <f>AVERAGE(Scores[[#This Row],[LYC]],Scores[[#This Row],[MATE]])</f>
        <v>384.5</v>
      </c>
      <c r="K610">
        <f>VLOOKUP(Scores[[#This Row],[MRUN]],Demographics[],6,FALSE)</f>
        <v>5</v>
      </c>
      <c r="L610">
        <f>VLOOKUP(Scores[[#This Row],[MRUN]],Demographics[], 7,FALSE)</f>
        <v>5</v>
      </c>
      <c r="M610">
        <f>VLOOKUP(Scores[[#This Row],[MRUN]],Demographics[], 5, FALSE)</f>
        <v>1</v>
      </c>
    </row>
    <row r="611" spans="1:13" hidden="1" x14ac:dyDescent="0.2">
      <c r="A611" s="1">
        <v>24665890</v>
      </c>
      <c r="B611">
        <v>2</v>
      </c>
      <c r="C611">
        <v>2</v>
      </c>
      <c r="D611">
        <v>620</v>
      </c>
      <c r="E611">
        <v>561</v>
      </c>
      <c r="F611">
        <v>512</v>
      </c>
      <c r="G611">
        <v>617</v>
      </c>
      <c r="H611">
        <v>0</v>
      </c>
      <c r="I611">
        <f>VLOOKUP(Scores[[#This Row],[MRUN]],Demographics[],3,FALSE)</f>
        <v>6</v>
      </c>
      <c r="J611">
        <f>AVERAGE(Scores[[#This Row],[LYC]],Scores[[#This Row],[MATE]])</f>
        <v>536.5</v>
      </c>
      <c r="K611">
        <f>VLOOKUP(Scores[[#This Row],[MRUN]],Demographics[],6,FALSE)</f>
        <v>2</v>
      </c>
      <c r="L611">
        <f>VLOOKUP(Scores[[#This Row],[MRUN]],Demographics[], 7,FALSE)</f>
        <v>4</v>
      </c>
      <c r="M611">
        <f>VLOOKUP(Scores[[#This Row],[MRUN]],Demographics[], 5, FALSE)</f>
        <v>1</v>
      </c>
    </row>
    <row r="612" spans="1:13" hidden="1" x14ac:dyDescent="0.2">
      <c r="A612" s="1">
        <v>1268386</v>
      </c>
      <c r="B612">
        <v>1</v>
      </c>
      <c r="C612">
        <v>2</v>
      </c>
      <c r="D612">
        <v>661</v>
      </c>
      <c r="E612">
        <v>586</v>
      </c>
      <c r="F612">
        <v>661</v>
      </c>
      <c r="G612">
        <v>617</v>
      </c>
      <c r="H612">
        <v>682</v>
      </c>
      <c r="I612">
        <f>VLOOKUP(Scores[[#This Row],[MRUN]],Demographics[],3,FALSE)</f>
        <v>3</v>
      </c>
      <c r="J612">
        <f>AVERAGE(Scores[[#This Row],[LYC]],Scores[[#This Row],[MATE]])</f>
        <v>623.5</v>
      </c>
      <c r="K612">
        <f>VLOOKUP(Scores[[#This Row],[MRUN]],Demographics[],6,FALSE)</f>
        <v>2</v>
      </c>
      <c r="L612">
        <f>VLOOKUP(Scores[[#This Row],[MRUN]],Demographics[], 7,FALSE)</f>
        <v>3</v>
      </c>
      <c r="M612">
        <f>VLOOKUP(Scores[[#This Row],[MRUN]],Demographics[], 5, FALSE)</f>
        <v>1</v>
      </c>
    </row>
    <row r="613" spans="1:13" hidden="1" x14ac:dyDescent="0.2">
      <c r="A613" s="1">
        <v>23165283</v>
      </c>
      <c r="B613">
        <v>1</v>
      </c>
      <c r="C613">
        <v>2</v>
      </c>
      <c r="D613">
        <v>538</v>
      </c>
      <c r="E613">
        <v>471</v>
      </c>
      <c r="F613">
        <v>487</v>
      </c>
      <c r="G613">
        <v>490</v>
      </c>
      <c r="H613">
        <v>0</v>
      </c>
      <c r="I613">
        <f>VLOOKUP(Scores[[#This Row],[MRUN]],Demographics[],3,FALSE)</f>
        <v>4</v>
      </c>
      <c r="J613">
        <f>AVERAGE(Scores[[#This Row],[LYC]],Scores[[#This Row],[MATE]])</f>
        <v>479</v>
      </c>
      <c r="K613">
        <f>VLOOKUP(Scores[[#This Row],[MRUN]],Demographics[],6,FALSE)</f>
        <v>3</v>
      </c>
      <c r="L613">
        <f>VLOOKUP(Scores[[#This Row],[MRUN]],Demographics[], 7,FALSE)</f>
        <v>5</v>
      </c>
      <c r="M613">
        <f>VLOOKUP(Scores[[#This Row],[MRUN]],Demographics[], 5, FALSE)</f>
        <v>1</v>
      </c>
    </row>
    <row r="614" spans="1:13" hidden="1" x14ac:dyDescent="0.2">
      <c r="A614" s="1">
        <v>19223586</v>
      </c>
      <c r="B614">
        <v>2</v>
      </c>
      <c r="C614">
        <v>2</v>
      </c>
      <c r="D614">
        <v>476</v>
      </c>
      <c r="E614">
        <v>464</v>
      </c>
      <c r="F614">
        <v>376</v>
      </c>
      <c r="G614">
        <v>466</v>
      </c>
      <c r="H614">
        <v>0</v>
      </c>
      <c r="I614">
        <f>VLOOKUP(Scores[[#This Row],[MRUN]],Demographics[],3,FALSE)</f>
        <v>6</v>
      </c>
      <c r="J614">
        <f>AVERAGE(Scores[[#This Row],[LYC]],Scores[[#This Row],[MATE]])</f>
        <v>420</v>
      </c>
      <c r="K614">
        <f>VLOOKUP(Scores[[#This Row],[MRUN]],Demographics[],6,FALSE)</f>
        <v>4</v>
      </c>
      <c r="L614">
        <f>VLOOKUP(Scores[[#This Row],[MRUN]],Demographics[], 7,FALSE)</f>
        <v>5</v>
      </c>
      <c r="M614">
        <f>VLOOKUP(Scores[[#This Row],[MRUN]],Demographics[], 5, FALSE)</f>
        <v>1</v>
      </c>
    </row>
    <row r="615" spans="1:13" hidden="1" x14ac:dyDescent="0.2">
      <c r="A615" s="1">
        <v>18689156</v>
      </c>
      <c r="B615">
        <v>2</v>
      </c>
      <c r="C615">
        <v>2</v>
      </c>
      <c r="D615">
        <v>538</v>
      </c>
      <c r="E615">
        <v>430</v>
      </c>
      <c r="F615">
        <v>428</v>
      </c>
      <c r="G615">
        <v>397</v>
      </c>
      <c r="H615">
        <v>0</v>
      </c>
      <c r="I615">
        <f>VLOOKUP(Scores[[#This Row],[MRUN]],Demographics[],3,FALSE)</f>
        <v>7</v>
      </c>
      <c r="J615">
        <f>AVERAGE(Scores[[#This Row],[LYC]],Scores[[#This Row],[MATE]])</f>
        <v>429</v>
      </c>
      <c r="K615">
        <f>VLOOKUP(Scores[[#This Row],[MRUN]],Demographics[],6,FALSE)</f>
        <v>4</v>
      </c>
      <c r="L615">
        <f>VLOOKUP(Scores[[#This Row],[MRUN]],Demographics[], 7,FALSE)</f>
        <v>5</v>
      </c>
      <c r="M615">
        <f>VLOOKUP(Scores[[#This Row],[MRUN]],Demographics[], 5, FALSE)</f>
        <v>1</v>
      </c>
    </row>
    <row r="616" spans="1:13" hidden="1" x14ac:dyDescent="0.2">
      <c r="A616" s="1">
        <v>16018912</v>
      </c>
      <c r="B616">
        <v>1</v>
      </c>
      <c r="C616">
        <v>3</v>
      </c>
      <c r="D616">
        <v>440</v>
      </c>
      <c r="E616">
        <v>444</v>
      </c>
      <c r="F616">
        <v>328</v>
      </c>
      <c r="G616">
        <v>516</v>
      </c>
      <c r="H616">
        <v>0</v>
      </c>
      <c r="I616">
        <f>VLOOKUP(Scores[[#This Row],[MRUN]],Demographics[],3,FALSE)</f>
        <v>4</v>
      </c>
      <c r="J616">
        <f>AVERAGE(Scores[[#This Row],[LYC]],Scores[[#This Row],[MATE]])</f>
        <v>386</v>
      </c>
      <c r="K616">
        <f>VLOOKUP(Scores[[#This Row],[MRUN]],Demographics[],6,FALSE)</f>
        <v>5</v>
      </c>
      <c r="L616">
        <f>VLOOKUP(Scores[[#This Row],[MRUN]],Demographics[], 7,FALSE)</f>
        <v>4</v>
      </c>
      <c r="M616">
        <f>VLOOKUP(Scores[[#This Row],[MRUN]],Demographics[], 5, FALSE)</f>
        <v>1</v>
      </c>
    </row>
    <row r="617" spans="1:13" hidden="1" x14ac:dyDescent="0.2">
      <c r="A617" s="1">
        <v>10347634</v>
      </c>
      <c r="B617">
        <v>1</v>
      </c>
      <c r="C617">
        <v>3</v>
      </c>
      <c r="D617">
        <v>560</v>
      </c>
      <c r="E617">
        <v>510</v>
      </c>
      <c r="F617">
        <v>472</v>
      </c>
      <c r="G617">
        <v>516</v>
      </c>
      <c r="H617">
        <v>0</v>
      </c>
      <c r="I617">
        <f>VLOOKUP(Scores[[#This Row],[MRUN]],Demographics[],3,FALSE)</f>
        <v>6</v>
      </c>
      <c r="J617">
        <f>AVERAGE(Scores[[#This Row],[LYC]],Scores[[#This Row],[MATE]])</f>
        <v>491</v>
      </c>
      <c r="K617">
        <f>VLOOKUP(Scores[[#This Row],[MRUN]],Demographics[],6,FALSE)</f>
        <v>2</v>
      </c>
      <c r="L617">
        <f>VLOOKUP(Scores[[#This Row],[MRUN]],Demographics[], 7,FALSE)</f>
        <v>5</v>
      </c>
      <c r="M617">
        <f>VLOOKUP(Scores[[#This Row],[MRUN]],Demographics[], 5, FALSE)</f>
        <v>1</v>
      </c>
    </row>
    <row r="618" spans="1:13" hidden="1" x14ac:dyDescent="0.2">
      <c r="A618" s="1">
        <v>20927973</v>
      </c>
      <c r="B618">
        <v>2</v>
      </c>
      <c r="C618">
        <v>3</v>
      </c>
      <c r="D618">
        <v>519</v>
      </c>
      <c r="E618">
        <v>0</v>
      </c>
      <c r="F618">
        <v>0</v>
      </c>
      <c r="G618">
        <v>0</v>
      </c>
      <c r="H618">
        <v>0</v>
      </c>
      <c r="I618">
        <f>VLOOKUP(Scores[[#This Row],[MRUN]],Demographics[],3,FALSE)</f>
        <v>4</v>
      </c>
      <c r="J618">
        <f>AVERAGE(Scores[[#This Row],[LYC]],Scores[[#This Row],[MATE]])</f>
        <v>0</v>
      </c>
      <c r="K618">
        <f>VLOOKUP(Scores[[#This Row],[MRUN]],Demographics[],6,FALSE)</f>
        <v>0</v>
      </c>
      <c r="L618">
        <f>VLOOKUP(Scores[[#This Row],[MRUN]],Demographics[], 7,FALSE)</f>
        <v>2</v>
      </c>
      <c r="M618">
        <f>VLOOKUP(Scores[[#This Row],[MRUN]],Demographics[], 5, FALSE)</f>
        <v>1</v>
      </c>
    </row>
    <row r="619" spans="1:13" hidden="1" x14ac:dyDescent="0.2">
      <c r="A619" s="1">
        <v>1700820</v>
      </c>
      <c r="B619">
        <v>2</v>
      </c>
      <c r="C619">
        <v>3</v>
      </c>
      <c r="D619">
        <v>723</v>
      </c>
      <c r="E619">
        <v>624</v>
      </c>
      <c r="F619">
        <v>692</v>
      </c>
      <c r="G619">
        <v>0</v>
      </c>
      <c r="H619">
        <v>587</v>
      </c>
      <c r="I619">
        <f>VLOOKUP(Scores[[#This Row],[MRUN]],Demographics[],3,FALSE)</f>
        <v>3</v>
      </c>
      <c r="J619">
        <f>AVERAGE(Scores[[#This Row],[LYC]],Scores[[#This Row],[MATE]])</f>
        <v>658</v>
      </c>
      <c r="K619">
        <f>VLOOKUP(Scores[[#This Row],[MRUN]],Demographics[],6,FALSE)</f>
        <v>8</v>
      </c>
      <c r="L619">
        <f>VLOOKUP(Scores[[#This Row],[MRUN]],Demographics[], 7,FALSE)</f>
        <v>5</v>
      </c>
      <c r="M619">
        <f>VLOOKUP(Scores[[#This Row],[MRUN]],Demographics[], 5, FALSE)</f>
        <v>2</v>
      </c>
    </row>
    <row r="620" spans="1:13" hidden="1" x14ac:dyDescent="0.2">
      <c r="A620" s="1">
        <v>1369636</v>
      </c>
      <c r="B620">
        <v>1</v>
      </c>
      <c r="C620">
        <v>2</v>
      </c>
      <c r="D620">
        <v>458</v>
      </c>
      <c r="E620">
        <v>464</v>
      </c>
      <c r="F620">
        <v>531</v>
      </c>
      <c r="G620">
        <v>512</v>
      </c>
      <c r="H620">
        <v>571</v>
      </c>
      <c r="I620">
        <f>VLOOKUP(Scores[[#This Row],[MRUN]],Demographics[],3,FALSE)</f>
        <v>2</v>
      </c>
      <c r="J620">
        <f>AVERAGE(Scores[[#This Row],[LYC]],Scores[[#This Row],[MATE]])</f>
        <v>497.5</v>
      </c>
      <c r="K620">
        <f>VLOOKUP(Scores[[#This Row],[MRUN]],Demographics[],6,FALSE)</f>
        <v>5</v>
      </c>
      <c r="L620">
        <f>VLOOKUP(Scores[[#This Row],[MRUN]],Demographics[], 7,FALSE)</f>
        <v>4</v>
      </c>
      <c r="M620">
        <f>VLOOKUP(Scores[[#This Row],[MRUN]],Demographics[], 5, FALSE)</f>
        <v>1</v>
      </c>
    </row>
    <row r="621" spans="1:13" hidden="1" x14ac:dyDescent="0.2">
      <c r="A621" s="1">
        <v>17087370</v>
      </c>
      <c r="B621">
        <v>2</v>
      </c>
      <c r="C621">
        <v>2</v>
      </c>
      <c r="D621">
        <v>455</v>
      </c>
      <c r="E621">
        <v>415</v>
      </c>
      <c r="F621">
        <v>274</v>
      </c>
      <c r="G621">
        <v>397</v>
      </c>
      <c r="H621">
        <v>0</v>
      </c>
      <c r="I621">
        <f>VLOOKUP(Scores[[#This Row],[MRUN]],Demographics[],3,FALSE)</f>
        <v>4</v>
      </c>
      <c r="J621">
        <f>AVERAGE(Scores[[#This Row],[LYC]],Scores[[#This Row],[MATE]])</f>
        <v>344.5</v>
      </c>
      <c r="K621">
        <f>VLOOKUP(Scores[[#This Row],[MRUN]],Demographics[],6,FALSE)</f>
        <v>4</v>
      </c>
      <c r="L621">
        <f>VLOOKUP(Scores[[#This Row],[MRUN]],Demographics[], 7,FALSE)</f>
        <v>2</v>
      </c>
      <c r="M621">
        <f>VLOOKUP(Scores[[#This Row],[MRUN]],Demographics[], 5, FALSE)</f>
        <v>1</v>
      </c>
    </row>
    <row r="622" spans="1:13" hidden="1" x14ac:dyDescent="0.2">
      <c r="A622" s="1">
        <v>21029111</v>
      </c>
      <c r="B622">
        <v>1</v>
      </c>
      <c r="C622">
        <v>2</v>
      </c>
      <c r="D622">
        <v>560</v>
      </c>
      <c r="E622">
        <v>356</v>
      </c>
      <c r="F622">
        <v>395</v>
      </c>
      <c r="G622">
        <v>0</v>
      </c>
      <c r="H622">
        <v>404</v>
      </c>
      <c r="I622">
        <f>VLOOKUP(Scores[[#This Row],[MRUN]],Demographics[],3,FALSE)</f>
        <v>0</v>
      </c>
      <c r="J622">
        <f>AVERAGE(Scores[[#This Row],[LYC]],Scores[[#This Row],[MATE]])</f>
        <v>375.5</v>
      </c>
      <c r="K622">
        <f>VLOOKUP(Scores[[#This Row],[MRUN]],Demographics[],6,FALSE)</f>
        <v>0</v>
      </c>
      <c r="L622">
        <f>VLOOKUP(Scores[[#This Row],[MRUN]],Demographics[], 7,FALSE)</f>
        <v>0</v>
      </c>
      <c r="M622">
        <f>VLOOKUP(Scores[[#This Row],[MRUN]],Demographics[], 5, FALSE)</f>
        <v>1</v>
      </c>
    </row>
    <row r="623" spans="1:13" hidden="1" x14ac:dyDescent="0.2">
      <c r="A623" s="1">
        <v>3405488</v>
      </c>
      <c r="B623">
        <v>2</v>
      </c>
      <c r="C623">
        <v>3</v>
      </c>
      <c r="D623">
        <v>0</v>
      </c>
      <c r="E623">
        <v>0</v>
      </c>
      <c r="F623">
        <v>0</v>
      </c>
      <c r="G623">
        <v>0</v>
      </c>
      <c r="H623">
        <v>0</v>
      </c>
      <c r="I623">
        <f>VLOOKUP(Scores[[#This Row],[MRUN]],Demographics[],3,FALSE)</f>
        <v>6</v>
      </c>
      <c r="J623">
        <f>AVERAGE(Scores[[#This Row],[LYC]],Scores[[#This Row],[MATE]])</f>
        <v>0</v>
      </c>
      <c r="K623">
        <f>VLOOKUP(Scores[[#This Row],[MRUN]],Demographics[],6,FALSE)</f>
        <v>5</v>
      </c>
      <c r="L623">
        <f>VLOOKUP(Scores[[#This Row],[MRUN]],Demographics[], 7,FALSE)</f>
        <v>4</v>
      </c>
      <c r="M623">
        <f>VLOOKUP(Scores[[#This Row],[MRUN]],Demographics[], 5, FALSE)</f>
        <v>1</v>
      </c>
    </row>
    <row r="624" spans="1:13" hidden="1" x14ac:dyDescent="0.2">
      <c r="A624" s="1">
        <v>10881934</v>
      </c>
      <c r="B624">
        <v>2</v>
      </c>
      <c r="C624">
        <v>2</v>
      </c>
      <c r="D624">
        <v>496</v>
      </c>
      <c r="E624">
        <v>0</v>
      </c>
      <c r="F624">
        <v>0</v>
      </c>
      <c r="G624">
        <v>0</v>
      </c>
      <c r="H624">
        <v>0</v>
      </c>
      <c r="I624">
        <f>VLOOKUP(Scores[[#This Row],[MRUN]],Demographics[],3,FALSE)</f>
        <v>6</v>
      </c>
      <c r="J624">
        <f>AVERAGE(Scores[[#This Row],[LYC]],Scores[[#This Row],[MATE]])</f>
        <v>0</v>
      </c>
      <c r="K624">
        <f>VLOOKUP(Scores[[#This Row],[MRUN]],Demographics[],6,FALSE)</f>
        <v>5</v>
      </c>
      <c r="L624">
        <f>VLOOKUP(Scores[[#This Row],[MRUN]],Demographics[], 7,FALSE)</f>
        <v>5</v>
      </c>
      <c r="M624">
        <f>VLOOKUP(Scores[[#This Row],[MRUN]],Demographics[], 5, FALSE)</f>
        <v>1</v>
      </c>
    </row>
    <row r="625" spans="1:13" hidden="1" x14ac:dyDescent="0.2">
      <c r="A625" s="1">
        <v>15052997</v>
      </c>
      <c r="B625">
        <v>2</v>
      </c>
      <c r="C625">
        <v>3</v>
      </c>
      <c r="D625">
        <v>579</v>
      </c>
      <c r="E625">
        <v>567</v>
      </c>
      <c r="F625">
        <v>560</v>
      </c>
      <c r="G625">
        <v>0</v>
      </c>
      <c r="H625">
        <v>523</v>
      </c>
      <c r="I625">
        <f>VLOOKUP(Scores[[#This Row],[MRUN]],Demographics[],3,FALSE)</f>
        <v>4</v>
      </c>
      <c r="J625">
        <f>AVERAGE(Scores[[#This Row],[LYC]],Scores[[#This Row],[MATE]])</f>
        <v>563.5</v>
      </c>
      <c r="K625">
        <f>VLOOKUP(Scores[[#This Row],[MRUN]],Demographics[],6,FALSE)</f>
        <v>10</v>
      </c>
      <c r="L625">
        <f>VLOOKUP(Scores[[#This Row],[MRUN]],Demographics[], 7,FALSE)</f>
        <v>7</v>
      </c>
      <c r="M625">
        <f>VLOOKUP(Scores[[#This Row],[MRUN]],Demographics[], 5, FALSE)</f>
        <v>2</v>
      </c>
    </row>
    <row r="626" spans="1:13" hidden="1" x14ac:dyDescent="0.2">
      <c r="A626" s="1">
        <v>11315092</v>
      </c>
      <c r="B626">
        <v>1</v>
      </c>
      <c r="C626">
        <v>2</v>
      </c>
      <c r="D626">
        <v>641</v>
      </c>
      <c r="E626">
        <v>471</v>
      </c>
      <c r="F626">
        <v>480</v>
      </c>
      <c r="G626">
        <v>516</v>
      </c>
      <c r="H626">
        <v>0</v>
      </c>
      <c r="I626">
        <f>VLOOKUP(Scores[[#This Row],[MRUN]],Demographics[],3,FALSE)</f>
        <v>4</v>
      </c>
      <c r="J626">
        <f>AVERAGE(Scores[[#This Row],[LYC]],Scores[[#This Row],[MATE]])</f>
        <v>475.5</v>
      </c>
      <c r="K626">
        <f>VLOOKUP(Scores[[#This Row],[MRUN]],Demographics[],6,FALSE)</f>
        <v>4</v>
      </c>
      <c r="L626">
        <f>VLOOKUP(Scores[[#This Row],[MRUN]],Demographics[], 7,FALSE)</f>
        <v>4</v>
      </c>
      <c r="M626">
        <f>VLOOKUP(Scores[[#This Row],[MRUN]],Demographics[], 5, FALSE)</f>
        <v>1</v>
      </c>
    </row>
    <row r="627" spans="1:13" hidden="1" x14ac:dyDescent="0.2">
      <c r="A627" s="1">
        <v>2336791</v>
      </c>
      <c r="B627">
        <v>2</v>
      </c>
      <c r="C627">
        <v>2</v>
      </c>
      <c r="D627">
        <v>496</v>
      </c>
      <c r="E627">
        <v>262</v>
      </c>
      <c r="F627">
        <v>328</v>
      </c>
      <c r="G627">
        <v>421</v>
      </c>
      <c r="H627">
        <v>0</v>
      </c>
      <c r="I627">
        <f>VLOOKUP(Scores[[#This Row],[MRUN]],Demographics[],3,FALSE)</f>
        <v>3</v>
      </c>
      <c r="J627">
        <f>AVERAGE(Scores[[#This Row],[LYC]],Scores[[#This Row],[MATE]])</f>
        <v>295</v>
      </c>
      <c r="K627">
        <f>VLOOKUP(Scores[[#This Row],[MRUN]],Demographics[],6,FALSE)</f>
        <v>0</v>
      </c>
      <c r="L627">
        <f>VLOOKUP(Scores[[#This Row],[MRUN]],Demographics[], 7,FALSE)</f>
        <v>4</v>
      </c>
      <c r="M627">
        <f>VLOOKUP(Scores[[#This Row],[MRUN]],Demographics[], 5, FALSE)</f>
        <v>1</v>
      </c>
    </row>
    <row r="628" spans="1:13" hidden="1" x14ac:dyDescent="0.2">
      <c r="A628" s="1">
        <v>2438113</v>
      </c>
      <c r="B628">
        <v>1</v>
      </c>
      <c r="C628">
        <v>2</v>
      </c>
      <c r="D628">
        <v>458</v>
      </c>
      <c r="E628">
        <v>0</v>
      </c>
      <c r="F628">
        <v>0</v>
      </c>
      <c r="G628">
        <v>0</v>
      </c>
      <c r="H628">
        <v>0</v>
      </c>
      <c r="I628">
        <f>VLOOKUP(Scores[[#This Row],[MRUN]],Demographics[],3,FALSE)</f>
        <v>4</v>
      </c>
      <c r="J628">
        <f>AVERAGE(Scores[[#This Row],[LYC]],Scores[[#This Row],[MATE]])</f>
        <v>0</v>
      </c>
      <c r="K628">
        <f>VLOOKUP(Scores[[#This Row],[MRUN]],Demographics[],6,FALSE)</f>
        <v>3</v>
      </c>
      <c r="L628">
        <f>VLOOKUP(Scores[[#This Row],[MRUN]],Demographics[], 7,FALSE)</f>
        <v>3</v>
      </c>
      <c r="M628">
        <f>VLOOKUP(Scores[[#This Row],[MRUN]],Demographics[], 5, FALSE)</f>
        <v>1</v>
      </c>
    </row>
    <row r="629" spans="1:13" hidden="1" x14ac:dyDescent="0.2">
      <c r="A629" s="1">
        <v>18892216</v>
      </c>
      <c r="B629">
        <v>1</v>
      </c>
      <c r="C629">
        <v>3</v>
      </c>
      <c r="D629">
        <v>458</v>
      </c>
      <c r="E629">
        <v>0</v>
      </c>
      <c r="F629">
        <v>0</v>
      </c>
      <c r="G629">
        <v>0</v>
      </c>
      <c r="H629">
        <v>0</v>
      </c>
      <c r="I629">
        <f>VLOOKUP(Scores[[#This Row],[MRUN]],Demographics[],3,FALSE)</f>
        <v>4</v>
      </c>
      <c r="J629">
        <f>AVERAGE(Scores[[#This Row],[LYC]],Scores[[#This Row],[MATE]])</f>
        <v>0</v>
      </c>
      <c r="K629">
        <f>VLOOKUP(Scores[[#This Row],[MRUN]],Demographics[],6,FALSE)</f>
        <v>2</v>
      </c>
      <c r="L629">
        <f>VLOOKUP(Scores[[#This Row],[MRUN]],Demographics[], 7,FALSE)</f>
        <v>4</v>
      </c>
      <c r="M629">
        <f>VLOOKUP(Scores[[#This Row],[MRUN]],Demographics[], 5, FALSE)</f>
        <v>1</v>
      </c>
    </row>
    <row r="630" spans="1:13" hidden="1" x14ac:dyDescent="0.2">
      <c r="A630" s="1">
        <v>7677181</v>
      </c>
      <c r="B630">
        <v>1</v>
      </c>
      <c r="C630">
        <v>3</v>
      </c>
      <c r="D630">
        <v>558</v>
      </c>
      <c r="E630">
        <v>618</v>
      </c>
      <c r="F630">
        <v>666</v>
      </c>
      <c r="G630">
        <v>613</v>
      </c>
      <c r="H630">
        <v>647</v>
      </c>
      <c r="I630">
        <f>VLOOKUP(Scores[[#This Row],[MRUN]],Demographics[],3,FALSE)</f>
        <v>2</v>
      </c>
      <c r="J630">
        <f>AVERAGE(Scores[[#This Row],[LYC]],Scores[[#This Row],[MATE]])</f>
        <v>642</v>
      </c>
      <c r="K630">
        <f>VLOOKUP(Scores[[#This Row],[MRUN]],Demographics[],6,FALSE)</f>
        <v>2</v>
      </c>
      <c r="L630">
        <f>VLOOKUP(Scores[[#This Row],[MRUN]],Demographics[], 7,FALSE)</f>
        <v>2</v>
      </c>
      <c r="M630">
        <f>VLOOKUP(Scores[[#This Row],[MRUN]],Demographics[], 5, FALSE)</f>
        <v>1</v>
      </c>
    </row>
    <row r="631" spans="1:13" hidden="1" x14ac:dyDescent="0.2">
      <c r="A631" s="1">
        <v>16018913</v>
      </c>
      <c r="B631">
        <v>2</v>
      </c>
      <c r="C631">
        <v>2</v>
      </c>
      <c r="D631">
        <v>455</v>
      </c>
      <c r="E631">
        <v>333</v>
      </c>
      <c r="F631">
        <v>413</v>
      </c>
      <c r="G631">
        <v>0</v>
      </c>
      <c r="H631">
        <v>449</v>
      </c>
      <c r="I631">
        <f>VLOOKUP(Scores[[#This Row],[MRUN]],Demographics[],3,FALSE)</f>
        <v>0</v>
      </c>
      <c r="J631">
        <f>AVERAGE(Scores[[#This Row],[LYC]],Scores[[#This Row],[MATE]])</f>
        <v>373</v>
      </c>
      <c r="K631">
        <f>VLOOKUP(Scores[[#This Row],[MRUN]],Demographics[],6,FALSE)</f>
        <v>0</v>
      </c>
      <c r="L631">
        <f>VLOOKUP(Scores[[#This Row],[MRUN]],Demographics[], 7,FALSE)</f>
        <v>0</v>
      </c>
      <c r="M631">
        <f>VLOOKUP(Scores[[#This Row],[MRUN]],Demographics[], 5, FALSE)</f>
        <v>1</v>
      </c>
    </row>
    <row r="632" spans="1:13" hidden="1" x14ac:dyDescent="0.2">
      <c r="A632" s="1">
        <v>14086301</v>
      </c>
      <c r="B632">
        <v>2</v>
      </c>
      <c r="C632">
        <v>3</v>
      </c>
      <c r="D632">
        <v>400</v>
      </c>
      <c r="E632">
        <v>276</v>
      </c>
      <c r="F632">
        <v>328</v>
      </c>
      <c r="G632">
        <v>436</v>
      </c>
      <c r="H632">
        <v>0</v>
      </c>
      <c r="I632">
        <f>VLOOKUP(Scores[[#This Row],[MRUN]],Demographics[],3,FALSE)</f>
        <v>2</v>
      </c>
      <c r="J632">
        <f>AVERAGE(Scores[[#This Row],[LYC]],Scores[[#This Row],[MATE]])</f>
        <v>302</v>
      </c>
      <c r="K632">
        <f>VLOOKUP(Scores[[#This Row],[MRUN]],Demographics[],6,FALSE)</f>
        <v>10</v>
      </c>
      <c r="L632">
        <f>VLOOKUP(Scores[[#This Row],[MRUN]],Demographics[], 7,FALSE)</f>
        <v>5</v>
      </c>
      <c r="M632">
        <f>VLOOKUP(Scores[[#This Row],[MRUN]],Demographics[], 5, FALSE)</f>
        <v>1</v>
      </c>
    </row>
    <row r="633" spans="1:13" hidden="1" x14ac:dyDescent="0.2">
      <c r="A633" s="1">
        <v>4040346</v>
      </c>
      <c r="B633">
        <v>1</v>
      </c>
      <c r="C633">
        <v>2</v>
      </c>
      <c r="D633">
        <v>455</v>
      </c>
      <c r="E633">
        <v>551</v>
      </c>
      <c r="F633">
        <v>512</v>
      </c>
      <c r="G633">
        <v>484</v>
      </c>
      <c r="H633">
        <v>0</v>
      </c>
      <c r="I633">
        <f>VLOOKUP(Scores[[#This Row],[MRUN]],Demographics[],3,FALSE)</f>
        <v>5</v>
      </c>
      <c r="J633">
        <f>AVERAGE(Scores[[#This Row],[LYC]],Scores[[#This Row],[MATE]])</f>
        <v>531.5</v>
      </c>
      <c r="K633">
        <f>VLOOKUP(Scores[[#This Row],[MRUN]],Demographics[],6,FALSE)</f>
        <v>5</v>
      </c>
      <c r="L633">
        <f>VLOOKUP(Scores[[#This Row],[MRUN]],Demographics[], 7,FALSE)</f>
        <v>3</v>
      </c>
      <c r="M633">
        <f>VLOOKUP(Scores[[#This Row],[MRUN]],Demographics[], 5, FALSE)</f>
        <v>2</v>
      </c>
    </row>
    <row r="634" spans="1:13" hidden="1" x14ac:dyDescent="0.2">
      <c r="A634" s="1">
        <v>835598</v>
      </c>
      <c r="B634">
        <v>2</v>
      </c>
      <c r="C634">
        <v>2</v>
      </c>
      <c r="D634">
        <v>476</v>
      </c>
      <c r="E634">
        <v>483</v>
      </c>
      <c r="F634">
        <v>452</v>
      </c>
      <c r="G634">
        <v>506</v>
      </c>
      <c r="H634">
        <v>0</v>
      </c>
      <c r="I634">
        <f>VLOOKUP(Scores[[#This Row],[MRUN]],Demographics[],3,FALSE)</f>
        <v>5</v>
      </c>
      <c r="J634">
        <f>AVERAGE(Scores[[#This Row],[LYC]],Scores[[#This Row],[MATE]])</f>
        <v>467.5</v>
      </c>
      <c r="K634">
        <f>VLOOKUP(Scores[[#This Row],[MRUN]],Demographics[],6,FALSE)</f>
        <v>3</v>
      </c>
      <c r="L634">
        <f>VLOOKUP(Scores[[#This Row],[MRUN]],Demographics[], 7,FALSE)</f>
        <v>2</v>
      </c>
      <c r="M634">
        <f>VLOOKUP(Scores[[#This Row],[MRUN]],Demographics[], 5, FALSE)</f>
        <v>1</v>
      </c>
    </row>
    <row r="635" spans="1:13" hidden="1" x14ac:dyDescent="0.2">
      <c r="A635" s="1">
        <v>6536800</v>
      </c>
      <c r="B635">
        <v>2</v>
      </c>
      <c r="C635">
        <v>2</v>
      </c>
      <c r="D635">
        <v>496</v>
      </c>
      <c r="E635">
        <v>378</v>
      </c>
      <c r="F635">
        <v>428</v>
      </c>
      <c r="G635">
        <v>473</v>
      </c>
      <c r="H635">
        <v>0</v>
      </c>
      <c r="I635">
        <f>VLOOKUP(Scores[[#This Row],[MRUN]],Demographics[],3,FALSE)</f>
        <v>10</v>
      </c>
      <c r="J635">
        <f>AVERAGE(Scores[[#This Row],[LYC]],Scores[[#This Row],[MATE]])</f>
        <v>403</v>
      </c>
      <c r="K635">
        <f>VLOOKUP(Scores[[#This Row],[MRUN]],Demographics[],6,FALSE)</f>
        <v>5</v>
      </c>
      <c r="L635">
        <f>VLOOKUP(Scores[[#This Row],[MRUN]],Demographics[], 7,FALSE)</f>
        <v>9</v>
      </c>
      <c r="M635">
        <f>VLOOKUP(Scores[[#This Row],[MRUN]],Demographics[], 5, FALSE)</f>
        <v>2</v>
      </c>
    </row>
    <row r="636" spans="1:13" hidden="1" x14ac:dyDescent="0.2">
      <c r="A636" s="1">
        <v>22024746</v>
      </c>
      <c r="B636">
        <v>1</v>
      </c>
      <c r="C636">
        <v>2</v>
      </c>
      <c r="D636">
        <v>476</v>
      </c>
      <c r="E636">
        <v>557</v>
      </c>
      <c r="F636">
        <v>571</v>
      </c>
      <c r="G636">
        <v>0</v>
      </c>
      <c r="H636">
        <v>575</v>
      </c>
      <c r="I636">
        <f>VLOOKUP(Scores[[#This Row],[MRUN]],Demographics[],3,FALSE)</f>
        <v>5</v>
      </c>
      <c r="J636">
        <f>AVERAGE(Scores[[#This Row],[LYC]],Scores[[#This Row],[MATE]])</f>
        <v>564</v>
      </c>
      <c r="K636">
        <f>VLOOKUP(Scores[[#This Row],[MRUN]],Demographics[],6,FALSE)</f>
        <v>8</v>
      </c>
      <c r="L636">
        <f>VLOOKUP(Scores[[#This Row],[MRUN]],Demographics[], 7,FALSE)</f>
        <v>7</v>
      </c>
      <c r="M636">
        <f>VLOOKUP(Scores[[#This Row],[MRUN]],Demographics[], 5, FALSE)</f>
        <v>2</v>
      </c>
    </row>
    <row r="637" spans="1:13" hidden="1" x14ac:dyDescent="0.2">
      <c r="A637" s="1">
        <v>2798180</v>
      </c>
      <c r="B637">
        <v>1</v>
      </c>
      <c r="C637">
        <v>3</v>
      </c>
      <c r="D637">
        <v>539</v>
      </c>
      <c r="E637">
        <v>0</v>
      </c>
      <c r="F637">
        <v>0</v>
      </c>
      <c r="G637">
        <v>0</v>
      </c>
      <c r="H637">
        <v>0</v>
      </c>
      <c r="I637">
        <f>VLOOKUP(Scores[[#This Row],[MRUN]],Demographics[],3,FALSE)</f>
        <v>0</v>
      </c>
      <c r="J637">
        <f>AVERAGE(Scores[[#This Row],[LYC]],Scores[[#This Row],[MATE]])</f>
        <v>0</v>
      </c>
      <c r="K637">
        <f>VLOOKUP(Scores[[#This Row],[MRUN]],Demographics[],6,FALSE)</f>
        <v>3</v>
      </c>
      <c r="L637">
        <f>VLOOKUP(Scores[[#This Row],[MRUN]],Demographics[], 7,FALSE)</f>
        <v>2</v>
      </c>
      <c r="M637">
        <f>VLOOKUP(Scores[[#This Row],[MRUN]],Demographics[], 5, FALSE)</f>
        <v>1</v>
      </c>
    </row>
    <row r="638" spans="1:13" hidden="1" x14ac:dyDescent="0.2">
      <c r="A638" s="1">
        <v>7705599</v>
      </c>
      <c r="B638">
        <v>1</v>
      </c>
      <c r="C638">
        <v>3</v>
      </c>
      <c r="D638">
        <v>519</v>
      </c>
      <c r="E638">
        <v>0</v>
      </c>
      <c r="F638">
        <v>0</v>
      </c>
      <c r="G638">
        <v>0</v>
      </c>
      <c r="H638">
        <v>0</v>
      </c>
      <c r="I638">
        <f>VLOOKUP(Scores[[#This Row],[MRUN]],Demographics[],3,FALSE)</f>
        <v>3</v>
      </c>
      <c r="J638">
        <f>AVERAGE(Scores[[#This Row],[LYC]],Scores[[#This Row],[MATE]])</f>
        <v>0</v>
      </c>
      <c r="K638">
        <f>VLOOKUP(Scores[[#This Row],[MRUN]],Demographics[],6,FALSE)</f>
        <v>3</v>
      </c>
      <c r="L638">
        <f>VLOOKUP(Scores[[#This Row],[MRUN]],Demographics[], 7,FALSE)</f>
        <v>5</v>
      </c>
      <c r="M638">
        <f>VLOOKUP(Scores[[#This Row],[MRUN]],Demographics[], 5, FALSE)</f>
        <v>1</v>
      </c>
    </row>
    <row r="639" spans="1:13" hidden="1" x14ac:dyDescent="0.2">
      <c r="A639" s="1">
        <v>5901236</v>
      </c>
      <c r="B639">
        <v>2</v>
      </c>
      <c r="C639">
        <v>2</v>
      </c>
      <c r="D639">
        <v>499</v>
      </c>
      <c r="E639">
        <v>576</v>
      </c>
      <c r="F639">
        <v>501</v>
      </c>
      <c r="G639">
        <v>586</v>
      </c>
      <c r="H639">
        <v>0</v>
      </c>
      <c r="I639">
        <f>VLOOKUP(Scores[[#This Row],[MRUN]],Demographics[],3,FALSE)</f>
        <v>6</v>
      </c>
      <c r="J639">
        <f>AVERAGE(Scores[[#This Row],[LYC]],Scores[[#This Row],[MATE]])</f>
        <v>538.5</v>
      </c>
      <c r="K639">
        <f>VLOOKUP(Scores[[#This Row],[MRUN]],Demographics[],6,FALSE)</f>
        <v>9</v>
      </c>
      <c r="L639">
        <f>VLOOKUP(Scores[[#This Row],[MRUN]],Demographics[], 7,FALSE)</f>
        <v>9</v>
      </c>
      <c r="M639">
        <f>VLOOKUP(Scores[[#This Row],[MRUN]],Demographics[], 5, FALSE)</f>
        <v>2</v>
      </c>
    </row>
    <row r="640" spans="1:13" hidden="1" x14ac:dyDescent="0.2">
      <c r="A640" s="1">
        <v>19989573</v>
      </c>
      <c r="B640">
        <v>2</v>
      </c>
      <c r="C640">
        <v>2</v>
      </c>
      <c r="D640">
        <v>476</v>
      </c>
      <c r="E640">
        <v>537</v>
      </c>
      <c r="F640">
        <v>413</v>
      </c>
      <c r="G640">
        <v>516</v>
      </c>
      <c r="H640">
        <v>0</v>
      </c>
      <c r="I640">
        <f>VLOOKUP(Scores[[#This Row],[MRUN]],Demographics[],3,FALSE)</f>
        <v>4</v>
      </c>
      <c r="J640">
        <f>AVERAGE(Scores[[#This Row],[LYC]],Scores[[#This Row],[MATE]])</f>
        <v>475</v>
      </c>
      <c r="K640">
        <f>VLOOKUP(Scores[[#This Row],[MRUN]],Demographics[],6,FALSE)</f>
        <v>5</v>
      </c>
      <c r="L640">
        <f>VLOOKUP(Scores[[#This Row],[MRUN]],Demographics[], 7,FALSE)</f>
        <v>3</v>
      </c>
      <c r="M640">
        <f>VLOOKUP(Scores[[#This Row],[MRUN]],Demographics[], 5, FALSE)</f>
        <v>1</v>
      </c>
    </row>
    <row r="641" spans="1:13" hidden="1" x14ac:dyDescent="0.2">
      <c r="A641" s="1">
        <v>4501454</v>
      </c>
      <c r="B641">
        <v>2</v>
      </c>
      <c r="C641">
        <v>2</v>
      </c>
      <c r="D641">
        <v>0</v>
      </c>
      <c r="E641">
        <v>0</v>
      </c>
      <c r="F641">
        <v>0</v>
      </c>
      <c r="G641">
        <v>0</v>
      </c>
      <c r="H641">
        <v>0</v>
      </c>
      <c r="I641">
        <f>VLOOKUP(Scores[[#This Row],[MRUN]],Demographics[],3,FALSE)</f>
        <v>4</v>
      </c>
      <c r="J641">
        <f>AVERAGE(Scores[[#This Row],[LYC]],Scores[[#This Row],[MATE]])</f>
        <v>0</v>
      </c>
      <c r="K641">
        <f>VLOOKUP(Scores[[#This Row],[MRUN]],Demographics[],6,FALSE)</f>
        <v>2</v>
      </c>
      <c r="L641">
        <f>VLOOKUP(Scores[[#This Row],[MRUN]],Demographics[], 7,FALSE)</f>
        <v>2</v>
      </c>
      <c r="M641">
        <f>VLOOKUP(Scores[[#This Row],[MRUN]],Demographics[], 5, FALSE)</f>
        <v>1</v>
      </c>
    </row>
    <row r="642" spans="1:13" hidden="1" x14ac:dyDescent="0.2">
      <c r="A642" s="1">
        <v>21922953</v>
      </c>
      <c r="B642">
        <v>2</v>
      </c>
      <c r="C642">
        <v>2</v>
      </c>
      <c r="D642">
        <v>478</v>
      </c>
      <c r="E642">
        <v>531</v>
      </c>
      <c r="F642">
        <v>452</v>
      </c>
      <c r="G642">
        <v>0</v>
      </c>
      <c r="H642">
        <v>475</v>
      </c>
      <c r="I642">
        <f>VLOOKUP(Scores[[#This Row],[MRUN]],Demographics[],3,FALSE)</f>
        <v>6</v>
      </c>
      <c r="J642">
        <f>AVERAGE(Scores[[#This Row],[LYC]],Scores[[#This Row],[MATE]])</f>
        <v>491.5</v>
      </c>
      <c r="K642">
        <f>VLOOKUP(Scores[[#This Row],[MRUN]],Demographics[],6,FALSE)</f>
        <v>2</v>
      </c>
      <c r="L642">
        <f>VLOOKUP(Scores[[#This Row],[MRUN]],Demographics[], 7,FALSE)</f>
        <v>2</v>
      </c>
      <c r="M642">
        <f>VLOOKUP(Scores[[#This Row],[MRUN]],Demographics[], 5, FALSE)</f>
        <v>2</v>
      </c>
    </row>
    <row r="643" spans="1:13" hidden="1" x14ac:dyDescent="0.2">
      <c r="A643" s="1">
        <v>22457028</v>
      </c>
      <c r="B643">
        <v>1</v>
      </c>
      <c r="C643">
        <v>2</v>
      </c>
      <c r="D643">
        <v>376</v>
      </c>
      <c r="E643">
        <v>345</v>
      </c>
      <c r="F643">
        <v>441</v>
      </c>
      <c r="G643">
        <v>442</v>
      </c>
      <c r="H643">
        <v>361</v>
      </c>
      <c r="I643">
        <f>VLOOKUP(Scores[[#This Row],[MRUN]],Demographics[],3,FALSE)</f>
        <v>5</v>
      </c>
      <c r="J643">
        <f>AVERAGE(Scores[[#This Row],[LYC]],Scores[[#This Row],[MATE]])</f>
        <v>393</v>
      </c>
      <c r="K643">
        <f>VLOOKUP(Scores[[#This Row],[MRUN]],Demographics[],6,FALSE)</f>
        <v>5</v>
      </c>
      <c r="L643">
        <f>VLOOKUP(Scores[[#This Row],[MRUN]],Demographics[], 7,FALSE)</f>
        <v>3</v>
      </c>
      <c r="M643">
        <f>VLOOKUP(Scores[[#This Row],[MRUN]],Demographics[], 5, FALSE)</f>
        <v>1</v>
      </c>
    </row>
    <row r="644" spans="1:13" hidden="1" x14ac:dyDescent="0.2">
      <c r="A644" s="1">
        <v>4832546</v>
      </c>
      <c r="B644">
        <v>2</v>
      </c>
      <c r="C644">
        <v>4</v>
      </c>
      <c r="D644">
        <v>496</v>
      </c>
      <c r="E644">
        <v>602</v>
      </c>
      <c r="F644">
        <v>585</v>
      </c>
      <c r="G644">
        <v>0</v>
      </c>
      <c r="H644">
        <v>579</v>
      </c>
      <c r="I644">
        <f>VLOOKUP(Scores[[#This Row],[MRUN]],Demographics[],3,FALSE)</f>
        <v>8</v>
      </c>
      <c r="J644">
        <f>AVERAGE(Scores[[#This Row],[LYC]],Scores[[#This Row],[MATE]])</f>
        <v>593.5</v>
      </c>
      <c r="K644">
        <f>VLOOKUP(Scores[[#This Row],[MRUN]],Demographics[],6,FALSE)</f>
        <v>4</v>
      </c>
      <c r="L644">
        <f>VLOOKUP(Scores[[#This Row],[MRUN]],Demographics[], 7,FALSE)</f>
        <v>5</v>
      </c>
      <c r="M644">
        <f>VLOOKUP(Scores[[#This Row],[MRUN]],Demographics[], 5, FALSE)</f>
        <v>2</v>
      </c>
    </row>
    <row r="645" spans="1:13" hidden="1" x14ac:dyDescent="0.2">
      <c r="A645" s="1">
        <v>14114604</v>
      </c>
      <c r="B645">
        <v>2</v>
      </c>
      <c r="C645">
        <v>2</v>
      </c>
      <c r="D645">
        <v>496</v>
      </c>
      <c r="E645">
        <v>488</v>
      </c>
      <c r="F645">
        <v>480</v>
      </c>
      <c r="G645">
        <v>0</v>
      </c>
      <c r="H645">
        <v>483</v>
      </c>
      <c r="I645">
        <f>VLOOKUP(Scores[[#This Row],[MRUN]],Demographics[],3,FALSE)</f>
        <v>5</v>
      </c>
      <c r="J645">
        <f>AVERAGE(Scores[[#This Row],[LYC]],Scores[[#This Row],[MATE]])</f>
        <v>484</v>
      </c>
      <c r="K645">
        <f>VLOOKUP(Scores[[#This Row],[MRUN]],Demographics[],6,FALSE)</f>
        <v>5</v>
      </c>
      <c r="L645">
        <f>VLOOKUP(Scores[[#This Row],[MRUN]],Demographics[], 7,FALSE)</f>
        <v>5</v>
      </c>
      <c r="M645">
        <f>VLOOKUP(Scores[[#This Row],[MRUN]],Demographics[], 5, FALSE)</f>
        <v>2</v>
      </c>
    </row>
    <row r="646" spans="1:13" hidden="1" x14ac:dyDescent="0.2">
      <c r="A646" s="1">
        <v>15081516</v>
      </c>
      <c r="B646">
        <v>1</v>
      </c>
      <c r="C646">
        <v>3</v>
      </c>
      <c r="D646">
        <v>0</v>
      </c>
      <c r="E646">
        <v>0</v>
      </c>
      <c r="F646">
        <v>0</v>
      </c>
      <c r="G646">
        <v>0</v>
      </c>
      <c r="H646">
        <v>0</v>
      </c>
      <c r="I646">
        <f>VLOOKUP(Scores[[#This Row],[MRUN]],Demographics[],3,FALSE)</f>
        <v>0</v>
      </c>
      <c r="J646">
        <f>AVERAGE(Scores[[#This Row],[LYC]],Scores[[#This Row],[MATE]])</f>
        <v>0</v>
      </c>
      <c r="K646">
        <f>VLOOKUP(Scores[[#This Row],[MRUN]],Demographics[],6,FALSE)</f>
        <v>0</v>
      </c>
      <c r="L646">
        <f>VLOOKUP(Scores[[#This Row],[MRUN]],Demographics[], 7,FALSE)</f>
        <v>0</v>
      </c>
      <c r="M646">
        <f>VLOOKUP(Scores[[#This Row],[MRUN]],Demographics[], 5, FALSE)</f>
        <v>2</v>
      </c>
    </row>
    <row r="647" spans="1:13" hidden="1" x14ac:dyDescent="0.2">
      <c r="A647" s="1">
        <v>6104097</v>
      </c>
      <c r="B647">
        <v>2</v>
      </c>
      <c r="C647">
        <v>2</v>
      </c>
      <c r="D647">
        <v>397</v>
      </c>
      <c r="E647">
        <v>0</v>
      </c>
      <c r="F647">
        <v>0</v>
      </c>
      <c r="G647">
        <v>0</v>
      </c>
      <c r="H647">
        <v>0</v>
      </c>
      <c r="I647">
        <f>VLOOKUP(Scores[[#This Row],[MRUN]],Demographics[],3,FALSE)</f>
        <v>5</v>
      </c>
      <c r="J647">
        <f>AVERAGE(Scores[[#This Row],[LYC]],Scores[[#This Row],[MATE]])</f>
        <v>0</v>
      </c>
      <c r="K647">
        <f>VLOOKUP(Scores[[#This Row],[MRUN]],Demographics[],6,FALSE)</f>
        <v>3</v>
      </c>
      <c r="L647">
        <f>VLOOKUP(Scores[[#This Row],[MRUN]],Demographics[], 7,FALSE)</f>
        <v>4</v>
      </c>
      <c r="M647">
        <f>VLOOKUP(Scores[[#This Row],[MRUN]],Demographics[], 5, FALSE)</f>
        <v>2</v>
      </c>
    </row>
    <row r="648" spans="1:13" hidden="1" x14ac:dyDescent="0.2">
      <c r="A648" s="1">
        <v>12945241</v>
      </c>
      <c r="B648">
        <v>2</v>
      </c>
      <c r="C648">
        <v>3</v>
      </c>
      <c r="D648">
        <v>539</v>
      </c>
      <c r="E648">
        <v>0</v>
      </c>
      <c r="F648">
        <v>0</v>
      </c>
      <c r="G648">
        <v>0</v>
      </c>
      <c r="H648">
        <v>0</v>
      </c>
      <c r="I648">
        <f>VLOOKUP(Scores[[#This Row],[MRUN]],Demographics[],3,FALSE)</f>
        <v>0</v>
      </c>
      <c r="J648">
        <f>AVERAGE(Scores[[#This Row],[LYC]],Scores[[#This Row],[MATE]])</f>
        <v>0</v>
      </c>
      <c r="K648">
        <f>VLOOKUP(Scores[[#This Row],[MRUN]],Demographics[],6,FALSE)</f>
        <v>0</v>
      </c>
      <c r="L648">
        <f>VLOOKUP(Scores[[#This Row],[MRUN]],Demographics[], 7,FALSE)</f>
        <v>0</v>
      </c>
      <c r="M648">
        <f>VLOOKUP(Scores[[#This Row],[MRUN]],Demographics[], 5, FALSE)</f>
        <v>1</v>
      </c>
    </row>
    <row r="649" spans="1:13" hidden="1" x14ac:dyDescent="0.2">
      <c r="A649" s="1">
        <v>4501453</v>
      </c>
      <c r="B649">
        <v>1</v>
      </c>
      <c r="C649">
        <v>2</v>
      </c>
      <c r="D649">
        <v>376</v>
      </c>
      <c r="E649">
        <v>378</v>
      </c>
      <c r="F649">
        <v>452</v>
      </c>
      <c r="G649">
        <v>479</v>
      </c>
      <c r="H649">
        <v>0</v>
      </c>
      <c r="I649">
        <f>VLOOKUP(Scores[[#This Row],[MRUN]],Demographics[],3,FALSE)</f>
        <v>4</v>
      </c>
      <c r="J649">
        <f>AVERAGE(Scores[[#This Row],[LYC]],Scores[[#This Row],[MATE]])</f>
        <v>415</v>
      </c>
      <c r="K649">
        <f>VLOOKUP(Scores[[#This Row],[MRUN]],Demographics[],6,FALSE)</f>
        <v>5</v>
      </c>
      <c r="L649">
        <f>VLOOKUP(Scores[[#This Row],[MRUN]],Demographics[], 7,FALSE)</f>
        <v>4</v>
      </c>
      <c r="M649">
        <f>VLOOKUP(Scores[[#This Row],[MRUN]],Demographics[], 5, FALSE)</f>
        <v>1</v>
      </c>
    </row>
    <row r="650" spans="1:13" hidden="1" x14ac:dyDescent="0.2">
      <c r="A650" s="1">
        <v>4400045</v>
      </c>
      <c r="B650">
        <v>2</v>
      </c>
      <c r="C650">
        <v>3</v>
      </c>
      <c r="D650">
        <v>435</v>
      </c>
      <c r="E650">
        <v>526</v>
      </c>
      <c r="F650">
        <v>274</v>
      </c>
      <c r="G650">
        <v>490</v>
      </c>
      <c r="H650">
        <v>0</v>
      </c>
      <c r="I650">
        <f>VLOOKUP(Scores[[#This Row],[MRUN]],Demographics[],3,FALSE)</f>
        <v>4</v>
      </c>
      <c r="J650">
        <f>AVERAGE(Scores[[#This Row],[LYC]],Scores[[#This Row],[MATE]])</f>
        <v>400</v>
      </c>
      <c r="K650">
        <f>VLOOKUP(Scores[[#This Row],[MRUN]],Demographics[],6,FALSE)</f>
        <v>5</v>
      </c>
      <c r="L650">
        <f>VLOOKUP(Scores[[#This Row],[MRUN]],Demographics[], 7,FALSE)</f>
        <v>5</v>
      </c>
      <c r="M650">
        <f>VLOOKUP(Scores[[#This Row],[MRUN]],Demographics[], 5, FALSE)</f>
        <v>2</v>
      </c>
    </row>
    <row r="651" spans="1:13" hidden="1" x14ac:dyDescent="0.2">
      <c r="A651" s="1">
        <v>20854690</v>
      </c>
      <c r="B651">
        <v>1</v>
      </c>
      <c r="C651">
        <v>3</v>
      </c>
      <c r="D651">
        <v>376</v>
      </c>
      <c r="E651">
        <v>0</v>
      </c>
      <c r="F651">
        <v>0</v>
      </c>
      <c r="G651">
        <v>0</v>
      </c>
      <c r="H651">
        <v>0</v>
      </c>
      <c r="I651">
        <f>VLOOKUP(Scores[[#This Row],[MRUN]],Demographics[],3,FALSE)</f>
        <v>4</v>
      </c>
      <c r="J651">
        <f>AVERAGE(Scores[[#This Row],[LYC]],Scores[[#This Row],[MATE]])</f>
        <v>0</v>
      </c>
      <c r="K651">
        <f>VLOOKUP(Scores[[#This Row],[MRUN]],Demographics[],6,FALSE)</f>
        <v>2</v>
      </c>
      <c r="L651">
        <f>VLOOKUP(Scores[[#This Row],[MRUN]],Demographics[], 7,FALSE)</f>
        <v>4</v>
      </c>
      <c r="M651">
        <f>VLOOKUP(Scores[[#This Row],[MRUN]],Demographics[], 5, FALSE)</f>
        <v>1</v>
      </c>
    </row>
    <row r="652" spans="1:13" hidden="1" x14ac:dyDescent="0.2">
      <c r="A652" s="1">
        <v>2365334</v>
      </c>
      <c r="B652">
        <v>1</v>
      </c>
      <c r="C652">
        <v>2</v>
      </c>
      <c r="D652">
        <v>661</v>
      </c>
      <c r="E652">
        <v>483</v>
      </c>
      <c r="F652">
        <v>579</v>
      </c>
      <c r="G652">
        <v>592</v>
      </c>
      <c r="H652">
        <v>468</v>
      </c>
      <c r="I652">
        <f>VLOOKUP(Scores[[#This Row],[MRUN]],Demographics[],3,FALSE)</f>
        <v>5</v>
      </c>
      <c r="J652">
        <f>AVERAGE(Scores[[#This Row],[LYC]],Scores[[#This Row],[MATE]])</f>
        <v>531</v>
      </c>
      <c r="K652">
        <f>VLOOKUP(Scores[[#This Row],[MRUN]],Demographics[],6,FALSE)</f>
        <v>4</v>
      </c>
      <c r="L652">
        <f>VLOOKUP(Scores[[#This Row],[MRUN]],Demographics[], 7,FALSE)</f>
        <v>5</v>
      </c>
      <c r="M652">
        <f>VLOOKUP(Scores[[#This Row],[MRUN]],Demographics[], 5, FALSE)</f>
        <v>1</v>
      </c>
    </row>
    <row r="653" spans="1:13" hidden="1" x14ac:dyDescent="0.2">
      <c r="A653" s="1">
        <v>21057431</v>
      </c>
      <c r="B653">
        <v>1</v>
      </c>
      <c r="C653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f>VLOOKUP(Scores[[#This Row],[MRUN]],Demographics[],3,FALSE)</f>
        <v>0</v>
      </c>
      <c r="J653">
        <f>AVERAGE(Scores[[#This Row],[LYC]],Scores[[#This Row],[MATE]])</f>
        <v>0</v>
      </c>
      <c r="K653">
        <f>VLOOKUP(Scores[[#This Row],[MRUN]],Demographics[],6,FALSE)</f>
        <v>10</v>
      </c>
      <c r="L653">
        <f>VLOOKUP(Scores[[#This Row],[MRUN]],Demographics[], 7,FALSE)</f>
        <v>0</v>
      </c>
      <c r="M653">
        <f>VLOOKUP(Scores[[#This Row],[MRUN]],Demographics[], 5, FALSE)</f>
        <v>1</v>
      </c>
    </row>
    <row r="654" spans="1:13" hidden="1" x14ac:dyDescent="0.2">
      <c r="A654" s="1">
        <v>8037141</v>
      </c>
      <c r="B654">
        <v>2</v>
      </c>
      <c r="C654">
        <v>2</v>
      </c>
      <c r="D654">
        <v>476</v>
      </c>
      <c r="E654">
        <v>306</v>
      </c>
      <c r="F654">
        <v>506</v>
      </c>
      <c r="G654">
        <v>397</v>
      </c>
      <c r="H654">
        <v>326</v>
      </c>
      <c r="I654">
        <f>VLOOKUP(Scores[[#This Row],[MRUN]],Demographics[],3,FALSE)</f>
        <v>2</v>
      </c>
      <c r="J654">
        <f>AVERAGE(Scores[[#This Row],[LYC]],Scores[[#This Row],[MATE]])</f>
        <v>406</v>
      </c>
      <c r="K654">
        <f>VLOOKUP(Scores[[#This Row],[MRUN]],Demographics[],6,FALSE)</f>
        <v>5</v>
      </c>
      <c r="L654">
        <f>VLOOKUP(Scores[[#This Row],[MRUN]],Demographics[], 7,FALSE)</f>
        <v>9</v>
      </c>
      <c r="M654">
        <f>VLOOKUP(Scores[[#This Row],[MRUN]],Demographics[], 5, FALSE)</f>
        <v>1</v>
      </c>
    </row>
    <row r="655" spans="1:13" hidden="1" x14ac:dyDescent="0.2">
      <c r="A655" s="1">
        <v>13911838</v>
      </c>
      <c r="B655">
        <v>1</v>
      </c>
      <c r="C655">
        <v>2</v>
      </c>
      <c r="D655">
        <v>435</v>
      </c>
      <c r="E655">
        <v>537</v>
      </c>
      <c r="F655">
        <v>472</v>
      </c>
      <c r="G655">
        <v>512</v>
      </c>
      <c r="H655">
        <v>0</v>
      </c>
      <c r="I655">
        <f>VLOOKUP(Scores[[#This Row],[MRUN]],Demographics[],3,FALSE)</f>
        <v>3</v>
      </c>
      <c r="J655">
        <f>AVERAGE(Scores[[#This Row],[LYC]],Scores[[#This Row],[MATE]])</f>
        <v>504.5</v>
      </c>
      <c r="K655">
        <f>VLOOKUP(Scores[[#This Row],[MRUN]],Demographics[],6,FALSE)</f>
        <v>0</v>
      </c>
      <c r="L655">
        <f>VLOOKUP(Scores[[#This Row],[MRUN]],Demographics[], 7,FALSE)</f>
        <v>9</v>
      </c>
      <c r="M655">
        <f>VLOOKUP(Scores[[#This Row],[MRUN]],Demographics[], 5, FALSE)</f>
        <v>2</v>
      </c>
    </row>
    <row r="656" spans="1:13" hidden="1" x14ac:dyDescent="0.2">
      <c r="A656" s="1">
        <v>6810717</v>
      </c>
      <c r="B656">
        <v>2</v>
      </c>
      <c r="C656">
        <v>2</v>
      </c>
      <c r="D656">
        <v>496</v>
      </c>
      <c r="E656">
        <v>516</v>
      </c>
      <c r="F656">
        <v>300</v>
      </c>
      <c r="G656">
        <v>0</v>
      </c>
      <c r="H656">
        <v>307</v>
      </c>
      <c r="I656">
        <f>VLOOKUP(Scores[[#This Row],[MRUN]],Demographics[],3,FALSE)</f>
        <v>0</v>
      </c>
      <c r="J656">
        <f>AVERAGE(Scores[[#This Row],[LYC]],Scores[[#This Row],[MATE]])</f>
        <v>408</v>
      </c>
      <c r="K656">
        <f>VLOOKUP(Scores[[#This Row],[MRUN]],Demographics[],6,FALSE)</f>
        <v>0</v>
      </c>
      <c r="L656">
        <f>VLOOKUP(Scores[[#This Row],[MRUN]],Demographics[], 7,FALSE)</f>
        <v>0</v>
      </c>
      <c r="M656">
        <f>VLOOKUP(Scores[[#This Row],[MRUN]],Demographics[], 5, FALSE)</f>
        <v>1</v>
      </c>
    </row>
    <row r="657" spans="1:13" hidden="1" x14ac:dyDescent="0.2">
      <c r="A657" s="1">
        <v>20695830</v>
      </c>
      <c r="B657">
        <v>1</v>
      </c>
      <c r="C657">
        <v>2</v>
      </c>
      <c r="D657">
        <v>356</v>
      </c>
      <c r="E657">
        <v>458</v>
      </c>
      <c r="F657">
        <v>376</v>
      </c>
      <c r="G657">
        <v>406</v>
      </c>
      <c r="H657">
        <v>0</v>
      </c>
      <c r="I657">
        <f>VLOOKUP(Scores[[#This Row],[MRUN]],Demographics[],3,FALSE)</f>
        <v>3</v>
      </c>
      <c r="J657">
        <f>AVERAGE(Scores[[#This Row],[LYC]],Scores[[#This Row],[MATE]])</f>
        <v>417</v>
      </c>
      <c r="K657">
        <f>VLOOKUP(Scores[[#This Row],[MRUN]],Demographics[],6,FALSE)</f>
        <v>2</v>
      </c>
      <c r="L657">
        <f>VLOOKUP(Scores[[#This Row],[MRUN]],Demographics[], 7,FALSE)</f>
        <v>2</v>
      </c>
      <c r="M657">
        <f>VLOOKUP(Scores[[#This Row],[MRUN]],Demographics[], 5, FALSE)</f>
        <v>1</v>
      </c>
    </row>
    <row r="658" spans="1:13" hidden="1" x14ac:dyDescent="0.2">
      <c r="A658" s="1">
        <v>21763880</v>
      </c>
      <c r="B658">
        <v>2</v>
      </c>
      <c r="C658">
        <v>3</v>
      </c>
      <c r="D658">
        <v>0</v>
      </c>
      <c r="E658">
        <v>464</v>
      </c>
      <c r="F658">
        <v>274</v>
      </c>
      <c r="G658">
        <v>421</v>
      </c>
      <c r="H658">
        <v>459</v>
      </c>
      <c r="I658">
        <f>VLOOKUP(Scores[[#This Row],[MRUN]],Demographics[],3,FALSE)</f>
        <v>4</v>
      </c>
      <c r="J658">
        <f>AVERAGE(Scores[[#This Row],[LYC]],Scores[[#This Row],[MATE]])</f>
        <v>369</v>
      </c>
      <c r="K658">
        <f>VLOOKUP(Scores[[#This Row],[MRUN]],Demographics[],6,FALSE)</f>
        <v>5</v>
      </c>
      <c r="L658">
        <f>VLOOKUP(Scores[[#This Row],[MRUN]],Demographics[], 7,FALSE)</f>
        <v>5</v>
      </c>
      <c r="M658">
        <f>VLOOKUP(Scores[[#This Row],[MRUN]],Demographics[], 5, FALSE)</f>
        <v>2</v>
      </c>
    </row>
    <row r="659" spans="1:13" hidden="1" x14ac:dyDescent="0.2">
      <c r="A659" s="1">
        <v>18458053</v>
      </c>
      <c r="B659">
        <v>2</v>
      </c>
      <c r="C659">
        <v>3</v>
      </c>
      <c r="D659">
        <v>702</v>
      </c>
      <c r="E659">
        <v>592</v>
      </c>
      <c r="F659">
        <v>557</v>
      </c>
      <c r="G659">
        <v>0</v>
      </c>
      <c r="H659">
        <v>504</v>
      </c>
      <c r="I659">
        <f>VLOOKUP(Scores[[#This Row],[MRUN]],Demographics[],3,FALSE)</f>
        <v>3</v>
      </c>
      <c r="J659">
        <f>AVERAGE(Scores[[#This Row],[LYC]],Scores[[#This Row],[MATE]])</f>
        <v>574.5</v>
      </c>
      <c r="K659">
        <f>VLOOKUP(Scores[[#This Row],[MRUN]],Demographics[],6,FALSE)</f>
        <v>5</v>
      </c>
      <c r="L659">
        <f>VLOOKUP(Scores[[#This Row],[MRUN]],Demographics[], 7,FALSE)</f>
        <v>5</v>
      </c>
      <c r="M659">
        <f>VLOOKUP(Scores[[#This Row],[MRUN]],Demographics[], 5, FALSE)</f>
        <v>1</v>
      </c>
    </row>
    <row r="660" spans="1:13" hidden="1" x14ac:dyDescent="0.2">
      <c r="A660" s="1">
        <v>5208587</v>
      </c>
      <c r="B660">
        <v>1</v>
      </c>
      <c r="C660">
        <v>2</v>
      </c>
      <c r="D660">
        <v>496</v>
      </c>
      <c r="E660">
        <v>430</v>
      </c>
      <c r="F660">
        <v>441</v>
      </c>
      <c r="G660">
        <v>0</v>
      </c>
      <c r="H660">
        <v>459</v>
      </c>
      <c r="I660">
        <f>VLOOKUP(Scores[[#This Row],[MRUN]],Demographics[],3,FALSE)</f>
        <v>4</v>
      </c>
      <c r="J660">
        <f>AVERAGE(Scores[[#This Row],[LYC]],Scores[[#This Row],[MATE]])</f>
        <v>435.5</v>
      </c>
      <c r="K660">
        <f>VLOOKUP(Scores[[#This Row],[MRUN]],Demographics[],6,FALSE)</f>
        <v>4</v>
      </c>
      <c r="L660">
        <f>VLOOKUP(Scores[[#This Row],[MRUN]],Demographics[], 7,FALSE)</f>
        <v>5</v>
      </c>
      <c r="M660">
        <f>VLOOKUP(Scores[[#This Row],[MRUN]],Demographics[], 5, FALSE)</f>
        <v>1</v>
      </c>
    </row>
    <row r="661" spans="1:13" hidden="1" x14ac:dyDescent="0.2">
      <c r="A661" s="1">
        <v>10115646</v>
      </c>
      <c r="B661">
        <v>2</v>
      </c>
      <c r="C661">
        <v>2</v>
      </c>
      <c r="D661">
        <v>437</v>
      </c>
      <c r="E661">
        <v>0</v>
      </c>
      <c r="F661">
        <v>0</v>
      </c>
      <c r="G661">
        <v>0</v>
      </c>
      <c r="H661">
        <v>0</v>
      </c>
      <c r="I661">
        <f>VLOOKUP(Scores[[#This Row],[MRUN]],Demographics[],3,FALSE)</f>
        <v>4</v>
      </c>
      <c r="J661">
        <f>AVERAGE(Scores[[#This Row],[LYC]],Scores[[#This Row],[MATE]])</f>
        <v>0</v>
      </c>
      <c r="K661">
        <f>VLOOKUP(Scores[[#This Row],[MRUN]],Demographics[],6,FALSE)</f>
        <v>5</v>
      </c>
      <c r="L661">
        <f>VLOOKUP(Scores[[#This Row],[MRUN]],Demographics[], 7,FALSE)</f>
        <v>3</v>
      </c>
      <c r="M661">
        <f>VLOOKUP(Scores[[#This Row],[MRUN]],Demographics[], 5, FALSE)</f>
        <v>1</v>
      </c>
    </row>
    <row r="662" spans="1:13" hidden="1" x14ac:dyDescent="0.2">
      <c r="A662" s="1">
        <v>15787833</v>
      </c>
      <c r="B662">
        <v>1</v>
      </c>
      <c r="C662">
        <v>2</v>
      </c>
      <c r="D662">
        <v>499</v>
      </c>
      <c r="E662">
        <v>388</v>
      </c>
      <c r="F662">
        <v>428</v>
      </c>
      <c r="G662">
        <v>428</v>
      </c>
      <c r="H662">
        <v>0</v>
      </c>
      <c r="I662">
        <f>VLOOKUP(Scores[[#This Row],[MRUN]],Demographics[],3,FALSE)</f>
        <v>5</v>
      </c>
      <c r="J662">
        <f>AVERAGE(Scores[[#This Row],[LYC]],Scores[[#This Row],[MATE]])</f>
        <v>408</v>
      </c>
      <c r="K662">
        <f>VLOOKUP(Scores[[#This Row],[MRUN]],Demographics[],6,FALSE)</f>
        <v>5</v>
      </c>
      <c r="L662">
        <f>VLOOKUP(Scores[[#This Row],[MRUN]],Demographics[], 7,FALSE)</f>
        <v>2</v>
      </c>
      <c r="M662">
        <f>VLOOKUP(Scores[[#This Row],[MRUN]],Demographics[], 5, FALSE)</f>
        <v>1</v>
      </c>
    </row>
    <row r="663" spans="1:13" hidden="1" x14ac:dyDescent="0.2">
      <c r="A663" s="1">
        <v>11516392</v>
      </c>
      <c r="B663">
        <v>2</v>
      </c>
      <c r="C663">
        <v>2</v>
      </c>
      <c r="D663">
        <v>476</v>
      </c>
      <c r="E663">
        <v>397</v>
      </c>
      <c r="F663">
        <v>328</v>
      </c>
      <c r="G663">
        <v>414</v>
      </c>
      <c r="H663">
        <v>0</v>
      </c>
      <c r="I663">
        <f>VLOOKUP(Scores[[#This Row],[MRUN]],Demographics[],3,FALSE)</f>
        <v>0</v>
      </c>
      <c r="J663">
        <f>AVERAGE(Scores[[#This Row],[LYC]],Scores[[#This Row],[MATE]])</f>
        <v>362.5</v>
      </c>
      <c r="K663">
        <f>VLOOKUP(Scores[[#This Row],[MRUN]],Demographics[],6,FALSE)</f>
        <v>0</v>
      </c>
      <c r="L663">
        <f>VLOOKUP(Scores[[#This Row],[MRUN]],Demographics[], 7,FALSE)</f>
        <v>0</v>
      </c>
      <c r="M663">
        <f>VLOOKUP(Scores[[#This Row],[MRUN]],Demographics[], 5, FALSE)</f>
        <v>1</v>
      </c>
    </row>
    <row r="664" spans="1:13" hidden="1" x14ac:dyDescent="0.2">
      <c r="A664" s="1">
        <v>22731662</v>
      </c>
      <c r="B664">
        <v>2</v>
      </c>
      <c r="C664">
        <v>2</v>
      </c>
      <c r="D664">
        <v>558</v>
      </c>
      <c r="E664">
        <v>422</v>
      </c>
      <c r="F664">
        <v>353</v>
      </c>
      <c r="G664">
        <v>380</v>
      </c>
      <c r="H664">
        <v>0</v>
      </c>
      <c r="I664">
        <f>VLOOKUP(Scores[[#This Row],[MRUN]],Demographics[],3,FALSE)</f>
        <v>5</v>
      </c>
      <c r="J664">
        <f>AVERAGE(Scores[[#This Row],[LYC]],Scores[[#This Row],[MATE]])</f>
        <v>387.5</v>
      </c>
      <c r="K664">
        <f>VLOOKUP(Scores[[#This Row],[MRUN]],Demographics[],6,FALSE)</f>
        <v>5</v>
      </c>
      <c r="L664">
        <f>VLOOKUP(Scores[[#This Row],[MRUN]],Demographics[], 7,FALSE)</f>
        <v>5</v>
      </c>
      <c r="M664">
        <f>VLOOKUP(Scores[[#This Row],[MRUN]],Demographics[], 5, FALSE)</f>
        <v>1</v>
      </c>
    </row>
    <row r="665" spans="1:13" hidden="1" x14ac:dyDescent="0.2">
      <c r="A665" s="1">
        <v>23899868</v>
      </c>
      <c r="B665">
        <v>1</v>
      </c>
      <c r="C665">
        <v>2</v>
      </c>
      <c r="D665">
        <v>455</v>
      </c>
      <c r="E665">
        <v>345</v>
      </c>
      <c r="F665">
        <v>395</v>
      </c>
      <c r="G665">
        <v>0</v>
      </c>
      <c r="H665">
        <v>245</v>
      </c>
      <c r="I665">
        <f>VLOOKUP(Scores[[#This Row],[MRUN]],Demographics[],3,FALSE)</f>
        <v>7</v>
      </c>
      <c r="J665">
        <f>AVERAGE(Scores[[#This Row],[LYC]],Scores[[#This Row],[MATE]])</f>
        <v>370</v>
      </c>
      <c r="K665">
        <f>VLOOKUP(Scores[[#This Row],[MRUN]],Demographics[],6,FALSE)</f>
        <v>2</v>
      </c>
      <c r="L665">
        <f>VLOOKUP(Scores[[#This Row],[MRUN]],Demographics[], 7,FALSE)</f>
        <v>0</v>
      </c>
      <c r="M665">
        <f>VLOOKUP(Scores[[#This Row],[MRUN]],Demographics[], 5, FALSE)</f>
        <v>1</v>
      </c>
    </row>
    <row r="666" spans="1:13" hidden="1" x14ac:dyDescent="0.2">
      <c r="A666" s="1">
        <v>24766603</v>
      </c>
      <c r="B666">
        <v>1</v>
      </c>
      <c r="C666">
        <v>2</v>
      </c>
      <c r="D666">
        <v>352</v>
      </c>
      <c r="E666">
        <v>397</v>
      </c>
      <c r="F666">
        <v>463</v>
      </c>
      <c r="G666">
        <v>541</v>
      </c>
      <c r="H666">
        <v>0</v>
      </c>
      <c r="I666">
        <f>VLOOKUP(Scores[[#This Row],[MRUN]],Demographics[],3,FALSE)</f>
        <v>4</v>
      </c>
      <c r="J666">
        <f>AVERAGE(Scores[[#This Row],[LYC]],Scores[[#This Row],[MATE]])</f>
        <v>430</v>
      </c>
      <c r="K666">
        <f>VLOOKUP(Scores[[#This Row],[MRUN]],Demographics[],6,FALSE)</f>
        <v>8</v>
      </c>
      <c r="L666">
        <f>VLOOKUP(Scores[[#This Row],[MRUN]],Demographics[], 7,FALSE)</f>
        <v>5</v>
      </c>
      <c r="M666">
        <f>VLOOKUP(Scores[[#This Row],[MRUN]],Demographics[], 5, FALSE)</f>
        <v>1</v>
      </c>
    </row>
    <row r="667" spans="1:13" hidden="1" x14ac:dyDescent="0.2">
      <c r="A667" s="1">
        <v>17390334</v>
      </c>
      <c r="B667">
        <v>1</v>
      </c>
      <c r="C667">
        <v>2</v>
      </c>
      <c r="D667">
        <v>517</v>
      </c>
      <c r="E667">
        <v>397</v>
      </c>
      <c r="F667">
        <v>452</v>
      </c>
      <c r="G667">
        <v>466</v>
      </c>
      <c r="H667">
        <v>0</v>
      </c>
      <c r="I667">
        <f>VLOOKUP(Scores[[#This Row],[MRUN]],Demographics[],3,FALSE)</f>
        <v>4</v>
      </c>
      <c r="J667">
        <f>AVERAGE(Scores[[#This Row],[LYC]],Scores[[#This Row],[MATE]])</f>
        <v>424.5</v>
      </c>
      <c r="K667">
        <f>VLOOKUP(Scores[[#This Row],[MRUN]],Demographics[],6,FALSE)</f>
        <v>2</v>
      </c>
      <c r="L667">
        <f>VLOOKUP(Scores[[#This Row],[MRUN]],Demographics[], 7,FALSE)</f>
        <v>3</v>
      </c>
      <c r="M667">
        <f>VLOOKUP(Scores[[#This Row],[MRUN]],Demographics[], 5, FALSE)</f>
        <v>1</v>
      </c>
    </row>
    <row r="668" spans="1:13" hidden="1" x14ac:dyDescent="0.2">
      <c r="A668" s="1">
        <v>2538233</v>
      </c>
      <c r="B668">
        <v>2</v>
      </c>
      <c r="C668">
        <v>2</v>
      </c>
      <c r="D668">
        <v>662</v>
      </c>
      <c r="E668">
        <v>488</v>
      </c>
      <c r="F668">
        <v>506</v>
      </c>
      <c r="G668">
        <v>0</v>
      </c>
      <c r="H668">
        <v>543</v>
      </c>
      <c r="I668">
        <f>VLOOKUP(Scores[[#This Row],[MRUN]],Demographics[],3,FALSE)</f>
        <v>0</v>
      </c>
      <c r="J668">
        <f>AVERAGE(Scores[[#This Row],[LYC]],Scores[[#This Row],[MATE]])</f>
        <v>497</v>
      </c>
      <c r="K668">
        <f>VLOOKUP(Scores[[#This Row],[MRUN]],Demographics[],6,FALSE)</f>
        <v>0</v>
      </c>
      <c r="L668">
        <f>VLOOKUP(Scores[[#This Row],[MRUN]],Demographics[], 7,FALSE)</f>
        <v>0</v>
      </c>
      <c r="M668">
        <f>VLOOKUP(Scores[[#This Row],[MRUN]],Demographics[], 5, FALSE)</f>
        <v>1</v>
      </c>
    </row>
    <row r="669" spans="1:13" hidden="1" x14ac:dyDescent="0.2">
      <c r="A669" s="1">
        <v>2104689</v>
      </c>
      <c r="B669">
        <v>1</v>
      </c>
      <c r="C669">
        <v>2</v>
      </c>
      <c r="D669">
        <v>0</v>
      </c>
      <c r="E669">
        <v>0</v>
      </c>
      <c r="F669">
        <v>0</v>
      </c>
      <c r="G669">
        <v>0</v>
      </c>
      <c r="H669">
        <v>0</v>
      </c>
      <c r="I669">
        <f>VLOOKUP(Scores[[#This Row],[MRUN]],Demographics[],3,FALSE)</f>
        <v>6</v>
      </c>
      <c r="J669">
        <f>AVERAGE(Scores[[#This Row],[LYC]],Scores[[#This Row],[MATE]])</f>
        <v>0</v>
      </c>
      <c r="K669">
        <f>VLOOKUP(Scores[[#This Row],[MRUN]],Demographics[],6,FALSE)</f>
        <v>0</v>
      </c>
      <c r="L669">
        <f>VLOOKUP(Scores[[#This Row],[MRUN]],Demographics[], 7,FALSE)</f>
        <v>5</v>
      </c>
      <c r="M669">
        <f>VLOOKUP(Scores[[#This Row],[MRUN]],Demographics[], 5, FALSE)</f>
        <v>1</v>
      </c>
    </row>
    <row r="670" spans="1:13" hidden="1" x14ac:dyDescent="0.2">
      <c r="A670" s="1">
        <v>300815</v>
      </c>
      <c r="B670">
        <v>2</v>
      </c>
      <c r="C670">
        <v>2</v>
      </c>
      <c r="D670">
        <v>417</v>
      </c>
      <c r="E670">
        <v>367</v>
      </c>
      <c r="F670">
        <v>395</v>
      </c>
      <c r="G670">
        <v>495</v>
      </c>
      <c r="H670">
        <v>0</v>
      </c>
      <c r="I670">
        <f>VLOOKUP(Scores[[#This Row],[MRUN]],Demographics[],3,FALSE)</f>
        <v>4</v>
      </c>
      <c r="J670">
        <f>AVERAGE(Scores[[#This Row],[LYC]],Scores[[#This Row],[MATE]])</f>
        <v>381</v>
      </c>
      <c r="K670">
        <f>VLOOKUP(Scores[[#This Row],[MRUN]],Demographics[],6,FALSE)</f>
        <v>3</v>
      </c>
      <c r="L670">
        <f>VLOOKUP(Scores[[#This Row],[MRUN]],Demographics[], 7,FALSE)</f>
        <v>5</v>
      </c>
      <c r="M670">
        <f>VLOOKUP(Scores[[#This Row],[MRUN]],Demographics[], 5, FALSE)</f>
        <v>1</v>
      </c>
    </row>
    <row r="671" spans="1:13" hidden="1" x14ac:dyDescent="0.2">
      <c r="A671" s="1">
        <v>14820966</v>
      </c>
      <c r="B671">
        <v>2</v>
      </c>
      <c r="C671">
        <v>2</v>
      </c>
      <c r="D671">
        <v>519</v>
      </c>
      <c r="E671">
        <v>521</v>
      </c>
      <c r="F671">
        <v>441</v>
      </c>
      <c r="G671">
        <v>516</v>
      </c>
      <c r="H671">
        <v>0</v>
      </c>
      <c r="I671">
        <f>VLOOKUP(Scores[[#This Row],[MRUN]],Demographics[],3,FALSE)</f>
        <v>3</v>
      </c>
      <c r="J671">
        <f>AVERAGE(Scores[[#This Row],[LYC]],Scores[[#This Row],[MATE]])</f>
        <v>481</v>
      </c>
      <c r="K671">
        <f>VLOOKUP(Scores[[#This Row],[MRUN]],Demographics[],6,FALSE)</f>
        <v>3</v>
      </c>
      <c r="L671">
        <f>VLOOKUP(Scores[[#This Row],[MRUN]],Demographics[], 7,FALSE)</f>
        <v>2</v>
      </c>
      <c r="M671">
        <f>VLOOKUP(Scores[[#This Row],[MRUN]],Demographics[], 5, FALSE)</f>
        <v>1</v>
      </c>
    </row>
    <row r="672" spans="1:13" hidden="1" x14ac:dyDescent="0.2">
      <c r="A672" s="1">
        <v>22197505</v>
      </c>
      <c r="B672">
        <v>2</v>
      </c>
      <c r="C672">
        <v>2</v>
      </c>
      <c r="D672">
        <v>476</v>
      </c>
      <c r="E672">
        <v>547</v>
      </c>
      <c r="F672">
        <v>463</v>
      </c>
      <c r="G672">
        <v>490</v>
      </c>
      <c r="H672">
        <v>0</v>
      </c>
      <c r="I672">
        <f>VLOOKUP(Scores[[#This Row],[MRUN]],Demographics[],3,FALSE)</f>
        <v>4</v>
      </c>
      <c r="J672">
        <f>AVERAGE(Scores[[#This Row],[LYC]],Scores[[#This Row],[MATE]])</f>
        <v>505</v>
      </c>
      <c r="K672">
        <f>VLOOKUP(Scores[[#This Row],[MRUN]],Demographics[],6,FALSE)</f>
        <v>5</v>
      </c>
      <c r="L672">
        <f>VLOOKUP(Scores[[#This Row],[MRUN]],Demographics[], 7,FALSE)</f>
        <v>3</v>
      </c>
      <c r="M672">
        <f>VLOOKUP(Scores[[#This Row],[MRUN]],Demographics[], 5, FALSE)</f>
        <v>2</v>
      </c>
    </row>
    <row r="673" spans="1:13" hidden="1" x14ac:dyDescent="0.2">
      <c r="A673" s="1">
        <v>1369103</v>
      </c>
      <c r="B673">
        <v>1</v>
      </c>
      <c r="C673">
        <v>3</v>
      </c>
      <c r="D673">
        <v>414</v>
      </c>
      <c r="E673">
        <v>444</v>
      </c>
      <c r="F673">
        <v>463</v>
      </c>
      <c r="G673">
        <v>0</v>
      </c>
      <c r="H673">
        <v>449</v>
      </c>
      <c r="I673">
        <f>VLOOKUP(Scores[[#This Row],[MRUN]],Demographics[],3,FALSE)</f>
        <v>5</v>
      </c>
      <c r="J673">
        <f>AVERAGE(Scores[[#This Row],[LYC]],Scores[[#This Row],[MATE]])</f>
        <v>453.5</v>
      </c>
      <c r="K673">
        <f>VLOOKUP(Scores[[#This Row],[MRUN]],Demographics[],6,FALSE)</f>
        <v>9</v>
      </c>
      <c r="L673">
        <f>VLOOKUP(Scores[[#This Row],[MRUN]],Demographics[], 7,FALSE)</f>
        <v>9</v>
      </c>
      <c r="M673">
        <f>VLOOKUP(Scores[[#This Row],[MRUN]],Demographics[], 5, FALSE)</f>
        <v>3</v>
      </c>
    </row>
    <row r="674" spans="1:13" hidden="1" x14ac:dyDescent="0.2">
      <c r="A674" s="1">
        <v>6276977</v>
      </c>
      <c r="B674">
        <v>2</v>
      </c>
      <c r="C674">
        <v>2</v>
      </c>
      <c r="D674">
        <v>579</v>
      </c>
      <c r="E674">
        <v>471</v>
      </c>
      <c r="F674">
        <v>463</v>
      </c>
      <c r="G674">
        <v>0</v>
      </c>
      <c r="H674">
        <v>449</v>
      </c>
      <c r="I674">
        <f>VLOOKUP(Scores[[#This Row],[MRUN]],Demographics[],3,FALSE)</f>
        <v>5</v>
      </c>
      <c r="J674">
        <f>AVERAGE(Scores[[#This Row],[LYC]],Scores[[#This Row],[MATE]])</f>
        <v>467</v>
      </c>
      <c r="K674">
        <f>VLOOKUP(Scores[[#This Row],[MRUN]],Demographics[],6,FALSE)</f>
        <v>5</v>
      </c>
      <c r="L674">
        <f>VLOOKUP(Scores[[#This Row],[MRUN]],Demographics[], 7,FALSE)</f>
        <v>4</v>
      </c>
      <c r="M674">
        <f>VLOOKUP(Scores[[#This Row],[MRUN]],Demographics[], 5, FALSE)</f>
        <v>2</v>
      </c>
    </row>
    <row r="675" spans="1:13" hidden="1" x14ac:dyDescent="0.2">
      <c r="A675" s="1">
        <v>21129190</v>
      </c>
      <c r="B675">
        <v>1</v>
      </c>
      <c r="C675">
        <v>2</v>
      </c>
      <c r="D675">
        <v>458</v>
      </c>
      <c r="E675">
        <v>397</v>
      </c>
      <c r="F675">
        <v>557</v>
      </c>
      <c r="G675">
        <v>490</v>
      </c>
      <c r="H675">
        <v>504</v>
      </c>
      <c r="I675">
        <f>VLOOKUP(Scores[[#This Row],[MRUN]],Demographics[],3,FALSE)</f>
        <v>7</v>
      </c>
      <c r="J675">
        <f>AVERAGE(Scores[[#This Row],[LYC]],Scores[[#This Row],[MATE]])</f>
        <v>477</v>
      </c>
      <c r="K675">
        <f>VLOOKUP(Scores[[#This Row],[MRUN]],Demographics[],6,FALSE)</f>
        <v>2</v>
      </c>
      <c r="L675">
        <f>VLOOKUP(Scores[[#This Row],[MRUN]],Demographics[], 7,FALSE)</f>
        <v>3</v>
      </c>
      <c r="M675">
        <f>VLOOKUP(Scores[[#This Row],[MRUN]],Demographics[], 5, FALSE)</f>
        <v>1</v>
      </c>
    </row>
    <row r="676" spans="1:13" hidden="1" x14ac:dyDescent="0.2">
      <c r="A676" s="1">
        <v>23899867</v>
      </c>
      <c r="B676">
        <v>1</v>
      </c>
      <c r="C676">
        <v>4</v>
      </c>
      <c r="D676">
        <v>455</v>
      </c>
      <c r="E676">
        <v>557</v>
      </c>
      <c r="F676">
        <v>614</v>
      </c>
      <c r="G676">
        <v>537</v>
      </c>
      <c r="H676">
        <v>591</v>
      </c>
      <c r="I676">
        <f>VLOOKUP(Scores[[#This Row],[MRUN]],Demographics[],3,FALSE)</f>
        <v>4</v>
      </c>
      <c r="J676">
        <f>AVERAGE(Scores[[#This Row],[LYC]],Scores[[#This Row],[MATE]])</f>
        <v>585.5</v>
      </c>
      <c r="K676">
        <f>VLOOKUP(Scores[[#This Row],[MRUN]],Demographics[],6,FALSE)</f>
        <v>7</v>
      </c>
      <c r="L676">
        <f>VLOOKUP(Scores[[#This Row],[MRUN]],Demographics[], 7,FALSE)</f>
        <v>5</v>
      </c>
      <c r="M676">
        <f>VLOOKUP(Scores[[#This Row],[MRUN]],Demographics[], 5, FALSE)</f>
        <v>1</v>
      </c>
    </row>
    <row r="677" spans="1:13" hidden="1" x14ac:dyDescent="0.2">
      <c r="A677" s="1">
        <v>8311872</v>
      </c>
      <c r="B677">
        <v>2</v>
      </c>
      <c r="C677">
        <v>2</v>
      </c>
      <c r="D677">
        <v>641</v>
      </c>
      <c r="E677">
        <v>675</v>
      </c>
      <c r="F677">
        <v>571</v>
      </c>
      <c r="G677">
        <v>677</v>
      </c>
      <c r="H677">
        <v>575</v>
      </c>
      <c r="I677">
        <f>VLOOKUP(Scores[[#This Row],[MRUN]],Demographics[],3,FALSE)</f>
        <v>4</v>
      </c>
      <c r="J677">
        <f>AVERAGE(Scores[[#This Row],[LYC]],Scores[[#This Row],[MATE]])</f>
        <v>623</v>
      </c>
      <c r="K677">
        <f>VLOOKUP(Scores[[#This Row],[MRUN]],Demographics[],6,FALSE)</f>
        <v>2</v>
      </c>
      <c r="L677">
        <f>VLOOKUP(Scores[[#This Row],[MRUN]],Demographics[], 7,FALSE)</f>
        <v>2</v>
      </c>
      <c r="M677">
        <f>VLOOKUP(Scores[[#This Row],[MRUN]],Demographics[], 5, FALSE)</f>
        <v>1</v>
      </c>
    </row>
    <row r="678" spans="1:13" hidden="1" x14ac:dyDescent="0.2">
      <c r="A678" s="1">
        <v>21562583</v>
      </c>
      <c r="B678">
        <v>1</v>
      </c>
      <c r="C678">
        <v>2</v>
      </c>
      <c r="D678">
        <v>579</v>
      </c>
      <c r="E678">
        <v>557</v>
      </c>
      <c r="F678">
        <v>531</v>
      </c>
      <c r="G678">
        <v>0</v>
      </c>
      <c r="H678">
        <v>553</v>
      </c>
      <c r="I678">
        <f>VLOOKUP(Scores[[#This Row],[MRUN]],Demographics[],3,FALSE)</f>
        <v>3</v>
      </c>
      <c r="J678">
        <f>AVERAGE(Scores[[#This Row],[LYC]],Scores[[#This Row],[MATE]])</f>
        <v>544</v>
      </c>
      <c r="K678">
        <f>VLOOKUP(Scores[[#This Row],[MRUN]],Demographics[],6,FALSE)</f>
        <v>5</v>
      </c>
      <c r="L678">
        <f>VLOOKUP(Scores[[#This Row],[MRUN]],Demographics[], 7,FALSE)</f>
        <v>9</v>
      </c>
      <c r="M678">
        <f>VLOOKUP(Scores[[#This Row],[MRUN]],Demographics[], 5, FALSE)</f>
        <v>2</v>
      </c>
    </row>
    <row r="679" spans="1:13" hidden="1" x14ac:dyDescent="0.2">
      <c r="A679" s="1">
        <v>12296938</v>
      </c>
      <c r="B679">
        <v>1</v>
      </c>
      <c r="C679">
        <v>3</v>
      </c>
      <c r="D679">
        <v>539</v>
      </c>
      <c r="E679">
        <v>438</v>
      </c>
      <c r="F679">
        <v>428</v>
      </c>
      <c r="G679">
        <v>490</v>
      </c>
      <c r="H679">
        <v>361</v>
      </c>
      <c r="I679">
        <f>VLOOKUP(Scores[[#This Row],[MRUN]],Demographics[],3,FALSE)</f>
        <v>6</v>
      </c>
      <c r="J679">
        <f>AVERAGE(Scores[[#This Row],[LYC]],Scores[[#This Row],[MATE]])</f>
        <v>433</v>
      </c>
      <c r="K679">
        <f>VLOOKUP(Scores[[#This Row],[MRUN]],Demographics[],6,FALSE)</f>
        <v>2</v>
      </c>
      <c r="L679">
        <f>VLOOKUP(Scores[[#This Row],[MRUN]],Demographics[], 7,FALSE)</f>
        <v>4</v>
      </c>
      <c r="M679">
        <f>VLOOKUP(Scores[[#This Row],[MRUN]],Demographics[], 5, FALSE)</f>
        <v>1</v>
      </c>
    </row>
    <row r="680" spans="1:13" hidden="1" x14ac:dyDescent="0.2">
      <c r="A680" s="1">
        <v>9193888</v>
      </c>
      <c r="B680">
        <v>2</v>
      </c>
      <c r="C680">
        <v>2</v>
      </c>
      <c r="D680">
        <v>539</v>
      </c>
      <c r="E680">
        <v>451</v>
      </c>
      <c r="F680">
        <v>353</v>
      </c>
      <c r="G680">
        <v>0</v>
      </c>
      <c r="H680">
        <v>459</v>
      </c>
      <c r="I680">
        <f>VLOOKUP(Scores[[#This Row],[MRUN]],Demographics[],3,FALSE)</f>
        <v>3</v>
      </c>
      <c r="J680">
        <f>AVERAGE(Scores[[#This Row],[LYC]],Scores[[#This Row],[MATE]])</f>
        <v>402</v>
      </c>
      <c r="K680">
        <f>VLOOKUP(Scores[[#This Row],[MRUN]],Demographics[],6,FALSE)</f>
        <v>2</v>
      </c>
      <c r="L680">
        <f>VLOOKUP(Scores[[#This Row],[MRUN]],Demographics[], 7,FALSE)</f>
        <v>2</v>
      </c>
      <c r="M680">
        <f>VLOOKUP(Scores[[#This Row],[MRUN]],Demographics[], 5, FALSE)</f>
        <v>1</v>
      </c>
    </row>
    <row r="681" spans="1:13" hidden="1" x14ac:dyDescent="0.2">
      <c r="A681" s="1">
        <v>14966675</v>
      </c>
      <c r="B681">
        <v>2</v>
      </c>
      <c r="C681">
        <v>2</v>
      </c>
      <c r="D681">
        <v>437</v>
      </c>
      <c r="E681">
        <v>415</v>
      </c>
      <c r="F681">
        <v>376</v>
      </c>
      <c r="G681">
        <v>0</v>
      </c>
      <c r="H681">
        <v>344</v>
      </c>
      <c r="I681">
        <f>VLOOKUP(Scores[[#This Row],[MRUN]],Demographics[],3,FALSE)</f>
        <v>5</v>
      </c>
      <c r="J681">
        <f>AVERAGE(Scores[[#This Row],[LYC]],Scores[[#This Row],[MATE]])</f>
        <v>395.5</v>
      </c>
      <c r="K681">
        <f>VLOOKUP(Scores[[#This Row],[MRUN]],Demographics[],6,FALSE)</f>
        <v>2</v>
      </c>
      <c r="L681">
        <f>VLOOKUP(Scores[[#This Row],[MRUN]],Demographics[], 7,FALSE)</f>
        <v>3</v>
      </c>
      <c r="M681">
        <f>VLOOKUP(Scores[[#This Row],[MRUN]],Demographics[], 5, FALSE)</f>
        <v>1</v>
      </c>
    </row>
    <row r="682" spans="1:13" hidden="1" x14ac:dyDescent="0.2">
      <c r="A682" s="1">
        <v>19875380</v>
      </c>
      <c r="B682">
        <v>1</v>
      </c>
      <c r="C682">
        <v>2</v>
      </c>
      <c r="D682">
        <v>397</v>
      </c>
      <c r="E682">
        <v>422</v>
      </c>
      <c r="F682">
        <v>441</v>
      </c>
      <c r="G682">
        <v>442</v>
      </c>
      <c r="H682">
        <v>0</v>
      </c>
      <c r="I682">
        <f>VLOOKUP(Scores[[#This Row],[MRUN]],Demographics[],3,FALSE)</f>
        <v>4</v>
      </c>
      <c r="J682">
        <f>AVERAGE(Scores[[#This Row],[LYC]],Scores[[#This Row],[MATE]])</f>
        <v>431.5</v>
      </c>
      <c r="K682">
        <f>VLOOKUP(Scores[[#This Row],[MRUN]],Demographics[],6,FALSE)</f>
        <v>4</v>
      </c>
      <c r="L682">
        <f>VLOOKUP(Scores[[#This Row],[MRUN]],Demographics[], 7,FALSE)</f>
        <v>3</v>
      </c>
      <c r="M682">
        <f>VLOOKUP(Scores[[#This Row],[MRUN]],Demographics[], 5, FALSE)</f>
        <v>1</v>
      </c>
    </row>
    <row r="683" spans="1:13" hidden="1" x14ac:dyDescent="0.2">
      <c r="A683" s="1">
        <v>10362918</v>
      </c>
      <c r="B683">
        <v>1</v>
      </c>
      <c r="C683">
        <v>4</v>
      </c>
      <c r="D683">
        <v>414</v>
      </c>
      <c r="E683">
        <v>596</v>
      </c>
      <c r="F683">
        <v>545</v>
      </c>
      <c r="G683">
        <v>597</v>
      </c>
      <c r="H683">
        <v>0</v>
      </c>
      <c r="I683">
        <f>VLOOKUP(Scores[[#This Row],[MRUN]],Demographics[],3,FALSE)</f>
        <v>3</v>
      </c>
      <c r="J683">
        <f>AVERAGE(Scores[[#This Row],[LYC]],Scores[[#This Row],[MATE]])</f>
        <v>570.5</v>
      </c>
      <c r="K683">
        <f>VLOOKUP(Scores[[#This Row],[MRUN]],Demographics[],6,FALSE)</f>
        <v>9</v>
      </c>
      <c r="L683">
        <f>VLOOKUP(Scores[[#This Row],[MRUN]],Demographics[], 7,FALSE)</f>
        <v>9</v>
      </c>
      <c r="M683">
        <f>VLOOKUP(Scores[[#This Row],[MRUN]],Demographics[], 5, FALSE)</f>
        <v>2</v>
      </c>
    </row>
    <row r="684" spans="1:13" hidden="1" x14ac:dyDescent="0.2">
      <c r="A684" s="1">
        <v>1817765</v>
      </c>
      <c r="B684">
        <v>2</v>
      </c>
      <c r="C684">
        <v>2</v>
      </c>
      <c r="D684">
        <v>496</v>
      </c>
      <c r="E684">
        <v>488</v>
      </c>
      <c r="F684">
        <v>413</v>
      </c>
      <c r="G684">
        <v>466</v>
      </c>
      <c r="H684">
        <v>0</v>
      </c>
      <c r="I684">
        <f>VLOOKUP(Scores[[#This Row],[MRUN]],Demographics[],3,FALSE)</f>
        <v>5</v>
      </c>
      <c r="J684">
        <f>AVERAGE(Scores[[#This Row],[LYC]],Scores[[#This Row],[MATE]])</f>
        <v>450.5</v>
      </c>
      <c r="K684">
        <f>VLOOKUP(Scores[[#This Row],[MRUN]],Demographics[],6,FALSE)</f>
        <v>5</v>
      </c>
      <c r="L684">
        <f>VLOOKUP(Scores[[#This Row],[MRUN]],Demographics[], 7,FALSE)</f>
        <v>5</v>
      </c>
      <c r="M684">
        <f>VLOOKUP(Scores[[#This Row],[MRUN]],Demographics[], 5, FALSE)</f>
        <v>1</v>
      </c>
    </row>
    <row r="685" spans="1:13" hidden="1" x14ac:dyDescent="0.2">
      <c r="A685" s="1">
        <v>22545624</v>
      </c>
      <c r="B685">
        <v>1</v>
      </c>
      <c r="C685">
        <v>2</v>
      </c>
      <c r="D685">
        <v>517</v>
      </c>
      <c r="E685">
        <v>607</v>
      </c>
      <c r="F685">
        <v>428</v>
      </c>
      <c r="G685">
        <v>516</v>
      </c>
      <c r="H685">
        <v>528</v>
      </c>
      <c r="I685">
        <f>VLOOKUP(Scores[[#This Row],[MRUN]],Demographics[],3,FALSE)</f>
        <v>2</v>
      </c>
      <c r="J685">
        <f>AVERAGE(Scores[[#This Row],[LYC]],Scores[[#This Row],[MATE]])</f>
        <v>517.5</v>
      </c>
      <c r="K685">
        <f>VLOOKUP(Scores[[#This Row],[MRUN]],Demographics[],6,FALSE)</f>
        <v>5</v>
      </c>
      <c r="L685">
        <f>VLOOKUP(Scores[[#This Row],[MRUN]],Demographics[], 7,FALSE)</f>
        <v>7</v>
      </c>
      <c r="M685">
        <f>VLOOKUP(Scores[[#This Row],[MRUN]],Demographics[], 5, FALSE)</f>
        <v>1</v>
      </c>
    </row>
    <row r="686" spans="1:13" hidden="1" x14ac:dyDescent="0.2">
      <c r="A686" s="1">
        <v>16136082</v>
      </c>
      <c r="B686">
        <v>2</v>
      </c>
      <c r="C686">
        <v>2</v>
      </c>
      <c r="D686">
        <v>538</v>
      </c>
      <c r="E686">
        <v>0</v>
      </c>
      <c r="F686">
        <v>0</v>
      </c>
      <c r="G686">
        <v>0</v>
      </c>
      <c r="H686">
        <v>0</v>
      </c>
      <c r="I686">
        <f>VLOOKUP(Scores[[#This Row],[MRUN]],Demographics[],3,FALSE)</f>
        <v>6</v>
      </c>
      <c r="J686">
        <f>AVERAGE(Scores[[#This Row],[LYC]],Scores[[#This Row],[MATE]])</f>
        <v>0</v>
      </c>
      <c r="K686">
        <f>VLOOKUP(Scores[[#This Row],[MRUN]],Demographics[],6,FALSE)</f>
        <v>2</v>
      </c>
      <c r="L686">
        <f>VLOOKUP(Scores[[#This Row],[MRUN]],Demographics[], 7,FALSE)</f>
        <v>2</v>
      </c>
      <c r="M686">
        <f>VLOOKUP(Scores[[#This Row],[MRUN]],Demographics[], 5, FALSE)</f>
        <v>1</v>
      </c>
    </row>
    <row r="687" spans="1:13" hidden="1" x14ac:dyDescent="0.2">
      <c r="A687" s="1">
        <v>3521901</v>
      </c>
      <c r="B687">
        <v>2</v>
      </c>
      <c r="C687">
        <v>3</v>
      </c>
      <c r="D687">
        <v>641</v>
      </c>
      <c r="E687">
        <v>451</v>
      </c>
      <c r="F687">
        <v>428</v>
      </c>
      <c r="G687">
        <v>449</v>
      </c>
      <c r="H687">
        <v>0</v>
      </c>
      <c r="I687">
        <f>VLOOKUP(Scores[[#This Row],[MRUN]],Demographics[],3,FALSE)</f>
        <v>8</v>
      </c>
      <c r="J687">
        <f>AVERAGE(Scores[[#This Row],[LYC]],Scores[[#This Row],[MATE]])</f>
        <v>439.5</v>
      </c>
      <c r="K687">
        <f>VLOOKUP(Scores[[#This Row],[MRUN]],Demographics[],6,FALSE)</f>
        <v>2</v>
      </c>
      <c r="L687">
        <f>VLOOKUP(Scores[[#This Row],[MRUN]],Demographics[], 7,FALSE)</f>
        <v>2</v>
      </c>
      <c r="M687">
        <f>VLOOKUP(Scores[[#This Row],[MRUN]],Demographics[], 5, FALSE)</f>
        <v>1</v>
      </c>
    </row>
    <row r="688" spans="1:13" hidden="1" x14ac:dyDescent="0.2">
      <c r="A688" s="1">
        <v>19976460</v>
      </c>
      <c r="B688">
        <v>2</v>
      </c>
      <c r="C688">
        <v>3</v>
      </c>
      <c r="D688">
        <v>417</v>
      </c>
      <c r="E688">
        <v>0</v>
      </c>
      <c r="F688">
        <v>0</v>
      </c>
      <c r="G688">
        <v>0</v>
      </c>
      <c r="H688">
        <v>0</v>
      </c>
      <c r="I688">
        <f>VLOOKUP(Scores[[#This Row],[MRUN]],Demographics[],3,FALSE)</f>
        <v>4</v>
      </c>
      <c r="J688">
        <f>AVERAGE(Scores[[#This Row],[LYC]],Scores[[#This Row],[MATE]])</f>
        <v>0</v>
      </c>
      <c r="K688">
        <f>VLOOKUP(Scores[[#This Row],[MRUN]],Demographics[],6,FALSE)</f>
        <v>4</v>
      </c>
      <c r="L688">
        <f>VLOOKUP(Scores[[#This Row],[MRUN]],Demographics[], 7,FALSE)</f>
        <v>2</v>
      </c>
      <c r="M688">
        <f>VLOOKUP(Scores[[#This Row],[MRUN]],Demographics[], 5, FALSE)</f>
        <v>1</v>
      </c>
    </row>
    <row r="689" spans="1:13" hidden="1" x14ac:dyDescent="0.2">
      <c r="A689" s="1">
        <v>21375379</v>
      </c>
      <c r="B689">
        <v>2</v>
      </c>
      <c r="C689">
        <v>2</v>
      </c>
      <c r="D689">
        <v>455</v>
      </c>
      <c r="E689">
        <v>415</v>
      </c>
      <c r="F689">
        <v>523</v>
      </c>
      <c r="G689">
        <v>0</v>
      </c>
      <c r="H689">
        <v>475</v>
      </c>
      <c r="I689">
        <f>VLOOKUP(Scores[[#This Row],[MRUN]],Demographics[],3,FALSE)</f>
        <v>4</v>
      </c>
      <c r="J689">
        <f>AVERAGE(Scores[[#This Row],[LYC]],Scores[[#This Row],[MATE]])</f>
        <v>469</v>
      </c>
      <c r="K689">
        <f>VLOOKUP(Scores[[#This Row],[MRUN]],Demographics[],6,FALSE)</f>
        <v>3</v>
      </c>
      <c r="L689">
        <f>VLOOKUP(Scores[[#This Row],[MRUN]],Demographics[], 7,FALSE)</f>
        <v>3</v>
      </c>
      <c r="M689">
        <f>VLOOKUP(Scores[[#This Row],[MRUN]],Demographics[], 5, FALSE)</f>
        <v>2</v>
      </c>
    </row>
    <row r="690" spans="1:13" hidden="1" x14ac:dyDescent="0.2">
      <c r="A690" s="1">
        <v>19442006</v>
      </c>
      <c r="B690">
        <v>2</v>
      </c>
      <c r="C690">
        <v>3</v>
      </c>
      <c r="D690">
        <v>417</v>
      </c>
      <c r="E690">
        <v>505</v>
      </c>
      <c r="F690">
        <v>463</v>
      </c>
      <c r="G690">
        <v>506</v>
      </c>
      <c r="H690">
        <v>428</v>
      </c>
      <c r="I690">
        <f>VLOOKUP(Scores[[#This Row],[MRUN]],Demographics[],3,FALSE)</f>
        <v>6</v>
      </c>
      <c r="J690">
        <f>AVERAGE(Scores[[#This Row],[LYC]],Scores[[#This Row],[MATE]])</f>
        <v>484</v>
      </c>
      <c r="K690">
        <f>VLOOKUP(Scores[[#This Row],[MRUN]],Demographics[],6,FALSE)</f>
        <v>3</v>
      </c>
      <c r="L690">
        <f>VLOOKUP(Scores[[#This Row],[MRUN]],Demographics[], 7,FALSE)</f>
        <v>4</v>
      </c>
      <c r="M690">
        <f>VLOOKUP(Scores[[#This Row],[MRUN]],Demographics[], 5, FALSE)</f>
        <v>1</v>
      </c>
    </row>
    <row r="691" spans="1:13" hidden="1" x14ac:dyDescent="0.2">
      <c r="A691" s="1">
        <v>23613152</v>
      </c>
      <c r="B691">
        <v>2</v>
      </c>
      <c r="C691">
        <v>3</v>
      </c>
      <c r="D691">
        <v>620</v>
      </c>
      <c r="E691">
        <v>607</v>
      </c>
      <c r="F691">
        <v>624</v>
      </c>
      <c r="G691">
        <v>0</v>
      </c>
      <c r="H691">
        <v>558</v>
      </c>
      <c r="I691">
        <f>VLOOKUP(Scores[[#This Row],[MRUN]],Demographics[],3,FALSE)</f>
        <v>6</v>
      </c>
      <c r="J691">
        <f>AVERAGE(Scores[[#This Row],[LYC]],Scores[[#This Row],[MATE]])</f>
        <v>615.5</v>
      </c>
      <c r="K691">
        <f>VLOOKUP(Scores[[#This Row],[MRUN]],Demographics[],6,FALSE)</f>
        <v>3</v>
      </c>
      <c r="L691">
        <f>VLOOKUP(Scores[[#This Row],[MRUN]],Demographics[], 7,FALSE)</f>
        <v>5</v>
      </c>
      <c r="M691">
        <f>VLOOKUP(Scores[[#This Row],[MRUN]],Demographics[], 5, FALSE)</f>
        <v>1</v>
      </c>
    </row>
    <row r="692" spans="1:13" hidden="1" x14ac:dyDescent="0.2">
      <c r="A692" s="1">
        <v>14966674</v>
      </c>
      <c r="B692">
        <v>1</v>
      </c>
      <c r="C692">
        <v>3</v>
      </c>
      <c r="D692">
        <v>620</v>
      </c>
      <c r="E692">
        <v>691</v>
      </c>
      <c r="F692">
        <v>806</v>
      </c>
      <c r="G692">
        <v>663</v>
      </c>
      <c r="H692">
        <v>631</v>
      </c>
      <c r="I692">
        <f>VLOOKUP(Scores[[#This Row],[MRUN]],Demographics[],3,FALSE)</f>
        <v>3</v>
      </c>
      <c r="J692">
        <f>AVERAGE(Scores[[#This Row],[LYC]],Scores[[#This Row],[MATE]])</f>
        <v>748.5</v>
      </c>
      <c r="K692">
        <f>VLOOKUP(Scores[[#This Row],[MRUN]],Demographics[],6,FALSE)</f>
        <v>5</v>
      </c>
      <c r="L692">
        <f>VLOOKUP(Scores[[#This Row],[MRUN]],Demographics[], 7,FALSE)</f>
        <v>9</v>
      </c>
      <c r="M692">
        <f>VLOOKUP(Scores[[#This Row],[MRUN]],Demographics[], 5, FALSE)</f>
        <v>1</v>
      </c>
    </row>
    <row r="693" spans="1:13" hidden="1" x14ac:dyDescent="0.2">
      <c r="A693" s="1">
        <v>13567305</v>
      </c>
      <c r="B693">
        <v>1</v>
      </c>
      <c r="C693">
        <v>2</v>
      </c>
      <c r="D693">
        <v>580</v>
      </c>
      <c r="E693">
        <v>458</v>
      </c>
      <c r="F693">
        <v>600</v>
      </c>
      <c r="G693">
        <v>582</v>
      </c>
      <c r="H693">
        <v>0</v>
      </c>
      <c r="I693">
        <f>VLOOKUP(Scores[[#This Row],[MRUN]],Demographics[],3,FALSE)</f>
        <v>6</v>
      </c>
      <c r="J693">
        <f>AVERAGE(Scores[[#This Row],[LYC]],Scores[[#This Row],[MATE]])</f>
        <v>529</v>
      </c>
      <c r="K693">
        <f>VLOOKUP(Scores[[#This Row],[MRUN]],Demographics[],6,FALSE)</f>
        <v>3</v>
      </c>
      <c r="L693">
        <f>VLOOKUP(Scores[[#This Row],[MRUN]],Demographics[], 7,FALSE)</f>
        <v>2</v>
      </c>
      <c r="M693">
        <f>VLOOKUP(Scores[[#This Row],[MRUN]],Demographics[], 5, FALSE)</f>
        <v>1</v>
      </c>
    </row>
    <row r="694" spans="1:13" hidden="1" x14ac:dyDescent="0.2">
      <c r="A694" s="1">
        <v>16136083</v>
      </c>
      <c r="B694">
        <v>1</v>
      </c>
      <c r="C694">
        <v>2</v>
      </c>
      <c r="D694">
        <v>538</v>
      </c>
      <c r="E694">
        <v>547</v>
      </c>
      <c r="F694">
        <v>472</v>
      </c>
      <c r="G694">
        <v>597</v>
      </c>
      <c r="H694">
        <v>0</v>
      </c>
      <c r="I694">
        <f>VLOOKUP(Scores[[#This Row],[MRUN]],Demographics[],3,FALSE)</f>
        <v>4</v>
      </c>
      <c r="J694">
        <f>AVERAGE(Scores[[#This Row],[LYC]],Scores[[#This Row],[MATE]])</f>
        <v>509.5</v>
      </c>
      <c r="K694">
        <f>VLOOKUP(Scores[[#This Row],[MRUN]],Demographics[],6,FALSE)</f>
        <v>2</v>
      </c>
      <c r="L694">
        <f>VLOOKUP(Scores[[#This Row],[MRUN]],Demographics[], 7,FALSE)</f>
        <v>5</v>
      </c>
      <c r="M694">
        <f>VLOOKUP(Scores[[#This Row],[MRUN]],Demographics[], 5, FALSE)</f>
        <v>2</v>
      </c>
    </row>
    <row r="695" spans="1:13" hidden="1" x14ac:dyDescent="0.2">
      <c r="A695" s="1">
        <v>13466110</v>
      </c>
      <c r="B695">
        <v>2</v>
      </c>
      <c r="C695">
        <v>2</v>
      </c>
      <c r="D695">
        <v>620</v>
      </c>
      <c r="E695">
        <v>576</v>
      </c>
      <c r="F695">
        <v>494</v>
      </c>
      <c r="G695">
        <v>512</v>
      </c>
      <c r="H695">
        <v>0</v>
      </c>
      <c r="I695">
        <f>VLOOKUP(Scores[[#This Row],[MRUN]],Demographics[],3,FALSE)</f>
        <v>6</v>
      </c>
      <c r="J695">
        <f>AVERAGE(Scores[[#This Row],[LYC]],Scores[[#This Row],[MATE]])</f>
        <v>535</v>
      </c>
      <c r="K695">
        <f>VLOOKUP(Scores[[#This Row],[MRUN]],Demographics[],6,FALSE)</f>
        <v>9</v>
      </c>
      <c r="L695">
        <f>VLOOKUP(Scores[[#This Row],[MRUN]],Demographics[], 7,FALSE)</f>
        <v>9</v>
      </c>
      <c r="M695">
        <f>VLOOKUP(Scores[[#This Row],[MRUN]],Demographics[], 5, FALSE)</f>
        <v>2</v>
      </c>
    </row>
    <row r="696" spans="1:13" hidden="1" x14ac:dyDescent="0.2">
      <c r="A696" s="1">
        <v>14432861</v>
      </c>
      <c r="B696">
        <v>1</v>
      </c>
      <c r="C696">
        <v>2</v>
      </c>
      <c r="D696">
        <v>620</v>
      </c>
      <c r="E696">
        <v>483</v>
      </c>
      <c r="F696">
        <v>463</v>
      </c>
      <c r="G696">
        <v>0</v>
      </c>
      <c r="H696">
        <v>475</v>
      </c>
      <c r="I696">
        <f>VLOOKUP(Scores[[#This Row],[MRUN]],Demographics[],3,FALSE)</f>
        <v>3</v>
      </c>
      <c r="J696">
        <f>AVERAGE(Scores[[#This Row],[LYC]],Scores[[#This Row],[MATE]])</f>
        <v>473</v>
      </c>
      <c r="K696">
        <f>VLOOKUP(Scores[[#This Row],[MRUN]],Demographics[],6,FALSE)</f>
        <v>4</v>
      </c>
      <c r="L696">
        <f>VLOOKUP(Scores[[#This Row],[MRUN]],Demographics[], 7,FALSE)</f>
        <v>4</v>
      </c>
      <c r="M696">
        <f>VLOOKUP(Scores[[#This Row],[MRUN]],Demographics[], 5, FALSE)</f>
        <v>1</v>
      </c>
    </row>
    <row r="697" spans="1:13" hidden="1" x14ac:dyDescent="0.2">
      <c r="A697" s="1">
        <v>18373262</v>
      </c>
      <c r="B697">
        <v>1</v>
      </c>
      <c r="C697">
        <v>2</v>
      </c>
      <c r="D697">
        <v>478</v>
      </c>
      <c r="E697">
        <v>592</v>
      </c>
      <c r="F697">
        <v>480</v>
      </c>
      <c r="G697">
        <v>582</v>
      </c>
      <c r="H697">
        <v>0</v>
      </c>
      <c r="I697">
        <f>VLOOKUP(Scores[[#This Row],[MRUN]],Demographics[],3,FALSE)</f>
        <v>7</v>
      </c>
      <c r="J697">
        <f>AVERAGE(Scores[[#This Row],[LYC]],Scores[[#This Row],[MATE]])</f>
        <v>536</v>
      </c>
      <c r="K697">
        <f>VLOOKUP(Scores[[#This Row],[MRUN]],Demographics[],6,FALSE)</f>
        <v>3</v>
      </c>
      <c r="L697">
        <f>VLOOKUP(Scores[[#This Row],[MRUN]],Demographics[], 7,FALSE)</f>
        <v>4</v>
      </c>
      <c r="M697">
        <f>VLOOKUP(Scores[[#This Row],[MRUN]],Demographics[], 5, FALSE)</f>
        <v>1</v>
      </c>
    </row>
    <row r="698" spans="1:13" hidden="1" x14ac:dyDescent="0.2">
      <c r="A698" s="1">
        <v>17636767</v>
      </c>
      <c r="B698">
        <v>1</v>
      </c>
      <c r="C698">
        <v>2</v>
      </c>
      <c r="D698">
        <v>539</v>
      </c>
      <c r="E698">
        <v>0</v>
      </c>
      <c r="F698">
        <v>0</v>
      </c>
      <c r="G698">
        <v>0</v>
      </c>
      <c r="H698">
        <v>0</v>
      </c>
      <c r="I698">
        <f>VLOOKUP(Scores[[#This Row],[MRUN]],Demographics[],3,FALSE)</f>
        <v>2</v>
      </c>
      <c r="J698">
        <f>AVERAGE(Scores[[#This Row],[LYC]],Scores[[#This Row],[MATE]])</f>
        <v>0</v>
      </c>
      <c r="K698">
        <f>VLOOKUP(Scores[[#This Row],[MRUN]],Demographics[],6,FALSE)</f>
        <v>1</v>
      </c>
      <c r="L698">
        <f>VLOOKUP(Scores[[#This Row],[MRUN]],Demographics[], 7,FALSE)</f>
        <v>2</v>
      </c>
      <c r="M698">
        <f>VLOOKUP(Scores[[#This Row],[MRUN]],Demographics[], 5, FALSE)</f>
        <v>1</v>
      </c>
    </row>
    <row r="699" spans="1:13" hidden="1" x14ac:dyDescent="0.2">
      <c r="A699" s="1">
        <v>7057347</v>
      </c>
      <c r="B699">
        <v>1</v>
      </c>
      <c r="C699">
        <v>3</v>
      </c>
      <c r="D699">
        <v>620</v>
      </c>
      <c r="E699">
        <v>0</v>
      </c>
      <c r="F699">
        <v>0</v>
      </c>
      <c r="G699">
        <v>0</v>
      </c>
      <c r="H699">
        <v>0</v>
      </c>
      <c r="I699">
        <f>VLOOKUP(Scores[[#This Row],[MRUN]],Demographics[],3,FALSE)</f>
        <v>3</v>
      </c>
      <c r="J699">
        <f>AVERAGE(Scores[[#This Row],[LYC]],Scores[[#This Row],[MATE]])</f>
        <v>0</v>
      </c>
      <c r="K699">
        <f>VLOOKUP(Scores[[#This Row],[MRUN]],Demographics[],6,FALSE)</f>
        <v>4</v>
      </c>
      <c r="L699">
        <f>VLOOKUP(Scores[[#This Row],[MRUN]],Demographics[], 7,FALSE)</f>
        <v>2</v>
      </c>
      <c r="M699">
        <f>VLOOKUP(Scores[[#This Row],[MRUN]],Demographics[], 5, FALSE)</f>
        <v>1</v>
      </c>
    </row>
    <row r="700" spans="1:13" hidden="1" x14ac:dyDescent="0.2">
      <c r="A700" s="1">
        <v>7186958</v>
      </c>
      <c r="B700">
        <v>2</v>
      </c>
      <c r="C700">
        <v>3</v>
      </c>
      <c r="D700">
        <v>499</v>
      </c>
      <c r="E700">
        <v>406</v>
      </c>
      <c r="F700">
        <v>300</v>
      </c>
      <c r="G700">
        <v>490</v>
      </c>
      <c r="H700">
        <v>0</v>
      </c>
      <c r="I700">
        <f>VLOOKUP(Scores[[#This Row],[MRUN]],Demographics[],3,FALSE)</f>
        <v>2</v>
      </c>
      <c r="J700">
        <f>AVERAGE(Scores[[#This Row],[LYC]],Scores[[#This Row],[MATE]])</f>
        <v>353</v>
      </c>
      <c r="K700">
        <f>VLOOKUP(Scores[[#This Row],[MRUN]],Demographics[],6,FALSE)</f>
        <v>4</v>
      </c>
      <c r="L700">
        <f>VLOOKUP(Scores[[#This Row],[MRUN]],Demographics[], 7,FALSE)</f>
        <v>5</v>
      </c>
      <c r="M700">
        <f>VLOOKUP(Scores[[#This Row],[MRUN]],Demographics[], 5, FALSE)</f>
        <v>1</v>
      </c>
    </row>
    <row r="701" spans="1:13" hidden="1" x14ac:dyDescent="0.2">
      <c r="A701" s="1">
        <v>17131247</v>
      </c>
      <c r="B701">
        <v>1</v>
      </c>
      <c r="C701">
        <v>2</v>
      </c>
      <c r="D701">
        <v>723</v>
      </c>
      <c r="E701">
        <v>531</v>
      </c>
      <c r="F701">
        <v>549</v>
      </c>
      <c r="G701">
        <v>0</v>
      </c>
      <c r="H701">
        <v>428</v>
      </c>
      <c r="I701">
        <f>VLOOKUP(Scores[[#This Row],[MRUN]],Demographics[],3,FALSE)</f>
        <v>4</v>
      </c>
      <c r="J701">
        <f>AVERAGE(Scores[[#This Row],[LYC]],Scores[[#This Row],[MATE]])</f>
        <v>540</v>
      </c>
      <c r="K701">
        <f>VLOOKUP(Scores[[#This Row],[MRUN]],Demographics[],6,FALSE)</f>
        <v>2</v>
      </c>
      <c r="L701">
        <f>VLOOKUP(Scores[[#This Row],[MRUN]],Demographics[], 7,FALSE)</f>
        <v>4</v>
      </c>
      <c r="M701">
        <f>VLOOKUP(Scores[[#This Row],[MRUN]],Demographics[], 5, FALSE)</f>
        <v>1</v>
      </c>
    </row>
    <row r="702" spans="1:13" hidden="1" x14ac:dyDescent="0.2">
      <c r="A702" s="1">
        <v>6119420</v>
      </c>
      <c r="B702">
        <v>2</v>
      </c>
      <c r="C702">
        <v>2</v>
      </c>
      <c r="D702">
        <v>538</v>
      </c>
      <c r="E702">
        <v>488</v>
      </c>
      <c r="F702">
        <v>441</v>
      </c>
      <c r="G702">
        <v>0</v>
      </c>
      <c r="H702">
        <v>344</v>
      </c>
      <c r="I702">
        <f>VLOOKUP(Scores[[#This Row],[MRUN]],Demographics[],3,FALSE)</f>
        <v>8</v>
      </c>
      <c r="J702">
        <f>AVERAGE(Scores[[#This Row],[LYC]],Scores[[#This Row],[MATE]])</f>
        <v>464.5</v>
      </c>
      <c r="K702">
        <f>VLOOKUP(Scores[[#This Row],[MRUN]],Demographics[],6,FALSE)</f>
        <v>5</v>
      </c>
      <c r="L702">
        <f>VLOOKUP(Scores[[#This Row],[MRUN]],Demographics[], 7,FALSE)</f>
        <v>3</v>
      </c>
      <c r="M702">
        <f>VLOOKUP(Scores[[#This Row],[MRUN]],Demographics[], 5, FALSE)</f>
        <v>1</v>
      </c>
    </row>
    <row r="703" spans="1:13" hidden="1" x14ac:dyDescent="0.2">
      <c r="A703" s="1">
        <v>21505786</v>
      </c>
      <c r="B703">
        <v>1</v>
      </c>
      <c r="C703">
        <v>2</v>
      </c>
      <c r="D703">
        <v>435</v>
      </c>
      <c r="E703">
        <v>356</v>
      </c>
      <c r="F703">
        <v>300</v>
      </c>
      <c r="G703">
        <v>414</v>
      </c>
      <c r="H703">
        <v>0</v>
      </c>
      <c r="I703">
        <f>VLOOKUP(Scores[[#This Row],[MRUN]],Demographics[],3,FALSE)</f>
        <v>4</v>
      </c>
      <c r="J703">
        <f>AVERAGE(Scores[[#This Row],[LYC]],Scores[[#This Row],[MATE]])</f>
        <v>328</v>
      </c>
      <c r="K703">
        <f>VLOOKUP(Scores[[#This Row],[MRUN]],Demographics[],6,FALSE)</f>
        <v>7</v>
      </c>
      <c r="L703">
        <f>VLOOKUP(Scores[[#This Row],[MRUN]],Demographics[], 7,FALSE)</f>
        <v>6</v>
      </c>
      <c r="M703">
        <f>VLOOKUP(Scores[[#This Row],[MRUN]],Demographics[], 5, FALSE)</f>
        <v>1</v>
      </c>
    </row>
    <row r="704" spans="1:13" hidden="1" x14ac:dyDescent="0.2">
      <c r="A704" s="1">
        <v>22574197</v>
      </c>
      <c r="B704">
        <v>2</v>
      </c>
      <c r="C704">
        <v>3</v>
      </c>
      <c r="D704">
        <v>539</v>
      </c>
      <c r="E704">
        <v>476</v>
      </c>
      <c r="F704">
        <v>353</v>
      </c>
      <c r="G704">
        <v>334</v>
      </c>
      <c r="H704">
        <v>0</v>
      </c>
      <c r="I704">
        <f>VLOOKUP(Scores[[#This Row],[MRUN]],Demographics[],3,FALSE)</f>
        <v>4</v>
      </c>
      <c r="J704">
        <f>AVERAGE(Scores[[#This Row],[LYC]],Scores[[#This Row],[MATE]])</f>
        <v>414.5</v>
      </c>
      <c r="K704">
        <f>VLOOKUP(Scores[[#This Row],[MRUN]],Demographics[],6,FALSE)</f>
        <v>5</v>
      </c>
      <c r="L704">
        <f>VLOOKUP(Scores[[#This Row],[MRUN]],Demographics[], 7,FALSE)</f>
        <v>3</v>
      </c>
      <c r="M704">
        <f>VLOOKUP(Scores[[#This Row],[MRUN]],Demographics[], 5, FALSE)</f>
        <v>1</v>
      </c>
    </row>
    <row r="705" spans="1:13" hidden="1" x14ac:dyDescent="0.2">
      <c r="A705" s="1">
        <v>14995258</v>
      </c>
      <c r="B705">
        <v>2</v>
      </c>
      <c r="C705">
        <v>3</v>
      </c>
      <c r="D705">
        <v>0</v>
      </c>
      <c r="E705">
        <v>406</v>
      </c>
      <c r="F705">
        <v>300</v>
      </c>
      <c r="G705">
        <v>421</v>
      </c>
      <c r="H705">
        <v>404</v>
      </c>
      <c r="I705">
        <f>VLOOKUP(Scores[[#This Row],[MRUN]],Demographics[],3,FALSE)</f>
        <v>6</v>
      </c>
      <c r="J705">
        <f>AVERAGE(Scores[[#This Row],[LYC]],Scores[[#This Row],[MATE]])</f>
        <v>353</v>
      </c>
      <c r="K705">
        <f>VLOOKUP(Scores[[#This Row],[MRUN]],Demographics[],6,FALSE)</f>
        <v>5</v>
      </c>
      <c r="L705">
        <f>VLOOKUP(Scores[[#This Row],[MRUN]],Demographics[], 7,FALSE)</f>
        <v>5</v>
      </c>
      <c r="M705">
        <f>VLOOKUP(Scores[[#This Row],[MRUN]],Demographics[], 5, FALSE)</f>
        <v>1</v>
      </c>
    </row>
    <row r="706" spans="1:13" hidden="1" x14ac:dyDescent="0.2">
      <c r="A706" s="1">
        <v>1744785</v>
      </c>
      <c r="B706">
        <v>2</v>
      </c>
      <c r="C706">
        <v>3</v>
      </c>
      <c r="D706">
        <v>519</v>
      </c>
      <c r="E706">
        <v>356</v>
      </c>
      <c r="F706">
        <v>395</v>
      </c>
      <c r="G706">
        <v>271</v>
      </c>
      <c r="H706">
        <v>0</v>
      </c>
      <c r="I706">
        <f>VLOOKUP(Scores[[#This Row],[MRUN]],Demographics[],3,FALSE)</f>
        <v>5</v>
      </c>
      <c r="J706">
        <f>AVERAGE(Scores[[#This Row],[LYC]],Scores[[#This Row],[MATE]])</f>
        <v>375.5</v>
      </c>
      <c r="K706">
        <f>VLOOKUP(Scores[[#This Row],[MRUN]],Demographics[],6,FALSE)</f>
        <v>2</v>
      </c>
      <c r="L706">
        <f>VLOOKUP(Scores[[#This Row],[MRUN]],Demographics[], 7,FALSE)</f>
        <v>2</v>
      </c>
      <c r="M706">
        <f>VLOOKUP(Scores[[#This Row],[MRUN]],Demographics[], 5, FALSE)</f>
        <v>1</v>
      </c>
    </row>
    <row r="707" spans="1:13" hidden="1" x14ac:dyDescent="0.2">
      <c r="A707" s="1">
        <v>6450773</v>
      </c>
      <c r="B707">
        <v>2</v>
      </c>
      <c r="C707">
        <v>2</v>
      </c>
      <c r="D707">
        <v>414</v>
      </c>
      <c r="E707">
        <v>0</v>
      </c>
      <c r="F707">
        <v>0</v>
      </c>
      <c r="G707">
        <v>0</v>
      </c>
      <c r="H707">
        <v>0</v>
      </c>
      <c r="I707">
        <f>VLOOKUP(Scores[[#This Row],[MRUN]],Demographics[],3,FALSE)</f>
        <v>0</v>
      </c>
      <c r="J707">
        <f>AVERAGE(Scores[[#This Row],[LYC]],Scores[[#This Row],[MATE]])</f>
        <v>0</v>
      </c>
      <c r="K707">
        <f>VLOOKUP(Scores[[#This Row],[MRUN]],Demographics[],6,FALSE)</f>
        <v>0</v>
      </c>
      <c r="L707">
        <f>VLOOKUP(Scores[[#This Row],[MRUN]],Demographics[], 7,FALSE)</f>
        <v>0</v>
      </c>
      <c r="M707">
        <f>VLOOKUP(Scores[[#This Row],[MRUN]],Demographics[], 5, FALSE)</f>
        <v>1</v>
      </c>
    </row>
    <row r="708" spans="1:13" hidden="1" x14ac:dyDescent="0.2">
      <c r="A708" s="1">
        <v>142513</v>
      </c>
      <c r="B708">
        <v>1</v>
      </c>
      <c r="C708">
        <v>2</v>
      </c>
      <c r="D708">
        <v>496</v>
      </c>
      <c r="E708">
        <v>406</v>
      </c>
      <c r="F708">
        <v>512</v>
      </c>
      <c r="G708">
        <v>454</v>
      </c>
      <c r="H708">
        <v>0</v>
      </c>
      <c r="I708">
        <f>VLOOKUP(Scores[[#This Row],[MRUN]],Demographics[],3,FALSE)</f>
        <v>0</v>
      </c>
      <c r="J708">
        <f>AVERAGE(Scores[[#This Row],[LYC]],Scores[[#This Row],[MATE]])</f>
        <v>459</v>
      </c>
      <c r="K708">
        <f>VLOOKUP(Scores[[#This Row],[MRUN]],Demographics[],6,FALSE)</f>
        <v>4</v>
      </c>
      <c r="L708">
        <f>VLOOKUP(Scores[[#This Row],[MRUN]],Demographics[], 7,FALSE)</f>
        <v>2</v>
      </c>
      <c r="M708">
        <f>VLOOKUP(Scores[[#This Row],[MRUN]],Demographics[], 5, FALSE)</f>
        <v>1</v>
      </c>
    </row>
    <row r="709" spans="1:13" hidden="1" x14ac:dyDescent="0.2">
      <c r="A709" s="1">
        <v>6653389</v>
      </c>
      <c r="B709">
        <v>2</v>
      </c>
      <c r="C709">
        <v>2</v>
      </c>
      <c r="D709">
        <v>560</v>
      </c>
      <c r="E709">
        <v>367</v>
      </c>
      <c r="F709">
        <v>328</v>
      </c>
      <c r="G709">
        <v>209</v>
      </c>
      <c r="H709">
        <v>0</v>
      </c>
      <c r="I709">
        <f>VLOOKUP(Scores[[#This Row],[MRUN]],Demographics[],3,FALSE)</f>
        <v>5</v>
      </c>
      <c r="J709">
        <f>AVERAGE(Scores[[#This Row],[LYC]],Scores[[#This Row],[MATE]])</f>
        <v>347.5</v>
      </c>
      <c r="K709">
        <f>VLOOKUP(Scores[[#This Row],[MRUN]],Demographics[],6,FALSE)</f>
        <v>5</v>
      </c>
      <c r="L709">
        <f>VLOOKUP(Scores[[#This Row],[MRUN]],Demographics[], 7,FALSE)</f>
        <v>3</v>
      </c>
      <c r="M709">
        <f>VLOOKUP(Scores[[#This Row],[MRUN]],Demographics[], 5, FALSE)</f>
        <v>1</v>
      </c>
    </row>
    <row r="710" spans="1:13" hidden="1" x14ac:dyDescent="0.2">
      <c r="A710" s="1">
        <v>21404000</v>
      </c>
      <c r="B710">
        <v>2</v>
      </c>
      <c r="C710">
        <v>2</v>
      </c>
      <c r="D710">
        <v>538</v>
      </c>
      <c r="E710">
        <v>505</v>
      </c>
      <c r="F710">
        <v>480</v>
      </c>
      <c r="G710">
        <v>512</v>
      </c>
      <c r="H710">
        <v>0</v>
      </c>
      <c r="I710">
        <f>VLOOKUP(Scores[[#This Row],[MRUN]],Demographics[],3,FALSE)</f>
        <v>5</v>
      </c>
      <c r="J710">
        <f>AVERAGE(Scores[[#This Row],[LYC]],Scores[[#This Row],[MATE]])</f>
        <v>492.5</v>
      </c>
      <c r="K710">
        <f>VLOOKUP(Scores[[#This Row],[MRUN]],Demographics[],6,FALSE)</f>
        <v>2</v>
      </c>
      <c r="L710">
        <f>VLOOKUP(Scores[[#This Row],[MRUN]],Demographics[], 7,FALSE)</f>
        <v>3</v>
      </c>
      <c r="M710">
        <f>VLOOKUP(Scores[[#This Row],[MRUN]],Demographics[], 5, FALSE)</f>
        <v>1</v>
      </c>
    </row>
    <row r="711" spans="1:13" hidden="1" x14ac:dyDescent="0.2">
      <c r="A711" s="1">
        <v>23006367</v>
      </c>
      <c r="B711">
        <v>2</v>
      </c>
      <c r="C711">
        <v>2</v>
      </c>
      <c r="D711">
        <v>579</v>
      </c>
      <c r="E711">
        <v>521</v>
      </c>
      <c r="F711">
        <v>487</v>
      </c>
      <c r="G711">
        <v>0</v>
      </c>
      <c r="H711">
        <v>439</v>
      </c>
      <c r="I711">
        <f>VLOOKUP(Scores[[#This Row],[MRUN]],Demographics[],3,FALSE)</f>
        <v>4</v>
      </c>
      <c r="J711">
        <f>AVERAGE(Scores[[#This Row],[LYC]],Scores[[#This Row],[MATE]])</f>
        <v>504</v>
      </c>
      <c r="K711">
        <f>VLOOKUP(Scores[[#This Row],[MRUN]],Demographics[],6,FALSE)</f>
        <v>0</v>
      </c>
      <c r="L711">
        <f>VLOOKUP(Scores[[#This Row],[MRUN]],Demographics[], 7,FALSE)</f>
        <v>9</v>
      </c>
      <c r="M711">
        <f>VLOOKUP(Scores[[#This Row],[MRUN]],Demographics[], 5, FALSE)</f>
        <v>1</v>
      </c>
    </row>
    <row r="712" spans="1:13" hidden="1" x14ac:dyDescent="0.2">
      <c r="A712" s="1">
        <v>11358810</v>
      </c>
      <c r="B712">
        <v>1</v>
      </c>
      <c r="C712">
        <v>2</v>
      </c>
      <c r="D712">
        <v>478</v>
      </c>
      <c r="E712">
        <v>551</v>
      </c>
      <c r="F712">
        <v>494</v>
      </c>
      <c r="G712">
        <v>613</v>
      </c>
      <c r="H712">
        <v>0</v>
      </c>
      <c r="I712">
        <f>VLOOKUP(Scores[[#This Row],[MRUN]],Demographics[],3,FALSE)</f>
        <v>8</v>
      </c>
      <c r="J712">
        <f>AVERAGE(Scores[[#This Row],[LYC]],Scores[[#This Row],[MATE]])</f>
        <v>522.5</v>
      </c>
      <c r="K712">
        <f>VLOOKUP(Scores[[#This Row],[MRUN]],Demographics[],6,FALSE)</f>
        <v>3</v>
      </c>
      <c r="L712">
        <f>VLOOKUP(Scores[[#This Row],[MRUN]],Demographics[], 7,FALSE)</f>
        <v>3</v>
      </c>
      <c r="M712">
        <f>VLOOKUP(Scores[[#This Row],[MRUN]],Demographics[], 5, FALSE)</f>
        <v>1</v>
      </c>
    </row>
    <row r="713" spans="1:13" hidden="1" x14ac:dyDescent="0.2">
      <c r="A713" s="1">
        <v>17767171</v>
      </c>
      <c r="B713">
        <v>2</v>
      </c>
      <c r="C713">
        <v>2</v>
      </c>
      <c r="D713">
        <v>661</v>
      </c>
      <c r="E713">
        <v>596</v>
      </c>
      <c r="F713">
        <v>628</v>
      </c>
      <c r="G713">
        <v>0</v>
      </c>
      <c r="H713">
        <v>575</v>
      </c>
      <c r="I713">
        <f>VLOOKUP(Scores[[#This Row],[MRUN]],Demographics[],3,FALSE)</f>
        <v>4</v>
      </c>
      <c r="J713">
        <f>AVERAGE(Scores[[#This Row],[LYC]],Scores[[#This Row],[MATE]])</f>
        <v>612</v>
      </c>
      <c r="K713">
        <f>VLOOKUP(Scores[[#This Row],[MRUN]],Demographics[],6,FALSE)</f>
        <v>2</v>
      </c>
      <c r="L713">
        <f>VLOOKUP(Scores[[#This Row],[MRUN]],Demographics[], 7,FALSE)</f>
        <v>4</v>
      </c>
      <c r="M713">
        <f>VLOOKUP(Scores[[#This Row],[MRUN]],Demographics[], 5, FALSE)</f>
        <v>1</v>
      </c>
    </row>
    <row r="714" spans="1:13" hidden="1" x14ac:dyDescent="0.2">
      <c r="A714" s="1">
        <v>17665344</v>
      </c>
      <c r="B714">
        <v>2</v>
      </c>
      <c r="C714">
        <v>3</v>
      </c>
      <c r="D714">
        <v>517</v>
      </c>
      <c r="E714">
        <v>541</v>
      </c>
      <c r="F714">
        <v>501</v>
      </c>
      <c r="G714">
        <v>490</v>
      </c>
      <c r="H714">
        <v>0</v>
      </c>
      <c r="I714">
        <f>VLOOKUP(Scores[[#This Row],[MRUN]],Demographics[],3,FALSE)</f>
        <v>3</v>
      </c>
      <c r="J714">
        <f>AVERAGE(Scores[[#This Row],[LYC]],Scores[[#This Row],[MATE]])</f>
        <v>521</v>
      </c>
      <c r="K714">
        <f>VLOOKUP(Scores[[#This Row],[MRUN]],Demographics[],6,FALSE)</f>
        <v>5</v>
      </c>
      <c r="L714">
        <f>VLOOKUP(Scores[[#This Row],[MRUN]],Demographics[], 7,FALSE)</f>
        <v>5</v>
      </c>
      <c r="M714">
        <f>VLOOKUP(Scores[[#This Row],[MRUN]],Demographics[], 5, FALSE)</f>
        <v>2</v>
      </c>
    </row>
    <row r="715" spans="1:13" hidden="1" x14ac:dyDescent="0.2">
      <c r="A715" s="1">
        <v>5916596</v>
      </c>
      <c r="B715">
        <v>2</v>
      </c>
      <c r="C715">
        <v>2</v>
      </c>
      <c r="D715">
        <v>620</v>
      </c>
      <c r="E715">
        <v>444</v>
      </c>
      <c r="F715">
        <v>506</v>
      </c>
      <c r="G715">
        <v>501</v>
      </c>
      <c r="H715">
        <v>0</v>
      </c>
      <c r="I715">
        <f>VLOOKUP(Scores[[#This Row],[MRUN]],Demographics[],3,FALSE)</f>
        <v>6</v>
      </c>
      <c r="J715">
        <f>AVERAGE(Scores[[#This Row],[LYC]],Scores[[#This Row],[MATE]])</f>
        <v>475</v>
      </c>
      <c r="K715">
        <f>VLOOKUP(Scores[[#This Row],[MRUN]],Demographics[],6,FALSE)</f>
        <v>8</v>
      </c>
      <c r="L715">
        <f>VLOOKUP(Scores[[#This Row],[MRUN]],Demographics[], 7,FALSE)</f>
        <v>5</v>
      </c>
      <c r="M715">
        <f>VLOOKUP(Scores[[#This Row],[MRUN]],Demographics[], 5, FALSE)</f>
        <v>1</v>
      </c>
    </row>
    <row r="716" spans="1:13" hidden="1" x14ac:dyDescent="0.2">
      <c r="A716" s="1">
        <v>14129791</v>
      </c>
      <c r="B716">
        <v>1</v>
      </c>
      <c r="C716">
        <v>2</v>
      </c>
      <c r="D716">
        <v>682</v>
      </c>
      <c r="E716">
        <v>561</v>
      </c>
      <c r="F716">
        <v>574</v>
      </c>
      <c r="G716">
        <v>0</v>
      </c>
      <c r="H716">
        <v>628</v>
      </c>
      <c r="I716">
        <f>VLOOKUP(Scores[[#This Row],[MRUN]],Demographics[],3,FALSE)</f>
        <v>4</v>
      </c>
      <c r="J716">
        <f>AVERAGE(Scores[[#This Row],[LYC]],Scores[[#This Row],[MATE]])</f>
        <v>567.5</v>
      </c>
      <c r="K716">
        <f>VLOOKUP(Scores[[#This Row],[MRUN]],Demographics[],6,FALSE)</f>
        <v>4</v>
      </c>
      <c r="L716">
        <f>VLOOKUP(Scores[[#This Row],[MRUN]],Demographics[], 7,FALSE)</f>
        <v>5</v>
      </c>
      <c r="M716">
        <f>VLOOKUP(Scores[[#This Row],[MRUN]],Demographics[], 5, FALSE)</f>
        <v>1</v>
      </c>
    </row>
    <row r="717" spans="1:13" hidden="1" x14ac:dyDescent="0.2">
      <c r="A717" s="1">
        <v>9323502</v>
      </c>
      <c r="B717">
        <v>2</v>
      </c>
      <c r="C717">
        <v>3</v>
      </c>
      <c r="D717">
        <v>455</v>
      </c>
      <c r="E717">
        <v>510</v>
      </c>
      <c r="F717">
        <v>441</v>
      </c>
      <c r="G717">
        <v>490</v>
      </c>
      <c r="H717">
        <v>0</v>
      </c>
      <c r="I717">
        <f>VLOOKUP(Scores[[#This Row],[MRUN]],Demographics[],3,FALSE)</f>
        <v>5</v>
      </c>
      <c r="J717">
        <f>AVERAGE(Scores[[#This Row],[LYC]],Scores[[#This Row],[MATE]])</f>
        <v>475.5</v>
      </c>
      <c r="K717">
        <f>VLOOKUP(Scores[[#This Row],[MRUN]],Demographics[],6,FALSE)</f>
        <v>10</v>
      </c>
      <c r="L717">
        <f>VLOOKUP(Scores[[#This Row],[MRUN]],Demographics[], 7,FALSE)</f>
        <v>4</v>
      </c>
      <c r="M717">
        <f>VLOOKUP(Scores[[#This Row],[MRUN]],Demographics[], 5, FALSE)</f>
        <v>2</v>
      </c>
    </row>
    <row r="718" spans="1:13" hidden="1" x14ac:dyDescent="0.2">
      <c r="A718" s="1">
        <v>3246330</v>
      </c>
      <c r="B718">
        <v>2</v>
      </c>
      <c r="C718">
        <v>2</v>
      </c>
      <c r="D718">
        <v>0</v>
      </c>
      <c r="E718">
        <v>494</v>
      </c>
      <c r="F718">
        <v>472</v>
      </c>
      <c r="G718">
        <v>0</v>
      </c>
      <c r="H718">
        <v>483</v>
      </c>
      <c r="I718">
        <f>VLOOKUP(Scores[[#This Row],[MRUN]],Demographics[],3,FALSE)</f>
        <v>0</v>
      </c>
      <c r="J718">
        <f>AVERAGE(Scores[[#This Row],[LYC]],Scores[[#This Row],[MATE]])</f>
        <v>483</v>
      </c>
      <c r="K718">
        <f>VLOOKUP(Scores[[#This Row],[MRUN]],Demographics[],6,FALSE)</f>
        <v>0</v>
      </c>
      <c r="L718">
        <f>VLOOKUP(Scores[[#This Row],[MRUN]],Demographics[], 7,FALSE)</f>
        <v>3</v>
      </c>
      <c r="M718">
        <f>VLOOKUP(Scores[[#This Row],[MRUN]],Demographics[], 5, FALSE)</f>
        <v>1</v>
      </c>
    </row>
    <row r="719" spans="1:13" hidden="1" x14ac:dyDescent="0.2">
      <c r="A719" s="1">
        <v>778202</v>
      </c>
      <c r="B719">
        <v>2</v>
      </c>
      <c r="C719">
        <v>2</v>
      </c>
      <c r="D719">
        <v>397</v>
      </c>
      <c r="E719">
        <v>218</v>
      </c>
      <c r="F719">
        <v>248</v>
      </c>
      <c r="G719">
        <v>252</v>
      </c>
      <c r="H719">
        <v>0</v>
      </c>
      <c r="I719">
        <f>VLOOKUP(Scores[[#This Row],[MRUN]],Demographics[],3,FALSE)</f>
        <v>4</v>
      </c>
      <c r="J719">
        <f>AVERAGE(Scores[[#This Row],[LYC]],Scores[[#This Row],[MATE]])</f>
        <v>233</v>
      </c>
      <c r="K719">
        <f>VLOOKUP(Scores[[#This Row],[MRUN]],Demographics[],6,FALSE)</f>
        <v>4</v>
      </c>
      <c r="L719">
        <f>VLOOKUP(Scores[[#This Row],[MRUN]],Demographics[], 7,FALSE)</f>
        <v>4</v>
      </c>
      <c r="M719">
        <f>VLOOKUP(Scores[[#This Row],[MRUN]],Demographics[], 5, FALSE)</f>
        <v>1</v>
      </c>
    </row>
    <row r="720" spans="1:13" hidden="1" x14ac:dyDescent="0.2">
      <c r="A720" s="1">
        <v>11993799</v>
      </c>
      <c r="B720">
        <v>1</v>
      </c>
      <c r="C720">
        <v>2</v>
      </c>
      <c r="D720">
        <v>641</v>
      </c>
      <c r="E720">
        <v>438</v>
      </c>
      <c r="F720">
        <v>506</v>
      </c>
      <c r="G720">
        <v>0</v>
      </c>
      <c r="H720">
        <v>504</v>
      </c>
      <c r="I720">
        <f>VLOOKUP(Scores[[#This Row],[MRUN]],Demographics[],3,FALSE)</f>
        <v>5</v>
      </c>
      <c r="J720">
        <f>AVERAGE(Scores[[#This Row],[LYC]],Scores[[#This Row],[MATE]])</f>
        <v>472</v>
      </c>
      <c r="K720">
        <f>VLOOKUP(Scores[[#This Row],[MRUN]],Demographics[],6,FALSE)</f>
        <v>5</v>
      </c>
      <c r="L720">
        <f>VLOOKUP(Scores[[#This Row],[MRUN]],Demographics[], 7,FALSE)</f>
        <v>5</v>
      </c>
      <c r="M720">
        <f>VLOOKUP(Scores[[#This Row],[MRUN]],Demographics[], 5, FALSE)</f>
        <v>2</v>
      </c>
    </row>
    <row r="721" spans="1:13" hidden="1" x14ac:dyDescent="0.2">
      <c r="A721" s="1">
        <v>4516735</v>
      </c>
      <c r="B721">
        <v>1</v>
      </c>
      <c r="C721">
        <v>3</v>
      </c>
      <c r="D721">
        <v>414</v>
      </c>
      <c r="E721">
        <v>422</v>
      </c>
      <c r="F721">
        <v>480</v>
      </c>
      <c r="G721">
        <v>454</v>
      </c>
      <c r="H721">
        <v>0</v>
      </c>
      <c r="I721">
        <f>VLOOKUP(Scores[[#This Row],[MRUN]],Demographics[],3,FALSE)</f>
        <v>5</v>
      </c>
      <c r="J721">
        <f>AVERAGE(Scores[[#This Row],[LYC]],Scores[[#This Row],[MATE]])</f>
        <v>451</v>
      </c>
      <c r="K721">
        <f>VLOOKUP(Scores[[#This Row],[MRUN]],Demographics[],6,FALSE)</f>
        <v>4</v>
      </c>
      <c r="L721">
        <f>VLOOKUP(Scores[[#This Row],[MRUN]],Demographics[], 7,FALSE)</f>
        <v>5</v>
      </c>
      <c r="M721">
        <f>VLOOKUP(Scores[[#This Row],[MRUN]],Demographics[], 5, FALSE)</f>
        <v>1</v>
      </c>
    </row>
    <row r="722" spans="1:13" hidden="1" x14ac:dyDescent="0.2">
      <c r="A722" s="1">
        <v>11257333</v>
      </c>
      <c r="B722">
        <v>2</v>
      </c>
      <c r="C722">
        <v>2</v>
      </c>
      <c r="D722">
        <v>599</v>
      </c>
      <c r="E722">
        <v>607</v>
      </c>
      <c r="F722">
        <v>557</v>
      </c>
      <c r="G722">
        <v>495</v>
      </c>
      <c r="H722">
        <v>0</v>
      </c>
      <c r="I722">
        <f>VLOOKUP(Scores[[#This Row],[MRUN]],Demographics[],3,FALSE)</f>
        <v>4</v>
      </c>
      <c r="J722">
        <f>AVERAGE(Scores[[#This Row],[LYC]],Scores[[#This Row],[MATE]])</f>
        <v>582</v>
      </c>
      <c r="K722">
        <f>VLOOKUP(Scores[[#This Row],[MRUN]],Demographics[],6,FALSE)</f>
        <v>4</v>
      </c>
      <c r="L722">
        <f>VLOOKUP(Scores[[#This Row],[MRUN]],Demographics[], 7,FALSE)</f>
        <v>7</v>
      </c>
      <c r="M722">
        <f>VLOOKUP(Scores[[#This Row],[MRUN]],Demographics[], 5, FALSE)</f>
        <v>1</v>
      </c>
    </row>
    <row r="723" spans="1:13" hidden="1" x14ac:dyDescent="0.2">
      <c r="A723" s="1">
        <v>18300819</v>
      </c>
      <c r="B723">
        <v>1</v>
      </c>
      <c r="C723">
        <v>2</v>
      </c>
      <c r="D723">
        <v>437</v>
      </c>
      <c r="E723">
        <v>415</v>
      </c>
      <c r="F723">
        <v>487</v>
      </c>
      <c r="G723">
        <v>454</v>
      </c>
      <c r="H723">
        <v>0</v>
      </c>
      <c r="I723">
        <f>VLOOKUP(Scores[[#This Row],[MRUN]],Demographics[],3,FALSE)</f>
        <v>2</v>
      </c>
      <c r="J723">
        <f>AVERAGE(Scores[[#This Row],[LYC]],Scores[[#This Row],[MATE]])</f>
        <v>451</v>
      </c>
      <c r="K723">
        <f>VLOOKUP(Scores[[#This Row],[MRUN]],Demographics[],6,FALSE)</f>
        <v>1</v>
      </c>
      <c r="L723">
        <f>VLOOKUP(Scores[[#This Row],[MRUN]],Demographics[], 7,FALSE)</f>
        <v>4</v>
      </c>
      <c r="M723">
        <f>VLOOKUP(Scores[[#This Row],[MRUN]],Demographics[], 5, FALSE)</f>
        <v>1</v>
      </c>
    </row>
    <row r="724" spans="1:13" hidden="1" x14ac:dyDescent="0.2">
      <c r="A724" s="1">
        <v>8688144</v>
      </c>
      <c r="B724">
        <v>2</v>
      </c>
      <c r="C724">
        <v>2</v>
      </c>
      <c r="D724">
        <v>620</v>
      </c>
      <c r="E724">
        <v>516</v>
      </c>
      <c r="F724">
        <v>512</v>
      </c>
      <c r="G724">
        <v>602</v>
      </c>
      <c r="H724">
        <v>0</v>
      </c>
      <c r="I724">
        <f>VLOOKUP(Scores[[#This Row],[MRUN]],Demographics[],3,FALSE)</f>
        <v>3</v>
      </c>
      <c r="J724">
        <f>AVERAGE(Scores[[#This Row],[LYC]],Scores[[#This Row],[MATE]])</f>
        <v>514</v>
      </c>
      <c r="K724">
        <f>VLOOKUP(Scores[[#This Row],[MRUN]],Demographics[],6,FALSE)</f>
        <v>5</v>
      </c>
      <c r="L724">
        <f>VLOOKUP(Scores[[#This Row],[MRUN]],Demographics[], 7,FALSE)</f>
        <v>4</v>
      </c>
      <c r="M724">
        <f>VLOOKUP(Scores[[#This Row],[MRUN]],Demographics[], 5, FALSE)</f>
        <v>1</v>
      </c>
    </row>
    <row r="725" spans="1:13" hidden="1" x14ac:dyDescent="0.2">
      <c r="A725" s="1">
        <v>20971850</v>
      </c>
      <c r="B725">
        <v>2</v>
      </c>
      <c r="C725">
        <v>2</v>
      </c>
      <c r="D725">
        <v>517</v>
      </c>
      <c r="E725">
        <v>262</v>
      </c>
      <c r="F725">
        <v>274</v>
      </c>
      <c r="G725">
        <v>473</v>
      </c>
      <c r="H725">
        <v>0</v>
      </c>
      <c r="I725">
        <f>VLOOKUP(Scores[[#This Row],[MRUN]],Demographics[],3,FALSE)</f>
        <v>0</v>
      </c>
      <c r="J725">
        <f>AVERAGE(Scores[[#This Row],[LYC]],Scores[[#This Row],[MATE]])</f>
        <v>268</v>
      </c>
      <c r="K725">
        <f>VLOOKUP(Scores[[#This Row],[MRUN]],Demographics[],6,FALSE)</f>
        <v>0</v>
      </c>
      <c r="L725">
        <f>VLOOKUP(Scores[[#This Row],[MRUN]],Demographics[], 7,FALSE)</f>
        <v>0</v>
      </c>
      <c r="M725">
        <f>VLOOKUP(Scores[[#This Row],[MRUN]],Demographics[], 5, FALSE)</f>
        <v>1</v>
      </c>
    </row>
    <row r="726" spans="1:13" hidden="1" x14ac:dyDescent="0.2">
      <c r="A726" s="1">
        <v>7518187</v>
      </c>
      <c r="B726">
        <v>2</v>
      </c>
      <c r="C726">
        <v>2</v>
      </c>
      <c r="D726">
        <v>455</v>
      </c>
      <c r="E726">
        <v>451</v>
      </c>
      <c r="F726">
        <v>248</v>
      </c>
      <c r="G726">
        <v>449</v>
      </c>
      <c r="H726">
        <v>0</v>
      </c>
      <c r="I726">
        <f>VLOOKUP(Scores[[#This Row],[MRUN]],Demographics[],3,FALSE)</f>
        <v>2</v>
      </c>
      <c r="J726">
        <f>AVERAGE(Scores[[#This Row],[LYC]],Scores[[#This Row],[MATE]])</f>
        <v>349.5</v>
      </c>
      <c r="K726">
        <f>VLOOKUP(Scores[[#This Row],[MRUN]],Demographics[],6,FALSE)</f>
        <v>2</v>
      </c>
      <c r="L726">
        <f>VLOOKUP(Scores[[#This Row],[MRUN]],Demographics[], 7,FALSE)</f>
        <v>4</v>
      </c>
      <c r="M726">
        <f>VLOOKUP(Scores[[#This Row],[MRUN]],Demographics[], 5, FALSE)</f>
        <v>1</v>
      </c>
    </row>
    <row r="727" spans="1:13" hidden="1" x14ac:dyDescent="0.2">
      <c r="A727" s="1">
        <v>6653390</v>
      </c>
      <c r="B727">
        <v>2</v>
      </c>
      <c r="C727">
        <v>2</v>
      </c>
      <c r="D727">
        <v>620</v>
      </c>
      <c r="E727">
        <v>488</v>
      </c>
      <c r="F727">
        <v>494</v>
      </c>
      <c r="G727">
        <v>557</v>
      </c>
      <c r="H727">
        <v>504</v>
      </c>
      <c r="I727">
        <f>VLOOKUP(Scores[[#This Row],[MRUN]],Demographics[],3,FALSE)</f>
        <v>5</v>
      </c>
      <c r="J727">
        <f>AVERAGE(Scores[[#This Row],[LYC]],Scores[[#This Row],[MATE]])</f>
        <v>491</v>
      </c>
      <c r="K727">
        <f>VLOOKUP(Scores[[#This Row],[MRUN]],Demographics[],6,FALSE)</f>
        <v>5</v>
      </c>
      <c r="L727">
        <f>VLOOKUP(Scores[[#This Row],[MRUN]],Demographics[], 7,FALSE)</f>
        <v>5</v>
      </c>
      <c r="M727">
        <f>VLOOKUP(Scores[[#This Row],[MRUN]],Demographics[], 5, FALSE)</f>
        <v>1</v>
      </c>
    </row>
    <row r="728" spans="1:13" hidden="1" x14ac:dyDescent="0.2">
      <c r="A728" s="1">
        <v>8789260</v>
      </c>
      <c r="B728">
        <v>2</v>
      </c>
      <c r="C728">
        <v>2</v>
      </c>
      <c r="D728">
        <v>620</v>
      </c>
      <c r="E728">
        <v>378</v>
      </c>
      <c r="F728">
        <v>463</v>
      </c>
      <c r="G728">
        <v>490</v>
      </c>
      <c r="H728">
        <v>0</v>
      </c>
      <c r="I728">
        <f>VLOOKUP(Scores[[#This Row],[MRUN]],Demographics[],3,FALSE)</f>
        <v>3</v>
      </c>
      <c r="J728">
        <f>AVERAGE(Scores[[#This Row],[LYC]],Scores[[#This Row],[MATE]])</f>
        <v>420.5</v>
      </c>
      <c r="K728">
        <f>VLOOKUP(Scores[[#This Row],[MRUN]],Demographics[],6,FALSE)</f>
        <v>3</v>
      </c>
      <c r="L728">
        <f>VLOOKUP(Scores[[#This Row],[MRUN]],Demographics[], 7,FALSE)</f>
        <v>5</v>
      </c>
      <c r="M728">
        <f>VLOOKUP(Scores[[#This Row],[MRUN]],Demographics[], 5, FALSE)</f>
        <v>1</v>
      </c>
    </row>
    <row r="729" spans="1:13" hidden="1" x14ac:dyDescent="0.2">
      <c r="A729" s="1">
        <v>17665345</v>
      </c>
      <c r="B729">
        <v>2</v>
      </c>
      <c r="C729">
        <v>2</v>
      </c>
      <c r="D729">
        <v>519</v>
      </c>
      <c r="E729">
        <v>422</v>
      </c>
      <c r="F729">
        <v>506</v>
      </c>
      <c r="G729">
        <v>454</v>
      </c>
      <c r="H729">
        <v>0</v>
      </c>
      <c r="I729">
        <f>VLOOKUP(Scores[[#This Row],[MRUN]],Demographics[],3,FALSE)</f>
        <v>7</v>
      </c>
      <c r="J729">
        <f>AVERAGE(Scores[[#This Row],[LYC]],Scores[[#This Row],[MATE]])</f>
        <v>464</v>
      </c>
      <c r="K729">
        <f>VLOOKUP(Scores[[#This Row],[MRUN]],Demographics[],6,FALSE)</f>
        <v>2</v>
      </c>
      <c r="L729">
        <f>VLOOKUP(Scores[[#This Row],[MRUN]],Demographics[], 7,FALSE)</f>
        <v>2</v>
      </c>
      <c r="M729">
        <f>VLOOKUP(Scores[[#This Row],[MRUN]],Demographics[], 5, FALSE)</f>
        <v>1</v>
      </c>
    </row>
    <row r="730" spans="1:13" hidden="1" x14ac:dyDescent="0.2">
      <c r="A730" s="1">
        <v>7720929</v>
      </c>
      <c r="B730">
        <v>1</v>
      </c>
      <c r="C730">
        <v>2</v>
      </c>
      <c r="D730">
        <v>458</v>
      </c>
      <c r="E730">
        <v>464</v>
      </c>
      <c r="F730">
        <v>523</v>
      </c>
      <c r="G730">
        <v>0</v>
      </c>
      <c r="H730">
        <v>497</v>
      </c>
      <c r="I730">
        <f>VLOOKUP(Scores[[#This Row],[MRUN]],Demographics[],3,FALSE)</f>
        <v>4</v>
      </c>
      <c r="J730">
        <f>AVERAGE(Scores[[#This Row],[LYC]],Scores[[#This Row],[MATE]])</f>
        <v>493.5</v>
      </c>
      <c r="K730">
        <f>VLOOKUP(Scores[[#This Row],[MRUN]],Demographics[],6,FALSE)</f>
        <v>3</v>
      </c>
      <c r="L730">
        <f>VLOOKUP(Scores[[#This Row],[MRUN]],Demographics[], 7,FALSE)</f>
        <v>4</v>
      </c>
      <c r="M730">
        <f>VLOOKUP(Scores[[#This Row],[MRUN]],Demographics[], 5, FALSE)</f>
        <v>1</v>
      </c>
    </row>
    <row r="731" spans="1:13" hidden="1" x14ac:dyDescent="0.2">
      <c r="A731" s="1">
        <v>14562958</v>
      </c>
      <c r="B731">
        <v>1</v>
      </c>
      <c r="C731">
        <v>3</v>
      </c>
      <c r="D731">
        <v>579</v>
      </c>
      <c r="E731">
        <v>586</v>
      </c>
      <c r="F731">
        <v>666</v>
      </c>
      <c r="G731">
        <v>527</v>
      </c>
      <c r="H731">
        <v>516</v>
      </c>
      <c r="I731">
        <f>VLOOKUP(Scores[[#This Row],[MRUN]],Demographics[],3,FALSE)</f>
        <v>5</v>
      </c>
      <c r="J731">
        <f>AVERAGE(Scores[[#This Row],[LYC]],Scores[[#This Row],[MATE]])</f>
        <v>626</v>
      </c>
      <c r="K731">
        <f>VLOOKUP(Scores[[#This Row],[MRUN]],Demographics[],6,FALSE)</f>
        <v>4</v>
      </c>
      <c r="L731">
        <f>VLOOKUP(Scores[[#This Row],[MRUN]],Demographics[], 7,FALSE)</f>
        <v>9</v>
      </c>
      <c r="M731">
        <f>VLOOKUP(Scores[[#This Row],[MRUN]],Demographics[], 5, FALSE)</f>
        <v>2</v>
      </c>
    </row>
    <row r="732" spans="1:13" hidden="1" x14ac:dyDescent="0.2">
      <c r="A732" s="1">
        <v>20336193</v>
      </c>
      <c r="B732">
        <v>2</v>
      </c>
      <c r="C732">
        <v>2</v>
      </c>
      <c r="D732">
        <v>414</v>
      </c>
      <c r="E732">
        <v>521</v>
      </c>
      <c r="F732">
        <v>413</v>
      </c>
      <c r="G732">
        <v>449</v>
      </c>
      <c r="H732">
        <v>0</v>
      </c>
      <c r="I732">
        <f>VLOOKUP(Scores[[#This Row],[MRUN]],Demographics[],3,FALSE)</f>
        <v>7</v>
      </c>
      <c r="J732">
        <f>AVERAGE(Scores[[#This Row],[LYC]],Scores[[#This Row],[MATE]])</f>
        <v>467</v>
      </c>
      <c r="K732">
        <f>VLOOKUP(Scores[[#This Row],[MRUN]],Demographics[],6,FALSE)</f>
        <v>9</v>
      </c>
      <c r="L732">
        <f>VLOOKUP(Scores[[#This Row],[MRUN]],Demographics[], 7,FALSE)</f>
        <v>5</v>
      </c>
      <c r="M732">
        <f>VLOOKUP(Scores[[#This Row],[MRUN]],Demographics[], 5, FALSE)</f>
        <v>1</v>
      </c>
    </row>
    <row r="733" spans="1:13" hidden="1" x14ac:dyDescent="0.2">
      <c r="A733" s="1">
        <v>20437955</v>
      </c>
      <c r="B733">
        <v>2</v>
      </c>
      <c r="C733">
        <v>4</v>
      </c>
      <c r="D733">
        <v>620</v>
      </c>
      <c r="E733">
        <v>586</v>
      </c>
      <c r="F733">
        <v>640</v>
      </c>
      <c r="G733">
        <v>0</v>
      </c>
      <c r="H733">
        <v>617</v>
      </c>
      <c r="I733">
        <f>VLOOKUP(Scores[[#This Row],[MRUN]],Demographics[],3,FALSE)</f>
        <v>4</v>
      </c>
      <c r="J733">
        <f>AVERAGE(Scores[[#This Row],[LYC]],Scores[[#This Row],[MATE]])</f>
        <v>613</v>
      </c>
      <c r="K733">
        <f>VLOOKUP(Scores[[#This Row],[MRUN]],Demographics[],6,FALSE)</f>
        <v>8</v>
      </c>
      <c r="L733">
        <f>VLOOKUP(Scores[[#This Row],[MRUN]],Demographics[], 7,FALSE)</f>
        <v>9</v>
      </c>
      <c r="M733">
        <f>VLOOKUP(Scores[[#This Row],[MRUN]],Demographics[], 5, FALSE)</f>
        <v>3</v>
      </c>
    </row>
    <row r="734" spans="1:13" hidden="1" x14ac:dyDescent="0.2">
      <c r="A734" s="1">
        <v>3262197</v>
      </c>
      <c r="B734">
        <v>2</v>
      </c>
      <c r="C734">
        <v>2</v>
      </c>
      <c r="D734">
        <v>417</v>
      </c>
      <c r="E734">
        <v>367</v>
      </c>
      <c r="F734">
        <v>452</v>
      </c>
      <c r="G734">
        <v>421</v>
      </c>
      <c r="H734">
        <v>0</v>
      </c>
      <c r="I734">
        <f>VLOOKUP(Scores[[#This Row],[MRUN]],Demographics[],3,FALSE)</f>
        <v>6</v>
      </c>
      <c r="J734">
        <f>AVERAGE(Scores[[#This Row],[LYC]],Scores[[#This Row],[MATE]])</f>
        <v>409.5</v>
      </c>
      <c r="K734">
        <f>VLOOKUP(Scores[[#This Row],[MRUN]],Demographics[],6,FALSE)</f>
        <v>4</v>
      </c>
      <c r="L734">
        <f>VLOOKUP(Scores[[#This Row],[MRUN]],Demographics[], 7,FALSE)</f>
        <v>4</v>
      </c>
      <c r="M734">
        <f>VLOOKUP(Scores[[#This Row],[MRUN]],Demographics[], 5, FALSE)</f>
        <v>1</v>
      </c>
    </row>
    <row r="735" spans="1:13" hidden="1" x14ac:dyDescent="0.2">
      <c r="A735" s="1">
        <v>21852588</v>
      </c>
      <c r="B735">
        <v>1</v>
      </c>
      <c r="C735">
        <v>3</v>
      </c>
      <c r="D735">
        <v>496</v>
      </c>
      <c r="E735">
        <v>531</v>
      </c>
      <c r="F735">
        <v>624</v>
      </c>
      <c r="G735">
        <v>0</v>
      </c>
      <c r="H735">
        <v>539</v>
      </c>
      <c r="I735">
        <f>VLOOKUP(Scores[[#This Row],[MRUN]],Demographics[],3,FALSE)</f>
        <v>5</v>
      </c>
      <c r="J735">
        <f>AVERAGE(Scores[[#This Row],[LYC]],Scores[[#This Row],[MATE]])</f>
        <v>577.5</v>
      </c>
      <c r="K735">
        <f>VLOOKUP(Scores[[#This Row],[MRUN]],Demographics[],6,FALSE)</f>
        <v>5</v>
      </c>
      <c r="L735">
        <f>VLOOKUP(Scores[[#This Row],[MRUN]],Demographics[], 7,FALSE)</f>
        <v>4</v>
      </c>
      <c r="M735">
        <f>VLOOKUP(Scores[[#This Row],[MRUN]],Demographics[], 5, FALSE)</f>
        <v>1</v>
      </c>
    </row>
    <row r="736" spans="1:13" hidden="1" x14ac:dyDescent="0.2">
      <c r="A736" s="1">
        <v>19716297</v>
      </c>
      <c r="B736">
        <v>1</v>
      </c>
      <c r="C736">
        <v>3</v>
      </c>
      <c r="D736">
        <v>620</v>
      </c>
      <c r="E736">
        <v>561</v>
      </c>
      <c r="F736">
        <v>666</v>
      </c>
      <c r="G736">
        <v>0</v>
      </c>
      <c r="H736">
        <v>558</v>
      </c>
      <c r="I736">
        <f>VLOOKUP(Scores[[#This Row],[MRUN]],Demographics[],3,FALSE)</f>
        <v>8</v>
      </c>
      <c r="J736">
        <f>AVERAGE(Scores[[#This Row],[LYC]],Scores[[#This Row],[MATE]])</f>
        <v>613.5</v>
      </c>
      <c r="K736">
        <f>VLOOKUP(Scores[[#This Row],[MRUN]],Demographics[],6,FALSE)</f>
        <v>2</v>
      </c>
      <c r="L736">
        <f>VLOOKUP(Scores[[#This Row],[MRUN]],Demographics[], 7,FALSE)</f>
        <v>3</v>
      </c>
      <c r="M736">
        <f>VLOOKUP(Scores[[#This Row],[MRUN]],Demographics[], 5, FALSE)</f>
        <v>1</v>
      </c>
    </row>
    <row r="737" spans="1:13" hidden="1" x14ac:dyDescent="0.2">
      <c r="A737" s="1">
        <v>24955482</v>
      </c>
      <c r="B737">
        <v>1</v>
      </c>
      <c r="C737">
        <v>2</v>
      </c>
      <c r="D737">
        <v>0</v>
      </c>
      <c r="E737">
        <v>203</v>
      </c>
      <c r="F737">
        <v>413</v>
      </c>
      <c r="G737">
        <v>320</v>
      </c>
      <c r="H737">
        <v>0</v>
      </c>
      <c r="I737">
        <f>VLOOKUP(Scores[[#This Row],[MRUN]],Demographics[],3,FALSE)</f>
        <v>0</v>
      </c>
      <c r="J737">
        <f>AVERAGE(Scores[[#This Row],[LYC]],Scores[[#This Row],[MATE]])</f>
        <v>308</v>
      </c>
      <c r="K737">
        <f>VLOOKUP(Scores[[#This Row],[MRUN]],Demographics[],6,FALSE)</f>
        <v>0</v>
      </c>
      <c r="L737">
        <f>VLOOKUP(Scores[[#This Row],[MRUN]],Demographics[], 7,FALSE)</f>
        <v>0</v>
      </c>
      <c r="M737">
        <f>VLOOKUP(Scores[[#This Row],[MRUN]],Demographics[], 5, FALSE)</f>
        <v>1</v>
      </c>
    </row>
    <row r="738" spans="1:13" hidden="1" x14ac:dyDescent="0.2">
      <c r="A738" s="1">
        <v>15875787</v>
      </c>
      <c r="B738">
        <v>1</v>
      </c>
      <c r="C738">
        <v>2</v>
      </c>
      <c r="D738">
        <v>620</v>
      </c>
      <c r="E738">
        <v>557</v>
      </c>
      <c r="F738">
        <v>487</v>
      </c>
      <c r="G738">
        <v>0</v>
      </c>
      <c r="H738">
        <v>534</v>
      </c>
      <c r="I738">
        <f>VLOOKUP(Scores[[#This Row],[MRUN]],Demographics[],3,FALSE)</f>
        <v>4</v>
      </c>
      <c r="J738">
        <f>AVERAGE(Scores[[#This Row],[LYC]],Scores[[#This Row],[MATE]])</f>
        <v>522</v>
      </c>
      <c r="K738">
        <f>VLOOKUP(Scores[[#This Row],[MRUN]],Demographics[],6,FALSE)</f>
        <v>5</v>
      </c>
      <c r="L738">
        <f>VLOOKUP(Scores[[#This Row],[MRUN]],Demographics[], 7,FALSE)</f>
        <v>7</v>
      </c>
      <c r="M738">
        <f>VLOOKUP(Scores[[#This Row],[MRUN]],Demographics[], 5, FALSE)</f>
        <v>1</v>
      </c>
    </row>
    <row r="739" spans="1:13" hidden="1" x14ac:dyDescent="0.2">
      <c r="A739" s="1">
        <v>4863844</v>
      </c>
      <c r="B739">
        <v>1</v>
      </c>
      <c r="C739">
        <v>2</v>
      </c>
      <c r="D739">
        <v>621</v>
      </c>
      <c r="E739">
        <v>476</v>
      </c>
      <c r="F739">
        <v>568</v>
      </c>
      <c r="G739">
        <v>0</v>
      </c>
      <c r="H739">
        <v>553</v>
      </c>
      <c r="I739">
        <f>VLOOKUP(Scores[[#This Row],[MRUN]],Demographics[],3,FALSE)</f>
        <v>3</v>
      </c>
      <c r="J739">
        <f>AVERAGE(Scores[[#This Row],[LYC]],Scores[[#This Row],[MATE]])</f>
        <v>522</v>
      </c>
      <c r="K739">
        <f>VLOOKUP(Scores[[#This Row],[MRUN]],Demographics[],6,FALSE)</f>
        <v>2</v>
      </c>
      <c r="L739">
        <f>VLOOKUP(Scores[[#This Row],[MRUN]],Demographics[], 7,FALSE)</f>
        <v>2</v>
      </c>
      <c r="M739">
        <f>VLOOKUP(Scores[[#This Row],[MRUN]],Demographics[], 5, FALSE)</f>
        <v>1</v>
      </c>
    </row>
    <row r="740" spans="1:13" hidden="1" x14ac:dyDescent="0.2">
      <c r="A740" s="1">
        <v>10637109</v>
      </c>
      <c r="B740">
        <v>1</v>
      </c>
      <c r="C740">
        <v>2</v>
      </c>
      <c r="D740">
        <v>599</v>
      </c>
      <c r="E740">
        <v>438</v>
      </c>
      <c r="F740">
        <v>540</v>
      </c>
      <c r="G740">
        <v>0</v>
      </c>
      <c r="H740">
        <v>539</v>
      </c>
      <c r="I740">
        <f>VLOOKUP(Scores[[#This Row],[MRUN]],Demographics[],3,FALSE)</f>
        <v>5</v>
      </c>
      <c r="J740">
        <f>AVERAGE(Scores[[#This Row],[LYC]],Scores[[#This Row],[MATE]])</f>
        <v>489</v>
      </c>
      <c r="K740">
        <f>VLOOKUP(Scores[[#This Row],[MRUN]],Demographics[],6,FALSE)</f>
        <v>5</v>
      </c>
      <c r="L740">
        <f>VLOOKUP(Scores[[#This Row],[MRUN]],Demographics[], 7,FALSE)</f>
        <v>5</v>
      </c>
      <c r="M740">
        <f>VLOOKUP(Scores[[#This Row],[MRUN]],Demographics[], 5, FALSE)</f>
        <v>2</v>
      </c>
    </row>
    <row r="741" spans="1:13" hidden="1" x14ac:dyDescent="0.2">
      <c r="A741" s="1">
        <v>16410076</v>
      </c>
      <c r="B741">
        <v>1</v>
      </c>
      <c r="C741">
        <v>3</v>
      </c>
      <c r="D741">
        <v>641</v>
      </c>
      <c r="E741">
        <v>547</v>
      </c>
      <c r="F741">
        <v>692</v>
      </c>
      <c r="G741">
        <v>0</v>
      </c>
      <c r="H741">
        <v>647</v>
      </c>
      <c r="I741">
        <f>VLOOKUP(Scores[[#This Row],[MRUN]],Demographics[],3,FALSE)</f>
        <v>2</v>
      </c>
      <c r="J741">
        <f>AVERAGE(Scores[[#This Row],[LYC]],Scores[[#This Row],[MATE]])</f>
        <v>619.5</v>
      </c>
      <c r="K741">
        <f>VLOOKUP(Scores[[#This Row],[MRUN]],Demographics[],6,FALSE)</f>
        <v>0</v>
      </c>
      <c r="L741">
        <f>VLOOKUP(Scores[[#This Row],[MRUN]],Demographics[], 7,FALSE)</f>
        <v>5</v>
      </c>
      <c r="M741">
        <f>VLOOKUP(Scores[[#This Row],[MRUN]],Demographics[], 5, FALSE)</f>
        <v>1</v>
      </c>
    </row>
    <row r="742" spans="1:13" hidden="1" x14ac:dyDescent="0.2">
      <c r="A742" s="1">
        <v>21318280</v>
      </c>
      <c r="B742">
        <v>2</v>
      </c>
      <c r="C742">
        <v>2</v>
      </c>
      <c r="D742">
        <v>496</v>
      </c>
      <c r="E742">
        <v>356</v>
      </c>
      <c r="F742">
        <v>463</v>
      </c>
      <c r="G742">
        <v>428</v>
      </c>
      <c r="H742">
        <v>0</v>
      </c>
      <c r="I742">
        <f>VLOOKUP(Scores[[#This Row],[MRUN]],Demographics[],3,FALSE)</f>
        <v>4</v>
      </c>
      <c r="J742">
        <f>AVERAGE(Scores[[#This Row],[LYC]],Scores[[#This Row],[MATE]])</f>
        <v>409.5</v>
      </c>
      <c r="K742">
        <f>VLOOKUP(Scores[[#This Row],[MRUN]],Demographics[],6,FALSE)</f>
        <v>5</v>
      </c>
      <c r="L742">
        <f>VLOOKUP(Scores[[#This Row],[MRUN]],Demographics[], 7,FALSE)</f>
        <v>2</v>
      </c>
      <c r="M742">
        <f>VLOOKUP(Scores[[#This Row],[MRUN]],Demographics[], 5, FALSE)</f>
        <v>1</v>
      </c>
    </row>
    <row r="743" spans="1:13" hidden="1" x14ac:dyDescent="0.2">
      <c r="A743" s="1">
        <v>2092089</v>
      </c>
      <c r="B743">
        <v>1</v>
      </c>
      <c r="C743">
        <v>3</v>
      </c>
      <c r="D743">
        <v>417</v>
      </c>
      <c r="E743">
        <v>320</v>
      </c>
      <c r="F743">
        <v>472</v>
      </c>
      <c r="G743">
        <v>406</v>
      </c>
      <c r="H743">
        <v>0</v>
      </c>
      <c r="I743">
        <f>VLOOKUP(Scores[[#This Row],[MRUN]],Demographics[],3,FALSE)</f>
        <v>6</v>
      </c>
      <c r="J743">
        <f>AVERAGE(Scores[[#This Row],[LYC]],Scores[[#This Row],[MATE]])</f>
        <v>396</v>
      </c>
      <c r="K743">
        <f>VLOOKUP(Scores[[#This Row],[MRUN]],Demographics[],6,FALSE)</f>
        <v>5</v>
      </c>
      <c r="L743">
        <f>VLOOKUP(Scores[[#This Row],[MRUN]],Demographics[], 7,FALSE)</f>
        <v>4</v>
      </c>
      <c r="M743">
        <f>VLOOKUP(Scores[[#This Row],[MRUN]],Demographics[], 5, FALSE)</f>
        <v>1</v>
      </c>
    </row>
    <row r="744" spans="1:13" hidden="1" x14ac:dyDescent="0.2">
      <c r="A744" s="1">
        <v>10102967</v>
      </c>
      <c r="B744">
        <v>1</v>
      </c>
      <c r="C744">
        <v>2</v>
      </c>
      <c r="D744">
        <v>476</v>
      </c>
      <c r="E744">
        <v>406</v>
      </c>
      <c r="F744">
        <v>494</v>
      </c>
      <c r="G744">
        <v>521</v>
      </c>
      <c r="H744">
        <v>0</v>
      </c>
      <c r="I744">
        <f>VLOOKUP(Scores[[#This Row],[MRUN]],Demographics[],3,FALSE)</f>
        <v>5</v>
      </c>
      <c r="J744">
        <f>AVERAGE(Scores[[#This Row],[LYC]],Scores[[#This Row],[MATE]])</f>
        <v>450</v>
      </c>
      <c r="K744">
        <f>VLOOKUP(Scores[[#This Row],[MRUN]],Demographics[],6,FALSE)</f>
        <v>4</v>
      </c>
      <c r="L744">
        <f>VLOOKUP(Scores[[#This Row],[MRUN]],Demographics[], 7,FALSE)</f>
        <v>3</v>
      </c>
      <c r="M744">
        <f>VLOOKUP(Scores[[#This Row],[MRUN]],Demographics[], 5, FALSE)</f>
        <v>1</v>
      </c>
    </row>
    <row r="745" spans="1:13" hidden="1" x14ac:dyDescent="0.2">
      <c r="A745" s="1">
        <v>23353380</v>
      </c>
      <c r="B745">
        <v>1</v>
      </c>
      <c r="C745">
        <v>2</v>
      </c>
      <c r="D745">
        <v>496</v>
      </c>
      <c r="E745">
        <v>476</v>
      </c>
      <c r="F745">
        <v>549</v>
      </c>
      <c r="G745">
        <v>0</v>
      </c>
      <c r="H745">
        <v>491</v>
      </c>
      <c r="I745">
        <f>VLOOKUP(Scores[[#This Row],[MRUN]],Demographics[],3,FALSE)</f>
        <v>4</v>
      </c>
      <c r="J745">
        <f>AVERAGE(Scores[[#This Row],[LYC]],Scores[[#This Row],[MATE]])</f>
        <v>512.5</v>
      </c>
      <c r="K745">
        <f>VLOOKUP(Scores[[#This Row],[MRUN]],Demographics[],6,FALSE)</f>
        <v>5</v>
      </c>
      <c r="L745">
        <f>VLOOKUP(Scores[[#This Row],[MRUN]],Demographics[], 7,FALSE)</f>
        <v>5</v>
      </c>
      <c r="M745">
        <f>VLOOKUP(Scores[[#This Row],[MRUN]],Demographics[], 5, FALSE)</f>
        <v>1</v>
      </c>
    </row>
    <row r="746" spans="1:13" hidden="1" x14ac:dyDescent="0.2">
      <c r="A746" s="1">
        <v>18546016</v>
      </c>
      <c r="B746">
        <v>2</v>
      </c>
      <c r="C746">
        <v>2</v>
      </c>
      <c r="D746">
        <v>517</v>
      </c>
      <c r="E746">
        <v>458</v>
      </c>
      <c r="F746">
        <v>413</v>
      </c>
      <c r="G746">
        <v>466</v>
      </c>
      <c r="H746">
        <v>0</v>
      </c>
      <c r="I746">
        <f>VLOOKUP(Scores[[#This Row],[MRUN]],Demographics[],3,FALSE)</f>
        <v>4</v>
      </c>
      <c r="J746">
        <f>AVERAGE(Scores[[#This Row],[LYC]],Scores[[#This Row],[MATE]])</f>
        <v>435.5</v>
      </c>
      <c r="K746">
        <f>VLOOKUP(Scores[[#This Row],[MRUN]],Demographics[],6,FALSE)</f>
        <v>4</v>
      </c>
      <c r="L746">
        <f>VLOOKUP(Scores[[#This Row],[MRUN]],Demographics[], 7,FALSE)</f>
        <v>4</v>
      </c>
      <c r="M746">
        <f>VLOOKUP(Scores[[#This Row],[MRUN]],Demographics[], 5, FALSE)</f>
        <v>1</v>
      </c>
    </row>
    <row r="747" spans="1:13" hidden="1" x14ac:dyDescent="0.2">
      <c r="A747" s="1">
        <v>1557926</v>
      </c>
      <c r="B747">
        <v>2</v>
      </c>
      <c r="C747">
        <v>2</v>
      </c>
      <c r="D747">
        <v>702</v>
      </c>
      <c r="E747">
        <v>494</v>
      </c>
      <c r="F747">
        <v>568</v>
      </c>
      <c r="G747">
        <v>521</v>
      </c>
      <c r="H747">
        <v>0</v>
      </c>
      <c r="I747">
        <f>VLOOKUP(Scores[[#This Row],[MRUN]],Demographics[],3,FALSE)</f>
        <v>2</v>
      </c>
      <c r="J747">
        <f>AVERAGE(Scores[[#This Row],[LYC]],Scores[[#This Row],[MATE]])</f>
        <v>531</v>
      </c>
      <c r="K747">
        <f>VLOOKUP(Scores[[#This Row],[MRUN]],Demographics[],6,FALSE)</f>
        <v>2</v>
      </c>
      <c r="L747">
        <f>VLOOKUP(Scores[[#This Row],[MRUN]],Demographics[], 7,FALSE)</f>
        <v>4</v>
      </c>
      <c r="M747">
        <f>VLOOKUP(Scores[[#This Row],[MRUN]],Demographics[], 5, FALSE)</f>
        <v>1</v>
      </c>
    </row>
    <row r="748" spans="1:13" hidden="1" x14ac:dyDescent="0.2">
      <c r="A748" s="1">
        <v>16944233</v>
      </c>
      <c r="B748">
        <v>1</v>
      </c>
      <c r="C748">
        <v>2</v>
      </c>
      <c r="D748">
        <v>476</v>
      </c>
      <c r="E748">
        <v>557</v>
      </c>
      <c r="F748">
        <v>506</v>
      </c>
      <c r="G748">
        <v>0</v>
      </c>
      <c r="H748">
        <v>475</v>
      </c>
      <c r="I748">
        <f>VLOOKUP(Scores[[#This Row],[MRUN]],Demographics[],3,FALSE)</f>
        <v>3</v>
      </c>
      <c r="J748">
        <f>AVERAGE(Scores[[#This Row],[LYC]],Scores[[#This Row],[MATE]])</f>
        <v>531.5</v>
      </c>
      <c r="K748">
        <f>VLOOKUP(Scores[[#This Row],[MRUN]],Demographics[],6,FALSE)</f>
        <v>0</v>
      </c>
      <c r="L748">
        <f>VLOOKUP(Scores[[#This Row],[MRUN]],Demographics[], 7,FALSE)</f>
        <v>4</v>
      </c>
      <c r="M748">
        <f>VLOOKUP(Scores[[#This Row],[MRUN]],Demographics[], 5, FALSE)</f>
        <v>1</v>
      </c>
    </row>
    <row r="749" spans="1:13" hidden="1" x14ac:dyDescent="0.2">
      <c r="A749" s="1">
        <v>9468302</v>
      </c>
      <c r="B749">
        <v>1</v>
      </c>
      <c r="C749">
        <v>3</v>
      </c>
      <c r="D749">
        <v>560</v>
      </c>
      <c r="E749">
        <v>0</v>
      </c>
      <c r="F749">
        <v>0</v>
      </c>
      <c r="G749">
        <v>0</v>
      </c>
      <c r="H749">
        <v>0</v>
      </c>
      <c r="I749">
        <f>VLOOKUP(Scores[[#This Row],[MRUN]],Demographics[],3,FALSE)</f>
        <v>0</v>
      </c>
      <c r="J749">
        <f>AVERAGE(Scores[[#This Row],[LYC]],Scores[[#This Row],[MATE]])</f>
        <v>0</v>
      </c>
      <c r="K749">
        <f>VLOOKUP(Scores[[#This Row],[MRUN]],Demographics[],6,FALSE)</f>
        <v>0</v>
      </c>
      <c r="L749">
        <f>VLOOKUP(Scores[[#This Row],[MRUN]],Demographics[], 7,FALSE)</f>
        <v>0</v>
      </c>
      <c r="M749">
        <f>VLOOKUP(Scores[[#This Row],[MRUN]],Demographics[], 5, FALSE)</f>
        <v>1</v>
      </c>
    </row>
    <row r="750" spans="1:13" hidden="1" x14ac:dyDescent="0.2">
      <c r="A750" s="1">
        <v>17911859</v>
      </c>
      <c r="B750">
        <v>2</v>
      </c>
      <c r="C750">
        <v>3</v>
      </c>
      <c r="D750">
        <v>0</v>
      </c>
      <c r="E750">
        <v>0</v>
      </c>
      <c r="F750">
        <v>0</v>
      </c>
      <c r="G750">
        <v>0</v>
      </c>
      <c r="H750">
        <v>0</v>
      </c>
      <c r="I750">
        <f>VLOOKUP(Scores[[#This Row],[MRUN]],Demographics[],3,FALSE)</f>
        <v>4</v>
      </c>
      <c r="J750">
        <f>AVERAGE(Scores[[#This Row],[LYC]],Scores[[#This Row],[MATE]])</f>
        <v>0</v>
      </c>
      <c r="K750">
        <f>VLOOKUP(Scores[[#This Row],[MRUN]],Demographics[],6,FALSE)</f>
        <v>1</v>
      </c>
      <c r="L750">
        <f>VLOOKUP(Scores[[#This Row],[MRUN]],Demographics[], 7,FALSE)</f>
        <v>3</v>
      </c>
      <c r="M750">
        <f>VLOOKUP(Scores[[#This Row],[MRUN]],Demographics[], 5, FALSE)</f>
        <v>1</v>
      </c>
    </row>
    <row r="751" spans="1:13" hidden="1" x14ac:dyDescent="0.2">
      <c r="A751" s="1">
        <v>15977046</v>
      </c>
      <c r="B751">
        <v>1</v>
      </c>
      <c r="C751">
        <v>3</v>
      </c>
      <c r="D751">
        <v>0</v>
      </c>
      <c r="E751">
        <v>0</v>
      </c>
      <c r="F751">
        <v>0</v>
      </c>
      <c r="G751">
        <v>0</v>
      </c>
      <c r="H751">
        <v>0</v>
      </c>
      <c r="I751">
        <f>VLOOKUP(Scores[[#This Row],[MRUN]],Demographics[],3,FALSE)</f>
        <v>4</v>
      </c>
      <c r="J751">
        <f>AVERAGE(Scores[[#This Row],[LYC]],Scores[[#This Row],[MATE]])</f>
        <v>0</v>
      </c>
      <c r="K751">
        <f>VLOOKUP(Scores[[#This Row],[MRUN]],Demographics[],6,FALSE)</f>
        <v>3</v>
      </c>
      <c r="L751">
        <f>VLOOKUP(Scores[[#This Row],[MRUN]],Demographics[], 7,FALSE)</f>
        <v>2</v>
      </c>
      <c r="M751">
        <f>VLOOKUP(Scores[[#This Row],[MRUN]],Demographics[], 5, FALSE)</f>
        <v>1</v>
      </c>
    </row>
    <row r="752" spans="1:13" hidden="1" x14ac:dyDescent="0.2">
      <c r="A752" s="1">
        <v>2727858</v>
      </c>
      <c r="B752">
        <v>1</v>
      </c>
      <c r="C752">
        <v>3</v>
      </c>
      <c r="D752">
        <v>455</v>
      </c>
      <c r="E752">
        <v>0</v>
      </c>
      <c r="F752">
        <v>0</v>
      </c>
      <c r="G752">
        <v>0</v>
      </c>
      <c r="H752">
        <v>0</v>
      </c>
      <c r="I752">
        <f>VLOOKUP(Scores[[#This Row],[MRUN]],Demographics[],3,FALSE)</f>
        <v>5</v>
      </c>
      <c r="J752">
        <f>AVERAGE(Scores[[#This Row],[LYC]],Scores[[#This Row],[MATE]])</f>
        <v>0</v>
      </c>
      <c r="K752">
        <f>VLOOKUP(Scores[[#This Row],[MRUN]],Demographics[],6,FALSE)</f>
        <v>0</v>
      </c>
      <c r="L752">
        <f>VLOOKUP(Scores[[#This Row],[MRUN]],Demographics[], 7,FALSE)</f>
        <v>5</v>
      </c>
      <c r="M752">
        <f>VLOOKUP(Scores[[#This Row],[MRUN]],Demographics[], 5, FALSE)</f>
        <v>1</v>
      </c>
    </row>
    <row r="753" spans="1:13" hidden="1" x14ac:dyDescent="0.2">
      <c r="A753" s="1">
        <v>3262196</v>
      </c>
      <c r="B753">
        <v>2</v>
      </c>
      <c r="C753">
        <v>4</v>
      </c>
      <c r="D753">
        <v>496</v>
      </c>
      <c r="E753">
        <v>602</v>
      </c>
      <c r="F753">
        <v>585</v>
      </c>
      <c r="G753">
        <v>597</v>
      </c>
      <c r="H753">
        <v>0</v>
      </c>
      <c r="I753">
        <f>VLOOKUP(Scores[[#This Row],[MRUN]],Demographics[],3,FALSE)</f>
        <v>4</v>
      </c>
      <c r="J753">
        <f>AVERAGE(Scores[[#This Row],[LYC]],Scores[[#This Row],[MATE]])</f>
        <v>593.5</v>
      </c>
      <c r="K753">
        <f>VLOOKUP(Scores[[#This Row],[MRUN]],Demographics[],6,FALSE)</f>
        <v>8</v>
      </c>
      <c r="L753">
        <f>VLOOKUP(Scores[[#This Row],[MRUN]],Demographics[], 7,FALSE)</f>
        <v>9</v>
      </c>
      <c r="M753">
        <f>VLOOKUP(Scores[[#This Row],[MRUN]],Demographics[], 5, FALSE)</f>
        <v>2</v>
      </c>
    </row>
    <row r="754" spans="1:13" hidden="1" x14ac:dyDescent="0.2">
      <c r="A754" s="1">
        <v>1125017</v>
      </c>
      <c r="B754">
        <v>1</v>
      </c>
      <c r="C754">
        <v>3</v>
      </c>
      <c r="D754">
        <v>579</v>
      </c>
      <c r="E754">
        <v>557</v>
      </c>
      <c r="F754">
        <v>692</v>
      </c>
      <c r="G754">
        <v>0</v>
      </c>
      <c r="H754">
        <v>598</v>
      </c>
      <c r="I754">
        <f>VLOOKUP(Scores[[#This Row],[MRUN]],Demographics[],3,FALSE)</f>
        <v>4</v>
      </c>
      <c r="J754">
        <f>AVERAGE(Scores[[#This Row],[LYC]],Scores[[#This Row],[MATE]])</f>
        <v>624.5</v>
      </c>
      <c r="K754">
        <f>VLOOKUP(Scores[[#This Row],[MRUN]],Demographics[],6,FALSE)</f>
        <v>5</v>
      </c>
      <c r="L754">
        <f>VLOOKUP(Scores[[#This Row],[MRUN]],Demographics[], 7,FALSE)</f>
        <v>8</v>
      </c>
      <c r="M754">
        <f>VLOOKUP(Scores[[#This Row],[MRUN]],Demographics[], 5, FALSE)</f>
        <v>2</v>
      </c>
    </row>
    <row r="755" spans="1:13" hidden="1" x14ac:dyDescent="0.2">
      <c r="A755" s="1">
        <v>21852589</v>
      </c>
      <c r="B755">
        <v>2</v>
      </c>
      <c r="C755">
        <v>2</v>
      </c>
      <c r="D755">
        <v>373</v>
      </c>
      <c r="E755">
        <v>0</v>
      </c>
      <c r="F755">
        <v>0</v>
      </c>
      <c r="G755">
        <v>0</v>
      </c>
      <c r="H755">
        <v>0</v>
      </c>
      <c r="I755">
        <f>VLOOKUP(Scores[[#This Row],[MRUN]],Demographics[],3,FALSE)</f>
        <v>2</v>
      </c>
      <c r="J755">
        <f>AVERAGE(Scores[[#This Row],[LYC]],Scores[[#This Row],[MATE]])</f>
        <v>0</v>
      </c>
      <c r="K755">
        <f>VLOOKUP(Scores[[#This Row],[MRUN]],Demographics[],6,FALSE)</f>
        <v>4</v>
      </c>
      <c r="L755">
        <f>VLOOKUP(Scores[[#This Row],[MRUN]],Demographics[], 7,FALSE)</f>
        <v>7</v>
      </c>
      <c r="M755">
        <f>VLOOKUP(Scores[[#This Row],[MRUN]],Demographics[], 5, FALSE)</f>
        <v>1</v>
      </c>
    </row>
    <row r="756" spans="1:13" x14ac:dyDescent="0.2">
      <c r="A756" s="1">
        <v>8934102</v>
      </c>
      <c r="B756">
        <v>1</v>
      </c>
      <c r="C756">
        <v>3</v>
      </c>
      <c r="D756">
        <v>641</v>
      </c>
      <c r="E756">
        <v>717</v>
      </c>
      <c r="F756">
        <v>828</v>
      </c>
      <c r="G756">
        <v>0</v>
      </c>
      <c r="H756">
        <v>686</v>
      </c>
      <c r="I756">
        <f>VLOOKUP(Scores[[#This Row],[MRUN]],Demographics[],3,FALSE)</f>
        <v>4</v>
      </c>
      <c r="J756">
        <f>AVERAGE(Scores[[#This Row],[LYC]],Scores[[#This Row],[MATE]])</f>
        <v>772.5</v>
      </c>
      <c r="K756">
        <f>VLOOKUP(Scores[[#This Row],[MRUN]],Demographics[],6,FALSE)</f>
        <v>0</v>
      </c>
      <c r="L756">
        <f>VLOOKUP(Scores[[#This Row],[MRUN]],Demographics[], 7,FALSE)</f>
        <v>0</v>
      </c>
      <c r="M756">
        <f>VLOOKUP(Scores[[#This Row],[MRUN]],Demographics[], 5, FALSE)</f>
        <v>1</v>
      </c>
    </row>
    <row r="757" spans="1:13" hidden="1" x14ac:dyDescent="0.2">
      <c r="A757" s="1">
        <v>23887247</v>
      </c>
      <c r="B757">
        <v>2</v>
      </c>
      <c r="C757">
        <v>2</v>
      </c>
      <c r="D757">
        <v>599</v>
      </c>
      <c r="E757">
        <v>444</v>
      </c>
      <c r="F757">
        <v>540</v>
      </c>
      <c r="G757">
        <v>0</v>
      </c>
      <c r="H757">
        <v>516</v>
      </c>
      <c r="I757">
        <f>VLOOKUP(Scores[[#This Row],[MRUN]],Demographics[],3,FALSE)</f>
        <v>5</v>
      </c>
      <c r="J757">
        <f>AVERAGE(Scores[[#This Row],[LYC]],Scores[[#This Row],[MATE]])</f>
        <v>492</v>
      </c>
      <c r="K757">
        <f>VLOOKUP(Scores[[#This Row],[MRUN]],Demographics[],6,FALSE)</f>
        <v>5</v>
      </c>
      <c r="L757">
        <f>VLOOKUP(Scores[[#This Row],[MRUN]],Demographics[], 7,FALSE)</f>
        <v>4</v>
      </c>
      <c r="M757">
        <f>VLOOKUP(Scores[[#This Row],[MRUN]],Demographics[], 5, FALSE)</f>
        <v>1</v>
      </c>
    </row>
    <row r="758" spans="1:13" hidden="1" x14ac:dyDescent="0.2">
      <c r="A758" s="1">
        <v>11604494</v>
      </c>
      <c r="B758">
        <v>1</v>
      </c>
      <c r="C758">
        <v>3</v>
      </c>
      <c r="D758">
        <v>641</v>
      </c>
      <c r="E758">
        <v>516</v>
      </c>
      <c r="F758">
        <v>600</v>
      </c>
      <c r="G758">
        <v>0</v>
      </c>
      <c r="H758">
        <v>0</v>
      </c>
      <c r="I758">
        <f>VLOOKUP(Scores[[#This Row],[MRUN]],Demographics[],3,FALSE)</f>
        <v>5</v>
      </c>
      <c r="J758">
        <f>AVERAGE(Scores[[#This Row],[LYC]],Scores[[#This Row],[MATE]])</f>
        <v>558</v>
      </c>
      <c r="K758">
        <f>VLOOKUP(Scores[[#This Row],[MRUN]],Demographics[],6,FALSE)</f>
        <v>7</v>
      </c>
      <c r="L758">
        <f>VLOOKUP(Scores[[#This Row],[MRUN]],Demographics[], 7,FALSE)</f>
        <v>5</v>
      </c>
      <c r="M758">
        <f>VLOOKUP(Scores[[#This Row],[MRUN]],Demographics[], 5, FALSE)</f>
        <v>1</v>
      </c>
    </row>
    <row r="759" spans="1:13" hidden="1" x14ac:dyDescent="0.2">
      <c r="A759" s="1">
        <v>9035183</v>
      </c>
      <c r="B759">
        <v>2</v>
      </c>
      <c r="C759">
        <v>2</v>
      </c>
      <c r="D759">
        <v>579</v>
      </c>
      <c r="E759">
        <v>526</v>
      </c>
      <c r="F759">
        <v>501</v>
      </c>
      <c r="G759">
        <v>0</v>
      </c>
      <c r="H759">
        <v>567</v>
      </c>
      <c r="I759">
        <f>VLOOKUP(Scores[[#This Row],[MRUN]],Demographics[],3,FALSE)</f>
        <v>5</v>
      </c>
      <c r="J759">
        <f>AVERAGE(Scores[[#This Row],[LYC]],Scores[[#This Row],[MATE]])</f>
        <v>513.5</v>
      </c>
      <c r="K759">
        <f>VLOOKUP(Scores[[#This Row],[MRUN]],Demographics[],6,FALSE)</f>
        <v>5</v>
      </c>
      <c r="L759">
        <f>VLOOKUP(Scores[[#This Row],[MRUN]],Demographics[], 7,FALSE)</f>
        <v>5</v>
      </c>
      <c r="M759">
        <f>VLOOKUP(Scores[[#This Row],[MRUN]],Demographics[], 5, FALSE)</f>
        <v>1</v>
      </c>
    </row>
    <row r="760" spans="1:13" hidden="1" x14ac:dyDescent="0.2">
      <c r="A760" s="1">
        <v>5296953</v>
      </c>
      <c r="B760">
        <v>2</v>
      </c>
      <c r="C760">
        <v>3</v>
      </c>
      <c r="D760">
        <v>702</v>
      </c>
      <c r="E760">
        <v>661</v>
      </c>
      <c r="F760">
        <v>560</v>
      </c>
      <c r="G760">
        <v>670</v>
      </c>
      <c r="H760">
        <v>0</v>
      </c>
      <c r="I760">
        <f>VLOOKUP(Scores[[#This Row],[MRUN]],Demographics[],3,FALSE)</f>
        <v>4</v>
      </c>
      <c r="J760">
        <f>AVERAGE(Scores[[#This Row],[LYC]],Scores[[#This Row],[MATE]])</f>
        <v>610.5</v>
      </c>
      <c r="K760">
        <f>VLOOKUP(Scores[[#This Row],[MRUN]],Demographics[],6,FALSE)</f>
        <v>5</v>
      </c>
      <c r="L760">
        <f>VLOOKUP(Scores[[#This Row],[MRUN]],Demographics[], 7,FALSE)</f>
        <v>7</v>
      </c>
      <c r="M760">
        <f>VLOOKUP(Scores[[#This Row],[MRUN]],Demographics[], 5, FALSE)</f>
        <v>2</v>
      </c>
    </row>
    <row r="761" spans="1:13" hidden="1" x14ac:dyDescent="0.2">
      <c r="A761" s="1">
        <v>4762432</v>
      </c>
      <c r="B761">
        <v>2</v>
      </c>
      <c r="C761">
        <v>2</v>
      </c>
      <c r="D761">
        <v>620</v>
      </c>
      <c r="E761">
        <v>499</v>
      </c>
      <c r="F761">
        <v>494</v>
      </c>
      <c r="G761">
        <v>527</v>
      </c>
      <c r="H761">
        <v>0</v>
      </c>
      <c r="I761">
        <f>VLOOKUP(Scores[[#This Row],[MRUN]],Demographics[],3,FALSE)</f>
        <v>3</v>
      </c>
      <c r="J761">
        <f>AVERAGE(Scores[[#This Row],[LYC]],Scores[[#This Row],[MATE]])</f>
        <v>496.5</v>
      </c>
      <c r="K761">
        <f>VLOOKUP(Scores[[#This Row],[MRUN]],Demographics[],6,FALSE)</f>
        <v>4</v>
      </c>
      <c r="L761">
        <f>VLOOKUP(Scores[[#This Row],[MRUN]],Demographics[], 7,FALSE)</f>
        <v>4</v>
      </c>
      <c r="M761">
        <f>VLOOKUP(Scores[[#This Row],[MRUN]],Demographics[], 5, FALSE)</f>
        <v>1</v>
      </c>
    </row>
    <row r="762" spans="1:13" hidden="1" x14ac:dyDescent="0.2">
      <c r="A762" s="1">
        <v>2092090</v>
      </c>
      <c r="B762">
        <v>1</v>
      </c>
      <c r="C762">
        <v>2</v>
      </c>
      <c r="D762">
        <v>558</v>
      </c>
      <c r="E762">
        <v>415</v>
      </c>
      <c r="F762">
        <v>441</v>
      </c>
      <c r="G762">
        <v>0</v>
      </c>
      <c r="H762">
        <v>468</v>
      </c>
      <c r="I762">
        <f>VLOOKUP(Scores[[#This Row],[MRUN]],Demographics[],3,FALSE)</f>
        <v>4</v>
      </c>
      <c r="J762">
        <f>AVERAGE(Scores[[#This Row],[LYC]],Scores[[#This Row],[MATE]])</f>
        <v>428</v>
      </c>
      <c r="K762">
        <f>VLOOKUP(Scores[[#This Row],[MRUN]],Demographics[],6,FALSE)</f>
        <v>5</v>
      </c>
      <c r="L762">
        <f>VLOOKUP(Scores[[#This Row],[MRUN]],Demographics[], 7,FALSE)</f>
        <v>5</v>
      </c>
      <c r="M762">
        <f>VLOOKUP(Scores[[#This Row],[MRUN]],Demographics[], 5, FALSE)</f>
        <v>1</v>
      </c>
    </row>
    <row r="763" spans="1:13" hidden="1" x14ac:dyDescent="0.2">
      <c r="A763" s="1">
        <v>7865847</v>
      </c>
      <c r="B763">
        <v>2</v>
      </c>
      <c r="C763">
        <v>2</v>
      </c>
      <c r="D763">
        <v>539</v>
      </c>
      <c r="E763">
        <v>510</v>
      </c>
      <c r="F763">
        <v>512</v>
      </c>
      <c r="G763">
        <v>490</v>
      </c>
      <c r="H763">
        <v>0</v>
      </c>
      <c r="I763">
        <f>VLOOKUP(Scores[[#This Row],[MRUN]],Demographics[],3,FALSE)</f>
        <v>3</v>
      </c>
      <c r="J763">
        <f>AVERAGE(Scores[[#This Row],[LYC]],Scores[[#This Row],[MATE]])</f>
        <v>511</v>
      </c>
      <c r="K763">
        <f>VLOOKUP(Scores[[#This Row],[MRUN]],Demographics[],6,FALSE)</f>
        <v>5</v>
      </c>
      <c r="L763">
        <f>VLOOKUP(Scores[[#This Row],[MRUN]],Demographics[], 7,FALSE)</f>
        <v>2</v>
      </c>
      <c r="M763">
        <f>VLOOKUP(Scores[[#This Row],[MRUN]],Demographics[], 5, FALSE)</f>
        <v>1</v>
      </c>
    </row>
    <row r="764" spans="1:13" hidden="1" x14ac:dyDescent="0.2">
      <c r="A764" s="1">
        <v>19514290</v>
      </c>
      <c r="B764">
        <v>2</v>
      </c>
      <c r="C764">
        <v>3</v>
      </c>
      <c r="D764">
        <v>437</v>
      </c>
      <c r="E764">
        <v>0</v>
      </c>
      <c r="F764">
        <v>0</v>
      </c>
      <c r="G764">
        <v>0</v>
      </c>
      <c r="H764">
        <v>0</v>
      </c>
      <c r="I764">
        <f>VLOOKUP(Scores[[#This Row],[MRUN]],Demographics[],3,FALSE)</f>
        <v>3</v>
      </c>
      <c r="J764">
        <f>AVERAGE(Scores[[#This Row],[LYC]],Scores[[#This Row],[MATE]])</f>
        <v>0</v>
      </c>
      <c r="K764">
        <f>VLOOKUP(Scores[[#This Row],[MRUN]],Demographics[],6,FALSE)</f>
        <v>2</v>
      </c>
      <c r="L764">
        <f>VLOOKUP(Scores[[#This Row],[MRUN]],Demographics[], 7,FALSE)</f>
        <v>2</v>
      </c>
      <c r="M764">
        <f>VLOOKUP(Scores[[#This Row],[MRUN]],Demographics[], 5, FALSE)</f>
        <v>1</v>
      </c>
    </row>
    <row r="765" spans="1:13" hidden="1" x14ac:dyDescent="0.2">
      <c r="A765" s="1">
        <v>24320525</v>
      </c>
      <c r="B765">
        <v>1</v>
      </c>
      <c r="C765">
        <v>2</v>
      </c>
      <c r="D765">
        <v>539</v>
      </c>
      <c r="E765">
        <v>388</v>
      </c>
      <c r="F765">
        <v>472</v>
      </c>
      <c r="G765">
        <v>397</v>
      </c>
      <c r="H765">
        <v>0</v>
      </c>
      <c r="I765">
        <f>VLOOKUP(Scores[[#This Row],[MRUN]],Demographics[],3,FALSE)</f>
        <v>6</v>
      </c>
      <c r="J765">
        <f>AVERAGE(Scores[[#This Row],[LYC]],Scores[[#This Row],[MATE]])</f>
        <v>430</v>
      </c>
      <c r="K765">
        <f>VLOOKUP(Scores[[#This Row],[MRUN]],Demographics[],6,FALSE)</f>
        <v>2</v>
      </c>
      <c r="L765">
        <f>VLOOKUP(Scores[[#This Row],[MRUN]],Demographics[], 7,FALSE)</f>
        <v>2</v>
      </c>
      <c r="M765">
        <f>VLOOKUP(Scores[[#This Row],[MRUN]],Demographics[], 5, FALSE)</f>
        <v>1</v>
      </c>
    </row>
    <row r="766" spans="1:13" hidden="1" x14ac:dyDescent="0.2">
      <c r="A766" s="1">
        <v>1557927</v>
      </c>
      <c r="B766">
        <v>1</v>
      </c>
      <c r="C766">
        <v>3</v>
      </c>
      <c r="D766">
        <v>435</v>
      </c>
      <c r="E766">
        <v>668</v>
      </c>
      <c r="F766">
        <v>549</v>
      </c>
      <c r="G766">
        <v>639</v>
      </c>
      <c r="H766">
        <v>0</v>
      </c>
      <c r="I766">
        <f>VLOOKUP(Scores[[#This Row],[MRUN]],Demographics[],3,FALSE)</f>
        <v>5</v>
      </c>
      <c r="J766">
        <f>AVERAGE(Scores[[#This Row],[LYC]],Scores[[#This Row],[MATE]])</f>
        <v>608.5</v>
      </c>
      <c r="K766">
        <f>VLOOKUP(Scores[[#This Row],[MRUN]],Demographics[],6,FALSE)</f>
        <v>5</v>
      </c>
      <c r="L766">
        <f>VLOOKUP(Scores[[#This Row],[MRUN]],Demographics[], 7,FALSE)</f>
        <v>5</v>
      </c>
      <c r="M766">
        <f>VLOOKUP(Scores[[#This Row],[MRUN]],Demographics[], 5, FALSE)</f>
        <v>2</v>
      </c>
    </row>
    <row r="767" spans="1:13" hidden="1" x14ac:dyDescent="0.2">
      <c r="A767" s="1">
        <v>23252721</v>
      </c>
      <c r="B767">
        <v>2</v>
      </c>
      <c r="C767">
        <v>2</v>
      </c>
      <c r="D767">
        <v>517</v>
      </c>
      <c r="E767">
        <v>458</v>
      </c>
      <c r="F767">
        <v>441</v>
      </c>
      <c r="G767">
        <v>484</v>
      </c>
      <c r="H767">
        <v>0</v>
      </c>
      <c r="I767">
        <f>VLOOKUP(Scores[[#This Row],[MRUN]],Demographics[],3,FALSE)</f>
        <v>3</v>
      </c>
      <c r="J767">
        <f>AVERAGE(Scores[[#This Row],[LYC]],Scores[[#This Row],[MATE]])</f>
        <v>449.5</v>
      </c>
      <c r="K767">
        <f>VLOOKUP(Scores[[#This Row],[MRUN]],Demographics[],6,FALSE)</f>
        <v>4</v>
      </c>
      <c r="L767">
        <f>VLOOKUP(Scores[[#This Row],[MRUN]],Demographics[], 7,FALSE)</f>
        <v>2</v>
      </c>
      <c r="M767">
        <f>VLOOKUP(Scores[[#This Row],[MRUN]],Demographics[], 5, FALSE)</f>
        <v>1</v>
      </c>
    </row>
    <row r="768" spans="1:13" hidden="1" x14ac:dyDescent="0.2">
      <c r="A768" s="1">
        <v>13206066</v>
      </c>
      <c r="B768">
        <v>1</v>
      </c>
      <c r="C768">
        <v>2</v>
      </c>
      <c r="D768">
        <v>417</v>
      </c>
      <c r="E768">
        <v>0</v>
      </c>
      <c r="F768">
        <v>0</v>
      </c>
      <c r="G768">
        <v>0</v>
      </c>
      <c r="H768">
        <v>0</v>
      </c>
      <c r="I768">
        <f>VLOOKUP(Scores[[#This Row],[MRUN]],Demographics[],3,FALSE)</f>
        <v>5</v>
      </c>
      <c r="J768">
        <f>AVERAGE(Scores[[#This Row],[LYC]],Scores[[#This Row],[MATE]])</f>
        <v>0</v>
      </c>
      <c r="K768">
        <f>VLOOKUP(Scores[[#This Row],[MRUN]],Demographics[],6,FALSE)</f>
        <v>4</v>
      </c>
      <c r="L768">
        <f>VLOOKUP(Scores[[#This Row],[MRUN]],Demographics[], 7,FALSE)</f>
        <v>2</v>
      </c>
      <c r="M768">
        <f>VLOOKUP(Scores[[#This Row],[MRUN]],Demographics[], 5, FALSE)</f>
        <v>1</v>
      </c>
    </row>
    <row r="769" spans="1:13" hidden="1" x14ac:dyDescent="0.2">
      <c r="A769" s="1">
        <v>3160919</v>
      </c>
      <c r="B769">
        <v>1</v>
      </c>
      <c r="C769">
        <v>2</v>
      </c>
      <c r="D769">
        <v>641</v>
      </c>
      <c r="E769">
        <v>531</v>
      </c>
      <c r="F769">
        <v>501</v>
      </c>
      <c r="G769">
        <v>582</v>
      </c>
      <c r="H769">
        <v>0</v>
      </c>
      <c r="I769">
        <f>VLOOKUP(Scores[[#This Row],[MRUN]],Demographics[],3,FALSE)</f>
        <v>5</v>
      </c>
      <c r="J769">
        <f>AVERAGE(Scores[[#This Row],[LYC]],Scores[[#This Row],[MATE]])</f>
        <v>516</v>
      </c>
      <c r="K769">
        <f>VLOOKUP(Scores[[#This Row],[MRUN]],Demographics[],6,FALSE)</f>
        <v>3</v>
      </c>
      <c r="L769">
        <f>VLOOKUP(Scores[[#This Row],[MRUN]],Demographics[], 7,FALSE)</f>
        <v>3</v>
      </c>
      <c r="M769">
        <f>VLOOKUP(Scores[[#This Row],[MRUN]],Demographics[], 5, FALSE)</f>
        <v>1</v>
      </c>
    </row>
    <row r="770" spans="1:13" hidden="1" x14ac:dyDescent="0.2">
      <c r="A770" s="1">
        <v>10001898</v>
      </c>
      <c r="B770">
        <v>2</v>
      </c>
      <c r="C770">
        <v>2</v>
      </c>
      <c r="D770">
        <v>641</v>
      </c>
      <c r="E770">
        <v>531</v>
      </c>
      <c r="F770">
        <v>428</v>
      </c>
      <c r="G770">
        <v>527</v>
      </c>
      <c r="H770">
        <v>0</v>
      </c>
      <c r="I770">
        <f>VLOOKUP(Scores[[#This Row],[MRUN]],Demographics[],3,FALSE)</f>
        <v>5</v>
      </c>
      <c r="J770">
        <f>AVERAGE(Scores[[#This Row],[LYC]],Scores[[#This Row],[MATE]])</f>
        <v>479.5</v>
      </c>
      <c r="K770">
        <f>VLOOKUP(Scores[[#This Row],[MRUN]],Demographics[],6,FALSE)</f>
        <v>8</v>
      </c>
      <c r="L770">
        <f>VLOOKUP(Scores[[#This Row],[MRUN]],Demographics[], 7,FALSE)</f>
        <v>5</v>
      </c>
      <c r="M770">
        <f>VLOOKUP(Scores[[#This Row],[MRUN]],Demographics[], 5, FALSE)</f>
        <v>1</v>
      </c>
    </row>
    <row r="771" spans="1:13" hidden="1" x14ac:dyDescent="0.2">
      <c r="A771" s="1">
        <v>10535958</v>
      </c>
      <c r="B771">
        <v>1</v>
      </c>
      <c r="C771">
        <v>2</v>
      </c>
      <c r="D771">
        <v>376</v>
      </c>
      <c r="E771">
        <v>0</v>
      </c>
      <c r="F771">
        <v>0</v>
      </c>
      <c r="G771">
        <v>0</v>
      </c>
      <c r="H771">
        <v>0</v>
      </c>
      <c r="I771">
        <f>VLOOKUP(Scores[[#This Row],[MRUN]],Demographics[],3,FALSE)</f>
        <v>5</v>
      </c>
      <c r="J771">
        <f>AVERAGE(Scores[[#This Row],[LYC]],Scores[[#This Row],[MATE]])</f>
        <v>0</v>
      </c>
      <c r="K771">
        <f>VLOOKUP(Scores[[#This Row],[MRUN]],Demographics[],6,FALSE)</f>
        <v>5</v>
      </c>
      <c r="L771">
        <f>VLOOKUP(Scores[[#This Row],[MRUN]],Demographics[], 7,FALSE)</f>
        <v>4</v>
      </c>
      <c r="M771">
        <f>VLOOKUP(Scores[[#This Row],[MRUN]],Demographics[], 5, FALSE)</f>
        <v>1</v>
      </c>
    </row>
    <row r="772" spans="1:13" hidden="1" x14ac:dyDescent="0.2">
      <c r="A772" s="1">
        <v>13740222</v>
      </c>
      <c r="B772">
        <v>2</v>
      </c>
      <c r="C772">
        <v>3</v>
      </c>
      <c r="D772">
        <v>397</v>
      </c>
      <c r="E772">
        <v>0</v>
      </c>
      <c r="F772">
        <v>0</v>
      </c>
      <c r="G772">
        <v>0</v>
      </c>
      <c r="H772">
        <v>0</v>
      </c>
      <c r="I772">
        <f>VLOOKUP(Scores[[#This Row],[MRUN]],Demographics[],3,FALSE)</f>
        <v>5</v>
      </c>
      <c r="J772">
        <f>AVERAGE(Scores[[#This Row],[LYC]],Scores[[#This Row],[MATE]])</f>
        <v>0</v>
      </c>
      <c r="K772">
        <f>VLOOKUP(Scores[[#This Row],[MRUN]],Demographics[],6,FALSE)</f>
        <v>5</v>
      </c>
      <c r="L772">
        <f>VLOOKUP(Scores[[#This Row],[MRUN]],Demographics[], 7,FALSE)</f>
        <v>5</v>
      </c>
      <c r="M772">
        <f>VLOOKUP(Scores[[#This Row],[MRUN]],Demographics[], 5, FALSE)</f>
        <v>1</v>
      </c>
    </row>
    <row r="773" spans="1:13" hidden="1" x14ac:dyDescent="0.2">
      <c r="A773" s="1">
        <v>590990</v>
      </c>
      <c r="B773">
        <v>2</v>
      </c>
      <c r="C773">
        <v>2</v>
      </c>
      <c r="D773">
        <v>682</v>
      </c>
      <c r="E773">
        <v>422</v>
      </c>
      <c r="F773">
        <v>536</v>
      </c>
      <c r="G773">
        <v>495</v>
      </c>
      <c r="H773">
        <v>0</v>
      </c>
      <c r="I773">
        <f>VLOOKUP(Scores[[#This Row],[MRUN]],Demographics[],3,FALSE)</f>
        <v>3</v>
      </c>
      <c r="J773">
        <f>AVERAGE(Scores[[#This Row],[LYC]],Scores[[#This Row],[MATE]])</f>
        <v>479</v>
      </c>
      <c r="K773">
        <f>VLOOKUP(Scores[[#This Row],[MRUN]],Demographics[],6,FALSE)</f>
        <v>4</v>
      </c>
      <c r="L773">
        <f>VLOOKUP(Scores[[#This Row],[MRUN]],Demographics[], 7,FALSE)</f>
        <v>3</v>
      </c>
      <c r="M773">
        <f>VLOOKUP(Scores[[#This Row],[MRUN]],Demographics[], 5, FALSE)</f>
        <v>1</v>
      </c>
    </row>
    <row r="774" spans="1:13" hidden="1" x14ac:dyDescent="0.2">
      <c r="A774" s="1">
        <v>24522325</v>
      </c>
      <c r="B774">
        <v>2</v>
      </c>
      <c r="C774">
        <v>2</v>
      </c>
      <c r="D774">
        <v>661</v>
      </c>
      <c r="E774">
        <v>537</v>
      </c>
      <c r="F774">
        <v>582</v>
      </c>
      <c r="G774">
        <v>0</v>
      </c>
      <c r="H774">
        <v>539</v>
      </c>
      <c r="I774">
        <f>VLOOKUP(Scores[[#This Row],[MRUN]],Demographics[],3,FALSE)</f>
        <v>4</v>
      </c>
      <c r="J774">
        <f>AVERAGE(Scores[[#This Row],[LYC]],Scores[[#This Row],[MATE]])</f>
        <v>559.5</v>
      </c>
      <c r="K774">
        <f>VLOOKUP(Scores[[#This Row],[MRUN]],Demographics[],6,FALSE)</f>
        <v>9</v>
      </c>
      <c r="L774">
        <f>VLOOKUP(Scores[[#This Row],[MRUN]],Demographics[], 7,FALSE)</f>
        <v>4</v>
      </c>
      <c r="M774">
        <f>VLOOKUP(Scores[[#This Row],[MRUN]],Demographics[], 5, FALSE)</f>
        <v>2</v>
      </c>
    </row>
    <row r="775" spans="1:13" hidden="1" x14ac:dyDescent="0.2">
      <c r="A775" s="1">
        <v>16511436</v>
      </c>
      <c r="B775">
        <v>1</v>
      </c>
      <c r="C775">
        <v>2</v>
      </c>
      <c r="D775">
        <v>417</v>
      </c>
      <c r="E775">
        <v>0</v>
      </c>
      <c r="F775">
        <v>0</v>
      </c>
      <c r="G775">
        <v>0</v>
      </c>
      <c r="H775">
        <v>0</v>
      </c>
      <c r="I775">
        <f>VLOOKUP(Scores[[#This Row],[MRUN]],Demographics[],3,FALSE)</f>
        <v>6</v>
      </c>
      <c r="J775">
        <f>AVERAGE(Scores[[#This Row],[LYC]],Scores[[#This Row],[MATE]])</f>
        <v>0</v>
      </c>
      <c r="K775">
        <f>VLOOKUP(Scores[[#This Row],[MRUN]],Demographics[],6,FALSE)</f>
        <v>3</v>
      </c>
      <c r="L775">
        <f>VLOOKUP(Scores[[#This Row],[MRUN]],Demographics[], 7,FALSE)</f>
        <v>7</v>
      </c>
      <c r="M775">
        <f>VLOOKUP(Scores[[#This Row],[MRUN]],Demographics[], 5, FALSE)</f>
        <v>1</v>
      </c>
    </row>
    <row r="776" spans="1:13" hidden="1" x14ac:dyDescent="0.2">
      <c r="A776" s="1">
        <v>5195961</v>
      </c>
      <c r="B776">
        <v>2</v>
      </c>
      <c r="C776">
        <v>2</v>
      </c>
      <c r="D776">
        <v>476</v>
      </c>
      <c r="E776">
        <v>438</v>
      </c>
      <c r="F776">
        <v>441</v>
      </c>
      <c r="G776">
        <v>454</v>
      </c>
      <c r="H776">
        <v>0</v>
      </c>
      <c r="I776">
        <f>VLOOKUP(Scores[[#This Row],[MRUN]],Demographics[],3,FALSE)</f>
        <v>4</v>
      </c>
      <c r="J776">
        <f>AVERAGE(Scores[[#This Row],[LYC]],Scores[[#This Row],[MATE]])</f>
        <v>439.5</v>
      </c>
      <c r="K776">
        <f>VLOOKUP(Scores[[#This Row],[MRUN]],Demographics[],6,FALSE)</f>
        <v>3</v>
      </c>
      <c r="L776">
        <f>VLOOKUP(Scores[[#This Row],[MRUN]],Demographics[], 7,FALSE)</f>
        <v>2</v>
      </c>
      <c r="M776">
        <f>VLOOKUP(Scores[[#This Row],[MRUN]],Demographics[], 5, FALSE)</f>
        <v>1</v>
      </c>
    </row>
    <row r="777" spans="1:13" hidden="1" x14ac:dyDescent="0.2">
      <c r="A777" s="1">
        <v>11070305</v>
      </c>
      <c r="B777">
        <v>1</v>
      </c>
      <c r="C777">
        <v>2</v>
      </c>
      <c r="D777">
        <v>519</v>
      </c>
      <c r="E777">
        <v>367</v>
      </c>
      <c r="F777">
        <v>472</v>
      </c>
      <c r="G777">
        <v>370</v>
      </c>
      <c r="H777">
        <v>0</v>
      </c>
      <c r="I777">
        <f>VLOOKUP(Scores[[#This Row],[MRUN]],Demographics[],3,FALSE)</f>
        <v>4</v>
      </c>
      <c r="J777">
        <f>AVERAGE(Scores[[#This Row],[LYC]],Scores[[#This Row],[MATE]])</f>
        <v>419.5</v>
      </c>
      <c r="K777">
        <f>VLOOKUP(Scores[[#This Row],[MRUN]],Demographics[],6,FALSE)</f>
        <v>5</v>
      </c>
      <c r="L777">
        <f>VLOOKUP(Scores[[#This Row],[MRUN]],Demographics[], 7,FALSE)</f>
        <v>5</v>
      </c>
      <c r="M777">
        <f>VLOOKUP(Scores[[#This Row],[MRUN]],Demographics[], 5, FALSE)</f>
        <v>1</v>
      </c>
    </row>
    <row r="778" spans="1:13" hidden="1" x14ac:dyDescent="0.2">
      <c r="A778" s="1">
        <v>2642440</v>
      </c>
      <c r="B778">
        <v>1</v>
      </c>
      <c r="C778">
        <v>2</v>
      </c>
      <c r="D778">
        <v>580</v>
      </c>
      <c r="E778">
        <v>0</v>
      </c>
      <c r="F778">
        <v>0</v>
      </c>
      <c r="G778">
        <v>0</v>
      </c>
      <c r="H778">
        <v>0</v>
      </c>
      <c r="I778">
        <f>VLOOKUP(Scores[[#This Row],[MRUN]],Demographics[],3,FALSE)</f>
        <v>4</v>
      </c>
      <c r="J778">
        <f>AVERAGE(Scores[[#This Row],[LYC]],Scores[[#This Row],[MATE]])</f>
        <v>0</v>
      </c>
      <c r="K778">
        <f>VLOOKUP(Scores[[#This Row],[MRUN]],Demographics[],6,FALSE)</f>
        <v>3</v>
      </c>
      <c r="L778">
        <f>VLOOKUP(Scores[[#This Row],[MRUN]],Demographics[], 7,FALSE)</f>
        <v>5</v>
      </c>
      <c r="M778">
        <f>VLOOKUP(Scores[[#This Row],[MRUN]],Demographics[], 5, FALSE)</f>
        <v>1</v>
      </c>
    </row>
    <row r="779" spans="1:13" hidden="1" x14ac:dyDescent="0.2">
      <c r="A779" s="1">
        <v>5211856</v>
      </c>
      <c r="B779">
        <v>1</v>
      </c>
      <c r="C779">
        <v>3</v>
      </c>
      <c r="D779">
        <v>601</v>
      </c>
      <c r="E779">
        <v>0</v>
      </c>
      <c r="F779">
        <v>0</v>
      </c>
      <c r="G779">
        <v>0</v>
      </c>
      <c r="H779">
        <v>0</v>
      </c>
      <c r="I779">
        <f>VLOOKUP(Scores[[#This Row],[MRUN]],Demographics[],3,FALSE)</f>
        <v>3</v>
      </c>
      <c r="J779">
        <f>AVERAGE(Scores[[#This Row],[LYC]],Scores[[#This Row],[MATE]])</f>
        <v>0</v>
      </c>
      <c r="K779">
        <f>VLOOKUP(Scores[[#This Row],[MRUN]],Demographics[],6,FALSE)</f>
        <v>2</v>
      </c>
      <c r="L779">
        <f>VLOOKUP(Scores[[#This Row],[MRUN]],Demographics[], 7,FALSE)</f>
        <v>2</v>
      </c>
      <c r="M779">
        <f>VLOOKUP(Scores[[#This Row],[MRUN]],Demographics[], 5, FALSE)</f>
        <v>1</v>
      </c>
    </row>
    <row r="780" spans="1:13" hidden="1" x14ac:dyDescent="0.2">
      <c r="A780" s="1">
        <v>16629102</v>
      </c>
      <c r="B780">
        <v>2</v>
      </c>
      <c r="C780">
        <v>2</v>
      </c>
      <c r="D780">
        <v>476</v>
      </c>
      <c r="E780">
        <v>422</v>
      </c>
      <c r="F780">
        <v>413</v>
      </c>
      <c r="G780">
        <v>454</v>
      </c>
      <c r="H780">
        <v>0</v>
      </c>
      <c r="I780">
        <f>VLOOKUP(Scores[[#This Row],[MRUN]],Demographics[],3,FALSE)</f>
        <v>3</v>
      </c>
      <c r="J780">
        <f>AVERAGE(Scores[[#This Row],[LYC]],Scores[[#This Row],[MATE]])</f>
        <v>417.5</v>
      </c>
      <c r="K780">
        <f>VLOOKUP(Scores[[#This Row],[MRUN]],Demographics[],6,FALSE)</f>
        <v>5</v>
      </c>
      <c r="L780">
        <f>VLOOKUP(Scores[[#This Row],[MRUN]],Demographics[], 7,FALSE)</f>
        <v>4</v>
      </c>
      <c r="M780">
        <f>VLOOKUP(Scores[[#This Row],[MRUN]],Demographics[], 5, FALSE)</f>
        <v>1</v>
      </c>
    </row>
    <row r="781" spans="1:13" hidden="1" x14ac:dyDescent="0.2">
      <c r="A781" s="1">
        <v>7016231</v>
      </c>
      <c r="B781">
        <v>2</v>
      </c>
      <c r="C781">
        <v>2</v>
      </c>
      <c r="D781">
        <v>458</v>
      </c>
      <c r="E781">
        <v>483</v>
      </c>
      <c r="F781">
        <v>395</v>
      </c>
      <c r="G781">
        <v>0</v>
      </c>
      <c r="H781">
        <v>391</v>
      </c>
      <c r="I781">
        <f>VLOOKUP(Scores[[#This Row],[MRUN]],Demographics[],3,FALSE)</f>
        <v>5</v>
      </c>
      <c r="J781">
        <f>AVERAGE(Scores[[#This Row],[LYC]],Scores[[#This Row],[MATE]])</f>
        <v>439</v>
      </c>
      <c r="K781">
        <f>VLOOKUP(Scores[[#This Row],[MRUN]],Demographics[],6,FALSE)</f>
        <v>5</v>
      </c>
      <c r="L781">
        <f>VLOOKUP(Scores[[#This Row],[MRUN]],Demographics[], 7,FALSE)</f>
        <v>5</v>
      </c>
      <c r="M781">
        <f>VLOOKUP(Scores[[#This Row],[MRUN]],Demographics[], 5, FALSE)</f>
        <v>1</v>
      </c>
    </row>
    <row r="782" spans="1:13" hidden="1" x14ac:dyDescent="0.2">
      <c r="A782" s="1">
        <v>5312856</v>
      </c>
      <c r="B782">
        <v>2</v>
      </c>
      <c r="C782">
        <v>3</v>
      </c>
      <c r="D782">
        <v>455</v>
      </c>
      <c r="E782">
        <v>571</v>
      </c>
      <c r="F782">
        <v>494</v>
      </c>
      <c r="G782">
        <v>634</v>
      </c>
      <c r="H782">
        <v>0</v>
      </c>
      <c r="I782">
        <f>VLOOKUP(Scores[[#This Row],[MRUN]],Demographics[],3,FALSE)</f>
        <v>6</v>
      </c>
      <c r="J782">
        <f>AVERAGE(Scores[[#This Row],[LYC]],Scores[[#This Row],[MATE]])</f>
        <v>532.5</v>
      </c>
      <c r="K782">
        <f>VLOOKUP(Scores[[#This Row],[MRUN]],Demographics[],6,FALSE)</f>
        <v>9</v>
      </c>
      <c r="L782">
        <f>VLOOKUP(Scores[[#This Row],[MRUN]],Demographics[], 7,FALSE)</f>
        <v>9</v>
      </c>
      <c r="M782">
        <f>VLOOKUP(Scores[[#This Row],[MRUN]],Demographics[], 5, FALSE)</f>
        <v>2</v>
      </c>
    </row>
    <row r="783" spans="1:13" hidden="1" x14ac:dyDescent="0.2">
      <c r="A783" s="1">
        <v>4879759</v>
      </c>
      <c r="B783">
        <v>2</v>
      </c>
      <c r="C783">
        <v>3</v>
      </c>
      <c r="D783">
        <v>519</v>
      </c>
      <c r="E783">
        <v>415</v>
      </c>
      <c r="F783">
        <v>376</v>
      </c>
      <c r="G783">
        <v>306</v>
      </c>
      <c r="H783">
        <v>0</v>
      </c>
      <c r="I783">
        <f>VLOOKUP(Scores[[#This Row],[MRUN]],Demographics[],3,FALSE)</f>
        <v>0</v>
      </c>
      <c r="J783">
        <f>AVERAGE(Scores[[#This Row],[LYC]],Scores[[#This Row],[MATE]])</f>
        <v>395.5</v>
      </c>
      <c r="K783">
        <f>VLOOKUP(Scores[[#This Row],[MRUN]],Demographics[],6,FALSE)</f>
        <v>0</v>
      </c>
      <c r="L783">
        <f>VLOOKUP(Scores[[#This Row],[MRUN]],Demographics[], 7,FALSE)</f>
        <v>0</v>
      </c>
      <c r="M783">
        <f>VLOOKUP(Scores[[#This Row],[MRUN]],Demographics[], 5, FALSE)</f>
        <v>1</v>
      </c>
    </row>
    <row r="784" spans="1:13" hidden="1" x14ac:dyDescent="0.2">
      <c r="A784" s="1">
        <v>9051192</v>
      </c>
      <c r="B784">
        <v>1</v>
      </c>
      <c r="C784">
        <v>3</v>
      </c>
      <c r="D784">
        <v>579</v>
      </c>
      <c r="E784">
        <v>683</v>
      </c>
      <c r="F784">
        <v>763</v>
      </c>
      <c r="G784">
        <v>0</v>
      </c>
      <c r="H784">
        <v>579</v>
      </c>
      <c r="I784">
        <f>VLOOKUP(Scores[[#This Row],[MRUN]],Demographics[],3,FALSE)</f>
        <v>3</v>
      </c>
      <c r="J784">
        <f>AVERAGE(Scores[[#This Row],[LYC]],Scores[[#This Row],[MATE]])</f>
        <v>723</v>
      </c>
      <c r="K784">
        <f>VLOOKUP(Scores[[#This Row],[MRUN]],Demographics[],6,FALSE)</f>
        <v>5</v>
      </c>
      <c r="L784">
        <f>VLOOKUP(Scores[[#This Row],[MRUN]],Demographics[], 7,FALSE)</f>
        <v>2</v>
      </c>
      <c r="M784">
        <f>VLOOKUP(Scores[[#This Row],[MRUN]],Demographics[], 5, FALSE)</f>
        <v>1</v>
      </c>
    </row>
    <row r="785" spans="1:13" hidden="1" x14ac:dyDescent="0.2">
      <c r="A785" s="1">
        <v>1039737</v>
      </c>
      <c r="B785">
        <v>2</v>
      </c>
      <c r="C785">
        <v>2</v>
      </c>
      <c r="D785">
        <v>620</v>
      </c>
      <c r="E785">
        <v>521</v>
      </c>
      <c r="F785">
        <v>428</v>
      </c>
      <c r="G785">
        <v>521</v>
      </c>
      <c r="H785">
        <v>475</v>
      </c>
      <c r="I785">
        <f>VLOOKUP(Scores[[#This Row],[MRUN]],Demographics[],3,FALSE)</f>
        <v>4</v>
      </c>
      <c r="J785">
        <f>AVERAGE(Scores[[#This Row],[LYC]],Scores[[#This Row],[MATE]])</f>
        <v>474.5</v>
      </c>
      <c r="K785">
        <f>VLOOKUP(Scores[[#This Row],[MRUN]],Demographics[],6,FALSE)</f>
        <v>5</v>
      </c>
      <c r="L785">
        <f>VLOOKUP(Scores[[#This Row],[MRUN]],Demographics[], 7,FALSE)</f>
        <v>5</v>
      </c>
      <c r="M785">
        <f>VLOOKUP(Scores[[#This Row],[MRUN]],Demographics[], 5, FALSE)</f>
        <v>1</v>
      </c>
    </row>
    <row r="786" spans="1:13" hidden="1" x14ac:dyDescent="0.2">
      <c r="A786" s="1">
        <v>21767122</v>
      </c>
      <c r="B786">
        <v>1</v>
      </c>
      <c r="C786">
        <v>2</v>
      </c>
      <c r="D786">
        <v>601</v>
      </c>
      <c r="E786">
        <v>613</v>
      </c>
      <c r="F786">
        <v>463</v>
      </c>
      <c r="G786">
        <v>607</v>
      </c>
      <c r="H786">
        <v>0</v>
      </c>
      <c r="I786">
        <f>VLOOKUP(Scores[[#This Row],[MRUN]],Demographics[],3,FALSE)</f>
        <v>4</v>
      </c>
      <c r="J786">
        <f>AVERAGE(Scores[[#This Row],[LYC]],Scores[[#This Row],[MATE]])</f>
        <v>538</v>
      </c>
      <c r="K786">
        <f>VLOOKUP(Scores[[#This Row],[MRUN]],Demographics[],6,FALSE)</f>
        <v>5</v>
      </c>
      <c r="L786">
        <f>VLOOKUP(Scores[[#This Row],[MRUN]],Demographics[], 7,FALSE)</f>
        <v>3</v>
      </c>
      <c r="M786">
        <f>VLOOKUP(Scores[[#This Row],[MRUN]],Demographics[], 5, FALSE)</f>
        <v>1</v>
      </c>
    </row>
    <row r="787" spans="1:13" hidden="1" x14ac:dyDescent="0.2">
      <c r="A787" s="1">
        <v>6482536</v>
      </c>
      <c r="B787">
        <v>2</v>
      </c>
      <c r="C787">
        <v>2</v>
      </c>
      <c r="D787">
        <v>496</v>
      </c>
      <c r="E787">
        <v>0</v>
      </c>
      <c r="F787">
        <v>0</v>
      </c>
      <c r="G787">
        <v>0</v>
      </c>
      <c r="H787">
        <v>0</v>
      </c>
      <c r="I787">
        <f>VLOOKUP(Scores[[#This Row],[MRUN]],Demographics[],3,FALSE)</f>
        <v>4</v>
      </c>
      <c r="J787">
        <f>AVERAGE(Scores[[#This Row],[LYC]],Scores[[#This Row],[MATE]])</f>
        <v>0</v>
      </c>
      <c r="K787">
        <f>VLOOKUP(Scores[[#This Row],[MRUN]],Demographics[],6,FALSE)</f>
        <v>4</v>
      </c>
      <c r="L787">
        <f>VLOOKUP(Scores[[#This Row],[MRUN]],Demographics[], 7,FALSE)</f>
        <v>4</v>
      </c>
      <c r="M787">
        <f>VLOOKUP(Scores[[#This Row],[MRUN]],Demographics[], 5, FALSE)</f>
        <v>1</v>
      </c>
    </row>
    <row r="788" spans="1:13" hidden="1" x14ac:dyDescent="0.2">
      <c r="A788" s="1">
        <v>24538190</v>
      </c>
      <c r="B788">
        <v>2</v>
      </c>
      <c r="C788">
        <v>2</v>
      </c>
      <c r="D788">
        <v>437</v>
      </c>
      <c r="E788">
        <v>415</v>
      </c>
      <c r="F788">
        <v>480</v>
      </c>
      <c r="G788">
        <v>0</v>
      </c>
      <c r="H788">
        <v>428</v>
      </c>
      <c r="I788">
        <f>VLOOKUP(Scores[[#This Row],[MRUN]],Demographics[],3,FALSE)</f>
        <v>10</v>
      </c>
      <c r="J788">
        <f>AVERAGE(Scores[[#This Row],[LYC]],Scores[[#This Row],[MATE]])</f>
        <v>447.5</v>
      </c>
      <c r="K788">
        <f>VLOOKUP(Scores[[#This Row],[MRUN]],Demographics[],6,FALSE)</f>
        <v>5</v>
      </c>
      <c r="L788">
        <f>VLOOKUP(Scores[[#This Row],[MRUN]],Demographics[], 7,FALSE)</f>
        <v>5</v>
      </c>
      <c r="M788">
        <f>VLOOKUP(Scores[[#This Row],[MRUN]],Demographics[], 5, FALSE)</f>
        <v>1</v>
      </c>
    </row>
    <row r="789" spans="1:13" hidden="1" x14ac:dyDescent="0.2">
      <c r="A789" s="1">
        <v>5414355</v>
      </c>
      <c r="B789">
        <v>1</v>
      </c>
      <c r="C789">
        <v>2</v>
      </c>
      <c r="D789">
        <v>458</v>
      </c>
      <c r="E789">
        <v>0</v>
      </c>
      <c r="F789">
        <v>0</v>
      </c>
      <c r="G789">
        <v>0</v>
      </c>
      <c r="H789">
        <v>0</v>
      </c>
      <c r="I789">
        <f>VLOOKUP(Scores[[#This Row],[MRUN]],Demographics[],3,FALSE)</f>
        <v>3</v>
      </c>
      <c r="J789">
        <f>AVERAGE(Scores[[#This Row],[LYC]],Scores[[#This Row],[MATE]])</f>
        <v>0</v>
      </c>
      <c r="K789">
        <f>VLOOKUP(Scores[[#This Row],[MRUN]],Demographics[],6,FALSE)</f>
        <v>2</v>
      </c>
      <c r="L789">
        <f>VLOOKUP(Scores[[#This Row],[MRUN]],Demographics[], 7,FALSE)</f>
        <v>2</v>
      </c>
      <c r="M789">
        <f>VLOOKUP(Scores[[#This Row],[MRUN]],Demographics[], 5, FALSE)</f>
        <v>1</v>
      </c>
    </row>
    <row r="790" spans="1:13" hidden="1" x14ac:dyDescent="0.2">
      <c r="A790" s="1">
        <v>12255666</v>
      </c>
      <c r="B790">
        <v>2</v>
      </c>
      <c r="C790">
        <v>2</v>
      </c>
      <c r="D790">
        <v>621</v>
      </c>
      <c r="E790">
        <v>516</v>
      </c>
      <c r="F790">
        <v>545</v>
      </c>
      <c r="G790">
        <v>0</v>
      </c>
      <c r="H790">
        <v>439</v>
      </c>
      <c r="I790">
        <f>VLOOKUP(Scores[[#This Row],[MRUN]],Demographics[],3,FALSE)</f>
        <v>4</v>
      </c>
      <c r="J790">
        <f>AVERAGE(Scores[[#This Row],[LYC]],Scores[[#This Row],[MATE]])</f>
        <v>530.5</v>
      </c>
      <c r="K790">
        <f>VLOOKUP(Scores[[#This Row],[MRUN]],Demographics[],6,FALSE)</f>
        <v>4</v>
      </c>
      <c r="L790">
        <f>VLOOKUP(Scores[[#This Row],[MRUN]],Demographics[], 7,FALSE)</f>
        <v>5</v>
      </c>
      <c r="M790">
        <f>VLOOKUP(Scores[[#This Row],[MRUN]],Demographics[], 5, FALSE)</f>
        <v>1</v>
      </c>
    </row>
    <row r="791" spans="1:13" hidden="1" x14ac:dyDescent="0.2">
      <c r="A791" s="1">
        <v>13221916</v>
      </c>
      <c r="B791">
        <v>2</v>
      </c>
      <c r="C791">
        <v>2</v>
      </c>
      <c r="D791">
        <v>417</v>
      </c>
      <c r="E791">
        <v>451</v>
      </c>
      <c r="F791">
        <v>353</v>
      </c>
      <c r="G791">
        <v>370</v>
      </c>
      <c r="H791">
        <v>0</v>
      </c>
      <c r="I791">
        <f>VLOOKUP(Scores[[#This Row],[MRUN]],Demographics[],3,FALSE)</f>
        <v>2</v>
      </c>
      <c r="J791">
        <f>AVERAGE(Scores[[#This Row],[LYC]],Scores[[#This Row],[MATE]])</f>
        <v>402</v>
      </c>
      <c r="K791">
        <f>VLOOKUP(Scores[[#This Row],[MRUN]],Demographics[],6,FALSE)</f>
        <v>5</v>
      </c>
      <c r="L791">
        <f>VLOOKUP(Scores[[#This Row],[MRUN]],Demographics[], 7,FALSE)</f>
        <v>5</v>
      </c>
      <c r="M791">
        <f>VLOOKUP(Scores[[#This Row],[MRUN]],Demographics[], 5, FALSE)</f>
        <v>1</v>
      </c>
    </row>
    <row r="792" spans="1:13" hidden="1" x14ac:dyDescent="0.2">
      <c r="A792" s="1">
        <v>3710914</v>
      </c>
      <c r="B792">
        <v>1</v>
      </c>
      <c r="C792">
        <v>2</v>
      </c>
      <c r="D792">
        <v>538</v>
      </c>
      <c r="E792">
        <v>531</v>
      </c>
      <c r="F792">
        <v>531</v>
      </c>
      <c r="G792">
        <v>562</v>
      </c>
      <c r="H792">
        <v>0</v>
      </c>
      <c r="I792">
        <f>VLOOKUP(Scores[[#This Row],[MRUN]],Demographics[],3,FALSE)</f>
        <v>2</v>
      </c>
      <c r="J792">
        <f>AVERAGE(Scores[[#This Row],[LYC]],Scores[[#This Row],[MATE]])</f>
        <v>531</v>
      </c>
      <c r="K792">
        <f>VLOOKUP(Scores[[#This Row],[MRUN]],Demographics[],6,FALSE)</f>
        <v>0</v>
      </c>
      <c r="L792">
        <f>VLOOKUP(Scores[[#This Row],[MRUN]],Demographics[], 7,FALSE)</f>
        <v>5</v>
      </c>
      <c r="M792">
        <f>VLOOKUP(Scores[[#This Row],[MRUN]],Demographics[], 5, FALSE)</f>
        <v>1</v>
      </c>
    </row>
    <row r="793" spans="1:13" hidden="1" x14ac:dyDescent="0.2">
      <c r="A793" s="1">
        <v>7448552</v>
      </c>
      <c r="B793">
        <v>2</v>
      </c>
      <c r="C793">
        <v>2</v>
      </c>
      <c r="D793">
        <v>579</v>
      </c>
      <c r="E793">
        <v>505</v>
      </c>
      <c r="F793">
        <v>512</v>
      </c>
      <c r="G793">
        <v>479</v>
      </c>
      <c r="H793">
        <v>468</v>
      </c>
      <c r="I793">
        <f>VLOOKUP(Scores[[#This Row],[MRUN]],Demographics[],3,FALSE)</f>
        <v>5</v>
      </c>
      <c r="J793">
        <f>AVERAGE(Scores[[#This Row],[LYC]],Scores[[#This Row],[MATE]])</f>
        <v>508.5</v>
      </c>
      <c r="K793">
        <f>VLOOKUP(Scores[[#This Row],[MRUN]],Demographics[],6,FALSE)</f>
        <v>5</v>
      </c>
      <c r="L793">
        <f>VLOOKUP(Scores[[#This Row],[MRUN]],Demographics[], 7,FALSE)</f>
        <v>4</v>
      </c>
      <c r="M793">
        <f>VLOOKUP(Scores[[#This Row],[MRUN]],Demographics[], 5, FALSE)</f>
        <v>2</v>
      </c>
    </row>
    <row r="794" spans="1:13" hidden="1" x14ac:dyDescent="0.2">
      <c r="A794" s="1">
        <v>20165197</v>
      </c>
      <c r="B794">
        <v>2</v>
      </c>
      <c r="C794">
        <v>2</v>
      </c>
      <c r="D794">
        <v>538</v>
      </c>
      <c r="E794">
        <v>624</v>
      </c>
      <c r="F794">
        <v>606</v>
      </c>
      <c r="G794">
        <v>634</v>
      </c>
      <c r="H794">
        <v>579</v>
      </c>
      <c r="I794">
        <f>VLOOKUP(Scores[[#This Row],[MRUN]],Demographics[],3,FALSE)</f>
        <v>4</v>
      </c>
      <c r="J794">
        <f>AVERAGE(Scores[[#This Row],[LYC]],Scores[[#This Row],[MATE]])</f>
        <v>615</v>
      </c>
      <c r="K794">
        <f>VLOOKUP(Scores[[#This Row],[MRUN]],Demographics[],6,FALSE)</f>
        <v>9</v>
      </c>
      <c r="L794">
        <f>VLOOKUP(Scores[[#This Row],[MRUN]],Demographics[], 7,FALSE)</f>
        <v>9</v>
      </c>
      <c r="M794">
        <f>VLOOKUP(Scores[[#This Row],[MRUN]],Demographics[], 5, FALSE)</f>
        <v>2</v>
      </c>
    </row>
    <row r="795" spans="1:13" hidden="1" x14ac:dyDescent="0.2">
      <c r="A795" s="1">
        <v>5948444</v>
      </c>
      <c r="B795">
        <v>2</v>
      </c>
      <c r="C795">
        <v>2</v>
      </c>
      <c r="D795">
        <v>641</v>
      </c>
      <c r="E795">
        <v>531</v>
      </c>
      <c r="F795">
        <v>480</v>
      </c>
      <c r="G795">
        <v>516</v>
      </c>
      <c r="H795">
        <v>0</v>
      </c>
      <c r="I795">
        <f>VLOOKUP(Scores[[#This Row],[MRUN]],Demographics[],3,FALSE)</f>
        <v>4</v>
      </c>
      <c r="J795">
        <f>AVERAGE(Scores[[#This Row],[LYC]],Scores[[#This Row],[MATE]])</f>
        <v>505.5</v>
      </c>
      <c r="K795">
        <f>VLOOKUP(Scores[[#This Row],[MRUN]],Demographics[],6,FALSE)</f>
        <v>5</v>
      </c>
      <c r="L795">
        <f>VLOOKUP(Scores[[#This Row],[MRUN]],Demographics[], 7,FALSE)</f>
        <v>4</v>
      </c>
      <c r="M795">
        <f>VLOOKUP(Scores[[#This Row],[MRUN]],Demographics[], 5, FALSE)</f>
        <v>1</v>
      </c>
    </row>
    <row r="796" spans="1:13" hidden="1" x14ac:dyDescent="0.2">
      <c r="A796" s="1">
        <v>19630849</v>
      </c>
      <c r="B796">
        <v>2</v>
      </c>
      <c r="C796">
        <v>2</v>
      </c>
      <c r="D796">
        <v>496</v>
      </c>
      <c r="E796">
        <v>531</v>
      </c>
      <c r="F796">
        <v>501</v>
      </c>
      <c r="G796">
        <v>484</v>
      </c>
      <c r="H796">
        <v>0</v>
      </c>
      <c r="I796">
        <f>VLOOKUP(Scores[[#This Row],[MRUN]],Demographics[],3,FALSE)</f>
        <v>13</v>
      </c>
      <c r="J796">
        <f>AVERAGE(Scores[[#This Row],[LYC]],Scores[[#This Row],[MATE]])</f>
        <v>516</v>
      </c>
      <c r="K796">
        <f>VLOOKUP(Scores[[#This Row],[MRUN]],Demographics[],6,FALSE)</f>
        <v>5</v>
      </c>
      <c r="L796">
        <f>VLOOKUP(Scores[[#This Row],[MRUN]],Demographics[], 7,FALSE)</f>
        <v>5</v>
      </c>
      <c r="M796">
        <f>VLOOKUP(Scores[[#This Row],[MRUN]],Demographics[], 5, FALSE)</f>
        <v>1</v>
      </c>
    </row>
    <row r="797" spans="1:13" hidden="1" x14ac:dyDescent="0.2">
      <c r="A797" s="1">
        <v>22301438</v>
      </c>
      <c r="B797">
        <v>1</v>
      </c>
      <c r="C797">
        <v>3</v>
      </c>
      <c r="D797">
        <v>496</v>
      </c>
      <c r="E797">
        <v>607</v>
      </c>
      <c r="F797">
        <v>593</v>
      </c>
      <c r="G797">
        <v>0</v>
      </c>
      <c r="H797">
        <v>528</v>
      </c>
      <c r="I797">
        <f>VLOOKUP(Scores[[#This Row],[MRUN]],Demographics[],3,FALSE)</f>
        <v>5</v>
      </c>
      <c r="J797">
        <f>AVERAGE(Scores[[#This Row],[LYC]],Scores[[#This Row],[MATE]])</f>
        <v>600</v>
      </c>
      <c r="K797">
        <f>VLOOKUP(Scores[[#This Row],[MRUN]],Demographics[],6,FALSE)</f>
        <v>5</v>
      </c>
      <c r="L797">
        <f>VLOOKUP(Scores[[#This Row],[MRUN]],Demographics[], 7,FALSE)</f>
        <v>5</v>
      </c>
      <c r="M797">
        <f>VLOOKUP(Scores[[#This Row],[MRUN]],Demographics[], 5, FALSE)</f>
        <v>2</v>
      </c>
    </row>
    <row r="798" spans="1:13" hidden="1" x14ac:dyDescent="0.2">
      <c r="A798" s="1">
        <v>3610138</v>
      </c>
      <c r="B798">
        <v>2</v>
      </c>
      <c r="C798">
        <v>2</v>
      </c>
      <c r="D798">
        <v>558</v>
      </c>
      <c r="E798">
        <v>388</v>
      </c>
      <c r="F798">
        <v>376</v>
      </c>
      <c r="G798">
        <v>370</v>
      </c>
      <c r="H798">
        <v>0</v>
      </c>
      <c r="I798">
        <f>VLOOKUP(Scores[[#This Row],[MRUN]],Demographics[],3,FALSE)</f>
        <v>2</v>
      </c>
      <c r="J798">
        <f>AVERAGE(Scores[[#This Row],[LYC]],Scores[[#This Row],[MATE]])</f>
        <v>382</v>
      </c>
      <c r="K798">
        <f>VLOOKUP(Scores[[#This Row],[MRUN]],Demographics[],6,FALSE)</f>
        <v>5</v>
      </c>
      <c r="L798">
        <f>VLOOKUP(Scores[[#This Row],[MRUN]],Demographics[], 7,FALSE)</f>
        <v>5</v>
      </c>
      <c r="M798">
        <f>VLOOKUP(Scores[[#This Row],[MRUN]],Demographics[], 5, FALSE)</f>
        <v>1</v>
      </c>
    </row>
    <row r="799" spans="1:13" hidden="1" x14ac:dyDescent="0.2">
      <c r="A799" s="1">
        <v>19834077</v>
      </c>
      <c r="B799">
        <v>2</v>
      </c>
      <c r="C799">
        <v>2</v>
      </c>
      <c r="D799">
        <v>417</v>
      </c>
      <c r="E799">
        <v>499</v>
      </c>
      <c r="F799">
        <v>353</v>
      </c>
      <c r="G799">
        <v>406</v>
      </c>
      <c r="H799">
        <v>0</v>
      </c>
      <c r="I799">
        <f>VLOOKUP(Scores[[#This Row],[MRUN]],Demographics[],3,FALSE)</f>
        <v>4</v>
      </c>
      <c r="J799">
        <f>AVERAGE(Scores[[#This Row],[LYC]],Scores[[#This Row],[MATE]])</f>
        <v>426</v>
      </c>
      <c r="K799">
        <f>VLOOKUP(Scores[[#This Row],[MRUN]],Demographics[],6,FALSE)</f>
        <v>3</v>
      </c>
      <c r="L799">
        <f>VLOOKUP(Scores[[#This Row],[MRUN]],Demographics[], 7,FALSE)</f>
        <v>2</v>
      </c>
      <c r="M799">
        <f>VLOOKUP(Scores[[#This Row],[MRUN]],Demographics[], 5, FALSE)</f>
        <v>1</v>
      </c>
    </row>
    <row r="800" spans="1:13" hidden="1" x14ac:dyDescent="0.2">
      <c r="A800" s="1">
        <v>7982794</v>
      </c>
      <c r="B800">
        <v>1</v>
      </c>
      <c r="C800">
        <v>3</v>
      </c>
      <c r="D800">
        <v>702</v>
      </c>
      <c r="E800">
        <v>596</v>
      </c>
      <c r="F800">
        <v>675</v>
      </c>
      <c r="G800">
        <v>0</v>
      </c>
      <c r="H800">
        <v>647</v>
      </c>
      <c r="I800">
        <f>VLOOKUP(Scores[[#This Row],[MRUN]],Demographics[],3,FALSE)</f>
        <v>3</v>
      </c>
      <c r="J800">
        <f>AVERAGE(Scores[[#This Row],[LYC]],Scores[[#This Row],[MATE]])</f>
        <v>635.5</v>
      </c>
      <c r="K800">
        <f>VLOOKUP(Scores[[#This Row],[MRUN]],Demographics[],6,FALSE)</f>
        <v>3</v>
      </c>
      <c r="L800">
        <f>VLOOKUP(Scores[[#This Row],[MRUN]],Demographics[], 7,FALSE)</f>
        <v>3</v>
      </c>
      <c r="M800">
        <f>VLOOKUP(Scores[[#This Row],[MRUN]],Demographics[], 5, FALSE)</f>
        <v>1</v>
      </c>
    </row>
    <row r="801" spans="1:13" hidden="1" x14ac:dyDescent="0.2">
      <c r="A801" s="1">
        <v>6813961</v>
      </c>
      <c r="B801">
        <v>2</v>
      </c>
      <c r="C801">
        <v>2</v>
      </c>
      <c r="D801">
        <v>599</v>
      </c>
      <c r="E801">
        <v>557</v>
      </c>
      <c r="F801">
        <v>494</v>
      </c>
      <c r="G801">
        <v>657</v>
      </c>
      <c r="H801">
        <v>523</v>
      </c>
      <c r="I801">
        <f>VLOOKUP(Scores[[#This Row],[MRUN]],Demographics[],3,FALSE)</f>
        <v>4</v>
      </c>
      <c r="J801">
        <f>AVERAGE(Scores[[#This Row],[LYC]],Scores[[#This Row],[MATE]])</f>
        <v>525.5</v>
      </c>
      <c r="K801">
        <f>VLOOKUP(Scores[[#This Row],[MRUN]],Demographics[],6,FALSE)</f>
        <v>4</v>
      </c>
      <c r="L801">
        <f>VLOOKUP(Scores[[#This Row],[MRUN]],Demographics[], 7,FALSE)</f>
        <v>5</v>
      </c>
      <c r="M801">
        <f>VLOOKUP(Scores[[#This Row],[MRUN]],Demographics[], 5, FALSE)</f>
        <v>1</v>
      </c>
    </row>
    <row r="802" spans="1:13" hidden="1" x14ac:dyDescent="0.2">
      <c r="A802" s="1">
        <v>12688174</v>
      </c>
      <c r="B802">
        <v>2</v>
      </c>
      <c r="C802">
        <v>2</v>
      </c>
      <c r="D802">
        <v>435</v>
      </c>
      <c r="E802">
        <v>406</v>
      </c>
      <c r="F802">
        <v>452</v>
      </c>
      <c r="G802">
        <v>380</v>
      </c>
      <c r="H802">
        <v>0</v>
      </c>
      <c r="I802">
        <f>VLOOKUP(Scores[[#This Row],[MRUN]],Demographics[],3,FALSE)</f>
        <v>5</v>
      </c>
      <c r="J802">
        <f>AVERAGE(Scores[[#This Row],[LYC]],Scores[[#This Row],[MATE]])</f>
        <v>429</v>
      </c>
      <c r="K802">
        <f>VLOOKUP(Scores[[#This Row],[MRUN]],Demographics[],6,FALSE)</f>
        <v>5</v>
      </c>
      <c r="L802">
        <f>VLOOKUP(Scores[[#This Row],[MRUN]],Demographics[], 7,FALSE)</f>
        <v>5</v>
      </c>
      <c r="M802">
        <f>VLOOKUP(Scores[[#This Row],[MRUN]],Demographics[], 5, FALSE)</f>
        <v>1</v>
      </c>
    </row>
    <row r="803" spans="1:13" hidden="1" x14ac:dyDescent="0.2">
      <c r="A803" s="1">
        <v>15560793</v>
      </c>
      <c r="B803">
        <v>1</v>
      </c>
      <c r="C803">
        <v>2</v>
      </c>
      <c r="D803">
        <v>517</v>
      </c>
      <c r="E803">
        <v>494</v>
      </c>
      <c r="F803">
        <v>506</v>
      </c>
      <c r="G803">
        <v>0</v>
      </c>
      <c r="H803">
        <v>344</v>
      </c>
      <c r="I803">
        <f>VLOOKUP(Scores[[#This Row],[MRUN]],Demographics[],3,FALSE)</f>
        <v>6</v>
      </c>
      <c r="J803">
        <f>AVERAGE(Scores[[#This Row],[LYC]],Scores[[#This Row],[MATE]])</f>
        <v>500</v>
      </c>
      <c r="K803">
        <f>VLOOKUP(Scores[[#This Row],[MRUN]],Demographics[],6,FALSE)</f>
        <v>5</v>
      </c>
      <c r="L803">
        <f>VLOOKUP(Scores[[#This Row],[MRUN]],Demographics[], 7,FALSE)</f>
        <v>7</v>
      </c>
      <c r="M803">
        <f>VLOOKUP(Scores[[#This Row],[MRUN]],Demographics[], 5, FALSE)</f>
        <v>1</v>
      </c>
    </row>
    <row r="804" spans="1:13" hidden="1" x14ac:dyDescent="0.2">
      <c r="A804" s="1">
        <v>2541492</v>
      </c>
      <c r="B804">
        <v>2</v>
      </c>
      <c r="C804">
        <v>2</v>
      </c>
      <c r="D804">
        <v>641</v>
      </c>
      <c r="E804">
        <v>505</v>
      </c>
      <c r="F804">
        <v>568</v>
      </c>
      <c r="G804">
        <v>0</v>
      </c>
      <c r="H804">
        <v>404</v>
      </c>
      <c r="I804">
        <f>VLOOKUP(Scores[[#This Row],[MRUN]],Demographics[],3,FALSE)</f>
        <v>5</v>
      </c>
      <c r="J804">
        <f>AVERAGE(Scores[[#This Row],[LYC]],Scores[[#This Row],[MATE]])</f>
        <v>536.5</v>
      </c>
      <c r="K804">
        <f>VLOOKUP(Scores[[#This Row],[MRUN]],Demographics[],6,FALSE)</f>
        <v>4</v>
      </c>
      <c r="L804">
        <f>VLOOKUP(Scores[[#This Row],[MRUN]],Demographics[], 7,FALSE)</f>
        <v>2</v>
      </c>
      <c r="M804">
        <f>VLOOKUP(Scores[[#This Row],[MRUN]],Demographics[], 5, FALSE)</f>
        <v>1</v>
      </c>
    </row>
    <row r="805" spans="1:13" hidden="1" x14ac:dyDescent="0.2">
      <c r="A805" s="1">
        <v>24437007</v>
      </c>
      <c r="B805">
        <v>2</v>
      </c>
      <c r="C805">
        <v>2</v>
      </c>
      <c r="D805">
        <v>0</v>
      </c>
      <c r="E805">
        <v>0</v>
      </c>
      <c r="F805">
        <v>0</v>
      </c>
      <c r="G805">
        <v>0</v>
      </c>
      <c r="H805">
        <v>0</v>
      </c>
      <c r="I805">
        <f>VLOOKUP(Scores[[#This Row],[MRUN]],Demographics[],3,FALSE)</f>
        <v>5</v>
      </c>
      <c r="J805">
        <f>AVERAGE(Scores[[#This Row],[LYC]],Scores[[#This Row],[MATE]])</f>
        <v>0</v>
      </c>
      <c r="K805">
        <f>VLOOKUP(Scores[[#This Row],[MRUN]],Demographics[],6,FALSE)</f>
        <v>3</v>
      </c>
      <c r="L805">
        <f>VLOOKUP(Scores[[#This Row],[MRUN]],Demographics[], 7,FALSE)</f>
        <v>2</v>
      </c>
      <c r="M805">
        <f>VLOOKUP(Scores[[#This Row],[MRUN]],Demographics[], 5, FALSE)</f>
        <v>1</v>
      </c>
    </row>
    <row r="806" spans="1:13" hidden="1" x14ac:dyDescent="0.2">
      <c r="A806" s="1">
        <v>19096300</v>
      </c>
      <c r="B806">
        <v>2</v>
      </c>
      <c r="C806">
        <v>2</v>
      </c>
      <c r="D806">
        <v>0</v>
      </c>
      <c r="E806">
        <v>0</v>
      </c>
      <c r="F806">
        <v>0</v>
      </c>
      <c r="G806">
        <v>0</v>
      </c>
      <c r="H806">
        <v>0</v>
      </c>
      <c r="I806">
        <f>VLOOKUP(Scores[[#This Row],[MRUN]],Demographics[],3,FALSE)</f>
        <v>8</v>
      </c>
      <c r="J806">
        <f>AVERAGE(Scores[[#This Row],[LYC]],Scores[[#This Row],[MATE]])</f>
        <v>0</v>
      </c>
      <c r="K806">
        <f>VLOOKUP(Scores[[#This Row],[MRUN]],Demographics[],6,FALSE)</f>
        <v>2</v>
      </c>
      <c r="L806">
        <f>VLOOKUP(Scores[[#This Row],[MRUN]],Demographics[], 7,FALSE)</f>
        <v>5</v>
      </c>
      <c r="M806">
        <f>VLOOKUP(Scores[[#This Row],[MRUN]],Demographics[], 5, FALSE)</f>
        <v>1</v>
      </c>
    </row>
    <row r="807" spans="1:13" hidden="1" x14ac:dyDescent="0.2">
      <c r="A807" s="1">
        <v>4879760</v>
      </c>
      <c r="B807">
        <v>2</v>
      </c>
      <c r="C807">
        <v>3</v>
      </c>
      <c r="D807">
        <v>539</v>
      </c>
      <c r="E807">
        <v>451</v>
      </c>
      <c r="F807">
        <v>300</v>
      </c>
      <c r="G807">
        <v>501</v>
      </c>
      <c r="H807">
        <v>428</v>
      </c>
      <c r="I807">
        <f>VLOOKUP(Scores[[#This Row],[MRUN]],Demographics[],3,FALSE)</f>
        <v>2</v>
      </c>
      <c r="J807">
        <f>AVERAGE(Scores[[#This Row],[LYC]],Scores[[#This Row],[MATE]])</f>
        <v>375.5</v>
      </c>
      <c r="K807">
        <f>VLOOKUP(Scores[[#This Row],[MRUN]],Demographics[],6,FALSE)</f>
        <v>2</v>
      </c>
      <c r="L807">
        <f>VLOOKUP(Scores[[#This Row],[MRUN]],Demographics[], 7,FALSE)</f>
        <v>4</v>
      </c>
      <c r="M807">
        <f>VLOOKUP(Scores[[#This Row],[MRUN]],Demographics[], 5, FALSE)</f>
        <v>1</v>
      </c>
    </row>
    <row r="808" spans="1:13" hidden="1" x14ac:dyDescent="0.2">
      <c r="A808" s="1">
        <v>606862</v>
      </c>
      <c r="B808">
        <v>2</v>
      </c>
      <c r="C808">
        <v>2</v>
      </c>
      <c r="D808">
        <v>599</v>
      </c>
      <c r="E808">
        <v>551</v>
      </c>
      <c r="F808">
        <v>506</v>
      </c>
      <c r="G808">
        <v>0</v>
      </c>
      <c r="H808">
        <v>571</v>
      </c>
      <c r="I808">
        <f>VLOOKUP(Scores[[#This Row],[MRUN]],Demographics[],3,FALSE)</f>
        <v>3</v>
      </c>
      <c r="J808">
        <f>AVERAGE(Scores[[#This Row],[LYC]],Scores[[#This Row],[MATE]])</f>
        <v>528.5</v>
      </c>
      <c r="K808">
        <f>VLOOKUP(Scores[[#This Row],[MRUN]],Demographics[],6,FALSE)</f>
        <v>0</v>
      </c>
      <c r="L808">
        <f>VLOOKUP(Scores[[#This Row],[MRUN]],Demographics[], 7,FALSE)</f>
        <v>5</v>
      </c>
      <c r="M808">
        <f>VLOOKUP(Scores[[#This Row],[MRUN]],Demographics[], 5, FALSE)</f>
        <v>1</v>
      </c>
    </row>
    <row r="809" spans="1:13" hidden="1" x14ac:dyDescent="0.2">
      <c r="A809" s="1">
        <v>21334175</v>
      </c>
      <c r="B809">
        <v>2</v>
      </c>
      <c r="C809">
        <v>4</v>
      </c>
      <c r="D809">
        <v>517</v>
      </c>
      <c r="E809">
        <v>510</v>
      </c>
      <c r="F809">
        <v>603</v>
      </c>
      <c r="G809">
        <v>0</v>
      </c>
      <c r="H809">
        <v>598</v>
      </c>
      <c r="I809">
        <f>VLOOKUP(Scores[[#This Row],[MRUN]],Demographics[],3,FALSE)</f>
        <v>7</v>
      </c>
      <c r="J809">
        <f>AVERAGE(Scores[[#This Row],[LYC]],Scores[[#This Row],[MATE]])</f>
        <v>556.5</v>
      </c>
      <c r="K809">
        <f>VLOOKUP(Scores[[#This Row],[MRUN]],Demographics[],6,FALSE)</f>
        <v>9</v>
      </c>
      <c r="L809">
        <f>VLOOKUP(Scores[[#This Row],[MRUN]],Demographics[], 7,FALSE)</f>
        <v>9</v>
      </c>
      <c r="M809">
        <f>VLOOKUP(Scores[[#This Row],[MRUN]],Demographics[], 5, FALSE)</f>
        <v>6</v>
      </c>
    </row>
    <row r="810" spans="1:13" hidden="1" x14ac:dyDescent="0.2">
      <c r="A810" s="1">
        <v>6482535</v>
      </c>
      <c r="B810">
        <v>1</v>
      </c>
      <c r="C810">
        <v>2</v>
      </c>
      <c r="D810">
        <v>393</v>
      </c>
      <c r="E810">
        <v>415</v>
      </c>
      <c r="F810">
        <v>428</v>
      </c>
      <c r="G810">
        <v>320</v>
      </c>
      <c r="H810">
        <v>0</v>
      </c>
      <c r="I810">
        <f>VLOOKUP(Scores[[#This Row],[MRUN]],Demographics[],3,FALSE)</f>
        <v>4</v>
      </c>
      <c r="J810">
        <f>AVERAGE(Scores[[#This Row],[LYC]],Scores[[#This Row],[MATE]])</f>
        <v>421.5</v>
      </c>
      <c r="K810">
        <f>VLOOKUP(Scores[[#This Row],[MRUN]],Demographics[],6,FALSE)</f>
        <v>4</v>
      </c>
      <c r="L810">
        <f>VLOOKUP(Scores[[#This Row],[MRUN]],Demographics[], 7,FALSE)</f>
        <v>3</v>
      </c>
      <c r="M810">
        <f>VLOOKUP(Scores[[#This Row],[MRUN]],Demographics[], 5, FALSE)</f>
        <v>1</v>
      </c>
    </row>
    <row r="811" spans="1:13" hidden="1" x14ac:dyDescent="0.2">
      <c r="A811" s="1">
        <v>5414354</v>
      </c>
      <c r="B811">
        <v>2</v>
      </c>
      <c r="C811">
        <v>2</v>
      </c>
      <c r="D811">
        <v>702</v>
      </c>
      <c r="E811">
        <v>494</v>
      </c>
      <c r="F811">
        <v>571</v>
      </c>
      <c r="G811">
        <v>0</v>
      </c>
      <c r="H811">
        <v>504</v>
      </c>
      <c r="I811">
        <f>VLOOKUP(Scores[[#This Row],[MRUN]],Demographics[],3,FALSE)</f>
        <v>5</v>
      </c>
      <c r="J811">
        <f>AVERAGE(Scores[[#This Row],[LYC]],Scores[[#This Row],[MATE]])</f>
        <v>532.5</v>
      </c>
      <c r="K811">
        <f>VLOOKUP(Scores[[#This Row],[MRUN]],Demographics[],6,FALSE)</f>
        <v>2</v>
      </c>
      <c r="L811">
        <f>VLOOKUP(Scores[[#This Row],[MRUN]],Demographics[], 7,FALSE)</f>
        <v>2</v>
      </c>
      <c r="M811">
        <f>VLOOKUP(Scores[[#This Row],[MRUN]],Demographics[], 5, FALSE)</f>
        <v>1</v>
      </c>
    </row>
    <row r="812" spans="1:13" hidden="1" x14ac:dyDescent="0.2">
      <c r="A812" s="1">
        <v>18028184</v>
      </c>
      <c r="B812">
        <v>2</v>
      </c>
      <c r="C812">
        <v>2</v>
      </c>
      <c r="D812">
        <v>538</v>
      </c>
      <c r="E812">
        <v>526</v>
      </c>
      <c r="F812">
        <v>501</v>
      </c>
      <c r="G812">
        <v>442</v>
      </c>
      <c r="H812">
        <v>0</v>
      </c>
      <c r="I812">
        <f>VLOOKUP(Scores[[#This Row],[MRUN]],Demographics[],3,FALSE)</f>
        <v>4</v>
      </c>
      <c r="J812">
        <f>AVERAGE(Scores[[#This Row],[LYC]],Scores[[#This Row],[MATE]])</f>
        <v>513.5</v>
      </c>
      <c r="K812">
        <f>VLOOKUP(Scores[[#This Row],[MRUN]],Demographics[],6,FALSE)</f>
        <v>7</v>
      </c>
      <c r="L812">
        <f>VLOOKUP(Scores[[#This Row],[MRUN]],Demographics[], 7,FALSE)</f>
        <v>4</v>
      </c>
      <c r="M812">
        <f>VLOOKUP(Scores[[#This Row],[MRUN]],Demographics[], 5, FALSE)</f>
        <v>1</v>
      </c>
    </row>
    <row r="813" spans="1:13" hidden="1" x14ac:dyDescent="0.2">
      <c r="A813" s="1">
        <v>20266389</v>
      </c>
      <c r="B813">
        <v>2</v>
      </c>
      <c r="C813">
        <v>2</v>
      </c>
      <c r="D813">
        <v>682</v>
      </c>
      <c r="E813">
        <v>378</v>
      </c>
      <c r="F813">
        <v>506</v>
      </c>
      <c r="G813">
        <v>0</v>
      </c>
      <c r="H813">
        <v>439</v>
      </c>
      <c r="I813">
        <f>VLOOKUP(Scores[[#This Row],[MRUN]],Demographics[],3,FALSE)</f>
        <v>4</v>
      </c>
      <c r="J813">
        <f>AVERAGE(Scores[[#This Row],[LYC]],Scores[[#This Row],[MATE]])</f>
        <v>442</v>
      </c>
      <c r="K813">
        <f>VLOOKUP(Scores[[#This Row],[MRUN]],Demographics[],6,FALSE)</f>
        <v>2</v>
      </c>
      <c r="L813">
        <f>VLOOKUP(Scores[[#This Row],[MRUN]],Demographics[], 7,FALSE)</f>
        <v>9</v>
      </c>
      <c r="M813">
        <f>VLOOKUP(Scores[[#This Row],[MRUN]],Demographics[], 5, FALSE)</f>
        <v>2</v>
      </c>
    </row>
    <row r="814" spans="1:13" hidden="1" x14ac:dyDescent="0.2">
      <c r="A814" s="1">
        <v>16960107</v>
      </c>
      <c r="B814">
        <v>2</v>
      </c>
      <c r="C814">
        <v>3</v>
      </c>
      <c r="D814">
        <v>764</v>
      </c>
      <c r="E814">
        <v>727</v>
      </c>
      <c r="F814">
        <v>681</v>
      </c>
      <c r="G814">
        <v>617</v>
      </c>
      <c r="H814">
        <v>672</v>
      </c>
      <c r="I814">
        <f>VLOOKUP(Scores[[#This Row],[MRUN]],Demographics[],3,FALSE)</f>
        <v>4</v>
      </c>
      <c r="J814">
        <f>AVERAGE(Scores[[#This Row],[LYC]],Scores[[#This Row],[MATE]])</f>
        <v>704</v>
      </c>
      <c r="K814">
        <f>VLOOKUP(Scores[[#This Row],[MRUN]],Demographics[],6,FALSE)</f>
        <v>9</v>
      </c>
      <c r="L814">
        <f>VLOOKUP(Scores[[#This Row],[MRUN]],Demographics[], 7,FALSE)</f>
        <v>7</v>
      </c>
      <c r="M814">
        <f>VLOOKUP(Scores[[#This Row],[MRUN]],Demographics[], 5, FALSE)</f>
        <v>2</v>
      </c>
    </row>
    <row r="815" spans="1:13" hidden="1" x14ac:dyDescent="0.2">
      <c r="A815" s="1">
        <v>8949938</v>
      </c>
      <c r="B815">
        <v>2</v>
      </c>
      <c r="C815">
        <v>3</v>
      </c>
      <c r="D815">
        <v>622</v>
      </c>
      <c r="E815">
        <v>345</v>
      </c>
      <c r="F815">
        <v>428</v>
      </c>
      <c r="G815">
        <v>0</v>
      </c>
      <c r="H815">
        <v>326</v>
      </c>
      <c r="I815">
        <f>VLOOKUP(Scores[[#This Row],[MRUN]],Demographics[],3,FALSE)</f>
        <v>3</v>
      </c>
      <c r="J815">
        <f>AVERAGE(Scores[[#This Row],[LYC]],Scores[[#This Row],[MATE]])</f>
        <v>386.5</v>
      </c>
      <c r="K815">
        <f>VLOOKUP(Scores[[#This Row],[MRUN]],Demographics[],6,FALSE)</f>
        <v>4</v>
      </c>
      <c r="L815">
        <f>VLOOKUP(Scores[[#This Row],[MRUN]],Demographics[], 7,FALSE)</f>
        <v>5</v>
      </c>
      <c r="M815">
        <f>VLOOKUP(Scores[[#This Row],[MRUN]],Demographics[], 5, FALSE)</f>
        <v>1</v>
      </c>
    </row>
    <row r="816" spans="1:13" hidden="1" x14ac:dyDescent="0.2">
      <c r="A816" s="1">
        <v>9484158</v>
      </c>
      <c r="B816">
        <v>2</v>
      </c>
      <c r="C816">
        <v>2</v>
      </c>
      <c r="D816">
        <v>499</v>
      </c>
      <c r="E816">
        <v>397</v>
      </c>
      <c r="F816">
        <v>328</v>
      </c>
      <c r="G816">
        <v>359</v>
      </c>
      <c r="H816">
        <v>326</v>
      </c>
      <c r="I816">
        <f>VLOOKUP(Scores[[#This Row],[MRUN]],Demographics[],3,FALSE)</f>
        <v>8</v>
      </c>
      <c r="J816">
        <f>AVERAGE(Scores[[#This Row],[LYC]],Scores[[#This Row],[MATE]])</f>
        <v>362.5</v>
      </c>
      <c r="K816">
        <f>VLOOKUP(Scores[[#This Row],[MRUN]],Demographics[],6,FALSE)</f>
        <v>4</v>
      </c>
      <c r="L816">
        <f>VLOOKUP(Scores[[#This Row],[MRUN]],Demographics[], 7,FALSE)</f>
        <v>2</v>
      </c>
      <c r="M816">
        <f>VLOOKUP(Scores[[#This Row],[MRUN]],Demographics[], 5, FALSE)</f>
        <v>1</v>
      </c>
    </row>
    <row r="817" spans="1:13" hidden="1" x14ac:dyDescent="0.2">
      <c r="A817" s="1">
        <v>8618529</v>
      </c>
      <c r="B817">
        <v>1</v>
      </c>
      <c r="C817">
        <v>3</v>
      </c>
      <c r="D817">
        <v>579</v>
      </c>
      <c r="E817">
        <v>471</v>
      </c>
      <c r="F817">
        <v>585</v>
      </c>
      <c r="G817">
        <v>0</v>
      </c>
      <c r="H817">
        <v>483</v>
      </c>
      <c r="I817">
        <f>VLOOKUP(Scores[[#This Row],[MRUN]],Demographics[],3,FALSE)</f>
        <v>4</v>
      </c>
      <c r="J817">
        <f>AVERAGE(Scores[[#This Row],[LYC]],Scores[[#This Row],[MATE]])</f>
        <v>528</v>
      </c>
      <c r="K817">
        <f>VLOOKUP(Scores[[#This Row],[MRUN]],Demographics[],6,FALSE)</f>
        <v>8</v>
      </c>
      <c r="L817">
        <f>VLOOKUP(Scores[[#This Row],[MRUN]],Demographics[], 7,FALSE)</f>
        <v>5</v>
      </c>
      <c r="M817">
        <f>VLOOKUP(Scores[[#This Row],[MRUN]],Demographics[], 5, FALSE)</f>
        <v>2</v>
      </c>
    </row>
    <row r="818" spans="1:13" hidden="1" x14ac:dyDescent="0.2">
      <c r="A818" s="1">
        <v>20699062</v>
      </c>
      <c r="B818">
        <v>1</v>
      </c>
      <c r="C818">
        <v>2</v>
      </c>
      <c r="D818">
        <v>0</v>
      </c>
      <c r="E818">
        <v>0</v>
      </c>
      <c r="F818">
        <v>0</v>
      </c>
      <c r="G818">
        <v>0</v>
      </c>
      <c r="H818">
        <v>0</v>
      </c>
      <c r="I818">
        <f>VLOOKUP(Scores[[#This Row],[MRUN]],Demographics[],3,FALSE)</f>
        <v>5</v>
      </c>
      <c r="J818">
        <f>AVERAGE(Scores[[#This Row],[LYC]],Scores[[#This Row],[MATE]])</f>
        <v>0</v>
      </c>
      <c r="K818">
        <f>VLOOKUP(Scores[[#This Row],[MRUN]],Demographics[],6,FALSE)</f>
        <v>4</v>
      </c>
      <c r="L818">
        <f>VLOOKUP(Scores[[#This Row],[MRUN]],Demographics[], 7,FALSE)</f>
        <v>4</v>
      </c>
      <c r="M818">
        <f>VLOOKUP(Scores[[#This Row],[MRUN]],Demographics[], 5, FALSE)</f>
        <v>1</v>
      </c>
    </row>
    <row r="819" spans="1:13" hidden="1" x14ac:dyDescent="0.2">
      <c r="A819" s="1">
        <v>18231041</v>
      </c>
      <c r="B819">
        <v>1</v>
      </c>
      <c r="C819">
        <v>2</v>
      </c>
      <c r="D819">
        <v>499</v>
      </c>
      <c r="E819">
        <v>406</v>
      </c>
      <c r="F819">
        <v>552</v>
      </c>
      <c r="G819">
        <v>490</v>
      </c>
      <c r="H819">
        <v>459</v>
      </c>
      <c r="I819">
        <f>VLOOKUP(Scores[[#This Row],[MRUN]],Demographics[],3,FALSE)</f>
        <v>4</v>
      </c>
      <c r="J819">
        <f>AVERAGE(Scores[[#This Row],[LYC]],Scores[[#This Row],[MATE]])</f>
        <v>479</v>
      </c>
      <c r="K819">
        <f>VLOOKUP(Scores[[#This Row],[MRUN]],Demographics[],6,FALSE)</f>
        <v>5</v>
      </c>
      <c r="L819">
        <f>VLOOKUP(Scores[[#This Row],[MRUN]],Demographics[], 7,FALSE)</f>
        <v>3</v>
      </c>
      <c r="M819">
        <f>VLOOKUP(Scores[[#This Row],[MRUN]],Demographics[], 5, FALSE)</f>
        <v>1</v>
      </c>
    </row>
    <row r="820" spans="1:13" hidden="1" x14ac:dyDescent="0.2">
      <c r="A820" s="1">
        <v>18561930</v>
      </c>
      <c r="B820">
        <v>1</v>
      </c>
      <c r="C820">
        <v>2</v>
      </c>
      <c r="D820">
        <v>455</v>
      </c>
      <c r="E820">
        <v>526</v>
      </c>
      <c r="F820">
        <v>452</v>
      </c>
      <c r="G820">
        <v>527</v>
      </c>
      <c r="H820">
        <v>439</v>
      </c>
      <c r="I820">
        <f>VLOOKUP(Scores[[#This Row],[MRUN]],Demographics[],3,FALSE)</f>
        <v>7</v>
      </c>
      <c r="J820">
        <f>AVERAGE(Scores[[#This Row],[LYC]],Scores[[#This Row],[MATE]])</f>
        <v>489</v>
      </c>
      <c r="K820">
        <f>VLOOKUP(Scores[[#This Row],[MRUN]],Demographics[],6,FALSE)</f>
        <v>5</v>
      </c>
      <c r="L820">
        <f>VLOOKUP(Scores[[#This Row],[MRUN]],Demographics[], 7,FALSE)</f>
        <v>2</v>
      </c>
      <c r="M820">
        <f>VLOOKUP(Scores[[#This Row],[MRUN]],Demographics[], 5, FALSE)</f>
        <v>1</v>
      </c>
    </row>
    <row r="821" spans="1:13" hidden="1" x14ac:dyDescent="0.2">
      <c r="A821" s="1">
        <v>10220593</v>
      </c>
      <c r="B821">
        <v>2</v>
      </c>
      <c r="C821">
        <v>2</v>
      </c>
      <c r="D821">
        <v>437</v>
      </c>
      <c r="E821">
        <v>367</v>
      </c>
      <c r="F821">
        <v>300</v>
      </c>
      <c r="G821">
        <v>334</v>
      </c>
      <c r="H821">
        <v>0</v>
      </c>
      <c r="I821">
        <f>VLOOKUP(Scores[[#This Row],[MRUN]],Demographics[],3,FALSE)</f>
        <v>4</v>
      </c>
      <c r="J821">
        <f>AVERAGE(Scores[[#This Row],[LYC]],Scores[[#This Row],[MATE]])</f>
        <v>333.5</v>
      </c>
      <c r="K821">
        <f>VLOOKUP(Scores[[#This Row],[MRUN]],Demographics[],6,FALSE)</f>
        <v>5</v>
      </c>
      <c r="L821">
        <f>VLOOKUP(Scores[[#This Row],[MRUN]],Demographics[], 7,FALSE)</f>
        <v>2</v>
      </c>
      <c r="M821">
        <f>VLOOKUP(Scores[[#This Row],[MRUN]],Demographics[], 5, FALSE)</f>
        <v>1</v>
      </c>
    </row>
    <row r="822" spans="1:13" hidden="1" x14ac:dyDescent="0.2">
      <c r="A822" s="1">
        <v>16425967</v>
      </c>
      <c r="B822">
        <v>2</v>
      </c>
      <c r="C822">
        <v>2</v>
      </c>
      <c r="D822">
        <v>558</v>
      </c>
      <c r="E822">
        <v>415</v>
      </c>
      <c r="F822">
        <v>549</v>
      </c>
      <c r="G822">
        <v>271</v>
      </c>
      <c r="H822">
        <v>0</v>
      </c>
      <c r="I822">
        <f>VLOOKUP(Scores[[#This Row],[MRUN]],Demographics[],3,FALSE)</f>
        <v>5</v>
      </c>
      <c r="J822">
        <f>AVERAGE(Scores[[#This Row],[LYC]],Scores[[#This Row],[MATE]])</f>
        <v>482</v>
      </c>
      <c r="K822">
        <f>VLOOKUP(Scores[[#This Row],[MRUN]],Demographics[],6,FALSE)</f>
        <v>5</v>
      </c>
      <c r="L822">
        <f>VLOOKUP(Scores[[#This Row],[MRUN]],Demographics[], 7,FALSE)</f>
        <v>5</v>
      </c>
      <c r="M822">
        <f>VLOOKUP(Scores[[#This Row],[MRUN]],Demographics[], 5, FALSE)</f>
        <v>2</v>
      </c>
    </row>
    <row r="823" spans="1:13" hidden="1" x14ac:dyDescent="0.2">
      <c r="A823" s="1">
        <v>5847010</v>
      </c>
      <c r="B823">
        <v>2</v>
      </c>
      <c r="C823">
        <v>2</v>
      </c>
      <c r="D823">
        <v>538</v>
      </c>
      <c r="E823">
        <v>397</v>
      </c>
      <c r="F823">
        <v>512</v>
      </c>
      <c r="G823">
        <v>421</v>
      </c>
      <c r="H823">
        <v>0</v>
      </c>
      <c r="I823">
        <f>VLOOKUP(Scores[[#This Row],[MRUN]],Demographics[],3,FALSE)</f>
        <v>5</v>
      </c>
      <c r="J823">
        <f>AVERAGE(Scores[[#This Row],[LYC]],Scores[[#This Row],[MATE]])</f>
        <v>454.5</v>
      </c>
      <c r="K823">
        <f>VLOOKUP(Scores[[#This Row],[MRUN]],Demographics[],6,FALSE)</f>
        <v>5</v>
      </c>
      <c r="L823">
        <f>VLOOKUP(Scores[[#This Row],[MRUN]],Demographics[], 7,FALSE)</f>
        <v>5</v>
      </c>
      <c r="M823">
        <f>VLOOKUP(Scores[[#This Row],[MRUN]],Demographics[], 5, FALSE)</f>
        <v>2</v>
      </c>
    </row>
    <row r="824" spans="1:13" hidden="1" x14ac:dyDescent="0.2">
      <c r="A824" s="1">
        <v>4778313</v>
      </c>
      <c r="B824">
        <v>2</v>
      </c>
      <c r="C824">
        <v>2</v>
      </c>
      <c r="D824">
        <v>478</v>
      </c>
      <c r="E824">
        <v>541</v>
      </c>
      <c r="F824">
        <v>501</v>
      </c>
      <c r="G824">
        <v>0</v>
      </c>
      <c r="H824">
        <v>459</v>
      </c>
      <c r="I824">
        <f>VLOOKUP(Scores[[#This Row],[MRUN]],Demographics[],3,FALSE)</f>
        <v>5</v>
      </c>
      <c r="J824">
        <f>AVERAGE(Scores[[#This Row],[LYC]],Scores[[#This Row],[MATE]])</f>
        <v>521</v>
      </c>
      <c r="K824">
        <f>VLOOKUP(Scores[[#This Row],[MRUN]],Demographics[],6,FALSE)</f>
        <v>4</v>
      </c>
      <c r="L824">
        <f>VLOOKUP(Scores[[#This Row],[MRUN]],Demographics[], 7,FALSE)</f>
        <v>5</v>
      </c>
      <c r="M824">
        <f>VLOOKUP(Scores[[#This Row],[MRUN]],Demographics[], 5, FALSE)</f>
        <v>1</v>
      </c>
    </row>
    <row r="825" spans="1:13" hidden="1" x14ac:dyDescent="0.2">
      <c r="A825" s="1">
        <v>19732221</v>
      </c>
      <c r="B825">
        <v>2</v>
      </c>
      <c r="C825">
        <v>3</v>
      </c>
      <c r="D825">
        <v>599</v>
      </c>
      <c r="E825">
        <v>636</v>
      </c>
      <c r="F825">
        <v>536</v>
      </c>
      <c r="G825">
        <v>567</v>
      </c>
      <c r="H825">
        <v>0</v>
      </c>
      <c r="I825">
        <f>VLOOKUP(Scores[[#This Row],[MRUN]],Demographics[],3,FALSE)</f>
        <v>2</v>
      </c>
      <c r="J825">
        <f>AVERAGE(Scores[[#This Row],[LYC]],Scores[[#This Row],[MATE]])</f>
        <v>586</v>
      </c>
      <c r="K825">
        <f>VLOOKUP(Scores[[#This Row],[MRUN]],Demographics[],6,FALSE)</f>
        <v>6</v>
      </c>
      <c r="L825">
        <f>VLOOKUP(Scores[[#This Row],[MRUN]],Demographics[], 7,FALSE)</f>
        <v>9</v>
      </c>
      <c r="M825">
        <f>VLOOKUP(Scores[[#This Row],[MRUN]],Demographics[], 5, FALSE)</f>
        <v>1</v>
      </c>
    </row>
    <row r="826" spans="1:13" hidden="1" x14ac:dyDescent="0.2">
      <c r="A826" s="1">
        <v>10754756</v>
      </c>
      <c r="B826">
        <v>1</v>
      </c>
      <c r="C826">
        <v>2</v>
      </c>
      <c r="D826">
        <v>682</v>
      </c>
      <c r="E826">
        <v>602</v>
      </c>
      <c r="F826">
        <v>686</v>
      </c>
      <c r="G826">
        <v>541</v>
      </c>
      <c r="H826">
        <v>631</v>
      </c>
      <c r="I826">
        <f>VLOOKUP(Scores[[#This Row],[MRUN]],Demographics[],3,FALSE)</f>
        <v>3</v>
      </c>
      <c r="J826">
        <f>AVERAGE(Scores[[#This Row],[LYC]],Scores[[#This Row],[MATE]])</f>
        <v>644</v>
      </c>
      <c r="K826">
        <f>VLOOKUP(Scores[[#This Row],[MRUN]],Demographics[],6,FALSE)</f>
        <v>5</v>
      </c>
      <c r="L826">
        <f>VLOOKUP(Scores[[#This Row],[MRUN]],Demographics[], 7,FALSE)</f>
        <v>5</v>
      </c>
      <c r="M826">
        <f>VLOOKUP(Scores[[#This Row],[MRUN]],Demographics[], 5, FALSE)</f>
        <v>2</v>
      </c>
    </row>
    <row r="827" spans="1:13" hidden="1" x14ac:dyDescent="0.2">
      <c r="A827" s="1">
        <v>10017777</v>
      </c>
      <c r="B827">
        <v>2</v>
      </c>
      <c r="C827">
        <v>2</v>
      </c>
      <c r="D827">
        <v>661</v>
      </c>
      <c r="E827">
        <v>661</v>
      </c>
      <c r="F827">
        <v>628</v>
      </c>
      <c r="G827">
        <v>572</v>
      </c>
      <c r="H827">
        <v>543</v>
      </c>
      <c r="I827">
        <f>VLOOKUP(Scores[[#This Row],[MRUN]],Demographics[],3,FALSE)</f>
        <v>5</v>
      </c>
      <c r="J827">
        <f>AVERAGE(Scores[[#This Row],[LYC]],Scores[[#This Row],[MATE]])</f>
        <v>644.5</v>
      </c>
      <c r="K827">
        <f>VLOOKUP(Scores[[#This Row],[MRUN]],Demographics[],6,FALSE)</f>
        <v>4</v>
      </c>
      <c r="L827">
        <f>VLOOKUP(Scores[[#This Row],[MRUN]],Demographics[], 7,FALSE)</f>
        <v>3</v>
      </c>
      <c r="M827">
        <f>VLOOKUP(Scores[[#This Row],[MRUN]],Demographics[], 5, FALSE)</f>
        <v>1</v>
      </c>
    </row>
    <row r="828" spans="1:13" hidden="1" x14ac:dyDescent="0.2">
      <c r="A828" s="1">
        <v>16527339</v>
      </c>
      <c r="B828">
        <v>2</v>
      </c>
      <c r="C828">
        <v>2</v>
      </c>
      <c r="D828">
        <v>682</v>
      </c>
      <c r="E828">
        <v>541</v>
      </c>
      <c r="F828">
        <v>564</v>
      </c>
      <c r="G828">
        <v>512</v>
      </c>
      <c r="H828">
        <v>0</v>
      </c>
      <c r="I828">
        <f>VLOOKUP(Scores[[#This Row],[MRUN]],Demographics[],3,FALSE)</f>
        <v>0</v>
      </c>
      <c r="J828">
        <f>AVERAGE(Scores[[#This Row],[LYC]],Scores[[#This Row],[MATE]])</f>
        <v>552.5</v>
      </c>
      <c r="K828">
        <f>VLOOKUP(Scores[[#This Row],[MRUN]],Demographics[],6,FALSE)</f>
        <v>0</v>
      </c>
      <c r="L828">
        <f>VLOOKUP(Scores[[#This Row],[MRUN]],Demographics[], 7,FALSE)</f>
        <v>0</v>
      </c>
      <c r="M828">
        <f>VLOOKUP(Scores[[#This Row],[MRUN]],Demographics[], 5, FALSE)</f>
        <v>1</v>
      </c>
    </row>
    <row r="829" spans="1:13" hidden="1" x14ac:dyDescent="0.2">
      <c r="A829" s="1">
        <v>22402619</v>
      </c>
      <c r="B829">
        <v>2</v>
      </c>
      <c r="C829">
        <v>2</v>
      </c>
      <c r="D829">
        <v>538</v>
      </c>
      <c r="E829">
        <v>510</v>
      </c>
      <c r="F829">
        <v>300</v>
      </c>
      <c r="G829">
        <v>531</v>
      </c>
      <c r="H829">
        <v>0</v>
      </c>
      <c r="I829">
        <f>VLOOKUP(Scores[[#This Row],[MRUN]],Demographics[],3,FALSE)</f>
        <v>4</v>
      </c>
      <c r="J829">
        <f>AVERAGE(Scores[[#This Row],[LYC]],Scores[[#This Row],[MATE]])</f>
        <v>405</v>
      </c>
      <c r="K829">
        <f>VLOOKUP(Scores[[#This Row],[MRUN]],Demographics[],6,FALSE)</f>
        <v>4</v>
      </c>
      <c r="L829">
        <f>VLOOKUP(Scores[[#This Row],[MRUN]],Demographics[], 7,FALSE)</f>
        <v>5</v>
      </c>
      <c r="M829">
        <f>VLOOKUP(Scores[[#This Row],[MRUN]],Demographics[], 5, FALSE)</f>
        <v>1</v>
      </c>
    </row>
    <row r="830" spans="1:13" hidden="1" x14ac:dyDescent="0.2">
      <c r="A830" s="1">
        <v>3610139</v>
      </c>
      <c r="B830">
        <v>1</v>
      </c>
      <c r="C830">
        <v>2</v>
      </c>
      <c r="D830">
        <v>538</v>
      </c>
      <c r="E830">
        <v>602</v>
      </c>
      <c r="F830">
        <v>549</v>
      </c>
      <c r="G830">
        <v>646</v>
      </c>
      <c r="H830">
        <v>0</v>
      </c>
      <c r="I830">
        <f>VLOOKUP(Scores[[#This Row],[MRUN]],Demographics[],3,FALSE)</f>
        <v>5</v>
      </c>
      <c r="J830">
        <f>AVERAGE(Scores[[#This Row],[LYC]],Scores[[#This Row],[MATE]])</f>
        <v>575.5</v>
      </c>
      <c r="K830">
        <f>VLOOKUP(Scores[[#This Row],[MRUN]],Demographics[],6,FALSE)</f>
        <v>3</v>
      </c>
      <c r="L830">
        <f>VLOOKUP(Scores[[#This Row],[MRUN]],Demographics[], 7,FALSE)</f>
        <v>3</v>
      </c>
      <c r="M830">
        <f>VLOOKUP(Scores[[#This Row],[MRUN]],Demographics[], 5, FALSE)</f>
        <v>1</v>
      </c>
    </row>
    <row r="831" spans="1:13" hidden="1" x14ac:dyDescent="0.2">
      <c r="A831" s="1">
        <v>11086196</v>
      </c>
      <c r="B831">
        <v>2</v>
      </c>
      <c r="C831">
        <v>2</v>
      </c>
      <c r="D831">
        <v>517</v>
      </c>
      <c r="E831">
        <v>444</v>
      </c>
      <c r="F831">
        <v>413</v>
      </c>
      <c r="G831">
        <v>271</v>
      </c>
      <c r="H831">
        <v>0</v>
      </c>
      <c r="I831">
        <f>VLOOKUP(Scores[[#This Row],[MRUN]],Demographics[],3,FALSE)</f>
        <v>3</v>
      </c>
      <c r="J831">
        <f>AVERAGE(Scores[[#This Row],[LYC]],Scores[[#This Row],[MATE]])</f>
        <v>428.5</v>
      </c>
      <c r="K831">
        <f>VLOOKUP(Scores[[#This Row],[MRUN]],Demographics[],6,FALSE)</f>
        <v>5</v>
      </c>
      <c r="L831">
        <f>VLOOKUP(Scores[[#This Row],[MRUN]],Demographics[], 7,FALSE)</f>
        <v>5</v>
      </c>
      <c r="M831">
        <f>VLOOKUP(Scores[[#This Row],[MRUN]],Demographics[], 5, FALSE)</f>
        <v>1</v>
      </c>
    </row>
    <row r="832" spans="1:13" hidden="1" x14ac:dyDescent="0.2">
      <c r="A832" s="1">
        <v>6813962</v>
      </c>
      <c r="B832">
        <v>1</v>
      </c>
      <c r="C832">
        <v>3</v>
      </c>
      <c r="D832">
        <v>455</v>
      </c>
      <c r="E832">
        <v>458</v>
      </c>
      <c r="F832">
        <v>527</v>
      </c>
      <c r="G832">
        <v>527</v>
      </c>
      <c r="H832">
        <v>0</v>
      </c>
      <c r="I832">
        <f>VLOOKUP(Scores[[#This Row],[MRUN]],Demographics[],3,FALSE)</f>
        <v>0</v>
      </c>
      <c r="J832">
        <f>AVERAGE(Scores[[#This Row],[LYC]],Scores[[#This Row],[MATE]])</f>
        <v>492.5</v>
      </c>
      <c r="K832">
        <f>VLOOKUP(Scores[[#This Row],[MRUN]],Demographics[],6,FALSE)</f>
        <v>0</v>
      </c>
      <c r="L832">
        <f>VLOOKUP(Scores[[#This Row],[MRUN]],Demographics[], 7,FALSE)</f>
        <v>0</v>
      </c>
      <c r="M832">
        <f>VLOOKUP(Scores[[#This Row],[MRUN]],Demographics[], 5, FALSE)</f>
        <v>3</v>
      </c>
    </row>
    <row r="833" spans="1:13" hidden="1" x14ac:dyDescent="0.2">
      <c r="A833" s="1">
        <v>12688175</v>
      </c>
      <c r="B833">
        <v>2</v>
      </c>
      <c r="C833">
        <v>2</v>
      </c>
      <c r="D833">
        <v>539</v>
      </c>
      <c r="E833">
        <v>0</v>
      </c>
      <c r="F833">
        <v>0</v>
      </c>
      <c r="G833">
        <v>0</v>
      </c>
      <c r="H833">
        <v>0</v>
      </c>
      <c r="I833">
        <f>VLOOKUP(Scores[[#This Row],[MRUN]],Demographics[],3,FALSE)</f>
        <v>5</v>
      </c>
      <c r="J833">
        <f>AVERAGE(Scores[[#This Row],[LYC]],Scores[[#This Row],[MATE]])</f>
        <v>0</v>
      </c>
      <c r="K833">
        <f>VLOOKUP(Scores[[#This Row],[MRUN]],Demographics[],6,FALSE)</f>
        <v>4</v>
      </c>
      <c r="L833">
        <f>VLOOKUP(Scores[[#This Row],[MRUN]],Demographics[], 7,FALSE)</f>
        <v>4</v>
      </c>
      <c r="M833">
        <f>VLOOKUP(Scores[[#This Row],[MRUN]],Demographics[], 5, FALSE)</f>
        <v>1</v>
      </c>
    </row>
    <row r="834" spans="1:13" hidden="1" x14ac:dyDescent="0.2">
      <c r="A834" s="1">
        <v>12890932</v>
      </c>
      <c r="B834">
        <v>2</v>
      </c>
      <c r="C834">
        <v>2</v>
      </c>
      <c r="D834">
        <v>682</v>
      </c>
      <c r="E834">
        <v>464</v>
      </c>
      <c r="F834">
        <v>574</v>
      </c>
      <c r="G834">
        <v>0</v>
      </c>
      <c r="H834">
        <v>439</v>
      </c>
      <c r="I834">
        <f>VLOOKUP(Scores[[#This Row],[MRUN]],Demographics[],3,FALSE)</f>
        <v>4</v>
      </c>
      <c r="J834">
        <f>AVERAGE(Scores[[#This Row],[LYC]],Scores[[#This Row],[MATE]])</f>
        <v>519</v>
      </c>
      <c r="K834">
        <f>VLOOKUP(Scores[[#This Row],[MRUN]],Demographics[],6,FALSE)</f>
        <v>3</v>
      </c>
      <c r="L834">
        <f>VLOOKUP(Scores[[#This Row],[MRUN]],Demographics[], 7,FALSE)</f>
        <v>5</v>
      </c>
      <c r="M834">
        <f>VLOOKUP(Scores[[#This Row],[MRUN]],Demographics[], 5, FALSE)</f>
        <v>1</v>
      </c>
    </row>
    <row r="835" spans="1:13" hidden="1" x14ac:dyDescent="0.2">
      <c r="A835" s="1">
        <v>8343410</v>
      </c>
      <c r="B835">
        <v>1</v>
      </c>
      <c r="C835">
        <v>2</v>
      </c>
      <c r="D835">
        <v>499</v>
      </c>
      <c r="E835">
        <v>510</v>
      </c>
      <c r="F835">
        <v>531</v>
      </c>
      <c r="G835">
        <v>552</v>
      </c>
      <c r="H835">
        <v>0</v>
      </c>
      <c r="I835">
        <f>VLOOKUP(Scores[[#This Row],[MRUN]],Demographics[],3,FALSE)</f>
        <v>9</v>
      </c>
      <c r="J835">
        <f>AVERAGE(Scores[[#This Row],[LYC]],Scores[[#This Row],[MATE]])</f>
        <v>520.5</v>
      </c>
      <c r="K835">
        <f>VLOOKUP(Scores[[#This Row],[MRUN]],Demographics[],6,FALSE)</f>
        <v>5</v>
      </c>
      <c r="L835">
        <f>VLOOKUP(Scores[[#This Row],[MRUN]],Demographics[], 7,FALSE)</f>
        <v>8</v>
      </c>
      <c r="M835">
        <f>VLOOKUP(Scores[[#This Row],[MRUN]],Demographics[], 5, FALSE)</f>
        <v>2</v>
      </c>
    </row>
    <row r="836" spans="1:13" hidden="1" x14ac:dyDescent="0.2">
      <c r="A836" s="1">
        <v>4071425</v>
      </c>
      <c r="B836">
        <v>2</v>
      </c>
      <c r="C836">
        <v>3</v>
      </c>
      <c r="D836">
        <v>437</v>
      </c>
      <c r="E836">
        <v>0</v>
      </c>
      <c r="F836">
        <v>0</v>
      </c>
      <c r="G836">
        <v>0</v>
      </c>
      <c r="H836">
        <v>0</v>
      </c>
      <c r="I836">
        <f>VLOOKUP(Scores[[#This Row],[MRUN]],Demographics[],3,FALSE)</f>
        <v>6</v>
      </c>
      <c r="J836">
        <f>AVERAGE(Scores[[#This Row],[LYC]],Scores[[#This Row],[MATE]])</f>
        <v>0</v>
      </c>
      <c r="K836">
        <f>VLOOKUP(Scores[[#This Row],[MRUN]],Demographics[],6,FALSE)</f>
        <v>4</v>
      </c>
      <c r="L836">
        <f>VLOOKUP(Scores[[#This Row],[MRUN]],Demographics[], 7,FALSE)</f>
        <v>1</v>
      </c>
      <c r="M836">
        <f>VLOOKUP(Scores[[#This Row],[MRUN]],Demographics[], 5, FALSE)</f>
        <v>1</v>
      </c>
    </row>
    <row r="837" spans="1:13" hidden="1" x14ac:dyDescent="0.2">
      <c r="A837" s="1">
        <v>1934706</v>
      </c>
      <c r="B837">
        <v>2</v>
      </c>
      <c r="C837">
        <v>2</v>
      </c>
      <c r="D837">
        <v>621</v>
      </c>
      <c r="E837">
        <v>0</v>
      </c>
      <c r="F837">
        <v>0</v>
      </c>
      <c r="G837">
        <v>0</v>
      </c>
      <c r="H837">
        <v>0</v>
      </c>
      <c r="I837">
        <f>VLOOKUP(Scores[[#This Row],[MRUN]],Demographics[],3,FALSE)</f>
        <v>3</v>
      </c>
      <c r="J837">
        <f>AVERAGE(Scores[[#This Row],[LYC]],Scores[[#This Row],[MATE]])</f>
        <v>0</v>
      </c>
      <c r="K837">
        <f>VLOOKUP(Scores[[#This Row],[MRUN]],Demographics[],6,FALSE)</f>
        <v>4</v>
      </c>
      <c r="L837">
        <f>VLOOKUP(Scores[[#This Row],[MRUN]],Demographics[], 7,FALSE)</f>
        <v>3</v>
      </c>
      <c r="M837">
        <f>VLOOKUP(Scores[[#This Row],[MRUN]],Demographics[], 5, FALSE)</f>
        <v>1</v>
      </c>
    </row>
    <row r="838" spans="1:13" hidden="1" x14ac:dyDescent="0.2">
      <c r="A838" s="1">
        <v>24798265</v>
      </c>
      <c r="B838">
        <v>1</v>
      </c>
      <c r="C838">
        <v>2</v>
      </c>
      <c r="D838">
        <v>580</v>
      </c>
      <c r="E838">
        <v>464</v>
      </c>
      <c r="F838">
        <v>494</v>
      </c>
      <c r="G838">
        <v>479</v>
      </c>
      <c r="H838">
        <v>376</v>
      </c>
      <c r="I838">
        <f>VLOOKUP(Scores[[#This Row],[MRUN]],Demographics[],3,FALSE)</f>
        <v>4</v>
      </c>
      <c r="J838">
        <f>AVERAGE(Scores[[#This Row],[LYC]],Scores[[#This Row],[MATE]])</f>
        <v>479</v>
      </c>
      <c r="K838">
        <f>VLOOKUP(Scores[[#This Row],[MRUN]],Demographics[],6,FALSE)</f>
        <v>4</v>
      </c>
      <c r="L838">
        <f>VLOOKUP(Scores[[#This Row],[MRUN]],Demographics[], 7,FALSE)</f>
        <v>4</v>
      </c>
      <c r="M838">
        <f>VLOOKUP(Scores[[#This Row],[MRUN]],Demographics[], 5, FALSE)</f>
        <v>1</v>
      </c>
    </row>
    <row r="839" spans="1:13" hidden="1" x14ac:dyDescent="0.2">
      <c r="A839" s="1">
        <v>7275189</v>
      </c>
      <c r="B839">
        <v>2</v>
      </c>
      <c r="C839">
        <v>2</v>
      </c>
      <c r="D839">
        <v>599</v>
      </c>
      <c r="E839">
        <v>561</v>
      </c>
      <c r="F839">
        <v>523</v>
      </c>
      <c r="G839">
        <v>562</v>
      </c>
      <c r="H839">
        <v>0</v>
      </c>
      <c r="I839">
        <f>VLOOKUP(Scores[[#This Row],[MRUN]],Demographics[],3,FALSE)</f>
        <v>7</v>
      </c>
      <c r="J839">
        <f>AVERAGE(Scores[[#This Row],[LYC]],Scores[[#This Row],[MATE]])</f>
        <v>542</v>
      </c>
      <c r="K839">
        <f>VLOOKUP(Scores[[#This Row],[MRUN]],Demographics[],6,FALSE)</f>
        <v>5</v>
      </c>
      <c r="L839">
        <f>VLOOKUP(Scores[[#This Row],[MRUN]],Demographics[], 7,FALSE)</f>
        <v>5</v>
      </c>
      <c r="M839">
        <f>VLOOKUP(Scores[[#This Row],[MRUN]],Demographics[], 5, FALSE)</f>
        <v>1</v>
      </c>
    </row>
    <row r="840" spans="1:13" hidden="1" x14ac:dyDescent="0.2">
      <c r="A840" s="1">
        <v>20959286</v>
      </c>
      <c r="B840">
        <v>1</v>
      </c>
      <c r="C840">
        <v>2</v>
      </c>
      <c r="D840">
        <v>397</v>
      </c>
      <c r="E840">
        <v>438</v>
      </c>
      <c r="F840">
        <v>512</v>
      </c>
      <c r="G840">
        <v>421</v>
      </c>
      <c r="H840">
        <v>0</v>
      </c>
      <c r="I840">
        <f>VLOOKUP(Scores[[#This Row],[MRUN]],Demographics[],3,FALSE)</f>
        <v>4</v>
      </c>
      <c r="J840">
        <f>AVERAGE(Scores[[#This Row],[LYC]],Scores[[#This Row],[MATE]])</f>
        <v>475</v>
      </c>
      <c r="K840">
        <f>VLOOKUP(Scores[[#This Row],[MRUN]],Demographics[],6,FALSE)</f>
        <v>3</v>
      </c>
      <c r="L840">
        <f>VLOOKUP(Scores[[#This Row],[MRUN]],Demographics[], 7,FALSE)</f>
        <v>5</v>
      </c>
      <c r="M840">
        <f>VLOOKUP(Scores[[#This Row],[MRUN]],Demographics[], 5, FALSE)</f>
        <v>1</v>
      </c>
    </row>
    <row r="841" spans="1:13" hidden="1" x14ac:dyDescent="0.2">
      <c r="A841" s="1">
        <v>9844777</v>
      </c>
      <c r="B841">
        <v>2</v>
      </c>
      <c r="C841">
        <v>2</v>
      </c>
      <c r="D841">
        <v>599</v>
      </c>
      <c r="E841">
        <v>547</v>
      </c>
      <c r="F841">
        <v>596</v>
      </c>
      <c r="G841">
        <v>597</v>
      </c>
      <c r="H841">
        <v>543</v>
      </c>
      <c r="I841">
        <f>VLOOKUP(Scores[[#This Row],[MRUN]],Demographics[],3,FALSE)</f>
        <v>4</v>
      </c>
      <c r="J841">
        <f>AVERAGE(Scores[[#This Row],[LYC]],Scores[[#This Row],[MATE]])</f>
        <v>571.5</v>
      </c>
      <c r="K841">
        <f>VLOOKUP(Scores[[#This Row],[MRUN]],Demographics[],6,FALSE)</f>
        <v>5</v>
      </c>
      <c r="L841">
        <f>VLOOKUP(Scores[[#This Row],[MRUN]],Demographics[], 7,FALSE)</f>
        <v>5</v>
      </c>
      <c r="M841">
        <f>VLOOKUP(Scores[[#This Row],[MRUN]],Demographics[], 5, FALSE)</f>
        <v>1</v>
      </c>
    </row>
    <row r="842" spans="1:13" hidden="1" x14ac:dyDescent="0.2">
      <c r="A842" s="1">
        <v>12948005</v>
      </c>
      <c r="B842">
        <v>1</v>
      </c>
      <c r="C842">
        <v>2</v>
      </c>
      <c r="D842">
        <v>376</v>
      </c>
      <c r="E842">
        <v>451</v>
      </c>
      <c r="F842">
        <v>463</v>
      </c>
      <c r="G842">
        <v>531</v>
      </c>
      <c r="H842">
        <v>0</v>
      </c>
      <c r="I842">
        <f>VLOOKUP(Scores[[#This Row],[MRUN]],Demographics[],3,FALSE)</f>
        <v>5</v>
      </c>
      <c r="J842">
        <f>AVERAGE(Scores[[#This Row],[LYC]],Scores[[#This Row],[MATE]])</f>
        <v>457</v>
      </c>
      <c r="K842">
        <f>VLOOKUP(Scores[[#This Row],[MRUN]],Demographics[],6,FALSE)</f>
        <v>2</v>
      </c>
      <c r="L842">
        <f>VLOOKUP(Scores[[#This Row],[MRUN]],Demographics[], 7,FALSE)</f>
        <v>5</v>
      </c>
      <c r="M842">
        <f>VLOOKUP(Scores[[#This Row],[MRUN]],Demographics[], 5, FALSE)</f>
        <v>1</v>
      </c>
    </row>
    <row r="843" spans="1:13" hidden="1" x14ac:dyDescent="0.2">
      <c r="A843" s="1">
        <v>23629126</v>
      </c>
      <c r="B843">
        <v>1</v>
      </c>
      <c r="C843">
        <v>2</v>
      </c>
      <c r="D843">
        <v>599</v>
      </c>
      <c r="E843">
        <v>526</v>
      </c>
      <c r="F843">
        <v>512</v>
      </c>
      <c r="G843">
        <v>512</v>
      </c>
      <c r="H843">
        <v>0</v>
      </c>
      <c r="I843">
        <f>VLOOKUP(Scores[[#This Row],[MRUN]],Demographics[],3,FALSE)</f>
        <v>4</v>
      </c>
      <c r="J843">
        <f>AVERAGE(Scores[[#This Row],[LYC]],Scores[[#This Row],[MATE]])</f>
        <v>519</v>
      </c>
      <c r="K843">
        <f>VLOOKUP(Scores[[#This Row],[MRUN]],Demographics[],6,FALSE)</f>
        <v>5</v>
      </c>
      <c r="L843">
        <f>VLOOKUP(Scores[[#This Row],[MRUN]],Demographics[], 7,FALSE)</f>
        <v>4</v>
      </c>
      <c r="M843">
        <f>VLOOKUP(Scores[[#This Row],[MRUN]],Demographics[], 5, FALSE)</f>
        <v>1</v>
      </c>
    </row>
    <row r="844" spans="1:13" hidden="1" x14ac:dyDescent="0.2">
      <c r="A844" s="1">
        <v>22027512</v>
      </c>
      <c r="B844">
        <v>1</v>
      </c>
      <c r="C844">
        <v>2</v>
      </c>
      <c r="D844">
        <v>437</v>
      </c>
      <c r="E844">
        <v>415</v>
      </c>
      <c r="F844">
        <v>428</v>
      </c>
      <c r="G844">
        <v>0</v>
      </c>
      <c r="H844">
        <v>361</v>
      </c>
      <c r="I844">
        <f>VLOOKUP(Scores[[#This Row],[MRUN]],Demographics[],3,FALSE)</f>
        <v>0</v>
      </c>
      <c r="J844">
        <f>AVERAGE(Scores[[#This Row],[LYC]],Scores[[#This Row],[MATE]])</f>
        <v>421.5</v>
      </c>
      <c r="K844">
        <f>VLOOKUP(Scores[[#This Row],[MRUN]],Demographics[],6,FALSE)</f>
        <v>0</v>
      </c>
      <c r="L844">
        <f>VLOOKUP(Scores[[#This Row],[MRUN]],Demographics[], 7,FALSE)</f>
        <v>0</v>
      </c>
      <c r="M844">
        <f>VLOOKUP(Scores[[#This Row],[MRUN]],Demographics[], 5, FALSE)</f>
        <v>1</v>
      </c>
    </row>
    <row r="845" spans="1:13" hidden="1" x14ac:dyDescent="0.2">
      <c r="A845" s="1">
        <v>14217833</v>
      </c>
      <c r="B845">
        <v>1</v>
      </c>
      <c r="C845">
        <v>2</v>
      </c>
      <c r="D845">
        <v>455</v>
      </c>
      <c r="E845">
        <v>444</v>
      </c>
      <c r="F845">
        <v>413</v>
      </c>
      <c r="G845">
        <v>397</v>
      </c>
      <c r="H845">
        <v>0</v>
      </c>
      <c r="I845">
        <f>VLOOKUP(Scores[[#This Row],[MRUN]],Demographics[],3,FALSE)</f>
        <v>4</v>
      </c>
      <c r="J845">
        <f>AVERAGE(Scores[[#This Row],[LYC]],Scores[[#This Row],[MATE]])</f>
        <v>428.5</v>
      </c>
      <c r="K845">
        <f>VLOOKUP(Scores[[#This Row],[MRUN]],Demographics[],6,FALSE)</f>
        <v>4</v>
      </c>
      <c r="L845">
        <f>VLOOKUP(Scores[[#This Row],[MRUN]],Demographics[], 7,FALSE)</f>
        <v>5</v>
      </c>
      <c r="M845">
        <f>VLOOKUP(Scores[[#This Row],[MRUN]],Demographics[], 5, FALSE)</f>
        <v>1</v>
      </c>
    </row>
    <row r="846" spans="1:13" hidden="1" x14ac:dyDescent="0.2">
      <c r="A846" s="1">
        <v>5139343</v>
      </c>
      <c r="B846">
        <v>1</v>
      </c>
      <c r="C846">
        <v>2</v>
      </c>
      <c r="D846">
        <v>579</v>
      </c>
      <c r="E846">
        <v>476</v>
      </c>
      <c r="F846">
        <v>506</v>
      </c>
      <c r="G846">
        <v>527</v>
      </c>
      <c r="H846">
        <v>0</v>
      </c>
      <c r="I846">
        <f>VLOOKUP(Scores[[#This Row],[MRUN]],Demographics[],3,FALSE)</f>
        <v>6</v>
      </c>
      <c r="J846">
        <f>AVERAGE(Scores[[#This Row],[LYC]],Scores[[#This Row],[MATE]])</f>
        <v>491</v>
      </c>
      <c r="K846">
        <f>VLOOKUP(Scores[[#This Row],[MRUN]],Demographics[],6,FALSE)</f>
        <v>5</v>
      </c>
      <c r="L846">
        <f>VLOOKUP(Scores[[#This Row],[MRUN]],Demographics[], 7,FALSE)</f>
        <v>5</v>
      </c>
      <c r="M846">
        <f>VLOOKUP(Scores[[#This Row],[MRUN]],Demographics[], 5, FALSE)</f>
        <v>1</v>
      </c>
    </row>
    <row r="847" spans="1:13" hidden="1" x14ac:dyDescent="0.2">
      <c r="A847" s="1">
        <v>14651360</v>
      </c>
      <c r="B847">
        <v>1</v>
      </c>
      <c r="C847">
        <v>2</v>
      </c>
      <c r="D847">
        <v>499</v>
      </c>
      <c r="E847">
        <v>444</v>
      </c>
      <c r="F847">
        <v>494</v>
      </c>
      <c r="G847">
        <v>521</v>
      </c>
      <c r="H847">
        <v>0</v>
      </c>
      <c r="I847">
        <f>VLOOKUP(Scores[[#This Row],[MRUN]],Demographics[],3,FALSE)</f>
        <v>4</v>
      </c>
      <c r="J847">
        <f>AVERAGE(Scores[[#This Row],[LYC]],Scores[[#This Row],[MATE]])</f>
        <v>469</v>
      </c>
      <c r="K847">
        <f>VLOOKUP(Scores[[#This Row],[MRUN]],Demographics[],6,FALSE)</f>
        <v>4</v>
      </c>
      <c r="L847">
        <f>VLOOKUP(Scores[[#This Row],[MRUN]],Demographics[], 7,FALSE)</f>
        <v>3</v>
      </c>
      <c r="M847">
        <f>VLOOKUP(Scores[[#This Row],[MRUN]],Demographics[], 5, FALSE)</f>
        <v>1</v>
      </c>
    </row>
    <row r="848" spans="1:13" hidden="1" x14ac:dyDescent="0.2">
      <c r="A848" s="1">
        <v>14550429</v>
      </c>
      <c r="B848">
        <v>1</v>
      </c>
      <c r="C848">
        <v>3</v>
      </c>
      <c r="D848">
        <v>499</v>
      </c>
      <c r="E848">
        <v>356</v>
      </c>
      <c r="F848">
        <v>395</v>
      </c>
      <c r="G848">
        <v>370</v>
      </c>
      <c r="H848">
        <v>0</v>
      </c>
      <c r="I848">
        <f>VLOOKUP(Scores[[#This Row],[MRUN]],Demographics[],3,FALSE)</f>
        <v>4</v>
      </c>
      <c r="J848">
        <f>AVERAGE(Scores[[#This Row],[LYC]],Scores[[#This Row],[MATE]])</f>
        <v>375.5</v>
      </c>
      <c r="K848">
        <f>VLOOKUP(Scores[[#This Row],[MRUN]],Demographics[],6,FALSE)</f>
        <v>5</v>
      </c>
      <c r="L848">
        <f>VLOOKUP(Scores[[#This Row],[MRUN]],Demographics[], 7,FALSE)</f>
        <v>5</v>
      </c>
      <c r="M848">
        <f>VLOOKUP(Scores[[#This Row],[MRUN]],Demographics[], 5, FALSE)</f>
        <v>1</v>
      </c>
    </row>
    <row r="849" spans="1:13" hidden="1" x14ac:dyDescent="0.2">
      <c r="A849" s="1">
        <v>1198161</v>
      </c>
      <c r="B849">
        <v>2</v>
      </c>
      <c r="C849">
        <v>3</v>
      </c>
      <c r="D849">
        <v>417</v>
      </c>
      <c r="E849">
        <v>444</v>
      </c>
      <c r="F849">
        <v>428</v>
      </c>
      <c r="G849">
        <v>0</v>
      </c>
      <c r="H849">
        <v>376</v>
      </c>
      <c r="I849">
        <f>VLOOKUP(Scores[[#This Row],[MRUN]],Demographics[],3,FALSE)</f>
        <v>5</v>
      </c>
      <c r="J849">
        <f>AVERAGE(Scores[[#This Row],[LYC]],Scores[[#This Row],[MATE]])</f>
        <v>436</v>
      </c>
      <c r="K849">
        <f>VLOOKUP(Scores[[#This Row],[MRUN]],Demographics[],6,FALSE)</f>
        <v>4</v>
      </c>
      <c r="L849">
        <f>VLOOKUP(Scores[[#This Row],[MRUN]],Demographics[], 7,FALSE)</f>
        <v>3</v>
      </c>
      <c r="M849">
        <f>VLOOKUP(Scores[[#This Row],[MRUN]],Demographics[], 5, FALSE)</f>
        <v>1</v>
      </c>
    </row>
    <row r="850" spans="1:13" hidden="1" x14ac:dyDescent="0.2">
      <c r="A850" s="1">
        <v>2800967</v>
      </c>
      <c r="B850">
        <v>2</v>
      </c>
      <c r="C850">
        <v>2</v>
      </c>
      <c r="D850">
        <v>641</v>
      </c>
      <c r="E850">
        <v>661</v>
      </c>
      <c r="F850">
        <v>517</v>
      </c>
      <c r="G850">
        <v>592</v>
      </c>
      <c r="H850">
        <v>0</v>
      </c>
      <c r="I850">
        <f>VLOOKUP(Scores[[#This Row],[MRUN]],Demographics[],3,FALSE)</f>
        <v>3</v>
      </c>
      <c r="J850">
        <f>AVERAGE(Scores[[#This Row],[LYC]],Scores[[#This Row],[MATE]])</f>
        <v>589</v>
      </c>
      <c r="K850">
        <f>VLOOKUP(Scores[[#This Row],[MRUN]],Demographics[],6,FALSE)</f>
        <v>0</v>
      </c>
      <c r="L850">
        <f>VLOOKUP(Scores[[#This Row],[MRUN]],Demographics[], 7,FALSE)</f>
        <v>9</v>
      </c>
      <c r="M850">
        <f>VLOOKUP(Scores[[#This Row],[MRUN]],Demographics[], 5, FALSE)</f>
        <v>1</v>
      </c>
    </row>
    <row r="851" spans="1:13" hidden="1" x14ac:dyDescent="0.2">
      <c r="A851" s="1">
        <v>23527554</v>
      </c>
      <c r="B851">
        <v>1</v>
      </c>
      <c r="C851">
        <v>3</v>
      </c>
      <c r="D851">
        <v>579</v>
      </c>
      <c r="E851">
        <v>567</v>
      </c>
      <c r="F851">
        <v>644</v>
      </c>
      <c r="G851">
        <v>0</v>
      </c>
      <c r="H851">
        <v>598</v>
      </c>
      <c r="I851">
        <f>VLOOKUP(Scores[[#This Row],[MRUN]],Demographics[],3,FALSE)</f>
        <v>3</v>
      </c>
      <c r="J851">
        <f>AVERAGE(Scores[[#This Row],[LYC]],Scores[[#This Row],[MATE]])</f>
        <v>605.5</v>
      </c>
      <c r="K851">
        <f>VLOOKUP(Scores[[#This Row],[MRUN]],Demographics[],6,FALSE)</f>
        <v>5</v>
      </c>
      <c r="L851">
        <f>VLOOKUP(Scores[[#This Row],[MRUN]],Demographics[], 7,FALSE)</f>
        <v>5</v>
      </c>
      <c r="M851">
        <f>VLOOKUP(Scores[[#This Row],[MRUN]],Demographics[], 5, FALSE)</f>
        <v>1</v>
      </c>
    </row>
    <row r="852" spans="1:13" hidden="1" x14ac:dyDescent="0.2">
      <c r="A852" s="1">
        <v>14751867</v>
      </c>
      <c r="B852">
        <v>1</v>
      </c>
      <c r="C852">
        <v>2</v>
      </c>
      <c r="D852">
        <v>558</v>
      </c>
      <c r="E852">
        <v>537</v>
      </c>
      <c r="F852">
        <v>552</v>
      </c>
      <c r="G852">
        <v>495</v>
      </c>
      <c r="H852">
        <v>516</v>
      </c>
      <c r="I852">
        <f>VLOOKUP(Scores[[#This Row],[MRUN]],Demographics[],3,FALSE)</f>
        <v>4</v>
      </c>
      <c r="J852">
        <f>AVERAGE(Scores[[#This Row],[LYC]],Scores[[#This Row],[MATE]])</f>
        <v>544.5</v>
      </c>
      <c r="K852">
        <f>VLOOKUP(Scores[[#This Row],[MRUN]],Demographics[],6,FALSE)</f>
        <v>2</v>
      </c>
      <c r="L852">
        <f>VLOOKUP(Scores[[#This Row],[MRUN]],Demographics[], 7,FALSE)</f>
        <v>2</v>
      </c>
      <c r="M852">
        <f>VLOOKUP(Scores[[#This Row],[MRUN]],Demographics[], 5, FALSE)</f>
        <v>1</v>
      </c>
    </row>
    <row r="853" spans="1:13" hidden="1" x14ac:dyDescent="0.2">
      <c r="A853" s="1">
        <v>12615919</v>
      </c>
      <c r="B853">
        <v>2</v>
      </c>
      <c r="C853">
        <v>2</v>
      </c>
      <c r="D853">
        <v>641</v>
      </c>
      <c r="E853">
        <v>592</v>
      </c>
      <c r="F853">
        <v>552</v>
      </c>
      <c r="G853">
        <v>572</v>
      </c>
      <c r="H853">
        <v>0</v>
      </c>
      <c r="I853">
        <f>VLOOKUP(Scores[[#This Row],[MRUN]],Demographics[],3,FALSE)</f>
        <v>5</v>
      </c>
      <c r="J853">
        <f>AVERAGE(Scores[[#This Row],[LYC]],Scores[[#This Row],[MATE]])</f>
        <v>572</v>
      </c>
      <c r="K853">
        <f>VLOOKUP(Scores[[#This Row],[MRUN]],Demographics[],6,FALSE)</f>
        <v>3</v>
      </c>
      <c r="L853">
        <f>VLOOKUP(Scores[[#This Row],[MRUN]],Demographics[], 7,FALSE)</f>
        <v>3</v>
      </c>
      <c r="M853">
        <f>VLOOKUP(Scores[[#This Row],[MRUN]],Demographics[], 5, FALSE)</f>
        <v>1</v>
      </c>
    </row>
    <row r="854" spans="1:13" hidden="1" x14ac:dyDescent="0.2">
      <c r="A854" s="1">
        <v>8776775</v>
      </c>
      <c r="B854">
        <v>1</v>
      </c>
      <c r="C854">
        <v>2</v>
      </c>
      <c r="D854">
        <v>538</v>
      </c>
      <c r="E854">
        <v>415</v>
      </c>
      <c r="F854">
        <v>560</v>
      </c>
      <c r="G854">
        <v>0</v>
      </c>
      <c r="H854">
        <v>428</v>
      </c>
      <c r="I854">
        <f>VLOOKUP(Scores[[#This Row],[MRUN]],Demographics[],3,FALSE)</f>
        <v>6</v>
      </c>
      <c r="J854">
        <f>AVERAGE(Scores[[#This Row],[LYC]],Scores[[#This Row],[MATE]])</f>
        <v>487.5</v>
      </c>
      <c r="K854">
        <f>VLOOKUP(Scores[[#This Row],[MRUN]],Demographics[],6,FALSE)</f>
        <v>5</v>
      </c>
      <c r="L854">
        <f>VLOOKUP(Scores[[#This Row],[MRUN]],Demographics[], 7,FALSE)</f>
        <v>5</v>
      </c>
      <c r="M854">
        <f>VLOOKUP(Scores[[#This Row],[MRUN]],Demographics[], 5, FALSE)</f>
        <v>2</v>
      </c>
    </row>
    <row r="855" spans="1:13" hidden="1" x14ac:dyDescent="0.2">
      <c r="A855" s="1">
        <v>13583136</v>
      </c>
      <c r="B855">
        <v>1</v>
      </c>
      <c r="C855">
        <v>2</v>
      </c>
      <c r="D855">
        <v>560</v>
      </c>
      <c r="E855">
        <v>483</v>
      </c>
      <c r="F855">
        <v>441</v>
      </c>
      <c r="G855">
        <v>516</v>
      </c>
      <c r="H855">
        <v>459</v>
      </c>
      <c r="I855">
        <f>VLOOKUP(Scores[[#This Row],[MRUN]],Demographics[],3,FALSE)</f>
        <v>3</v>
      </c>
      <c r="J855">
        <f>AVERAGE(Scores[[#This Row],[LYC]],Scores[[#This Row],[MATE]])</f>
        <v>462</v>
      </c>
      <c r="K855">
        <f>VLOOKUP(Scores[[#This Row],[MRUN]],Demographics[],6,FALSE)</f>
        <v>2</v>
      </c>
      <c r="L855">
        <f>VLOOKUP(Scores[[#This Row],[MRUN]],Demographics[], 7,FALSE)</f>
        <v>5</v>
      </c>
      <c r="M855">
        <f>VLOOKUP(Scores[[#This Row],[MRUN]],Demographics[], 5, FALSE)</f>
        <v>1</v>
      </c>
    </row>
    <row r="856" spans="1:13" hidden="1" x14ac:dyDescent="0.2">
      <c r="A856" s="1">
        <v>6207812</v>
      </c>
      <c r="B856">
        <v>2</v>
      </c>
      <c r="C856">
        <v>2</v>
      </c>
      <c r="D856">
        <v>558</v>
      </c>
      <c r="E856">
        <v>516</v>
      </c>
      <c r="F856">
        <v>560</v>
      </c>
      <c r="G856">
        <v>484</v>
      </c>
      <c r="H856">
        <v>0</v>
      </c>
      <c r="I856">
        <f>VLOOKUP(Scores[[#This Row],[MRUN]],Demographics[],3,FALSE)</f>
        <v>3</v>
      </c>
      <c r="J856">
        <f>AVERAGE(Scores[[#This Row],[LYC]],Scores[[#This Row],[MATE]])</f>
        <v>538</v>
      </c>
      <c r="K856">
        <f>VLOOKUP(Scores[[#This Row],[MRUN]],Demographics[],6,FALSE)</f>
        <v>4</v>
      </c>
      <c r="L856">
        <f>VLOOKUP(Scores[[#This Row],[MRUN]],Demographics[], 7,FALSE)</f>
        <v>9</v>
      </c>
      <c r="M856">
        <f>VLOOKUP(Scores[[#This Row],[MRUN]],Demographics[], 5, FALSE)</f>
        <v>2</v>
      </c>
    </row>
    <row r="857" spans="1:13" hidden="1" x14ac:dyDescent="0.2">
      <c r="A857" s="1">
        <v>4071424</v>
      </c>
      <c r="B857">
        <v>1</v>
      </c>
      <c r="C857">
        <v>2</v>
      </c>
      <c r="D857">
        <v>437</v>
      </c>
      <c r="E857">
        <v>0</v>
      </c>
      <c r="F857">
        <v>0</v>
      </c>
      <c r="G857">
        <v>0</v>
      </c>
      <c r="H857">
        <v>0</v>
      </c>
      <c r="I857">
        <f>VLOOKUP(Scores[[#This Row],[MRUN]],Demographics[],3,FALSE)</f>
        <v>5</v>
      </c>
      <c r="J857">
        <f>AVERAGE(Scores[[#This Row],[LYC]],Scores[[#This Row],[MATE]])</f>
        <v>0</v>
      </c>
      <c r="K857">
        <f>VLOOKUP(Scores[[#This Row],[MRUN]],Demographics[],6,FALSE)</f>
        <v>4</v>
      </c>
      <c r="L857">
        <f>VLOOKUP(Scores[[#This Row],[MRUN]],Demographics[], 7,FALSE)</f>
        <v>2</v>
      </c>
      <c r="M857">
        <f>VLOOKUP(Scores[[#This Row],[MRUN]],Demographics[], 5, FALSE)</f>
        <v>1</v>
      </c>
    </row>
    <row r="858" spans="1:13" hidden="1" x14ac:dyDescent="0.2">
      <c r="A858" s="1">
        <v>24061501</v>
      </c>
      <c r="B858">
        <v>2</v>
      </c>
      <c r="C858">
        <v>2</v>
      </c>
      <c r="D858">
        <v>661</v>
      </c>
      <c r="E858">
        <v>547</v>
      </c>
      <c r="F858">
        <v>571</v>
      </c>
      <c r="G858">
        <v>592</v>
      </c>
      <c r="H858">
        <v>0</v>
      </c>
      <c r="I858">
        <f>VLOOKUP(Scores[[#This Row],[MRUN]],Demographics[],3,FALSE)</f>
        <v>0</v>
      </c>
      <c r="J858">
        <f>AVERAGE(Scores[[#This Row],[LYC]],Scores[[#This Row],[MATE]])</f>
        <v>559</v>
      </c>
      <c r="K858">
        <f>VLOOKUP(Scores[[#This Row],[MRUN]],Demographics[],6,FALSE)</f>
        <v>5</v>
      </c>
      <c r="L858">
        <f>VLOOKUP(Scores[[#This Row],[MRUN]],Demographics[], 7,FALSE)</f>
        <v>5</v>
      </c>
      <c r="M858">
        <f>VLOOKUP(Scores[[#This Row],[MRUN]],Demographics[], 5, FALSE)</f>
        <v>1</v>
      </c>
    </row>
    <row r="859" spans="1:13" hidden="1" x14ac:dyDescent="0.2">
      <c r="A859" s="1">
        <v>7275188</v>
      </c>
      <c r="B859">
        <v>2</v>
      </c>
      <c r="C859">
        <v>2</v>
      </c>
      <c r="D859">
        <v>661</v>
      </c>
      <c r="E859">
        <v>613</v>
      </c>
      <c r="F859">
        <v>523</v>
      </c>
      <c r="G859">
        <v>0</v>
      </c>
      <c r="H859">
        <v>571</v>
      </c>
      <c r="I859">
        <f>VLOOKUP(Scores[[#This Row],[MRUN]],Demographics[],3,FALSE)</f>
        <v>2</v>
      </c>
      <c r="J859">
        <f>AVERAGE(Scores[[#This Row],[LYC]],Scores[[#This Row],[MATE]])</f>
        <v>568</v>
      </c>
      <c r="K859">
        <f>VLOOKUP(Scores[[#This Row],[MRUN]],Demographics[],6,FALSE)</f>
        <v>0</v>
      </c>
      <c r="L859">
        <f>VLOOKUP(Scores[[#This Row],[MRUN]],Demographics[], 7,FALSE)</f>
        <v>2</v>
      </c>
      <c r="M859">
        <f>VLOOKUP(Scores[[#This Row],[MRUN]],Demographics[], 5, FALSE)</f>
        <v>1</v>
      </c>
    </row>
    <row r="860" spans="1:13" hidden="1" x14ac:dyDescent="0.2">
      <c r="A860" s="1">
        <v>3970506</v>
      </c>
      <c r="B860">
        <v>1</v>
      </c>
      <c r="C860">
        <v>2</v>
      </c>
      <c r="D860">
        <v>538</v>
      </c>
      <c r="E860">
        <v>531</v>
      </c>
      <c r="F860">
        <v>494</v>
      </c>
      <c r="G860">
        <v>0</v>
      </c>
      <c r="H860">
        <v>475</v>
      </c>
      <c r="I860">
        <f>VLOOKUP(Scores[[#This Row],[MRUN]],Demographics[],3,FALSE)</f>
        <v>4</v>
      </c>
      <c r="J860">
        <f>AVERAGE(Scores[[#This Row],[LYC]],Scores[[#This Row],[MATE]])</f>
        <v>512.5</v>
      </c>
      <c r="K860">
        <f>VLOOKUP(Scores[[#This Row],[MRUN]],Demographics[],6,FALSE)</f>
        <v>5</v>
      </c>
      <c r="L860">
        <f>VLOOKUP(Scores[[#This Row],[MRUN]],Demographics[], 7,FALSE)</f>
        <v>5</v>
      </c>
      <c r="M860">
        <f>VLOOKUP(Scores[[#This Row],[MRUN]],Demographics[], 5, FALSE)</f>
        <v>2</v>
      </c>
    </row>
    <row r="861" spans="1:13" hidden="1" x14ac:dyDescent="0.2">
      <c r="A861" s="1">
        <v>20959285</v>
      </c>
      <c r="B861">
        <v>2</v>
      </c>
      <c r="C861">
        <v>2</v>
      </c>
      <c r="D861">
        <v>538</v>
      </c>
      <c r="E861">
        <v>458</v>
      </c>
      <c r="F861">
        <v>564</v>
      </c>
      <c r="G861">
        <v>0</v>
      </c>
      <c r="H861">
        <v>439</v>
      </c>
      <c r="I861">
        <f>VLOOKUP(Scores[[#This Row],[MRUN]],Demographics[],3,FALSE)</f>
        <v>5</v>
      </c>
      <c r="J861">
        <f>AVERAGE(Scores[[#This Row],[LYC]],Scores[[#This Row],[MATE]])</f>
        <v>511</v>
      </c>
      <c r="K861">
        <f>VLOOKUP(Scores[[#This Row],[MRUN]],Demographics[],6,FALSE)</f>
        <v>2</v>
      </c>
      <c r="L861">
        <f>VLOOKUP(Scores[[#This Row],[MRUN]],Demographics[], 7,FALSE)</f>
        <v>5</v>
      </c>
      <c r="M861">
        <f>VLOOKUP(Scores[[#This Row],[MRUN]],Demographics[], 5, FALSE)</f>
        <v>1</v>
      </c>
    </row>
    <row r="862" spans="1:13" hidden="1" x14ac:dyDescent="0.2">
      <c r="A862" s="1">
        <v>3003510</v>
      </c>
      <c r="B862">
        <v>2</v>
      </c>
      <c r="C862">
        <v>3</v>
      </c>
      <c r="D862">
        <v>539</v>
      </c>
      <c r="E862">
        <v>444</v>
      </c>
      <c r="F862">
        <v>395</v>
      </c>
      <c r="G862">
        <v>0</v>
      </c>
      <c r="H862">
        <v>468</v>
      </c>
      <c r="I862">
        <f>VLOOKUP(Scores[[#This Row],[MRUN]],Demographics[],3,FALSE)</f>
        <v>5</v>
      </c>
      <c r="J862">
        <f>AVERAGE(Scores[[#This Row],[LYC]],Scores[[#This Row],[MATE]])</f>
        <v>419.5</v>
      </c>
      <c r="K862">
        <f>VLOOKUP(Scores[[#This Row],[MRUN]],Demographics[],6,FALSE)</f>
        <v>4</v>
      </c>
      <c r="L862">
        <f>VLOOKUP(Scores[[#This Row],[MRUN]],Demographics[], 7,FALSE)</f>
        <v>0</v>
      </c>
      <c r="M862">
        <f>VLOOKUP(Scores[[#This Row],[MRUN]],Demographics[], 5, FALSE)</f>
        <v>1</v>
      </c>
    </row>
    <row r="863" spans="1:13" hidden="1" x14ac:dyDescent="0.2">
      <c r="A863" s="1">
        <v>8877352</v>
      </c>
      <c r="B863">
        <v>2</v>
      </c>
      <c r="C863">
        <v>3</v>
      </c>
      <c r="D863">
        <v>558</v>
      </c>
      <c r="E863">
        <v>488</v>
      </c>
      <c r="F863">
        <v>540</v>
      </c>
      <c r="G863">
        <v>461</v>
      </c>
      <c r="H863">
        <v>0</v>
      </c>
      <c r="I863">
        <f>VLOOKUP(Scores[[#This Row],[MRUN]],Demographics[],3,FALSE)</f>
        <v>3</v>
      </c>
      <c r="J863">
        <f>AVERAGE(Scores[[#This Row],[LYC]],Scores[[#This Row],[MATE]])</f>
        <v>514</v>
      </c>
      <c r="K863">
        <f>VLOOKUP(Scores[[#This Row],[MRUN]],Demographics[],6,FALSE)</f>
        <v>0</v>
      </c>
      <c r="L863">
        <f>VLOOKUP(Scores[[#This Row],[MRUN]],Demographics[], 7,FALSE)</f>
        <v>7</v>
      </c>
      <c r="M863">
        <f>VLOOKUP(Scores[[#This Row],[MRUN]],Demographics[], 5, FALSE)</f>
        <v>1</v>
      </c>
    </row>
    <row r="864" spans="1:13" hidden="1" x14ac:dyDescent="0.2">
      <c r="A864" s="1">
        <v>15718862</v>
      </c>
      <c r="B864">
        <v>2</v>
      </c>
      <c r="C864">
        <v>2</v>
      </c>
      <c r="D864">
        <v>641</v>
      </c>
      <c r="E864">
        <v>551</v>
      </c>
      <c r="F864">
        <v>603</v>
      </c>
      <c r="G864">
        <v>537</v>
      </c>
      <c r="H864">
        <v>0</v>
      </c>
      <c r="I864">
        <f>VLOOKUP(Scores[[#This Row],[MRUN]],Demographics[],3,FALSE)</f>
        <v>6</v>
      </c>
      <c r="J864">
        <f>AVERAGE(Scores[[#This Row],[LYC]],Scores[[#This Row],[MATE]])</f>
        <v>577</v>
      </c>
      <c r="K864">
        <f>VLOOKUP(Scores[[#This Row],[MRUN]],Demographics[],6,FALSE)</f>
        <v>9</v>
      </c>
      <c r="L864">
        <f>VLOOKUP(Scores[[#This Row],[MRUN]],Demographics[], 7,FALSE)</f>
        <v>5</v>
      </c>
      <c r="M864">
        <f>VLOOKUP(Scores[[#This Row],[MRUN]],Demographics[], 5, FALSE)</f>
        <v>2</v>
      </c>
    </row>
    <row r="865" spans="1:13" hidden="1" x14ac:dyDescent="0.2">
      <c r="A865" s="1">
        <v>10378755</v>
      </c>
      <c r="B865">
        <v>2</v>
      </c>
      <c r="C865">
        <v>2</v>
      </c>
      <c r="D865">
        <v>641</v>
      </c>
      <c r="E865">
        <v>521</v>
      </c>
      <c r="F865">
        <v>501</v>
      </c>
      <c r="G865">
        <v>562</v>
      </c>
      <c r="H865">
        <v>0</v>
      </c>
      <c r="I865">
        <f>VLOOKUP(Scores[[#This Row],[MRUN]],Demographics[],3,FALSE)</f>
        <v>2</v>
      </c>
      <c r="J865">
        <f>AVERAGE(Scores[[#This Row],[LYC]],Scores[[#This Row],[MATE]])</f>
        <v>511</v>
      </c>
      <c r="K865">
        <f>VLOOKUP(Scores[[#This Row],[MRUN]],Demographics[],6,FALSE)</f>
        <v>3</v>
      </c>
      <c r="L865">
        <f>VLOOKUP(Scores[[#This Row],[MRUN]],Demographics[], 7,FALSE)</f>
        <v>0</v>
      </c>
      <c r="M865">
        <f>VLOOKUP(Scores[[#This Row],[MRUN]],Demographics[], 5, FALSE)</f>
        <v>1</v>
      </c>
    </row>
    <row r="866" spans="1:13" hidden="1" x14ac:dyDescent="0.2">
      <c r="A866" s="1">
        <v>8141441</v>
      </c>
      <c r="B866">
        <v>2</v>
      </c>
      <c r="C866">
        <v>3</v>
      </c>
      <c r="D866">
        <v>496</v>
      </c>
      <c r="E866">
        <v>499</v>
      </c>
      <c r="F866">
        <v>552</v>
      </c>
      <c r="G866">
        <v>0</v>
      </c>
      <c r="H866">
        <v>468</v>
      </c>
      <c r="I866">
        <f>VLOOKUP(Scores[[#This Row],[MRUN]],Demographics[],3,FALSE)</f>
        <v>5</v>
      </c>
      <c r="J866">
        <f>AVERAGE(Scores[[#This Row],[LYC]],Scores[[#This Row],[MATE]])</f>
        <v>525.5</v>
      </c>
      <c r="K866">
        <f>VLOOKUP(Scores[[#This Row],[MRUN]],Demographics[],6,FALSE)</f>
        <v>5</v>
      </c>
      <c r="L866">
        <f>VLOOKUP(Scores[[#This Row],[MRUN]],Demographics[], 7,FALSE)</f>
        <v>5</v>
      </c>
      <c r="M866">
        <f>VLOOKUP(Scores[[#This Row],[MRUN]],Demographics[], 5, FALSE)</f>
        <v>2</v>
      </c>
    </row>
    <row r="867" spans="1:13" hidden="1" x14ac:dyDescent="0.2">
      <c r="A867" s="1">
        <v>12948006</v>
      </c>
      <c r="B867">
        <v>2</v>
      </c>
      <c r="C867">
        <v>2</v>
      </c>
      <c r="D867">
        <v>538</v>
      </c>
      <c r="E867">
        <v>526</v>
      </c>
      <c r="F867">
        <v>506</v>
      </c>
      <c r="G867">
        <v>0</v>
      </c>
      <c r="H867">
        <v>428</v>
      </c>
      <c r="I867">
        <f>VLOOKUP(Scores[[#This Row],[MRUN]],Demographics[],3,FALSE)</f>
        <v>4</v>
      </c>
      <c r="J867">
        <f>AVERAGE(Scores[[#This Row],[LYC]],Scores[[#This Row],[MATE]])</f>
        <v>516</v>
      </c>
      <c r="K867">
        <f>VLOOKUP(Scores[[#This Row],[MRUN]],Demographics[],6,FALSE)</f>
        <v>3</v>
      </c>
      <c r="L867">
        <f>VLOOKUP(Scores[[#This Row],[MRUN]],Demographics[], 7,FALSE)</f>
        <v>2</v>
      </c>
      <c r="M867">
        <f>VLOOKUP(Scores[[#This Row],[MRUN]],Demographics[], 5, FALSE)</f>
        <v>1</v>
      </c>
    </row>
    <row r="868" spans="1:13" hidden="1" x14ac:dyDescent="0.2">
      <c r="A868" s="1">
        <v>3869206</v>
      </c>
      <c r="B868">
        <v>2</v>
      </c>
      <c r="C868">
        <v>2</v>
      </c>
      <c r="D868">
        <v>496</v>
      </c>
      <c r="E868">
        <v>488</v>
      </c>
      <c r="F868">
        <v>472</v>
      </c>
      <c r="G868">
        <v>531</v>
      </c>
      <c r="H868">
        <v>0</v>
      </c>
      <c r="I868">
        <f>VLOOKUP(Scores[[#This Row],[MRUN]],Demographics[],3,FALSE)</f>
        <v>5</v>
      </c>
      <c r="J868">
        <f>AVERAGE(Scores[[#This Row],[LYC]],Scores[[#This Row],[MATE]])</f>
        <v>480</v>
      </c>
      <c r="K868">
        <f>VLOOKUP(Scores[[#This Row],[MRUN]],Demographics[],6,FALSE)</f>
        <v>3</v>
      </c>
      <c r="L868">
        <f>VLOOKUP(Scores[[#This Row],[MRUN]],Demographics[], 7,FALSE)</f>
        <v>5</v>
      </c>
      <c r="M868">
        <f>VLOOKUP(Scores[[#This Row],[MRUN]],Demographics[], 5, FALSE)</f>
        <v>1</v>
      </c>
    </row>
    <row r="869" spans="1:13" hidden="1" x14ac:dyDescent="0.2">
      <c r="A869" s="1">
        <v>1833741</v>
      </c>
      <c r="B869">
        <v>2</v>
      </c>
      <c r="C869">
        <v>2</v>
      </c>
      <c r="D869">
        <v>496</v>
      </c>
      <c r="E869">
        <v>488</v>
      </c>
      <c r="F869">
        <v>536</v>
      </c>
      <c r="G869">
        <v>0</v>
      </c>
      <c r="H869">
        <v>497</v>
      </c>
      <c r="I869">
        <f>VLOOKUP(Scores[[#This Row],[MRUN]],Demographics[],3,FALSE)</f>
        <v>4</v>
      </c>
      <c r="J869">
        <f>AVERAGE(Scores[[#This Row],[LYC]],Scores[[#This Row],[MATE]])</f>
        <v>512</v>
      </c>
      <c r="K869">
        <f>VLOOKUP(Scores[[#This Row],[MRUN]],Demographics[],6,FALSE)</f>
        <v>0</v>
      </c>
      <c r="L869">
        <f>VLOOKUP(Scores[[#This Row],[MRUN]],Demographics[], 7,FALSE)</f>
        <v>2</v>
      </c>
      <c r="M869">
        <f>VLOOKUP(Scores[[#This Row],[MRUN]],Demographics[], 5, FALSE)</f>
        <v>1</v>
      </c>
    </row>
    <row r="870" spans="1:13" hidden="1" x14ac:dyDescent="0.2">
      <c r="A870" s="1">
        <v>17855433</v>
      </c>
      <c r="B870">
        <v>2</v>
      </c>
      <c r="C870">
        <v>2</v>
      </c>
      <c r="D870">
        <v>641</v>
      </c>
      <c r="E870">
        <v>624</v>
      </c>
      <c r="F870">
        <v>606</v>
      </c>
      <c r="G870">
        <v>0</v>
      </c>
      <c r="H870">
        <v>613</v>
      </c>
      <c r="I870">
        <f>VLOOKUP(Scores[[#This Row],[MRUN]],Demographics[],3,FALSE)</f>
        <v>3</v>
      </c>
      <c r="J870">
        <f>AVERAGE(Scores[[#This Row],[LYC]],Scores[[#This Row],[MATE]])</f>
        <v>615</v>
      </c>
      <c r="K870">
        <f>VLOOKUP(Scores[[#This Row],[MRUN]],Demographics[],6,FALSE)</f>
        <v>0</v>
      </c>
      <c r="L870">
        <f>VLOOKUP(Scores[[#This Row],[MRUN]],Demographics[], 7,FALSE)</f>
        <v>5</v>
      </c>
      <c r="M870">
        <f>VLOOKUP(Scores[[#This Row],[MRUN]],Demographics[], 5, FALSE)</f>
        <v>1</v>
      </c>
    </row>
    <row r="871" spans="1:13" hidden="1" x14ac:dyDescent="0.2">
      <c r="A871" s="1">
        <v>23629127</v>
      </c>
      <c r="B871">
        <v>1</v>
      </c>
      <c r="C871">
        <v>2</v>
      </c>
      <c r="D871">
        <v>538</v>
      </c>
      <c r="E871">
        <v>668</v>
      </c>
      <c r="F871">
        <v>564</v>
      </c>
      <c r="G871">
        <v>0</v>
      </c>
      <c r="H871">
        <v>534</v>
      </c>
      <c r="I871">
        <f>VLOOKUP(Scores[[#This Row],[MRUN]],Demographics[],3,FALSE)</f>
        <v>4</v>
      </c>
      <c r="J871">
        <f>AVERAGE(Scores[[#This Row],[LYC]],Scores[[#This Row],[MATE]])</f>
        <v>616</v>
      </c>
      <c r="K871">
        <f>VLOOKUP(Scores[[#This Row],[MRUN]],Demographics[],6,FALSE)</f>
        <v>2</v>
      </c>
      <c r="L871">
        <f>VLOOKUP(Scores[[#This Row],[MRUN]],Demographics[], 7,FALSE)</f>
        <v>2</v>
      </c>
      <c r="M871">
        <f>VLOOKUP(Scores[[#This Row],[MRUN]],Demographics[], 5, FALSE)</f>
        <v>1</v>
      </c>
    </row>
    <row r="872" spans="1:13" hidden="1" x14ac:dyDescent="0.2">
      <c r="A872" s="1">
        <v>3537779</v>
      </c>
      <c r="B872">
        <v>1</v>
      </c>
      <c r="C872">
        <v>3</v>
      </c>
      <c r="D872">
        <v>538</v>
      </c>
      <c r="E872">
        <v>567</v>
      </c>
      <c r="F872">
        <v>806</v>
      </c>
      <c r="G872">
        <v>0</v>
      </c>
      <c r="H872">
        <v>575</v>
      </c>
      <c r="I872">
        <f>VLOOKUP(Scores[[#This Row],[MRUN]],Demographics[],3,FALSE)</f>
        <v>3</v>
      </c>
      <c r="J872">
        <f>AVERAGE(Scores[[#This Row],[LYC]],Scores[[#This Row],[MATE]])</f>
        <v>686.5</v>
      </c>
      <c r="K872">
        <f>VLOOKUP(Scores[[#This Row],[MRUN]],Demographics[],6,FALSE)</f>
        <v>5</v>
      </c>
      <c r="L872">
        <f>VLOOKUP(Scores[[#This Row],[MRUN]],Demographics[], 7,FALSE)</f>
        <v>5</v>
      </c>
      <c r="M872">
        <f>VLOOKUP(Scores[[#This Row],[MRUN]],Demographics[], 5, FALSE)</f>
        <v>2</v>
      </c>
    </row>
    <row r="873" spans="1:13" hidden="1" x14ac:dyDescent="0.2">
      <c r="A873" s="1">
        <v>3989596</v>
      </c>
      <c r="B873">
        <v>1</v>
      </c>
      <c r="C873">
        <v>4</v>
      </c>
      <c r="D873">
        <v>558</v>
      </c>
      <c r="E873">
        <v>541</v>
      </c>
      <c r="F873">
        <v>620</v>
      </c>
      <c r="G873">
        <v>0</v>
      </c>
      <c r="H873">
        <v>620</v>
      </c>
      <c r="I873">
        <f>VLOOKUP(Scores[[#This Row],[MRUN]],Demographics[],3,FALSE)</f>
        <v>0</v>
      </c>
      <c r="J873">
        <f>AVERAGE(Scores[[#This Row],[LYC]],Scores[[#This Row],[MATE]])</f>
        <v>580.5</v>
      </c>
      <c r="K873">
        <f>VLOOKUP(Scores[[#This Row],[MRUN]],Demographics[],6,FALSE)</f>
        <v>0</v>
      </c>
      <c r="L873">
        <f>VLOOKUP(Scores[[#This Row],[MRUN]],Demographics[], 7,FALSE)</f>
        <v>0</v>
      </c>
      <c r="M873">
        <f>VLOOKUP(Scores[[#This Row],[MRUN]],Demographics[], 5, FALSE)</f>
        <v>2</v>
      </c>
    </row>
    <row r="874" spans="1:13" hidden="1" x14ac:dyDescent="0.2">
      <c r="A874" s="1">
        <v>14218310</v>
      </c>
      <c r="B874">
        <v>2</v>
      </c>
      <c r="C874">
        <v>2</v>
      </c>
      <c r="D874">
        <v>723</v>
      </c>
      <c r="E874">
        <v>618</v>
      </c>
      <c r="F874">
        <v>603</v>
      </c>
      <c r="G874">
        <v>0</v>
      </c>
      <c r="H874">
        <v>553</v>
      </c>
      <c r="I874">
        <f>VLOOKUP(Scores[[#This Row],[MRUN]],Demographics[],3,FALSE)</f>
        <v>5</v>
      </c>
      <c r="J874">
        <f>AVERAGE(Scores[[#This Row],[LYC]],Scores[[#This Row],[MATE]])</f>
        <v>610.5</v>
      </c>
      <c r="K874">
        <f>VLOOKUP(Scores[[#This Row],[MRUN]],Demographics[],6,FALSE)</f>
        <v>4</v>
      </c>
      <c r="L874">
        <f>VLOOKUP(Scores[[#This Row],[MRUN]],Demographics[], 7,FALSE)</f>
        <v>2</v>
      </c>
      <c r="M874">
        <f>VLOOKUP(Scores[[#This Row],[MRUN]],Demographics[], 5, FALSE)</f>
        <v>1</v>
      </c>
    </row>
    <row r="875" spans="1:13" hidden="1" x14ac:dyDescent="0.2">
      <c r="A875" s="1">
        <v>3158145</v>
      </c>
      <c r="B875">
        <v>1</v>
      </c>
      <c r="C875">
        <v>3</v>
      </c>
      <c r="D875">
        <v>662</v>
      </c>
      <c r="E875">
        <v>576</v>
      </c>
      <c r="F875">
        <v>517</v>
      </c>
      <c r="G875">
        <v>724</v>
      </c>
      <c r="H875">
        <v>0</v>
      </c>
      <c r="I875">
        <f>VLOOKUP(Scores[[#This Row],[MRUN]],Demographics[],3,FALSE)</f>
        <v>4</v>
      </c>
      <c r="J875">
        <f>AVERAGE(Scores[[#This Row],[LYC]],Scores[[#This Row],[MATE]])</f>
        <v>546.5</v>
      </c>
      <c r="K875">
        <f>VLOOKUP(Scores[[#This Row],[MRUN]],Demographics[],6,FALSE)</f>
        <v>9</v>
      </c>
      <c r="L875">
        <f>VLOOKUP(Scores[[#This Row],[MRUN]],Demographics[], 7,FALSE)</f>
        <v>9</v>
      </c>
      <c r="M875">
        <f>VLOOKUP(Scores[[#This Row],[MRUN]],Demographics[], 5, FALSE)</f>
        <v>4</v>
      </c>
    </row>
    <row r="876" spans="1:13" hidden="1" x14ac:dyDescent="0.2">
      <c r="A876" s="1">
        <v>24238446</v>
      </c>
      <c r="B876">
        <v>2</v>
      </c>
      <c r="C876">
        <v>2</v>
      </c>
      <c r="D876">
        <v>0</v>
      </c>
      <c r="E876">
        <v>0</v>
      </c>
      <c r="F876">
        <v>0</v>
      </c>
      <c r="G876">
        <v>0</v>
      </c>
      <c r="H876">
        <v>0</v>
      </c>
      <c r="I876">
        <f>VLOOKUP(Scores[[#This Row],[MRUN]],Demographics[],3,FALSE)</f>
        <v>3</v>
      </c>
      <c r="J876">
        <f>AVERAGE(Scores[[#This Row],[LYC]],Scores[[#This Row],[MATE]])</f>
        <v>0</v>
      </c>
      <c r="K876">
        <f>VLOOKUP(Scores[[#This Row],[MRUN]],Demographics[],6,FALSE)</f>
        <v>3</v>
      </c>
      <c r="L876">
        <f>VLOOKUP(Scores[[#This Row],[MRUN]],Demographics[], 7,FALSE)</f>
        <v>3</v>
      </c>
      <c r="M876">
        <f>VLOOKUP(Scores[[#This Row],[MRUN]],Demographics[], 5, FALSE)</f>
        <v>1</v>
      </c>
    </row>
    <row r="877" spans="1:13" hidden="1" x14ac:dyDescent="0.2">
      <c r="A877" s="1">
        <v>18828347</v>
      </c>
      <c r="B877">
        <v>1</v>
      </c>
      <c r="C877">
        <v>2</v>
      </c>
      <c r="D877">
        <v>476</v>
      </c>
      <c r="E877">
        <v>464</v>
      </c>
      <c r="F877">
        <v>353</v>
      </c>
      <c r="G877">
        <v>557</v>
      </c>
      <c r="H877">
        <v>0</v>
      </c>
      <c r="I877">
        <f>VLOOKUP(Scores[[#This Row],[MRUN]],Demographics[],3,FALSE)</f>
        <v>6</v>
      </c>
      <c r="J877">
        <f>AVERAGE(Scores[[#This Row],[LYC]],Scores[[#This Row],[MATE]])</f>
        <v>408.5</v>
      </c>
      <c r="K877">
        <f>VLOOKUP(Scores[[#This Row],[MRUN]],Demographics[],6,FALSE)</f>
        <v>4</v>
      </c>
      <c r="L877">
        <f>VLOOKUP(Scores[[#This Row],[MRUN]],Demographics[], 7,FALSE)</f>
        <v>2</v>
      </c>
      <c r="M877">
        <f>VLOOKUP(Scores[[#This Row],[MRUN]],Demographics[], 5, FALSE)</f>
        <v>1</v>
      </c>
    </row>
    <row r="878" spans="1:13" hidden="1" x14ac:dyDescent="0.2">
      <c r="A878" s="1">
        <v>4594711</v>
      </c>
      <c r="B878">
        <v>1</v>
      </c>
      <c r="C878">
        <v>2</v>
      </c>
      <c r="D878">
        <v>496</v>
      </c>
      <c r="E878">
        <v>430</v>
      </c>
      <c r="F878">
        <v>552</v>
      </c>
      <c r="G878">
        <v>0</v>
      </c>
      <c r="H878">
        <v>491</v>
      </c>
      <c r="I878">
        <f>VLOOKUP(Scores[[#This Row],[MRUN]],Demographics[],3,FALSE)</f>
        <v>6</v>
      </c>
      <c r="J878">
        <f>AVERAGE(Scores[[#This Row],[LYC]],Scores[[#This Row],[MATE]])</f>
        <v>491</v>
      </c>
      <c r="K878">
        <f>VLOOKUP(Scores[[#This Row],[MRUN]],Demographics[],6,FALSE)</f>
        <v>5</v>
      </c>
      <c r="L878">
        <f>VLOOKUP(Scores[[#This Row],[MRUN]],Demographics[], 7,FALSE)</f>
        <v>5</v>
      </c>
      <c r="M878">
        <f>VLOOKUP(Scores[[#This Row],[MRUN]],Demographics[], 5, FALSE)</f>
        <v>2</v>
      </c>
    </row>
    <row r="879" spans="1:13" hidden="1" x14ac:dyDescent="0.2">
      <c r="A879" s="1">
        <v>10801449</v>
      </c>
      <c r="B879">
        <v>1</v>
      </c>
      <c r="C879">
        <v>2</v>
      </c>
      <c r="D879">
        <v>435</v>
      </c>
      <c r="E879">
        <v>483</v>
      </c>
      <c r="F879">
        <v>540</v>
      </c>
      <c r="G879">
        <v>592</v>
      </c>
      <c r="H879">
        <v>534</v>
      </c>
      <c r="I879">
        <f>VLOOKUP(Scores[[#This Row],[MRUN]],Demographics[],3,FALSE)</f>
        <v>5</v>
      </c>
      <c r="J879">
        <f>AVERAGE(Scores[[#This Row],[LYC]],Scores[[#This Row],[MATE]])</f>
        <v>511.5</v>
      </c>
      <c r="K879">
        <f>VLOOKUP(Scores[[#This Row],[MRUN]],Demographics[],6,FALSE)</f>
        <v>5</v>
      </c>
      <c r="L879">
        <f>VLOOKUP(Scores[[#This Row],[MRUN]],Demographics[], 7,FALSE)</f>
        <v>5</v>
      </c>
      <c r="M879">
        <f>VLOOKUP(Scores[[#This Row],[MRUN]],Demographics[], 5, FALSE)</f>
        <v>1</v>
      </c>
    </row>
    <row r="880" spans="1:13" hidden="1" x14ac:dyDescent="0.2">
      <c r="A880" s="1">
        <v>21583751</v>
      </c>
      <c r="B880">
        <v>2</v>
      </c>
      <c r="C880">
        <v>2</v>
      </c>
      <c r="D880">
        <v>599</v>
      </c>
      <c r="E880">
        <v>494</v>
      </c>
      <c r="F880">
        <v>494</v>
      </c>
      <c r="G880">
        <v>479</v>
      </c>
      <c r="H880">
        <v>0</v>
      </c>
      <c r="I880">
        <f>VLOOKUP(Scores[[#This Row],[MRUN]],Demographics[],3,FALSE)</f>
        <v>6</v>
      </c>
      <c r="J880">
        <f>AVERAGE(Scores[[#This Row],[LYC]],Scores[[#This Row],[MATE]])</f>
        <v>494</v>
      </c>
      <c r="K880">
        <f>VLOOKUP(Scores[[#This Row],[MRUN]],Demographics[],6,FALSE)</f>
        <v>4</v>
      </c>
      <c r="L880">
        <f>VLOOKUP(Scores[[#This Row],[MRUN]],Demographics[], 7,FALSE)</f>
        <v>5</v>
      </c>
      <c r="M880">
        <f>VLOOKUP(Scores[[#This Row],[MRUN]],Demographics[], 5, FALSE)</f>
        <v>1</v>
      </c>
    </row>
    <row r="881" spans="1:13" hidden="1" x14ac:dyDescent="0.2">
      <c r="A881" s="1">
        <v>1393624</v>
      </c>
      <c r="B881">
        <v>1</v>
      </c>
      <c r="C881">
        <v>2</v>
      </c>
      <c r="D881">
        <v>496</v>
      </c>
      <c r="E881">
        <v>444</v>
      </c>
      <c r="F881">
        <v>472</v>
      </c>
      <c r="G881">
        <v>449</v>
      </c>
      <c r="H881">
        <v>404</v>
      </c>
      <c r="I881">
        <f>VLOOKUP(Scores[[#This Row],[MRUN]],Demographics[],3,FALSE)</f>
        <v>5</v>
      </c>
      <c r="J881">
        <f>AVERAGE(Scores[[#This Row],[LYC]],Scores[[#This Row],[MATE]])</f>
        <v>458</v>
      </c>
      <c r="K881">
        <f>VLOOKUP(Scores[[#This Row],[MRUN]],Demographics[],6,FALSE)</f>
        <v>6</v>
      </c>
      <c r="L881">
        <f>VLOOKUP(Scores[[#This Row],[MRUN]],Demographics[], 7,FALSE)</f>
        <v>5</v>
      </c>
      <c r="M881">
        <f>VLOOKUP(Scores[[#This Row],[MRUN]],Demographics[], 5, FALSE)</f>
        <v>2</v>
      </c>
    </row>
    <row r="882" spans="1:13" hidden="1" x14ac:dyDescent="0.2">
      <c r="A882" s="1">
        <v>21184548</v>
      </c>
      <c r="B882">
        <v>1</v>
      </c>
      <c r="C882">
        <v>4</v>
      </c>
      <c r="D882">
        <v>579</v>
      </c>
      <c r="E882">
        <v>596</v>
      </c>
      <c r="F882">
        <v>606</v>
      </c>
      <c r="G882">
        <v>0</v>
      </c>
      <c r="H882">
        <v>668</v>
      </c>
      <c r="I882">
        <f>VLOOKUP(Scores[[#This Row],[MRUN]],Demographics[],3,FALSE)</f>
        <v>3</v>
      </c>
      <c r="J882">
        <f>AVERAGE(Scores[[#This Row],[LYC]],Scores[[#This Row],[MATE]])</f>
        <v>601</v>
      </c>
      <c r="K882">
        <f>VLOOKUP(Scores[[#This Row],[MRUN]],Demographics[],6,FALSE)</f>
        <v>9</v>
      </c>
      <c r="L882">
        <f>VLOOKUP(Scores[[#This Row],[MRUN]],Demographics[], 7,FALSE)</f>
        <v>5</v>
      </c>
      <c r="M882">
        <f>VLOOKUP(Scores[[#This Row],[MRUN]],Demographics[], 5, FALSE)</f>
        <v>1</v>
      </c>
    </row>
    <row r="883" spans="1:13" hidden="1" x14ac:dyDescent="0.2">
      <c r="A883" s="1">
        <v>18570568</v>
      </c>
      <c r="B883">
        <v>2</v>
      </c>
      <c r="C883">
        <v>3</v>
      </c>
      <c r="D883">
        <v>437</v>
      </c>
      <c r="E883">
        <v>458</v>
      </c>
      <c r="F883">
        <v>428</v>
      </c>
      <c r="G883">
        <v>454</v>
      </c>
      <c r="H883">
        <v>0</v>
      </c>
      <c r="I883">
        <f>VLOOKUP(Scores[[#This Row],[MRUN]],Demographics[],3,FALSE)</f>
        <v>4</v>
      </c>
      <c r="J883">
        <f>AVERAGE(Scores[[#This Row],[LYC]],Scores[[#This Row],[MATE]])</f>
        <v>443</v>
      </c>
      <c r="K883">
        <f>VLOOKUP(Scores[[#This Row],[MRUN]],Demographics[],6,FALSE)</f>
        <v>4</v>
      </c>
      <c r="L883">
        <f>VLOOKUP(Scores[[#This Row],[MRUN]],Demographics[], 7,FALSE)</f>
        <v>2</v>
      </c>
      <c r="M883">
        <f>VLOOKUP(Scores[[#This Row],[MRUN]],Demographics[], 5, FALSE)</f>
        <v>1</v>
      </c>
    </row>
    <row r="884" spans="1:13" hidden="1" x14ac:dyDescent="0.2">
      <c r="A884" s="1">
        <v>8854492</v>
      </c>
      <c r="B884">
        <v>1</v>
      </c>
      <c r="C884">
        <v>2</v>
      </c>
      <c r="D884">
        <v>496</v>
      </c>
      <c r="E884">
        <v>451</v>
      </c>
      <c r="F884">
        <v>428</v>
      </c>
      <c r="G884">
        <v>572</v>
      </c>
      <c r="H884">
        <v>491</v>
      </c>
      <c r="I884">
        <f>VLOOKUP(Scores[[#This Row],[MRUN]],Demographics[],3,FALSE)</f>
        <v>5</v>
      </c>
      <c r="J884">
        <f>AVERAGE(Scores[[#This Row],[LYC]],Scores[[#This Row],[MATE]])</f>
        <v>439.5</v>
      </c>
      <c r="K884">
        <f>VLOOKUP(Scores[[#This Row],[MRUN]],Demographics[],6,FALSE)</f>
        <v>5</v>
      </c>
      <c r="L884">
        <f>VLOOKUP(Scores[[#This Row],[MRUN]],Demographics[], 7,FALSE)</f>
        <v>5</v>
      </c>
      <c r="M884">
        <f>VLOOKUP(Scores[[#This Row],[MRUN]],Demographics[], 5, FALSE)</f>
        <v>1</v>
      </c>
    </row>
    <row r="885" spans="1:13" hidden="1" x14ac:dyDescent="0.2">
      <c r="A885" s="1">
        <v>20983200</v>
      </c>
      <c r="B885">
        <v>1</v>
      </c>
      <c r="C885">
        <v>2</v>
      </c>
      <c r="D885">
        <v>414</v>
      </c>
      <c r="E885">
        <v>0</v>
      </c>
      <c r="F885">
        <v>0</v>
      </c>
      <c r="G885">
        <v>0</v>
      </c>
      <c r="H885">
        <v>0</v>
      </c>
      <c r="I885">
        <f>VLOOKUP(Scores[[#This Row],[MRUN]],Demographics[],3,FALSE)</f>
        <v>0</v>
      </c>
      <c r="J885">
        <f>AVERAGE(Scores[[#This Row],[LYC]],Scores[[#This Row],[MATE]])</f>
        <v>0</v>
      </c>
      <c r="K885">
        <f>VLOOKUP(Scores[[#This Row],[MRUN]],Demographics[],6,FALSE)</f>
        <v>8</v>
      </c>
      <c r="L885">
        <f>VLOOKUP(Scores[[#This Row],[MRUN]],Demographics[], 7,FALSE)</f>
        <v>5</v>
      </c>
      <c r="M885">
        <f>VLOOKUP(Scores[[#This Row],[MRUN]],Demographics[], 5, FALSE)</f>
        <v>1</v>
      </c>
    </row>
    <row r="886" spans="1:13" hidden="1" x14ac:dyDescent="0.2">
      <c r="A886" s="1">
        <v>2306610</v>
      </c>
      <c r="B886">
        <v>2</v>
      </c>
      <c r="C886">
        <v>3</v>
      </c>
      <c r="D886">
        <v>560</v>
      </c>
      <c r="E886">
        <v>458</v>
      </c>
      <c r="F886">
        <v>452</v>
      </c>
      <c r="G886">
        <v>531</v>
      </c>
      <c r="H886">
        <v>510</v>
      </c>
      <c r="I886">
        <f>VLOOKUP(Scores[[#This Row],[MRUN]],Demographics[],3,FALSE)</f>
        <v>4</v>
      </c>
      <c r="J886">
        <f>AVERAGE(Scores[[#This Row],[LYC]],Scores[[#This Row],[MATE]])</f>
        <v>455</v>
      </c>
      <c r="K886">
        <f>VLOOKUP(Scores[[#This Row],[MRUN]],Demographics[],6,FALSE)</f>
        <v>4</v>
      </c>
      <c r="L886">
        <f>VLOOKUP(Scores[[#This Row],[MRUN]],Demographics[], 7,FALSE)</f>
        <v>2</v>
      </c>
      <c r="M886">
        <f>VLOOKUP(Scores[[#This Row],[MRUN]],Demographics[], 5, FALSE)</f>
        <v>1</v>
      </c>
    </row>
    <row r="887" spans="1:13" hidden="1" x14ac:dyDescent="0.2">
      <c r="A887" s="1">
        <v>12092859</v>
      </c>
      <c r="B887">
        <v>2</v>
      </c>
      <c r="C887">
        <v>2</v>
      </c>
      <c r="D887">
        <v>641</v>
      </c>
      <c r="E887">
        <v>551</v>
      </c>
      <c r="F887">
        <v>609</v>
      </c>
      <c r="G887">
        <v>0</v>
      </c>
      <c r="H887">
        <v>606</v>
      </c>
      <c r="I887">
        <f>VLOOKUP(Scores[[#This Row],[MRUN]],Demographics[],3,FALSE)</f>
        <v>5</v>
      </c>
      <c r="J887">
        <f>AVERAGE(Scores[[#This Row],[LYC]],Scores[[#This Row],[MATE]])</f>
        <v>580</v>
      </c>
      <c r="K887">
        <f>VLOOKUP(Scores[[#This Row],[MRUN]],Demographics[],6,FALSE)</f>
        <v>8</v>
      </c>
      <c r="L887">
        <f>VLOOKUP(Scores[[#This Row],[MRUN]],Demographics[], 7,FALSE)</f>
        <v>5</v>
      </c>
      <c r="M887">
        <f>VLOOKUP(Scores[[#This Row],[MRUN]],Demographics[], 5, FALSE)</f>
        <v>2</v>
      </c>
    </row>
    <row r="888" spans="1:13" hidden="1" x14ac:dyDescent="0.2">
      <c r="A888" s="1">
        <v>3390702</v>
      </c>
      <c r="B888">
        <v>2</v>
      </c>
      <c r="C888">
        <v>4</v>
      </c>
      <c r="D888">
        <v>517</v>
      </c>
      <c r="E888">
        <v>592</v>
      </c>
      <c r="F888">
        <v>624</v>
      </c>
      <c r="G888">
        <v>628</v>
      </c>
      <c r="H888">
        <v>0</v>
      </c>
      <c r="I888">
        <f>VLOOKUP(Scores[[#This Row],[MRUN]],Demographics[],3,FALSE)</f>
        <v>9</v>
      </c>
      <c r="J888">
        <f>AVERAGE(Scores[[#This Row],[LYC]],Scores[[#This Row],[MATE]])</f>
        <v>608</v>
      </c>
      <c r="K888">
        <f>VLOOKUP(Scores[[#This Row],[MRUN]],Demographics[],6,FALSE)</f>
        <v>7</v>
      </c>
      <c r="L888">
        <f>VLOOKUP(Scores[[#This Row],[MRUN]],Demographics[], 7,FALSE)</f>
        <v>5</v>
      </c>
      <c r="M888">
        <f>VLOOKUP(Scores[[#This Row],[MRUN]],Demographics[], 5, FALSE)</f>
        <v>3</v>
      </c>
    </row>
    <row r="889" spans="1:13" hidden="1" x14ac:dyDescent="0.2">
      <c r="A889" s="1">
        <v>1253583</v>
      </c>
      <c r="B889">
        <v>2</v>
      </c>
      <c r="C889">
        <v>3</v>
      </c>
      <c r="D889">
        <v>455</v>
      </c>
      <c r="E889">
        <v>451</v>
      </c>
      <c r="F889">
        <v>441</v>
      </c>
      <c r="G889">
        <v>428</v>
      </c>
      <c r="H889">
        <v>0</v>
      </c>
      <c r="I889">
        <f>VLOOKUP(Scores[[#This Row],[MRUN]],Demographics[],3,FALSE)</f>
        <v>4</v>
      </c>
      <c r="J889">
        <f>AVERAGE(Scores[[#This Row],[LYC]],Scores[[#This Row],[MATE]])</f>
        <v>446</v>
      </c>
      <c r="K889">
        <f>VLOOKUP(Scores[[#This Row],[MRUN]],Demographics[],6,FALSE)</f>
        <v>5</v>
      </c>
      <c r="L889">
        <f>VLOOKUP(Scores[[#This Row],[MRUN]],Demographics[], 7,FALSE)</f>
        <v>5</v>
      </c>
      <c r="M889">
        <f>VLOOKUP(Scores[[#This Row],[MRUN]],Demographics[], 5, FALSE)</f>
        <v>1</v>
      </c>
    </row>
    <row r="890" spans="1:13" hidden="1" x14ac:dyDescent="0.2">
      <c r="A890" s="1">
        <v>8730710</v>
      </c>
      <c r="B890">
        <v>2</v>
      </c>
      <c r="C890">
        <v>2</v>
      </c>
      <c r="D890">
        <v>496</v>
      </c>
      <c r="E890">
        <v>406</v>
      </c>
      <c r="F890">
        <v>441</v>
      </c>
      <c r="G890">
        <v>406</v>
      </c>
      <c r="H890">
        <v>468</v>
      </c>
      <c r="I890">
        <f>VLOOKUP(Scores[[#This Row],[MRUN]],Demographics[],3,FALSE)</f>
        <v>5</v>
      </c>
      <c r="J890">
        <f>AVERAGE(Scores[[#This Row],[LYC]],Scores[[#This Row],[MATE]])</f>
        <v>423.5</v>
      </c>
      <c r="K890">
        <f>VLOOKUP(Scores[[#This Row],[MRUN]],Demographics[],6,FALSE)</f>
        <v>4</v>
      </c>
      <c r="L890">
        <f>VLOOKUP(Scores[[#This Row],[MRUN]],Demographics[], 7,FALSE)</f>
        <v>3</v>
      </c>
      <c r="M890">
        <f>VLOOKUP(Scores[[#This Row],[MRUN]],Demographics[], 5, FALSE)</f>
        <v>1</v>
      </c>
    </row>
    <row r="891" spans="1:13" hidden="1" x14ac:dyDescent="0.2">
      <c r="A891" s="1">
        <v>21446986</v>
      </c>
      <c r="B891">
        <v>1</v>
      </c>
      <c r="C891">
        <v>3</v>
      </c>
      <c r="D891">
        <v>460</v>
      </c>
      <c r="E891">
        <v>464</v>
      </c>
      <c r="F891">
        <v>463</v>
      </c>
      <c r="G891">
        <v>461</v>
      </c>
      <c r="H891">
        <v>0</v>
      </c>
      <c r="I891">
        <f>VLOOKUP(Scores[[#This Row],[MRUN]],Demographics[],3,FALSE)</f>
        <v>4</v>
      </c>
      <c r="J891">
        <f>AVERAGE(Scores[[#This Row],[LYC]],Scores[[#This Row],[MATE]])</f>
        <v>463.5</v>
      </c>
      <c r="K891">
        <f>VLOOKUP(Scores[[#This Row],[MRUN]],Demographics[],6,FALSE)</f>
        <v>10</v>
      </c>
      <c r="L891">
        <f>VLOOKUP(Scores[[#This Row],[MRUN]],Demographics[], 7,FALSE)</f>
        <v>7</v>
      </c>
      <c r="M891">
        <f>VLOOKUP(Scores[[#This Row],[MRUN]],Demographics[], 5, FALSE)</f>
        <v>2</v>
      </c>
    </row>
    <row r="892" spans="1:13" hidden="1" x14ac:dyDescent="0.2">
      <c r="A892" s="1">
        <v>4559222</v>
      </c>
      <c r="B892">
        <v>2</v>
      </c>
      <c r="C892">
        <v>2</v>
      </c>
      <c r="D892">
        <v>435</v>
      </c>
      <c r="E892">
        <v>406</v>
      </c>
      <c r="F892">
        <v>328</v>
      </c>
      <c r="G892">
        <v>0</v>
      </c>
      <c r="H892">
        <v>404</v>
      </c>
      <c r="I892">
        <f>VLOOKUP(Scores[[#This Row],[MRUN]],Demographics[],3,FALSE)</f>
        <v>4</v>
      </c>
      <c r="J892">
        <f>AVERAGE(Scores[[#This Row],[LYC]],Scores[[#This Row],[MATE]])</f>
        <v>367</v>
      </c>
      <c r="K892">
        <f>VLOOKUP(Scores[[#This Row],[MRUN]],Demographics[],6,FALSE)</f>
        <v>7</v>
      </c>
      <c r="L892">
        <f>VLOOKUP(Scores[[#This Row],[MRUN]],Demographics[], 7,FALSE)</f>
        <v>5</v>
      </c>
      <c r="M892">
        <f>VLOOKUP(Scores[[#This Row],[MRUN]],Demographics[], 5, FALSE)</f>
        <v>1</v>
      </c>
    </row>
    <row r="893" spans="1:13" hidden="1" x14ac:dyDescent="0.2">
      <c r="A893" s="1">
        <v>17606455</v>
      </c>
      <c r="B893">
        <v>2</v>
      </c>
      <c r="C893">
        <v>2</v>
      </c>
      <c r="D893">
        <v>539</v>
      </c>
      <c r="E893">
        <v>333</v>
      </c>
      <c r="F893">
        <v>328</v>
      </c>
      <c r="G893">
        <v>0</v>
      </c>
      <c r="H893">
        <v>391</v>
      </c>
      <c r="I893">
        <f>VLOOKUP(Scores[[#This Row],[MRUN]],Demographics[],3,FALSE)</f>
        <v>6</v>
      </c>
      <c r="J893">
        <f>AVERAGE(Scores[[#This Row],[LYC]],Scores[[#This Row],[MATE]])</f>
        <v>330.5</v>
      </c>
      <c r="K893">
        <f>VLOOKUP(Scores[[#This Row],[MRUN]],Demographics[],6,FALSE)</f>
        <v>5</v>
      </c>
      <c r="L893">
        <f>VLOOKUP(Scores[[#This Row],[MRUN]],Demographics[], 7,FALSE)</f>
        <v>5</v>
      </c>
      <c r="M893">
        <f>VLOOKUP(Scores[[#This Row],[MRUN]],Demographics[], 5, FALSE)</f>
        <v>1</v>
      </c>
    </row>
    <row r="894" spans="1:13" hidden="1" x14ac:dyDescent="0.2">
      <c r="A894" s="1">
        <v>2957586</v>
      </c>
      <c r="B894">
        <v>2</v>
      </c>
      <c r="C894">
        <v>2</v>
      </c>
      <c r="D894">
        <v>519</v>
      </c>
      <c r="E894">
        <v>397</v>
      </c>
      <c r="F894">
        <v>428</v>
      </c>
      <c r="G894">
        <v>0</v>
      </c>
      <c r="H894">
        <v>449</v>
      </c>
      <c r="I894">
        <f>VLOOKUP(Scores[[#This Row],[MRUN]],Demographics[],3,FALSE)</f>
        <v>4</v>
      </c>
      <c r="J894">
        <f>AVERAGE(Scores[[#This Row],[LYC]],Scores[[#This Row],[MATE]])</f>
        <v>412.5</v>
      </c>
      <c r="K894">
        <f>VLOOKUP(Scores[[#This Row],[MRUN]],Demographics[],6,FALSE)</f>
        <v>5</v>
      </c>
      <c r="L894">
        <f>VLOOKUP(Scores[[#This Row],[MRUN]],Demographics[], 7,FALSE)</f>
        <v>4</v>
      </c>
      <c r="M894">
        <f>VLOOKUP(Scores[[#This Row],[MRUN]],Demographics[], 5, FALSE)</f>
        <v>1</v>
      </c>
    </row>
    <row r="895" spans="1:13" hidden="1" x14ac:dyDescent="0.2">
      <c r="A895" s="1">
        <v>20811313</v>
      </c>
      <c r="B895">
        <v>1</v>
      </c>
      <c r="C895">
        <v>2</v>
      </c>
      <c r="D895">
        <v>620</v>
      </c>
      <c r="E895">
        <v>516</v>
      </c>
      <c r="F895">
        <v>531</v>
      </c>
      <c r="G895">
        <v>531</v>
      </c>
      <c r="H895">
        <v>0</v>
      </c>
      <c r="I895">
        <f>VLOOKUP(Scores[[#This Row],[MRUN]],Demographics[],3,FALSE)</f>
        <v>0</v>
      </c>
      <c r="J895">
        <f>AVERAGE(Scores[[#This Row],[LYC]],Scores[[#This Row],[MATE]])</f>
        <v>523.5</v>
      </c>
      <c r="K895">
        <f>VLOOKUP(Scores[[#This Row],[MRUN]],Demographics[],6,FALSE)</f>
        <v>0</v>
      </c>
      <c r="L895">
        <f>VLOOKUP(Scores[[#This Row],[MRUN]],Demographics[], 7,FALSE)</f>
        <v>0</v>
      </c>
      <c r="M895">
        <f>VLOOKUP(Scores[[#This Row],[MRUN]],Demographics[], 5, FALSE)</f>
        <v>1</v>
      </c>
    </row>
    <row r="896" spans="1:13" hidden="1" x14ac:dyDescent="0.2">
      <c r="A896" s="1">
        <v>719532</v>
      </c>
      <c r="B896">
        <v>2</v>
      </c>
      <c r="C896">
        <v>3</v>
      </c>
      <c r="D896">
        <v>0</v>
      </c>
      <c r="E896">
        <v>0</v>
      </c>
      <c r="F896">
        <v>0</v>
      </c>
      <c r="G896">
        <v>0</v>
      </c>
      <c r="H896">
        <v>0</v>
      </c>
      <c r="I896">
        <f>VLOOKUP(Scores[[#This Row],[MRUN]],Demographics[],3,FALSE)</f>
        <v>4</v>
      </c>
      <c r="J896">
        <f>AVERAGE(Scores[[#This Row],[LYC]],Scores[[#This Row],[MATE]])</f>
        <v>0</v>
      </c>
      <c r="K896">
        <f>VLOOKUP(Scores[[#This Row],[MRUN]],Demographics[],6,FALSE)</f>
        <v>5</v>
      </c>
      <c r="L896">
        <f>VLOOKUP(Scores[[#This Row],[MRUN]],Demographics[], 7,FALSE)</f>
        <v>5</v>
      </c>
      <c r="M896">
        <f>VLOOKUP(Scores[[#This Row],[MRUN]],Demographics[], 5, FALSE)</f>
        <v>1</v>
      </c>
    </row>
    <row r="897" spans="1:13" hidden="1" x14ac:dyDescent="0.2">
      <c r="A897" s="1">
        <v>5425361</v>
      </c>
      <c r="B897">
        <v>2</v>
      </c>
      <c r="C897">
        <v>2</v>
      </c>
      <c r="D897">
        <v>560</v>
      </c>
      <c r="E897">
        <v>483</v>
      </c>
      <c r="F897">
        <v>517</v>
      </c>
      <c r="G897">
        <v>449</v>
      </c>
      <c r="H897">
        <v>0</v>
      </c>
      <c r="I897">
        <f>VLOOKUP(Scores[[#This Row],[MRUN]],Demographics[],3,FALSE)</f>
        <v>4</v>
      </c>
      <c r="J897">
        <f>AVERAGE(Scores[[#This Row],[LYC]],Scores[[#This Row],[MATE]])</f>
        <v>500</v>
      </c>
      <c r="K897">
        <f>VLOOKUP(Scores[[#This Row],[MRUN]],Demographics[],6,FALSE)</f>
        <v>4</v>
      </c>
      <c r="L897">
        <f>VLOOKUP(Scores[[#This Row],[MRUN]],Demographics[], 7,FALSE)</f>
        <v>5</v>
      </c>
      <c r="M897">
        <f>VLOOKUP(Scores[[#This Row],[MRUN]],Demographics[], 5, FALSE)</f>
        <v>1</v>
      </c>
    </row>
    <row r="898" spans="1:13" hidden="1" x14ac:dyDescent="0.2">
      <c r="A898" s="1">
        <v>14936466</v>
      </c>
      <c r="B898">
        <v>1</v>
      </c>
      <c r="C898">
        <v>3</v>
      </c>
      <c r="D898">
        <v>435</v>
      </c>
      <c r="E898">
        <v>406</v>
      </c>
      <c r="F898">
        <v>452</v>
      </c>
      <c r="G898">
        <v>359</v>
      </c>
      <c r="H898">
        <v>0</v>
      </c>
      <c r="I898">
        <f>VLOOKUP(Scores[[#This Row],[MRUN]],Demographics[],3,FALSE)</f>
        <v>6</v>
      </c>
      <c r="J898">
        <f>AVERAGE(Scores[[#This Row],[LYC]],Scores[[#This Row],[MATE]])</f>
        <v>429</v>
      </c>
      <c r="K898">
        <f>VLOOKUP(Scores[[#This Row],[MRUN]],Demographics[],6,FALSE)</f>
        <v>9</v>
      </c>
      <c r="L898">
        <f>VLOOKUP(Scores[[#This Row],[MRUN]],Demographics[], 7,FALSE)</f>
        <v>5</v>
      </c>
      <c r="M898">
        <f>VLOOKUP(Scores[[#This Row],[MRUN]],Demographics[], 5, FALSE)</f>
        <v>2</v>
      </c>
    </row>
    <row r="899" spans="1:13" hidden="1" x14ac:dyDescent="0.2">
      <c r="A899" s="1">
        <v>4025506</v>
      </c>
      <c r="B899">
        <v>2</v>
      </c>
      <c r="C899">
        <v>3</v>
      </c>
      <c r="D899">
        <v>682</v>
      </c>
      <c r="E899">
        <v>476</v>
      </c>
      <c r="F899">
        <v>487</v>
      </c>
      <c r="G899">
        <v>521</v>
      </c>
      <c r="H899">
        <v>0</v>
      </c>
      <c r="I899">
        <f>VLOOKUP(Scores[[#This Row],[MRUN]],Demographics[],3,FALSE)</f>
        <v>3</v>
      </c>
      <c r="J899">
        <f>AVERAGE(Scores[[#This Row],[LYC]],Scores[[#This Row],[MATE]])</f>
        <v>481.5</v>
      </c>
      <c r="K899">
        <f>VLOOKUP(Scores[[#This Row],[MRUN]],Demographics[],6,FALSE)</f>
        <v>2</v>
      </c>
      <c r="L899">
        <f>VLOOKUP(Scores[[#This Row],[MRUN]],Demographics[], 7,FALSE)</f>
        <v>2</v>
      </c>
      <c r="M899">
        <f>VLOOKUP(Scores[[#This Row],[MRUN]],Demographics[], 5, FALSE)</f>
        <v>1</v>
      </c>
    </row>
    <row r="900" spans="1:13" hidden="1" x14ac:dyDescent="0.2">
      <c r="A900" s="1">
        <v>286547</v>
      </c>
      <c r="B900">
        <v>1</v>
      </c>
      <c r="C900">
        <v>3</v>
      </c>
      <c r="D900">
        <v>420</v>
      </c>
      <c r="E900">
        <v>0</v>
      </c>
      <c r="F900">
        <v>0</v>
      </c>
      <c r="G900">
        <v>0</v>
      </c>
      <c r="H900">
        <v>0</v>
      </c>
      <c r="I900">
        <f>VLOOKUP(Scores[[#This Row],[MRUN]],Demographics[],3,FALSE)</f>
        <v>4</v>
      </c>
      <c r="J900">
        <f>AVERAGE(Scores[[#This Row],[LYC]],Scores[[#This Row],[MATE]])</f>
        <v>0</v>
      </c>
      <c r="K900">
        <f>VLOOKUP(Scores[[#This Row],[MRUN]],Demographics[],6,FALSE)</f>
        <v>5</v>
      </c>
      <c r="L900">
        <f>VLOOKUP(Scores[[#This Row],[MRUN]],Demographics[], 7,FALSE)</f>
        <v>4</v>
      </c>
      <c r="M900">
        <f>VLOOKUP(Scores[[#This Row],[MRUN]],Demographics[], 5, FALSE)</f>
        <v>1</v>
      </c>
    </row>
    <row r="901" spans="1:13" hidden="1" x14ac:dyDescent="0.2">
      <c r="A901" s="1">
        <v>14402547</v>
      </c>
      <c r="B901">
        <v>1</v>
      </c>
      <c r="C901">
        <v>2</v>
      </c>
      <c r="D901">
        <v>519</v>
      </c>
      <c r="E901">
        <v>0</v>
      </c>
      <c r="F901">
        <v>0</v>
      </c>
      <c r="G901">
        <v>0</v>
      </c>
      <c r="H901">
        <v>0</v>
      </c>
      <c r="I901">
        <f>VLOOKUP(Scores[[#This Row],[MRUN]],Demographics[],3,FALSE)</f>
        <v>3</v>
      </c>
      <c r="J901">
        <f>AVERAGE(Scores[[#This Row],[LYC]],Scores[[#This Row],[MATE]])</f>
        <v>0</v>
      </c>
      <c r="K901">
        <f>VLOOKUP(Scores[[#This Row],[MRUN]],Demographics[],6,FALSE)</f>
        <v>5</v>
      </c>
      <c r="L901">
        <f>VLOOKUP(Scores[[#This Row],[MRUN]],Demographics[], 7,FALSE)</f>
        <v>5</v>
      </c>
      <c r="M901">
        <f>VLOOKUP(Scores[[#This Row],[MRUN]],Demographics[], 5, FALSE)</f>
        <v>1</v>
      </c>
    </row>
    <row r="902" spans="1:13" hidden="1" x14ac:dyDescent="0.2">
      <c r="A902" s="1">
        <v>820771</v>
      </c>
      <c r="B902">
        <v>2</v>
      </c>
      <c r="C902">
        <v>2</v>
      </c>
      <c r="D902">
        <v>641</v>
      </c>
      <c r="E902">
        <v>629</v>
      </c>
      <c r="F902">
        <v>609</v>
      </c>
      <c r="G902">
        <v>0</v>
      </c>
      <c r="H902">
        <v>558</v>
      </c>
      <c r="I902">
        <f>VLOOKUP(Scores[[#This Row],[MRUN]],Demographics[],3,FALSE)</f>
        <v>4</v>
      </c>
      <c r="J902">
        <f>AVERAGE(Scores[[#This Row],[LYC]],Scores[[#This Row],[MATE]])</f>
        <v>619</v>
      </c>
      <c r="K902">
        <f>VLOOKUP(Scores[[#This Row],[MRUN]],Demographics[],6,FALSE)</f>
        <v>5</v>
      </c>
      <c r="L902">
        <f>VLOOKUP(Scores[[#This Row],[MRUN]],Demographics[], 7,FALSE)</f>
        <v>5</v>
      </c>
      <c r="M902">
        <f>VLOOKUP(Scores[[#This Row],[MRUN]],Demographics[], 5, FALSE)</f>
        <v>2</v>
      </c>
    </row>
    <row r="903" spans="1:13" hidden="1" x14ac:dyDescent="0.2">
      <c r="A903" s="1">
        <v>4992314</v>
      </c>
      <c r="B903">
        <v>2</v>
      </c>
      <c r="C903">
        <v>2</v>
      </c>
      <c r="D903">
        <v>496</v>
      </c>
      <c r="E903">
        <v>510</v>
      </c>
      <c r="F903">
        <v>413</v>
      </c>
      <c r="G903">
        <v>521</v>
      </c>
      <c r="H903">
        <v>0</v>
      </c>
      <c r="I903">
        <f>VLOOKUP(Scores[[#This Row],[MRUN]],Demographics[],3,FALSE)</f>
        <v>5</v>
      </c>
      <c r="J903">
        <f>AVERAGE(Scores[[#This Row],[LYC]],Scores[[#This Row],[MATE]])</f>
        <v>461.5</v>
      </c>
      <c r="K903">
        <f>VLOOKUP(Scores[[#This Row],[MRUN]],Demographics[],6,FALSE)</f>
        <v>5</v>
      </c>
      <c r="L903">
        <f>VLOOKUP(Scores[[#This Row],[MRUN]],Demographics[], 7,FALSE)</f>
        <v>5</v>
      </c>
      <c r="M903">
        <f>VLOOKUP(Scores[[#This Row],[MRUN]],Demographics[], 5, FALSE)</f>
        <v>1</v>
      </c>
    </row>
    <row r="904" spans="1:13" hidden="1" x14ac:dyDescent="0.2">
      <c r="A904" s="1">
        <v>5959429</v>
      </c>
      <c r="B904">
        <v>1</v>
      </c>
      <c r="C904">
        <v>3</v>
      </c>
      <c r="D904">
        <v>476</v>
      </c>
      <c r="E904">
        <v>581</v>
      </c>
      <c r="F904">
        <v>620</v>
      </c>
      <c r="G904">
        <v>0</v>
      </c>
      <c r="H904">
        <v>539</v>
      </c>
      <c r="I904">
        <f>VLOOKUP(Scores[[#This Row],[MRUN]],Demographics[],3,FALSE)</f>
        <v>5</v>
      </c>
      <c r="J904">
        <f>AVERAGE(Scores[[#This Row],[LYC]],Scores[[#This Row],[MATE]])</f>
        <v>600.5</v>
      </c>
      <c r="K904">
        <f>VLOOKUP(Scores[[#This Row],[MRUN]],Demographics[],6,FALSE)</f>
        <v>3</v>
      </c>
      <c r="L904">
        <f>VLOOKUP(Scores[[#This Row],[MRUN]],Demographics[], 7,FALSE)</f>
        <v>5</v>
      </c>
      <c r="M904">
        <f>VLOOKUP(Scores[[#This Row],[MRUN]],Demographics[], 5, FALSE)</f>
        <v>2</v>
      </c>
    </row>
    <row r="905" spans="1:13" hidden="1" x14ac:dyDescent="0.2">
      <c r="A905" s="1">
        <v>21446987</v>
      </c>
      <c r="B905">
        <v>1</v>
      </c>
      <c r="C905">
        <v>2</v>
      </c>
      <c r="D905">
        <v>478</v>
      </c>
      <c r="E905">
        <v>378</v>
      </c>
      <c r="F905">
        <v>441</v>
      </c>
      <c r="G905">
        <v>0</v>
      </c>
      <c r="H905">
        <v>449</v>
      </c>
      <c r="I905">
        <f>VLOOKUP(Scores[[#This Row],[MRUN]],Demographics[],3,FALSE)</f>
        <v>9</v>
      </c>
      <c r="J905">
        <f>AVERAGE(Scores[[#This Row],[LYC]],Scores[[#This Row],[MATE]])</f>
        <v>409.5</v>
      </c>
      <c r="K905">
        <f>VLOOKUP(Scores[[#This Row],[MRUN]],Demographics[],6,FALSE)</f>
        <v>4</v>
      </c>
      <c r="L905">
        <f>VLOOKUP(Scores[[#This Row],[MRUN]],Demographics[], 7,FALSE)</f>
        <v>4</v>
      </c>
      <c r="M905">
        <f>VLOOKUP(Scores[[#This Row],[MRUN]],Demographics[], 5, FALSE)</f>
        <v>2</v>
      </c>
    </row>
    <row r="906" spans="1:13" hidden="1" x14ac:dyDescent="0.2">
      <c r="A906" s="1">
        <v>2220207</v>
      </c>
      <c r="B906">
        <v>2</v>
      </c>
      <c r="C906">
        <v>3</v>
      </c>
      <c r="D906">
        <v>579</v>
      </c>
      <c r="E906">
        <v>505</v>
      </c>
      <c r="F906">
        <v>512</v>
      </c>
      <c r="G906">
        <v>0</v>
      </c>
      <c r="H906">
        <v>534</v>
      </c>
      <c r="I906">
        <f>VLOOKUP(Scores[[#This Row],[MRUN]],Demographics[],3,FALSE)</f>
        <v>4</v>
      </c>
      <c r="J906">
        <f>AVERAGE(Scores[[#This Row],[LYC]],Scores[[#This Row],[MATE]])</f>
        <v>508.5</v>
      </c>
      <c r="K906">
        <f>VLOOKUP(Scores[[#This Row],[MRUN]],Demographics[],6,FALSE)</f>
        <v>9</v>
      </c>
      <c r="L906">
        <f>VLOOKUP(Scores[[#This Row],[MRUN]],Demographics[], 7,FALSE)</f>
        <v>5</v>
      </c>
      <c r="M906">
        <f>VLOOKUP(Scores[[#This Row],[MRUN]],Demographics[], 5, FALSE)</f>
        <v>2</v>
      </c>
    </row>
    <row r="907" spans="1:13" hidden="1" x14ac:dyDescent="0.2">
      <c r="A907" s="1">
        <v>2957587</v>
      </c>
      <c r="B907">
        <v>1</v>
      </c>
      <c r="C907">
        <v>2</v>
      </c>
      <c r="D907">
        <v>478</v>
      </c>
      <c r="E907">
        <v>521</v>
      </c>
      <c r="F907">
        <v>512</v>
      </c>
      <c r="G907">
        <v>597</v>
      </c>
      <c r="H907">
        <v>0</v>
      </c>
      <c r="I907">
        <f>VLOOKUP(Scores[[#This Row],[MRUN]],Demographics[],3,FALSE)</f>
        <v>5</v>
      </c>
      <c r="J907">
        <f>AVERAGE(Scores[[#This Row],[LYC]],Scores[[#This Row],[MATE]])</f>
        <v>516.5</v>
      </c>
      <c r="K907">
        <f>VLOOKUP(Scores[[#This Row],[MRUN]],Demographics[],6,FALSE)</f>
        <v>3</v>
      </c>
      <c r="L907">
        <f>VLOOKUP(Scores[[#This Row],[MRUN]],Demographics[], 7,FALSE)</f>
        <v>3</v>
      </c>
      <c r="M907">
        <f>VLOOKUP(Scores[[#This Row],[MRUN]],Demographics[], 5, FALSE)</f>
        <v>1</v>
      </c>
    </row>
    <row r="908" spans="1:13" hidden="1" x14ac:dyDescent="0.2">
      <c r="A908" s="1">
        <v>15139350</v>
      </c>
      <c r="B908">
        <v>1</v>
      </c>
      <c r="C908">
        <v>3</v>
      </c>
      <c r="D908">
        <v>420</v>
      </c>
      <c r="E908">
        <v>488</v>
      </c>
      <c r="F908">
        <v>540</v>
      </c>
      <c r="G908">
        <v>0</v>
      </c>
      <c r="H908">
        <v>528</v>
      </c>
      <c r="I908">
        <f>VLOOKUP(Scores[[#This Row],[MRUN]],Demographics[],3,FALSE)</f>
        <v>4</v>
      </c>
      <c r="J908">
        <f>AVERAGE(Scores[[#This Row],[LYC]],Scores[[#This Row],[MATE]])</f>
        <v>514</v>
      </c>
      <c r="K908">
        <f>VLOOKUP(Scores[[#This Row],[MRUN]],Demographics[],6,FALSE)</f>
        <v>9</v>
      </c>
      <c r="L908">
        <f>VLOOKUP(Scores[[#This Row],[MRUN]],Demographics[], 7,FALSE)</f>
        <v>8</v>
      </c>
      <c r="M908">
        <f>VLOOKUP(Scores[[#This Row],[MRUN]],Demographics[], 5, FALSE)</f>
        <v>4</v>
      </c>
    </row>
    <row r="909" spans="1:13" hidden="1" x14ac:dyDescent="0.2">
      <c r="A909" s="1">
        <v>21345115</v>
      </c>
      <c r="B909">
        <v>2</v>
      </c>
      <c r="C909">
        <v>2</v>
      </c>
      <c r="D909">
        <v>420</v>
      </c>
      <c r="E909">
        <v>444</v>
      </c>
      <c r="F909">
        <v>328</v>
      </c>
      <c r="G909">
        <v>0</v>
      </c>
      <c r="H909">
        <v>326</v>
      </c>
      <c r="I909">
        <f>VLOOKUP(Scores[[#This Row],[MRUN]],Demographics[],3,FALSE)</f>
        <v>3</v>
      </c>
      <c r="J909">
        <f>AVERAGE(Scores[[#This Row],[LYC]],Scores[[#This Row],[MATE]])</f>
        <v>386</v>
      </c>
      <c r="K909">
        <f>VLOOKUP(Scores[[#This Row],[MRUN]],Demographics[],6,FALSE)</f>
        <v>4</v>
      </c>
      <c r="L909">
        <f>VLOOKUP(Scores[[#This Row],[MRUN]],Demographics[], 7,FALSE)</f>
        <v>4</v>
      </c>
      <c r="M909">
        <f>VLOOKUP(Scores[[#This Row],[MRUN]],Demographics[], 5, FALSE)</f>
        <v>1</v>
      </c>
    </row>
    <row r="910" spans="1:13" hidden="1" x14ac:dyDescent="0.2">
      <c r="A910" s="1">
        <v>22963451</v>
      </c>
      <c r="B910">
        <v>2</v>
      </c>
      <c r="C910">
        <v>2</v>
      </c>
      <c r="D910">
        <v>579</v>
      </c>
      <c r="E910">
        <v>494</v>
      </c>
      <c r="F910">
        <v>376</v>
      </c>
      <c r="G910">
        <v>531</v>
      </c>
      <c r="H910">
        <v>404</v>
      </c>
      <c r="I910">
        <f>VLOOKUP(Scores[[#This Row],[MRUN]],Demographics[],3,FALSE)</f>
        <v>4</v>
      </c>
      <c r="J910">
        <f>AVERAGE(Scores[[#This Row],[LYC]],Scores[[#This Row],[MATE]])</f>
        <v>435</v>
      </c>
      <c r="K910">
        <f>VLOOKUP(Scores[[#This Row],[MRUN]],Demographics[],6,FALSE)</f>
        <v>2</v>
      </c>
      <c r="L910">
        <f>VLOOKUP(Scores[[#This Row],[MRUN]],Demographics[], 7,FALSE)</f>
        <v>7</v>
      </c>
      <c r="M910">
        <f>VLOOKUP(Scores[[#This Row],[MRUN]],Demographics[], 5, FALSE)</f>
        <v>1</v>
      </c>
    </row>
    <row r="911" spans="1:13" hidden="1" x14ac:dyDescent="0.2">
      <c r="A911" s="1">
        <v>5441175</v>
      </c>
      <c r="B911">
        <v>1</v>
      </c>
      <c r="C911">
        <v>3</v>
      </c>
      <c r="D911">
        <v>460</v>
      </c>
      <c r="E911">
        <v>388</v>
      </c>
      <c r="F911">
        <v>441</v>
      </c>
      <c r="G911">
        <v>414</v>
      </c>
      <c r="H911">
        <v>0</v>
      </c>
      <c r="I911">
        <f>VLOOKUP(Scores[[#This Row],[MRUN]],Demographics[],3,FALSE)</f>
        <v>5</v>
      </c>
      <c r="J911">
        <f>AVERAGE(Scores[[#This Row],[LYC]],Scores[[#This Row],[MATE]])</f>
        <v>414.5</v>
      </c>
      <c r="K911">
        <f>VLOOKUP(Scores[[#This Row],[MRUN]],Demographics[],6,FALSE)</f>
        <v>10</v>
      </c>
      <c r="L911">
        <f>VLOOKUP(Scores[[#This Row],[MRUN]],Demographics[], 7,FALSE)</f>
        <v>5</v>
      </c>
      <c r="M911">
        <f>VLOOKUP(Scores[[#This Row],[MRUN]],Demographics[], 5, FALSE)</f>
        <v>2</v>
      </c>
    </row>
    <row r="912" spans="1:13" hidden="1" x14ac:dyDescent="0.2">
      <c r="A912" s="1">
        <v>20496344</v>
      </c>
      <c r="B912">
        <v>1</v>
      </c>
      <c r="C912">
        <v>2</v>
      </c>
      <c r="D912">
        <v>0</v>
      </c>
      <c r="E912">
        <v>0</v>
      </c>
      <c r="F912">
        <v>0</v>
      </c>
      <c r="G912">
        <v>0</v>
      </c>
      <c r="H912">
        <v>0</v>
      </c>
      <c r="I912">
        <f>VLOOKUP(Scores[[#This Row],[MRUN]],Demographics[],3,FALSE)</f>
        <v>2</v>
      </c>
      <c r="J912">
        <f>AVERAGE(Scores[[#This Row],[LYC]],Scores[[#This Row],[MATE]])</f>
        <v>0</v>
      </c>
      <c r="K912">
        <f>VLOOKUP(Scores[[#This Row],[MRUN]],Demographics[],6,FALSE)</f>
        <v>5</v>
      </c>
      <c r="L912">
        <f>VLOOKUP(Scores[[#This Row],[MRUN]],Demographics[], 7,FALSE)</f>
        <v>3</v>
      </c>
      <c r="M912">
        <f>VLOOKUP(Scores[[#This Row],[MRUN]],Demographics[], 5, FALSE)</f>
        <v>1</v>
      </c>
    </row>
    <row r="913" spans="1:13" hidden="1" x14ac:dyDescent="0.2">
      <c r="A913" s="1">
        <v>18792062</v>
      </c>
      <c r="B913">
        <v>1</v>
      </c>
      <c r="C913">
        <v>2</v>
      </c>
      <c r="D913">
        <v>579</v>
      </c>
      <c r="E913">
        <v>483</v>
      </c>
      <c r="F913">
        <v>506</v>
      </c>
      <c r="G913">
        <v>578</v>
      </c>
      <c r="H913">
        <v>0</v>
      </c>
      <c r="I913">
        <f>VLOOKUP(Scores[[#This Row],[MRUN]],Demographics[],3,FALSE)</f>
        <v>5</v>
      </c>
      <c r="J913">
        <f>AVERAGE(Scores[[#This Row],[LYC]],Scores[[#This Row],[MATE]])</f>
        <v>494.5</v>
      </c>
      <c r="K913">
        <f>VLOOKUP(Scores[[#This Row],[MRUN]],Demographics[],6,FALSE)</f>
        <v>9</v>
      </c>
      <c r="L913">
        <f>VLOOKUP(Scores[[#This Row],[MRUN]],Demographics[], 7,FALSE)</f>
        <v>9</v>
      </c>
      <c r="M913">
        <f>VLOOKUP(Scores[[#This Row],[MRUN]],Demographics[], 5, FALSE)</f>
        <v>1</v>
      </c>
    </row>
    <row r="914" spans="1:13" hidden="1" x14ac:dyDescent="0.2">
      <c r="A914" s="1">
        <v>24565150</v>
      </c>
      <c r="B914">
        <v>1</v>
      </c>
      <c r="C914">
        <v>4</v>
      </c>
      <c r="D914">
        <v>476</v>
      </c>
      <c r="E914">
        <v>567</v>
      </c>
      <c r="F914">
        <v>603</v>
      </c>
      <c r="G914">
        <v>0</v>
      </c>
      <c r="H914">
        <v>575</v>
      </c>
      <c r="I914">
        <f>VLOOKUP(Scores[[#This Row],[MRUN]],Demographics[],3,FALSE)</f>
        <v>5</v>
      </c>
      <c r="J914">
        <f>AVERAGE(Scores[[#This Row],[LYC]],Scores[[#This Row],[MATE]])</f>
        <v>585</v>
      </c>
      <c r="K914">
        <f>VLOOKUP(Scores[[#This Row],[MRUN]],Demographics[],6,FALSE)</f>
        <v>9</v>
      </c>
      <c r="L914">
        <f>VLOOKUP(Scores[[#This Row],[MRUN]],Demographics[], 7,FALSE)</f>
        <v>9</v>
      </c>
      <c r="M914">
        <f>VLOOKUP(Scores[[#This Row],[MRUN]],Demographics[], 5, FALSE)</f>
        <v>4</v>
      </c>
    </row>
    <row r="915" spans="1:13" hidden="1" x14ac:dyDescent="0.2">
      <c r="A915" s="1">
        <v>20395081</v>
      </c>
      <c r="B915">
        <v>2</v>
      </c>
      <c r="C915">
        <v>2</v>
      </c>
      <c r="D915">
        <v>458</v>
      </c>
      <c r="E915">
        <v>451</v>
      </c>
      <c r="F915">
        <v>452</v>
      </c>
      <c r="G915">
        <v>0</v>
      </c>
      <c r="H915">
        <v>449</v>
      </c>
      <c r="I915">
        <f>VLOOKUP(Scores[[#This Row],[MRUN]],Demographics[],3,FALSE)</f>
        <v>4</v>
      </c>
      <c r="J915">
        <f>AVERAGE(Scores[[#This Row],[LYC]],Scores[[#This Row],[MATE]])</f>
        <v>451.5</v>
      </c>
      <c r="K915">
        <f>VLOOKUP(Scores[[#This Row],[MRUN]],Demographics[],6,FALSE)</f>
        <v>2</v>
      </c>
      <c r="L915">
        <f>VLOOKUP(Scores[[#This Row],[MRUN]],Demographics[], 7,FALSE)</f>
        <v>2</v>
      </c>
      <c r="M915">
        <f>VLOOKUP(Scores[[#This Row],[MRUN]],Demographics[], 5, FALSE)</f>
        <v>1</v>
      </c>
    </row>
    <row r="916" spans="1:13" hidden="1" x14ac:dyDescent="0.2">
      <c r="A916" s="1">
        <v>16121769</v>
      </c>
      <c r="B916">
        <v>2</v>
      </c>
      <c r="C916">
        <v>2</v>
      </c>
      <c r="D916">
        <v>476</v>
      </c>
      <c r="E916">
        <v>483</v>
      </c>
      <c r="F916">
        <v>413</v>
      </c>
      <c r="G916">
        <v>512</v>
      </c>
      <c r="H916">
        <v>497</v>
      </c>
      <c r="I916">
        <f>VLOOKUP(Scores[[#This Row],[MRUN]],Demographics[],3,FALSE)</f>
        <v>2</v>
      </c>
      <c r="J916">
        <f>AVERAGE(Scores[[#This Row],[LYC]],Scores[[#This Row],[MATE]])</f>
        <v>448</v>
      </c>
      <c r="K916">
        <f>VLOOKUP(Scores[[#This Row],[MRUN]],Demographics[],6,FALSE)</f>
        <v>5</v>
      </c>
      <c r="L916">
        <f>VLOOKUP(Scores[[#This Row],[MRUN]],Demographics[], 7,FALSE)</f>
        <v>5</v>
      </c>
      <c r="M916">
        <f>VLOOKUP(Scores[[#This Row],[MRUN]],Demographics[], 5, FALSE)</f>
        <v>1</v>
      </c>
    </row>
    <row r="917" spans="1:13" hidden="1" x14ac:dyDescent="0.2">
      <c r="A917" s="1">
        <v>7144307</v>
      </c>
      <c r="B917">
        <v>2</v>
      </c>
      <c r="C917">
        <v>3</v>
      </c>
      <c r="D917">
        <v>580</v>
      </c>
      <c r="E917">
        <v>526</v>
      </c>
      <c r="F917">
        <v>579</v>
      </c>
      <c r="G917">
        <v>0</v>
      </c>
      <c r="H917">
        <v>549</v>
      </c>
      <c r="I917">
        <f>VLOOKUP(Scores[[#This Row],[MRUN]],Demographics[],3,FALSE)</f>
        <v>4</v>
      </c>
      <c r="J917">
        <f>AVERAGE(Scores[[#This Row],[LYC]],Scores[[#This Row],[MATE]])</f>
        <v>552.5</v>
      </c>
      <c r="K917">
        <f>VLOOKUP(Scores[[#This Row],[MRUN]],Demographics[],6,FALSE)</f>
        <v>5</v>
      </c>
      <c r="L917">
        <f>VLOOKUP(Scores[[#This Row],[MRUN]],Demographics[], 7,FALSE)</f>
        <v>3</v>
      </c>
      <c r="M917">
        <f>VLOOKUP(Scores[[#This Row],[MRUN]],Demographics[], 5, FALSE)</f>
        <v>2</v>
      </c>
    </row>
    <row r="918" spans="1:13" hidden="1" x14ac:dyDescent="0.2">
      <c r="A918" s="1">
        <v>3838991</v>
      </c>
      <c r="B918">
        <v>1</v>
      </c>
      <c r="C918">
        <v>3</v>
      </c>
      <c r="D918">
        <v>400</v>
      </c>
      <c r="E918">
        <v>430</v>
      </c>
      <c r="F918">
        <v>353</v>
      </c>
      <c r="G918">
        <v>552</v>
      </c>
      <c r="H918">
        <v>0</v>
      </c>
      <c r="I918">
        <f>VLOOKUP(Scores[[#This Row],[MRUN]],Demographics[],3,FALSE)</f>
        <v>0</v>
      </c>
      <c r="J918">
        <f>AVERAGE(Scores[[#This Row],[LYC]],Scores[[#This Row],[MATE]])</f>
        <v>391.5</v>
      </c>
      <c r="K918">
        <f>VLOOKUP(Scores[[#This Row],[MRUN]],Demographics[],6,FALSE)</f>
        <v>0</v>
      </c>
      <c r="L918">
        <f>VLOOKUP(Scores[[#This Row],[MRUN]],Demographics[], 7,FALSE)</f>
        <v>0</v>
      </c>
      <c r="M918">
        <f>VLOOKUP(Scores[[#This Row],[MRUN]],Demographics[], 5, FALSE)</f>
        <v>1</v>
      </c>
    </row>
    <row r="919" spans="1:13" hidden="1" x14ac:dyDescent="0.2">
      <c r="A919" s="1">
        <v>1803436</v>
      </c>
      <c r="B919">
        <v>1</v>
      </c>
      <c r="C919">
        <v>3</v>
      </c>
      <c r="D919">
        <v>580</v>
      </c>
      <c r="E919">
        <v>422</v>
      </c>
      <c r="F919">
        <v>248</v>
      </c>
      <c r="G919">
        <v>397</v>
      </c>
      <c r="H919">
        <v>0</v>
      </c>
      <c r="I919">
        <f>VLOOKUP(Scores[[#This Row],[MRUN]],Demographics[],3,FALSE)</f>
        <v>5</v>
      </c>
      <c r="J919">
        <f>AVERAGE(Scores[[#This Row],[LYC]],Scores[[#This Row],[MATE]])</f>
        <v>335</v>
      </c>
      <c r="K919">
        <f>VLOOKUP(Scores[[#This Row],[MRUN]],Demographics[],6,FALSE)</f>
        <v>3</v>
      </c>
      <c r="L919">
        <f>VLOOKUP(Scores[[#This Row],[MRUN]],Demographics[], 7,FALSE)</f>
        <v>4</v>
      </c>
      <c r="M919">
        <f>VLOOKUP(Scores[[#This Row],[MRUN]],Demographics[], 5, FALSE)</f>
        <v>1</v>
      </c>
    </row>
    <row r="920" spans="1:13" hidden="1" x14ac:dyDescent="0.2">
      <c r="A920" s="1">
        <v>19427793</v>
      </c>
      <c r="B920">
        <v>2</v>
      </c>
      <c r="C920">
        <v>2</v>
      </c>
      <c r="D920">
        <v>496</v>
      </c>
      <c r="E920">
        <v>483</v>
      </c>
      <c r="F920">
        <v>413</v>
      </c>
      <c r="G920">
        <v>436</v>
      </c>
      <c r="H920">
        <v>0</v>
      </c>
      <c r="I920">
        <f>VLOOKUP(Scores[[#This Row],[MRUN]],Demographics[],3,FALSE)</f>
        <v>4</v>
      </c>
      <c r="J920">
        <f>AVERAGE(Scores[[#This Row],[LYC]],Scores[[#This Row],[MATE]])</f>
        <v>448</v>
      </c>
      <c r="K920">
        <f>VLOOKUP(Scores[[#This Row],[MRUN]],Demographics[],6,FALSE)</f>
        <v>5</v>
      </c>
      <c r="L920">
        <f>VLOOKUP(Scores[[#This Row],[MRUN]],Demographics[], 7,FALSE)</f>
        <v>5</v>
      </c>
      <c r="M920">
        <f>VLOOKUP(Scores[[#This Row],[MRUN]],Demographics[], 5, FALSE)</f>
        <v>1</v>
      </c>
    </row>
    <row r="921" spans="1:13" hidden="1" x14ac:dyDescent="0.2">
      <c r="A921" s="1">
        <v>13985999</v>
      </c>
      <c r="B921">
        <v>1</v>
      </c>
      <c r="C921">
        <v>2</v>
      </c>
      <c r="D921">
        <v>0</v>
      </c>
      <c r="E921">
        <v>476</v>
      </c>
      <c r="F921">
        <v>501</v>
      </c>
      <c r="G921">
        <v>531</v>
      </c>
      <c r="H921">
        <v>0</v>
      </c>
      <c r="I921">
        <f>VLOOKUP(Scores[[#This Row],[MRUN]],Demographics[],3,FALSE)</f>
        <v>4</v>
      </c>
      <c r="J921">
        <f>AVERAGE(Scores[[#This Row],[LYC]],Scores[[#This Row],[MATE]])</f>
        <v>488.5</v>
      </c>
      <c r="K921">
        <f>VLOOKUP(Scores[[#This Row],[MRUN]],Demographics[],6,FALSE)</f>
        <v>5</v>
      </c>
      <c r="L921">
        <f>VLOOKUP(Scores[[#This Row],[MRUN]],Demographics[], 7,FALSE)</f>
        <v>4</v>
      </c>
      <c r="M921">
        <f>VLOOKUP(Scores[[#This Row],[MRUN]],Demographics[], 5, FALSE)</f>
        <v>1</v>
      </c>
    </row>
    <row r="922" spans="1:13" hidden="1" x14ac:dyDescent="0.2">
      <c r="A922" s="1">
        <v>9713445</v>
      </c>
      <c r="B922">
        <v>2</v>
      </c>
      <c r="C922">
        <v>2</v>
      </c>
      <c r="D922">
        <v>458</v>
      </c>
      <c r="E922">
        <v>345</v>
      </c>
      <c r="F922">
        <v>300</v>
      </c>
      <c r="G922">
        <v>348</v>
      </c>
      <c r="H922">
        <v>0</v>
      </c>
      <c r="I922">
        <f>VLOOKUP(Scores[[#This Row],[MRUN]],Demographics[],3,FALSE)</f>
        <v>4</v>
      </c>
      <c r="J922">
        <f>AVERAGE(Scores[[#This Row],[LYC]],Scores[[#This Row],[MATE]])</f>
        <v>322.5</v>
      </c>
      <c r="K922">
        <f>VLOOKUP(Scores[[#This Row],[MRUN]],Demographics[],6,FALSE)</f>
        <v>5</v>
      </c>
      <c r="L922">
        <f>VLOOKUP(Scores[[#This Row],[MRUN]],Demographics[], 7,FALSE)</f>
        <v>5</v>
      </c>
      <c r="M922">
        <f>VLOOKUP(Scores[[#This Row],[MRUN]],Demographics[], 5, FALSE)</f>
        <v>1</v>
      </c>
    </row>
    <row r="923" spans="1:13" hidden="1" x14ac:dyDescent="0.2">
      <c r="A923" s="1">
        <v>1167797</v>
      </c>
      <c r="B923">
        <v>2</v>
      </c>
      <c r="C923">
        <v>2</v>
      </c>
      <c r="D923">
        <v>476</v>
      </c>
      <c r="E923">
        <v>333</v>
      </c>
      <c r="F923">
        <v>487</v>
      </c>
      <c r="G923">
        <v>0</v>
      </c>
      <c r="H923">
        <v>376</v>
      </c>
      <c r="I923">
        <f>VLOOKUP(Scores[[#This Row],[MRUN]],Demographics[],3,FALSE)</f>
        <v>3</v>
      </c>
      <c r="J923">
        <f>AVERAGE(Scores[[#This Row],[LYC]],Scores[[#This Row],[MATE]])</f>
        <v>410</v>
      </c>
      <c r="K923">
        <f>VLOOKUP(Scores[[#This Row],[MRUN]],Demographics[],6,FALSE)</f>
        <v>5</v>
      </c>
      <c r="L923">
        <f>VLOOKUP(Scores[[#This Row],[MRUN]],Demographics[], 7,FALSE)</f>
        <v>2</v>
      </c>
      <c r="M923">
        <f>VLOOKUP(Scores[[#This Row],[MRUN]],Demographics[], 5, FALSE)</f>
        <v>1</v>
      </c>
    </row>
    <row r="924" spans="1:13" hidden="1" x14ac:dyDescent="0.2">
      <c r="A924" s="1">
        <v>8212542</v>
      </c>
      <c r="B924">
        <v>1</v>
      </c>
      <c r="C924">
        <v>3</v>
      </c>
      <c r="D924">
        <v>376</v>
      </c>
      <c r="E924">
        <v>0</v>
      </c>
      <c r="F924">
        <v>0</v>
      </c>
      <c r="G924">
        <v>0</v>
      </c>
      <c r="H924">
        <v>0</v>
      </c>
      <c r="I924">
        <f>VLOOKUP(Scores[[#This Row],[MRUN]],Demographics[],3,FALSE)</f>
        <v>7</v>
      </c>
      <c r="J924">
        <f>AVERAGE(Scores[[#This Row],[LYC]],Scores[[#This Row],[MATE]])</f>
        <v>0</v>
      </c>
      <c r="K924">
        <f>VLOOKUP(Scores[[#This Row],[MRUN]],Demographics[],6,FALSE)</f>
        <v>5</v>
      </c>
      <c r="L924">
        <f>VLOOKUP(Scores[[#This Row],[MRUN]],Demographics[], 7,FALSE)</f>
        <v>4</v>
      </c>
      <c r="M924">
        <f>VLOOKUP(Scores[[#This Row],[MRUN]],Demographics[], 5, FALSE)</f>
        <v>1</v>
      </c>
    </row>
    <row r="925" spans="1:13" hidden="1" x14ac:dyDescent="0.2">
      <c r="A925" s="1">
        <v>18792063</v>
      </c>
      <c r="B925">
        <v>2</v>
      </c>
      <c r="C925">
        <v>3</v>
      </c>
      <c r="D925">
        <v>481</v>
      </c>
      <c r="E925">
        <v>521</v>
      </c>
      <c r="F925">
        <v>376</v>
      </c>
      <c r="G925">
        <v>0</v>
      </c>
      <c r="H925">
        <v>361</v>
      </c>
      <c r="I925">
        <f>VLOOKUP(Scores[[#This Row],[MRUN]],Demographics[],3,FALSE)</f>
        <v>6</v>
      </c>
      <c r="J925">
        <f>AVERAGE(Scores[[#This Row],[LYC]],Scores[[#This Row],[MATE]])</f>
        <v>448.5</v>
      </c>
      <c r="K925">
        <f>VLOOKUP(Scores[[#This Row],[MRUN]],Demographics[],6,FALSE)</f>
        <v>3</v>
      </c>
      <c r="L925">
        <f>VLOOKUP(Scores[[#This Row],[MRUN]],Demographics[], 7,FALSE)</f>
        <v>5</v>
      </c>
      <c r="M925">
        <f>VLOOKUP(Scores[[#This Row],[MRUN]],Demographics[], 5, FALSE)</f>
        <v>1</v>
      </c>
    </row>
    <row r="926" spans="1:13" hidden="1" x14ac:dyDescent="0.2">
      <c r="A926" s="1">
        <v>18359104</v>
      </c>
      <c r="B926">
        <v>1</v>
      </c>
      <c r="C926">
        <v>4</v>
      </c>
      <c r="D926">
        <v>558</v>
      </c>
      <c r="E926">
        <v>636</v>
      </c>
      <c r="F926">
        <v>661</v>
      </c>
      <c r="G926">
        <v>0</v>
      </c>
      <c r="H926">
        <v>708</v>
      </c>
      <c r="I926">
        <f>VLOOKUP(Scores[[#This Row],[MRUN]],Demographics[],3,FALSE)</f>
        <v>5</v>
      </c>
      <c r="J926">
        <f>AVERAGE(Scores[[#This Row],[LYC]],Scores[[#This Row],[MATE]])</f>
        <v>648.5</v>
      </c>
      <c r="K926">
        <f>VLOOKUP(Scores[[#This Row],[MRUN]],Demographics[],6,FALSE)</f>
        <v>8</v>
      </c>
      <c r="L926">
        <f>VLOOKUP(Scores[[#This Row],[MRUN]],Demographics[], 7,FALSE)</f>
        <v>7</v>
      </c>
      <c r="M926">
        <f>VLOOKUP(Scores[[#This Row],[MRUN]],Demographics[], 5, FALSE)</f>
        <v>4</v>
      </c>
    </row>
    <row r="927" spans="1:13" hidden="1" x14ac:dyDescent="0.2">
      <c r="A927" s="1">
        <v>15155103</v>
      </c>
      <c r="B927">
        <v>2</v>
      </c>
      <c r="C927">
        <v>3</v>
      </c>
      <c r="D927">
        <v>359</v>
      </c>
      <c r="E927">
        <v>378</v>
      </c>
      <c r="F927">
        <v>441</v>
      </c>
      <c r="G927">
        <v>380</v>
      </c>
      <c r="H927">
        <v>0</v>
      </c>
      <c r="I927">
        <f>VLOOKUP(Scores[[#This Row],[MRUN]],Demographics[],3,FALSE)</f>
        <v>5</v>
      </c>
      <c r="J927">
        <f>AVERAGE(Scores[[#This Row],[LYC]],Scores[[#This Row],[MATE]])</f>
        <v>409.5</v>
      </c>
      <c r="K927">
        <f>VLOOKUP(Scores[[#This Row],[MRUN]],Demographics[],6,FALSE)</f>
        <v>7</v>
      </c>
      <c r="L927">
        <f>VLOOKUP(Scores[[#This Row],[MRUN]],Demographics[], 7,FALSE)</f>
        <v>4</v>
      </c>
      <c r="M927">
        <f>VLOOKUP(Scores[[#This Row],[MRUN]],Demographics[], 5, FALSE)</f>
        <v>1</v>
      </c>
    </row>
    <row r="928" spans="1:13" hidden="1" x14ac:dyDescent="0.2">
      <c r="A928" s="1">
        <v>4906616</v>
      </c>
      <c r="B928">
        <v>1</v>
      </c>
      <c r="C928">
        <v>2</v>
      </c>
      <c r="D928">
        <v>499</v>
      </c>
      <c r="E928">
        <v>541</v>
      </c>
      <c r="F928">
        <v>585</v>
      </c>
      <c r="G928">
        <v>617</v>
      </c>
      <c r="H928">
        <v>0</v>
      </c>
      <c r="I928">
        <f>VLOOKUP(Scores[[#This Row],[MRUN]],Demographics[],3,FALSE)</f>
        <v>6</v>
      </c>
      <c r="J928">
        <f>AVERAGE(Scores[[#This Row],[LYC]],Scores[[#This Row],[MATE]])</f>
        <v>563</v>
      </c>
      <c r="K928">
        <f>VLOOKUP(Scores[[#This Row],[MRUN]],Demographics[],6,FALSE)</f>
        <v>3</v>
      </c>
      <c r="L928">
        <f>VLOOKUP(Scores[[#This Row],[MRUN]],Demographics[], 7,FALSE)</f>
        <v>2</v>
      </c>
      <c r="M928">
        <f>VLOOKUP(Scores[[#This Row],[MRUN]],Demographics[], 5, FALSE)</f>
        <v>1</v>
      </c>
    </row>
    <row r="929" spans="1:13" hidden="1" x14ac:dyDescent="0.2">
      <c r="A929" s="1">
        <v>20929005</v>
      </c>
      <c r="B929">
        <v>1</v>
      </c>
      <c r="C929">
        <v>2</v>
      </c>
      <c r="D929">
        <v>437</v>
      </c>
      <c r="E929">
        <v>0</v>
      </c>
      <c r="F929">
        <v>0</v>
      </c>
      <c r="G929">
        <v>0</v>
      </c>
      <c r="H929">
        <v>0</v>
      </c>
      <c r="I929">
        <f>VLOOKUP(Scores[[#This Row],[MRUN]],Demographics[],3,FALSE)</f>
        <v>0</v>
      </c>
      <c r="J929">
        <f>AVERAGE(Scores[[#This Row],[LYC]],Scores[[#This Row],[MATE]])</f>
        <v>0</v>
      </c>
      <c r="K929">
        <f>VLOOKUP(Scores[[#This Row],[MRUN]],Demographics[],6,FALSE)</f>
        <v>0</v>
      </c>
      <c r="L929">
        <f>VLOOKUP(Scores[[#This Row],[MRUN]],Demographics[], 7,FALSE)</f>
        <v>0</v>
      </c>
      <c r="M929">
        <f>VLOOKUP(Scores[[#This Row],[MRUN]],Demographics[], 5, FALSE)</f>
        <v>1</v>
      </c>
    </row>
    <row r="930" spans="1:13" hidden="1" x14ac:dyDescent="0.2">
      <c r="A930" s="1">
        <v>19861037</v>
      </c>
      <c r="B930">
        <v>2</v>
      </c>
      <c r="C930">
        <v>2</v>
      </c>
      <c r="D930">
        <v>496</v>
      </c>
      <c r="E930">
        <v>0</v>
      </c>
      <c r="F930">
        <v>0</v>
      </c>
      <c r="G930">
        <v>0</v>
      </c>
      <c r="H930">
        <v>0</v>
      </c>
      <c r="I930">
        <f>VLOOKUP(Scores[[#This Row],[MRUN]],Demographics[],3,FALSE)</f>
        <v>5</v>
      </c>
      <c r="J930">
        <f>AVERAGE(Scores[[#This Row],[LYC]],Scores[[#This Row],[MATE]])</f>
        <v>0</v>
      </c>
      <c r="K930">
        <f>VLOOKUP(Scores[[#This Row],[MRUN]],Demographics[],6,FALSE)</f>
        <v>4</v>
      </c>
      <c r="L930">
        <f>VLOOKUP(Scores[[#This Row],[MRUN]],Demographics[], 7,FALSE)</f>
        <v>2</v>
      </c>
      <c r="M930">
        <f>VLOOKUP(Scores[[#This Row],[MRUN]],Demographics[], 5, FALSE)</f>
        <v>1</v>
      </c>
    </row>
    <row r="931" spans="1:13" hidden="1" x14ac:dyDescent="0.2">
      <c r="A931" s="1">
        <v>18893252</v>
      </c>
      <c r="B931">
        <v>2</v>
      </c>
      <c r="C931">
        <v>4</v>
      </c>
      <c r="D931">
        <v>641</v>
      </c>
      <c r="E931">
        <v>602</v>
      </c>
      <c r="F931">
        <v>557</v>
      </c>
      <c r="G931">
        <v>0</v>
      </c>
      <c r="H931">
        <v>598</v>
      </c>
      <c r="I931">
        <f>VLOOKUP(Scores[[#This Row],[MRUN]],Demographics[],3,FALSE)</f>
        <v>3</v>
      </c>
      <c r="J931">
        <f>AVERAGE(Scores[[#This Row],[LYC]],Scores[[#This Row],[MATE]])</f>
        <v>579.5</v>
      </c>
      <c r="K931">
        <f>VLOOKUP(Scores[[#This Row],[MRUN]],Demographics[],6,FALSE)</f>
        <v>7</v>
      </c>
      <c r="L931">
        <f>VLOOKUP(Scores[[#This Row],[MRUN]],Demographics[], 7,FALSE)</f>
        <v>7</v>
      </c>
      <c r="M931">
        <f>VLOOKUP(Scores[[#This Row],[MRUN]],Demographics[], 5, FALSE)</f>
        <v>3</v>
      </c>
    </row>
    <row r="932" spans="1:13" hidden="1" x14ac:dyDescent="0.2">
      <c r="A932" s="1">
        <v>10348661</v>
      </c>
      <c r="B932">
        <v>1</v>
      </c>
      <c r="C932">
        <v>2</v>
      </c>
      <c r="D932">
        <v>397</v>
      </c>
      <c r="E932">
        <v>505</v>
      </c>
      <c r="F932">
        <v>480</v>
      </c>
      <c r="G932">
        <v>490</v>
      </c>
      <c r="H932">
        <v>0</v>
      </c>
      <c r="I932">
        <f>VLOOKUP(Scores[[#This Row],[MRUN]],Demographics[],3,FALSE)</f>
        <v>5</v>
      </c>
      <c r="J932">
        <f>AVERAGE(Scores[[#This Row],[LYC]],Scores[[#This Row],[MATE]])</f>
        <v>492.5</v>
      </c>
      <c r="K932">
        <f>VLOOKUP(Scores[[#This Row],[MRUN]],Demographics[],6,FALSE)</f>
        <v>9</v>
      </c>
      <c r="L932">
        <f>VLOOKUP(Scores[[#This Row],[MRUN]],Demographics[], 7,FALSE)</f>
        <v>9</v>
      </c>
      <c r="M932">
        <f>VLOOKUP(Scores[[#This Row],[MRUN]],Demographics[], 5, FALSE)</f>
        <v>2</v>
      </c>
    </row>
    <row r="933" spans="1:13" hidden="1" x14ac:dyDescent="0.2">
      <c r="A933" s="1">
        <v>3838990</v>
      </c>
      <c r="B933">
        <v>1</v>
      </c>
      <c r="C933">
        <v>2</v>
      </c>
      <c r="D933">
        <v>496</v>
      </c>
      <c r="E933">
        <v>537</v>
      </c>
      <c r="F933">
        <v>463</v>
      </c>
      <c r="G933">
        <v>521</v>
      </c>
      <c r="H933">
        <v>0</v>
      </c>
      <c r="I933">
        <f>VLOOKUP(Scores[[#This Row],[MRUN]],Demographics[],3,FALSE)</f>
        <v>4</v>
      </c>
      <c r="J933">
        <f>AVERAGE(Scores[[#This Row],[LYC]],Scores[[#This Row],[MATE]])</f>
        <v>500</v>
      </c>
      <c r="K933">
        <f>VLOOKUP(Scores[[#This Row],[MRUN]],Demographics[],6,FALSE)</f>
        <v>7</v>
      </c>
      <c r="L933">
        <f>VLOOKUP(Scores[[#This Row],[MRUN]],Demographics[], 7,FALSE)</f>
        <v>5</v>
      </c>
      <c r="M933">
        <f>VLOOKUP(Scores[[#This Row],[MRUN]],Demographics[], 5, FALSE)</f>
        <v>2</v>
      </c>
    </row>
    <row r="934" spans="1:13" hidden="1" x14ac:dyDescent="0.2">
      <c r="A934" s="1">
        <v>1803435</v>
      </c>
      <c r="B934">
        <v>2</v>
      </c>
      <c r="C934">
        <v>3</v>
      </c>
      <c r="D934">
        <v>723</v>
      </c>
      <c r="E934">
        <v>613</v>
      </c>
      <c r="F934">
        <v>606</v>
      </c>
      <c r="G934">
        <v>0</v>
      </c>
      <c r="H934">
        <v>598</v>
      </c>
      <c r="I934">
        <f>VLOOKUP(Scores[[#This Row],[MRUN]],Demographics[],3,FALSE)</f>
        <v>6</v>
      </c>
      <c r="J934">
        <f>AVERAGE(Scores[[#This Row],[LYC]],Scores[[#This Row],[MATE]])</f>
        <v>609.5</v>
      </c>
      <c r="K934">
        <f>VLOOKUP(Scores[[#This Row],[MRUN]],Demographics[],6,FALSE)</f>
        <v>5</v>
      </c>
      <c r="L934">
        <f>VLOOKUP(Scores[[#This Row],[MRUN]],Demographics[], 7,FALSE)</f>
        <v>4</v>
      </c>
      <c r="M934">
        <f>VLOOKUP(Scores[[#This Row],[MRUN]],Demographics[], 5, FALSE)</f>
        <v>2</v>
      </c>
    </row>
    <row r="935" spans="1:13" hidden="1" x14ac:dyDescent="0.2">
      <c r="A935" s="1">
        <v>8645355</v>
      </c>
      <c r="B935">
        <v>2</v>
      </c>
      <c r="C935">
        <v>3</v>
      </c>
      <c r="D935">
        <v>437</v>
      </c>
      <c r="E935">
        <v>244</v>
      </c>
      <c r="F935">
        <v>353</v>
      </c>
      <c r="G935">
        <v>348</v>
      </c>
      <c r="H935">
        <v>0</v>
      </c>
      <c r="I935">
        <f>VLOOKUP(Scores[[#This Row],[MRUN]],Demographics[],3,FALSE)</f>
        <v>5</v>
      </c>
      <c r="J935">
        <f>AVERAGE(Scores[[#This Row],[LYC]],Scores[[#This Row],[MATE]])</f>
        <v>298.5</v>
      </c>
      <c r="K935">
        <f>VLOOKUP(Scores[[#This Row],[MRUN]],Demographics[],6,FALSE)</f>
        <v>9</v>
      </c>
      <c r="L935">
        <f>VLOOKUP(Scores[[#This Row],[MRUN]],Demographics[], 7,FALSE)</f>
        <v>9</v>
      </c>
      <c r="M935">
        <f>VLOOKUP(Scores[[#This Row],[MRUN]],Demographics[], 5, FALSE)</f>
        <v>2</v>
      </c>
    </row>
    <row r="936" spans="1:13" hidden="1" x14ac:dyDescent="0.2">
      <c r="A936" s="1">
        <v>5109324</v>
      </c>
      <c r="B936">
        <v>1</v>
      </c>
      <c r="C936">
        <v>2</v>
      </c>
      <c r="D936">
        <v>393</v>
      </c>
      <c r="E936">
        <v>471</v>
      </c>
      <c r="F936">
        <v>582</v>
      </c>
      <c r="G936">
        <v>0</v>
      </c>
      <c r="H936">
        <v>516</v>
      </c>
      <c r="I936">
        <f>VLOOKUP(Scores[[#This Row],[MRUN]],Demographics[],3,FALSE)</f>
        <v>8</v>
      </c>
      <c r="J936">
        <f>AVERAGE(Scores[[#This Row],[LYC]],Scores[[#This Row],[MATE]])</f>
        <v>526.5</v>
      </c>
      <c r="K936">
        <f>VLOOKUP(Scores[[#This Row],[MRUN]],Demographics[],6,FALSE)</f>
        <v>4</v>
      </c>
      <c r="L936">
        <f>VLOOKUP(Scores[[#This Row],[MRUN]],Demographics[], 7,FALSE)</f>
        <v>8</v>
      </c>
      <c r="M936">
        <f>VLOOKUP(Scores[[#This Row],[MRUN]],Demographics[], 5, FALSE)</f>
        <v>1</v>
      </c>
    </row>
    <row r="937" spans="1:13" hidden="1" x14ac:dyDescent="0.2">
      <c r="A937" s="1">
        <v>13710296</v>
      </c>
      <c r="B937">
        <v>1</v>
      </c>
      <c r="C937">
        <v>4</v>
      </c>
      <c r="D937">
        <v>641</v>
      </c>
      <c r="E937">
        <v>494</v>
      </c>
      <c r="F937">
        <v>620</v>
      </c>
      <c r="G937">
        <v>0</v>
      </c>
      <c r="H937">
        <v>567</v>
      </c>
      <c r="I937">
        <f>VLOOKUP(Scores[[#This Row],[MRUN]],Demographics[],3,FALSE)</f>
        <v>10</v>
      </c>
      <c r="J937">
        <f>AVERAGE(Scores[[#This Row],[LYC]],Scores[[#This Row],[MATE]])</f>
        <v>557</v>
      </c>
      <c r="K937">
        <f>VLOOKUP(Scores[[#This Row],[MRUN]],Demographics[],6,FALSE)</f>
        <v>9</v>
      </c>
      <c r="L937">
        <f>VLOOKUP(Scores[[#This Row],[MRUN]],Demographics[], 7,FALSE)</f>
        <v>9</v>
      </c>
      <c r="M937">
        <f>VLOOKUP(Scores[[#This Row],[MRUN]],Demographics[], 5, FALSE)</f>
        <v>6</v>
      </c>
    </row>
    <row r="938" spans="1:13" hidden="1" x14ac:dyDescent="0.2">
      <c r="A938" s="1">
        <v>23857285</v>
      </c>
      <c r="B938">
        <v>1</v>
      </c>
      <c r="C938">
        <v>2</v>
      </c>
      <c r="D938">
        <v>682</v>
      </c>
      <c r="E938">
        <v>747</v>
      </c>
      <c r="F938">
        <v>609</v>
      </c>
      <c r="G938">
        <v>699</v>
      </c>
      <c r="H938">
        <v>668</v>
      </c>
      <c r="I938">
        <f>VLOOKUP(Scores[[#This Row],[MRUN]],Demographics[],3,FALSE)</f>
        <v>4</v>
      </c>
      <c r="J938">
        <f>AVERAGE(Scores[[#This Row],[LYC]],Scores[[#This Row],[MATE]])</f>
        <v>678</v>
      </c>
      <c r="K938">
        <f>VLOOKUP(Scores[[#This Row],[MRUN]],Demographics[],6,FALSE)</f>
        <v>4</v>
      </c>
      <c r="L938">
        <f>VLOOKUP(Scores[[#This Row],[MRUN]],Demographics[], 7,FALSE)</f>
        <v>5</v>
      </c>
      <c r="M938">
        <f>VLOOKUP(Scores[[#This Row],[MRUN]],Demographics[], 5, FALSE)</f>
        <v>1</v>
      </c>
    </row>
    <row r="939" spans="1:13" hidden="1" x14ac:dyDescent="0.2">
      <c r="A939" s="1">
        <v>21822391</v>
      </c>
      <c r="B939">
        <v>1</v>
      </c>
      <c r="C939">
        <v>4</v>
      </c>
      <c r="D939">
        <v>538</v>
      </c>
      <c r="E939">
        <v>624</v>
      </c>
      <c r="F939">
        <v>661</v>
      </c>
      <c r="G939">
        <v>692</v>
      </c>
      <c r="H939">
        <v>0</v>
      </c>
      <c r="I939">
        <f>VLOOKUP(Scores[[#This Row],[MRUN]],Demographics[],3,FALSE)</f>
        <v>6</v>
      </c>
      <c r="J939">
        <f>AVERAGE(Scores[[#This Row],[LYC]],Scores[[#This Row],[MATE]])</f>
        <v>642.5</v>
      </c>
      <c r="K939">
        <f>VLOOKUP(Scores[[#This Row],[MRUN]],Demographics[],6,FALSE)</f>
        <v>9</v>
      </c>
      <c r="L939">
        <f>VLOOKUP(Scores[[#This Row],[MRUN]],Demographics[], 7,FALSE)</f>
        <v>9</v>
      </c>
      <c r="M939">
        <f>VLOOKUP(Scores[[#This Row],[MRUN]],Demographics[], 5, FALSE)</f>
        <v>5</v>
      </c>
    </row>
    <row r="940" spans="1:13" hidden="1" x14ac:dyDescent="0.2">
      <c r="A940" s="1">
        <v>19484426</v>
      </c>
      <c r="B940">
        <v>1</v>
      </c>
      <c r="C940">
        <v>2</v>
      </c>
      <c r="D940">
        <v>601</v>
      </c>
      <c r="E940">
        <v>406</v>
      </c>
      <c r="F940">
        <v>428</v>
      </c>
      <c r="G940">
        <v>397</v>
      </c>
      <c r="H940">
        <v>0</v>
      </c>
      <c r="I940">
        <f>VLOOKUP(Scores[[#This Row],[MRUN]],Demographics[],3,FALSE)</f>
        <v>5</v>
      </c>
      <c r="J940">
        <f>AVERAGE(Scores[[#This Row],[LYC]],Scores[[#This Row],[MATE]])</f>
        <v>417</v>
      </c>
      <c r="K940">
        <f>VLOOKUP(Scores[[#This Row],[MRUN]],Demographics[],6,FALSE)</f>
        <v>3</v>
      </c>
      <c r="L940">
        <f>VLOOKUP(Scores[[#This Row],[MRUN]],Demographics[], 7,FALSE)</f>
        <v>3</v>
      </c>
      <c r="M940">
        <f>VLOOKUP(Scores[[#This Row],[MRUN]],Demographics[], 5, FALSE)</f>
        <v>1</v>
      </c>
    </row>
    <row r="941" spans="1:13" hidden="1" x14ac:dyDescent="0.2">
      <c r="A941" s="1">
        <v>18617230</v>
      </c>
      <c r="B941">
        <v>1</v>
      </c>
      <c r="C941">
        <v>2</v>
      </c>
      <c r="D941">
        <v>455</v>
      </c>
      <c r="E941">
        <v>526</v>
      </c>
      <c r="F941">
        <v>540</v>
      </c>
      <c r="G941">
        <v>0</v>
      </c>
      <c r="H941">
        <v>459</v>
      </c>
      <c r="I941">
        <f>VLOOKUP(Scores[[#This Row],[MRUN]],Demographics[],3,FALSE)</f>
        <v>4</v>
      </c>
      <c r="J941">
        <f>AVERAGE(Scores[[#This Row],[LYC]],Scores[[#This Row],[MATE]])</f>
        <v>533</v>
      </c>
      <c r="K941">
        <f>VLOOKUP(Scores[[#This Row],[MRUN]],Demographics[],6,FALSE)</f>
        <v>9</v>
      </c>
      <c r="L941">
        <f>VLOOKUP(Scores[[#This Row],[MRUN]],Demographics[], 7,FALSE)</f>
        <v>9</v>
      </c>
      <c r="M941">
        <f>VLOOKUP(Scores[[#This Row],[MRUN]],Demographics[], 5, FALSE)</f>
        <v>2</v>
      </c>
    </row>
    <row r="942" spans="1:13" hidden="1" x14ac:dyDescent="0.2">
      <c r="A942" s="1">
        <v>4299753</v>
      </c>
      <c r="B942">
        <v>1</v>
      </c>
      <c r="C942">
        <v>3</v>
      </c>
      <c r="D942">
        <v>440</v>
      </c>
      <c r="E942">
        <v>483</v>
      </c>
      <c r="F942">
        <v>527</v>
      </c>
      <c r="G942">
        <v>466</v>
      </c>
      <c r="H942">
        <v>0</v>
      </c>
      <c r="I942">
        <f>VLOOKUP(Scores[[#This Row],[MRUN]],Demographics[],3,FALSE)</f>
        <v>5</v>
      </c>
      <c r="J942">
        <f>AVERAGE(Scores[[#This Row],[LYC]],Scores[[#This Row],[MATE]])</f>
        <v>505</v>
      </c>
      <c r="K942">
        <f>VLOOKUP(Scores[[#This Row],[MRUN]],Demographics[],6,FALSE)</f>
        <v>8</v>
      </c>
      <c r="L942">
        <f>VLOOKUP(Scores[[#This Row],[MRUN]],Demographics[], 7,FALSE)</f>
        <v>7</v>
      </c>
      <c r="M942">
        <f>VLOOKUP(Scores[[#This Row],[MRUN]],Demographics[], 5, FALSE)</f>
        <v>3</v>
      </c>
    </row>
    <row r="943" spans="1:13" hidden="1" x14ac:dyDescent="0.2">
      <c r="A943" s="1">
        <v>6768217</v>
      </c>
      <c r="B943">
        <v>2</v>
      </c>
      <c r="C943">
        <v>2</v>
      </c>
      <c r="D943">
        <v>455</v>
      </c>
      <c r="E943">
        <v>378</v>
      </c>
      <c r="F943">
        <v>506</v>
      </c>
      <c r="G943">
        <v>406</v>
      </c>
      <c r="H943">
        <v>0</v>
      </c>
      <c r="I943">
        <f>VLOOKUP(Scores[[#This Row],[MRUN]],Demographics[],3,FALSE)</f>
        <v>4</v>
      </c>
      <c r="J943">
        <f>AVERAGE(Scores[[#This Row],[LYC]],Scores[[#This Row],[MATE]])</f>
        <v>442</v>
      </c>
      <c r="K943">
        <f>VLOOKUP(Scores[[#This Row],[MRUN]],Demographics[],6,FALSE)</f>
        <v>3</v>
      </c>
      <c r="L943">
        <f>VLOOKUP(Scores[[#This Row],[MRUN]],Demographics[], 7,FALSE)</f>
        <v>3</v>
      </c>
      <c r="M943">
        <f>VLOOKUP(Scores[[#This Row],[MRUN]],Demographics[], 5, FALSE)</f>
        <v>1</v>
      </c>
    </row>
    <row r="944" spans="1:13" hidden="1" x14ac:dyDescent="0.2">
      <c r="A944" s="1">
        <v>19686130</v>
      </c>
      <c r="B944">
        <v>2</v>
      </c>
      <c r="C944">
        <v>4</v>
      </c>
      <c r="D944">
        <v>785</v>
      </c>
      <c r="E944">
        <v>707</v>
      </c>
      <c r="F944">
        <v>750</v>
      </c>
      <c r="G944">
        <v>0</v>
      </c>
      <c r="H944">
        <v>746</v>
      </c>
      <c r="I944">
        <f>VLOOKUP(Scores[[#This Row],[MRUN]],Demographics[],3,FALSE)</f>
        <v>4</v>
      </c>
      <c r="J944">
        <f>AVERAGE(Scores[[#This Row],[LYC]],Scores[[#This Row],[MATE]])</f>
        <v>728.5</v>
      </c>
      <c r="K944">
        <f>VLOOKUP(Scores[[#This Row],[MRUN]],Demographics[],6,FALSE)</f>
        <v>9</v>
      </c>
      <c r="L944">
        <f>VLOOKUP(Scores[[#This Row],[MRUN]],Demographics[], 7,FALSE)</f>
        <v>9</v>
      </c>
      <c r="M944">
        <f>VLOOKUP(Scores[[#This Row],[MRUN]],Demographics[], 5, FALSE)</f>
        <v>3</v>
      </c>
    </row>
    <row r="945" spans="1:13" hidden="1" x14ac:dyDescent="0.2">
      <c r="A945" s="1">
        <v>9640647</v>
      </c>
      <c r="B945">
        <v>1</v>
      </c>
      <c r="C945">
        <v>2</v>
      </c>
      <c r="D945">
        <v>517</v>
      </c>
      <c r="E945">
        <v>531</v>
      </c>
      <c r="F945">
        <v>579</v>
      </c>
      <c r="G945">
        <v>0</v>
      </c>
      <c r="H945">
        <v>523</v>
      </c>
      <c r="I945">
        <f>VLOOKUP(Scores[[#This Row],[MRUN]],Demographics[],3,FALSE)</f>
        <v>4</v>
      </c>
      <c r="J945">
        <f>AVERAGE(Scores[[#This Row],[LYC]],Scores[[#This Row],[MATE]])</f>
        <v>555</v>
      </c>
      <c r="K945">
        <f>VLOOKUP(Scores[[#This Row],[MRUN]],Demographics[],6,FALSE)</f>
        <v>5</v>
      </c>
      <c r="L945">
        <f>VLOOKUP(Scores[[#This Row],[MRUN]],Demographics[], 7,FALSE)</f>
        <v>5</v>
      </c>
      <c r="M945">
        <f>VLOOKUP(Scores[[#This Row],[MRUN]],Demographics[], 5, FALSE)</f>
        <v>2</v>
      </c>
    </row>
    <row r="946" spans="1:13" hidden="1" x14ac:dyDescent="0.2">
      <c r="A946" s="1">
        <v>7301763</v>
      </c>
      <c r="B946">
        <v>1</v>
      </c>
      <c r="C946">
        <v>2</v>
      </c>
      <c r="D946">
        <v>558</v>
      </c>
      <c r="E946">
        <v>567</v>
      </c>
      <c r="F946">
        <v>557</v>
      </c>
      <c r="G946">
        <v>0</v>
      </c>
      <c r="H946">
        <v>549</v>
      </c>
      <c r="I946">
        <f>VLOOKUP(Scores[[#This Row],[MRUN]],Demographics[],3,FALSE)</f>
        <v>6</v>
      </c>
      <c r="J946">
        <f>AVERAGE(Scores[[#This Row],[LYC]],Scores[[#This Row],[MATE]])</f>
        <v>562</v>
      </c>
      <c r="K946">
        <f>VLOOKUP(Scores[[#This Row],[MRUN]],Demographics[],6,FALSE)</f>
        <v>5</v>
      </c>
      <c r="L946">
        <f>VLOOKUP(Scores[[#This Row],[MRUN]],Demographics[], 7,FALSE)</f>
        <v>5</v>
      </c>
      <c r="M946">
        <f>VLOOKUP(Scores[[#This Row],[MRUN]],Demographics[], 5, FALSE)</f>
        <v>1</v>
      </c>
    </row>
    <row r="947" spans="1:13" hidden="1" x14ac:dyDescent="0.2">
      <c r="A947" s="1">
        <v>9539256</v>
      </c>
      <c r="B947">
        <v>1</v>
      </c>
      <c r="C947">
        <v>3</v>
      </c>
      <c r="D947">
        <v>417</v>
      </c>
      <c r="E947">
        <v>356</v>
      </c>
      <c r="F947">
        <v>395</v>
      </c>
      <c r="G947">
        <v>289</v>
      </c>
      <c r="H947">
        <v>0</v>
      </c>
      <c r="I947">
        <f>VLOOKUP(Scores[[#This Row],[MRUN]],Demographics[],3,FALSE)</f>
        <v>5</v>
      </c>
      <c r="J947">
        <f>AVERAGE(Scores[[#This Row],[LYC]],Scores[[#This Row],[MATE]])</f>
        <v>375.5</v>
      </c>
      <c r="K947">
        <f>VLOOKUP(Scores[[#This Row],[MRUN]],Demographics[],6,FALSE)</f>
        <v>4</v>
      </c>
      <c r="L947">
        <f>VLOOKUP(Scores[[#This Row],[MRUN]],Demographics[], 7,FALSE)</f>
        <v>0</v>
      </c>
      <c r="M947">
        <f>VLOOKUP(Scores[[#This Row],[MRUN]],Demographics[], 5, FALSE)</f>
        <v>1</v>
      </c>
    </row>
    <row r="948" spans="1:13" hidden="1" x14ac:dyDescent="0.2">
      <c r="A948" s="1">
        <v>5266917</v>
      </c>
      <c r="B948">
        <v>2</v>
      </c>
      <c r="C948">
        <v>2</v>
      </c>
      <c r="D948">
        <v>620</v>
      </c>
      <c r="E948">
        <v>444</v>
      </c>
      <c r="F948">
        <v>600</v>
      </c>
      <c r="G948">
        <v>0</v>
      </c>
      <c r="H948">
        <v>543</v>
      </c>
      <c r="I948">
        <f>VLOOKUP(Scores[[#This Row],[MRUN]],Demographics[],3,FALSE)</f>
        <v>0</v>
      </c>
      <c r="J948">
        <f>AVERAGE(Scores[[#This Row],[LYC]],Scores[[#This Row],[MATE]])</f>
        <v>522</v>
      </c>
      <c r="K948">
        <f>VLOOKUP(Scores[[#This Row],[MRUN]],Demographics[],6,FALSE)</f>
        <v>3</v>
      </c>
      <c r="L948">
        <f>VLOOKUP(Scores[[#This Row],[MRUN]],Demographics[], 7,FALSE)</f>
        <v>5</v>
      </c>
      <c r="M948">
        <f>VLOOKUP(Scores[[#This Row],[MRUN]],Demographics[], 5, FALSE)</f>
        <v>1</v>
      </c>
    </row>
    <row r="949" spans="1:13" hidden="1" x14ac:dyDescent="0.2">
      <c r="A949" s="1">
        <v>18949937</v>
      </c>
      <c r="B949">
        <v>1</v>
      </c>
      <c r="C949">
        <v>2</v>
      </c>
      <c r="D949">
        <v>579</v>
      </c>
      <c r="E949">
        <v>561</v>
      </c>
      <c r="F949">
        <v>463</v>
      </c>
      <c r="G949">
        <v>557</v>
      </c>
      <c r="H949">
        <v>0</v>
      </c>
      <c r="I949">
        <f>VLOOKUP(Scores[[#This Row],[MRUN]],Demographics[],3,FALSE)</f>
        <v>4</v>
      </c>
      <c r="J949">
        <f>AVERAGE(Scores[[#This Row],[LYC]],Scores[[#This Row],[MATE]])</f>
        <v>512</v>
      </c>
      <c r="K949">
        <f>VLOOKUP(Scores[[#This Row],[MRUN]],Demographics[],6,FALSE)</f>
        <v>8</v>
      </c>
      <c r="L949">
        <f>VLOOKUP(Scores[[#This Row],[MRUN]],Demographics[], 7,FALSE)</f>
        <v>2</v>
      </c>
      <c r="M949">
        <f>VLOOKUP(Scores[[#This Row],[MRUN]],Demographics[], 5, FALSE)</f>
        <v>1</v>
      </c>
    </row>
    <row r="950" spans="1:13" hidden="1" x14ac:dyDescent="0.2">
      <c r="A950" s="1">
        <v>23756804</v>
      </c>
      <c r="B950">
        <v>1</v>
      </c>
      <c r="C950">
        <v>2</v>
      </c>
      <c r="D950">
        <v>539</v>
      </c>
      <c r="E950">
        <v>0</v>
      </c>
      <c r="F950">
        <v>0</v>
      </c>
      <c r="G950">
        <v>0</v>
      </c>
      <c r="H950">
        <v>0</v>
      </c>
      <c r="I950">
        <f>VLOOKUP(Scores[[#This Row],[MRUN]],Demographics[],3,FALSE)</f>
        <v>5</v>
      </c>
      <c r="J950">
        <f>AVERAGE(Scores[[#This Row],[LYC]],Scores[[#This Row],[MATE]])</f>
        <v>0</v>
      </c>
      <c r="K950">
        <f>VLOOKUP(Scores[[#This Row],[MRUN]],Demographics[],6,FALSE)</f>
        <v>5</v>
      </c>
      <c r="L950">
        <f>VLOOKUP(Scores[[#This Row],[MRUN]],Demographics[], 7,FALSE)</f>
        <v>3</v>
      </c>
      <c r="M950">
        <f>VLOOKUP(Scores[[#This Row],[MRUN]],Demographics[], 5, FALSE)</f>
        <v>1</v>
      </c>
    </row>
    <row r="951" spans="1:13" hidden="1" x14ac:dyDescent="0.2">
      <c r="A951" s="1">
        <v>3766110</v>
      </c>
      <c r="B951">
        <v>1</v>
      </c>
      <c r="C951">
        <v>4</v>
      </c>
      <c r="D951">
        <v>558</v>
      </c>
      <c r="E951">
        <v>576</v>
      </c>
      <c r="F951">
        <v>585</v>
      </c>
      <c r="G951">
        <v>602</v>
      </c>
      <c r="H951">
        <v>0</v>
      </c>
      <c r="I951">
        <f>VLOOKUP(Scores[[#This Row],[MRUN]],Demographics[],3,FALSE)</f>
        <v>3</v>
      </c>
      <c r="J951">
        <f>AVERAGE(Scores[[#This Row],[LYC]],Scores[[#This Row],[MATE]])</f>
        <v>580.5</v>
      </c>
      <c r="K951">
        <f>VLOOKUP(Scores[[#This Row],[MRUN]],Demographics[],6,FALSE)</f>
        <v>8</v>
      </c>
      <c r="L951">
        <f>VLOOKUP(Scores[[#This Row],[MRUN]],Demographics[], 7,FALSE)</f>
        <v>8</v>
      </c>
      <c r="M951">
        <f>VLOOKUP(Scores[[#This Row],[MRUN]],Demographics[], 5, FALSE)</f>
        <v>3</v>
      </c>
    </row>
    <row r="952" spans="1:13" hidden="1" x14ac:dyDescent="0.2">
      <c r="A952" s="1">
        <v>7835892</v>
      </c>
      <c r="B952">
        <v>2</v>
      </c>
      <c r="C952">
        <v>3</v>
      </c>
      <c r="D952">
        <v>437</v>
      </c>
      <c r="E952">
        <v>458</v>
      </c>
      <c r="F952">
        <v>463</v>
      </c>
      <c r="G952">
        <v>0</v>
      </c>
      <c r="H952">
        <v>223</v>
      </c>
      <c r="I952">
        <f>VLOOKUP(Scores[[#This Row],[MRUN]],Demographics[],3,FALSE)</f>
        <v>3</v>
      </c>
      <c r="J952">
        <f>AVERAGE(Scores[[#This Row],[LYC]],Scores[[#This Row],[MATE]])</f>
        <v>460.5</v>
      </c>
      <c r="K952">
        <f>VLOOKUP(Scores[[#This Row],[MRUN]],Demographics[],6,FALSE)</f>
        <v>3</v>
      </c>
      <c r="L952">
        <f>VLOOKUP(Scores[[#This Row],[MRUN]],Demographics[], 7,FALSE)</f>
        <v>3</v>
      </c>
      <c r="M952">
        <f>VLOOKUP(Scores[[#This Row],[MRUN]],Demographics[], 5, FALSE)</f>
        <v>1</v>
      </c>
    </row>
    <row r="953" spans="1:13" hidden="1" x14ac:dyDescent="0.2">
      <c r="A953" s="1">
        <v>13176187</v>
      </c>
      <c r="B953">
        <v>2</v>
      </c>
      <c r="C953">
        <v>2</v>
      </c>
      <c r="D953">
        <v>376</v>
      </c>
      <c r="E953">
        <v>0</v>
      </c>
      <c r="F953">
        <v>0</v>
      </c>
      <c r="G953">
        <v>0</v>
      </c>
      <c r="H953">
        <v>0</v>
      </c>
      <c r="I953">
        <f>VLOOKUP(Scores[[#This Row],[MRUN]],Demographics[],3,FALSE)</f>
        <v>4</v>
      </c>
      <c r="J953">
        <f>AVERAGE(Scores[[#This Row],[LYC]],Scores[[#This Row],[MATE]])</f>
        <v>0</v>
      </c>
      <c r="K953">
        <f>VLOOKUP(Scores[[#This Row],[MRUN]],Demographics[],6,FALSE)</f>
        <v>8</v>
      </c>
      <c r="L953">
        <f>VLOOKUP(Scores[[#This Row],[MRUN]],Demographics[], 7,FALSE)</f>
        <v>5</v>
      </c>
      <c r="M953">
        <f>VLOOKUP(Scores[[#This Row],[MRUN]],Demographics[], 5, FALSE)</f>
        <v>1</v>
      </c>
    </row>
    <row r="954" spans="1:13" hidden="1" x14ac:dyDescent="0.2">
      <c r="A954" s="1">
        <v>26573</v>
      </c>
      <c r="B954">
        <v>2</v>
      </c>
      <c r="C954">
        <v>4</v>
      </c>
      <c r="D954">
        <v>620</v>
      </c>
      <c r="E954">
        <v>668</v>
      </c>
      <c r="F954">
        <v>523</v>
      </c>
      <c r="G954">
        <v>735</v>
      </c>
      <c r="H954">
        <v>0</v>
      </c>
      <c r="I954">
        <f>VLOOKUP(Scores[[#This Row],[MRUN]],Demographics[],3,FALSE)</f>
        <v>3</v>
      </c>
      <c r="J954">
        <f>AVERAGE(Scores[[#This Row],[LYC]],Scores[[#This Row],[MATE]])</f>
        <v>595.5</v>
      </c>
      <c r="K954">
        <f>VLOOKUP(Scores[[#This Row],[MRUN]],Demographics[],6,FALSE)</f>
        <v>9</v>
      </c>
      <c r="L954">
        <f>VLOOKUP(Scores[[#This Row],[MRUN]],Demographics[], 7,FALSE)</f>
        <v>9</v>
      </c>
      <c r="M954">
        <f>VLOOKUP(Scores[[#This Row],[MRUN]],Demographics[], 5, FALSE)</f>
        <v>2</v>
      </c>
    </row>
    <row r="955" spans="1:13" hidden="1" x14ac:dyDescent="0.2">
      <c r="A955" s="1">
        <v>24290677</v>
      </c>
      <c r="B955">
        <v>2</v>
      </c>
      <c r="C955">
        <v>3</v>
      </c>
      <c r="D955">
        <v>641</v>
      </c>
      <c r="E955">
        <v>551</v>
      </c>
      <c r="F955">
        <v>549</v>
      </c>
      <c r="G955">
        <v>521</v>
      </c>
      <c r="H955">
        <v>528</v>
      </c>
      <c r="I955">
        <f>VLOOKUP(Scores[[#This Row],[MRUN]],Demographics[],3,FALSE)</f>
        <v>4</v>
      </c>
      <c r="J955">
        <f>AVERAGE(Scores[[#This Row],[LYC]],Scores[[#This Row],[MATE]])</f>
        <v>550</v>
      </c>
      <c r="K955">
        <f>VLOOKUP(Scores[[#This Row],[MRUN]],Demographics[],6,FALSE)</f>
        <v>7</v>
      </c>
      <c r="L955">
        <f>VLOOKUP(Scores[[#This Row],[MRUN]],Demographics[], 7,FALSE)</f>
        <v>7</v>
      </c>
      <c r="M955">
        <f>VLOOKUP(Scores[[#This Row],[MRUN]],Demographics[], 5, FALSE)</f>
        <v>2</v>
      </c>
    </row>
    <row r="956" spans="1:13" hidden="1" x14ac:dyDescent="0.2">
      <c r="A956" s="1">
        <v>20552918</v>
      </c>
      <c r="B956">
        <v>1</v>
      </c>
      <c r="C956">
        <v>3</v>
      </c>
      <c r="D956">
        <v>538</v>
      </c>
      <c r="E956">
        <v>602</v>
      </c>
      <c r="F956">
        <v>636</v>
      </c>
      <c r="G956">
        <v>657</v>
      </c>
      <c r="H956">
        <v>575</v>
      </c>
      <c r="I956">
        <f>VLOOKUP(Scores[[#This Row],[MRUN]],Demographics[],3,FALSE)</f>
        <v>5</v>
      </c>
      <c r="J956">
        <f>AVERAGE(Scores[[#This Row],[LYC]],Scores[[#This Row],[MATE]])</f>
        <v>619</v>
      </c>
      <c r="K956">
        <f>VLOOKUP(Scores[[#This Row],[MRUN]],Demographics[],6,FALSE)</f>
        <v>7</v>
      </c>
      <c r="L956">
        <f>VLOOKUP(Scores[[#This Row],[MRUN]],Demographics[], 7,FALSE)</f>
        <v>7</v>
      </c>
      <c r="M956">
        <f>VLOOKUP(Scores[[#This Row],[MRUN]],Demographics[], 5, FALSE)</f>
        <v>2</v>
      </c>
    </row>
    <row r="957" spans="1:13" hidden="1" x14ac:dyDescent="0.2">
      <c r="A957" s="1">
        <v>13710295</v>
      </c>
      <c r="B957">
        <v>1</v>
      </c>
      <c r="C957">
        <v>3</v>
      </c>
      <c r="D957">
        <v>558</v>
      </c>
      <c r="E957">
        <v>526</v>
      </c>
      <c r="F957">
        <v>560</v>
      </c>
      <c r="G957">
        <v>0</v>
      </c>
      <c r="H957">
        <v>575</v>
      </c>
      <c r="I957">
        <f>VLOOKUP(Scores[[#This Row],[MRUN]],Demographics[],3,FALSE)</f>
        <v>3</v>
      </c>
      <c r="J957">
        <f>AVERAGE(Scores[[#This Row],[LYC]],Scores[[#This Row],[MATE]])</f>
        <v>543</v>
      </c>
      <c r="K957">
        <f>VLOOKUP(Scores[[#This Row],[MRUN]],Demographics[],6,FALSE)</f>
        <v>5</v>
      </c>
      <c r="L957">
        <f>VLOOKUP(Scores[[#This Row],[MRUN]],Demographics[], 7,FALSE)</f>
        <v>7</v>
      </c>
      <c r="M957">
        <f>VLOOKUP(Scores[[#This Row],[MRUN]],Demographics[], 5, FALSE)</f>
        <v>1</v>
      </c>
    </row>
    <row r="958" spans="1:13" hidden="1" x14ac:dyDescent="0.2">
      <c r="A958" s="1">
        <v>19484425</v>
      </c>
      <c r="B958">
        <v>2</v>
      </c>
      <c r="C958">
        <v>4</v>
      </c>
      <c r="D958">
        <v>702</v>
      </c>
      <c r="E958">
        <v>0</v>
      </c>
      <c r="F958">
        <v>0</v>
      </c>
      <c r="G958">
        <v>0</v>
      </c>
      <c r="H958">
        <v>0</v>
      </c>
      <c r="I958">
        <f>VLOOKUP(Scores[[#This Row],[MRUN]],Demographics[],3,FALSE)</f>
        <v>6</v>
      </c>
      <c r="J958">
        <f>AVERAGE(Scores[[#This Row],[LYC]],Scores[[#This Row],[MATE]])</f>
        <v>0</v>
      </c>
      <c r="K958">
        <f>VLOOKUP(Scores[[#This Row],[MRUN]],Demographics[],6,FALSE)</f>
        <v>9</v>
      </c>
      <c r="L958">
        <f>VLOOKUP(Scores[[#This Row],[MRUN]],Demographics[], 7,FALSE)</f>
        <v>9</v>
      </c>
      <c r="M958">
        <f>VLOOKUP(Scores[[#This Row],[MRUN]],Demographics[], 5, FALSE)</f>
        <v>5</v>
      </c>
    </row>
    <row r="959" spans="1:13" hidden="1" x14ac:dyDescent="0.2">
      <c r="A959" s="1">
        <v>5902287</v>
      </c>
      <c r="B959">
        <v>1</v>
      </c>
      <c r="C959">
        <v>3</v>
      </c>
      <c r="D959">
        <v>460</v>
      </c>
      <c r="E959">
        <v>494</v>
      </c>
      <c r="F959">
        <v>571</v>
      </c>
      <c r="G959">
        <v>582</v>
      </c>
      <c r="H959">
        <v>516</v>
      </c>
      <c r="I959">
        <f>VLOOKUP(Scores[[#This Row],[MRUN]],Demographics[],3,FALSE)</f>
        <v>3</v>
      </c>
      <c r="J959">
        <f>AVERAGE(Scores[[#This Row],[LYC]],Scores[[#This Row],[MATE]])</f>
        <v>532.5</v>
      </c>
      <c r="K959">
        <f>VLOOKUP(Scores[[#This Row],[MRUN]],Demographics[],6,FALSE)</f>
        <v>5</v>
      </c>
      <c r="L959">
        <f>VLOOKUP(Scores[[#This Row],[MRUN]],Demographics[], 7,FALSE)</f>
        <v>4</v>
      </c>
      <c r="M959">
        <f>VLOOKUP(Scores[[#This Row],[MRUN]],Demographics[], 5, FALSE)</f>
        <v>1</v>
      </c>
    </row>
    <row r="960" spans="1:13" hidden="1" x14ac:dyDescent="0.2">
      <c r="A960" s="1">
        <v>19151606</v>
      </c>
      <c r="B960">
        <v>2</v>
      </c>
      <c r="C960">
        <v>2</v>
      </c>
      <c r="D960">
        <v>723</v>
      </c>
      <c r="E960">
        <v>636</v>
      </c>
      <c r="F960">
        <v>648</v>
      </c>
      <c r="G960">
        <v>0</v>
      </c>
      <c r="H960">
        <v>708</v>
      </c>
      <c r="I960">
        <f>VLOOKUP(Scores[[#This Row],[MRUN]],Demographics[],3,FALSE)</f>
        <v>4</v>
      </c>
      <c r="J960">
        <f>AVERAGE(Scores[[#This Row],[LYC]],Scores[[#This Row],[MATE]])</f>
        <v>642</v>
      </c>
      <c r="K960">
        <f>VLOOKUP(Scores[[#This Row],[MRUN]],Demographics[],6,FALSE)</f>
        <v>8</v>
      </c>
      <c r="L960">
        <f>VLOOKUP(Scores[[#This Row],[MRUN]],Demographics[], 7,FALSE)</f>
        <v>5</v>
      </c>
      <c r="M960">
        <f>VLOOKUP(Scores[[#This Row],[MRUN]],Demographics[], 5, FALSE)</f>
        <v>1</v>
      </c>
    </row>
    <row r="961" spans="1:13" hidden="1" x14ac:dyDescent="0.2">
      <c r="A961" s="1">
        <v>22356601</v>
      </c>
      <c r="B961">
        <v>2</v>
      </c>
      <c r="C961">
        <v>3</v>
      </c>
      <c r="D961">
        <v>0</v>
      </c>
      <c r="E961">
        <v>0</v>
      </c>
      <c r="F961">
        <v>0</v>
      </c>
      <c r="G961">
        <v>0</v>
      </c>
      <c r="H961">
        <v>0</v>
      </c>
      <c r="I961">
        <f>VLOOKUP(Scores[[#This Row],[MRUN]],Demographics[],3,FALSE)</f>
        <v>4</v>
      </c>
      <c r="J961">
        <f>AVERAGE(Scores[[#This Row],[LYC]],Scores[[#This Row],[MATE]])</f>
        <v>0</v>
      </c>
      <c r="K961">
        <f>VLOOKUP(Scores[[#This Row],[MRUN]],Demographics[],6,FALSE)</f>
        <v>0</v>
      </c>
      <c r="L961">
        <f>VLOOKUP(Scores[[#This Row],[MRUN]],Demographics[], 7,FALSE)</f>
        <v>3</v>
      </c>
      <c r="M961">
        <f>VLOOKUP(Scores[[#This Row],[MRUN]],Demographics[], 5, FALSE)</f>
        <v>1</v>
      </c>
    </row>
    <row r="962" spans="1:13" hidden="1" x14ac:dyDescent="0.2">
      <c r="A962" s="1">
        <v>12743278</v>
      </c>
      <c r="B962">
        <v>1</v>
      </c>
      <c r="C962">
        <v>2</v>
      </c>
      <c r="D962">
        <v>414</v>
      </c>
      <c r="E962">
        <v>510</v>
      </c>
      <c r="F962">
        <v>480</v>
      </c>
      <c r="G962">
        <v>0</v>
      </c>
      <c r="H962">
        <v>575</v>
      </c>
      <c r="I962">
        <f>VLOOKUP(Scores[[#This Row],[MRUN]],Demographics[],3,FALSE)</f>
        <v>3</v>
      </c>
      <c r="J962">
        <f>AVERAGE(Scores[[#This Row],[LYC]],Scores[[#This Row],[MATE]])</f>
        <v>495</v>
      </c>
      <c r="K962">
        <f>VLOOKUP(Scores[[#This Row],[MRUN]],Demographics[],6,FALSE)</f>
        <v>5</v>
      </c>
      <c r="L962">
        <f>VLOOKUP(Scores[[#This Row],[MRUN]],Demographics[], 7,FALSE)</f>
        <v>10</v>
      </c>
      <c r="M962">
        <f>VLOOKUP(Scores[[#This Row],[MRUN]],Demographics[], 5, FALSE)</f>
        <v>1</v>
      </c>
    </row>
    <row r="963" spans="1:13" hidden="1" x14ac:dyDescent="0.2">
      <c r="A963" s="1">
        <v>15845857</v>
      </c>
      <c r="B963">
        <v>1</v>
      </c>
      <c r="C963">
        <v>3</v>
      </c>
      <c r="D963">
        <v>517</v>
      </c>
      <c r="E963">
        <v>471</v>
      </c>
      <c r="F963">
        <v>620</v>
      </c>
      <c r="G963">
        <v>0</v>
      </c>
      <c r="H963">
        <v>549</v>
      </c>
      <c r="I963">
        <f>VLOOKUP(Scores[[#This Row],[MRUN]],Demographics[],3,FALSE)</f>
        <v>4</v>
      </c>
      <c r="J963">
        <f>AVERAGE(Scores[[#This Row],[LYC]],Scores[[#This Row],[MATE]])</f>
        <v>545.5</v>
      </c>
      <c r="K963">
        <f>VLOOKUP(Scores[[#This Row],[MRUN]],Demographics[],6,FALSE)</f>
        <v>7</v>
      </c>
      <c r="L963">
        <f>VLOOKUP(Scores[[#This Row],[MRUN]],Demographics[], 7,FALSE)</f>
        <v>5</v>
      </c>
      <c r="M963">
        <f>VLOOKUP(Scores[[#This Row],[MRUN]],Demographics[], 5, FALSE)</f>
        <v>1</v>
      </c>
    </row>
    <row r="964" spans="1:13" hidden="1" x14ac:dyDescent="0.2">
      <c r="A964" s="1">
        <v>13811192</v>
      </c>
      <c r="B964">
        <v>2</v>
      </c>
      <c r="C964">
        <v>2</v>
      </c>
      <c r="D964">
        <v>558</v>
      </c>
      <c r="E964">
        <v>551</v>
      </c>
      <c r="F964">
        <v>501</v>
      </c>
      <c r="G964">
        <v>512</v>
      </c>
      <c r="H964">
        <v>0</v>
      </c>
      <c r="I964">
        <f>VLOOKUP(Scores[[#This Row],[MRUN]],Demographics[],3,FALSE)</f>
        <v>4</v>
      </c>
      <c r="J964">
        <f>AVERAGE(Scores[[#This Row],[LYC]],Scores[[#This Row],[MATE]])</f>
        <v>526</v>
      </c>
      <c r="K964">
        <f>VLOOKUP(Scores[[#This Row],[MRUN]],Demographics[],6,FALSE)</f>
        <v>5</v>
      </c>
      <c r="L964">
        <f>VLOOKUP(Scores[[#This Row],[MRUN]],Demographics[], 7,FALSE)</f>
        <v>5</v>
      </c>
      <c r="M964">
        <f>VLOOKUP(Scores[[#This Row],[MRUN]],Demographics[], 5, FALSE)</f>
        <v>1</v>
      </c>
    </row>
    <row r="965" spans="1:13" hidden="1" x14ac:dyDescent="0.2">
      <c r="A965" s="1">
        <v>23222919</v>
      </c>
      <c r="B965">
        <v>2</v>
      </c>
      <c r="C965">
        <v>2</v>
      </c>
      <c r="D965">
        <v>599</v>
      </c>
      <c r="E965">
        <v>624</v>
      </c>
      <c r="F965">
        <v>428</v>
      </c>
      <c r="G965">
        <v>0</v>
      </c>
      <c r="H965">
        <v>549</v>
      </c>
      <c r="I965">
        <f>VLOOKUP(Scores[[#This Row],[MRUN]],Demographics[],3,FALSE)</f>
        <v>3</v>
      </c>
      <c r="J965">
        <f>AVERAGE(Scores[[#This Row],[LYC]],Scores[[#This Row],[MATE]])</f>
        <v>526</v>
      </c>
      <c r="K965">
        <f>VLOOKUP(Scores[[#This Row],[MRUN]],Demographics[],6,FALSE)</f>
        <v>0</v>
      </c>
      <c r="L965">
        <f>VLOOKUP(Scores[[#This Row],[MRUN]],Demographics[], 7,FALSE)</f>
        <v>9</v>
      </c>
      <c r="M965">
        <f>VLOOKUP(Scores[[#This Row],[MRUN]],Demographics[], 5, FALSE)</f>
        <v>1</v>
      </c>
    </row>
    <row r="966" spans="1:13" hidden="1" x14ac:dyDescent="0.2">
      <c r="A966" s="1">
        <v>3665136</v>
      </c>
      <c r="B966">
        <v>1</v>
      </c>
      <c r="C966">
        <v>2</v>
      </c>
      <c r="D966">
        <v>599</v>
      </c>
      <c r="E966">
        <v>567</v>
      </c>
      <c r="F966">
        <v>523</v>
      </c>
      <c r="G966">
        <v>735</v>
      </c>
      <c r="H966">
        <v>0</v>
      </c>
      <c r="I966">
        <f>VLOOKUP(Scores[[#This Row],[MRUN]],Demographics[],3,FALSE)</f>
        <v>6</v>
      </c>
      <c r="J966">
        <f>AVERAGE(Scores[[#This Row],[LYC]],Scores[[#This Row],[MATE]])</f>
        <v>545</v>
      </c>
      <c r="K966">
        <f>VLOOKUP(Scores[[#This Row],[MRUN]],Demographics[],6,FALSE)</f>
        <v>4</v>
      </c>
      <c r="L966">
        <f>VLOOKUP(Scores[[#This Row],[MRUN]],Demographics[], 7,FALSE)</f>
        <v>8</v>
      </c>
      <c r="M966">
        <f>VLOOKUP(Scores[[#This Row],[MRUN]],Demographics[], 5, FALSE)</f>
        <v>1</v>
      </c>
    </row>
    <row r="967" spans="1:13" hidden="1" x14ac:dyDescent="0.2">
      <c r="A967" s="1">
        <v>2596577</v>
      </c>
      <c r="B967">
        <v>1</v>
      </c>
      <c r="C967">
        <v>3</v>
      </c>
      <c r="D967">
        <v>478</v>
      </c>
      <c r="E967">
        <v>0</v>
      </c>
      <c r="F967">
        <v>0</v>
      </c>
      <c r="G967">
        <v>0</v>
      </c>
      <c r="H967">
        <v>0</v>
      </c>
      <c r="I967">
        <f>VLOOKUP(Scores[[#This Row],[MRUN]],Demographics[],3,FALSE)</f>
        <v>6</v>
      </c>
      <c r="J967">
        <f>AVERAGE(Scores[[#This Row],[LYC]],Scores[[#This Row],[MATE]])</f>
        <v>0</v>
      </c>
      <c r="K967">
        <f>VLOOKUP(Scores[[#This Row],[MRUN]],Demographics[],6,FALSE)</f>
        <v>5</v>
      </c>
      <c r="L967">
        <f>VLOOKUP(Scores[[#This Row],[MRUN]],Demographics[], 7,FALSE)</f>
        <v>3</v>
      </c>
      <c r="M967">
        <f>VLOOKUP(Scores[[#This Row],[MRUN]],Demographics[], 5, FALSE)</f>
        <v>1</v>
      </c>
    </row>
    <row r="968" spans="1:13" hidden="1" x14ac:dyDescent="0.2">
      <c r="A968" s="1">
        <v>14345451</v>
      </c>
      <c r="B968">
        <v>2</v>
      </c>
      <c r="C968">
        <v>3</v>
      </c>
      <c r="D968">
        <v>579</v>
      </c>
      <c r="E968">
        <v>576</v>
      </c>
      <c r="F968">
        <v>585</v>
      </c>
      <c r="G968">
        <v>0</v>
      </c>
      <c r="H968">
        <v>591</v>
      </c>
      <c r="I968">
        <f>VLOOKUP(Scores[[#This Row],[MRUN]],Demographics[],3,FALSE)</f>
        <v>4</v>
      </c>
      <c r="J968">
        <f>AVERAGE(Scores[[#This Row],[LYC]],Scores[[#This Row],[MATE]])</f>
        <v>580.5</v>
      </c>
      <c r="K968">
        <f>VLOOKUP(Scores[[#This Row],[MRUN]],Demographics[],6,FALSE)</f>
        <v>9</v>
      </c>
      <c r="L968">
        <f>VLOOKUP(Scores[[#This Row],[MRUN]],Demographics[], 7,FALSE)</f>
        <v>8</v>
      </c>
      <c r="M968">
        <f>VLOOKUP(Scores[[#This Row],[MRUN]],Demographics[], 5, FALSE)</f>
        <v>2</v>
      </c>
    </row>
    <row r="969" spans="1:13" hidden="1" x14ac:dyDescent="0.2">
      <c r="A969" s="1">
        <v>13176186</v>
      </c>
      <c r="B969">
        <v>2</v>
      </c>
      <c r="C969">
        <v>3</v>
      </c>
      <c r="D969">
        <v>496</v>
      </c>
      <c r="E969">
        <v>397</v>
      </c>
      <c r="F969">
        <v>204</v>
      </c>
      <c r="G969">
        <v>442</v>
      </c>
      <c r="H969">
        <v>417</v>
      </c>
      <c r="I969">
        <f>VLOOKUP(Scores[[#This Row],[MRUN]],Demographics[],3,FALSE)</f>
        <v>4</v>
      </c>
      <c r="J969">
        <f>AVERAGE(Scores[[#This Row],[LYC]],Scores[[#This Row],[MATE]])</f>
        <v>300.5</v>
      </c>
      <c r="K969">
        <f>VLOOKUP(Scores[[#This Row],[MRUN]],Demographics[],6,FALSE)</f>
        <v>2</v>
      </c>
      <c r="L969">
        <f>VLOOKUP(Scores[[#This Row],[MRUN]],Demographics[], 7,FALSE)</f>
        <v>4</v>
      </c>
      <c r="M969">
        <f>VLOOKUP(Scores[[#This Row],[MRUN]],Demographics[], 5, FALSE)</f>
        <v>2</v>
      </c>
    </row>
    <row r="970" spans="1:13" hidden="1" x14ac:dyDescent="0.2">
      <c r="A970" s="1">
        <v>24132317</v>
      </c>
      <c r="B970">
        <v>1</v>
      </c>
      <c r="C970">
        <v>2</v>
      </c>
      <c r="D970">
        <v>437</v>
      </c>
      <c r="E970">
        <v>406</v>
      </c>
      <c r="F970">
        <v>376</v>
      </c>
      <c r="G970">
        <v>442</v>
      </c>
      <c r="H970">
        <v>0</v>
      </c>
      <c r="I970">
        <f>VLOOKUP(Scores[[#This Row],[MRUN]],Demographics[],3,FALSE)</f>
        <v>3</v>
      </c>
      <c r="J970">
        <f>AVERAGE(Scores[[#This Row],[LYC]],Scores[[#This Row],[MATE]])</f>
        <v>391</v>
      </c>
      <c r="K970">
        <f>VLOOKUP(Scores[[#This Row],[MRUN]],Demographics[],6,FALSE)</f>
        <v>0</v>
      </c>
      <c r="L970">
        <f>VLOOKUP(Scores[[#This Row],[MRUN]],Demographics[], 7,FALSE)</f>
        <v>5</v>
      </c>
      <c r="M970">
        <f>VLOOKUP(Scores[[#This Row],[MRUN]],Demographics[], 5, FALSE)</f>
        <v>1</v>
      </c>
    </row>
    <row r="971" spans="1:13" hidden="1" x14ac:dyDescent="0.2">
      <c r="A971" s="1">
        <v>23064547</v>
      </c>
      <c r="B971">
        <v>1</v>
      </c>
      <c r="C971">
        <v>3</v>
      </c>
      <c r="D971">
        <v>460</v>
      </c>
      <c r="E971">
        <v>430</v>
      </c>
      <c r="F971">
        <v>501</v>
      </c>
      <c r="G971">
        <v>473</v>
      </c>
      <c r="H971">
        <v>491</v>
      </c>
      <c r="I971">
        <f>VLOOKUP(Scores[[#This Row],[MRUN]],Demographics[],3,FALSE)</f>
        <v>0</v>
      </c>
      <c r="J971">
        <f>AVERAGE(Scores[[#This Row],[LYC]],Scores[[#This Row],[MATE]])</f>
        <v>465.5</v>
      </c>
      <c r="K971">
        <f>VLOOKUP(Scores[[#This Row],[MRUN]],Demographics[],6,FALSE)</f>
        <v>3</v>
      </c>
      <c r="L971">
        <f>VLOOKUP(Scores[[#This Row],[MRUN]],Demographics[], 7,FALSE)</f>
        <v>5</v>
      </c>
      <c r="M971">
        <f>VLOOKUP(Scores[[#This Row],[MRUN]],Demographics[], 5, FALSE)</f>
        <v>3</v>
      </c>
    </row>
    <row r="972" spans="1:13" hidden="1" x14ac:dyDescent="0.2">
      <c r="A972" s="1">
        <v>11416733</v>
      </c>
      <c r="B972">
        <v>2</v>
      </c>
      <c r="C972">
        <v>2</v>
      </c>
      <c r="D972">
        <v>641</v>
      </c>
      <c r="E972">
        <v>624</v>
      </c>
      <c r="F972">
        <v>617</v>
      </c>
      <c r="G972">
        <v>634</v>
      </c>
      <c r="H972">
        <v>0</v>
      </c>
      <c r="I972">
        <f>VLOOKUP(Scores[[#This Row],[MRUN]],Demographics[],3,FALSE)</f>
        <v>5</v>
      </c>
      <c r="J972">
        <f>AVERAGE(Scores[[#This Row],[LYC]],Scores[[#This Row],[MATE]])</f>
        <v>620.5</v>
      </c>
      <c r="K972">
        <f>VLOOKUP(Scores[[#This Row],[MRUN]],Demographics[],6,FALSE)</f>
        <v>0</v>
      </c>
      <c r="L972">
        <f>VLOOKUP(Scores[[#This Row],[MRUN]],Demographics[], 7,FALSE)</f>
        <v>0</v>
      </c>
      <c r="M972">
        <f>VLOOKUP(Scores[[#This Row],[MRUN]],Demographics[], 5, FALSE)</f>
        <v>1</v>
      </c>
    </row>
    <row r="973" spans="1:13" hidden="1" x14ac:dyDescent="0.2">
      <c r="A973" s="1">
        <v>20928469</v>
      </c>
      <c r="B973">
        <v>2</v>
      </c>
      <c r="C973">
        <v>3</v>
      </c>
      <c r="D973">
        <v>661</v>
      </c>
      <c r="E973">
        <v>581</v>
      </c>
      <c r="F973">
        <v>472</v>
      </c>
      <c r="G973">
        <v>0</v>
      </c>
      <c r="H973">
        <v>562</v>
      </c>
      <c r="I973">
        <f>VLOOKUP(Scores[[#This Row],[MRUN]],Demographics[],3,FALSE)</f>
        <v>4</v>
      </c>
      <c r="J973">
        <f>AVERAGE(Scores[[#This Row],[LYC]],Scores[[#This Row],[MATE]])</f>
        <v>526.5</v>
      </c>
      <c r="K973">
        <f>VLOOKUP(Scores[[#This Row],[MRUN]],Demographics[],6,FALSE)</f>
        <v>5</v>
      </c>
      <c r="L973">
        <f>VLOOKUP(Scores[[#This Row],[MRUN]],Demographics[], 7,FALSE)</f>
        <v>5</v>
      </c>
      <c r="M973">
        <f>VLOOKUP(Scores[[#This Row],[MRUN]],Demographics[], 5, FALSE)</f>
        <v>2</v>
      </c>
    </row>
    <row r="974" spans="1:13" hidden="1" x14ac:dyDescent="0.2">
      <c r="A974" s="1">
        <v>18257420</v>
      </c>
      <c r="B974">
        <v>1</v>
      </c>
      <c r="C974">
        <v>3</v>
      </c>
      <c r="D974">
        <v>0</v>
      </c>
      <c r="E974">
        <v>430</v>
      </c>
      <c r="F974">
        <v>395</v>
      </c>
      <c r="G974">
        <v>380</v>
      </c>
      <c r="H974">
        <v>0</v>
      </c>
      <c r="I974">
        <f>VLOOKUP(Scores[[#This Row],[MRUN]],Demographics[],3,FALSE)</f>
        <v>5</v>
      </c>
      <c r="J974">
        <f>AVERAGE(Scores[[#This Row],[LYC]],Scores[[#This Row],[MATE]])</f>
        <v>412.5</v>
      </c>
      <c r="K974">
        <f>VLOOKUP(Scores[[#This Row],[MRUN]],Demographics[],6,FALSE)</f>
        <v>10</v>
      </c>
      <c r="L974">
        <f>VLOOKUP(Scores[[#This Row],[MRUN]],Demographics[], 7,FALSE)</f>
        <v>5</v>
      </c>
      <c r="M974">
        <f>VLOOKUP(Scores[[#This Row],[MRUN]],Demographics[], 5, FALSE)</f>
        <v>2</v>
      </c>
    </row>
    <row r="975" spans="1:13" hidden="1" x14ac:dyDescent="0.2">
      <c r="A975" s="1">
        <v>20394547</v>
      </c>
      <c r="B975">
        <v>2</v>
      </c>
      <c r="C975">
        <v>4</v>
      </c>
      <c r="D975">
        <v>620</v>
      </c>
      <c r="E975">
        <v>586</v>
      </c>
      <c r="F975">
        <v>692</v>
      </c>
      <c r="G975">
        <v>0</v>
      </c>
      <c r="H975">
        <v>655</v>
      </c>
      <c r="I975">
        <f>VLOOKUP(Scores[[#This Row],[MRUN]],Demographics[],3,FALSE)</f>
        <v>0</v>
      </c>
      <c r="J975">
        <f>AVERAGE(Scores[[#This Row],[LYC]],Scores[[#This Row],[MATE]])</f>
        <v>639</v>
      </c>
      <c r="K975">
        <f>VLOOKUP(Scores[[#This Row],[MRUN]],Demographics[],6,FALSE)</f>
        <v>0</v>
      </c>
      <c r="L975">
        <f>VLOOKUP(Scores[[#This Row],[MRUN]],Demographics[], 7,FALSE)</f>
        <v>0</v>
      </c>
      <c r="M975">
        <f>VLOOKUP(Scores[[#This Row],[MRUN]],Demographics[], 5, FALSE)</f>
        <v>3</v>
      </c>
    </row>
    <row r="976" spans="1:13" hidden="1" x14ac:dyDescent="0.2">
      <c r="A976" s="1">
        <v>6076152</v>
      </c>
      <c r="B976">
        <v>2</v>
      </c>
      <c r="C976">
        <v>3</v>
      </c>
      <c r="D976">
        <v>517</v>
      </c>
      <c r="E976">
        <v>629</v>
      </c>
      <c r="F976">
        <v>600</v>
      </c>
      <c r="G976">
        <v>578</v>
      </c>
      <c r="H976">
        <v>0</v>
      </c>
      <c r="I976">
        <f>VLOOKUP(Scores[[#This Row],[MRUN]],Demographics[],3,FALSE)</f>
        <v>5</v>
      </c>
      <c r="J976">
        <f>AVERAGE(Scores[[#This Row],[LYC]],Scores[[#This Row],[MATE]])</f>
        <v>614.5</v>
      </c>
      <c r="K976">
        <f>VLOOKUP(Scores[[#This Row],[MRUN]],Demographics[],6,FALSE)</f>
        <v>7</v>
      </c>
      <c r="L976">
        <f>VLOOKUP(Scores[[#This Row],[MRUN]],Demographics[], 7,FALSE)</f>
        <v>8</v>
      </c>
      <c r="M976">
        <f>VLOOKUP(Scores[[#This Row],[MRUN]],Demographics[], 5, FALSE)</f>
        <v>2</v>
      </c>
    </row>
    <row r="977" spans="1:13" hidden="1" x14ac:dyDescent="0.2">
      <c r="A977" s="1">
        <v>11950747</v>
      </c>
      <c r="B977">
        <v>2</v>
      </c>
      <c r="C977">
        <v>3</v>
      </c>
      <c r="D977">
        <v>538</v>
      </c>
      <c r="E977">
        <v>531</v>
      </c>
      <c r="F977">
        <v>506</v>
      </c>
      <c r="G977">
        <v>527</v>
      </c>
      <c r="H977">
        <v>475</v>
      </c>
      <c r="I977">
        <f>VLOOKUP(Scores[[#This Row],[MRUN]],Demographics[],3,FALSE)</f>
        <v>4</v>
      </c>
      <c r="J977">
        <f>AVERAGE(Scores[[#This Row],[LYC]],Scores[[#This Row],[MATE]])</f>
        <v>518.5</v>
      </c>
      <c r="K977">
        <f>VLOOKUP(Scores[[#This Row],[MRUN]],Demographics[],6,FALSE)</f>
        <v>7</v>
      </c>
      <c r="L977">
        <f>VLOOKUP(Scores[[#This Row],[MRUN]],Demographics[], 7,FALSE)</f>
        <v>0</v>
      </c>
      <c r="M977">
        <f>VLOOKUP(Scores[[#This Row],[MRUN]],Demographics[], 5, FALSE)</f>
        <v>1</v>
      </c>
    </row>
    <row r="978" spans="1:13" hidden="1" x14ac:dyDescent="0.2">
      <c r="A978" s="1">
        <v>18155721</v>
      </c>
      <c r="B978">
        <v>1</v>
      </c>
      <c r="C978">
        <v>2</v>
      </c>
      <c r="D978">
        <v>455</v>
      </c>
      <c r="E978">
        <v>0</v>
      </c>
      <c r="F978">
        <v>0</v>
      </c>
      <c r="G978">
        <v>0</v>
      </c>
      <c r="H978">
        <v>0</v>
      </c>
      <c r="I978">
        <f>VLOOKUP(Scores[[#This Row],[MRUN]],Demographics[],3,FALSE)</f>
        <v>3</v>
      </c>
      <c r="J978">
        <f>AVERAGE(Scores[[#This Row],[LYC]],Scores[[#This Row],[MATE]])</f>
        <v>0</v>
      </c>
      <c r="K978">
        <f>VLOOKUP(Scores[[#This Row],[MRUN]],Demographics[],6,FALSE)</f>
        <v>5</v>
      </c>
      <c r="L978">
        <f>VLOOKUP(Scores[[#This Row],[MRUN]],Demographics[], 7,FALSE)</f>
        <v>4</v>
      </c>
      <c r="M978">
        <f>VLOOKUP(Scores[[#This Row],[MRUN]],Demographics[], 5, FALSE)</f>
        <v>0</v>
      </c>
    </row>
    <row r="979" spans="1:13" hidden="1" x14ac:dyDescent="0.2">
      <c r="A979" s="1">
        <v>16019397</v>
      </c>
      <c r="B979">
        <v>2</v>
      </c>
      <c r="C979">
        <v>3</v>
      </c>
      <c r="D979">
        <v>0</v>
      </c>
      <c r="E979">
        <v>333</v>
      </c>
      <c r="F979">
        <v>300</v>
      </c>
      <c r="G979">
        <v>0</v>
      </c>
      <c r="H979">
        <v>288</v>
      </c>
      <c r="I979">
        <f>VLOOKUP(Scores[[#This Row],[MRUN]],Demographics[],3,FALSE)</f>
        <v>7</v>
      </c>
      <c r="J979">
        <f>AVERAGE(Scores[[#This Row],[LYC]],Scores[[#This Row],[MATE]])</f>
        <v>316.5</v>
      </c>
      <c r="K979">
        <f>VLOOKUP(Scores[[#This Row],[MRUN]],Demographics[],6,FALSE)</f>
        <v>5</v>
      </c>
      <c r="L979">
        <f>VLOOKUP(Scores[[#This Row],[MRUN]],Demographics[], 7,FALSE)</f>
        <v>5</v>
      </c>
      <c r="M979">
        <f>VLOOKUP(Scores[[#This Row],[MRUN]],Demographics[], 5, FALSE)</f>
        <v>1</v>
      </c>
    </row>
    <row r="980" spans="1:13" hidden="1" x14ac:dyDescent="0.2">
      <c r="A980" s="1">
        <v>3304447</v>
      </c>
      <c r="B980">
        <v>2</v>
      </c>
      <c r="C980">
        <v>2</v>
      </c>
      <c r="D980">
        <v>661</v>
      </c>
      <c r="E980">
        <v>607</v>
      </c>
      <c r="F980">
        <v>585</v>
      </c>
      <c r="G980">
        <v>473</v>
      </c>
      <c r="H980">
        <v>491</v>
      </c>
      <c r="I980">
        <f>VLOOKUP(Scores[[#This Row],[MRUN]],Demographics[],3,FALSE)</f>
        <v>7</v>
      </c>
      <c r="J980">
        <f>AVERAGE(Scores[[#This Row],[LYC]],Scores[[#This Row],[MATE]])</f>
        <v>596</v>
      </c>
      <c r="K980">
        <f>VLOOKUP(Scores[[#This Row],[MRUN]],Demographics[],6,FALSE)</f>
        <v>5</v>
      </c>
      <c r="L980">
        <f>VLOOKUP(Scores[[#This Row],[MRUN]],Demographics[], 7,FALSE)</f>
        <v>5</v>
      </c>
      <c r="M980">
        <f>VLOOKUP(Scores[[#This Row],[MRUN]],Demographics[], 5, FALSE)</f>
        <v>2</v>
      </c>
    </row>
    <row r="981" spans="1:13" hidden="1" x14ac:dyDescent="0.2">
      <c r="A981" s="1">
        <v>21360455</v>
      </c>
      <c r="B981">
        <v>2</v>
      </c>
      <c r="C981">
        <v>2</v>
      </c>
      <c r="D981">
        <v>620</v>
      </c>
      <c r="E981">
        <v>629</v>
      </c>
      <c r="F981">
        <v>589</v>
      </c>
      <c r="G981">
        <v>684</v>
      </c>
      <c r="H981">
        <v>0</v>
      </c>
      <c r="I981">
        <f>VLOOKUP(Scores[[#This Row],[MRUN]],Demographics[],3,FALSE)</f>
        <v>4</v>
      </c>
      <c r="J981">
        <f>AVERAGE(Scores[[#This Row],[LYC]],Scores[[#This Row],[MATE]])</f>
        <v>609</v>
      </c>
      <c r="K981">
        <f>VLOOKUP(Scores[[#This Row],[MRUN]],Demographics[],6,FALSE)</f>
        <v>10</v>
      </c>
      <c r="L981">
        <f>VLOOKUP(Scores[[#This Row],[MRUN]],Demographics[], 7,FALSE)</f>
        <v>9</v>
      </c>
      <c r="M981">
        <f>VLOOKUP(Scores[[#This Row],[MRUN]],Demographics[], 5, FALSE)</f>
        <v>2</v>
      </c>
    </row>
    <row r="982" spans="1:13" hidden="1" x14ac:dyDescent="0.2">
      <c r="A982" s="1">
        <v>2235698</v>
      </c>
      <c r="B982">
        <v>2</v>
      </c>
      <c r="C982">
        <v>3</v>
      </c>
      <c r="D982">
        <v>561</v>
      </c>
      <c r="E982">
        <v>430</v>
      </c>
      <c r="F982">
        <v>353</v>
      </c>
      <c r="G982">
        <v>0</v>
      </c>
      <c r="H982">
        <v>428</v>
      </c>
      <c r="I982">
        <f>VLOOKUP(Scores[[#This Row],[MRUN]],Demographics[],3,FALSE)</f>
        <v>3</v>
      </c>
      <c r="J982">
        <f>AVERAGE(Scores[[#This Row],[LYC]],Scores[[#This Row],[MATE]])</f>
        <v>391.5</v>
      </c>
      <c r="K982">
        <f>VLOOKUP(Scores[[#This Row],[MRUN]],Demographics[],6,FALSE)</f>
        <v>5</v>
      </c>
      <c r="L982">
        <f>VLOOKUP(Scores[[#This Row],[MRUN]],Demographics[], 7,FALSE)</f>
        <v>10</v>
      </c>
      <c r="M982">
        <f>VLOOKUP(Scores[[#This Row],[MRUN]],Demographics[], 5, FALSE)</f>
        <v>1</v>
      </c>
    </row>
    <row r="983" spans="1:13" hidden="1" x14ac:dyDescent="0.2">
      <c r="A983" s="1">
        <v>8212013</v>
      </c>
      <c r="B983">
        <v>2</v>
      </c>
      <c r="C983">
        <v>2</v>
      </c>
      <c r="D983">
        <v>476</v>
      </c>
      <c r="E983">
        <v>406</v>
      </c>
      <c r="F983">
        <v>328</v>
      </c>
      <c r="G983">
        <v>421</v>
      </c>
      <c r="H983">
        <v>0</v>
      </c>
      <c r="I983">
        <f>VLOOKUP(Scores[[#This Row],[MRUN]],Demographics[],3,FALSE)</f>
        <v>5</v>
      </c>
      <c r="J983">
        <f>AVERAGE(Scores[[#This Row],[LYC]],Scores[[#This Row],[MATE]])</f>
        <v>367</v>
      </c>
      <c r="K983">
        <f>VLOOKUP(Scores[[#This Row],[MRUN]],Demographics[],6,FALSE)</f>
        <v>2</v>
      </c>
      <c r="L983">
        <f>VLOOKUP(Scores[[#This Row],[MRUN]],Demographics[], 7,FALSE)</f>
        <v>9</v>
      </c>
      <c r="M983">
        <f>VLOOKUP(Scores[[#This Row],[MRUN]],Demographics[], 5, FALSE)</f>
        <v>1</v>
      </c>
    </row>
    <row r="984" spans="1:13" hidden="1" x14ac:dyDescent="0.2">
      <c r="A984" s="1">
        <v>8644821</v>
      </c>
      <c r="B984">
        <v>1</v>
      </c>
      <c r="C984">
        <v>2</v>
      </c>
      <c r="D984">
        <v>393</v>
      </c>
      <c r="E984">
        <v>505</v>
      </c>
      <c r="F984">
        <v>452</v>
      </c>
      <c r="G984">
        <v>490</v>
      </c>
      <c r="H984">
        <v>0</v>
      </c>
      <c r="I984">
        <f>VLOOKUP(Scores[[#This Row],[MRUN]],Demographics[],3,FALSE)</f>
        <v>4</v>
      </c>
      <c r="J984">
        <f>AVERAGE(Scores[[#This Row],[LYC]],Scores[[#This Row],[MATE]])</f>
        <v>478.5</v>
      </c>
      <c r="K984">
        <f>VLOOKUP(Scores[[#This Row],[MRUN]],Demographics[],6,FALSE)</f>
        <v>4</v>
      </c>
      <c r="L984">
        <f>VLOOKUP(Scores[[#This Row],[MRUN]],Demographics[], 7,FALSE)</f>
        <v>8</v>
      </c>
      <c r="M984">
        <f>VLOOKUP(Scores[[#This Row],[MRUN]],Demographics[], 5, FALSE)</f>
        <v>1</v>
      </c>
    </row>
    <row r="985" spans="1:13" hidden="1" x14ac:dyDescent="0.2">
      <c r="A985" s="1">
        <v>10145298</v>
      </c>
      <c r="B985">
        <v>2</v>
      </c>
      <c r="C985">
        <v>2</v>
      </c>
      <c r="D985">
        <v>435</v>
      </c>
      <c r="E985">
        <v>367</v>
      </c>
      <c r="F985">
        <v>353</v>
      </c>
      <c r="G985">
        <v>442</v>
      </c>
      <c r="H985">
        <v>0</v>
      </c>
      <c r="I985">
        <f>VLOOKUP(Scores[[#This Row],[MRUN]],Demographics[],3,FALSE)</f>
        <v>5</v>
      </c>
      <c r="J985">
        <f>AVERAGE(Scores[[#This Row],[LYC]],Scores[[#This Row],[MATE]])</f>
        <v>360</v>
      </c>
      <c r="K985">
        <f>VLOOKUP(Scores[[#This Row],[MRUN]],Demographics[],6,FALSE)</f>
        <v>2</v>
      </c>
      <c r="L985">
        <f>VLOOKUP(Scores[[#This Row],[MRUN]],Demographics[], 7,FALSE)</f>
        <v>2</v>
      </c>
      <c r="M985">
        <f>VLOOKUP(Scores[[#This Row],[MRUN]],Demographics[], 5, FALSE)</f>
        <v>1</v>
      </c>
    </row>
    <row r="986" spans="1:13" hidden="1" x14ac:dyDescent="0.2">
      <c r="A986" s="1">
        <v>7042515</v>
      </c>
      <c r="B986">
        <v>1</v>
      </c>
      <c r="C986">
        <v>3</v>
      </c>
      <c r="D986">
        <v>599</v>
      </c>
      <c r="E986">
        <v>586</v>
      </c>
      <c r="F986">
        <v>585</v>
      </c>
      <c r="G986">
        <v>714</v>
      </c>
      <c r="H986">
        <v>0</v>
      </c>
      <c r="I986">
        <f>VLOOKUP(Scores[[#This Row],[MRUN]],Demographics[],3,FALSE)</f>
        <v>6</v>
      </c>
      <c r="J986">
        <f>AVERAGE(Scores[[#This Row],[LYC]],Scores[[#This Row],[MATE]])</f>
        <v>585.5</v>
      </c>
      <c r="K986">
        <f>VLOOKUP(Scores[[#This Row],[MRUN]],Demographics[],6,FALSE)</f>
        <v>9</v>
      </c>
      <c r="L986">
        <f>VLOOKUP(Scores[[#This Row],[MRUN]],Demographics[], 7,FALSE)</f>
        <v>9</v>
      </c>
      <c r="M986">
        <f>VLOOKUP(Scores[[#This Row],[MRUN]],Demographics[], 5, FALSE)</f>
        <v>5</v>
      </c>
    </row>
    <row r="987" spans="1:13" hidden="1" x14ac:dyDescent="0.2">
      <c r="A987" s="1">
        <v>16553738</v>
      </c>
      <c r="B987">
        <v>2</v>
      </c>
      <c r="C987">
        <v>3</v>
      </c>
      <c r="D987">
        <v>702</v>
      </c>
      <c r="E987">
        <v>771</v>
      </c>
      <c r="F987">
        <v>699</v>
      </c>
      <c r="G987">
        <v>0</v>
      </c>
      <c r="H987">
        <v>682</v>
      </c>
      <c r="I987">
        <f>VLOOKUP(Scores[[#This Row],[MRUN]],Demographics[],3,FALSE)</f>
        <v>5</v>
      </c>
      <c r="J987">
        <f>AVERAGE(Scores[[#This Row],[LYC]],Scores[[#This Row],[MATE]])</f>
        <v>735</v>
      </c>
      <c r="K987">
        <f>VLOOKUP(Scores[[#This Row],[MRUN]],Demographics[],6,FALSE)</f>
        <v>9</v>
      </c>
      <c r="L987">
        <f>VLOOKUP(Scores[[#This Row],[MRUN]],Demographics[], 7,FALSE)</f>
        <v>8</v>
      </c>
      <c r="M987">
        <f>VLOOKUP(Scores[[#This Row],[MRUN]],Demographics[], 5, FALSE)</f>
        <v>3</v>
      </c>
    </row>
    <row r="988" spans="1:13" hidden="1" x14ac:dyDescent="0.2">
      <c r="A988" s="1">
        <v>7576304</v>
      </c>
      <c r="B988">
        <v>2</v>
      </c>
      <c r="C988">
        <v>3</v>
      </c>
      <c r="D988">
        <v>620</v>
      </c>
      <c r="E988">
        <v>505</v>
      </c>
      <c r="F988">
        <v>571</v>
      </c>
      <c r="G988">
        <v>0</v>
      </c>
      <c r="H988">
        <v>591</v>
      </c>
      <c r="I988">
        <f>VLOOKUP(Scores[[#This Row],[MRUN]],Demographics[],3,FALSE)</f>
        <v>5</v>
      </c>
      <c r="J988">
        <f>AVERAGE(Scores[[#This Row],[LYC]],Scores[[#This Row],[MATE]])</f>
        <v>538</v>
      </c>
      <c r="K988">
        <f>VLOOKUP(Scores[[#This Row],[MRUN]],Demographics[],6,FALSE)</f>
        <v>7</v>
      </c>
      <c r="L988">
        <f>VLOOKUP(Scores[[#This Row],[MRUN]],Demographics[], 7,FALSE)</f>
        <v>5</v>
      </c>
      <c r="M988">
        <f>VLOOKUP(Scores[[#This Row],[MRUN]],Demographics[], 5, FALSE)</f>
        <v>2</v>
      </c>
    </row>
    <row r="989" spans="1:13" hidden="1" x14ac:dyDescent="0.2">
      <c r="A989" s="1">
        <v>23496643</v>
      </c>
      <c r="B989">
        <v>2</v>
      </c>
      <c r="C989">
        <v>2</v>
      </c>
      <c r="D989">
        <v>476</v>
      </c>
      <c r="E989">
        <v>444</v>
      </c>
      <c r="F989">
        <v>413</v>
      </c>
      <c r="G989">
        <v>406</v>
      </c>
      <c r="H989">
        <v>0</v>
      </c>
      <c r="I989">
        <f>VLOOKUP(Scores[[#This Row],[MRUN]],Demographics[],3,FALSE)</f>
        <v>4</v>
      </c>
      <c r="J989">
        <f>AVERAGE(Scores[[#This Row],[LYC]],Scores[[#This Row],[MATE]])</f>
        <v>428.5</v>
      </c>
      <c r="K989">
        <f>VLOOKUP(Scores[[#This Row],[MRUN]],Demographics[],6,FALSE)</f>
        <v>5</v>
      </c>
      <c r="L989">
        <f>VLOOKUP(Scores[[#This Row],[MRUN]],Demographics[], 7,FALSE)</f>
        <v>5</v>
      </c>
      <c r="M989">
        <f>VLOOKUP(Scores[[#This Row],[MRUN]],Demographics[], 5, FALSE)</f>
        <v>1</v>
      </c>
    </row>
    <row r="990" spans="1:13" hidden="1" x14ac:dyDescent="0.2">
      <c r="A990" s="1">
        <v>16655495</v>
      </c>
      <c r="B990">
        <v>1</v>
      </c>
      <c r="C990">
        <v>2</v>
      </c>
      <c r="D990">
        <v>414</v>
      </c>
      <c r="E990">
        <v>567</v>
      </c>
      <c r="F990">
        <v>413</v>
      </c>
      <c r="G990">
        <v>582</v>
      </c>
      <c r="H990">
        <v>0</v>
      </c>
      <c r="I990">
        <f>VLOOKUP(Scores[[#This Row],[MRUN]],Demographics[],3,FALSE)</f>
        <v>5</v>
      </c>
      <c r="J990">
        <f>AVERAGE(Scores[[#This Row],[LYC]],Scores[[#This Row],[MATE]])</f>
        <v>490</v>
      </c>
      <c r="K990">
        <f>VLOOKUP(Scores[[#This Row],[MRUN]],Demographics[],6,FALSE)</f>
        <v>4</v>
      </c>
      <c r="L990">
        <f>VLOOKUP(Scores[[#This Row],[MRUN]],Demographics[], 7,FALSE)</f>
        <v>5</v>
      </c>
      <c r="M990">
        <f>VLOOKUP(Scores[[#This Row],[MRUN]],Demographics[], 5, FALSE)</f>
        <v>1</v>
      </c>
    </row>
    <row r="991" spans="1:13" hidden="1" x14ac:dyDescent="0.2">
      <c r="A991" s="1">
        <v>10679406</v>
      </c>
      <c r="B991">
        <v>2</v>
      </c>
      <c r="C991">
        <v>2</v>
      </c>
      <c r="D991">
        <v>417</v>
      </c>
      <c r="E991">
        <v>516</v>
      </c>
      <c r="F991">
        <v>452</v>
      </c>
      <c r="G991">
        <v>516</v>
      </c>
      <c r="H991">
        <v>0</v>
      </c>
      <c r="I991">
        <f>VLOOKUP(Scores[[#This Row],[MRUN]],Demographics[],3,FALSE)</f>
        <v>0</v>
      </c>
      <c r="J991">
        <f>AVERAGE(Scores[[#This Row],[LYC]],Scores[[#This Row],[MATE]])</f>
        <v>484</v>
      </c>
      <c r="K991">
        <f>VLOOKUP(Scores[[#This Row],[MRUN]],Demographics[],6,FALSE)</f>
        <v>0</v>
      </c>
      <c r="L991">
        <f>VLOOKUP(Scores[[#This Row],[MRUN]],Demographics[], 7,FALSE)</f>
        <v>0</v>
      </c>
      <c r="M991">
        <f>VLOOKUP(Scores[[#This Row],[MRUN]],Demographics[], 5, FALSE)</f>
        <v>1</v>
      </c>
    </row>
    <row r="992" spans="1:13" hidden="1" x14ac:dyDescent="0.2">
      <c r="A992" s="1">
        <v>14620808</v>
      </c>
      <c r="B992">
        <v>2</v>
      </c>
      <c r="C992">
        <v>3</v>
      </c>
      <c r="D992">
        <v>417</v>
      </c>
      <c r="E992">
        <v>290</v>
      </c>
      <c r="F992">
        <v>274</v>
      </c>
      <c r="G992">
        <v>306</v>
      </c>
      <c r="H992">
        <v>0</v>
      </c>
      <c r="I992">
        <f>VLOOKUP(Scores[[#This Row],[MRUN]],Demographics[],3,FALSE)</f>
        <v>6</v>
      </c>
      <c r="J992">
        <f>AVERAGE(Scores[[#This Row],[LYC]],Scores[[#This Row],[MATE]])</f>
        <v>282</v>
      </c>
      <c r="K992">
        <f>VLOOKUP(Scores[[#This Row],[MRUN]],Demographics[],6,FALSE)</f>
        <v>0</v>
      </c>
      <c r="L992">
        <f>VLOOKUP(Scores[[#This Row],[MRUN]],Demographics[], 7,FALSE)</f>
        <v>0</v>
      </c>
      <c r="M992">
        <f>VLOOKUP(Scores[[#This Row],[MRUN]],Demographics[], 5, FALSE)</f>
        <v>1</v>
      </c>
    </row>
    <row r="993" spans="1:13" hidden="1" x14ac:dyDescent="0.2">
      <c r="A993" s="1">
        <v>4372037</v>
      </c>
      <c r="B993">
        <v>2</v>
      </c>
      <c r="C993">
        <v>2</v>
      </c>
      <c r="D993">
        <v>476</v>
      </c>
      <c r="E993">
        <v>397</v>
      </c>
      <c r="F993">
        <v>376</v>
      </c>
      <c r="G993">
        <v>0</v>
      </c>
      <c r="H993">
        <v>428</v>
      </c>
      <c r="I993">
        <f>VLOOKUP(Scores[[#This Row],[MRUN]],Demographics[],3,FALSE)</f>
        <v>6</v>
      </c>
      <c r="J993">
        <f>AVERAGE(Scores[[#This Row],[LYC]],Scores[[#This Row],[MATE]])</f>
        <v>386.5</v>
      </c>
      <c r="K993">
        <f>VLOOKUP(Scores[[#This Row],[MRUN]],Demographics[],6,FALSE)</f>
        <v>5</v>
      </c>
      <c r="L993">
        <f>VLOOKUP(Scores[[#This Row],[MRUN]],Demographics[], 7,FALSE)</f>
        <v>5</v>
      </c>
      <c r="M993">
        <f>VLOOKUP(Scores[[#This Row],[MRUN]],Demographics[], 5, FALSE)</f>
        <v>2</v>
      </c>
    </row>
    <row r="994" spans="1:13" hidden="1" x14ac:dyDescent="0.2">
      <c r="A994" s="1">
        <v>24233541</v>
      </c>
      <c r="B994">
        <v>2</v>
      </c>
      <c r="C994">
        <v>3</v>
      </c>
      <c r="D994">
        <v>723</v>
      </c>
      <c r="E994">
        <v>624</v>
      </c>
      <c r="F994">
        <v>661</v>
      </c>
      <c r="G994">
        <v>0</v>
      </c>
      <c r="H994">
        <v>663</v>
      </c>
      <c r="I994">
        <f>VLOOKUP(Scores[[#This Row],[MRUN]],Demographics[],3,FALSE)</f>
        <v>4</v>
      </c>
      <c r="J994">
        <f>AVERAGE(Scores[[#This Row],[LYC]],Scores[[#This Row],[MATE]])</f>
        <v>642.5</v>
      </c>
      <c r="K994">
        <f>VLOOKUP(Scores[[#This Row],[MRUN]],Demographics[],6,FALSE)</f>
        <v>5</v>
      </c>
      <c r="L994">
        <f>VLOOKUP(Scores[[#This Row],[MRUN]],Demographics[], 7,FALSE)</f>
        <v>5</v>
      </c>
      <c r="M994">
        <f>VLOOKUP(Scores[[#This Row],[MRUN]],Demographics[], 5, FALSE)</f>
        <v>1</v>
      </c>
    </row>
    <row r="995" spans="1:13" hidden="1" x14ac:dyDescent="0.2">
      <c r="A995" s="1">
        <v>4906080</v>
      </c>
      <c r="B995">
        <v>1</v>
      </c>
      <c r="C995">
        <v>2</v>
      </c>
      <c r="D995">
        <v>481</v>
      </c>
      <c r="E995">
        <v>378</v>
      </c>
      <c r="F995">
        <v>395</v>
      </c>
      <c r="G995">
        <v>436</v>
      </c>
      <c r="H995">
        <v>0</v>
      </c>
      <c r="I995">
        <f>VLOOKUP(Scores[[#This Row],[MRUN]],Demographics[],3,FALSE)</f>
        <v>4</v>
      </c>
      <c r="J995">
        <f>AVERAGE(Scores[[#This Row],[LYC]],Scores[[#This Row],[MATE]])</f>
        <v>386.5</v>
      </c>
      <c r="K995">
        <f>VLOOKUP(Scores[[#This Row],[MRUN]],Demographics[],6,FALSE)</f>
        <v>3</v>
      </c>
      <c r="L995">
        <f>VLOOKUP(Scores[[#This Row],[MRUN]],Demographics[], 7,FALSE)</f>
        <v>4</v>
      </c>
      <c r="M995">
        <f>VLOOKUP(Scores[[#This Row],[MRUN]],Demographics[], 5, FALSE)</f>
        <v>1</v>
      </c>
    </row>
    <row r="996" spans="1:13" hidden="1" x14ac:dyDescent="0.2">
      <c r="A996" s="1">
        <v>11950748</v>
      </c>
      <c r="B996">
        <v>2</v>
      </c>
      <c r="C996">
        <v>3</v>
      </c>
      <c r="D996">
        <v>420</v>
      </c>
      <c r="E996">
        <v>541</v>
      </c>
      <c r="F996">
        <v>480</v>
      </c>
      <c r="G996">
        <v>623</v>
      </c>
      <c r="H996">
        <v>504</v>
      </c>
      <c r="I996">
        <f>VLOOKUP(Scores[[#This Row],[MRUN]],Demographics[],3,FALSE)</f>
        <v>6</v>
      </c>
      <c r="J996">
        <f>AVERAGE(Scores[[#This Row],[LYC]],Scores[[#This Row],[MATE]])</f>
        <v>510.5</v>
      </c>
      <c r="K996">
        <f>VLOOKUP(Scores[[#This Row],[MRUN]],Demographics[],6,FALSE)</f>
        <v>9</v>
      </c>
      <c r="L996">
        <f>VLOOKUP(Scores[[#This Row],[MRUN]],Demographics[], 7,FALSE)</f>
        <v>9</v>
      </c>
      <c r="M996">
        <f>VLOOKUP(Scores[[#This Row],[MRUN]],Demographics[], 5, FALSE)</f>
        <v>4</v>
      </c>
    </row>
    <row r="997" spans="1:13" hidden="1" x14ac:dyDescent="0.2">
      <c r="A997" s="1">
        <v>16756852</v>
      </c>
      <c r="B997">
        <v>1</v>
      </c>
      <c r="C997">
        <v>3</v>
      </c>
      <c r="D997">
        <v>558</v>
      </c>
      <c r="E997">
        <v>648</v>
      </c>
      <c r="F997">
        <v>589</v>
      </c>
      <c r="G997">
        <v>692</v>
      </c>
      <c r="H997">
        <v>0</v>
      </c>
      <c r="I997">
        <f>VLOOKUP(Scores[[#This Row],[MRUN]],Demographics[],3,FALSE)</f>
        <v>5</v>
      </c>
      <c r="J997">
        <f>AVERAGE(Scores[[#This Row],[LYC]],Scores[[#This Row],[MATE]])</f>
        <v>618.5</v>
      </c>
      <c r="K997">
        <f>VLOOKUP(Scores[[#This Row],[MRUN]],Demographics[],6,FALSE)</f>
        <v>5</v>
      </c>
      <c r="L997">
        <f>VLOOKUP(Scores[[#This Row],[MRUN]],Demographics[], 7,FALSE)</f>
        <v>5</v>
      </c>
      <c r="M997">
        <f>VLOOKUP(Scores[[#This Row],[MRUN]],Demographics[], 5, FALSE)</f>
        <v>2</v>
      </c>
    </row>
    <row r="998" spans="1:13" hidden="1" x14ac:dyDescent="0.2">
      <c r="A998" s="1">
        <v>16019398</v>
      </c>
      <c r="B998">
        <v>1</v>
      </c>
      <c r="C998">
        <v>2</v>
      </c>
      <c r="D998">
        <v>417</v>
      </c>
      <c r="E998">
        <v>438</v>
      </c>
      <c r="F998">
        <v>413</v>
      </c>
      <c r="G998">
        <v>501</v>
      </c>
      <c r="H998">
        <v>0</v>
      </c>
      <c r="I998">
        <f>VLOOKUP(Scores[[#This Row],[MRUN]],Demographics[],3,FALSE)</f>
        <v>5</v>
      </c>
      <c r="J998">
        <f>AVERAGE(Scores[[#This Row],[LYC]],Scores[[#This Row],[MATE]])</f>
        <v>425.5</v>
      </c>
      <c r="K998">
        <f>VLOOKUP(Scores[[#This Row],[MRUN]],Demographics[],6,FALSE)</f>
        <v>4</v>
      </c>
      <c r="L998">
        <f>VLOOKUP(Scores[[#This Row],[MRUN]],Demographics[], 7,FALSE)</f>
        <v>4</v>
      </c>
      <c r="M998">
        <f>VLOOKUP(Scores[[#This Row],[MRUN]],Demographics[], 5, FALSE)</f>
        <v>1</v>
      </c>
    </row>
    <row r="999" spans="1:13" hidden="1" x14ac:dyDescent="0.2">
      <c r="A999" s="1">
        <v>24148221</v>
      </c>
      <c r="B999">
        <v>2</v>
      </c>
      <c r="C999">
        <v>4</v>
      </c>
      <c r="D999">
        <v>435</v>
      </c>
      <c r="E999">
        <v>717</v>
      </c>
      <c r="F999">
        <v>596</v>
      </c>
      <c r="G999">
        <v>628</v>
      </c>
      <c r="H999">
        <v>0</v>
      </c>
      <c r="I999">
        <f>VLOOKUP(Scores[[#This Row],[MRUN]],Demographics[],3,FALSE)</f>
        <v>5</v>
      </c>
      <c r="J999">
        <f>AVERAGE(Scores[[#This Row],[LYC]],Scores[[#This Row],[MATE]])</f>
        <v>656.5</v>
      </c>
      <c r="K999">
        <f>VLOOKUP(Scores[[#This Row],[MRUN]],Demographics[],6,FALSE)</f>
        <v>8</v>
      </c>
      <c r="L999">
        <f>VLOOKUP(Scores[[#This Row],[MRUN]],Demographics[], 7,FALSE)</f>
        <v>9</v>
      </c>
      <c r="M999">
        <f>VLOOKUP(Scores[[#This Row],[MRUN]],Demographics[], 5, FALSE)</f>
        <v>3</v>
      </c>
    </row>
    <row r="1000" spans="1:13" hidden="1" x14ac:dyDescent="0.2">
      <c r="A1000" s="1">
        <v>7058380</v>
      </c>
      <c r="B1000">
        <v>2</v>
      </c>
      <c r="C1000">
        <v>2</v>
      </c>
      <c r="D1000">
        <v>599</v>
      </c>
      <c r="E1000">
        <v>602</v>
      </c>
      <c r="F1000">
        <v>527</v>
      </c>
      <c r="G1000">
        <v>0</v>
      </c>
      <c r="H1000">
        <v>549</v>
      </c>
      <c r="I1000">
        <f>VLOOKUP(Scores[[#This Row],[MRUN]],Demographics[],3,FALSE)</f>
        <v>4</v>
      </c>
      <c r="J1000">
        <f>AVERAGE(Scores[[#This Row],[LYC]],Scores[[#This Row],[MATE]])</f>
        <v>564.5</v>
      </c>
      <c r="K1000">
        <f>VLOOKUP(Scores[[#This Row],[MRUN]],Demographics[],6,FALSE)</f>
        <v>5</v>
      </c>
      <c r="L1000">
        <f>VLOOKUP(Scores[[#This Row],[MRUN]],Demographics[], 7,FALSE)</f>
        <v>5</v>
      </c>
      <c r="M1000">
        <f>VLOOKUP(Scores[[#This Row],[MRUN]],Demographics[], 5, FALSE)</f>
        <v>1</v>
      </c>
    </row>
    <row r="1001" spans="1:13" hidden="1" x14ac:dyDescent="0.2">
      <c r="A1001" s="1">
        <v>11966579</v>
      </c>
      <c r="B1001">
        <v>2</v>
      </c>
      <c r="C1001">
        <v>2</v>
      </c>
      <c r="D1001">
        <v>440</v>
      </c>
      <c r="E1001">
        <v>494</v>
      </c>
      <c r="F1001">
        <v>395</v>
      </c>
      <c r="G1001">
        <v>0</v>
      </c>
      <c r="H1001">
        <v>391</v>
      </c>
      <c r="I1001">
        <f>VLOOKUP(Scores[[#This Row],[MRUN]],Demographics[],3,FALSE)</f>
        <v>0</v>
      </c>
      <c r="J1001">
        <f>AVERAGE(Scores[[#This Row],[LYC]],Scores[[#This Row],[MATE]])</f>
        <v>444.5</v>
      </c>
      <c r="K1001">
        <f>VLOOKUP(Scores[[#This Row],[MRUN]],Demographics[],6,FALSE)</f>
        <v>4</v>
      </c>
      <c r="L1001">
        <f>VLOOKUP(Scores[[#This Row],[MRUN]],Demographics[], 7,FALSE)</f>
        <v>4</v>
      </c>
      <c r="M1001">
        <f>VLOOKUP(Scores[[#This Row],[MRUN]],Demographics[], 5, FALSE)</f>
        <v>1</v>
      </c>
    </row>
    <row r="1002" spans="1:13" hidden="1" x14ac:dyDescent="0.2">
      <c r="A1002" s="1">
        <v>23080464</v>
      </c>
      <c r="B1002">
        <v>1</v>
      </c>
      <c r="C1002">
        <v>2</v>
      </c>
      <c r="D1002">
        <v>478</v>
      </c>
      <c r="E1002">
        <v>438</v>
      </c>
      <c r="F1002">
        <v>487</v>
      </c>
      <c r="G1002">
        <v>454</v>
      </c>
      <c r="H1002">
        <v>0</v>
      </c>
      <c r="I1002">
        <f>VLOOKUP(Scores[[#This Row],[MRUN]],Demographics[],3,FALSE)</f>
        <v>4</v>
      </c>
      <c r="J1002">
        <f>AVERAGE(Scores[[#This Row],[LYC]],Scores[[#This Row],[MATE]])</f>
        <v>462.5</v>
      </c>
      <c r="K1002">
        <f>VLOOKUP(Scores[[#This Row],[MRUN]],Demographics[],6,FALSE)</f>
        <v>6</v>
      </c>
      <c r="L1002">
        <f>VLOOKUP(Scores[[#This Row],[MRUN]],Demographics[], 7,FALSE)</f>
        <v>3</v>
      </c>
      <c r="M1002">
        <f>VLOOKUP(Scores[[#This Row],[MRUN]],Demographics[], 5, FALSE)</f>
        <v>1</v>
      </c>
    </row>
    <row r="1003" spans="1:13" hidden="1" x14ac:dyDescent="0.2">
      <c r="A1003" s="1">
        <v>14102580</v>
      </c>
      <c r="B1003">
        <v>1</v>
      </c>
      <c r="C1003">
        <v>3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f>VLOOKUP(Scores[[#This Row],[MRUN]],Demographics[],3,FALSE)</f>
        <v>10</v>
      </c>
      <c r="J1003">
        <f>AVERAGE(Scores[[#This Row],[LYC]],Scores[[#This Row],[MATE]])</f>
        <v>0</v>
      </c>
      <c r="K1003">
        <f>VLOOKUP(Scores[[#This Row],[MRUN]],Demographics[],6,FALSE)</f>
        <v>1</v>
      </c>
      <c r="L1003">
        <f>VLOOKUP(Scores[[#This Row],[MRUN]],Demographics[], 7,FALSE)</f>
        <v>2</v>
      </c>
      <c r="M1003">
        <f>VLOOKUP(Scores[[#This Row],[MRUN]],Demographics[], 5, FALSE)</f>
        <v>1</v>
      </c>
    </row>
    <row r="1004" spans="1:13" hidden="1" x14ac:dyDescent="0.2">
      <c r="A1004" s="1">
        <v>22546680</v>
      </c>
      <c r="B1004">
        <v>2</v>
      </c>
      <c r="C1004">
        <v>2</v>
      </c>
      <c r="D1004">
        <v>0</v>
      </c>
      <c r="E1004">
        <v>415</v>
      </c>
      <c r="F1004">
        <v>300</v>
      </c>
      <c r="G1004">
        <v>0</v>
      </c>
      <c r="H1004">
        <v>404</v>
      </c>
      <c r="I1004">
        <f>VLOOKUP(Scores[[#This Row],[MRUN]],Demographics[],3,FALSE)</f>
        <v>6</v>
      </c>
      <c r="J1004">
        <f>AVERAGE(Scores[[#This Row],[LYC]],Scores[[#This Row],[MATE]])</f>
        <v>357.5</v>
      </c>
      <c r="K1004">
        <f>VLOOKUP(Scores[[#This Row],[MRUN]],Demographics[],6,FALSE)</f>
        <v>4</v>
      </c>
      <c r="L1004">
        <f>VLOOKUP(Scores[[#This Row],[MRUN]],Demographics[], 7,FALSE)</f>
        <v>4</v>
      </c>
      <c r="M1004">
        <f>VLOOKUP(Scores[[#This Row],[MRUN]],Demographics[], 5, FALSE)</f>
        <v>1</v>
      </c>
    </row>
    <row r="1005" spans="1:13" hidden="1" x14ac:dyDescent="0.2">
      <c r="A1005" s="1">
        <v>20842532</v>
      </c>
      <c r="B1005">
        <v>1</v>
      </c>
      <c r="C1005">
        <v>2</v>
      </c>
      <c r="D1005">
        <v>476</v>
      </c>
      <c r="E1005">
        <v>488</v>
      </c>
      <c r="F1005">
        <v>463</v>
      </c>
      <c r="G1005">
        <v>602</v>
      </c>
      <c r="H1005">
        <v>0</v>
      </c>
      <c r="I1005">
        <f>VLOOKUP(Scores[[#This Row],[MRUN]],Demographics[],3,FALSE)</f>
        <v>3</v>
      </c>
      <c r="J1005">
        <f>AVERAGE(Scores[[#This Row],[LYC]],Scores[[#This Row],[MATE]])</f>
        <v>475.5</v>
      </c>
      <c r="K1005">
        <f>VLOOKUP(Scores[[#This Row],[MRUN]],Demographics[],6,FALSE)</f>
        <v>3</v>
      </c>
      <c r="L1005">
        <f>VLOOKUP(Scores[[#This Row],[MRUN]],Demographics[], 7,FALSE)</f>
        <v>6</v>
      </c>
      <c r="M1005">
        <f>VLOOKUP(Scores[[#This Row],[MRUN]],Demographics[], 5, FALSE)</f>
        <v>1</v>
      </c>
    </row>
    <row r="1006" spans="1:13" hidden="1" x14ac:dyDescent="0.2">
      <c r="A1006" s="1">
        <v>2988722</v>
      </c>
      <c r="B1006">
        <v>2</v>
      </c>
      <c r="C1006">
        <v>4</v>
      </c>
      <c r="D1006">
        <v>476</v>
      </c>
      <c r="E1006">
        <v>551</v>
      </c>
      <c r="F1006">
        <v>512</v>
      </c>
      <c r="G1006">
        <v>582</v>
      </c>
      <c r="H1006">
        <v>0</v>
      </c>
      <c r="I1006">
        <f>VLOOKUP(Scores[[#This Row],[MRUN]],Demographics[],3,FALSE)</f>
        <v>5</v>
      </c>
      <c r="J1006">
        <f>AVERAGE(Scores[[#This Row],[LYC]],Scores[[#This Row],[MATE]])</f>
        <v>531.5</v>
      </c>
      <c r="K1006">
        <f>VLOOKUP(Scores[[#This Row],[MRUN]],Demographics[],6,FALSE)</f>
        <v>9</v>
      </c>
      <c r="L1006">
        <f>VLOOKUP(Scores[[#This Row],[MRUN]],Demographics[], 7,FALSE)</f>
        <v>5</v>
      </c>
      <c r="M1006">
        <f>VLOOKUP(Scores[[#This Row],[MRUN]],Demographics[], 5, FALSE)</f>
        <v>2</v>
      </c>
    </row>
    <row r="1007" spans="1:13" hidden="1" x14ac:dyDescent="0.2">
      <c r="A1007" s="1">
        <v>9930593</v>
      </c>
      <c r="B1007">
        <v>2</v>
      </c>
      <c r="C1007">
        <v>2</v>
      </c>
      <c r="D1007">
        <v>476</v>
      </c>
      <c r="E1007">
        <v>444</v>
      </c>
      <c r="F1007">
        <v>428</v>
      </c>
      <c r="G1007">
        <v>406</v>
      </c>
      <c r="H1007">
        <v>0</v>
      </c>
      <c r="I1007">
        <f>VLOOKUP(Scores[[#This Row],[MRUN]],Demographics[],3,FALSE)</f>
        <v>4</v>
      </c>
      <c r="J1007">
        <f>AVERAGE(Scores[[#This Row],[LYC]],Scores[[#This Row],[MATE]])</f>
        <v>436</v>
      </c>
      <c r="K1007">
        <f>VLOOKUP(Scores[[#This Row],[MRUN]],Demographics[],6,FALSE)</f>
        <v>2</v>
      </c>
      <c r="L1007">
        <f>VLOOKUP(Scores[[#This Row],[MRUN]],Demographics[], 7,FALSE)</f>
        <v>2</v>
      </c>
      <c r="M1007">
        <f>VLOOKUP(Scores[[#This Row],[MRUN]],Demographics[], 5, FALSE)</f>
        <v>1</v>
      </c>
    </row>
    <row r="1008" spans="1:13" hidden="1" x14ac:dyDescent="0.2">
      <c r="A1008" s="1">
        <v>23614204</v>
      </c>
      <c r="B1008">
        <v>1</v>
      </c>
      <c r="C1008">
        <v>2</v>
      </c>
      <c r="D1008">
        <v>458</v>
      </c>
      <c r="E1008">
        <v>0</v>
      </c>
      <c r="F1008">
        <v>0</v>
      </c>
      <c r="G1008">
        <v>0</v>
      </c>
      <c r="H1008">
        <v>0</v>
      </c>
      <c r="I1008">
        <f>VLOOKUP(Scores[[#This Row],[MRUN]],Demographics[],3,FALSE)</f>
        <v>4</v>
      </c>
      <c r="J1008">
        <f>AVERAGE(Scores[[#This Row],[LYC]],Scores[[#This Row],[MATE]])</f>
        <v>0</v>
      </c>
      <c r="K1008">
        <f>VLOOKUP(Scores[[#This Row],[MRUN]],Demographics[],6,FALSE)</f>
        <v>3</v>
      </c>
      <c r="L1008">
        <f>VLOOKUP(Scores[[#This Row],[MRUN]],Demographics[], 7,FALSE)</f>
        <v>3</v>
      </c>
      <c r="M1008">
        <f>VLOOKUP(Scores[[#This Row],[MRUN]],Demographics[], 5, FALSE)</f>
        <v>1</v>
      </c>
    </row>
    <row r="1009" spans="1:13" hidden="1" x14ac:dyDescent="0.2">
      <c r="A1009" s="1">
        <v>14001378</v>
      </c>
      <c r="B1009">
        <v>2</v>
      </c>
      <c r="C1009">
        <v>2</v>
      </c>
      <c r="D1009">
        <v>560</v>
      </c>
      <c r="E1009">
        <v>451</v>
      </c>
      <c r="F1009">
        <v>472</v>
      </c>
      <c r="G1009">
        <v>490</v>
      </c>
      <c r="H1009">
        <v>0</v>
      </c>
      <c r="I1009">
        <f>VLOOKUP(Scores[[#This Row],[MRUN]],Demographics[],3,FALSE)</f>
        <v>3</v>
      </c>
      <c r="J1009">
        <f>AVERAGE(Scores[[#This Row],[LYC]],Scores[[#This Row],[MATE]])</f>
        <v>461.5</v>
      </c>
      <c r="K1009">
        <f>VLOOKUP(Scores[[#This Row],[MRUN]],Demographics[],6,FALSE)</f>
        <v>2</v>
      </c>
      <c r="L1009">
        <f>VLOOKUP(Scores[[#This Row],[MRUN]],Demographics[], 7,FALSE)</f>
        <v>2</v>
      </c>
      <c r="M1009">
        <f>VLOOKUP(Scores[[#This Row],[MRUN]],Demographics[], 5, FALSE)</f>
        <v>1</v>
      </c>
    </row>
    <row r="1010" spans="1:13" hidden="1" x14ac:dyDescent="0.2">
      <c r="A1010" s="1">
        <v>9728752</v>
      </c>
      <c r="B1010">
        <v>1</v>
      </c>
      <c r="C1010">
        <v>4</v>
      </c>
      <c r="D1010">
        <v>538</v>
      </c>
      <c r="E1010">
        <v>581</v>
      </c>
      <c r="F1010">
        <v>652</v>
      </c>
      <c r="G1010">
        <v>484</v>
      </c>
      <c r="H1010">
        <v>598</v>
      </c>
      <c r="I1010">
        <f>VLOOKUP(Scores[[#This Row],[MRUN]],Demographics[],3,FALSE)</f>
        <v>4</v>
      </c>
      <c r="J1010">
        <f>AVERAGE(Scores[[#This Row],[LYC]],Scores[[#This Row],[MATE]])</f>
        <v>616.5</v>
      </c>
      <c r="K1010">
        <f>VLOOKUP(Scores[[#This Row],[MRUN]],Demographics[],6,FALSE)</f>
        <v>9</v>
      </c>
      <c r="L1010">
        <f>VLOOKUP(Scores[[#This Row],[MRUN]],Demographics[], 7,FALSE)</f>
        <v>5</v>
      </c>
      <c r="M1010">
        <f>VLOOKUP(Scores[[#This Row],[MRUN]],Demographics[], 5, FALSE)</f>
        <v>3</v>
      </c>
    </row>
    <row r="1011" spans="1:13" hidden="1" x14ac:dyDescent="0.2">
      <c r="A1011" s="1">
        <v>7592209</v>
      </c>
      <c r="B1011">
        <v>1</v>
      </c>
      <c r="C1011">
        <v>3</v>
      </c>
      <c r="D1011">
        <v>476</v>
      </c>
      <c r="E1011">
        <v>547</v>
      </c>
      <c r="F1011">
        <v>549</v>
      </c>
      <c r="G1011">
        <v>597</v>
      </c>
      <c r="H1011">
        <v>0</v>
      </c>
      <c r="I1011">
        <f>VLOOKUP(Scores[[#This Row],[MRUN]],Demographics[],3,FALSE)</f>
        <v>5</v>
      </c>
      <c r="J1011">
        <f>AVERAGE(Scores[[#This Row],[LYC]],Scores[[#This Row],[MATE]])</f>
        <v>548</v>
      </c>
      <c r="K1011">
        <f>VLOOKUP(Scores[[#This Row],[MRUN]],Demographics[],6,FALSE)</f>
        <v>9</v>
      </c>
      <c r="L1011">
        <f>VLOOKUP(Scores[[#This Row],[MRUN]],Demographics[], 7,FALSE)</f>
        <v>9</v>
      </c>
      <c r="M1011">
        <f>VLOOKUP(Scores[[#This Row],[MRUN]],Demographics[], 5, FALSE)</f>
        <v>3</v>
      </c>
    </row>
    <row r="1012" spans="1:13" hidden="1" x14ac:dyDescent="0.2">
      <c r="A1012" s="1">
        <v>5456538</v>
      </c>
      <c r="B1012">
        <v>1</v>
      </c>
      <c r="C1012">
        <v>2</v>
      </c>
      <c r="D1012">
        <v>397</v>
      </c>
      <c r="E1012">
        <v>378</v>
      </c>
      <c r="F1012">
        <v>487</v>
      </c>
      <c r="G1012">
        <v>397</v>
      </c>
      <c r="H1012">
        <v>0</v>
      </c>
      <c r="I1012">
        <f>VLOOKUP(Scores[[#This Row],[MRUN]],Demographics[],3,FALSE)</f>
        <v>4</v>
      </c>
      <c r="J1012">
        <f>AVERAGE(Scores[[#This Row],[LYC]],Scores[[#This Row],[MATE]])</f>
        <v>432.5</v>
      </c>
      <c r="K1012">
        <f>VLOOKUP(Scores[[#This Row],[MRUN]],Demographics[],6,FALSE)</f>
        <v>5</v>
      </c>
      <c r="L1012">
        <f>VLOOKUP(Scores[[#This Row],[MRUN]],Demographics[], 7,FALSE)</f>
        <v>4</v>
      </c>
      <c r="M1012">
        <f>VLOOKUP(Scores[[#This Row],[MRUN]],Demographics[], 5, FALSE)</f>
        <v>1</v>
      </c>
    </row>
    <row r="1013" spans="1:13" hidden="1" x14ac:dyDescent="0.2">
      <c r="A1013" s="1">
        <v>10898261</v>
      </c>
      <c r="B1013">
        <v>1</v>
      </c>
      <c r="C1013">
        <v>4</v>
      </c>
      <c r="D1013">
        <v>455</v>
      </c>
      <c r="E1013">
        <v>494</v>
      </c>
      <c r="F1013">
        <v>631</v>
      </c>
      <c r="G1013">
        <v>0</v>
      </c>
      <c r="H1013">
        <v>534</v>
      </c>
      <c r="I1013">
        <f>VLOOKUP(Scores[[#This Row],[MRUN]],Demographics[],3,FALSE)</f>
        <v>3</v>
      </c>
      <c r="J1013">
        <f>AVERAGE(Scores[[#This Row],[LYC]],Scores[[#This Row],[MATE]])</f>
        <v>562.5</v>
      </c>
      <c r="K1013">
        <f>VLOOKUP(Scores[[#This Row],[MRUN]],Demographics[],6,FALSE)</f>
        <v>4</v>
      </c>
      <c r="L1013">
        <f>VLOOKUP(Scores[[#This Row],[MRUN]],Demographics[], 7,FALSE)</f>
        <v>5</v>
      </c>
      <c r="M1013">
        <f>VLOOKUP(Scores[[#This Row],[MRUN]],Demographics[], 5, FALSE)</f>
        <v>2</v>
      </c>
    </row>
    <row r="1014" spans="1:13" hidden="1" x14ac:dyDescent="0.2">
      <c r="A1014" s="1">
        <v>24046545</v>
      </c>
      <c r="B1014">
        <v>2</v>
      </c>
      <c r="C1014">
        <v>3</v>
      </c>
      <c r="D1014">
        <v>380</v>
      </c>
      <c r="E1014">
        <v>367</v>
      </c>
      <c r="F1014">
        <v>353</v>
      </c>
      <c r="G1014">
        <v>380</v>
      </c>
      <c r="H1014">
        <v>376</v>
      </c>
      <c r="I1014">
        <f>VLOOKUP(Scores[[#This Row],[MRUN]],Demographics[],3,FALSE)</f>
        <v>4</v>
      </c>
      <c r="J1014">
        <f>AVERAGE(Scores[[#This Row],[LYC]],Scores[[#This Row],[MATE]])</f>
        <v>360</v>
      </c>
      <c r="K1014">
        <f>VLOOKUP(Scores[[#This Row],[MRUN]],Demographics[],6,FALSE)</f>
        <v>5</v>
      </c>
      <c r="L1014">
        <f>VLOOKUP(Scores[[#This Row],[MRUN]],Demographics[], 7,FALSE)</f>
        <v>4</v>
      </c>
      <c r="M1014">
        <f>VLOOKUP(Scores[[#This Row],[MRUN]],Demographics[], 5, FALSE)</f>
        <v>1</v>
      </c>
    </row>
    <row r="1015" spans="1:13" hidden="1" x14ac:dyDescent="0.2">
      <c r="A1015" s="1">
        <v>21910782</v>
      </c>
      <c r="B1015">
        <v>1</v>
      </c>
      <c r="C1015">
        <v>4</v>
      </c>
      <c r="D1015">
        <v>476</v>
      </c>
      <c r="E1015">
        <v>510</v>
      </c>
      <c r="F1015">
        <v>517</v>
      </c>
      <c r="G1015">
        <v>0</v>
      </c>
      <c r="H1015">
        <v>534</v>
      </c>
      <c r="I1015">
        <f>VLOOKUP(Scores[[#This Row],[MRUN]],Demographics[],3,FALSE)</f>
        <v>5</v>
      </c>
      <c r="J1015">
        <f>AVERAGE(Scores[[#This Row],[LYC]],Scores[[#This Row],[MATE]])</f>
        <v>513.5</v>
      </c>
      <c r="K1015">
        <f>VLOOKUP(Scores[[#This Row],[MRUN]],Demographics[],6,FALSE)</f>
        <v>7</v>
      </c>
      <c r="L1015">
        <f>VLOOKUP(Scores[[#This Row],[MRUN]],Demographics[], 7,FALSE)</f>
        <v>9</v>
      </c>
      <c r="M1015">
        <f>VLOOKUP(Scores[[#This Row],[MRUN]],Demographics[], 5, FALSE)</f>
        <v>3</v>
      </c>
    </row>
    <row r="1016" spans="1:13" hidden="1" x14ac:dyDescent="0.2">
      <c r="A1016" s="1">
        <v>23181542</v>
      </c>
      <c r="B1016">
        <v>1</v>
      </c>
      <c r="C1016">
        <v>3</v>
      </c>
      <c r="D1016">
        <v>476</v>
      </c>
      <c r="E1016">
        <v>661</v>
      </c>
      <c r="F1016">
        <v>579</v>
      </c>
      <c r="G1016">
        <v>657</v>
      </c>
      <c r="H1016">
        <v>0</v>
      </c>
      <c r="I1016">
        <f>VLOOKUP(Scores[[#This Row],[MRUN]],Demographics[],3,FALSE)</f>
        <v>4</v>
      </c>
      <c r="J1016">
        <f>AVERAGE(Scores[[#This Row],[LYC]],Scores[[#This Row],[MATE]])</f>
        <v>620</v>
      </c>
      <c r="K1016">
        <f>VLOOKUP(Scores[[#This Row],[MRUN]],Demographics[],6,FALSE)</f>
        <v>9</v>
      </c>
      <c r="L1016">
        <f>VLOOKUP(Scores[[#This Row],[MRUN]],Demographics[], 7,FALSE)</f>
        <v>9</v>
      </c>
      <c r="M1016">
        <f>VLOOKUP(Scores[[#This Row],[MRUN]],Demographics[], 5, FALSE)</f>
        <v>2</v>
      </c>
    </row>
    <row r="1017" spans="1:13" hidden="1" x14ac:dyDescent="0.2">
      <c r="A1017" s="1">
        <v>21478238</v>
      </c>
      <c r="B1017">
        <v>2</v>
      </c>
      <c r="C1017">
        <v>4</v>
      </c>
      <c r="D1017">
        <v>455</v>
      </c>
      <c r="E1017">
        <v>494</v>
      </c>
      <c r="F1017">
        <v>523</v>
      </c>
      <c r="G1017">
        <v>512</v>
      </c>
      <c r="H1017">
        <v>0</v>
      </c>
      <c r="I1017">
        <f>VLOOKUP(Scores[[#This Row],[MRUN]],Demographics[],3,FALSE)</f>
        <v>5</v>
      </c>
      <c r="J1017">
        <f>AVERAGE(Scores[[#This Row],[LYC]],Scores[[#This Row],[MATE]])</f>
        <v>508.5</v>
      </c>
      <c r="K1017">
        <f>VLOOKUP(Scores[[#This Row],[MRUN]],Demographics[],6,FALSE)</f>
        <v>5</v>
      </c>
      <c r="L1017">
        <f>VLOOKUP(Scores[[#This Row],[MRUN]],Demographics[], 7,FALSE)</f>
        <v>5</v>
      </c>
      <c r="M1017">
        <f>VLOOKUP(Scores[[#This Row],[MRUN]],Demographics[], 5, FALSE)</f>
        <v>4</v>
      </c>
    </row>
    <row r="1018" spans="1:13" hidden="1" x14ac:dyDescent="0.2">
      <c r="A1018" s="1">
        <v>10262723</v>
      </c>
      <c r="B1018">
        <v>1</v>
      </c>
      <c r="C1018">
        <v>4</v>
      </c>
      <c r="D1018">
        <v>702</v>
      </c>
      <c r="E1018">
        <v>661</v>
      </c>
      <c r="F1018">
        <v>648</v>
      </c>
      <c r="G1018">
        <v>0</v>
      </c>
      <c r="H1018">
        <v>708</v>
      </c>
      <c r="I1018">
        <f>VLOOKUP(Scores[[#This Row],[MRUN]],Demographics[],3,FALSE)</f>
        <v>4</v>
      </c>
      <c r="J1018">
        <f>AVERAGE(Scores[[#This Row],[LYC]],Scores[[#This Row],[MATE]])</f>
        <v>654.5</v>
      </c>
      <c r="K1018">
        <f>VLOOKUP(Scores[[#This Row],[MRUN]],Demographics[],6,FALSE)</f>
        <v>10</v>
      </c>
      <c r="L1018">
        <f>VLOOKUP(Scores[[#This Row],[MRUN]],Demographics[], 7,FALSE)</f>
        <v>9</v>
      </c>
      <c r="M1018">
        <f>VLOOKUP(Scores[[#This Row],[MRUN]],Demographics[], 5, FALSE)</f>
        <v>2</v>
      </c>
    </row>
    <row r="1019" spans="1:13" hidden="1" x14ac:dyDescent="0.2">
      <c r="A1019" s="1">
        <v>216508</v>
      </c>
      <c r="B1019">
        <v>1</v>
      </c>
      <c r="C1019">
        <v>2</v>
      </c>
      <c r="D1019">
        <v>579</v>
      </c>
      <c r="E1019">
        <v>586</v>
      </c>
      <c r="F1019">
        <v>428</v>
      </c>
      <c r="G1019">
        <v>547</v>
      </c>
      <c r="H1019">
        <v>475</v>
      </c>
      <c r="I1019">
        <f>VLOOKUP(Scores[[#This Row],[MRUN]],Demographics[],3,FALSE)</f>
        <v>5</v>
      </c>
      <c r="J1019">
        <f>AVERAGE(Scores[[#This Row],[LYC]],Scores[[#This Row],[MATE]])</f>
        <v>507</v>
      </c>
      <c r="K1019">
        <f>VLOOKUP(Scores[[#This Row],[MRUN]],Demographics[],6,FALSE)</f>
        <v>7</v>
      </c>
      <c r="L1019">
        <f>VLOOKUP(Scores[[#This Row],[MRUN]],Demographics[], 7,FALSE)</f>
        <v>5</v>
      </c>
      <c r="M1019">
        <f>VLOOKUP(Scores[[#This Row],[MRUN]],Demographics[], 5, FALSE)</f>
        <v>1</v>
      </c>
    </row>
    <row r="1020" spans="1:13" hidden="1" x14ac:dyDescent="0.2">
      <c r="A1020" s="1">
        <v>11966578</v>
      </c>
      <c r="B1020">
        <v>1</v>
      </c>
      <c r="C1020">
        <v>4</v>
      </c>
      <c r="D1020">
        <v>599</v>
      </c>
      <c r="E1020">
        <v>613</v>
      </c>
      <c r="F1020">
        <v>728</v>
      </c>
      <c r="G1020">
        <v>0</v>
      </c>
      <c r="H1020">
        <v>587</v>
      </c>
      <c r="I1020">
        <f>VLOOKUP(Scores[[#This Row],[MRUN]],Demographics[],3,FALSE)</f>
        <v>4</v>
      </c>
      <c r="J1020">
        <f>AVERAGE(Scores[[#This Row],[LYC]],Scores[[#This Row],[MATE]])</f>
        <v>670.5</v>
      </c>
      <c r="K1020">
        <f>VLOOKUP(Scores[[#This Row],[MRUN]],Demographics[],6,FALSE)</f>
        <v>8</v>
      </c>
      <c r="L1020">
        <f>VLOOKUP(Scores[[#This Row],[MRUN]],Demographics[], 7,FALSE)</f>
        <v>10</v>
      </c>
      <c r="M1020">
        <f>VLOOKUP(Scores[[#This Row],[MRUN]],Demographics[], 5, FALSE)</f>
        <v>2</v>
      </c>
    </row>
    <row r="1021" spans="1:13" hidden="1" x14ac:dyDescent="0.2">
      <c r="A1021" s="1">
        <v>12933060</v>
      </c>
      <c r="B1021">
        <v>2</v>
      </c>
      <c r="C1021">
        <v>4</v>
      </c>
      <c r="D1021">
        <v>599</v>
      </c>
      <c r="E1021">
        <v>531</v>
      </c>
      <c r="F1021">
        <v>606</v>
      </c>
      <c r="G1021">
        <v>0</v>
      </c>
      <c r="H1021">
        <v>497</v>
      </c>
      <c r="I1021">
        <f>VLOOKUP(Scores[[#This Row],[MRUN]],Demographics[],3,FALSE)</f>
        <v>5</v>
      </c>
      <c r="J1021">
        <f>AVERAGE(Scores[[#This Row],[LYC]],Scores[[#This Row],[MATE]])</f>
        <v>568.5</v>
      </c>
      <c r="K1021">
        <f>VLOOKUP(Scores[[#This Row],[MRUN]],Demographics[],6,FALSE)</f>
        <v>9</v>
      </c>
      <c r="L1021">
        <f>VLOOKUP(Scores[[#This Row],[MRUN]],Demographics[], 7,FALSE)</f>
        <v>9</v>
      </c>
      <c r="M1021">
        <f>VLOOKUP(Scores[[#This Row],[MRUN]],Demographics[], 5, FALSE)</f>
        <v>4</v>
      </c>
    </row>
    <row r="1022" spans="1:13" hidden="1" x14ac:dyDescent="0.2">
      <c r="A1022" s="1">
        <v>19977517</v>
      </c>
      <c r="B1022">
        <v>2</v>
      </c>
      <c r="C1022">
        <v>4</v>
      </c>
      <c r="D1022">
        <v>682</v>
      </c>
      <c r="E1022">
        <v>648</v>
      </c>
      <c r="F1022">
        <v>617</v>
      </c>
      <c r="G1022">
        <v>670</v>
      </c>
      <c r="H1022">
        <v>583</v>
      </c>
      <c r="I1022">
        <f>VLOOKUP(Scores[[#This Row],[MRUN]],Demographics[],3,FALSE)</f>
        <v>3</v>
      </c>
      <c r="J1022">
        <f>AVERAGE(Scores[[#This Row],[LYC]],Scores[[#This Row],[MATE]])</f>
        <v>632.5</v>
      </c>
      <c r="K1022">
        <f>VLOOKUP(Scores[[#This Row],[MRUN]],Demographics[],6,FALSE)</f>
        <v>9</v>
      </c>
      <c r="L1022">
        <f>VLOOKUP(Scores[[#This Row],[MRUN]],Demographics[], 7,FALSE)</f>
        <v>9</v>
      </c>
      <c r="M1022">
        <f>VLOOKUP(Scores[[#This Row],[MRUN]],Demographics[], 5, FALSE)</f>
        <v>2</v>
      </c>
    </row>
    <row r="1023" spans="1:13" hidden="1" x14ac:dyDescent="0.2">
      <c r="A1023" s="1">
        <v>22647846</v>
      </c>
      <c r="B1023">
        <v>1</v>
      </c>
      <c r="C1023">
        <v>2</v>
      </c>
      <c r="D1023">
        <v>539</v>
      </c>
      <c r="E1023">
        <v>505</v>
      </c>
      <c r="F1023">
        <v>579</v>
      </c>
      <c r="G1023">
        <v>0</v>
      </c>
      <c r="H1023">
        <v>528</v>
      </c>
      <c r="I1023">
        <f>VLOOKUP(Scores[[#This Row],[MRUN]],Demographics[],3,FALSE)</f>
        <v>3</v>
      </c>
      <c r="J1023">
        <f>AVERAGE(Scores[[#This Row],[LYC]],Scores[[#This Row],[MATE]])</f>
        <v>542</v>
      </c>
      <c r="K1023">
        <f>VLOOKUP(Scores[[#This Row],[MRUN]],Demographics[],6,FALSE)</f>
        <v>4</v>
      </c>
      <c r="L1023">
        <f>VLOOKUP(Scores[[#This Row],[MRUN]],Demographics[], 7,FALSE)</f>
        <v>4</v>
      </c>
      <c r="M1023">
        <f>VLOOKUP(Scores[[#This Row],[MRUN]],Demographics[], 5, FALSE)</f>
        <v>2</v>
      </c>
    </row>
    <row r="1024" spans="1:13" hidden="1" x14ac:dyDescent="0.2">
      <c r="A1024" s="1">
        <v>7159574</v>
      </c>
      <c r="B1024">
        <v>2</v>
      </c>
      <c r="C1024">
        <v>3</v>
      </c>
      <c r="D1024">
        <v>437</v>
      </c>
      <c r="E1024">
        <v>0</v>
      </c>
      <c r="F1024">
        <v>0</v>
      </c>
      <c r="G1024">
        <v>0</v>
      </c>
      <c r="H1024">
        <v>0</v>
      </c>
      <c r="I1024">
        <f>VLOOKUP(Scores[[#This Row],[MRUN]],Demographics[],3,FALSE)</f>
        <v>5</v>
      </c>
      <c r="J1024">
        <f>AVERAGE(Scores[[#This Row],[LYC]],Scores[[#This Row],[MATE]])</f>
        <v>0</v>
      </c>
      <c r="K1024">
        <f>VLOOKUP(Scores[[#This Row],[MRUN]],Demographics[],6,FALSE)</f>
        <v>0</v>
      </c>
      <c r="L1024">
        <f>VLOOKUP(Scores[[#This Row],[MRUN]],Demographics[], 7,FALSE)</f>
        <v>0</v>
      </c>
      <c r="M1024">
        <f>VLOOKUP(Scores[[#This Row],[MRUN]],Demographics[], 5, FALSE)</f>
        <v>1</v>
      </c>
    </row>
    <row r="1025" spans="1:13" hidden="1" x14ac:dyDescent="0.2">
      <c r="A1025" s="1">
        <v>2887505</v>
      </c>
      <c r="B1025">
        <v>1</v>
      </c>
      <c r="C1025">
        <v>2</v>
      </c>
      <c r="D1025">
        <v>662</v>
      </c>
      <c r="E1025">
        <v>557</v>
      </c>
      <c r="F1025">
        <v>300</v>
      </c>
      <c r="G1025">
        <v>501</v>
      </c>
      <c r="H1025">
        <v>483</v>
      </c>
      <c r="I1025">
        <f>VLOOKUP(Scores[[#This Row],[MRUN]],Demographics[],3,FALSE)</f>
        <v>0</v>
      </c>
      <c r="J1025">
        <f>AVERAGE(Scores[[#This Row],[LYC]],Scores[[#This Row],[MATE]])</f>
        <v>428.5</v>
      </c>
      <c r="K1025">
        <f>VLOOKUP(Scores[[#This Row],[MRUN]],Demographics[],6,FALSE)</f>
        <v>0</v>
      </c>
      <c r="L1025">
        <f>VLOOKUP(Scores[[#This Row],[MRUN]],Demographics[], 7,FALSE)</f>
        <v>0</v>
      </c>
      <c r="M1025">
        <f>VLOOKUP(Scores[[#This Row],[MRUN]],Demographics[], 5, FALSE)</f>
        <v>1</v>
      </c>
    </row>
    <row r="1026" spans="1:13" hidden="1" x14ac:dyDescent="0.2">
      <c r="A1026" s="1">
        <v>9728751</v>
      </c>
      <c r="B1026">
        <v>2</v>
      </c>
      <c r="C1026">
        <v>3</v>
      </c>
      <c r="D1026">
        <v>641</v>
      </c>
      <c r="E1026">
        <v>613</v>
      </c>
      <c r="F1026">
        <v>557</v>
      </c>
      <c r="G1026">
        <v>0</v>
      </c>
      <c r="H1026">
        <v>491</v>
      </c>
      <c r="I1026">
        <f>VLOOKUP(Scores[[#This Row],[MRUN]],Demographics[],3,FALSE)</f>
        <v>6</v>
      </c>
      <c r="J1026">
        <f>AVERAGE(Scores[[#This Row],[LYC]],Scores[[#This Row],[MATE]])</f>
        <v>585</v>
      </c>
      <c r="K1026">
        <f>VLOOKUP(Scores[[#This Row],[MRUN]],Demographics[],6,FALSE)</f>
        <v>9</v>
      </c>
      <c r="L1026">
        <f>VLOOKUP(Scores[[#This Row],[MRUN]],Demographics[], 7,FALSE)</f>
        <v>9</v>
      </c>
      <c r="M1026">
        <f>VLOOKUP(Scores[[#This Row],[MRUN]],Demographics[], 5, FALSE)</f>
        <v>2</v>
      </c>
    </row>
    <row r="1027" spans="1:13" hidden="1" x14ac:dyDescent="0.2">
      <c r="A1027" s="1">
        <v>10796953</v>
      </c>
      <c r="B1027">
        <v>1</v>
      </c>
      <c r="C1027">
        <v>3</v>
      </c>
      <c r="D1027">
        <v>579</v>
      </c>
      <c r="E1027">
        <v>581</v>
      </c>
      <c r="F1027">
        <v>644</v>
      </c>
      <c r="G1027">
        <v>746</v>
      </c>
      <c r="H1027">
        <v>0</v>
      </c>
      <c r="I1027">
        <f>VLOOKUP(Scores[[#This Row],[MRUN]],Demographics[],3,FALSE)</f>
        <v>4</v>
      </c>
      <c r="J1027">
        <f>AVERAGE(Scores[[#This Row],[LYC]],Scores[[#This Row],[MATE]])</f>
        <v>612.5</v>
      </c>
      <c r="K1027">
        <f>VLOOKUP(Scores[[#This Row],[MRUN]],Demographics[],6,FALSE)</f>
        <v>7</v>
      </c>
      <c r="L1027">
        <f>VLOOKUP(Scores[[#This Row],[MRUN]],Demographics[], 7,FALSE)</f>
        <v>9</v>
      </c>
      <c r="M1027">
        <f>VLOOKUP(Scores[[#This Row],[MRUN]],Demographics[], 5, FALSE)</f>
        <v>2</v>
      </c>
    </row>
    <row r="1028" spans="1:13" hidden="1" x14ac:dyDescent="0.2">
      <c r="A1028" s="1">
        <v>7693522</v>
      </c>
      <c r="B1028">
        <v>2</v>
      </c>
      <c r="C1028">
        <v>4</v>
      </c>
      <c r="D1028">
        <v>558</v>
      </c>
      <c r="E1028">
        <v>557</v>
      </c>
      <c r="F1028">
        <v>552</v>
      </c>
      <c r="G1028">
        <v>578</v>
      </c>
      <c r="H1028">
        <v>0</v>
      </c>
      <c r="I1028">
        <f>VLOOKUP(Scores[[#This Row],[MRUN]],Demographics[],3,FALSE)</f>
        <v>4</v>
      </c>
      <c r="J1028">
        <f>AVERAGE(Scores[[#This Row],[LYC]],Scores[[#This Row],[MATE]])</f>
        <v>554.5</v>
      </c>
      <c r="K1028">
        <f>VLOOKUP(Scores[[#This Row],[MRUN]],Demographics[],6,FALSE)</f>
        <v>9</v>
      </c>
      <c r="L1028">
        <f>VLOOKUP(Scores[[#This Row],[MRUN]],Demographics[], 7,FALSE)</f>
        <v>5</v>
      </c>
      <c r="M1028">
        <f>VLOOKUP(Scores[[#This Row],[MRUN]],Demographics[], 5, FALSE)</f>
        <v>4</v>
      </c>
    </row>
    <row r="1029" spans="1:13" hidden="1" x14ac:dyDescent="0.2">
      <c r="A1029" s="1">
        <v>17840695</v>
      </c>
      <c r="B1029">
        <v>2</v>
      </c>
      <c r="C1029">
        <v>3</v>
      </c>
      <c r="D1029">
        <v>538</v>
      </c>
      <c r="E1029">
        <v>596</v>
      </c>
      <c r="F1029">
        <v>692</v>
      </c>
      <c r="G1029">
        <v>0</v>
      </c>
      <c r="H1029">
        <v>659</v>
      </c>
      <c r="I1029">
        <f>VLOOKUP(Scores[[#This Row],[MRUN]],Demographics[],3,FALSE)</f>
        <v>6</v>
      </c>
      <c r="J1029">
        <f>AVERAGE(Scores[[#This Row],[LYC]],Scores[[#This Row],[MATE]])</f>
        <v>644</v>
      </c>
      <c r="K1029">
        <f>VLOOKUP(Scores[[#This Row],[MRUN]],Demographics[],6,FALSE)</f>
        <v>9</v>
      </c>
      <c r="L1029">
        <f>VLOOKUP(Scores[[#This Row],[MRUN]],Demographics[], 7,FALSE)</f>
        <v>9</v>
      </c>
      <c r="M1029">
        <f>VLOOKUP(Scores[[#This Row],[MRUN]],Demographics[], 5, FALSE)</f>
        <v>3</v>
      </c>
    </row>
    <row r="1030" spans="1:13" hidden="1" x14ac:dyDescent="0.2">
      <c r="A1030" s="1">
        <v>19065660</v>
      </c>
      <c r="B1030">
        <v>1</v>
      </c>
      <c r="C1030">
        <v>4</v>
      </c>
      <c r="D1030">
        <v>476</v>
      </c>
      <c r="E1030">
        <v>581</v>
      </c>
      <c r="F1030">
        <v>560</v>
      </c>
      <c r="G1030">
        <v>586</v>
      </c>
      <c r="H1030">
        <v>528</v>
      </c>
      <c r="I1030">
        <f>VLOOKUP(Scores[[#This Row],[MRUN]],Demographics[],3,FALSE)</f>
        <v>2</v>
      </c>
      <c r="J1030">
        <f>AVERAGE(Scores[[#This Row],[LYC]],Scores[[#This Row],[MATE]])</f>
        <v>570.5</v>
      </c>
      <c r="K1030">
        <f>VLOOKUP(Scores[[#This Row],[MRUN]],Demographics[],6,FALSE)</f>
        <v>9</v>
      </c>
      <c r="L1030">
        <f>VLOOKUP(Scores[[#This Row],[MRUN]],Demographics[], 7,FALSE)</f>
        <v>9</v>
      </c>
      <c r="M1030">
        <f>VLOOKUP(Scores[[#This Row],[MRUN]],Demographics[], 5, FALSE)</f>
        <v>3</v>
      </c>
    </row>
    <row r="1031" spans="1:13" hidden="1" x14ac:dyDescent="0.2">
      <c r="A1031" s="1">
        <v>24940761</v>
      </c>
      <c r="B1031">
        <v>1</v>
      </c>
      <c r="C1031">
        <v>4</v>
      </c>
      <c r="D1031">
        <v>517</v>
      </c>
      <c r="E1031">
        <v>444</v>
      </c>
      <c r="F1031">
        <v>692</v>
      </c>
      <c r="G1031">
        <v>0</v>
      </c>
      <c r="H1031">
        <v>602</v>
      </c>
      <c r="I1031">
        <f>VLOOKUP(Scores[[#This Row],[MRUN]],Demographics[],3,FALSE)</f>
        <v>0</v>
      </c>
      <c r="J1031">
        <f>AVERAGE(Scores[[#This Row],[LYC]],Scores[[#This Row],[MATE]])</f>
        <v>568</v>
      </c>
      <c r="K1031">
        <f>VLOOKUP(Scores[[#This Row],[MRUN]],Demographics[],6,FALSE)</f>
        <v>9</v>
      </c>
      <c r="L1031">
        <f>VLOOKUP(Scores[[#This Row],[MRUN]],Demographics[], 7,FALSE)</f>
        <v>10</v>
      </c>
      <c r="M1031">
        <f>VLOOKUP(Scores[[#This Row],[MRUN]],Demographics[], 5, FALSE)</f>
        <v>5</v>
      </c>
    </row>
    <row r="1032" spans="1:13" hidden="1" x14ac:dyDescent="0.2">
      <c r="A1032" s="1">
        <v>23439621</v>
      </c>
      <c r="B1032">
        <v>1</v>
      </c>
      <c r="C1032">
        <v>3</v>
      </c>
      <c r="D1032">
        <v>641</v>
      </c>
      <c r="E1032">
        <v>757</v>
      </c>
      <c r="F1032">
        <v>617</v>
      </c>
      <c r="G1032">
        <v>724</v>
      </c>
      <c r="H1032">
        <v>0</v>
      </c>
      <c r="I1032">
        <f>VLOOKUP(Scores[[#This Row],[MRUN]],Demographics[],3,FALSE)</f>
        <v>3</v>
      </c>
      <c r="J1032">
        <f>AVERAGE(Scores[[#This Row],[LYC]],Scores[[#This Row],[MATE]])</f>
        <v>687</v>
      </c>
      <c r="K1032">
        <f>VLOOKUP(Scores[[#This Row],[MRUN]],Demographics[],6,FALSE)</f>
        <v>4</v>
      </c>
      <c r="L1032">
        <f>VLOOKUP(Scores[[#This Row],[MRUN]],Demographics[], 7,FALSE)</f>
        <v>4</v>
      </c>
      <c r="M1032">
        <f>VLOOKUP(Scores[[#This Row],[MRUN]],Demographics[], 5, FALSE)</f>
        <v>1</v>
      </c>
    </row>
    <row r="1033" spans="1:13" hidden="1" x14ac:dyDescent="0.2">
      <c r="A1033" s="1">
        <v>1976549</v>
      </c>
      <c r="B1033">
        <v>2</v>
      </c>
      <c r="C1033">
        <v>2</v>
      </c>
      <c r="D1033">
        <v>476</v>
      </c>
      <c r="E1033">
        <v>488</v>
      </c>
      <c r="F1033">
        <v>441</v>
      </c>
      <c r="G1033">
        <v>495</v>
      </c>
      <c r="H1033">
        <v>404</v>
      </c>
      <c r="I1033">
        <f>VLOOKUP(Scores[[#This Row],[MRUN]],Demographics[],3,FALSE)</f>
        <v>3</v>
      </c>
      <c r="J1033">
        <f>AVERAGE(Scores[[#This Row],[LYC]],Scores[[#This Row],[MATE]])</f>
        <v>464.5</v>
      </c>
      <c r="K1033">
        <f>VLOOKUP(Scores[[#This Row],[MRUN]],Demographics[],6,FALSE)</f>
        <v>4</v>
      </c>
      <c r="L1033">
        <f>VLOOKUP(Scores[[#This Row],[MRUN]],Demographics[], 7,FALSE)</f>
        <v>4</v>
      </c>
      <c r="M1033">
        <f>VLOOKUP(Scores[[#This Row],[MRUN]],Demographics[], 5, FALSE)</f>
        <v>1</v>
      </c>
    </row>
    <row r="1034" spans="1:13" hidden="1" x14ac:dyDescent="0.2">
      <c r="A1034" s="1">
        <v>4113205</v>
      </c>
      <c r="B1034">
        <v>2</v>
      </c>
      <c r="C1034">
        <v>3</v>
      </c>
      <c r="D1034">
        <v>521</v>
      </c>
      <c r="E1034">
        <v>476</v>
      </c>
      <c r="F1034">
        <v>501</v>
      </c>
      <c r="G1034">
        <v>414</v>
      </c>
      <c r="H1034">
        <v>428</v>
      </c>
      <c r="I1034">
        <f>VLOOKUP(Scores[[#This Row],[MRUN]],Demographics[],3,FALSE)</f>
        <v>7</v>
      </c>
      <c r="J1034">
        <f>AVERAGE(Scores[[#This Row],[LYC]],Scores[[#This Row],[MATE]])</f>
        <v>488.5</v>
      </c>
      <c r="K1034">
        <f>VLOOKUP(Scores[[#This Row],[MRUN]],Demographics[],6,FALSE)</f>
        <v>2</v>
      </c>
      <c r="L1034">
        <f>VLOOKUP(Scores[[#This Row],[MRUN]],Demographics[], 7,FALSE)</f>
        <v>4</v>
      </c>
      <c r="M1034">
        <f>VLOOKUP(Scores[[#This Row],[MRUN]],Demographics[], 5, FALSE)</f>
        <v>1</v>
      </c>
    </row>
    <row r="1035" spans="1:13" hidden="1" x14ac:dyDescent="0.2">
      <c r="A1035" s="1">
        <v>13191405</v>
      </c>
      <c r="B1035">
        <v>2</v>
      </c>
      <c r="C1035">
        <v>4</v>
      </c>
      <c r="D1035">
        <v>682</v>
      </c>
      <c r="E1035">
        <v>727</v>
      </c>
      <c r="F1035">
        <v>644</v>
      </c>
      <c r="G1035">
        <v>677</v>
      </c>
      <c r="H1035">
        <v>0</v>
      </c>
      <c r="I1035">
        <f>VLOOKUP(Scores[[#This Row],[MRUN]],Demographics[],3,FALSE)</f>
        <v>6</v>
      </c>
      <c r="J1035">
        <f>AVERAGE(Scores[[#This Row],[LYC]],Scores[[#This Row],[MATE]])</f>
        <v>685.5</v>
      </c>
      <c r="K1035">
        <f>VLOOKUP(Scores[[#This Row],[MRUN]],Demographics[],6,FALSE)</f>
        <v>9</v>
      </c>
      <c r="L1035">
        <f>VLOOKUP(Scores[[#This Row],[MRUN]],Demographics[], 7,FALSE)</f>
        <v>9</v>
      </c>
      <c r="M1035">
        <f>VLOOKUP(Scores[[#This Row],[MRUN]],Demographics[], 5, FALSE)</f>
        <v>4</v>
      </c>
    </row>
    <row r="1036" spans="1:13" hidden="1" x14ac:dyDescent="0.2">
      <c r="A1036" s="1">
        <v>4848901</v>
      </c>
      <c r="B1036">
        <v>2</v>
      </c>
      <c r="C1036">
        <v>4</v>
      </c>
      <c r="D1036">
        <v>476</v>
      </c>
      <c r="E1036">
        <v>618</v>
      </c>
      <c r="F1036">
        <v>579</v>
      </c>
      <c r="G1036">
        <v>567</v>
      </c>
      <c r="H1036">
        <v>0</v>
      </c>
      <c r="I1036">
        <f>VLOOKUP(Scores[[#This Row],[MRUN]],Demographics[],3,FALSE)</f>
        <v>4</v>
      </c>
      <c r="J1036">
        <f>AVERAGE(Scores[[#This Row],[LYC]],Scores[[#This Row],[MATE]])</f>
        <v>598.5</v>
      </c>
      <c r="K1036">
        <f>VLOOKUP(Scores[[#This Row],[MRUN]],Demographics[],6,FALSE)</f>
        <v>6</v>
      </c>
      <c r="L1036">
        <f>VLOOKUP(Scores[[#This Row],[MRUN]],Demographics[], 7,FALSE)</f>
        <v>5</v>
      </c>
      <c r="M1036">
        <f>VLOOKUP(Scores[[#This Row],[MRUN]],Demographics[], 5, FALSE)</f>
        <v>1</v>
      </c>
    </row>
    <row r="1037" spans="1:13" hidden="1" x14ac:dyDescent="0.2">
      <c r="A1037" s="1">
        <v>22704488</v>
      </c>
      <c r="B1037">
        <v>1</v>
      </c>
      <c r="C1037">
        <v>4</v>
      </c>
      <c r="D1037">
        <v>517</v>
      </c>
      <c r="E1037">
        <v>586</v>
      </c>
      <c r="F1037">
        <v>631</v>
      </c>
      <c r="G1037">
        <v>602</v>
      </c>
      <c r="H1037">
        <v>0</v>
      </c>
      <c r="I1037">
        <f>VLOOKUP(Scores[[#This Row],[MRUN]],Demographics[],3,FALSE)</f>
        <v>6</v>
      </c>
      <c r="J1037">
        <f>AVERAGE(Scores[[#This Row],[LYC]],Scores[[#This Row],[MATE]])</f>
        <v>608.5</v>
      </c>
      <c r="K1037">
        <f>VLOOKUP(Scores[[#This Row],[MRUN]],Demographics[],6,FALSE)</f>
        <v>5</v>
      </c>
      <c r="L1037">
        <f>VLOOKUP(Scores[[#This Row],[MRUN]],Demographics[], 7,FALSE)</f>
        <v>5</v>
      </c>
      <c r="M1037">
        <f>VLOOKUP(Scores[[#This Row],[MRUN]],Demographics[], 5, FALSE)</f>
        <v>3</v>
      </c>
    </row>
    <row r="1038" spans="1:13" hidden="1" x14ac:dyDescent="0.2">
      <c r="A1038" s="1">
        <v>3781438</v>
      </c>
      <c r="B1038">
        <v>2</v>
      </c>
      <c r="C1038">
        <v>3</v>
      </c>
      <c r="D1038">
        <v>702</v>
      </c>
      <c r="E1038">
        <v>557</v>
      </c>
      <c r="F1038">
        <v>603</v>
      </c>
      <c r="G1038">
        <v>592</v>
      </c>
      <c r="H1038">
        <v>0</v>
      </c>
      <c r="I1038">
        <f>VLOOKUP(Scores[[#This Row],[MRUN]],Demographics[],3,FALSE)</f>
        <v>4</v>
      </c>
      <c r="J1038">
        <f>AVERAGE(Scores[[#This Row],[LYC]],Scores[[#This Row],[MATE]])</f>
        <v>580</v>
      </c>
      <c r="K1038">
        <f>VLOOKUP(Scores[[#This Row],[MRUN]],Demographics[],6,FALSE)</f>
        <v>9</v>
      </c>
      <c r="L1038">
        <f>VLOOKUP(Scores[[#This Row],[MRUN]],Demographics[], 7,FALSE)</f>
        <v>9</v>
      </c>
      <c r="M1038">
        <f>VLOOKUP(Scores[[#This Row],[MRUN]],Demographics[], 5, FALSE)</f>
        <v>2</v>
      </c>
    </row>
    <row r="1039" spans="1:13" hidden="1" x14ac:dyDescent="0.2">
      <c r="A1039" s="1">
        <v>17897202</v>
      </c>
      <c r="B1039">
        <v>2</v>
      </c>
      <c r="C1039">
        <v>2</v>
      </c>
      <c r="D1039">
        <v>560</v>
      </c>
      <c r="E1039">
        <v>0</v>
      </c>
      <c r="F1039">
        <v>0</v>
      </c>
      <c r="G1039">
        <v>0</v>
      </c>
      <c r="H1039">
        <v>0</v>
      </c>
      <c r="I1039">
        <f>VLOOKUP(Scores[[#This Row],[MRUN]],Demographics[],3,FALSE)</f>
        <v>7</v>
      </c>
      <c r="J1039">
        <f>AVERAGE(Scores[[#This Row],[LYC]],Scores[[#This Row],[MATE]])</f>
        <v>0</v>
      </c>
      <c r="K1039">
        <f>VLOOKUP(Scores[[#This Row],[MRUN]],Demographics[],6,FALSE)</f>
        <v>5</v>
      </c>
      <c r="L1039">
        <f>VLOOKUP(Scores[[#This Row],[MRUN]],Demographics[], 7,FALSE)</f>
        <v>2</v>
      </c>
      <c r="M1039">
        <f>VLOOKUP(Scores[[#This Row],[MRUN]],Demographics[], 5, FALSE)</f>
        <v>1</v>
      </c>
    </row>
    <row r="1040" spans="1:13" hidden="1" x14ac:dyDescent="0.2">
      <c r="A1040" s="1">
        <v>1644275</v>
      </c>
      <c r="B1040">
        <v>2</v>
      </c>
      <c r="C1040">
        <v>3</v>
      </c>
      <c r="D1040">
        <v>702</v>
      </c>
      <c r="E1040">
        <v>707</v>
      </c>
      <c r="F1040">
        <v>661</v>
      </c>
      <c r="G1040">
        <v>567</v>
      </c>
      <c r="H1040">
        <v>591</v>
      </c>
      <c r="I1040">
        <f>VLOOKUP(Scores[[#This Row],[MRUN]],Demographics[],3,FALSE)</f>
        <v>3</v>
      </c>
      <c r="J1040">
        <f>AVERAGE(Scores[[#This Row],[LYC]],Scores[[#This Row],[MATE]])</f>
        <v>684</v>
      </c>
      <c r="K1040">
        <f>VLOOKUP(Scores[[#This Row],[MRUN]],Demographics[],6,FALSE)</f>
        <v>7</v>
      </c>
      <c r="L1040">
        <f>VLOOKUP(Scores[[#This Row],[MRUN]],Demographics[], 7,FALSE)</f>
        <v>9</v>
      </c>
      <c r="M1040">
        <f>VLOOKUP(Scores[[#This Row],[MRUN]],Demographics[], 5, FALSE)</f>
        <v>2</v>
      </c>
    </row>
    <row r="1041" spans="1:13" hidden="1" x14ac:dyDescent="0.2">
      <c r="A1041" s="1">
        <v>22371916</v>
      </c>
      <c r="B1041">
        <v>2</v>
      </c>
      <c r="C1041">
        <v>4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f>VLOOKUP(Scores[[#This Row],[MRUN]],Demographics[],3,FALSE)</f>
        <v>0</v>
      </c>
      <c r="J1041">
        <f>AVERAGE(Scores[[#This Row],[LYC]],Scores[[#This Row],[MATE]])</f>
        <v>0</v>
      </c>
      <c r="K1041">
        <f>VLOOKUP(Scores[[#This Row],[MRUN]],Demographics[],6,FALSE)</f>
        <v>9</v>
      </c>
      <c r="L1041">
        <f>VLOOKUP(Scores[[#This Row],[MRUN]],Demographics[], 7,FALSE)</f>
        <v>9</v>
      </c>
      <c r="M1041">
        <f>VLOOKUP(Scores[[#This Row],[MRUN]],Demographics[], 5, FALSE)</f>
        <v>4</v>
      </c>
    </row>
    <row r="1042" spans="1:13" hidden="1" x14ac:dyDescent="0.2">
      <c r="A1042" s="1">
        <v>20235705</v>
      </c>
      <c r="B1042">
        <v>2</v>
      </c>
      <c r="C1042">
        <v>4</v>
      </c>
      <c r="D1042">
        <v>579</v>
      </c>
      <c r="E1042">
        <v>618</v>
      </c>
      <c r="F1042">
        <v>536</v>
      </c>
      <c r="G1042">
        <v>714</v>
      </c>
      <c r="H1042">
        <v>0</v>
      </c>
      <c r="I1042">
        <f>VLOOKUP(Scores[[#This Row],[MRUN]],Demographics[],3,FALSE)</f>
        <v>0</v>
      </c>
      <c r="J1042">
        <f>AVERAGE(Scores[[#This Row],[LYC]],Scores[[#This Row],[MATE]])</f>
        <v>577</v>
      </c>
      <c r="K1042">
        <f>VLOOKUP(Scores[[#This Row],[MRUN]],Demographics[],6,FALSE)</f>
        <v>0</v>
      </c>
      <c r="L1042">
        <f>VLOOKUP(Scores[[#This Row],[MRUN]],Demographics[], 7,FALSE)</f>
        <v>0</v>
      </c>
      <c r="M1042">
        <f>VLOOKUP(Scores[[#This Row],[MRUN]],Demographics[], 5, FALSE)</f>
        <v>2</v>
      </c>
    </row>
    <row r="1043" spans="1:13" hidden="1" x14ac:dyDescent="0.2">
      <c r="A1043" s="1">
        <v>5181273</v>
      </c>
      <c r="B1043">
        <v>1</v>
      </c>
      <c r="C1043">
        <v>4</v>
      </c>
      <c r="D1043">
        <v>455</v>
      </c>
      <c r="E1043">
        <v>561</v>
      </c>
      <c r="F1043">
        <v>617</v>
      </c>
      <c r="G1043">
        <v>0</v>
      </c>
      <c r="H1043">
        <v>594</v>
      </c>
      <c r="I1043">
        <f>VLOOKUP(Scores[[#This Row],[MRUN]],Demographics[],3,FALSE)</f>
        <v>0</v>
      </c>
      <c r="J1043">
        <f>AVERAGE(Scores[[#This Row],[LYC]],Scores[[#This Row],[MATE]])</f>
        <v>589</v>
      </c>
      <c r="K1043">
        <f>VLOOKUP(Scores[[#This Row],[MRUN]],Demographics[],6,FALSE)</f>
        <v>0</v>
      </c>
      <c r="L1043">
        <f>VLOOKUP(Scores[[#This Row],[MRUN]],Demographics[], 7,FALSE)</f>
        <v>0</v>
      </c>
      <c r="M1043">
        <f>VLOOKUP(Scores[[#This Row],[MRUN]],Demographics[], 5, FALSE)</f>
        <v>6</v>
      </c>
    </row>
    <row r="1044" spans="1:13" hidden="1" x14ac:dyDescent="0.2">
      <c r="A1044" s="1">
        <v>21202412</v>
      </c>
      <c r="B1044">
        <v>1</v>
      </c>
      <c r="C1044">
        <v>2</v>
      </c>
      <c r="D1044">
        <v>538</v>
      </c>
      <c r="E1044">
        <v>551</v>
      </c>
      <c r="F1044">
        <v>579</v>
      </c>
      <c r="G1044">
        <v>634</v>
      </c>
      <c r="H1044">
        <v>449</v>
      </c>
      <c r="I1044">
        <f>VLOOKUP(Scores[[#This Row],[MRUN]],Demographics[],3,FALSE)</f>
        <v>2</v>
      </c>
      <c r="J1044">
        <f>AVERAGE(Scores[[#This Row],[LYC]],Scores[[#This Row],[MATE]])</f>
        <v>565</v>
      </c>
      <c r="K1044">
        <f>VLOOKUP(Scores[[#This Row],[MRUN]],Demographics[],6,FALSE)</f>
        <v>0</v>
      </c>
      <c r="L1044">
        <f>VLOOKUP(Scores[[#This Row],[MRUN]],Demographics[], 7,FALSE)</f>
        <v>5</v>
      </c>
      <c r="M1044">
        <f>VLOOKUP(Scores[[#This Row],[MRUN]],Demographics[], 5, FALSE)</f>
        <v>1</v>
      </c>
    </row>
    <row r="1045" spans="1:13" hidden="1" x14ac:dyDescent="0.2">
      <c r="A1045" s="1">
        <v>10088194</v>
      </c>
      <c r="B1045">
        <v>1</v>
      </c>
      <c r="C1045">
        <v>3</v>
      </c>
      <c r="D1045">
        <v>558</v>
      </c>
      <c r="E1045">
        <v>648</v>
      </c>
      <c r="F1045">
        <v>564</v>
      </c>
      <c r="G1045">
        <v>0</v>
      </c>
      <c r="H1045">
        <v>579</v>
      </c>
      <c r="I1045">
        <f>VLOOKUP(Scores[[#This Row],[MRUN]],Demographics[],3,FALSE)</f>
        <v>4</v>
      </c>
      <c r="J1045">
        <f>AVERAGE(Scores[[#This Row],[LYC]],Scores[[#This Row],[MATE]])</f>
        <v>606</v>
      </c>
      <c r="K1045">
        <f>VLOOKUP(Scores[[#This Row],[MRUN]],Demographics[],6,FALSE)</f>
        <v>9</v>
      </c>
      <c r="L1045">
        <f>VLOOKUP(Scores[[#This Row],[MRUN]],Demographics[], 7,FALSE)</f>
        <v>9</v>
      </c>
      <c r="M1045">
        <f>VLOOKUP(Scores[[#This Row],[MRUN]],Demographics[], 5, FALSE)</f>
        <v>4</v>
      </c>
    </row>
    <row r="1046" spans="1:13" hidden="1" x14ac:dyDescent="0.2">
      <c r="A1046" s="1">
        <v>18430812</v>
      </c>
      <c r="B1046">
        <v>1</v>
      </c>
      <c r="C1046">
        <v>3</v>
      </c>
      <c r="D1046">
        <v>558</v>
      </c>
      <c r="E1046">
        <v>521</v>
      </c>
      <c r="F1046">
        <v>579</v>
      </c>
      <c r="G1046">
        <v>537</v>
      </c>
      <c r="H1046">
        <v>0</v>
      </c>
      <c r="I1046">
        <f>VLOOKUP(Scores[[#This Row],[MRUN]],Demographics[],3,FALSE)</f>
        <v>5</v>
      </c>
      <c r="J1046">
        <f>AVERAGE(Scores[[#This Row],[LYC]],Scores[[#This Row],[MATE]])</f>
        <v>550</v>
      </c>
      <c r="K1046">
        <f>VLOOKUP(Scores[[#This Row],[MRUN]],Demographics[],6,FALSE)</f>
        <v>5</v>
      </c>
      <c r="L1046">
        <f>VLOOKUP(Scores[[#This Row],[MRUN]],Demographics[], 7,FALSE)</f>
        <v>10</v>
      </c>
      <c r="M1046">
        <f>VLOOKUP(Scores[[#This Row],[MRUN]],Demographics[], 5, FALSE)</f>
        <v>1</v>
      </c>
    </row>
    <row r="1047" spans="1:13" hidden="1" x14ac:dyDescent="0.2">
      <c r="A1047" s="1">
        <v>1543168</v>
      </c>
      <c r="B1047">
        <v>2</v>
      </c>
      <c r="C1047">
        <v>2</v>
      </c>
      <c r="D1047">
        <v>620</v>
      </c>
      <c r="E1047">
        <v>464</v>
      </c>
      <c r="F1047">
        <v>501</v>
      </c>
      <c r="G1047">
        <v>0</v>
      </c>
      <c r="H1047">
        <v>404</v>
      </c>
      <c r="I1047">
        <f>VLOOKUP(Scores[[#This Row],[MRUN]],Demographics[],3,FALSE)</f>
        <v>3</v>
      </c>
      <c r="J1047">
        <f>AVERAGE(Scores[[#This Row],[LYC]],Scores[[#This Row],[MATE]])</f>
        <v>482.5</v>
      </c>
      <c r="K1047">
        <f>VLOOKUP(Scores[[#This Row],[MRUN]],Demographics[],6,FALSE)</f>
        <v>4</v>
      </c>
      <c r="L1047">
        <f>VLOOKUP(Scores[[#This Row],[MRUN]],Demographics[], 7,FALSE)</f>
        <v>3</v>
      </c>
      <c r="M1047">
        <f>VLOOKUP(Scores[[#This Row],[MRUN]],Demographics[], 5, FALSE)</f>
        <v>1</v>
      </c>
    </row>
    <row r="1048" spans="1:13" hidden="1" x14ac:dyDescent="0.2">
      <c r="A1048" s="1">
        <v>3146201</v>
      </c>
      <c r="B1048">
        <v>2</v>
      </c>
      <c r="C1048">
        <v>3</v>
      </c>
      <c r="D1048">
        <v>661</v>
      </c>
      <c r="E1048">
        <v>668</v>
      </c>
      <c r="F1048">
        <v>671</v>
      </c>
      <c r="G1048">
        <v>607</v>
      </c>
      <c r="H1048">
        <v>655</v>
      </c>
      <c r="I1048">
        <f>VLOOKUP(Scores[[#This Row],[MRUN]],Demographics[],3,FALSE)</f>
        <v>4</v>
      </c>
      <c r="J1048">
        <f>AVERAGE(Scores[[#This Row],[LYC]],Scores[[#This Row],[MATE]])</f>
        <v>669.5</v>
      </c>
      <c r="K1048">
        <f>VLOOKUP(Scores[[#This Row],[MRUN]],Demographics[],6,FALSE)</f>
        <v>0</v>
      </c>
      <c r="L1048">
        <f>VLOOKUP(Scores[[#This Row],[MRUN]],Demographics[], 7,FALSE)</f>
        <v>0</v>
      </c>
      <c r="M1048">
        <f>VLOOKUP(Scores[[#This Row],[MRUN]],Demographics[], 5, FALSE)</f>
        <v>1</v>
      </c>
    </row>
    <row r="1049" spans="1:13" hidden="1" x14ac:dyDescent="0.2">
      <c r="A1049" s="1">
        <v>24305861</v>
      </c>
      <c r="B1049">
        <v>2</v>
      </c>
      <c r="C1049">
        <v>3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f>VLOOKUP(Scores[[#This Row],[MRUN]],Demographics[],3,FALSE)</f>
        <v>3</v>
      </c>
      <c r="J1049">
        <f>AVERAGE(Scores[[#This Row],[LYC]],Scores[[#This Row],[MATE]])</f>
        <v>0</v>
      </c>
      <c r="K1049">
        <f>VLOOKUP(Scores[[#This Row],[MRUN]],Demographics[],6,FALSE)</f>
        <v>4</v>
      </c>
      <c r="L1049">
        <f>VLOOKUP(Scores[[#This Row],[MRUN]],Demographics[], 7,FALSE)</f>
        <v>4</v>
      </c>
      <c r="M1049">
        <f>VLOOKUP(Scores[[#This Row],[MRUN]],Demographics[], 5, FALSE)</f>
        <v>1</v>
      </c>
    </row>
    <row r="1050" spans="1:13" hidden="1" x14ac:dyDescent="0.2">
      <c r="A1050" s="1">
        <v>2077342</v>
      </c>
      <c r="B1050">
        <v>1</v>
      </c>
      <c r="C1050">
        <v>2</v>
      </c>
      <c r="D1050">
        <v>682</v>
      </c>
      <c r="E1050">
        <v>526</v>
      </c>
      <c r="F1050">
        <v>582</v>
      </c>
      <c r="G1050">
        <v>0</v>
      </c>
      <c r="H1050">
        <v>523</v>
      </c>
      <c r="I1050">
        <f>VLOOKUP(Scores[[#This Row],[MRUN]],Demographics[],3,FALSE)</f>
        <v>4</v>
      </c>
      <c r="J1050">
        <f>AVERAGE(Scores[[#This Row],[LYC]],Scores[[#This Row],[MATE]])</f>
        <v>554</v>
      </c>
      <c r="K1050">
        <f>VLOOKUP(Scores[[#This Row],[MRUN]],Demographics[],6,FALSE)</f>
        <v>5</v>
      </c>
      <c r="L1050">
        <f>VLOOKUP(Scores[[#This Row],[MRUN]],Demographics[], 7,FALSE)</f>
        <v>4</v>
      </c>
      <c r="M1050">
        <f>VLOOKUP(Scores[[#This Row],[MRUN]],Demographics[], 5, FALSE)</f>
        <v>1</v>
      </c>
    </row>
    <row r="1051" spans="1:13" hidden="1" x14ac:dyDescent="0.2">
      <c r="A1051" s="1">
        <v>22804940</v>
      </c>
      <c r="B1051">
        <v>2</v>
      </c>
      <c r="C1051">
        <v>4</v>
      </c>
      <c r="D1051">
        <v>723</v>
      </c>
      <c r="E1051">
        <v>691</v>
      </c>
      <c r="F1051">
        <v>681</v>
      </c>
      <c r="G1051">
        <v>0</v>
      </c>
      <c r="H1051">
        <v>697</v>
      </c>
      <c r="I1051">
        <f>VLOOKUP(Scores[[#This Row],[MRUN]],Demographics[],3,FALSE)</f>
        <v>7</v>
      </c>
      <c r="J1051">
        <f>AVERAGE(Scores[[#This Row],[LYC]],Scores[[#This Row],[MATE]])</f>
        <v>686</v>
      </c>
      <c r="K1051">
        <f>VLOOKUP(Scores[[#This Row],[MRUN]],Demographics[],6,FALSE)</f>
        <v>9</v>
      </c>
      <c r="L1051">
        <f>VLOOKUP(Scores[[#This Row],[MRUN]],Demographics[], 7,FALSE)</f>
        <v>9</v>
      </c>
      <c r="M1051">
        <f>VLOOKUP(Scores[[#This Row],[MRUN]],Demographics[], 5, FALSE)</f>
        <v>4</v>
      </c>
    </row>
    <row r="1052" spans="1:13" hidden="1" x14ac:dyDescent="0.2">
      <c r="A1052" s="1">
        <v>4646930</v>
      </c>
      <c r="B1052">
        <v>2</v>
      </c>
      <c r="C1052">
        <v>4</v>
      </c>
      <c r="D1052">
        <v>702</v>
      </c>
      <c r="E1052">
        <v>683</v>
      </c>
      <c r="F1052">
        <v>705</v>
      </c>
      <c r="G1052">
        <v>746</v>
      </c>
      <c r="H1052">
        <v>0</v>
      </c>
      <c r="I1052">
        <f>VLOOKUP(Scores[[#This Row],[MRUN]],Demographics[],3,FALSE)</f>
        <v>5</v>
      </c>
      <c r="J1052">
        <f>AVERAGE(Scores[[#This Row],[LYC]],Scores[[#This Row],[MATE]])</f>
        <v>694</v>
      </c>
      <c r="K1052">
        <f>VLOOKUP(Scores[[#This Row],[MRUN]],Demographics[],6,FALSE)</f>
        <v>9</v>
      </c>
      <c r="L1052">
        <f>VLOOKUP(Scores[[#This Row],[MRUN]],Demographics[], 7,FALSE)</f>
        <v>9</v>
      </c>
      <c r="M1052">
        <f>VLOOKUP(Scores[[#This Row],[MRUN]],Demographics[], 5, FALSE)</f>
        <v>5</v>
      </c>
    </row>
    <row r="1053" spans="1:13" hidden="1" x14ac:dyDescent="0.2">
      <c r="A1053" s="1">
        <v>9987182</v>
      </c>
      <c r="B1053">
        <v>1</v>
      </c>
      <c r="C1053">
        <v>3</v>
      </c>
      <c r="D1053">
        <v>455</v>
      </c>
      <c r="E1053">
        <v>526</v>
      </c>
      <c r="F1053">
        <v>620</v>
      </c>
      <c r="G1053">
        <v>0</v>
      </c>
      <c r="H1053">
        <v>523</v>
      </c>
      <c r="I1053">
        <f>VLOOKUP(Scores[[#This Row],[MRUN]],Demographics[],3,FALSE)</f>
        <v>2</v>
      </c>
      <c r="J1053">
        <f>AVERAGE(Scores[[#This Row],[LYC]],Scores[[#This Row],[MATE]])</f>
        <v>573</v>
      </c>
      <c r="K1053">
        <f>VLOOKUP(Scores[[#This Row],[MRUN]],Demographics[],6,FALSE)</f>
        <v>9</v>
      </c>
      <c r="L1053">
        <f>VLOOKUP(Scores[[#This Row],[MRUN]],Demographics[], 7,FALSE)</f>
        <v>9</v>
      </c>
      <c r="M1053">
        <f>VLOOKUP(Scores[[#This Row],[MRUN]],Demographics[], 5, FALSE)</f>
        <v>2</v>
      </c>
    </row>
    <row r="1054" spans="1:13" x14ac:dyDescent="0.2">
      <c r="A1054" s="1">
        <v>18648452</v>
      </c>
      <c r="B1054">
        <v>1</v>
      </c>
      <c r="C1054">
        <v>3</v>
      </c>
      <c r="D1054">
        <v>682</v>
      </c>
      <c r="E1054">
        <v>699</v>
      </c>
      <c r="F1054">
        <v>828</v>
      </c>
      <c r="G1054">
        <v>0</v>
      </c>
      <c r="H1054">
        <v>686</v>
      </c>
      <c r="I1054">
        <f>VLOOKUP(Scores[[#This Row],[MRUN]],Demographics[],3,FALSE)</f>
        <v>4</v>
      </c>
      <c r="J1054">
        <f>AVERAGE(Scores[[#This Row],[LYC]],Scores[[#This Row],[MATE]])</f>
        <v>763.5</v>
      </c>
      <c r="K1054">
        <f>VLOOKUP(Scores[[#This Row],[MRUN]],Demographics[],6,FALSE)</f>
        <v>9</v>
      </c>
      <c r="L1054">
        <f>VLOOKUP(Scores[[#This Row],[MRUN]],Demographics[], 7,FALSE)</f>
        <v>8</v>
      </c>
      <c r="M1054">
        <f>VLOOKUP(Scores[[#This Row],[MRUN]],Demographics[], 5, FALSE)</f>
        <v>2</v>
      </c>
    </row>
    <row r="1055" spans="1:13" hidden="1" x14ac:dyDescent="0.2">
      <c r="A1055" s="1">
        <v>16079940</v>
      </c>
      <c r="B1055">
        <v>1</v>
      </c>
      <c r="C1055">
        <v>2</v>
      </c>
      <c r="D1055">
        <v>723</v>
      </c>
      <c r="E1055">
        <v>661</v>
      </c>
      <c r="F1055">
        <v>806</v>
      </c>
      <c r="G1055">
        <v>0</v>
      </c>
      <c r="H1055">
        <v>682</v>
      </c>
      <c r="I1055">
        <f>VLOOKUP(Scores[[#This Row],[MRUN]],Demographics[],3,FALSE)</f>
        <v>4</v>
      </c>
      <c r="J1055">
        <f>AVERAGE(Scores[[#This Row],[LYC]],Scores[[#This Row],[MATE]])</f>
        <v>733.5</v>
      </c>
      <c r="K1055">
        <f>VLOOKUP(Scores[[#This Row],[MRUN]],Demographics[],6,FALSE)</f>
        <v>5</v>
      </c>
      <c r="L1055">
        <f>VLOOKUP(Scores[[#This Row],[MRUN]],Demographics[], 7,FALSE)</f>
        <v>2</v>
      </c>
      <c r="M1055">
        <f>VLOOKUP(Scores[[#This Row],[MRUN]],Demographics[], 5, FALSE)</f>
        <v>1</v>
      </c>
    </row>
    <row r="1056" spans="1:13" hidden="1" x14ac:dyDescent="0.2">
      <c r="A1056" s="1">
        <v>12342505</v>
      </c>
      <c r="B1056">
        <v>2</v>
      </c>
      <c r="C1056">
        <v>4</v>
      </c>
      <c r="D1056">
        <v>496</v>
      </c>
      <c r="E1056">
        <v>592</v>
      </c>
      <c r="F1056">
        <v>545</v>
      </c>
      <c r="G1056">
        <v>541</v>
      </c>
      <c r="H1056">
        <v>0</v>
      </c>
      <c r="I1056">
        <f>VLOOKUP(Scores[[#This Row],[MRUN]],Demographics[],3,FALSE)</f>
        <v>3</v>
      </c>
      <c r="J1056">
        <f>AVERAGE(Scores[[#This Row],[LYC]],Scores[[#This Row],[MATE]])</f>
        <v>568.5</v>
      </c>
      <c r="K1056">
        <f>VLOOKUP(Scores[[#This Row],[MRUN]],Demographics[],6,FALSE)</f>
        <v>9</v>
      </c>
      <c r="L1056">
        <f>VLOOKUP(Scores[[#This Row],[MRUN]],Demographics[], 7,FALSE)</f>
        <v>7</v>
      </c>
      <c r="M1056">
        <f>VLOOKUP(Scores[[#This Row],[MRUN]],Demographics[], 5, FALSE)</f>
        <v>5</v>
      </c>
    </row>
    <row r="1057" spans="1:13" hidden="1" x14ac:dyDescent="0.2">
      <c r="A1057" s="1">
        <v>13944281</v>
      </c>
      <c r="B1057">
        <v>1</v>
      </c>
      <c r="C1057">
        <v>2</v>
      </c>
      <c r="D1057">
        <v>352</v>
      </c>
      <c r="E1057">
        <v>430</v>
      </c>
      <c r="F1057">
        <v>506</v>
      </c>
      <c r="G1057">
        <v>537</v>
      </c>
      <c r="H1057">
        <v>497</v>
      </c>
      <c r="I1057">
        <f>VLOOKUP(Scores[[#This Row],[MRUN]],Demographics[],3,FALSE)</f>
        <v>6</v>
      </c>
      <c r="J1057">
        <f>AVERAGE(Scores[[#This Row],[LYC]],Scores[[#This Row],[MATE]])</f>
        <v>468</v>
      </c>
      <c r="K1057">
        <f>VLOOKUP(Scores[[#This Row],[MRUN]],Demographics[],6,FALSE)</f>
        <v>5</v>
      </c>
      <c r="L1057">
        <f>VLOOKUP(Scores[[#This Row],[MRUN]],Demographics[], 7,FALSE)</f>
        <v>4</v>
      </c>
      <c r="M1057">
        <f>VLOOKUP(Scores[[#This Row],[MRUN]],Demographics[], 5, FALSE)</f>
        <v>2</v>
      </c>
    </row>
    <row r="1058" spans="1:13" hidden="1" x14ac:dyDescent="0.2">
      <c r="A1058" s="1">
        <v>10002950</v>
      </c>
      <c r="B1058">
        <v>1</v>
      </c>
      <c r="C1058">
        <v>4</v>
      </c>
      <c r="D1058">
        <v>620</v>
      </c>
      <c r="E1058">
        <v>602</v>
      </c>
      <c r="F1058">
        <v>750</v>
      </c>
      <c r="G1058">
        <v>0</v>
      </c>
      <c r="H1058">
        <v>686</v>
      </c>
      <c r="I1058">
        <f>VLOOKUP(Scores[[#This Row],[MRUN]],Demographics[],3,FALSE)</f>
        <v>5</v>
      </c>
      <c r="J1058">
        <f>AVERAGE(Scores[[#This Row],[LYC]],Scores[[#This Row],[MATE]])</f>
        <v>676</v>
      </c>
      <c r="K1058">
        <f>VLOOKUP(Scores[[#This Row],[MRUN]],Demographics[],6,FALSE)</f>
        <v>9</v>
      </c>
      <c r="L1058">
        <f>VLOOKUP(Scores[[#This Row],[MRUN]],Demographics[], 7,FALSE)</f>
        <v>8</v>
      </c>
      <c r="M1058">
        <f>VLOOKUP(Scores[[#This Row],[MRUN]],Demographics[], 5, FALSE)</f>
        <v>4</v>
      </c>
    </row>
    <row r="1059" spans="1:13" hidden="1" x14ac:dyDescent="0.2">
      <c r="A1059" s="1">
        <v>23787677</v>
      </c>
      <c r="B1059">
        <v>2</v>
      </c>
      <c r="C1059">
        <v>3</v>
      </c>
      <c r="D1059">
        <v>417</v>
      </c>
      <c r="E1059">
        <v>0</v>
      </c>
      <c r="F1059">
        <v>0</v>
      </c>
      <c r="G1059">
        <v>0</v>
      </c>
      <c r="H1059">
        <v>0</v>
      </c>
      <c r="I1059">
        <f>VLOOKUP(Scores[[#This Row],[MRUN]],Demographics[],3,FALSE)</f>
        <v>5</v>
      </c>
      <c r="J1059">
        <f>AVERAGE(Scores[[#This Row],[LYC]],Scores[[#This Row],[MATE]])</f>
        <v>0</v>
      </c>
      <c r="K1059">
        <f>VLOOKUP(Scores[[#This Row],[MRUN]],Demographics[],6,FALSE)</f>
        <v>5</v>
      </c>
      <c r="L1059">
        <f>VLOOKUP(Scores[[#This Row],[MRUN]],Demographics[], 7,FALSE)</f>
        <v>4</v>
      </c>
      <c r="M1059">
        <f>VLOOKUP(Scores[[#This Row],[MRUN]],Demographics[], 5, FALSE)</f>
        <v>1</v>
      </c>
    </row>
    <row r="1060" spans="1:13" hidden="1" x14ac:dyDescent="0.2">
      <c r="A1060" s="1">
        <v>7535175</v>
      </c>
      <c r="B1060">
        <v>1</v>
      </c>
      <c r="C1060">
        <v>4</v>
      </c>
      <c r="D1060">
        <v>579</v>
      </c>
      <c r="E1060">
        <v>648</v>
      </c>
      <c r="F1060">
        <v>666</v>
      </c>
      <c r="G1060">
        <v>746</v>
      </c>
      <c r="H1060">
        <v>579</v>
      </c>
      <c r="I1060">
        <f>VLOOKUP(Scores[[#This Row],[MRUN]],Demographics[],3,FALSE)</f>
        <v>6</v>
      </c>
      <c r="J1060">
        <f>AVERAGE(Scores[[#This Row],[LYC]],Scores[[#This Row],[MATE]])</f>
        <v>657</v>
      </c>
      <c r="K1060">
        <f>VLOOKUP(Scores[[#This Row],[MRUN]],Demographics[],6,FALSE)</f>
        <v>9</v>
      </c>
      <c r="L1060">
        <f>VLOOKUP(Scores[[#This Row],[MRUN]],Demographics[], 7,FALSE)</f>
        <v>9</v>
      </c>
      <c r="M1060">
        <f>VLOOKUP(Scores[[#This Row],[MRUN]],Demographics[], 5, FALSE)</f>
        <v>3</v>
      </c>
    </row>
    <row r="1061" spans="1:13" hidden="1" x14ac:dyDescent="0.2">
      <c r="A1061" s="1">
        <v>5832164</v>
      </c>
      <c r="B1061">
        <v>2</v>
      </c>
      <c r="C1061">
        <v>4</v>
      </c>
      <c r="D1061">
        <v>496</v>
      </c>
      <c r="E1061">
        <v>661</v>
      </c>
      <c r="F1061">
        <v>501</v>
      </c>
      <c r="G1061">
        <v>779</v>
      </c>
      <c r="H1061">
        <v>0</v>
      </c>
      <c r="I1061">
        <f>VLOOKUP(Scores[[#This Row],[MRUN]],Demographics[],3,FALSE)</f>
        <v>5</v>
      </c>
      <c r="J1061">
        <f>AVERAGE(Scores[[#This Row],[LYC]],Scores[[#This Row],[MATE]])</f>
        <v>581</v>
      </c>
      <c r="K1061">
        <f>VLOOKUP(Scores[[#This Row],[MRUN]],Demographics[],6,FALSE)</f>
        <v>9</v>
      </c>
      <c r="L1061">
        <f>VLOOKUP(Scores[[#This Row],[MRUN]],Demographics[], 7,FALSE)</f>
        <v>5</v>
      </c>
      <c r="M1061">
        <f>VLOOKUP(Scores[[#This Row],[MRUN]],Demographics[], 5, FALSE)</f>
        <v>3</v>
      </c>
    </row>
    <row r="1062" spans="1:13" hidden="1" x14ac:dyDescent="0.2">
      <c r="A1062" s="1">
        <v>3797339</v>
      </c>
      <c r="B1062">
        <v>2</v>
      </c>
      <c r="C1062">
        <v>3</v>
      </c>
      <c r="D1062">
        <v>682</v>
      </c>
      <c r="E1062">
        <v>613</v>
      </c>
      <c r="F1062">
        <v>589</v>
      </c>
      <c r="G1062">
        <v>0</v>
      </c>
      <c r="H1062">
        <v>483</v>
      </c>
      <c r="I1062">
        <f>VLOOKUP(Scores[[#This Row],[MRUN]],Demographics[],3,FALSE)</f>
        <v>4</v>
      </c>
      <c r="J1062">
        <f>AVERAGE(Scores[[#This Row],[LYC]],Scores[[#This Row],[MATE]])</f>
        <v>601</v>
      </c>
      <c r="K1062">
        <f>VLOOKUP(Scores[[#This Row],[MRUN]],Demographics[],6,FALSE)</f>
        <v>3</v>
      </c>
      <c r="L1062">
        <f>VLOOKUP(Scores[[#This Row],[MRUN]],Demographics[], 7,FALSE)</f>
        <v>5</v>
      </c>
      <c r="M1062">
        <f>VLOOKUP(Scores[[#This Row],[MRUN]],Demographics[], 5, FALSE)</f>
        <v>1</v>
      </c>
    </row>
    <row r="1063" spans="1:13" hidden="1" x14ac:dyDescent="0.2">
      <c r="A1063" s="1">
        <v>11274375</v>
      </c>
      <c r="B1063">
        <v>2</v>
      </c>
      <c r="C1063">
        <v>3</v>
      </c>
      <c r="D1063">
        <v>0</v>
      </c>
      <c r="E1063">
        <v>537</v>
      </c>
      <c r="F1063">
        <v>428</v>
      </c>
      <c r="G1063">
        <v>578</v>
      </c>
      <c r="H1063">
        <v>0</v>
      </c>
      <c r="I1063">
        <f>VLOOKUP(Scores[[#This Row],[MRUN]],Demographics[],3,FALSE)</f>
        <v>2</v>
      </c>
      <c r="J1063">
        <f>AVERAGE(Scores[[#This Row],[LYC]],Scores[[#This Row],[MATE]])</f>
        <v>482.5</v>
      </c>
      <c r="K1063">
        <f>VLOOKUP(Scores[[#This Row],[MRUN]],Demographics[],6,FALSE)</f>
        <v>9</v>
      </c>
      <c r="L1063">
        <f>VLOOKUP(Scores[[#This Row],[MRUN]],Demographics[], 7,FALSE)</f>
        <v>9</v>
      </c>
      <c r="M1063">
        <f>VLOOKUP(Scores[[#This Row],[MRUN]],Demographics[], 5, FALSE)</f>
        <v>2</v>
      </c>
    </row>
    <row r="1064" spans="1:13" hidden="1" x14ac:dyDescent="0.2">
      <c r="A1064" s="1">
        <v>10205779</v>
      </c>
      <c r="B1064">
        <v>1</v>
      </c>
      <c r="C1064">
        <v>4</v>
      </c>
      <c r="D1064">
        <v>682</v>
      </c>
      <c r="E1064">
        <v>757</v>
      </c>
      <c r="F1064">
        <v>728</v>
      </c>
      <c r="G1064">
        <v>746</v>
      </c>
      <c r="H1064">
        <v>602</v>
      </c>
      <c r="I1064">
        <f>VLOOKUP(Scores[[#This Row],[MRUN]],Demographics[],3,FALSE)</f>
        <v>6</v>
      </c>
      <c r="J1064">
        <f>AVERAGE(Scores[[#This Row],[LYC]],Scores[[#This Row],[MATE]])</f>
        <v>742.5</v>
      </c>
      <c r="K1064">
        <f>VLOOKUP(Scores[[#This Row],[MRUN]],Demographics[],6,FALSE)</f>
        <v>10</v>
      </c>
      <c r="L1064">
        <f>VLOOKUP(Scores[[#This Row],[MRUN]],Demographics[], 7,FALSE)</f>
        <v>5</v>
      </c>
      <c r="M1064">
        <f>VLOOKUP(Scores[[#This Row],[MRUN]],Demographics[], 5, FALSE)</f>
        <v>5</v>
      </c>
    </row>
    <row r="1065" spans="1:13" hidden="1" x14ac:dyDescent="0.2">
      <c r="A1065" s="1">
        <v>19717376</v>
      </c>
      <c r="B1065">
        <v>2</v>
      </c>
      <c r="C1065">
        <v>2</v>
      </c>
      <c r="D1065">
        <v>478</v>
      </c>
      <c r="E1065">
        <v>422</v>
      </c>
      <c r="F1065">
        <v>376</v>
      </c>
      <c r="G1065">
        <v>414</v>
      </c>
      <c r="H1065">
        <v>0</v>
      </c>
      <c r="I1065">
        <f>VLOOKUP(Scores[[#This Row],[MRUN]],Demographics[],3,FALSE)</f>
        <v>5</v>
      </c>
      <c r="J1065">
        <f>AVERAGE(Scores[[#This Row],[LYC]],Scores[[#This Row],[MATE]])</f>
        <v>399</v>
      </c>
      <c r="K1065">
        <f>VLOOKUP(Scores[[#This Row],[MRUN]],Demographics[],6,FALSE)</f>
        <v>5</v>
      </c>
      <c r="L1065">
        <f>VLOOKUP(Scores[[#This Row],[MRUN]],Demographics[], 7,FALSE)</f>
        <v>4</v>
      </c>
      <c r="M1065">
        <f>VLOOKUP(Scores[[#This Row],[MRUN]],Demographics[], 5, FALSE)</f>
        <v>1</v>
      </c>
    </row>
    <row r="1066" spans="1:13" hidden="1" x14ac:dyDescent="0.2">
      <c r="A1066" s="1">
        <v>17046625</v>
      </c>
      <c r="B1066">
        <v>2</v>
      </c>
      <c r="C1066">
        <v>4</v>
      </c>
      <c r="D1066">
        <v>579</v>
      </c>
      <c r="E1066">
        <v>592</v>
      </c>
      <c r="F1066">
        <v>560</v>
      </c>
      <c r="G1066">
        <v>623</v>
      </c>
      <c r="H1066">
        <v>0</v>
      </c>
      <c r="I1066">
        <f>VLOOKUP(Scores[[#This Row],[MRUN]],Demographics[],3,FALSE)</f>
        <v>5</v>
      </c>
      <c r="J1066">
        <f>AVERAGE(Scores[[#This Row],[LYC]],Scores[[#This Row],[MATE]])</f>
        <v>576</v>
      </c>
      <c r="K1066">
        <f>VLOOKUP(Scores[[#This Row],[MRUN]],Demographics[],6,FALSE)</f>
        <v>7</v>
      </c>
      <c r="L1066">
        <f>VLOOKUP(Scores[[#This Row],[MRUN]],Demographics[], 7,FALSE)</f>
        <v>7</v>
      </c>
      <c r="M1066">
        <f>VLOOKUP(Scores[[#This Row],[MRUN]],Demographics[], 5, FALSE)</f>
        <v>3</v>
      </c>
    </row>
    <row r="1067" spans="1:13" hidden="1" x14ac:dyDescent="0.2">
      <c r="A1067" s="1">
        <v>18013353</v>
      </c>
      <c r="B1067">
        <v>2</v>
      </c>
      <c r="C1067">
        <v>3</v>
      </c>
      <c r="D1067">
        <v>661</v>
      </c>
      <c r="E1067">
        <v>592</v>
      </c>
      <c r="F1067">
        <v>657</v>
      </c>
      <c r="G1067">
        <v>623</v>
      </c>
      <c r="H1067">
        <v>628</v>
      </c>
      <c r="I1067">
        <f>VLOOKUP(Scores[[#This Row],[MRUN]],Demographics[],3,FALSE)</f>
        <v>6</v>
      </c>
      <c r="J1067">
        <f>AVERAGE(Scores[[#This Row],[LYC]],Scores[[#This Row],[MATE]])</f>
        <v>624.5</v>
      </c>
      <c r="K1067">
        <f>VLOOKUP(Scores[[#This Row],[MRUN]],Demographics[],6,FALSE)</f>
        <v>9</v>
      </c>
      <c r="L1067">
        <f>VLOOKUP(Scores[[#This Row],[MRUN]],Demographics[], 7,FALSE)</f>
        <v>9</v>
      </c>
      <c r="M1067">
        <f>VLOOKUP(Scores[[#This Row],[MRUN]],Demographics[], 5, FALSE)</f>
        <v>2</v>
      </c>
    </row>
    <row r="1068" spans="1:13" hidden="1" x14ac:dyDescent="0.2">
      <c r="A1068" s="1">
        <v>17580654</v>
      </c>
      <c r="B1068">
        <v>1</v>
      </c>
      <c r="C1068">
        <v>2</v>
      </c>
      <c r="D1068">
        <v>435</v>
      </c>
      <c r="E1068">
        <v>537</v>
      </c>
      <c r="F1068">
        <v>452</v>
      </c>
      <c r="G1068">
        <v>552</v>
      </c>
      <c r="H1068">
        <v>0</v>
      </c>
      <c r="I1068">
        <f>VLOOKUP(Scores[[#This Row],[MRUN]],Demographics[],3,FALSE)</f>
        <v>4</v>
      </c>
      <c r="J1068">
        <f>AVERAGE(Scores[[#This Row],[LYC]],Scores[[#This Row],[MATE]])</f>
        <v>494.5</v>
      </c>
      <c r="K1068">
        <f>VLOOKUP(Scores[[#This Row],[MRUN]],Demographics[],6,FALSE)</f>
        <v>3</v>
      </c>
      <c r="L1068">
        <f>VLOOKUP(Scores[[#This Row],[MRUN]],Demographics[], 7,FALSE)</f>
        <v>3</v>
      </c>
      <c r="M1068">
        <f>VLOOKUP(Scores[[#This Row],[MRUN]],Demographics[], 5, FALSE)</f>
        <v>1</v>
      </c>
    </row>
    <row r="1069" spans="1:13" hidden="1" x14ac:dyDescent="0.2">
      <c r="A1069" s="1">
        <v>57779</v>
      </c>
      <c r="B1069">
        <v>2</v>
      </c>
      <c r="C1069">
        <v>2</v>
      </c>
      <c r="D1069">
        <v>476</v>
      </c>
      <c r="E1069">
        <v>458</v>
      </c>
      <c r="F1069">
        <v>512</v>
      </c>
      <c r="G1069">
        <v>537</v>
      </c>
      <c r="H1069">
        <v>0</v>
      </c>
      <c r="I1069">
        <f>VLOOKUP(Scores[[#This Row],[MRUN]],Demographics[],3,FALSE)</f>
        <v>4</v>
      </c>
      <c r="J1069">
        <f>AVERAGE(Scores[[#This Row],[LYC]],Scores[[#This Row],[MATE]])</f>
        <v>485</v>
      </c>
      <c r="K1069">
        <f>VLOOKUP(Scores[[#This Row],[MRUN]],Demographics[],6,FALSE)</f>
        <v>5</v>
      </c>
      <c r="L1069">
        <f>VLOOKUP(Scores[[#This Row],[MRUN]],Demographics[], 7,FALSE)</f>
        <v>5</v>
      </c>
      <c r="M1069">
        <f>VLOOKUP(Scores[[#This Row],[MRUN]],Demographics[], 5, FALSE)</f>
        <v>1</v>
      </c>
    </row>
    <row r="1070" spans="1:13" hidden="1" x14ac:dyDescent="0.2">
      <c r="A1070" s="1">
        <v>13207120</v>
      </c>
      <c r="B1070">
        <v>2</v>
      </c>
      <c r="C1070">
        <v>2</v>
      </c>
      <c r="D1070">
        <v>579</v>
      </c>
      <c r="E1070">
        <v>521</v>
      </c>
      <c r="F1070">
        <v>552</v>
      </c>
      <c r="G1070">
        <v>0</v>
      </c>
      <c r="H1070">
        <v>510</v>
      </c>
      <c r="I1070">
        <f>VLOOKUP(Scores[[#This Row],[MRUN]],Demographics[],3,FALSE)</f>
        <v>4</v>
      </c>
      <c r="J1070">
        <f>AVERAGE(Scores[[#This Row],[LYC]],Scores[[#This Row],[MATE]])</f>
        <v>536.5</v>
      </c>
      <c r="K1070">
        <f>VLOOKUP(Scores[[#This Row],[MRUN]],Demographics[],6,FALSE)</f>
        <v>4</v>
      </c>
      <c r="L1070">
        <f>VLOOKUP(Scores[[#This Row],[MRUN]],Demographics[], 7,FALSE)</f>
        <v>3</v>
      </c>
      <c r="M1070">
        <f>VLOOKUP(Scores[[#This Row],[MRUN]],Demographics[], 5, FALSE)</f>
        <v>1</v>
      </c>
    </row>
    <row r="1071" spans="1:13" hidden="1" x14ac:dyDescent="0.2">
      <c r="A1071" s="1">
        <v>3162002</v>
      </c>
      <c r="B1071">
        <v>1</v>
      </c>
      <c r="C1071">
        <v>2</v>
      </c>
      <c r="D1071">
        <v>496</v>
      </c>
      <c r="E1071">
        <v>521</v>
      </c>
      <c r="F1071">
        <v>506</v>
      </c>
      <c r="G1071">
        <v>0</v>
      </c>
      <c r="H1071">
        <v>534</v>
      </c>
      <c r="I1071">
        <f>VLOOKUP(Scores[[#This Row],[MRUN]],Demographics[],3,FALSE)</f>
        <v>5</v>
      </c>
      <c r="J1071">
        <f>AVERAGE(Scores[[#This Row],[LYC]],Scores[[#This Row],[MATE]])</f>
        <v>513.5</v>
      </c>
      <c r="K1071">
        <f>VLOOKUP(Scores[[#This Row],[MRUN]],Demographics[],6,FALSE)</f>
        <v>7</v>
      </c>
      <c r="L1071">
        <f>VLOOKUP(Scores[[#This Row],[MRUN]],Demographics[], 7,FALSE)</f>
        <v>7</v>
      </c>
      <c r="M1071">
        <f>VLOOKUP(Scores[[#This Row],[MRUN]],Demographics[], 5, FALSE)</f>
        <v>1</v>
      </c>
    </row>
    <row r="1072" spans="1:13" hidden="1" x14ac:dyDescent="0.2">
      <c r="A1072" s="1">
        <v>4763519</v>
      </c>
      <c r="B1072">
        <v>2</v>
      </c>
      <c r="C1072">
        <v>2</v>
      </c>
      <c r="D1072">
        <v>538</v>
      </c>
      <c r="E1072">
        <v>561</v>
      </c>
      <c r="F1072">
        <v>517</v>
      </c>
      <c r="G1072">
        <v>602</v>
      </c>
      <c r="H1072">
        <v>0</v>
      </c>
      <c r="I1072">
        <f>VLOOKUP(Scores[[#This Row],[MRUN]],Demographics[],3,FALSE)</f>
        <v>3</v>
      </c>
      <c r="J1072">
        <f>AVERAGE(Scores[[#This Row],[LYC]],Scores[[#This Row],[MATE]])</f>
        <v>539</v>
      </c>
      <c r="K1072">
        <f>VLOOKUP(Scores[[#This Row],[MRUN]],Demographics[],6,FALSE)</f>
        <v>8</v>
      </c>
      <c r="L1072">
        <f>VLOOKUP(Scores[[#This Row],[MRUN]],Demographics[], 7,FALSE)</f>
        <v>4</v>
      </c>
      <c r="M1072">
        <f>VLOOKUP(Scores[[#This Row],[MRUN]],Demographics[], 5, FALSE)</f>
        <v>2</v>
      </c>
    </row>
    <row r="1073" spans="1:13" hidden="1" x14ac:dyDescent="0.2">
      <c r="A1073" s="1">
        <v>12240785</v>
      </c>
      <c r="B1073">
        <v>1</v>
      </c>
      <c r="C1073">
        <v>3</v>
      </c>
      <c r="D1073">
        <v>682</v>
      </c>
      <c r="E1073">
        <v>576</v>
      </c>
      <c r="F1073">
        <v>806</v>
      </c>
      <c r="G1073">
        <v>0</v>
      </c>
      <c r="H1073">
        <v>672</v>
      </c>
      <c r="I1073">
        <f>VLOOKUP(Scores[[#This Row],[MRUN]],Demographics[],3,FALSE)</f>
        <v>2</v>
      </c>
      <c r="J1073">
        <f>AVERAGE(Scores[[#This Row],[LYC]],Scores[[#This Row],[MATE]])</f>
        <v>691</v>
      </c>
      <c r="K1073">
        <f>VLOOKUP(Scores[[#This Row],[MRUN]],Demographics[],6,FALSE)</f>
        <v>4</v>
      </c>
      <c r="L1073">
        <f>VLOOKUP(Scores[[#This Row],[MRUN]],Demographics[], 7,FALSE)</f>
        <v>9</v>
      </c>
      <c r="M1073">
        <f>VLOOKUP(Scores[[#This Row],[MRUN]],Demographics[], 5, FALSE)</f>
        <v>2</v>
      </c>
    </row>
    <row r="1074" spans="1:13" hidden="1" x14ac:dyDescent="0.2">
      <c r="A1074" s="1">
        <v>8069513</v>
      </c>
      <c r="B1074">
        <v>2</v>
      </c>
      <c r="C1074">
        <v>3</v>
      </c>
      <c r="D1074">
        <v>599</v>
      </c>
      <c r="E1074">
        <v>691</v>
      </c>
      <c r="F1074">
        <v>552</v>
      </c>
      <c r="G1074">
        <v>623</v>
      </c>
      <c r="H1074">
        <v>0</v>
      </c>
      <c r="I1074">
        <f>VLOOKUP(Scores[[#This Row],[MRUN]],Demographics[],3,FALSE)</f>
        <v>6</v>
      </c>
      <c r="J1074">
        <f>AVERAGE(Scores[[#This Row],[LYC]],Scores[[#This Row],[MATE]])</f>
        <v>621.5</v>
      </c>
      <c r="K1074">
        <f>VLOOKUP(Scores[[#This Row],[MRUN]],Demographics[],6,FALSE)</f>
        <v>9</v>
      </c>
      <c r="L1074">
        <f>VLOOKUP(Scores[[#This Row],[MRUN]],Demographics[], 7,FALSE)</f>
        <v>9</v>
      </c>
      <c r="M1074">
        <f>VLOOKUP(Scores[[#This Row],[MRUN]],Demographics[], 5, FALSE)</f>
        <v>4</v>
      </c>
    </row>
    <row r="1075" spans="1:13" hidden="1" x14ac:dyDescent="0.2">
      <c r="A1075" s="1">
        <v>490773</v>
      </c>
      <c r="B1075">
        <v>2</v>
      </c>
      <c r="C1075">
        <v>2</v>
      </c>
      <c r="D1075">
        <v>517</v>
      </c>
      <c r="E1075">
        <v>458</v>
      </c>
      <c r="F1075">
        <v>376</v>
      </c>
      <c r="G1075">
        <v>0</v>
      </c>
      <c r="H1075">
        <v>439</v>
      </c>
      <c r="I1075">
        <f>VLOOKUP(Scores[[#This Row],[MRUN]],Demographics[],3,FALSE)</f>
        <v>5</v>
      </c>
      <c r="J1075">
        <f>AVERAGE(Scores[[#This Row],[LYC]],Scores[[#This Row],[MATE]])</f>
        <v>417</v>
      </c>
      <c r="K1075">
        <f>VLOOKUP(Scores[[#This Row],[MRUN]],Demographics[],6,FALSE)</f>
        <v>4</v>
      </c>
      <c r="L1075">
        <f>VLOOKUP(Scores[[#This Row],[MRUN]],Demographics[], 7,FALSE)</f>
        <v>4</v>
      </c>
      <c r="M1075">
        <f>VLOOKUP(Scores[[#This Row],[MRUN]],Demographics[], 5, FALSE)</f>
        <v>1</v>
      </c>
    </row>
    <row r="1076" spans="1:13" hidden="1" x14ac:dyDescent="0.2">
      <c r="A1076" s="1">
        <v>7967901</v>
      </c>
      <c r="B1076">
        <v>1</v>
      </c>
      <c r="C1076">
        <v>3</v>
      </c>
      <c r="D1076">
        <v>661</v>
      </c>
      <c r="E1076">
        <v>757</v>
      </c>
      <c r="F1076">
        <v>705</v>
      </c>
      <c r="G1076">
        <v>0</v>
      </c>
      <c r="H1076">
        <v>562</v>
      </c>
      <c r="I1076">
        <f>VLOOKUP(Scores[[#This Row],[MRUN]],Demographics[],3,FALSE)</f>
        <v>4</v>
      </c>
      <c r="J1076">
        <f>AVERAGE(Scores[[#This Row],[LYC]],Scores[[#This Row],[MATE]])</f>
        <v>731</v>
      </c>
      <c r="K1076">
        <f>VLOOKUP(Scores[[#This Row],[MRUN]],Demographics[],6,FALSE)</f>
        <v>5</v>
      </c>
      <c r="L1076">
        <f>VLOOKUP(Scores[[#This Row],[MRUN]],Demographics[], 7,FALSE)</f>
        <v>5</v>
      </c>
      <c r="M1076">
        <f>VLOOKUP(Scores[[#This Row],[MRUN]],Demographics[], 5, FALSE)</f>
        <v>2</v>
      </c>
    </row>
    <row r="1077" spans="1:13" hidden="1" x14ac:dyDescent="0.2">
      <c r="A1077" s="1">
        <v>21218206</v>
      </c>
      <c r="B1077">
        <v>2</v>
      </c>
      <c r="C1077">
        <v>4</v>
      </c>
      <c r="D1077">
        <v>599</v>
      </c>
      <c r="E1077">
        <v>727</v>
      </c>
      <c r="F1077">
        <v>589</v>
      </c>
      <c r="G1077">
        <v>692</v>
      </c>
      <c r="H1077">
        <v>0</v>
      </c>
      <c r="I1077">
        <f>VLOOKUP(Scores[[#This Row],[MRUN]],Demographics[],3,FALSE)</f>
        <v>5</v>
      </c>
      <c r="J1077">
        <f>AVERAGE(Scores[[#This Row],[LYC]],Scores[[#This Row],[MATE]])</f>
        <v>658</v>
      </c>
      <c r="K1077">
        <f>VLOOKUP(Scores[[#This Row],[MRUN]],Demographics[],6,FALSE)</f>
        <v>5</v>
      </c>
      <c r="L1077">
        <f>VLOOKUP(Scores[[#This Row],[MRUN]],Demographics[], 7,FALSE)</f>
        <v>2</v>
      </c>
      <c r="M1077">
        <f>VLOOKUP(Scores[[#This Row],[MRUN]],Demographics[], 5, FALSE)</f>
        <v>2</v>
      </c>
    </row>
    <row r="1078" spans="1:13" hidden="1" x14ac:dyDescent="0.2">
      <c r="A1078" s="1">
        <v>3696120</v>
      </c>
      <c r="B1078">
        <v>1</v>
      </c>
      <c r="C1078">
        <v>3</v>
      </c>
      <c r="D1078">
        <v>458</v>
      </c>
      <c r="E1078">
        <v>0</v>
      </c>
      <c r="F1078">
        <v>0</v>
      </c>
      <c r="G1078">
        <v>0</v>
      </c>
      <c r="H1078">
        <v>0</v>
      </c>
      <c r="I1078">
        <f>VLOOKUP(Scores[[#This Row],[MRUN]],Demographics[],3,FALSE)</f>
        <v>4</v>
      </c>
      <c r="J1078">
        <f>AVERAGE(Scores[[#This Row],[LYC]],Scores[[#This Row],[MATE]])</f>
        <v>0</v>
      </c>
      <c r="K1078">
        <f>VLOOKUP(Scores[[#This Row],[MRUN]],Demographics[],6,FALSE)</f>
        <v>3</v>
      </c>
      <c r="L1078">
        <f>VLOOKUP(Scores[[#This Row],[MRUN]],Demographics[], 7,FALSE)</f>
        <v>3</v>
      </c>
      <c r="M1078">
        <f>VLOOKUP(Scores[[#This Row],[MRUN]],Demographics[], 5, FALSE)</f>
        <v>1</v>
      </c>
    </row>
    <row r="1079" spans="1:13" hidden="1" x14ac:dyDescent="0.2">
      <c r="A1079" s="1">
        <v>19081461</v>
      </c>
      <c r="B1079">
        <v>2</v>
      </c>
      <c r="C1079">
        <v>4</v>
      </c>
      <c r="D1079">
        <v>579</v>
      </c>
      <c r="E1079">
        <v>629</v>
      </c>
      <c r="F1079">
        <v>606</v>
      </c>
      <c r="G1079">
        <v>684</v>
      </c>
      <c r="H1079">
        <v>0</v>
      </c>
      <c r="I1079">
        <f>VLOOKUP(Scores[[#This Row],[MRUN]],Demographics[],3,FALSE)</f>
        <v>0</v>
      </c>
      <c r="J1079">
        <f>AVERAGE(Scores[[#This Row],[LYC]],Scores[[#This Row],[MATE]])</f>
        <v>617.5</v>
      </c>
      <c r="K1079">
        <f>VLOOKUP(Scores[[#This Row],[MRUN]],Demographics[],6,FALSE)</f>
        <v>0</v>
      </c>
      <c r="L1079">
        <f>VLOOKUP(Scores[[#This Row],[MRUN]],Demographics[], 7,FALSE)</f>
        <v>0</v>
      </c>
      <c r="M1079">
        <f>VLOOKUP(Scores[[#This Row],[MRUN]],Demographics[], 5, FALSE)</f>
        <v>2</v>
      </c>
    </row>
    <row r="1080" spans="1:13" hidden="1" x14ac:dyDescent="0.2">
      <c r="A1080" s="1">
        <v>6467706</v>
      </c>
      <c r="B1080">
        <v>2</v>
      </c>
      <c r="C1080">
        <v>2</v>
      </c>
      <c r="D1080">
        <v>661</v>
      </c>
      <c r="E1080">
        <v>547</v>
      </c>
      <c r="F1080">
        <v>644</v>
      </c>
      <c r="G1080">
        <v>454</v>
      </c>
      <c r="H1080">
        <v>475</v>
      </c>
      <c r="I1080">
        <f>VLOOKUP(Scores[[#This Row],[MRUN]],Demographics[],3,FALSE)</f>
        <v>3</v>
      </c>
      <c r="J1080">
        <f>AVERAGE(Scores[[#This Row],[LYC]],Scores[[#This Row],[MATE]])</f>
        <v>595.5</v>
      </c>
      <c r="K1080">
        <f>VLOOKUP(Scores[[#This Row],[MRUN]],Demographics[],6,FALSE)</f>
        <v>2</v>
      </c>
      <c r="L1080">
        <f>VLOOKUP(Scores[[#This Row],[MRUN]],Demographics[], 7,FALSE)</f>
        <v>5</v>
      </c>
      <c r="M1080">
        <f>VLOOKUP(Scores[[#This Row],[MRUN]],Demographics[], 5, FALSE)</f>
        <v>1</v>
      </c>
    </row>
    <row r="1081" spans="1:13" hidden="1" x14ac:dyDescent="0.2">
      <c r="A1081" s="1">
        <v>12673412</v>
      </c>
      <c r="B1081">
        <v>2</v>
      </c>
      <c r="C1081">
        <v>4</v>
      </c>
      <c r="D1081">
        <v>661</v>
      </c>
      <c r="E1081">
        <v>596</v>
      </c>
      <c r="F1081">
        <v>579</v>
      </c>
      <c r="G1081">
        <v>0</v>
      </c>
      <c r="H1081">
        <v>639</v>
      </c>
      <c r="I1081">
        <f>VLOOKUP(Scores[[#This Row],[MRUN]],Demographics[],3,FALSE)</f>
        <v>4</v>
      </c>
      <c r="J1081">
        <f>AVERAGE(Scores[[#This Row],[LYC]],Scores[[#This Row],[MATE]])</f>
        <v>587.5</v>
      </c>
      <c r="K1081">
        <f>VLOOKUP(Scores[[#This Row],[MRUN]],Demographics[],6,FALSE)</f>
        <v>9</v>
      </c>
      <c r="L1081">
        <f>VLOOKUP(Scores[[#This Row],[MRUN]],Demographics[], 7,FALSE)</f>
        <v>10</v>
      </c>
      <c r="M1081">
        <f>VLOOKUP(Scores[[#This Row],[MRUN]],Demographics[], 5, FALSE)</f>
        <v>1</v>
      </c>
    </row>
    <row r="1082" spans="1:13" hidden="1" x14ac:dyDescent="0.2">
      <c r="A1082" s="1">
        <v>20150373</v>
      </c>
      <c r="B1082">
        <v>2</v>
      </c>
      <c r="C1082">
        <v>4</v>
      </c>
      <c r="D1082">
        <v>620</v>
      </c>
      <c r="E1082">
        <v>571</v>
      </c>
      <c r="F1082">
        <v>609</v>
      </c>
      <c r="G1082">
        <v>592</v>
      </c>
      <c r="H1082">
        <v>0</v>
      </c>
      <c r="I1082">
        <f>VLOOKUP(Scores[[#This Row],[MRUN]],Demographics[],3,FALSE)</f>
        <v>5</v>
      </c>
      <c r="J1082">
        <f>AVERAGE(Scores[[#This Row],[LYC]],Scores[[#This Row],[MATE]])</f>
        <v>590</v>
      </c>
      <c r="K1082">
        <f>VLOOKUP(Scores[[#This Row],[MRUN]],Demographics[],6,FALSE)</f>
        <v>9</v>
      </c>
      <c r="L1082">
        <f>VLOOKUP(Scores[[#This Row],[MRUN]],Demographics[], 7,FALSE)</f>
        <v>5</v>
      </c>
      <c r="M1082">
        <f>VLOOKUP(Scores[[#This Row],[MRUN]],Demographics[], 5, FALSE)</f>
        <v>4</v>
      </c>
    </row>
    <row r="1083" spans="1:13" hidden="1" x14ac:dyDescent="0.2">
      <c r="A1083" s="1">
        <v>1024957</v>
      </c>
      <c r="B1083">
        <v>2</v>
      </c>
      <c r="C1083">
        <v>4</v>
      </c>
      <c r="D1083">
        <v>538</v>
      </c>
      <c r="E1083">
        <v>586</v>
      </c>
      <c r="F1083">
        <v>564</v>
      </c>
      <c r="G1083">
        <v>597</v>
      </c>
      <c r="H1083">
        <v>0</v>
      </c>
      <c r="I1083">
        <f>VLOOKUP(Scores[[#This Row],[MRUN]],Demographics[],3,FALSE)</f>
        <v>5</v>
      </c>
      <c r="J1083">
        <f>AVERAGE(Scores[[#This Row],[LYC]],Scores[[#This Row],[MATE]])</f>
        <v>575</v>
      </c>
      <c r="K1083">
        <f>VLOOKUP(Scores[[#This Row],[MRUN]],Demographics[],6,FALSE)</f>
        <v>8</v>
      </c>
      <c r="L1083">
        <f>VLOOKUP(Scores[[#This Row],[MRUN]],Demographics[], 7,FALSE)</f>
        <v>9</v>
      </c>
      <c r="M1083">
        <f>VLOOKUP(Scores[[#This Row],[MRUN]],Demographics[], 5, FALSE)</f>
        <v>3</v>
      </c>
    </row>
    <row r="1084" spans="1:13" hidden="1" x14ac:dyDescent="0.2">
      <c r="A1084" s="1">
        <v>12774489</v>
      </c>
      <c r="B1084">
        <v>1</v>
      </c>
      <c r="C1084">
        <v>2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f>VLOOKUP(Scores[[#This Row],[MRUN]],Demographics[],3,FALSE)</f>
        <v>5</v>
      </c>
      <c r="J1084">
        <f>AVERAGE(Scores[[#This Row],[LYC]],Scores[[#This Row],[MATE]])</f>
        <v>0</v>
      </c>
      <c r="K1084">
        <f>VLOOKUP(Scores[[#This Row],[MRUN]],Demographics[],6,FALSE)</f>
        <v>5</v>
      </c>
      <c r="L1084">
        <f>VLOOKUP(Scores[[#This Row],[MRUN]],Demographics[], 7,FALSE)</f>
        <v>9</v>
      </c>
      <c r="M1084">
        <f>VLOOKUP(Scores[[#This Row],[MRUN]],Demographics[], 5, FALSE)</f>
        <v>1</v>
      </c>
    </row>
    <row r="1085" spans="1:13" hidden="1" x14ac:dyDescent="0.2">
      <c r="A1085" s="1">
        <v>22921833</v>
      </c>
      <c r="B1085">
        <v>2</v>
      </c>
      <c r="C1085">
        <v>3</v>
      </c>
      <c r="D1085">
        <v>496</v>
      </c>
      <c r="E1085">
        <v>415</v>
      </c>
      <c r="F1085">
        <v>596</v>
      </c>
      <c r="G1085">
        <v>0</v>
      </c>
      <c r="H1085">
        <v>523</v>
      </c>
      <c r="I1085">
        <f>VLOOKUP(Scores[[#This Row],[MRUN]],Demographics[],3,FALSE)</f>
        <v>5</v>
      </c>
      <c r="J1085">
        <f>AVERAGE(Scores[[#This Row],[LYC]],Scores[[#This Row],[MATE]])</f>
        <v>505.5</v>
      </c>
      <c r="K1085">
        <f>VLOOKUP(Scores[[#This Row],[MRUN]],Demographics[],6,FALSE)</f>
        <v>5</v>
      </c>
      <c r="L1085">
        <f>VLOOKUP(Scores[[#This Row],[MRUN]],Demographics[], 7,FALSE)</f>
        <v>5</v>
      </c>
      <c r="M1085">
        <f>VLOOKUP(Scores[[#This Row],[MRUN]],Demographics[], 5, FALSE)</f>
        <v>1</v>
      </c>
    </row>
    <row r="1086" spans="1:13" hidden="1" x14ac:dyDescent="0.2">
      <c r="A1086" s="1">
        <v>2526723</v>
      </c>
      <c r="B1086">
        <v>2</v>
      </c>
      <c r="C1086">
        <v>3</v>
      </c>
      <c r="D1086">
        <v>662</v>
      </c>
      <c r="E1086">
        <v>458</v>
      </c>
      <c r="F1086">
        <v>300</v>
      </c>
      <c r="G1086">
        <v>531</v>
      </c>
      <c r="H1086">
        <v>0</v>
      </c>
      <c r="I1086">
        <f>VLOOKUP(Scores[[#This Row],[MRUN]],Demographics[],3,FALSE)</f>
        <v>4</v>
      </c>
      <c r="J1086">
        <f>AVERAGE(Scores[[#This Row],[LYC]],Scores[[#This Row],[MATE]])</f>
        <v>379</v>
      </c>
      <c r="K1086">
        <f>VLOOKUP(Scores[[#This Row],[MRUN]],Demographics[],6,FALSE)</f>
        <v>0</v>
      </c>
      <c r="L1086">
        <f>VLOOKUP(Scores[[#This Row],[MRUN]],Demographics[], 7,FALSE)</f>
        <v>2</v>
      </c>
      <c r="M1086">
        <f>VLOOKUP(Scores[[#This Row],[MRUN]],Demographics[], 5, FALSE)</f>
        <v>1</v>
      </c>
    </row>
    <row r="1087" spans="1:13" hidden="1" x14ac:dyDescent="0.2">
      <c r="A1087" s="1">
        <v>11605555</v>
      </c>
      <c r="B1087">
        <v>2</v>
      </c>
      <c r="C1087">
        <v>3</v>
      </c>
      <c r="D1087">
        <v>538</v>
      </c>
      <c r="E1087">
        <v>499</v>
      </c>
      <c r="F1087">
        <v>494</v>
      </c>
      <c r="G1087">
        <v>531</v>
      </c>
      <c r="H1087">
        <v>0</v>
      </c>
      <c r="I1087">
        <f>VLOOKUP(Scores[[#This Row],[MRUN]],Demographics[],3,FALSE)</f>
        <v>2</v>
      </c>
      <c r="J1087">
        <f>AVERAGE(Scores[[#This Row],[LYC]],Scores[[#This Row],[MATE]])</f>
        <v>496.5</v>
      </c>
      <c r="K1087">
        <f>VLOOKUP(Scores[[#This Row],[MRUN]],Demographics[],6,FALSE)</f>
        <v>4</v>
      </c>
      <c r="L1087">
        <f>VLOOKUP(Scores[[#This Row],[MRUN]],Demographics[], 7,FALSE)</f>
        <v>5</v>
      </c>
      <c r="M1087">
        <f>VLOOKUP(Scores[[#This Row],[MRUN]],Demographics[], 5, FALSE)</f>
        <v>1</v>
      </c>
    </row>
    <row r="1088" spans="1:13" hidden="1" x14ac:dyDescent="0.2">
      <c r="A1088" s="1">
        <v>24855794</v>
      </c>
      <c r="B1088">
        <v>1</v>
      </c>
      <c r="C1088">
        <v>3</v>
      </c>
      <c r="D1088">
        <v>435</v>
      </c>
      <c r="E1088">
        <v>602</v>
      </c>
      <c r="F1088">
        <v>506</v>
      </c>
      <c r="G1088">
        <v>628</v>
      </c>
      <c r="H1088">
        <v>0</v>
      </c>
      <c r="I1088">
        <f>VLOOKUP(Scores[[#This Row],[MRUN]],Demographics[],3,FALSE)</f>
        <v>4</v>
      </c>
      <c r="J1088">
        <f>AVERAGE(Scores[[#This Row],[LYC]],Scores[[#This Row],[MATE]])</f>
        <v>554</v>
      </c>
      <c r="K1088">
        <f>VLOOKUP(Scores[[#This Row],[MRUN]],Demographics[],6,FALSE)</f>
        <v>9</v>
      </c>
      <c r="L1088">
        <f>VLOOKUP(Scores[[#This Row],[MRUN]],Demographics[], 7,FALSE)</f>
        <v>9</v>
      </c>
      <c r="M1088">
        <f>VLOOKUP(Scores[[#This Row],[MRUN]],Demographics[], 5, FALSE)</f>
        <v>2</v>
      </c>
    </row>
    <row r="1089" spans="1:13" hidden="1" x14ac:dyDescent="0.2">
      <c r="A1089" s="1">
        <v>13944280</v>
      </c>
      <c r="B1089">
        <v>1</v>
      </c>
      <c r="C1089">
        <v>4</v>
      </c>
      <c r="D1089">
        <v>579</v>
      </c>
      <c r="E1089">
        <v>576</v>
      </c>
      <c r="F1089">
        <v>631</v>
      </c>
      <c r="G1089">
        <v>0</v>
      </c>
      <c r="H1089">
        <v>613</v>
      </c>
      <c r="I1089">
        <f>VLOOKUP(Scores[[#This Row],[MRUN]],Demographics[],3,FALSE)</f>
        <v>4</v>
      </c>
      <c r="J1089">
        <f>AVERAGE(Scores[[#This Row],[LYC]],Scores[[#This Row],[MATE]])</f>
        <v>603.5</v>
      </c>
      <c r="K1089">
        <f>VLOOKUP(Scores[[#This Row],[MRUN]],Demographics[],6,FALSE)</f>
        <v>5</v>
      </c>
      <c r="L1089">
        <f>VLOOKUP(Scores[[#This Row],[MRUN]],Demographics[], 7,FALSE)</f>
        <v>7</v>
      </c>
      <c r="M1089">
        <f>VLOOKUP(Scores[[#This Row],[MRUN]],Demographics[], 5, FALSE)</f>
        <v>2</v>
      </c>
    </row>
    <row r="1090" spans="1:13" hidden="1" x14ac:dyDescent="0.2">
      <c r="A1090" s="1">
        <v>3061086</v>
      </c>
      <c r="B1090">
        <v>1</v>
      </c>
      <c r="C1090">
        <v>2</v>
      </c>
      <c r="D1090">
        <v>335</v>
      </c>
      <c r="E1090">
        <v>444</v>
      </c>
      <c r="F1090">
        <v>472</v>
      </c>
      <c r="G1090">
        <v>490</v>
      </c>
      <c r="H1090">
        <v>0</v>
      </c>
      <c r="I1090">
        <f>VLOOKUP(Scores[[#This Row],[MRUN]],Demographics[],3,FALSE)</f>
        <v>4</v>
      </c>
      <c r="J1090">
        <f>AVERAGE(Scores[[#This Row],[LYC]],Scores[[#This Row],[MATE]])</f>
        <v>458</v>
      </c>
      <c r="K1090">
        <f>VLOOKUP(Scores[[#This Row],[MRUN]],Demographics[],6,FALSE)</f>
        <v>5</v>
      </c>
      <c r="L1090">
        <f>VLOOKUP(Scores[[#This Row],[MRUN]],Demographics[], 7,FALSE)</f>
        <v>5</v>
      </c>
      <c r="M1090">
        <f>VLOOKUP(Scores[[#This Row],[MRUN]],Demographics[], 5, FALSE)</f>
        <v>1</v>
      </c>
    </row>
    <row r="1091" spans="1:13" hidden="1" x14ac:dyDescent="0.2">
      <c r="A1091" s="1">
        <v>8935147</v>
      </c>
      <c r="B1091">
        <v>1</v>
      </c>
      <c r="C1091">
        <v>3</v>
      </c>
      <c r="D1091">
        <v>764</v>
      </c>
      <c r="E1091">
        <v>648</v>
      </c>
      <c r="F1091">
        <v>750</v>
      </c>
      <c r="G1091">
        <v>0</v>
      </c>
      <c r="H1091">
        <v>746</v>
      </c>
      <c r="I1091">
        <f>VLOOKUP(Scores[[#This Row],[MRUN]],Demographics[],3,FALSE)</f>
        <v>5</v>
      </c>
      <c r="J1091">
        <f>AVERAGE(Scores[[#This Row],[LYC]],Scores[[#This Row],[MATE]])</f>
        <v>699</v>
      </c>
      <c r="K1091">
        <f>VLOOKUP(Scores[[#This Row],[MRUN]],Demographics[],6,FALSE)</f>
        <v>9</v>
      </c>
      <c r="L1091">
        <f>VLOOKUP(Scores[[#This Row],[MRUN]],Demographics[], 7,FALSE)</f>
        <v>9</v>
      </c>
      <c r="M1091">
        <f>VLOOKUP(Scores[[#This Row],[MRUN]],Demographics[], 5, FALSE)</f>
        <v>4</v>
      </c>
    </row>
    <row r="1092" spans="1:13" hidden="1" x14ac:dyDescent="0.2">
      <c r="A1092" s="1">
        <v>9137965</v>
      </c>
      <c r="B1092">
        <v>1</v>
      </c>
      <c r="C1092">
        <v>3</v>
      </c>
      <c r="D1092">
        <v>558</v>
      </c>
      <c r="E1092">
        <v>683</v>
      </c>
      <c r="F1092">
        <v>614</v>
      </c>
      <c r="G1092">
        <v>634</v>
      </c>
      <c r="H1092">
        <v>0</v>
      </c>
      <c r="I1092">
        <f>VLOOKUP(Scores[[#This Row],[MRUN]],Demographics[],3,FALSE)</f>
        <v>2</v>
      </c>
      <c r="J1092">
        <f>AVERAGE(Scores[[#This Row],[LYC]],Scores[[#This Row],[MATE]])</f>
        <v>648.5</v>
      </c>
      <c r="K1092">
        <f>VLOOKUP(Scores[[#This Row],[MRUN]],Demographics[],6,FALSE)</f>
        <v>9</v>
      </c>
      <c r="L1092">
        <f>VLOOKUP(Scores[[#This Row],[MRUN]],Demographics[], 7,FALSE)</f>
        <v>6</v>
      </c>
      <c r="M1092">
        <f>VLOOKUP(Scores[[#This Row],[MRUN]],Demographics[], 5, FALSE)</f>
        <v>2</v>
      </c>
    </row>
    <row r="1093" spans="1:13" hidden="1" x14ac:dyDescent="0.2">
      <c r="A1093" s="1">
        <v>14910615</v>
      </c>
      <c r="B1093">
        <v>1</v>
      </c>
      <c r="C1093">
        <v>3</v>
      </c>
      <c r="D1093">
        <v>538</v>
      </c>
      <c r="E1093">
        <v>551</v>
      </c>
      <c r="F1093">
        <v>582</v>
      </c>
      <c r="G1093">
        <v>634</v>
      </c>
      <c r="H1093">
        <v>0</v>
      </c>
      <c r="I1093">
        <f>VLOOKUP(Scores[[#This Row],[MRUN]],Demographics[],3,FALSE)</f>
        <v>4</v>
      </c>
      <c r="J1093">
        <f>AVERAGE(Scores[[#This Row],[LYC]],Scores[[#This Row],[MATE]])</f>
        <v>566.5</v>
      </c>
      <c r="K1093">
        <f>VLOOKUP(Scores[[#This Row],[MRUN]],Demographics[],6,FALSE)</f>
        <v>5</v>
      </c>
      <c r="L1093">
        <f>VLOOKUP(Scores[[#This Row],[MRUN]],Demographics[], 7,FALSE)</f>
        <v>5</v>
      </c>
      <c r="M1093">
        <f>VLOOKUP(Scores[[#This Row],[MRUN]],Demographics[], 5, FALSE)</f>
        <v>1</v>
      </c>
    </row>
    <row r="1094" spans="1:13" hidden="1" x14ac:dyDescent="0.2">
      <c r="A1094" s="1">
        <v>23787678</v>
      </c>
      <c r="B1094">
        <v>1</v>
      </c>
      <c r="C1094">
        <v>4</v>
      </c>
      <c r="D1094">
        <v>599</v>
      </c>
      <c r="E1094">
        <v>613</v>
      </c>
      <c r="F1094">
        <v>705</v>
      </c>
      <c r="G1094">
        <v>0</v>
      </c>
      <c r="H1094">
        <v>767</v>
      </c>
      <c r="I1094">
        <f>VLOOKUP(Scores[[#This Row],[MRUN]],Demographics[],3,FALSE)</f>
        <v>0</v>
      </c>
      <c r="J1094">
        <f>AVERAGE(Scores[[#This Row],[LYC]],Scores[[#This Row],[MATE]])</f>
        <v>659</v>
      </c>
      <c r="K1094">
        <f>VLOOKUP(Scores[[#This Row],[MRUN]],Demographics[],6,FALSE)</f>
        <v>0</v>
      </c>
      <c r="L1094">
        <f>VLOOKUP(Scores[[#This Row],[MRUN]],Demographics[], 7,FALSE)</f>
        <v>0</v>
      </c>
      <c r="M1094">
        <f>VLOOKUP(Scores[[#This Row],[MRUN]],Demographics[], 5, FALSE)</f>
        <v>2</v>
      </c>
    </row>
    <row r="1095" spans="1:13" hidden="1" x14ac:dyDescent="0.2">
      <c r="A1095" s="1">
        <v>5832163</v>
      </c>
      <c r="B1095">
        <v>2</v>
      </c>
      <c r="C1095">
        <v>3</v>
      </c>
      <c r="D1095">
        <v>496</v>
      </c>
      <c r="E1095">
        <v>537</v>
      </c>
      <c r="F1095">
        <v>582</v>
      </c>
      <c r="G1095">
        <v>628</v>
      </c>
      <c r="H1095">
        <v>0</v>
      </c>
      <c r="I1095">
        <f>VLOOKUP(Scores[[#This Row],[MRUN]],Demographics[],3,FALSE)</f>
        <v>5</v>
      </c>
      <c r="J1095">
        <f>AVERAGE(Scores[[#This Row],[LYC]],Scores[[#This Row],[MATE]])</f>
        <v>559.5</v>
      </c>
      <c r="K1095">
        <f>VLOOKUP(Scores[[#This Row],[MRUN]],Demographics[],6,FALSE)</f>
        <v>9</v>
      </c>
      <c r="L1095">
        <f>VLOOKUP(Scores[[#This Row],[MRUN]],Demographics[], 7,FALSE)</f>
        <v>7</v>
      </c>
      <c r="M1095">
        <f>VLOOKUP(Scores[[#This Row],[MRUN]],Demographics[], 5, FALSE)</f>
        <v>2</v>
      </c>
    </row>
    <row r="1096" spans="1:13" hidden="1" x14ac:dyDescent="0.2">
      <c r="A1096" s="1">
        <v>12876124</v>
      </c>
      <c r="B1096">
        <v>1</v>
      </c>
      <c r="C1096">
        <v>4</v>
      </c>
      <c r="D1096">
        <v>661</v>
      </c>
      <c r="E1096">
        <v>537</v>
      </c>
      <c r="F1096">
        <v>728</v>
      </c>
      <c r="G1096">
        <v>0</v>
      </c>
      <c r="H1096">
        <v>613</v>
      </c>
      <c r="I1096">
        <f>VLOOKUP(Scores[[#This Row],[MRUN]],Demographics[],3,FALSE)</f>
        <v>3</v>
      </c>
      <c r="J1096">
        <f>AVERAGE(Scores[[#This Row],[LYC]],Scores[[#This Row],[MATE]])</f>
        <v>632.5</v>
      </c>
      <c r="K1096">
        <f>VLOOKUP(Scores[[#This Row],[MRUN]],Demographics[],6,FALSE)</f>
        <v>0</v>
      </c>
      <c r="L1096">
        <f>VLOOKUP(Scores[[#This Row],[MRUN]],Demographics[], 7,FALSE)</f>
        <v>5</v>
      </c>
      <c r="M1096">
        <f>VLOOKUP(Scores[[#This Row],[MRUN]],Demographics[], 5, FALSE)</f>
        <v>1</v>
      </c>
    </row>
    <row r="1097" spans="1:13" hidden="1" x14ac:dyDescent="0.2">
      <c r="A1097" s="1">
        <v>11274374</v>
      </c>
      <c r="B1097">
        <v>2</v>
      </c>
      <c r="C1097">
        <v>3</v>
      </c>
      <c r="D1097">
        <v>599</v>
      </c>
      <c r="E1097">
        <v>636</v>
      </c>
      <c r="F1097">
        <v>536</v>
      </c>
      <c r="G1097">
        <v>617</v>
      </c>
      <c r="H1097">
        <v>571</v>
      </c>
      <c r="I1097">
        <f>VLOOKUP(Scores[[#This Row],[MRUN]],Demographics[],3,FALSE)</f>
        <v>7</v>
      </c>
      <c r="J1097">
        <f>AVERAGE(Scores[[#This Row],[LYC]],Scores[[#This Row],[MATE]])</f>
        <v>586</v>
      </c>
      <c r="K1097">
        <f>VLOOKUP(Scores[[#This Row],[MRUN]],Demographics[],6,FALSE)</f>
        <v>8</v>
      </c>
      <c r="L1097">
        <f>VLOOKUP(Scores[[#This Row],[MRUN]],Demographics[], 7,FALSE)</f>
        <v>9</v>
      </c>
      <c r="M1097">
        <f>VLOOKUP(Scores[[#This Row],[MRUN]],Demographics[], 5, FALSE)</f>
        <v>2</v>
      </c>
    </row>
    <row r="1098" spans="1:13" hidden="1" x14ac:dyDescent="0.2">
      <c r="A1098" s="1">
        <v>57780</v>
      </c>
      <c r="B1098">
        <v>2</v>
      </c>
      <c r="C1098">
        <v>3</v>
      </c>
      <c r="D1098">
        <v>455</v>
      </c>
      <c r="E1098">
        <v>438</v>
      </c>
      <c r="F1098">
        <v>487</v>
      </c>
      <c r="G1098">
        <v>436</v>
      </c>
      <c r="H1098">
        <v>0</v>
      </c>
      <c r="I1098">
        <f>VLOOKUP(Scores[[#This Row],[MRUN]],Demographics[],3,FALSE)</f>
        <v>4</v>
      </c>
      <c r="J1098">
        <f>AVERAGE(Scores[[#This Row],[LYC]],Scores[[#This Row],[MATE]])</f>
        <v>462.5</v>
      </c>
      <c r="K1098">
        <f>VLOOKUP(Scores[[#This Row],[MRUN]],Demographics[],6,FALSE)</f>
        <v>5</v>
      </c>
      <c r="L1098">
        <f>VLOOKUP(Scores[[#This Row],[MRUN]],Demographics[], 7,FALSE)</f>
        <v>7</v>
      </c>
      <c r="M1098">
        <f>VLOOKUP(Scores[[#This Row],[MRUN]],Demographics[], 5, FALSE)</f>
        <v>2</v>
      </c>
    </row>
    <row r="1099" spans="1:13" hidden="1" x14ac:dyDescent="0.2">
      <c r="A1099" s="1">
        <v>3595296</v>
      </c>
      <c r="B1099">
        <v>2</v>
      </c>
      <c r="C1099">
        <v>2</v>
      </c>
      <c r="D1099">
        <v>599</v>
      </c>
      <c r="E1099">
        <v>516</v>
      </c>
      <c r="F1099">
        <v>568</v>
      </c>
      <c r="G1099">
        <v>0</v>
      </c>
      <c r="H1099">
        <v>449</v>
      </c>
      <c r="I1099">
        <f>VLOOKUP(Scores[[#This Row],[MRUN]],Demographics[],3,FALSE)</f>
        <v>3</v>
      </c>
      <c r="J1099">
        <f>AVERAGE(Scores[[#This Row],[LYC]],Scores[[#This Row],[MATE]])</f>
        <v>542</v>
      </c>
      <c r="K1099">
        <f>VLOOKUP(Scores[[#This Row],[MRUN]],Demographics[],6,FALSE)</f>
        <v>6</v>
      </c>
      <c r="L1099">
        <f>VLOOKUP(Scores[[#This Row],[MRUN]],Demographics[], 7,FALSE)</f>
        <v>4</v>
      </c>
      <c r="M1099">
        <f>VLOOKUP(Scores[[#This Row],[MRUN]],Demographics[], 5, FALSE)</f>
        <v>1</v>
      </c>
    </row>
    <row r="1100" spans="1:13" hidden="1" x14ac:dyDescent="0.2">
      <c r="A1100" s="1">
        <v>8502123</v>
      </c>
      <c r="B1100">
        <v>2</v>
      </c>
      <c r="C1100">
        <v>2</v>
      </c>
      <c r="D1100">
        <v>437</v>
      </c>
      <c r="E1100">
        <v>541</v>
      </c>
      <c r="F1100">
        <v>463</v>
      </c>
      <c r="G1100">
        <v>552</v>
      </c>
      <c r="H1100">
        <v>459</v>
      </c>
      <c r="I1100">
        <f>VLOOKUP(Scores[[#This Row],[MRUN]],Demographics[],3,FALSE)</f>
        <v>5</v>
      </c>
      <c r="J1100">
        <f>AVERAGE(Scores[[#This Row],[LYC]],Scores[[#This Row],[MATE]])</f>
        <v>502</v>
      </c>
      <c r="K1100">
        <f>VLOOKUP(Scores[[#This Row],[MRUN]],Demographics[],6,FALSE)</f>
        <v>7</v>
      </c>
      <c r="L1100">
        <f>VLOOKUP(Scores[[#This Row],[MRUN]],Demographics[], 7,FALSE)</f>
        <v>5</v>
      </c>
      <c r="M1100">
        <f>VLOOKUP(Scores[[#This Row],[MRUN]],Demographics[], 5, FALSE)</f>
        <v>1</v>
      </c>
    </row>
    <row r="1101" spans="1:13" hidden="1" x14ac:dyDescent="0.2">
      <c r="A1101" s="1">
        <v>9469344</v>
      </c>
      <c r="B1101">
        <v>1</v>
      </c>
      <c r="C1101">
        <v>2</v>
      </c>
      <c r="D1101">
        <v>517</v>
      </c>
      <c r="E1101">
        <v>602</v>
      </c>
      <c r="F1101">
        <v>545</v>
      </c>
      <c r="G1101">
        <v>541</v>
      </c>
      <c r="H1101">
        <v>0</v>
      </c>
      <c r="I1101">
        <f>VLOOKUP(Scores[[#This Row],[MRUN]],Demographics[],3,FALSE)</f>
        <v>3</v>
      </c>
      <c r="J1101">
        <f>AVERAGE(Scores[[#This Row],[LYC]],Scores[[#This Row],[MATE]])</f>
        <v>573.5</v>
      </c>
      <c r="K1101">
        <f>VLOOKUP(Scores[[#This Row],[MRUN]],Demographics[],6,FALSE)</f>
        <v>9</v>
      </c>
      <c r="L1101">
        <f>VLOOKUP(Scores[[#This Row],[MRUN]],Demographics[], 7,FALSE)</f>
        <v>9</v>
      </c>
      <c r="M1101">
        <f>VLOOKUP(Scores[[#This Row],[MRUN]],Demographics[], 5, FALSE)</f>
        <v>2</v>
      </c>
    </row>
    <row r="1102" spans="1:13" hidden="1" x14ac:dyDescent="0.2">
      <c r="A1102" s="1">
        <v>24956551</v>
      </c>
      <c r="B1102">
        <v>2</v>
      </c>
      <c r="C1102">
        <v>3</v>
      </c>
      <c r="D1102">
        <v>641</v>
      </c>
      <c r="E1102">
        <v>483</v>
      </c>
      <c r="F1102">
        <v>564</v>
      </c>
      <c r="G1102">
        <v>0</v>
      </c>
      <c r="H1102">
        <v>558</v>
      </c>
      <c r="I1102">
        <f>VLOOKUP(Scores[[#This Row],[MRUN]],Demographics[],3,FALSE)</f>
        <v>6</v>
      </c>
      <c r="J1102">
        <f>AVERAGE(Scores[[#This Row],[LYC]],Scores[[#This Row],[MATE]])</f>
        <v>523.5</v>
      </c>
      <c r="K1102">
        <f>VLOOKUP(Scores[[#This Row],[MRUN]],Demographics[],6,FALSE)</f>
        <v>3</v>
      </c>
      <c r="L1102">
        <f>VLOOKUP(Scores[[#This Row],[MRUN]],Demographics[], 7,FALSE)</f>
        <v>5</v>
      </c>
      <c r="M1102">
        <f>VLOOKUP(Scores[[#This Row],[MRUN]],Demographics[], 5, FALSE)</f>
        <v>1</v>
      </c>
    </row>
    <row r="1103" spans="1:13" hidden="1" x14ac:dyDescent="0.2">
      <c r="A1103" s="1">
        <v>924241</v>
      </c>
      <c r="B1103">
        <v>2</v>
      </c>
      <c r="C1103">
        <v>4</v>
      </c>
      <c r="D1103">
        <v>558</v>
      </c>
      <c r="E1103">
        <v>557</v>
      </c>
      <c r="F1103">
        <v>549</v>
      </c>
      <c r="G1103">
        <v>578</v>
      </c>
      <c r="H1103">
        <v>0</v>
      </c>
      <c r="I1103">
        <f>VLOOKUP(Scores[[#This Row],[MRUN]],Demographics[],3,FALSE)</f>
        <v>5</v>
      </c>
      <c r="J1103">
        <f>AVERAGE(Scores[[#This Row],[LYC]],Scores[[#This Row],[MATE]])</f>
        <v>553</v>
      </c>
      <c r="K1103">
        <f>VLOOKUP(Scores[[#This Row],[MRUN]],Demographics[],6,FALSE)</f>
        <v>6</v>
      </c>
      <c r="L1103">
        <f>VLOOKUP(Scores[[#This Row],[MRUN]],Demographics[], 7,FALSE)</f>
        <v>7</v>
      </c>
      <c r="M1103">
        <f>VLOOKUP(Scores[[#This Row],[MRUN]],Demographics[], 5, FALSE)</f>
        <v>2</v>
      </c>
    </row>
    <row r="1104" spans="1:13" hidden="1" x14ac:dyDescent="0.2">
      <c r="A1104" s="1">
        <v>8069512</v>
      </c>
      <c r="B1104">
        <v>1</v>
      </c>
      <c r="C1104">
        <v>2</v>
      </c>
      <c r="D1104">
        <v>620</v>
      </c>
      <c r="E1104">
        <v>488</v>
      </c>
      <c r="F1104">
        <v>376</v>
      </c>
      <c r="G1104">
        <v>466</v>
      </c>
      <c r="H1104">
        <v>0</v>
      </c>
      <c r="I1104">
        <f>VLOOKUP(Scores[[#This Row],[MRUN]],Demographics[],3,FALSE)</f>
        <v>4</v>
      </c>
      <c r="J1104">
        <f>AVERAGE(Scores[[#This Row],[LYC]],Scores[[#This Row],[MATE]])</f>
        <v>432</v>
      </c>
      <c r="K1104">
        <f>VLOOKUP(Scores[[#This Row],[MRUN]],Demographics[],6,FALSE)</f>
        <v>5</v>
      </c>
      <c r="L1104">
        <f>VLOOKUP(Scores[[#This Row],[MRUN]],Demographics[], 7,FALSE)</f>
        <v>5</v>
      </c>
      <c r="M1104">
        <f>VLOOKUP(Scores[[#This Row],[MRUN]],Demographics[], 5, FALSE)</f>
        <v>1</v>
      </c>
    </row>
    <row r="1105" spans="1:13" hidden="1" x14ac:dyDescent="0.2">
      <c r="A1105" s="1">
        <v>21218207</v>
      </c>
      <c r="B1105">
        <v>2</v>
      </c>
      <c r="C1105">
        <v>2</v>
      </c>
      <c r="D1105">
        <v>702</v>
      </c>
      <c r="E1105">
        <v>668</v>
      </c>
      <c r="F1105">
        <v>582</v>
      </c>
      <c r="G1105">
        <v>714</v>
      </c>
      <c r="H1105">
        <v>0</v>
      </c>
      <c r="I1105">
        <f>VLOOKUP(Scores[[#This Row],[MRUN]],Demographics[],3,FALSE)</f>
        <v>5</v>
      </c>
      <c r="J1105">
        <f>AVERAGE(Scores[[#This Row],[LYC]],Scores[[#This Row],[MATE]])</f>
        <v>625</v>
      </c>
      <c r="K1105">
        <f>VLOOKUP(Scores[[#This Row],[MRUN]],Demographics[],6,FALSE)</f>
        <v>5</v>
      </c>
      <c r="L1105">
        <f>VLOOKUP(Scores[[#This Row],[MRUN]],Demographics[], 7,FALSE)</f>
        <v>5</v>
      </c>
      <c r="M1105">
        <f>VLOOKUP(Scores[[#This Row],[MRUN]],Demographics[], 5, FALSE)</f>
        <v>1</v>
      </c>
    </row>
    <row r="1106" spans="1:13" hidden="1" x14ac:dyDescent="0.2">
      <c r="A1106" s="1">
        <v>10739894</v>
      </c>
      <c r="B1106">
        <v>2</v>
      </c>
      <c r="C1106">
        <v>2</v>
      </c>
      <c r="D1106">
        <v>519</v>
      </c>
      <c r="E1106">
        <v>0</v>
      </c>
      <c r="F1106">
        <v>0</v>
      </c>
      <c r="G1106">
        <v>0</v>
      </c>
      <c r="H1106">
        <v>0</v>
      </c>
      <c r="I1106">
        <f>VLOOKUP(Scores[[#This Row],[MRUN]],Demographics[],3,FALSE)</f>
        <v>4</v>
      </c>
      <c r="J1106">
        <f>AVERAGE(Scores[[#This Row],[LYC]],Scores[[#This Row],[MATE]])</f>
        <v>0</v>
      </c>
      <c r="K1106">
        <f>VLOOKUP(Scores[[#This Row],[MRUN]],Demographics[],6,FALSE)</f>
        <v>4</v>
      </c>
      <c r="L1106">
        <f>VLOOKUP(Scores[[#This Row],[MRUN]],Demographics[], 7,FALSE)</f>
        <v>3</v>
      </c>
      <c r="M1106">
        <f>VLOOKUP(Scores[[#This Row],[MRUN]],Demographics[], 5, FALSE)</f>
        <v>1</v>
      </c>
    </row>
    <row r="1107" spans="1:13" hidden="1" x14ac:dyDescent="0.2">
      <c r="A1107" s="1">
        <v>16945282</v>
      </c>
      <c r="B1107">
        <v>1</v>
      </c>
      <c r="C1107">
        <v>3</v>
      </c>
      <c r="D1107">
        <v>558</v>
      </c>
      <c r="E1107">
        <v>547</v>
      </c>
      <c r="F1107">
        <v>719</v>
      </c>
      <c r="G1107">
        <v>592</v>
      </c>
      <c r="H1107">
        <v>606</v>
      </c>
      <c r="I1107">
        <f>VLOOKUP(Scores[[#This Row],[MRUN]],Demographics[],3,FALSE)</f>
        <v>6</v>
      </c>
      <c r="J1107">
        <f>AVERAGE(Scores[[#This Row],[LYC]],Scores[[#This Row],[MATE]])</f>
        <v>633</v>
      </c>
      <c r="K1107">
        <f>VLOOKUP(Scores[[#This Row],[MRUN]],Demographics[],6,FALSE)</f>
        <v>5</v>
      </c>
      <c r="L1107">
        <f>VLOOKUP(Scores[[#This Row],[MRUN]],Demographics[], 7,FALSE)</f>
        <v>7</v>
      </c>
      <c r="M1107">
        <f>VLOOKUP(Scores[[#This Row],[MRUN]],Demographics[], 5, FALSE)</f>
        <v>2</v>
      </c>
    </row>
    <row r="1108" spans="1:13" hidden="1" x14ac:dyDescent="0.2">
      <c r="A1108" s="1">
        <v>2194347</v>
      </c>
      <c r="B1108">
        <v>2</v>
      </c>
      <c r="C1108">
        <v>2</v>
      </c>
      <c r="D1108">
        <v>641</v>
      </c>
      <c r="E1108">
        <v>531</v>
      </c>
      <c r="F1108">
        <v>568</v>
      </c>
      <c r="G1108">
        <v>531</v>
      </c>
      <c r="H1108">
        <v>0</v>
      </c>
      <c r="I1108">
        <f>VLOOKUP(Scores[[#This Row],[MRUN]],Demographics[],3,FALSE)</f>
        <v>5</v>
      </c>
      <c r="J1108">
        <f>AVERAGE(Scores[[#This Row],[LYC]],Scores[[#This Row],[MATE]])</f>
        <v>549.5</v>
      </c>
      <c r="K1108">
        <f>VLOOKUP(Scores[[#This Row],[MRUN]],Demographics[],6,FALSE)</f>
        <v>9</v>
      </c>
      <c r="L1108">
        <f>VLOOKUP(Scores[[#This Row],[MRUN]],Demographics[], 7,FALSE)</f>
        <v>3</v>
      </c>
      <c r="M1108">
        <f>VLOOKUP(Scores[[#This Row],[MRUN]],Demographics[], 5, FALSE)</f>
        <v>1</v>
      </c>
    </row>
    <row r="1109" spans="1:13" hidden="1" x14ac:dyDescent="0.2">
      <c r="A1109" s="1">
        <v>15876835</v>
      </c>
      <c r="B1109">
        <v>2</v>
      </c>
      <c r="C1109">
        <v>2</v>
      </c>
      <c r="D1109">
        <v>661</v>
      </c>
      <c r="E1109">
        <v>586</v>
      </c>
      <c r="F1109">
        <v>536</v>
      </c>
      <c r="G1109">
        <v>537</v>
      </c>
      <c r="H1109">
        <v>0</v>
      </c>
      <c r="I1109">
        <f>VLOOKUP(Scores[[#This Row],[MRUN]],Demographics[],3,FALSE)</f>
        <v>3</v>
      </c>
      <c r="J1109">
        <f>AVERAGE(Scores[[#This Row],[LYC]],Scores[[#This Row],[MATE]])</f>
        <v>561</v>
      </c>
      <c r="K1109">
        <f>VLOOKUP(Scores[[#This Row],[MRUN]],Demographics[],6,FALSE)</f>
        <v>2</v>
      </c>
      <c r="L1109">
        <f>VLOOKUP(Scores[[#This Row],[MRUN]],Demographics[], 7,FALSE)</f>
        <v>5</v>
      </c>
      <c r="M1109">
        <f>VLOOKUP(Scores[[#This Row],[MRUN]],Demographics[], 5, FALSE)</f>
        <v>1</v>
      </c>
    </row>
    <row r="1110" spans="1:13" hidden="1" x14ac:dyDescent="0.2">
      <c r="A1110" s="1">
        <v>5933567</v>
      </c>
      <c r="B1110">
        <v>2</v>
      </c>
      <c r="C1110">
        <v>3</v>
      </c>
      <c r="D1110">
        <v>435</v>
      </c>
      <c r="E1110">
        <v>526</v>
      </c>
      <c r="F1110">
        <v>501</v>
      </c>
      <c r="G1110">
        <v>592</v>
      </c>
      <c r="H1110">
        <v>0</v>
      </c>
      <c r="I1110">
        <f>VLOOKUP(Scores[[#This Row],[MRUN]],Demographics[],3,FALSE)</f>
        <v>6</v>
      </c>
      <c r="J1110">
        <f>AVERAGE(Scores[[#This Row],[LYC]],Scores[[#This Row],[MATE]])</f>
        <v>513.5</v>
      </c>
      <c r="K1110">
        <f>VLOOKUP(Scores[[#This Row],[MRUN]],Demographics[],6,FALSE)</f>
        <v>0</v>
      </c>
      <c r="L1110">
        <f>VLOOKUP(Scores[[#This Row],[MRUN]],Demographics[], 7,FALSE)</f>
        <v>10</v>
      </c>
      <c r="M1110">
        <f>VLOOKUP(Scores[[#This Row],[MRUN]],Demographics[], 5, FALSE)</f>
        <v>1</v>
      </c>
    </row>
    <row r="1111" spans="1:13" hidden="1" x14ac:dyDescent="0.2">
      <c r="A1111" s="1">
        <v>18547067</v>
      </c>
      <c r="B1111">
        <v>2</v>
      </c>
      <c r="C1111">
        <v>2</v>
      </c>
      <c r="D1111">
        <v>560</v>
      </c>
      <c r="E1111">
        <v>430</v>
      </c>
      <c r="F1111">
        <v>428</v>
      </c>
      <c r="G1111">
        <v>442</v>
      </c>
      <c r="H1111">
        <v>0</v>
      </c>
      <c r="I1111">
        <f>VLOOKUP(Scores[[#This Row],[MRUN]],Demographics[],3,FALSE)</f>
        <v>6</v>
      </c>
      <c r="J1111">
        <f>AVERAGE(Scores[[#This Row],[LYC]],Scores[[#This Row],[MATE]])</f>
        <v>429</v>
      </c>
      <c r="K1111">
        <f>VLOOKUP(Scores[[#This Row],[MRUN]],Demographics[],6,FALSE)</f>
        <v>5</v>
      </c>
      <c r="L1111">
        <f>VLOOKUP(Scores[[#This Row],[MRUN]],Demographics[], 7,FALSE)</f>
        <v>4</v>
      </c>
      <c r="M1111">
        <f>VLOOKUP(Scores[[#This Row],[MRUN]],Demographics[], 5, FALSE)</f>
        <v>2</v>
      </c>
    </row>
    <row r="1112" spans="1:13" hidden="1" x14ac:dyDescent="0.2">
      <c r="A1112" s="1">
        <v>24236811</v>
      </c>
      <c r="B1112">
        <v>1</v>
      </c>
      <c r="C1112">
        <v>2</v>
      </c>
      <c r="D1112">
        <v>580</v>
      </c>
      <c r="E1112">
        <v>0</v>
      </c>
      <c r="F1112">
        <v>0</v>
      </c>
      <c r="G1112">
        <v>0</v>
      </c>
      <c r="H1112">
        <v>0</v>
      </c>
      <c r="I1112">
        <f>VLOOKUP(Scores[[#This Row],[MRUN]],Demographics[],3,FALSE)</f>
        <v>3</v>
      </c>
      <c r="J1112">
        <f>AVERAGE(Scores[[#This Row],[LYC]],Scores[[#This Row],[MATE]])</f>
        <v>0</v>
      </c>
      <c r="K1112">
        <f>VLOOKUP(Scores[[#This Row],[MRUN]],Demographics[],6,FALSE)</f>
        <v>2</v>
      </c>
      <c r="L1112">
        <f>VLOOKUP(Scores[[#This Row],[MRUN]],Demographics[], 7,FALSE)</f>
        <v>2</v>
      </c>
      <c r="M1112">
        <f>VLOOKUP(Scores[[#This Row],[MRUN]],Demographics[], 5, FALSE)</f>
        <v>1</v>
      </c>
    </row>
    <row r="1113" spans="1:13" hidden="1" x14ac:dyDescent="0.2">
      <c r="A1113" s="1">
        <v>24135630</v>
      </c>
      <c r="B1113">
        <v>2</v>
      </c>
      <c r="C1113">
        <v>2</v>
      </c>
      <c r="D1113">
        <v>517</v>
      </c>
      <c r="E1113">
        <v>547</v>
      </c>
      <c r="F1113">
        <v>274</v>
      </c>
      <c r="G1113">
        <v>501</v>
      </c>
      <c r="H1113">
        <v>0</v>
      </c>
      <c r="I1113">
        <f>VLOOKUP(Scores[[#This Row],[MRUN]],Demographics[],3,FALSE)</f>
        <v>5</v>
      </c>
      <c r="J1113">
        <f>AVERAGE(Scores[[#This Row],[LYC]],Scores[[#This Row],[MATE]])</f>
        <v>410.5</v>
      </c>
      <c r="K1113">
        <f>VLOOKUP(Scores[[#This Row],[MRUN]],Demographics[],6,FALSE)</f>
        <v>4</v>
      </c>
      <c r="L1113">
        <f>VLOOKUP(Scores[[#This Row],[MRUN]],Demographics[], 7,FALSE)</f>
        <v>2</v>
      </c>
      <c r="M1113">
        <f>VLOOKUP(Scores[[#This Row],[MRUN]],Demographics[], 5, FALSE)</f>
        <v>1</v>
      </c>
    </row>
    <row r="1114" spans="1:13" hidden="1" x14ac:dyDescent="0.2">
      <c r="A1114" s="1">
        <v>1806217</v>
      </c>
      <c r="B1114">
        <v>1</v>
      </c>
      <c r="C1114">
        <v>3</v>
      </c>
      <c r="D1114">
        <v>496</v>
      </c>
      <c r="E1114">
        <v>596</v>
      </c>
      <c r="F1114">
        <v>624</v>
      </c>
      <c r="G1114">
        <v>639</v>
      </c>
      <c r="H1114">
        <v>0</v>
      </c>
      <c r="I1114">
        <f>VLOOKUP(Scores[[#This Row],[MRUN]],Demographics[],3,FALSE)</f>
        <v>4</v>
      </c>
      <c r="J1114">
        <f>AVERAGE(Scores[[#This Row],[LYC]],Scores[[#This Row],[MATE]])</f>
        <v>610</v>
      </c>
      <c r="K1114">
        <f>VLOOKUP(Scores[[#This Row],[MRUN]],Demographics[],6,FALSE)</f>
        <v>8</v>
      </c>
      <c r="L1114">
        <f>VLOOKUP(Scores[[#This Row],[MRUN]],Demographics[], 7,FALSE)</f>
        <v>5</v>
      </c>
      <c r="M1114">
        <f>VLOOKUP(Scores[[#This Row],[MRUN]],Demographics[], 5, FALSE)</f>
        <v>2</v>
      </c>
    </row>
    <row r="1115" spans="1:13" hidden="1" x14ac:dyDescent="0.2">
      <c r="A1115" s="1">
        <v>3611203</v>
      </c>
      <c r="B1115">
        <v>1</v>
      </c>
      <c r="C1115">
        <v>2</v>
      </c>
      <c r="D1115">
        <v>496</v>
      </c>
      <c r="E1115">
        <v>444</v>
      </c>
      <c r="F1115">
        <v>549</v>
      </c>
      <c r="G1115">
        <v>0</v>
      </c>
      <c r="H1115">
        <v>288</v>
      </c>
      <c r="I1115">
        <f>VLOOKUP(Scores[[#This Row],[MRUN]],Demographics[],3,FALSE)</f>
        <v>5</v>
      </c>
      <c r="J1115">
        <f>AVERAGE(Scores[[#This Row],[LYC]],Scores[[#This Row],[MATE]])</f>
        <v>496.5</v>
      </c>
      <c r="K1115">
        <f>VLOOKUP(Scores[[#This Row],[MRUN]],Demographics[],6,FALSE)</f>
        <v>5</v>
      </c>
      <c r="L1115">
        <f>VLOOKUP(Scores[[#This Row],[MRUN]],Demographics[], 7,FALSE)</f>
        <v>4</v>
      </c>
      <c r="M1115">
        <f>VLOOKUP(Scores[[#This Row],[MRUN]],Demographics[], 5, FALSE)</f>
        <v>1</v>
      </c>
    </row>
    <row r="1116" spans="1:13" hidden="1" x14ac:dyDescent="0.2">
      <c r="A1116" s="1">
        <v>940023</v>
      </c>
      <c r="B1116">
        <v>2</v>
      </c>
      <c r="C1116">
        <v>2</v>
      </c>
      <c r="D1116">
        <v>538</v>
      </c>
      <c r="E1116">
        <v>567</v>
      </c>
      <c r="F1116">
        <v>579</v>
      </c>
      <c r="G1116">
        <v>0</v>
      </c>
      <c r="H1116">
        <v>523</v>
      </c>
      <c r="I1116">
        <f>VLOOKUP(Scores[[#This Row],[MRUN]],Demographics[],3,FALSE)</f>
        <v>4</v>
      </c>
      <c r="J1116">
        <f>AVERAGE(Scores[[#This Row],[LYC]],Scores[[#This Row],[MATE]])</f>
        <v>573</v>
      </c>
      <c r="K1116">
        <f>VLOOKUP(Scores[[#This Row],[MRUN]],Demographics[],6,FALSE)</f>
        <v>4</v>
      </c>
      <c r="L1116">
        <f>VLOOKUP(Scores[[#This Row],[MRUN]],Demographics[], 7,FALSE)</f>
        <v>5</v>
      </c>
      <c r="M1116">
        <f>VLOOKUP(Scores[[#This Row],[MRUN]],Demographics[], 5, FALSE)</f>
        <v>1</v>
      </c>
    </row>
    <row r="1117" spans="1:13" hidden="1" x14ac:dyDescent="0.2">
      <c r="A1117" s="1">
        <v>15691656</v>
      </c>
      <c r="B1117">
        <v>2</v>
      </c>
      <c r="C1117">
        <v>2</v>
      </c>
      <c r="D1117">
        <v>499</v>
      </c>
      <c r="E1117">
        <v>499</v>
      </c>
      <c r="F1117">
        <v>463</v>
      </c>
      <c r="G1117">
        <v>436</v>
      </c>
      <c r="H1117">
        <v>0</v>
      </c>
      <c r="I1117">
        <f>VLOOKUP(Scores[[#This Row],[MRUN]],Demographics[],3,FALSE)</f>
        <v>0</v>
      </c>
      <c r="J1117">
        <f>AVERAGE(Scores[[#This Row],[LYC]],Scores[[#This Row],[MATE]])</f>
        <v>481</v>
      </c>
      <c r="K1117">
        <f>VLOOKUP(Scores[[#This Row],[MRUN]],Demographics[],6,FALSE)</f>
        <v>0</v>
      </c>
      <c r="L1117">
        <f>VLOOKUP(Scores[[#This Row],[MRUN]],Demographics[], 7,FALSE)</f>
        <v>0</v>
      </c>
      <c r="M1117">
        <f>VLOOKUP(Scores[[#This Row],[MRUN]],Demographics[], 5, FALSE)</f>
        <v>1</v>
      </c>
    </row>
    <row r="1118" spans="1:13" hidden="1" x14ac:dyDescent="0.2">
      <c r="A1118" s="1">
        <v>1474049</v>
      </c>
      <c r="B1118">
        <v>2</v>
      </c>
      <c r="C1118">
        <v>4</v>
      </c>
      <c r="D1118">
        <v>599</v>
      </c>
      <c r="E1118">
        <v>636</v>
      </c>
      <c r="F1118">
        <v>628</v>
      </c>
      <c r="G1118">
        <v>0</v>
      </c>
      <c r="H1118">
        <v>587</v>
      </c>
      <c r="I1118">
        <f>VLOOKUP(Scores[[#This Row],[MRUN]],Demographics[],3,FALSE)</f>
        <v>2</v>
      </c>
      <c r="J1118">
        <f>AVERAGE(Scores[[#This Row],[LYC]],Scores[[#This Row],[MATE]])</f>
        <v>632</v>
      </c>
      <c r="K1118">
        <f>VLOOKUP(Scores[[#This Row],[MRUN]],Demographics[],6,FALSE)</f>
        <v>9</v>
      </c>
      <c r="L1118">
        <f>VLOOKUP(Scores[[#This Row],[MRUN]],Demographics[], 7,FALSE)</f>
        <v>9</v>
      </c>
      <c r="M1118">
        <f>VLOOKUP(Scores[[#This Row],[MRUN]],Demographics[], 5, FALSE)</f>
        <v>2</v>
      </c>
    </row>
    <row r="1119" spans="1:13" hidden="1" x14ac:dyDescent="0.2">
      <c r="A1119" s="1">
        <v>22101242</v>
      </c>
      <c r="B1119">
        <v>1</v>
      </c>
      <c r="C1119">
        <v>2</v>
      </c>
      <c r="D1119">
        <v>517</v>
      </c>
      <c r="E1119">
        <v>494</v>
      </c>
      <c r="F1119">
        <v>452</v>
      </c>
      <c r="G1119">
        <v>484</v>
      </c>
      <c r="H1119">
        <v>0</v>
      </c>
      <c r="I1119">
        <f>VLOOKUP(Scores[[#This Row],[MRUN]],Demographics[],3,FALSE)</f>
        <v>7</v>
      </c>
      <c r="J1119">
        <f>AVERAGE(Scores[[#This Row],[LYC]],Scores[[#This Row],[MATE]])</f>
        <v>473</v>
      </c>
      <c r="K1119">
        <f>VLOOKUP(Scores[[#This Row],[MRUN]],Demographics[],6,FALSE)</f>
        <v>9</v>
      </c>
      <c r="L1119">
        <f>VLOOKUP(Scores[[#This Row],[MRUN]],Demographics[], 7,FALSE)</f>
        <v>8</v>
      </c>
      <c r="M1119">
        <f>VLOOKUP(Scores[[#This Row],[MRUN]],Demographics[], 5, FALSE)</f>
        <v>2</v>
      </c>
    </row>
    <row r="1120" spans="1:13" hidden="1" x14ac:dyDescent="0.2">
      <c r="A1120" s="1">
        <v>12054675</v>
      </c>
      <c r="B1120">
        <v>2</v>
      </c>
      <c r="C1120">
        <v>2</v>
      </c>
      <c r="D1120">
        <v>599</v>
      </c>
      <c r="E1120">
        <v>516</v>
      </c>
      <c r="F1120">
        <v>517</v>
      </c>
      <c r="G1120">
        <v>466</v>
      </c>
      <c r="H1120">
        <v>0</v>
      </c>
      <c r="I1120">
        <f>VLOOKUP(Scores[[#This Row],[MRUN]],Demographics[],3,FALSE)</f>
        <v>8</v>
      </c>
      <c r="J1120">
        <f>AVERAGE(Scores[[#This Row],[LYC]],Scores[[#This Row],[MATE]])</f>
        <v>516.5</v>
      </c>
      <c r="K1120">
        <f>VLOOKUP(Scores[[#This Row],[MRUN]],Demographics[],6,FALSE)</f>
        <v>4</v>
      </c>
      <c r="L1120">
        <f>VLOOKUP(Scores[[#This Row],[MRUN]],Demographics[], 7,FALSE)</f>
        <v>5</v>
      </c>
      <c r="M1120">
        <f>VLOOKUP(Scores[[#This Row],[MRUN]],Demographics[], 5, FALSE)</f>
        <v>1</v>
      </c>
    </row>
    <row r="1121" spans="1:13" hidden="1" x14ac:dyDescent="0.2">
      <c r="A1121" s="1">
        <v>3076954</v>
      </c>
      <c r="B1121">
        <v>2</v>
      </c>
      <c r="C1121">
        <v>2</v>
      </c>
      <c r="D1121">
        <v>558</v>
      </c>
      <c r="E1121">
        <v>367</v>
      </c>
      <c r="F1121">
        <v>413</v>
      </c>
      <c r="G1121">
        <v>334</v>
      </c>
      <c r="H1121">
        <v>0</v>
      </c>
      <c r="I1121">
        <f>VLOOKUP(Scores[[#This Row],[MRUN]],Demographics[],3,FALSE)</f>
        <v>4</v>
      </c>
      <c r="J1121">
        <f>AVERAGE(Scores[[#This Row],[LYC]],Scores[[#This Row],[MATE]])</f>
        <v>390</v>
      </c>
      <c r="K1121">
        <f>VLOOKUP(Scores[[#This Row],[MRUN]],Demographics[],6,FALSE)</f>
        <v>5</v>
      </c>
      <c r="L1121">
        <f>VLOOKUP(Scores[[#This Row],[MRUN]],Demographics[], 7,FALSE)</f>
        <v>5</v>
      </c>
      <c r="M1121">
        <f>VLOOKUP(Scores[[#This Row],[MRUN]],Demographics[], 5, FALSE)</f>
        <v>1</v>
      </c>
    </row>
    <row r="1122" spans="1:13" hidden="1" x14ac:dyDescent="0.2">
      <c r="A1122" s="1">
        <v>21133518</v>
      </c>
      <c r="B1122">
        <v>1</v>
      </c>
      <c r="C1122">
        <v>2</v>
      </c>
      <c r="D1122">
        <v>558</v>
      </c>
      <c r="E1122">
        <v>483</v>
      </c>
      <c r="F1122">
        <v>527</v>
      </c>
      <c r="G1122">
        <v>0</v>
      </c>
      <c r="H1122">
        <v>523</v>
      </c>
      <c r="I1122">
        <f>VLOOKUP(Scores[[#This Row],[MRUN]],Demographics[],3,FALSE)</f>
        <v>4</v>
      </c>
      <c r="J1122">
        <f>AVERAGE(Scores[[#This Row],[LYC]],Scores[[#This Row],[MATE]])</f>
        <v>505</v>
      </c>
      <c r="K1122">
        <f>VLOOKUP(Scores[[#This Row],[MRUN]],Demographics[],6,FALSE)</f>
        <v>4</v>
      </c>
      <c r="L1122">
        <f>VLOOKUP(Scores[[#This Row],[MRUN]],Demographics[], 7,FALSE)</f>
        <v>2</v>
      </c>
      <c r="M1122">
        <f>VLOOKUP(Scores[[#This Row],[MRUN]],Demographics[], 5, FALSE)</f>
        <v>1</v>
      </c>
    </row>
    <row r="1123" spans="1:13" hidden="1" x14ac:dyDescent="0.2">
      <c r="A1123" s="1">
        <v>9817387</v>
      </c>
      <c r="B1123">
        <v>1</v>
      </c>
      <c r="C1123">
        <v>2</v>
      </c>
      <c r="D1123">
        <v>496</v>
      </c>
      <c r="E1123">
        <v>0</v>
      </c>
      <c r="F1123">
        <v>0</v>
      </c>
      <c r="G1123">
        <v>0</v>
      </c>
      <c r="H1123">
        <v>0</v>
      </c>
      <c r="I1123">
        <f>VLOOKUP(Scores[[#This Row],[MRUN]],Demographics[],3,FALSE)</f>
        <v>4</v>
      </c>
      <c r="J1123">
        <f>AVERAGE(Scores[[#This Row],[LYC]],Scores[[#This Row],[MATE]])</f>
        <v>0</v>
      </c>
      <c r="K1123">
        <f>VLOOKUP(Scores[[#This Row],[MRUN]],Demographics[],6,FALSE)</f>
        <v>7</v>
      </c>
      <c r="L1123">
        <f>VLOOKUP(Scores[[#This Row],[MRUN]],Demographics[], 7,FALSE)</f>
        <v>7</v>
      </c>
      <c r="M1123">
        <f>VLOOKUP(Scores[[#This Row],[MRUN]],Demographics[], 5, FALSE)</f>
        <v>2</v>
      </c>
    </row>
    <row r="1124" spans="1:13" hidden="1" x14ac:dyDescent="0.2">
      <c r="A1124" s="1">
        <v>16860551</v>
      </c>
      <c r="B1124">
        <v>1</v>
      </c>
      <c r="C1124">
        <v>2</v>
      </c>
      <c r="D1124">
        <v>517</v>
      </c>
      <c r="E1124">
        <v>537</v>
      </c>
      <c r="F1124">
        <v>494</v>
      </c>
      <c r="G1124">
        <v>0</v>
      </c>
      <c r="H1124">
        <v>562</v>
      </c>
      <c r="I1124">
        <f>VLOOKUP(Scores[[#This Row],[MRUN]],Demographics[],3,FALSE)</f>
        <v>3</v>
      </c>
      <c r="J1124">
        <f>AVERAGE(Scores[[#This Row],[LYC]],Scores[[#This Row],[MATE]])</f>
        <v>515.5</v>
      </c>
      <c r="K1124">
        <f>VLOOKUP(Scores[[#This Row],[MRUN]],Demographics[],6,FALSE)</f>
        <v>10</v>
      </c>
      <c r="L1124">
        <f>VLOOKUP(Scores[[#This Row],[MRUN]],Demographics[], 7,FALSE)</f>
        <v>5</v>
      </c>
      <c r="M1124">
        <f>VLOOKUP(Scores[[#This Row],[MRUN]],Demographics[], 5, FALSE)</f>
        <v>1</v>
      </c>
    </row>
    <row r="1125" spans="1:13" hidden="1" x14ac:dyDescent="0.2">
      <c r="A1125" s="1">
        <v>2976188</v>
      </c>
      <c r="B1125">
        <v>2</v>
      </c>
      <c r="C1125">
        <v>3</v>
      </c>
      <c r="D1125">
        <v>682</v>
      </c>
      <c r="E1125">
        <v>494</v>
      </c>
      <c r="F1125">
        <v>661</v>
      </c>
      <c r="G1125">
        <v>0</v>
      </c>
      <c r="H1125">
        <v>594</v>
      </c>
      <c r="I1125">
        <f>VLOOKUP(Scores[[#This Row],[MRUN]],Demographics[],3,FALSE)</f>
        <v>4</v>
      </c>
      <c r="J1125">
        <f>AVERAGE(Scores[[#This Row],[LYC]],Scores[[#This Row],[MATE]])</f>
        <v>577.5</v>
      </c>
      <c r="K1125">
        <f>VLOOKUP(Scores[[#This Row],[MRUN]],Demographics[],6,FALSE)</f>
        <v>5</v>
      </c>
      <c r="L1125">
        <f>VLOOKUP(Scores[[#This Row],[MRUN]],Demographics[], 7,FALSE)</f>
        <v>4</v>
      </c>
      <c r="M1125">
        <f>VLOOKUP(Scores[[#This Row],[MRUN]],Demographics[], 5, FALSE)</f>
        <v>1</v>
      </c>
    </row>
    <row r="1126" spans="1:13" hidden="1" x14ac:dyDescent="0.2">
      <c r="A1126" s="1">
        <v>305114</v>
      </c>
      <c r="B1126">
        <v>2</v>
      </c>
      <c r="C1126">
        <v>2</v>
      </c>
      <c r="D1126">
        <v>599</v>
      </c>
      <c r="E1126">
        <v>406</v>
      </c>
      <c r="F1126">
        <v>512</v>
      </c>
      <c r="G1126">
        <v>495</v>
      </c>
      <c r="H1126">
        <v>0</v>
      </c>
      <c r="I1126">
        <f>VLOOKUP(Scores[[#This Row],[MRUN]],Demographics[],3,FALSE)</f>
        <v>7</v>
      </c>
      <c r="J1126">
        <f>AVERAGE(Scores[[#This Row],[LYC]],Scores[[#This Row],[MATE]])</f>
        <v>459</v>
      </c>
      <c r="K1126">
        <f>VLOOKUP(Scores[[#This Row],[MRUN]],Demographics[],6,FALSE)</f>
        <v>5</v>
      </c>
      <c r="L1126">
        <f>VLOOKUP(Scores[[#This Row],[MRUN]],Demographics[], 7,FALSE)</f>
        <v>9</v>
      </c>
      <c r="M1126">
        <f>VLOOKUP(Scores[[#This Row],[MRUN]],Demographics[], 5, FALSE)</f>
        <v>1</v>
      </c>
    </row>
    <row r="1127" spans="1:13" hidden="1" x14ac:dyDescent="0.2">
      <c r="A1127" s="1">
        <v>8416929</v>
      </c>
      <c r="B1127">
        <v>1</v>
      </c>
      <c r="C1127">
        <v>4</v>
      </c>
      <c r="D1127">
        <v>702</v>
      </c>
      <c r="E1127">
        <v>624</v>
      </c>
      <c r="F1127">
        <v>750</v>
      </c>
      <c r="G1127">
        <v>0</v>
      </c>
      <c r="H1127">
        <v>639</v>
      </c>
      <c r="I1127">
        <f>VLOOKUP(Scores[[#This Row],[MRUN]],Demographics[],3,FALSE)</f>
        <v>4</v>
      </c>
      <c r="J1127">
        <f>AVERAGE(Scores[[#This Row],[LYC]],Scores[[#This Row],[MATE]])</f>
        <v>687</v>
      </c>
      <c r="K1127">
        <f>VLOOKUP(Scores[[#This Row],[MRUN]],Demographics[],6,FALSE)</f>
        <v>9</v>
      </c>
      <c r="L1127">
        <f>VLOOKUP(Scores[[#This Row],[MRUN]],Demographics[], 7,FALSE)</f>
        <v>5</v>
      </c>
      <c r="M1127">
        <f>VLOOKUP(Scores[[#This Row],[MRUN]],Demographics[], 5, FALSE)</f>
        <v>3</v>
      </c>
    </row>
    <row r="1128" spans="1:13" hidden="1" x14ac:dyDescent="0.2">
      <c r="A1128" s="1">
        <v>19964991</v>
      </c>
      <c r="B1128">
        <v>2</v>
      </c>
      <c r="C1128">
        <v>3</v>
      </c>
      <c r="D1128">
        <v>621</v>
      </c>
      <c r="E1128">
        <v>378</v>
      </c>
      <c r="F1128">
        <v>441</v>
      </c>
      <c r="G1128">
        <v>0</v>
      </c>
      <c r="H1128">
        <v>376</v>
      </c>
      <c r="I1128">
        <f>VLOOKUP(Scores[[#This Row],[MRUN]],Demographics[],3,FALSE)</f>
        <v>2</v>
      </c>
      <c r="J1128">
        <f>AVERAGE(Scores[[#This Row],[LYC]],Scores[[#This Row],[MATE]])</f>
        <v>409.5</v>
      </c>
      <c r="K1128">
        <f>VLOOKUP(Scores[[#This Row],[MRUN]],Demographics[],6,FALSE)</f>
        <v>5</v>
      </c>
      <c r="L1128">
        <f>VLOOKUP(Scores[[#This Row],[MRUN]],Demographics[], 7,FALSE)</f>
        <v>4</v>
      </c>
      <c r="M1128">
        <f>VLOOKUP(Scores[[#This Row],[MRUN]],Demographics[], 5, FALSE)</f>
        <v>1</v>
      </c>
    </row>
    <row r="1129" spans="1:13" hidden="1" x14ac:dyDescent="0.2">
      <c r="A1129" s="1">
        <v>21566881</v>
      </c>
      <c r="B1129">
        <v>2</v>
      </c>
      <c r="C1129">
        <v>2</v>
      </c>
      <c r="D1129">
        <v>538</v>
      </c>
      <c r="E1129">
        <v>499</v>
      </c>
      <c r="F1129">
        <v>395</v>
      </c>
      <c r="G1129">
        <v>0</v>
      </c>
      <c r="H1129">
        <v>483</v>
      </c>
      <c r="I1129">
        <f>VLOOKUP(Scores[[#This Row],[MRUN]],Demographics[],3,FALSE)</f>
        <v>4</v>
      </c>
      <c r="J1129">
        <f>AVERAGE(Scores[[#This Row],[LYC]],Scores[[#This Row],[MATE]])</f>
        <v>447</v>
      </c>
      <c r="K1129">
        <f>VLOOKUP(Scores[[#This Row],[MRUN]],Demographics[],6,FALSE)</f>
        <v>4</v>
      </c>
      <c r="L1129">
        <f>VLOOKUP(Scores[[#This Row],[MRUN]],Demographics[], 7,FALSE)</f>
        <v>5</v>
      </c>
      <c r="M1129">
        <f>VLOOKUP(Scores[[#This Row],[MRUN]],Demographics[], 5, FALSE)</f>
        <v>1</v>
      </c>
    </row>
    <row r="1130" spans="1:13" hidden="1" x14ac:dyDescent="0.2">
      <c r="A1130" s="1">
        <v>10986389</v>
      </c>
      <c r="B1130">
        <v>1</v>
      </c>
      <c r="C1130">
        <v>3</v>
      </c>
      <c r="D1130">
        <v>641</v>
      </c>
      <c r="E1130">
        <v>683</v>
      </c>
      <c r="F1130">
        <v>686</v>
      </c>
      <c r="G1130">
        <v>0</v>
      </c>
      <c r="H1130">
        <v>708</v>
      </c>
      <c r="I1130">
        <f>VLOOKUP(Scores[[#This Row],[MRUN]],Demographics[],3,FALSE)</f>
        <v>4</v>
      </c>
      <c r="J1130">
        <f>AVERAGE(Scores[[#This Row],[LYC]],Scores[[#This Row],[MATE]])</f>
        <v>684.5</v>
      </c>
      <c r="K1130">
        <f>VLOOKUP(Scores[[#This Row],[MRUN]],Demographics[],6,FALSE)</f>
        <v>5</v>
      </c>
      <c r="L1130">
        <f>VLOOKUP(Scores[[#This Row],[MRUN]],Demographics[], 7,FALSE)</f>
        <v>5</v>
      </c>
      <c r="M1130">
        <f>VLOOKUP(Scores[[#This Row],[MRUN]],Demographics[], 5, FALSE)</f>
        <v>1</v>
      </c>
    </row>
    <row r="1131" spans="1:13" hidden="1" x14ac:dyDescent="0.2">
      <c r="A1131" s="1">
        <v>11420011</v>
      </c>
      <c r="B1131">
        <v>1</v>
      </c>
      <c r="C1131">
        <v>4</v>
      </c>
      <c r="D1131">
        <v>702</v>
      </c>
      <c r="E1131">
        <v>636</v>
      </c>
      <c r="F1131">
        <v>705</v>
      </c>
      <c r="G1131">
        <v>677</v>
      </c>
      <c r="H1131">
        <v>647</v>
      </c>
      <c r="I1131">
        <f>VLOOKUP(Scores[[#This Row],[MRUN]],Demographics[],3,FALSE)</f>
        <v>5</v>
      </c>
      <c r="J1131">
        <f>AVERAGE(Scores[[#This Row],[LYC]],Scores[[#This Row],[MATE]])</f>
        <v>670.5</v>
      </c>
      <c r="K1131">
        <f>VLOOKUP(Scores[[#This Row],[MRUN]],Demographics[],6,FALSE)</f>
        <v>5</v>
      </c>
      <c r="L1131">
        <f>VLOOKUP(Scores[[#This Row],[MRUN]],Demographics[], 7,FALSE)</f>
        <v>5</v>
      </c>
      <c r="M1131">
        <f>VLOOKUP(Scores[[#This Row],[MRUN]],Demographics[], 5, FALSE)</f>
        <v>2</v>
      </c>
    </row>
    <row r="1132" spans="1:13" hidden="1" x14ac:dyDescent="0.2">
      <c r="A1132" s="1">
        <v>2441888</v>
      </c>
      <c r="B1132">
        <v>1</v>
      </c>
      <c r="C1132">
        <v>4</v>
      </c>
      <c r="D1132">
        <v>558</v>
      </c>
      <c r="E1132">
        <v>531</v>
      </c>
      <c r="F1132">
        <v>579</v>
      </c>
      <c r="G1132">
        <v>0</v>
      </c>
      <c r="H1132">
        <v>602</v>
      </c>
      <c r="I1132">
        <f>VLOOKUP(Scores[[#This Row],[MRUN]],Demographics[],3,FALSE)</f>
        <v>6</v>
      </c>
      <c r="J1132">
        <f>AVERAGE(Scores[[#This Row],[LYC]],Scores[[#This Row],[MATE]])</f>
        <v>555</v>
      </c>
      <c r="K1132">
        <f>VLOOKUP(Scores[[#This Row],[MRUN]],Demographics[],6,FALSE)</f>
        <v>8</v>
      </c>
      <c r="L1132">
        <f>VLOOKUP(Scores[[#This Row],[MRUN]],Demographics[], 7,FALSE)</f>
        <v>8</v>
      </c>
      <c r="M1132">
        <f>VLOOKUP(Scores[[#This Row],[MRUN]],Demographics[], 5, FALSE)</f>
        <v>6</v>
      </c>
    </row>
    <row r="1133" spans="1:13" hidden="1" x14ac:dyDescent="0.2">
      <c r="A1133" s="1">
        <v>10885710</v>
      </c>
      <c r="B1133">
        <v>2</v>
      </c>
      <c r="C1133">
        <v>3</v>
      </c>
      <c r="D1133">
        <v>599</v>
      </c>
      <c r="E1133">
        <v>531</v>
      </c>
      <c r="F1133">
        <v>353</v>
      </c>
      <c r="G1133">
        <v>490</v>
      </c>
      <c r="H1133">
        <v>491</v>
      </c>
      <c r="I1133">
        <f>VLOOKUP(Scores[[#This Row],[MRUN]],Demographics[],3,FALSE)</f>
        <v>2</v>
      </c>
      <c r="J1133">
        <f>AVERAGE(Scores[[#This Row],[LYC]],Scores[[#This Row],[MATE]])</f>
        <v>442</v>
      </c>
      <c r="K1133">
        <f>VLOOKUP(Scores[[#This Row],[MRUN]],Demographics[],6,FALSE)</f>
        <v>0</v>
      </c>
      <c r="L1133">
        <f>VLOOKUP(Scores[[#This Row],[MRUN]],Demographics[], 7,FALSE)</f>
        <v>4</v>
      </c>
      <c r="M1133">
        <f>VLOOKUP(Scores[[#This Row],[MRUN]],Demographics[], 5, FALSE)</f>
        <v>1</v>
      </c>
    </row>
    <row r="1134" spans="1:13" hidden="1" x14ac:dyDescent="0.2">
      <c r="A1134" s="1">
        <v>18996670</v>
      </c>
      <c r="B1134">
        <v>1</v>
      </c>
      <c r="C1134">
        <v>2</v>
      </c>
      <c r="D1134">
        <v>661</v>
      </c>
      <c r="E1134">
        <v>537</v>
      </c>
      <c r="F1134">
        <v>472</v>
      </c>
      <c r="G1134">
        <v>557</v>
      </c>
      <c r="H1134">
        <v>0</v>
      </c>
      <c r="I1134">
        <f>VLOOKUP(Scores[[#This Row],[MRUN]],Demographics[],3,FALSE)</f>
        <v>2</v>
      </c>
      <c r="J1134">
        <f>AVERAGE(Scores[[#This Row],[LYC]],Scores[[#This Row],[MATE]])</f>
        <v>504.5</v>
      </c>
      <c r="K1134">
        <f>VLOOKUP(Scores[[#This Row],[MRUN]],Demographics[],6,FALSE)</f>
        <v>5</v>
      </c>
      <c r="L1134">
        <f>VLOOKUP(Scores[[#This Row],[MRUN]],Demographics[], 7,FALSE)</f>
        <v>5</v>
      </c>
      <c r="M1134">
        <f>VLOOKUP(Scores[[#This Row],[MRUN]],Demographics[], 5, FALSE)</f>
        <v>1</v>
      </c>
    </row>
    <row r="1135" spans="1:13" hidden="1" x14ac:dyDescent="0.2">
      <c r="A1135" s="1">
        <v>23803475</v>
      </c>
      <c r="B1135">
        <v>1</v>
      </c>
      <c r="C1135">
        <v>2</v>
      </c>
      <c r="D1135">
        <v>517</v>
      </c>
      <c r="E1135">
        <v>415</v>
      </c>
      <c r="F1135">
        <v>531</v>
      </c>
      <c r="G1135">
        <v>0</v>
      </c>
      <c r="H1135">
        <v>491</v>
      </c>
      <c r="I1135">
        <f>VLOOKUP(Scores[[#This Row],[MRUN]],Demographics[],3,FALSE)</f>
        <v>4</v>
      </c>
      <c r="J1135">
        <f>AVERAGE(Scores[[#This Row],[LYC]],Scores[[#This Row],[MATE]])</f>
        <v>473</v>
      </c>
      <c r="K1135">
        <f>VLOOKUP(Scores[[#This Row],[MRUN]],Demographics[],6,FALSE)</f>
        <v>2</v>
      </c>
      <c r="L1135">
        <f>VLOOKUP(Scores[[#This Row],[MRUN]],Demographics[], 7,FALSE)</f>
        <v>4</v>
      </c>
      <c r="M1135">
        <f>VLOOKUP(Scores[[#This Row],[MRUN]],Demographics[], 5, FALSE)</f>
        <v>1</v>
      </c>
    </row>
    <row r="1136" spans="1:13" hidden="1" x14ac:dyDescent="0.2">
      <c r="A1136" s="1">
        <v>22735980</v>
      </c>
      <c r="B1136">
        <v>1</v>
      </c>
      <c r="C1136">
        <v>2</v>
      </c>
      <c r="D1136">
        <v>539</v>
      </c>
      <c r="E1136">
        <v>537</v>
      </c>
      <c r="F1136">
        <v>487</v>
      </c>
      <c r="G1136">
        <v>567</v>
      </c>
      <c r="H1136">
        <v>0</v>
      </c>
      <c r="I1136">
        <f>VLOOKUP(Scores[[#This Row],[MRUN]],Demographics[],3,FALSE)</f>
        <v>6</v>
      </c>
      <c r="J1136">
        <f>AVERAGE(Scores[[#This Row],[LYC]],Scores[[#This Row],[MATE]])</f>
        <v>512</v>
      </c>
      <c r="K1136">
        <f>VLOOKUP(Scores[[#This Row],[MRUN]],Demographics[],6,FALSE)</f>
        <v>4</v>
      </c>
      <c r="L1136">
        <f>VLOOKUP(Scores[[#This Row],[MRUN]],Demographics[], 7,FALSE)</f>
        <v>7</v>
      </c>
      <c r="M1136">
        <f>VLOOKUP(Scores[[#This Row],[MRUN]],Demographics[], 5, FALSE)</f>
        <v>1</v>
      </c>
    </row>
    <row r="1137" spans="1:13" hidden="1" x14ac:dyDescent="0.2">
      <c r="A1137" s="1">
        <v>23067872</v>
      </c>
      <c r="B1137">
        <v>2</v>
      </c>
      <c r="C1137">
        <v>2</v>
      </c>
      <c r="D1137">
        <v>476</v>
      </c>
      <c r="E1137">
        <v>505</v>
      </c>
      <c r="F1137">
        <v>248</v>
      </c>
      <c r="G1137">
        <v>454</v>
      </c>
      <c r="H1137">
        <v>0</v>
      </c>
      <c r="I1137">
        <f>VLOOKUP(Scores[[#This Row],[MRUN]],Demographics[],3,FALSE)</f>
        <v>4</v>
      </c>
      <c r="J1137">
        <f>AVERAGE(Scores[[#This Row],[LYC]],Scores[[#This Row],[MATE]])</f>
        <v>376.5</v>
      </c>
      <c r="K1137">
        <f>VLOOKUP(Scores[[#This Row],[MRUN]],Demographics[],6,FALSE)</f>
        <v>5</v>
      </c>
      <c r="L1137">
        <f>VLOOKUP(Scores[[#This Row],[MRUN]],Demographics[], 7,FALSE)</f>
        <v>5</v>
      </c>
      <c r="M1137">
        <f>VLOOKUP(Scores[[#This Row],[MRUN]],Demographics[], 5, FALSE)</f>
        <v>1</v>
      </c>
    </row>
    <row r="1138" spans="1:13" hidden="1" x14ac:dyDescent="0.2">
      <c r="A1138" s="1">
        <v>4577889</v>
      </c>
      <c r="B1138">
        <v>2</v>
      </c>
      <c r="C1138">
        <v>3</v>
      </c>
      <c r="D1138">
        <v>641</v>
      </c>
      <c r="E1138">
        <v>586</v>
      </c>
      <c r="F1138">
        <v>571</v>
      </c>
      <c r="G1138">
        <v>607</v>
      </c>
      <c r="H1138">
        <v>0</v>
      </c>
      <c r="I1138">
        <f>VLOOKUP(Scores[[#This Row],[MRUN]],Demographics[],3,FALSE)</f>
        <v>3</v>
      </c>
      <c r="J1138">
        <f>AVERAGE(Scores[[#This Row],[LYC]],Scores[[#This Row],[MATE]])</f>
        <v>578.5</v>
      </c>
      <c r="K1138">
        <f>VLOOKUP(Scores[[#This Row],[MRUN]],Demographics[],6,FALSE)</f>
        <v>5</v>
      </c>
      <c r="L1138">
        <f>VLOOKUP(Scores[[#This Row],[MRUN]],Demographics[], 7,FALSE)</f>
        <v>5</v>
      </c>
      <c r="M1138">
        <f>VLOOKUP(Scores[[#This Row],[MRUN]],Demographics[], 5, FALSE)</f>
        <v>1</v>
      </c>
    </row>
    <row r="1139" spans="1:13" hidden="1" x14ac:dyDescent="0.2">
      <c r="A1139" s="1">
        <v>19329212</v>
      </c>
      <c r="B1139">
        <v>2</v>
      </c>
      <c r="C1139">
        <v>3</v>
      </c>
      <c r="D1139">
        <v>641</v>
      </c>
      <c r="E1139">
        <v>683</v>
      </c>
      <c r="F1139">
        <v>582</v>
      </c>
      <c r="G1139">
        <v>623</v>
      </c>
      <c r="H1139">
        <v>0</v>
      </c>
      <c r="I1139">
        <f>VLOOKUP(Scores[[#This Row],[MRUN]],Demographics[],3,FALSE)</f>
        <v>3</v>
      </c>
      <c r="J1139">
        <f>AVERAGE(Scores[[#This Row],[LYC]],Scores[[#This Row],[MATE]])</f>
        <v>632.5</v>
      </c>
      <c r="K1139">
        <f>VLOOKUP(Scores[[#This Row],[MRUN]],Demographics[],6,FALSE)</f>
        <v>5</v>
      </c>
      <c r="L1139">
        <f>VLOOKUP(Scores[[#This Row],[MRUN]],Demographics[], 7,FALSE)</f>
        <v>5</v>
      </c>
      <c r="M1139">
        <f>VLOOKUP(Scores[[#This Row],[MRUN]],Demographics[], 5, FALSE)</f>
        <v>1</v>
      </c>
    </row>
    <row r="1140" spans="1:13" hidden="1" x14ac:dyDescent="0.2">
      <c r="A1140" s="1">
        <v>10351418</v>
      </c>
      <c r="B1140">
        <v>1</v>
      </c>
      <c r="C1140">
        <v>2</v>
      </c>
      <c r="D1140">
        <v>455</v>
      </c>
      <c r="E1140">
        <v>476</v>
      </c>
      <c r="F1140">
        <v>413</v>
      </c>
      <c r="G1140">
        <v>531</v>
      </c>
      <c r="H1140">
        <v>361</v>
      </c>
      <c r="I1140">
        <f>VLOOKUP(Scores[[#This Row],[MRUN]],Demographics[],3,FALSE)</f>
        <v>2</v>
      </c>
      <c r="J1140">
        <f>AVERAGE(Scores[[#This Row],[LYC]],Scores[[#This Row],[MATE]])</f>
        <v>444.5</v>
      </c>
      <c r="K1140">
        <f>VLOOKUP(Scores[[#This Row],[MRUN]],Demographics[],6,FALSE)</f>
        <v>5</v>
      </c>
      <c r="L1140">
        <f>VLOOKUP(Scores[[#This Row],[MRUN]],Demographics[], 7,FALSE)</f>
        <v>9</v>
      </c>
      <c r="M1140">
        <f>VLOOKUP(Scores[[#This Row],[MRUN]],Demographics[], 5, FALSE)</f>
        <v>2</v>
      </c>
    </row>
    <row r="1141" spans="1:13" hidden="1" x14ac:dyDescent="0.2">
      <c r="A1141" s="1">
        <v>18794864</v>
      </c>
      <c r="B1141">
        <v>1</v>
      </c>
      <c r="C1141">
        <v>2</v>
      </c>
      <c r="D1141">
        <v>455</v>
      </c>
      <c r="E1141">
        <v>476</v>
      </c>
      <c r="F1141">
        <v>413</v>
      </c>
      <c r="G1141">
        <v>541</v>
      </c>
      <c r="H1141">
        <v>0</v>
      </c>
      <c r="I1141">
        <f>VLOOKUP(Scores[[#This Row],[MRUN]],Demographics[],3,FALSE)</f>
        <v>5</v>
      </c>
      <c r="J1141">
        <f>AVERAGE(Scores[[#This Row],[LYC]],Scores[[#This Row],[MATE]])</f>
        <v>444.5</v>
      </c>
      <c r="K1141">
        <f>VLOOKUP(Scores[[#This Row],[MRUN]],Demographics[],6,FALSE)</f>
        <v>4</v>
      </c>
      <c r="L1141">
        <f>VLOOKUP(Scores[[#This Row],[MRUN]],Demographics[], 7,FALSE)</f>
        <v>2</v>
      </c>
      <c r="M1141">
        <f>VLOOKUP(Scores[[#This Row],[MRUN]],Demographics[], 5, FALSE)</f>
        <v>1</v>
      </c>
    </row>
    <row r="1142" spans="1:13" hidden="1" x14ac:dyDescent="0.2">
      <c r="A1142" s="1">
        <v>16124549</v>
      </c>
      <c r="B1142">
        <v>2</v>
      </c>
      <c r="C1142">
        <v>3</v>
      </c>
      <c r="D1142">
        <v>579</v>
      </c>
      <c r="E1142">
        <v>547</v>
      </c>
      <c r="F1142">
        <v>606</v>
      </c>
      <c r="G1142">
        <v>0</v>
      </c>
      <c r="H1142">
        <v>549</v>
      </c>
      <c r="I1142">
        <f>VLOOKUP(Scores[[#This Row],[MRUN]],Demographics[],3,FALSE)</f>
        <v>5</v>
      </c>
      <c r="J1142">
        <f>AVERAGE(Scores[[#This Row],[LYC]],Scores[[#This Row],[MATE]])</f>
        <v>576.5</v>
      </c>
      <c r="K1142">
        <f>VLOOKUP(Scores[[#This Row],[MRUN]],Demographics[],6,FALSE)</f>
        <v>9</v>
      </c>
      <c r="L1142">
        <f>VLOOKUP(Scores[[#This Row],[MRUN]],Demographics[], 7,FALSE)</f>
        <v>9</v>
      </c>
      <c r="M1142">
        <f>VLOOKUP(Scores[[#This Row],[MRUN]],Demographics[], 5, FALSE)</f>
        <v>2</v>
      </c>
    </row>
    <row r="1143" spans="1:13" hidden="1" x14ac:dyDescent="0.2">
      <c r="A1143" s="1">
        <v>10452055</v>
      </c>
      <c r="B1143">
        <v>1</v>
      </c>
      <c r="C1143">
        <v>2</v>
      </c>
      <c r="D1143">
        <v>599</v>
      </c>
      <c r="E1143">
        <v>586</v>
      </c>
      <c r="F1143">
        <v>603</v>
      </c>
      <c r="G1143">
        <v>0</v>
      </c>
      <c r="H1143">
        <v>543</v>
      </c>
      <c r="I1143">
        <f>VLOOKUP(Scores[[#This Row],[MRUN]],Demographics[],3,FALSE)</f>
        <v>5</v>
      </c>
      <c r="J1143">
        <f>AVERAGE(Scores[[#This Row],[LYC]],Scores[[#This Row],[MATE]])</f>
        <v>594.5</v>
      </c>
      <c r="K1143">
        <f>VLOOKUP(Scores[[#This Row],[MRUN]],Demographics[],6,FALSE)</f>
        <v>5</v>
      </c>
      <c r="L1143">
        <f>VLOOKUP(Scores[[#This Row],[MRUN]],Demographics[], 7,FALSE)</f>
        <v>8</v>
      </c>
      <c r="M1143">
        <f>VLOOKUP(Scores[[#This Row],[MRUN]],Demographics[], 5, FALSE)</f>
        <v>2</v>
      </c>
    </row>
    <row r="1144" spans="1:13" hidden="1" x14ac:dyDescent="0.2">
      <c r="A1144" s="1">
        <v>15258331</v>
      </c>
      <c r="B1144">
        <v>1</v>
      </c>
      <c r="C1144">
        <v>4</v>
      </c>
      <c r="D1144">
        <v>682</v>
      </c>
      <c r="E1144">
        <v>668</v>
      </c>
      <c r="F1144">
        <v>644</v>
      </c>
      <c r="G1144">
        <v>0</v>
      </c>
      <c r="H1144">
        <v>677</v>
      </c>
      <c r="I1144">
        <f>VLOOKUP(Scores[[#This Row],[MRUN]],Demographics[],3,FALSE)</f>
        <v>4</v>
      </c>
      <c r="J1144">
        <f>AVERAGE(Scores[[#This Row],[LYC]],Scores[[#This Row],[MATE]])</f>
        <v>656</v>
      </c>
      <c r="K1144">
        <f>VLOOKUP(Scores[[#This Row],[MRUN]],Demographics[],6,FALSE)</f>
        <v>7</v>
      </c>
      <c r="L1144">
        <f>VLOOKUP(Scores[[#This Row],[MRUN]],Demographics[], 7,FALSE)</f>
        <v>7</v>
      </c>
      <c r="M1144">
        <f>VLOOKUP(Scores[[#This Row],[MRUN]],Demographics[], 5, FALSE)</f>
        <v>2</v>
      </c>
    </row>
    <row r="1145" spans="1:13" hidden="1" x14ac:dyDescent="0.2">
      <c r="A1145" s="1">
        <v>14190580</v>
      </c>
      <c r="B1145">
        <v>1</v>
      </c>
      <c r="C1145">
        <v>2</v>
      </c>
      <c r="D1145">
        <v>599</v>
      </c>
      <c r="E1145">
        <v>494</v>
      </c>
      <c r="F1145">
        <v>596</v>
      </c>
      <c r="G1145">
        <v>0</v>
      </c>
      <c r="H1145">
        <v>602</v>
      </c>
      <c r="I1145">
        <f>VLOOKUP(Scores[[#This Row],[MRUN]],Demographics[],3,FALSE)</f>
        <v>4</v>
      </c>
      <c r="J1145">
        <f>AVERAGE(Scores[[#This Row],[LYC]],Scores[[#This Row],[MATE]])</f>
        <v>545</v>
      </c>
      <c r="K1145">
        <f>VLOOKUP(Scores[[#This Row],[MRUN]],Demographics[],6,FALSE)</f>
        <v>4</v>
      </c>
      <c r="L1145">
        <f>VLOOKUP(Scores[[#This Row],[MRUN]],Demographics[], 7,FALSE)</f>
        <v>4</v>
      </c>
      <c r="M1145">
        <f>VLOOKUP(Scores[[#This Row],[MRUN]],Demographics[], 5, FALSE)</f>
        <v>1</v>
      </c>
    </row>
    <row r="1146" spans="1:13" hidden="1" x14ac:dyDescent="0.2">
      <c r="A1146" s="1">
        <v>7882740</v>
      </c>
      <c r="B1146">
        <v>1</v>
      </c>
      <c r="C1146">
        <v>2</v>
      </c>
      <c r="D1146">
        <v>458</v>
      </c>
      <c r="E1146">
        <v>464</v>
      </c>
      <c r="F1146">
        <v>523</v>
      </c>
      <c r="G1146">
        <v>0</v>
      </c>
      <c r="H1146">
        <v>468</v>
      </c>
      <c r="I1146">
        <f>VLOOKUP(Scores[[#This Row],[MRUN]],Demographics[],3,FALSE)</f>
        <v>4</v>
      </c>
      <c r="J1146">
        <f>AVERAGE(Scores[[#This Row],[LYC]],Scores[[#This Row],[MATE]])</f>
        <v>493.5</v>
      </c>
      <c r="K1146">
        <f>VLOOKUP(Scores[[#This Row],[MRUN]],Demographics[],6,FALSE)</f>
        <v>0</v>
      </c>
      <c r="L1146">
        <f>VLOOKUP(Scores[[#This Row],[MRUN]],Demographics[], 7,FALSE)</f>
        <v>5</v>
      </c>
      <c r="M1146">
        <f>VLOOKUP(Scores[[#This Row],[MRUN]],Demographics[], 5, FALSE)</f>
        <v>1</v>
      </c>
    </row>
    <row r="1147" spans="1:13" hidden="1" x14ac:dyDescent="0.2">
      <c r="A1147" s="1">
        <v>4144800</v>
      </c>
      <c r="B1147">
        <v>2</v>
      </c>
      <c r="C1147">
        <v>4</v>
      </c>
      <c r="D1147">
        <v>455</v>
      </c>
      <c r="E1147">
        <v>516</v>
      </c>
      <c r="F1147">
        <v>557</v>
      </c>
      <c r="G1147">
        <v>0</v>
      </c>
      <c r="H1147">
        <v>591</v>
      </c>
      <c r="I1147">
        <f>VLOOKUP(Scores[[#This Row],[MRUN]],Demographics[],3,FALSE)</f>
        <v>5</v>
      </c>
      <c r="J1147">
        <f>AVERAGE(Scores[[#This Row],[LYC]],Scores[[#This Row],[MATE]])</f>
        <v>536.5</v>
      </c>
      <c r="K1147">
        <f>VLOOKUP(Scores[[#This Row],[MRUN]],Demographics[],6,FALSE)</f>
        <v>0</v>
      </c>
      <c r="L1147">
        <f>VLOOKUP(Scores[[#This Row],[MRUN]],Demographics[], 7,FALSE)</f>
        <v>0</v>
      </c>
      <c r="M1147">
        <f>VLOOKUP(Scores[[#This Row],[MRUN]],Demographics[], 5, FALSE)</f>
        <v>2</v>
      </c>
    </row>
    <row r="1148" spans="1:13" hidden="1" x14ac:dyDescent="0.2">
      <c r="A1148" s="1">
        <v>738180</v>
      </c>
      <c r="B1148">
        <v>2</v>
      </c>
      <c r="C1148">
        <v>2</v>
      </c>
      <c r="D1148">
        <v>538</v>
      </c>
      <c r="E1148">
        <v>499</v>
      </c>
      <c r="F1148">
        <v>501</v>
      </c>
      <c r="G1148">
        <v>0</v>
      </c>
      <c r="H1148">
        <v>539</v>
      </c>
      <c r="I1148">
        <f>VLOOKUP(Scores[[#This Row],[MRUN]],Demographics[],3,FALSE)</f>
        <v>8</v>
      </c>
      <c r="J1148">
        <f>AVERAGE(Scores[[#This Row],[LYC]],Scores[[#This Row],[MATE]])</f>
        <v>500</v>
      </c>
      <c r="K1148">
        <f>VLOOKUP(Scores[[#This Row],[MRUN]],Demographics[],6,FALSE)</f>
        <v>5</v>
      </c>
      <c r="L1148">
        <f>VLOOKUP(Scores[[#This Row],[MRUN]],Demographics[], 7,FALSE)</f>
        <v>3</v>
      </c>
      <c r="M1148">
        <f>VLOOKUP(Scores[[#This Row],[MRUN]],Demographics[], 5, FALSE)</f>
        <v>1</v>
      </c>
    </row>
    <row r="1149" spans="1:13" hidden="1" x14ac:dyDescent="0.2">
      <c r="A1149" s="1">
        <v>3611204</v>
      </c>
      <c r="B1149">
        <v>2</v>
      </c>
      <c r="C1149">
        <v>2</v>
      </c>
      <c r="D1149">
        <v>560</v>
      </c>
      <c r="E1149">
        <v>451</v>
      </c>
      <c r="F1149">
        <v>452</v>
      </c>
      <c r="G1149">
        <v>466</v>
      </c>
      <c r="H1149">
        <v>0</v>
      </c>
      <c r="I1149">
        <f>VLOOKUP(Scores[[#This Row],[MRUN]],Demographics[],3,FALSE)</f>
        <v>3</v>
      </c>
      <c r="J1149">
        <f>AVERAGE(Scores[[#This Row],[LYC]],Scores[[#This Row],[MATE]])</f>
        <v>451.5</v>
      </c>
      <c r="K1149">
        <f>VLOOKUP(Scores[[#This Row],[MRUN]],Demographics[],6,FALSE)</f>
        <v>2</v>
      </c>
      <c r="L1149">
        <f>VLOOKUP(Scores[[#This Row],[MRUN]],Demographics[], 7,FALSE)</f>
        <v>5</v>
      </c>
      <c r="M1149">
        <f>VLOOKUP(Scores[[#This Row],[MRUN]],Demographics[], 5, FALSE)</f>
        <v>1</v>
      </c>
    </row>
    <row r="1150" spans="1:13" hidden="1" x14ac:dyDescent="0.2">
      <c r="A1150" s="1">
        <v>6714352</v>
      </c>
      <c r="B1150">
        <v>2</v>
      </c>
      <c r="C1150">
        <v>2</v>
      </c>
      <c r="D1150">
        <v>599</v>
      </c>
      <c r="E1150">
        <v>531</v>
      </c>
      <c r="F1150">
        <v>501</v>
      </c>
      <c r="G1150">
        <v>552</v>
      </c>
      <c r="H1150">
        <v>0</v>
      </c>
      <c r="I1150">
        <f>VLOOKUP(Scores[[#This Row],[MRUN]],Demographics[],3,FALSE)</f>
        <v>5</v>
      </c>
      <c r="J1150">
        <f>AVERAGE(Scores[[#This Row],[LYC]],Scores[[#This Row],[MATE]])</f>
        <v>516</v>
      </c>
      <c r="K1150">
        <f>VLOOKUP(Scores[[#This Row],[MRUN]],Demographics[],6,FALSE)</f>
        <v>0</v>
      </c>
      <c r="L1150">
        <f>VLOOKUP(Scores[[#This Row],[MRUN]],Demographics[], 7,FALSE)</f>
        <v>0</v>
      </c>
      <c r="M1150">
        <f>VLOOKUP(Scores[[#This Row],[MRUN]],Demographics[], 5, FALSE)</f>
        <v>2</v>
      </c>
    </row>
    <row r="1151" spans="1:13" hidden="1" x14ac:dyDescent="0.2">
      <c r="A1151" s="1">
        <v>12488127</v>
      </c>
      <c r="B1151">
        <v>2</v>
      </c>
      <c r="C1151">
        <v>2</v>
      </c>
      <c r="D1151">
        <v>702</v>
      </c>
      <c r="E1151">
        <v>613</v>
      </c>
      <c r="F1151">
        <v>617</v>
      </c>
      <c r="G1151">
        <v>0</v>
      </c>
      <c r="H1151">
        <v>642</v>
      </c>
      <c r="I1151">
        <f>VLOOKUP(Scores[[#This Row],[MRUN]],Demographics[],3,FALSE)</f>
        <v>3</v>
      </c>
      <c r="J1151">
        <f>AVERAGE(Scores[[#This Row],[LYC]],Scores[[#This Row],[MATE]])</f>
        <v>615</v>
      </c>
      <c r="K1151">
        <f>VLOOKUP(Scores[[#This Row],[MRUN]],Demographics[],6,FALSE)</f>
        <v>7</v>
      </c>
      <c r="L1151">
        <f>VLOOKUP(Scores[[#This Row],[MRUN]],Demographics[], 7,FALSE)</f>
        <v>5</v>
      </c>
      <c r="M1151">
        <f>VLOOKUP(Scores[[#This Row],[MRUN]],Demographics[], 5, FALSE)</f>
        <v>1</v>
      </c>
    </row>
    <row r="1152" spans="1:13" hidden="1" x14ac:dyDescent="0.2">
      <c r="A1152" s="1">
        <v>22101241</v>
      </c>
      <c r="B1152">
        <v>2</v>
      </c>
      <c r="C1152">
        <v>3</v>
      </c>
      <c r="D1152">
        <v>496</v>
      </c>
      <c r="E1152">
        <v>476</v>
      </c>
      <c r="F1152">
        <v>536</v>
      </c>
      <c r="G1152">
        <v>454</v>
      </c>
      <c r="H1152">
        <v>0</v>
      </c>
      <c r="I1152">
        <f>VLOOKUP(Scores[[#This Row],[MRUN]],Demographics[],3,FALSE)</f>
        <v>5</v>
      </c>
      <c r="J1152">
        <f>AVERAGE(Scores[[#This Row],[LYC]],Scores[[#This Row],[MATE]])</f>
        <v>506</v>
      </c>
      <c r="K1152">
        <f>VLOOKUP(Scores[[#This Row],[MRUN]],Demographics[],6,FALSE)</f>
        <v>5</v>
      </c>
      <c r="L1152">
        <f>VLOOKUP(Scores[[#This Row],[MRUN]],Demographics[], 7,FALSE)</f>
        <v>9</v>
      </c>
      <c r="M1152">
        <f>VLOOKUP(Scores[[#This Row],[MRUN]],Demographics[], 5, FALSE)</f>
        <v>2</v>
      </c>
    </row>
    <row r="1153" spans="1:13" hidden="1" x14ac:dyDescent="0.2">
      <c r="A1153" s="1">
        <v>14624064</v>
      </c>
      <c r="B1153">
        <v>2</v>
      </c>
      <c r="C1153">
        <v>2</v>
      </c>
      <c r="D1153">
        <v>496</v>
      </c>
      <c r="E1153">
        <v>388</v>
      </c>
      <c r="F1153">
        <v>579</v>
      </c>
      <c r="G1153">
        <v>436</v>
      </c>
      <c r="H1153">
        <v>0</v>
      </c>
      <c r="I1153">
        <f>VLOOKUP(Scores[[#This Row],[MRUN]],Demographics[],3,FALSE)</f>
        <v>5</v>
      </c>
      <c r="J1153">
        <f>AVERAGE(Scores[[#This Row],[LYC]],Scores[[#This Row],[MATE]])</f>
        <v>483.5</v>
      </c>
      <c r="K1153">
        <f>VLOOKUP(Scores[[#This Row],[MRUN]],Demographics[],6,FALSE)</f>
        <v>3</v>
      </c>
      <c r="L1153">
        <f>VLOOKUP(Scores[[#This Row],[MRUN]],Demographics[], 7,FALSE)</f>
        <v>5</v>
      </c>
      <c r="M1153">
        <f>VLOOKUP(Scores[[#This Row],[MRUN]],Demographics[], 5, FALSE)</f>
        <v>1</v>
      </c>
    </row>
    <row r="1154" spans="1:13" hidden="1" x14ac:dyDescent="0.2">
      <c r="A1154" s="1">
        <v>16860552</v>
      </c>
      <c r="B1154">
        <v>1</v>
      </c>
      <c r="C1154">
        <v>2</v>
      </c>
      <c r="D1154">
        <v>641</v>
      </c>
      <c r="E1154">
        <v>683</v>
      </c>
      <c r="F1154">
        <v>624</v>
      </c>
      <c r="G1154">
        <v>0</v>
      </c>
      <c r="H1154">
        <v>647</v>
      </c>
      <c r="I1154">
        <f>VLOOKUP(Scores[[#This Row],[MRUN]],Demographics[],3,FALSE)</f>
        <v>4</v>
      </c>
      <c r="J1154">
        <f>AVERAGE(Scores[[#This Row],[LYC]],Scores[[#This Row],[MATE]])</f>
        <v>653.5</v>
      </c>
      <c r="K1154">
        <f>VLOOKUP(Scores[[#This Row],[MRUN]],Demographics[],6,FALSE)</f>
        <v>5</v>
      </c>
      <c r="L1154">
        <f>VLOOKUP(Scores[[#This Row],[MRUN]],Demographics[], 7,FALSE)</f>
        <v>5</v>
      </c>
      <c r="M1154">
        <f>VLOOKUP(Scores[[#This Row],[MRUN]],Demographics[], 5, FALSE)</f>
        <v>2</v>
      </c>
    </row>
    <row r="1155" spans="1:13" hidden="1" x14ac:dyDescent="0.2">
      <c r="A1155" s="1">
        <v>13555855</v>
      </c>
      <c r="B1155">
        <v>2</v>
      </c>
      <c r="C1155">
        <v>4</v>
      </c>
      <c r="D1155">
        <v>764</v>
      </c>
      <c r="E1155">
        <v>683</v>
      </c>
      <c r="F1155">
        <v>713</v>
      </c>
      <c r="G1155">
        <v>0</v>
      </c>
      <c r="H1155">
        <v>703</v>
      </c>
      <c r="I1155">
        <f>VLOOKUP(Scores[[#This Row],[MRUN]],Demographics[],3,FALSE)</f>
        <v>7</v>
      </c>
      <c r="J1155">
        <f>AVERAGE(Scores[[#This Row],[LYC]],Scores[[#This Row],[MATE]])</f>
        <v>698</v>
      </c>
      <c r="K1155">
        <f>VLOOKUP(Scores[[#This Row],[MRUN]],Demographics[],6,FALSE)</f>
        <v>9</v>
      </c>
      <c r="L1155">
        <f>VLOOKUP(Scores[[#This Row],[MRUN]],Demographics[], 7,FALSE)</f>
        <v>8</v>
      </c>
      <c r="M1155">
        <f>VLOOKUP(Scores[[#This Row],[MRUN]],Demographics[], 5, FALSE)</f>
        <v>5</v>
      </c>
    </row>
    <row r="1156" spans="1:13" hidden="1" x14ac:dyDescent="0.2">
      <c r="A1156" s="1">
        <v>2976187</v>
      </c>
      <c r="B1156">
        <v>2</v>
      </c>
      <c r="C1156">
        <v>2</v>
      </c>
      <c r="D1156">
        <v>539</v>
      </c>
      <c r="E1156">
        <v>537</v>
      </c>
      <c r="F1156">
        <v>506</v>
      </c>
      <c r="G1156">
        <v>428</v>
      </c>
      <c r="H1156">
        <v>0</v>
      </c>
      <c r="I1156">
        <f>VLOOKUP(Scores[[#This Row],[MRUN]],Demographics[],3,FALSE)</f>
        <v>6</v>
      </c>
      <c r="J1156">
        <f>AVERAGE(Scores[[#This Row],[LYC]],Scores[[#This Row],[MATE]])</f>
        <v>521.5</v>
      </c>
      <c r="K1156">
        <f>VLOOKUP(Scores[[#This Row],[MRUN]],Demographics[],6,FALSE)</f>
        <v>4</v>
      </c>
      <c r="L1156">
        <f>VLOOKUP(Scores[[#This Row],[MRUN]],Demographics[], 7,FALSE)</f>
        <v>2</v>
      </c>
      <c r="M1156">
        <f>VLOOKUP(Scores[[#This Row],[MRUN]],Demographics[], 5, FALSE)</f>
        <v>1</v>
      </c>
    </row>
    <row r="1157" spans="1:13" hidden="1" x14ac:dyDescent="0.2">
      <c r="A1157" s="1">
        <v>6079426</v>
      </c>
      <c r="B1157">
        <v>2</v>
      </c>
      <c r="C1157">
        <v>3</v>
      </c>
      <c r="D1157">
        <v>558</v>
      </c>
      <c r="E1157">
        <v>557</v>
      </c>
      <c r="F1157">
        <v>512</v>
      </c>
      <c r="G1157">
        <v>521</v>
      </c>
      <c r="H1157">
        <v>0</v>
      </c>
      <c r="I1157">
        <f>VLOOKUP(Scores[[#This Row],[MRUN]],Demographics[],3,FALSE)</f>
        <v>3</v>
      </c>
      <c r="J1157">
        <f>AVERAGE(Scores[[#This Row],[LYC]],Scores[[#This Row],[MATE]])</f>
        <v>534.5</v>
      </c>
      <c r="K1157">
        <f>VLOOKUP(Scores[[#This Row],[MRUN]],Demographics[],6,FALSE)</f>
        <v>5</v>
      </c>
      <c r="L1157">
        <f>VLOOKUP(Scores[[#This Row],[MRUN]],Demographics[], 7,FALSE)</f>
        <v>3</v>
      </c>
      <c r="M1157">
        <f>VLOOKUP(Scores[[#This Row],[MRUN]],Demographics[], 5, FALSE)</f>
        <v>1</v>
      </c>
    </row>
    <row r="1158" spans="1:13" hidden="1" x14ac:dyDescent="0.2">
      <c r="A1158" s="1">
        <v>5212915</v>
      </c>
      <c r="B1158">
        <v>2</v>
      </c>
      <c r="C1158">
        <v>2</v>
      </c>
      <c r="D1158">
        <v>579</v>
      </c>
      <c r="E1158">
        <v>592</v>
      </c>
      <c r="F1158">
        <v>564</v>
      </c>
      <c r="G1158">
        <v>0</v>
      </c>
      <c r="H1158">
        <v>491</v>
      </c>
      <c r="I1158">
        <f>VLOOKUP(Scores[[#This Row],[MRUN]],Demographics[],3,FALSE)</f>
        <v>5</v>
      </c>
      <c r="J1158">
        <f>AVERAGE(Scores[[#This Row],[LYC]],Scores[[#This Row],[MATE]])</f>
        <v>578</v>
      </c>
      <c r="K1158">
        <f>VLOOKUP(Scores[[#This Row],[MRUN]],Demographics[],6,FALSE)</f>
        <v>3</v>
      </c>
      <c r="L1158">
        <f>VLOOKUP(Scores[[#This Row],[MRUN]],Demographics[], 7,FALSE)</f>
        <v>3</v>
      </c>
      <c r="M1158">
        <f>VLOOKUP(Scores[[#This Row],[MRUN]],Demographics[], 5, FALSE)</f>
        <v>1</v>
      </c>
    </row>
    <row r="1159" spans="1:13" hidden="1" x14ac:dyDescent="0.2">
      <c r="A1159" s="1">
        <v>21566880</v>
      </c>
      <c r="B1159">
        <v>2</v>
      </c>
      <c r="C1159">
        <v>2</v>
      </c>
      <c r="D1159">
        <v>579</v>
      </c>
      <c r="E1159">
        <v>596</v>
      </c>
      <c r="F1159">
        <v>560</v>
      </c>
      <c r="G1159">
        <v>657</v>
      </c>
      <c r="H1159">
        <v>534</v>
      </c>
      <c r="I1159">
        <f>VLOOKUP(Scores[[#This Row],[MRUN]],Demographics[],3,FALSE)</f>
        <v>5</v>
      </c>
      <c r="J1159">
        <f>AVERAGE(Scores[[#This Row],[LYC]],Scores[[#This Row],[MATE]])</f>
        <v>578</v>
      </c>
      <c r="K1159">
        <f>VLOOKUP(Scores[[#This Row],[MRUN]],Demographics[],6,FALSE)</f>
        <v>5</v>
      </c>
      <c r="L1159">
        <f>VLOOKUP(Scores[[#This Row],[MRUN]],Demographics[], 7,FALSE)</f>
        <v>9</v>
      </c>
      <c r="M1159">
        <f>VLOOKUP(Scores[[#This Row],[MRUN]],Demographics[], 5, FALSE)</f>
        <v>2</v>
      </c>
    </row>
    <row r="1160" spans="1:13" hidden="1" x14ac:dyDescent="0.2">
      <c r="A1160" s="1">
        <v>17727003</v>
      </c>
      <c r="B1160">
        <v>1</v>
      </c>
      <c r="C1160">
        <v>3</v>
      </c>
      <c r="D1160">
        <v>558</v>
      </c>
      <c r="E1160">
        <v>541</v>
      </c>
      <c r="F1160">
        <v>395</v>
      </c>
      <c r="G1160">
        <v>628</v>
      </c>
      <c r="H1160">
        <v>0</v>
      </c>
      <c r="I1160">
        <f>VLOOKUP(Scores[[#This Row],[MRUN]],Demographics[],3,FALSE)</f>
        <v>3</v>
      </c>
      <c r="J1160">
        <f>AVERAGE(Scores[[#This Row],[LYC]],Scores[[#This Row],[MATE]])</f>
        <v>468</v>
      </c>
      <c r="K1160">
        <f>VLOOKUP(Scores[[#This Row],[MRUN]],Demographics[],6,FALSE)</f>
        <v>5</v>
      </c>
      <c r="L1160">
        <f>VLOOKUP(Scores[[#This Row],[MRUN]],Demographics[], 7,FALSE)</f>
        <v>7</v>
      </c>
      <c r="M1160">
        <f>VLOOKUP(Scores[[#This Row],[MRUN]],Demographics[], 5, FALSE)</f>
        <v>2</v>
      </c>
    </row>
    <row r="1161" spans="1:13" hidden="1" x14ac:dyDescent="0.2">
      <c r="A1161" s="1">
        <v>15157873</v>
      </c>
      <c r="B1161">
        <v>2</v>
      </c>
      <c r="C1161">
        <v>2</v>
      </c>
      <c r="D1161">
        <v>621</v>
      </c>
      <c r="E1161">
        <v>516</v>
      </c>
      <c r="F1161">
        <v>557</v>
      </c>
      <c r="G1161">
        <v>562</v>
      </c>
      <c r="H1161">
        <v>571</v>
      </c>
      <c r="I1161">
        <f>VLOOKUP(Scores[[#This Row],[MRUN]],Demographics[],3,FALSE)</f>
        <v>3</v>
      </c>
      <c r="J1161">
        <f>AVERAGE(Scores[[#This Row],[LYC]],Scores[[#This Row],[MATE]])</f>
        <v>536.5</v>
      </c>
      <c r="K1161">
        <f>VLOOKUP(Scores[[#This Row],[MRUN]],Demographics[],6,FALSE)</f>
        <v>5</v>
      </c>
      <c r="L1161">
        <f>VLOOKUP(Scores[[#This Row],[MRUN]],Demographics[], 7,FALSE)</f>
        <v>5</v>
      </c>
      <c r="M1161">
        <f>VLOOKUP(Scores[[#This Row],[MRUN]],Demographics[], 5, FALSE)</f>
        <v>1</v>
      </c>
    </row>
    <row r="1162" spans="1:13" hidden="1" x14ac:dyDescent="0.2">
      <c r="A1162" s="1">
        <v>1373419</v>
      </c>
      <c r="B1162">
        <v>1</v>
      </c>
      <c r="C1162">
        <v>2</v>
      </c>
      <c r="D1162">
        <v>455</v>
      </c>
      <c r="E1162">
        <v>397</v>
      </c>
      <c r="F1162">
        <v>353</v>
      </c>
      <c r="G1162">
        <v>397</v>
      </c>
      <c r="H1162">
        <v>0</v>
      </c>
      <c r="I1162">
        <f>VLOOKUP(Scores[[#This Row],[MRUN]],Demographics[],3,FALSE)</f>
        <v>5</v>
      </c>
      <c r="J1162">
        <f>AVERAGE(Scores[[#This Row],[LYC]],Scores[[#This Row],[MATE]])</f>
        <v>375</v>
      </c>
      <c r="K1162">
        <f>VLOOKUP(Scores[[#This Row],[MRUN]],Demographics[],6,FALSE)</f>
        <v>8</v>
      </c>
      <c r="L1162">
        <f>VLOOKUP(Scores[[#This Row],[MRUN]],Demographics[], 7,FALSE)</f>
        <v>9</v>
      </c>
      <c r="M1162">
        <f>VLOOKUP(Scores[[#This Row],[MRUN]],Demographics[], 5, FALSE)</f>
        <v>2</v>
      </c>
    </row>
    <row r="1163" spans="1:13" hidden="1" x14ac:dyDescent="0.2">
      <c r="A1163" s="1">
        <v>10885709</v>
      </c>
      <c r="B1163">
        <v>1</v>
      </c>
      <c r="C1163">
        <v>2</v>
      </c>
      <c r="D1163">
        <v>356</v>
      </c>
      <c r="E1163">
        <v>345</v>
      </c>
      <c r="F1163">
        <v>376</v>
      </c>
      <c r="G1163">
        <v>421</v>
      </c>
      <c r="H1163">
        <v>0</v>
      </c>
      <c r="I1163">
        <f>VLOOKUP(Scores[[#This Row],[MRUN]],Demographics[],3,FALSE)</f>
        <v>3</v>
      </c>
      <c r="J1163">
        <f>AVERAGE(Scores[[#This Row],[LYC]],Scores[[#This Row],[MATE]])</f>
        <v>360.5</v>
      </c>
      <c r="K1163">
        <f>VLOOKUP(Scores[[#This Row],[MRUN]],Demographics[],6,FALSE)</f>
        <v>5</v>
      </c>
      <c r="L1163">
        <f>VLOOKUP(Scores[[#This Row],[MRUN]],Demographics[], 7,FALSE)</f>
        <v>3</v>
      </c>
      <c r="M1163">
        <f>VLOOKUP(Scores[[#This Row],[MRUN]],Demographics[], 5, FALSE)</f>
        <v>1</v>
      </c>
    </row>
    <row r="1164" spans="1:13" hidden="1" x14ac:dyDescent="0.2">
      <c r="A1164" s="1">
        <v>2542544</v>
      </c>
      <c r="B1164">
        <v>1</v>
      </c>
      <c r="C1164">
        <v>3</v>
      </c>
      <c r="D1164">
        <v>538</v>
      </c>
      <c r="E1164">
        <v>717</v>
      </c>
      <c r="F1164">
        <v>596</v>
      </c>
      <c r="G1164">
        <v>670</v>
      </c>
      <c r="H1164">
        <v>0</v>
      </c>
      <c r="I1164">
        <f>VLOOKUP(Scores[[#This Row],[MRUN]],Demographics[],3,FALSE)</f>
        <v>5</v>
      </c>
      <c r="J1164">
        <f>AVERAGE(Scores[[#This Row],[LYC]],Scores[[#This Row],[MATE]])</f>
        <v>656.5</v>
      </c>
      <c r="K1164">
        <f>VLOOKUP(Scores[[#This Row],[MRUN]],Demographics[],6,FALSE)</f>
        <v>9</v>
      </c>
      <c r="L1164">
        <f>VLOOKUP(Scores[[#This Row],[MRUN]],Demographics[], 7,FALSE)</f>
        <v>5</v>
      </c>
      <c r="M1164">
        <f>VLOOKUP(Scores[[#This Row],[MRUN]],Demographics[], 5, FALSE)</f>
        <v>3</v>
      </c>
    </row>
    <row r="1165" spans="1:13" hidden="1" x14ac:dyDescent="0.2">
      <c r="A1165" s="1">
        <v>2874937</v>
      </c>
      <c r="B1165">
        <v>1</v>
      </c>
      <c r="C1165">
        <v>4</v>
      </c>
      <c r="D1165">
        <v>579</v>
      </c>
      <c r="E1165">
        <v>521</v>
      </c>
      <c r="F1165">
        <v>657</v>
      </c>
      <c r="G1165">
        <v>0</v>
      </c>
      <c r="H1165">
        <v>558</v>
      </c>
      <c r="I1165">
        <f>VLOOKUP(Scores[[#This Row],[MRUN]],Demographics[],3,FALSE)</f>
        <v>5</v>
      </c>
      <c r="J1165">
        <f>AVERAGE(Scores[[#This Row],[LYC]],Scores[[#This Row],[MATE]])</f>
        <v>589</v>
      </c>
      <c r="K1165">
        <f>VLOOKUP(Scores[[#This Row],[MRUN]],Demographics[],6,FALSE)</f>
        <v>9</v>
      </c>
      <c r="L1165">
        <f>VLOOKUP(Scores[[#This Row],[MRUN]],Demographics[], 7,FALSE)</f>
        <v>7</v>
      </c>
      <c r="M1165">
        <f>VLOOKUP(Scores[[#This Row],[MRUN]],Demographics[], 5, FALSE)</f>
        <v>3</v>
      </c>
    </row>
    <row r="1166" spans="1:13" hidden="1" x14ac:dyDescent="0.2">
      <c r="A1166" s="1">
        <v>4476709</v>
      </c>
      <c r="B1166">
        <v>1</v>
      </c>
      <c r="C1166">
        <v>3</v>
      </c>
      <c r="D1166">
        <v>496</v>
      </c>
      <c r="E1166">
        <v>668</v>
      </c>
      <c r="F1166">
        <v>636</v>
      </c>
      <c r="G1166">
        <v>628</v>
      </c>
      <c r="H1166">
        <v>504</v>
      </c>
      <c r="I1166">
        <f>VLOOKUP(Scores[[#This Row],[MRUN]],Demographics[],3,FALSE)</f>
        <v>5</v>
      </c>
      <c r="J1166">
        <f>AVERAGE(Scores[[#This Row],[LYC]],Scores[[#This Row],[MATE]])</f>
        <v>652</v>
      </c>
      <c r="K1166">
        <f>VLOOKUP(Scores[[#This Row],[MRUN]],Demographics[],6,FALSE)</f>
        <v>7</v>
      </c>
      <c r="L1166">
        <f>VLOOKUP(Scores[[#This Row],[MRUN]],Demographics[], 7,FALSE)</f>
        <v>7</v>
      </c>
      <c r="M1166">
        <f>VLOOKUP(Scores[[#This Row],[MRUN]],Demographics[], 5, FALSE)</f>
        <v>1</v>
      </c>
    </row>
    <row r="1167" spans="1:13" hidden="1" x14ac:dyDescent="0.2">
      <c r="A1167" s="1">
        <v>2340594</v>
      </c>
      <c r="B1167">
        <v>2</v>
      </c>
      <c r="C1167">
        <v>4</v>
      </c>
      <c r="D1167">
        <v>538</v>
      </c>
      <c r="E1167">
        <v>629</v>
      </c>
      <c r="F1167">
        <v>624</v>
      </c>
      <c r="G1167">
        <v>646</v>
      </c>
      <c r="H1167">
        <v>0</v>
      </c>
      <c r="I1167">
        <f>VLOOKUP(Scores[[#This Row],[MRUN]],Demographics[],3,FALSE)</f>
        <v>0</v>
      </c>
      <c r="J1167">
        <f>AVERAGE(Scores[[#This Row],[LYC]],Scores[[#This Row],[MATE]])</f>
        <v>626.5</v>
      </c>
      <c r="K1167">
        <f>VLOOKUP(Scores[[#This Row],[MRUN]],Demographics[],6,FALSE)</f>
        <v>9</v>
      </c>
      <c r="L1167">
        <f>VLOOKUP(Scores[[#This Row],[MRUN]],Demographics[], 7,FALSE)</f>
        <v>9</v>
      </c>
      <c r="M1167">
        <f>VLOOKUP(Scores[[#This Row],[MRUN]],Demographics[], 5, FALSE)</f>
        <v>5</v>
      </c>
    </row>
    <row r="1168" spans="1:13" hidden="1" x14ac:dyDescent="0.2">
      <c r="A1168" s="1">
        <v>18996671</v>
      </c>
      <c r="B1168">
        <v>2</v>
      </c>
      <c r="C1168">
        <v>2</v>
      </c>
      <c r="D1168">
        <v>599</v>
      </c>
      <c r="E1168">
        <v>607</v>
      </c>
      <c r="F1168">
        <v>413</v>
      </c>
      <c r="G1168">
        <v>613</v>
      </c>
      <c r="H1168">
        <v>0</v>
      </c>
      <c r="I1168">
        <f>VLOOKUP(Scores[[#This Row],[MRUN]],Demographics[],3,FALSE)</f>
        <v>4</v>
      </c>
      <c r="J1168">
        <f>AVERAGE(Scores[[#This Row],[LYC]],Scores[[#This Row],[MATE]])</f>
        <v>510</v>
      </c>
      <c r="K1168">
        <f>VLOOKUP(Scores[[#This Row],[MRUN]],Demographics[],6,FALSE)</f>
        <v>8</v>
      </c>
      <c r="L1168">
        <f>VLOOKUP(Scores[[#This Row],[MRUN]],Demographics[], 7,FALSE)</f>
        <v>8</v>
      </c>
      <c r="M1168">
        <f>VLOOKUP(Scores[[#This Row],[MRUN]],Demographics[], 5, FALSE)</f>
        <v>2</v>
      </c>
    </row>
    <row r="1169" spans="1:13" hidden="1" x14ac:dyDescent="0.2">
      <c r="A1169" s="1">
        <v>7781918</v>
      </c>
      <c r="B1169">
        <v>1</v>
      </c>
      <c r="C1169">
        <v>3</v>
      </c>
      <c r="D1169">
        <v>538</v>
      </c>
      <c r="E1169">
        <v>576</v>
      </c>
      <c r="F1169">
        <v>517</v>
      </c>
      <c r="G1169">
        <v>552</v>
      </c>
      <c r="H1169">
        <v>491</v>
      </c>
      <c r="I1169">
        <f>VLOOKUP(Scores[[#This Row],[MRUN]],Demographics[],3,FALSE)</f>
        <v>6</v>
      </c>
      <c r="J1169">
        <f>AVERAGE(Scores[[#This Row],[LYC]],Scores[[#This Row],[MATE]])</f>
        <v>546.5</v>
      </c>
      <c r="K1169">
        <f>VLOOKUP(Scores[[#This Row],[MRUN]],Demographics[],6,FALSE)</f>
        <v>7</v>
      </c>
      <c r="L1169">
        <f>VLOOKUP(Scores[[#This Row],[MRUN]],Demographics[], 7,FALSE)</f>
        <v>5</v>
      </c>
      <c r="M1169">
        <f>VLOOKUP(Scores[[#This Row],[MRUN]],Demographics[], 5, FALSE)</f>
        <v>2</v>
      </c>
    </row>
    <row r="1170" spans="1:13" hidden="1" x14ac:dyDescent="0.2">
      <c r="A1170" s="1">
        <v>7074302</v>
      </c>
      <c r="B1170">
        <v>1</v>
      </c>
      <c r="C1170">
        <v>3</v>
      </c>
      <c r="D1170">
        <v>539</v>
      </c>
      <c r="E1170">
        <v>499</v>
      </c>
      <c r="F1170">
        <v>376</v>
      </c>
      <c r="G1170">
        <v>623</v>
      </c>
      <c r="H1170">
        <v>0</v>
      </c>
      <c r="I1170">
        <f>VLOOKUP(Scores[[#This Row],[MRUN]],Demographics[],3,FALSE)</f>
        <v>3</v>
      </c>
      <c r="J1170">
        <f>AVERAGE(Scores[[#This Row],[LYC]],Scores[[#This Row],[MATE]])</f>
        <v>437.5</v>
      </c>
      <c r="K1170">
        <f>VLOOKUP(Scores[[#This Row],[MRUN]],Demographics[],6,FALSE)</f>
        <v>4</v>
      </c>
      <c r="L1170">
        <f>VLOOKUP(Scores[[#This Row],[MRUN]],Demographics[], 7,FALSE)</f>
        <v>3</v>
      </c>
      <c r="M1170">
        <f>VLOOKUP(Scores[[#This Row],[MRUN]],Demographics[], 5, FALSE)</f>
        <v>1</v>
      </c>
    </row>
    <row r="1171" spans="1:13" hidden="1" x14ac:dyDescent="0.2">
      <c r="A1171" s="1">
        <v>21161670</v>
      </c>
      <c r="B1171">
        <v>1</v>
      </c>
      <c r="C1171">
        <v>2</v>
      </c>
      <c r="D1171">
        <v>579</v>
      </c>
      <c r="E1171">
        <v>356</v>
      </c>
      <c r="F1171">
        <v>487</v>
      </c>
      <c r="G1171">
        <v>0</v>
      </c>
      <c r="H1171">
        <v>0</v>
      </c>
      <c r="I1171">
        <f>VLOOKUP(Scores[[#This Row],[MRUN]],Demographics[],3,FALSE)</f>
        <v>5</v>
      </c>
      <c r="J1171">
        <f>AVERAGE(Scores[[#This Row],[LYC]],Scores[[#This Row],[MATE]])</f>
        <v>421.5</v>
      </c>
      <c r="K1171">
        <f>VLOOKUP(Scores[[#This Row],[MRUN]],Demographics[],6,FALSE)</f>
        <v>3</v>
      </c>
      <c r="L1171">
        <f>VLOOKUP(Scores[[#This Row],[MRUN]],Demographics[], 7,FALSE)</f>
        <v>3</v>
      </c>
      <c r="M1171">
        <f>VLOOKUP(Scores[[#This Row],[MRUN]],Demographics[], 5, FALSE)</f>
        <v>2</v>
      </c>
    </row>
    <row r="1172" spans="1:13" hidden="1" x14ac:dyDescent="0.2">
      <c r="A1172" s="1">
        <v>16888761</v>
      </c>
      <c r="B1172">
        <v>2</v>
      </c>
      <c r="C1172">
        <v>4</v>
      </c>
      <c r="D1172">
        <v>455</v>
      </c>
      <c r="E1172">
        <v>483</v>
      </c>
      <c r="F1172">
        <v>527</v>
      </c>
      <c r="G1172">
        <v>442</v>
      </c>
      <c r="H1172">
        <v>0</v>
      </c>
      <c r="I1172">
        <f>VLOOKUP(Scores[[#This Row],[MRUN]],Demographics[],3,FALSE)</f>
        <v>5</v>
      </c>
      <c r="J1172">
        <f>AVERAGE(Scores[[#This Row],[LYC]],Scores[[#This Row],[MATE]])</f>
        <v>505</v>
      </c>
      <c r="K1172">
        <f>VLOOKUP(Scores[[#This Row],[MRUN]],Demographics[],6,FALSE)</f>
        <v>5</v>
      </c>
      <c r="L1172">
        <f>VLOOKUP(Scores[[#This Row],[MRUN]],Demographics[], 7,FALSE)</f>
        <v>5</v>
      </c>
      <c r="M1172">
        <f>VLOOKUP(Scores[[#This Row],[MRUN]],Demographics[], 5, FALSE)</f>
        <v>2</v>
      </c>
    </row>
    <row r="1173" spans="1:13" hidden="1" x14ac:dyDescent="0.2">
      <c r="A1173" s="1">
        <v>15186165</v>
      </c>
      <c r="B1173">
        <v>2</v>
      </c>
      <c r="C1173">
        <v>4</v>
      </c>
      <c r="D1173">
        <v>538</v>
      </c>
      <c r="E1173">
        <v>629</v>
      </c>
      <c r="F1173">
        <v>582</v>
      </c>
      <c r="G1173">
        <v>0</v>
      </c>
      <c r="H1173">
        <v>606</v>
      </c>
      <c r="I1173">
        <f>VLOOKUP(Scores[[#This Row],[MRUN]],Demographics[],3,FALSE)</f>
        <v>4</v>
      </c>
      <c r="J1173">
        <f>AVERAGE(Scores[[#This Row],[LYC]],Scores[[#This Row],[MATE]])</f>
        <v>605.5</v>
      </c>
      <c r="K1173">
        <f>VLOOKUP(Scores[[#This Row],[MRUN]],Demographics[],6,FALSE)</f>
        <v>4</v>
      </c>
      <c r="L1173">
        <f>VLOOKUP(Scores[[#This Row],[MRUN]],Demographics[], 7,FALSE)</f>
        <v>5</v>
      </c>
      <c r="M1173">
        <f>VLOOKUP(Scores[[#This Row],[MRUN]],Demographics[], 5, FALSE)</f>
        <v>2</v>
      </c>
    </row>
    <row r="1174" spans="1:13" hidden="1" x14ac:dyDescent="0.2">
      <c r="A1174" s="1">
        <v>3870236</v>
      </c>
      <c r="B1174">
        <v>1</v>
      </c>
      <c r="C1174">
        <v>2</v>
      </c>
      <c r="D1174">
        <v>601</v>
      </c>
      <c r="E1174">
        <v>505</v>
      </c>
      <c r="F1174">
        <v>523</v>
      </c>
      <c r="G1174">
        <v>0</v>
      </c>
      <c r="H1174">
        <v>483</v>
      </c>
      <c r="I1174">
        <f>VLOOKUP(Scores[[#This Row],[MRUN]],Demographics[],3,FALSE)</f>
        <v>4</v>
      </c>
      <c r="J1174">
        <f>AVERAGE(Scores[[#This Row],[LYC]],Scores[[#This Row],[MATE]])</f>
        <v>514</v>
      </c>
      <c r="K1174">
        <f>VLOOKUP(Scores[[#This Row],[MRUN]],Demographics[],6,FALSE)</f>
        <v>2</v>
      </c>
      <c r="L1174">
        <f>VLOOKUP(Scores[[#This Row],[MRUN]],Demographics[], 7,FALSE)</f>
        <v>2</v>
      </c>
      <c r="M1174">
        <f>VLOOKUP(Scores[[#This Row],[MRUN]],Demographics[], 5, FALSE)</f>
        <v>1</v>
      </c>
    </row>
    <row r="1175" spans="1:13" hidden="1" x14ac:dyDescent="0.2">
      <c r="A1175" s="1">
        <v>766666</v>
      </c>
      <c r="B1175">
        <v>1</v>
      </c>
      <c r="C1175">
        <v>3</v>
      </c>
      <c r="D1175">
        <v>620</v>
      </c>
      <c r="E1175">
        <v>602</v>
      </c>
      <c r="F1175">
        <v>675</v>
      </c>
      <c r="G1175">
        <v>0</v>
      </c>
      <c r="H1175">
        <v>639</v>
      </c>
      <c r="I1175">
        <f>VLOOKUP(Scores[[#This Row],[MRUN]],Demographics[],3,FALSE)</f>
        <v>4</v>
      </c>
      <c r="J1175">
        <f>AVERAGE(Scores[[#This Row],[LYC]],Scores[[#This Row],[MATE]])</f>
        <v>638.5</v>
      </c>
      <c r="K1175">
        <f>VLOOKUP(Scores[[#This Row],[MRUN]],Demographics[],6,FALSE)</f>
        <v>4</v>
      </c>
      <c r="L1175">
        <f>VLOOKUP(Scores[[#This Row],[MRUN]],Demographics[], 7,FALSE)</f>
        <v>9</v>
      </c>
      <c r="M1175">
        <f>VLOOKUP(Scores[[#This Row],[MRUN]],Demographics[], 5, FALSE)</f>
        <v>2</v>
      </c>
    </row>
    <row r="1176" spans="1:13" hidden="1" x14ac:dyDescent="0.2">
      <c r="A1176" s="1">
        <v>8878399</v>
      </c>
      <c r="B1176">
        <v>2</v>
      </c>
      <c r="C1176">
        <v>2</v>
      </c>
      <c r="D1176">
        <v>558</v>
      </c>
      <c r="E1176">
        <v>494</v>
      </c>
      <c r="F1176">
        <v>463</v>
      </c>
      <c r="G1176">
        <v>473</v>
      </c>
      <c r="H1176">
        <v>0</v>
      </c>
      <c r="I1176">
        <f>VLOOKUP(Scores[[#This Row],[MRUN]],Demographics[],3,FALSE)</f>
        <v>4</v>
      </c>
      <c r="J1176">
        <f>AVERAGE(Scores[[#This Row],[LYC]],Scores[[#This Row],[MATE]])</f>
        <v>478.5</v>
      </c>
      <c r="K1176">
        <f>VLOOKUP(Scores[[#This Row],[MRUN]],Demographics[],6,FALSE)</f>
        <v>2</v>
      </c>
      <c r="L1176">
        <f>VLOOKUP(Scores[[#This Row],[MRUN]],Demographics[], 7,FALSE)</f>
        <v>5</v>
      </c>
      <c r="M1176">
        <f>VLOOKUP(Scores[[#This Row],[MRUN]],Demographics[], 5, FALSE)</f>
        <v>1</v>
      </c>
    </row>
    <row r="1177" spans="1:13" hidden="1" x14ac:dyDescent="0.2">
      <c r="A1177" s="1">
        <v>5674630</v>
      </c>
      <c r="B1177">
        <v>2</v>
      </c>
      <c r="C1177">
        <v>2</v>
      </c>
      <c r="D1177">
        <v>437</v>
      </c>
      <c r="E1177">
        <v>471</v>
      </c>
      <c r="F1177">
        <v>353</v>
      </c>
      <c r="G1177">
        <v>495</v>
      </c>
      <c r="H1177">
        <v>0</v>
      </c>
      <c r="I1177">
        <f>VLOOKUP(Scores[[#This Row],[MRUN]],Demographics[],3,FALSE)</f>
        <v>5</v>
      </c>
      <c r="J1177">
        <f>AVERAGE(Scores[[#This Row],[LYC]],Scores[[#This Row],[MATE]])</f>
        <v>412</v>
      </c>
      <c r="K1177">
        <f>VLOOKUP(Scores[[#This Row],[MRUN]],Demographics[],6,FALSE)</f>
        <v>5</v>
      </c>
      <c r="L1177">
        <f>VLOOKUP(Scores[[#This Row],[MRUN]],Demographics[], 7,FALSE)</f>
        <v>4</v>
      </c>
      <c r="M1177">
        <f>VLOOKUP(Scores[[#This Row],[MRUN]],Demographics[], 5, FALSE)</f>
        <v>1</v>
      </c>
    </row>
    <row r="1178" spans="1:13" hidden="1" x14ac:dyDescent="0.2">
      <c r="A1178" s="1">
        <v>6641904</v>
      </c>
      <c r="B1178">
        <v>2</v>
      </c>
      <c r="C1178">
        <v>4</v>
      </c>
      <c r="D1178">
        <v>785</v>
      </c>
      <c r="E1178">
        <v>683</v>
      </c>
      <c r="F1178">
        <v>728</v>
      </c>
      <c r="G1178">
        <v>0</v>
      </c>
      <c r="H1178">
        <v>738</v>
      </c>
      <c r="I1178">
        <f>VLOOKUP(Scores[[#This Row],[MRUN]],Demographics[],3,FALSE)</f>
        <v>5</v>
      </c>
      <c r="J1178">
        <f>AVERAGE(Scores[[#This Row],[LYC]],Scores[[#This Row],[MATE]])</f>
        <v>705.5</v>
      </c>
      <c r="K1178">
        <f>VLOOKUP(Scores[[#This Row],[MRUN]],Demographics[],6,FALSE)</f>
        <v>9</v>
      </c>
      <c r="L1178">
        <f>VLOOKUP(Scores[[#This Row],[MRUN]],Demographics[], 7,FALSE)</f>
        <v>9</v>
      </c>
      <c r="M1178">
        <f>VLOOKUP(Scores[[#This Row],[MRUN]],Demographics[], 5, FALSE)</f>
        <v>3</v>
      </c>
    </row>
    <row r="1179" spans="1:13" hidden="1" x14ac:dyDescent="0.2">
      <c r="A1179" s="1">
        <v>6208870</v>
      </c>
      <c r="B1179">
        <v>2</v>
      </c>
      <c r="C1179">
        <v>2</v>
      </c>
      <c r="D1179">
        <v>458</v>
      </c>
      <c r="E1179">
        <v>406</v>
      </c>
      <c r="F1179">
        <v>376</v>
      </c>
      <c r="G1179">
        <v>359</v>
      </c>
      <c r="H1179">
        <v>0</v>
      </c>
      <c r="I1179">
        <f>VLOOKUP(Scores[[#This Row],[MRUN]],Demographics[],3,FALSE)</f>
        <v>5</v>
      </c>
      <c r="J1179">
        <f>AVERAGE(Scores[[#This Row],[LYC]],Scores[[#This Row],[MATE]])</f>
        <v>391</v>
      </c>
      <c r="K1179">
        <f>VLOOKUP(Scores[[#This Row],[MRUN]],Demographics[],6,FALSE)</f>
        <v>5</v>
      </c>
      <c r="L1179">
        <f>VLOOKUP(Scores[[#This Row],[MRUN]],Demographics[], 7,FALSE)</f>
        <v>4</v>
      </c>
      <c r="M1179">
        <f>VLOOKUP(Scores[[#This Row],[MRUN]],Demographics[], 5, FALSE)</f>
        <v>1</v>
      </c>
    </row>
    <row r="1180" spans="1:13" hidden="1" x14ac:dyDescent="0.2">
      <c r="A1180" s="1">
        <v>17221481</v>
      </c>
      <c r="B1180">
        <v>1</v>
      </c>
      <c r="C1180">
        <v>4</v>
      </c>
      <c r="D1180">
        <v>517</v>
      </c>
      <c r="E1180">
        <v>557</v>
      </c>
      <c r="F1180">
        <v>628</v>
      </c>
      <c r="G1180">
        <v>0</v>
      </c>
      <c r="H1180">
        <v>668</v>
      </c>
      <c r="I1180">
        <f>VLOOKUP(Scores[[#This Row],[MRUN]],Demographics[],3,FALSE)</f>
        <v>6</v>
      </c>
      <c r="J1180">
        <f>AVERAGE(Scores[[#This Row],[LYC]],Scores[[#This Row],[MATE]])</f>
        <v>592.5</v>
      </c>
      <c r="K1180">
        <f>VLOOKUP(Scores[[#This Row],[MRUN]],Demographics[],6,FALSE)</f>
        <v>9</v>
      </c>
      <c r="L1180">
        <f>VLOOKUP(Scores[[#This Row],[MRUN]],Demographics[], 7,FALSE)</f>
        <v>9</v>
      </c>
      <c r="M1180">
        <f>VLOOKUP(Scores[[#This Row],[MRUN]],Demographics[], 5, FALSE)</f>
        <v>4</v>
      </c>
    </row>
    <row r="1181" spans="1:13" hidden="1" x14ac:dyDescent="0.2">
      <c r="A1181" s="1">
        <v>1935753</v>
      </c>
      <c r="B1181">
        <v>2</v>
      </c>
      <c r="C1181">
        <v>2</v>
      </c>
      <c r="D1181">
        <v>455</v>
      </c>
      <c r="E1181">
        <v>320</v>
      </c>
      <c r="F1181">
        <v>328</v>
      </c>
      <c r="G1181">
        <v>414</v>
      </c>
      <c r="H1181">
        <v>0</v>
      </c>
      <c r="I1181">
        <f>VLOOKUP(Scores[[#This Row],[MRUN]],Demographics[],3,FALSE)</f>
        <v>5</v>
      </c>
      <c r="J1181">
        <f>AVERAGE(Scores[[#This Row],[LYC]],Scores[[#This Row],[MATE]])</f>
        <v>324</v>
      </c>
      <c r="K1181">
        <f>VLOOKUP(Scores[[#This Row],[MRUN]],Demographics[],6,FALSE)</f>
        <v>5</v>
      </c>
      <c r="L1181">
        <f>VLOOKUP(Scores[[#This Row],[MRUN]],Demographics[], 7,FALSE)</f>
        <v>5</v>
      </c>
      <c r="M1181">
        <f>VLOOKUP(Scores[[#This Row],[MRUN]],Demographics[], 5, FALSE)</f>
        <v>2</v>
      </c>
    </row>
    <row r="1182" spans="1:13" hidden="1" x14ac:dyDescent="0.2">
      <c r="A1182" s="1">
        <v>9412633</v>
      </c>
      <c r="B1182">
        <v>1</v>
      </c>
      <c r="C1182">
        <v>4</v>
      </c>
      <c r="D1182">
        <v>435</v>
      </c>
      <c r="E1182">
        <v>505</v>
      </c>
      <c r="F1182">
        <v>671</v>
      </c>
      <c r="G1182">
        <v>0</v>
      </c>
      <c r="H1182">
        <v>571</v>
      </c>
      <c r="I1182">
        <f>VLOOKUP(Scores[[#This Row],[MRUN]],Demographics[],3,FALSE)</f>
        <v>4</v>
      </c>
      <c r="J1182">
        <f>AVERAGE(Scores[[#This Row],[LYC]],Scores[[#This Row],[MATE]])</f>
        <v>588</v>
      </c>
      <c r="K1182">
        <f>VLOOKUP(Scores[[#This Row],[MRUN]],Demographics[],6,FALSE)</f>
        <v>9</v>
      </c>
      <c r="L1182">
        <f>VLOOKUP(Scores[[#This Row],[MRUN]],Demographics[], 7,FALSE)</f>
        <v>5</v>
      </c>
      <c r="M1182">
        <f>VLOOKUP(Scores[[#This Row],[MRUN]],Demographics[], 5, FALSE)</f>
        <v>3</v>
      </c>
    </row>
    <row r="1183" spans="1:13" hidden="1" x14ac:dyDescent="0.2">
      <c r="A1183" s="1">
        <v>5140399</v>
      </c>
      <c r="B1183">
        <v>2</v>
      </c>
      <c r="C1183">
        <v>2</v>
      </c>
      <c r="D1183">
        <v>621</v>
      </c>
      <c r="E1183">
        <v>607</v>
      </c>
      <c r="F1183">
        <v>506</v>
      </c>
      <c r="G1183">
        <v>613</v>
      </c>
      <c r="H1183">
        <v>0</v>
      </c>
      <c r="I1183">
        <f>VLOOKUP(Scores[[#This Row],[MRUN]],Demographics[],3,FALSE)</f>
        <v>5</v>
      </c>
      <c r="J1183">
        <f>AVERAGE(Scores[[#This Row],[LYC]],Scores[[#This Row],[MATE]])</f>
        <v>556.5</v>
      </c>
      <c r="K1183">
        <f>VLOOKUP(Scores[[#This Row],[MRUN]],Demographics[],6,FALSE)</f>
        <v>3</v>
      </c>
      <c r="L1183">
        <f>VLOOKUP(Scores[[#This Row],[MRUN]],Demographics[], 7,FALSE)</f>
        <v>3</v>
      </c>
      <c r="M1183">
        <f>VLOOKUP(Scores[[#This Row],[MRUN]],Demographics[], 5, FALSE)</f>
        <v>1</v>
      </c>
    </row>
    <row r="1184" spans="1:13" hidden="1" x14ac:dyDescent="0.2">
      <c r="A1184" s="1">
        <v>18823397</v>
      </c>
      <c r="B1184">
        <v>2</v>
      </c>
      <c r="C1184">
        <v>4</v>
      </c>
      <c r="D1184">
        <v>579</v>
      </c>
      <c r="E1184">
        <v>641</v>
      </c>
      <c r="F1184">
        <v>636</v>
      </c>
      <c r="G1184">
        <v>0</v>
      </c>
      <c r="H1184">
        <v>655</v>
      </c>
      <c r="I1184">
        <f>VLOOKUP(Scores[[#This Row],[MRUN]],Demographics[],3,FALSE)</f>
        <v>5</v>
      </c>
      <c r="J1184">
        <f>AVERAGE(Scores[[#This Row],[LYC]],Scores[[#This Row],[MATE]])</f>
        <v>638.5</v>
      </c>
      <c r="K1184">
        <f>VLOOKUP(Scores[[#This Row],[MRUN]],Demographics[],6,FALSE)</f>
        <v>9</v>
      </c>
      <c r="L1184">
        <f>VLOOKUP(Scores[[#This Row],[MRUN]],Demographics[], 7,FALSE)</f>
        <v>5</v>
      </c>
      <c r="M1184">
        <f>VLOOKUP(Scores[[#This Row],[MRUN]],Demographics[], 5, FALSE)</f>
        <v>2</v>
      </c>
    </row>
    <row r="1185" spans="1:13" hidden="1" x14ac:dyDescent="0.2">
      <c r="A1185" s="1">
        <v>21695706</v>
      </c>
      <c r="B1185">
        <v>2</v>
      </c>
      <c r="C1185">
        <v>2</v>
      </c>
      <c r="D1185">
        <v>579</v>
      </c>
      <c r="E1185">
        <v>510</v>
      </c>
      <c r="F1185">
        <v>376</v>
      </c>
      <c r="G1185">
        <v>436</v>
      </c>
      <c r="H1185">
        <v>0</v>
      </c>
      <c r="I1185">
        <f>VLOOKUP(Scores[[#This Row],[MRUN]],Demographics[],3,FALSE)</f>
        <v>3</v>
      </c>
      <c r="J1185">
        <f>AVERAGE(Scores[[#This Row],[LYC]],Scores[[#This Row],[MATE]])</f>
        <v>443</v>
      </c>
      <c r="K1185">
        <f>VLOOKUP(Scores[[#This Row],[MRUN]],Demographics[],6,FALSE)</f>
        <v>3</v>
      </c>
      <c r="L1185">
        <f>VLOOKUP(Scores[[#This Row],[MRUN]],Demographics[], 7,FALSE)</f>
        <v>4</v>
      </c>
      <c r="M1185">
        <f>VLOOKUP(Scores[[#This Row],[MRUN]],Demographics[], 5, FALSE)</f>
        <v>1</v>
      </c>
    </row>
    <row r="1186" spans="1:13" hidden="1" x14ac:dyDescent="0.2">
      <c r="A1186" s="1">
        <v>10278664</v>
      </c>
      <c r="B1186">
        <v>2</v>
      </c>
      <c r="C1186">
        <v>3</v>
      </c>
      <c r="D1186">
        <v>476</v>
      </c>
      <c r="E1186">
        <v>510</v>
      </c>
      <c r="F1186">
        <v>487</v>
      </c>
      <c r="G1186">
        <v>562</v>
      </c>
      <c r="H1186">
        <v>0</v>
      </c>
      <c r="I1186">
        <f>VLOOKUP(Scores[[#This Row],[MRUN]],Demographics[],3,FALSE)</f>
        <v>3</v>
      </c>
      <c r="J1186">
        <f>AVERAGE(Scores[[#This Row],[LYC]],Scores[[#This Row],[MATE]])</f>
        <v>498.5</v>
      </c>
      <c r="K1186">
        <f>VLOOKUP(Scores[[#This Row],[MRUN]],Demographics[],6,FALSE)</f>
        <v>5</v>
      </c>
      <c r="L1186">
        <f>VLOOKUP(Scores[[#This Row],[MRUN]],Demographics[], 7,FALSE)</f>
        <v>2</v>
      </c>
      <c r="M1186">
        <f>VLOOKUP(Scores[[#This Row],[MRUN]],Demographics[], 5, FALSE)</f>
        <v>2</v>
      </c>
    </row>
    <row r="1187" spans="1:13" hidden="1" x14ac:dyDescent="0.2">
      <c r="A1187" s="1">
        <v>24265169</v>
      </c>
      <c r="B1187">
        <v>1</v>
      </c>
      <c r="C1187">
        <v>2</v>
      </c>
      <c r="D1187">
        <v>476</v>
      </c>
      <c r="E1187">
        <v>567</v>
      </c>
      <c r="F1187">
        <v>589</v>
      </c>
      <c r="G1187">
        <v>597</v>
      </c>
      <c r="H1187">
        <v>491</v>
      </c>
      <c r="I1187">
        <f>VLOOKUP(Scores[[#This Row],[MRUN]],Demographics[],3,FALSE)</f>
        <v>6</v>
      </c>
      <c r="J1187">
        <f>AVERAGE(Scores[[#This Row],[LYC]],Scores[[#This Row],[MATE]])</f>
        <v>578</v>
      </c>
      <c r="K1187">
        <f>VLOOKUP(Scores[[#This Row],[MRUN]],Demographics[],6,FALSE)</f>
        <v>8</v>
      </c>
      <c r="L1187">
        <f>VLOOKUP(Scores[[#This Row],[MRUN]],Demographics[], 7,FALSE)</f>
        <v>5</v>
      </c>
      <c r="M1187">
        <f>VLOOKUP(Scores[[#This Row],[MRUN]],Demographics[], 5, FALSE)</f>
        <v>1</v>
      </c>
    </row>
    <row r="1188" spans="1:13" hidden="1" x14ac:dyDescent="0.2">
      <c r="A1188" s="1">
        <v>13150647</v>
      </c>
      <c r="B1188">
        <v>2</v>
      </c>
      <c r="C1188">
        <v>2</v>
      </c>
      <c r="D1188">
        <v>599</v>
      </c>
      <c r="E1188">
        <v>557</v>
      </c>
      <c r="F1188">
        <v>494</v>
      </c>
      <c r="G1188">
        <v>506</v>
      </c>
      <c r="H1188">
        <v>0</v>
      </c>
      <c r="I1188">
        <f>VLOOKUP(Scores[[#This Row],[MRUN]],Demographics[],3,FALSE)</f>
        <v>5</v>
      </c>
      <c r="J1188">
        <f>AVERAGE(Scores[[#This Row],[LYC]],Scores[[#This Row],[MATE]])</f>
        <v>525.5</v>
      </c>
      <c r="K1188">
        <f>VLOOKUP(Scores[[#This Row],[MRUN]],Demographics[],6,FALSE)</f>
        <v>5</v>
      </c>
      <c r="L1188">
        <f>VLOOKUP(Scores[[#This Row],[MRUN]],Demographics[], 7,FALSE)</f>
        <v>10</v>
      </c>
      <c r="M1188">
        <f>VLOOKUP(Scores[[#This Row],[MRUN]],Demographics[], 5, FALSE)</f>
        <v>2</v>
      </c>
    </row>
    <row r="1189" spans="1:13" hidden="1" x14ac:dyDescent="0.2">
      <c r="A1189" s="1">
        <v>5573791</v>
      </c>
      <c r="B1189">
        <v>1</v>
      </c>
      <c r="C1189">
        <v>2</v>
      </c>
      <c r="D1189">
        <v>517</v>
      </c>
      <c r="E1189">
        <v>618</v>
      </c>
      <c r="F1189">
        <v>523</v>
      </c>
      <c r="G1189">
        <v>617</v>
      </c>
      <c r="H1189">
        <v>0</v>
      </c>
      <c r="I1189">
        <f>VLOOKUP(Scores[[#This Row],[MRUN]],Demographics[],3,FALSE)</f>
        <v>4</v>
      </c>
      <c r="J1189">
        <f>AVERAGE(Scores[[#This Row],[LYC]],Scores[[#This Row],[MATE]])</f>
        <v>570.5</v>
      </c>
      <c r="K1189">
        <f>VLOOKUP(Scores[[#This Row],[MRUN]],Demographics[],6,FALSE)</f>
        <v>5</v>
      </c>
      <c r="L1189">
        <f>VLOOKUP(Scores[[#This Row],[MRUN]],Demographics[], 7,FALSE)</f>
        <v>4</v>
      </c>
      <c r="M1189">
        <f>VLOOKUP(Scores[[#This Row],[MRUN]],Demographics[], 5, FALSE)</f>
        <v>2</v>
      </c>
    </row>
    <row r="1190" spans="1:13" hidden="1" x14ac:dyDescent="0.2">
      <c r="A1190" s="1">
        <v>10812923</v>
      </c>
      <c r="B1190">
        <v>2</v>
      </c>
      <c r="C1190">
        <v>2</v>
      </c>
      <c r="D1190">
        <v>519</v>
      </c>
      <c r="E1190">
        <v>406</v>
      </c>
      <c r="F1190">
        <v>472</v>
      </c>
      <c r="G1190">
        <v>397</v>
      </c>
      <c r="H1190">
        <v>0</v>
      </c>
      <c r="I1190">
        <f>VLOOKUP(Scores[[#This Row],[MRUN]],Demographics[],3,FALSE)</f>
        <v>7</v>
      </c>
      <c r="J1190">
        <f>AVERAGE(Scores[[#This Row],[LYC]],Scores[[#This Row],[MATE]])</f>
        <v>439</v>
      </c>
      <c r="K1190">
        <f>VLOOKUP(Scores[[#This Row],[MRUN]],Demographics[],6,FALSE)</f>
        <v>3</v>
      </c>
      <c r="L1190">
        <f>VLOOKUP(Scores[[#This Row],[MRUN]],Demographics[], 7,FALSE)</f>
        <v>3</v>
      </c>
      <c r="M1190">
        <f>VLOOKUP(Scores[[#This Row],[MRUN]],Demographics[], 5, FALSE)</f>
        <v>1</v>
      </c>
    </row>
    <row r="1191" spans="1:13" hidden="1" x14ac:dyDescent="0.2">
      <c r="A1191" s="1">
        <v>9744693</v>
      </c>
      <c r="B1191">
        <v>2</v>
      </c>
      <c r="C1191">
        <v>2</v>
      </c>
      <c r="D1191">
        <v>764</v>
      </c>
      <c r="E1191">
        <v>629</v>
      </c>
      <c r="F1191">
        <v>603</v>
      </c>
      <c r="G1191">
        <v>646</v>
      </c>
      <c r="H1191">
        <v>0</v>
      </c>
      <c r="I1191">
        <f>VLOOKUP(Scores[[#This Row],[MRUN]],Demographics[],3,FALSE)</f>
        <v>0</v>
      </c>
      <c r="J1191">
        <f>AVERAGE(Scores[[#This Row],[LYC]],Scores[[#This Row],[MATE]])</f>
        <v>616</v>
      </c>
      <c r="K1191">
        <f>VLOOKUP(Scores[[#This Row],[MRUN]],Demographics[],6,FALSE)</f>
        <v>0</v>
      </c>
      <c r="L1191">
        <f>VLOOKUP(Scores[[#This Row],[MRUN]],Demographics[], 7,FALSE)</f>
        <v>0</v>
      </c>
      <c r="M1191">
        <f>VLOOKUP(Scores[[#This Row],[MRUN]],Demographics[], 5, FALSE)</f>
        <v>1</v>
      </c>
    </row>
    <row r="1192" spans="1:13" hidden="1" x14ac:dyDescent="0.2">
      <c r="A1192" s="1">
        <v>9946404</v>
      </c>
      <c r="B1192">
        <v>1</v>
      </c>
      <c r="C1192">
        <v>2</v>
      </c>
      <c r="D1192">
        <v>558</v>
      </c>
      <c r="E1192">
        <v>596</v>
      </c>
      <c r="F1192">
        <v>593</v>
      </c>
      <c r="G1192">
        <v>0</v>
      </c>
      <c r="H1192">
        <v>562</v>
      </c>
      <c r="I1192">
        <f>VLOOKUP(Scores[[#This Row],[MRUN]],Demographics[],3,FALSE)</f>
        <v>7</v>
      </c>
      <c r="J1192">
        <f>AVERAGE(Scores[[#This Row],[LYC]],Scores[[#This Row],[MATE]])</f>
        <v>594.5</v>
      </c>
      <c r="K1192">
        <f>VLOOKUP(Scores[[#This Row],[MRUN]],Demographics[],6,FALSE)</f>
        <v>5</v>
      </c>
      <c r="L1192">
        <f>VLOOKUP(Scores[[#This Row],[MRUN]],Demographics[], 7,FALSE)</f>
        <v>3</v>
      </c>
      <c r="M1192">
        <f>VLOOKUP(Scores[[#This Row],[MRUN]],Demographics[], 5, FALSE)</f>
        <v>1</v>
      </c>
    </row>
    <row r="1193" spans="1:13" hidden="1" x14ac:dyDescent="0.2">
      <c r="A1193" s="1">
        <v>24698186</v>
      </c>
      <c r="B1193">
        <v>2</v>
      </c>
      <c r="C1193">
        <v>2</v>
      </c>
      <c r="D1193">
        <v>661</v>
      </c>
      <c r="E1193">
        <v>541</v>
      </c>
      <c r="F1193">
        <v>574</v>
      </c>
      <c r="G1193">
        <v>0</v>
      </c>
      <c r="H1193">
        <v>539</v>
      </c>
      <c r="I1193">
        <f>VLOOKUP(Scores[[#This Row],[MRUN]],Demographics[],3,FALSE)</f>
        <v>4</v>
      </c>
      <c r="J1193">
        <f>AVERAGE(Scores[[#This Row],[LYC]],Scores[[#This Row],[MATE]])</f>
        <v>557.5</v>
      </c>
      <c r="K1193">
        <f>VLOOKUP(Scores[[#This Row],[MRUN]],Demographics[],6,FALSE)</f>
        <v>5</v>
      </c>
      <c r="L1193">
        <f>VLOOKUP(Scores[[#This Row],[MRUN]],Demographics[], 7,FALSE)</f>
        <v>4</v>
      </c>
      <c r="M1193">
        <f>VLOOKUP(Scores[[#This Row],[MRUN]],Demographics[], 5, FALSE)</f>
        <v>1</v>
      </c>
    </row>
    <row r="1194" spans="1:13" hidden="1" x14ac:dyDescent="0.2">
      <c r="A1194" s="1">
        <v>8777812</v>
      </c>
      <c r="B1194">
        <v>2</v>
      </c>
      <c r="C1194">
        <v>2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f>VLOOKUP(Scores[[#This Row],[MRUN]],Demographics[],3,FALSE)</f>
        <v>5</v>
      </c>
      <c r="J1194">
        <f>AVERAGE(Scores[[#This Row],[LYC]],Scores[[#This Row],[MATE]])</f>
        <v>0</v>
      </c>
      <c r="K1194">
        <f>VLOOKUP(Scores[[#This Row],[MRUN]],Demographics[],6,FALSE)</f>
        <v>3</v>
      </c>
      <c r="L1194">
        <f>VLOOKUP(Scores[[#This Row],[MRUN]],Demographics[], 7,FALSE)</f>
        <v>3</v>
      </c>
      <c r="M1194">
        <f>VLOOKUP(Scores[[#This Row],[MRUN]],Demographics[], 5, FALSE)</f>
        <v>1</v>
      </c>
    </row>
    <row r="1195" spans="1:13" hidden="1" x14ac:dyDescent="0.2">
      <c r="A1195" s="1">
        <v>14652412</v>
      </c>
      <c r="B1195">
        <v>2</v>
      </c>
      <c r="C1195">
        <v>3</v>
      </c>
      <c r="D1195">
        <v>455</v>
      </c>
      <c r="E1195">
        <v>516</v>
      </c>
      <c r="F1195">
        <v>552</v>
      </c>
      <c r="G1195">
        <v>501</v>
      </c>
      <c r="H1195">
        <v>0</v>
      </c>
      <c r="I1195">
        <f>VLOOKUP(Scores[[#This Row],[MRUN]],Demographics[],3,FALSE)</f>
        <v>5</v>
      </c>
      <c r="J1195">
        <f>AVERAGE(Scores[[#This Row],[LYC]],Scores[[#This Row],[MATE]])</f>
        <v>534</v>
      </c>
      <c r="K1195">
        <f>VLOOKUP(Scores[[#This Row],[MRUN]],Demographics[],6,FALSE)</f>
        <v>9</v>
      </c>
      <c r="L1195">
        <f>VLOOKUP(Scores[[#This Row],[MRUN]],Demographics[], 7,FALSE)</f>
        <v>5</v>
      </c>
      <c r="M1195">
        <f>VLOOKUP(Scores[[#This Row],[MRUN]],Demographics[], 5, FALSE)</f>
        <v>2</v>
      </c>
    </row>
    <row r="1196" spans="1:13" hidden="1" x14ac:dyDescent="0.2">
      <c r="A1196" s="1">
        <v>11548972</v>
      </c>
      <c r="B1196">
        <v>2</v>
      </c>
      <c r="C1196">
        <v>2</v>
      </c>
      <c r="D1196">
        <v>682</v>
      </c>
      <c r="E1196">
        <v>547</v>
      </c>
      <c r="F1196">
        <v>589</v>
      </c>
      <c r="G1196">
        <v>0</v>
      </c>
      <c r="H1196">
        <v>539</v>
      </c>
      <c r="I1196">
        <f>VLOOKUP(Scores[[#This Row],[MRUN]],Demographics[],3,FALSE)</f>
        <v>4</v>
      </c>
      <c r="J1196">
        <f>AVERAGE(Scores[[#This Row],[LYC]],Scores[[#This Row],[MATE]])</f>
        <v>568</v>
      </c>
      <c r="K1196">
        <f>VLOOKUP(Scores[[#This Row],[MRUN]],Demographics[],6,FALSE)</f>
        <v>5</v>
      </c>
      <c r="L1196">
        <f>VLOOKUP(Scores[[#This Row],[MRUN]],Demographics[], 7,FALSE)</f>
        <v>5</v>
      </c>
      <c r="M1196">
        <f>VLOOKUP(Scores[[#This Row],[MRUN]],Demographics[], 5, FALSE)</f>
        <v>2</v>
      </c>
    </row>
    <row r="1197" spans="1:13" hidden="1" x14ac:dyDescent="0.2">
      <c r="A1197" s="1">
        <v>7175492</v>
      </c>
      <c r="B1197">
        <v>2</v>
      </c>
      <c r="C1197">
        <v>3</v>
      </c>
      <c r="D1197">
        <v>517</v>
      </c>
      <c r="E1197">
        <v>576</v>
      </c>
      <c r="F1197">
        <v>487</v>
      </c>
      <c r="G1197">
        <v>602</v>
      </c>
      <c r="H1197">
        <v>0</v>
      </c>
      <c r="I1197">
        <f>VLOOKUP(Scores[[#This Row],[MRUN]],Demographics[],3,FALSE)</f>
        <v>5</v>
      </c>
      <c r="J1197">
        <f>AVERAGE(Scores[[#This Row],[LYC]],Scores[[#This Row],[MATE]])</f>
        <v>531.5</v>
      </c>
      <c r="K1197">
        <f>VLOOKUP(Scores[[#This Row],[MRUN]],Demographics[],6,FALSE)</f>
        <v>5</v>
      </c>
      <c r="L1197">
        <f>VLOOKUP(Scores[[#This Row],[MRUN]],Demographics[], 7,FALSE)</f>
        <v>9</v>
      </c>
      <c r="M1197">
        <f>VLOOKUP(Scores[[#This Row],[MRUN]],Demographics[], 5, FALSE)</f>
        <v>3</v>
      </c>
    </row>
    <row r="1198" spans="1:13" hidden="1" x14ac:dyDescent="0.2">
      <c r="A1198" s="1">
        <v>20960329</v>
      </c>
      <c r="B1198">
        <v>2</v>
      </c>
      <c r="C1198">
        <v>2</v>
      </c>
      <c r="D1198">
        <v>558</v>
      </c>
      <c r="E1198">
        <v>641</v>
      </c>
      <c r="F1198">
        <v>512</v>
      </c>
      <c r="G1198">
        <v>537</v>
      </c>
      <c r="H1198">
        <v>0</v>
      </c>
      <c r="I1198">
        <f>VLOOKUP(Scores[[#This Row],[MRUN]],Demographics[],3,FALSE)</f>
        <v>4</v>
      </c>
      <c r="J1198">
        <f>AVERAGE(Scores[[#This Row],[LYC]],Scores[[#This Row],[MATE]])</f>
        <v>576.5</v>
      </c>
      <c r="K1198">
        <f>VLOOKUP(Scores[[#This Row],[MRUN]],Demographics[],6,FALSE)</f>
        <v>5</v>
      </c>
      <c r="L1198">
        <f>VLOOKUP(Scores[[#This Row],[MRUN]],Demographics[], 7,FALSE)</f>
        <v>5</v>
      </c>
      <c r="M1198">
        <f>VLOOKUP(Scores[[#This Row],[MRUN]],Demographics[], 5, FALSE)</f>
        <v>1</v>
      </c>
    </row>
    <row r="1199" spans="1:13" hidden="1" x14ac:dyDescent="0.2">
      <c r="A1199" s="1">
        <v>11347369</v>
      </c>
      <c r="B1199">
        <v>2</v>
      </c>
      <c r="C1199">
        <v>4</v>
      </c>
      <c r="D1199">
        <v>620</v>
      </c>
      <c r="E1199">
        <v>707</v>
      </c>
      <c r="F1199">
        <v>560</v>
      </c>
      <c r="G1199">
        <v>670</v>
      </c>
      <c r="H1199">
        <v>620</v>
      </c>
      <c r="I1199">
        <f>VLOOKUP(Scores[[#This Row],[MRUN]],Demographics[],3,FALSE)</f>
        <v>5</v>
      </c>
      <c r="J1199">
        <f>AVERAGE(Scores[[#This Row],[LYC]],Scores[[#This Row],[MATE]])</f>
        <v>633.5</v>
      </c>
      <c r="K1199">
        <f>VLOOKUP(Scores[[#This Row],[MRUN]],Demographics[],6,FALSE)</f>
        <v>7</v>
      </c>
      <c r="L1199">
        <f>VLOOKUP(Scores[[#This Row],[MRUN]],Demographics[], 7,FALSE)</f>
        <v>9</v>
      </c>
      <c r="M1199">
        <f>VLOOKUP(Scores[[#This Row],[MRUN]],Demographics[], 5, FALSE)</f>
        <v>1</v>
      </c>
    </row>
    <row r="1200" spans="1:13" hidden="1" x14ac:dyDescent="0.2">
      <c r="A1200" s="1">
        <v>9210868</v>
      </c>
      <c r="B1200">
        <v>2</v>
      </c>
      <c r="C1200">
        <v>2</v>
      </c>
      <c r="D1200">
        <v>702</v>
      </c>
      <c r="E1200">
        <v>629</v>
      </c>
      <c r="F1200">
        <v>545</v>
      </c>
      <c r="G1200">
        <v>582</v>
      </c>
      <c r="H1200">
        <v>0</v>
      </c>
      <c r="I1200">
        <f>VLOOKUP(Scores[[#This Row],[MRUN]],Demographics[],3,FALSE)</f>
        <v>2</v>
      </c>
      <c r="J1200">
        <f>AVERAGE(Scores[[#This Row],[LYC]],Scores[[#This Row],[MATE]])</f>
        <v>587</v>
      </c>
      <c r="K1200">
        <f>VLOOKUP(Scores[[#This Row],[MRUN]],Demographics[],6,FALSE)</f>
        <v>0</v>
      </c>
      <c r="L1200">
        <f>VLOOKUP(Scores[[#This Row],[MRUN]],Demographics[], 7,FALSE)</f>
        <v>9</v>
      </c>
      <c r="M1200">
        <f>VLOOKUP(Scores[[#This Row],[MRUN]],Demographics[], 5, FALSE)</f>
        <v>2</v>
      </c>
    </row>
    <row r="1201" spans="1:13" hidden="1" x14ac:dyDescent="0.2">
      <c r="A1201" s="1">
        <v>16687334</v>
      </c>
      <c r="B1201">
        <v>1</v>
      </c>
      <c r="C1201">
        <v>2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f>VLOOKUP(Scores[[#This Row],[MRUN]],Demographics[],3,FALSE)</f>
        <v>5</v>
      </c>
      <c r="J1201">
        <f>AVERAGE(Scores[[#This Row],[LYC]],Scores[[#This Row],[MATE]])</f>
        <v>0</v>
      </c>
      <c r="K1201">
        <f>VLOOKUP(Scores[[#This Row],[MRUN]],Demographics[],6,FALSE)</f>
        <v>6</v>
      </c>
      <c r="L1201">
        <f>VLOOKUP(Scores[[#This Row],[MRUN]],Demographics[], 7,FALSE)</f>
        <v>5</v>
      </c>
      <c r="M1201">
        <f>VLOOKUP(Scores[[#This Row],[MRUN]],Demographics[], 5, FALSE)</f>
        <v>1</v>
      </c>
    </row>
    <row r="1202" spans="1:13" hidden="1" x14ac:dyDescent="0.2">
      <c r="A1202" s="1">
        <v>22562651</v>
      </c>
      <c r="B1202">
        <v>1</v>
      </c>
      <c r="C1202">
        <v>2</v>
      </c>
      <c r="D1202">
        <v>703</v>
      </c>
      <c r="E1202">
        <v>576</v>
      </c>
      <c r="F1202">
        <v>657</v>
      </c>
      <c r="G1202">
        <v>0</v>
      </c>
      <c r="H1202">
        <v>539</v>
      </c>
      <c r="I1202">
        <f>VLOOKUP(Scores[[#This Row],[MRUN]],Demographics[],3,FALSE)</f>
        <v>3</v>
      </c>
      <c r="J1202">
        <f>AVERAGE(Scores[[#This Row],[LYC]],Scores[[#This Row],[MATE]])</f>
        <v>616.5</v>
      </c>
      <c r="K1202">
        <f>VLOOKUP(Scores[[#This Row],[MRUN]],Demographics[],6,FALSE)</f>
        <v>2</v>
      </c>
      <c r="L1202">
        <f>VLOOKUP(Scores[[#This Row],[MRUN]],Demographics[], 7,FALSE)</f>
        <v>2</v>
      </c>
      <c r="M1202">
        <f>VLOOKUP(Scores[[#This Row],[MRUN]],Demographics[], 5, FALSE)</f>
        <v>1</v>
      </c>
    </row>
    <row r="1203" spans="1:13" hidden="1" x14ac:dyDescent="0.2">
      <c r="A1203" s="1">
        <v>4403857</v>
      </c>
      <c r="B1203">
        <v>2</v>
      </c>
      <c r="C1203">
        <v>2</v>
      </c>
      <c r="D1203">
        <v>496</v>
      </c>
      <c r="E1203">
        <v>505</v>
      </c>
      <c r="F1203">
        <v>517</v>
      </c>
      <c r="G1203">
        <v>506</v>
      </c>
      <c r="H1203">
        <v>0</v>
      </c>
      <c r="I1203">
        <f>VLOOKUP(Scores[[#This Row],[MRUN]],Demographics[],3,FALSE)</f>
        <v>3</v>
      </c>
      <c r="J1203">
        <f>AVERAGE(Scores[[#This Row],[LYC]],Scores[[#This Row],[MATE]])</f>
        <v>511</v>
      </c>
      <c r="K1203">
        <f>VLOOKUP(Scores[[#This Row],[MRUN]],Demographics[],6,FALSE)</f>
        <v>7</v>
      </c>
      <c r="L1203">
        <f>VLOOKUP(Scores[[#This Row],[MRUN]],Demographics[], 7,FALSE)</f>
        <v>6</v>
      </c>
      <c r="M1203">
        <f>VLOOKUP(Scores[[#This Row],[MRUN]],Demographics[], 5, FALSE)</f>
        <v>2</v>
      </c>
    </row>
    <row r="1204" spans="1:13" hidden="1" x14ac:dyDescent="0.2">
      <c r="A1204" s="1">
        <v>4937934</v>
      </c>
      <c r="B1204">
        <v>1</v>
      </c>
      <c r="C1204">
        <v>3</v>
      </c>
      <c r="D1204">
        <v>558</v>
      </c>
      <c r="E1204">
        <v>576</v>
      </c>
      <c r="F1204">
        <v>540</v>
      </c>
      <c r="G1204">
        <v>586</v>
      </c>
      <c r="H1204">
        <v>0</v>
      </c>
      <c r="I1204">
        <f>VLOOKUP(Scores[[#This Row],[MRUN]],Demographics[],3,FALSE)</f>
        <v>4</v>
      </c>
      <c r="J1204">
        <f>AVERAGE(Scores[[#This Row],[LYC]],Scores[[#This Row],[MATE]])</f>
        <v>558</v>
      </c>
      <c r="K1204">
        <f>VLOOKUP(Scores[[#This Row],[MRUN]],Demographics[],6,FALSE)</f>
        <v>4</v>
      </c>
      <c r="L1204">
        <f>VLOOKUP(Scores[[#This Row],[MRUN]],Demographics[], 7,FALSE)</f>
        <v>2</v>
      </c>
      <c r="M1204">
        <f>VLOOKUP(Scores[[#This Row],[MRUN]],Demographics[], 5, FALSE)</f>
        <v>2</v>
      </c>
    </row>
    <row r="1205" spans="1:13" hidden="1" x14ac:dyDescent="0.2">
      <c r="A1205" s="1">
        <v>12415482</v>
      </c>
      <c r="B1205">
        <v>2</v>
      </c>
      <c r="C1205">
        <v>4</v>
      </c>
      <c r="D1205">
        <v>517</v>
      </c>
      <c r="E1205">
        <v>510</v>
      </c>
      <c r="F1205">
        <v>593</v>
      </c>
      <c r="G1205">
        <v>0</v>
      </c>
      <c r="H1205">
        <v>468</v>
      </c>
      <c r="I1205">
        <f>VLOOKUP(Scores[[#This Row],[MRUN]],Demographics[],3,FALSE)</f>
        <v>4</v>
      </c>
      <c r="J1205">
        <f>AVERAGE(Scores[[#This Row],[LYC]],Scores[[#This Row],[MATE]])</f>
        <v>551.5</v>
      </c>
      <c r="K1205">
        <f>VLOOKUP(Scores[[#This Row],[MRUN]],Demographics[],6,FALSE)</f>
        <v>4</v>
      </c>
      <c r="L1205">
        <f>VLOOKUP(Scores[[#This Row],[MRUN]],Demographics[], 7,FALSE)</f>
        <v>5</v>
      </c>
      <c r="M1205">
        <f>VLOOKUP(Scores[[#This Row],[MRUN]],Demographics[], 5, FALSE)</f>
        <v>2</v>
      </c>
    </row>
    <row r="1206" spans="1:13" hidden="1" x14ac:dyDescent="0.2">
      <c r="A1206" s="1">
        <v>9312065</v>
      </c>
      <c r="B1206">
        <v>1</v>
      </c>
      <c r="C1206">
        <v>2</v>
      </c>
      <c r="D1206">
        <v>414</v>
      </c>
      <c r="E1206">
        <v>422</v>
      </c>
      <c r="F1206">
        <v>463</v>
      </c>
      <c r="G1206">
        <v>466</v>
      </c>
      <c r="H1206">
        <v>0</v>
      </c>
      <c r="I1206">
        <f>VLOOKUP(Scores[[#This Row],[MRUN]],Demographics[],3,FALSE)</f>
        <v>4</v>
      </c>
      <c r="J1206">
        <f>AVERAGE(Scores[[#This Row],[LYC]],Scores[[#This Row],[MATE]])</f>
        <v>442.5</v>
      </c>
      <c r="K1206">
        <f>VLOOKUP(Scores[[#This Row],[MRUN]],Demographics[],6,FALSE)</f>
        <v>8</v>
      </c>
      <c r="L1206">
        <f>VLOOKUP(Scores[[#This Row],[MRUN]],Demographics[], 7,FALSE)</f>
        <v>5</v>
      </c>
      <c r="M1206">
        <f>VLOOKUP(Scores[[#This Row],[MRUN]],Demographics[], 5, FALSE)</f>
        <v>3</v>
      </c>
    </row>
    <row r="1207" spans="1:13" hidden="1" x14ac:dyDescent="0.2">
      <c r="A1207" s="1">
        <v>15186166</v>
      </c>
      <c r="B1207">
        <v>1</v>
      </c>
      <c r="C1207">
        <v>2</v>
      </c>
      <c r="D1207">
        <v>376</v>
      </c>
      <c r="E1207">
        <v>438</v>
      </c>
      <c r="F1207">
        <v>452</v>
      </c>
      <c r="G1207">
        <v>484</v>
      </c>
      <c r="H1207">
        <v>0</v>
      </c>
      <c r="I1207">
        <f>VLOOKUP(Scores[[#This Row],[MRUN]],Demographics[],3,FALSE)</f>
        <v>5</v>
      </c>
      <c r="J1207">
        <f>AVERAGE(Scores[[#This Row],[LYC]],Scores[[#This Row],[MATE]])</f>
        <v>445</v>
      </c>
      <c r="K1207">
        <f>VLOOKUP(Scores[[#This Row],[MRUN]],Demographics[],6,FALSE)</f>
        <v>2</v>
      </c>
      <c r="L1207">
        <f>VLOOKUP(Scores[[#This Row],[MRUN]],Demographics[], 7,FALSE)</f>
        <v>5</v>
      </c>
      <c r="M1207">
        <f>VLOOKUP(Scores[[#This Row],[MRUN]],Demographics[], 5, FALSE)</f>
        <v>2</v>
      </c>
    </row>
    <row r="1208" spans="1:13" hidden="1" x14ac:dyDescent="0.2">
      <c r="A1208" s="1">
        <v>3971528</v>
      </c>
      <c r="B1208">
        <v>1</v>
      </c>
      <c r="C1208">
        <v>3</v>
      </c>
      <c r="D1208">
        <v>599</v>
      </c>
      <c r="E1208">
        <v>571</v>
      </c>
      <c r="F1208">
        <v>661</v>
      </c>
      <c r="G1208">
        <v>0</v>
      </c>
      <c r="H1208">
        <v>575</v>
      </c>
      <c r="I1208">
        <f>VLOOKUP(Scores[[#This Row],[MRUN]],Demographics[],3,FALSE)</f>
        <v>5</v>
      </c>
      <c r="J1208">
        <f>AVERAGE(Scores[[#This Row],[LYC]],Scores[[#This Row],[MATE]])</f>
        <v>616</v>
      </c>
      <c r="K1208">
        <f>VLOOKUP(Scores[[#This Row],[MRUN]],Demographics[],6,FALSE)</f>
        <v>5</v>
      </c>
      <c r="L1208">
        <f>VLOOKUP(Scores[[#This Row],[MRUN]],Demographics[], 7,FALSE)</f>
        <v>9</v>
      </c>
      <c r="M1208">
        <f>VLOOKUP(Scores[[#This Row],[MRUN]],Demographics[], 5, FALSE)</f>
        <v>2</v>
      </c>
    </row>
    <row r="1209" spans="1:13" hidden="1" x14ac:dyDescent="0.2">
      <c r="A1209" s="1">
        <v>14752906</v>
      </c>
      <c r="B1209">
        <v>2</v>
      </c>
      <c r="C1209">
        <v>4</v>
      </c>
      <c r="D1209">
        <v>455</v>
      </c>
      <c r="E1209">
        <v>499</v>
      </c>
      <c r="F1209">
        <v>506</v>
      </c>
      <c r="G1209">
        <v>0</v>
      </c>
      <c r="H1209">
        <v>439</v>
      </c>
      <c r="I1209">
        <f>VLOOKUP(Scores[[#This Row],[MRUN]],Demographics[],3,FALSE)</f>
        <v>5</v>
      </c>
      <c r="J1209">
        <f>AVERAGE(Scores[[#This Row],[LYC]],Scores[[#This Row],[MATE]])</f>
        <v>502.5</v>
      </c>
      <c r="K1209">
        <f>VLOOKUP(Scores[[#This Row],[MRUN]],Demographics[],6,FALSE)</f>
        <v>7</v>
      </c>
      <c r="L1209">
        <f>VLOOKUP(Scores[[#This Row],[MRUN]],Demographics[], 7,FALSE)</f>
        <v>7</v>
      </c>
      <c r="M1209">
        <f>VLOOKUP(Scores[[#This Row],[MRUN]],Demographics[], 5, FALSE)</f>
        <v>2</v>
      </c>
    </row>
    <row r="1210" spans="1:13" hidden="1" x14ac:dyDescent="0.2">
      <c r="A1210" s="1">
        <v>19993359</v>
      </c>
      <c r="B1210">
        <v>1</v>
      </c>
      <c r="C1210">
        <v>4</v>
      </c>
      <c r="D1210">
        <v>558</v>
      </c>
      <c r="E1210">
        <v>602</v>
      </c>
      <c r="F1210">
        <v>657</v>
      </c>
      <c r="G1210">
        <v>0</v>
      </c>
      <c r="H1210">
        <v>602</v>
      </c>
      <c r="I1210">
        <f>VLOOKUP(Scores[[#This Row],[MRUN]],Demographics[],3,FALSE)</f>
        <v>3</v>
      </c>
      <c r="J1210">
        <f>AVERAGE(Scores[[#This Row],[LYC]],Scores[[#This Row],[MATE]])</f>
        <v>629.5</v>
      </c>
      <c r="K1210">
        <f>VLOOKUP(Scores[[#This Row],[MRUN]],Demographics[],6,FALSE)</f>
        <v>7</v>
      </c>
      <c r="L1210">
        <f>VLOOKUP(Scores[[#This Row],[MRUN]],Demographics[], 7,FALSE)</f>
        <v>7</v>
      </c>
      <c r="M1210">
        <f>VLOOKUP(Scores[[#This Row],[MRUN]],Demographics[], 5, FALSE)</f>
        <v>3</v>
      </c>
    </row>
    <row r="1211" spans="1:13" hidden="1" x14ac:dyDescent="0.2">
      <c r="A1211" s="1">
        <v>3870235</v>
      </c>
      <c r="B1211">
        <v>1</v>
      </c>
      <c r="C1211">
        <v>4</v>
      </c>
      <c r="D1211">
        <v>744</v>
      </c>
      <c r="E1211">
        <v>795</v>
      </c>
      <c r="F1211">
        <v>806</v>
      </c>
      <c r="G1211">
        <v>0</v>
      </c>
      <c r="H1211">
        <v>829</v>
      </c>
      <c r="I1211">
        <f>VLOOKUP(Scores[[#This Row],[MRUN]],Demographics[],3,FALSE)</f>
        <v>3</v>
      </c>
      <c r="J1211">
        <f>AVERAGE(Scores[[#This Row],[LYC]],Scores[[#This Row],[MATE]])</f>
        <v>800.5</v>
      </c>
      <c r="K1211">
        <f>VLOOKUP(Scores[[#This Row],[MRUN]],Demographics[],6,FALSE)</f>
        <v>7</v>
      </c>
      <c r="L1211">
        <f>VLOOKUP(Scores[[#This Row],[MRUN]],Demographics[], 7,FALSE)</f>
        <v>9</v>
      </c>
      <c r="M1211">
        <f>VLOOKUP(Scores[[#This Row],[MRUN]],Demographics[], 5, FALSE)</f>
        <v>4</v>
      </c>
    </row>
    <row r="1212" spans="1:13" hidden="1" x14ac:dyDescent="0.2">
      <c r="A1212" s="1">
        <v>8878400</v>
      </c>
      <c r="B1212">
        <v>2</v>
      </c>
      <c r="C1212">
        <v>2</v>
      </c>
      <c r="D1212">
        <v>641</v>
      </c>
      <c r="E1212">
        <v>422</v>
      </c>
      <c r="F1212">
        <v>549</v>
      </c>
      <c r="G1212">
        <v>0</v>
      </c>
      <c r="H1212">
        <v>404</v>
      </c>
      <c r="I1212">
        <f>VLOOKUP(Scores[[#This Row],[MRUN]],Demographics[],3,FALSE)</f>
        <v>4</v>
      </c>
      <c r="J1212">
        <f>AVERAGE(Scores[[#This Row],[LYC]],Scores[[#This Row],[MATE]])</f>
        <v>485.5</v>
      </c>
      <c r="K1212">
        <f>VLOOKUP(Scores[[#This Row],[MRUN]],Demographics[],6,FALSE)</f>
        <v>3</v>
      </c>
      <c r="L1212">
        <f>VLOOKUP(Scores[[#This Row],[MRUN]],Demographics[], 7,FALSE)</f>
        <v>2</v>
      </c>
      <c r="M1212">
        <f>VLOOKUP(Scores[[#This Row],[MRUN]],Demographics[], 5, FALSE)</f>
        <v>1</v>
      </c>
    </row>
    <row r="1213" spans="1:13" hidden="1" x14ac:dyDescent="0.2">
      <c r="A1213" s="1">
        <v>17956806</v>
      </c>
      <c r="B1213">
        <v>1</v>
      </c>
      <c r="C1213">
        <v>2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f>VLOOKUP(Scores[[#This Row],[MRUN]],Demographics[],3,FALSE)</f>
        <v>5</v>
      </c>
      <c r="J1213">
        <f>AVERAGE(Scores[[#This Row],[LYC]],Scores[[#This Row],[MATE]])</f>
        <v>0</v>
      </c>
      <c r="K1213">
        <f>VLOOKUP(Scores[[#This Row],[MRUN]],Demographics[],6,FALSE)</f>
        <v>9</v>
      </c>
      <c r="L1213">
        <f>VLOOKUP(Scores[[#This Row],[MRUN]],Demographics[], 7,FALSE)</f>
        <v>5</v>
      </c>
      <c r="M1213">
        <f>VLOOKUP(Scores[[#This Row],[MRUN]],Demographics[], 5, FALSE)</f>
        <v>1</v>
      </c>
    </row>
    <row r="1214" spans="1:13" hidden="1" x14ac:dyDescent="0.2">
      <c r="A1214" s="1">
        <v>6641905</v>
      </c>
      <c r="B1214">
        <v>1</v>
      </c>
      <c r="C1214">
        <v>2</v>
      </c>
      <c r="D1214">
        <v>538</v>
      </c>
      <c r="E1214">
        <v>444</v>
      </c>
      <c r="F1214">
        <v>557</v>
      </c>
      <c r="G1214">
        <v>0</v>
      </c>
      <c r="H1214">
        <v>468</v>
      </c>
      <c r="I1214">
        <f>VLOOKUP(Scores[[#This Row],[MRUN]],Demographics[],3,FALSE)</f>
        <v>5</v>
      </c>
      <c r="J1214">
        <f>AVERAGE(Scores[[#This Row],[LYC]],Scores[[#This Row],[MATE]])</f>
        <v>500.5</v>
      </c>
      <c r="K1214">
        <f>VLOOKUP(Scores[[#This Row],[MRUN]],Demographics[],6,FALSE)</f>
        <v>3</v>
      </c>
      <c r="L1214">
        <f>VLOOKUP(Scores[[#This Row],[MRUN]],Demographics[], 7,FALSE)</f>
        <v>3</v>
      </c>
      <c r="M1214">
        <f>VLOOKUP(Scores[[#This Row],[MRUN]],Demographics[], 5, FALSE)</f>
        <v>1</v>
      </c>
    </row>
    <row r="1215" spans="1:13" hidden="1" x14ac:dyDescent="0.2">
      <c r="A1215" s="1">
        <v>11448363</v>
      </c>
      <c r="B1215">
        <v>1</v>
      </c>
      <c r="C1215">
        <v>2</v>
      </c>
      <c r="D1215">
        <v>579</v>
      </c>
      <c r="E1215">
        <v>691</v>
      </c>
      <c r="F1215">
        <v>600</v>
      </c>
      <c r="G1215">
        <v>0</v>
      </c>
      <c r="H1215">
        <v>631</v>
      </c>
      <c r="I1215">
        <f>VLOOKUP(Scores[[#This Row],[MRUN]],Demographics[],3,FALSE)</f>
        <v>5</v>
      </c>
      <c r="J1215">
        <f>AVERAGE(Scores[[#This Row],[LYC]],Scores[[#This Row],[MATE]])</f>
        <v>645.5</v>
      </c>
      <c r="K1215">
        <f>VLOOKUP(Scores[[#This Row],[MRUN]],Demographics[],6,FALSE)</f>
        <v>8</v>
      </c>
      <c r="L1215">
        <f>VLOOKUP(Scores[[#This Row],[MRUN]],Demographics[], 7,FALSE)</f>
        <v>9</v>
      </c>
      <c r="M1215">
        <f>VLOOKUP(Scores[[#This Row],[MRUN]],Demographics[], 5, FALSE)</f>
        <v>2</v>
      </c>
    </row>
    <row r="1216" spans="1:13" hidden="1" x14ac:dyDescent="0.2">
      <c r="A1216" s="1">
        <v>13684744</v>
      </c>
      <c r="B1216">
        <v>1</v>
      </c>
      <c r="C1216">
        <v>2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f>VLOOKUP(Scores[[#This Row],[MRUN]],Demographics[],3,FALSE)</f>
        <v>4</v>
      </c>
      <c r="J1216">
        <f>AVERAGE(Scores[[#This Row],[LYC]],Scores[[#This Row],[MATE]])</f>
        <v>0</v>
      </c>
      <c r="K1216">
        <f>VLOOKUP(Scores[[#This Row],[MRUN]],Demographics[],6,FALSE)</f>
        <v>5</v>
      </c>
      <c r="L1216">
        <f>VLOOKUP(Scores[[#This Row],[MRUN]],Demographics[], 7,FALSE)</f>
        <v>5</v>
      </c>
      <c r="M1216">
        <f>VLOOKUP(Scores[[#This Row],[MRUN]],Demographics[], 5, FALSE)</f>
        <v>2</v>
      </c>
    </row>
    <row r="1217" spans="1:13" hidden="1" x14ac:dyDescent="0.2">
      <c r="A1217" s="1">
        <v>2369132</v>
      </c>
      <c r="B1217">
        <v>1</v>
      </c>
      <c r="C1217">
        <v>2</v>
      </c>
      <c r="D1217">
        <v>620</v>
      </c>
      <c r="E1217">
        <v>458</v>
      </c>
      <c r="F1217">
        <v>506</v>
      </c>
      <c r="G1217">
        <v>578</v>
      </c>
      <c r="H1217">
        <v>0</v>
      </c>
      <c r="I1217">
        <f>VLOOKUP(Scores[[#This Row],[MRUN]],Demographics[],3,FALSE)</f>
        <v>5</v>
      </c>
      <c r="J1217">
        <f>AVERAGE(Scores[[#This Row],[LYC]],Scores[[#This Row],[MATE]])</f>
        <v>482</v>
      </c>
      <c r="K1217">
        <f>VLOOKUP(Scores[[#This Row],[MRUN]],Demographics[],6,FALSE)</f>
        <v>5</v>
      </c>
      <c r="L1217">
        <f>VLOOKUP(Scores[[#This Row],[MRUN]],Demographics[], 7,FALSE)</f>
        <v>5</v>
      </c>
      <c r="M1217">
        <f>VLOOKUP(Scores[[#This Row],[MRUN]],Demographics[], 5, FALSE)</f>
        <v>1</v>
      </c>
    </row>
    <row r="1218" spans="1:13" hidden="1" x14ac:dyDescent="0.2">
      <c r="A1218" s="1">
        <v>1935754</v>
      </c>
      <c r="B1218">
        <v>2</v>
      </c>
      <c r="C1218">
        <v>3</v>
      </c>
      <c r="D1218">
        <v>662</v>
      </c>
      <c r="E1218">
        <v>451</v>
      </c>
      <c r="F1218">
        <v>452</v>
      </c>
      <c r="G1218">
        <v>484</v>
      </c>
      <c r="H1218">
        <v>0</v>
      </c>
      <c r="I1218">
        <f>VLOOKUP(Scores[[#This Row],[MRUN]],Demographics[],3,FALSE)</f>
        <v>3</v>
      </c>
      <c r="J1218">
        <f>AVERAGE(Scores[[#This Row],[LYC]],Scores[[#This Row],[MATE]])</f>
        <v>451.5</v>
      </c>
      <c r="K1218">
        <f>VLOOKUP(Scores[[#This Row],[MRUN]],Demographics[],6,FALSE)</f>
        <v>4</v>
      </c>
      <c r="L1218">
        <f>VLOOKUP(Scores[[#This Row],[MRUN]],Demographics[], 7,FALSE)</f>
        <v>3</v>
      </c>
      <c r="M1218">
        <f>VLOOKUP(Scores[[#This Row],[MRUN]],Demographics[], 5, FALSE)</f>
        <v>1</v>
      </c>
    </row>
    <row r="1219" spans="1:13" hidden="1" x14ac:dyDescent="0.2">
      <c r="A1219" s="1">
        <v>16354614</v>
      </c>
      <c r="B1219">
        <v>2</v>
      </c>
      <c r="C1219">
        <v>4</v>
      </c>
      <c r="D1219">
        <v>538</v>
      </c>
      <c r="E1219">
        <v>531</v>
      </c>
      <c r="F1219">
        <v>640</v>
      </c>
      <c r="G1219">
        <v>0</v>
      </c>
      <c r="H1219">
        <v>602</v>
      </c>
      <c r="I1219">
        <f>VLOOKUP(Scores[[#This Row],[MRUN]],Demographics[],3,FALSE)</f>
        <v>4</v>
      </c>
      <c r="J1219">
        <f>AVERAGE(Scores[[#This Row],[LYC]],Scores[[#This Row],[MATE]])</f>
        <v>585.5</v>
      </c>
      <c r="K1219">
        <f>VLOOKUP(Scores[[#This Row],[MRUN]],Demographics[],6,FALSE)</f>
        <v>9</v>
      </c>
      <c r="L1219">
        <f>VLOOKUP(Scores[[#This Row],[MRUN]],Demographics[], 7,FALSE)</f>
        <v>5</v>
      </c>
      <c r="M1219">
        <f>VLOOKUP(Scores[[#This Row],[MRUN]],Demographics[], 5, FALSE)</f>
        <v>2</v>
      </c>
    </row>
    <row r="1220" spans="1:13" hidden="1" x14ac:dyDescent="0.2">
      <c r="A1220" s="1">
        <v>22663743</v>
      </c>
      <c r="B1220">
        <v>2</v>
      </c>
      <c r="C1220">
        <v>2</v>
      </c>
      <c r="D1220">
        <v>478</v>
      </c>
      <c r="E1220">
        <v>494</v>
      </c>
      <c r="F1220">
        <v>428</v>
      </c>
      <c r="G1220">
        <v>0</v>
      </c>
      <c r="H1220">
        <v>483</v>
      </c>
      <c r="I1220">
        <f>VLOOKUP(Scores[[#This Row],[MRUN]],Demographics[],3,FALSE)</f>
        <v>6</v>
      </c>
      <c r="J1220">
        <f>AVERAGE(Scores[[#This Row],[LYC]],Scores[[#This Row],[MATE]])</f>
        <v>461</v>
      </c>
      <c r="K1220">
        <f>VLOOKUP(Scores[[#This Row],[MRUN]],Demographics[],6,FALSE)</f>
        <v>5</v>
      </c>
      <c r="L1220">
        <f>VLOOKUP(Scores[[#This Row],[MRUN]],Demographics[], 7,FALSE)</f>
        <v>5</v>
      </c>
      <c r="M1220">
        <f>VLOOKUP(Scores[[#This Row],[MRUN]],Demographics[], 5, FALSE)</f>
        <v>1</v>
      </c>
    </row>
    <row r="1221" spans="1:13" hidden="1" x14ac:dyDescent="0.2">
      <c r="A1221" s="1">
        <v>2903436</v>
      </c>
      <c r="B1221">
        <v>1</v>
      </c>
      <c r="C1221">
        <v>3</v>
      </c>
      <c r="D1221">
        <v>517</v>
      </c>
      <c r="E1221">
        <v>592</v>
      </c>
      <c r="F1221">
        <v>585</v>
      </c>
      <c r="G1221">
        <v>0</v>
      </c>
      <c r="H1221">
        <v>617</v>
      </c>
      <c r="I1221">
        <f>VLOOKUP(Scores[[#This Row],[MRUN]],Demographics[],3,FALSE)</f>
        <v>4</v>
      </c>
      <c r="J1221">
        <f>AVERAGE(Scores[[#This Row],[LYC]],Scores[[#This Row],[MATE]])</f>
        <v>588.5</v>
      </c>
      <c r="K1221">
        <f>VLOOKUP(Scores[[#This Row],[MRUN]],Demographics[],6,FALSE)</f>
        <v>8</v>
      </c>
      <c r="L1221">
        <f>VLOOKUP(Scores[[#This Row],[MRUN]],Demographics[], 7,FALSE)</f>
        <v>8</v>
      </c>
      <c r="M1221">
        <f>VLOOKUP(Scores[[#This Row],[MRUN]],Demographics[], 5, FALSE)</f>
        <v>2</v>
      </c>
    </row>
    <row r="1222" spans="1:13" hidden="1" x14ac:dyDescent="0.2">
      <c r="A1222" s="1">
        <v>17322386</v>
      </c>
      <c r="B1222">
        <v>2</v>
      </c>
      <c r="C1222">
        <v>2</v>
      </c>
      <c r="D1222">
        <v>435</v>
      </c>
      <c r="E1222">
        <v>438</v>
      </c>
      <c r="F1222">
        <v>328</v>
      </c>
      <c r="G1222">
        <v>436</v>
      </c>
      <c r="H1222">
        <v>0</v>
      </c>
      <c r="I1222">
        <f>VLOOKUP(Scores[[#This Row],[MRUN]],Demographics[],3,FALSE)</f>
        <v>6</v>
      </c>
      <c r="J1222">
        <f>AVERAGE(Scores[[#This Row],[LYC]],Scores[[#This Row],[MATE]])</f>
        <v>383</v>
      </c>
      <c r="K1222">
        <f>VLOOKUP(Scores[[#This Row],[MRUN]],Demographics[],6,FALSE)</f>
        <v>4</v>
      </c>
      <c r="L1222">
        <f>VLOOKUP(Scores[[#This Row],[MRUN]],Demographics[], 7,FALSE)</f>
        <v>5</v>
      </c>
      <c r="M1222">
        <f>VLOOKUP(Scores[[#This Row],[MRUN]],Demographics[], 5, FALSE)</f>
        <v>1</v>
      </c>
    </row>
    <row r="1223" spans="1:13" hidden="1" x14ac:dyDescent="0.2">
      <c r="A1223" s="1">
        <v>6006608</v>
      </c>
      <c r="B1223">
        <v>1</v>
      </c>
      <c r="C1223">
        <v>2</v>
      </c>
      <c r="D1223">
        <v>641</v>
      </c>
      <c r="E1223">
        <v>494</v>
      </c>
      <c r="F1223">
        <v>540</v>
      </c>
      <c r="G1223">
        <v>531</v>
      </c>
      <c r="H1223">
        <v>391</v>
      </c>
      <c r="I1223">
        <f>VLOOKUP(Scores[[#This Row],[MRUN]],Demographics[],3,FALSE)</f>
        <v>4</v>
      </c>
      <c r="J1223">
        <f>AVERAGE(Scores[[#This Row],[LYC]],Scores[[#This Row],[MATE]])</f>
        <v>517</v>
      </c>
      <c r="K1223">
        <f>VLOOKUP(Scores[[#This Row],[MRUN]],Demographics[],6,FALSE)</f>
        <v>5</v>
      </c>
      <c r="L1223">
        <f>VLOOKUP(Scores[[#This Row],[MRUN]],Demographics[], 7,FALSE)</f>
        <v>5</v>
      </c>
      <c r="M1223">
        <f>VLOOKUP(Scores[[#This Row],[MRUN]],Demographics[], 5, FALSE)</f>
        <v>1</v>
      </c>
    </row>
    <row r="1224" spans="1:13" hidden="1" x14ac:dyDescent="0.2">
      <c r="A1224" s="1">
        <v>5573790</v>
      </c>
      <c r="B1224">
        <v>1</v>
      </c>
      <c r="C1224">
        <v>2</v>
      </c>
      <c r="D1224">
        <v>539</v>
      </c>
      <c r="E1224">
        <v>0</v>
      </c>
      <c r="F1224">
        <v>0</v>
      </c>
      <c r="G1224">
        <v>0</v>
      </c>
      <c r="H1224">
        <v>0</v>
      </c>
      <c r="I1224">
        <f>VLOOKUP(Scores[[#This Row],[MRUN]],Demographics[],3,FALSE)</f>
        <v>5</v>
      </c>
      <c r="J1224">
        <f>AVERAGE(Scores[[#This Row],[LYC]],Scores[[#This Row],[MATE]])</f>
        <v>0</v>
      </c>
      <c r="K1224">
        <f>VLOOKUP(Scores[[#This Row],[MRUN]],Demographics[],6,FALSE)</f>
        <v>3</v>
      </c>
      <c r="L1224">
        <f>VLOOKUP(Scores[[#This Row],[MRUN]],Demographics[], 7,FALSE)</f>
        <v>5</v>
      </c>
      <c r="M1224">
        <f>VLOOKUP(Scores[[#This Row],[MRUN]],Demographics[], 5, FALSE)</f>
        <v>1</v>
      </c>
    </row>
    <row r="1225" spans="1:13" hidden="1" x14ac:dyDescent="0.2">
      <c r="A1225" s="1">
        <v>10812924</v>
      </c>
      <c r="B1225">
        <v>2</v>
      </c>
      <c r="C1225">
        <v>2</v>
      </c>
      <c r="D1225">
        <v>496</v>
      </c>
      <c r="E1225">
        <v>531</v>
      </c>
      <c r="F1225">
        <v>536</v>
      </c>
      <c r="G1225">
        <v>421</v>
      </c>
      <c r="H1225">
        <v>0</v>
      </c>
      <c r="I1225">
        <f>VLOOKUP(Scores[[#This Row],[MRUN]],Demographics[],3,FALSE)</f>
        <v>6</v>
      </c>
      <c r="J1225">
        <f>AVERAGE(Scores[[#This Row],[LYC]],Scores[[#This Row],[MATE]])</f>
        <v>533.5</v>
      </c>
      <c r="K1225">
        <f>VLOOKUP(Scores[[#This Row],[MRUN]],Demographics[],6,FALSE)</f>
        <v>5</v>
      </c>
      <c r="L1225">
        <f>VLOOKUP(Scores[[#This Row],[MRUN]],Demographics[], 7,FALSE)</f>
        <v>9</v>
      </c>
      <c r="M1225">
        <f>VLOOKUP(Scores[[#This Row],[MRUN]],Demographics[], 5, FALSE)</f>
        <v>2</v>
      </c>
    </row>
    <row r="1226" spans="1:13" hidden="1" x14ac:dyDescent="0.2">
      <c r="A1226" s="1">
        <v>9744694</v>
      </c>
      <c r="B1226">
        <v>2</v>
      </c>
      <c r="C1226">
        <v>4</v>
      </c>
      <c r="D1226">
        <v>538</v>
      </c>
      <c r="E1226">
        <v>668</v>
      </c>
      <c r="F1226">
        <v>661</v>
      </c>
      <c r="G1226">
        <v>724</v>
      </c>
      <c r="H1226">
        <v>631</v>
      </c>
      <c r="I1226">
        <f>VLOOKUP(Scores[[#This Row],[MRUN]],Demographics[],3,FALSE)</f>
        <v>4</v>
      </c>
      <c r="J1226">
        <f>AVERAGE(Scores[[#This Row],[LYC]],Scores[[#This Row],[MATE]])</f>
        <v>664.5</v>
      </c>
      <c r="K1226">
        <f>VLOOKUP(Scores[[#This Row],[MRUN]],Demographics[],6,FALSE)</f>
        <v>9</v>
      </c>
      <c r="L1226">
        <f>VLOOKUP(Scores[[#This Row],[MRUN]],Demographics[], 7,FALSE)</f>
        <v>9</v>
      </c>
      <c r="M1226">
        <f>VLOOKUP(Scores[[#This Row],[MRUN]],Demographics[], 5, FALSE)</f>
        <v>2</v>
      </c>
    </row>
    <row r="1227" spans="1:13" hidden="1" x14ac:dyDescent="0.2">
      <c r="A1227" s="1">
        <v>24698185</v>
      </c>
      <c r="B1227">
        <v>1</v>
      </c>
      <c r="C1227">
        <v>4</v>
      </c>
      <c r="D1227">
        <v>599</v>
      </c>
      <c r="E1227">
        <v>581</v>
      </c>
      <c r="F1227">
        <v>661</v>
      </c>
      <c r="G1227">
        <v>0</v>
      </c>
      <c r="H1227">
        <v>686</v>
      </c>
      <c r="I1227">
        <f>VLOOKUP(Scores[[#This Row],[MRUN]],Demographics[],3,FALSE)</f>
        <v>0</v>
      </c>
      <c r="J1227">
        <f>AVERAGE(Scores[[#This Row],[LYC]],Scores[[#This Row],[MATE]])</f>
        <v>621</v>
      </c>
      <c r="K1227">
        <f>VLOOKUP(Scores[[#This Row],[MRUN]],Demographics[],6,FALSE)</f>
        <v>0</v>
      </c>
      <c r="L1227">
        <f>VLOOKUP(Scores[[#This Row],[MRUN]],Demographics[], 7,FALSE)</f>
        <v>0</v>
      </c>
      <c r="M1227">
        <f>VLOOKUP(Scores[[#This Row],[MRUN]],Demographics[], 5, FALSE)</f>
        <v>4</v>
      </c>
    </row>
    <row r="1228" spans="1:13" hidden="1" x14ac:dyDescent="0.2">
      <c r="A1228" s="1">
        <v>15719917</v>
      </c>
      <c r="B1228">
        <v>1</v>
      </c>
      <c r="C1228">
        <v>3</v>
      </c>
      <c r="D1228">
        <v>517</v>
      </c>
      <c r="E1228">
        <v>618</v>
      </c>
      <c r="F1228">
        <v>705</v>
      </c>
      <c r="G1228">
        <v>0</v>
      </c>
      <c r="H1228">
        <v>598</v>
      </c>
      <c r="I1228">
        <f>VLOOKUP(Scores[[#This Row],[MRUN]],Demographics[],3,FALSE)</f>
        <v>4</v>
      </c>
      <c r="J1228">
        <f>AVERAGE(Scores[[#This Row],[LYC]],Scores[[#This Row],[MATE]])</f>
        <v>661.5</v>
      </c>
      <c r="K1228">
        <f>VLOOKUP(Scores[[#This Row],[MRUN]],Demographics[],6,FALSE)</f>
        <v>8</v>
      </c>
      <c r="L1228">
        <f>VLOOKUP(Scores[[#This Row],[MRUN]],Demographics[], 7,FALSE)</f>
        <v>6</v>
      </c>
      <c r="M1228">
        <f>VLOOKUP(Scores[[#This Row],[MRUN]],Demographics[], 5, FALSE)</f>
        <v>2</v>
      </c>
    </row>
    <row r="1229" spans="1:13" hidden="1" x14ac:dyDescent="0.2">
      <c r="A1229" s="1">
        <v>21494192</v>
      </c>
      <c r="B1229">
        <v>2</v>
      </c>
      <c r="C1229">
        <v>2</v>
      </c>
      <c r="D1229">
        <v>538</v>
      </c>
      <c r="E1229">
        <v>494</v>
      </c>
      <c r="F1229">
        <v>428</v>
      </c>
      <c r="G1229">
        <v>0</v>
      </c>
      <c r="H1229">
        <v>528</v>
      </c>
      <c r="I1229">
        <f>VLOOKUP(Scores[[#This Row],[MRUN]],Demographics[],3,FALSE)</f>
        <v>6</v>
      </c>
      <c r="J1229">
        <f>AVERAGE(Scores[[#This Row],[LYC]],Scores[[#This Row],[MATE]])</f>
        <v>461</v>
      </c>
      <c r="K1229">
        <f>VLOOKUP(Scores[[#This Row],[MRUN]],Demographics[],6,FALSE)</f>
        <v>5</v>
      </c>
      <c r="L1229">
        <f>VLOOKUP(Scores[[#This Row],[MRUN]],Demographics[], 7,FALSE)</f>
        <v>5</v>
      </c>
      <c r="M1229">
        <f>VLOOKUP(Scores[[#This Row],[MRUN]],Demographics[], 5, FALSE)</f>
        <v>1</v>
      </c>
    </row>
    <row r="1230" spans="1:13" hidden="1" x14ac:dyDescent="0.2">
      <c r="A1230" s="1">
        <v>15820390</v>
      </c>
      <c r="B1230">
        <v>2</v>
      </c>
      <c r="C1230">
        <v>2</v>
      </c>
      <c r="D1230">
        <v>0</v>
      </c>
      <c r="E1230">
        <v>531</v>
      </c>
      <c r="F1230">
        <v>494</v>
      </c>
      <c r="G1230">
        <v>557</v>
      </c>
      <c r="H1230">
        <v>376</v>
      </c>
      <c r="I1230">
        <f>VLOOKUP(Scores[[#This Row],[MRUN]],Demographics[],3,FALSE)</f>
        <v>3</v>
      </c>
      <c r="J1230">
        <f>AVERAGE(Scores[[#This Row],[LYC]],Scores[[#This Row],[MATE]])</f>
        <v>512.5</v>
      </c>
      <c r="K1230">
        <f>VLOOKUP(Scores[[#This Row],[MRUN]],Demographics[],6,FALSE)</f>
        <v>5</v>
      </c>
      <c r="L1230">
        <f>VLOOKUP(Scores[[#This Row],[MRUN]],Demographics[], 7,FALSE)</f>
        <v>5</v>
      </c>
      <c r="M1230">
        <f>VLOOKUP(Scores[[#This Row],[MRUN]],Demographics[], 5, FALSE)</f>
        <v>1</v>
      </c>
    </row>
    <row r="1231" spans="1:13" hidden="1" x14ac:dyDescent="0.2">
      <c r="A1231" s="1">
        <v>22028550</v>
      </c>
      <c r="B1231">
        <v>2</v>
      </c>
      <c r="C1231">
        <v>3</v>
      </c>
      <c r="D1231">
        <v>558</v>
      </c>
      <c r="E1231">
        <v>602</v>
      </c>
      <c r="F1231">
        <v>568</v>
      </c>
      <c r="G1231">
        <v>607</v>
      </c>
      <c r="H1231">
        <v>0</v>
      </c>
      <c r="I1231">
        <f>VLOOKUP(Scores[[#This Row],[MRUN]],Demographics[],3,FALSE)</f>
        <v>3</v>
      </c>
      <c r="J1231">
        <f>AVERAGE(Scores[[#This Row],[LYC]],Scores[[#This Row],[MATE]])</f>
        <v>585</v>
      </c>
      <c r="K1231">
        <f>VLOOKUP(Scores[[#This Row],[MRUN]],Demographics[],6,FALSE)</f>
        <v>5</v>
      </c>
      <c r="L1231">
        <f>VLOOKUP(Scores[[#This Row],[MRUN]],Demographics[], 7,FALSE)</f>
        <v>5</v>
      </c>
      <c r="M1231">
        <f>VLOOKUP(Scores[[#This Row],[MRUN]],Demographics[], 5, FALSE)</f>
        <v>2</v>
      </c>
    </row>
    <row r="1232" spans="1:13" hidden="1" x14ac:dyDescent="0.2">
      <c r="A1232" s="1">
        <v>19559382</v>
      </c>
      <c r="B1232">
        <v>2</v>
      </c>
      <c r="C1232">
        <v>2</v>
      </c>
      <c r="D1232">
        <v>476</v>
      </c>
      <c r="E1232">
        <v>320</v>
      </c>
      <c r="F1232">
        <v>463</v>
      </c>
      <c r="G1232">
        <v>0</v>
      </c>
      <c r="H1232">
        <v>245</v>
      </c>
      <c r="I1232">
        <f>VLOOKUP(Scores[[#This Row],[MRUN]],Demographics[],3,FALSE)</f>
        <v>3</v>
      </c>
      <c r="J1232">
        <f>AVERAGE(Scores[[#This Row],[LYC]],Scores[[#This Row],[MATE]])</f>
        <v>391.5</v>
      </c>
      <c r="K1232">
        <f>VLOOKUP(Scores[[#This Row],[MRUN]],Demographics[],6,FALSE)</f>
        <v>7</v>
      </c>
      <c r="L1232">
        <f>VLOOKUP(Scores[[#This Row],[MRUN]],Demographics[], 7,FALSE)</f>
        <v>7</v>
      </c>
      <c r="M1232">
        <f>VLOOKUP(Scores[[#This Row],[MRUN]],Demographics[], 5, FALSE)</f>
        <v>1</v>
      </c>
    </row>
    <row r="1233" spans="1:13" hidden="1" x14ac:dyDescent="0.2">
      <c r="A1233" s="1">
        <v>7175493</v>
      </c>
      <c r="B1233">
        <v>1</v>
      </c>
      <c r="C1233">
        <v>4</v>
      </c>
      <c r="D1233">
        <v>455</v>
      </c>
      <c r="E1233">
        <v>516</v>
      </c>
      <c r="F1233">
        <v>571</v>
      </c>
      <c r="G1233">
        <v>0</v>
      </c>
      <c r="H1233">
        <v>475</v>
      </c>
      <c r="I1233">
        <f>VLOOKUP(Scores[[#This Row],[MRUN]],Demographics[],3,FALSE)</f>
        <v>5</v>
      </c>
      <c r="J1233">
        <f>AVERAGE(Scores[[#This Row],[LYC]],Scores[[#This Row],[MATE]])</f>
        <v>543.5</v>
      </c>
      <c r="K1233">
        <f>VLOOKUP(Scores[[#This Row],[MRUN]],Demographics[],6,FALSE)</f>
        <v>9</v>
      </c>
      <c r="L1233">
        <f>VLOOKUP(Scores[[#This Row],[MRUN]],Demographics[], 7,FALSE)</f>
        <v>9</v>
      </c>
      <c r="M1233">
        <f>VLOOKUP(Scores[[#This Row],[MRUN]],Demographics[], 5, FALSE)</f>
        <v>6</v>
      </c>
    </row>
    <row r="1234" spans="1:13" hidden="1" x14ac:dyDescent="0.2">
      <c r="A1234" s="1">
        <v>15619062</v>
      </c>
      <c r="B1234">
        <v>2</v>
      </c>
      <c r="C1234">
        <v>2</v>
      </c>
      <c r="D1234">
        <v>356</v>
      </c>
      <c r="E1234">
        <v>422</v>
      </c>
      <c r="F1234">
        <v>413</v>
      </c>
      <c r="G1234">
        <v>0</v>
      </c>
      <c r="H1234">
        <v>439</v>
      </c>
      <c r="I1234">
        <f>VLOOKUP(Scores[[#This Row],[MRUN]],Demographics[],3,FALSE)</f>
        <v>4</v>
      </c>
      <c r="J1234">
        <f>AVERAGE(Scores[[#This Row],[LYC]],Scores[[#This Row],[MATE]])</f>
        <v>417.5</v>
      </c>
      <c r="K1234">
        <f>VLOOKUP(Scores[[#This Row],[MRUN]],Demographics[],6,FALSE)</f>
        <v>5</v>
      </c>
      <c r="L1234">
        <f>VLOOKUP(Scores[[#This Row],[MRUN]],Demographics[], 7,FALSE)</f>
        <v>5</v>
      </c>
      <c r="M1234">
        <f>VLOOKUP(Scores[[#This Row],[MRUN]],Demographics[], 5, FALSE)</f>
        <v>1</v>
      </c>
    </row>
    <row r="1235" spans="1:13" hidden="1" x14ac:dyDescent="0.2">
      <c r="A1235" s="1">
        <v>21061240</v>
      </c>
      <c r="B1235">
        <v>1</v>
      </c>
      <c r="C1235">
        <v>3</v>
      </c>
      <c r="D1235">
        <v>620</v>
      </c>
      <c r="E1235">
        <v>636</v>
      </c>
      <c r="F1235">
        <v>681</v>
      </c>
      <c r="G1235">
        <v>0</v>
      </c>
      <c r="H1235">
        <v>647</v>
      </c>
      <c r="I1235">
        <f>VLOOKUP(Scores[[#This Row],[MRUN]],Demographics[],3,FALSE)</f>
        <v>3</v>
      </c>
      <c r="J1235">
        <f>AVERAGE(Scores[[#This Row],[LYC]],Scores[[#This Row],[MATE]])</f>
        <v>658.5</v>
      </c>
      <c r="K1235">
        <f>VLOOKUP(Scores[[#This Row],[MRUN]],Demographics[],6,FALSE)</f>
        <v>9</v>
      </c>
      <c r="L1235">
        <f>VLOOKUP(Scores[[#This Row],[MRUN]],Demographics[], 7,FALSE)</f>
        <v>7</v>
      </c>
      <c r="M1235">
        <f>VLOOKUP(Scores[[#This Row],[MRUN]],Demographics[], 5, FALSE)</f>
        <v>1</v>
      </c>
    </row>
    <row r="1236" spans="1:13" hidden="1" x14ac:dyDescent="0.2">
      <c r="A1236" s="1">
        <v>13483103</v>
      </c>
      <c r="B1236">
        <v>2</v>
      </c>
      <c r="C1236">
        <v>3</v>
      </c>
      <c r="D1236">
        <v>458</v>
      </c>
      <c r="E1236">
        <v>378</v>
      </c>
      <c r="F1236">
        <v>480</v>
      </c>
      <c r="G1236">
        <v>436</v>
      </c>
      <c r="H1236">
        <v>0</v>
      </c>
      <c r="I1236">
        <f>VLOOKUP(Scores[[#This Row],[MRUN]],Demographics[],3,FALSE)</f>
        <v>5</v>
      </c>
      <c r="J1236">
        <f>AVERAGE(Scores[[#This Row],[LYC]],Scores[[#This Row],[MATE]])</f>
        <v>429</v>
      </c>
      <c r="K1236">
        <f>VLOOKUP(Scores[[#This Row],[MRUN]],Demographics[],6,FALSE)</f>
        <v>2</v>
      </c>
      <c r="L1236">
        <f>VLOOKUP(Scores[[#This Row],[MRUN]],Demographics[], 7,FALSE)</f>
        <v>3</v>
      </c>
      <c r="M1236">
        <f>VLOOKUP(Scores[[#This Row],[MRUN]],Demographics[], 5, FALSE)</f>
        <v>1</v>
      </c>
    </row>
    <row r="1237" spans="1:13" hidden="1" x14ac:dyDescent="0.2">
      <c r="A1237" s="1">
        <v>15431611</v>
      </c>
      <c r="B1237">
        <v>1</v>
      </c>
      <c r="C1237">
        <v>2</v>
      </c>
      <c r="D1237">
        <v>538</v>
      </c>
      <c r="E1237">
        <v>551</v>
      </c>
      <c r="F1237">
        <v>617</v>
      </c>
      <c r="G1237">
        <v>552</v>
      </c>
      <c r="H1237">
        <v>553</v>
      </c>
      <c r="I1237">
        <f>VLOOKUP(Scores[[#This Row],[MRUN]],Demographics[],3,FALSE)</f>
        <v>5</v>
      </c>
      <c r="J1237">
        <f>AVERAGE(Scores[[#This Row],[LYC]],Scores[[#This Row],[MATE]])</f>
        <v>584</v>
      </c>
      <c r="K1237">
        <f>VLOOKUP(Scores[[#This Row],[MRUN]],Demographics[],6,FALSE)</f>
        <v>4</v>
      </c>
      <c r="L1237">
        <f>VLOOKUP(Scores[[#This Row],[MRUN]],Demographics[], 7,FALSE)</f>
        <v>9</v>
      </c>
      <c r="M1237">
        <f>VLOOKUP(Scores[[#This Row],[MRUN]],Demographics[], 5, FALSE)</f>
        <v>2</v>
      </c>
    </row>
    <row r="1238" spans="1:13" hidden="1" x14ac:dyDescent="0.2">
      <c r="A1238" s="1">
        <v>14364057</v>
      </c>
      <c r="B1238">
        <v>1</v>
      </c>
      <c r="C1238">
        <v>3</v>
      </c>
      <c r="D1238">
        <v>661</v>
      </c>
      <c r="E1238">
        <v>779</v>
      </c>
      <c r="F1238">
        <v>640</v>
      </c>
      <c r="G1238">
        <v>677</v>
      </c>
      <c r="H1238">
        <v>0</v>
      </c>
      <c r="I1238">
        <f>VLOOKUP(Scores[[#This Row],[MRUN]],Demographics[],3,FALSE)</f>
        <v>5</v>
      </c>
      <c r="J1238">
        <f>AVERAGE(Scores[[#This Row],[LYC]],Scores[[#This Row],[MATE]])</f>
        <v>709.5</v>
      </c>
      <c r="K1238">
        <f>VLOOKUP(Scores[[#This Row],[MRUN]],Demographics[],6,FALSE)</f>
        <v>9</v>
      </c>
      <c r="L1238">
        <f>VLOOKUP(Scores[[#This Row],[MRUN]],Demographics[], 7,FALSE)</f>
        <v>5</v>
      </c>
      <c r="M1238">
        <f>VLOOKUP(Scores[[#This Row],[MRUN]],Demographics[], 5, FALSE)</f>
        <v>2</v>
      </c>
    </row>
    <row r="1239" spans="1:13" hidden="1" x14ac:dyDescent="0.2">
      <c r="A1239" s="1">
        <v>21205706</v>
      </c>
      <c r="B1239">
        <v>2</v>
      </c>
      <c r="C1239">
        <v>3</v>
      </c>
      <c r="D1239">
        <v>579</v>
      </c>
      <c r="E1239">
        <v>531</v>
      </c>
      <c r="F1239">
        <v>568</v>
      </c>
      <c r="G1239">
        <v>531</v>
      </c>
      <c r="H1239">
        <v>0</v>
      </c>
      <c r="I1239">
        <f>VLOOKUP(Scores[[#This Row],[MRUN]],Demographics[],3,FALSE)</f>
        <v>5</v>
      </c>
      <c r="J1239">
        <f>AVERAGE(Scores[[#This Row],[LYC]],Scores[[#This Row],[MATE]])</f>
        <v>549.5</v>
      </c>
      <c r="K1239">
        <f>VLOOKUP(Scores[[#This Row],[MRUN]],Demographics[],6,FALSE)</f>
        <v>5</v>
      </c>
      <c r="L1239">
        <f>VLOOKUP(Scores[[#This Row],[MRUN]],Demographics[], 7,FALSE)</f>
        <v>9</v>
      </c>
      <c r="M1239">
        <f>VLOOKUP(Scores[[#This Row],[MRUN]],Demographics[], 5, FALSE)</f>
        <v>2</v>
      </c>
    </row>
    <row r="1240" spans="1:13" hidden="1" x14ac:dyDescent="0.2">
      <c r="A1240" s="1">
        <v>21739743</v>
      </c>
      <c r="B1240">
        <v>1</v>
      </c>
      <c r="C1240">
        <v>2</v>
      </c>
      <c r="D1240">
        <v>437</v>
      </c>
      <c r="E1240">
        <v>557</v>
      </c>
      <c r="F1240">
        <v>487</v>
      </c>
      <c r="G1240">
        <v>628</v>
      </c>
      <c r="H1240">
        <v>0</v>
      </c>
      <c r="I1240">
        <f>VLOOKUP(Scores[[#This Row],[MRUN]],Demographics[],3,FALSE)</f>
        <v>4</v>
      </c>
      <c r="J1240">
        <f>AVERAGE(Scores[[#This Row],[LYC]],Scores[[#This Row],[MATE]])</f>
        <v>522</v>
      </c>
      <c r="K1240">
        <f>VLOOKUP(Scores[[#This Row],[MRUN]],Demographics[],6,FALSE)</f>
        <v>3</v>
      </c>
      <c r="L1240">
        <f>VLOOKUP(Scores[[#This Row],[MRUN]],Demographics[], 7,FALSE)</f>
        <v>4</v>
      </c>
      <c r="M1240">
        <f>VLOOKUP(Scores[[#This Row],[MRUN]],Demographics[], 5, FALSE)</f>
        <v>1</v>
      </c>
    </row>
    <row r="1241" spans="1:13" hidden="1" x14ac:dyDescent="0.2">
      <c r="A1241" s="1">
        <v>19271842</v>
      </c>
      <c r="B1241">
        <v>1</v>
      </c>
      <c r="C1241">
        <v>2</v>
      </c>
      <c r="D1241">
        <v>455</v>
      </c>
      <c r="E1241">
        <v>458</v>
      </c>
      <c r="F1241">
        <v>463</v>
      </c>
      <c r="G1241">
        <v>479</v>
      </c>
      <c r="H1241">
        <v>391</v>
      </c>
      <c r="I1241">
        <f>VLOOKUP(Scores[[#This Row],[MRUN]],Demographics[],3,FALSE)</f>
        <v>6</v>
      </c>
      <c r="J1241">
        <f>AVERAGE(Scores[[#This Row],[LYC]],Scores[[#This Row],[MATE]])</f>
        <v>460.5</v>
      </c>
      <c r="K1241">
        <f>VLOOKUP(Scores[[#This Row],[MRUN]],Demographics[],6,FALSE)</f>
        <v>5</v>
      </c>
      <c r="L1241">
        <f>VLOOKUP(Scores[[#This Row],[MRUN]],Demographics[], 7,FALSE)</f>
        <v>5</v>
      </c>
      <c r="M1241">
        <f>VLOOKUP(Scores[[#This Row],[MRUN]],Demographics[], 5, FALSE)</f>
        <v>1</v>
      </c>
    </row>
    <row r="1242" spans="1:13" hidden="1" x14ac:dyDescent="0.2">
      <c r="A1242" s="1">
        <v>11261617</v>
      </c>
      <c r="B1242">
        <v>1</v>
      </c>
      <c r="C1242">
        <v>2</v>
      </c>
      <c r="D1242">
        <v>538</v>
      </c>
      <c r="E1242">
        <v>510</v>
      </c>
      <c r="F1242">
        <v>472</v>
      </c>
      <c r="G1242">
        <v>0</v>
      </c>
      <c r="H1242">
        <v>439</v>
      </c>
      <c r="I1242">
        <f>VLOOKUP(Scores[[#This Row],[MRUN]],Demographics[],3,FALSE)</f>
        <v>5</v>
      </c>
      <c r="J1242">
        <f>AVERAGE(Scores[[#This Row],[LYC]],Scores[[#This Row],[MATE]])</f>
        <v>491</v>
      </c>
      <c r="K1242">
        <f>VLOOKUP(Scores[[#This Row],[MRUN]],Demographics[],6,FALSE)</f>
        <v>5</v>
      </c>
      <c r="L1242">
        <f>VLOOKUP(Scores[[#This Row],[MRUN]],Demographics[], 7,FALSE)</f>
        <v>5</v>
      </c>
      <c r="M1242">
        <f>VLOOKUP(Scores[[#This Row],[MRUN]],Demographics[], 5, FALSE)</f>
        <v>2</v>
      </c>
    </row>
    <row r="1243" spans="1:13" hidden="1" x14ac:dyDescent="0.2">
      <c r="A1243" s="1">
        <v>9226591</v>
      </c>
      <c r="B1243">
        <v>1</v>
      </c>
      <c r="C1243">
        <v>3</v>
      </c>
      <c r="D1243">
        <v>744</v>
      </c>
      <c r="E1243">
        <v>683</v>
      </c>
      <c r="F1243">
        <v>686</v>
      </c>
      <c r="G1243">
        <v>0</v>
      </c>
      <c r="H1243">
        <v>746</v>
      </c>
      <c r="I1243">
        <f>VLOOKUP(Scores[[#This Row],[MRUN]],Demographics[],3,FALSE)</f>
        <v>4</v>
      </c>
      <c r="J1243">
        <f>AVERAGE(Scores[[#This Row],[LYC]],Scores[[#This Row],[MATE]])</f>
        <v>684.5</v>
      </c>
      <c r="K1243">
        <f>VLOOKUP(Scores[[#This Row],[MRUN]],Demographics[],6,FALSE)</f>
        <v>5</v>
      </c>
      <c r="L1243">
        <f>VLOOKUP(Scores[[#This Row],[MRUN]],Demographics[], 7,FALSE)</f>
        <v>5</v>
      </c>
      <c r="M1243">
        <f>VLOOKUP(Scores[[#This Row],[MRUN]],Demographics[], 5, FALSE)</f>
        <v>2</v>
      </c>
    </row>
    <row r="1244" spans="1:13" hidden="1" x14ac:dyDescent="0.2">
      <c r="A1244" s="1">
        <v>6887537</v>
      </c>
      <c r="B1244">
        <v>2</v>
      </c>
      <c r="C1244">
        <v>2</v>
      </c>
      <c r="D1244">
        <v>496</v>
      </c>
      <c r="E1244">
        <v>378</v>
      </c>
      <c r="F1244">
        <v>328</v>
      </c>
      <c r="G1244">
        <v>428</v>
      </c>
      <c r="H1244">
        <v>344</v>
      </c>
      <c r="I1244">
        <f>VLOOKUP(Scores[[#This Row],[MRUN]],Demographics[],3,FALSE)</f>
        <v>4</v>
      </c>
      <c r="J1244">
        <f>AVERAGE(Scores[[#This Row],[LYC]],Scores[[#This Row],[MATE]])</f>
        <v>353</v>
      </c>
      <c r="K1244">
        <f>VLOOKUP(Scores[[#This Row],[MRUN]],Demographics[],6,FALSE)</f>
        <v>4</v>
      </c>
      <c r="L1244">
        <f>VLOOKUP(Scores[[#This Row],[MRUN]],Demographics[], 7,FALSE)</f>
        <v>5</v>
      </c>
      <c r="M1244">
        <f>VLOOKUP(Scores[[#This Row],[MRUN]],Demographics[], 5, FALSE)</f>
        <v>1</v>
      </c>
    </row>
    <row r="1245" spans="1:13" hidden="1" x14ac:dyDescent="0.2">
      <c r="A1245" s="1">
        <v>24944056</v>
      </c>
      <c r="B1245">
        <v>2</v>
      </c>
      <c r="C1245">
        <v>2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f>VLOOKUP(Scores[[#This Row],[MRUN]],Demographics[],3,FALSE)</f>
        <v>4</v>
      </c>
      <c r="J1245">
        <f>AVERAGE(Scores[[#This Row],[LYC]],Scores[[#This Row],[MATE]])</f>
        <v>0</v>
      </c>
      <c r="K1245">
        <f>VLOOKUP(Scores[[#This Row],[MRUN]],Demographics[],6,FALSE)</f>
        <v>5</v>
      </c>
      <c r="L1245">
        <f>VLOOKUP(Scores[[#This Row],[MRUN]],Demographics[], 7,FALSE)</f>
        <v>5</v>
      </c>
      <c r="M1245">
        <f>VLOOKUP(Scores[[#This Row],[MRUN]],Demographics[], 5, FALSE)</f>
        <v>2</v>
      </c>
    </row>
    <row r="1246" spans="1:13" hidden="1" x14ac:dyDescent="0.2">
      <c r="A1246" s="1">
        <v>5819647</v>
      </c>
      <c r="B1246">
        <v>1</v>
      </c>
      <c r="C1246">
        <v>3</v>
      </c>
      <c r="D1246">
        <v>599</v>
      </c>
      <c r="E1246">
        <v>521</v>
      </c>
      <c r="F1246">
        <v>585</v>
      </c>
      <c r="G1246">
        <v>0</v>
      </c>
      <c r="H1246">
        <v>562</v>
      </c>
      <c r="I1246">
        <f>VLOOKUP(Scores[[#This Row],[MRUN]],Demographics[],3,FALSE)</f>
        <v>4</v>
      </c>
      <c r="J1246">
        <f>AVERAGE(Scores[[#This Row],[LYC]],Scores[[#This Row],[MATE]])</f>
        <v>553</v>
      </c>
      <c r="K1246">
        <f>VLOOKUP(Scores[[#This Row],[MRUN]],Demographics[],6,FALSE)</f>
        <v>8</v>
      </c>
      <c r="L1246">
        <f>VLOOKUP(Scores[[#This Row],[MRUN]],Demographics[], 7,FALSE)</f>
        <v>7</v>
      </c>
      <c r="M1246">
        <f>VLOOKUP(Scores[[#This Row],[MRUN]],Demographics[], 5, FALSE)</f>
        <v>2</v>
      </c>
    </row>
    <row r="1247" spans="1:13" hidden="1" x14ac:dyDescent="0.2">
      <c r="A1247" s="1">
        <v>11795547</v>
      </c>
      <c r="B1247">
        <v>2</v>
      </c>
      <c r="C1247">
        <v>4</v>
      </c>
      <c r="D1247">
        <v>579</v>
      </c>
      <c r="E1247">
        <v>557</v>
      </c>
      <c r="F1247">
        <v>536</v>
      </c>
      <c r="G1247">
        <v>0</v>
      </c>
      <c r="H1247">
        <v>543</v>
      </c>
      <c r="I1247">
        <f>VLOOKUP(Scores[[#This Row],[MRUN]],Demographics[],3,FALSE)</f>
        <v>4</v>
      </c>
      <c r="J1247">
        <f>AVERAGE(Scores[[#This Row],[LYC]],Scores[[#This Row],[MATE]])</f>
        <v>546.5</v>
      </c>
      <c r="K1247">
        <f>VLOOKUP(Scores[[#This Row],[MRUN]],Demographics[],6,FALSE)</f>
        <v>5</v>
      </c>
      <c r="L1247">
        <f>VLOOKUP(Scores[[#This Row],[MRUN]],Demographics[], 7,FALSE)</f>
        <v>5</v>
      </c>
      <c r="M1247">
        <f>VLOOKUP(Scores[[#This Row],[MRUN]],Demographics[], 5, FALSE)</f>
        <v>2</v>
      </c>
    </row>
    <row r="1248" spans="1:13" hidden="1" x14ac:dyDescent="0.2">
      <c r="A1248" s="1">
        <v>2283395</v>
      </c>
      <c r="B1248">
        <v>1</v>
      </c>
      <c r="C1248">
        <v>3</v>
      </c>
      <c r="D1248">
        <v>496</v>
      </c>
      <c r="E1248">
        <v>596</v>
      </c>
      <c r="F1248">
        <v>571</v>
      </c>
      <c r="G1248">
        <v>531</v>
      </c>
      <c r="H1248">
        <v>0</v>
      </c>
      <c r="I1248">
        <f>VLOOKUP(Scores[[#This Row],[MRUN]],Demographics[],3,FALSE)</f>
        <v>5</v>
      </c>
      <c r="J1248">
        <f>AVERAGE(Scores[[#This Row],[LYC]],Scores[[#This Row],[MATE]])</f>
        <v>583.5</v>
      </c>
      <c r="K1248">
        <f>VLOOKUP(Scores[[#This Row],[MRUN]],Demographics[],6,FALSE)</f>
        <v>0</v>
      </c>
      <c r="L1248">
        <f>VLOOKUP(Scores[[#This Row],[MRUN]],Demographics[], 7,FALSE)</f>
        <v>2</v>
      </c>
      <c r="M1248">
        <f>VLOOKUP(Scores[[#This Row],[MRUN]],Demographics[], 5, FALSE)</f>
        <v>1</v>
      </c>
    </row>
    <row r="1249" spans="1:13" hidden="1" x14ac:dyDescent="0.2">
      <c r="A1249" s="1">
        <v>23442882</v>
      </c>
      <c r="B1249">
        <v>2</v>
      </c>
      <c r="C1249">
        <v>2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f>VLOOKUP(Scores[[#This Row],[MRUN]],Demographics[],3,FALSE)</f>
        <v>2</v>
      </c>
      <c r="J1249">
        <f>AVERAGE(Scores[[#This Row],[LYC]],Scores[[#This Row],[MATE]])</f>
        <v>0</v>
      </c>
      <c r="K1249">
        <f>VLOOKUP(Scores[[#This Row],[MRUN]],Demographics[],6,FALSE)</f>
        <v>5</v>
      </c>
      <c r="L1249">
        <f>VLOOKUP(Scores[[#This Row],[MRUN]],Demographics[], 7,FALSE)</f>
        <v>5</v>
      </c>
      <c r="M1249">
        <f>VLOOKUP(Scores[[#This Row],[MRUN]],Demographics[], 5, FALSE)</f>
        <v>1</v>
      </c>
    </row>
    <row r="1250" spans="1:13" hidden="1" x14ac:dyDescent="0.2">
      <c r="A1250" s="1">
        <v>23010606</v>
      </c>
      <c r="B1250">
        <v>1</v>
      </c>
      <c r="C1250">
        <v>3</v>
      </c>
      <c r="D1250">
        <v>723</v>
      </c>
      <c r="E1250">
        <v>717</v>
      </c>
      <c r="F1250">
        <v>763</v>
      </c>
      <c r="G1250">
        <v>0</v>
      </c>
      <c r="H1250">
        <v>729</v>
      </c>
      <c r="I1250">
        <f>VLOOKUP(Scores[[#This Row],[MRUN]],Demographics[],3,FALSE)</f>
        <v>5</v>
      </c>
      <c r="J1250">
        <f>AVERAGE(Scores[[#This Row],[LYC]],Scores[[#This Row],[MATE]])</f>
        <v>740</v>
      </c>
      <c r="K1250">
        <f>VLOOKUP(Scores[[#This Row],[MRUN]],Demographics[],6,FALSE)</f>
        <v>7</v>
      </c>
      <c r="L1250">
        <f>VLOOKUP(Scores[[#This Row],[MRUN]],Demographics[], 7,FALSE)</f>
        <v>9</v>
      </c>
      <c r="M1250">
        <f>VLOOKUP(Scores[[#This Row],[MRUN]],Demographics[], 5, FALSE)</f>
        <v>3</v>
      </c>
    </row>
    <row r="1251" spans="1:13" hidden="1" x14ac:dyDescent="0.2">
      <c r="A1251" s="1">
        <v>5488200</v>
      </c>
      <c r="B1251">
        <v>1</v>
      </c>
      <c r="C1251">
        <v>2</v>
      </c>
      <c r="D1251">
        <v>496</v>
      </c>
      <c r="E1251">
        <v>576</v>
      </c>
      <c r="F1251">
        <v>614</v>
      </c>
      <c r="G1251">
        <v>602</v>
      </c>
      <c r="H1251">
        <v>523</v>
      </c>
      <c r="I1251">
        <f>VLOOKUP(Scores[[#This Row],[MRUN]],Demographics[],3,FALSE)</f>
        <v>4</v>
      </c>
      <c r="J1251">
        <f>AVERAGE(Scores[[#This Row],[LYC]],Scores[[#This Row],[MATE]])</f>
        <v>595</v>
      </c>
      <c r="K1251">
        <f>VLOOKUP(Scores[[#This Row],[MRUN]],Demographics[],6,FALSE)</f>
        <v>5</v>
      </c>
      <c r="L1251">
        <f>VLOOKUP(Scores[[#This Row],[MRUN]],Demographics[], 7,FALSE)</f>
        <v>5</v>
      </c>
      <c r="M1251">
        <f>VLOOKUP(Scores[[#This Row],[MRUN]],Demographics[], 5, FALSE)</f>
        <v>1</v>
      </c>
    </row>
    <row r="1252" spans="1:13" hidden="1" x14ac:dyDescent="0.2">
      <c r="A1252" s="1">
        <v>20874333</v>
      </c>
      <c r="B1252">
        <v>1</v>
      </c>
      <c r="C1252">
        <v>3</v>
      </c>
      <c r="D1252">
        <v>538</v>
      </c>
      <c r="E1252">
        <v>613</v>
      </c>
      <c r="F1252">
        <v>549</v>
      </c>
      <c r="G1252">
        <v>0</v>
      </c>
      <c r="H1252">
        <v>579</v>
      </c>
      <c r="I1252">
        <f>VLOOKUP(Scores[[#This Row],[MRUN]],Demographics[],3,FALSE)</f>
        <v>5</v>
      </c>
      <c r="J1252">
        <f>AVERAGE(Scores[[#This Row],[LYC]],Scores[[#This Row],[MATE]])</f>
        <v>581</v>
      </c>
      <c r="K1252">
        <f>VLOOKUP(Scores[[#This Row],[MRUN]],Demographics[],6,FALSE)</f>
        <v>7</v>
      </c>
      <c r="L1252">
        <f>VLOOKUP(Scores[[#This Row],[MRUN]],Demographics[], 7,FALSE)</f>
        <v>7</v>
      </c>
      <c r="M1252">
        <f>VLOOKUP(Scores[[#This Row],[MRUN]],Demographics[], 5, FALSE)</f>
        <v>2</v>
      </c>
    </row>
    <row r="1253" spans="1:13" hidden="1" x14ac:dyDescent="0.2">
      <c r="A1253" s="1">
        <v>19253149</v>
      </c>
      <c r="B1253">
        <v>2</v>
      </c>
      <c r="C1253">
        <v>2</v>
      </c>
      <c r="D1253">
        <v>558</v>
      </c>
      <c r="E1253">
        <v>499</v>
      </c>
      <c r="F1253">
        <v>428</v>
      </c>
      <c r="G1253">
        <v>495</v>
      </c>
      <c r="H1253">
        <v>0</v>
      </c>
      <c r="I1253">
        <f>VLOOKUP(Scores[[#This Row],[MRUN]],Demographics[],3,FALSE)</f>
        <v>6</v>
      </c>
      <c r="J1253">
        <f>AVERAGE(Scores[[#This Row],[LYC]],Scores[[#This Row],[MATE]])</f>
        <v>463.5</v>
      </c>
      <c r="K1253">
        <f>VLOOKUP(Scores[[#This Row],[MRUN]],Demographics[],6,FALSE)</f>
        <v>2</v>
      </c>
      <c r="L1253">
        <f>VLOOKUP(Scores[[#This Row],[MRUN]],Demographics[], 7,FALSE)</f>
        <v>5</v>
      </c>
      <c r="M1253">
        <f>VLOOKUP(Scores[[#This Row],[MRUN]],Demographics[], 5, FALSE)</f>
        <v>1</v>
      </c>
    </row>
    <row r="1254" spans="1:13" hidden="1" x14ac:dyDescent="0.2">
      <c r="A1254" s="1">
        <v>2109483</v>
      </c>
      <c r="B1254">
        <v>2</v>
      </c>
      <c r="C1254">
        <v>4</v>
      </c>
      <c r="D1254">
        <v>641</v>
      </c>
      <c r="E1254">
        <v>571</v>
      </c>
      <c r="F1254">
        <v>617</v>
      </c>
      <c r="G1254">
        <v>586</v>
      </c>
      <c r="H1254">
        <v>663</v>
      </c>
      <c r="I1254">
        <f>VLOOKUP(Scores[[#This Row],[MRUN]],Demographics[],3,FALSE)</f>
        <v>5</v>
      </c>
      <c r="J1254">
        <f>AVERAGE(Scores[[#This Row],[LYC]],Scores[[#This Row],[MATE]])</f>
        <v>594</v>
      </c>
      <c r="K1254">
        <f>VLOOKUP(Scores[[#This Row],[MRUN]],Demographics[],6,FALSE)</f>
        <v>9</v>
      </c>
      <c r="L1254">
        <f>VLOOKUP(Scores[[#This Row],[MRUN]],Demographics[], 7,FALSE)</f>
        <v>8</v>
      </c>
      <c r="M1254">
        <f>VLOOKUP(Scores[[#This Row],[MRUN]],Demographics[], 5, FALSE)</f>
        <v>2</v>
      </c>
    </row>
    <row r="1255" spans="1:13" hidden="1" x14ac:dyDescent="0.2">
      <c r="A1255" s="1">
        <v>5342811</v>
      </c>
      <c r="B1255">
        <v>1</v>
      </c>
      <c r="C1255">
        <v>2</v>
      </c>
      <c r="D1255">
        <v>455</v>
      </c>
      <c r="E1255">
        <v>444</v>
      </c>
      <c r="F1255">
        <v>248</v>
      </c>
      <c r="G1255">
        <v>461</v>
      </c>
      <c r="H1255">
        <v>0</v>
      </c>
      <c r="I1255">
        <f>VLOOKUP(Scores[[#This Row],[MRUN]],Demographics[],3,FALSE)</f>
        <v>4</v>
      </c>
      <c r="J1255">
        <f>AVERAGE(Scores[[#This Row],[LYC]],Scores[[#This Row],[MATE]])</f>
        <v>346</v>
      </c>
      <c r="K1255">
        <f>VLOOKUP(Scores[[#This Row],[MRUN]],Demographics[],6,FALSE)</f>
        <v>5</v>
      </c>
      <c r="L1255">
        <f>VLOOKUP(Scores[[#This Row],[MRUN]],Demographics[], 7,FALSE)</f>
        <v>4</v>
      </c>
      <c r="M1255">
        <f>VLOOKUP(Scores[[#This Row],[MRUN]],Demographics[], 5, FALSE)</f>
        <v>2</v>
      </c>
    </row>
    <row r="1256" spans="1:13" hidden="1" x14ac:dyDescent="0.2">
      <c r="A1256" s="1">
        <v>6398589</v>
      </c>
      <c r="B1256">
        <v>1</v>
      </c>
      <c r="C1256">
        <v>3</v>
      </c>
      <c r="D1256">
        <v>579</v>
      </c>
      <c r="E1256">
        <v>675</v>
      </c>
      <c r="F1256">
        <v>589</v>
      </c>
      <c r="G1256">
        <v>567</v>
      </c>
      <c r="H1256">
        <v>562</v>
      </c>
      <c r="I1256">
        <f>VLOOKUP(Scores[[#This Row],[MRUN]],Demographics[],3,FALSE)</f>
        <v>4</v>
      </c>
      <c r="J1256">
        <f>AVERAGE(Scores[[#This Row],[LYC]],Scores[[#This Row],[MATE]])</f>
        <v>632</v>
      </c>
      <c r="K1256">
        <f>VLOOKUP(Scores[[#This Row],[MRUN]],Demographics[],6,FALSE)</f>
        <v>10</v>
      </c>
      <c r="L1256">
        <f>VLOOKUP(Scores[[#This Row],[MRUN]],Demographics[], 7,FALSE)</f>
        <v>9</v>
      </c>
      <c r="M1256">
        <f>VLOOKUP(Scores[[#This Row],[MRUN]],Demographics[], 5, FALSE)</f>
        <v>2</v>
      </c>
    </row>
    <row r="1257" spans="1:13" hidden="1" x14ac:dyDescent="0.2">
      <c r="A1257" s="1">
        <v>17803059</v>
      </c>
      <c r="B1257">
        <v>1</v>
      </c>
      <c r="C1257">
        <v>3</v>
      </c>
      <c r="D1257">
        <v>682</v>
      </c>
      <c r="E1257">
        <v>771</v>
      </c>
      <c r="F1257">
        <v>806</v>
      </c>
      <c r="G1257">
        <v>0</v>
      </c>
      <c r="H1257">
        <v>767</v>
      </c>
      <c r="I1257">
        <f>VLOOKUP(Scores[[#This Row],[MRUN]],Demographics[],3,FALSE)</f>
        <v>6</v>
      </c>
      <c r="J1257">
        <f>AVERAGE(Scores[[#This Row],[LYC]],Scores[[#This Row],[MATE]])</f>
        <v>788.5</v>
      </c>
      <c r="K1257">
        <f>VLOOKUP(Scores[[#This Row],[MRUN]],Demographics[],6,FALSE)</f>
        <v>9</v>
      </c>
      <c r="L1257">
        <f>VLOOKUP(Scores[[#This Row],[MRUN]],Demographics[], 7,FALSE)</f>
        <v>8</v>
      </c>
      <c r="M1257">
        <f>VLOOKUP(Scores[[#This Row],[MRUN]],Demographics[], 5, FALSE)</f>
        <v>6</v>
      </c>
    </row>
    <row r="1258" spans="1:13" hidden="1" x14ac:dyDescent="0.2">
      <c r="A1258" s="1">
        <v>10736540</v>
      </c>
      <c r="B1258">
        <v>1</v>
      </c>
      <c r="C1258">
        <v>2</v>
      </c>
      <c r="D1258">
        <v>356</v>
      </c>
      <c r="E1258">
        <v>0</v>
      </c>
      <c r="F1258">
        <v>0</v>
      </c>
      <c r="G1258">
        <v>0</v>
      </c>
      <c r="H1258">
        <v>0</v>
      </c>
      <c r="I1258">
        <f>VLOOKUP(Scores[[#This Row],[MRUN]],Demographics[],3,FALSE)</f>
        <v>2</v>
      </c>
      <c r="J1258">
        <f>AVERAGE(Scores[[#This Row],[LYC]],Scores[[#This Row],[MATE]])</f>
        <v>0</v>
      </c>
      <c r="K1258">
        <f>VLOOKUP(Scores[[#This Row],[MRUN]],Demographics[],6,FALSE)</f>
        <v>4</v>
      </c>
      <c r="L1258">
        <f>VLOOKUP(Scores[[#This Row],[MRUN]],Demographics[], 7,FALSE)</f>
        <v>4</v>
      </c>
      <c r="M1258">
        <f>VLOOKUP(Scores[[#This Row],[MRUN]],Demographics[], 5, FALSE)</f>
        <v>1</v>
      </c>
    </row>
    <row r="1259" spans="1:13" hidden="1" x14ac:dyDescent="0.2">
      <c r="A1259" s="1">
        <v>19916921</v>
      </c>
      <c r="B1259">
        <v>1</v>
      </c>
      <c r="C1259">
        <v>2</v>
      </c>
      <c r="D1259">
        <v>538</v>
      </c>
      <c r="E1259">
        <v>541</v>
      </c>
      <c r="F1259">
        <v>560</v>
      </c>
      <c r="G1259">
        <v>639</v>
      </c>
      <c r="H1259">
        <v>475</v>
      </c>
      <c r="I1259">
        <f>VLOOKUP(Scores[[#This Row],[MRUN]],Demographics[],3,FALSE)</f>
        <v>3</v>
      </c>
      <c r="J1259">
        <f>AVERAGE(Scores[[#This Row],[LYC]],Scores[[#This Row],[MATE]])</f>
        <v>550.5</v>
      </c>
      <c r="K1259">
        <f>VLOOKUP(Scores[[#This Row],[MRUN]],Demographics[],6,FALSE)</f>
        <v>0</v>
      </c>
      <c r="L1259">
        <f>VLOOKUP(Scores[[#This Row],[MRUN]],Demographics[], 7,FALSE)</f>
        <v>8</v>
      </c>
      <c r="M1259">
        <f>VLOOKUP(Scores[[#This Row],[MRUN]],Demographics[], 5, FALSE)</f>
        <v>1</v>
      </c>
    </row>
    <row r="1260" spans="1:13" hidden="1" x14ac:dyDescent="0.2">
      <c r="A1260" s="1">
        <v>12749689</v>
      </c>
      <c r="B1260">
        <v>1</v>
      </c>
      <c r="C1260">
        <v>4</v>
      </c>
      <c r="D1260">
        <v>414</v>
      </c>
      <c r="E1260">
        <v>576</v>
      </c>
      <c r="F1260">
        <v>517</v>
      </c>
      <c r="G1260">
        <v>724</v>
      </c>
      <c r="H1260">
        <v>504</v>
      </c>
      <c r="I1260">
        <f>VLOOKUP(Scores[[#This Row],[MRUN]],Demographics[],3,FALSE)</f>
        <v>3</v>
      </c>
      <c r="J1260">
        <f>AVERAGE(Scores[[#This Row],[LYC]],Scores[[#This Row],[MATE]])</f>
        <v>546.5</v>
      </c>
      <c r="K1260">
        <f>VLOOKUP(Scores[[#This Row],[MRUN]],Demographics[],6,FALSE)</f>
        <v>10</v>
      </c>
      <c r="L1260">
        <f>VLOOKUP(Scores[[#This Row],[MRUN]],Demographics[], 7,FALSE)</f>
        <v>9</v>
      </c>
      <c r="M1260">
        <f>VLOOKUP(Scores[[#This Row],[MRUN]],Demographics[], 5, FALSE)</f>
        <v>3</v>
      </c>
    </row>
    <row r="1261" spans="1:13" hidden="1" x14ac:dyDescent="0.2">
      <c r="A1261" s="1">
        <v>8022115</v>
      </c>
      <c r="B1261">
        <v>2</v>
      </c>
      <c r="C1261">
        <v>4</v>
      </c>
      <c r="D1261">
        <v>682</v>
      </c>
      <c r="E1261">
        <v>727</v>
      </c>
      <c r="F1261">
        <v>593</v>
      </c>
      <c r="G1261">
        <v>714</v>
      </c>
      <c r="H1261">
        <v>0</v>
      </c>
      <c r="I1261">
        <f>VLOOKUP(Scores[[#This Row],[MRUN]],Demographics[],3,FALSE)</f>
        <v>5</v>
      </c>
      <c r="J1261">
        <f>AVERAGE(Scores[[#This Row],[LYC]],Scores[[#This Row],[MATE]])</f>
        <v>660</v>
      </c>
      <c r="K1261">
        <f>VLOOKUP(Scores[[#This Row],[MRUN]],Demographics[],6,FALSE)</f>
        <v>9</v>
      </c>
      <c r="L1261">
        <f>VLOOKUP(Scores[[#This Row],[MRUN]],Demographics[], 7,FALSE)</f>
        <v>9</v>
      </c>
      <c r="M1261">
        <f>VLOOKUP(Scores[[#This Row],[MRUN]],Demographics[], 5, FALSE)</f>
        <v>2</v>
      </c>
    </row>
    <row r="1262" spans="1:13" hidden="1" x14ac:dyDescent="0.2">
      <c r="A1262" s="1">
        <v>7487801</v>
      </c>
      <c r="B1262">
        <v>2</v>
      </c>
      <c r="C1262">
        <v>4</v>
      </c>
      <c r="D1262">
        <v>579</v>
      </c>
      <c r="E1262">
        <v>668</v>
      </c>
      <c r="F1262">
        <v>675</v>
      </c>
      <c r="G1262">
        <v>0</v>
      </c>
      <c r="H1262">
        <v>668</v>
      </c>
      <c r="I1262">
        <f>VLOOKUP(Scores[[#This Row],[MRUN]],Demographics[],3,FALSE)</f>
        <v>6</v>
      </c>
      <c r="J1262">
        <f>AVERAGE(Scores[[#This Row],[LYC]],Scores[[#This Row],[MATE]])</f>
        <v>671.5</v>
      </c>
      <c r="K1262">
        <f>VLOOKUP(Scores[[#This Row],[MRUN]],Demographics[],6,FALSE)</f>
        <v>9</v>
      </c>
      <c r="L1262">
        <f>VLOOKUP(Scores[[#This Row],[MRUN]],Demographics[], 7,FALSE)</f>
        <v>9</v>
      </c>
      <c r="M1262">
        <f>VLOOKUP(Scores[[#This Row],[MRUN]],Demographics[], 5, FALSE)</f>
        <v>5</v>
      </c>
    </row>
    <row r="1263" spans="1:13" hidden="1" x14ac:dyDescent="0.2">
      <c r="A1263" s="1">
        <v>9871183</v>
      </c>
      <c r="B1263">
        <v>1</v>
      </c>
      <c r="C1263">
        <v>2</v>
      </c>
      <c r="D1263">
        <v>682</v>
      </c>
      <c r="E1263">
        <v>567</v>
      </c>
      <c r="F1263">
        <v>540</v>
      </c>
      <c r="G1263">
        <v>0</v>
      </c>
      <c r="H1263">
        <v>539</v>
      </c>
      <c r="I1263">
        <f>VLOOKUP(Scores[[#This Row],[MRUN]],Demographics[],3,FALSE)</f>
        <v>4</v>
      </c>
      <c r="J1263">
        <f>AVERAGE(Scores[[#This Row],[LYC]],Scores[[#This Row],[MATE]])</f>
        <v>553.5</v>
      </c>
      <c r="K1263">
        <f>VLOOKUP(Scores[[#This Row],[MRUN]],Demographics[],6,FALSE)</f>
        <v>7</v>
      </c>
      <c r="L1263">
        <f>VLOOKUP(Scores[[#This Row],[MRUN]],Demographics[], 7,FALSE)</f>
        <v>7</v>
      </c>
      <c r="M1263">
        <f>VLOOKUP(Scores[[#This Row],[MRUN]],Demographics[], 5, FALSE)</f>
        <v>2</v>
      </c>
    </row>
    <row r="1264" spans="1:13" hidden="1" x14ac:dyDescent="0.2">
      <c r="A1264" s="1">
        <v>7131009</v>
      </c>
      <c r="B1264">
        <v>2</v>
      </c>
      <c r="C1264">
        <v>2</v>
      </c>
      <c r="D1264">
        <v>620</v>
      </c>
      <c r="E1264">
        <v>602</v>
      </c>
      <c r="F1264">
        <v>571</v>
      </c>
      <c r="G1264">
        <v>0</v>
      </c>
      <c r="H1264">
        <v>606</v>
      </c>
      <c r="I1264">
        <f>VLOOKUP(Scores[[#This Row],[MRUN]],Demographics[],3,FALSE)</f>
        <v>4</v>
      </c>
      <c r="J1264">
        <f>AVERAGE(Scores[[#This Row],[LYC]],Scores[[#This Row],[MATE]])</f>
        <v>586.5</v>
      </c>
      <c r="K1264">
        <f>VLOOKUP(Scores[[#This Row],[MRUN]],Demographics[],6,FALSE)</f>
        <v>4</v>
      </c>
      <c r="L1264">
        <f>VLOOKUP(Scores[[#This Row],[MRUN]],Demographics[], 7,FALSE)</f>
        <v>2</v>
      </c>
      <c r="M1264">
        <f>VLOOKUP(Scores[[#This Row],[MRUN]],Demographics[], 5, FALSE)</f>
        <v>1</v>
      </c>
    </row>
    <row r="1265" spans="1:13" hidden="1" x14ac:dyDescent="0.2">
      <c r="A1265" s="1">
        <v>23357585</v>
      </c>
      <c r="B1265">
        <v>2</v>
      </c>
      <c r="C1265">
        <v>3</v>
      </c>
      <c r="D1265">
        <v>620</v>
      </c>
      <c r="E1265">
        <v>557</v>
      </c>
      <c r="F1265">
        <v>600</v>
      </c>
      <c r="G1265">
        <v>597</v>
      </c>
      <c r="H1265">
        <v>0</v>
      </c>
      <c r="I1265">
        <f>VLOOKUP(Scores[[#This Row],[MRUN]],Demographics[],3,FALSE)</f>
        <v>6</v>
      </c>
      <c r="J1265">
        <f>AVERAGE(Scores[[#This Row],[LYC]],Scores[[#This Row],[MATE]])</f>
        <v>578.5</v>
      </c>
      <c r="K1265">
        <f>VLOOKUP(Scores[[#This Row],[MRUN]],Demographics[],6,FALSE)</f>
        <v>9</v>
      </c>
      <c r="L1265">
        <f>VLOOKUP(Scores[[#This Row],[MRUN]],Demographics[], 7,FALSE)</f>
        <v>0</v>
      </c>
      <c r="M1265">
        <f>VLOOKUP(Scores[[#This Row],[MRUN]],Demographics[], 5, FALSE)</f>
        <v>3</v>
      </c>
    </row>
    <row r="1266" spans="1:13" hidden="1" x14ac:dyDescent="0.2">
      <c r="A1266" s="1">
        <v>15021457</v>
      </c>
      <c r="B1266">
        <v>1</v>
      </c>
      <c r="C1266">
        <v>3</v>
      </c>
      <c r="D1266">
        <v>723</v>
      </c>
      <c r="E1266">
        <v>624</v>
      </c>
      <c r="F1266">
        <v>681</v>
      </c>
      <c r="G1266">
        <v>0</v>
      </c>
      <c r="H1266">
        <v>715</v>
      </c>
      <c r="I1266">
        <f>VLOOKUP(Scores[[#This Row],[MRUN]],Demographics[],3,FALSE)</f>
        <v>4</v>
      </c>
      <c r="J1266">
        <f>AVERAGE(Scores[[#This Row],[LYC]],Scores[[#This Row],[MATE]])</f>
        <v>652.5</v>
      </c>
      <c r="K1266">
        <f>VLOOKUP(Scores[[#This Row],[MRUN]],Demographics[],6,FALSE)</f>
        <v>7</v>
      </c>
      <c r="L1266">
        <f>VLOOKUP(Scores[[#This Row],[MRUN]],Demographics[], 7,FALSE)</f>
        <v>8</v>
      </c>
      <c r="M1266">
        <f>VLOOKUP(Scores[[#This Row],[MRUN]],Demographics[], 5, FALSE)</f>
        <v>2</v>
      </c>
    </row>
    <row r="1267" spans="1:13" hidden="1" x14ac:dyDescent="0.2">
      <c r="A1267" s="1">
        <v>22239141</v>
      </c>
      <c r="B1267">
        <v>1</v>
      </c>
      <c r="C1267">
        <v>3</v>
      </c>
      <c r="D1267">
        <v>703</v>
      </c>
      <c r="E1267">
        <v>476</v>
      </c>
      <c r="F1267">
        <v>506</v>
      </c>
      <c r="G1267">
        <v>436</v>
      </c>
      <c r="H1267">
        <v>0</v>
      </c>
      <c r="I1267">
        <f>VLOOKUP(Scores[[#This Row],[MRUN]],Demographics[],3,FALSE)</f>
        <v>5</v>
      </c>
      <c r="J1267">
        <f>AVERAGE(Scores[[#This Row],[LYC]],Scores[[#This Row],[MATE]])</f>
        <v>491</v>
      </c>
      <c r="K1267">
        <f>VLOOKUP(Scores[[#This Row],[MRUN]],Demographics[],6,FALSE)</f>
        <v>0</v>
      </c>
      <c r="L1267">
        <f>VLOOKUP(Scores[[#This Row],[MRUN]],Demographics[], 7,FALSE)</f>
        <v>5</v>
      </c>
      <c r="M1267">
        <f>VLOOKUP(Scores[[#This Row],[MRUN]],Demographics[], 5, FALSE)</f>
        <v>1</v>
      </c>
    </row>
    <row r="1268" spans="1:13" hidden="1" x14ac:dyDescent="0.2">
      <c r="A1268" s="1">
        <v>1511425</v>
      </c>
      <c r="B1268">
        <v>1</v>
      </c>
      <c r="C1268">
        <v>3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f>VLOOKUP(Scores[[#This Row],[MRUN]],Demographics[],3,FALSE)</f>
        <v>3</v>
      </c>
      <c r="J1268">
        <f>AVERAGE(Scores[[#This Row],[LYC]],Scores[[#This Row],[MATE]])</f>
        <v>0</v>
      </c>
      <c r="K1268">
        <f>VLOOKUP(Scores[[#This Row],[MRUN]],Demographics[],6,FALSE)</f>
        <v>10</v>
      </c>
      <c r="L1268">
        <f>VLOOKUP(Scores[[#This Row],[MRUN]],Demographics[], 7,FALSE)</f>
        <v>2</v>
      </c>
      <c r="M1268">
        <f>VLOOKUP(Scores[[#This Row],[MRUN]],Demographics[], 5, FALSE)</f>
        <v>1</v>
      </c>
    </row>
    <row r="1269" spans="1:13" hidden="1" x14ac:dyDescent="0.2">
      <c r="A1269" s="1">
        <v>1527242</v>
      </c>
      <c r="B1269">
        <v>2</v>
      </c>
      <c r="C1269">
        <v>3</v>
      </c>
      <c r="D1269">
        <v>496</v>
      </c>
      <c r="E1269">
        <v>444</v>
      </c>
      <c r="F1269">
        <v>512</v>
      </c>
      <c r="G1269">
        <v>0</v>
      </c>
      <c r="H1269">
        <v>459</v>
      </c>
      <c r="I1269">
        <f>VLOOKUP(Scores[[#This Row],[MRUN]],Demographics[],3,FALSE)</f>
        <v>3</v>
      </c>
      <c r="J1269">
        <f>AVERAGE(Scores[[#This Row],[LYC]],Scores[[#This Row],[MATE]])</f>
        <v>478</v>
      </c>
      <c r="K1269">
        <f>VLOOKUP(Scores[[#This Row],[MRUN]],Demographics[],6,FALSE)</f>
        <v>5</v>
      </c>
      <c r="L1269">
        <f>VLOOKUP(Scores[[#This Row],[MRUN]],Demographics[], 7,FALSE)</f>
        <v>8</v>
      </c>
      <c r="M1269">
        <f>VLOOKUP(Scores[[#This Row],[MRUN]],Demographics[], 5, FALSE)</f>
        <v>1</v>
      </c>
    </row>
    <row r="1270" spans="1:13" hidden="1" x14ac:dyDescent="0.2">
      <c r="A1270" s="1">
        <v>16913638</v>
      </c>
      <c r="B1270">
        <v>2</v>
      </c>
      <c r="C1270">
        <v>4</v>
      </c>
      <c r="D1270">
        <v>620</v>
      </c>
      <c r="E1270">
        <v>557</v>
      </c>
      <c r="F1270">
        <v>600</v>
      </c>
      <c r="G1270">
        <v>0</v>
      </c>
      <c r="H1270">
        <v>594</v>
      </c>
      <c r="I1270">
        <f>VLOOKUP(Scores[[#This Row],[MRUN]],Demographics[],3,FALSE)</f>
        <v>8</v>
      </c>
      <c r="J1270">
        <f>AVERAGE(Scores[[#This Row],[LYC]],Scores[[#This Row],[MATE]])</f>
        <v>578.5</v>
      </c>
      <c r="K1270">
        <f>VLOOKUP(Scores[[#This Row],[MRUN]],Demographics[],6,FALSE)</f>
        <v>9</v>
      </c>
      <c r="L1270">
        <f>VLOOKUP(Scores[[#This Row],[MRUN]],Demographics[], 7,FALSE)</f>
        <v>10</v>
      </c>
      <c r="M1270">
        <f>VLOOKUP(Scores[[#This Row],[MRUN]],Demographics[], 5, FALSE)</f>
        <v>6</v>
      </c>
    </row>
    <row r="1271" spans="1:13" hidden="1" x14ac:dyDescent="0.2">
      <c r="A1271" s="1">
        <v>4731769</v>
      </c>
      <c r="B1271">
        <v>1</v>
      </c>
      <c r="C1271">
        <v>4</v>
      </c>
      <c r="D1271">
        <v>620</v>
      </c>
      <c r="E1271">
        <v>641</v>
      </c>
      <c r="F1271">
        <v>652</v>
      </c>
      <c r="G1271">
        <v>0</v>
      </c>
      <c r="H1271">
        <v>663</v>
      </c>
      <c r="I1271">
        <f>VLOOKUP(Scores[[#This Row],[MRUN]],Demographics[],3,FALSE)</f>
        <v>0</v>
      </c>
      <c r="J1271">
        <f>AVERAGE(Scores[[#This Row],[LYC]],Scores[[#This Row],[MATE]])</f>
        <v>646.5</v>
      </c>
      <c r="K1271">
        <f>VLOOKUP(Scores[[#This Row],[MRUN]],Demographics[],6,FALSE)</f>
        <v>0</v>
      </c>
      <c r="L1271">
        <f>VLOOKUP(Scores[[#This Row],[MRUN]],Demographics[], 7,FALSE)</f>
        <v>0</v>
      </c>
      <c r="M1271">
        <f>VLOOKUP(Scores[[#This Row],[MRUN]],Demographics[], 5, FALSE)</f>
        <v>6</v>
      </c>
    </row>
    <row r="1272" spans="1:13" hidden="1" x14ac:dyDescent="0.2">
      <c r="A1272" s="1">
        <v>5872526</v>
      </c>
      <c r="B1272">
        <v>2</v>
      </c>
      <c r="C1272">
        <v>2</v>
      </c>
      <c r="D1272">
        <v>414</v>
      </c>
      <c r="E1272">
        <v>0</v>
      </c>
      <c r="F1272">
        <v>0</v>
      </c>
      <c r="G1272">
        <v>0</v>
      </c>
      <c r="H1272">
        <v>0</v>
      </c>
      <c r="I1272">
        <f>VLOOKUP(Scores[[#This Row],[MRUN]],Demographics[],3,FALSE)</f>
        <v>7</v>
      </c>
      <c r="J1272">
        <f>AVERAGE(Scores[[#This Row],[LYC]],Scores[[#This Row],[MATE]])</f>
        <v>0</v>
      </c>
      <c r="K1272">
        <f>VLOOKUP(Scores[[#This Row],[MRUN]],Demographics[],6,FALSE)</f>
        <v>4</v>
      </c>
      <c r="L1272">
        <f>VLOOKUP(Scores[[#This Row],[MRUN]],Demographics[], 7,FALSE)</f>
        <v>2</v>
      </c>
      <c r="M1272">
        <f>VLOOKUP(Scores[[#This Row],[MRUN]],Demographics[], 5, FALSE)</f>
        <v>1</v>
      </c>
    </row>
    <row r="1273" spans="1:13" hidden="1" x14ac:dyDescent="0.2">
      <c r="A1273" s="1">
        <v>1166596</v>
      </c>
      <c r="B1273">
        <v>2</v>
      </c>
      <c r="C1273">
        <v>3</v>
      </c>
      <c r="D1273">
        <v>400</v>
      </c>
      <c r="E1273">
        <v>576</v>
      </c>
      <c r="F1273">
        <v>506</v>
      </c>
      <c r="G1273">
        <v>557</v>
      </c>
      <c r="H1273">
        <v>0</v>
      </c>
      <c r="I1273">
        <f>VLOOKUP(Scores[[#This Row],[MRUN]],Demographics[],3,FALSE)</f>
        <v>4</v>
      </c>
      <c r="J1273">
        <f>AVERAGE(Scores[[#This Row],[LYC]],Scores[[#This Row],[MATE]])</f>
        <v>541</v>
      </c>
      <c r="K1273">
        <f>VLOOKUP(Scores[[#This Row],[MRUN]],Demographics[],6,FALSE)</f>
        <v>9</v>
      </c>
      <c r="L1273">
        <f>VLOOKUP(Scores[[#This Row],[MRUN]],Demographics[], 7,FALSE)</f>
        <v>7</v>
      </c>
      <c r="M1273">
        <f>VLOOKUP(Scores[[#This Row],[MRUN]],Demographics[], 5, FALSE)</f>
        <v>1</v>
      </c>
    </row>
    <row r="1274" spans="1:13" hidden="1" x14ac:dyDescent="0.2">
      <c r="A1274" s="1">
        <v>11416059</v>
      </c>
      <c r="B1274">
        <v>2</v>
      </c>
      <c r="C1274">
        <v>2</v>
      </c>
      <c r="D1274">
        <v>499</v>
      </c>
      <c r="E1274">
        <v>547</v>
      </c>
      <c r="F1274">
        <v>376</v>
      </c>
      <c r="G1274">
        <v>0</v>
      </c>
      <c r="H1274">
        <v>491</v>
      </c>
      <c r="I1274">
        <f>VLOOKUP(Scores[[#This Row],[MRUN]],Demographics[],3,FALSE)</f>
        <v>4</v>
      </c>
      <c r="J1274">
        <f>AVERAGE(Scores[[#This Row],[LYC]],Scores[[#This Row],[MATE]])</f>
        <v>461.5</v>
      </c>
      <c r="K1274">
        <f>VLOOKUP(Scores[[#This Row],[MRUN]],Demographics[],6,FALSE)</f>
        <v>4</v>
      </c>
      <c r="L1274">
        <f>VLOOKUP(Scores[[#This Row],[MRUN]],Demographics[], 7,FALSE)</f>
        <v>7</v>
      </c>
      <c r="M1274">
        <f>VLOOKUP(Scores[[#This Row],[MRUN]],Demographics[], 5, FALSE)</f>
        <v>1</v>
      </c>
    </row>
    <row r="1275" spans="1:13" hidden="1" x14ac:dyDescent="0.2">
      <c r="A1275" s="1">
        <v>16018734</v>
      </c>
      <c r="B1275">
        <v>1</v>
      </c>
      <c r="C1275">
        <v>3</v>
      </c>
      <c r="D1275">
        <v>517</v>
      </c>
      <c r="E1275">
        <v>613</v>
      </c>
      <c r="F1275">
        <v>624</v>
      </c>
      <c r="G1275">
        <v>0</v>
      </c>
      <c r="H1275">
        <v>523</v>
      </c>
      <c r="I1275">
        <f>VLOOKUP(Scores[[#This Row],[MRUN]],Demographics[],3,FALSE)</f>
        <v>5</v>
      </c>
      <c r="J1275">
        <f>AVERAGE(Scores[[#This Row],[LYC]],Scores[[#This Row],[MATE]])</f>
        <v>618.5</v>
      </c>
      <c r="K1275">
        <f>VLOOKUP(Scores[[#This Row],[MRUN]],Demographics[],6,FALSE)</f>
        <v>6</v>
      </c>
      <c r="L1275">
        <f>VLOOKUP(Scores[[#This Row],[MRUN]],Demographics[], 7,FALSE)</f>
        <v>8</v>
      </c>
      <c r="M1275">
        <f>VLOOKUP(Scores[[#This Row],[MRUN]],Demographics[], 5, FALSE)</f>
        <v>2</v>
      </c>
    </row>
    <row r="1276" spans="1:13" hidden="1" x14ac:dyDescent="0.2">
      <c r="A1276" s="1">
        <v>3230820</v>
      </c>
      <c r="B1276">
        <v>2</v>
      </c>
      <c r="C1276">
        <v>3</v>
      </c>
      <c r="D1276">
        <v>496</v>
      </c>
      <c r="E1276">
        <v>510</v>
      </c>
      <c r="F1276">
        <v>523</v>
      </c>
      <c r="G1276">
        <v>0</v>
      </c>
      <c r="H1276">
        <v>0</v>
      </c>
      <c r="I1276">
        <f>VLOOKUP(Scores[[#This Row],[MRUN]],Demographics[],3,FALSE)</f>
        <v>3</v>
      </c>
      <c r="J1276">
        <f>AVERAGE(Scores[[#This Row],[LYC]],Scores[[#This Row],[MATE]])</f>
        <v>516.5</v>
      </c>
      <c r="K1276">
        <f>VLOOKUP(Scores[[#This Row],[MRUN]],Demographics[],6,FALSE)</f>
        <v>5</v>
      </c>
      <c r="L1276">
        <f>VLOOKUP(Scores[[#This Row],[MRUN]],Demographics[], 7,FALSE)</f>
        <v>5</v>
      </c>
      <c r="M1276">
        <f>VLOOKUP(Scores[[#This Row],[MRUN]],Demographics[], 5, FALSE)</f>
        <v>2</v>
      </c>
    </row>
    <row r="1277" spans="1:13" hidden="1" x14ac:dyDescent="0.2">
      <c r="A1277" s="1">
        <v>4399863</v>
      </c>
      <c r="B1277">
        <v>1</v>
      </c>
      <c r="C1277">
        <v>4</v>
      </c>
      <c r="D1277">
        <v>599</v>
      </c>
      <c r="E1277">
        <v>707</v>
      </c>
      <c r="F1277">
        <v>713</v>
      </c>
      <c r="G1277">
        <v>0</v>
      </c>
      <c r="H1277">
        <v>668</v>
      </c>
      <c r="I1277">
        <f>VLOOKUP(Scores[[#This Row],[MRUN]],Demographics[],3,FALSE)</f>
        <v>0</v>
      </c>
      <c r="J1277">
        <f>AVERAGE(Scores[[#This Row],[LYC]],Scores[[#This Row],[MATE]])</f>
        <v>710</v>
      </c>
      <c r="K1277">
        <f>VLOOKUP(Scores[[#This Row],[MRUN]],Demographics[],6,FALSE)</f>
        <v>0</v>
      </c>
      <c r="L1277">
        <f>VLOOKUP(Scores[[#This Row],[MRUN]],Demographics[], 7,FALSE)</f>
        <v>0</v>
      </c>
      <c r="M1277">
        <f>VLOOKUP(Scores[[#This Row],[MRUN]],Demographics[], 5, FALSE)</f>
        <v>3</v>
      </c>
    </row>
    <row r="1278" spans="1:13" hidden="1" x14ac:dyDescent="0.2">
      <c r="A1278" s="1">
        <v>18964511</v>
      </c>
      <c r="B1278">
        <v>2</v>
      </c>
      <c r="C1278">
        <v>3</v>
      </c>
      <c r="D1278">
        <v>580</v>
      </c>
      <c r="E1278">
        <v>333</v>
      </c>
      <c r="F1278">
        <v>441</v>
      </c>
      <c r="G1278">
        <v>473</v>
      </c>
      <c r="H1278">
        <v>0</v>
      </c>
      <c r="I1278">
        <f>VLOOKUP(Scores[[#This Row],[MRUN]],Demographics[],3,FALSE)</f>
        <v>0</v>
      </c>
      <c r="J1278">
        <f>AVERAGE(Scores[[#This Row],[LYC]],Scores[[#This Row],[MATE]])</f>
        <v>387</v>
      </c>
      <c r="K1278">
        <f>VLOOKUP(Scores[[#This Row],[MRUN]],Demographics[],6,FALSE)</f>
        <v>0</v>
      </c>
      <c r="L1278">
        <f>VLOOKUP(Scores[[#This Row],[MRUN]],Demographics[], 7,FALSE)</f>
        <v>0</v>
      </c>
      <c r="M1278">
        <f>VLOOKUP(Scores[[#This Row],[MRUN]],Demographics[], 5, FALSE)</f>
        <v>1</v>
      </c>
    </row>
    <row r="1279" spans="1:13" hidden="1" x14ac:dyDescent="0.2">
      <c r="A1279" s="1">
        <v>9582327</v>
      </c>
      <c r="B1279">
        <v>2</v>
      </c>
      <c r="C1279">
        <v>4</v>
      </c>
      <c r="D1279">
        <v>641</v>
      </c>
      <c r="E1279">
        <v>707</v>
      </c>
      <c r="F1279">
        <v>648</v>
      </c>
      <c r="G1279">
        <v>586</v>
      </c>
      <c r="H1279">
        <v>0</v>
      </c>
      <c r="I1279">
        <f>VLOOKUP(Scores[[#This Row],[MRUN]],Demographics[],3,FALSE)</f>
        <v>0</v>
      </c>
      <c r="J1279">
        <f>AVERAGE(Scores[[#This Row],[LYC]],Scores[[#This Row],[MATE]])</f>
        <v>677.5</v>
      </c>
      <c r="K1279">
        <f>VLOOKUP(Scores[[#This Row],[MRUN]],Demographics[],6,FALSE)</f>
        <v>0</v>
      </c>
      <c r="L1279">
        <f>VLOOKUP(Scores[[#This Row],[MRUN]],Demographics[], 7,FALSE)</f>
        <v>0</v>
      </c>
      <c r="M1279">
        <f>VLOOKUP(Scores[[#This Row],[MRUN]],Demographics[], 5, FALSE)</f>
        <v>4</v>
      </c>
    </row>
    <row r="1280" spans="1:13" hidden="1" x14ac:dyDescent="0.2">
      <c r="A1280" s="1">
        <v>401848</v>
      </c>
      <c r="B1280">
        <v>2</v>
      </c>
      <c r="C1280">
        <v>4</v>
      </c>
      <c r="D1280">
        <v>744</v>
      </c>
      <c r="E1280">
        <v>707</v>
      </c>
      <c r="F1280">
        <v>850</v>
      </c>
      <c r="G1280">
        <v>0</v>
      </c>
      <c r="H1280">
        <v>850</v>
      </c>
      <c r="I1280">
        <f>VLOOKUP(Scores[[#This Row],[MRUN]],Demographics[],3,FALSE)</f>
        <v>5</v>
      </c>
      <c r="J1280">
        <f>AVERAGE(Scores[[#This Row],[LYC]],Scores[[#This Row],[MATE]])</f>
        <v>778.5</v>
      </c>
      <c r="K1280">
        <f>VLOOKUP(Scores[[#This Row],[MRUN]],Demographics[],6,FALSE)</f>
        <v>9</v>
      </c>
      <c r="L1280">
        <f>VLOOKUP(Scores[[#This Row],[MRUN]],Demographics[], 7,FALSE)</f>
        <v>5</v>
      </c>
      <c r="M1280">
        <f>VLOOKUP(Scores[[#This Row],[MRUN]],Demographics[], 5, FALSE)</f>
        <v>3</v>
      </c>
    </row>
    <row r="1281" spans="1:13" hidden="1" x14ac:dyDescent="0.2">
      <c r="A1281" s="1">
        <v>6726135</v>
      </c>
      <c r="B1281">
        <v>2</v>
      </c>
      <c r="C1281">
        <v>2</v>
      </c>
      <c r="D1281">
        <v>682</v>
      </c>
      <c r="E1281">
        <v>537</v>
      </c>
      <c r="F1281">
        <v>582</v>
      </c>
      <c r="G1281">
        <v>0</v>
      </c>
      <c r="H1281">
        <v>575</v>
      </c>
      <c r="I1281">
        <f>VLOOKUP(Scores[[#This Row],[MRUN]],Demographics[],3,FALSE)</f>
        <v>4</v>
      </c>
      <c r="J1281">
        <f>AVERAGE(Scores[[#This Row],[LYC]],Scores[[#This Row],[MATE]])</f>
        <v>559.5</v>
      </c>
      <c r="K1281">
        <f>VLOOKUP(Scores[[#This Row],[MRUN]],Demographics[],6,FALSE)</f>
        <v>5</v>
      </c>
      <c r="L1281">
        <f>VLOOKUP(Scores[[#This Row],[MRUN]],Demographics[], 7,FALSE)</f>
        <v>9</v>
      </c>
      <c r="M1281">
        <f>VLOOKUP(Scores[[#This Row],[MRUN]],Demographics[], 5, FALSE)</f>
        <v>1</v>
      </c>
    </row>
    <row r="1282" spans="1:13" hidden="1" x14ac:dyDescent="0.2">
      <c r="A1282" s="1">
        <v>9728085</v>
      </c>
      <c r="B1282">
        <v>2</v>
      </c>
      <c r="C1282">
        <v>2</v>
      </c>
      <c r="D1282">
        <v>661</v>
      </c>
      <c r="E1282">
        <v>592</v>
      </c>
      <c r="F1282">
        <v>549</v>
      </c>
      <c r="G1282">
        <v>607</v>
      </c>
      <c r="H1282">
        <v>0</v>
      </c>
      <c r="I1282">
        <f>VLOOKUP(Scores[[#This Row],[MRUN]],Demographics[],3,FALSE)</f>
        <v>3</v>
      </c>
      <c r="J1282">
        <f>AVERAGE(Scores[[#This Row],[LYC]],Scores[[#This Row],[MATE]])</f>
        <v>570.5</v>
      </c>
      <c r="K1282">
        <f>VLOOKUP(Scores[[#This Row],[MRUN]],Demographics[],6,FALSE)</f>
        <v>2</v>
      </c>
      <c r="L1282">
        <f>VLOOKUP(Scores[[#This Row],[MRUN]],Demographics[], 7,FALSE)</f>
        <v>3</v>
      </c>
      <c r="M1282">
        <f>VLOOKUP(Scores[[#This Row],[MRUN]],Demographics[], 5, FALSE)</f>
        <v>1</v>
      </c>
    </row>
    <row r="1283" spans="1:13" hidden="1" x14ac:dyDescent="0.2">
      <c r="A1283" s="1">
        <v>8040281</v>
      </c>
      <c r="B1283">
        <v>1</v>
      </c>
      <c r="C1283">
        <v>2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f>VLOOKUP(Scores[[#This Row],[MRUN]],Demographics[],3,FALSE)</f>
        <v>4</v>
      </c>
      <c r="J1283">
        <f>AVERAGE(Scores[[#This Row],[LYC]],Scores[[#This Row],[MATE]])</f>
        <v>0</v>
      </c>
      <c r="K1283">
        <f>VLOOKUP(Scores[[#This Row],[MRUN]],Demographics[],6,FALSE)</f>
        <v>5</v>
      </c>
      <c r="L1283">
        <f>VLOOKUP(Scores[[#This Row],[MRUN]],Demographics[], 7,FALSE)</f>
        <v>8</v>
      </c>
      <c r="M1283">
        <f>VLOOKUP(Scores[[#This Row],[MRUN]],Demographics[], 5, FALSE)</f>
        <v>1</v>
      </c>
    </row>
    <row r="1284" spans="1:13" hidden="1" x14ac:dyDescent="0.2">
      <c r="A1284" s="1">
        <v>3234118</v>
      </c>
      <c r="B1284">
        <v>2</v>
      </c>
      <c r="C1284">
        <v>2</v>
      </c>
      <c r="D1284">
        <v>641</v>
      </c>
      <c r="E1284">
        <v>499</v>
      </c>
      <c r="F1284">
        <v>536</v>
      </c>
      <c r="G1284">
        <v>557</v>
      </c>
      <c r="H1284">
        <v>516</v>
      </c>
      <c r="I1284">
        <f>VLOOKUP(Scores[[#This Row],[MRUN]],Demographics[],3,FALSE)</f>
        <v>4</v>
      </c>
      <c r="J1284">
        <f>AVERAGE(Scores[[#This Row],[LYC]],Scores[[#This Row],[MATE]])</f>
        <v>517.5</v>
      </c>
      <c r="K1284">
        <f>VLOOKUP(Scores[[#This Row],[MRUN]],Demographics[],6,FALSE)</f>
        <v>8</v>
      </c>
      <c r="L1284">
        <f>VLOOKUP(Scores[[#This Row],[MRUN]],Demographics[], 7,FALSE)</f>
        <v>4</v>
      </c>
      <c r="M1284">
        <f>VLOOKUP(Scores[[#This Row],[MRUN]],Demographics[], 5, FALSE)</f>
        <v>1</v>
      </c>
    </row>
    <row r="1285" spans="1:13" hidden="1" x14ac:dyDescent="0.2">
      <c r="A1285" s="1">
        <v>18720885</v>
      </c>
      <c r="B1285">
        <v>1</v>
      </c>
      <c r="C1285">
        <v>3</v>
      </c>
      <c r="D1285">
        <v>723</v>
      </c>
      <c r="E1285">
        <v>787</v>
      </c>
      <c r="F1285">
        <v>705</v>
      </c>
      <c r="G1285">
        <v>779</v>
      </c>
      <c r="H1285">
        <v>0</v>
      </c>
      <c r="I1285">
        <f>VLOOKUP(Scores[[#This Row],[MRUN]],Demographics[],3,FALSE)</f>
        <v>3</v>
      </c>
      <c r="J1285">
        <f>AVERAGE(Scores[[#This Row],[LYC]],Scores[[#This Row],[MATE]])</f>
        <v>746</v>
      </c>
      <c r="K1285">
        <f>VLOOKUP(Scores[[#This Row],[MRUN]],Demographics[],6,FALSE)</f>
        <v>0</v>
      </c>
      <c r="L1285">
        <f>VLOOKUP(Scores[[#This Row],[MRUN]],Demographics[], 7,FALSE)</f>
        <v>9</v>
      </c>
      <c r="M1285">
        <f>VLOOKUP(Scores[[#This Row],[MRUN]],Demographics[], 5, FALSE)</f>
        <v>3</v>
      </c>
    </row>
    <row r="1286" spans="1:13" hidden="1" x14ac:dyDescent="0.2">
      <c r="A1286" s="1">
        <v>21852950</v>
      </c>
      <c r="B1286">
        <v>1</v>
      </c>
      <c r="C1286">
        <v>2</v>
      </c>
      <c r="D1286">
        <v>458</v>
      </c>
      <c r="E1286">
        <v>547</v>
      </c>
      <c r="F1286">
        <v>512</v>
      </c>
      <c r="G1286">
        <v>0</v>
      </c>
      <c r="H1286">
        <v>510</v>
      </c>
      <c r="I1286">
        <f>VLOOKUP(Scores[[#This Row],[MRUN]],Demographics[],3,FALSE)</f>
        <v>4</v>
      </c>
      <c r="J1286">
        <f>AVERAGE(Scores[[#This Row],[LYC]],Scores[[#This Row],[MATE]])</f>
        <v>529.5</v>
      </c>
      <c r="K1286">
        <f>VLOOKUP(Scores[[#This Row],[MRUN]],Demographics[],6,FALSE)</f>
        <v>3</v>
      </c>
      <c r="L1286">
        <f>VLOOKUP(Scores[[#This Row],[MRUN]],Demographics[], 7,FALSE)</f>
        <v>5</v>
      </c>
      <c r="M1286">
        <f>VLOOKUP(Scores[[#This Row],[MRUN]],Demographics[], 5, FALSE)</f>
        <v>1</v>
      </c>
    </row>
    <row r="1287" spans="1:13" hidden="1" x14ac:dyDescent="0.2">
      <c r="A1287" s="1">
        <v>12817701</v>
      </c>
      <c r="B1287">
        <v>1</v>
      </c>
      <c r="C1287">
        <v>2</v>
      </c>
      <c r="D1287">
        <v>455</v>
      </c>
      <c r="E1287">
        <v>333</v>
      </c>
      <c r="F1287">
        <v>395</v>
      </c>
      <c r="G1287">
        <v>527</v>
      </c>
      <c r="H1287">
        <v>0</v>
      </c>
      <c r="I1287">
        <f>VLOOKUP(Scores[[#This Row],[MRUN]],Demographics[],3,FALSE)</f>
        <v>3</v>
      </c>
      <c r="J1287">
        <f>AVERAGE(Scores[[#This Row],[LYC]],Scores[[#This Row],[MATE]])</f>
        <v>364</v>
      </c>
      <c r="K1287">
        <f>VLOOKUP(Scores[[#This Row],[MRUN]],Demographics[],6,FALSE)</f>
        <v>9</v>
      </c>
      <c r="L1287">
        <f>VLOOKUP(Scores[[#This Row],[MRUN]],Demographics[], 7,FALSE)</f>
        <v>9</v>
      </c>
      <c r="M1287">
        <f>VLOOKUP(Scores[[#This Row],[MRUN]],Demographics[], 5, FALSE)</f>
        <v>2</v>
      </c>
    </row>
    <row r="1288" spans="1:13" hidden="1" x14ac:dyDescent="0.2">
      <c r="A1288" s="1">
        <v>8402566</v>
      </c>
      <c r="B1288">
        <v>2</v>
      </c>
      <c r="C1288">
        <v>4</v>
      </c>
      <c r="D1288">
        <v>517</v>
      </c>
      <c r="E1288">
        <v>613</v>
      </c>
      <c r="F1288">
        <v>552</v>
      </c>
      <c r="G1288">
        <v>0</v>
      </c>
      <c r="H1288">
        <v>553</v>
      </c>
      <c r="I1288">
        <f>VLOOKUP(Scores[[#This Row],[MRUN]],Demographics[],3,FALSE)</f>
        <v>5</v>
      </c>
      <c r="J1288">
        <f>AVERAGE(Scores[[#This Row],[LYC]],Scores[[#This Row],[MATE]])</f>
        <v>582.5</v>
      </c>
      <c r="K1288">
        <f>VLOOKUP(Scores[[#This Row],[MRUN]],Demographics[],6,FALSE)</f>
        <v>5</v>
      </c>
      <c r="L1288">
        <f>VLOOKUP(Scores[[#This Row],[MRUN]],Demographics[], 7,FALSE)</f>
        <v>5</v>
      </c>
      <c r="M1288">
        <f>VLOOKUP(Scores[[#This Row],[MRUN]],Demographics[], 5, FALSE)</f>
        <v>2</v>
      </c>
    </row>
    <row r="1289" spans="1:13" hidden="1" x14ac:dyDescent="0.2">
      <c r="A1289" s="1">
        <v>1424916</v>
      </c>
      <c r="B1289">
        <v>2</v>
      </c>
      <c r="C1289">
        <v>2</v>
      </c>
      <c r="D1289">
        <v>599</v>
      </c>
      <c r="E1289">
        <v>586</v>
      </c>
      <c r="F1289">
        <v>589</v>
      </c>
      <c r="G1289">
        <v>592</v>
      </c>
      <c r="H1289">
        <v>0</v>
      </c>
      <c r="I1289">
        <f>VLOOKUP(Scores[[#This Row],[MRUN]],Demographics[],3,FALSE)</f>
        <v>4</v>
      </c>
      <c r="J1289">
        <f>AVERAGE(Scores[[#This Row],[LYC]],Scores[[#This Row],[MATE]])</f>
        <v>587.5</v>
      </c>
      <c r="K1289">
        <f>VLOOKUP(Scores[[#This Row],[MRUN]],Demographics[],6,FALSE)</f>
        <v>7</v>
      </c>
      <c r="L1289">
        <f>VLOOKUP(Scores[[#This Row],[MRUN]],Demographics[], 7,FALSE)</f>
        <v>5</v>
      </c>
      <c r="M1289">
        <f>VLOOKUP(Scores[[#This Row],[MRUN]],Demographics[], 5, FALSE)</f>
        <v>2</v>
      </c>
    </row>
    <row r="1290" spans="1:13" hidden="1" x14ac:dyDescent="0.2">
      <c r="A1290" s="1">
        <v>18856034</v>
      </c>
      <c r="B1290">
        <v>1</v>
      </c>
      <c r="C1290">
        <v>2</v>
      </c>
      <c r="D1290">
        <v>580</v>
      </c>
      <c r="E1290">
        <v>499</v>
      </c>
      <c r="F1290">
        <v>413</v>
      </c>
      <c r="G1290">
        <v>562</v>
      </c>
      <c r="H1290">
        <v>0</v>
      </c>
      <c r="I1290">
        <f>VLOOKUP(Scores[[#This Row],[MRUN]],Demographics[],3,FALSE)</f>
        <v>5</v>
      </c>
      <c r="J1290">
        <f>AVERAGE(Scores[[#This Row],[LYC]],Scores[[#This Row],[MATE]])</f>
        <v>456</v>
      </c>
      <c r="K1290">
        <f>VLOOKUP(Scores[[#This Row],[MRUN]],Demographics[],6,FALSE)</f>
        <v>5</v>
      </c>
      <c r="L1290">
        <f>VLOOKUP(Scores[[#This Row],[MRUN]],Demographics[], 7,FALSE)</f>
        <v>4</v>
      </c>
      <c r="M1290">
        <f>VLOOKUP(Scores[[#This Row],[MRUN]],Demographics[], 5, FALSE)</f>
        <v>1</v>
      </c>
    </row>
    <row r="1291" spans="1:13" hidden="1" x14ac:dyDescent="0.2">
      <c r="A1291" s="1">
        <v>5593794</v>
      </c>
      <c r="B1291">
        <v>1</v>
      </c>
      <c r="C1291">
        <v>3</v>
      </c>
      <c r="D1291">
        <v>682</v>
      </c>
      <c r="E1291">
        <v>0</v>
      </c>
      <c r="F1291">
        <v>0</v>
      </c>
      <c r="G1291">
        <v>0</v>
      </c>
      <c r="H1291">
        <v>0</v>
      </c>
      <c r="I1291">
        <f>VLOOKUP(Scores[[#This Row],[MRUN]],Demographics[],3,FALSE)</f>
        <v>4</v>
      </c>
      <c r="J1291">
        <f>AVERAGE(Scores[[#This Row],[LYC]],Scores[[#This Row],[MATE]])</f>
        <v>0</v>
      </c>
      <c r="K1291">
        <f>VLOOKUP(Scores[[#This Row],[MRUN]],Demographics[],6,FALSE)</f>
        <v>5</v>
      </c>
      <c r="L1291">
        <f>VLOOKUP(Scores[[#This Row],[MRUN]],Demographics[], 7,FALSE)</f>
        <v>5</v>
      </c>
      <c r="M1291">
        <f>VLOOKUP(Scores[[#This Row],[MRUN]],Demographics[], 5, FALSE)</f>
        <v>2</v>
      </c>
    </row>
    <row r="1292" spans="1:13" hidden="1" x14ac:dyDescent="0.2">
      <c r="A1292" s="1">
        <v>17215842</v>
      </c>
      <c r="B1292">
        <v>1</v>
      </c>
      <c r="C1292">
        <v>2</v>
      </c>
      <c r="D1292">
        <v>517</v>
      </c>
      <c r="E1292">
        <v>576</v>
      </c>
      <c r="F1292">
        <v>506</v>
      </c>
      <c r="G1292">
        <v>516</v>
      </c>
      <c r="H1292">
        <v>449</v>
      </c>
      <c r="I1292">
        <f>VLOOKUP(Scores[[#This Row],[MRUN]],Demographics[],3,FALSE)</f>
        <v>4</v>
      </c>
      <c r="J1292">
        <f>AVERAGE(Scores[[#This Row],[LYC]],Scores[[#This Row],[MATE]])</f>
        <v>541</v>
      </c>
      <c r="K1292">
        <f>VLOOKUP(Scores[[#This Row],[MRUN]],Demographics[],6,FALSE)</f>
        <v>5</v>
      </c>
      <c r="L1292">
        <f>VLOOKUP(Scores[[#This Row],[MRUN]],Demographics[], 7,FALSE)</f>
        <v>5</v>
      </c>
      <c r="M1292">
        <f>VLOOKUP(Scores[[#This Row],[MRUN]],Demographics[], 5, FALSE)</f>
        <v>1</v>
      </c>
    </row>
    <row r="1293" spans="1:13" hidden="1" x14ac:dyDescent="0.2">
      <c r="A1293" s="1">
        <v>8670982</v>
      </c>
      <c r="B1293">
        <v>1</v>
      </c>
      <c r="C1293">
        <v>3</v>
      </c>
      <c r="D1293">
        <v>620</v>
      </c>
      <c r="E1293">
        <v>596</v>
      </c>
      <c r="F1293">
        <v>620</v>
      </c>
      <c r="G1293">
        <v>0</v>
      </c>
      <c r="H1293">
        <v>602</v>
      </c>
      <c r="I1293">
        <f>VLOOKUP(Scores[[#This Row],[MRUN]],Demographics[],3,FALSE)</f>
        <v>5</v>
      </c>
      <c r="J1293">
        <f>AVERAGE(Scores[[#This Row],[LYC]],Scores[[#This Row],[MATE]])</f>
        <v>608</v>
      </c>
      <c r="K1293">
        <f>VLOOKUP(Scores[[#This Row],[MRUN]],Demographics[],6,FALSE)</f>
        <v>5</v>
      </c>
      <c r="L1293">
        <f>VLOOKUP(Scores[[#This Row],[MRUN]],Demographics[], 7,FALSE)</f>
        <v>7</v>
      </c>
      <c r="M1293">
        <f>VLOOKUP(Scores[[#This Row],[MRUN]],Demographics[], 5, FALSE)</f>
        <v>1</v>
      </c>
    </row>
    <row r="1294" spans="1:13" hidden="1" x14ac:dyDescent="0.2">
      <c r="A1294" s="1">
        <v>19699102</v>
      </c>
      <c r="B1294">
        <v>2</v>
      </c>
      <c r="C1294">
        <v>3</v>
      </c>
      <c r="D1294">
        <v>539</v>
      </c>
      <c r="E1294">
        <v>526</v>
      </c>
      <c r="F1294">
        <v>596</v>
      </c>
      <c r="G1294">
        <v>0</v>
      </c>
      <c r="H1294">
        <v>549</v>
      </c>
      <c r="I1294">
        <f>VLOOKUP(Scores[[#This Row],[MRUN]],Demographics[],3,FALSE)</f>
        <v>4</v>
      </c>
      <c r="J1294">
        <f>AVERAGE(Scores[[#This Row],[LYC]],Scores[[#This Row],[MATE]])</f>
        <v>561</v>
      </c>
      <c r="K1294">
        <f>VLOOKUP(Scores[[#This Row],[MRUN]],Demographics[],6,FALSE)</f>
        <v>4</v>
      </c>
      <c r="L1294">
        <f>VLOOKUP(Scores[[#This Row],[MRUN]],Demographics[], 7,FALSE)</f>
        <v>4</v>
      </c>
      <c r="M1294">
        <f>VLOOKUP(Scores[[#This Row],[MRUN]],Demographics[], 5, FALSE)</f>
        <v>1</v>
      </c>
    </row>
    <row r="1295" spans="1:13" hidden="1" x14ac:dyDescent="0.2">
      <c r="A1295" s="1">
        <v>11587512</v>
      </c>
      <c r="B1295">
        <v>1</v>
      </c>
      <c r="C1295">
        <v>3</v>
      </c>
      <c r="D1295">
        <v>682</v>
      </c>
      <c r="E1295">
        <v>727</v>
      </c>
      <c r="F1295">
        <v>699</v>
      </c>
      <c r="G1295">
        <v>0</v>
      </c>
      <c r="H1295">
        <v>697</v>
      </c>
      <c r="I1295">
        <f>VLOOKUP(Scores[[#This Row],[MRUN]],Demographics[],3,FALSE)</f>
        <v>6</v>
      </c>
      <c r="J1295">
        <f>AVERAGE(Scores[[#This Row],[LYC]],Scores[[#This Row],[MATE]])</f>
        <v>713</v>
      </c>
      <c r="K1295">
        <f>VLOOKUP(Scores[[#This Row],[MRUN]],Demographics[],6,FALSE)</f>
        <v>5</v>
      </c>
      <c r="L1295">
        <f>VLOOKUP(Scores[[#This Row],[MRUN]],Demographics[], 7,FALSE)</f>
        <v>5</v>
      </c>
      <c r="M1295">
        <f>VLOOKUP(Scores[[#This Row],[MRUN]],Demographics[], 5, FALSE)</f>
        <v>2</v>
      </c>
    </row>
    <row r="1296" spans="1:13" hidden="1" x14ac:dyDescent="0.2">
      <c r="A1296" s="1">
        <v>573763</v>
      </c>
      <c r="B1296">
        <v>1</v>
      </c>
      <c r="C1296">
        <v>3</v>
      </c>
      <c r="D1296">
        <v>579</v>
      </c>
      <c r="E1296">
        <v>648</v>
      </c>
      <c r="F1296">
        <v>571</v>
      </c>
      <c r="G1296">
        <v>657</v>
      </c>
      <c r="H1296">
        <v>0</v>
      </c>
      <c r="I1296">
        <f>VLOOKUP(Scores[[#This Row],[MRUN]],Demographics[],3,FALSE)</f>
        <v>4</v>
      </c>
      <c r="J1296">
        <f>AVERAGE(Scores[[#This Row],[LYC]],Scores[[#This Row],[MATE]])</f>
        <v>609.5</v>
      </c>
      <c r="K1296">
        <f>VLOOKUP(Scores[[#This Row],[MRUN]],Demographics[],6,FALSE)</f>
        <v>5</v>
      </c>
      <c r="L1296">
        <f>VLOOKUP(Scores[[#This Row],[MRUN]],Demographics[], 7,FALSE)</f>
        <v>5</v>
      </c>
      <c r="M1296">
        <f>VLOOKUP(Scores[[#This Row],[MRUN]],Demographics[], 5, FALSE)</f>
        <v>2</v>
      </c>
    </row>
    <row r="1297" spans="1:13" hidden="1" x14ac:dyDescent="0.2">
      <c r="A1297" s="1">
        <v>662802</v>
      </c>
      <c r="B1297">
        <v>2</v>
      </c>
      <c r="C1297">
        <v>2</v>
      </c>
      <c r="D1297">
        <v>538</v>
      </c>
      <c r="E1297">
        <v>438</v>
      </c>
      <c r="F1297">
        <v>501</v>
      </c>
      <c r="G1297">
        <v>479</v>
      </c>
      <c r="H1297">
        <v>391</v>
      </c>
      <c r="I1297">
        <f>VLOOKUP(Scores[[#This Row],[MRUN]],Demographics[],3,FALSE)</f>
        <v>4</v>
      </c>
      <c r="J1297">
        <f>AVERAGE(Scores[[#This Row],[LYC]],Scores[[#This Row],[MATE]])</f>
        <v>469.5</v>
      </c>
      <c r="K1297">
        <f>VLOOKUP(Scores[[#This Row],[MRUN]],Demographics[],6,FALSE)</f>
        <v>9</v>
      </c>
      <c r="L1297">
        <f>VLOOKUP(Scores[[#This Row],[MRUN]],Demographics[], 7,FALSE)</f>
        <v>9</v>
      </c>
      <c r="M1297">
        <f>VLOOKUP(Scores[[#This Row],[MRUN]],Demographics[], 5, FALSE)</f>
        <v>1</v>
      </c>
    </row>
    <row r="1298" spans="1:13" hidden="1" x14ac:dyDescent="0.2">
      <c r="A1298" s="1">
        <v>3608859</v>
      </c>
      <c r="B1298">
        <v>1</v>
      </c>
      <c r="C1298">
        <v>2</v>
      </c>
      <c r="D1298">
        <v>478</v>
      </c>
      <c r="E1298">
        <v>629</v>
      </c>
      <c r="F1298">
        <v>568</v>
      </c>
      <c r="G1298">
        <v>803</v>
      </c>
      <c r="H1298">
        <v>0</v>
      </c>
      <c r="I1298">
        <f>VLOOKUP(Scores[[#This Row],[MRUN]],Demographics[],3,FALSE)</f>
        <v>6</v>
      </c>
      <c r="J1298">
        <f>AVERAGE(Scores[[#This Row],[LYC]],Scores[[#This Row],[MATE]])</f>
        <v>598.5</v>
      </c>
      <c r="K1298">
        <f>VLOOKUP(Scores[[#This Row],[MRUN]],Demographics[],6,FALSE)</f>
        <v>3</v>
      </c>
      <c r="L1298">
        <f>VLOOKUP(Scores[[#This Row],[MRUN]],Demographics[], 7,FALSE)</f>
        <v>5</v>
      </c>
      <c r="M1298">
        <f>VLOOKUP(Scores[[#This Row],[MRUN]],Demographics[], 5, FALSE)</f>
        <v>1</v>
      </c>
    </row>
    <row r="1299" spans="1:13" hidden="1" x14ac:dyDescent="0.2">
      <c r="A1299" s="1">
        <v>22728113</v>
      </c>
      <c r="B1299">
        <v>2</v>
      </c>
      <c r="C1299">
        <v>2</v>
      </c>
      <c r="D1299">
        <v>560</v>
      </c>
      <c r="E1299">
        <v>541</v>
      </c>
      <c r="F1299">
        <v>512</v>
      </c>
      <c r="G1299">
        <v>572</v>
      </c>
      <c r="H1299">
        <v>0</v>
      </c>
      <c r="I1299">
        <f>VLOOKUP(Scores[[#This Row],[MRUN]],Demographics[],3,FALSE)</f>
        <v>3</v>
      </c>
      <c r="J1299">
        <f>AVERAGE(Scores[[#This Row],[LYC]],Scores[[#This Row],[MATE]])</f>
        <v>526.5</v>
      </c>
      <c r="K1299">
        <f>VLOOKUP(Scores[[#This Row],[MRUN]],Demographics[],6,FALSE)</f>
        <v>5</v>
      </c>
      <c r="L1299">
        <f>VLOOKUP(Scores[[#This Row],[MRUN]],Demographics[], 7,FALSE)</f>
        <v>2</v>
      </c>
      <c r="M1299">
        <f>VLOOKUP(Scores[[#This Row],[MRUN]],Demographics[], 5, FALSE)</f>
        <v>1</v>
      </c>
    </row>
    <row r="1300" spans="1:13" hidden="1" x14ac:dyDescent="0.2">
      <c r="A1300" s="1">
        <v>5537402</v>
      </c>
      <c r="B1300">
        <v>2</v>
      </c>
      <c r="C1300">
        <v>2</v>
      </c>
      <c r="D1300">
        <v>579</v>
      </c>
      <c r="E1300">
        <v>494</v>
      </c>
      <c r="F1300">
        <v>480</v>
      </c>
      <c r="G1300">
        <v>0</v>
      </c>
      <c r="H1300">
        <v>475</v>
      </c>
      <c r="I1300">
        <f>VLOOKUP(Scores[[#This Row],[MRUN]],Demographics[],3,FALSE)</f>
        <v>4</v>
      </c>
      <c r="J1300">
        <f>AVERAGE(Scores[[#This Row],[LYC]],Scores[[#This Row],[MATE]])</f>
        <v>487</v>
      </c>
      <c r="K1300">
        <f>VLOOKUP(Scores[[#This Row],[MRUN]],Demographics[],6,FALSE)</f>
        <v>4</v>
      </c>
      <c r="L1300">
        <f>VLOOKUP(Scores[[#This Row],[MRUN]],Demographics[], 7,FALSE)</f>
        <v>5</v>
      </c>
      <c r="M1300">
        <f>VLOOKUP(Scores[[#This Row],[MRUN]],Demographics[], 5, FALSE)</f>
        <v>1</v>
      </c>
    </row>
    <row r="1301" spans="1:13" hidden="1" x14ac:dyDescent="0.2">
      <c r="A1301" s="1">
        <v>10703406</v>
      </c>
      <c r="B1301">
        <v>1</v>
      </c>
      <c r="C1301">
        <v>2</v>
      </c>
      <c r="D1301">
        <v>579</v>
      </c>
      <c r="E1301">
        <v>451</v>
      </c>
      <c r="F1301">
        <v>549</v>
      </c>
      <c r="G1301">
        <v>0</v>
      </c>
      <c r="H1301">
        <v>483</v>
      </c>
      <c r="I1301">
        <f>VLOOKUP(Scores[[#This Row],[MRUN]],Demographics[],3,FALSE)</f>
        <v>3</v>
      </c>
      <c r="J1301">
        <f>AVERAGE(Scores[[#This Row],[LYC]],Scores[[#This Row],[MATE]])</f>
        <v>500</v>
      </c>
      <c r="K1301">
        <f>VLOOKUP(Scores[[#This Row],[MRUN]],Demographics[],6,FALSE)</f>
        <v>0</v>
      </c>
      <c r="L1301">
        <f>VLOOKUP(Scores[[#This Row],[MRUN]],Demographics[], 7,FALSE)</f>
        <v>5</v>
      </c>
      <c r="M1301">
        <f>VLOOKUP(Scores[[#This Row],[MRUN]],Demographics[], 5, FALSE)</f>
        <v>2</v>
      </c>
    </row>
    <row r="1302" spans="1:13" hidden="1" x14ac:dyDescent="0.2">
      <c r="A1302" s="1">
        <v>6431312</v>
      </c>
      <c r="B1302">
        <v>1</v>
      </c>
      <c r="C1302">
        <v>3</v>
      </c>
      <c r="D1302">
        <v>641</v>
      </c>
      <c r="E1302">
        <v>661</v>
      </c>
      <c r="F1302">
        <v>666</v>
      </c>
      <c r="G1302">
        <v>0</v>
      </c>
      <c r="H1302">
        <v>708</v>
      </c>
      <c r="I1302">
        <f>VLOOKUP(Scores[[#This Row],[MRUN]],Demographics[],3,FALSE)</f>
        <v>5</v>
      </c>
      <c r="J1302">
        <f>AVERAGE(Scores[[#This Row],[LYC]],Scores[[#This Row],[MATE]])</f>
        <v>663.5</v>
      </c>
      <c r="K1302">
        <f>VLOOKUP(Scores[[#This Row],[MRUN]],Demographics[],6,FALSE)</f>
        <v>5</v>
      </c>
      <c r="L1302">
        <f>VLOOKUP(Scores[[#This Row],[MRUN]],Demographics[], 7,FALSE)</f>
        <v>3</v>
      </c>
      <c r="M1302">
        <f>VLOOKUP(Scores[[#This Row],[MRUN]],Demographics[], 5, FALSE)</f>
        <v>2</v>
      </c>
    </row>
    <row r="1303" spans="1:13" hidden="1" x14ac:dyDescent="0.2">
      <c r="A1303" s="1">
        <v>17061222</v>
      </c>
      <c r="B1303">
        <v>2</v>
      </c>
      <c r="C1303">
        <v>3</v>
      </c>
      <c r="D1303">
        <v>558</v>
      </c>
      <c r="E1303">
        <v>561</v>
      </c>
      <c r="F1303">
        <v>552</v>
      </c>
      <c r="G1303">
        <v>436</v>
      </c>
      <c r="H1303">
        <v>0</v>
      </c>
      <c r="I1303">
        <f>VLOOKUP(Scores[[#This Row],[MRUN]],Demographics[],3,FALSE)</f>
        <v>5</v>
      </c>
      <c r="J1303">
        <f>AVERAGE(Scores[[#This Row],[LYC]],Scores[[#This Row],[MATE]])</f>
        <v>556.5</v>
      </c>
      <c r="K1303">
        <f>VLOOKUP(Scores[[#This Row],[MRUN]],Demographics[],6,FALSE)</f>
        <v>5</v>
      </c>
      <c r="L1303">
        <f>VLOOKUP(Scores[[#This Row],[MRUN]],Demographics[], 7,FALSE)</f>
        <v>9</v>
      </c>
      <c r="M1303">
        <f>VLOOKUP(Scores[[#This Row],[MRUN]],Demographics[], 5, FALSE)</f>
        <v>4</v>
      </c>
    </row>
    <row r="1304" spans="1:13" hidden="1" x14ac:dyDescent="0.2">
      <c r="A1304" s="1">
        <v>10393585</v>
      </c>
      <c r="B1304">
        <v>2</v>
      </c>
      <c r="C1304">
        <v>2</v>
      </c>
      <c r="D1304">
        <v>558</v>
      </c>
      <c r="E1304">
        <v>0</v>
      </c>
      <c r="F1304">
        <v>0</v>
      </c>
      <c r="G1304">
        <v>0</v>
      </c>
      <c r="H1304">
        <v>0</v>
      </c>
      <c r="I1304">
        <f>VLOOKUP(Scores[[#This Row],[MRUN]],Demographics[],3,FALSE)</f>
        <v>3</v>
      </c>
      <c r="J1304">
        <f>AVERAGE(Scores[[#This Row],[LYC]],Scores[[#This Row],[MATE]])</f>
        <v>0</v>
      </c>
      <c r="K1304">
        <f>VLOOKUP(Scores[[#This Row],[MRUN]],Demographics[],6,FALSE)</f>
        <v>2</v>
      </c>
      <c r="L1304">
        <f>VLOOKUP(Scores[[#This Row],[MRUN]],Demographics[], 7,FALSE)</f>
        <v>2</v>
      </c>
      <c r="M1304">
        <f>VLOOKUP(Scores[[#This Row],[MRUN]],Demographics[], 5, FALSE)</f>
        <v>1</v>
      </c>
    </row>
    <row r="1305" spans="1:13" hidden="1" x14ac:dyDescent="0.2">
      <c r="A1305" s="1">
        <v>2812730</v>
      </c>
      <c r="B1305">
        <v>1</v>
      </c>
      <c r="C1305">
        <v>2</v>
      </c>
      <c r="D1305">
        <v>476</v>
      </c>
      <c r="E1305">
        <v>488</v>
      </c>
      <c r="F1305">
        <v>545</v>
      </c>
      <c r="G1305">
        <v>0</v>
      </c>
      <c r="H1305">
        <v>539</v>
      </c>
      <c r="I1305">
        <f>VLOOKUP(Scores[[#This Row],[MRUN]],Demographics[],3,FALSE)</f>
        <v>4</v>
      </c>
      <c r="J1305">
        <f>AVERAGE(Scores[[#This Row],[LYC]],Scores[[#This Row],[MATE]])</f>
        <v>516.5</v>
      </c>
      <c r="K1305">
        <f>VLOOKUP(Scores[[#This Row],[MRUN]],Demographics[],6,FALSE)</f>
        <v>5</v>
      </c>
      <c r="L1305">
        <f>VLOOKUP(Scores[[#This Row],[MRUN]],Demographics[], 7,FALSE)</f>
        <v>5</v>
      </c>
      <c r="M1305">
        <f>VLOOKUP(Scores[[#This Row],[MRUN]],Demographics[], 5, FALSE)</f>
        <v>1</v>
      </c>
    </row>
    <row r="1306" spans="1:13" hidden="1" x14ac:dyDescent="0.2">
      <c r="A1306" s="1">
        <v>24724766</v>
      </c>
      <c r="B1306">
        <v>1</v>
      </c>
      <c r="C1306">
        <v>3</v>
      </c>
      <c r="D1306">
        <v>702</v>
      </c>
      <c r="E1306">
        <v>727</v>
      </c>
      <c r="F1306">
        <v>806</v>
      </c>
      <c r="G1306">
        <v>0</v>
      </c>
      <c r="H1306">
        <v>850</v>
      </c>
      <c r="I1306">
        <f>VLOOKUP(Scores[[#This Row],[MRUN]],Demographics[],3,FALSE)</f>
        <v>2</v>
      </c>
      <c r="J1306">
        <f>AVERAGE(Scores[[#This Row],[LYC]],Scores[[#This Row],[MATE]])</f>
        <v>766.5</v>
      </c>
      <c r="K1306">
        <f>VLOOKUP(Scores[[#This Row],[MRUN]],Demographics[],6,FALSE)</f>
        <v>0</v>
      </c>
      <c r="L1306">
        <f>VLOOKUP(Scores[[#This Row],[MRUN]],Demographics[], 7,FALSE)</f>
        <v>0</v>
      </c>
      <c r="M1306">
        <f>VLOOKUP(Scores[[#This Row],[MRUN]],Demographics[], 5, FALSE)</f>
        <v>1</v>
      </c>
    </row>
    <row r="1307" spans="1:13" hidden="1" x14ac:dyDescent="0.2">
      <c r="A1307" s="1">
        <v>17524493</v>
      </c>
      <c r="B1307">
        <v>2</v>
      </c>
      <c r="C1307">
        <v>2</v>
      </c>
      <c r="D1307">
        <v>499</v>
      </c>
      <c r="E1307">
        <v>0</v>
      </c>
      <c r="F1307">
        <v>0</v>
      </c>
      <c r="G1307">
        <v>0</v>
      </c>
      <c r="H1307">
        <v>0</v>
      </c>
      <c r="I1307">
        <f>VLOOKUP(Scores[[#This Row],[MRUN]],Demographics[],3,FALSE)</f>
        <v>3</v>
      </c>
      <c r="J1307">
        <f>AVERAGE(Scores[[#This Row],[LYC]],Scores[[#This Row],[MATE]])</f>
        <v>0</v>
      </c>
      <c r="K1307">
        <f>VLOOKUP(Scores[[#This Row],[MRUN]],Demographics[],6,FALSE)</f>
        <v>5</v>
      </c>
      <c r="L1307">
        <f>VLOOKUP(Scores[[#This Row],[MRUN]],Demographics[], 7,FALSE)</f>
        <v>9</v>
      </c>
      <c r="M1307">
        <f>VLOOKUP(Scores[[#This Row],[MRUN]],Demographics[], 5, FALSE)</f>
        <v>1</v>
      </c>
    </row>
    <row r="1308" spans="1:13" hidden="1" x14ac:dyDescent="0.2">
      <c r="A1308" s="1">
        <v>6825096</v>
      </c>
      <c r="B1308">
        <v>2</v>
      </c>
      <c r="C1308">
        <v>3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f>VLOOKUP(Scores[[#This Row],[MRUN]],Demographics[],3,FALSE)</f>
        <v>4</v>
      </c>
      <c r="J1308">
        <f>AVERAGE(Scores[[#This Row],[LYC]],Scores[[#This Row],[MATE]])</f>
        <v>0</v>
      </c>
      <c r="K1308">
        <f>VLOOKUP(Scores[[#This Row],[MRUN]],Demographics[],6,FALSE)</f>
        <v>0</v>
      </c>
      <c r="L1308">
        <f>VLOOKUP(Scores[[#This Row],[MRUN]],Demographics[], 7,FALSE)</f>
        <v>3</v>
      </c>
      <c r="M1308">
        <f>VLOOKUP(Scores[[#This Row],[MRUN]],Demographics[], 5, FALSE)</f>
        <v>1</v>
      </c>
    </row>
    <row r="1309" spans="1:13" hidden="1" x14ac:dyDescent="0.2">
      <c r="A1309" s="1">
        <v>24787065</v>
      </c>
      <c r="B1309">
        <v>2</v>
      </c>
      <c r="C1309">
        <v>3</v>
      </c>
      <c r="D1309">
        <v>621</v>
      </c>
      <c r="E1309">
        <v>510</v>
      </c>
      <c r="F1309">
        <v>452</v>
      </c>
      <c r="G1309">
        <v>484</v>
      </c>
      <c r="H1309">
        <v>0</v>
      </c>
      <c r="I1309">
        <f>VLOOKUP(Scores[[#This Row],[MRUN]],Demographics[],3,FALSE)</f>
        <v>3</v>
      </c>
      <c r="J1309">
        <f>AVERAGE(Scores[[#This Row],[LYC]],Scores[[#This Row],[MATE]])</f>
        <v>481</v>
      </c>
      <c r="K1309">
        <f>VLOOKUP(Scores[[#This Row],[MRUN]],Demographics[],6,FALSE)</f>
        <v>0</v>
      </c>
      <c r="L1309">
        <f>VLOOKUP(Scores[[#This Row],[MRUN]],Demographics[], 7,FALSE)</f>
        <v>5</v>
      </c>
      <c r="M1309">
        <f>VLOOKUP(Scores[[#This Row],[MRUN]],Demographics[], 5, FALSE)</f>
        <v>1</v>
      </c>
    </row>
    <row r="1310" spans="1:13" hidden="1" x14ac:dyDescent="0.2">
      <c r="A1310" s="1">
        <v>16342448</v>
      </c>
      <c r="B1310">
        <v>1</v>
      </c>
      <c r="C1310">
        <v>2</v>
      </c>
      <c r="D1310">
        <v>0</v>
      </c>
      <c r="E1310">
        <v>276</v>
      </c>
      <c r="F1310">
        <v>376</v>
      </c>
      <c r="G1310">
        <v>370</v>
      </c>
      <c r="H1310">
        <v>0</v>
      </c>
      <c r="I1310">
        <f>VLOOKUP(Scores[[#This Row],[MRUN]],Demographics[],3,FALSE)</f>
        <v>4</v>
      </c>
      <c r="J1310">
        <f>AVERAGE(Scores[[#This Row],[LYC]],Scores[[#This Row],[MATE]])</f>
        <v>326</v>
      </c>
      <c r="K1310">
        <f>VLOOKUP(Scores[[#This Row],[MRUN]],Demographics[],6,FALSE)</f>
        <v>2</v>
      </c>
      <c r="L1310">
        <f>VLOOKUP(Scores[[#This Row],[MRUN]],Demographics[], 7,FALSE)</f>
        <v>4</v>
      </c>
      <c r="M1310">
        <f>VLOOKUP(Scores[[#This Row],[MRUN]],Demographics[], 5, FALSE)</f>
        <v>1</v>
      </c>
    </row>
    <row r="1311" spans="1:13" hidden="1" x14ac:dyDescent="0.2">
      <c r="A1311" s="1">
        <v>3095825</v>
      </c>
      <c r="B1311">
        <v>2</v>
      </c>
      <c r="C1311">
        <v>2</v>
      </c>
      <c r="D1311">
        <v>397</v>
      </c>
      <c r="E1311">
        <v>406</v>
      </c>
      <c r="F1311">
        <v>494</v>
      </c>
      <c r="G1311">
        <v>490</v>
      </c>
      <c r="H1311">
        <v>417</v>
      </c>
      <c r="I1311">
        <f>VLOOKUP(Scores[[#This Row],[MRUN]],Demographics[],3,FALSE)</f>
        <v>5</v>
      </c>
      <c r="J1311">
        <f>AVERAGE(Scores[[#This Row],[LYC]],Scores[[#This Row],[MATE]])</f>
        <v>450</v>
      </c>
      <c r="K1311">
        <f>VLOOKUP(Scores[[#This Row],[MRUN]],Demographics[],6,FALSE)</f>
        <v>3</v>
      </c>
      <c r="L1311">
        <f>VLOOKUP(Scores[[#This Row],[MRUN]],Demographics[], 7,FALSE)</f>
        <v>3</v>
      </c>
      <c r="M1311">
        <f>VLOOKUP(Scores[[#This Row],[MRUN]],Demographics[], 5, FALSE)</f>
        <v>1</v>
      </c>
    </row>
    <row r="1312" spans="1:13" hidden="1" x14ac:dyDescent="0.2">
      <c r="A1312" s="1">
        <v>1109934</v>
      </c>
      <c r="B1312">
        <v>1</v>
      </c>
      <c r="C1312">
        <v>3</v>
      </c>
      <c r="D1312">
        <v>560</v>
      </c>
      <c r="E1312">
        <v>561</v>
      </c>
      <c r="F1312">
        <v>640</v>
      </c>
      <c r="G1312">
        <v>0</v>
      </c>
      <c r="H1312">
        <v>631</v>
      </c>
      <c r="I1312">
        <f>VLOOKUP(Scores[[#This Row],[MRUN]],Demographics[],3,FALSE)</f>
        <v>5</v>
      </c>
      <c r="J1312">
        <f>AVERAGE(Scores[[#This Row],[LYC]],Scores[[#This Row],[MATE]])</f>
        <v>600.5</v>
      </c>
      <c r="K1312">
        <f>VLOOKUP(Scores[[#This Row],[MRUN]],Demographics[],6,FALSE)</f>
        <v>4</v>
      </c>
      <c r="L1312">
        <f>VLOOKUP(Scores[[#This Row],[MRUN]],Demographics[], 7,FALSE)</f>
        <v>7</v>
      </c>
      <c r="M1312">
        <f>VLOOKUP(Scores[[#This Row],[MRUN]],Demographics[], 5, FALSE)</f>
        <v>1</v>
      </c>
    </row>
    <row r="1313" spans="1:13" hidden="1" x14ac:dyDescent="0.2">
      <c r="A1313" s="1">
        <v>2915807</v>
      </c>
      <c r="B1313">
        <v>2</v>
      </c>
      <c r="C1313">
        <v>3</v>
      </c>
      <c r="D1313">
        <v>458</v>
      </c>
      <c r="E1313">
        <v>422</v>
      </c>
      <c r="F1313">
        <v>428</v>
      </c>
      <c r="G1313">
        <v>0</v>
      </c>
      <c r="H1313">
        <v>497</v>
      </c>
      <c r="I1313">
        <f>VLOOKUP(Scores[[#This Row],[MRUN]],Demographics[],3,FALSE)</f>
        <v>3</v>
      </c>
      <c r="J1313">
        <f>AVERAGE(Scores[[#This Row],[LYC]],Scores[[#This Row],[MATE]])</f>
        <v>425</v>
      </c>
      <c r="K1313">
        <f>VLOOKUP(Scores[[#This Row],[MRUN]],Demographics[],6,FALSE)</f>
        <v>5</v>
      </c>
      <c r="L1313">
        <f>VLOOKUP(Scores[[#This Row],[MRUN]],Demographics[], 7,FALSE)</f>
        <v>2</v>
      </c>
      <c r="M1313">
        <f>VLOOKUP(Scores[[#This Row],[MRUN]],Demographics[], 5, FALSE)</f>
        <v>1</v>
      </c>
    </row>
    <row r="1314" spans="1:13" hidden="1" x14ac:dyDescent="0.2">
      <c r="A1314" s="1">
        <v>2712788</v>
      </c>
      <c r="B1314">
        <v>1</v>
      </c>
      <c r="C1314">
        <v>2</v>
      </c>
      <c r="D1314">
        <v>621</v>
      </c>
      <c r="E1314">
        <v>494</v>
      </c>
      <c r="F1314">
        <v>463</v>
      </c>
      <c r="G1314">
        <v>0</v>
      </c>
      <c r="H1314">
        <v>468</v>
      </c>
      <c r="I1314">
        <f>VLOOKUP(Scores[[#This Row],[MRUN]],Demographics[],3,FALSE)</f>
        <v>4</v>
      </c>
      <c r="J1314">
        <f>AVERAGE(Scores[[#This Row],[LYC]],Scores[[#This Row],[MATE]])</f>
        <v>478.5</v>
      </c>
      <c r="K1314">
        <f>VLOOKUP(Scores[[#This Row],[MRUN]],Demographics[],6,FALSE)</f>
        <v>2</v>
      </c>
      <c r="L1314">
        <f>VLOOKUP(Scores[[#This Row],[MRUN]],Demographics[], 7,FALSE)</f>
        <v>2</v>
      </c>
      <c r="M1314">
        <f>VLOOKUP(Scores[[#This Row],[MRUN]],Demographics[], 5, FALSE)</f>
        <v>1</v>
      </c>
    </row>
    <row r="1315" spans="1:13" hidden="1" x14ac:dyDescent="0.2">
      <c r="A1315" s="1">
        <v>15097595</v>
      </c>
      <c r="B1315">
        <v>1</v>
      </c>
      <c r="C1315">
        <v>3</v>
      </c>
      <c r="D1315">
        <v>476</v>
      </c>
      <c r="E1315">
        <v>557</v>
      </c>
      <c r="F1315">
        <v>582</v>
      </c>
      <c r="G1315">
        <v>572</v>
      </c>
      <c r="H1315">
        <v>510</v>
      </c>
      <c r="I1315">
        <f>VLOOKUP(Scores[[#This Row],[MRUN]],Demographics[],3,FALSE)</f>
        <v>5</v>
      </c>
      <c r="J1315">
        <f>AVERAGE(Scores[[#This Row],[LYC]],Scores[[#This Row],[MATE]])</f>
        <v>569.5</v>
      </c>
      <c r="K1315">
        <f>VLOOKUP(Scores[[#This Row],[MRUN]],Demographics[],6,FALSE)</f>
        <v>5</v>
      </c>
      <c r="L1315">
        <f>VLOOKUP(Scores[[#This Row],[MRUN]],Demographics[], 7,FALSE)</f>
        <v>5</v>
      </c>
      <c r="M1315">
        <f>VLOOKUP(Scores[[#This Row],[MRUN]],Demographics[], 5, FALSE)</f>
        <v>1</v>
      </c>
    </row>
    <row r="1316" spans="1:13" hidden="1" x14ac:dyDescent="0.2">
      <c r="A1316" s="1">
        <v>20337065</v>
      </c>
      <c r="B1316">
        <v>1</v>
      </c>
      <c r="C1316">
        <v>2</v>
      </c>
      <c r="D1316">
        <v>437</v>
      </c>
      <c r="E1316">
        <v>345</v>
      </c>
      <c r="F1316">
        <v>413</v>
      </c>
      <c r="G1316">
        <v>0</v>
      </c>
      <c r="H1316">
        <v>344</v>
      </c>
      <c r="I1316">
        <f>VLOOKUP(Scores[[#This Row],[MRUN]],Demographics[],3,FALSE)</f>
        <v>5</v>
      </c>
      <c r="J1316">
        <f>AVERAGE(Scores[[#This Row],[LYC]],Scores[[#This Row],[MATE]])</f>
        <v>379</v>
      </c>
      <c r="K1316">
        <f>VLOOKUP(Scores[[#This Row],[MRUN]],Demographics[],6,FALSE)</f>
        <v>3</v>
      </c>
      <c r="L1316">
        <f>VLOOKUP(Scores[[#This Row],[MRUN]],Demographics[], 7,FALSE)</f>
        <v>2</v>
      </c>
      <c r="M1316">
        <f>VLOOKUP(Scores[[#This Row],[MRUN]],Demographics[], 5, FALSE)</f>
        <v>1</v>
      </c>
    </row>
    <row r="1317" spans="1:13" hidden="1" x14ac:dyDescent="0.2">
      <c r="A1317" s="1">
        <v>22905703</v>
      </c>
      <c r="B1317">
        <v>2</v>
      </c>
      <c r="C1317">
        <v>2</v>
      </c>
      <c r="D1317">
        <v>579</v>
      </c>
      <c r="E1317">
        <v>488</v>
      </c>
      <c r="F1317">
        <v>536</v>
      </c>
      <c r="G1317">
        <v>623</v>
      </c>
      <c r="H1317">
        <v>391</v>
      </c>
      <c r="I1317">
        <f>VLOOKUP(Scores[[#This Row],[MRUN]],Demographics[],3,FALSE)</f>
        <v>5</v>
      </c>
      <c r="J1317">
        <f>AVERAGE(Scores[[#This Row],[LYC]],Scores[[#This Row],[MATE]])</f>
        <v>512</v>
      </c>
      <c r="K1317">
        <f>VLOOKUP(Scores[[#This Row],[MRUN]],Demographics[],6,FALSE)</f>
        <v>5</v>
      </c>
      <c r="L1317">
        <f>VLOOKUP(Scores[[#This Row],[MRUN]],Demographics[], 7,FALSE)</f>
        <v>5</v>
      </c>
      <c r="M1317">
        <f>VLOOKUP(Scores[[#This Row],[MRUN]],Demographics[], 5, FALSE)</f>
        <v>1</v>
      </c>
    </row>
    <row r="1318" spans="1:13" hidden="1" x14ac:dyDescent="0.2">
      <c r="A1318" s="1">
        <v>18546887</v>
      </c>
      <c r="B1318">
        <v>1</v>
      </c>
      <c r="C1318">
        <v>2</v>
      </c>
      <c r="D1318">
        <v>661</v>
      </c>
      <c r="E1318">
        <v>547</v>
      </c>
      <c r="F1318">
        <v>617</v>
      </c>
      <c r="G1318">
        <v>0</v>
      </c>
      <c r="H1318">
        <v>562</v>
      </c>
      <c r="I1318">
        <f>VLOOKUP(Scores[[#This Row],[MRUN]],Demographics[],3,FALSE)</f>
        <v>5</v>
      </c>
      <c r="J1318">
        <f>AVERAGE(Scores[[#This Row],[LYC]],Scores[[#This Row],[MATE]])</f>
        <v>582</v>
      </c>
      <c r="K1318">
        <f>VLOOKUP(Scores[[#This Row],[MRUN]],Demographics[],6,FALSE)</f>
        <v>4</v>
      </c>
      <c r="L1318">
        <f>VLOOKUP(Scores[[#This Row],[MRUN]],Demographics[], 7,FALSE)</f>
        <v>4</v>
      </c>
      <c r="M1318">
        <f>VLOOKUP(Scores[[#This Row],[MRUN]],Demographics[], 5, FALSE)</f>
        <v>1</v>
      </c>
    </row>
    <row r="1319" spans="1:13" hidden="1" x14ac:dyDescent="0.2">
      <c r="A1319" s="1">
        <v>17580471</v>
      </c>
      <c r="B1319">
        <v>2</v>
      </c>
      <c r="C1319">
        <v>3</v>
      </c>
      <c r="D1319">
        <v>580</v>
      </c>
      <c r="E1319">
        <v>422</v>
      </c>
      <c r="F1319">
        <v>376</v>
      </c>
      <c r="G1319">
        <v>414</v>
      </c>
      <c r="H1319">
        <v>0</v>
      </c>
      <c r="I1319">
        <f>VLOOKUP(Scores[[#This Row],[MRUN]],Demographics[],3,FALSE)</f>
        <v>0</v>
      </c>
      <c r="J1319">
        <f>AVERAGE(Scores[[#This Row],[LYC]],Scores[[#This Row],[MATE]])</f>
        <v>399</v>
      </c>
      <c r="K1319">
        <f>VLOOKUP(Scores[[#This Row],[MRUN]],Demographics[],6,FALSE)</f>
        <v>0</v>
      </c>
      <c r="L1319">
        <f>VLOOKUP(Scores[[#This Row],[MRUN]],Demographics[], 7,FALSE)</f>
        <v>0</v>
      </c>
      <c r="M1319">
        <f>VLOOKUP(Scores[[#This Row],[MRUN]],Demographics[], 5, FALSE)</f>
        <v>1</v>
      </c>
    </row>
    <row r="1320" spans="1:13" hidden="1" x14ac:dyDescent="0.2">
      <c r="A1320" s="1">
        <v>11071179</v>
      </c>
      <c r="B1320">
        <v>2</v>
      </c>
      <c r="C1320">
        <v>2</v>
      </c>
      <c r="D1320">
        <v>579</v>
      </c>
      <c r="E1320">
        <v>494</v>
      </c>
      <c r="F1320">
        <v>517</v>
      </c>
      <c r="G1320">
        <v>562</v>
      </c>
      <c r="H1320">
        <v>0</v>
      </c>
      <c r="I1320">
        <f>VLOOKUP(Scores[[#This Row],[MRUN]],Demographics[],3,FALSE)</f>
        <v>5</v>
      </c>
      <c r="J1320">
        <f>AVERAGE(Scores[[#This Row],[LYC]],Scores[[#This Row],[MATE]])</f>
        <v>505.5</v>
      </c>
      <c r="K1320">
        <f>VLOOKUP(Scores[[#This Row],[MRUN]],Demographics[],6,FALSE)</f>
        <v>5</v>
      </c>
      <c r="L1320">
        <f>VLOOKUP(Scores[[#This Row],[MRUN]],Demographics[], 7,FALSE)</f>
        <v>4</v>
      </c>
      <c r="M1320">
        <f>VLOOKUP(Scores[[#This Row],[MRUN]],Demographics[], 5, FALSE)</f>
        <v>1</v>
      </c>
    </row>
    <row r="1321" spans="1:13" hidden="1" x14ac:dyDescent="0.2">
      <c r="A1321" s="1">
        <v>13308184</v>
      </c>
      <c r="B1321">
        <v>2</v>
      </c>
      <c r="C1321">
        <v>3</v>
      </c>
      <c r="D1321">
        <v>560</v>
      </c>
      <c r="E1321">
        <v>290</v>
      </c>
      <c r="F1321">
        <v>300</v>
      </c>
      <c r="G1321">
        <v>406</v>
      </c>
      <c r="H1321">
        <v>0</v>
      </c>
      <c r="I1321">
        <f>VLOOKUP(Scores[[#This Row],[MRUN]],Demographics[],3,FALSE)</f>
        <v>0</v>
      </c>
      <c r="J1321">
        <f>AVERAGE(Scores[[#This Row],[LYC]],Scores[[#This Row],[MATE]])</f>
        <v>295</v>
      </c>
      <c r="K1321">
        <f>VLOOKUP(Scores[[#This Row],[MRUN]],Demographics[],6,FALSE)</f>
        <v>0</v>
      </c>
      <c r="L1321">
        <f>VLOOKUP(Scores[[#This Row],[MRUN]],Demographics[], 7,FALSE)</f>
        <v>0</v>
      </c>
      <c r="M1321">
        <f>VLOOKUP(Scores[[#This Row],[MRUN]],Demographics[], 5, FALSE)</f>
        <v>1</v>
      </c>
    </row>
    <row r="1322" spans="1:13" hidden="1" x14ac:dyDescent="0.2">
      <c r="A1322" s="1">
        <v>21752105</v>
      </c>
      <c r="B1322">
        <v>2</v>
      </c>
      <c r="C1322">
        <v>2</v>
      </c>
      <c r="D1322">
        <v>620</v>
      </c>
      <c r="E1322">
        <v>464</v>
      </c>
      <c r="F1322">
        <v>523</v>
      </c>
      <c r="G1322">
        <v>501</v>
      </c>
      <c r="H1322">
        <v>449</v>
      </c>
      <c r="I1322">
        <f>VLOOKUP(Scores[[#This Row],[MRUN]],Demographics[],3,FALSE)</f>
        <v>2</v>
      </c>
      <c r="J1322">
        <f>AVERAGE(Scores[[#This Row],[LYC]],Scores[[#This Row],[MATE]])</f>
        <v>493.5</v>
      </c>
      <c r="K1322">
        <f>VLOOKUP(Scores[[#This Row],[MRUN]],Demographics[],6,FALSE)</f>
        <v>0</v>
      </c>
      <c r="L1322">
        <f>VLOOKUP(Scores[[#This Row],[MRUN]],Demographics[], 7,FALSE)</f>
        <v>5</v>
      </c>
      <c r="M1322">
        <f>VLOOKUP(Scores[[#This Row],[MRUN]],Demographics[], 5, FALSE)</f>
        <v>1</v>
      </c>
    </row>
    <row r="1323" spans="1:13" hidden="1" x14ac:dyDescent="0.2">
      <c r="A1323" s="1">
        <v>2526544</v>
      </c>
      <c r="B1323">
        <v>2</v>
      </c>
      <c r="C1323">
        <v>3</v>
      </c>
      <c r="D1323">
        <v>620</v>
      </c>
      <c r="E1323">
        <v>629</v>
      </c>
      <c r="F1323">
        <v>568</v>
      </c>
      <c r="G1323">
        <v>677</v>
      </c>
      <c r="H1323">
        <v>549</v>
      </c>
      <c r="I1323">
        <f>VLOOKUP(Scores[[#This Row],[MRUN]],Demographics[],3,FALSE)</f>
        <v>4</v>
      </c>
      <c r="J1323">
        <f>AVERAGE(Scores[[#This Row],[LYC]],Scores[[#This Row],[MATE]])</f>
        <v>598.5</v>
      </c>
      <c r="K1323">
        <f>VLOOKUP(Scores[[#This Row],[MRUN]],Demographics[],6,FALSE)</f>
        <v>7</v>
      </c>
      <c r="L1323">
        <f>VLOOKUP(Scores[[#This Row],[MRUN]],Demographics[], 7,FALSE)</f>
        <v>9</v>
      </c>
      <c r="M1323">
        <f>VLOOKUP(Scores[[#This Row],[MRUN]],Demographics[], 5, FALSE)</f>
        <v>1</v>
      </c>
    </row>
    <row r="1324" spans="1:13" hidden="1" x14ac:dyDescent="0.2">
      <c r="A1324" s="1">
        <v>7433517</v>
      </c>
      <c r="B1324">
        <v>1</v>
      </c>
      <c r="C1324">
        <v>2</v>
      </c>
      <c r="D1324">
        <v>478</v>
      </c>
      <c r="E1324">
        <v>464</v>
      </c>
      <c r="F1324">
        <v>428</v>
      </c>
      <c r="G1324">
        <v>449</v>
      </c>
      <c r="H1324">
        <v>0</v>
      </c>
      <c r="I1324">
        <f>VLOOKUP(Scores[[#This Row],[MRUN]],Demographics[],3,FALSE)</f>
        <v>5</v>
      </c>
      <c r="J1324">
        <f>AVERAGE(Scores[[#This Row],[LYC]],Scores[[#This Row],[MATE]])</f>
        <v>446</v>
      </c>
      <c r="K1324">
        <f>VLOOKUP(Scores[[#This Row],[MRUN]],Demographics[],6,FALSE)</f>
        <v>2</v>
      </c>
      <c r="L1324">
        <f>VLOOKUP(Scores[[#This Row],[MRUN]],Demographics[], 7,FALSE)</f>
        <v>3</v>
      </c>
      <c r="M1324">
        <f>VLOOKUP(Scores[[#This Row],[MRUN]],Demographics[], 5, FALSE)</f>
        <v>1</v>
      </c>
    </row>
    <row r="1325" spans="1:13" hidden="1" x14ac:dyDescent="0.2">
      <c r="A1325" s="1">
        <v>14174579</v>
      </c>
      <c r="B1325">
        <v>1</v>
      </c>
      <c r="C1325">
        <v>2</v>
      </c>
      <c r="D1325">
        <v>620</v>
      </c>
      <c r="E1325">
        <v>499</v>
      </c>
      <c r="F1325">
        <v>560</v>
      </c>
      <c r="G1325">
        <v>547</v>
      </c>
      <c r="H1325">
        <v>0</v>
      </c>
      <c r="I1325">
        <f>VLOOKUP(Scores[[#This Row],[MRUN]],Demographics[],3,FALSE)</f>
        <v>0</v>
      </c>
      <c r="J1325">
        <f>AVERAGE(Scores[[#This Row],[LYC]],Scores[[#This Row],[MATE]])</f>
        <v>529.5</v>
      </c>
      <c r="K1325">
        <f>VLOOKUP(Scores[[#This Row],[MRUN]],Demographics[],6,FALSE)</f>
        <v>0</v>
      </c>
      <c r="L1325">
        <f>VLOOKUP(Scores[[#This Row],[MRUN]],Demographics[], 7,FALSE)</f>
        <v>0</v>
      </c>
      <c r="M1325">
        <f>VLOOKUP(Scores[[#This Row],[MRUN]],Demographics[], 5, FALSE)</f>
        <v>1</v>
      </c>
    </row>
    <row r="1326" spans="1:13" hidden="1" x14ac:dyDescent="0.2">
      <c r="A1326" s="1">
        <v>22820531</v>
      </c>
      <c r="B1326">
        <v>2</v>
      </c>
      <c r="C1326">
        <v>2</v>
      </c>
      <c r="D1326">
        <v>599</v>
      </c>
      <c r="E1326">
        <v>406</v>
      </c>
      <c r="F1326">
        <v>506</v>
      </c>
      <c r="G1326">
        <v>0</v>
      </c>
      <c r="H1326">
        <v>475</v>
      </c>
      <c r="I1326">
        <f>VLOOKUP(Scores[[#This Row],[MRUN]],Demographics[],3,FALSE)</f>
        <v>4</v>
      </c>
      <c r="J1326">
        <f>AVERAGE(Scores[[#This Row],[LYC]],Scores[[#This Row],[MATE]])</f>
        <v>456</v>
      </c>
      <c r="K1326">
        <f>VLOOKUP(Scores[[#This Row],[MRUN]],Demographics[],6,FALSE)</f>
        <v>3</v>
      </c>
      <c r="L1326">
        <f>VLOOKUP(Scores[[#This Row],[MRUN]],Demographics[], 7,FALSE)</f>
        <v>5</v>
      </c>
      <c r="M1326">
        <f>VLOOKUP(Scores[[#This Row],[MRUN]],Demographics[], 5, FALSE)</f>
        <v>1</v>
      </c>
    </row>
    <row r="1327" spans="1:13" hidden="1" x14ac:dyDescent="0.2">
      <c r="A1327" s="1">
        <v>2092978</v>
      </c>
      <c r="B1327">
        <v>2</v>
      </c>
      <c r="C1327">
        <v>2</v>
      </c>
      <c r="D1327">
        <v>560</v>
      </c>
      <c r="E1327">
        <v>476</v>
      </c>
      <c r="F1327">
        <v>512</v>
      </c>
      <c r="G1327">
        <v>512</v>
      </c>
      <c r="H1327">
        <v>0</v>
      </c>
      <c r="I1327">
        <f>VLOOKUP(Scores[[#This Row],[MRUN]],Demographics[],3,FALSE)</f>
        <v>4</v>
      </c>
      <c r="J1327">
        <f>AVERAGE(Scores[[#This Row],[LYC]],Scores[[#This Row],[MATE]])</f>
        <v>494</v>
      </c>
      <c r="K1327">
        <f>VLOOKUP(Scores[[#This Row],[MRUN]],Demographics[],6,FALSE)</f>
        <v>2</v>
      </c>
      <c r="L1327">
        <f>VLOOKUP(Scores[[#This Row],[MRUN]],Demographics[], 7,FALSE)</f>
        <v>2</v>
      </c>
      <c r="M1327">
        <f>VLOOKUP(Scores[[#This Row],[MRUN]],Demographics[], 5, FALSE)</f>
        <v>1</v>
      </c>
    </row>
    <row r="1328" spans="1:13" hidden="1" x14ac:dyDescent="0.2">
      <c r="A1328" s="1">
        <v>17046442</v>
      </c>
      <c r="B1328">
        <v>2</v>
      </c>
      <c r="C1328">
        <v>2</v>
      </c>
      <c r="D1328">
        <v>764</v>
      </c>
      <c r="E1328">
        <v>602</v>
      </c>
      <c r="F1328">
        <v>603</v>
      </c>
      <c r="G1328">
        <v>670</v>
      </c>
      <c r="H1328">
        <v>0</v>
      </c>
      <c r="I1328">
        <f>VLOOKUP(Scores[[#This Row],[MRUN]],Demographics[],3,FALSE)</f>
        <v>0</v>
      </c>
      <c r="J1328">
        <f>AVERAGE(Scores[[#This Row],[LYC]],Scores[[#This Row],[MATE]])</f>
        <v>602.5</v>
      </c>
      <c r="K1328">
        <f>VLOOKUP(Scores[[#This Row],[MRUN]],Demographics[],6,FALSE)</f>
        <v>10</v>
      </c>
      <c r="L1328">
        <f>VLOOKUP(Scores[[#This Row],[MRUN]],Demographics[], 7,FALSE)</f>
        <v>5</v>
      </c>
      <c r="M1328">
        <f>VLOOKUP(Scores[[#This Row],[MRUN]],Demographics[], 5, FALSE)</f>
        <v>1</v>
      </c>
    </row>
    <row r="1329" spans="1:13" hidden="1" x14ac:dyDescent="0.2">
      <c r="A1329" s="1">
        <v>3595118</v>
      </c>
      <c r="B1329">
        <v>2</v>
      </c>
      <c r="C1329">
        <v>2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f>VLOOKUP(Scores[[#This Row],[MRUN]],Demographics[],3,FALSE)</f>
        <v>4</v>
      </c>
      <c r="J1329">
        <f>AVERAGE(Scores[[#This Row],[LYC]],Scores[[#This Row],[MATE]])</f>
        <v>0</v>
      </c>
      <c r="K1329">
        <f>VLOOKUP(Scores[[#This Row],[MRUN]],Demographics[],6,FALSE)</f>
        <v>3</v>
      </c>
      <c r="L1329">
        <f>VLOOKUP(Scores[[#This Row],[MRUN]],Demographics[], 7,FALSE)</f>
        <v>4</v>
      </c>
      <c r="M1329">
        <f>VLOOKUP(Scores[[#This Row],[MRUN]],Demographics[], 5, FALSE)</f>
        <v>1</v>
      </c>
    </row>
    <row r="1330" spans="1:13" hidden="1" x14ac:dyDescent="0.2">
      <c r="A1330" s="1">
        <v>23455343</v>
      </c>
      <c r="B1330">
        <v>1</v>
      </c>
      <c r="C1330">
        <v>3</v>
      </c>
      <c r="D1330">
        <v>499</v>
      </c>
      <c r="E1330">
        <v>0</v>
      </c>
      <c r="F1330">
        <v>0</v>
      </c>
      <c r="G1330">
        <v>0</v>
      </c>
      <c r="H1330">
        <v>0</v>
      </c>
      <c r="I1330">
        <f>VLOOKUP(Scores[[#This Row],[MRUN]],Demographics[],3,FALSE)</f>
        <v>0</v>
      </c>
      <c r="J1330">
        <f>AVERAGE(Scores[[#This Row],[LYC]],Scores[[#This Row],[MATE]])</f>
        <v>0</v>
      </c>
      <c r="K1330">
        <f>VLOOKUP(Scores[[#This Row],[MRUN]],Demographics[],6,FALSE)</f>
        <v>0</v>
      </c>
      <c r="L1330">
        <f>VLOOKUP(Scores[[#This Row],[MRUN]],Demographics[], 7,FALSE)</f>
        <v>0</v>
      </c>
      <c r="M1330">
        <f>VLOOKUP(Scores[[#This Row],[MRUN]],Demographics[], 5, FALSE)</f>
        <v>2</v>
      </c>
    </row>
    <row r="1331" spans="1:13" hidden="1" x14ac:dyDescent="0.2">
      <c r="A1331" s="1">
        <v>5297842</v>
      </c>
      <c r="B1331">
        <v>1</v>
      </c>
      <c r="C1331">
        <v>2</v>
      </c>
      <c r="D1331">
        <v>519</v>
      </c>
      <c r="E1331">
        <v>488</v>
      </c>
      <c r="F1331">
        <v>501</v>
      </c>
      <c r="G1331">
        <v>479</v>
      </c>
      <c r="H1331">
        <v>0</v>
      </c>
      <c r="I1331">
        <f>VLOOKUP(Scores[[#This Row],[MRUN]],Demographics[],3,FALSE)</f>
        <v>4</v>
      </c>
      <c r="J1331">
        <f>AVERAGE(Scores[[#This Row],[LYC]],Scores[[#This Row],[MATE]])</f>
        <v>494.5</v>
      </c>
      <c r="K1331">
        <f>VLOOKUP(Scores[[#This Row],[MRUN]],Demographics[],6,FALSE)</f>
        <v>5</v>
      </c>
      <c r="L1331">
        <f>VLOOKUP(Scores[[#This Row],[MRUN]],Demographics[], 7,FALSE)</f>
        <v>3</v>
      </c>
      <c r="M1331">
        <f>VLOOKUP(Scores[[#This Row],[MRUN]],Demographics[], 5, FALSE)</f>
        <v>1</v>
      </c>
    </row>
    <row r="1332" spans="1:13" hidden="1" x14ac:dyDescent="0.2">
      <c r="A1332" s="1">
        <v>1992082</v>
      </c>
      <c r="B1332">
        <v>2</v>
      </c>
      <c r="C1332">
        <v>2</v>
      </c>
      <c r="D1332">
        <v>558</v>
      </c>
      <c r="E1332">
        <v>388</v>
      </c>
      <c r="F1332">
        <v>395</v>
      </c>
      <c r="G1332">
        <v>0</v>
      </c>
      <c r="H1332">
        <v>361</v>
      </c>
      <c r="I1332">
        <f>VLOOKUP(Scores[[#This Row],[MRUN]],Demographics[],3,FALSE)</f>
        <v>6</v>
      </c>
      <c r="J1332">
        <f>AVERAGE(Scores[[#This Row],[LYC]],Scores[[#This Row],[MATE]])</f>
        <v>391.5</v>
      </c>
      <c r="K1332">
        <f>VLOOKUP(Scores[[#This Row],[MRUN]],Demographics[],6,FALSE)</f>
        <v>5</v>
      </c>
      <c r="L1332">
        <f>VLOOKUP(Scores[[#This Row],[MRUN]],Demographics[], 7,FALSE)</f>
        <v>5</v>
      </c>
      <c r="M1332">
        <f>VLOOKUP(Scores[[#This Row],[MRUN]],Demographics[], 5, FALSE)</f>
        <v>1</v>
      </c>
    </row>
    <row r="1333" spans="1:13" hidden="1" x14ac:dyDescent="0.2">
      <c r="A1333" s="1">
        <v>24956363</v>
      </c>
      <c r="B1333">
        <v>2</v>
      </c>
      <c r="C1333">
        <v>3</v>
      </c>
      <c r="D1333">
        <v>560</v>
      </c>
      <c r="E1333">
        <v>471</v>
      </c>
      <c r="F1333">
        <v>452</v>
      </c>
      <c r="G1333">
        <v>388</v>
      </c>
      <c r="H1333">
        <v>417</v>
      </c>
      <c r="I1333">
        <f>VLOOKUP(Scores[[#This Row],[MRUN]],Demographics[],3,FALSE)</f>
        <v>4</v>
      </c>
      <c r="J1333">
        <f>AVERAGE(Scores[[#This Row],[LYC]],Scores[[#This Row],[MATE]])</f>
        <v>461.5</v>
      </c>
      <c r="K1333">
        <f>VLOOKUP(Scores[[#This Row],[MRUN]],Demographics[],6,FALSE)</f>
        <v>5</v>
      </c>
      <c r="L1333">
        <f>VLOOKUP(Scores[[#This Row],[MRUN]],Demographics[], 7,FALSE)</f>
        <v>5</v>
      </c>
      <c r="M1333">
        <f>VLOOKUP(Scores[[#This Row],[MRUN]],Demographics[], 5, FALSE)</f>
        <v>1</v>
      </c>
    </row>
    <row r="1334" spans="1:13" hidden="1" x14ac:dyDescent="0.2">
      <c r="A1334" s="1">
        <v>13858235</v>
      </c>
      <c r="B1334">
        <v>1</v>
      </c>
      <c r="C1334">
        <v>3</v>
      </c>
      <c r="D1334">
        <v>460</v>
      </c>
      <c r="E1334">
        <v>345</v>
      </c>
      <c r="F1334">
        <v>395</v>
      </c>
      <c r="G1334">
        <v>320</v>
      </c>
      <c r="H1334">
        <v>0</v>
      </c>
      <c r="I1334">
        <f>VLOOKUP(Scores[[#This Row],[MRUN]],Demographics[],3,FALSE)</f>
        <v>5</v>
      </c>
      <c r="J1334">
        <f>AVERAGE(Scores[[#This Row],[LYC]],Scores[[#This Row],[MATE]])</f>
        <v>370</v>
      </c>
      <c r="K1334">
        <f>VLOOKUP(Scores[[#This Row],[MRUN]],Demographics[],6,FALSE)</f>
        <v>4</v>
      </c>
      <c r="L1334">
        <f>VLOOKUP(Scores[[#This Row],[MRUN]],Demographics[], 7,FALSE)</f>
        <v>2</v>
      </c>
      <c r="M1334">
        <f>VLOOKUP(Scores[[#This Row],[MRUN]],Demographics[], 5, FALSE)</f>
        <v>2</v>
      </c>
    </row>
    <row r="1335" spans="1:13" hidden="1" x14ac:dyDescent="0.2">
      <c r="A1335" s="1">
        <v>21576929</v>
      </c>
      <c r="B1335">
        <v>2</v>
      </c>
      <c r="C1335">
        <v>2</v>
      </c>
      <c r="D1335">
        <v>599</v>
      </c>
      <c r="E1335">
        <v>471</v>
      </c>
      <c r="F1335">
        <v>376</v>
      </c>
      <c r="G1335">
        <v>0</v>
      </c>
      <c r="H1335">
        <v>428</v>
      </c>
      <c r="I1335">
        <f>VLOOKUP(Scores[[#This Row],[MRUN]],Demographics[],3,FALSE)</f>
        <v>7</v>
      </c>
      <c r="J1335">
        <f>AVERAGE(Scores[[#This Row],[LYC]],Scores[[#This Row],[MATE]])</f>
        <v>423.5</v>
      </c>
      <c r="K1335">
        <f>VLOOKUP(Scores[[#This Row],[MRUN]],Demographics[],6,FALSE)</f>
        <v>2</v>
      </c>
      <c r="L1335">
        <f>VLOOKUP(Scores[[#This Row],[MRUN]],Demographics[], 7,FALSE)</f>
        <v>4</v>
      </c>
      <c r="M1335">
        <f>VLOOKUP(Scores[[#This Row],[MRUN]],Demographics[], 5, FALSE)</f>
        <v>2</v>
      </c>
    </row>
    <row r="1336" spans="1:13" hidden="1" x14ac:dyDescent="0.2">
      <c r="A1336" s="1">
        <v>2792987</v>
      </c>
      <c r="B1336">
        <v>1</v>
      </c>
      <c r="C1336">
        <v>2</v>
      </c>
      <c r="D1336">
        <v>621</v>
      </c>
      <c r="E1336">
        <v>561</v>
      </c>
      <c r="F1336">
        <v>589</v>
      </c>
      <c r="G1336">
        <v>552</v>
      </c>
      <c r="H1336">
        <v>497</v>
      </c>
      <c r="I1336">
        <f>VLOOKUP(Scores[[#This Row],[MRUN]],Demographics[],3,FALSE)</f>
        <v>5</v>
      </c>
      <c r="J1336">
        <f>AVERAGE(Scores[[#This Row],[LYC]],Scores[[#This Row],[MATE]])</f>
        <v>575</v>
      </c>
      <c r="K1336">
        <f>VLOOKUP(Scores[[#This Row],[MRUN]],Demographics[],6,FALSE)</f>
        <v>3</v>
      </c>
      <c r="L1336">
        <f>VLOOKUP(Scores[[#This Row],[MRUN]],Demographics[], 7,FALSE)</f>
        <v>3</v>
      </c>
      <c r="M1336">
        <f>VLOOKUP(Scores[[#This Row],[MRUN]],Demographics[], 5, FALSE)</f>
        <v>1</v>
      </c>
    </row>
    <row r="1337" spans="1:13" hidden="1" x14ac:dyDescent="0.2">
      <c r="A1337" s="1">
        <v>22799315</v>
      </c>
      <c r="B1337">
        <v>2</v>
      </c>
      <c r="C1337">
        <v>2</v>
      </c>
      <c r="D1337">
        <v>517</v>
      </c>
      <c r="E1337">
        <v>561</v>
      </c>
      <c r="F1337">
        <v>557</v>
      </c>
      <c r="G1337">
        <v>527</v>
      </c>
      <c r="H1337">
        <v>528</v>
      </c>
      <c r="I1337">
        <f>VLOOKUP(Scores[[#This Row],[MRUN]],Demographics[],3,FALSE)</f>
        <v>3</v>
      </c>
      <c r="J1337">
        <f>AVERAGE(Scores[[#This Row],[LYC]],Scores[[#This Row],[MATE]])</f>
        <v>559</v>
      </c>
      <c r="K1337">
        <f>VLOOKUP(Scores[[#This Row],[MRUN]],Demographics[],6,FALSE)</f>
        <v>7</v>
      </c>
      <c r="L1337">
        <f>VLOOKUP(Scores[[#This Row],[MRUN]],Demographics[], 7,FALSE)</f>
        <v>7</v>
      </c>
      <c r="M1337">
        <f>VLOOKUP(Scores[[#This Row],[MRUN]],Demographics[], 5, FALSE)</f>
        <v>1</v>
      </c>
    </row>
    <row r="1338" spans="1:13" hidden="1" x14ac:dyDescent="0.2">
      <c r="A1338" s="1">
        <v>6878597</v>
      </c>
      <c r="B1338">
        <v>1</v>
      </c>
      <c r="C1338">
        <v>2</v>
      </c>
      <c r="D1338">
        <v>599</v>
      </c>
      <c r="E1338">
        <v>499</v>
      </c>
      <c r="F1338">
        <v>564</v>
      </c>
      <c r="G1338">
        <v>461</v>
      </c>
      <c r="H1338">
        <v>428</v>
      </c>
      <c r="I1338">
        <f>VLOOKUP(Scores[[#This Row],[MRUN]],Demographics[],3,FALSE)</f>
        <v>6</v>
      </c>
      <c r="J1338">
        <f>AVERAGE(Scores[[#This Row],[LYC]],Scores[[#This Row],[MATE]])</f>
        <v>531.5</v>
      </c>
      <c r="K1338">
        <f>VLOOKUP(Scores[[#This Row],[MRUN]],Demographics[],6,FALSE)</f>
        <v>4</v>
      </c>
      <c r="L1338">
        <f>VLOOKUP(Scores[[#This Row],[MRUN]],Demographics[], 7,FALSE)</f>
        <v>4</v>
      </c>
      <c r="M1338">
        <f>VLOOKUP(Scores[[#This Row],[MRUN]],Demographics[], 5, FALSE)</f>
        <v>2</v>
      </c>
    </row>
    <row r="1339" spans="1:13" hidden="1" x14ac:dyDescent="0.2">
      <c r="A1339" s="1">
        <v>5001888</v>
      </c>
      <c r="B1339">
        <v>2</v>
      </c>
      <c r="C1339">
        <v>3</v>
      </c>
      <c r="D1339">
        <v>397</v>
      </c>
      <c r="E1339">
        <v>444</v>
      </c>
      <c r="F1339">
        <v>376</v>
      </c>
      <c r="G1339">
        <v>0</v>
      </c>
      <c r="H1339">
        <v>404</v>
      </c>
      <c r="I1339">
        <f>VLOOKUP(Scores[[#This Row],[MRUN]],Demographics[],3,FALSE)</f>
        <v>5</v>
      </c>
      <c r="J1339">
        <f>AVERAGE(Scores[[#This Row],[LYC]],Scores[[#This Row],[MATE]])</f>
        <v>410</v>
      </c>
      <c r="K1339">
        <f>VLOOKUP(Scores[[#This Row],[MRUN]],Demographics[],6,FALSE)</f>
        <v>5</v>
      </c>
      <c r="L1339">
        <f>VLOOKUP(Scores[[#This Row],[MRUN]],Demographics[], 7,FALSE)</f>
        <v>4</v>
      </c>
      <c r="M1339">
        <f>VLOOKUP(Scores[[#This Row],[MRUN]],Demographics[], 5, FALSE)</f>
        <v>1</v>
      </c>
    </row>
    <row r="1340" spans="1:13" hidden="1" x14ac:dyDescent="0.2">
      <c r="A1340" s="1">
        <v>24208725</v>
      </c>
      <c r="B1340">
        <v>1</v>
      </c>
      <c r="C1340">
        <v>4</v>
      </c>
      <c r="D1340">
        <v>702</v>
      </c>
      <c r="E1340">
        <v>675</v>
      </c>
      <c r="F1340">
        <v>763</v>
      </c>
      <c r="G1340">
        <v>0</v>
      </c>
      <c r="H1340">
        <v>686</v>
      </c>
      <c r="I1340">
        <f>VLOOKUP(Scores[[#This Row],[MRUN]],Demographics[],3,FALSE)</f>
        <v>5</v>
      </c>
      <c r="J1340">
        <f>AVERAGE(Scores[[#This Row],[LYC]],Scores[[#This Row],[MATE]])</f>
        <v>719</v>
      </c>
      <c r="K1340">
        <f>VLOOKUP(Scores[[#This Row],[MRUN]],Demographics[],6,FALSE)</f>
        <v>5</v>
      </c>
      <c r="L1340">
        <f>VLOOKUP(Scores[[#This Row],[MRUN]],Demographics[], 7,FALSE)</f>
        <v>9</v>
      </c>
      <c r="M1340">
        <f>VLOOKUP(Scores[[#This Row],[MRUN]],Demographics[], 5, FALSE)</f>
        <v>3</v>
      </c>
    </row>
    <row r="1341" spans="1:13" hidden="1" x14ac:dyDescent="0.2">
      <c r="A1341" s="1">
        <v>1259383</v>
      </c>
      <c r="B1341">
        <v>2</v>
      </c>
      <c r="C1341">
        <v>2</v>
      </c>
      <c r="D1341">
        <v>496</v>
      </c>
      <c r="E1341">
        <v>438</v>
      </c>
      <c r="F1341">
        <v>428</v>
      </c>
      <c r="G1341">
        <v>484</v>
      </c>
      <c r="H1341">
        <v>0</v>
      </c>
      <c r="I1341">
        <f>VLOOKUP(Scores[[#This Row],[MRUN]],Demographics[],3,FALSE)</f>
        <v>5</v>
      </c>
      <c r="J1341">
        <f>AVERAGE(Scores[[#This Row],[LYC]],Scores[[#This Row],[MATE]])</f>
        <v>433</v>
      </c>
      <c r="K1341">
        <f>VLOOKUP(Scores[[#This Row],[MRUN]],Demographics[],6,FALSE)</f>
        <v>7</v>
      </c>
      <c r="L1341">
        <f>VLOOKUP(Scores[[#This Row],[MRUN]],Demographics[], 7,FALSE)</f>
        <v>7</v>
      </c>
      <c r="M1341">
        <f>VLOOKUP(Scores[[#This Row],[MRUN]],Demographics[], 5, FALSE)</f>
        <v>1</v>
      </c>
    </row>
    <row r="1342" spans="1:13" hidden="1" x14ac:dyDescent="0.2">
      <c r="A1342" s="1">
        <v>671533</v>
      </c>
      <c r="B1342">
        <v>1</v>
      </c>
      <c r="C1342">
        <v>2</v>
      </c>
      <c r="D1342">
        <v>620</v>
      </c>
      <c r="E1342">
        <v>576</v>
      </c>
      <c r="F1342">
        <v>628</v>
      </c>
      <c r="G1342">
        <v>0</v>
      </c>
      <c r="H1342">
        <v>598</v>
      </c>
      <c r="I1342">
        <f>VLOOKUP(Scores[[#This Row],[MRUN]],Demographics[],3,FALSE)</f>
        <v>4</v>
      </c>
      <c r="J1342">
        <f>AVERAGE(Scores[[#This Row],[LYC]],Scores[[#This Row],[MATE]])</f>
        <v>602</v>
      </c>
      <c r="K1342">
        <f>VLOOKUP(Scores[[#This Row],[MRUN]],Demographics[],6,FALSE)</f>
        <v>9</v>
      </c>
      <c r="L1342">
        <f>VLOOKUP(Scores[[#This Row],[MRUN]],Demographics[], 7,FALSE)</f>
        <v>9</v>
      </c>
      <c r="M1342">
        <f>VLOOKUP(Scores[[#This Row],[MRUN]],Demographics[], 5, FALSE)</f>
        <v>2</v>
      </c>
    </row>
    <row r="1343" spans="1:13" hidden="1" x14ac:dyDescent="0.2">
      <c r="A1343" s="1">
        <v>17097493</v>
      </c>
      <c r="B1343">
        <v>1</v>
      </c>
      <c r="C1343">
        <v>4</v>
      </c>
      <c r="D1343">
        <v>641</v>
      </c>
      <c r="E1343">
        <v>717</v>
      </c>
      <c r="F1343">
        <v>692</v>
      </c>
      <c r="G1343">
        <v>0</v>
      </c>
      <c r="H1343">
        <v>642</v>
      </c>
      <c r="I1343">
        <f>VLOOKUP(Scores[[#This Row],[MRUN]],Demographics[],3,FALSE)</f>
        <v>3</v>
      </c>
      <c r="J1343">
        <f>AVERAGE(Scores[[#This Row],[LYC]],Scores[[#This Row],[MATE]])</f>
        <v>704.5</v>
      </c>
      <c r="K1343">
        <f>VLOOKUP(Scores[[#This Row],[MRUN]],Demographics[],6,FALSE)</f>
        <v>0</v>
      </c>
      <c r="L1343">
        <f>VLOOKUP(Scores[[#This Row],[MRUN]],Demographics[], 7,FALSE)</f>
        <v>0</v>
      </c>
      <c r="M1343">
        <f>VLOOKUP(Scores[[#This Row],[MRUN]],Demographics[], 5, FALSE)</f>
        <v>5</v>
      </c>
    </row>
    <row r="1344" spans="1:13" hidden="1" x14ac:dyDescent="0.2">
      <c r="A1344" s="1">
        <v>18699270</v>
      </c>
      <c r="B1344">
        <v>1</v>
      </c>
      <c r="C1344">
        <v>4</v>
      </c>
      <c r="D1344">
        <v>455</v>
      </c>
      <c r="E1344">
        <v>547</v>
      </c>
      <c r="F1344">
        <v>609</v>
      </c>
      <c r="G1344">
        <v>0</v>
      </c>
      <c r="H1344">
        <v>598</v>
      </c>
      <c r="I1344">
        <f>VLOOKUP(Scores[[#This Row],[MRUN]],Demographics[],3,FALSE)</f>
        <v>6</v>
      </c>
      <c r="J1344">
        <f>AVERAGE(Scores[[#This Row],[LYC]],Scores[[#This Row],[MATE]])</f>
        <v>578</v>
      </c>
      <c r="K1344">
        <f>VLOOKUP(Scores[[#This Row],[MRUN]],Demographics[],6,FALSE)</f>
        <v>10</v>
      </c>
      <c r="L1344">
        <f>VLOOKUP(Scores[[#This Row],[MRUN]],Demographics[], 7,FALSE)</f>
        <v>9</v>
      </c>
      <c r="M1344">
        <f>VLOOKUP(Scores[[#This Row],[MRUN]],Demographics[], 5, FALSE)</f>
        <v>4</v>
      </c>
    </row>
    <row r="1345" spans="1:13" hidden="1" x14ac:dyDescent="0.2">
      <c r="A1345" s="1">
        <v>1006213</v>
      </c>
      <c r="B1345">
        <v>1</v>
      </c>
      <c r="C1345">
        <v>2</v>
      </c>
      <c r="D1345">
        <v>437</v>
      </c>
      <c r="E1345">
        <v>537</v>
      </c>
      <c r="F1345">
        <v>531</v>
      </c>
      <c r="G1345">
        <v>501</v>
      </c>
      <c r="H1345">
        <v>0</v>
      </c>
      <c r="I1345">
        <f>VLOOKUP(Scores[[#This Row],[MRUN]],Demographics[],3,FALSE)</f>
        <v>3</v>
      </c>
      <c r="J1345">
        <f>AVERAGE(Scores[[#This Row],[LYC]],Scores[[#This Row],[MATE]])</f>
        <v>534</v>
      </c>
      <c r="K1345">
        <f>VLOOKUP(Scores[[#This Row],[MRUN]],Demographics[],6,FALSE)</f>
        <v>5</v>
      </c>
      <c r="L1345">
        <f>VLOOKUP(Scores[[#This Row],[MRUN]],Demographics[], 7,FALSE)</f>
        <v>4</v>
      </c>
      <c r="M1345">
        <f>VLOOKUP(Scores[[#This Row],[MRUN]],Demographics[], 5, FALSE)</f>
        <v>1</v>
      </c>
    </row>
    <row r="1346" spans="1:13" hidden="1" x14ac:dyDescent="0.2">
      <c r="A1346" s="1">
        <v>14588977</v>
      </c>
      <c r="B1346">
        <v>1</v>
      </c>
      <c r="C1346">
        <v>4</v>
      </c>
      <c r="D1346">
        <v>558</v>
      </c>
      <c r="E1346">
        <v>641</v>
      </c>
      <c r="F1346">
        <v>728</v>
      </c>
      <c r="G1346">
        <v>0</v>
      </c>
      <c r="H1346">
        <v>715</v>
      </c>
      <c r="I1346">
        <f>VLOOKUP(Scores[[#This Row],[MRUN]],Demographics[],3,FALSE)</f>
        <v>4</v>
      </c>
      <c r="J1346">
        <f>AVERAGE(Scores[[#This Row],[LYC]],Scores[[#This Row],[MATE]])</f>
        <v>684.5</v>
      </c>
      <c r="K1346">
        <f>VLOOKUP(Scores[[#This Row],[MRUN]],Demographics[],6,FALSE)</f>
        <v>10</v>
      </c>
      <c r="L1346">
        <f>VLOOKUP(Scores[[#This Row],[MRUN]],Demographics[], 7,FALSE)</f>
        <v>9</v>
      </c>
      <c r="M1346">
        <f>VLOOKUP(Scores[[#This Row],[MRUN]],Demographics[], 5, FALSE)</f>
        <v>3</v>
      </c>
    </row>
    <row r="1347" spans="1:13" hidden="1" x14ac:dyDescent="0.2">
      <c r="A1347" s="1">
        <v>11918911</v>
      </c>
      <c r="B1347">
        <v>1</v>
      </c>
      <c r="C1347">
        <v>3</v>
      </c>
      <c r="D1347">
        <v>455</v>
      </c>
      <c r="E1347">
        <v>691</v>
      </c>
      <c r="F1347">
        <v>600</v>
      </c>
      <c r="G1347">
        <v>639</v>
      </c>
      <c r="H1347">
        <v>0</v>
      </c>
      <c r="I1347">
        <f>VLOOKUP(Scores[[#This Row],[MRUN]],Demographics[],3,FALSE)</f>
        <v>4</v>
      </c>
      <c r="J1347">
        <f>AVERAGE(Scores[[#This Row],[LYC]],Scores[[#This Row],[MATE]])</f>
        <v>645.5</v>
      </c>
      <c r="K1347">
        <f>VLOOKUP(Scores[[#This Row],[MRUN]],Demographics[],6,FALSE)</f>
        <v>10</v>
      </c>
      <c r="L1347">
        <f>VLOOKUP(Scores[[#This Row],[MRUN]],Demographics[], 7,FALSE)</f>
        <v>5</v>
      </c>
      <c r="M1347">
        <f>VLOOKUP(Scores[[#This Row],[MRUN]],Demographics[], 5, FALSE)</f>
        <v>2</v>
      </c>
    </row>
    <row r="1348" spans="1:13" hidden="1" x14ac:dyDescent="0.2">
      <c r="A1348" s="1">
        <v>8790021</v>
      </c>
      <c r="B1348">
        <v>2</v>
      </c>
      <c r="C1348">
        <v>4</v>
      </c>
      <c r="D1348">
        <v>682</v>
      </c>
      <c r="E1348">
        <v>675</v>
      </c>
      <c r="F1348">
        <v>750</v>
      </c>
      <c r="G1348">
        <v>0</v>
      </c>
      <c r="H1348">
        <v>655</v>
      </c>
      <c r="I1348">
        <f>VLOOKUP(Scores[[#This Row],[MRUN]],Demographics[],3,FALSE)</f>
        <v>7</v>
      </c>
      <c r="J1348">
        <f>AVERAGE(Scores[[#This Row],[LYC]],Scores[[#This Row],[MATE]])</f>
        <v>712.5</v>
      </c>
      <c r="K1348">
        <f>VLOOKUP(Scores[[#This Row],[MRUN]],Demographics[],6,FALSE)</f>
        <v>9</v>
      </c>
      <c r="L1348">
        <f>VLOOKUP(Scores[[#This Row],[MRUN]],Demographics[], 7,FALSE)</f>
        <v>9</v>
      </c>
      <c r="M1348">
        <f>VLOOKUP(Scores[[#This Row],[MRUN]],Demographics[], 5, FALSE)</f>
        <v>4</v>
      </c>
    </row>
    <row r="1349" spans="1:13" hidden="1" x14ac:dyDescent="0.2">
      <c r="A1349" s="1">
        <v>4346577</v>
      </c>
      <c r="B1349">
        <v>1</v>
      </c>
      <c r="C1349">
        <v>3</v>
      </c>
      <c r="D1349">
        <v>620</v>
      </c>
      <c r="E1349">
        <v>483</v>
      </c>
      <c r="F1349">
        <v>487</v>
      </c>
      <c r="G1349">
        <v>0</v>
      </c>
      <c r="H1349">
        <v>404</v>
      </c>
      <c r="I1349">
        <f>VLOOKUP(Scores[[#This Row],[MRUN]],Demographics[],3,FALSE)</f>
        <v>7</v>
      </c>
      <c r="J1349">
        <f>AVERAGE(Scores[[#This Row],[LYC]],Scores[[#This Row],[MATE]])</f>
        <v>485</v>
      </c>
      <c r="K1349">
        <f>VLOOKUP(Scores[[#This Row],[MRUN]],Demographics[],6,FALSE)</f>
        <v>7</v>
      </c>
      <c r="L1349">
        <f>VLOOKUP(Scores[[#This Row],[MRUN]],Demographics[], 7,FALSE)</f>
        <v>6</v>
      </c>
      <c r="M1349">
        <f>VLOOKUP(Scores[[#This Row],[MRUN]],Demographics[], 5, FALSE)</f>
        <v>2</v>
      </c>
    </row>
    <row r="1350" spans="1:13" hidden="1" x14ac:dyDescent="0.2">
      <c r="A1350" s="1">
        <v>6473504</v>
      </c>
      <c r="B1350">
        <v>2</v>
      </c>
      <c r="C1350">
        <v>2</v>
      </c>
      <c r="D1350">
        <v>538</v>
      </c>
      <c r="E1350">
        <v>499</v>
      </c>
      <c r="F1350">
        <v>480</v>
      </c>
      <c r="G1350">
        <v>586</v>
      </c>
      <c r="H1350">
        <v>391</v>
      </c>
      <c r="I1350">
        <f>VLOOKUP(Scores[[#This Row],[MRUN]],Demographics[],3,FALSE)</f>
        <v>5</v>
      </c>
      <c r="J1350">
        <f>AVERAGE(Scores[[#This Row],[LYC]],Scores[[#This Row],[MATE]])</f>
        <v>489.5</v>
      </c>
      <c r="K1350">
        <f>VLOOKUP(Scores[[#This Row],[MRUN]],Demographics[],6,FALSE)</f>
        <v>9</v>
      </c>
      <c r="L1350">
        <f>VLOOKUP(Scores[[#This Row],[MRUN]],Demographics[], 7,FALSE)</f>
        <v>10</v>
      </c>
      <c r="M1350">
        <f>VLOOKUP(Scores[[#This Row],[MRUN]],Demographics[], 5, FALSE)</f>
        <v>2</v>
      </c>
    </row>
    <row r="1351" spans="1:13" hidden="1" x14ac:dyDescent="0.2">
      <c r="A1351" s="1">
        <v>11542229</v>
      </c>
      <c r="B1351">
        <v>1</v>
      </c>
      <c r="C1351">
        <v>3</v>
      </c>
      <c r="D1351">
        <v>359</v>
      </c>
      <c r="E1351">
        <v>551</v>
      </c>
      <c r="F1351">
        <v>428</v>
      </c>
      <c r="G1351">
        <v>592</v>
      </c>
      <c r="H1351">
        <v>0</v>
      </c>
      <c r="I1351">
        <f>VLOOKUP(Scores[[#This Row],[MRUN]],Demographics[],3,FALSE)</f>
        <v>4</v>
      </c>
      <c r="J1351">
        <f>AVERAGE(Scores[[#This Row],[LYC]],Scores[[#This Row],[MATE]])</f>
        <v>489.5</v>
      </c>
      <c r="K1351">
        <f>VLOOKUP(Scores[[#This Row],[MRUN]],Demographics[],6,FALSE)</f>
        <v>3</v>
      </c>
      <c r="L1351">
        <f>VLOOKUP(Scores[[#This Row],[MRUN]],Demographics[], 7,FALSE)</f>
        <v>4</v>
      </c>
      <c r="M1351">
        <f>VLOOKUP(Scores[[#This Row],[MRUN]],Demographics[], 5, FALSE)</f>
        <v>1</v>
      </c>
    </row>
    <row r="1352" spans="1:13" hidden="1" x14ac:dyDescent="0.2">
      <c r="A1352" s="1">
        <v>18599961</v>
      </c>
      <c r="B1352">
        <v>2</v>
      </c>
      <c r="C1352">
        <v>2</v>
      </c>
      <c r="D1352">
        <v>455</v>
      </c>
      <c r="E1352">
        <v>430</v>
      </c>
      <c r="F1352">
        <v>300</v>
      </c>
      <c r="G1352">
        <v>484</v>
      </c>
      <c r="H1352">
        <v>0</v>
      </c>
      <c r="I1352">
        <f>VLOOKUP(Scores[[#This Row],[MRUN]],Demographics[],3,FALSE)</f>
        <v>4</v>
      </c>
      <c r="J1352">
        <f>AVERAGE(Scores[[#This Row],[LYC]],Scores[[#This Row],[MATE]])</f>
        <v>365</v>
      </c>
      <c r="K1352">
        <f>VLOOKUP(Scores[[#This Row],[MRUN]],Demographics[],6,FALSE)</f>
        <v>5</v>
      </c>
      <c r="L1352">
        <f>VLOOKUP(Scores[[#This Row],[MRUN]],Demographics[], 7,FALSE)</f>
        <v>3</v>
      </c>
      <c r="M1352">
        <f>VLOOKUP(Scores[[#This Row],[MRUN]],Demographics[], 5, FALSE)</f>
        <v>2</v>
      </c>
    </row>
    <row r="1353" spans="1:13" hidden="1" x14ac:dyDescent="0.2">
      <c r="A1353" s="1">
        <v>22428236</v>
      </c>
      <c r="B1353">
        <v>1</v>
      </c>
      <c r="C1353">
        <v>3</v>
      </c>
      <c r="D1353">
        <v>599</v>
      </c>
      <c r="E1353">
        <v>727</v>
      </c>
      <c r="F1353">
        <v>719</v>
      </c>
      <c r="G1353">
        <v>0</v>
      </c>
      <c r="H1353">
        <v>620</v>
      </c>
      <c r="I1353">
        <f>VLOOKUP(Scores[[#This Row],[MRUN]],Demographics[],3,FALSE)</f>
        <v>4</v>
      </c>
      <c r="J1353">
        <f>AVERAGE(Scores[[#This Row],[LYC]],Scores[[#This Row],[MATE]])</f>
        <v>723</v>
      </c>
      <c r="K1353">
        <f>VLOOKUP(Scores[[#This Row],[MRUN]],Demographics[],6,FALSE)</f>
        <v>0</v>
      </c>
      <c r="L1353">
        <f>VLOOKUP(Scores[[#This Row],[MRUN]],Demographics[], 7,FALSE)</f>
        <v>9</v>
      </c>
      <c r="M1353">
        <f>VLOOKUP(Scores[[#This Row],[MRUN]],Demographics[], 5, FALSE)</f>
        <v>2</v>
      </c>
    </row>
    <row r="1354" spans="1:13" hidden="1" x14ac:dyDescent="0.2">
      <c r="A1354" s="1">
        <v>9092745</v>
      </c>
      <c r="B1354">
        <v>2</v>
      </c>
      <c r="C1354">
        <v>2</v>
      </c>
      <c r="D1354">
        <v>723</v>
      </c>
      <c r="E1354">
        <v>551</v>
      </c>
      <c r="F1354">
        <v>571</v>
      </c>
      <c r="G1354">
        <v>552</v>
      </c>
      <c r="H1354">
        <v>534</v>
      </c>
      <c r="I1354">
        <f>VLOOKUP(Scores[[#This Row],[MRUN]],Demographics[],3,FALSE)</f>
        <v>4</v>
      </c>
      <c r="J1354">
        <f>AVERAGE(Scores[[#This Row],[LYC]],Scores[[#This Row],[MATE]])</f>
        <v>561</v>
      </c>
      <c r="K1354">
        <f>VLOOKUP(Scores[[#This Row],[MRUN]],Demographics[],6,FALSE)</f>
        <v>9</v>
      </c>
      <c r="L1354">
        <f>VLOOKUP(Scores[[#This Row],[MRUN]],Demographics[], 7,FALSE)</f>
        <v>8</v>
      </c>
      <c r="M1354">
        <f>VLOOKUP(Scores[[#This Row],[MRUN]],Demographics[], 5, FALSE)</f>
        <v>1</v>
      </c>
    </row>
    <row r="1355" spans="1:13" hidden="1" x14ac:dyDescent="0.2">
      <c r="A1355" s="1">
        <v>20222362</v>
      </c>
      <c r="B1355">
        <v>2</v>
      </c>
      <c r="C1355">
        <v>2</v>
      </c>
      <c r="D1355">
        <v>682</v>
      </c>
      <c r="E1355">
        <v>592</v>
      </c>
      <c r="F1355">
        <v>644</v>
      </c>
      <c r="G1355">
        <v>537</v>
      </c>
      <c r="H1355">
        <v>0</v>
      </c>
      <c r="I1355">
        <f>VLOOKUP(Scores[[#This Row],[MRUN]],Demographics[],3,FALSE)</f>
        <v>4</v>
      </c>
      <c r="J1355">
        <f>AVERAGE(Scores[[#This Row],[LYC]],Scores[[#This Row],[MATE]])</f>
        <v>618</v>
      </c>
      <c r="K1355">
        <f>VLOOKUP(Scores[[#This Row],[MRUN]],Demographics[],6,FALSE)</f>
        <v>9</v>
      </c>
      <c r="L1355">
        <f>VLOOKUP(Scores[[#This Row],[MRUN]],Demographics[], 7,FALSE)</f>
        <v>5</v>
      </c>
      <c r="M1355">
        <f>VLOOKUP(Scores[[#This Row],[MRUN]],Demographics[], 5, FALSE)</f>
        <v>2</v>
      </c>
    </row>
    <row r="1356" spans="1:13" hidden="1" x14ac:dyDescent="0.2">
      <c r="A1356" s="1">
        <v>9317252</v>
      </c>
      <c r="B1356">
        <v>1</v>
      </c>
      <c r="C1356">
        <v>2</v>
      </c>
      <c r="D1356">
        <v>538</v>
      </c>
      <c r="E1356">
        <v>388</v>
      </c>
      <c r="F1356">
        <v>441</v>
      </c>
      <c r="G1356">
        <v>0</v>
      </c>
      <c r="H1356">
        <v>376</v>
      </c>
      <c r="I1356">
        <f>VLOOKUP(Scores[[#This Row],[MRUN]],Demographics[],3,FALSE)</f>
        <v>5</v>
      </c>
      <c r="J1356">
        <f>AVERAGE(Scores[[#This Row],[LYC]],Scores[[#This Row],[MATE]])</f>
        <v>414.5</v>
      </c>
      <c r="K1356">
        <f>VLOOKUP(Scores[[#This Row],[MRUN]],Demographics[],6,FALSE)</f>
        <v>4</v>
      </c>
      <c r="L1356">
        <f>VLOOKUP(Scores[[#This Row],[MRUN]],Demographics[], 7,FALSE)</f>
        <v>4</v>
      </c>
      <c r="M1356">
        <f>VLOOKUP(Scores[[#This Row],[MRUN]],Demographics[], 5, FALSE)</f>
        <v>1</v>
      </c>
    </row>
    <row r="1357" spans="1:13" hidden="1" x14ac:dyDescent="0.2">
      <c r="A1357" s="1">
        <v>10714362</v>
      </c>
      <c r="B1357">
        <v>2</v>
      </c>
      <c r="C1357">
        <v>2</v>
      </c>
      <c r="D1357">
        <v>682</v>
      </c>
      <c r="E1357">
        <v>451</v>
      </c>
      <c r="F1357">
        <v>463</v>
      </c>
      <c r="G1357">
        <v>527</v>
      </c>
      <c r="H1357">
        <v>417</v>
      </c>
      <c r="I1357">
        <f>VLOOKUP(Scores[[#This Row],[MRUN]],Demographics[],3,FALSE)</f>
        <v>7</v>
      </c>
      <c r="J1357">
        <f>AVERAGE(Scores[[#This Row],[LYC]],Scores[[#This Row],[MATE]])</f>
        <v>457</v>
      </c>
      <c r="K1357">
        <f>VLOOKUP(Scores[[#This Row],[MRUN]],Demographics[],6,FALSE)</f>
        <v>5</v>
      </c>
      <c r="L1357">
        <f>VLOOKUP(Scores[[#This Row],[MRUN]],Demographics[], 7,FALSE)</f>
        <v>2</v>
      </c>
      <c r="M1357">
        <f>VLOOKUP(Scores[[#This Row],[MRUN]],Demographics[], 5, FALSE)</f>
        <v>1</v>
      </c>
    </row>
    <row r="1358" spans="1:13" hidden="1" x14ac:dyDescent="0.2">
      <c r="A1358" s="1">
        <v>15018577</v>
      </c>
      <c r="B1358">
        <v>1</v>
      </c>
      <c r="C1358">
        <v>2</v>
      </c>
      <c r="D1358">
        <v>417</v>
      </c>
      <c r="E1358">
        <v>438</v>
      </c>
      <c r="F1358">
        <v>376</v>
      </c>
      <c r="G1358">
        <v>512</v>
      </c>
      <c r="H1358">
        <v>0</v>
      </c>
      <c r="I1358">
        <f>VLOOKUP(Scores[[#This Row],[MRUN]],Demographics[],3,FALSE)</f>
        <v>3</v>
      </c>
      <c r="J1358">
        <f>AVERAGE(Scores[[#This Row],[LYC]],Scores[[#This Row],[MATE]])</f>
        <v>407</v>
      </c>
      <c r="K1358">
        <f>VLOOKUP(Scores[[#This Row],[MRUN]],Demographics[],6,FALSE)</f>
        <v>3</v>
      </c>
      <c r="L1358">
        <f>VLOOKUP(Scores[[#This Row],[MRUN]],Demographics[], 7,FALSE)</f>
        <v>2</v>
      </c>
      <c r="M1358">
        <f>VLOOKUP(Scores[[#This Row],[MRUN]],Demographics[], 5, FALSE)</f>
        <v>1</v>
      </c>
    </row>
    <row r="1359" spans="1:13" hidden="1" x14ac:dyDescent="0.2">
      <c r="A1359" s="1">
        <v>24921919</v>
      </c>
      <c r="B1359">
        <v>1</v>
      </c>
      <c r="C1359">
        <v>2</v>
      </c>
      <c r="D1359">
        <v>476</v>
      </c>
      <c r="E1359">
        <v>388</v>
      </c>
      <c r="F1359">
        <v>376</v>
      </c>
      <c r="G1359">
        <v>0</v>
      </c>
      <c r="H1359">
        <v>0</v>
      </c>
      <c r="I1359">
        <f>VLOOKUP(Scores[[#This Row],[MRUN]],Demographics[],3,FALSE)</f>
        <v>5</v>
      </c>
      <c r="J1359">
        <f>AVERAGE(Scores[[#This Row],[LYC]],Scores[[#This Row],[MATE]])</f>
        <v>382</v>
      </c>
      <c r="K1359">
        <f>VLOOKUP(Scores[[#This Row],[MRUN]],Demographics[],6,FALSE)</f>
        <v>5</v>
      </c>
      <c r="L1359">
        <f>VLOOKUP(Scores[[#This Row],[MRUN]],Demographics[], 7,FALSE)</f>
        <v>4</v>
      </c>
      <c r="M1359">
        <f>VLOOKUP(Scores[[#This Row],[MRUN]],Demographics[], 5, FALSE)</f>
        <v>1</v>
      </c>
    </row>
    <row r="1360" spans="1:13" hidden="1" x14ac:dyDescent="0.2">
      <c r="A1360" s="1">
        <v>22295613</v>
      </c>
      <c r="B1360">
        <v>2</v>
      </c>
      <c r="C1360">
        <v>3</v>
      </c>
      <c r="D1360">
        <v>393</v>
      </c>
      <c r="E1360">
        <v>464</v>
      </c>
      <c r="F1360">
        <v>527</v>
      </c>
      <c r="G1360">
        <v>0</v>
      </c>
      <c r="H1360">
        <v>523</v>
      </c>
      <c r="I1360">
        <f>VLOOKUP(Scores[[#This Row],[MRUN]],Demographics[],3,FALSE)</f>
        <v>4</v>
      </c>
      <c r="J1360">
        <f>AVERAGE(Scores[[#This Row],[LYC]],Scores[[#This Row],[MATE]])</f>
        <v>495.5</v>
      </c>
      <c r="K1360">
        <f>VLOOKUP(Scores[[#This Row],[MRUN]],Demographics[],6,FALSE)</f>
        <v>7</v>
      </c>
      <c r="L1360">
        <f>VLOOKUP(Scores[[#This Row],[MRUN]],Demographics[], 7,FALSE)</f>
        <v>8</v>
      </c>
      <c r="M1360">
        <f>VLOOKUP(Scores[[#This Row],[MRUN]],Demographics[], 5, FALSE)</f>
        <v>2</v>
      </c>
    </row>
    <row r="1361" spans="1:13" hidden="1" x14ac:dyDescent="0.2">
      <c r="A1361" s="1">
        <v>19961438</v>
      </c>
      <c r="B1361">
        <v>2</v>
      </c>
      <c r="C1361">
        <v>2</v>
      </c>
      <c r="D1361">
        <v>476</v>
      </c>
      <c r="E1361">
        <v>451</v>
      </c>
      <c r="F1361">
        <v>523</v>
      </c>
      <c r="G1361">
        <v>449</v>
      </c>
      <c r="H1361">
        <v>0</v>
      </c>
      <c r="I1361">
        <f>VLOOKUP(Scores[[#This Row],[MRUN]],Demographics[],3,FALSE)</f>
        <v>6</v>
      </c>
      <c r="J1361">
        <f>AVERAGE(Scores[[#This Row],[LYC]],Scores[[#This Row],[MATE]])</f>
        <v>487</v>
      </c>
      <c r="K1361">
        <f>VLOOKUP(Scores[[#This Row],[MRUN]],Demographics[],6,FALSE)</f>
        <v>5</v>
      </c>
      <c r="L1361">
        <f>VLOOKUP(Scores[[#This Row],[MRUN]],Demographics[], 7,FALSE)</f>
        <v>5</v>
      </c>
      <c r="M1361">
        <f>VLOOKUP(Scores[[#This Row],[MRUN]],Demographics[], 5, FALSE)</f>
        <v>2</v>
      </c>
    </row>
    <row r="1362" spans="1:13" hidden="1" x14ac:dyDescent="0.2">
      <c r="A1362" s="1">
        <v>3695847</v>
      </c>
      <c r="B1362">
        <v>2</v>
      </c>
      <c r="C1362">
        <v>3</v>
      </c>
      <c r="D1362">
        <v>620</v>
      </c>
      <c r="E1362">
        <v>526</v>
      </c>
      <c r="F1362">
        <v>560</v>
      </c>
      <c r="G1362">
        <v>490</v>
      </c>
      <c r="H1362">
        <v>0</v>
      </c>
      <c r="I1362">
        <f>VLOOKUP(Scores[[#This Row],[MRUN]],Demographics[],3,FALSE)</f>
        <v>3</v>
      </c>
      <c r="J1362">
        <f>AVERAGE(Scores[[#This Row],[LYC]],Scores[[#This Row],[MATE]])</f>
        <v>543</v>
      </c>
      <c r="K1362">
        <f>VLOOKUP(Scores[[#This Row],[MRUN]],Demographics[],6,FALSE)</f>
        <v>4</v>
      </c>
      <c r="L1362">
        <f>VLOOKUP(Scores[[#This Row],[MRUN]],Demographics[], 7,FALSE)</f>
        <v>4</v>
      </c>
      <c r="M1362">
        <f>VLOOKUP(Scores[[#This Row],[MRUN]],Demographics[], 5, FALSE)</f>
        <v>2</v>
      </c>
    </row>
    <row r="1363" spans="1:13" hidden="1" x14ac:dyDescent="0.2">
      <c r="A1363" s="1">
        <v>21767924</v>
      </c>
      <c r="B1363">
        <v>2</v>
      </c>
      <c r="C1363">
        <v>4</v>
      </c>
      <c r="D1363">
        <v>558</v>
      </c>
      <c r="E1363">
        <v>561</v>
      </c>
      <c r="F1363">
        <v>536</v>
      </c>
      <c r="G1363">
        <v>541</v>
      </c>
      <c r="H1363">
        <v>0</v>
      </c>
      <c r="I1363">
        <f>VLOOKUP(Scores[[#This Row],[MRUN]],Demographics[],3,FALSE)</f>
        <v>11</v>
      </c>
      <c r="J1363">
        <f>AVERAGE(Scores[[#This Row],[LYC]],Scores[[#This Row],[MATE]])</f>
        <v>548.5</v>
      </c>
      <c r="K1363">
        <f>VLOOKUP(Scores[[#This Row],[MRUN]],Demographics[],6,FALSE)</f>
        <v>8</v>
      </c>
      <c r="L1363">
        <f>VLOOKUP(Scores[[#This Row],[MRUN]],Demographics[], 7,FALSE)</f>
        <v>5</v>
      </c>
      <c r="M1363">
        <f>VLOOKUP(Scores[[#This Row],[MRUN]],Demographics[], 5, FALSE)</f>
        <v>6</v>
      </c>
    </row>
    <row r="1364" spans="1:13" hidden="1" x14ac:dyDescent="0.2">
      <c r="A1364" s="1">
        <v>24236545</v>
      </c>
      <c r="B1364">
        <v>2</v>
      </c>
      <c r="C1364">
        <v>2</v>
      </c>
      <c r="D1364">
        <v>517</v>
      </c>
      <c r="E1364">
        <v>675</v>
      </c>
      <c r="F1364">
        <v>531</v>
      </c>
      <c r="G1364">
        <v>634</v>
      </c>
      <c r="H1364">
        <v>0</v>
      </c>
      <c r="I1364">
        <f>VLOOKUP(Scores[[#This Row],[MRUN]],Demographics[],3,FALSE)</f>
        <v>4</v>
      </c>
      <c r="J1364">
        <f>AVERAGE(Scores[[#This Row],[LYC]],Scores[[#This Row],[MATE]])</f>
        <v>603</v>
      </c>
      <c r="K1364">
        <f>VLOOKUP(Scores[[#This Row],[MRUN]],Demographics[],6,FALSE)</f>
        <v>9</v>
      </c>
      <c r="L1364">
        <f>VLOOKUP(Scores[[#This Row],[MRUN]],Demographics[], 7,FALSE)</f>
        <v>9</v>
      </c>
      <c r="M1364">
        <f>VLOOKUP(Scores[[#This Row],[MRUN]],Demographics[], 5, FALSE)</f>
        <v>1</v>
      </c>
    </row>
    <row r="1365" spans="1:13" hidden="1" x14ac:dyDescent="0.2">
      <c r="A1365" s="1">
        <v>12588430</v>
      </c>
      <c r="B1365">
        <v>2</v>
      </c>
      <c r="C1365">
        <v>2</v>
      </c>
      <c r="D1365">
        <v>641</v>
      </c>
      <c r="E1365">
        <v>488</v>
      </c>
      <c r="F1365">
        <v>552</v>
      </c>
      <c r="G1365">
        <v>0</v>
      </c>
      <c r="H1365">
        <v>483</v>
      </c>
      <c r="I1365">
        <f>VLOOKUP(Scores[[#This Row],[MRUN]],Demographics[],3,FALSE)</f>
        <v>3</v>
      </c>
      <c r="J1365">
        <f>AVERAGE(Scores[[#This Row],[LYC]],Scores[[#This Row],[MATE]])</f>
        <v>520</v>
      </c>
      <c r="K1365">
        <f>VLOOKUP(Scores[[#This Row],[MRUN]],Demographics[],6,FALSE)</f>
        <v>9</v>
      </c>
      <c r="L1365">
        <f>VLOOKUP(Scores[[#This Row],[MRUN]],Demographics[], 7,FALSE)</f>
        <v>8</v>
      </c>
      <c r="M1365">
        <f>VLOOKUP(Scores[[#This Row],[MRUN]],Demographics[], 5, FALSE)</f>
        <v>1</v>
      </c>
    </row>
    <row r="1366" spans="1:13" hidden="1" x14ac:dyDescent="0.2">
      <c r="A1366" s="1">
        <v>11014412</v>
      </c>
      <c r="B1366">
        <v>1</v>
      </c>
      <c r="C1366">
        <v>2</v>
      </c>
      <c r="D1366">
        <v>560</v>
      </c>
      <c r="E1366">
        <v>0</v>
      </c>
      <c r="F1366">
        <v>0</v>
      </c>
      <c r="G1366">
        <v>0</v>
      </c>
      <c r="H1366">
        <v>0</v>
      </c>
      <c r="I1366">
        <f>VLOOKUP(Scores[[#This Row],[MRUN]],Demographics[],3,FALSE)</f>
        <v>5</v>
      </c>
      <c r="J1366">
        <f>AVERAGE(Scores[[#This Row],[LYC]],Scores[[#This Row],[MATE]])</f>
        <v>0</v>
      </c>
      <c r="K1366">
        <f>VLOOKUP(Scores[[#This Row],[MRUN]],Demographics[],6,FALSE)</f>
        <v>5</v>
      </c>
      <c r="L1366">
        <f>VLOOKUP(Scores[[#This Row],[MRUN]],Demographics[], 7,FALSE)</f>
        <v>5</v>
      </c>
      <c r="M1366">
        <f>VLOOKUP(Scores[[#This Row],[MRUN]],Demographics[], 5, FALSE)</f>
        <v>1</v>
      </c>
    </row>
    <row r="1367" spans="1:13" hidden="1" x14ac:dyDescent="0.2">
      <c r="A1367" s="1">
        <v>10963768</v>
      </c>
      <c r="B1367">
        <v>2</v>
      </c>
      <c r="C1367">
        <v>2</v>
      </c>
      <c r="D1367">
        <v>558</v>
      </c>
      <c r="E1367">
        <v>0</v>
      </c>
      <c r="F1367">
        <v>0</v>
      </c>
      <c r="G1367">
        <v>0</v>
      </c>
      <c r="H1367">
        <v>0</v>
      </c>
      <c r="I1367">
        <f>VLOOKUP(Scores[[#This Row],[MRUN]],Demographics[],3,FALSE)</f>
        <v>4</v>
      </c>
      <c r="J1367">
        <f>AVERAGE(Scores[[#This Row],[LYC]],Scores[[#This Row],[MATE]])</f>
        <v>0</v>
      </c>
      <c r="K1367">
        <f>VLOOKUP(Scores[[#This Row],[MRUN]],Demographics[],6,FALSE)</f>
        <v>4</v>
      </c>
      <c r="L1367">
        <f>VLOOKUP(Scores[[#This Row],[MRUN]],Demographics[], 7,FALSE)</f>
        <v>5</v>
      </c>
      <c r="M1367">
        <f>VLOOKUP(Scores[[#This Row],[MRUN]],Demographics[], 5, FALSE)</f>
        <v>1</v>
      </c>
    </row>
    <row r="1368" spans="1:13" hidden="1" x14ac:dyDescent="0.2">
      <c r="A1368" s="1">
        <v>10707243</v>
      </c>
      <c r="B1368">
        <v>1</v>
      </c>
      <c r="C1368">
        <v>2</v>
      </c>
      <c r="D1368">
        <v>455</v>
      </c>
      <c r="E1368">
        <v>521</v>
      </c>
      <c r="F1368">
        <v>472</v>
      </c>
      <c r="G1368">
        <v>527</v>
      </c>
      <c r="H1368">
        <v>0</v>
      </c>
      <c r="I1368">
        <f>VLOOKUP(Scores[[#This Row],[MRUN]],Demographics[],3,FALSE)</f>
        <v>6</v>
      </c>
      <c r="J1368">
        <f>AVERAGE(Scores[[#This Row],[LYC]],Scores[[#This Row],[MATE]])</f>
        <v>496.5</v>
      </c>
      <c r="K1368">
        <f>VLOOKUP(Scores[[#This Row],[MRUN]],Demographics[],6,FALSE)</f>
        <v>5</v>
      </c>
      <c r="L1368">
        <f>VLOOKUP(Scores[[#This Row],[MRUN]],Demographics[], 7,FALSE)</f>
        <v>4</v>
      </c>
      <c r="M1368">
        <f>VLOOKUP(Scores[[#This Row],[MRUN]],Demographics[], 5, FALSE)</f>
        <v>2</v>
      </c>
    </row>
    <row r="1369" spans="1:13" hidden="1" x14ac:dyDescent="0.2">
      <c r="A1369" s="1">
        <v>17217388</v>
      </c>
      <c r="B1369">
        <v>2</v>
      </c>
      <c r="C1369">
        <v>3</v>
      </c>
      <c r="D1369">
        <v>519</v>
      </c>
      <c r="E1369">
        <v>451</v>
      </c>
      <c r="F1369">
        <v>413</v>
      </c>
      <c r="G1369">
        <v>0</v>
      </c>
      <c r="H1369">
        <v>391</v>
      </c>
      <c r="I1369">
        <f>VLOOKUP(Scores[[#This Row],[MRUN]],Demographics[],3,FALSE)</f>
        <v>4</v>
      </c>
      <c r="J1369">
        <f>AVERAGE(Scores[[#This Row],[LYC]],Scores[[#This Row],[MATE]])</f>
        <v>432</v>
      </c>
      <c r="K1369">
        <f>VLOOKUP(Scores[[#This Row],[MRUN]],Demographics[],6,FALSE)</f>
        <v>0</v>
      </c>
      <c r="L1369">
        <f>VLOOKUP(Scores[[#This Row],[MRUN]],Demographics[], 7,FALSE)</f>
        <v>4</v>
      </c>
      <c r="M1369">
        <f>VLOOKUP(Scores[[#This Row],[MRUN]],Demographics[], 5, FALSE)</f>
        <v>1</v>
      </c>
    </row>
    <row r="1370" spans="1:13" hidden="1" x14ac:dyDescent="0.2">
      <c r="A1370" s="1">
        <v>12944944</v>
      </c>
      <c r="B1370">
        <v>2</v>
      </c>
      <c r="C1370">
        <v>3</v>
      </c>
      <c r="D1370">
        <v>519</v>
      </c>
      <c r="E1370">
        <v>505</v>
      </c>
      <c r="F1370">
        <v>353</v>
      </c>
      <c r="G1370">
        <v>552</v>
      </c>
      <c r="H1370">
        <v>0</v>
      </c>
      <c r="I1370">
        <f>VLOOKUP(Scores[[#This Row],[MRUN]],Demographics[],3,FALSE)</f>
        <v>3</v>
      </c>
      <c r="J1370">
        <f>AVERAGE(Scores[[#This Row],[LYC]],Scores[[#This Row],[MATE]])</f>
        <v>429</v>
      </c>
      <c r="K1370">
        <f>VLOOKUP(Scores[[#This Row],[MRUN]],Demographics[],6,FALSE)</f>
        <v>4</v>
      </c>
      <c r="L1370">
        <f>VLOOKUP(Scores[[#This Row],[MRUN]],Demographics[], 7,FALSE)</f>
        <v>5</v>
      </c>
      <c r="M1370">
        <f>VLOOKUP(Scores[[#This Row],[MRUN]],Demographics[], 5, FALSE)</f>
        <v>1</v>
      </c>
    </row>
    <row r="1371" spans="1:13" hidden="1" x14ac:dyDescent="0.2">
      <c r="A1371" s="1">
        <v>20854389</v>
      </c>
      <c r="B1371">
        <v>2</v>
      </c>
      <c r="C1371">
        <v>2</v>
      </c>
      <c r="D1371">
        <v>579</v>
      </c>
      <c r="E1371">
        <v>505</v>
      </c>
      <c r="F1371">
        <v>413</v>
      </c>
      <c r="G1371">
        <v>0</v>
      </c>
      <c r="H1371">
        <v>439</v>
      </c>
      <c r="I1371">
        <f>VLOOKUP(Scores[[#This Row],[MRUN]],Demographics[],3,FALSE)</f>
        <v>5</v>
      </c>
      <c r="J1371">
        <f>AVERAGE(Scores[[#This Row],[LYC]],Scores[[#This Row],[MATE]])</f>
        <v>459</v>
      </c>
      <c r="K1371">
        <f>VLOOKUP(Scores[[#This Row],[MRUN]],Demographics[],6,FALSE)</f>
        <v>5</v>
      </c>
      <c r="L1371">
        <f>VLOOKUP(Scores[[#This Row],[MRUN]],Demographics[], 7,FALSE)</f>
        <v>5</v>
      </c>
      <c r="M1371">
        <f>VLOOKUP(Scores[[#This Row],[MRUN]],Demographics[], 5, FALSE)</f>
        <v>1</v>
      </c>
    </row>
    <row r="1372" spans="1:13" hidden="1" x14ac:dyDescent="0.2">
      <c r="A1372" s="1">
        <v>8255471</v>
      </c>
      <c r="B1372">
        <v>2</v>
      </c>
      <c r="C1372">
        <v>3</v>
      </c>
      <c r="D1372">
        <v>417</v>
      </c>
      <c r="E1372">
        <v>244</v>
      </c>
      <c r="F1372">
        <v>219</v>
      </c>
      <c r="G1372">
        <v>0</v>
      </c>
      <c r="H1372">
        <v>0</v>
      </c>
      <c r="I1372">
        <f>VLOOKUP(Scores[[#This Row],[MRUN]],Demographics[],3,FALSE)</f>
        <v>5</v>
      </c>
      <c r="J1372">
        <f>AVERAGE(Scores[[#This Row],[LYC]],Scores[[#This Row],[MATE]])</f>
        <v>231.5</v>
      </c>
      <c r="K1372">
        <f>VLOOKUP(Scores[[#This Row],[MRUN]],Demographics[],6,FALSE)</f>
        <v>2</v>
      </c>
      <c r="L1372">
        <f>VLOOKUP(Scores[[#This Row],[MRUN]],Demographics[], 7,FALSE)</f>
        <v>2</v>
      </c>
      <c r="M1372">
        <f>VLOOKUP(Scores[[#This Row],[MRUN]],Demographics[], 5, FALSE)</f>
        <v>1</v>
      </c>
    </row>
    <row r="1373" spans="1:13" hidden="1" x14ac:dyDescent="0.2">
      <c r="A1373" s="1">
        <v>7721139</v>
      </c>
      <c r="B1373">
        <v>1</v>
      </c>
      <c r="C1373">
        <v>3</v>
      </c>
      <c r="D1373">
        <v>620</v>
      </c>
      <c r="E1373">
        <v>592</v>
      </c>
      <c r="F1373">
        <v>713</v>
      </c>
      <c r="G1373">
        <v>0</v>
      </c>
      <c r="H1373">
        <v>553</v>
      </c>
      <c r="I1373">
        <f>VLOOKUP(Scores[[#This Row],[MRUN]],Demographics[],3,FALSE)</f>
        <v>4</v>
      </c>
      <c r="J1373">
        <f>AVERAGE(Scores[[#This Row],[LYC]],Scores[[#This Row],[MATE]])</f>
        <v>652.5</v>
      </c>
      <c r="K1373">
        <f>VLOOKUP(Scores[[#This Row],[MRUN]],Demographics[],6,FALSE)</f>
        <v>5</v>
      </c>
      <c r="L1373">
        <f>VLOOKUP(Scores[[#This Row],[MRUN]],Demographics[], 7,FALSE)</f>
        <v>5</v>
      </c>
      <c r="M1373">
        <f>VLOOKUP(Scores[[#This Row],[MRUN]],Demographics[], 5, FALSE)</f>
        <v>2</v>
      </c>
    </row>
    <row r="1374" spans="1:13" hidden="1" x14ac:dyDescent="0.2">
      <c r="A1374" s="1">
        <v>7619934</v>
      </c>
      <c r="B1374">
        <v>2</v>
      </c>
      <c r="C1374">
        <v>2</v>
      </c>
      <c r="D1374">
        <v>621</v>
      </c>
      <c r="E1374">
        <v>415</v>
      </c>
      <c r="F1374">
        <v>328</v>
      </c>
      <c r="G1374">
        <v>370</v>
      </c>
      <c r="H1374">
        <v>0</v>
      </c>
      <c r="I1374">
        <f>VLOOKUP(Scores[[#This Row],[MRUN]],Demographics[],3,FALSE)</f>
        <v>4</v>
      </c>
      <c r="J1374">
        <f>AVERAGE(Scores[[#This Row],[LYC]],Scores[[#This Row],[MATE]])</f>
        <v>371.5</v>
      </c>
      <c r="K1374">
        <f>VLOOKUP(Scores[[#This Row],[MRUN]],Demographics[],6,FALSE)</f>
        <v>3</v>
      </c>
      <c r="L1374">
        <f>VLOOKUP(Scores[[#This Row],[MRUN]],Demographics[], 7,FALSE)</f>
        <v>5</v>
      </c>
      <c r="M1374">
        <f>VLOOKUP(Scores[[#This Row],[MRUN]],Demographics[], 5, FALSE)</f>
        <v>1</v>
      </c>
    </row>
    <row r="1375" spans="1:13" hidden="1" x14ac:dyDescent="0.2">
      <c r="A1375" s="1">
        <v>13595813</v>
      </c>
      <c r="B1375">
        <v>2</v>
      </c>
      <c r="C1375">
        <v>2</v>
      </c>
      <c r="D1375">
        <v>558</v>
      </c>
      <c r="E1375">
        <v>0</v>
      </c>
      <c r="F1375">
        <v>0</v>
      </c>
      <c r="G1375">
        <v>0</v>
      </c>
      <c r="H1375">
        <v>0</v>
      </c>
      <c r="I1375">
        <f>VLOOKUP(Scores[[#This Row],[MRUN]],Demographics[],3,FALSE)</f>
        <v>3</v>
      </c>
      <c r="J1375">
        <f>AVERAGE(Scores[[#This Row],[LYC]],Scores[[#This Row],[MATE]])</f>
        <v>0</v>
      </c>
      <c r="K1375">
        <f>VLOOKUP(Scores[[#This Row],[MRUN]],Demographics[],6,FALSE)</f>
        <v>3</v>
      </c>
      <c r="L1375">
        <f>VLOOKUP(Scores[[#This Row],[MRUN]],Demographics[], 7,FALSE)</f>
        <v>2</v>
      </c>
      <c r="M1375">
        <f>VLOOKUP(Scores[[#This Row],[MRUN]],Demographics[], 5, FALSE)</f>
        <v>1</v>
      </c>
    </row>
    <row r="1376" spans="1:13" hidden="1" x14ac:dyDescent="0.2">
      <c r="A1376" s="1">
        <v>142739</v>
      </c>
      <c r="B1376">
        <v>1</v>
      </c>
      <c r="C1376">
        <v>2</v>
      </c>
      <c r="D1376">
        <v>579</v>
      </c>
      <c r="E1376">
        <v>356</v>
      </c>
      <c r="F1376">
        <v>413</v>
      </c>
      <c r="G1376">
        <v>0</v>
      </c>
      <c r="H1376">
        <v>391</v>
      </c>
      <c r="I1376">
        <f>VLOOKUP(Scores[[#This Row],[MRUN]],Demographics[],3,FALSE)</f>
        <v>5</v>
      </c>
      <c r="J1376">
        <f>AVERAGE(Scores[[#This Row],[LYC]],Scores[[#This Row],[MATE]])</f>
        <v>384.5</v>
      </c>
      <c r="K1376">
        <f>VLOOKUP(Scores[[#This Row],[MRUN]],Demographics[],6,FALSE)</f>
        <v>5</v>
      </c>
      <c r="L1376">
        <f>VLOOKUP(Scores[[#This Row],[MRUN]],Demographics[], 7,FALSE)</f>
        <v>4</v>
      </c>
      <c r="M1376">
        <f>VLOOKUP(Scores[[#This Row],[MRUN]],Demographics[], 5, FALSE)</f>
        <v>2</v>
      </c>
    </row>
    <row r="1377" spans="1:13" hidden="1" x14ac:dyDescent="0.2">
      <c r="A1377" s="1">
        <v>24074320</v>
      </c>
      <c r="B1377">
        <v>2</v>
      </c>
      <c r="C1377">
        <v>3</v>
      </c>
      <c r="D1377">
        <v>682</v>
      </c>
      <c r="E1377">
        <v>510</v>
      </c>
      <c r="F1377">
        <v>512</v>
      </c>
      <c r="G1377">
        <v>582</v>
      </c>
      <c r="H1377">
        <v>0</v>
      </c>
      <c r="I1377">
        <f>VLOOKUP(Scores[[#This Row],[MRUN]],Demographics[],3,FALSE)</f>
        <v>5</v>
      </c>
      <c r="J1377">
        <f>AVERAGE(Scores[[#This Row],[LYC]],Scores[[#This Row],[MATE]])</f>
        <v>511</v>
      </c>
      <c r="K1377">
        <f>VLOOKUP(Scores[[#This Row],[MRUN]],Demographics[],6,FALSE)</f>
        <v>2</v>
      </c>
      <c r="L1377">
        <f>VLOOKUP(Scores[[#This Row],[MRUN]],Demographics[], 7,FALSE)</f>
        <v>2</v>
      </c>
      <c r="M1377">
        <f>VLOOKUP(Scores[[#This Row],[MRUN]],Demographics[], 5, FALSE)</f>
        <v>1</v>
      </c>
    </row>
    <row r="1378" spans="1:13" hidden="1" x14ac:dyDescent="0.2">
      <c r="A1378" s="1">
        <v>10290421</v>
      </c>
      <c r="B1378">
        <v>2</v>
      </c>
      <c r="C1378">
        <v>2</v>
      </c>
      <c r="D1378">
        <v>458</v>
      </c>
      <c r="E1378">
        <v>388</v>
      </c>
      <c r="F1378">
        <v>395</v>
      </c>
      <c r="G1378">
        <v>0</v>
      </c>
      <c r="H1378">
        <v>376</v>
      </c>
      <c r="I1378">
        <f>VLOOKUP(Scores[[#This Row],[MRUN]],Demographics[],3,FALSE)</f>
        <v>4</v>
      </c>
      <c r="J1378">
        <f>AVERAGE(Scores[[#This Row],[LYC]],Scores[[#This Row],[MATE]])</f>
        <v>391.5</v>
      </c>
      <c r="K1378">
        <f>VLOOKUP(Scores[[#This Row],[MRUN]],Demographics[],6,FALSE)</f>
        <v>3</v>
      </c>
      <c r="L1378">
        <f>VLOOKUP(Scores[[#This Row],[MRUN]],Demographics[], 7,FALSE)</f>
        <v>3</v>
      </c>
      <c r="M1378">
        <f>VLOOKUP(Scores[[#This Row],[MRUN]],Demographics[], 5, FALSE)</f>
        <v>1</v>
      </c>
    </row>
    <row r="1379" spans="1:13" hidden="1" x14ac:dyDescent="0.2">
      <c r="A1379" s="1">
        <v>8789463</v>
      </c>
      <c r="B1379">
        <v>1</v>
      </c>
      <c r="C1379">
        <v>3</v>
      </c>
      <c r="D1379">
        <v>417</v>
      </c>
      <c r="E1379">
        <v>333</v>
      </c>
      <c r="F1379">
        <v>413</v>
      </c>
      <c r="G1379">
        <v>414</v>
      </c>
      <c r="H1379">
        <v>361</v>
      </c>
      <c r="I1379">
        <f>VLOOKUP(Scores[[#This Row],[MRUN]],Demographics[],3,FALSE)</f>
        <v>2</v>
      </c>
      <c r="J1379">
        <f>AVERAGE(Scores[[#This Row],[LYC]],Scores[[#This Row],[MATE]])</f>
        <v>373</v>
      </c>
      <c r="K1379">
        <f>VLOOKUP(Scores[[#This Row],[MRUN]],Demographics[],6,FALSE)</f>
        <v>0</v>
      </c>
      <c r="L1379">
        <f>VLOOKUP(Scores[[#This Row],[MRUN]],Demographics[], 7,FALSE)</f>
        <v>5</v>
      </c>
      <c r="M1379">
        <f>VLOOKUP(Scores[[#This Row],[MRUN]],Demographics[], 5, FALSE)</f>
        <v>1</v>
      </c>
    </row>
    <row r="1380" spans="1:13" hidden="1" x14ac:dyDescent="0.2">
      <c r="A1380" s="1">
        <v>20972056</v>
      </c>
      <c r="B1380">
        <v>2</v>
      </c>
      <c r="C1380">
        <v>3</v>
      </c>
      <c r="D1380">
        <v>662</v>
      </c>
      <c r="E1380">
        <v>541</v>
      </c>
      <c r="F1380">
        <v>0</v>
      </c>
      <c r="G1380">
        <v>0</v>
      </c>
      <c r="H1380">
        <v>459</v>
      </c>
      <c r="I1380">
        <f>VLOOKUP(Scores[[#This Row],[MRUN]],Demographics[],3,FALSE)</f>
        <v>0</v>
      </c>
      <c r="J1380">
        <f>AVERAGE(Scores[[#This Row],[LYC]],Scores[[#This Row],[MATE]])</f>
        <v>270.5</v>
      </c>
      <c r="K1380">
        <f>VLOOKUP(Scores[[#This Row],[MRUN]],Demographics[],6,FALSE)</f>
        <v>0</v>
      </c>
      <c r="L1380">
        <f>VLOOKUP(Scores[[#This Row],[MRUN]],Demographics[], 7,FALSE)</f>
        <v>0</v>
      </c>
      <c r="M1380">
        <f>VLOOKUP(Scores[[#This Row],[MRUN]],Demographics[], 5, FALSE)</f>
        <v>1</v>
      </c>
    </row>
    <row r="1381" spans="1:13" hidden="1" x14ac:dyDescent="0.2">
      <c r="A1381" s="1">
        <v>21505984</v>
      </c>
      <c r="B1381">
        <v>1</v>
      </c>
      <c r="C1381">
        <v>2</v>
      </c>
      <c r="D1381">
        <v>682</v>
      </c>
      <c r="E1381">
        <v>505</v>
      </c>
      <c r="F1381">
        <v>624</v>
      </c>
      <c r="G1381">
        <v>0</v>
      </c>
      <c r="H1381">
        <v>602</v>
      </c>
      <c r="I1381">
        <f>VLOOKUP(Scores[[#This Row],[MRUN]],Demographics[],3,FALSE)</f>
        <v>4</v>
      </c>
      <c r="J1381">
        <f>AVERAGE(Scores[[#This Row],[LYC]],Scores[[#This Row],[MATE]])</f>
        <v>564.5</v>
      </c>
      <c r="K1381">
        <f>VLOOKUP(Scores[[#This Row],[MRUN]],Demographics[],6,FALSE)</f>
        <v>4</v>
      </c>
      <c r="L1381">
        <f>VLOOKUP(Scores[[#This Row],[MRUN]],Demographics[], 7,FALSE)</f>
        <v>3</v>
      </c>
      <c r="M1381">
        <f>VLOOKUP(Scores[[#This Row],[MRUN]],Demographics[], 5, FALSE)</f>
        <v>1</v>
      </c>
    </row>
    <row r="1382" spans="1:13" hidden="1" x14ac:dyDescent="0.2">
      <c r="A1382" s="1">
        <v>13652380</v>
      </c>
      <c r="B1382">
        <v>1</v>
      </c>
      <c r="C1382">
        <v>2</v>
      </c>
      <c r="D1382">
        <v>356</v>
      </c>
      <c r="E1382">
        <v>388</v>
      </c>
      <c r="F1382">
        <v>300</v>
      </c>
      <c r="G1382">
        <v>547</v>
      </c>
      <c r="H1382">
        <v>0</v>
      </c>
      <c r="I1382">
        <f>VLOOKUP(Scores[[#This Row],[MRUN]],Demographics[],3,FALSE)</f>
        <v>5</v>
      </c>
      <c r="J1382">
        <f>AVERAGE(Scores[[#This Row],[LYC]],Scores[[#This Row],[MATE]])</f>
        <v>344</v>
      </c>
      <c r="K1382">
        <f>VLOOKUP(Scores[[#This Row],[MRUN]],Demographics[],6,FALSE)</f>
        <v>2</v>
      </c>
      <c r="L1382">
        <f>VLOOKUP(Scores[[#This Row],[MRUN]],Demographics[], 7,FALSE)</f>
        <v>2</v>
      </c>
      <c r="M1382">
        <f>VLOOKUP(Scores[[#This Row],[MRUN]],Demographics[], 5, FALSE)</f>
        <v>1</v>
      </c>
    </row>
    <row r="1383" spans="1:13" hidden="1" x14ac:dyDescent="0.2">
      <c r="A1383" s="1">
        <v>11083193</v>
      </c>
      <c r="B1383">
        <v>2</v>
      </c>
      <c r="C1383">
        <v>2</v>
      </c>
      <c r="D1383">
        <v>539</v>
      </c>
      <c r="E1383">
        <v>415</v>
      </c>
      <c r="F1383">
        <v>463</v>
      </c>
      <c r="G1383">
        <v>466</v>
      </c>
      <c r="H1383">
        <v>0</v>
      </c>
      <c r="I1383">
        <f>VLOOKUP(Scores[[#This Row],[MRUN]],Demographics[],3,FALSE)</f>
        <v>4</v>
      </c>
      <c r="J1383">
        <f>AVERAGE(Scores[[#This Row],[LYC]],Scores[[#This Row],[MATE]])</f>
        <v>439</v>
      </c>
      <c r="K1383">
        <f>VLOOKUP(Scores[[#This Row],[MRUN]],Demographics[],6,FALSE)</f>
        <v>2</v>
      </c>
      <c r="L1383">
        <f>VLOOKUP(Scores[[#This Row],[MRUN]],Demographics[], 7,FALSE)</f>
        <v>2</v>
      </c>
      <c r="M1383">
        <f>VLOOKUP(Scores[[#This Row],[MRUN]],Demographics[], 5, FALSE)</f>
        <v>1</v>
      </c>
    </row>
    <row r="1384" spans="1:13" hidden="1" x14ac:dyDescent="0.2">
      <c r="A1384" s="1">
        <v>10548827</v>
      </c>
      <c r="B1384">
        <v>2</v>
      </c>
      <c r="C1384">
        <v>2</v>
      </c>
      <c r="D1384">
        <v>539</v>
      </c>
      <c r="E1384">
        <v>488</v>
      </c>
      <c r="F1384">
        <v>480</v>
      </c>
      <c r="G1384">
        <v>501</v>
      </c>
      <c r="H1384">
        <v>0</v>
      </c>
      <c r="I1384">
        <f>VLOOKUP(Scores[[#This Row],[MRUN]],Demographics[],3,FALSE)</f>
        <v>4</v>
      </c>
      <c r="J1384">
        <f>AVERAGE(Scores[[#This Row],[LYC]],Scores[[#This Row],[MATE]])</f>
        <v>484</v>
      </c>
      <c r="K1384">
        <f>VLOOKUP(Scores[[#This Row],[MRUN]],Demographics[],6,FALSE)</f>
        <v>4</v>
      </c>
      <c r="L1384">
        <f>VLOOKUP(Scores[[#This Row],[MRUN]],Demographics[], 7,FALSE)</f>
        <v>5</v>
      </c>
      <c r="M1384">
        <f>VLOOKUP(Scores[[#This Row],[MRUN]],Demographics[], 5, FALSE)</f>
        <v>1</v>
      </c>
    </row>
    <row r="1385" spans="1:13" hidden="1" x14ac:dyDescent="0.2">
      <c r="A1385" s="1">
        <v>14720584</v>
      </c>
      <c r="B1385">
        <v>1</v>
      </c>
      <c r="C1385">
        <v>2</v>
      </c>
      <c r="D1385">
        <v>519</v>
      </c>
      <c r="E1385">
        <v>476</v>
      </c>
      <c r="F1385">
        <v>487</v>
      </c>
      <c r="G1385">
        <v>521</v>
      </c>
      <c r="H1385">
        <v>0</v>
      </c>
      <c r="I1385">
        <f>VLOOKUP(Scores[[#This Row],[MRUN]],Demographics[],3,FALSE)</f>
        <v>5</v>
      </c>
      <c r="J1385">
        <f>AVERAGE(Scores[[#This Row],[LYC]],Scores[[#This Row],[MATE]])</f>
        <v>481.5</v>
      </c>
      <c r="K1385">
        <f>VLOOKUP(Scores[[#This Row],[MRUN]],Demographics[],6,FALSE)</f>
        <v>5</v>
      </c>
      <c r="L1385">
        <f>VLOOKUP(Scores[[#This Row],[MRUN]],Demographics[], 7,FALSE)</f>
        <v>3</v>
      </c>
      <c r="M1385">
        <f>VLOOKUP(Scores[[#This Row],[MRUN]],Demographics[], 5, FALSE)</f>
        <v>1</v>
      </c>
    </row>
    <row r="1386" spans="1:13" hidden="1" x14ac:dyDescent="0.2">
      <c r="A1386" s="1">
        <v>7243918</v>
      </c>
      <c r="B1386">
        <v>2</v>
      </c>
      <c r="C1386">
        <v>2</v>
      </c>
      <c r="D1386">
        <v>499</v>
      </c>
      <c r="E1386">
        <v>537</v>
      </c>
      <c r="F1386">
        <v>441</v>
      </c>
      <c r="G1386">
        <v>531</v>
      </c>
      <c r="H1386">
        <v>417</v>
      </c>
      <c r="I1386">
        <f>VLOOKUP(Scores[[#This Row],[MRUN]],Demographics[],3,FALSE)</f>
        <v>4</v>
      </c>
      <c r="J1386">
        <f>AVERAGE(Scores[[#This Row],[LYC]],Scores[[#This Row],[MATE]])</f>
        <v>489</v>
      </c>
      <c r="K1386">
        <f>VLOOKUP(Scores[[#This Row],[MRUN]],Demographics[],6,FALSE)</f>
        <v>3</v>
      </c>
      <c r="L1386">
        <f>VLOOKUP(Scores[[#This Row],[MRUN]],Demographics[], 7,FALSE)</f>
        <v>5</v>
      </c>
      <c r="M1386">
        <f>VLOOKUP(Scores[[#This Row],[MRUN]],Demographics[], 5, FALSE)</f>
        <v>1</v>
      </c>
    </row>
    <row r="1387" spans="1:13" hidden="1" x14ac:dyDescent="0.2">
      <c r="A1387" s="1">
        <v>19093263</v>
      </c>
      <c r="B1387">
        <v>2</v>
      </c>
      <c r="C1387">
        <v>2</v>
      </c>
      <c r="D1387">
        <v>539</v>
      </c>
      <c r="E1387">
        <v>367</v>
      </c>
      <c r="F1387">
        <v>494</v>
      </c>
      <c r="G1387">
        <v>466</v>
      </c>
      <c r="H1387">
        <v>439</v>
      </c>
      <c r="I1387">
        <f>VLOOKUP(Scores[[#This Row],[MRUN]],Demographics[],3,FALSE)</f>
        <v>6</v>
      </c>
      <c r="J1387">
        <f>AVERAGE(Scores[[#This Row],[LYC]],Scores[[#This Row],[MATE]])</f>
        <v>430.5</v>
      </c>
      <c r="K1387">
        <f>VLOOKUP(Scores[[#This Row],[MRUN]],Demographics[],6,FALSE)</f>
        <v>5</v>
      </c>
      <c r="L1387">
        <f>VLOOKUP(Scores[[#This Row],[MRUN]],Demographics[], 7,FALSE)</f>
        <v>4</v>
      </c>
      <c r="M1387">
        <f>VLOOKUP(Scores[[#This Row],[MRUN]],Demographics[], 5, FALSE)</f>
        <v>1</v>
      </c>
    </row>
    <row r="1388" spans="1:13" hidden="1" x14ac:dyDescent="0.2">
      <c r="A1388" s="1">
        <v>13753090</v>
      </c>
      <c r="B1388">
        <v>1</v>
      </c>
      <c r="C1388">
        <v>2</v>
      </c>
      <c r="D1388">
        <v>539</v>
      </c>
      <c r="E1388">
        <v>0</v>
      </c>
      <c r="F1388">
        <v>0</v>
      </c>
      <c r="G1388">
        <v>0</v>
      </c>
      <c r="H1388">
        <v>0</v>
      </c>
      <c r="I1388">
        <f>VLOOKUP(Scores[[#This Row],[MRUN]],Demographics[],3,FALSE)</f>
        <v>5</v>
      </c>
      <c r="J1388">
        <f>AVERAGE(Scores[[#This Row],[LYC]],Scores[[#This Row],[MATE]])</f>
        <v>0</v>
      </c>
      <c r="K1388">
        <f>VLOOKUP(Scores[[#This Row],[MRUN]],Demographics[],6,FALSE)</f>
        <v>4</v>
      </c>
      <c r="L1388">
        <f>VLOOKUP(Scores[[#This Row],[MRUN]],Demographics[], 7,FALSE)</f>
        <v>4</v>
      </c>
      <c r="M1388">
        <f>VLOOKUP(Scores[[#This Row],[MRUN]],Demographics[], 5, FALSE)</f>
        <v>1</v>
      </c>
    </row>
    <row r="1389" spans="1:13" hidden="1" x14ac:dyDescent="0.2">
      <c r="A1389" s="1">
        <v>7029169</v>
      </c>
      <c r="B1389">
        <v>1</v>
      </c>
      <c r="C1389">
        <v>3</v>
      </c>
      <c r="D1389">
        <v>397</v>
      </c>
      <c r="E1389">
        <v>438</v>
      </c>
      <c r="F1389">
        <v>463</v>
      </c>
      <c r="G1389">
        <v>428</v>
      </c>
      <c r="H1389">
        <v>0</v>
      </c>
      <c r="I1389">
        <f>VLOOKUP(Scores[[#This Row],[MRUN]],Demographics[],3,FALSE)</f>
        <v>6</v>
      </c>
      <c r="J1389">
        <f>AVERAGE(Scores[[#This Row],[LYC]],Scores[[#This Row],[MATE]])</f>
        <v>450.5</v>
      </c>
      <c r="K1389">
        <f>VLOOKUP(Scores[[#This Row],[MRUN]],Demographics[],6,FALSE)</f>
        <v>3</v>
      </c>
      <c r="L1389">
        <f>VLOOKUP(Scores[[#This Row],[MRUN]],Demographics[], 7,FALSE)</f>
        <v>4</v>
      </c>
      <c r="M1389">
        <f>VLOOKUP(Scores[[#This Row],[MRUN]],Demographics[], 5, FALSE)</f>
        <v>2</v>
      </c>
    </row>
    <row r="1390" spans="1:13" hidden="1" x14ac:dyDescent="0.2">
      <c r="A1390" s="1">
        <v>20020800</v>
      </c>
      <c r="B1390">
        <v>1</v>
      </c>
      <c r="C1390">
        <v>3</v>
      </c>
      <c r="D1390">
        <v>620</v>
      </c>
      <c r="E1390">
        <v>458</v>
      </c>
      <c r="F1390">
        <v>631</v>
      </c>
      <c r="G1390">
        <v>0</v>
      </c>
      <c r="H1390">
        <v>647</v>
      </c>
      <c r="I1390">
        <f>VLOOKUP(Scores[[#This Row],[MRUN]],Demographics[],3,FALSE)</f>
        <v>4</v>
      </c>
      <c r="J1390">
        <f>AVERAGE(Scores[[#This Row],[LYC]],Scores[[#This Row],[MATE]])</f>
        <v>544.5</v>
      </c>
      <c r="K1390">
        <f>VLOOKUP(Scores[[#This Row],[MRUN]],Demographics[],6,FALSE)</f>
        <v>5</v>
      </c>
      <c r="L1390">
        <f>VLOOKUP(Scores[[#This Row],[MRUN]],Demographics[], 7,FALSE)</f>
        <v>5</v>
      </c>
      <c r="M1390">
        <f>VLOOKUP(Scores[[#This Row],[MRUN]],Demographics[], 5, FALSE)</f>
        <v>2</v>
      </c>
    </row>
    <row r="1391" spans="1:13" hidden="1" x14ac:dyDescent="0.2">
      <c r="A1391" s="1">
        <v>24725787</v>
      </c>
      <c r="B1391">
        <v>2</v>
      </c>
      <c r="C1391">
        <v>3</v>
      </c>
      <c r="D1391">
        <v>558</v>
      </c>
      <c r="E1391">
        <v>596</v>
      </c>
      <c r="F1391">
        <v>600</v>
      </c>
      <c r="G1391">
        <v>634</v>
      </c>
      <c r="H1391">
        <v>628</v>
      </c>
      <c r="I1391">
        <f>VLOOKUP(Scores[[#This Row],[MRUN]],Demographics[],3,FALSE)</f>
        <v>7</v>
      </c>
      <c r="J1391">
        <f>AVERAGE(Scores[[#This Row],[LYC]],Scores[[#This Row],[MATE]])</f>
        <v>598</v>
      </c>
      <c r="K1391">
        <f>VLOOKUP(Scores[[#This Row],[MRUN]],Demographics[],6,FALSE)</f>
        <v>9</v>
      </c>
      <c r="L1391">
        <f>VLOOKUP(Scores[[#This Row],[MRUN]],Demographics[], 7,FALSE)</f>
        <v>9</v>
      </c>
      <c r="M1391">
        <f>VLOOKUP(Scores[[#This Row],[MRUN]],Demographics[], 5, FALSE)</f>
        <v>3</v>
      </c>
    </row>
    <row r="1392" spans="1:13" hidden="1" x14ac:dyDescent="0.2">
      <c r="A1392" s="1">
        <v>15385849</v>
      </c>
      <c r="B1392">
        <v>1</v>
      </c>
      <c r="C1392">
        <v>4</v>
      </c>
      <c r="D1392">
        <v>476</v>
      </c>
      <c r="E1392">
        <v>571</v>
      </c>
      <c r="F1392">
        <v>666</v>
      </c>
      <c r="G1392">
        <v>572</v>
      </c>
      <c r="H1392">
        <v>575</v>
      </c>
      <c r="I1392">
        <f>VLOOKUP(Scores[[#This Row],[MRUN]],Demographics[],3,FALSE)</f>
        <v>5</v>
      </c>
      <c r="J1392">
        <f>AVERAGE(Scores[[#This Row],[LYC]],Scores[[#This Row],[MATE]])</f>
        <v>618.5</v>
      </c>
      <c r="K1392">
        <f>VLOOKUP(Scores[[#This Row],[MRUN]],Demographics[],6,FALSE)</f>
        <v>9</v>
      </c>
      <c r="L1392">
        <f>VLOOKUP(Scores[[#This Row],[MRUN]],Demographics[], 7,FALSE)</f>
        <v>5</v>
      </c>
      <c r="M1392">
        <f>VLOOKUP(Scores[[#This Row],[MRUN]],Demographics[], 5, FALSE)</f>
        <v>4</v>
      </c>
    </row>
    <row r="1393" spans="1:13" hidden="1" x14ac:dyDescent="0.2">
      <c r="A1393" s="1">
        <v>22955601</v>
      </c>
      <c r="B1393">
        <v>2</v>
      </c>
      <c r="C1393">
        <v>2</v>
      </c>
      <c r="D1393">
        <v>476</v>
      </c>
      <c r="E1393">
        <v>356</v>
      </c>
      <c r="F1393">
        <v>428</v>
      </c>
      <c r="G1393">
        <v>449</v>
      </c>
      <c r="H1393">
        <v>0</v>
      </c>
      <c r="I1393">
        <f>VLOOKUP(Scores[[#This Row],[MRUN]],Demographics[],3,FALSE)</f>
        <v>5</v>
      </c>
      <c r="J1393">
        <f>AVERAGE(Scores[[#This Row],[LYC]],Scores[[#This Row],[MATE]])</f>
        <v>392</v>
      </c>
      <c r="K1393">
        <f>VLOOKUP(Scores[[#This Row],[MRUN]],Demographics[],6,FALSE)</f>
        <v>9</v>
      </c>
      <c r="L1393">
        <f>VLOOKUP(Scores[[#This Row],[MRUN]],Demographics[], 7,FALSE)</f>
        <v>5</v>
      </c>
      <c r="M1393">
        <f>VLOOKUP(Scores[[#This Row],[MRUN]],Demographics[], 5, FALSE)</f>
        <v>2</v>
      </c>
    </row>
    <row r="1394" spans="1:13" hidden="1" x14ac:dyDescent="0.2">
      <c r="A1394" s="1">
        <v>2704461</v>
      </c>
      <c r="B1394">
        <v>1</v>
      </c>
      <c r="C1394">
        <v>2</v>
      </c>
      <c r="D1394">
        <v>397</v>
      </c>
      <c r="E1394">
        <v>438</v>
      </c>
      <c r="F1394">
        <v>441</v>
      </c>
      <c r="G1394">
        <v>0</v>
      </c>
      <c r="H1394">
        <v>417</v>
      </c>
      <c r="I1394">
        <f>VLOOKUP(Scores[[#This Row],[MRUN]],Demographics[],3,FALSE)</f>
        <v>5</v>
      </c>
      <c r="J1394">
        <f>AVERAGE(Scores[[#This Row],[LYC]],Scores[[#This Row],[MATE]])</f>
        <v>439.5</v>
      </c>
      <c r="K1394">
        <f>VLOOKUP(Scores[[#This Row],[MRUN]],Demographics[],6,FALSE)</f>
        <v>9</v>
      </c>
      <c r="L1394">
        <f>VLOOKUP(Scores[[#This Row],[MRUN]],Demographics[], 7,FALSE)</f>
        <v>3</v>
      </c>
      <c r="M1394">
        <f>VLOOKUP(Scores[[#This Row],[MRUN]],Demographics[], 5, FALSE)</f>
        <v>2</v>
      </c>
    </row>
    <row r="1395" spans="1:13" hidden="1" x14ac:dyDescent="0.2">
      <c r="A1395" s="1">
        <v>23795037</v>
      </c>
      <c r="B1395">
        <v>2</v>
      </c>
      <c r="C1395">
        <v>4</v>
      </c>
      <c r="D1395">
        <v>641</v>
      </c>
      <c r="E1395">
        <v>624</v>
      </c>
      <c r="F1395">
        <v>603</v>
      </c>
      <c r="G1395">
        <v>0</v>
      </c>
      <c r="H1395">
        <v>591</v>
      </c>
      <c r="I1395">
        <f>VLOOKUP(Scores[[#This Row],[MRUN]],Demographics[],3,FALSE)</f>
        <v>4</v>
      </c>
      <c r="J1395">
        <f>AVERAGE(Scores[[#This Row],[LYC]],Scores[[#This Row],[MATE]])</f>
        <v>613.5</v>
      </c>
      <c r="K1395">
        <f>VLOOKUP(Scores[[#This Row],[MRUN]],Demographics[],6,FALSE)</f>
        <v>9</v>
      </c>
      <c r="L1395">
        <f>VLOOKUP(Scores[[#This Row],[MRUN]],Demographics[], 7,FALSE)</f>
        <v>9</v>
      </c>
      <c r="M1395">
        <f>VLOOKUP(Scores[[#This Row],[MRUN]],Demographics[], 5, FALSE)</f>
        <v>2</v>
      </c>
    </row>
    <row r="1396" spans="1:13" hidden="1" x14ac:dyDescent="0.2">
      <c r="A1396" s="1">
        <v>1582186</v>
      </c>
      <c r="B1396">
        <v>1</v>
      </c>
      <c r="C1396">
        <v>2</v>
      </c>
      <c r="D1396">
        <v>538</v>
      </c>
      <c r="E1396">
        <v>438</v>
      </c>
      <c r="F1396">
        <v>395</v>
      </c>
      <c r="G1396">
        <v>442</v>
      </c>
      <c r="H1396">
        <v>0</v>
      </c>
      <c r="I1396">
        <f>VLOOKUP(Scores[[#This Row],[MRUN]],Demographics[],3,FALSE)</f>
        <v>4</v>
      </c>
      <c r="J1396">
        <f>AVERAGE(Scores[[#This Row],[LYC]],Scores[[#This Row],[MATE]])</f>
        <v>416.5</v>
      </c>
      <c r="K1396">
        <f>VLOOKUP(Scores[[#This Row],[MRUN]],Demographics[],6,FALSE)</f>
        <v>9</v>
      </c>
      <c r="L1396">
        <f>VLOOKUP(Scores[[#This Row],[MRUN]],Demographics[], 7,FALSE)</f>
        <v>4</v>
      </c>
      <c r="M1396">
        <f>VLOOKUP(Scores[[#This Row],[MRUN]],Demographics[], 5, FALSE)</f>
        <v>2</v>
      </c>
    </row>
    <row r="1397" spans="1:13" hidden="1" x14ac:dyDescent="0.2">
      <c r="A1397" s="1">
        <v>16536842</v>
      </c>
      <c r="B1397">
        <v>2</v>
      </c>
      <c r="C1397">
        <v>4</v>
      </c>
      <c r="D1397">
        <v>723</v>
      </c>
      <c r="E1397">
        <v>699</v>
      </c>
      <c r="F1397">
        <v>671</v>
      </c>
      <c r="G1397">
        <v>0</v>
      </c>
      <c r="H1397">
        <v>738</v>
      </c>
      <c r="I1397">
        <f>VLOOKUP(Scores[[#This Row],[MRUN]],Demographics[],3,FALSE)</f>
        <v>5</v>
      </c>
      <c r="J1397">
        <f>AVERAGE(Scores[[#This Row],[LYC]],Scores[[#This Row],[MATE]])</f>
        <v>685</v>
      </c>
      <c r="K1397">
        <f>VLOOKUP(Scores[[#This Row],[MRUN]],Demographics[],6,FALSE)</f>
        <v>5</v>
      </c>
      <c r="L1397">
        <f>VLOOKUP(Scores[[#This Row],[MRUN]],Demographics[], 7,FALSE)</f>
        <v>9</v>
      </c>
      <c r="M1397">
        <f>VLOOKUP(Scores[[#This Row],[MRUN]],Demographics[], 5, FALSE)</f>
        <v>3</v>
      </c>
    </row>
    <row r="1398" spans="1:13" hidden="1" x14ac:dyDescent="0.2">
      <c r="A1398" s="1">
        <v>15894587</v>
      </c>
      <c r="B1398">
        <v>2</v>
      </c>
      <c r="C1398">
        <v>2</v>
      </c>
      <c r="D1398">
        <v>496</v>
      </c>
      <c r="E1398">
        <v>464</v>
      </c>
      <c r="F1398">
        <v>376</v>
      </c>
      <c r="G1398">
        <v>414</v>
      </c>
      <c r="H1398">
        <v>0</v>
      </c>
      <c r="I1398">
        <f>VLOOKUP(Scores[[#This Row],[MRUN]],Demographics[],3,FALSE)</f>
        <v>5</v>
      </c>
      <c r="J1398">
        <f>AVERAGE(Scores[[#This Row],[LYC]],Scores[[#This Row],[MATE]])</f>
        <v>420</v>
      </c>
      <c r="K1398">
        <f>VLOOKUP(Scores[[#This Row],[MRUN]],Demographics[],6,FALSE)</f>
        <v>10</v>
      </c>
      <c r="L1398">
        <f>VLOOKUP(Scores[[#This Row],[MRUN]],Demographics[], 7,FALSE)</f>
        <v>4</v>
      </c>
      <c r="M1398">
        <f>VLOOKUP(Scores[[#This Row],[MRUN]],Demographics[], 5, FALSE)</f>
        <v>2</v>
      </c>
    </row>
    <row r="1399" spans="1:13" hidden="1" x14ac:dyDescent="0.2">
      <c r="A1399" s="1">
        <v>13427857</v>
      </c>
      <c r="B1399">
        <v>2</v>
      </c>
      <c r="C1399">
        <v>2</v>
      </c>
      <c r="D1399">
        <v>560</v>
      </c>
      <c r="E1399">
        <v>0</v>
      </c>
      <c r="F1399">
        <v>0</v>
      </c>
      <c r="G1399">
        <v>0</v>
      </c>
      <c r="H1399">
        <v>0</v>
      </c>
      <c r="I1399">
        <f>VLOOKUP(Scores[[#This Row],[MRUN]],Demographics[],3,FALSE)</f>
        <v>9</v>
      </c>
      <c r="J1399">
        <f>AVERAGE(Scores[[#This Row],[LYC]],Scores[[#This Row],[MATE]])</f>
        <v>0</v>
      </c>
      <c r="K1399">
        <f>VLOOKUP(Scores[[#This Row],[MRUN]],Demographics[],6,FALSE)</f>
        <v>5</v>
      </c>
      <c r="L1399">
        <f>VLOOKUP(Scores[[#This Row],[MRUN]],Demographics[], 7,FALSE)</f>
        <v>2</v>
      </c>
      <c r="M1399">
        <f>VLOOKUP(Scores[[#This Row],[MRUN]],Demographics[], 5, FALSE)</f>
        <v>1</v>
      </c>
    </row>
    <row r="1400" spans="1:13" hidden="1" x14ac:dyDescent="0.2">
      <c r="A1400" s="1">
        <v>6414710</v>
      </c>
      <c r="B1400">
        <v>2</v>
      </c>
      <c r="C1400">
        <v>3</v>
      </c>
      <c r="D1400">
        <v>496</v>
      </c>
      <c r="E1400">
        <v>537</v>
      </c>
      <c r="F1400">
        <v>552</v>
      </c>
      <c r="G1400">
        <v>0</v>
      </c>
      <c r="H1400">
        <v>562</v>
      </c>
      <c r="I1400">
        <f>VLOOKUP(Scores[[#This Row],[MRUN]],Demographics[],3,FALSE)</f>
        <v>3</v>
      </c>
      <c r="J1400">
        <f>AVERAGE(Scores[[#This Row],[LYC]],Scores[[#This Row],[MATE]])</f>
        <v>544.5</v>
      </c>
      <c r="K1400">
        <f>VLOOKUP(Scores[[#This Row],[MRUN]],Demographics[],6,FALSE)</f>
        <v>5</v>
      </c>
      <c r="L1400">
        <f>VLOOKUP(Scores[[#This Row],[MRUN]],Demographics[], 7,FALSE)</f>
        <v>5</v>
      </c>
      <c r="M1400">
        <f>VLOOKUP(Scores[[#This Row],[MRUN]],Demographics[], 5, FALSE)</f>
        <v>1</v>
      </c>
    </row>
    <row r="1401" spans="1:13" hidden="1" x14ac:dyDescent="0.2">
      <c r="A1401" s="1">
        <v>18627374</v>
      </c>
      <c r="B1401">
        <v>2</v>
      </c>
      <c r="C1401">
        <v>2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f>VLOOKUP(Scores[[#This Row],[MRUN]],Demographics[],3,FALSE)</f>
        <v>5</v>
      </c>
      <c r="J1401">
        <f>AVERAGE(Scores[[#This Row],[LYC]],Scores[[#This Row],[MATE]])</f>
        <v>0</v>
      </c>
      <c r="K1401">
        <f>VLOOKUP(Scores[[#This Row],[MRUN]],Demographics[],6,FALSE)</f>
        <v>5</v>
      </c>
      <c r="L1401">
        <f>VLOOKUP(Scores[[#This Row],[MRUN]],Demographics[], 7,FALSE)</f>
        <v>5</v>
      </c>
      <c r="M1401">
        <f>VLOOKUP(Scores[[#This Row],[MRUN]],Demographics[], 5, FALSE)</f>
        <v>1</v>
      </c>
    </row>
    <row r="1402" spans="1:13" hidden="1" x14ac:dyDescent="0.2">
      <c r="A1402" s="1">
        <v>11600410</v>
      </c>
      <c r="B1402">
        <v>2</v>
      </c>
      <c r="C1402">
        <v>3</v>
      </c>
      <c r="D1402">
        <v>478</v>
      </c>
      <c r="E1402">
        <v>0</v>
      </c>
      <c r="F1402">
        <v>0</v>
      </c>
      <c r="G1402">
        <v>0</v>
      </c>
      <c r="H1402">
        <v>0</v>
      </c>
      <c r="I1402">
        <f>VLOOKUP(Scores[[#This Row],[MRUN]],Demographics[],3,FALSE)</f>
        <v>3</v>
      </c>
      <c r="J1402">
        <f>AVERAGE(Scores[[#This Row],[LYC]],Scores[[#This Row],[MATE]])</f>
        <v>0</v>
      </c>
      <c r="K1402">
        <f>VLOOKUP(Scores[[#This Row],[MRUN]],Demographics[],6,FALSE)</f>
        <v>4</v>
      </c>
      <c r="L1402">
        <f>VLOOKUP(Scores[[#This Row],[MRUN]],Demographics[], 7,FALSE)</f>
        <v>5</v>
      </c>
      <c r="M1402">
        <f>VLOOKUP(Scores[[#This Row],[MRUN]],Demographics[], 5, FALSE)</f>
        <v>1</v>
      </c>
    </row>
    <row r="1403" spans="1:13" hidden="1" x14ac:dyDescent="0.2">
      <c r="A1403" s="1">
        <v>21696508</v>
      </c>
      <c r="B1403">
        <v>1</v>
      </c>
      <c r="C1403">
        <v>3</v>
      </c>
      <c r="D1403">
        <v>579</v>
      </c>
      <c r="E1403">
        <v>717</v>
      </c>
      <c r="F1403">
        <v>719</v>
      </c>
      <c r="G1403">
        <v>791</v>
      </c>
      <c r="H1403">
        <v>686</v>
      </c>
      <c r="I1403">
        <f>VLOOKUP(Scores[[#This Row],[MRUN]],Demographics[],3,FALSE)</f>
        <v>5</v>
      </c>
      <c r="J1403">
        <f>AVERAGE(Scores[[#This Row],[LYC]],Scores[[#This Row],[MATE]])</f>
        <v>718</v>
      </c>
      <c r="K1403">
        <f>VLOOKUP(Scores[[#This Row],[MRUN]],Demographics[],6,FALSE)</f>
        <v>9</v>
      </c>
      <c r="L1403">
        <f>VLOOKUP(Scores[[#This Row],[MRUN]],Demographics[], 7,FALSE)</f>
        <v>10</v>
      </c>
      <c r="M1403">
        <f>VLOOKUP(Scores[[#This Row],[MRUN]],Demographics[], 5, FALSE)</f>
        <v>2</v>
      </c>
    </row>
    <row r="1404" spans="1:13" hidden="1" x14ac:dyDescent="0.2">
      <c r="A1404" s="1">
        <v>984864</v>
      </c>
      <c r="B1404">
        <v>1</v>
      </c>
      <c r="C1404">
        <v>2</v>
      </c>
      <c r="D1404">
        <v>558</v>
      </c>
      <c r="E1404">
        <v>561</v>
      </c>
      <c r="F1404">
        <v>560</v>
      </c>
      <c r="G1404">
        <v>547</v>
      </c>
      <c r="H1404">
        <v>0</v>
      </c>
      <c r="I1404">
        <f>VLOOKUP(Scores[[#This Row],[MRUN]],Demographics[],3,FALSE)</f>
        <v>8</v>
      </c>
      <c r="J1404">
        <f>AVERAGE(Scores[[#This Row],[LYC]],Scores[[#This Row],[MATE]])</f>
        <v>560.5</v>
      </c>
      <c r="K1404">
        <f>VLOOKUP(Scores[[#This Row],[MRUN]],Demographics[],6,FALSE)</f>
        <v>4</v>
      </c>
      <c r="L1404">
        <f>VLOOKUP(Scores[[#This Row],[MRUN]],Demographics[], 7,FALSE)</f>
        <v>5</v>
      </c>
      <c r="M1404">
        <f>VLOOKUP(Scores[[#This Row],[MRUN]],Demographics[], 5, FALSE)</f>
        <v>2</v>
      </c>
    </row>
    <row r="1405" spans="1:13" hidden="1" x14ac:dyDescent="0.2">
      <c r="A1405" s="1">
        <v>11665795</v>
      </c>
      <c r="B1405">
        <v>1</v>
      </c>
      <c r="C1405">
        <v>2</v>
      </c>
      <c r="D1405">
        <v>517</v>
      </c>
      <c r="E1405">
        <v>541</v>
      </c>
      <c r="F1405">
        <v>395</v>
      </c>
      <c r="G1405">
        <v>490</v>
      </c>
      <c r="H1405">
        <v>0</v>
      </c>
      <c r="I1405">
        <f>VLOOKUP(Scores[[#This Row],[MRUN]],Demographics[],3,FALSE)</f>
        <v>5</v>
      </c>
      <c r="J1405">
        <f>AVERAGE(Scores[[#This Row],[LYC]],Scores[[#This Row],[MATE]])</f>
        <v>468</v>
      </c>
      <c r="K1405">
        <f>VLOOKUP(Scores[[#This Row],[MRUN]],Demographics[],6,FALSE)</f>
        <v>9</v>
      </c>
      <c r="L1405">
        <f>VLOOKUP(Scores[[#This Row],[MRUN]],Demographics[], 7,FALSE)</f>
        <v>7</v>
      </c>
      <c r="M1405">
        <f>VLOOKUP(Scores[[#This Row],[MRUN]],Demographics[], 5, FALSE)</f>
        <v>2</v>
      </c>
    </row>
    <row r="1406" spans="1:13" hidden="1" x14ac:dyDescent="0.2">
      <c r="A1406" s="1">
        <v>656089</v>
      </c>
      <c r="B1406">
        <v>2</v>
      </c>
      <c r="C1406">
        <v>3</v>
      </c>
      <c r="D1406">
        <v>579</v>
      </c>
      <c r="E1406">
        <v>541</v>
      </c>
      <c r="F1406">
        <v>614</v>
      </c>
      <c r="G1406">
        <v>0</v>
      </c>
      <c r="H1406">
        <v>543</v>
      </c>
      <c r="I1406">
        <f>VLOOKUP(Scores[[#This Row],[MRUN]],Demographics[],3,FALSE)</f>
        <v>5</v>
      </c>
      <c r="J1406">
        <f>AVERAGE(Scores[[#This Row],[LYC]],Scores[[#This Row],[MATE]])</f>
        <v>577.5</v>
      </c>
      <c r="K1406">
        <f>VLOOKUP(Scores[[#This Row],[MRUN]],Demographics[],6,FALSE)</f>
        <v>5</v>
      </c>
      <c r="L1406">
        <f>VLOOKUP(Scores[[#This Row],[MRUN]],Demographics[], 7,FALSE)</f>
        <v>5</v>
      </c>
      <c r="M1406">
        <f>VLOOKUP(Scores[[#This Row],[MRUN]],Demographics[], 5, FALSE)</f>
        <v>1</v>
      </c>
    </row>
    <row r="1407" spans="1:13" hidden="1" x14ac:dyDescent="0.2">
      <c r="A1407" s="1">
        <v>3889696</v>
      </c>
      <c r="B1407">
        <v>1</v>
      </c>
      <c r="C1407">
        <v>4</v>
      </c>
      <c r="D1407">
        <v>476</v>
      </c>
      <c r="E1407">
        <v>537</v>
      </c>
      <c r="F1407">
        <v>699</v>
      </c>
      <c r="G1407">
        <v>512</v>
      </c>
      <c r="H1407">
        <v>534</v>
      </c>
      <c r="I1407">
        <f>VLOOKUP(Scores[[#This Row],[MRUN]],Demographics[],3,FALSE)</f>
        <v>0</v>
      </c>
      <c r="J1407">
        <f>AVERAGE(Scores[[#This Row],[LYC]],Scores[[#This Row],[MATE]])</f>
        <v>618</v>
      </c>
      <c r="K1407">
        <f>VLOOKUP(Scores[[#This Row],[MRUN]],Demographics[],6,FALSE)</f>
        <v>0</v>
      </c>
      <c r="L1407">
        <f>VLOOKUP(Scores[[#This Row],[MRUN]],Demographics[], 7,FALSE)</f>
        <v>0</v>
      </c>
      <c r="M1407">
        <f>VLOOKUP(Scores[[#This Row],[MRUN]],Demographics[], 5, FALSE)</f>
        <v>5</v>
      </c>
    </row>
    <row r="1408" spans="1:13" hidden="1" x14ac:dyDescent="0.2">
      <c r="A1408" s="1">
        <v>21759130</v>
      </c>
      <c r="B1408">
        <v>1</v>
      </c>
      <c r="C1408">
        <v>3</v>
      </c>
      <c r="D1408">
        <v>661</v>
      </c>
      <c r="E1408">
        <v>636</v>
      </c>
      <c r="F1408">
        <v>666</v>
      </c>
      <c r="G1408">
        <v>0</v>
      </c>
      <c r="H1408">
        <v>663</v>
      </c>
      <c r="I1408">
        <f>VLOOKUP(Scores[[#This Row],[MRUN]],Demographics[],3,FALSE)</f>
        <v>3</v>
      </c>
      <c r="J1408">
        <f>AVERAGE(Scores[[#This Row],[LYC]],Scores[[#This Row],[MATE]])</f>
        <v>651</v>
      </c>
      <c r="K1408">
        <f>VLOOKUP(Scores[[#This Row],[MRUN]],Demographics[],6,FALSE)</f>
        <v>8</v>
      </c>
      <c r="L1408">
        <f>VLOOKUP(Scores[[#This Row],[MRUN]],Demographics[], 7,FALSE)</f>
        <v>9</v>
      </c>
      <c r="M1408">
        <f>VLOOKUP(Scores[[#This Row],[MRUN]],Demographics[], 5, FALSE)</f>
        <v>2</v>
      </c>
    </row>
    <row r="1409" spans="1:13" hidden="1" x14ac:dyDescent="0.2">
      <c r="A1409" s="1">
        <v>11354146</v>
      </c>
      <c r="B1409">
        <v>2</v>
      </c>
      <c r="C1409">
        <v>4</v>
      </c>
      <c r="D1409">
        <v>723</v>
      </c>
      <c r="E1409">
        <v>747</v>
      </c>
      <c r="F1409">
        <v>806</v>
      </c>
      <c r="G1409">
        <v>706</v>
      </c>
      <c r="H1409">
        <v>703</v>
      </c>
      <c r="I1409">
        <f>VLOOKUP(Scores[[#This Row],[MRUN]],Demographics[],3,FALSE)</f>
        <v>5</v>
      </c>
      <c r="J1409">
        <f>AVERAGE(Scores[[#This Row],[LYC]],Scores[[#This Row],[MATE]])</f>
        <v>776.5</v>
      </c>
      <c r="K1409">
        <f>VLOOKUP(Scores[[#This Row],[MRUN]],Demographics[],6,FALSE)</f>
        <v>9</v>
      </c>
      <c r="L1409">
        <f>VLOOKUP(Scores[[#This Row],[MRUN]],Demographics[], 7,FALSE)</f>
        <v>9</v>
      </c>
      <c r="M1409">
        <f>VLOOKUP(Scores[[#This Row],[MRUN]],Demographics[], 5, FALSE)</f>
        <v>3</v>
      </c>
    </row>
    <row r="1410" spans="1:13" hidden="1" x14ac:dyDescent="0.2">
      <c r="A1410" s="1">
        <v>20331507</v>
      </c>
      <c r="B1410">
        <v>2</v>
      </c>
      <c r="C1410">
        <v>2</v>
      </c>
      <c r="D1410">
        <v>496</v>
      </c>
      <c r="E1410">
        <v>592</v>
      </c>
      <c r="F1410">
        <v>517</v>
      </c>
      <c r="G1410">
        <v>578</v>
      </c>
      <c r="H1410">
        <v>0</v>
      </c>
      <c r="I1410">
        <f>VLOOKUP(Scores[[#This Row],[MRUN]],Demographics[],3,FALSE)</f>
        <v>5</v>
      </c>
      <c r="J1410">
        <f>AVERAGE(Scores[[#This Row],[LYC]],Scores[[#This Row],[MATE]])</f>
        <v>554.5</v>
      </c>
      <c r="K1410">
        <f>VLOOKUP(Scores[[#This Row],[MRUN]],Demographics[],6,FALSE)</f>
        <v>0</v>
      </c>
      <c r="L1410">
        <f>VLOOKUP(Scores[[#This Row],[MRUN]],Demographics[], 7,FALSE)</f>
        <v>0</v>
      </c>
      <c r="M1410">
        <f>VLOOKUP(Scores[[#This Row],[MRUN]],Demographics[], 5, FALSE)</f>
        <v>1</v>
      </c>
    </row>
    <row r="1411" spans="1:13" hidden="1" x14ac:dyDescent="0.2">
      <c r="A1411" s="1">
        <v>19509633</v>
      </c>
      <c r="B1411">
        <v>1</v>
      </c>
      <c r="C1411">
        <v>4</v>
      </c>
      <c r="D1411">
        <v>661</v>
      </c>
      <c r="E1411">
        <v>707</v>
      </c>
      <c r="F1411">
        <v>661</v>
      </c>
      <c r="G1411">
        <v>0</v>
      </c>
      <c r="H1411">
        <v>668</v>
      </c>
      <c r="I1411">
        <f>VLOOKUP(Scores[[#This Row],[MRUN]],Demographics[],3,FALSE)</f>
        <v>6</v>
      </c>
      <c r="J1411">
        <f>AVERAGE(Scores[[#This Row],[LYC]],Scores[[#This Row],[MATE]])</f>
        <v>684</v>
      </c>
      <c r="K1411">
        <f>VLOOKUP(Scores[[#This Row],[MRUN]],Demographics[],6,FALSE)</f>
        <v>7</v>
      </c>
      <c r="L1411">
        <f>VLOOKUP(Scores[[#This Row],[MRUN]],Demographics[], 7,FALSE)</f>
        <v>7</v>
      </c>
      <c r="M1411">
        <f>VLOOKUP(Scores[[#This Row],[MRUN]],Demographics[], 5, FALSE)</f>
        <v>6</v>
      </c>
    </row>
    <row r="1412" spans="1:13" hidden="1" x14ac:dyDescent="0.2">
      <c r="A1412" s="1">
        <v>18918019</v>
      </c>
      <c r="B1412">
        <v>2</v>
      </c>
      <c r="C1412">
        <v>3</v>
      </c>
      <c r="D1412">
        <v>764</v>
      </c>
      <c r="E1412">
        <v>757</v>
      </c>
      <c r="F1412">
        <v>675</v>
      </c>
      <c r="G1412">
        <v>692</v>
      </c>
      <c r="H1412">
        <v>0</v>
      </c>
      <c r="I1412">
        <f>VLOOKUP(Scores[[#This Row],[MRUN]],Demographics[],3,FALSE)</f>
        <v>6</v>
      </c>
      <c r="J1412">
        <f>AVERAGE(Scores[[#This Row],[LYC]],Scores[[#This Row],[MATE]])</f>
        <v>716</v>
      </c>
      <c r="K1412">
        <f>VLOOKUP(Scores[[#This Row],[MRUN]],Demographics[],6,FALSE)</f>
        <v>9</v>
      </c>
      <c r="L1412">
        <f>VLOOKUP(Scores[[#This Row],[MRUN]],Demographics[], 7,FALSE)</f>
        <v>8</v>
      </c>
      <c r="M1412">
        <f>VLOOKUP(Scores[[#This Row],[MRUN]],Demographics[], 5, FALSE)</f>
        <v>2</v>
      </c>
    </row>
    <row r="1413" spans="1:13" hidden="1" x14ac:dyDescent="0.2">
      <c r="A1413" s="1">
        <v>820493</v>
      </c>
      <c r="B1413">
        <v>2</v>
      </c>
      <c r="C1413">
        <v>3</v>
      </c>
      <c r="D1413">
        <v>641</v>
      </c>
      <c r="E1413">
        <v>624</v>
      </c>
      <c r="F1413">
        <v>648</v>
      </c>
      <c r="G1413">
        <v>0</v>
      </c>
      <c r="H1413">
        <v>567</v>
      </c>
      <c r="I1413">
        <f>VLOOKUP(Scores[[#This Row],[MRUN]],Demographics[],3,FALSE)</f>
        <v>5</v>
      </c>
      <c r="J1413">
        <f>AVERAGE(Scores[[#This Row],[LYC]],Scores[[#This Row],[MATE]])</f>
        <v>636</v>
      </c>
      <c r="K1413">
        <f>VLOOKUP(Scores[[#This Row],[MRUN]],Demographics[],6,FALSE)</f>
        <v>9</v>
      </c>
      <c r="L1413">
        <f>VLOOKUP(Scores[[#This Row],[MRUN]],Demographics[], 7,FALSE)</f>
        <v>9</v>
      </c>
      <c r="M1413">
        <f>VLOOKUP(Scores[[#This Row],[MRUN]],Demographics[], 5, FALSE)</f>
        <v>3</v>
      </c>
    </row>
    <row r="1414" spans="1:13" hidden="1" x14ac:dyDescent="0.2">
      <c r="A1414" s="1">
        <v>8199647</v>
      </c>
      <c r="B1414">
        <v>2</v>
      </c>
      <c r="C1414">
        <v>4</v>
      </c>
      <c r="D1414">
        <v>517</v>
      </c>
      <c r="E1414">
        <v>557</v>
      </c>
      <c r="F1414">
        <v>574</v>
      </c>
      <c r="G1414">
        <v>651</v>
      </c>
      <c r="H1414">
        <v>0</v>
      </c>
      <c r="I1414">
        <f>VLOOKUP(Scores[[#This Row],[MRUN]],Demographics[],3,FALSE)</f>
        <v>3</v>
      </c>
      <c r="J1414">
        <f>AVERAGE(Scores[[#This Row],[LYC]],Scores[[#This Row],[MATE]])</f>
        <v>565.5</v>
      </c>
      <c r="K1414">
        <f>VLOOKUP(Scores[[#This Row],[MRUN]],Demographics[],6,FALSE)</f>
        <v>5</v>
      </c>
      <c r="L1414">
        <f>VLOOKUP(Scores[[#This Row],[MRUN]],Demographics[], 7,FALSE)</f>
        <v>9</v>
      </c>
      <c r="M1414">
        <f>VLOOKUP(Scores[[#This Row],[MRUN]],Demographics[], 5, FALSE)</f>
        <v>2</v>
      </c>
    </row>
    <row r="1415" spans="1:13" x14ac:dyDescent="0.2">
      <c r="A1415" s="1">
        <v>24338210</v>
      </c>
      <c r="B1415">
        <v>1</v>
      </c>
      <c r="C1415">
        <v>3</v>
      </c>
      <c r="D1415">
        <v>661</v>
      </c>
      <c r="E1415">
        <v>655</v>
      </c>
      <c r="F1415">
        <v>828</v>
      </c>
      <c r="G1415">
        <v>0</v>
      </c>
      <c r="H1415">
        <v>647</v>
      </c>
      <c r="I1415">
        <f>VLOOKUP(Scores[[#This Row],[MRUN]],Demographics[],3,FALSE)</f>
        <v>0</v>
      </c>
      <c r="J1415">
        <f>AVERAGE(Scores[[#This Row],[LYC]],Scores[[#This Row],[MATE]])</f>
        <v>741.5</v>
      </c>
      <c r="K1415">
        <f>VLOOKUP(Scores[[#This Row],[MRUN]],Demographics[],6,FALSE)</f>
        <v>0</v>
      </c>
      <c r="L1415">
        <f>VLOOKUP(Scores[[#This Row],[MRUN]],Demographics[], 7,FALSE)</f>
        <v>0</v>
      </c>
      <c r="M1415">
        <f>VLOOKUP(Scores[[#This Row],[MRUN]],Demographics[], 5, FALSE)</f>
        <v>1</v>
      </c>
    </row>
    <row r="1416" spans="1:13" hidden="1" x14ac:dyDescent="0.2">
      <c r="A1416" s="1">
        <v>9865579</v>
      </c>
      <c r="B1416">
        <v>2</v>
      </c>
      <c r="C1416">
        <v>2</v>
      </c>
      <c r="D1416">
        <v>599</v>
      </c>
      <c r="E1416">
        <v>510</v>
      </c>
      <c r="F1416">
        <v>657</v>
      </c>
      <c r="G1416">
        <v>0</v>
      </c>
      <c r="H1416">
        <v>562</v>
      </c>
      <c r="I1416">
        <f>VLOOKUP(Scores[[#This Row],[MRUN]],Demographics[],3,FALSE)</f>
        <v>4</v>
      </c>
      <c r="J1416">
        <f>AVERAGE(Scores[[#This Row],[LYC]],Scores[[#This Row],[MATE]])</f>
        <v>583.5</v>
      </c>
      <c r="K1416">
        <f>VLOOKUP(Scores[[#This Row],[MRUN]],Demographics[],6,FALSE)</f>
        <v>4</v>
      </c>
      <c r="L1416">
        <f>VLOOKUP(Scores[[#This Row],[MRUN]],Demographics[], 7,FALSE)</f>
        <v>5</v>
      </c>
      <c r="M1416">
        <f>VLOOKUP(Scores[[#This Row],[MRUN]],Demographics[], 5, FALSE)</f>
        <v>1</v>
      </c>
    </row>
    <row r="1417" spans="1:13" hidden="1" x14ac:dyDescent="0.2">
      <c r="A1417" s="1">
        <v>11982610</v>
      </c>
      <c r="B1417">
        <v>1</v>
      </c>
      <c r="C1417">
        <v>2</v>
      </c>
      <c r="D1417">
        <v>702</v>
      </c>
      <c r="E1417">
        <v>648</v>
      </c>
      <c r="F1417">
        <v>579</v>
      </c>
      <c r="G1417">
        <v>663</v>
      </c>
      <c r="H1417">
        <v>591</v>
      </c>
      <c r="I1417">
        <f>VLOOKUP(Scores[[#This Row],[MRUN]],Demographics[],3,FALSE)</f>
        <v>5</v>
      </c>
      <c r="J1417">
        <f>AVERAGE(Scores[[#This Row],[LYC]],Scores[[#This Row],[MATE]])</f>
        <v>613.5</v>
      </c>
      <c r="K1417">
        <f>VLOOKUP(Scores[[#This Row],[MRUN]],Demographics[],6,FALSE)</f>
        <v>9</v>
      </c>
      <c r="L1417">
        <f>VLOOKUP(Scores[[#This Row],[MRUN]],Demographics[], 7,FALSE)</f>
        <v>4</v>
      </c>
      <c r="M1417">
        <f>VLOOKUP(Scores[[#This Row],[MRUN]],Demographics[], 5, FALSE)</f>
        <v>2</v>
      </c>
    </row>
    <row r="1418" spans="1:13" hidden="1" x14ac:dyDescent="0.2">
      <c r="A1418" s="1">
        <v>14493941</v>
      </c>
      <c r="B1418">
        <v>1</v>
      </c>
      <c r="C1418">
        <v>2</v>
      </c>
      <c r="D1418">
        <v>601</v>
      </c>
      <c r="E1418">
        <v>345</v>
      </c>
      <c r="F1418">
        <v>413</v>
      </c>
      <c r="G1418">
        <v>449</v>
      </c>
      <c r="H1418">
        <v>417</v>
      </c>
      <c r="I1418">
        <f>VLOOKUP(Scores[[#This Row],[MRUN]],Demographics[],3,FALSE)</f>
        <v>4</v>
      </c>
      <c r="J1418">
        <f>AVERAGE(Scores[[#This Row],[LYC]],Scores[[#This Row],[MATE]])</f>
        <v>379</v>
      </c>
      <c r="K1418">
        <f>VLOOKUP(Scores[[#This Row],[MRUN]],Demographics[],6,FALSE)</f>
        <v>5</v>
      </c>
      <c r="L1418">
        <f>VLOOKUP(Scores[[#This Row],[MRUN]],Demographics[], 7,FALSE)</f>
        <v>5</v>
      </c>
      <c r="M1418">
        <f>VLOOKUP(Scores[[#This Row],[MRUN]],Demographics[], 5, FALSE)</f>
        <v>1</v>
      </c>
    </row>
    <row r="1419" spans="1:13" hidden="1" x14ac:dyDescent="0.2">
      <c r="A1419" s="1">
        <v>12651997</v>
      </c>
      <c r="B1419">
        <v>2</v>
      </c>
      <c r="C1419">
        <v>2</v>
      </c>
      <c r="D1419">
        <v>517</v>
      </c>
      <c r="E1419">
        <v>561</v>
      </c>
      <c r="F1419">
        <v>480</v>
      </c>
      <c r="G1419">
        <v>466</v>
      </c>
      <c r="H1419">
        <v>0</v>
      </c>
      <c r="I1419">
        <f>VLOOKUP(Scores[[#This Row],[MRUN]],Demographics[],3,FALSE)</f>
        <v>5</v>
      </c>
      <c r="J1419">
        <f>AVERAGE(Scores[[#This Row],[LYC]],Scores[[#This Row],[MATE]])</f>
        <v>520.5</v>
      </c>
      <c r="K1419">
        <f>VLOOKUP(Scores[[#This Row],[MRUN]],Demographics[],6,FALSE)</f>
        <v>5</v>
      </c>
      <c r="L1419">
        <f>VLOOKUP(Scores[[#This Row],[MRUN]],Demographics[], 7,FALSE)</f>
        <v>5</v>
      </c>
      <c r="M1419">
        <f>VLOOKUP(Scores[[#This Row],[MRUN]],Demographics[], 5, FALSE)</f>
        <v>1</v>
      </c>
    </row>
    <row r="1420" spans="1:13" hidden="1" x14ac:dyDescent="0.2">
      <c r="A1420" s="1">
        <v>165859</v>
      </c>
      <c r="B1420">
        <v>2</v>
      </c>
      <c r="C1420">
        <v>2</v>
      </c>
      <c r="D1420">
        <v>476</v>
      </c>
      <c r="E1420">
        <v>499</v>
      </c>
      <c r="F1420">
        <v>428</v>
      </c>
      <c r="G1420">
        <v>473</v>
      </c>
      <c r="H1420">
        <v>0</v>
      </c>
      <c r="I1420">
        <f>VLOOKUP(Scores[[#This Row],[MRUN]],Demographics[],3,FALSE)</f>
        <v>6</v>
      </c>
      <c r="J1420">
        <f>AVERAGE(Scores[[#This Row],[LYC]],Scores[[#This Row],[MATE]])</f>
        <v>463.5</v>
      </c>
      <c r="K1420">
        <f>VLOOKUP(Scores[[#This Row],[MRUN]],Demographics[],6,FALSE)</f>
        <v>5</v>
      </c>
      <c r="L1420">
        <f>VLOOKUP(Scores[[#This Row],[MRUN]],Demographics[], 7,FALSE)</f>
        <v>5</v>
      </c>
      <c r="M1420">
        <f>VLOOKUP(Scores[[#This Row],[MRUN]],Demographics[], 5, FALSE)</f>
        <v>1</v>
      </c>
    </row>
    <row r="1421" spans="1:13" hidden="1" x14ac:dyDescent="0.2">
      <c r="A1421" s="1">
        <v>24104006</v>
      </c>
      <c r="B1421">
        <v>2</v>
      </c>
      <c r="C1421">
        <v>2</v>
      </c>
      <c r="D1421">
        <v>414</v>
      </c>
      <c r="E1421">
        <v>483</v>
      </c>
      <c r="F1421">
        <v>472</v>
      </c>
      <c r="G1421">
        <v>490</v>
      </c>
      <c r="H1421">
        <v>0</v>
      </c>
      <c r="I1421">
        <f>VLOOKUP(Scores[[#This Row],[MRUN]],Demographics[],3,FALSE)</f>
        <v>7</v>
      </c>
      <c r="J1421">
        <f>AVERAGE(Scores[[#This Row],[LYC]],Scores[[#This Row],[MATE]])</f>
        <v>477.5</v>
      </c>
      <c r="K1421">
        <f>VLOOKUP(Scores[[#This Row],[MRUN]],Demographics[],6,FALSE)</f>
        <v>5</v>
      </c>
      <c r="L1421">
        <f>VLOOKUP(Scores[[#This Row],[MRUN]],Demographics[], 7,FALSE)</f>
        <v>5</v>
      </c>
      <c r="M1421">
        <f>VLOOKUP(Scores[[#This Row],[MRUN]],Demographics[], 5, FALSE)</f>
        <v>1</v>
      </c>
    </row>
    <row r="1422" spans="1:13" hidden="1" x14ac:dyDescent="0.2">
      <c r="A1422" s="1">
        <v>339125</v>
      </c>
      <c r="B1422">
        <v>2</v>
      </c>
      <c r="C1422">
        <v>3</v>
      </c>
      <c r="D1422">
        <v>517</v>
      </c>
      <c r="E1422">
        <v>541</v>
      </c>
      <c r="F1422">
        <v>527</v>
      </c>
      <c r="G1422">
        <v>0</v>
      </c>
      <c r="H1422">
        <v>510</v>
      </c>
      <c r="I1422">
        <f>VLOOKUP(Scores[[#This Row],[MRUN]],Demographics[],3,FALSE)</f>
        <v>5</v>
      </c>
      <c r="J1422">
        <f>AVERAGE(Scores[[#This Row],[LYC]],Scores[[#This Row],[MATE]])</f>
        <v>534</v>
      </c>
      <c r="K1422">
        <f>VLOOKUP(Scores[[#This Row],[MRUN]],Demographics[],6,FALSE)</f>
        <v>0</v>
      </c>
      <c r="L1422">
        <f>VLOOKUP(Scores[[#This Row],[MRUN]],Demographics[], 7,FALSE)</f>
        <v>5</v>
      </c>
      <c r="M1422">
        <f>VLOOKUP(Scores[[#This Row],[MRUN]],Demographics[], 5, FALSE)</f>
        <v>2</v>
      </c>
    </row>
    <row r="1423" spans="1:13" hidden="1" x14ac:dyDescent="0.2">
      <c r="A1423" s="1">
        <v>15554933</v>
      </c>
      <c r="B1423">
        <v>1</v>
      </c>
      <c r="C1423">
        <v>2</v>
      </c>
      <c r="D1423">
        <v>496</v>
      </c>
      <c r="E1423">
        <v>356</v>
      </c>
      <c r="F1423">
        <v>413</v>
      </c>
      <c r="G1423">
        <v>428</v>
      </c>
      <c r="H1423">
        <v>0</v>
      </c>
      <c r="I1423">
        <f>VLOOKUP(Scores[[#This Row],[MRUN]],Demographics[],3,FALSE)</f>
        <v>6</v>
      </c>
      <c r="J1423">
        <f>AVERAGE(Scores[[#This Row],[LYC]],Scores[[#This Row],[MATE]])</f>
        <v>384.5</v>
      </c>
      <c r="K1423">
        <f>VLOOKUP(Scores[[#This Row],[MRUN]],Demographics[],6,FALSE)</f>
        <v>5</v>
      </c>
      <c r="L1423">
        <f>VLOOKUP(Scores[[#This Row],[MRUN]],Demographics[], 7,FALSE)</f>
        <v>5</v>
      </c>
      <c r="M1423">
        <f>VLOOKUP(Scores[[#This Row],[MRUN]],Demographics[], 5, FALSE)</f>
        <v>1</v>
      </c>
    </row>
    <row r="1424" spans="1:13" hidden="1" x14ac:dyDescent="0.2">
      <c r="A1424" s="1">
        <v>14935530</v>
      </c>
      <c r="B1424">
        <v>2</v>
      </c>
      <c r="C1424">
        <v>2</v>
      </c>
      <c r="D1424">
        <v>539</v>
      </c>
      <c r="E1424">
        <v>415</v>
      </c>
      <c r="F1424">
        <v>452</v>
      </c>
      <c r="G1424">
        <v>495</v>
      </c>
      <c r="H1424">
        <v>0</v>
      </c>
      <c r="I1424">
        <f>VLOOKUP(Scores[[#This Row],[MRUN]],Demographics[],3,FALSE)</f>
        <v>4</v>
      </c>
      <c r="J1424">
        <f>AVERAGE(Scores[[#This Row],[LYC]],Scores[[#This Row],[MATE]])</f>
        <v>433.5</v>
      </c>
      <c r="K1424">
        <f>VLOOKUP(Scores[[#This Row],[MRUN]],Demographics[],6,FALSE)</f>
        <v>5</v>
      </c>
      <c r="L1424">
        <f>VLOOKUP(Scores[[#This Row],[MRUN]],Demographics[], 7,FALSE)</f>
        <v>5</v>
      </c>
      <c r="M1424">
        <f>VLOOKUP(Scores[[#This Row],[MRUN]],Demographics[], 5, FALSE)</f>
        <v>1</v>
      </c>
    </row>
    <row r="1425" spans="1:13" hidden="1" x14ac:dyDescent="0.2">
      <c r="A1425" s="1">
        <v>22327242</v>
      </c>
      <c r="B1425">
        <v>2</v>
      </c>
      <c r="C1425">
        <v>2</v>
      </c>
      <c r="D1425">
        <v>437</v>
      </c>
      <c r="E1425">
        <v>499</v>
      </c>
      <c r="F1425">
        <v>452</v>
      </c>
      <c r="G1425">
        <v>512</v>
      </c>
      <c r="H1425">
        <v>0</v>
      </c>
      <c r="I1425">
        <f>VLOOKUP(Scores[[#This Row],[MRUN]],Demographics[],3,FALSE)</f>
        <v>4</v>
      </c>
      <c r="J1425">
        <f>AVERAGE(Scores[[#This Row],[LYC]],Scores[[#This Row],[MATE]])</f>
        <v>475.5</v>
      </c>
      <c r="K1425">
        <f>VLOOKUP(Scores[[#This Row],[MRUN]],Demographics[],6,FALSE)</f>
        <v>5</v>
      </c>
      <c r="L1425">
        <f>VLOOKUP(Scores[[#This Row],[MRUN]],Demographics[], 7,FALSE)</f>
        <v>9</v>
      </c>
      <c r="M1425">
        <f>VLOOKUP(Scores[[#This Row],[MRUN]],Demographics[], 5, FALSE)</f>
        <v>1</v>
      </c>
    </row>
    <row r="1426" spans="1:13" hidden="1" x14ac:dyDescent="0.2">
      <c r="A1426" s="1">
        <v>24131955</v>
      </c>
      <c r="B1426">
        <v>2</v>
      </c>
      <c r="C1426">
        <v>2</v>
      </c>
      <c r="D1426">
        <v>476</v>
      </c>
      <c r="E1426">
        <v>541</v>
      </c>
      <c r="F1426">
        <v>428</v>
      </c>
      <c r="G1426">
        <v>597</v>
      </c>
      <c r="H1426">
        <v>523</v>
      </c>
      <c r="I1426">
        <f>VLOOKUP(Scores[[#This Row],[MRUN]],Demographics[],3,FALSE)</f>
        <v>4</v>
      </c>
      <c r="J1426">
        <f>AVERAGE(Scores[[#This Row],[LYC]],Scores[[#This Row],[MATE]])</f>
        <v>484.5</v>
      </c>
      <c r="K1426">
        <f>VLOOKUP(Scores[[#This Row],[MRUN]],Demographics[],6,FALSE)</f>
        <v>0</v>
      </c>
      <c r="L1426">
        <f>VLOOKUP(Scores[[#This Row],[MRUN]],Demographics[], 7,FALSE)</f>
        <v>6</v>
      </c>
      <c r="M1426">
        <f>VLOOKUP(Scores[[#This Row],[MRUN]],Demographics[], 5, FALSE)</f>
        <v>1</v>
      </c>
    </row>
    <row r="1427" spans="1:13" hidden="1" x14ac:dyDescent="0.2">
      <c r="A1427" s="1">
        <v>24608266</v>
      </c>
      <c r="B1427">
        <v>2</v>
      </c>
      <c r="C1427">
        <v>4</v>
      </c>
      <c r="D1427">
        <v>620</v>
      </c>
      <c r="E1427">
        <v>675</v>
      </c>
      <c r="F1427">
        <v>628</v>
      </c>
      <c r="G1427">
        <v>0</v>
      </c>
      <c r="H1427">
        <v>636</v>
      </c>
      <c r="I1427">
        <f>VLOOKUP(Scores[[#This Row],[MRUN]],Demographics[],3,FALSE)</f>
        <v>5</v>
      </c>
      <c r="J1427">
        <f>AVERAGE(Scores[[#This Row],[LYC]],Scores[[#This Row],[MATE]])</f>
        <v>651.5</v>
      </c>
      <c r="K1427">
        <f>VLOOKUP(Scores[[#This Row],[MRUN]],Demographics[],6,FALSE)</f>
        <v>9</v>
      </c>
      <c r="L1427">
        <f>VLOOKUP(Scores[[#This Row],[MRUN]],Demographics[], 7,FALSE)</f>
        <v>9</v>
      </c>
      <c r="M1427">
        <f>VLOOKUP(Scores[[#This Row],[MRUN]],Demographics[], 5, FALSE)</f>
        <v>3</v>
      </c>
    </row>
    <row r="1428" spans="1:13" hidden="1" x14ac:dyDescent="0.2">
      <c r="A1428" s="1">
        <v>474038</v>
      </c>
      <c r="B1428">
        <v>2</v>
      </c>
      <c r="C1428">
        <v>2</v>
      </c>
      <c r="D1428">
        <v>641</v>
      </c>
      <c r="E1428">
        <v>636</v>
      </c>
      <c r="F1428">
        <v>617</v>
      </c>
      <c r="G1428">
        <v>0</v>
      </c>
      <c r="H1428">
        <v>558</v>
      </c>
      <c r="I1428">
        <f>VLOOKUP(Scores[[#This Row],[MRUN]],Demographics[],3,FALSE)</f>
        <v>5</v>
      </c>
      <c r="J1428">
        <f>AVERAGE(Scores[[#This Row],[LYC]],Scores[[#This Row],[MATE]])</f>
        <v>626.5</v>
      </c>
      <c r="K1428">
        <f>VLOOKUP(Scores[[#This Row],[MRUN]],Demographics[],6,FALSE)</f>
        <v>9</v>
      </c>
      <c r="L1428">
        <f>VLOOKUP(Scores[[#This Row],[MRUN]],Demographics[], 7,FALSE)</f>
        <v>9</v>
      </c>
      <c r="M1428">
        <f>VLOOKUP(Scores[[#This Row],[MRUN]],Demographics[], 5, FALSE)</f>
        <v>2</v>
      </c>
    </row>
    <row r="1429" spans="1:13" hidden="1" x14ac:dyDescent="0.2">
      <c r="A1429" s="1">
        <v>16632588</v>
      </c>
      <c r="B1429">
        <v>1</v>
      </c>
      <c r="C1429">
        <v>3</v>
      </c>
      <c r="D1429">
        <v>703</v>
      </c>
      <c r="E1429">
        <v>464</v>
      </c>
      <c r="F1429">
        <v>506</v>
      </c>
      <c r="G1429">
        <v>436</v>
      </c>
      <c r="H1429">
        <v>361</v>
      </c>
      <c r="I1429">
        <f>VLOOKUP(Scores[[#This Row],[MRUN]],Demographics[],3,FALSE)</f>
        <v>6</v>
      </c>
      <c r="J1429">
        <f>AVERAGE(Scores[[#This Row],[LYC]],Scores[[#This Row],[MATE]])</f>
        <v>485</v>
      </c>
      <c r="K1429">
        <f>VLOOKUP(Scores[[#This Row],[MRUN]],Demographics[],6,FALSE)</f>
        <v>2</v>
      </c>
      <c r="L1429">
        <f>VLOOKUP(Scores[[#This Row],[MRUN]],Demographics[], 7,FALSE)</f>
        <v>2</v>
      </c>
      <c r="M1429">
        <f>VLOOKUP(Scores[[#This Row],[MRUN]],Demographics[], 5, FALSE)</f>
        <v>1</v>
      </c>
    </row>
    <row r="1430" spans="1:13" hidden="1" x14ac:dyDescent="0.2">
      <c r="A1430" s="1">
        <v>24436641</v>
      </c>
      <c r="B1430">
        <v>2</v>
      </c>
      <c r="C1430">
        <v>4</v>
      </c>
      <c r="D1430">
        <v>744</v>
      </c>
      <c r="E1430">
        <v>727</v>
      </c>
      <c r="F1430">
        <v>763</v>
      </c>
      <c r="G1430">
        <v>0</v>
      </c>
      <c r="H1430">
        <v>777</v>
      </c>
      <c r="I1430">
        <f>VLOOKUP(Scores[[#This Row],[MRUN]],Demographics[],3,FALSE)</f>
        <v>6</v>
      </c>
      <c r="J1430">
        <f>AVERAGE(Scores[[#This Row],[LYC]],Scores[[#This Row],[MATE]])</f>
        <v>745</v>
      </c>
      <c r="K1430">
        <f>VLOOKUP(Scores[[#This Row],[MRUN]],Demographics[],6,FALSE)</f>
        <v>9</v>
      </c>
      <c r="L1430">
        <f>VLOOKUP(Scores[[#This Row],[MRUN]],Demographics[], 7,FALSE)</f>
        <v>9</v>
      </c>
      <c r="M1430">
        <f>VLOOKUP(Scores[[#This Row],[MRUN]],Demographics[], 5, FALSE)</f>
        <v>6</v>
      </c>
    </row>
    <row r="1431" spans="1:13" hidden="1" x14ac:dyDescent="0.2">
      <c r="A1431" s="1">
        <v>18489136</v>
      </c>
      <c r="B1431">
        <v>2</v>
      </c>
      <c r="C1431">
        <v>2</v>
      </c>
      <c r="D1431">
        <v>579</v>
      </c>
      <c r="E1431">
        <v>458</v>
      </c>
      <c r="F1431">
        <v>463</v>
      </c>
      <c r="G1431">
        <v>521</v>
      </c>
      <c r="H1431">
        <v>0</v>
      </c>
      <c r="I1431">
        <f>VLOOKUP(Scores[[#This Row],[MRUN]],Demographics[],3,FALSE)</f>
        <v>4</v>
      </c>
      <c r="J1431">
        <f>AVERAGE(Scores[[#This Row],[LYC]],Scores[[#This Row],[MATE]])</f>
        <v>460.5</v>
      </c>
      <c r="K1431">
        <f>VLOOKUP(Scores[[#This Row],[MRUN]],Demographics[],6,FALSE)</f>
        <v>9</v>
      </c>
      <c r="L1431">
        <f>VLOOKUP(Scores[[#This Row],[MRUN]],Demographics[], 7,FALSE)</f>
        <v>5</v>
      </c>
      <c r="M1431">
        <f>VLOOKUP(Scores[[#This Row],[MRUN]],Demographics[], 5, FALSE)</f>
        <v>1</v>
      </c>
    </row>
    <row r="1432" spans="1:13" hidden="1" x14ac:dyDescent="0.2">
      <c r="A1432" s="1">
        <v>10725767</v>
      </c>
      <c r="B1432">
        <v>1</v>
      </c>
      <c r="C1432">
        <v>4</v>
      </c>
      <c r="D1432">
        <v>558</v>
      </c>
      <c r="E1432">
        <v>699</v>
      </c>
      <c r="F1432">
        <v>681</v>
      </c>
      <c r="G1432">
        <v>0</v>
      </c>
      <c r="H1432">
        <v>631</v>
      </c>
      <c r="I1432">
        <f>VLOOKUP(Scores[[#This Row],[MRUN]],Demographics[],3,FALSE)</f>
        <v>5</v>
      </c>
      <c r="J1432">
        <f>AVERAGE(Scores[[#This Row],[LYC]],Scores[[#This Row],[MATE]])</f>
        <v>690</v>
      </c>
      <c r="K1432">
        <f>VLOOKUP(Scores[[#This Row],[MRUN]],Demographics[],6,FALSE)</f>
        <v>9</v>
      </c>
      <c r="L1432">
        <f>VLOOKUP(Scores[[#This Row],[MRUN]],Demographics[], 7,FALSE)</f>
        <v>9</v>
      </c>
      <c r="M1432">
        <f>VLOOKUP(Scores[[#This Row],[MRUN]],Demographics[], 5, FALSE)</f>
        <v>6</v>
      </c>
    </row>
    <row r="1433" spans="1:13" hidden="1" x14ac:dyDescent="0.2">
      <c r="A1433" s="1">
        <v>23574961</v>
      </c>
      <c r="B1433">
        <v>1</v>
      </c>
      <c r="C1433">
        <v>4</v>
      </c>
      <c r="D1433">
        <v>764</v>
      </c>
      <c r="E1433">
        <v>757</v>
      </c>
      <c r="F1433">
        <v>850</v>
      </c>
      <c r="G1433">
        <v>0</v>
      </c>
      <c r="H1433">
        <v>756</v>
      </c>
      <c r="I1433">
        <f>VLOOKUP(Scores[[#This Row],[MRUN]],Demographics[],3,FALSE)</f>
        <v>8</v>
      </c>
      <c r="J1433">
        <f>AVERAGE(Scores[[#This Row],[LYC]],Scores[[#This Row],[MATE]])</f>
        <v>803.5</v>
      </c>
      <c r="K1433">
        <f>VLOOKUP(Scores[[#This Row],[MRUN]],Demographics[],6,FALSE)</f>
        <v>9</v>
      </c>
      <c r="L1433">
        <f>VLOOKUP(Scores[[#This Row],[MRUN]],Demographics[], 7,FALSE)</f>
        <v>9</v>
      </c>
      <c r="M1433">
        <f>VLOOKUP(Scores[[#This Row],[MRUN]],Demographics[], 5, FALSE)</f>
        <v>6</v>
      </c>
    </row>
    <row r="1434" spans="1:13" hidden="1" x14ac:dyDescent="0.2">
      <c r="A1434" s="1">
        <v>12115935</v>
      </c>
      <c r="B1434">
        <v>2</v>
      </c>
      <c r="C1434">
        <v>4</v>
      </c>
      <c r="D1434">
        <v>579</v>
      </c>
      <c r="E1434">
        <v>567</v>
      </c>
      <c r="F1434">
        <v>574</v>
      </c>
      <c r="G1434">
        <v>657</v>
      </c>
      <c r="H1434">
        <v>553</v>
      </c>
      <c r="I1434">
        <f>VLOOKUP(Scores[[#This Row],[MRUN]],Demographics[],3,FALSE)</f>
        <v>4</v>
      </c>
      <c r="J1434">
        <f>AVERAGE(Scores[[#This Row],[LYC]],Scores[[#This Row],[MATE]])</f>
        <v>570.5</v>
      </c>
      <c r="K1434">
        <f>VLOOKUP(Scores[[#This Row],[MRUN]],Demographics[],6,FALSE)</f>
        <v>3</v>
      </c>
      <c r="L1434">
        <f>VLOOKUP(Scores[[#This Row],[MRUN]],Demographics[], 7,FALSE)</f>
        <v>4</v>
      </c>
      <c r="M1434">
        <f>VLOOKUP(Scores[[#This Row],[MRUN]],Demographics[], 5, FALSE)</f>
        <v>3</v>
      </c>
    </row>
    <row r="1435" spans="1:13" hidden="1" x14ac:dyDescent="0.2">
      <c r="A1435" s="1">
        <v>17307263</v>
      </c>
      <c r="B1435">
        <v>2</v>
      </c>
      <c r="C1435">
        <v>2</v>
      </c>
      <c r="D1435">
        <v>541</v>
      </c>
      <c r="E1435">
        <v>415</v>
      </c>
      <c r="F1435">
        <v>353</v>
      </c>
      <c r="G1435">
        <v>289</v>
      </c>
      <c r="H1435">
        <v>0</v>
      </c>
      <c r="I1435">
        <f>VLOOKUP(Scores[[#This Row],[MRUN]],Demographics[],3,FALSE)</f>
        <v>5</v>
      </c>
      <c r="J1435">
        <f>AVERAGE(Scores[[#This Row],[LYC]],Scores[[#This Row],[MATE]])</f>
        <v>384</v>
      </c>
      <c r="K1435">
        <f>VLOOKUP(Scores[[#This Row],[MRUN]],Demographics[],6,FALSE)</f>
        <v>3</v>
      </c>
      <c r="L1435">
        <f>VLOOKUP(Scores[[#This Row],[MRUN]],Demographics[], 7,FALSE)</f>
        <v>3</v>
      </c>
      <c r="M1435">
        <f>VLOOKUP(Scores[[#This Row],[MRUN]],Demographics[], 5, FALSE)</f>
        <v>1</v>
      </c>
    </row>
    <row r="1436" spans="1:13" hidden="1" x14ac:dyDescent="0.2">
      <c r="A1436" s="1">
        <v>217172</v>
      </c>
      <c r="B1436">
        <v>2</v>
      </c>
      <c r="C1436">
        <v>2</v>
      </c>
      <c r="D1436">
        <v>662</v>
      </c>
      <c r="E1436">
        <v>415</v>
      </c>
      <c r="F1436">
        <v>452</v>
      </c>
      <c r="G1436">
        <v>501</v>
      </c>
      <c r="H1436">
        <v>0</v>
      </c>
      <c r="I1436">
        <f>VLOOKUP(Scores[[#This Row],[MRUN]],Demographics[],3,FALSE)</f>
        <v>4</v>
      </c>
      <c r="J1436">
        <f>AVERAGE(Scores[[#This Row],[LYC]],Scores[[#This Row],[MATE]])</f>
        <v>433.5</v>
      </c>
      <c r="K1436">
        <f>VLOOKUP(Scores[[#This Row],[MRUN]],Demographics[],6,FALSE)</f>
        <v>2</v>
      </c>
      <c r="L1436">
        <f>VLOOKUP(Scores[[#This Row],[MRUN]],Demographics[], 7,FALSE)</f>
        <v>2</v>
      </c>
      <c r="M1436">
        <f>VLOOKUP(Scores[[#This Row],[MRUN]],Demographics[], 5, FALSE)</f>
        <v>1</v>
      </c>
    </row>
    <row r="1437" spans="1:13" hidden="1" x14ac:dyDescent="0.2">
      <c r="A1437" s="1">
        <v>16873687</v>
      </c>
      <c r="B1437">
        <v>1</v>
      </c>
      <c r="C1437">
        <v>2</v>
      </c>
      <c r="D1437">
        <v>437</v>
      </c>
      <c r="E1437">
        <v>0</v>
      </c>
      <c r="F1437">
        <v>0</v>
      </c>
      <c r="G1437">
        <v>0</v>
      </c>
      <c r="H1437">
        <v>0</v>
      </c>
      <c r="I1437">
        <f>VLOOKUP(Scores[[#This Row],[MRUN]],Demographics[],3,FALSE)</f>
        <v>8</v>
      </c>
      <c r="J1437">
        <f>AVERAGE(Scores[[#This Row],[LYC]],Scores[[#This Row],[MATE]])</f>
        <v>0</v>
      </c>
      <c r="K1437">
        <f>VLOOKUP(Scores[[#This Row],[MRUN]],Demographics[],6,FALSE)</f>
        <v>1</v>
      </c>
      <c r="L1437">
        <f>VLOOKUP(Scores[[#This Row],[MRUN]],Demographics[], 7,FALSE)</f>
        <v>2</v>
      </c>
      <c r="M1437">
        <f>VLOOKUP(Scores[[#This Row],[MRUN]],Demographics[], 5, FALSE)</f>
        <v>1</v>
      </c>
    </row>
    <row r="1438" spans="1:13" hidden="1" x14ac:dyDescent="0.2">
      <c r="A1438" s="1">
        <v>5558521</v>
      </c>
      <c r="B1438">
        <v>2</v>
      </c>
      <c r="C1438">
        <v>3</v>
      </c>
      <c r="D1438">
        <v>499</v>
      </c>
      <c r="E1438">
        <v>356</v>
      </c>
      <c r="F1438">
        <v>452</v>
      </c>
      <c r="G1438">
        <v>0</v>
      </c>
      <c r="H1438">
        <v>267</v>
      </c>
      <c r="I1438">
        <f>VLOOKUP(Scores[[#This Row],[MRUN]],Demographics[],3,FALSE)</f>
        <v>5</v>
      </c>
      <c r="J1438">
        <f>AVERAGE(Scores[[#This Row],[LYC]],Scores[[#This Row],[MATE]])</f>
        <v>404</v>
      </c>
      <c r="K1438">
        <f>VLOOKUP(Scores[[#This Row],[MRUN]],Demographics[],6,FALSE)</f>
        <v>2</v>
      </c>
      <c r="L1438">
        <f>VLOOKUP(Scores[[#This Row],[MRUN]],Demographics[], 7,FALSE)</f>
        <v>4</v>
      </c>
      <c r="M1438">
        <f>VLOOKUP(Scores[[#This Row],[MRUN]],Demographics[], 5, FALSE)</f>
        <v>1</v>
      </c>
    </row>
    <row r="1439" spans="1:13" hidden="1" x14ac:dyDescent="0.2">
      <c r="A1439" s="1">
        <v>17740265</v>
      </c>
      <c r="B1439">
        <v>1</v>
      </c>
      <c r="C1439">
        <v>2</v>
      </c>
      <c r="D1439">
        <v>519</v>
      </c>
      <c r="E1439">
        <v>576</v>
      </c>
      <c r="F1439">
        <v>549</v>
      </c>
      <c r="G1439">
        <v>699</v>
      </c>
      <c r="H1439">
        <v>0</v>
      </c>
      <c r="I1439">
        <f>VLOOKUP(Scores[[#This Row],[MRUN]],Demographics[],3,FALSE)</f>
        <v>3</v>
      </c>
      <c r="J1439">
        <f>AVERAGE(Scores[[#This Row],[LYC]],Scores[[#This Row],[MATE]])</f>
        <v>562.5</v>
      </c>
      <c r="K1439">
        <f>VLOOKUP(Scores[[#This Row],[MRUN]],Demographics[],6,FALSE)</f>
        <v>5</v>
      </c>
      <c r="L1439">
        <f>VLOOKUP(Scores[[#This Row],[MRUN]],Demographics[], 7,FALSE)</f>
        <v>5</v>
      </c>
      <c r="M1439">
        <f>VLOOKUP(Scores[[#This Row],[MRUN]],Demographics[], 5, FALSE)</f>
        <v>1</v>
      </c>
    </row>
    <row r="1440" spans="1:13" hidden="1" x14ac:dyDescent="0.2">
      <c r="A1440" s="1">
        <v>3854993</v>
      </c>
      <c r="B1440">
        <v>2</v>
      </c>
      <c r="C1440">
        <v>3</v>
      </c>
      <c r="D1440">
        <v>682</v>
      </c>
      <c r="E1440">
        <v>464</v>
      </c>
      <c r="F1440">
        <v>472</v>
      </c>
      <c r="G1440">
        <v>521</v>
      </c>
      <c r="H1440">
        <v>0</v>
      </c>
      <c r="I1440">
        <f>VLOOKUP(Scores[[#This Row],[MRUN]],Demographics[],3,FALSE)</f>
        <v>4</v>
      </c>
      <c r="J1440">
        <f>AVERAGE(Scores[[#This Row],[LYC]],Scores[[#This Row],[MATE]])</f>
        <v>468</v>
      </c>
      <c r="K1440">
        <f>VLOOKUP(Scores[[#This Row],[MRUN]],Demographics[],6,FALSE)</f>
        <v>2</v>
      </c>
      <c r="L1440">
        <f>VLOOKUP(Scores[[#This Row],[MRUN]],Demographics[], 7,FALSE)</f>
        <v>2</v>
      </c>
      <c r="M1440">
        <f>VLOOKUP(Scores[[#This Row],[MRUN]],Demographics[], 5, FALSE)</f>
        <v>1</v>
      </c>
    </row>
    <row r="1441" spans="1:13" hidden="1" x14ac:dyDescent="0.2">
      <c r="A1441" s="1">
        <v>16238918</v>
      </c>
      <c r="B1441">
        <v>2</v>
      </c>
      <c r="C1441">
        <v>2</v>
      </c>
      <c r="D1441">
        <v>496</v>
      </c>
      <c r="E1441">
        <v>483</v>
      </c>
      <c r="F1441">
        <v>413</v>
      </c>
      <c r="G1441">
        <v>397</v>
      </c>
      <c r="H1441">
        <v>0</v>
      </c>
      <c r="I1441">
        <f>VLOOKUP(Scores[[#This Row],[MRUN]],Demographics[],3,FALSE)</f>
        <v>4</v>
      </c>
      <c r="J1441">
        <f>AVERAGE(Scores[[#This Row],[LYC]],Scores[[#This Row],[MATE]])</f>
        <v>448</v>
      </c>
      <c r="K1441">
        <f>VLOOKUP(Scores[[#This Row],[MRUN]],Demographics[],6,FALSE)</f>
        <v>4</v>
      </c>
      <c r="L1441">
        <f>VLOOKUP(Scores[[#This Row],[MRUN]],Demographics[], 7,FALSE)</f>
        <v>4</v>
      </c>
      <c r="M1441">
        <f>VLOOKUP(Scores[[#This Row],[MRUN]],Demographics[], 5, FALSE)</f>
        <v>1</v>
      </c>
    </row>
    <row r="1442" spans="1:13" hidden="1" x14ac:dyDescent="0.2">
      <c r="A1442" s="1">
        <v>10797599</v>
      </c>
      <c r="B1442">
        <v>2</v>
      </c>
      <c r="C1442">
        <v>3</v>
      </c>
      <c r="D1442">
        <v>414</v>
      </c>
      <c r="E1442">
        <v>438</v>
      </c>
      <c r="F1442">
        <v>274</v>
      </c>
      <c r="G1442">
        <v>0</v>
      </c>
      <c r="H1442">
        <v>428</v>
      </c>
      <c r="I1442">
        <f>VLOOKUP(Scores[[#This Row],[MRUN]],Demographics[],3,FALSE)</f>
        <v>5</v>
      </c>
      <c r="J1442">
        <f>AVERAGE(Scores[[#This Row],[LYC]],Scores[[#This Row],[MATE]])</f>
        <v>356</v>
      </c>
      <c r="K1442">
        <f>VLOOKUP(Scores[[#This Row],[MRUN]],Demographics[],6,FALSE)</f>
        <v>5</v>
      </c>
      <c r="L1442">
        <f>VLOOKUP(Scores[[#This Row],[MRUN]],Demographics[], 7,FALSE)</f>
        <v>5</v>
      </c>
      <c r="M1442">
        <f>VLOOKUP(Scores[[#This Row],[MRUN]],Demographics[], 5, FALSE)</f>
        <v>1</v>
      </c>
    </row>
    <row r="1443" spans="1:13" hidden="1" x14ac:dyDescent="0.2">
      <c r="A1443" s="1">
        <v>1339114</v>
      </c>
      <c r="B1443">
        <v>2</v>
      </c>
      <c r="C1443">
        <v>2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f>VLOOKUP(Scores[[#This Row],[MRUN]],Demographics[],3,FALSE)</f>
        <v>5</v>
      </c>
      <c r="J1443">
        <f>AVERAGE(Scores[[#This Row],[LYC]],Scores[[#This Row],[MATE]])</f>
        <v>0</v>
      </c>
      <c r="K1443">
        <f>VLOOKUP(Scores[[#This Row],[MRUN]],Demographics[],6,FALSE)</f>
        <v>5</v>
      </c>
      <c r="L1443">
        <f>VLOOKUP(Scores[[#This Row],[MRUN]],Demographics[], 7,FALSE)</f>
        <v>5</v>
      </c>
      <c r="M1443">
        <f>VLOOKUP(Scores[[#This Row],[MRUN]],Demographics[], 5, FALSE)</f>
        <v>1</v>
      </c>
    </row>
    <row r="1444" spans="1:13" hidden="1" x14ac:dyDescent="0.2">
      <c r="A1444" s="1">
        <v>12638817</v>
      </c>
      <c r="B1444">
        <v>2</v>
      </c>
      <c r="C1444">
        <v>3</v>
      </c>
      <c r="D1444">
        <v>539</v>
      </c>
      <c r="E1444">
        <v>397</v>
      </c>
      <c r="F1444">
        <v>452</v>
      </c>
      <c r="G1444">
        <v>397</v>
      </c>
      <c r="H1444">
        <v>0</v>
      </c>
      <c r="I1444">
        <f>VLOOKUP(Scores[[#This Row],[MRUN]],Demographics[],3,FALSE)</f>
        <v>3</v>
      </c>
      <c r="J1444">
        <f>AVERAGE(Scores[[#This Row],[LYC]],Scores[[#This Row],[MATE]])</f>
        <v>424.5</v>
      </c>
      <c r="K1444">
        <f>VLOOKUP(Scores[[#This Row],[MRUN]],Demographics[],6,FALSE)</f>
        <v>2</v>
      </c>
      <c r="L1444">
        <f>VLOOKUP(Scores[[#This Row],[MRUN]],Demographics[], 7,FALSE)</f>
        <v>2</v>
      </c>
      <c r="M1444">
        <f>VLOOKUP(Scores[[#This Row],[MRUN]],Demographics[], 5, FALSE)</f>
        <v>1</v>
      </c>
    </row>
    <row r="1445" spans="1:13" hidden="1" x14ac:dyDescent="0.2">
      <c r="A1445" s="1">
        <v>10518183</v>
      </c>
      <c r="B1445">
        <v>1</v>
      </c>
      <c r="C1445">
        <v>2</v>
      </c>
      <c r="D1445">
        <v>478</v>
      </c>
      <c r="E1445">
        <v>557</v>
      </c>
      <c r="F1445">
        <v>571</v>
      </c>
      <c r="G1445">
        <v>0</v>
      </c>
      <c r="H1445">
        <v>326</v>
      </c>
      <c r="I1445">
        <f>VLOOKUP(Scores[[#This Row],[MRUN]],Demographics[],3,FALSE)</f>
        <v>2</v>
      </c>
      <c r="J1445">
        <f>AVERAGE(Scores[[#This Row],[LYC]],Scores[[#This Row],[MATE]])</f>
        <v>564</v>
      </c>
      <c r="K1445">
        <f>VLOOKUP(Scores[[#This Row],[MRUN]],Demographics[],6,FALSE)</f>
        <v>3</v>
      </c>
      <c r="L1445">
        <f>VLOOKUP(Scores[[#This Row],[MRUN]],Demographics[], 7,FALSE)</f>
        <v>5</v>
      </c>
      <c r="M1445">
        <f>VLOOKUP(Scores[[#This Row],[MRUN]],Demographics[], 5, FALSE)</f>
        <v>1</v>
      </c>
    </row>
    <row r="1446" spans="1:13" hidden="1" x14ac:dyDescent="0.2">
      <c r="A1446" s="1">
        <v>6044537</v>
      </c>
      <c r="B1446">
        <v>2</v>
      </c>
      <c r="C1446">
        <v>2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f>VLOOKUP(Scores[[#This Row],[MRUN]],Demographics[],3,FALSE)</f>
        <v>5</v>
      </c>
      <c r="J1446">
        <f>AVERAGE(Scores[[#This Row],[LYC]],Scores[[#This Row],[MATE]])</f>
        <v>0</v>
      </c>
      <c r="K1446">
        <f>VLOOKUP(Scores[[#This Row],[MRUN]],Demographics[],6,FALSE)</f>
        <v>4</v>
      </c>
      <c r="L1446">
        <f>VLOOKUP(Scores[[#This Row],[MRUN]],Demographics[], 7,FALSE)</f>
        <v>4</v>
      </c>
      <c r="M1446">
        <f>VLOOKUP(Scores[[#This Row],[MRUN]],Demographics[], 5, FALSE)</f>
        <v>1</v>
      </c>
    </row>
    <row r="1447" spans="1:13" hidden="1" x14ac:dyDescent="0.2">
      <c r="A1447" s="1">
        <v>20564991</v>
      </c>
      <c r="B1447">
        <v>2</v>
      </c>
      <c r="C1447">
        <v>2</v>
      </c>
      <c r="D1447">
        <v>560</v>
      </c>
      <c r="E1447">
        <v>586</v>
      </c>
      <c r="F1447">
        <v>527</v>
      </c>
      <c r="G1447">
        <v>461</v>
      </c>
      <c r="H1447">
        <v>0</v>
      </c>
      <c r="I1447">
        <f>VLOOKUP(Scores[[#This Row],[MRUN]],Demographics[],3,FALSE)</f>
        <v>5</v>
      </c>
      <c r="J1447">
        <f>AVERAGE(Scores[[#This Row],[LYC]],Scores[[#This Row],[MATE]])</f>
        <v>556.5</v>
      </c>
      <c r="K1447">
        <f>VLOOKUP(Scores[[#This Row],[MRUN]],Demographics[],6,FALSE)</f>
        <v>5</v>
      </c>
      <c r="L1447">
        <f>VLOOKUP(Scores[[#This Row],[MRUN]],Demographics[], 7,FALSE)</f>
        <v>4</v>
      </c>
      <c r="M1447">
        <f>VLOOKUP(Scores[[#This Row],[MRUN]],Demographics[], 5, FALSE)</f>
        <v>1</v>
      </c>
    </row>
    <row r="1448" spans="1:13" hidden="1" x14ac:dyDescent="0.2">
      <c r="A1448" s="1">
        <v>13896457</v>
      </c>
      <c r="B1448">
        <v>2</v>
      </c>
      <c r="C1448">
        <v>2</v>
      </c>
      <c r="D1448">
        <v>476</v>
      </c>
      <c r="E1448">
        <v>451</v>
      </c>
      <c r="F1448">
        <v>463</v>
      </c>
      <c r="G1448">
        <v>449</v>
      </c>
      <c r="H1448">
        <v>0</v>
      </c>
      <c r="I1448">
        <f>VLOOKUP(Scores[[#This Row],[MRUN]],Demographics[],3,FALSE)</f>
        <v>4</v>
      </c>
      <c r="J1448">
        <f>AVERAGE(Scores[[#This Row],[LYC]],Scores[[#This Row],[MATE]])</f>
        <v>457</v>
      </c>
      <c r="K1448">
        <f>VLOOKUP(Scores[[#This Row],[MRUN]],Demographics[],6,FALSE)</f>
        <v>5</v>
      </c>
      <c r="L1448">
        <f>VLOOKUP(Scores[[#This Row],[MRUN]],Demographics[], 7,FALSE)</f>
        <v>5</v>
      </c>
      <c r="M1448">
        <f>VLOOKUP(Scores[[#This Row],[MRUN]],Demographics[], 5, FALSE)</f>
        <v>1</v>
      </c>
    </row>
    <row r="1449" spans="1:13" hidden="1" x14ac:dyDescent="0.2">
      <c r="A1449" s="1">
        <v>9522956</v>
      </c>
      <c r="B1449">
        <v>2</v>
      </c>
      <c r="C1449">
        <v>2</v>
      </c>
      <c r="D1449">
        <v>620</v>
      </c>
      <c r="E1449">
        <v>613</v>
      </c>
      <c r="F1449">
        <v>603</v>
      </c>
      <c r="G1449">
        <v>677</v>
      </c>
      <c r="H1449">
        <v>0</v>
      </c>
      <c r="I1449">
        <f>VLOOKUP(Scores[[#This Row],[MRUN]],Demographics[],3,FALSE)</f>
        <v>4</v>
      </c>
      <c r="J1449">
        <f>AVERAGE(Scores[[#This Row],[LYC]],Scores[[#This Row],[MATE]])</f>
        <v>608</v>
      </c>
      <c r="K1449">
        <f>VLOOKUP(Scores[[#This Row],[MRUN]],Demographics[],6,FALSE)</f>
        <v>5</v>
      </c>
      <c r="L1449">
        <f>VLOOKUP(Scores[[#This Row],[MRUN]],Demographics[], 7,FALSE)</f>
        <v>3</v>
      </c>
      <c r="M1449">
        <f>VLOOKUP(Scores[[#This Row],[MRUN]],Demographics[], 5, FALSE)</f>
        <v>2</v>
      </c>
    </row>
    <row r="1450" spans="1:13" hidden="1" x14ac:dyDescent="0.2">
      <c r="A1450" s="1">
        <v>21821930</v>
      </c>
      <c r="B1450">
        <v>1</v>
      </c>
      <c r="C1450">
        <v>3</v>
      </c>
      <c r="D1450">
        <v>455</v>
      </c>
      <c r="E1450">
        <v>494</v>
      </c>
      <c r="F1450">
        <v>568</v>
      </c>
      <c r="G1450">
        <v>521</v>
      </c>
      <c r="H1450">
        <v>528</v>
      </c>
      <c r="I1450">
        <f>VLOOKUP(Scores[[#This Row],[MRUN]],Demographics[],3,FALSE)</f>
        <v>5</v>
      </c>
      <c r="J1450">
        <f>AVERAGE(Scores[[#This Row],[LYC]],Scores[[#This Row],[MATE]])</f>
        <v>531</v>
      </c>
      <c r="K1450">
        <f>VLOOKUP(Scores[[#This Row],[MRUN]],Demographics[],6,FALSE)</f>
        <v>5</v>
      </c>
      <c r="L1450">
        <f>VLOOKUP(Scores[[#This Row],[MRUN]],Demographics[], 7,FALSE)</f>
        <v>9</v>
      </c>
      <c r="M1450">
        <f>VLOOKUP(Scores[[#This Row],[MRUN]],Demographics[], 5, FALSE)</f>
        <v>2</v>
      </c>
    </row>
    <row r="1451" spans="1:13" hidden="1" x14ac:dyDescent="0.2">
      <c r="A1451" s="1">
        <v>19787301</v>
      </c>
      <c r="B1451">
        <v>1</v>
      </c>
      <c r="C1451">
        <v>2</v>
      </c>
      <c r="D1451">
        <v>499</v>
      </c>
      <c r="E1451">
        <v>388</v>
      </c>
      <c r="F1451">
        <v>428</v>
      </c>
      <c r="G1451">
        <v>421</v>
      </c>
      <c r="H1451">
        <v>0</v>
      </c>
      <c r="I1451">
        <f>VLOOKUP(Scores[[#This Row],[MRUN]],Demographics[],3,FALSE)</f>
        <v>4</v>
      </c>
      <c r="J1451">
        <f>AVERAGE(Scores[[#This Row],[LYC]],Scores[[#This Row],[MATE]])</f>
        <v>408</v>
      </c>
      <c r="K1451">
        <f>VLOOKUP(Scores[[#This Row],[MRUN]],Demographics[],6,FALSE)</f>
        <v>2</v>
      </c>
      <c r="L1451">
        <f>VLOOKUP(Scores[[#This Row],[MRUN]],Demographics[], 7,FALSE)</f>
        <v>4</v>
      </c>
      <c r="M1451">
        <f>VLOOKUP(Scores[[#This Row],[MRUN]],Demographics[], 5, FALSE)</f>
        <v>1</v>
      </c>
    </row>
    <row r="1452" spans="1:13" hidden="1" x14ac:dyDescent="0.2">
      <c r="A1452" s="1">
        <v>20681029</v>
      </c>
      <c r="B1452">
        <v>1</v>
      </c>
      <c r="C1452">
        <v>4</v>
      </c>
      <c r="D1452">
        <v>599</v>
      </c>
      <c r="E1452">
        <v>576</v>
      </c>
      <c r="F1452">
        <v>671</v>
      </c>
      <c r="G1452">
        <v>0</v>
      </c>
      <c r="H1452">
        <v>697</v>
      </c>
      <c r="I1452">
        <f>VLOOKUP(Scores[[#This Row],[MRUN]],Demographics[],3,FALSE)</f>
        <v>2</v>
      </c>
      <c r="J1452">
        <f>AVERAGE(Scores[[#This Row],[LYC]],Scores[[#This Row],[MATE]])</f>
        <v>623.5</v>
      </c>
      <c r="K1452">
        <f>VLOOKUP(Scores[[#This Row],[MRUN]],Demographics[],6,FALSE)</f>
        <v>9</v>
      </c>
      <c r="L1452">
        <f>VLOOKUP(Scores[[#This Row],[MRUN]],Demographics[], 7,FALSE)</f>
        <v>9</v>
      </c>
      <c r="M1452">
        <f>VLOOKUP(Scores[[#This Row],[MRUN]],Demographics[], 5, FALSE)</f>
        <v>2</v>
      </c>
    </row>
    <row r="1453" spans="1:13" hidden="1" x14ac:dyDescent="0.2">
      <c r="A1453" s="1">
        <v>23683859</v>
      </c>
      <c r="B1453">
        <v>1</v>
      </c>
      <c r="C1453">
        <v>3</v>
      </c>
      <c r="D1453">
        <v>620</v>
      </c>
      <c r="E1453">
        <v>779</v>
      </c>
      <c r="F1453">
        <v>763</v>
      </c>
      <c r="G1453">
        <v>0</v>
      </c>
      <c r="H1453">
        <v>677</v>
      </c>
      <c r="I1453">
        <f>VLOOKUP(Scores[[#This Row],[MRUN]],Demographics[],3,FALSE)</f>
        <v>2</v>
      </c>
      <c r="J1453">
        <f>AVERAGE(Scores[[#This Row],[LYC]],Scores[[#This Row],[MATE]])</f>
        <v>771</v>
      </c>
      <c r="K1453">
        <f>VLOOKUP(Scores[[#This Row],[MRUN]],Demographics[],6,FALSE)</f>
        <v>2</v>
      </c>
      <c r="L1453">
        <f>VLOOKUP(Scores[[#This Row],[MRUN]],Demographics[], 7,FALSE)</f>
        <v>3</v>
      </c>
      <c r="M1453">
        <f>VLOOKUP(Scores[[#This Row],[MRUN]],Demographics[], 5, FALSE)</f>
        <v>1</v>
      </c>
    </row>
    <row r="1454" spans="1:13" hidden="1" x14ac:dyDescent="0.2">
      <c r="A1454" s="1">
        <v>15672633</v>
      </c>
      <c r="B1454">
        <v>2</v>
      </c>
      <c r="C1454">
        <v>2</v>
      </c>
      <c r="D1454">
        <v>538</v>
      </c>
      <c r="E1454">
        <v>488</v>
      </c>
      <c r="F1454">
        <v>441</v>
      </c>
      <c r="G1454">
        <v>0</v>
      </c>
      <c r="H1454">
        <v>428</v>
      </c>
      <c r="I1454">
        <f>VLOOKUP(Scores[[#This Row],[MRUN]],Demographics[],3,FALSE)</f>
        <v>6</v>
      </c>
      <c r="J1454">
        <f>AVERAGE(Scores[[#This Row],[LYC]],Scores[[#This Row],[MATE]])</f>
        <v>464.5</v>
      </c>
      <c r="K1454">
        <f>VLOOKUP(Scores[[#This Row],[MRUN]],Demographics[],6,FALSE)</f>
        <v>5</v>
      </c>
      <c r="L1454">
        <f>VLOOKUP(Scores[[#This Row],[MRUN]],Demographics[], 7,FALSE)</f>
        <v>4</v>
      </c>
      <c r="M1454">
        <f>VLOOKUP(Scores[[#This Row],[MRUN]],Demographics[], 5, FALSE)</f>
        <v>1</v>
      </c>
    </row>
    <row r="1455" spans="1:13" hidden="1" x14ac:dyDescent="0.2">
      <c r="A1455" s="1">
        <v>5901297</v>
      </c>
      <c r="B1455">
        <v>2</v>
      </c>
      <c r="C1455">
        <v>2</v>
      </c>
      <c r="D1455">
        <v>476</v>
      </c>
      <c r="E1455">
        <v>444</v>
      </c>
      <c r="F1455">
        <v>517</v>
      </c>
      <c r="G1455">
        <v>0</v>
      </c>
      <c r="H1455">
        <v>468</v>
      </c>
      <c r="I1455">
        <f>VLOOKUP(Scores[[#This Row],[MRUN]],Demographics[],3,FALSE)</f>
        <v>6</v>
      </c>
      <c r="J1455">
        <f>AVERAGE(Scores[[#This Row],[LYC]],Scores[[#This Row],[MATE]])</f>
        <v>480.5</v>
      </c>
      <c r="K1455">
        <f>VLOOKUP(Scores[[#This Row],[MRUN]],Demographics[],6,FALSE)</f>
        <v>2</v>
      </c>
      <c r="L1455">
        <f>VLOOKUP(Scores[[#This Row],[MRUN]],Demographics[], 7,FALSE)</f>
        <v>4</v>
      </c>
      <c r="M1455">
        <f>VLOOKUP(Scores[[#This Row],[MRUN]],Demographics[], 5, FALSE)</f>
        <v>1</v>
      </c>
    </row>
    <row r="1456" spans="1:13" hidden="1" x14ac:dyDescent="0.2">
      <c r="A1456" s="1">
        <v>20870658</v>
      </c>
      <c r="B1456">
        <v>2</v>
      </c>
      <c r="C1456">
        <v>2</v>
      </c>
      <c r="D1456">
        <v>458</v>
      </c>
      <c r="E1456">
        <v>415</v>
      </c>
      <c r="F1456">
        <v>428</v>
      </c>
      <c r="G1456">
        <v>449</v>
      </c>
      <c r="H1456">
        <v>0</v>
      </c>
      <c r="I1456">
        <f>VLOOKUP(Scores[[#This Row],[MRUN]],Demographics[],3,FALSE)</f>
        <v>5</v>
      </c>
      <c r="J1456">
        <f>AVERAGE(Scores[[#This Row],[LYC]],Scores[[#This Row],[MATE]])</f>
        <v>421.5</v>
      </c>
      <c r="K1456">
        <f>VLOOKUP(Scores[[#This Row],[MRUN]],Demographics[],6,FALSE)</f>
        <v>5</v>
      </c>
      <c r="L1456">
        <f>VLOOKUP(Scores[[#This Row],[MRUN]],Demographics[], 7,FALSE)</f>
        <v>5</v>
      </c>
      <c r="M1456">
        <f>VLOOKUP(Scores[[#This Row],[MRUN]],Demographics[], 5, FALSE)</f>
        <v>1</v>
      </c>
    </row>
    <row r="1457" spans="1:13" hidden="1" x14ac:dyDescent="0.2">
      <c r="A1457" s="1">
        <v>20235246</v>
      </c>
      <c r="B1457">
        <v>2</v>
      </c>
      <c r="C1457">
        <v>2</v>
      </c>
      <c r="D1457">
        <v>538</v>
      </c>
      <c r="E1457">
        <v>494</v>
      </c>
      <c r="F1457">
        <v>480</v>
      </c>
      <c r="G1457">
        <v>0</v>
      </c>
      <c r="H1457">
        <v>497</v>
      </c>
      <c r="I1457">
        <f>VLOOKUP(Scores[[#This Row],[MRUN]],Demographics[],3,FALSE)</f>
        <v>5</v>
      </c>
      <c r="J1457">
        <f>AVERAGE(Scores[[#This Row],[LYC]],Scores[[#This Row],[MATE]])</f>
        <v>487</v>
      </c>
      <c r="K1457">
        <f>VLOOKUP(Scores[[#This Row],[MRUN]],Demographics[],6,FALSE)</f>
        <v>2</v>
      </c>
      <c r="L1457">
        <f>VLOOKUP(Scores[[#This Row],[MRUN]],Demographics[], 7,FALSE)</f>
        <v>2</v>
      </c>
      <c r="M1457">
        <f>VLOOKUP(Scores[[#This Row],[MRUN]],Demographics[], 5, FALSE)</f>
        <v>2</v>
      </c>
    </row>
    <row r="1458" spans="1:13" hidden="1" x14ac:dyDescent="0.2">
      <c r="A1458" s="1">
        <v>10347687</v>
      </c>
      <c r="B1458">
        <v>2</v>
      </c>
      <c r="C1458">
        <v>2</v>
      </c>
      <c r="D1458">
        <v>496</v>
      </c>
      <c r="E1458">
        <v>521</v>
      </c>
      <c r="F1458">
        <v>441</v>
      </c>
      <c r="G1458">
        <v>527</v>
      </c>
      <c r="H1458">
        <v>0</v>
      </c>
      <c r="I1458">
        <f>VLOOKUP(Scores[[#This Row],[MRUN]],Demographics[],3,FALSE)</f>
        <v>4</v>
      </c>
      <c r="J1458">
        <f>AVERAGE(Scores[[#This Row],[LYC]],Scores[[#This Row],[MATE]])</f>
        <v>481</v>
      </c>
      <c r="K1458">
        <f>VLOOKUP(Scores[[#This Row],[MRUN]],Demographics[],6,FALSE)</f>
        <v>5</v>
      </c>
      <c r="L1458">
        <f>VLOOKUP(Scores[[#This Row],[MRUN]],Demographics[], 7,FALSE)</f>
        <v>4</v>
      </c>
      <c r="M1458">
        <f>VLOOKUP(Scores[[#This Row],[MRUN]],Demographics[], 5, FALSE)</f>
        <v>1</v>
      </c>
    </row>
    <row r="1459" spans="1:13" hidden="1" x14ac:dyDescent="0.2">
      <c r="A1459" s="1">
        <v>22680020</v>
      </c>
      <c r="B1459">
        <v>2</v>
      </c>
      <c r="C1459">
        <v>2</v>
      </c>
      <c r="D1459">
        <v>519</v>
      </c>
      <c r="E1459">
        <v>521</v>
      </c>
      <c r="F1459">
        <v>463</v>
      </c>
      <c r="G1459">
        <v>531</v>
      </c>
      <c r="H1459">
        <v>0</v>
      </c>
      <c r="I1459">
        <f>VLOOKUP(Scores[[#This Row],[MRUN]],Demographics[],3,FALSE)</f>
        <v>5</v>
      </c>
      <c r="J1459">
        <f>AVERAGE(Scores[[#This Row],[LYC]],Scores[[#This Row],[MATE]])</f>
        <v>492</v>
      </c>
      <c r="K1459">
        <f>VLOOKUP(Scores[[#This Row],[MRUN]],Demographics[],6,FALSE)</f>
        <v>3</v>
      </c>
      <c r="L1459">
        <f>VLOOKUP(Scores[[#This Row],[MRUN]],Demographics[], 7,FALSE)</f>
        <v>3</v>
      </c>
      <c r="M1459">
        <f>VLOOKUP(Scores[[#This Row],[MRUN]],Demographics[], 5, FALSE)</f>
        <v>1</v>
      </c>
    </row>
    <row r="1460" spans="1:13" hidden="1" x14ac:dyDescent="0.2">
      <c r="A1460" s="1">
        <v>14633814</v>
      </c>
      <c r="B1460">
        <v>2</v>
      </c>
      <c r="C1460">
        <v>2</v>
      </c>
      <c r="D1460">
        <v>662</v>
      </c>
      <c r="E1460">
        <v>483</v>
      </c>
      <c r="F1460">
        <v>441</v>
      </c>
      <c r="G1460">
        <v>461</v>
      </c>
      <c r="H1460">
        <v>0</v>
      </c>
      <c r="I1460">
        <f>VLOOKUP(Scores[[#This Row],[MRUN]],Demographics[],3,FALSE)</f>
        <v>6</v>
      </c>
      <c r="J1460">
        <f>AVERAGE(Scores[[#This Row],[LYC]],Scores[[#This Row],[MATE]])</f>
        <v>462</v>
      </c>
      <c r="K1460">
        <f>VLOOKUP(Scores[[#This Row],[MRUN]],Demographics[],6,FALSE)</f>
        <v>2</v>
      </c>
      <c r="L1460">
        <f>VLOOKUP(Scores[[#This Row],[MRUN]],Demographics[], 7,FALSE)</f>
        <v>4</v>
      </c>
      <c r="M1460">
        <f>VLOOKUP(Scores[[#This Row],[MRUN]],Demographics[], 5, FALSE)</f>
        <v>2</v>
      </c>
    </row>
    <row r="1461" spans="1:13" hidden="1" x14ac:dyDescent="0.2">
      <c r="A1461" s="1">
        <v>10781149</v>
      </c>
      <c r="B1461">
        <v>2</v>
      </c>
      <c r="C1461">
        <v>2</v>
      </c>
      <c r="D1461">
        <v>519</v>
      </c>
      <c r="E1461">
        <v>464</v>
      </c>
      <c r="F1461">
        <v>487</v>
      </c>
      <c r="G1461">
        <v>0</v>
      </c>
      <c r="H1461">
        <v>0</v>
      </c>
      <c r="I1461">
        <f>VLOOKUP(Scores[[#This Row],[MRUN]],Demographics[],3,FALSE)</f>
        <v>5</v>
      </c>
      <c r="J1461">
        <f>AVERAGE(Scores[[#This Row],[LYC]],Scores[[#This Row],[MATE]])</f>
        <v>475.5</v>
      </c>
      <c r="K1461">
        <f>VLOOKUP(Scores[[#This Row],[MRUN]],Demographics[],6,FALSE)</f>
        <v>5</v>
      </c>
      <c r="L1461">
        <f>VLOOKUP(Scores[[#This Row],[MRUN]],Demographics[], 7,FALSE)</f>
        <v>5</v>
      </c>
      <c r="M1461">
        <f>VLOOKUP(Scores[[#This Row],[MRUN]],Demographics[], 5, FALSE)</f>
        <v>2</v>
      </c>
    </row>
    <row r="1462" spans="1:13" hidden="1" x14ac:dyDescent="0.2">
      <c r="A1462" s="1">
        <v>22428531</v>
      </c>
      <c r="B1462">
        <v>1</v>
      </c>
      <c r="C1462">
        <v>4</v>
      </c>
      <c r="D1462">
        <v>579</v>
      </c>
      <c r="E1462">
        <v>648</v>
      </c>
      <c r="F1462">
        <v>728</v>
      </c>
      <c r="G1462">
        <v>597</v>
      </c>
      <c r="H1462">
        <v>0</v>
      </c>
      <c r="I1462">
        <f>VLOOKUP(Scores[[#This Row],[MRUN]],Demographics[],3,FALSE)</f>
        <v>5</v>
      </c>
      <c r="J1462">
        <f>AVERAGE(Scores[[#This Row],[LYC]],Scores[[#This Row],[MATE]])</f>
        <v>688</v>
      </c>
      <c r="K1462">
        <f>VLOOKUP(Scores[[#This Row],[MRUN]],Demographics[],6,FALSE)</f>
        <v>8</v>
      </c>
      <c r="L1462">
        <f>VLOOKUP(Scores[[#This Row],[MRUN]],Demographics[], 7,FALSE)</f>
        <v>9</v>
      </c>
      <c r="M1462">
        <f>VLOOKUP(Scores[[#This Row],[MRUN]],Demographics[], 5, FALSE)</f>
        <v>1</v>
      </c>
    </row>
    <row r="1463" spans="1:13" hidden="1" x14ac:dyDescent="0.2">
      <c r="A1463" s="1">
        <v>16759662</v>
      </c>
      <c r="B1463">
        <v>2</v>
      </c>
      <c r="C1463">
        <v>4</v>
      </c>
      <c r="D1463">
        <v>661</v>
      </c>
      <c r="E1463">
        <v>668</v>
      </c>
      <c r="F1463">
        <v>666</v>
      </c>
      <c r="G1463">
        <v>0</v>
      </c>
      <c r="H1463">
        <v>624</v>
      </c>
      <c r="I1463">
        <f>VLOOKUP(Scores[[#This Row],[MRUN]],Demographics[],3,FALSE)</f>
        <v>4</v>
      </c>
      <c r="J1463">
        <f>AVERAGE(Scores[[#This Row],[LYC]],Scores[[#This Row],[MATE]])</f>
        <v>667</v>
      </c>
      <c r="K1463">
        <f>VLOOKUP(Scores[[#This Row],[MRUN]],Demographics[],6,FALSE)</f>
        <v>9</v>
      </c>
      <c r="L1463">
        <f>VLOOKUP(Scores[[#This Row],[MRUN]],Demographics[], 7,FALSE)</f>
        <v>7</v>
      </c>
      <c r="M1463">
        <f>VLOOKUP(Scores[[#This Row],[MRUN]],Demographics[], 5, FALSE)</f>
        <v>3</v>
      </c>
    </row>
    <row r="1464" spans="1:13" hidden="1" x14ac:dyDescent="0.2">
      <c r="A1464" s="1">
        <v>16225348</v>
      </c>
      <c r="B1464">
        <v>2</v>
      </c>
      <c r="C1464">
        <v>3</v>
      </c>
      <c r="D1464">
        <v>599</v>
      </c>
      <c r="E1464">
        <v>596</v>
      </c>
      <c r="F1464">
        <v>609</v>
      </c>
      <c r="G1464">
        <v>617</v>
      </c>
      <c r="H1464">
        <v>504</v>
      </c>
      <c r="I1464">
        <f>VLOOKUP(Scores[[#This Row],[MRUN]],Demographics[],3,FALSE)</f>
        <v>6</v>
      </c>
      <c r="J1464">
        <f>AVERAGE(Scores[[#This Row],[LYC]],Scores[[#This Row],[MATE]])</f>
        <v>602.5</v>
      </c>
      <c r="K1464">
        <f>VLOOKUP(Scores[[#This Row],[MRUN]],Demographics[],6,FALSE)</f>
        <v>9</v>
      </c>
      <c r="L1464">
        <f>VLOOKUP(Scores[[#This Row],[MRUN]],Demographics[], 7,FALSE)</f>
        <v>8</v>
      </c>
      <c r="M1464">
        <f>VLOOKUP(Scores[[#This Row],[MRUN]],Demographics[], 5, FALSE)</f>
        <v>6</v>
      </c>
    </row>
    <row r="1465" spans="1:13" hidden="1" x14ac:dyDescent="0.2">
      <c r="A1465" s="1">
        <v>14970613</v>
      </c>
      <c r="B1465">
        <v>2</v>
      </c>
      <c r="C1465">
        <v>4</v>
      </c>
      <c r="D1465">
        <v>517</v>
      </c>
      <c r="E1465">
        <v>707</v>
      </c>
      <c r="F1465">
        <v>582</v>
      </c>
      <c r="G1465">
        <v>714</v>
      </c>
      <c r="H1465">
        <v>0</v>
      </c>
      <c r="I1465">
        <f>VLOOKUP(Scores[[#This Row],[MRUN]],Demographics[],3,FALSE)</f>
        <v>6</v>
      </c>
      <c r="J1465">
        <f>AVERAGE(Scores[[#This Row],[LYC]],Scores[[#This Row],[MATE]])</f>
        <v>644.5</v>
      </c>
      <c r="K1465">
        <f>VLOOKUP(Scores[[#This Row],[MRUN]],Demographics[],6,FALSE)</f>
        <v>0</v>
      </c>
      <c r="L1465">
        <f>VLOOKUP(Scores[[#This Row],[MRUN]],Demographics[], 7,FALSE)</f>
        <v>0</v>
      </c>
      <c r="M1465">
        <f>VLOOKUP(Scores[[#This Row],[MRUN]],Demographics[], 5, FALSE)</f>
        <v>4</v>
      </c>
    </row>
    <row r="1466" spans="1:13" hidden="1" x14ac:dyDescent="0.2">
      <c r="A1466" s="1">
        <v>20845411</v>
      </c>
      <c r="B1466">
        <v>2</v>
      </c>
      <c r="C1466">
        <v>4</v>
      </c>
      <c r="D1466">
        <v>496</v>
      </c>
      <c r="E1466">
        <v>691</v>
      </c>
      <c r="F1466">
        <v>603</v>
      </c>
      <c r="G1466">
        <v>0</v>
      </c>
      <c r="H1466">
        <v>686</v>
      </c>
      <c r="I1466">
        <f>VLOOKUP(Scores[[#This Row],[MRUN]],Demographics[],3,FALSE)</f>
        <v>5</v>
      </c>
      <c r="J1466">
        <f>AVERAGE(Scores[[#This Row],[LYC]],Scores[[#This Row],[MATE]])</f>
        <v>647</v>
      </c>
      <c r="K1466">
        <f>VLOOKUP(Scores[[#This Row],[MRUN]],Demographics[],6,FALSE)</f>
        <v>9</v>
      </c>
      <c r="L1466">
        <f>VLOOKUP(Scores[[#This Row],[MRUN]],Demographics[], 7,FALSE)</f>
        <v>9</v>
      </c>
      <c r="M1466">
        <f>VLOOKUP(Scores[[#This Row],[MRUN]],Demographics[], 5, FALSE)</f>
        <v>4</v>
      </c>
    </row>
    <row r="1467" spans="1:13" hidden="1" x14ac:dyDescent="0.2">
      <c r="A1467" s="1">
        <v>22116569</v>
      </c>
      <c r="B1467">
        <v>1</v>
      </c>
      <c r="C1467">
        <v>4</v>
      </c>
      <c r="D1467">
        <v>702</v>
      </c>
      <c r="E1467">
        <v>607</v>
      </c>
      <c r="F1467">
        <v>699</v>
      </c>
      <c r="G1467">
        <v>617</v>
      </c>
      <c r="H1467">
        <v>729</v>
      </c>
      <c r="I1467">
        <f>VLOOKUP(Scores[[#This Row],[MRUN]],Demographics[],3,FALSE)</f>
        <v>6</v>
      </c>
      <c r="J1467">
        <f>AVERAGE(Scores[[#This Row],[LYC]],Scores[[#This Row],[MATE]])</f>
        <v>653</v>
      </c>
      <c r="K1467">
        <f>VLOOKUP(Scores[[#This Row],[MRUN]],Demographics[],6,FALSE)</f>
        <v>9</v>
      </c>
      <c r="L1467">
        <f>VLOOKUP(Scores[[#This Row],[MRUN]],Demographics[], 7,FALSE)</f>
        <v>9</v>
      </c>
      <c r="M1467">
        <f>VLOOKUP(Scores[[#This Row],[MRUN]],Demographics[], 5, FALSE)</f>
        <v>2</v>
      </c>
    </row>
    <row r="1468" spans="1:13" hidden="1" x14ac:dyDescent="0.2">
      <c r="A1468" s="1">
        <v>17396829</v>
      </c>
      <c r="B1468">
        <v>2</v>
      </c>
      <c r="C1468">
        <v>4</v>
      </c>
      <c r="D1468">
        <v>599</v>
      </c>
      <c r="E1468">
        <v>691</v>
      </c>
      <c r="F1468">
        <v>600</v>
      </c>
      <c r="G1468">
        <v>602</v>
      </c>
      <c r="H1468">
        <v>0</v>
      </c>
      <c r="I1468">
        <f>VLOOKUP(Scores[[#This Row],[MRUN]],Demographics[],3,FALSE)</f>
        <v>0</v>
      </c>
      <c r="J1468">
        <f>AVERAGE(Scores[[#This Row],[LYC]],Scores[[#This Row],[MATE]])</f>
        <v>645.5</v>
      </c>
      <c r="K1468">
        <f>VLOOKUP(Scores[[#This Row],[MRUN]],Demographics[],6,FALSE)</f>
        <v>0</v>
      </c>
      <c r="L1468">
        <f>VLOOKUP(Scores[[#This Row],[MRUN]],Demographics[], 7,FALSE)</f>
        <v>0</v>
      </c>
      <c r="M1468">
        <f>VLOOKUP(Scores[[#This Row],[MRUN]],Demographics[], 5, FALSE)</f>
        <v>2</v>
      </c>
    </row>
    <row r="1469" spans="1:13" hidden="1" x14ac:dyDescent="0.2">
      <c r="A1469" s="1">
        <v>17308339</v>
      </c>
      <c r="B1469">
        <v>2</v>
      </c>
      <c r="C1469">
        <v>2</v>
      </c>
      <c r="D1469">
        <v>580</v>
      </c>
      <c r="E1469">
        <v>494</v>
      </c>
      <c r="F1469">
        <v>395</v>
      </c>
      <c r="G1469">
        <v>506</v>
      </c>
      <c r="H1469">
        <v>0</v>
      </c>
      <c r="I1469">
        <f>VLOOKUP(Scores[[#This Row],[MRUN]],Demographics[],3,FALSE)</f>
        <v>5</v>
      </c>
      <c r="J1469">
        <f>AVERAGE(Scores[[#This Row],[LYC]],Scores[[#This Row],[MATE]])</f>
        <v>444.5</v>
      </c>
      <c r="K1469">
        <f>VLOOKUP(Scores[[#This Row],[MRUN]],Demographics[],6,FALSE)</f>
        <v>2</v>
      </c>
      <c r="L1469">
        <f>VLOOKUP(Scores[[#This Row],[MRUN]],Demographics[], 7,FALSE)</f>
        <v>2</v>
      </c>
      <c r="M1469">
        <f>VLOOKUP(Scores[[#This Row],[MRUN]],Demographics[], 5, FALSE)</f>
        <v>1</v>
      </c>
    </row>
    <row r="1470" spans="1:13" hidden="1" x14ac:dyDescent="0.2">
      <c r="A1470" s="1">
        <v>11188100</v>
      </c>
      <c r="B1470">
        <v>2</v>
      </c>
      <c r="C1470">
        <v>3</v>
      </c>
      <c r="D1470">
        <v>517</v>
      </c>
      <c r="E1470">
        <v>581</v>
      </c>
      <c r="F1470">
        <v>549</v>
      </c>
      <c r="G1470">
        <v>0</v>
      </c>
      <c r="H1470">
        <v>624</v>
      </c>
      <c r="I1470">
        <f>VLOOKUP(Scores[[#This Row],[MRUN]],Demographics[],3,FALSE)</f>
        <v>9</v>
      </c>
      <c r="J1470">
        <f>AVERAGE(Scores[[#This Row],[LYC]],Scores[[#This Row],[MATE]])</f>
        <v>565</v>
      </c>
      <c r="K1470">
        <f>VLOOKUP(Scores[[#This Row],[MRUN]],Demographics[],6,FALSE)</f>
        <v>3</v>
      </c>
      <c r="L1470">
        <f>VLOOKUP(Scores[[#This Row],[MRUN]],Demographics[], 7,FALSE)</f>
        <v>5</v>
      </c>
      <c r="M1470">
        <f>VLOOKUP(Scores[[#This Row],[MRUN]],Demographics[], 5, FALSE)</f>
        <v>1</v>
      </c>
    </row>
    <row r="1471" spans="1:13" hidden="1" x14ac:dyDescent="0.2">
      <c r="A1471" s="1">
        <v>17175408</v>
      </c>
      <c r="B1471">
        <v>2</v>
      </c>
      <c r="C1471">
        <v>2</v>
      </c>
      <c r="D1471">
        <v>558</v>
      </c>
      <c r="E1471">
        <v>444</v>
      </c>
      <c r="F1471">
        <v>472</v>
      </c>
      <c r="G1471">
        <v>406</v>
      </c>
      <c r="H1471">
        <v>0</v>
      </c>
      <c r="I1471">
        <f>VLOOKUP(Scores[[#This Row],[MRUN]],Demographics[],3,FALSE)</f>
        <v>5</v>
      </c>
      <c r="J1471">
        <f>AVERAGE(Scores[[#This Row],[LYC]],Scores[[#This Row],[MATE]])</f>
        <v>458</v>
      </c>
      <c r="K1471">
        <f>VLOOKUP(Scores[[#This Row],[MRUN]],Demographics[],6,FALSE)</f>
        <v>5</v>
      </c>
      <c r="L1471">
        <f>VLOOKUP(Scores[[#This Row],[MRUN]],Demographics[], 7,FALSE)</f>
        <v>5</v>
      </c>
      <c r="M1471">
        <f>VLOOKUP(Scores[[#This Row],[MRUN]],Demographics[], 5, FALSE)</f>
        <v>2</v>
      </c>
    </row>
    <row r="1472" spans="1:13" hidden="1" x14ac:dyDescent="0.2">
      <c r="A1472" s="1">
        <v>8987469</v>
      </c>
      <c r="B1472">
        <v>1</v>
      </c>
      <c r="C1472">
        <v>3</v>
      </c>
      <c r="D1472">
        <v>599</v>
      </c>
      <c r="E1472">
        <v>648</v>
      </c>
      <c r="F1472">
        <v>675</v>
      </c>
      <c r="G1472">
        <v>567</v>
      </c>
      <c r="H1472">
        <v>549</v>
      </c>
      <c r="I1472">
        <f>VLOOKUP(Scores[[#This Row],[MRUN]],Demographics[],3,FALSE)</f>
        <v>3</v>
      </c>
      <c r="J1472">
        <f>AVERAGE(Scores[[#This Row],[LYC]],Scores[[#This Row],[MATE]])</f>
        <v>661.5</v>
      </c>
      <c r="K1472">
        <f>VLOOKUP(Scores[[#This Row],[MRUN]],Demographics[],6,FALSE)</f>
        <v>9</v>
      </c>
      <c r="L1472">
        <f>VLOOKUP(Scores[[#This Row],[MRUN]],Demographics[], 7,FALSE)</f>
        <v>8</v>
      </c>
      <c r="M1472">
        <f>VLOOKUP(Scores[[#This Row],[MRUN]],Demographics[], 5, FALSE)</f>
        <v>2</v>
      </c>
    </row>
    <row r="1473" spans="1:13" hidden="1" x14ac:dyDescent="0.2">
      <c r="A1473" s="1">
        <v>11657877</v>
      </c>
      <c r="B1473">
        <v>1</v>
      </c>
      <c r="C1473">
        <v>4</v>
      </c>
      <c r="D1473">
        <v>744</v>
      </c>
      <c r="E1473">
        <v>675</v>
      </c>
      <c r="F1473">
        <v>850</v>
      </c>
      <c r="G1473">
        <v>670</v>
      </c>
      <c r="H1473">
        <v>746</v>
      </c>
      <c r="I1473">
        <f>VLOOKUP(Scores[[#This Row],[MRUN]],Demographics[],3,FALSE)</f>
        <v>0</v>
      </c>
      <c r="J1473">
        <f>AVERAGE(Scores[[#This Row],[LYC]],Scores[[#This Row],[MATE]])</f>
        <v>762.5</v>
      </c>
      <c r="K1473">
        <f>VLOOKUP(Scores[[#This Row],[MRUN]],Demographics[],6,FALSE)</f>
        <v>9</v>
      </c>
      <c r="L1473">
        <f>VLOOKUP(Scores[[#This Row],[MRUN]],Demographics[], 7,FALSE)</f>
        <v>5</v>
      </c>
      <c r="M1473">
        <f>VLOOKUP(Scores[[#This Row],[MRUN]],Demographics[], 5, FALSE)</f>
        <v>3</v>
      </c>
    </row>
    <row r="1474" spans="1:13" hidden="1" x14ac:dyDescent="0.2">
      <c r="A1474" s="1">
        <v>12411093</v>
      </c>
      <c r="B1474">
        <v>1</v>
      </c>
      <c r="C1474">
        <v>4</v>
      </c>
      <c r="D1474">
        <v>579</v>
      </c>
      <c r="E1474">
        <v>618</v>
      </c>
      <c r="F1474">
        <v>728</v>
      </c>
      <c r="G1474">
        <v>0</v>
      </c>
      <c r="H1474">
        <v>636</v>
      </c>
      <c r="I1474">
        <f>VLOOKUP(Scores[[#This Row],[MRUN]],Demographics[],3,FALSE)</f>
        <v>9</v>
      </c>
      <c r="J1474">
        <f>AVERAGE(Scores[[#This Row],[LYC]],Scores[[#This Row],[MATE]])</f>
        <v>673</v>
      </c>
      <c r="K1474">
        <f>VLOOKUP(Scores[[#This Row],[MRUN]],Demographics[],6,FALSE)</f>
        <v>9</v>
      </c>
      <c r="L1474">
        <f>VLOOKUP(Scores[[#This Row],[MRUN]],Demographics[], 7,FALSE)</f>
        <v>9</v>
      </c>
      <c r="M1474">
        <f>VLOOKUP(Scores[[#This Row],[MRUN]],Demographics[], 5, FALSE)</f>
        <v>5</v>
      </c>
    </row>
    <row r="1475" spans="1:13" hidden="1" x14ac:dyDescent="0.2">
      <c r="A1475" s="1">
        <v>11170946</v>
      </c>
      <c r="B1475">
        <v>2</v>
      </c>
      <c r="C1475">
        <v>4</v>
      </c>
      <c r="D1475">
        <v>435</v>
      </c>
      <c r="E1475">
        <v>551</v>
      </c>
      <c r="F1475">
        <v>494</v>
      </c>
      <c r="G1475">
        <v>592</v>
      </c>
      <c r="H1475">
        <v>0</v>
      </c>
      <c r="I1475">
        <f>VLOOKUP(Scores[[#This Row],[MRUN]],Demographics[],3,FALSE)</f>
        <v>5</v>
      </c>
      <c r="J1475">
        <f>AVERAGE(Scores[[#This Row],[LYC]],Scores[[#This Row],[MATE]])</f>
        <v>522.5</v>
      </c>
      <c r="K1475">
        <f>VLOOKUP(Scores[[#This Row],[MRUN]],Demographics[],6,FALSE)</f>
        <v>5</v>
      </c>
      <c r="L1475">
        <f>VLOOKUP(Scores[[#This Row],[MRUN]],Demographics[], 7,FALSE)</f>
        <v>5</v>
      </c>
      <c r="M1475">
        <f>VLOOKUP(Scores[[#This Row],[MRUN]],Demographics[], 5, FALSE)</f>
        <v>5</v>
      </c>
    </row>
    <row r="1476" spans="1:13" hidden="1" x14ac:dyDescent="0.2">
      <c r="A1476" s="1">
        <v>13809009</v>
      </c>
      <c r="B1476">
        <v>2</v>
      </c>
      <c r="C1476">
        <v>2</v>
      </c>
      <c r="D1476">
        <v>481</v>
      </c>
      <c r="E1476">
        <v>488</v>
      </c>
      <c r="F1476">
        <v>395</v>
      </c>
      <c r="G1476">
        <v>512</v>
      </c>
      <c r="H1476">
        <v>0</v>
      </c>
      <c r="I1476">
        <f>VLOOKUP(Scores[[#This Row],[MRUN]],Demographics[],3,FALSE)</f>
        <v>5</v>
      </c>
      <c r="J1476">
        <f>AVERAGE(Scores[[#This Row],[LYC]],Scores[[#This Row],[MATE]])</f>
        <v>441.5</v>
      </c>
      <c r="K1476">
        <f>VLOOKUP(Scores[[#This Row],[MRUN]],Demographics[],6,FALSE)</f>
        <v>3</v>
      </c>
      <c r="L1476">
        <f>VLOOKUP(Scores[[#This Row],[MRUN]],Demographics[], 7,FALSE)</f>
        <v>3</v>
      </c>
      <c r="M1476">
        <f>VLOOKUP(Scores[[#This Row],[MRUN]],Demographics[], 5, FALSE)</f>
        <v>1</v>
      </c>
    </row>
    <row r="1477" spans="1:13" hidden="1" x14ac:dyDescent="0.2">
      <c r="A1477" s="1">
        <v>9002832</v>
      </c>
      <c r="B1477">
        <v>1</v>
      </c>
      <c r="C1477">
        <v>2</v>
      </c>
      <c r="D1477">
        <v>641</v>
      </c>
      <c r="E1477">
        <v>488</v>
      </c>
      <c r="F1477">
        <v>452</v>
      </c>
      <c r="G1477">
        <v>501</v>
      </c>
      <c r="H1477">
        <v>0</v>
      </c>
      <c r="I1477">
        <f>VLOOKUP(Scores[[#This Row],[MRUN]],Demographics[],3,FALSE)</f>
        <v>4</v>
      </c>
      <c r="J1477">
        <f>AVERAGE(Scores[[#This Row],[LYC]],Scores[[#This Row],[MATE]])</f>
        <v>470</v>
      </c>
      <c r="K1477">
        <f>VLOOKUP(Scores[[#This Row],[MRUN]],Demographics[],6,FALSE)</f>
        <v>5</v>
      </c>
      <c r="L1477">
        <f>VLOOKUP(Scores[[#This Row],[MRUN]],Demographics[], 7,FALSE)</f>
        <v>5</v>
      </c>
      <c r="M1477">
        <f>VLOOKUP(Scores[[#This Row],[MRUN]],Demographics[], 5, FALSE)</f>
        <v>2</v>
      </c>
    </row>
    <row r="1478" spans="1:13" hidden="1" x14ac:dyDescent="0.2">
      <c r="A1478" s="1">
        <v>13708114</v>
      </c>
      <c r="B1478">
        <v>1</v>
      </c>
      <c r="C1478">
        <v>2</v>
      </c>
      <c r="D1478">
        <v>496</v>
      </c>
      <c r="E1478">
        <v>505</v>
      </c>
      <c r="F1478">
        <v>552</v>
      </c>
      <c r="G1478">
        <v>0</v>
      </c>
      <c r="H1478">
        <v>504</v>
      </c>
      <c r="I1478">
        <f>VLOOKUP(Scores[[#This Row],[MRUN]],Demographics[],3,FALSE)</f>
        <v>7</v>
      </c>
      <c r="J1478">
        <f>AVERAGE(Scores[[#This Row],[LYC]],Scores[[#This Row],[MATE]])</f>
        <v>528.5</v>
      </c>
      <c r="K1478">
        <f>VLOOKUP(Scores[[#This Row],[MRUN]],Demographics[],6,FALSE)</f>
        <v>9</v>
      </c>
      <c r="L1478">
        <f>VLOOKUP(Scores[[#This Row],[MRUN]],Demographics[], 7,FALSE)</f>
        <v>9</v>
      </c>
      <c r="M1478">
        <f>VLOOKUP(Scores[[#This Row],[MRUN]],Demographics[], 5, FALSE)</f>
        <v>3</v>
      </c>
    </row>
    <row r="1479" spans="1:13" hidden="1" x14ac:dyDescent="0.2">
      <c r="A1479" s="1">
        <v>17563059</v>
      </c>
      <c r="B1479">
        <v>1</v>
      </c>
      <c r="C1479">
        <v>3</v>
      </c>
      <c r="D1479">
        <v>599</v>
      </c>
      <c r="E1479">
        <v>655</v>
      </c>
      <c r="F1479">
        <v>603</v>
      </c>
      <c r="G1479">
        <v>692</v>
      </c>
      <c r="H1479">
        <v>0</v>
      </c>
      <c r="I1479">
        <f>VLOOKUP(Scores[[#This Row],[MRUN]],Demographics[],3,FALSE)</f>
        <v>4</v>
      </c>
      <c r="J1479">
        <f>AVERAGE(Scores[[#This Row],[LYC]],Scores[[#This Row],[MATE]])</f>
        <v>629</v>
      </c>
      <c r="K1479">
        <f>VLOOKUP(Scores[[#This Row],[MRUN]],Demographics[],6,FALSE)</f>
        <v>8</v>
      </c>
      <c r="L1479">
        <f>VLOOKUP(Scores[[#This Row],[MRUN]],Demographics[], 7,FALSE)</f>
        <v>9</v>
      </c>
      <c r="M1479">
        <f>VLOOKUP(Scores[[#This Row],[MRUN]],Demographics[], 5, FALSE)</f>
        <v>3</v>
      </c>
    </row>
    <row r="1480" spans="1:13" hidden="1" x14ac:dyDescent="0.2">
      <c r="A1480" s="1">
        <v>13824863</v>
      </c>
      <c r="B1480">
        <v>2</v>
      </c>
      <c r="C1480">
        <v>2</v>
      </c>
      <c r="D1480">
        <v>478</v>
      </c>
      <c r="E1480">
        <v>356</v>
      </c>
      <c r="F1480">
        <v>540</v>
      </c>
      <c r="G1480">
        <v>436</v>
      </c>
      <c r="H1480">
        <v>0</v>
      </c>
      <c r="I1480">
        <f>VLOOKUP(Scores[[#This Row],[MRUN]],Demographics[],3,FALSE)</f>
        <v>4</v>
      </c>
      <c r="J1480">
        <f>AVERAGE(Scores[[#This Row],[LYC]],Scores[[#This Row],[MATE]])</f>
        <v>448</v>
      </c>
      <c r="K1480">
        <f>VLOOKUP(Scores[[#This Row],[MRUN]],Demographics[],6,FALSE)</f>
        <v>3</v>
      </c>
      <c r="L1480">
        <f>VLOOKUP(Scores[[#This Row],[MRUN]],Demographics[], 7,FALSE)</f>
        <v>3</v>
      </c>
      <c r="M1480">
        <f>VLOOKUP(Scores[[#This Row],[MRUN]],Demographics[], 5, FALSE)</f>
        <v>1</v>
      </c>
    </row>
    <row r="1481" spans="1:13" hidden="1" x14ac:dyDescent="0.2">
      <c r="A1481" s="1">
        <v>15426650</v>
      </c>
      <c r="B1481">
        <v>1</v>
      </c>
      <c r="C1481">
        <v>2</v>
      </c>
      <c r="D1481">
        <v>376</v>
      </c>
      <c r="E1481">
        <v>378</v>
      </c>
      <c r="F1481">
        <v>428</v>
      </c>
      <c r="G1481">
        <v>442</v>
      </c>
      <c r="H1481">
        <v>0</v>
      </c>
      <c r="I1481">
        <f>VLOOKUP(Scores[[#This Row],[MRUN]],Demographics[],3,FALSE)</f>
        <v>5</v>
      </c>
      <c r="J1481">
        <f>AVERAGE(Scores[[#This Row],[LYC]],Scores[[#This Row],[MATE]])</f>
        <v>403</v>
      </c>
      <c r="K1481">
        <f>VLOOKUP(Scores[[#This Row],[MRUN]],Demographics[],6,FALSE)</f>
        <v>5</v>
      </c>
      <c r="L1481">
        <f>VLOOKUP(Scores[[#This Row],[MRUN]],Demographics[], 7,FALSE)</f>
        <v>4</v>
      </c>
      <c r="M1481">
        <f>VLOOKUP(Scores[[#This Row],[MRUN]],Demographics[], 5, FALSE)</f>
        <v>1</v>
      </c>
    </row>
    <row r="1482" spans="1:13" hidden="1" x14ac:dyDescent="0.2">
      <c r="A1482" s="1">
        <v>3779763</v>
      </c>
      <c r="B1482">
        <v>2</v>
      </c>
      <c r="C1482">
        <v>4</v>
      </c>
      <c r="D1482">
        <v>455</v>
      </c>
      <c r="E1482">
        <v>505</v>
      </c>
      <c r="F1482">
        <v>574</v>
      </c>
      <c r="G1482">
        <v>0</v>
      </c>
      <c r="H1482">
        <v>594</v>
      </c>
      <c r="I1482">
        <f>VLOOKUP(Scores[[#This Row],[MRUN]],Demographics[],3,FALSE)</f>
        <v>4</v>
      </c>
      <c r="J1482">
        <f>AVERAGE(Scores[[#This Row],[LYC]],Scores[[#This Row],[MATE]])</f>
        <v>539.5</v>
      </c>
      <c r="K1482">
        <f>VLOOKUP(Scores[[#This Row],[MRUN]],Demographics[],6,FALSE)</f>
        <v>9</v>
      </c>
      <c r="L1482">
        <f>VLOOKUP(Scores[[#This Row],[MRUN]],Demographics[], 7,FALSE)</f>
        <v>9</v>
      </c>
      <c r="M1482">
        <f>VLOOKUP(Scores[[#This Row],[MRUN]],Demographics[], 5, FALSE)</f>
        <v>3</v>
      </c>
    </row>
    <row r="1483" spans="1:13" hidden="1" x14ac:dyDescent="0.2">
      <c r="A1483" s="1">
        <v>11155111</v>
      </c>
      <c r="B1483">
        <v>1</v>
      </c>
      <c r="C1483">
        <v>2</v>
      </c>
      <c r="D1483">
        <v>723</v>
      </c>
      <c r="E1483">
        <v>581</v>
      </c>
      <c r="F1483">
        <v>705</v>
      </c>
      <c r="G1483">
        <v>0</v>
      </c>
      <c r="H1483">
        <v>620</v>
      </c>
      <c r="I1483">
        <f>VLOOKUP(Scores[[#This Row],[MRUN]],Demographics[],3,FALSE)</f>
        <v>3</v>
      </c>
      <c r="J1483">
        <f>AVERAGE(Scores[[#This Row],[LYC]],Scores[[#This Row],[MATE]])</f>
        <v>643</v>
      </c>
      <c r="K1483">
        <f>VLOOKUP(Scores[[#This Row],[MRUN]],Demographics[],6,FALSE)</f>
        <v>9</v>
      </c>
      <c r="L1483">
        <f>VLOOKUP(Scores[[#This Row],[MRUN]],Demographics[], 7,FALSE)</f>
        <v>9</v>
      </c>
      <c r="M1483">
        <f>VLOOKUP(Scores[[#This Row],[MRUN]],Demographics[], 5, FALSE)</f>
        <v>1</v>
      </c>
    </row>
    <row r="1484" spans="1:13" hidden="1" x14ac:dyDescent="0.2">
      <c r="A1484" s="1">
        <v>14359101</v>
      </c>
      <c r="B1484">
        <v>2</v>
      </c>
      <c r="C1484">
        <v>4</v>
      </c>
      <c r="D1484">
        <v>744</v>
      </c>
      <c r="E1484">
        <v>717</v>
      </c>
      <c r="F1484">
        <v>738</v>
      </c>
      <c r="G1484">
        <v>0</v>
      </c>
      <c r="H1484">
        <v>703</v>
      </c>
      <c r="I1484">
        <f>VLOOKUP(Scores[[#This Row],[MRUN]],Demographics[],3,FALSE)</f>
        <v>3</v>
      </c>
      <c r="J1484">
        <f>AVERAGE(Scores[[#This Row],[LYC]],Scores[[#This Row],[MATE]])</f>
        <v>727.5</v>
      </c>
      <c r="K1484">
        <f>VLOOKUP(Scores[[#This Row],[MRUN]],Demographics[],6,FALSE)</f>
        <v>5</v>
      </c>
      <c r="L1484">
        <f>VLOOKUP(Scores[[#This Row],[MRUN]],Demographics[], 7,FALSE)</f>
        <v>5</v>
      </c>
      <c r="M1484">
        <f>VLOOKUP(Scores[[#This Row],[MRUN]],Demographics[], 5, FALSE)</f>
        <v>2</v>
      </c>
    </row>
    <row r="1485" spans="1:13" x14ac:dyDescent="0.2">
      <c r="A1485" s="1">
        <v>20234042</v>
      </c>
      <c r="B1485">
        <v>1</v>
      </c>
      <c r="C1485">
        <v>4</v>
      </c>
      <c r="D1485">
        <v>805</v>
      </c>
      <c r="E1485">
        <v>779</v>
      </c>
      <c r="F1485">
        <v>828</v>
      </c>
      <c r="G1485">
        <v>0</v>
      </c>
      <c r="H1485">
        <v>829</v>
      </c>
      <c r="I1485">
        <f>VLOOKUP(Scores[[#This Row],[MRUN]],Demographics[],3,FALSE)</f>
        <v>5</v>
      </c>
      <c r="J1485">
        <f>AVERAGE(Scores[[#This Row],[LYC]],Scores[[#This Row],[MATE]])</f>
        <v>803.5</v>
      </c>
      <c r="K1485">
        <f>VLOOKUP(Scores[[#This Row],[MRUN]],Demographics[],6,FALSE)</f>
        <v>9</v>
      </c>
      <c r="L1485">
        <f>VLOOKUP(Scores[[#This Row],[MRUN]],Demographics[], 7,FALSE)</f>
        <v>9</v>
      </c>
      <c r="M1485">
        <f>VLOOKUP(Scores[[#This Row],[MRUN]],Demographics[], 5, FALSE)</f>
        <v>2</v>
      </c>
    </row>
    <row r="1486" spans="1:13" hidden="1" x14ac:dyDescent="0.2">
      <c r="A1486" s="1">
        <v>21734821</v>
      </c>
      <c r="B1486">
        <v>1</v>
      </c>
      <c r="C1486">
        <v>3</v>
      </c>
      <c r="D1486">
        <v>579</v>
      </c>
      <c r="E1486">
        <v>602</v>
      </c>
      <c r="F1486">
        <v>738</v>
      </c>
      <c r="G1486">
        <v>0</v>
      </c>
      <c r="H1486">
        <v>663</v>
      </c>
      <c r="I1486">
        <f>VLOOKUP(Scores[[#This Row],[MRUN]],Demographics[],3,FALSE)</f>
        <v>3</v>
      </c>
      <c r="J1486">
        <f>AVERAGE(Scores[[#This Row],[LYC]],Scores[[#This Row],[MATE]])</f>
        <v>670</v>
      </c>
      <c r="K1486">
        <f>VLOOKUP(Scores[[#This Row],[MRUN]],Demographics[],6,FALSE)</f>
        <v>2</v>
      </c>
      <c r="L1486">
        <f>VLOOKUP(Scores[[#This Row],[MRUN]],Demographics[], 7,FALSE)</f>
        <v>4</v>
      </c>
      <c r="M1486">
        <f>VLOOKUP(Scores[[#This Row],[MRUN]],Demographics[], 5, FALSE)</f>
        <v>1</v>
      </c>
    </row>
    <row r="1487" spans="1:13" hidden="1" x14ac:dyDescent="0.2">
      <c r="A1487" s="1">
        <v>19064060</v>
      </c>
      <c r="B1487">
        <v>1</v>
      </c>
      <c r="C1487">
        <v>2</v>
      </c>
      <c r="D1487">
        <v>476</v>
      </c>
      <c r="E1487">
        <v>596</v>
      </c>
      <c r="F1487">
        <v>614</v>
      </c>
      <c r="G1487">
        <v>0</v>
      </c>
      <c r="H1487">
        <v>543</v>
      </c>
      <c r="I1487">
        <f>VLOOKUP(Scores[[#This Row],[MRUN]],Demographics[],3,FALSE)</f>
        <v>4</v>
      </c>
      <c r="J1487">
        <f>AVERAGE(Scores[[#This Row],[LYC]],Scores[[#This Row],[MATE]])</f>
        <v>605</v>
      </c>
      <c r="K1487">
        <f>VLOOKUP(Scores[[#This Row],[MRUN]],Demographics[],6,FALSE)</f>
        <v>3</v>
      </c>
      <c r="L1487">
        <f>VLOOKUP(Scores[[#This Row],[MRUN]],Demographics[], 7,FALSE)</f>
        <v>5</v>
      </c>
      <c r="M1487">
        <f>VLOOKUP(Scores[[#This Row],[MRUN]],Demographics[], 5, FALSE)</f>
        <v>1</v>
      </c>
    </row>
    <row r="1488" spans="1:13" hidden="1" x14ac:dyDescent="0.2">
      <c r="A1488" s="1">
        <v>17664741</v>
      </c>
      <c r="B1488">
        <v>1</v>
      </c>
      <c r="C1488">
        <v>3</v>
      </c>
      <c r="D1488">
        <v>440</v>
      </c>
      <c r="E1488">
        <v>397</v>
      </c>
      <c r="F1488">
        <v>413</v>
      </c>
      <c r="G1488">
        <v>406</v>
      </c>
      <c r="H1488">
        <v>0</v>
      </c>
      <c r="I1488">
        <f>VLOOKUP(Scores[[#This Row],[MRUN]],Demographics[],3,FALSE)</f>
        <v>5</v>
      </c>
      <c r="J1488">
        <f>AVERAGE(Scores[[#This Row],[LYC]],Scores[[#This Row],[MATE]])</f>
        <v>405</v>
      </c>
      <c r="K1488">
        <f>VLOOKUP(Scores[[#This Row],[MRUN]],Demographics[],6,FALSE)</f>
        <v>5</v>
      </c>
      <c r="L1488">
        <f>VLOOKUP(Scores[[#This Row],[MRUN]],Demographics[], 7,FALSE)</f>
        <v>5</v>
      </c>
      <c r="M1488">
        <f>VLOOKUP(Scores[[#This Row],[MRUN]],Demographics[], 5, FALSE)</f>
        <v>1</v>
      </c>
    </row>
    <row r="1489" spans="1:13" hidden="1" x14ac:dyDescent="0.2">
      <c r="A1489" s="1">
        <v>14893019</v>
      </c>
      <c r="B1489">
        <v>2</v>
      </c>
      <c r="C1489">
        <v>3</v>
      </c>
      <c r="D1489">
        <v>702</v>
      </c>
      <c r="E1489">
        <v>727</v>
      </c>
      <c r="F1489">
        <v>582</v>
      </c>
      <c r="G1489">
        <v>706</v>
      </c>
      <c r="H1489">
        <v>0</v>
      </c>
      <c r="I1489">
        <f>VLOOKUP(Scores[[#This Row],[MRUN]],Demographics[],3,FALSE)</f>
        <v>2</v>
      </c>
      <c r="J1489">
        <f>AVERAGE(Scores[[#This Row],[LYC]],Scores[[#This Row],[MATE]])</f>
        <v>654.5</v>
      </c>
      <c r="K1489">
        <f>VLOOKUP(Scores[[#This Row],[MRUN]],Demographics[],6,FALSE)</f>
        <v>7</v>
      </c>
      <c r="L1489">
        <f>VLOOKUP(Scores[[#This Row],[MRUN]],Demographics[], 7,FALSE)</f>
        <v>4</v>
      </c>
      <c r="M1489">
        <f>VLOOKUP(Scores[[#This Row],[MRUN]],Demographics[], 5, FALSE)</f>
        <v>2</v>
      </c>
    </row>
    <row r="1490" spans="1:13" hidden="1" x14ac:dyDescent="0.2">
      <c r="A1490" s="1">
        <v>23005765</v>
      </c>
      <c r="B1490">
        <v>2</v>
      </c>
      <c r="C1490">
        <v>3</v>
      </c>
      <c r="D1490">
        <v>682</v>
      </c>
      <c r="E1490">
        <v>655</v>
      </c>
      <c r="F1490">
        <v>589</v>
      </c>
      <c r="G1490">
        <v>663</v>
      </c>
      <c r="H1490">
        <v>0</v>
      </c>
      <c r="I1490">
        <f>VLOOKUP(Scores[[#This Row],[MRUN]],Demographics[],3,FALSE)</f>
        <v>5</v>
      </c>
      <c r="J1490">
        <f>AVERAGE(Scores[[#This Row],[LYC]],Scores[[#This Row],[MATE]])</f>
        <v>622</v>
      </c>
      <c r="K1490">
        <f>VLOOKUP(Scores[[#This Row],[MRUN]],Demographics[],6,FALSE)</f>
        <v>8</v>
      </c>
      <c r="L1490">
        <f>VLOOKUP(Scores[[#This Row],[MRUN]],Demographics[], 7,FALSE)</f>
        <v>9</v>
      </c>
      <c r="M1490">
        <f>VLOOKUP(Scores[[#This Row],[MRUN]],Demographics[], 5, FALSE)</f>
        <v>4</v>
      </c>
    </row>
    <row r="1491" spans="1:13" hidden="1" x14ac:dyDescent="0.2">
      <c r="A1491" s="1">
        <v>7085240</v>
      </c>
      <c r="B1491">
        <v>2</v>
      </c>
      <c r="C1491">
        <v>3</v>
      </c>
      <c r="D1491">
        <v>435</v>
      </c>
      <c r="E1491">
        <v>476</v>
      </c>
      <c r="F1491">
        <v>248</v>
      </c>
      <c r="G1491">
        <v>428</v>
      </c>
      <c r="H1491">
        <v>459</v>
      </c>
      <c r="I1491">
        <f>VLOOKUP(Scores[[#This Row],[MRUN]],Demographics[],3,FALSE)</f>
        <v>5</v>
      </c>
      <c r="J1491">
        <f>AVERAGE(Scores[[#This Row],[LYC]],Scores[[#This Row],[MATE]])</f>
        <v>362</v>
      </c>
      <c r="K1491">
        <f>VLOOKUP(Scores[[#This Row],[MRUN]],Demographics[],6,FALSE)</f>
        <v>5</v>
      </c>
      <c r="L1491">
        <f>VLOOKUP(Scores[[#This Row],[MRUN]],Demographics[], 7,FALSE)</f>
        <v>7</v>
      </c>
      <c r="M1491">
        <f>VLOOKUP(Scores[[#This Row],[MRUN]],Demographics[], 5, FALSE)</f>
        <v>2</v>
      </c>
    </row>
    <row r="1492" spans="1:13" hidden="1" x14ac:dyDescent="0.2">
      <c r="A1492" s="1">
        <v>6348921</v>
      </c>
      <c r="B1492">
        <v>1</v>
      </c>
      <c r="C1492">
        <v>3</v>
      </c>
      <c r="D1492">
        <v>476</v>
      </c>
      <c r="E1492">
        <v>444</v>
      </c>
      <c r="F1492">
        <v>557</v>
      </c>
      <c r="G1492">
        <v>0</v>
      </c>
      <c r="H1492">
        <v>567</v>
      </c>
      <c r="I1492">
        <f>VLOOKUP(Scores[[#This Row],[MRUN]],Demographics[],3,FALSE)</f>
        <v>4</v>
      </c>
      <c r="J1492">
        <f>AVERAGE(Scores[[#This Row],[LYC]],Scores[[#This Row],[MATE]])</f>
        <v>500.5</v>
      </c>
      <c r="K1492">
        <f>VLOOKUP(Scores[[#This Row],[MRUN]],Demographics[],6,FALSE)</f>
        <v>8</v>
      </c>
      <c r="L1492">
        <f>VLOOKUP(Scores[[#This Row],[MRUN]],Demographics[], 7,FALSE)</f>
        <v>7</v>
      </c>
      <c r="M1492">
        <f>VLOOKUP(Scores[[#This Row],[MRUN]],Demographics[], 5, FALSE)</f>
        <v>2</v>
      </c>
    </row>
    <row r="1493" spans="1:13" hidden="1" x14ac:dyDescent="0.2">
      <c r="A1493" s="1">
        <v>16494860</v>
      </c>
      <c r="B1493">
        <v>2</v>
      </c>
      <c r="C1493">
        <v>3</v>
      </c>
      <c r="D1493">
        <v>437</v>
      </c>
      <c r="E1493">
        <v>244</v>
      </c>
      <c r="F1493">
        <v>219</v>
      </c>
      <c r="G1493">
        <v>380</v>
      </c>
      <c r="H1493">
        <v>404</v>
      </c>
      <c r="I1493">
        <f>VLOOKUP(Scores[[#This Row],[MRUN]],Demographics[],3,FALSE)</f>
        <v>5</v>
      </c>
      <c r="J1493">
        <f>AVERAGE(Scores[[#This Row],[LYC]],Scores[[#This Row],[MATE]])</f>
        <v>231.5</v>
      </c>
      <c r="K1493">
        <f>VLOOKUP(Scores[[#This Row],[MRUN]],Demographics[],6,FALSE)</f>
        <v>4</v>
      </c>
      <c r="L1493">
        <f>VLOOKUP(Scores[[#This Row],[MRUN]],Demographics[], 7,FALSE)</f>
        <v>2</v>
      </c>
      <c r="M1493">
        <f>VLOOKUP(Scores[[#This Row],[MRUN]],Demographics[], 5, FALSE)</f>
        <v>1</v>
      </c>
    </row>
    <row r="1494" spans="1:13" hidden="1" x14ac:dyDescent="0.2">
      <c r="A1494" s="1">
        <v>16062243</v>
      </c>
      <c r="B1494">
        <v>1</v>
      </c>
      <c r="C1494">
        <v>2</v>
      </c>
      <c r="D1494">
        <v>373</v>
      </c>
      <c r="E1494">
        <v>345</v>
      </c>
      <c r="F1494">
        <v>413</v>
      </c>
      <c r="G1494">
        <v>406</v>
      </c>
      <c r="H1494">
        <v>0</v>
      </c>
      <c r="I1494">
        <f>VLOOKUP(Scores[[#This Row],[MRUN]],Demographics[],3,FALSE)</f>
        <v>0</v>
      </c>
      <c r="J1494">
        <f>AVERAGE(Scores[[#This Row],[LYC]],Scores[[#This Row],[MATE]])</f>
        <v>379</v>
      </c>
      <c r="K1494">
        <f>VLOOKUP(Scores[[#This Row],[MRUN]],Demographics[],6,FALSE)</f>
        <v>0</v>
      </c>
      <c r="L1494">
        <f>VLOOKUP(Scores[[#This Row],[MRUN]],Demographics[], 7,FALSE)</f>
        <v>0</v>
      </c>
      <c r="M1494">
        <f>VLOOKUP(Scores[[#This Row],[MRUN]],Demographics[], 5, FALSE)</f>
        <v>1</v>
      </c>
    </row>
    <row r="1495" spans="1:13" hidden="1" x14ac:dyDescent="0.2">
      <c r="A1495" s="1">
        <v>11256722</v>
      </c>
      <c r="B1495">
        <v>2</v>
      </c>
      <c r="C1495">
        <v>3</v>
      </c>
      <c r="D1495">
        <v>599</v>
      </c>
      <c r="E1495">
        <v>488</v>
      </c>
      <c r="F1495">
        <v>560</v>
      </c>
      <c r="G1495">
        <v>531</v>
      </c>
      <c r="H1495">
        <v>510</v>
      </c>
      <c r="I1495">
        <f>VLOOKUP(Scores[[#This Row],[MRUN]],Demographics[],3,FALSE)</f>
        <v>4</v>
      </c>
      <c r="J1495">
        <f>AVERAGE(Scores[[#This Row],[LYC]],Scores[[#This Row],[MATE]])</f>
        <v>524</v>
      </c>
      <c r="K1495">
        <f>VLOOKUP(Scores[[#This Row],[MRUN]],Demographics[],6,FALSE)</f>
        <v>5</v>
      </c>
      <c r="L1495">
        <f>VLOOKUP(Scores[[#This Row],[MRUN]],Demographics[], 7,FALSE)</f>
        <v>5</v>
      </c>
      <c r="M1495">
        <f>VLOOKUP(Scores[[#This Row],[MRUN]],Demographics[], 5, FALSE)</f>
        <v>2</v>
      </c>
    </row>
    <row r="1496" spans="1:13" hidden="1" x14ac:dyDescent="0.2">
      <c r="A1496" s="1">
        <v>12223220</v>
      </c>
      <c r="B1496">
        <v>2</v>
      </c>
      <c r="C1496">
        <v>2</v>
      </c>
      <c r="D1496">
        <v>620</v>
      </c>
      <c r="E1496">
        <v>567</v>
      </c>
      <c r="F1496">
        <v>501</v>
      </c>
      <c r="G1496">
        <v>0</v>
      </c>
      <c r="H1496">
        <v>583</v>
      </c>
      <c r="I1496">
        <f>VLOOKUP(Scores[[#This Row],[MRUN]],Demographics[],3,FALSE)</f>
        <v>4</v>
      </c>
      <c r="J1496">
        <f>AVERAGE(Scores[[#This Row],[LYC]],Scores[[#This Row],[MATE]])</f>
        <v>534</v>
      </c>
      <c r="K1496">
        <f>VLOOKUP(Scores[[#This Row],[MRUN]],Demographics[],6,FALSE)</f>
        <v>5</v>
      </c>
      <c r="L1496">
        <f>VLOOKUP(Scores[[#This Row],[MRUN]],Demographics[], 7,FALSE)</f>
        <v>2</v>
      </c>
      <c r="M1496">
        <f>VLOOKUP(Scores[[#This Row],[MRUN]],Demographics[], 5, FALSE)</f>
        <v>1</v>
      </c>
    </row>
    <row r="1497" spans="1:13" hidden="1" x14ac:dyDescent="0.2">
      <c r="A1497" s="1">
        <v>17028960</v>
      </c>
      <c r="B1497">
        <v>1</v>
      </c>
      <c r="C1497">
        <v>3</v>
      </c>
      <c r="D1497">
        <v>476</v>
      </c>
      <c r="E1497">
        <v>547</v>
      </c>
      <c r="F1497">
        <v>574</v>
      </c>
      <c r="G1497">
        <v>521</v>
      </c>
      <c r="H1497">
        <v>0</v>
      </c>
      <c r="I1497">
        <f>VLOOKUP(Scores[[#This Row],[MRUN]],Demographics[],3,FALSE)</f>
        <v>3</v>
      </c>
      <c r="J1497">
        <f>AVERAGE(Scores[[#This Row],[LYC]],Scores[[#This Row],[MATE]])</f>
        <v>560.5</v>
      </c>
      <c r="K1497">
        <f>VLOOKUP(Scores[[#This Row],[MRUN]],Demographics[],6,FALSE)</f>
        <v>0</v>
      </c>
      <c r="L1497">
        <f>VLOOKUP(Scores[[#This Row],[MRUN]],Demographics[], 7,FALSE)</f>
        <v>0</v>
      </c>
      <c r="M1497">
        <f>VLOOKUP(Scores[[#This Row],[MRUN]],Demographics[], 5, FALSE)</f>
        <v>1</v>
      </c>
    </row>
    <row r="1498" spans="1:13" hidden="1" x14ac:dyDescent="0.2">
      <c r="A1498" s="1">
        <v>19266970</v>
      </c>
      <c r="B1498">
        <v>2</v>
      </c>
      <c r="C1498">
        <v>3</v>
      </c>
      <c r="D1498">
        <v>496</v>
      </c>
      <c r="E1498">
        <v>727</v>
      </c>
      <c r="F1498">
        <v>527</v>
      </c>
      <c r="G1498">
        <v>670</v>
      </c>
      <c r="H1498">
        <v>0</v>
      </c>
      <c r="I1498">
        <f>VLOOKUP(Scores[[#This Row],[MRUN]],Demographics[],3,FALSE)</f>
        <v>6</v>
      </c>
      <c r="J1498">
        <f>AVERAGE(Scores[[#This Row],[LYC]],Scores[[#This Row],[MATE]])</f>
        <v>627</v>
      </c>
      <c r="K1498">
        <f>VLOOKUP(Scores[[#This Row],[MRUN]],Demographics[],6,FALSE)</f>
        <v>9</v>
      </c>
      <c r="L1498">
        <f>VLOOKUP(Scores[[#This Row],[MRUN]],Demographics[], 7,FALSE)</f>
        <v>7</v>
      </c>
      <c r="M1498">
        <f>VLOOKUP(Scores[[#This Row],[MRUN]],Demographics[], 5, FALSE)</f>
        <v>2</v>
      </c>
    </row>
    <row r="1499" spans="1:13" hidden="1" x14ac:dyDescent="0.2">
      <c r="A1499" s="1">
        <v>3678757</v>
      </c>
      <c r="B1499">
        <v>2</v>
      </c>
      <c r="C1499">
        <v>2</v>
      </c>
      <c r="D1499">
        <v>538</v>
      </c>
      <c r="E1499">
        <v>415</v>
      </c>
      <c r="F1499">
        <v>395</v>
      </c>
      <c r="G1499">
        <v>0</v>
      </c>
      <c r="H1499">
        <v>428</v>
      </c>
      <c r="I1499">
        <f>VLOOKUP(Scores[[#This Row],[MRUN]],Demographics[],3,FALSE)</f>
        <v>4</v>
      </c>
      <c r="J1499">
        <f>AVERAGE(Scores[[#This Row],[LYC]],Scores[[#This Row],[MATE]])</f>
        <v>405</v>
      </c>
      <c r="K1499">
        <f>VLOOKUP(Scores[[#This Row],[MRUN]],Demographics[],6,FALSE)</f>
        <v>8</v>
      </c>
      <c r="L1499">
        <f>VLOOKUP(Scores[[#This Row],[MRUN]],Demographics[], 7,FALSE)</f>
        <v>8</v>
      </c>
      <c r="M1499">
        <f>VLOOKUP(Scores[[#This Row],[MRUN]],Demographics[], 5, FALSE)</f>
        <v>1</v>
      </c>
    </row>
    <row r="1500" spans="1:13" hidden="1" x14ac:dyDescent="0.2">
      <c r="A1500" s="1">
        <v>13392461</v>
      </c>
      <c r="B1500">
        <v>1</v>
      </c>
      <c r="C1500">
        <v>2</v>
      </c>
      <c r="D1500">
        <v>517</v>
      </c>
      <c r="E1500">
        <v>557</v>
      </c>
      <c r="F1500">
        <v>523</v>
      </c>
      <c r="G1500">
        <v>506</v>
      </c>
      <c r="H1500">
        <v>0</v>
      </c>
      <c r="I1500">
        <f>VLOOKUP(Scores[[#This Row],[MRUN]],Demographics[],3,FALSE)</f>
        <v>4</v>
      </c>
      <c r="J1500">
        <f>AVERAGE(Scores[[#This Row],[LYC]],Scores[[#This Row],[MATE]])</f>
        <v>540</v>
      </c>
      <c r="K1500">
        <f>VLOOKUP(Scores[[#This Row],[MRUN]],Demographics[],6,FALSE)</f>
        <v>3</v>
      </c>
      <c r="L1500">
        <f>VLOOKUP(Scores[[#This Row],[MRUN]],Demographics[], 7,FALSE)</f>
        <v>5</v>
      </c>
      <c r="M1500">
        <f>VLOOKUP(Scores[[#This Row],[MRUN]],Demographics[], 5, FALSE)</f>
        <v>2</v>
      </c>
    </row>
    <row r="1501" spans="1:13" hidden="1" x14ac:dyDescent="0.2">
      <c r="A1501" s="1">
        <v>12324827</v>
      </c>
      <c r="B1501">
        <v>2</v>
      </c>
      <c r="C1501">
        <v>3</v>
      </c>
      <c r="D1501">
        <v>499</v>
      </c>
      <c r="E1501">
        <v>0</v>
      </c>
      <c r="F1501">
        <v>0</v>
      </c>
      <c r="G1501">
        <v>0</v>
      </c>
      <c r="H1501">
        <v>0</v>
      </c>
      <c r="I1501">
        <f>VLOOKUP(Scores[[#This Row],[MRUN]],Demographics[],3,FALSE)</f>
        <v>5</v>
      </c>
      <c r="J1501">
        <f>AVERAGE(Scores[[#This Row],[LYC]],Scores[[#This Row],[MATE]])</f>
        <v>0</v>
      </c>
      <c r="K1501">
        <f>VLOOKUP(Scores[[#This Row],[MRUN]],Demographics[],6,FALSE)</f>
        <v>4</v>
      </c>
      <c r="L1501">
        <f>VLOOKUP(Scores[[#This Row],[MRUN]],Demographics[], 7,FALSE)</f>
        <v>4</v>
      </c>
      <c r="M1501">
        <f>VLOOKUP(Scores[[#This Row],[MRUN]],Demographics[], 5, FALSE)</f>
        <v>1</v>
      </c>
    </row>
    <row r="1502" spans="1:13" hidden="1" x14ac:dyDescent="0.2">
      <c r="A1502" s="1">
        <v>24939134</v>
      </c>
      <c r="B1502">
        <v>1</v>
      </c>
      <c r="C1502">
        <v>3</v>
      </c>
      <c r="D1502">
        <v>476</v>
      </c>
      <c r="E1502">
        <v>406</v>
      </c>
      <c r="F1502">
        <v>395</v>
      </c>
      <c r="G1502">
        <v>421</v>
      </c>
      <c r="H1502">
        <v>0</v>
      </c>
      <c r="I1502">
        <f>VLOOKUP(Scores[[#This Row],[MRUN]],Demographics[],3,FALSE)</f>
        <v>5</v>
      </c>
      <c r="J1502">
        <f>AVERAGE(Scores[[#This Row],[LYC]],Scores[[#This Row],[MATE]])</f>
        <v>400.5</v>
      </c>
      <c r="K1502">
        <f>VLOOKUP(Scores[[#This Row],[MRUN]],Demographics[],6,FALSE)</f>
        <v>9</v>
      </c>
      <c r="L1502">
        <f>VLOOKUP(Scores[[#This Row],[MRUN]],Demographics[], 7,FALSE)</f>
        <v>7</v>
      </c>
      <c r="M1502">
        <f>VLOOKUP(Scores[[#This Row],[MRUN]],Demographics[], 5, FALSE)</f>
        <v>2</v>
      </c>
    </row>
    <row r="1503" spans="1:13" hidden="1" x14ac:dyDescent="0.2">
      <c r="A1503" s="1">
        <v>15426649</v>
      </c>
      <c r="B1503">
        <v>2</v>
      </c>
      <c r="C1503">
        <v>2</v>
      </c>
      <c r="D1503">
        <v>580</v>
      </c>
      <c r="E1503">
        <v>505</v>
      </c>
      <c r="F1503">
        <v>480</v>
      </c>
      <c r="G1503">
        <v>516</v>
      </c>
      <c r="H1503">
        <v>0</v>
      </c>
      <c r="I1503">
        <f>VLOOKUP(Scores[[#This Row],[MRUN]],Demographics[],3,FALSE)</f>
        <v>3</v>
      </c>
      <c r="J1503">
        <f>AVERAGE(Scores[[#This Row],[LYC]],Scores[[#This Row],[MATE]])</f>
        <v>492.5</v>
      </c>
      <c r="K1503">
        <f>VLOOKUP(Scores[[#This Row],[MRUN]],Demographics[],6,FALSE)</f>
        <v>2</v>
      </c>
      <c r="L1503">
        <f>VLOOKUP(Scores[[#This Row],[MRUN]],Demographics[], 7,FALSE)</f>
        <v>2</v>
      </c>
      <c r="M1503">
        <f>VLOOKUP(Scores[[#This Row],[MRUN]],Demographics[], 5, FALSE)</f>
        <v>1</v>
      </c>
    </row>
    <row r="1504" spans="1:13" hidden="1" x14ac:dyDescent="0.2">
      <c r="A1504" s="1">
        <v>4847236</v>
      </c>
      <c r="B1504">
        <v>1</v>
      </c>
      <c r="C1504">
        <v>3</v>
      </c>
      <c r="D1504">
        <v>661</v>
      </c>
      <c r="E1504">
        <v>557</v>
      </c>
      <c r="F1504">
        <v>661</v>
      </c>
      <c r="G1504">
        <v>0</v>
      </c>
      <c r="H1504">
        <v>650</v>
      </c>
      <c r="I1504">
        <f>VLOOKUP(Scores[[#This Row],[MRUN]],Demographics[],3,FALSE)</f>
        <v>5</v>
      </c>
      <c r="J1504">
        <f>AVERAGE(Scores[[#This Row],[LYC]],Scores[[#This Row],[MATE]])</f>
        <v>609</v>
      </c>
      <c r="K1504">
        <f>VLOOKUP(Scores[[#This Row],[MRUN]],Demographics[],6,FALSE)</f>
        <v>5</v>
      </c>
      <c r="L1504">
        <f>VLOOKUP(Scores[[#This Row],[MRUN]],Demographics[], 7,FALSE)</f>
        <v>9</v>
      </c>
      <c r="M1504">
        <f>VLOOKUP(Scores[[#This Row],[MRUN]],Demographics[], 5, FALSE)</f>
        <v>2</v>
      </c>
    </row>
    <row r="1505" spans="1:13" hidden="1" x14ac:dyDescent="0.2">
      <c r="A1505" s="1">
        <v>4746065</v>
      </c>
      <c r="B1505">
        <v>1</v>
      </c>
      <c r="C1505">
        <v>3</v>
      </c>
      <c r="D1505">
        <v>620</v>
      </c>
      <c r="E1505">
        <v>494</v>
      </c>
      <c r="F1505">
        <v>628</v>
      </c>
      <c r="G1505">
        <v>0</v>
      </c>
      <c r="H1505">
        <v>639</v>
      </c>
      <c r="I1505">
        <f>VLOOKUP(Scores[[#This Row],[MRUN]],Demographics[],3,FALSE)</f>
        <v>4</v>
      </c>
      <c r="J1505">
        <f>AVERAGE(Scores[[#This Row],[LYC]],Scores[[#This Row],[MATE]])</f>
        <v>561</v>
      </c>
      <c r="K1505">
        <f>VLOOKUP(Scores[[#This Row],[MRUN]],Demographics[],6,FALSE)</f>
        <v>5</v>
      </c>
      <c r="L1505">
        <f>VLOOKUP(Scores[[#This Row],[MRUN]],Demographics[], 7,FALSE)</f>
        <v>5</v>
      </c>
      <c r="M1505">
        <f>VLOOKUP(Scores[[#This Row],[MRUN]],Demographics[], 5, FALSE)</f>
        <v>2</v>
      </c>
    </row>
    <row r="1506" spans="1:13" hidden="1" x14ac:dyDescent="0.2">
      <c r="A1506" s="1">
        <v>6983772</v>
      </c>
      <c r="B1506">
        <v>2</v>
      </c>
      <c r="C1506">
        <v>3</v>
      </c>
      <c r="D1506">
        <v>723</v>
      </c>
      <c r="E1506">
        <v>576</v>
      </c>
      <c r="F1506">
        <v>609</v>
      </c>
      <c r="G1506">
        <v>0</v>
      </c>
      <c r="H1506">
        <v>567</v>
      </c>
      <c r="I1506">
        <f>VLOOKUP(Scores[[#This Row],[MRUN]],Demographics[],3,FALSE)</f>
        <v>4</v>
      </c>
      <c r="J1506">
        <f>AVERAGE(Scores[[#This Row],[LYC]],Scores[[#This Row],[MATE]])</f>
        <v>592.5</v>
      </c>
      <c r="K1506">
        <f>VLOOKUP(Scores[[#This Row],[MRUN]],Demographics[],6,FALSE)</f>
        <v>9</v>
      </c>
      <c r="L1506">
        <f>VLOOKUP(Scores[[#This Row],[MRUN]],Demographics[], 7,FALSE)</f>
        <v>5</v>
      </c>
      <c r="M1506">
        <f>VLOOKUP(Scores[[#This Row],[MRUN]],Demographics[], 5, FALSE)</f>
        <v>3</v>
      </c>
    </row>
    <row r="1507" spans="1:13" hidden="1" x14ac:dyDescent="0.2">
      <c r="A1507" s="1">
        <v>21734820</v>
      </c>
      <c r="B1507">
        <v>1</v>
      </c>
      <c r="C1507">
        <v>2</v>
      </c>
      <c r="D1507">
        <v>499</v>
      </c>
      <c r="E1507">
        <v>476</v>
      </c>
      <c r="F1507">
        <v>472</v>
      </c>
      <c r="G1507">
        <v>449</v>
      </c>
      <c r="H1507">
        <v>0</v>
      </c>
      <c r="I1507">
        <f>VLOOKUP(Scores[[#This Row],[MRUN]],Demographics[],3,FALSE)</f>
        <v>4</v>
      </c>
      <c r="J1507">
        <f>AVERAGE(Scores[[#This Row],[LYC]],Scores[[#This Row],[MATE]])</f>
        <v>474</v>
      </c>
      <c r="K1507">
        <f>VLOOKUP(Scores[[#This Row],[MRUN]],Demographics[],6,FALSE)</f>
        <v>5</v>
      </c>
      <c r="L1507">
        <f>VLOOKUP(Scores[[#This Row],[MRUN]],Demographics[], 7,FALSE)</f>
        <v>4</v>
      </c>
      <c r="M1507">
        <f>VLOOKUP(Scores[[#This Row],[MRUN]],Demographics[], 5, FALSE)</f>
        <v>1</v>
      </c>
    </row>
    <row r="1508" spans="1:13" hidden="1" x14ac:dyDescent="0.2">
      <c r="A1508" s="1">
        <v>23336986</v>
      </c>
      <c r="B1508">
        <v>1</v>
      </c>
      <c r="C1508">
        <v>3</v>
      </c>
      <c r="D1508">
        <v>476</v>
      </c>
      <c r="E1508">
        <v>557</v>
      </c>
      <c r="F1508">
        <v>579</v>
      </c>
      <c r="G1508">
        <v>582</v>
      </c>
      <c r="H1508">
        <v>0</v>
      </c>
      <c r="I1508">
        <f>VLOOKUP(Scores[[#This Row],[MRUN]],Demographics[],3,FALSE)</f>
        <v>4</v>
      </c>
      <c r="J1508">
        <f>AVERAGE(Scores[[#This Row],[LYC]],Scores[[#This Row],[MATE]])</f>
        <v>568</v>
      </c>
      <c r="K1508">
        <f>VLOOKUP(Scores[[#This Row],[MRUN]],Demographics[],6,FALSE)</f>
        <v>7</v>
      </c>
      <c r="L1508">
        <f>VLOOKUP(Scores[[#This Row],[MRUN]],Demographics[], 7,FALSE)</f>
        <v>7</v>
      </c>
      <c r="M1508">
        <f>VLOOKUP(Scores[[#This Row],[MRUN]],Demographics[], 5, FALSE)</f>
        <v>2</v>
      </c>
    </row>
    <row r="1509" spans="1:13" hidden="1" x14ac:dyDescent="0.2">
      <c r="A1509" s="1">
        <v>17664740</v>
      </c>
      <c r="B1509">
        <v>1</v>
      </c>
      <c r="C1509">
        <v>3</v>
      </c>
      <c r="D1509">
        <v>435</v>
      </c>
      <c r="E1509">
        <v>510</v>
      </c>
      <c r="F1509">
        <v>512</v>
      </c>
      <c r="G1509">
        <v>0</v>
      </c>
      <c r="H1509">
        <v>510</v>
      </c>
      <c r="I1509">
        <f>VLOOKUP(Scores[[#This Row],[MRUN]],Demographics[],3,FALSE)</f>
        <v>6</v>
      </c>
      <c r="J1509">
        <f>AVERAGE(Scores[[#This Row],[LYC]],Scores[[#This Row],[MATE]])</f>
        <v>511</v>
      </c>
      <c r="K1509">
        <f>VLOOKUP(Scores[[#This Row],[MRUN]],Demographics[],6,FALSE)</f>
        <v>9</v>
      </c>
      <c r="L1509">
        <f>VLOOKUP(Scores[[#This Row],[MRUN]],Demographics[], 7,FALSE)</f>
        <v>9</v>
      </c>
      <c r="M1509">
        <f>VLOOKUP(Scores[[#This Row],[MRUN]],Demographics[], 5, FALSE)</f>
        <v>2</v>
      </c>
    </row>
    <row r="1510" spans="1:13" hidden="1" x14ac:dyDescent="0.2">
      <c r="A1510" s="1">
        <v>6551539</v>
      </c>
      <c r="B1510">
        <v>2</v>
      </c>
      <c r="C1510">
        <v>2</v>
      </c>
      <c r="D1510">
        <v>352</v>
      </c>
      <c r="E1510">
        <v>483</v>
      </c>
      <c r="F1510">
        <v>428</v>
      </c>
      <c r="G1510">
        <v>479</v>
      </c>
      <c r="H1510">
        <v>0</v>
      </c>
      <c r="I1510">
        <f>VLOOKUP(Scores[[#This Row],[MRUN]],Demographics[],3,FALSE)</f>
        <v>4</v>
      </c>
      <c r="J1510">
        <f>AVERAGE(Scores[[#This Row],[LYC]],Scores[[#This Row],[MATE]])</f>
        <v>455.5</v>
      </c>
      <c r="K1510">
        <f>VLOOKUP(Scores[[#This Row],[MRUN]],Demographics[],6,FALSE)</f>
        <v>4</v>
      </c>
      <c r="L1510">
        <f>VLOOKUP(Scores[[#This Row],[MRUN]],Demographics[], 7,FALSE)</f>
        <v>3</v>
      </c>
      <c r="M1510">
        <f>VLOOKUP(Scores[[#This Row],[MRUN]],Demographics[], 5, FALSE)</f>
        <v>1</v>
      </c>
    </row>
    <row r="1511" spans="1:13" hidden="1" x14ac:dyDescent="0.2">
      <c r="A1511" s="1">
        <v>4212284</v>
      </c>
      <c r="B1511">
        <v>1</v>
      </c>
      <c r="C1511">
        <v>2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f>VLOOKUP(Scores[[#This Row],[MRUN]],Demographics[],3,FALSE)</f>
        <v>3</v>
      </c>
      <c r="J1511">
        <f>AVERAGE(Scores[[#This Row],[LYC]],Scores[[#This Row],[MATE]])</f>
        <v>0</v>
      </c>
      <c r="K1511">
        <f>VLOOKUP(Scores[[#This Row],[MRUN]],Demographics[],6,FALSE)</f>
        <v>3</v>
      </c>
      <c r="L1511">
        <f>VLOOKUP(Scores[[#This Row],[MRUN]],Demographics[], 7,FALSE)</f>
        <v>3</v>
      </c>
      <c r="M1511">
        <f>VLOOKUP(Scores[[#This Row],[MRUN]],Demographics[], 5, FALSE)</f>
        <v>1</v>
      </c>
    </row>
    <row r="1512" spans="1:13" hidden="1" x14ac:dyDescent="0.2">
      <c r="A1512" s="1">
        <v>3144549</v>
      </c>
      <c r="B1512">
        <v>1</v>
      </c>
      <c r="C1512">
        <v>3</v>
      </c>
      <c r="D1512">
        <v>661</v>
      </c>
      <c r="E1512">
        <v>602</v>
      </c>
      <c r="F1512">
        <v>596</v>
      </c>
      <c r="G1512">
        <v>0</v>
      </c>
      <c r="H1512">
        <v>579</v>
      </c>
      <c r="I1512">
        <f>VLOOKUP(Scores[[#This Row],[MRUN]],Demographics[],3,FALSE)</f>
        <v>4</v>
      </c>
      <c r="J1512">
        <f>AVERAGE(Scores[[#This Row],[LYC]],Scores[[#This Row],[MATE]])</f>
        <v>599</v>
      </c>
      <c r="K1512">
        <f>VLOOKUP(Scores[[#This Row],[MRUN]],Demographics[],6,FALSE)</f>
        <v>9</v>
      </c>
      <c r="L1512">
        <f>VLOOKUP(Scores[[#This Row],[MRUN]],Demographics[], 7,FALSE)</f>
        <v>10</v>
      </c>
      <c r="M1512">
        <f>VLOOKUP(Scores[[#This Row],[MRUN]],Demographics[], 5, FALSE)</f>
        <v>2</v>
      </c>
    </row>
    <row r="1513" spans="1:13" hidden="1" x14ac:dyDescent="0.2">
      <c r="A1513" s="1">
        <v>14893018</v>
      </c>
      <c r="B1513">
        <v>1</v>
      </c>
      <c r="C1513">
        <v>3</v>
      </c>
      <c r="D1513">
        <v>0</v>
      </c>
      <c r="E1513">
        <v>290</v>
      </c>
      <c r="F1513">
        <v>395</v>
      </c>
      <c r="G1513">
        <v>359</v>
      </c>
      <c r="H1513">
        <v>0</v>
      </c>
      <c r="I1513">
        <f>VLOOKUP(Scores[[#This Row],[MRUN]],Demographics[],3,FALSE)</f>
        <v>5</v>
      </c>
      <c r="J1513">
        <f>AVERAGE(Scores[[#This Row],[LYC]],Scores[[#This Row],[MATE]])</f>
        <v>342.5</v>
      </c>
      <c r="K1513">
        <f>VLOOKUP(Scores[[#This Row],[MRUN]],Demographics[],6,FALSE)</f>
        <v>4</v>
      </c>
      <c r="L1513">
        <f>VLOOKUP(Scores[[#This Row],[MRUN]],Demographics[], 7,FALSE)</f>
        <v>4</v>
      </c>
      <c r="M1513">
        <f>VLOOKUP(Scores[[#This Row],[MRUN]],Demographics[], 5, FALSE)</f>
        <v>2</v>
      </c>
    </row>
    <row r="1514" spans="1:13" hidden="1" x14ac:dyDescent="0.2">
      <c r="A1514" s="1">
        <v>23005764</v>
      </c>
      <c r="B1514">
        <v>1</v>
      </c>
      <c r="C1514">
        <v>2</v>
      </c>
      <c r="D1514">
        <v>538</v>
      </c>
      <c r="E1514">
        <v>505</v>
      </c>
      <c r="F1514">
        <v>523</v>
      </c>
      <c r="G1514">
        <v>0</v>
      </c>
      <c r="H1514">
        <v>528</v>
      </c>
      <c r="I1514">
        <f>VLOOKUP(Scores[[#This Row],[MRUN]],Demographics[],3,FALSE)</f>
        <v>6</v>
      </c>
      <c r="J1514">
        <f>AVERAGE(Scores[[#This Row],[LYC]],Scores[[#This Row],[MATE]])</f>
        <v>514</v>
      </c>
      <c r="K1514">
        <f>VLOOKUP(Scores[[#This Row],[MRUN]],Demographics[],6,FALSE)</f>
        <v>8</v>
      </c>
      <c r="L1514">
        <f>VLOOKUP(Scores[[#This Row],[MRUN]],Demographics[], 7,FALSE)</f>
        <v>8</v>
      </c>
      <c r="M1514">
        <f>VLOOKUP(Scores[[#This Row],[MRUN]],Demographics[], 5, FALSE)</f>
        <v>2</v>
      </c>
    </row>
    <row r="1515" spans="1:13" hidden="1" x14ac:dyDescent="0.2">
      <c r="A1515" s="1">
        <v>19801508</v>
      </c>
      <c r="B1515">
        <v>1</v>
      </c>
      <c r="C1515">
        <v>2</v>
      </c>
      <c r="D1515">
        <v>620</v>
      </c>
      <c r="E1515">
        <v>531</v>
      </c>
      <c r="F1515">
        <v>395</v>
      </c>
      <c r="G1515">
        <v>617</v>
      </c>
      <c r="H1515">
        <v>0</v>
      </c>
      <c r="I1515">
        <f>VLOOKUP(Scores[[#This Row],[MRUN]],Demographics[],3,FALSE)</f>
        <v>4</v>
      </c>
      <c r="J1515">
        <f>AVERAGE(Scores[[#This Row],[LYC]],Scores[[#This Row],[MATE]])</f>
        <v>463</v>
      </c>
      <c r="K1515">
        <f>VLOOKUP(Scores[[#This Row],[MRUN]],Demographics[],6,FALSE)</f>
        <v>5</v>
      </c>
      <c r="L1515">
        <f>VLOOKUP(Scores[[#This Row],[MRUN]],Demographics[], 7,FALSE)</f>
        <v>4</v>
      </c>
      <c r="M1515">
        <f>VLOOKUP(Scores[[#This Row],[MRUN]],Demographics[], 5, FALSE)</f>
        <v>1</v>
      </c>
    </row>
    <row r="1516" spans="1:13" hidden="1" x14ac:dyDescent="0.2">
      <c r="A1516" s="1">
        <v>20767985</v>
      </c>
      <c r="B1516">
        <v>1</v>
      </c>
      <c r="C1516">
        <v>3</v>
      </c>
      <c r="D1516">
        <v>435</v>
      </c>
      <c r="E1516">
        <v>505</v>
      </c>
      <c r="F1516">
        <v>536</v>
      </c>
      <c r="G1516">
        <v>334</v>
      </c>
      <c r="H1516">
        <v>459</v>
      </c>
      <c r="I1516">
        <f>VLOOKUP(Scores[[#This Row],[MRUN]],Demographics[],3,FALSE)</f>
        <v>6</v>
      </c>
      <c r="J1516">
        <f>AVERAGE(Scores[[#This Row],[LYC]],Scores[[#This Row],[MATE]])</f>
        <v>520.5</v>
      </c>
      <c r="K1516">
        <f>VLOOKUP(Scores[[#This Row],[MRUN]],Demographics[],6,FALSE)</f>
        <v>8</v>
      </c>
      <c r="L1516">
        <f>VLOOKUP(Scores[[#This Row],[MRUN]],Demographics[], 7,FALSE)</f>
        <v>9</v>
      </c>
      <c r="M1516">
        <f>VLOOKUP(Scores[[#This Row],[MRUN]],Demographics[], 5, FALSE)</f>
        <v>2</v>
      </c>
    </row>
    <row r="1517" spans="1:13" hidden="1" x14ac:dyDescent="0.2">
      <c r="A1517" s="1">
        <v>6348920</v>
      </c>
      <c r="B1517">
        <v>1</v>
      </c>
      <c r="C1517">
        <v>2</v>
      </c>
      <c r="D1517">
        <v>417</v>
      </c>
      <c r="E1517">
        <v>444</v>
      </c>
      <c r="F1517">
        <v>353</v>
      </c>
      <c r="G1517">
        <v>388</v>
      </c>
      <c r="H1517">
        <v>0</v>
      </c>
      <c r="I1517">
        <f>VLOOKUP(Scores[[#This Row],[MRUN]],Demographics[],3,FALSE)</f>
        <v>5</v>
      </c>
      <c r="J1517">
        <f>AVERAGE(Scores[[#This Row],[LYC]],Scores[[#This Row],[MATE]])</f>
        <v>398.5</v>
      </c>
      <c r="K1517">
        <f>VLOOKUP(Scores[[#This Row],[MRUN]],Demographics[],6,FALSE)</f>
        <v>4</v>
      </c>
      <c r="L1517">
        <f>VLOOKUP(Scores[[#This Row],[MRUN]],Demographics[], 7,FALSE)</f>
        <v>9</v>
      </c>
      <c r="M1517">
        <f>VLOOKUP(Scores[[#This Row],[MRUN]],Demographics[], 5, FALSE)</f>
        <v>1</v>
      </c>
    </row>
    <row r="1518" spans="1:13" hidden="1" x14ac:dyDescent="0.2">
      <c r="A1518" s="1">
        <v>16494861</v>
      </c>
      <c r="B1518">
        <v>1</v>
      </c>
      <c r="C1518">
        <v>2</v>
      </c>
      <c r="D1518">
        <v>661</v>
      </c>
      <c r="E1518">
        <v>471</v>
      </c>
      <c r="F1518">
        <v>512</v>
      </c>
      <c r="G1518">
        <v>428</v>
      </c>
      <c r="H1518">
        <v>0</v>
      </c>
      <c r="I1518">
        <f>VLOOKUP(Scores[[#This Row],[MRUN]],Demographics[],3,FALSE)</f>
        <v>4</v>
      </c>
      <c r="J1518">
        <f>AVERAGE(Scores[[#This Row],[LYC]],Scores[[#This Row],[MATE]])</f>
        <v>491.5</v>
      </c>
      <c r="K1518">
        <f>VLOOKUP(Scores[[#This Row],[MRUN]],Demographics[],6,FALSE)</f>
        <v>5</v>
      </c>
      <c r="L1518">
        <f>VLOOKUP(Scores[[#This Row],[MRUN]],Demographics[], 7,FALSE)</f>
        <v>9</v>
      </c>
      <c r="M1518">
        <f>VLOOKUP(Scores[[#This Row],[MRUN]],Demographics[], 5, FALSE)</f>
        <v>2</v>
      </c>
    </row>
    <row r="1519" spans="1:13" hidden="1" x14ac:dyDescent="0.2">
      <c r="A1519" s="1">
        <v>4414814</v>
      </c>
      <c r="B1519">
        <v>2</v>
      </c>
      <c r="C1519">
        <v>2</v>
      </c>
      <c r="D1519">
        <v>661</v>
      </c>
      <c r="E1519">
        <v>596</v>
      </c>
      <c r="F1519">
        <v>549</v>
      </c>
      <c r="G1519">
        <v>547</v>
      </c>
      <c r="H1519">
        <v>0</v>
      </c>
      <c r="I1519">
        <f>VLOOKUP(Scores[[#This Row],[MRUN]],Demographics[],3,FALSE)</f>
        <v>2</v>
      </c>
      <c r="J1519">
        <f>AVERAGE(Scores[[#This Row],[LYC]],Scores[[#This Row],[MATE]])</f>
        <v>572.5</v>
      </c>
      <c r="K1519">
        <f>VLOOKUP(Scores[[#This Row],[MRUN]],Demographics[],6,FALSE)</f>
        <v>5</v>
      </c>
      <c r="L1519">
        <f>VLOOKUP(Scores[[#This Row],[MRUN]],Demographics[], 7,FALSE)</f>
        <v>5</v>
      </c>
      <c r="M1519">
        <f>VLOOKUP(Scores[[#This Row],[MRUN]],Demographics[], 5, FALSE)</f>
        <v>1</v>
      </c>
    </row>
    <row r="1520" spans="1:13" hidden="1" x14ac:dyDescent="0.2">
      <c r="A1520" s="1">
        <v>12223221</v>
      </c>
      <c r="B1520">
        <v>2</v>
      </c>
      <c r="C1520">
        <v>3</v>
      </c>
      <c r="D1520">
        <v>641</v>
      </c>
      <c r="E1520">
        <v>581</v>
      </c>
      <c r="F1520">
        <v>606</v>
      </c>
      <c r="G1520">
        <v>578</v>
      </c>
      <c r="H1520">
        <v>609</v>
      </c>
      <c r="I1520">
        <f>VLOOKUP(Scores[[#This Row],[MRUN]],Demographics[],3,FALSE)</f>
        <v>5</v>
      </c>
      <c r="J1520">
        <f>AVERAGE(Scores[[#This Row],[LYC]],Scores[[#This Row],[MATE]])</f>
        <v>593.5</v>
      </c>
      <c r="K1520">
        <f>VLOOKUP(Scores[[#This Row],[MRUN]],Demographics[],6,FALSE)</f>
        <v>3</v>
      </c>
      <c r="L1520">
        <f>VLOOKUP(Scores[[#This Row],[MRUN]],Demographics[], 7,FALSE)</f>
        <v>5</v>
      </c>
      <c r="M1520">
        <f>VLOOKUP(Scores[[#This Row],[MRUN]],Demographics[], 5, FALSE)</f>
        <v>1</v>
      </c>
    </row>
    <row r="1521" spans="1:13" hidden="1" x14ac:dyDescent="0.2">
      <c r="A1521" s="1">
        <v>1007522</v>
      </c>
      <c r="B1521">
        <v>2</v>
      </c>
      <c r="C1521">
        <v>4</v>
      </c>
      <c r="D1521">
        <v>744</v>
      </c>
      <c r="E1521">
        <v>717</v>
      </c>
      <c r="F1521">
        <v>648</v>
      </c>
      <c r="G1521">
        <v>684</v>
      </c>
      <c r="H1521">
        <v>0</v>
      </c>
      <c r="I1521">
        <f>VLOOKUP(Scores[[#This Row],[MRUN]],Demographics[],3,FALSE)</f>
        <v>0</v>
      </c>
      <c r="J1521">
        <f>AVERAGE(Scores[[#This Row],[LYC]],Scores[[#This Row],[MATE]])</f>
        <v>682.5</v>
      </c>
      <c r="K1521">
        <f>VLOOKUP(Scores[[#This Row],[MRUN]],Demographics[],6,FALSE)</f>
        <v>0</v>
      </c>
      <c r="L1521">
        <f>VLOOKUP(Scores[[#This Row],[MRUN]],Demographics[], 7,FALSE)</f>
        <v>0</v>
      </c>
      <c r="M1521">
        <f>VLOOKUP(Scores[[#This Row],[MRUN]],Demographics[], 5, FALSE)</f>
        <v>3</v>
      </c>
    </row>
    <row r="1522" spans="1:13" hidden="1" x14ac:dyDescent="0.2">
      <c r="A1522" s="1">
        <v>22803329</v>
      </c>
      <c r="B1522">
        <v>1</v>
      </c>
      <c r="C1522">
        <v>3</v>
      </c>
      <c r="D1522">
        <v>682</v>
      </c>
      <c r="E1522">
        <v>629</v>
      </c>
      <c r="F1522">
        <v>686</v>
      </c>
      <c r="G1522">
        <v>0</v>
      </c>
      <c r="H1522">
        <v>663</v>
      </c>
      <c r="I1522">
        <f>VLOOKUP(Scores[[#This Row],[MRUN]],Demographics[],3,FALSE)</f>
        <v>3</v>
      </c>
      <c r="J1522">
        <f>AVERAGE(Scores[[#This Row],[LYC]],Scores[[#This Row],[MATE]])</f>
        <v>657.5</v>
      </c>
      <c r="K1522">
        <f>VLOOKUP(Scores[[#This Row],[MRUN]],Demographics[],6,FALSE)</f>
        <v>5</v>
      </c>
      <c r="L1522">
        <f>VLOOKUP(Scores[[#This Row],[MRUN]],Demographics[], 7,FALSE)</f>
        <v>7</v>
      </c>
      <c r="M1522">
        <f>VLOOKUP(Scores[[#This Row],[MRUN]],Demographics[], 5, FALSE)</f>
        <v>1</v>
      </c>
    </row>
    <row r="1523" spans="1:13" hidden="1" x14ac:dyDescent="0.2">
      <c r="A1523" s="1">
        <v>7950435</v>
      </c>
      <c r="B1523">
        <v>2</v>
      </c>
      <c r="C1523">
        <v>2</v>
      </c>
      <c r="D1523">
        <v>661</v>
      </c>
      <c r="E1523">
        <v>648</v>
      </c>
      <c r="F1523">
        <v>624</v>
      </c>
      <c r="G1523">
        <v>657</v>
      </c>
      <c r="H1523">
        <v>0</v>
      </c>
      <c r="I1523">
        <f>VLOOKUP(Scores[[#This Row],[MRUN]],Demographics[],3,FALSE)</f>
        <v>2</v>
      </c>
      <c r="J1523">
        <f>AVERAGE(Scores[[#This Row],[LYC]],Scores[[#This Row],[MATE]])</f>
        <v>636</v>
      </c>
      <c r="K1523">
        <f>VLOOKUP(Scores[[#This Row],[MRUN]],Demographics[],6,FALSE)</f>
        <v>0</v>
      </c>
      <c r="L1523">
        <f>VLOOKUP(Scores[[#This Row],[MRUN]],Demographics[], 7,FALSE)</f>
        <v>9</v>
      </c>
      <c r="M1523">
        <f>VLOOKUP(Scores[[#This Row],[MRUN]],Demographics[], 5, FALSE)</f>
        <v>2</v>
      </c>
    </row>
    <row r="1524" spans="1:13" hidden="1" x14ac:dyDescent="0.2">
      <c r="A1524" s="1">
        <v>14994651</v>
      </c>
      <c r="B1524">
        <v>1</v>
      </c>
      <c r="C1524">
        <v>3</v>
      </c>
      <c r="D1524">
        <v>599</v>
      </c>
      <c r="E1524">
        <v>668</v>
      </c>
      <c r="F1524">
        <v>738</v>
      </c>
      <c r="G1524">
        <v>586</v>
      </c>
      <c r="H1524">
        <v>602</v>
      </c>
      <c r="I1524">
        <f>VLOOKUP(Scores[[#This Row],[MRUN]],Demographics[],3,FALSE)</f>
        <v>3</v>
      </c>
      <c r="J1524">
        <f>AVERAGE(Scores[[#This Row],[LYC]],Scores[[#This Row],[MATE]])</f>
        <v>703</v>
      </c>
      <c r="K1524">
        <f>VLOOKUP(Scores[[#This Row],[MRUN]],Demographics[],6,FALSE)</f>
        <v>5</v>
      </c>
      <c r="L1524">
        <f>VLOOKUP(Scores[[#This Row],[MRUN]],Demographics[], 7,FALSE)</f>
        <v>4</v>
      </c>
      <c r="M1524">
        <f>VLOOKUP(Scores[[#This Row],[MRUN]],Demographics[], 5, FALSE)</f>
        <v>2</v>
      </c>
    </row>
    <row r="1525" spans="1:13" hidden="1" x14ac:dyDescent="0.2">
      <c r="A1525" s="1">
        <v>8484633</v>
      </c>
      <c r="B1525">
        <v>1</v>
      </c>
      <c r="C1525">
        <v>3</v>
      </c>
      <c r="D1525">
        <v>476</v>
      </c>
      <c r="E1525">
        <v>641</v>
      </c>
      <c r="F1525">
        <v>582</v>
      </c>
      <c r="G1525">
        <v>657</v>
      </c>
      <c r="H1525">
        <v>428</v>
      </c>
      <c r="I1525">
        <f>VLOOKUP(Scores[[#This Row],[MRUN]],Demographics[],3,FALSE)</f>
        <v>5</v>
      </c>
      <c r="J1525">
        <f>AVERAGE(Scores[[#This Row],[LYC]],Scores[[#This Row],[MATE]])</f>
        <v>611.5</v>
      </c>
      <c r="K1525">
        <f>VLOOKUP(Scores[[#This Row],[MRUN]],Demographics[],6,FALSE)</f>
        <v>8</v>
      </c>
      <c r="L1525">
        <f>VLOOKUP(Scores[[#This Row],[MRUN]],Demographics[], 7,FALSE)</f>
        <v>5</v>
      </c>
      <c r="M1525">
        <f>VLOOKUP(Scores[[#This Row],[MRUN]],Demographics[], 5, FALSE)</f>
        <v>2</v>
      </c>
    </row>
    <row r="1526" spans="1:13" hidden="1" x14ac:dyDescent="0.2">
      <c r="A1526" s="1">
        <v>10722269</v>
      </c>
      <c r="B1526">
        <v>2</v>
      </c>
      <c r="C1526">
        <v>2</v>
      </c>
      <c r="D1526">
        <v>539</v>
      </c>
      <c r="E1526">
        <v>0</v>
      </c>
      <c r="F1526">
        <v>0</v>
      </c>
      <c r="G1526">
        <v>0</v>
      </c>
      <c r="H1526">
        <v>0</v>
      </c>
      <c r="I1526">
        <f>VLOOKUP(Scores[[#This Row],[MRUN]],Demographics[],3,FALSE)</f>
        <v>7</v>
      </c>
      <c r="J1526">
        <f>AVERAGE(Scores[[#This Row],[LYC]],Scores[[#This Row],[MATE]])</f>
        <v>0</v>
      </c>
      <c r="K1526">
        <f>VLOOKUP(Scores[[#This Row],[MRUN]],Demographics[],6,FALSE)</f>
        <v>4</v>
      </c>
      <c r="L1526">
        <f>VLOOKUP(Scores[[#This Row],[MRUN]],Demographics[], 7,FALSE)</f>
        <v>4</v>
      </c>
      <c r="M1526">
        <f>VLOOKUP(Scores[[#This Row],[MRUN]],Demographics[], 5, FALSE)</f>
        <v>1</v>
      </c>
    </row>
    <row r="1527" spans="1:13" hidden="1" x14ac:dyDescent="0.2">
      <c r="A1527" s="1">
        <v>7416245</v>
      </c>
      <c r="B1527">
        <v>2</v>
      </c>
      <c r="C1527">
        <v>2</v>
      </c>
      <c r="D1527">
        <v>435</v>
      </c>
      <c r="E1527">
        <v>422</v>
      </c>
      <c r="F1527">
        <v>428</v>
      </c>
      <c r="G1527">
        <v>0</v>
      </c>
      <c r="H1527">
        <v>361</v>
      </c>
      <c r="I1527">
        <f>VLOOKUP(Scores[[#This Row],[MRUN]],Demographics[],3,FALSE)</f>
        <v>9</v>
      </c>
      <c r="J1527">
        <f>AVERAGE(Scores[[#This Row],[LYC]],Scores[[#This Row],[MATE]])</f>
        <v>425</v>
      </c>
      <c r="K1527">
        <f>VLOOKUP(Scores[[#This Row],[MRUN]],Demographics[],6,FALSE)</f>
        <v>4</v>
      </c>
      <c r="L1527">
        <f>VLOOKUP(Scores[[#This Row],[MRUN]],Demographics[], 7,FALSE)</f>
        <v>5</v>
      </c>
      <c r="M1527">
        <f>VLOOKUP(Scores[[#This Row],[MRUN]],Demographics[], 5, FALSE)</f>
        <v>1</v>
      </c>
    </row>
    <row r="1528" spans="1:13" hidden="1" x14ac:dyDescent="0.2">
      <c r="A1528" s="1">
        <v>21836091</v>
      </c>
      <c r="B1528">
        <v>1</v>
      </c>
      <c r="C1528">
        <v>2</v>
      </c>
      <c r="D1528">
        <v>435</v>
      </c>
      <c r="E1528">
        <v>451</v>
      </c>
      <c r="F1528">
        <v>472</v>
      </c>
      <c r="G1528">
        <v>359</v>
      </c>
      <c r="H1528">
        <v>0</v>
      </c>
      <c r="I1528">
        <f>VLOOKUP(Scores[[#This Row],[MRUN]],Demographics[],3,FALSE)</f>
        <v>5</v>
      </c>
      <c r="J1528">
        <f>AVERAGE(Scores[[#This Row],[LYC]],Scores[[#This Row],[MATE]])</f>
        <v>461.5</v>
      </c>
      <c r="K1528">
        <f>VLOOKUP(Scores[[#This Row],[MRUN]],Demographics[],6,FALSE)</f>
        <v>7</v>
      </c>
      <c r="L1528">
        <f>VLOOKUP(Scores[[#This Row],[MRUN]],Demographics[], 7,FALSE)</f>
        <v>5</v>
      </c>
      <c r="M1528">
        <f>VLOOKUP(Scores[[#This Row],[MRUN]],Demographics[], 5, FALSE)</f>
        <v>2</v>
      </c>
    </row>
    <row r="1529" spans="1:13" hidden="1" x14ac:dyDescent="0.2">
      <c r="A1529" s="1">
        <v>20133002</v>
      </c>
      <c r="B1529">
        <v>2</v>
      </c>
      <c r="C1529">
        <v>4</v>
      </c>
      <c r="D1529">
        <v>682</v>
      </c>
      <c r="E1529">
        <v>668</v>
      </c>
      <c r="F1529">
        <v>719</v>
      </c>
      <c r="G1529">
        <v>602</v>
      </c>
      <c r="H1529">
        <v>692</v>
      </c>
      <c r="I1529">
        <f>VLOOKUP(Scores[[#This Row],[MRUN]],Demographics[],3,FALSE)</f>
        <v>3</v>
      </c>
      <c r="J1529">
        <f>AVERAGE(Scores[[#This Row],[LYC]],Scores[[#This Row],[MATE]])</f>
        <v>693.5</v>
      </c>
      <c r="K1529">
        <f>VLOOKUP(Scores[[#This Row],[MRUN]],Demographics[],6,FALSE)</f>
        <v>9</v>
      </c>
      <c r="L1529">
        <f>VLOOKUP(Scores[[#This Row],[MRUN]],Demographics[], 7,FALSE)</f>
        <v>9</v>
      </c>
      <c r="M1529">
        <f>VLOOKUP(Scores[[#This Row],[MRUN]],Demographics[], 5, FALSE)</f>
        <v>5</v>
      </c>
    </row>
    <row r="1530" spans="1:13" hidden="1" x14ac:dyDescent="0.2">
      <c r="A1530" s="1">
        <v>22096326</v>
      </c>
      <c r="B1530">
        <v>1</v>
      </c>
      <c r="C1530">
        <v>2</v>
      </c>
      <c r="D1530">
        <v>437</v>
      </c>
      <c r="E1530">
        <v>397</v>
      </c>
      <c r="F1530">
        <v>428</v>
      </c>
      <c r="G1530">
        <v>495</v>
      </c>
      <c r="H1530">
        <v>0</v>
      </c>
      <c r="I1530">
        <f>VLOOKUP(Scores[[#This Row],[MRUN]],Demographics[],3,FALSE)</f>
        <v>3</v>
      </c>
      <c r="J1530">
        <f>AVERAGE(Scores[[#This Row],[LYC]],Scores[[#This Row],[MATE]])</f>
        <v>412.5</v>
      </c>
      <c r="K1530">
        <f>VLOOKUP(Scores[[#This Row],[MRUN]],Demographics[],6,FALSE)</f>
        <v>2</v>
      </c>
      <c r="L1530">
        <f>VLOOKUP(Scores[[#This Row],[MRUN]],Demographics[], 7,FALSE)</f>
        <v>3</v>
      </c>
      <c r="M1530">
        <f>VLOOKUP(Scores[[#This Row],[MRUN]],Demographics[], 5, FALSE)</f>
        <v>1</v>
      </c>
    </row>
    <row r="1531" spans="1:13" hidden="1" x14ac:dyDescent="0.2">
      <c r="A1531" s="1">
        <v>12483206</v>
      </c>
      <c r="B1531">
        <v>2</v>
      </c>
      <c r="C1531">
        <v>2</v>
      </c>
      <c r="D1531">
        <v>496</v>
      </c>
      <c r="E1531">
        <v>537</v>
      </c>
      <c r="F1531">
        <v>517</v>
      </c>
      <c r="G1531">
        <v>506</v>
      </c>
      <c r="H1531">
        <v>0</v>
      </c>
      <c r="I1531">
        <f>VLOOKUP(Scores[[#This Row],[MRUN]],Demographics[],3,FALSE)</f>
        <v>4</v>
      </c>
      <c r="J1531">
        <f>AVERAGE(Scores[[#This Row],[LYC]],Scores[[#This Row],[MATE]])</f>
        <v>527</v>
      </c>
      <c r="K1531">
        <f>VLOOKUP(Scores[[#This Row],[MRUN]],Demographics[],6,FALSE)</f>
        <v>5</v>
      </c>
      <c r="L1531">
        <f>VLOOKUP(Scores[[#This Row],[MRUN]],Demographics[], 7,FALSE)</f>
        <v>5</v>
      </c>
      <c r="M1531">
        <f>VLOOKUP(Scores[[#This Row],[MRUN]],Demographics[], 5, FALSE)</f>
        <v>1</v>
      </c>
    </row>
    <row r="1532" spans="1:13" hidden="1" x14ac:dyDescent="0.2">
      <c r="A1532" s="1">
        <v>4139847</v>
      </c>
      <c r="B1532">
        <v>2</v>
      </c>
      <c r="C1532">
        <v>3</v>
      </c>
      <c r="D1532">
        <v>478</v>
      </c>
      <c r="E1532">
        <v>444</v>
      </c>
      <c r="F1532">
        <v>376</v>
      </c>
      <c r="G1532">
        <v>531</v>
      </c>
      <c r="H1532">
        <v>0</v>
      </c>
      <c r="I1532">
        <f>VLOOKUP(Scores[[#This Row],[MRUN]],Demographics[],3,FALSE)</f>
        <v>4</v>
      </c>
      <c r="J1532">
        <f>AVERAGE(Scores[[#This Row],[LYC]],Scores[[#This Row],[MATE]])</f>
        <v>410</v>
      </c>
      <c r="K1532">
        <f>VLOOKUP(Scores[[#This Row],[MRUN]],Demographics[],6,FALSE)</f>
        <v>1</v>
      </c>
      <c r="L1532">
        <f>VLOOKUP(Scores[[#This Row],[MRUN]],Demographics[], 7,FALSE)</f>
        <v>4</v>
      </c>
      <c r="M1532">
        <f>VLOOKUP(Scores[[#This Row],[MRUN]],Demographics[], 5, FALSE)</f>
        <v>1</v>
      </c>
    </row>
    <row r="1533" spans="1:13" hidden="1" x14ac:dyDescent="0.2">
      <c r="A1533" s="1">
        <v>24765994</v>
      </c>
      <c r="B1533">
        <v>2</v>
      </c>
      <c r="C1533">
        <v>3</v>
      </c>
      <c r="D1533">
        <v>641</v>
      </c>
      <c r="E1533">
        <v>521</v>
      </c>
      <c r="F1533">
        <v>506</v>
      </c>
      <c r="G1533">
        <v>442</v>
      </c>
      <c r="H1533">
        <v>417</v>
      </c>
      <c r="I1533">
        <f>VLOOKUP(Scores[[#This Row],[MRUN]],Demographics[],3,FALSE)</f>
        <v>4</v>
      </c>
      <c r="J1533">
        <f>AVERAGE(Scores[[#This Row],[LYC]],Scores[[#This Row],[MATE]])</f>
        <v>513.5</v>
      </c>
      <c r="K1533">
        <f>VLOOKUP(Scores[[#This Row],[MRUN]],Demographics[],6,FALSE)</f>
        <v>0</v>
      </c>
      <c r="L1533">
        <f>VLOOKUP(Scores[[#This Row],[MRUN]],Demographics[], 7,FALSE)</f>
        <v>9</v>
      </c>
      <c r="M1533">
        <f>VLOOKUP(Scores[[#This Row],[MRUN]],Demographics[], 5, FALSE)</f>
        <v>2</v>
      </c>
    </row>
    <row r="1534" spans="1:13" hidden="1" x14ac:dyDescent="0.2">
      <c r="A1534" s="1">
        <v>5107150</v>
      </c>
      <c r="B1534">
        <v>2</v>
      </c>
      <c r="C1534">
        <v>3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f>VLOOKUP(Scores[[#This Row],[MRUN]],Demographics[],3,FALSE)</f>
        <v>5</v>
      </c>
      <c r="J1534">
        <f>AVERAGE(Scores[[#This Row],[LYC]],Scores[[#This Row],[MATE]])</f>
        <v>0</v>
      </c>
      <c r="K1534">
        <f>VLOOKUP(Scores[[#This Row],[MRUN]],Demographics[],6,FALSE)</f>
        <v>3</v>
      </c>
      <c r="L1534">
        <f>VLOOKUP(Scores[[#This Row],[MRUN]],Demographics[], 7,FALSE)</f>
        <v>2</v>
      </c>
      <c r="M1534">
        <f>VLOOKUP(Scores[[#This Row],[MRUN]],Demographics[], 5, FALSE)</f>
        <v>1</v>
      </c>
    </row>
    <row r="1535" spans="1:13" hidden="1" x14ac:dyDescent="0.2">
      <c r="A1535" s="1">
        <v>1902510</v>
      </c>
      <c r="B1535">
        <v>2</v>
      </c>
      <c r="C1535">
        <v>2</v>
      </c>
      <c r="D1535">
        <v>599</v>
      </c>
      <c r="E1535">
        <v>586</v>
      </c>
      <c r="F1535">
        <v>540</v>
      </c>
      <c r="G1535">
        <v>657</v>
      </c>
      <c r="H1535">
        <v>0</v>
      </c>
      <c r="I1535">
        <f>VLOOKUP(Scores[[#This Row],[MRUN]],Demographics[],3,FALSE)</f>
        <v>4</v>
      </c>
      <c r="J1535">
        <f>AVERAGE(Scores[[#This Row],[LYC]],Scores[[#This Row],[MATE]])</f>
        <v>563</v>
      </c>
      <c r="K1535">
        <f>VLOOKUP(Scores[[#This Row],[MRUN]],Demographics[],6,FALSE)</f>
        <v>2</v>
      </c>
      <c r="L1535">
        <f>VLOOKUP(Scores[[#This Row],[MRUN]],Demographics[], 7,FALSE)</f>
        <v>2</v>
      </c>
      <c r="M1535">
        <f>VLOOKUP(Scores[[#This Row],[MRUN]],Demographics[], 5, FALSE)</f>
        <v>1</v>
      </c>
    </row>
    <row r="1536" spans="1:13" hidden="1" x14ac:dyDescent="0.2">
      <c r="A1536" s="1">
        <v>13983882</v>
      </c>
      <c r="B1536">
        <v>2</v>
      </c>
      <c r="C1536">
        <v>2</v>
      </c>
      <c r="D1536">
        <v>499</v>
      </c>
      <c r="E1536">
        <v>367</v>
      </c>
      <c r="F1536">
        <v>506</v>
      </c>
      <c r="G1536">
        <v>449</v>
      </c>
      <c r="H1536">
        <v>0</v>
      </c>
      <c r="I1536">
        <f>VLOOKUP(Scores[[#This Row],[MRUN]],Demographics[],3,FALSE)</f>
        <v>4</v>
      </c>
      <c r="J1536">
        <f>AVERAGE(Scores[[#This Row],[LYC]],Scores[[#This Row],[MATE]])</f>
        <v>436.5</v>
      </c>
      <c r="K1536">
        <f>VLOOKUP(Scores[[#This Row],[MRUN]],Demographics[],6,FALSE)</f>
        <v>5</v>
      </c>
      <c r="L1536">
        <f>VLOOKUP(Scores[[#This Row],[MRUN]],Demographics[], 7,FALSE)</f>
        <v>5</v>
      </c>
      <c r="M1536">
        <f>VLOOKUP(Scores[[#This Row],[MRUN]],Demographics[], 5, FALSE)</f>
        <v>1</v>
      </c>
    </row>
    <row r="1537" spans="1:13" hidden="1" x14ac:dyDescent="0.2">
      <c r="A1537" s="1">
        <v>13016837</v>
      </c>
      <c r="B1537">
        <v>1</v>
      </c>
      <c r="C1537">
        <v>3</v>
      </c>
      <c r="D1537">
        <v>682</v>
      </c>
      <c r="E1537">
        <v>586</v>
      </c>
      <c r="F1537">
        <v>606</v>
      </c>
      <c r="G1537">
        <v>0</v>
      </c>
      <c r="H1537">
        <v>663</v>
      </c>
      <c r="I1537">
        <f>VLOOKUP(Scores[[#This Row],[MRUN]],Demographics[],3,FALSE)</f>
        <v>5</v>
      </c>
      <c r="J1537">
        <f>AVERAGE(Scores[[#This Row],[LYC]],Scores[[#This Row],[MATE]])</f>
        <v>596</v>
      </c>
      <c r="K1537">
        <f>VLOOKUP(Scores[[#This Row],[MRUN]],Demographics[],6,FALSE)</f>
        <v>8</v>
      </c>
      <c r="L1537">
        <f>VLOOKUP(Scores[[#This Row],[MRUN]],Demographics[], 7,FALSE)</f>
        <v>8</v>
      </c>
      <c r="M1537">
        <f>VLOOKUP(Scores[[#This Row],[MRUN]],Demographics[], 5, FALSE)</f>
        <v>2</v>
      </c>
    </row>
    <row r="1538" spans="1:13" hidden="1" x14ac:dyDescent="0.2">
      <c r="A1538" s="1">
        <v>15585571</v>
      </c>
      <c r="B1538">
        <v>2</v>
      </c>
      <c r="C1538">
        <v>2</v>
      </c>
      <c r="D1538">
        <v>476</v>
      </c>
      <c r="E1538">
        <v>415</v>
      </c>
      <c r="F1538">
        <v>353</v>
      </c>
      <c r="G1538">
        <v>359</v>
      </c>
      <c r="H1538">
        <v>0</v>
      </c>
      <c r="I1538">
        <f>VLOOKUP(Scores[[#This Row],[MRUN]],Demographics[],3,FALSE)</f>
        <v>7</v>
      </c>
      <c r="J1538">
        <f>AVERAGE(Scores[[#This Row],[LYC]],Scores[[#This Row],[MATE]])</f>
        <v>384</v>
      </c>
      <c r="K1538">
        <f>VLOOKUP(Scores[[#This Row],[MRUN]],Demographics[],6,FALSE)</f>
        <v>3</v>
      </c>
      <c r="L1538">
        <f>VLOOKUP(Scores[[#This Row],[MRUN]],Demographics[], 7,FALSE)</f>
        <v>3</v>
      </c>
      <c r="M1538">
        <f>VLOOKUP(Scores[[#This Row],[MRUN]],Demographics[], 5, FALSE)</f>
        <v>1</v>
      </c>
    </row>
    <row r="1539" spans="1:13" hidden="1" x14ac:dyDescent="0.2">
      <c r="A1539" s="1">
        <v>2003202</v>
      </c>
      <c r="B1539">
        <v>2</v>
      </c>
      <c r="C1539">
        <v>2</v>
      </c>
      <c r="D1539">
        <v>579</v>
      </c>
      <c r="E1539">
        <v>476</v>
      </c>
      <c r="F1539">
        <v>494</v>
      </c>
      <c r="G1539">
        <v>449</v>
      </c>
      <c r="H1539">
        <v>404</v>
      </c>
      <c r="I1539">
        <f>VLOOKUP(Scores[[#This Row],[MRUN]],Demographics[],3,FALSE)</f>
        <v>5</v>
      </c>
      <c r="J1539">
        <f>AVERAGE(Scores[[#This Row],[LYC]],Scores[[#This Row],[MATE]])</f>
        <v>485</v>
      </c>
      <c r="K1539">
        <f>VLOOKUP(Scores[[#This Row],[MRUN]],Demographics[],6,FALSE)</f>
        <v>10</v>
      </c>
      <c r="L1539">
        <f>VLOOKUP(Scores[[#This Row],[MRUN]],Demographics[], 7,FALSE)</f>
        <v>4</v>
      </c>
      <c r="M1539">
        <f>VLOOKUP(Scores[[#This Row],[MRUN]],Demographics[], 5, FALSE)</f>
        <v>1</v>
      </c>
    </row>
    <row r="1540" spans="1:13" hidden="1" x14ac:dyDescent="0.2">
      <c r="A1540" s="1">
        <v>14719750</v>
      </c>
      <c r="B1540">
        <v>1</v>
      </c>
      <c r="C1540">
        <v>2</v>
      </c>
      <c r="D1540">
        <v>476</v>
      </c>
      <c r="E1540">
        <v>557</v>
      </c>
      <c r="F1540">
        <v>614</v>
      </c>
      <c r="G1540">
        <v>0</v>
      </c>
      <c r="H1540">
        <v>594</v>
      </c>
      <c r="I1540">
        <f>VLOOKUP(Scores[[#This Row],[MRUN]],Demographics[],3,FALSE)</f>
        <v>6</v>
      </c>
      <c r="J1540">
        <f>AVERAGE(Scores[[#This Row],[LYC]],Scores[[#This Row],[MATE]])</f>
        <v>585.5</v>
      </c>
      <c r="K1540">
        <f>VLOOKUP(Scores[[#This Row],[MRUN]],Demographics[],6,FALSE)</f>
        <v>5</v>
      </c>
      <c r="L1540">
        <f>VLOOKUP(Scores[[#This Row],[MRUN]],Demographics[], 7,FALSE)</f>
        <v>5</v>
      </c>
      <c r="M1540">
        <f>VLOOKUP(Scores[[#This Row],[MRUN]],Demographics[], 5, FALSE)</f>
        <v>1</v>
      </c>
    </row>
    <row r="1541" spans="1:13" hidden="1" x14ac:dyDescent="0.2">
      <c r="A1541" s="1">
        <v>15686725</v>
      </c>
      <c r="B1541">
        <v>2</v>
      </c>
      <c r="C1541">
        <v>3</v>
      </c>
      <c r="D1541">
        <v>579</v>
      </c>
      <c r="E1541">
        <v>567</v>
      </c>
      <c r="F1541">
        <v>557</v>
      </c>
      <c r="G1541">
        <v>516</v>
      </c>
      <c r="H1541">
        <v>549</v>
      </c>
      <c r="I1541">
        <f>VLOOKUP(Scores[[#This Row],[MRUN]],Demographics[],3,FALSE)</f>
        <v>5</v>
      </c>
      <c r="J1541">
        <f>AVERAGE(Scores[[#This Row],[LYC]],Scores[[#This Row],[MATE]])</f>
        <v>562</v>
      </c>
      <c r="K1541">
        <f>VLOOKUP(Scores[[#This Row],[MRUN]],Demographics[],6,FALSE)</f>
        <v>5</v>
      </c>
      <c r="L1541">
        <f>VLOOKUP(Scores[[#This Row],[MRUN]],Demographics[], 7,FALSE)</f>
        <v>5</v>
      </c>
      <c r="M1541">
        <f>VLOOKUP(Scores[[#This Row],[MRUN]],Demographics[], 5, FALSE)</f>
        <v>2</v>
      </c>
    </row>
    <row r="1542" spans="1:13" hidden="1" x14ac:dyDescent="0.2">
      <c r="A1542" s="1">
        <v>15253426</v>
      </c>
      <c r="B1542">
        <v>1</v>
      </c>
      <c r="C1542">
        <v>2</v>
      </c>
      <c r="D1542">
        <v>499</v>
      </c>
      <c r="E1542">
        <v>0</v>
      </c>
      <c r="F1542">
        <v>0</v>
      </c>
      <c r="G1542">
        <v>0</v>
      </c>
      <c r="H1542">
        <v>0</v>
      </c>
      <c r="I1542">
        <f>VLOOKUP(Scores[[#This Row],[MRUN]],Demographics[],3,FALSE)</f>
        <v>4</v>
      </c>
      <c r="J1542">
        <f>AVERAGE(Scores[[#This Row],[LYC]],Scores[[#This Row],[MATE]])</f>
        <v>0</v>
      </c>
      <c r="K1542">
        <f>VLOOKUP(Scores[[#This Row],[MRUN]],Demographics[],6,FALSE)</f>
        <v>0</v>
      </c>
      <c r="L1542">
        <f>VLOOKUP(Scores[[#This Row],[MRUN]],Demographics[], 7,FALSE)</f>
        <v>5</v>
      </c>
      <c r="M1542">
        <f>VLOOKUP(Scores[[#This Row],[MRUN]],Demographics[], 5, FALSE)</f>
        <v>1</v>
      </c>
    </row>
    <row r="1543" spans="1:13" hidden="1" x14ac:dyDescent="0.2">
      <c r="A1543" s="1">
        <v>7142127</v>
      </c>
      <c r="B1543">
        <v>1</v>
      </c>
      <c r="C1543">
        <v>2</v>
      </c>
      <c r="D1543">
        <v>620</v>
      </c>
      <c r="E1543">
        <v>636</v>
      </c>
      <c r="F1543">
        <v>636</v>
      </c>
      <c r="G1543">
        <v>613</v>
      </c>
      <c r="H1543">
        <v>631</v>
      </c>
      <c r="I1543">
        <f>VLOOKUP(Scores[[#This Row],[MRUN]],Demographics[],3,FALSE)</f>
        <v>6</v>
      </c>
      <c r="J1543">
        <f>AVERAGE(Scores[[#This Row],[LYC]],Scores[[#This Row],[MATE]])</f>
        <v>636</v>
      </c>
      <c r="K1543">
        <f>VLOOKUP(Scores[[#This Row],[MRUN]],Demographics[],6,FALSE)</f>
        <v>9</v>
      </c>
      <c r="L1543">
        <f>VLOOKUP(Scores[[#This Row],[MRUN]],Demographics[], 7,FALSE)</f>
        <v>9</v>
      </c>
      <c r="M1543">
        <f>VLOOKUP(Scores[[#This Row],[MRUN]],Demographics[], 5, FALSE)</f>
        <v>2</v>
      </c>
    </row>
    <row r="1544" spans="1:13" hidden="1" x14ac:dyDescent="0.2">
      <c r="A1544" s="1">
        <v>14185682</v>
      </c>
      <c r="B1544">
        <v>2</v>
      </c>
      <c r="C1544">
        <v>3</v>
      </c>
      <c r="D1544">
        <v>560</v>
      </c>
      <c r="E1544">
        <v>476</v>
      </c>
      <c r="F1544">
        <v>219</v>
      </c>
      <c r="G1544">
        <v>0</v>
      </c>
      <c r="H1544">
        <v>307</v>
      </c>
      <c r="I1544">
        <f>VLOOKUP(Scores[[#This Row],[MRUN]],Demographics[],3,FALSE)</f>
        <v>6</v>
      </c>
      <c r="J1544">
        <f>AVERAGE(Scores[[#This Row],[LYC]],Scores[[#This Row],[MATE]])</f>
        <v>347.5</v>
      </c>
      <c r="K1544">
        <f>VLOOKUP(Scores[[#This Row],[MRUN]],Demographics[],6,FALSE)</f>
        <v>4</v>
      </c>
      <c r="L1544">
        <f>VLOOKUP(Scores[[#This Row],[MRUN]],Demographics[], 7,FALSE)</f>
        <v>4</v>
      </c>
      <c r="M1544">
        <f>VLOOKUP(Scores[[#This Row],[MRUN]],Demographics[], 5, FALSE)</f>
        <v>1</v>
      </c>
    </row>
    <row r="1545" spans="1:13" hidden="1" x14ac:dyDescent="0.2">
      <c r="A1545" s="1">
        <v>2870001</v>
      </c>
      <c r="B1545">
        <v>2</v>
      </c>
      <c r="C1545">
        <v>2</v>
      </c>
      <c r="D1545">
        <v>682</v>
      </c>
      <c r="E1545">
        <v>586</v>
      </c>
      <c r="F1545">
        <v>560</v>
      </c>
      <c r="G1545">
        <v>663</v>
      </c>
      <c r="H1545">
        <v>539</v>
      </c>
      <c r="I1545">
        <f>VLOOKUP(Scores[[#This Row],[MRUN]],Demographics[],3,FALSE)</f>
        <v>3</v>
      </c>
      <c r="J1545">
        <f>AVERAGE(Scores[[#This Row],[LYC]],Scores[[#This Row],[MATE]])</f>
        <v>573</v>
      </c>
      <c r="K1545">
        <f>VLOOKUP(Scores[[#This Row],[MRUN]],Demographics[],6,FALSE)</f>
        <v>4</v>
      </c>
      <c r="L1545">
        <f>VLOOKUP(Scores[[#This Row],[MRUN]],Demographics[], 7,FALSE)</f>
        <v>5</v>
      </c>
      <c r="M1545">
        <f>VLOOKUP(Scores[[#This Row],[MRUN]],Demographics[], 5, FALSE)</f>
        <v>1</v>
      </c>
    </row>
    <row r="1546" spans="1:13" hidden="1" x14ac:dyDescent="0.2">
      <c r="A1546" s="1">
        <v>16855683</v>
      </c>
      <c r="B1546">
        <v>1</v>
      </c>
      <c r="C1546">
        <v>3</v>
      </c>
      <c r="D1546">
        <v>496</v>
      </c>
      <c r="E1546">
        <v>551</v>
      </c>
      <c r="F1546">
        <v>606</v>
      </c>
      <c r="G1546">
        <v>552</v>
      </c>
      <c r="H1546">
        <v>613</v>
      </c>
      <c r="I1546">
        <f>VLOOKUP(Scores[[#This Row],[MRUN]],Demographics[],3,FALSE)</f>
        <v>6</v>
      </c>
      <c r="J1546">
        <f>AVERAGE(Scores[[#This Row],[LYC]],Scores[[#This Row],[MATE]])</f>
        <v>578.5</v>
      </c>
      <c r="K1546">
        <f>VLOOKUP(Scores[[#This Row],[MRUN]],Demographics[],6,FALSE)</f>
        <v>7</v>
      </c>
      <c r="L1546">
        <f>VLOOKUP(Scores[[#This Row],[MRUN]],Demographics[], 7,FALSE)</f>
        <v>7</v>
      </c>
      <c r="M1546">
        <f>VLOOKUP(Scores[[#This Row],[MRUN]],Demographics[], 5, FALSE)</f>
        <v>3</v>
      </c>
    </row>
    <row r="1547" spans="1:13" hidden="1" x14ac:dyDescent="0.2">
      <c r="A1547" s="1">
        <v>300203</v>
      </c>
      <c r="B1547">
        <v>1</v>
      </c>
      <c r="C1547">
        <v>2</v>
      </c>
      <c r="D1547">
        <v>599</v>
      </c>
      <c r="E1547">
        <v>541</v>
      </c>
      <c r="F1547">
        <v>631</v>
      </c>
      <c r="G1547">
        <v>516</v>
      </c>
      <c r="H1547">
        <v>497</v>
      </c>
      <c r="I1547">
        <f>VLOOKUP(Scores[[#This Row],[MRUN]],Demographics[],3,FALSE)</f>
        <v>5</v>
      </c>
      <c r="J1547">
        <f>AVERAGE(Scores[[#This Row],[LYC]],Scores[[#This Row],[MATE]])</f>
        <v>586</v>
      </c>
      <c r="K1547">
        <f>VLOOKUP(Scores[[#This Row],[MRUN]],Demographics[],6,FALSE)</f>
        <v>8</v>
      </c>
      <c r="L1547">
        <f>VLOOKUP(Scores[[#This Row],[MRUN]],Demographics[], 7,FALSE)</f>
        <v>4</v>
      </c>
      <c r="M1547">
        <f>VLOOKUP(Scores[[#This Row],[MRUN]],Demographics[], 5, FALSE)</f>
        <v>1</v>
      </c>
    </row>
    <row r="1548" spans="1:13" hidden="1" x14ac:dyDescent="0.2">
      <c r="A1548" s="1">
        <v>5742096</v>
      </c>
      <c r="B1548">
        <v>2</v>
      </c>
      <c r="C1548">
        <v>3</v>
      </c>
      <c r="D1548">
        <v>476</v>
      </c>
      <c r="E1548">
        <v>636</v>
      </c>
      <c r="F1548">
        <v>523</v>
      </c>
      <c r="G1548">
        <v>628</v>
      </c>
      <c r="H1548">
        <v>0</v>
      </c>
      <c r="I1548">
        <f>VLOOKUP(Scores[[#This Row],[MRUN]],Demographics[],3,FALSE)</f>
        <v>5</v>
      </c>
      <c r="J1548">
        <f>AVERAGE(Scores[[#This Row],[LYC]],Scores[[#This Row],[MATE]])</f>
        <v>579.5</v>
      </c>
      <c r="K1548">
        <f>VLOOKUP(Scores[[#This Row],[MRUN]],Demographics[],6,FALSE)</f>
        <v>5</v>
      </c>
      <c r="L1548">
        <f>VLOOKUP(Scores[[#This Row],[MRUN]],Demographics[], 7,FALSE)</f>
        <v>5</v>
      </c>
      <c r="M1548">
        <f>VLOOKUP(Scores[[#This Row],[MRUN]],Demographics[], 5, FALSE)</f>
        <v>3</v>
      </c>
    </row>
    <row r="1549" spans="1:13" hidden="1" x14ac:dyDescent="0.2">
      <c r="A1549" s="1">
        <v>16755206</v>
      </c>
      <c r="B1549">
        <v>1</v>
      </c>
      <c r="C1549">
        <v>4</v>
      </c>
      <c r="D1549">
        <v>723</v>
      </c>
      <c r="E1549">
        <v>717</v>
      </c>
      <c r="F1549">
        <v>763</v>
      </c>
      <c r="G1549">
        <v>670</v>
      </c>
      <c r="H1549">
        <v>798</v>
      </c>
      <c r="I1549">
        <f>VLOOKUP(Scores[[#This Row],[MRUN]],Demographics[],3,FALSE)</f>
        <v>0</v>
      </c>
      <c r="J1549">
        <f>AVERAGE(Scores[[#This Row],[LYC]],Scores[[#This Row],[MATE]])</f>
        <v>740</v>
      </c>
      <c r="K1549">
        <f>VLOOKUP(Scores[[#This Row],[MRUN]],Demographics[],6,FALSE)</f>
        <v>0</v>
      </c>
      <c r="L1549">
        <f>VLOOKUP(Scores[[#This Row],[MRUN]],Demographics[], 7,FALSE)</f>
        <v>0</v>
      </c>
      <c r="M1549">
        <f>VLOOKUP(Scores[[#This Row],[MRUN]],Demographics[], 5, FALSE)</f>
        <v>3</v>
      </c>
    </row>
    <row r="1550" spans="1:13" hidden="1" x14ac:dyDescent="0.2">
      <c r="A1550" s="1">
        <v>22196880</v>
      </c>
      <c r="B1550">
        <v>1</v>
      </c>
      <c r="C1550">
        <v>4</v>
      </c>
      <c r="D1550">
        <v>414</v>
      </c>
      <c r="E1550">
        <v>567</v>
      </c>
      <c r="F1550">
        <v>606</v>
      </c>
      <c r="G1550">
        <v>0</v>
      </c>
      <c r="H1550">
        <v>558</v>
      </c>
      <c r="I1550">
        <f>VLOOKUP(Scores[[#This Row],[MRUN]],Demographics[],3,FALSE)</f>
        <v>0</v>
      </c>
      <c r="J1550">
        <f>AVERAGE(Scores[[#This Row],[LYC]],Scores[[#This Row],[MATE]])</f>
        <v>586.5</v>
      </c>
      <c r="K1550">
        <f>VLOOKUP(Scores[[#This Row],[MRUN]],Demographics[],6,FALSE)</f>
        <v>0</v>
      </c>
      <c r="L1550">
        <f>VLOOKUP(Scores[[#This Row],[MRUN]],Demographics[], 7,FALSE)</f>
        <v>0</v>
      </c>
      <c r="M1550">
        <f>VLOOKUP(Scores[[#This Row],[MRUN]],Demographics[], 5, FALSE)</f>
        <v>5</v>
      </c>
    </row>
    <row r="1551" spans="1:13" hidden="1" x14ac:dyDescent="0.2">
      <c r="A1551" s="1">
        <v>8210371</v>
      </c>
      <c r="B1551">
        <v>1</v>
      </c>
      <c r="C1551">
        <v>3</v>
      </c>
      <c r="D1551">
        <v>620</v>
      </c>
      <c r="E1551">
        <v>747</v>
      </c>
      <c r="F1551">
        <v>617</v>
      </c>
      <c r="G1551">
        <v>791</v>
      </c>
      <c r="H1551">
        <v>0</v>
      </c>
      <c r="I1551">
        <f>VLOOKUP(Scores[[#This Row],[MRUN]],Demographics[],3,FALSE)</f>
        <v>2</v>
      </c>
      <c r="J1551">
        <f>AVERAGE(Scores[[#This Row],[LYC]],Scores[[#This Row],[MATE]])</f>
        <v>682</v>
      </c>
      <c r="K1551">
        <f>VLOOKUP(Scores[[#This Row],[MRUN]],Demographics[],6,FALSE)</f>
        <v>0</v>
      </c>
      <c r="L1551">
        <f>VLOOKUP(Scores[[#This Row],[MRUN]],Demographics[], 7,FALSE)</f>
        <v>7</v>
      </c>
      <c r="M1551">
        <f>VLOOKUP(Scores[[#This Row],[MRUN]],Demographics[], 5, FALSE)</f>
        <v>1</v>
      </c>
    </row>
    <row r="1552" spans="1:13" hidden="1" x14ac:dyDescent="0.2">
      <c r="A1552" s="1">
        <v>3606252</v>
      </c>
      <c r="B1552">
        <v>2</v>
      </c>
      <c r="C1552">
        <v>2</v>
      </c>
      <c r="D1552">
        <v>437</v>
      </c>
      <c r="E1552">
        <v>0</v>
      </c>
      <c r="F1552">
        <v>0</v>
      </c>
      <c r="G1552">
        <v>0</v>
      </c>
      <c r="H1552">
        <v>0</v>
      </c>
      <c r="I1552">
        <f>VLOOKUP(Scores[[#This Row],[MRUN]],Demographics[],3,FALSE)</f>
        <v>4</v>
      </c>
      <c r="J1552">
        <f>AVERAGE(Scores[[#This Row],[LYC]],Scores[[#This Row],[MATE]])</f>
        <v>0</v>
      </c>
      <c r="K1552">
        <f>VLOOKUP(Scores[[#This Row],[MRUN]],Demographics[],6,FALSE)</f>
        <v>5</v>
      </c>
      <c r="L1552">
        <f>VLOOKUP(Scores[[#This Row],[MRUN]],Demographics[], 7,FALSE)</f>
        <v>4</v>
      </c>
      <c r="M1552">
        <f>VLOOKUP(Scores[[#This Row],[MRUN]],Demographics[], 5, FALSE)</f>
        <v>2</v>
      </c>
    </row>
    <row r="1553" spans="1:13" hidden="1" x14ac:dyDescent="0.2">
      <c r="A1553" s="1">
        <v>1801294</v>
      </c>
      <c r="B1553">
        <v>2</v>
      </c>
      <c r="C1553">
        <v>2</v>
      </c>
      <c r="D1553">
        <v>599</v>
      </c>
      <c r="E1553">
        <v>476</v>
      </c>
      <c r="F1553">
        <v>0</v>
      </c>
      <c r="G1553">
        <v>0</v>
      </c>
      <c r="H1553">
        <v>0</v>
      </c>
      <c r="I1553">
        <f>VLOOKUP(Scores[[#This Row],[MRUN]],Demographics[],3,FALSE)</f>
        <v>9</v>
      </c>
      <c r="J1553">
        <f>AVERAGE(Scores[[#This Row],[LYC]],Scores[[#This Row],[MATE]])</f>
        <v>238</v>
      </c>
      <c r="K1553">
        <f>VLOOKUP(Scores[[#This Row],[MRUN]],Demographics[],6,FALSE)</f>
        <v>2</v>
      </c>
      <c r="L1553">
        <f>VLOOKUP(Scores[[#This Row],[MRUN]],Demographics[], 7,FALSE)</f>
        <v>3</v>
      </c>
      <c r="M1553">
        <f>VLOOKUP(Scores[[#This Row],[MRUN]],Demographics[], 5, FALSE)</f>
        <v>1</v>
      </c>
    </row>
    <row r="1554" spans="1:13" hidden="1" x14ac:dyDescent="0.2">
      <c r="A1554" s="1">
        <v>16220879</v>
      </c>
      <c r="B1554">
        <v>2</v>
      </c>
      <c r="C1554">
        <v>2</v>
      </c>
      <c r="D1554">
        <v>599</v>
      </c>
      <c r="E1554">
        <v>655</v>
      </c>
      <c r="F1554">
        <v>527</v>
      </c>
      <c r="G1554">
        <v>663</v>
      </c>
      <c r="H1554">
        <v>449</v>
      </c>
      <c r="I1554">
        <f>VLOOKUP(Scores[[#This Row],[MRUN]],Demographics[],3,FALSE)</f>
        <v>3</v>
      </c>
      <c r="J1554">
        <f>AVERAGE(Scores[[#This Row],[LYC]],Scores[[#This Row],[MATE]])</f>
        <v>591</v>
      </c>
      <c r="K1554">
        <f>VLOOKUP(Scores[[#This Row],[MRUN]],Demographics[],6,FALSE)</f>
        <v>5</v>
      </c>
      <c r="L1554">
        <f>VLOOKUP(Scores[[#This Row],[MRUN]],Demographics[], 7,FALSE)</f>
        <v>5</v>
      </c>
      <c r="M1554">
        <f>VLOOKUP(Scores[[#This Row],[MRUN]],Demographics[], 5, FALSE)</f>
        <v>1</v>
      </c>
    </row>
    <row r="1555" spans="1:13" hidden="1" x14ac:dyDescent="0.2">
      <c r="A1555" s="1">
        <v>9278642</v>
      </c>
      <c r="B1555">
        <v>2</v>
      </c>
      <c r="C1555">
        <v>3</v>
      </c>
      <c r="D1555">
        <v>397</v>
      </c>
      <c r="E1555">
        <v>333</v>
      </c>
      <c r="F1555">
        <v>248</v>
      </c>
      <c r="G1555">
        <v>0</v>
      </c>
      <c r="H1555">
        <v>326</v>
      </c>
      <c r="I1555">
        <f>VLOOKUP(Scores[[#This Row],[MRUN]],Demographics[],3,FALSE)</f>
        <v>0</v>
      </c>
      <c r="J1555">
        <f>AVERAGE(Scores[[#This Row],[LYC]],Scores[[#This Row],[MATE]])</f>
        <v>290.5</v>
      </c>
      <c r="K1555">
        <f>VLOOKUP(Scores[[#This Row],[MRUN]],Demographics[],6,FALSE)</f>
        <v>0</v>
      </c>
      <c r="L1555">
        <f>VLOOKUP(Scores[[#This Row],[MRUN]],Demographics[], 7,FALSE)</f>
        <v>0</v>
      </c>
      <c r="M1555">
        <f>VLOOKUP(Scores[[#This Row],[MRUN]],Demographics[], 5, FALSE)</f>
        <v>1</v>
      </c>
    </row>
    <row r="1556" spans="1:13" hidden="1" x14ac:dyDescent="0.2">
      <c r="A1556" s="1">
        <v>20392939</v>
      </c>
      <c r="B1556">
        <v>1</v>
      </c>
      <c r="C1556">
        <v>3</v>
      </c>
      <c r="D1556">
        <v>620</v>
      </c>
      <c r="E1556">
        <v>691</v>
      </c>
      <c r="F1556">
        <v>648</v>
      </c>
      <c r="G1556">
        <v>0</v>
      </c>
      <c r="H1556">
        <v>575</v>
      </c>
      <c r="I1556">
        <f>VLOOKUP(Scores[[#This Row],[MRUN]],Demographics[],3,FALSE)</f>
        <v>5</v>
      </c>
      <c r="J1556">
        <f>AVERAGE(Scores[[#This Row],[LYC]],Scores[[#This Row],[MATE]])</f>
        <v>669.5</v>
      </c>
      <c r="K1556">
        <f>VLOOKUP(Scores[[#This Row],[MRUN]],Demographics[],6,FALSE)</f>
        <v>4</v>
      </c>
      <c r="L1556">
        <f>VLOOKUP(Scores[[#This Row],[MRUN]],Demographics[], 7,FALSE)</f>
        <v>5</v>
      </c>
      <c r="M1556">
        <f>VLOOKUP(Scores[[#This Row],[MRUN]],Demographics[], 5, FALSE)</f>
        <v>1</v>
      </c>
    </row>
    <row r="1557" spans="1:13" hidden="1" x14ac:dyDescent="0.2">
      <c r="A1557" s="1">
        <v>1902511</v>
      </c>
      <c r="B1557">
        <v>1</v>
      </c>
      <c r="C1557">
        <v>2</v>
      </c>
      <c r="D1557">
        <v>744</v>
      </c>
      <c r="E1557">
        <v>668</v>
      </c>
      <c r="F1557">
        <v>549</v>
      </c>
      <c r="G1557">
        <v>646</v>
      </c>
      <c r="H1557">
        <v>0</v>
      </c>
      <c r="I1557">
        <f>VLOOKUP(Scores[[#This Row],[MRUN]],Demographics[],3,FALSE)</f>
        <v>4</v>
      </c>
      <c r="J1557">
        <f>AVERAGE(Scores[[#This Row],[LYC]],Scores[[#This Row],[MATE]])</f>
        <v>608.5</v>
      </c>
      <c r="K1557">
        <f>VLOOKUP(Scores[[#This Row],[MRUN]],Demographics[],6,FALSE)</f>
        <v>5</v>
      </c>
      <c r="L1557">
        <f>VLOOKUP(Scores[[#This Row],[MRUN]],Demographics[], 7,FALSE)</f>
        <v>4</v>
      </c>
      <c r="M1557">
        <f>VLOOKUP(Scores[[#This Row],[MRUN]],Demographics[], 5, FALSE)</f>
        <v>1</v>
      </c>
    </row>
    <row r="1558" spans="1:13" hidden="1" x14ac:dyDescent="0.2">
      <c r="A1558" s="1">
        <v>13449673</v>
      </c>
      <c r="B1558">
        <v>1</v>
      </c>
      <c r="C1558">
        <v>2</v>
      </c>
      <c r="D1558">
        <v>435</v>
      </c>
      <c r="E1558">
        <v>576</v>
      </c>
      <c r="F1558">
        <v>560</v>
      </c>
      <c r="G1558">
        <v>541</v>
      </c>
      <c r="H1558">
        <v>0</v>
      </c>
      <c r="I1558">
        <f>VLOOKUP(Scores[[#This Row],[MRUN]],Demographics[],3,FALSE)</f>
        <v>4</v>
      </c>
      <c r="J1558">
        <f>AVERAGE(Scores[[#This Row],[LYC]],Scores[[#This Row],[MATE]])</f>
        <v>568</v>
      </c>
      <c r="K1558">
        <f>VLOOKUP(Scores[[#This Row],[MRUN]],Demographics[],6,FALSE)</f>
        <v>5</v>
      </c>
      <c r="L1558">
        <f>VLOOKUP(Scores[[#This Row],[MRUN]],Demographics[], 7,FALSE)</f>
        <v>4</v>
      </c>
      <c r="M1558">
        <f>VLOOKUP(Scores[[#This Row],[MRUN]],Demographics[], 5, FALSE)</f>
        <v>1</v>
      </c>
    </row>
    <row r="1559" spans="1:13" hidden="1" x14ac:dyDescent="0.2">
      <c r="A1559" s="1">
        <v>21561977</v>
      </c>
      <c r="B1559">
        <v>2</v>
      </c>
      <c r="C1559">
        <v>2</v>
      </c>
      <c r="D1559">
        <v>476</v>
      </c>
      <c r="E1559">
        <v>516</v>
      </c>
      <c r="F1559">
        <v>472</v>
      </c>
      <c r="G1559">
        <v>495</v>
      </c>
      <c r="H1559">
        <v>0</v>
      </c>
      <c r="I1559">
        <f>VLOOKUP(Scores[[#This Row],[MRUN]],Demographics[],3,FALSE)</f>
        <v>4</v>
      </c>
      <c r="J1559">
        <f>AVERAGE(Scores[[#This Row],[LYC]],Scores[[#This Row],[MATE]])</f>
        <v>494</v>
      </c>
      <c r="K1559">
        <f>VLOOKUP(Scores[[#This Row],[MRUN]],Demographics[],6,FALSE)</f>
        <v>5</v>
      </c>
      <c r="L1559">
        <f>VLOOKUP(Scores[[#This Row],[MRUN]],Demographics[], 7,FALSE)</f>
        <v>5</v>
      </c>
      <c r="M1559">
        <f>VLOOKUP(Scores[[#This Row],[MRUN]],Demographics[], 5, FALSE)</f>
        <v>1</v>
      </c>
    </row>
    <row r="1560" spans="1:13" hidden="1" x14ac:dyDescent="0.2">
      <c r="A1560" s="1">
        <v>1469113</v>
      </c>
      <c r="B1560">
        <v>2</v>
      </c>
      <c r="C1560">
        <v>4</v>
      </c>
      <c r="D1560">
        <v>744</v>
      </c>
      <c r="E1560">
        <v>668</v>
      </c>
      <c r="F1560">
        <v>648</v>
      </c>
      <c r="G1560">
        <v>791</v>
      </c>
      <c r="H1560">
        <v>0</v>
      </c>
      <c r="I1560">
        <f>VLOOKUP(Scores[[#This Row],[MRUN]],Demographics[],3,FALSE)</f>
        <v>4</v>
      </c>
      <c r="J1560">
        <f>AVERAGE(Scores[[#This Row],[LYC]],Scores[[#This Row],[MATE]])</f>
        <v>658</v>
      </c>
      <c r="K1560">
        <f>VLOOKUP(Scores[[#This Row],[MRUN]],Demographics[],6,FALSE)</f>
        <v>9</v>
      </c>
      <c r="L1560">
        <f>VLOOKUP(Scores[[#This Row],[MRUN]],Demographics[], 7,FALSE)</f>
        <v>7</v>
      </c>
      <c r="M1560">
        <f>VLOOKUP(Scores[[#This Row],[MRUN]],Demographics[], 5, FALSE)</f>
        <v>3</v>
      </c>
    </row>
    <row r="1561" spans="1:13" hidden="1" x14ac:dyDescent="0.2">
      <c r="A1561" s="1">
        <v>935124</v>
      </c>
      <c r="B1561">
        <v>2</v>
      </c>
      <c r="C1561">
        <v>2</v>
      </c>
      <c r="D1561">
        <v>538</v>
      </c>
      <c r="E1561">
        <v>471</v>
      </c>
      <c r="F1561">
        <v>413</v>
      </c>
      <c r="G1561">
        <v>506</v>
      </c>
      <c r="H1561">
        <v>0</v>
      </c>
      <c r="I1561">
        <f>VLOOKUP(Scores[[#This Row],[MRUN]],Demographics[],3,FALSE)</f>
        <v>5</v>
      </c>
      <c r="J1561">
        <f>AVERAGE(Scores[[#This Row],[LYC]],Scores[[#This Row],[MATE]])</f>
        <v>442</v>
      </c>
      <c r="K1561">
        <f>VLOOKUP(Scores[[#This Row],[MRUN]],Demographics[],6,FALSE)</f>
        <v>4</v>
      </c>
      <c r="L1561">
        <f>VLOOKUP(Scores[[#This Row],[MRUN]],Demographics[], 7,FALSE)</f>
        <v>5</v>
      </c>
      <c r="M1561">
        <f>VLOOKUP(Scores[[#This Row],[MRUN]],Demographics[], 5, FALSE)</f>
        <v>1</v>
      </c>
    </row>
    <row r="1562" spans="1:13" hidden="1" x14ac:dyDescent="0.2">
      <c r="A1562" s="1">
        <v>23798553</v>
      </c>
      <c r="B1562">
        <v>1</v>
      </c>
      <c r="C1562">
        <v>3</v>
      </c>
      <c r="D1562">
        <v>744</v>
      </c>
      <c r="E1562">
        <v>613</v>
      </c>
      <c r="F1562">
        <v>713</v>
      </c>
      <c r="G1562">
        <v>0</v>
      </c>
      <c r="H1562">
        <v>642</v>
      </c>
      <c r="I1562">
        <f>VLOOKUP(Scores[[#This Row],[MRUN]],Demographics[],3,FALSE)</f>
        <v>2</v>
      </c>
      <c r="J1562">
        <f>AVERAGE(Scores[[#This Row],[LYC]],Scores[[#This Row],[MATE]])</f>
        <v>663</v>
      </c>
      <c r="K1562">
        <f>VLOOKUP(Scores[[#This Row],[MRUN]],Demographics[],6,FALSE)</f>
        <v>5</v>
      </c>
      <c r="L1562">
        <f>VLOOKUP(Scores[[#This Row],[MRUN]],Demographics[], 7,FALSE)</f>
        <v>7</v>
      </c>
      <c r="M1562">
        <f>VLOOKUP(Scores[[#This Row],[MRUN]],Demographics[], 5, FALSE)</f>
        <v>1</v>
      </c>
    </row>
    <row r="1563" spans="1:13" hidden="1" x14ac:dyDescent="0.2">
      <c r="A1563" s="1">
        <v>12915595</v>
      </c>
      <c r="B1563">
        <v>2</v>
      </c>
      <c r="C1563">
        <v>2</v>
      </c>
      <c r="D1563">
        <v>455</v>
      </c>
      <c r="E1563">
        <v>451</v>
      </c>
      <c r="F1563">
        <v>480</v>
      </c>
      <c r="G1563">
        <v>484</v>
      </c>
      <c r="H1563">
        <v>0</v>
      </c>
      <c r="I1563">
        <f>VLOOKUP(Scores[[#This Row],[MRUN]],Demographics[],3,FALSE)</f>
        <v>0</v>
      </c>
      <c r="J1563">
        <f>AVERAGE(Scores[[#This Row],[LYC]],Scores[[#This Row],[MATE]])</f>
        <v>465.5</v>
      </c>
      <c r="K1563">
        <f>VLOOKUP(Scores[[#This Row],[MRUN]],Demographics[],6,FALSE)</f>
        <v>0</v>
      </c>
      <c r="L1563">
        <f>VLOOKUP(Scores[[#This Row],[MRUN]],Demographics[], 7,FALSE)</f>
        <v>0</v>
      </c>
      <c r="M1563">
        <f>VLOOKUP(Scores[[#This Row],[MRUN]],Demographics[], 5, FALSE)</f>
        <v>1</v>
      </c>
    </row>
    <row r="1564" spans="1:13" hidden="1" x14ac:dyDescent="0.2">
      <c r="A1564" s="1">
        <v>19960097</v>
      </c>
      <c r="B1564">
        <v>2</v>
      </c>
      <c r="C1564">
        <v>2</v>
      </c>
      <c r="D1564">
        <v>579</v>
      </c>
      <c r="E1564">
        <v>444</v>
      </c>
      <c r="F1564">
        <v>472</v>
      </c>
      <c r="G1564">
        <v>466</v>
      </c>
      <c r="H1564">
        <v>459</v>
      </c>
      <c r="I1564">
        <f>VLOOKUP(Scores[[#This Row],[MRUN]],Demographics[],3,FALSE)</f>
        <v>3</v>
      </c>
      <c r="J1564">
        <f>AVERAGE(Scores[[#This Row],[LYC]],Scores[[#This Row],[MATE]])</f>
        <v>458</v>
      </c>
      <c r="K1564">
        <f>VLOOKUP(Scores[[#This Row],[MRUN]],Demographics[],6,FALSE)</f>
        <v>4</v>
      </c>
      <c r="L1564">
        <f>VLOOKUP(Scores[[#This Row],[MRUN]],Demographics[], 7,FALSE)</f>
        <v>5</v>
      </c>
      <c r="M1564">
        <f>VLOOKUP(Scores[[#This Row],[MRUN]],Demographics[], 5, FALSE)</f>
        <v>1</v>
      </c>
    </row>
    <row r="1565" spans="1:13" hidden="1" x14ac:dyDescent="0.2">
      <c r="A1565" s="1">
        <v>19526250</v>
      </c>
      <c r="B1565">
        <v>1</v>
      </c>
      <c r="C1565">
        <v>2</v>
      </c>
      <c r="D1565">
        <v>393</v>
      </c>
      <c r="E1565">
        <v>494</v>
      </c>
      <c r="F1565">
        <v>413</v>
      </c>
      <c r="G1565">
        <v>0</v>
      </c>
      <c r="H1565">
        <v>404</v>
      </c>
      <c r="I1565">
        <f>VLOOKUP(Scores[[#This Row],[MRUN]],Demographics[],3,FALSE)</f>
        <v>4</v>
      </c>
      <c r="J1565">
        <f>AVERAGE(Scores[[#This Row],[LYC]],Scores[[#This Row],[MATE]])</f>
        <v>453.5</v>
      </c>
      <c r="K1565">
        <f>VLOOKUP(Scores[[#This Row],[MRUN]],Demographics[],6,FALSE)</f>
        <v>5</v>
      </c>
      <c r="L1565">
        <f>VLOOKUP(Scores[[#This Row],[MRUN]],Demographics[], 7,FALSE)</f>
        <v>2</v>
      </c>
      <c r="M1565">
        <f>VLOOKUP(Scores[[#This Row],[MRUN]],Demographics[], 5, FALSE)</f>
        <v>2</v>
      </c>
    </row>
    <row r="1566" spans="1:13" hidden="1" x14ac:dyDescent="0.2">
      <c r="A1566" s="1">
        <v>15585572</v>
      </c>
      <c r="B1566">
        <v>1</v>
      </c>
      <c r="C1566">
        <v>2</v>
      </c>
      <c r="D1566">
        <v>620</v>
      </c>
      <c r="E1566">
        <v>592</v>
      </c>
      <c r="F1566">
        <v>568</v>
      </c>
      <c r="G1566">
        <v>0</v>
      </c>
      <c r="H1566">
        <v>583</v>
      </c>
      <c r="I1566">
        <f>VLOOKUP(Scores[[#This Row],[MRUN]],Demographics[],3,FALSE)</f>
        <v>5</v>
      </c>
      <c r="J1566">
        <f>AVERAGE(Scores[[#This Row],[LYC]],Scores[[#This Row],[MATE]])</f>
        <v>580</v>
      </c>
      <c r="K1566">
        <f>VLOOKUP(Scores[[#This Row],[MRUN]],Demographics[],6,FALSE)</f>
        <v>7</v>
      </c>
      <c r="L1566">
        <f>VLOOKUP(Scores[[#This Row],[MRUN]],Demographics[], 7,FALSE)</f>
        <v>5</v>
      </c>
      <c r="M1566">
        <f>VLOOKUP(Scores[[#This Row],[MRUN]],Demographics[], 5, FALSE)</f>
        <v>2</v>
      </c>
    </row>
    <row r="1567" spans="1:13" hidden="1" x14ac:dyDescent="0.2">
      <c r="A1567" s="1">
        <v>2003203</v>
      </c>
      <c r="B1567">
        <v>1</v>
      </c>
      <c r="C1567">
        <v>2</v>
      </c>
      <c r="D1567">
        <v>496</v>
      </c>
      <c r="E1567">
        <v>397</v>
      </c>
      <c r="F1567">
        <v>452</v>
      </c>
      <c r="G1567">
        <v>495</v>
      </c>
      <c r="H1567">
        <v>0</v>
      </c>
      <c r="I1567">
        <f>VLOOKUP(Scores[[#This Row],[MRUN]],Demographics[],3,FALSE)</f>
        <v>5</v>
      </c>
      <c r="J1567">
        <f>AVERAGE(Scores[[#This Row],[LYC]],Scores[[#This Row],[MATE]])</f>
        <v>424.5</v>
      </c>
      <c r="K1567">
        <f>VLOOKUP(Scores[[#This Row],[MRUN]],Demographics[],6,FALSE)</f>
        <v>5</v>
      </c>
      <c r="L1567">
        <f>VLOOKUP(Scores[[#This Row],[MRUN]],Demographics[], 7,FALSE)</f>
        <v>4</v>
      </c>
      <c r="M1567">
        <f>VLOOKUP(Scores[[#This Row],[MRUN]],Demographics[], 5, FALSE)</f>
        <v>2</v>
      </c>
    </row>
    <row r="1568" spans="1:13" hidden="1" x14ac:dyDescent="0.2">
      <c r="A1568" s="1">
        <v>14517997</v>
      </c>
      <c r="B1568">
        <v>1</v>
      </c>
      <c r="C1568">
        <v>3</v>
      </c>
      <c r="D1568">
        <v>599</v>
      </c>
      <c r="E1568">
        <v>596</v>
      </c>
      <c r="F1568">
        <v>596</v>
      </c>
      <c r="G1568">
        <v>0</v>
      </c>
      <c r="H1568">
        <v>571</v>
      </c>
      <c r="I1568">
        <f>VLOOKUP(Scores[[#This Row],[MRUN]],Demographics[],3,FALSE)</f>
        <v>4</v>
      </c>
      <c r="J1568">
        <f>AVERAGE(Scores[[#This Row],[LYC]],Scores[[#This Row],[MATE]])</f>
        <v>596</v>
      </c>
      <c r="K1568">
        <f>VLOOKUP(Scores[[#This Row],[MRUN]],Demographics[],6,FALSE)</f>
        <v>7</v>
      </c>
      <c r="L1568">
        <f>VLOOKUP(Scores[[#This Row],[MRUN]],Demographics[], 7,FALSE)</f>
        <v>10</v>
      </c>
      <c r="M1568">
        <f>VLOOKUP(Scores[[#This Row],[MRUN]],Demographics[], 5, FALSE)</f>
        <v>2</v>
      </c>
    </row>
    <row r="1569" spans="1:13" hidden="1" x14ac:dyDescent="0.2">
      <c r="A1569" s="1">
        <v>15686726</v>
      </c>
      <c r="B1569">
        <v>1</v>
      </c>
      <c r="C1569">
        <v>3</v>
      </c>
      <c r="D1569">
        <v>496</v>
      </c>
      <c r="E1569">
        <v>547</v>
      </c>
      <c r="F1569">
        <v>506</v>
      </c>
      <c r="G1569">
        <v>567</v>
      </c>
      <c r="H1569">
        <v>0</v>
      </c>
      <c r="I1569">
        <f>VLOOKUP(Scores[[#This Row],[MRUN]],Demographics[],3,FALSE)</f>
        <v>4</v>
      </c>
      <c r="J1569">
        <f>AVERAGE(Scores[[#This Row],[LYC]],Scores[[#This Row],[MATE]])</f>
        <v>526.5</v>
      </c>
      <c r="K1569">
        <f>VLOOKUP(Scores[[#This Row],[MRUN]],Demographics[],6,FALSE)</f>
        <v>9</v>
      </c>
      <c r="L1569">
        <f>VLOOKUP(Scores[[#This Row],[MRUN]],Demographics[], 7,FALSE)</f>
        <v>9</v>
      </c>
      <c r="M1569">
        <f>VLOOKUP(Scores[[#This Row],[MRUN]],Demographics[], 5, FALSE)</f>
        <v>3</v>
      </c>
    </row>
    <row r="1570" spans="1:13" hidden="1" x14ac:dyDescent="0.2">
      <c r="A1570" s="1">
        <v>24332486</v>
      </c>
      <c r="B1570">
        <v>1</v>
      </c>
      <c r="C1570">
        <v>2</v>
      </c>
      <c r="D1570">
        <v>558</v>
      </c>
      <c r="E1570">
        <v>430</v>
      </c>
      <c r="F1570">
        <v>536</v>
      </c>
      <c r="G1570">
        <v>0</v>
      </c>
      <c r="H1570">
        <v>449</v>
      </c>
      <c r="I1570">
        <f>VLOOKUP(Scores[[#This Row],[MRUN]],Demographics[],3,FALSE)</f>
        <v>5</v>
      </c>
      <c r="J1570">
        <f>AVERAGE(Scores[[#This Row],[LYC]],Scores[[#This Row],[MATE]])</f>
        <v>483</v>
      </c>
      <c r="K1570">
        <f>VLOOKUP(Scores[[#This Row],[MRUN]],Demographics[],6,FALSE)</f>
        <v>2</v>
      </c>
      <c r="L1570">
        <f>VLOOKUP(Scores[[#This Row],[MRUN]],Demographics[], 7,FALSE)</f>
        <v>5</v>
      </c>
      <c r="M1570">
        <f>VLOOKUP(Scores[[#This Row],[MRUN]],Demographics[], 5, FALSE)</f>
        <v>1</v>
      </c>
    </row>
    <row r="1571" spans="1:13" hidden="1" x14ac:dyDescent="0.2">
      <c r="A1571" s="1">
        <v>23596755</v>
      </c>
      <c r="B1571">
        <v>1</v>
      </c>
      <c r="C1571">
        <v>2</v>
      </c>
      <c r="D1571">
        <v>641</v>
      </c>
      <c r="E1571">
        <v>602</v>
      </c>
      <c r="F1571">
        <v>560</v>
      </c>
      <c r="G1571">
        <v>657</v>
      </c>
      <c r="H1571">
        <v>0</v>
      </c>
      <c r="I1571">
        <f>VLOOKUP(Scores[[#This Row],[MRUN]],Demographics[],3,FALSE)</f>
        <v>5</v>
      </c>
      <c r="J1571">
        <f>AVERAGE(Scores[[#This Row],[LYC]],Scores[[#This Row],[MATE]])</f>
        <v>581</v>
      </c>
      <c r="K1571">
        <f>VLOOKUP(Scores[[#This Row],[MRUN]],Demographics[],6,FALSE)</f>
        <v>9</v>
      </c>
      <c r="L1571">
        <f>VLOOKUP(Scores[[#This Row],[MRUN]],Demographics[], 7,FALSE)</f>
        <v>4</v>
      </c>
      <c r="M1571">
        <f>VLOOKUP(Scores[[#This Row],[MRUN]],Demographics[], 5, FALSE)</f>
        <v>2</v>
      </c>
    </row>
    <row r="1572" spans="1:13" hidden="1" x14ac:dyDescent="0.2">
      <c r="A1572" s="1">
        <v>17289168</v>
      </c>
      <c r="B1572">
        <v>2</v>
      </c>
      <c r="C1572">
        <v>2</v>
      </c>
      <c r="D1572">
        <v>620</v>
      </c>
      <c r="E1572">
        <v>521</v>
      </c>
      <c r="F1572">
        <v>568</v>
      </c>
      <c r="G1572">
        <v>0</v>
      </c>
      <c r="H1572">
        <v>539</v>
      </c>
      <c r="I1572">
        <f>VLOOKUP(Scores[[#This Row],[MRUN]],Demographics[],3,FALSE)</f>
        <v>0</v>
      </c>
      <c r="J1572">
        <f>AVERAGE(Scores[[#This Row],[LYC]],Scores[[#This Row],[MATE]])</f>
        <v>544.5</v>
      </c>
      <c r="K1572">
        <f>VLOOKUP(Scores[[#This Row],[MRUN]],Demographics[],6,FALSE)</f>
        <v>0</v>
      </c>
      <c r="L1572">
        <f>VLOOKUP(Scores[[#This Row],[MRUN]],Demographics[], 7,FALSE)</f>
        <v>0</v>
      </c>
      <c r="M1572">
        <f>VLOOKUP(Scores[[#This Row],[MRUN]],Demographics[], 5, FALSE)</f>
        <v>1</v>
      </c>
    </row>
    <row r="1573" spans="1:13" hidden="1" x14ac:dyDescent="0.2">
      <c r="A1573" s="1">
        <v>8311257</v>
      </c>
      <c r="B1573">
        <v>2</v>
      </c>
      <c r="C1573">
        <v>2</v>
      </c>
      <c r="D1573">
        <v>458</v>
      </c>
      <c r="E1573">
        <v>367</v>
      </c>
      <c r="F1573">
        <v>413</v>
      </c>
      <c r="G1573">
        <v>0</v>
      </c>
      <c r="H1573">
        <v>326</v>
      </c>
      <c r="I1573">
        <f>VLOOKUP(Scores[[#This Row],[MRUN]],Demographics[],3,FALSE)</f>
        <v>4</v>
      </c>
      <c r="J1573">
        <f>AVERAGE(Scores[[#This Row],[LYC]],Scores[[#This Row],[MATE]])</f>
        <v>390</v>
      </c>
      <c r="K1573">
        <f>VLOOKUP(Scores[[#This Row],[MRUN]],Demographics[],6,FALSE)</f>
        <v>5</v>
      </c>
      <c r="L1573">
        <f>VLOOKUP(Scores[[#This Row],[MRUN]],Demographics[], 7,FALSE)</f>
        <v>4</v>
      </c>
      <c r="M1573">
        <f>VLOOKUP(Scores[[#This Row],[MRUN]],Demographics[], 5, FALSE)</f>
        <v>1</v>
      </c>
    </row>
    <row r="1574" spans="1:13" hidden="1" x14ac:dyDescent="0.2">
      <c r="A1574" s="1">
        <v>7243076</v>
      </c>
      <c r="B1574">
        <v>1</v>
      </c>
      <c r="C1574">
        <v>2</v>
      </c>
      <c r="D1574">
        <v>538</v>
      </c>
      <c r="E1574">
        <v>464</v>
      </c>
      <c r="F1574">
        <v>549</v>
      </c>
      <c r="G1574">
        <v>0</v>
      </c>
      <c r="H1574">
        <v>510</v>
      </c>
      <c r="I1574">
        <f>VLOOKUP(Scores[[#This Row],[MRUN]],Demographics[],3,FALSE)</f>
        <v>2</v>
      </c>
      <c r="J1574">
        <f>AVERAGE(Scores[[#This Row],[LYC]],Scores[[#This Row],[MATE]])</f>
        <v>506.5</v>
      </c>
      <c r="K1574">
        <f>VLOOKUP(Scores[[#This Row],[MRUN]],Demographics[],6,FALSE)</f>
        <v>4</v>
      </c>
      <c r="L1574">
        <f>VLOOKUP(Scores[[#This Row],[MRUN]],Demographics[], 7,FALSE)</f>
        <v>4</v>
      </c>
      <c r="M1574">
        <f>VLOOKUP(Scores[[#This Row],[MRUN]],Demographics[], 5, FALSE)</f>
        <v>1</v>
      </c>
    </row>
    <row r="1575" spans="1:13" hidden="1" x14ac:dyDescent="0.2">
      <c r="A1575" s="1">
        <v>22196881</v>
      </c>
      <c r="B1575">
        <v>2</v>
      </c>
      <c r="C1575">
        <v>3</v>
      </c>
      <c r="D1575">
        <v>641</v>
      </c>
      <c r="E1575">
        <v>541</v>
      </c>
      <c r="F1575">
        <v>472</v>
      </c>
      <c r="G1575">
        <v>567</v>
      </c>
      <c r="H1575">
        <v>0</v>
      </c>
      <c r="I1575">
        <f>VLOOKUP(Scores[[#This Row],[MRUN]],Demographics[],3,FALSE)</f>
        <v>4</v>
      </c>
      <c r="J1575">
        <f>AVERAGE(Scores[[#This Row],[LYC]],Scores[[#This Row],[MATE]])</f>
        <v>506.5</v>
      </c>
      <c r="K1575">
        <f>VLOOKUP(Scores[[#This Row],[MRUN]],Demographics[],6,FALSE)</f>
        <v>4</v>
      </c>
      <c r="L1575">
        <f>VLOOKUP(Scores[[#This Row],[MRUN]],Demographics[], 7,FALSE)</f>
        <v>2</v>
      </c>
      <c r="M1575">
        <f>VLOOKUP(Scores[[#This Row],[MRUN]],Demographics[], 5, FALSE)</f>
        <v>1</v>
      </c>
    </row>
    <row r="1576" spans="1:13" hidden="1" x14ac:dyDescent="0.2">
      <c r="A1576" s="1">
        <v>3953920</v>
      </c>
      <c r="B1576">
        <v>2</v>
      </c>
      <c r="C1576">
        <v>3</v>
      </c>
      <c r="D1576">
        <v>682</v>
      </c>
      <c r="E1576">
        <v>571</v>
      </c>
      <c r="F1576">
        <v>593</v>
      </c>
      <c r="G1576">
        <v>552</v>
      </c>
      <c r="H1576">
        <v>558</v>
      </c>
      <c r="I1576">
        <f>VLOOKUP(Scores[[#This Row],[MRUN]],Demographics[],3,FALSE)</f>
        <v>5</v>
      </c>
      <c r="J1576">
        <f>AVERAGE(Scores[[#This Row],[LYC]],Scores[[#This Row],[MATE]])</f>
        <v>582</v>
      </c>
      <c r="K1576">
        <f>VLOOKUP(Scores[[#This Row],[MRUN]],Demographics[],6,FALSE)</f>
        <v>5</v>
      </c>
      <c r="L1576">
        <f>VLOOKUP(Scores[[#This Row],[MRUN]],Demographics[], 7,FALSE)</f>
        <v>4</v>
      </c>
      <c r="M1576">
        <f>VLOOKUP(Scores[[#This Row],[MRUN]],Demographics[], 5, FALSE)</f>
        <v>2</v>
      </c>
    </row>
    <row r="1577" spans="1:13" hidden="1" x14ac:dyDescent="0.2">
      <c r="A1577" s="1">
        <v>22646179</v>
      </c>
      <c r="B1577">
        <v>2</v>
      </c>
      <c r="C1577">
        <v>2</v>
      </c>
      <c r="D1577">
        <v>373</v>
      </c>
      <c r="E1577">
        <v>345</v>
      </c>
      <c r="F1577">
        <v>463</v>
      </c>
      <c r="G1577">
        <v>466</v>
      </c>
      <c r="H1577">
        <v>0</v>
      </c>
      <c r="I1577">
        <f>VLOOKUP(Scores[[#This Row],[MRUN]],Demographics[],3,FALSE)</f>
        <v>5</v>
      </c>
      <c r="J1577">
        <f>AVERAGE(Scores[[#This Row],[LYC]],Scores[[#This Row],[MATE]])</f>
        <v>404</v>
      </c>
      <c r="K1577">
        <f>VLOOKUP(Scores[[#This Row],[MRUN]],Demographics[],6,FALSE)</f>
        <v>2</v>
      </c>
      <c r="L1577">
        <f>VLOOKUP(Scores[[#This Row],[MRUN]],Demographics[], 7,FALSE)</f>
        <v>2</v>
      </c>
      <c r="M1577">
        <f>VLOOKUP(Scores[[#This Row],[MRUN]],Demographics[], 5, FALSE)</f>
        <v>1</v>
      </c>
    </row>
    <row r="1578" spans="1:13" hidden="1" x14ac:dyDescent="0.2">
      <c r="A1578" s="1">
        <v>4155620</v>
      </c>
      <c r="B1578">
        <v>2</v>
      </c>
      <c r="C1578">
        <v>2</v>
      </c>
      <c r="D1578">
        <v>558</v>
      </c>
      <c r="E1578">
        <v>438</v>
      </c>
      <c r="F1578">
        <v>480</v>
      </c>
      <c r="G1578">
        <v>428</v>
      </c>
      <c r="H1578">
        <v>0</v>
      </c>
      <c r="I1578">
        <f>VLOOKUP(Scores[[#This Row],[MRUN]],Demographics[],3,FALSE)</f>
        <v>5</v>
      </c>
      <c r="J1578">
        <f>AVERAGE(Scores[[#This Row],[LYC]],Scores[[#This Row],[MATE]])</f>
        <v>459</v>
      </c>
      <c r="K1578">
        <f>VLOOKUP(Scores[[#This Row],[MRUN]],Demographics[],6,FALSE)</f>
        <v>5</v>
      </c>
      <c r="L1578">
        <f>VLOOKUP(Scores[[#This Row],[MRUN]],Demographics[], 7,FALSE)</f>
        <v>5</v>
      </c>
      <c r="M1578">
        <f>VLOOKUP(Scores[[#This Row],[MRUN]],Demographics[], 5, FALSE)</f>
        <v>1</v>
      </c>
    </row>
    <row r="1579" spans="1:13" hidden="1" x14ac:dyDescent="0.2">
      <c r="A1579" s="1">
        <v>9928955</v>
      </c>
      <c r="B1579">
        <v>1</v>
      </c>
      <c r="C1579">
        <v>2</v>
      </c>
      <c r="D1579">
        <v>455</v>
      </c>
      <c r="E1579">
        <v>471</v>
      </c>
      <c r="F1579">
        <v>395</v>
      </c>
      <c r="G1579">
        <v>516</v>
      </c>
      <c r="H1579">
        <v>0</v>
      </c>
      <c r="I1579">
        <f>VLOOKUP(Scores[[#This Row],[MRUN]],Demographics[],3,FALSE)</f>
        <v>5</v>
      </c>
      <c r="J1579">
        <f>AVERAGE(Scores[[#This Row],[LYC]],Scores[[#This Row],[MATE]])</f>
        <v>433</v>
      </c>
      <c r="K1579">
        <f>VLOOKUP(Scores[[#This Row],[MRUN]],Demographics[],6,FALSE)</f>
        <v>8</v>
      </c>
      <c r="L1579">
        <f>VLOOKUP(Scores[[#This Row],[MRUN]],Demographics[], 7,FALSE)</f>
        <v>5</v>
      </c>
      <c r="M1579">
        <f>VLOOKUP(Scores[[#This Row],[MRUN]],Demographics[], 5, FALSE)</f>
        <v>6</v>
      </c>
    </row>
    <row r="1580" spans="1:13" hidden="1" x14ac:dyDescent="0.2">
      <c r="A1580" s="1">
        <v>2987071</v>
      </c>
      <c r="B1580">
        <v>1</v>
      </c>
      <c r="C1580">
        <v>2</v>
      </c>
      <c r="D1580">
        <v>662</v>
      </c>
      <c r="E1580">
        <v>0</v>
      </c>
      <c r="F1580">
        <v>0</v>
      </c>
      <c r="G1580">
        <v>0</v>
      </c>
      <c r="H1580">
        <v>0</v>
      </c>
      <c r="I1580">
        <f>VLOOKUP(Scores[[#This Row],[MRUN]],Demographics[],3,FALSE)</f>
        <v>5</v>
      </c>
      <c r="J1580">
        <f>AVERAGE(Scores[[#This Row],[LYC]],Scores[[#This Row],[MATE]])</f>
        <v>0</v>
      </c>
      <c r="K1580">
        <f>VLOOKUP(Scores[[#This Row],[MRUN]],Demographics[],6,FALSE)</f>
        <v>3</v>
      </c>
      <c r="L1580">
        <f>VLOOKUP(Scores[[#This Row],[MRUN]],Demographics[], 7,FALSE)</f>
        <v>4</v>
      </c>
      <c r="M1580">
        <f>VLOOKUP(Scores[[#This Row],[MRUN]],Demographics[], 5, FALSE)</f>
        <v>1</v>
      </c>
    </row>
    <row r="1581" spans="1:13" hidden="1" x14ac:dyDescent="0.2">
      <c r="A1581" s="1">
        <v>23814261</v>
      </c>
      <c r="B1581">
        <v>1</v>
      </c>
      <c r="C1581">
        <v>2</v>
      </c>
      <c r="D1581">
        <v>641</v>
      </c>
      <c r="E1581">
        <v>629</v>
      </c>
      <c r="F1581">
        <v>609</v>
      </c>
      <c r="G1581">
        <v>706</v>
      </c>
      <c r="H1581">
        <v>0</v>
      </c>
      <c r="I1581">
        <f>VLOOKUP(Scores[[#This Row],[MRUN]],Demographics[],3,FALSE)</f>
        <v>4</v>
      </c>
      <c r="J1581">
        <f>AVERAGE(Scores[[#This Row],[LYC]],Scores[[#This Row],[MATE]])</f>
        <v>619</v>
      </c>
      <c r="K1581">
        <f>VLOOKUP(Scores[[#This Row],[MRUN]],Demographics[],6,FALSE)</f>
        <v>4</v>
      </c>
      <c r="L1581">
        <f>VLOOKUP(Scores[[#This Row],[MRUN]],Demographics[], 7,FALSE)</f>
        <v>3</v>
      </c>
      <c r="M1581">
        <f>VLOOKUP(Scores[[#This Row],[MRUN]],Demographics[], 5, FALSE)</f>
        <v>1</v>
      </c>
    </row>
    <row r="1582" spans="1:13" hidden="1" x14ac:dyDescent="0.2">
      <c r="A1582" s="1">
        <v>14100916</v>
      </c>
      <c r="B1582">
        <v>2</v>
      </c>
      <c r="C1582">
        <v>2</v>
      </c>
      <c r="D1582">
        <v>599</v>
      </c>
      <c r="E1582">
        <v>516</v>
      </c>
      <c r="F1582">
        <v>395</v>
      </c>
      <c r="G1582">
        <v>0</v>
      </c>
      <c r="H1582">
        <v>417</v>
      </c>
      <c r="I1582">
        <f>VLOOKUP(Scores[[#This Row],[MRUN]],Demographics[],3,FALSE)</f>
        <v>5</v>
      </c>
      <c r="J1582">
        <f>AVERAGE(Scores[[#This Row],[LYC]],Scores[[#This Row],[MATE]])</f>
        <v>455.5</v>
      </c>
      <c r="K1582">
        <f>VLOOKUP(Scores[[#This Row],[MRUN]],Demographics[],6,FALSE)</f>
        <v>4</v>
      </c>
      <c r="L1582">
        <f>VLOOKUP(Scores[[#This Row],[MRUN]],Demographics[], 7,FALSE)</f>
        <v>4</v>
      </c>
      <c r="M1582">
        <f>VLOOKUP(Scores[[#This Row],[MRUN]],Demographics[], 5, FALSE)</f>
        <v>1</v>
      </c>
    </row>
    <row r="1583" spans="1:13" hidden="1" x14ac:dyDescent="0.2">
      <c r="A1583" s="1">
        <v>1384298</v>
      </c>
      <c r="B1583">
        <v>2</v>
      </c>
      <c r="C1583">
        <v>4</v>
      </c>
      <c r="D1583">
        <v>579</v>
      </c>
      <c r="E1583">
        <v>592</v>
      </c>
      <c r="F1583">
        <v>617</v>
      </c>
      <c r="G1583">
        <v>592</v>
      </c>
      <c r="H1583">
        <v>0</v>
      </c>
      <c r="I1583">
        <f>VLOOKUP(Scores[[#This Row],[MRUN]],Demographics[],3,FALSE)</f>
        <v>4</v>
      </c>
      <c r="J1583">
        <f>AVERAGE(Scores[[#This Row],[LYC]],Scores[[#This Row],[MATE]])</f>
        <v>604.5</v>
      </c>
      <c r="K1583">
        <f>VLOOKUP(Scores[[#This Row],[MRUN]],Demographics[],6,FALSE)</f>
        <v>9</v>
      </c>
      <c r="L1583">
        <f>VLOOKUP(Scores[[#This Row],[MRUN]],Demographics[], 7,FALSE)</f>
        <v>9</v>
      </c>
      <c r="M1583">
        <f>VLOOKUP(Scores[[#This Row],[MRUN]],Demographics[], 5, FALSE)</f>
        <v>5</v>
      </c>
    </row>
    <row r="1584" spans="1:13" hidden="1" x14ac:dyDescent="0.2">
      <c r="A1584" s="1">
        <v>1484884</v>
      </c>
      <c r="B1584">
        <v>2</v>
      </c>
      <c r="C1584">
        <v>2</v>
      </c>
      <c r="D1584">
        <v>599</v>
      </c>
      <c r="E1584">
        <v>458</v>
      </c>
      <c r="F1584">
        <v>441</v>
      </c>
      <c r="G1584">
        <v>449</v>
      </c>
      <c r="H1584">
        <v>0</v>
      </c>
      <c r="I1584">
        <f>VLOOKUP(Scores[[#This Row],[MRUN]],Demographics[],3,FALSE)</f>
        <v>3</v>
      </c>
      <c r="J1584">
        <f>AVERAGE(Scores[[#This Row],[LYC]],Scores[[#This Row],[MATE]])</f>
        <v>449.5</v>
      </c>
      <c r="K1584">
        <f>VLOOKUP(Scores[[#This Row],[MRUN]],Demographics[],6,FALSE)</f>
        <v>5</v>
      </c>
      <c r="L1584">
        <f>VLOOKUP(Scores[[#This Row],[MRUN]],Demographics[], 7,FALSE)</f>
        <v>5</v>
      </c>
      <c r="M1584">
        <f>VLOOKUP(Scores[[#This Row],[MRUN]],Demographics[], 5, FALSE)</f>
        <v>1</v>
      </c>
    </row>
    <row r="1585" spans="1:13" hidden="1" x14ac:dyDescent="0.2">
      <c r="A1585" s="1">
        <v>6292126</v>
      </c>
      <c r="B1585">
        <v>1</v>
      </c>
      <c r="C1585">
        <v>2</v>
      </c>
      <c r="D1585">
        <v>458</v>
      </c>
      <c r="E1585">
        <v>378</v>
      </c>
      <c r="F1585">
        <v>501</v>
      </c>
      <c r="G1585">
        <v>271</v>
      </c>
      <c r="H1585">
        <v>0</v>
      </c>
      <c r="I1585">
        <f>VLOOKUP(Scores[[#This Row],[MRUN]],Demographics[],3,FALSE)</f>
        <v>6</v>
      </c>
      <c r="J1585">
        <f>AVERAGE(Scores[[#This Row],[LYC]],Scores[[#This Row],[MATE]])</f>
        <v>439.5</v>
      </c>
      <c r="K1585">
        <f>VLOOKUP(Scores[[#This Row],[MRUN]],Demographics[],6,FALSE)</f>
        <v>2</v>
      </c>
      <c r="L1585">
        <f>VLOOKUP(Scores[[#This Row],[MRUN]],Demographics[], 7,FALSE)</f>
        <v>2</v>
      </c>
      <c r="M1585">
        <f>VLOOKUP(Scores[[#This Row],[MRUN]],Demographics[], 5, FALSE)</f>
        <v>1</v>
      </c>
    </row>
    <row r="1586" spans="1:13" hidden="1" x14ac:dyDescent="0.2">
      <c r="A1586" s="1">
        <v>5556179</v>
      </c>
      <c r="B1586">
        <v>2</v>
      </c>
      <c r="C1586">
        <v>2</v>
      </c>
      <c r="D1586">
        <v>496</v>
      </c>
      <c r="E1586">
        <v>333</v>
      </c>
      <c r="F1586">
        <v>480</v>
      </c>
      <c r="G1586">
        <v>0</v>
      </c>
      <c r="H1586">
        <v>267</v>
      </c>
      <c r="I1586">
        <f>VLOOKUP(Scores[[#This Row],[MRUN]],Demographics[],3,FALSE)</f>
        <v>4</v>
      </c>
      <c r="J1586">
        <f>AVERAGE(Scores[[#This Row],[LYC]],Scores[[#This Row],[MATE]])</f>
        <v>406.5</v>
      </c>
      <c r="K1586">
        <f>VLOOKUP(Scores[[#This Row],[MRUN]],Demographics[],6,FALSE)</f>
        <v>5</v>
      </c>
      <c r="L1586">
        <f>VLOOKUP(Scores[[#This Row],[MRUN]],Demographics[], 7,FALSE)</f>
        <v>3</v>
      </c>
      <c r="M1586">
        <f>VLOOKUP(Scores[[#This Row],[MRUN]],Demographics[], 5, FALSE)</f>
        <v>2</v>
      </c>
    </row>
    <row r="1587" spans="1:13" hidden="1" x14ac:dyDescent="0.2">
      <c r="A1587" s="1">
        <v>1817149</v>
      </c>
      <c r="B1587">
        <v>2</v>
      </c>
      <c r="C1587">
        <v>2</v>
      </c>
      <c r="D1587">
        <v>661</v>
      </c>
      <c r="E1587">
        <v>561</v>
      </c>
      <c r="F1587">
        <v>582</v>
      </c>
      <c r="G1587">
        <v>0</v>
      </c>
      <c r="H1587">
        <v>534</v>
      </c>
      <c r="I1587">
        <f>VLOOKUP(Scores[[#This Row],[MRUN]],Demographics[],3,FALSE)</f>
        <v>3</v>
      </c>
      <c r="J1587">
        <f>AVERAGE(Scores[[#This Row],[LYC]],Scores[[#This Row],[MATE]])</f>
        <v>571.5</v>
      </c>
      <c r="K1587">
        <f>VLOOKUP(Scores[[#This Row],[MRUN]],Demographics[],6,FALSE)</f>
        <v>0</v>
      </c>
      <c r="L1587">
        <f>VLOOKUP(Scores[[#This Row],[MRUN]],Demographics[], 7,FALSE)</f>
        <v>0</v>
      </c>
      <c r="M1587">
        <f>VLOOKUP(Scores[[#This Row],[MRUN]],Demographics[], 5, FALSE)</f>
        <v>1</v>
      </c>
    </row>
    <row r="1588" spans="1:13" hidden="1" x14ac:dyDescent="0.2">
      <c r="A1588" s="1">
        <v>10896586</v>
      </c>
      <c r="B1588">
        <v>1</v>
      </c>
      <c r="C1588">
        <v>3</v>
      </c>
      <c r="D1588">
        <v>538</v>
      </c>
      <c r="E1588">
        <v>613</v>
      </c>
      <c r="F1588">
        <v>652</v>
      </c>
      <c r="G1588">
        <v>0</v>
      </c>
      <c r="H1588">
        <v>609</v>
      </c>
      <c r="I1588">
        <f>VLOOKUP(Scores[[#This Row],[MRUN]],Demographics[],3,FALSE)</f>
        <v>4</v>
      </c>
      <c r="J1588">
        <f>AVERAGE(Scores[[#This Row],[LYC]],Scores[[#This Row],[MATE]])</f>
        <v>632.5</v>
      </c>
      <c r="K1588">
        <f>VLOOKUP(Scores[[#This Row],[MRUN]],Demographics[],6,FALSE)</f>
        <v>5</v>
      </c>
      <c r="L1588">
        <f>VLOOKUP(Scores[[#This Row],[MRUN]],Demographics[], 7,FALSE)</f>
        <v>5</v>
      </c>
      <c r="M1588">
        <f>VLOOKUP(Scores[[#This Row],[MRUN]],Demographics[], 5, FALSE)</f>
        <v>2</v>
      </c>
    </row>
    <row r="1589" spans="1:13" hidden="1" x14ac:dyDescent="0.2">
      <c r="A1589" s="1">
        <v>1283084</v>
      </c>
      <c r="B1589">
        <v>1</v>
      </c>
      <c r="C1589">
        <v>3</v>
      </c>
      <c r="D1589">
        <v>764</v>
      </c>
      <c r="E1589">
        <v>737</v>
      </c>
      <c r="F1589">
        <v>713</v>
      </c>
      <c r="G1589">
        <v>826</v>
      </c>
      <c r="H1589">
        <v>0</v>
      </c>
      <c r="I1589">
        <f>VLOOKUP(Scores[[#This Row],[MRUN]],Demographics[],3,FALSE)</f>
        <v>4</v>
      </c>
      <c r="J1589">
        <f>AVERAGE(Scores[[#This Row],[LYC]],Scores[[#This Row],[MATE]])</f>
        <v>725</v>
      </c>
      <c r="K1589">
        <f>VLOOKUP(Scores[[#This Row],[MRUN]],Demographics[],6,FALSE)</f>
        <v>9</v>
      </c>
      <c r="L1589">
        <f>VLOOKUP(Scores[[#This Row],[MRUN]],Demographics[], 7,FALSE)</f>
        <v>7</v>
      </c>
      <c r="M1589">
        <f>VLOOKUP(Scores[[#This Row],[MRUN]],Demographics[], 5, FALSE)</f>
        <v>2</v>
      </c>
    </row>
    <row r="1590" spans="1:13" hidden="1" x14ac:dyDescent="0.2">
      <c r="A1590" s="1">
        <v>17939477</v>
      </c>
      <c r="B1590">
        <v>2</v>
      </c>
      <c r="C1590">
        <v>3</v>
      </c>
      <c r="D1590">
        <v>476</v>
      </c>
      <c r="E1590">
        <v>541</v>
      </c>
      <c r="F1590">
        <v>523</v>
      </c>
      <c r="G1590">
        <v>495</v>
      </c>
      <c r="H1590">
        <v>0</v>
      </c>
      <c r="I1590">
        <f>VLOOKUP(Scores[[#This Row],[MRUN]],Demographics[],3,FALSE)</f>
        <v>5</v>
      </c>
      <c r="J1590">
        <f>AVERAGE(Scores[[#This Row],[LYC]],Scores[[#This Row],[MATE]])</f>
        <v>532</v>
      </c>
      <c r="K1590">
        <f>VLOOKUP(Scores[[#This Row],[MRUN]],Demographics[],6,FALSE)</f>
        <v>3</v>
      </c>
      <c r="L1590">
        <f>VLOOKUP(Scores[[#This Row],[MRUN]],Demographics[], 7,FALSE)</f>
        <v>5</v>
      </c>
      <c r="M1590">
        <f>VLOOKUP(Scores[[#This Row],[MRUN]],Demographics[], 5, FALSE)</f>
        <v>1</v>
      </c>
    </row>
    <row r="1591" spans="1:13" hidden="1" x14ac:dyDescent="0.2">
      <c r="A1591" s="1">
        <v>21678315</v>
      </c>
      <c r="B1591">
        <v>1</v>
      </c>
      <c r="C1591">
        <v>4</v>
      </c>
      <c r="D1591">
        <v>517</v>
      </c>
      <c r="E1591">
        <v>596</v>
      </c>
      <c r="F1591">
        <v>671</v>
      </c>
      <c r="G1591">
        <v>0</v>
      </c>
      <c r="H1591">
        <v>606</v>
      </c>
      <c r="I1591">
        <f>VLOOKUP(Scores[[#This Row],[MRUN]],Demographics[],3,FALSE)</f>
        <v>6</v>
      </c>
      <c r="J1591">
        <f>AVERAGE(Scores[[#This Row],[LYC]],Scores[[#This Row],[MATE]])</f>
        <v>633.5</v>
      </c>
      <c r="K1591">
        <f>VLOOKUP(Scores[[#This Row],[MRUN]],Demographics[],6,FALSE)</f>
        <v>5</v>
      </c>
      <c r="L1591">
        <f>VLOOKUP(Scores[[#This Row],[MRUN]],Demographics[], 7,FALSE)</f>
        <v>0</v>
      </c>
      <c r="M1591">
        <f>VLOOKUP(Scores[[#This Row],[MRUN]],Demographics[], 5, FALSE)</f>
        <v>2</v>
      </c>
    </row>
    <row r="1592" spans="1:13" hidden="1" x14ac:dyDescent="0.2">
      <c r="A1592" s="1">
        <v>9294492</v>
      </c>
      <c r="B1592">
        <v>2</v>
      </c>
      <c r="C1592">
        <v>3</v>
      </c>
      <c r="D1592">
        <v>620</v>
      </c>
      <c r="E1592">
        <v>510</v>
      </c>
      <c r="F1592">
        <v>549</v>
      </c>
      <c r="G1592">
        <v>490</v>
      </c>
      <c r="H1592">
        <v>404</v>
      </c>
      <c r="I1592">
        <f>VLOOKUP(Scores[[#This Row],[MRUN]],Demographics[],3,FALSE)</f>
        <v>5</v>
      </c>
      <c r="J1592">
        <f>AVERAGE(Scores[[#This Row],[LYC]],Scores[[#This Row],[MATE]])</f>
        <v>529.5</v>
      </c>
      <c r="K1592">
        <f>VLOOKUP(Scores[[#This Row],[MRUN]],Demographics[],6,FALSE)</f>
        <v>5</v>
      </c>
      <c r="L1592">
        <f>VLOOKUP(Scores[[#This Row],[MRUN]],Demographics[], 7,FALSE)</f>
        <v>5</v>
      </c>
      <c r="M1592">
        <f>VLOOKUP(Scores[[#This Row],[MRUN]],Demographics[], 5, FALSE)</f>
        <v>2</v>
      </c>
    </row>
    <row r="1593" spans="1:13" hidden="1" x14ac:dyDescent="0.2">
      <c r="A1593" s="1">
        <v>23179885</v>
      </c>
      <c r="B1593">
        <v>1</v>
      </c>
      <c r="C1593">
        <v>3</v>
      </c>
      <c r="D1593">
        <v>702</v>
      </c>
      <c r="E1593">
        <v>717</v>
      </c>
      <c r="F1593">
        <v>692</v>
      </c>
      <c r="G1593">
        <v>0</v>
      </c>
      <c r="H1593">
        <v>663</v>
      </c>
      <c r="I1593">
        <f>VLOOKUP(Scores[[#This Row],[MRUN]],Demographics[],3,FALSE)</f>
        <v>5</v>
      </c>
      <c r="J1593">
        <f>AVERAGE(Scores[[#This Row],[LYC]],Scores[[#This Row],[MATE]])</f>
        <v>704.5</v>
      </c>
      <c r="K1593">
        <f>VLOOKUP(Scores[[#This Row],[MRUN]],Demographics[],6,FALSE)</f>
        <v>5</v>
      </c>
      <c r="L1593">
        <f>VLOOKUP(Scores[[#This Row],[MRUN]],Demographics[], 7,FALSE)</f>
        <v>7</v>
      </c>
      <c r="M1593">
        <f>VLOOKUP(Scores[[#This Row],[MRUN]],Demographics[], 5, FALSE)</f>
        <v>2</v>
      </c>
    </row>
    <row r="1594" spans="1:13" hidden="1" x14ac:dyDescent="0.2">
      <c r="A1594" s="1">
        <v>23078798</v>
      </c>
      <c r="B1594">
        <v>1</v>
      </c>
      <c r="C1594">
        <v>2</v>
      </c>
      <c r="D1594">
        <v>499</v>
      </c>
      <c r="E1594">
        <v>0</v>
      </c>
      <c r="F1594">
        <v>0</v>
      </c>
      <c r="G1594">
        <v>0</v>
      </c>
      <c r="H1594">
        <v>0</v>
      </c>
      <c r="I1594">
        <f>VLOOKUP(Scores[[#This Row],[MRUN]],Demographics[],3,FALSE)</f>
        <v>7</v>
      </c>
      <c r="J1594">
        <f>AVERAGE(Scores[[#This Row],[LYC]],Scores[[#This Row],[MATE]])</f>
        <v>0</v>
      </c>
      <c r="K1594">
        <f>VLOOKUP(Scores[[#This Row],[MRUN]],Demographics[],6,FALSE)</f>
        <v>2</v>
      </c>
      <c r="L1594">
        <f>VLOOKUP(Scores[[#This Row],[MRUN]],Demographics[], 7,FALSE)</f>
        <v>2</v>
      </c>
      <c r="M1594">
        <f>VLOOKUP(Scores[[#This Row],[MRUN]],Demographics[], 5, FALSE)</f>
        <v>1</v>
      </c>
    </row>
    <row r="1595" spans="1:13" hidden="1" x14ac:dyDescent="0.2">
      <c r="A1595" s="1">
        <v>19975836</v>
      </c>
      <c r="B1595">
        <v>2</v>
      </c>
      <c r="C1595">
        <v>4</v>
      </c>
      <c r="D1595">
        <v>538</v>
      </c>
      <c r="E1595">
        <v>571</v>
      </c>
      <c r="F1595">
        <v>536</v>
      </c>
      <c r="G1595">
        <v>628</v>
      </c>
      <c r="H1595">
        <v>0</v>
      </c>
      <c r="I1595">
        <f>VLOOKUP(Scores[[#This Row],[MRUN]],Demographics[],3,FALSE)</f>
        <v>4</v>
      </c>
      <c r="J1595">
        <f>AVERAGE(Scores[[#This Row],[LYC]],Scores[[#This Row],[MATE]])</f>
        <v>553.5</v>
      </c>
      <c r="K1595">
        <f>VLOOKUP(Scores[[#This Row],[MRUN]],Demographics[],6,FALSE)</f>
        <v>0</v>
      </c>
      <c r="L1595">
        <f>VLOOKUP(Scores[[#This Row],[MRUN]],Demographics[], 7,FALSE)</f>
        <v>0</v>
      </c>
      <c r="M1595">
        <f>VLOOKUP(Scores[[#This Row],[MRUN]],Demographics[], 5, FALSE)</f>
        <v>2</v>
      </c>
    </row>
    <row r="1596" spans="1:13" hidden="1" x14ac:dyDescent="0.2">
      <c r="A1596" s="1">
        <v>5122880</v>
      </c>
      <c r="B1596">
        <v>2</v>
      </c>
      <c r="C1596">
        <v>2</v>
      </c>
      <c r="D1596">
        <v>558</v>
      </c>
      <c r="E1596">
        <v>510</v>
      </c>
      <c r="F1596">
        <v>413</v>
      </c>
      <c r="G1596">
        <v>501</v>
      </c>
      <c r="H1596">
        <v>0</v>
      </c>
      <c r="I1596">
        <f>VLOOKUP(Scores[[#This Row],[MRUN]],Demographics[],3,FALSE)</f>
        <v>3</v>
      </c>
      <c r="J1596">
        <f>AVERAGE(Scores[[#This Row],[LYC]],Scores[[#This Row],[MATE]])</f>
        <v>461.5</v>
      </c>
      <c r="K1596">
        <f>VLOOKUP(Scores[[#This Row],[MRUN]],Demographics[],6,FALSE)</f>
        <v>8</v>
      </c>
      <c r="L1596">
        <f>VLOOKUP(Scores[[#This Row],[MRUN]],Demographics[], 7,FALSE)</f>
        <v>9</v>
      </c>
      <c r="M1596">
        <f>VLOOKUP(Scores[[#This Row],[MRUN]],Demographics[], 5, FALSE)</f>
        <v>2</v>
      </c>
    </row>
    <row r="1597" spans="1:13" hidden="1" x14ac:dyDescent="0.2">
      <c r="A1597" s="1">
        <v>7893606</v>
      </c>
      <c r="B1597">
        <v>2</v>
      </c>
      <c r="C1597">
        <v>3</v>
      </c>
      <c r="D1597">
        <v>601</v>
      </c>
      <c r="E1597">
        <v>438</v>
      </c>
      <c r="F1597">
        <v>441</v>
      </c>
      <c r="G1597">
        <v>466</v>
      </c>
      <c r="H1597">
        <v>417</v>
      </c>
      <c r="I1597">
        <f>VLOOKUP(Scores[[#This Row],[MRUN]],Demographics[],3,FALSE)</f>
        <v>0</v>
      </c>
      <c r="J1597">
        <f>AVERAGE(Scores[[#This Row],[LYC]],Scores[[#This Row],[MATE]])</f>
        <v>439.5</v>
      </c>
      <c r="K1597">
        <f>VLOOKUP(Scores[[#This Row],[MRUN]],Demographics[],6,FALSE)</f>
        <v>0</v>
      </c>
      <c r="L1597">
        <f>VLOOKUP(Scores[[#This Row],[MRUN]],Demographics[], 7,FALSE)</f>
        <v>0</v>
      </c>
      <c r="M1597">
        <f>VLOOKUP(Scores[[#This Row],[MRUN]],Demographics[], 5, FALSE)</f>
        <v>1</v>
      </c>
    </row>
    <row r="1598" spans="1:13" hidden="1" x14ac:dyDescent="0.2">
      <c r="A1598" s="1">
        <v>21577731</v>
      </c>
      <c r="B1598">
        <v>2</v>
      </c>
      <c r="C1598">
        <v>3</v>
      </c>
      <c r="D1598">
        <v>682</v>
      </c>
      <c r="E1598">
        <v>641</v>
      </c>
      <c r="F1598">
        <v>648</v>
      </c>
      <c r="G1598">
        <v>0</v>
      </c>
      <c r="H1598">
        <v>672</v>
      </c>
      <c r="I1598">
        <f>VLOOKUP(Scores[[#This Row],[MRUN]],Demographics[],3,FALSE)</f>
        <v>4</v>
      </c>
      <c r="J1598">
        <f>AVERAGE(Scores[[#This Row],[LYC]],Scores[[#This Row],[MATE]])</f>
        <v>644.5</v>
      </c>
      <c r="K1598">
        <f>VLOOKUP(Scores[[#This Row],[MRUN]],Demographics[],6,FALSE)</f>
        <v>5</v>
      </c>
      <c r="L1598">
        <f>VLOOKUP(Scores[[#This Row],[MRUN]],Demographics[], 7,FALSE)</f>
        <v>5</v>
      </c>
      <c r="M1598">
        <f>VLOOKUP(Scores[[#This Row],[MRUN]],Demographics[], 5, FALSE)</f>
        <v>2</v>
      </c>
    </row>
    <row r="1599" spans="1:13" hidden="1" x14ac:dyDescent="0.2">
      <c r="A1599" s="1">
        <v>6090295</v>
      </c>
      <c r="B1599">
        <v>1</v>
      </c>
      <c r="C1599">
        <v>3</v>
      </c>
      <c r="D1599">
        <v>476</v>
      </c>
      <c r="E1599">
        <v>571</v>
      </c>
      <c r="F1599">
        <v>571</v>
      </c>
      <c r="G1599">
        <v>670</v>
      </c>
      <c r="H1599">
        <v>0</v>
      </c>
      <c r="I1599">
        <f>VLOOKUP(Scores[[#This Row],[MRUN]],Demographics[],3,FALSE)</f>
        <v>5</v>
      </c>
      <c r="J1599">
        <f>AVERAGE(Scores[[#This Row],[LYC]],Scores[[#This Row],[MATE]])</f>
        <v>571</v>
      </c>
      <c r="K1599">
        <f>VLOOKUP(Scores[[#This Row],[MRUN]],Demographics[],6,FALSE)</f>
        <v>5</v>
      </c>
      <c r="L1599">
        <f>VLOOKUP(Scores[[#This Row],[MRUN]],Demographics[], 7,FALSE)</f>
        <v>9</v>
      </c>
      <c r="M1599">
        <f>VLOOKUP(Scores[[#This Row],[MRUN]],Demographics[], 5, FALSE)</f>
        <v>2</v>
      </c>
    </row>
    <row r="1600" spans="1:13" hidden="1" x14ac:dyDescent="0.2">
      <c r="A1600" s="1">
        <v>21043758</v>
      </c>
      <c r="B1600">
        <v>2</v>
      </c>
      <c r="C1600">
        <v>2</v>
      </c>
      <c r="D1600">
        <v>580</v>
      </c>
      <c r="E1600">
        <v>378</v>
      </c>
      <c r="F1600">
        <v>0</v>
      </c>
      <c r="G1600">
        <v>0</v>
      </c>
      <c r="H1600">
        <v>0</v>
      </c>
      <c r="I1600">
        <f>VLOOKUP(Scores[[#This Row],[MRUN]],Demographics[],3,FALSE)</f>
        <v>5</v>
      </c>
      <c r="J1600">
        <f>AVERAGE(Scores[[#This Row],[LYC]],Scores[[#This Row],[MATE]])</f>
        <v>189</v>
      </c>
      <c r="K1600">
        <f>VLOOKUP(Scores[[#This Row],[MRUN]],Demographics[],6,FALSE)</f>
        <v>2</v>
      </c>
      <c r="L1600">
        <f>VLOOKUP(Scores[[#This Row],[MRUN]],Demographics[], 7,FALSE)</f>
        <v>5</v>
      </c>
      <c r="M1600">
        <f>VLOOKUP(Scores[[#This Row],[MRUN]],Demographics[], 5, FALSE)</f>
        <v>1</v>
      </c>
    </row>
    <row r="1601" spans="1:13" hidden="1" x14ac:dyDescent="0.2">
      <c r="A1601" s="1">
        <v>13032647</v>
      </c>
      <c r="B1601">
        <v>1</v>
      </c>
      <c r="C1601">
        <v>3</v>
      </c>
      <c r="D1601">
        <v>579</v>
      </c>
      <c r="E1601">
        <v>576</v>
      </c>
      <c r="F1601">
        <v>531</v>
      </c>
      <c r="G1601">
        <v>639</v>
      </c>
      <c r="H1601">
        <v>0</v>
      </c>
      <c r="I1601">
        <f>VLOOKUP(Scores[[#This Row],[MRUN]],Demographics[],3,FALSE)</f>
        <v>5</v>
      </c>
      <c r="J1601">
        <f>AVERAGE(Scores[[#This Row],[LYC]],Scores[[#This Row],[MATE]])</f>
        <v>553.5</v>
      </c>
      <c r="K1601">
        <f>VLOOKUP(Scores[[#This Row],[MRUN]],Demographics[],6,FALSE)</f>
        <v>4</v>
      </c>
      <c r="L1601">
        <f>VLOOKUP(Scores[[#This Row],[MRUN]],Demographics[], 7,FALSE)</f>
        <v>4</v>
      </c>
      <c r="M1601">
        <f>VLOOKUP(Scores[[#This Row],[MRUN]],Demographics[], 5, FALSE)</f>
        <v>2</v>
      </c>
    </row>
    <row r="1602" spans="1:13" hidden="1" x14ac:dyDescent="0.2">
      <c r="A1602" s="1">
        <v>10997192</v>
      </c>
      <c r="B1602">
        <v>2</v>
      </c>
      <c r="C1602">
        <v>2</v>
      </c>
      <c r="D1602">
        <v>620</v>
      </c>
      <c r="E1602">
        <v>551</v>
      </c>
      <c r="F1602">
        <v>585</v>
      </c>
      <c r="G1602">
        <v>0</v>
      </c>
      <c r="H1602">
        <v>553</v>
      </c>
      <c r="I1602">
        <f>VLOOKUP(Scores[[#This Row],[MRUN]],Demographics[],3,FALSE)</f>
        <v>5</v>
      </c>
      <c r="J1602">
        <f>AVERAGE(Scores[[#This Row],[LYC]],Scores[[#This Row],[MATE]])</f>
        <v>568</v>
      </c>
      <c r="K1602">
        <f>VLOOKUP(Scores[[#This Row],[MRUN]],Demographics[],6,FALSE)</f>
        <v>9</v>
      </c>
      <c r="L1602">
        <f>VLOOKUP(Scores[[#This Row],[MRUN]],Demographics[], 7,FALSE)</f>
        <v>9</v>
      </c>
      <c r="M1602">
        <f>VLOOKUP(Scores[[#This Row],[MRUN]],Demographics[], 5, FALSE)</f>
        <v>3</v>
      </c>
    </row>
    <row r="1603" spans="1:13" hidden="1" x14ac:dyDescent="0.2">
      <c r="A1603" s="1">
        <v>2018984</v>
      </c>
      <c r="B1603">
        <v>1</v>
      </c>
      <c r="C1603">
        <v>3</v>
      </c>
      <c r="D1603">
        <v>437</v>
      </c>
      <c r="E1603">
        <v>367</v>
      </c>
      <c r="F1603">
        <v>487</v>
      </c>
      <c r="G1603">
        <v>484</v>
      </c>
      <c r="H1603">
        <v>0</v>
      </c>
      <c r="I1603">
        <f>VLOOKUP(Scores[[#This Row],[MRUN]],Demographics[],3,FALSE)</f>
        <v>0</v>
      </c>
      <c r="J1603">
        <f>AVERAGE(Scores[[#This Row],[LYC]],Scores[[#This Row],[MATE]])</f>
        <v>427</v>
      </c>
      <c r="K1603">
        <f>VLOOKUP(Scores[[#This Row],[MRUN]],Demographics[],6,FALSE)</f>
        <v>0</v>
      </c>
      <c r="L1603">
        <f>VLOOKUP(Scores[[#This Row],[MRUN]],Demographics[], 7,FALSE)</f>
        <v>0</v>
      </c>
      <c r="M1603">
        <f>VLOOKUP(Scores[[#This Row],[MRUN]],Demographics[], 5, FALSE)</f>
        <v>1</v>
      </c>
    </row>
    <row r="1604" spans="1:13" hidden="1" x14ac:dyDescent="0.2">
      <c r="A1604" s="1">
        <v>8760200</v>
      </c>
      <c r="B1604">
        <v>1</v>
      </c>
      <c r="C1604">
        <v>2</v>
      </c>
      <c r="D1604">
        <v>558</v>
      </c>
      <c r="E1604">
        <v>444</v>
      </c>
      <c r="F1604">
        <v>560</v>
      </c>
      <c r="G1604">
        <v>506</v>
      </c>
      <c r="H1604">
        <v>0</v>
      </c>
      <c r="I1604">
        <f>VLOOKUP(Scores[[#This Row],[MRUN]],Demographics[],3,FALSE)</f>
        <v>4</v>
      </c>
      <c r="J1604">
        <f>AVERAGE(Scores[[#This Row],[LYC]],Scores[[#This Row],[MATE]])</f>
        <v>502</v>
      </c>
      <c r="K1604">
        <f>VLOOKUP(Scores[[#This Row],[MRUN]],Demographics[],6,FALSE)</f>
        <v>8</v>
      </c>
      <c r="L1604">
        <f>VLOOKUP(Scores[[#This Row],[MRUN]],Demographics[], 7,FALSE)</f>
        <v>5</v>
      </c>
      <c r="M1604">
        <f>VLOOKUP(Scores[[#This Row],[MRUN]],Demographics[], 5, FALSE)</f>
        <v>1</v>
      </c>
    </row>
    <row r="1605" spans="1:13" hidden="1" x14ac:dyDescent="0.2">
      <c r="A1605" s="1">
        <v>8327007</v>
      </c>
      <c r="B1605">
        <v>1</v>
      </c>
      <c r="C1605">
        <v>3</v>
      </c>
      <c r="D1605">
        <v>0</v>
      </c>
      <c r="E1605">
        <v>422</v>
      </c>
      <c r="F1605">
        <v>441</v>
      </c>
      <c r="G1605">
        <v>442</v>
      </c>
      <c r="H1605">
        <v>326</v>
      </c>
      <c r="I1605">
        <f>VLOOKUP(Scores[[#This Row],[MRUN]],Demographics[],3,FALSE)</f>
        <v>5</v>
      </c>
      <c r="J1605">
        <f>AVERAGE(Scores[[#This Row],[LYC]],Scores[[#This Row],[MATE]])</f>
        <v>431.5</v>
      </c>
      <c r="K1605">
        <f>VLOOKUP(Scores[[#This Row],[MRUN]],Demographics[],6,FALSE)</f>
        <v>4</v>
      </c>
      <c r="L1605">
        <f>VLOOKUP(Scores[[#This Row],[MRUN]],Demographics[], 7,FALSE)</f>
        <v>2</v>
      </c>
      <c r="M1605">
        <f>VLOOKUP(Scores[[#This Row],[MRUN]],Demographics[], 5, FALSE)</f>
        <v>1</v>
      </c>
    </row>
    <row r="1606" spans="1:13" hidden="1" x14ac:dyDescent="0.2">
      <c r="A1606" s="1">
        <v>13566688</v>
      </c>
      <c r="B1606">
        <v>1</v>
      </c>
      <c r="C1606">
        <v>3</v>
      </c>
      <c r="D1606">
        <v>661</v>
      </c>
      <c r="E1606">
        <v>636</v>
      </c>
      <c r="F1606">
        <v>686</v>
      </c>
      <c r="G1606">
        <v>0</v>
      </c>
      <c r="H1606">
        <v>639</v>
      </c>
      <c r="I1606">
        <f>VLOOKUP(Scores[[#This Row],[MRUN]],Demographics[],3,FALSE)</f>
        <v>7</v>
      </c>
      <c r="J1606">
        <f>AVERAGE(Scores[[#This Row],[LYC]],Scores[[#This Row],[MATE]])</f>
        <v>661</v>
      </c>
      <c r="K1606">
        <f>VLOOKUP(Scores[[#This Row],[MRUN]],Demographics[],6,FALSE)</f>
        <v>5</v>
      </c>
      <c r="L1606">
        <f>VLOOKUP(Scores[[#This Row],[MRUN]],Demographics[], 7,FALSE)</f>
        <v>5</v>
      </c>
      <c r="M1606">
        <f>VLOOKUP(Scores[[#This Row],[MRUN]],Demographics[], 5, FALSE)</f>
        <v>3</v>
      </c>
    </row>
    <row r="1607" spans="1:13" hidden="1" x14ac:dyDescent="0.2">
      <c r="A1607" s="1">
        <v>12700119</v>
      </c>
      <c r="B1607">
        <v>2</v>
      </c>
      <c r="C1607">
        <v>2</v>
      </c>
      <c r="D1607">
        <v>641</v>
      </c>
      <c r="E1607">
        <v>505</v>
      </c>
      <c r="F1607">
        <v>472</v>
      </c>
      <c r="G1607">
        <v>473</v>
      </c>
      <c r="H1607">
        <v>0</v>
      </c>
      <c r="I1607">
        <f>VLOOKUP(Scores[[#This Row],[MRUN]],Demographics[],3,FALSE)</f>
        <v>4</v>
      </c>
      <c r="J1607">
        <f>AVERAGE(Scores[[#This Row],[LYC]],Scores[[#This Row],[MATE]])</f>
        <v>488.5</v>
      </c>
      <c r="K1607">
        <f>VLOOKUP(Scores[[#This Row],[MRUN]],Demographics[],6,FALSE)</f>
        <v>2</v>
      </c>
      <c r="L1607">
        <f>VLOOKUP(Scores[[#This Row],[MRUN]],Demographics[], 7,FALSE)</f>
        <v>5</v>
      </c>
      <c r="M1607">
        <f>VLOOKUP(Scores[[#This Row],[MRUN]],Demographics[], 5, FALSE)</f>
        <v>1</v>
      </c>
    </row>
    <row r="1608" spans="1:13" hidden="1" x14ac:dyDescent="0.2">
      <c r="A1608" s="1">
        <v>18473161</v>
      </c>
      <c r="B1608">
        <v>1</v>
      </c>
      <c r="C1608">
        <v>3</v>
      </c>
      <c r="D1608">
        <v>661</v>
      </c>
      <c r="E1608">
        <v>641</v>
      </c>
      <c r="F1608">
        <v>699</v>
      </c>
      <c r="G1608">
        <v>646</v>
      </c>
      <c r="H1608">
        <v>639</v>
      </c>
      <c r="I1608">
        <f>VLOOKUP(Scores[[#This Row],[MRUN]],Demographics[],3,FALSE)</f>
        <v>4</v>
      </c>
      <c r="J1608">
        <f>AVERAGE(Scores[[#This Row],[LYC]],Scores[[#This Row],[MATE]])</f>
        <v>670</v>
      </c>
      <c r="K1608">
        <f>VLOOKUP(Scores[[#This Row],[MRUN]],Demographics[],6,FALSE)</f>
        <v>7</v>
      </c>
      <c r="L1608">
        <f>VLOOKUP(Scores[[#This Row],[MRUN]],Demographics[], 7,FALSE)</f>
        <v>7</v>
      </c>
      <c r="M1608">
        <f>VLOOKUP(Scores[[#This Row],[MRUN]],Demographics[], 5, FALSE)</f>
        <v>1</v>
      </c>
    </row>
    <row r="1609" spans="1:13" hidden="1" x14ac:dyDescent="0.2">
      <c r="A1609" s="1">
        <v>5021740</v>
      </c>
      <c r="B1609">
        <v>1</v>
      </c>
      <c r="C1609">
        <v>2</v>
      </c>
      <c r="D1609">
        <v>435</v>
      </c>
      <c r="E1609">
        <v>471</v>
      </c>
      <c r="F1609">
        <v>463</v>
      </c>
      <c r="G1609">
        <v>484</v>
      </c>
      <c r="H1609">
        <v>0</v>
      </c>
      <c r="I1609">
        <f>VLOOKUP(Scores[[#This Row],[MRUN]],Demographics[],3,FALSE)</f>
        <v>4</v>
      </c>
      <c r="J1609">
        <f>AVERAGE(Scores[[#This Row],[LYC]],Scores[[#This Row],[MATE]])</f>
        <v>467</v>
      </c>
      <c r="K1609">
        <f>VLOOKUP(Scores[[#This Row],[MRUN]],Demographics[],6,FALSE)</f>
        <v>4</v>
      </c>
      <c r="L1609">
        <f>VLOOKUP(Scores[[#This Row],[MRUN]],Demographics[], 7,FALSE)</f>
        <v>3</v>
      </c>
      <c r="M1609">
        <f>VLOOKUP(Scores[[#This Row],[MRUN]],Demographics[], 5, FALSE)</f>
        <v>1</v>
      </c>
    </row>
    <row r="1610" spans="1:13" hidden="1" x14ac:dyDescent="0.2">
      <c r="A1610" s="1">
        <v>22646180</v>
      </c>
      <c r="B1610">
        <v>1</v>
      </c>
      <c r="C1610">
        <v>4</v>
      </c>
      <c r="D1610">
        <v>435</v>
      </c>
      <c r="E1610">
        <v>483</v>
      </c>
      <c r="F1610">
        <v>574</v>
      </c>
      <c r="G1610">
        <v>506</v>
      </c>
      <c r="H1610">
        <v>0</v>
      </c>
      <c r="I1610">
        <f>VLOOKUP(Scores[[#This Row],[MRUN]],Demographics[],3,FALSE)</f>
        <v>5</v>
      </c>
      <c r="J1610">
        <f>AVERAGE(Scores[[#This Row],[LYC]],Scores[[#This Row],[MATE]])</f>
        <v>528.5</v>
      </c>
      <c r="K1610">
        <f>VLOOKUP(Scores[[#This Row],[MRUN]],Demographics[],6,FALSE)</f>
        <v>9</v>
      </c>
      <c r="L1610">
        <f>VLOOKUP(Scores[[#This Row],[MRUN]],Demographics[], 7,FALSE)</f>
        <v>9</v>
      </c>
      <c r="M1610">
        <f>VLOOKUP(Scores[[#This Row],[MRUN]],Demographics[], 5, FALSE)</f>
        <v>4</v>
      </c>
    </row>
    <row r="1611" spans="1:13" hidden="1" x14ac:dyDescent="0.2">
      <c r="A1611" s="1">
        <v>15702465</v>
      </c>
      <c r="B1611">
        <v>1</v>
      </c>
      <c r="C1611">
        <v>2</v>
      </c>
      <c r="D1611">
        <v>455</v>
      </c>
      <c r="E1611">
        <v>526</v>
      </c>
      <c r="F1611">
        <v>517</v>
      </c>
      <c r="G1611">
        <v>552</v>
      </c>
      <c r="H1611">
        <v>510</v>
      </c>
      <c r="I1611">
        <f>VLOOKUP(Scores[[#This Row],[MRUN]],Demographics[],3,FALSE)</f>
        <v>3</v>
      </c>
      <c r="J1611">
        <f>AVERAGE(Scores[[#This Row],[LYC]],Scores[[#This Row],[MATE]])</f>
        <v>521.5</v>
      </c>
      <c r="K1611">
        <f>VLOOKUP(Scores[[#This Row],[MRUN]],Demographics[],6,FALSE)</f>
        <v>9</v>
      </c>
      <c r="L1611">
        <f>VLOOKUP(Scores[[#This Row],[MRUN]],Demographics[], 7,FALSE)</f>
        <v>8</v>
      </c>
      <c r="M1611">
        <f>VLOOKUP(Scores[[#This Row],[MRUN]],Demographics[], 5, FALSE)</f>
        <v>1</v>
      </c>
    </row>
    <row r="1612" spans="1:13" hidden="1" x14ac:dyDescent="0.2">
      <c r="A1612" s="1">
        <v>10029704</v>
      </c>
      <c r="B1612">
        <v>2</v>
      </c>
      <c r="C1612">
        <v>2</v>
      </c>
      <c r="D1612">
        <v>476</v>
      </c>
      <c r="E1612">
        <v>483</v>
      </c>
      <c r="F1612">
        <v>428</v>
      </c>
      <c r="G1612">
        <v>547</v>
      </c>
      <c r="H1612">
        <v>0</v>
      </c>
      <c r="I1612">
        <f>VLOOKUP(Scores[[#This Row],[MRUN]],Demographics[],3,FALSE)</f>
        <v>3</v>
      </c>
      <c r="J1612">
        <f>AVERAGE(Scores[[#This Row],[LYC]],Scores[[#This Row],[MATE]])</f>
        <v>455.5</v>
      </c>
      <c r="K1612">
        <f>VLOOKUP(Scores[[#This Row],[MRUN]],Demographics[],6,FALSE)</f>
        <v>2</v>
      </c>
      <c r="L1612">
        <f>VLOOKUP(Scores[[#This Row],[MRUN]],Demographics[], 7,FALSE)</f>
        <v>4</v>
      </c>
      <c r="M1612">
        <f>VLOOKUP(Scores[[#This Row],[MRUN]],Demographics[], 5, FALSE)</f>
        <v>1</v>
      </c>
    </row>
    <row r="1613" spans="1:13" hidden="1" x14ac:dyDescent="0.2">
      <c r="A1613" s="1">
        <v>23814260</v>
      </c>
      <c r="B1613">
        <v>1</v>
      </c>
      <c r="C1613">
        <v>2</v>
      </c>
      <c r="D1613">
        <v>458</v>
      </c>
      <c r="E1613">
        <v>388</v>
      </c>
      <c r="F1613">
        <v>463</v>
      </c>
      <c r="G1613">
        <v>484</v>
      </c>
      <c r="H1613">
        <v>0</v>
      </c>
      <c r="I1613">
        <f>VLOOKUP(Scores[[#This Row],[MRUN]],Demographics[],3,FALSE)</f>
        <v>6</v>
      </c>
      <c r="J1613">
        <f>AVERAGE(Scores[[#This Row],[LYC]],Scores[[#This Row],[MATE]])</f>
        <v>425.5</v>
      </c>
      <c r="K1613">
        <f>VLOOKUP(Scores[[#This Row],[MRUN]],Demographics[],6,FALSE)</f>
        <v>5</v>
      </c>
      <c r="L1613">
        <f>VLOOKUP(Scores[[#This Row],[MRUN]],Demographics[], 7,FALSE)</f>
        <v>4</v>
      </c>
      <c r="M1613">
        <f>VLOOKUP(Scores[[#This Row],[MRUN]],Demographics[], 5, FALSE)</f>
        <v>1</v>
      </c>
    </row>
    <row r="1614" spans="1:13" hidden="1" x14ac:dyDescent="0.2">
      <c r="A1614" s="1">
        <v>16236600</v>
      </c>
      <c r="B1614">
        <v>2</v>
      </c>
      <c r="C1614">
        <v>2</v>
      </c>
      <c r="D1614">
        <v>641</v>
      </c>
      <c r="E1614">
        <v>471</v>
      </c>
      <c r="F1614">
        <v>413</v>
      </c>
      <c r="G1614">
        <v>466</v>
      </c>
      <c r="H1614">
        <v>0</v>
      </c>
      <c r="I1614">
        <f>VLOOKUP(Scores[[#This Row],[MRUN]],Demographics[],3,FALSE)</f>
        <v>3</v>
      </c>
      <c r="J1614">
        <f>AVERAGE(Scores[[#This Row],[LYC]],Scores[[#This Row],[MATE]])</f>
        <v>442</v>
      </c>
      <c r="K1614">
        <f>VLOOKUP(Scores[[#This Row],[MRUN]],Demographics[],6,FALSE)</f>
        <v>6</v>
      </c>
      <c r="L1614">
        <f>VLOOKUP(Scores[[#This Row],[MRUN]],Demographics[], 7,FALSE)</f>
        <v>7</v>
      </c>
      <c r="M1614">
        <f>VLOOKUP(Scores[[#This Row],[MRUN]],Demographics[], 5, FALSE)</f>
        <v>2</v>
      </c>
    </row>
    <row r="1615" spans="1:13" hidden="1" x14ac:dyDescent="0.2">
      <c r="A1615" s="1">
        <v>14836159</v>
      </c>
      <c r="B1615">
        <v>1</v>
      </c>
      <c r="C1615">
        <v>3</v>
      </c>
      <c r="D1615">
        <v>620</v>
      </c>
      <c r="E1615">
        <v>586</v>
      </c>
      <c r="F1615">
        <v>666</v>
      </c>
      <c r="G1615">
        <v>0</v>
      </c>
      <c r="H1615">
        <v>613</v>
      </c>
      <c r="I1615">
        <f>VLOOKUP(Scores[[#This Row],[MRUN]],Demographics[],3,FALSE)</f>
        <v>4</v>
      </c>
      <c r="J1615">
        <f>AVERAGE(Scores[[#This Row],[LYC]],Scores[[#This Row],[MATE]])</f>
        <v>626</v>
      </c>
      <c r="K1615">
        <f>VLOOKUP(Scores[[#This Row],[MRUN]],Demographics[],6,FALSE)</f>
        <v>10</v>
      </c>
      <c r="L1615">
        <f>VLOOKUP(Scores[[#This Row],[MRUN]],Demographics[], 7,FALSE)</f>
        <v>10</v>
      </c>
      <c r="M1615">
        <f>VLOOKUP(Scores[[#This Row],[MRUN]],Demographics[], 5, FALSE)</f>
        <v>3</v>
      </c>
    </row>
    <row r="1616" spans="1:13" hidden="1" x14ac:dyDescent="0.2">
      <c r="A1616" s="1">
        <v>23713793</v>
      </c>
      <c r="B1616">
        <v>2</v>
      </c>
      <c r="C1616">
        <v>2</v>
      </c>
      <c r="D1616">
        <v>499</v>
      </c>
      <c r="E1616">
        <v>333</v>
      </c>
      <c r="F1616">
        <v>274</v>
      </c>
      <c r="G1616">
        <v>414</v>
      </c>
      <c r="H1616">
        <v>0</v>
      </c>
      <c r="I1616">
        <f>VLOOKUP(Scores[[#This Row],[MRUN]],Demographics[],3,FALSE)</f>
        <v>4</v>
      </c>
      <c r="J1616">
        <f>AVERAGE(Scores[[#This Row],[LYC]],Scores[[#This Row],[MATE]])</f>
        <v>303.5</v>
      </c>
      <c r="K1616">
        <f>VLOOKUP(Scores[[#This Row],[MRUN]],Demographics[],6,FALSE)</f>
        <v>3</v>
      </c>
      <c r="L1616">
        <f>VLOOKUP(Scores[[#This Row],[MRUN]],Demographics[], 7,FALSE)</f>
        <v>1</v>
      </c>
      <c r="M1616">
        <f>VLOOKUP(Scores[[#This Row],[MRUN]],Demographics[], 5, FALSE)</f>
        <v>1</v>
      </c>
    </row>
    <row r="1617" spans="1:13" hidden="1" x14ac:dyDescent="0.2">
      <c r="A1617" s="1">
        <v>15168728</v>
      </c>
      <c r="B1617">
        <v>2</v>
      </c>
      <c r="C1617">
        <v>3</v>
      </c>
      <c r="D1617">
        <v>478</v>
      </c>
      <c r="E1617">
        <v>388</v>
      </c>
      <c r="F1617">
        <v>452</v>
      </c>
      <c r="G1617">
        <v>0</v>
      </c>
      <c r="H1617">
        <v>307</v>
      </c>
      <c r="I1617">
        <f>VLOOKUP(Scores[[#This Row],[MRUN]],Demographics[],3,FALSE)</f>
        <v>0</v>
      </c>
      <c r="J1617">
        <f>AVERAGE(Scores[[#This Row],[LYC]],Scores[[#This Row],[MATE]])</f>
        <v>420</v>
      </c>
      <c r="K1617">
        <f>VLOOKUP(Scores[[#This Row],[MRUN]],Demographics[],6,FALSE)</f>
        <v>0</v>
      </c>
      <c r="L1617">
        <f>VLOOKUP(Scores[[#This Row],[MRUN]],Demographics[], 7,FALSE)</f>
        <v>0</v>
      </c>
      <c r="M1617">
        <f>VLOOKUP(Scores[[#This Row],[MRUN]],Demographics[], 5, FALSE)</f>
        <v>1</v>
      </c>
    </row>
    <row r="1618" spans="1:13" hidden="1" x14ac:dyDescent="0.2">
      <c r="A1618" s="1">
        <v>1283085</v>
      </c>
      <c r="B1618">
        <v>1</v>
      </c>
      <c r="C1618">
        <v>3</v>
      </c>
      <c r="D1618">
        <v>558</v>
      </c>
      <c r="E1618">
        <v>537</v>
      </c>
      <c r="F1618">
        <v>614</v>
      </c>
      <c r="G1618">
        <v>0</v>
      </c>
      <c r="H1618">
        <v>523</v>
      </c>
      <c r="I1618">
        <f>VLOOKUP(Scores[[#This Row],[MRUN]],Demographics[],3,FALSE)</f>
        <v>4</v>
      </c>
      <c r="J1618">
        <f>AVERAGE(Scores[[#This Row],[LYC]],Scores[[#This Row],[MATE]])</f>
        <v>575.5</v>
      </c>
      <c r="K1618">
        <f>VLOOKUP(Scores[[#This Row],[MRUN]],Demographics[],6,FALSE)</f>
        <v>10</v>
      </c>
      <c r="L1618">
        <f>VLOOKUP(Scores[[#This Row],[MRUN]],Demographics[], 7,FALSE)</f>
        <v>9</v>
      </c>
      <c r="M1618">
        <f>VLOOKUP(Scores[[#This Row],[MRUN]],Demographics[], 5, FALSE)</f>
        <v>2</v>
      </c>
    </row>
    <row r="1619" spans="1:13" hidden="1" x14ac:dyDescent="0.2">
      <c r="A1619" s="1">
        <v>23612540</v>
      </c>
      <c r="B1619">
        <v>2</v>
      </c>
      <c r="C1619">
        <v>2</v>
      </c>
      <c r="D1619">
        <v>702</v>
      </c>
      <c r="E1619">
        <v>499</v>
      </c>
      <c r="F1619">
        <v>531</v>
      </c>
      <c r="G1619">
        <v>516</v>
      </c>
      <c r="H1619">
        <v>0</v>
      </c>
      <c r="I1619">
        <f>VLOOKUP(Scores[[#This Row],[MRUN]],Demographics[],3,FALSE)</f>
        <v>5</v>
      </c>
      <c r="J1619">
        <f>AVERAGE(Scores[[#This Row],[LYC]],Scores[[#This Row],[MATE]])</f>
        <v>515</v>
      </c>
      <c r="K1619">
        <f>VLOOKUP(Scores[[#This Row],[MRUN]],Demographics[],6,FALSE)</f>
        <v>7</v>
      </c>
      <c r="L1619">
        <f>VLOOKUP(Scores[[#This Row],[MRUN]],Demographics[], 7,FALSE)</f>
        <v>5</v>
      </c>
      <c r="M1619">
        <f>VLOOKUP(Scores[[#This Row],[MRUN]],Demographics[], 5, FALSE)</f>
        <v>1</v>
      </c>
    </row>
    <row r="1620" spans="1:13" hidden="1" x14ac:dyDescent="0.2">
      <c r="A1620" s="1">
        <v>17939476</v>
      </c>
      <c r="B1620">
        <v>1</v>
      </c>
      <c r="C1620">
        <v>2</v>
      </c>
      <c r="D1620">
        <v>538</v>
      </c>
      <c r="E1620">
        <v>499</v>
      </c>
      <c r="F1620">
        <v>536</v>
      </c>
      <c r="G1620">
        <v>495</v>
      </c>
      <c r="H1620">
        <v>0</v>
      </c>
      <c r="I1620">
        <f>VLOOKUP(Scores[[#This Row],[MRUN]],Demographics[],3,FALSE)</f>
        <v>5</v>
      </c>
      <c r="J1620">
        <f>AVERAGE(Scores[[#This Row],[LYC]],Scores[[#This Row],[MATE]])</f>
        <v>517.5</v>
      </c>
      <c r="K1620">
        <f>VLOOKUP(Scores[[#This Row],[MRUN]],Demographics[],6,FALSE)</f>
        <v>8</v>
      </c>
      <c r="L1620">
        <f>VLOOKUP(Scores[[#This Row],[MRUN]],Demographics[], 7,FALSE)</f>
        <v>3</v>
      </c>
      <c r="M1620">
        <f>VLOOKUP(Scores[[#This Row],[MRUN]],Demographics[], 5, FALSE)</f>
        <v>1</v>
      </c>
    </row>
    <row r="1621" spans="1:13" x14ac:dyDescent="0.2">
      <c r="A1621" s="1">
        <v>13667234</v>
      </c>
      <c r="B1621">
        <v>1</v>
      </c>
      <c r="C1621">
        <v>4</v>
      </c>
      <c r="D1621">
        <v>558</v>
      </c>
      <c r="E1621">
        <v>668</v>
      </c>
      <c r="F1621">
        <v>828</v>
      </c>
      <c r="G1621">
        <v>0</v>
      </c>
      <c r="H1621">
        <v>703</v>
      </c>
      <c r="I1621">
        <f>VLOOKUP(Scores[[#This Row],[MRUN]],Demographics[],3,FALSE)</f>
        <v>3</v>
      </c>
      <c r="J1621">
        <f>AVERAGE(Scores[[#This Row],[LYC]],Scores[[#This Row],[MATE]])</f>
        <v>748</v>
      </c>
      <c r="K1621">
        <f>VLOOKUP(Scores[[#This Row],[MRUN]],Demographics[],6,FALSE)</f>
        <v>8</v>
      </c>
      <c r="L1621">
        <f>VLOOKUP(Scores[[#This Row],[MRUN]],Demographics[], 7,FALSE)</f>
        <v>9</v>
      </c>
      <c r="M1621">
        <f>VLOOKUP(Scores[[#This Row],[MRUN]],Demographics[], 5, FALSE)</f>
        <v>3</v>
      </c>
    </row>
    <row r="1622" spans="1:13" hidden="1" x14ac:dyDescent="0.2">
      <c r="A1622" s="1">
        <v>14201398</v>
      </c>
      <c r="B1622">
        <v>1</v>
      </c>
      <c r="C1622">
        <v>3</v>
      </c>
      <c r="D1622">
        <v>661</v>
      </c>
      <c r="E1622">
        <v>567</v>
      </c>
      <c r="F1622">
        <v>699</v>
      </c>
      <c r="G1622">
        <v>0</v>
      </c>
      <c r="H1622">
        <v>639</v>
      </c>
      <c r="I1622">
        <f>VLOOKUP(Scores[[#This Row],[MRUN]],Demographics[],3,FALSE)</f>
        <v>4</v>
      </c>
      <c r="J1622">
        <f>AVERAGE(Scores[[#This Row],[LYC]],Scores[[#This Row],[MATE]])</f>
        <v>633</v>
      </c>
      <c r="K1622">
        <f>VLOOKUP(Scores[[#This Row],[MRUN]],Demographics[],6,FALSE)</f>
        <v>9</v>
      </c>
      <c r="L1622">
        <f>VLOOKUP(Scores[[#This Row],[MRUN]],Demographics[], 7,FALSE)</f>
        <v>8</v>
      </c>
      <c r="M1622">
        <f>VLOOKUP(Scores[[#This Row],[MRUN]],Demographics[], 5, FALSE)</f>
        <v>1</v>
      </c>
    </row>
    <row r="1623" spans="1:13" hidden="1" x14ac:dyDescent="0.2">
      <c r="A1623" s="1">
        <v>14634887</v>
      </c>
      <c r="B1623">
        <v>1</v>
      </c>
      <c r="C1623">
        <v>3</v>
      </c>
      <c r="D1623">
        <v>682</v>
      </c>
      <c r="E1623">
        <v>531</v>
      </c>
      <c r="F1623">
        <v>750</v>
      </c>
      <c r="G1623">
        <v>0</v>
      </c>
      <c r="H1623">
        <v>663</v>
      </c>
      <c r="I1623">
        <f>VLOOKUP(Scores[[#This Row],[MRUN]],Demographics[],3,FALSE)</f>
        <v>5</v>
      </c>
      <c r="J1623">
        <f>AVERAGE(Scores[[#This Row],[LYC]],Scores[[#This Row],[MATE]])</f>
        <v>640.5</v>
      </c>
      <c r="K1623">
        <f>VLOOKUP(Scores[[#This Row],[MRUN]],Demographics[],6,FALSE)</f>
        <v>5</v>
      </c>
      <c r="L1623">
        <f>VLOOKUP(Scores[[#This Row],[MRUN]],Demographics[], 7,FALSE)</f>
        <v>5</v>
      </c>
      <c r="M1623">
        <f>VLOOKUP(Scores[[#This Row],[MRUN]],Demographics[], 5, FALSE)</f>
        <v>2</v>
      </c>
    </row>
    <row r="1624" spans="1:13" hidden="1" x14ac:dyDescent="0.2">
      <c r="A1624" s="1">
        <v>416597</v>
      </c>
      <c r="B1624">
        <v>2</v>
      </c>
      <c r="C1624">
        <v>2</v>
      </c>
      <c r="D1624">
        <v>539</v>
      </c>
      <c r="E1624">
        <v>576</v>
      </c>
      <c r="F1624">
        <v>557</v>
      </c>
      <c r="G1624">
        <v>628</v>
      </c>
      <c r="H1624">
        <v>449</v>
      </c>
      <c r="I1624">
        <f>VLOOKUP(Scores[[#This Row],[MRUN]],Demographics[],3,FALSE)</f>
        <v>4</v>
      </c>
      <c r="J1624">
        <f>AVERAGE(Scores[[#This Row],[LYC]],Scores[[#This Row],[MATE]])</f>
        <v>566.5</v>
      </c>
      <c r="K1624">
        <f>VLOOKUP(Scores[[#This Row],[MRUN]],Demographics[],6,FALSE)</f>
        <v>5</v>
      </c>
      <c r="L1624">
        <f>VLOOKUP(Scores[[#This Row],[MRUN]],Demographics[], 7,FALSE)</f>
        <v>4</v>
      </c>
      <c r="M1624">
        <f>VLOOKUP(Scores[[#This Row],[MRUN]],Demographics[], 5, FALSE)</f>
        <v>1</v>
      </c>
    </row>
    <row r="1625" spans="1:13" hidden="1" x14ac:dyDescent="0.2">
      <c r="A1625" s="1">
        <v>23280423</v>
      </c>
      <c r="B1625">
        <v>1</v>
      </c>
      <c r="C1625">
        <v>2</v>
      </c>
      <c r="D1625">
        <v>661</v>
      </c>
      <c r="E1625">
        <v>699</v>
      </c>
      <c r="F1625">
        <v>568</v>
      </c>
      <c r="G1625">
        <v>0</v>
      </c>
      <c r="H1625">
        <v>594</v>
      </c>
      <c r="I1625">
        <f>VLOOKUP(Scores[[#This Row],[MRUN]],Demographics[],3,FALSE)</f>
        <v>0</v>
      </c>
      <c r="J1625">
        <f>AVERAGE(Scores[[#This Row],[LYC]],Scores[[#This Row],[MATE]])</f>
        <v>633.5</v>
      </c>
      <c r="K1625">
        <f>VLOOKUP(Scores[[#This Row],[MRUN]],Demographics[],6,FALSE)</f>
        <v>0</v>
      </c>
      <c r="L1625">
        <f>VLOOKUP(Scores[[#This Row],[MRUN]],Demographics[], 7,FALSE)</f>
        <v>0</v>
      </c>
      <c r="M1625">
        <f>VLOOKUP(Scores[[#This Row],[MRUN]],Demographics[], 5, FALSE)</f>
        <v>2</v>
      </c>
    </row>
    <row r="1626" spans="1:13" hidden="1" x14ac:dyDescent="0.2">
      <c r="A1626" s="1">
        <v>21577730</v>
      </c>
      <c r="B1626">
        <v>1</v>
      </c>
      <c r="C1626">
        <v>4</v>
      </c>
      <c r="D1626">
        <v>496</v>
      </c>
      <c r="E1626">
        <v>547</v>
      </c>
      <c r="F1626">
        <v>657</v>
      </c>
      <c r="G1626">
        <v>0</v>
      </c>
      <c r="H1626">
        <v>583</v>
      </c>
      <c r="I1626">
        <f>VLOOKUP(Scores[[#This Row],[MRUN]],Demographics[],3,FALSE)</f>
        <v>5</v>
      </c>
      <c r="J1626">
        <f>AVERAGE(Scores[[#This Row],[LYC]],Scores[[#This Row],[MATE]])</f>
        <v>602</v>
      </c>
      <c r="K1626">
        <f>VLOOKUP(Scores[[#This Row],[MRUN]],Demographics[],6,FALSE)</f>
        <v>9</v>
      </c>
      <c r="L1626">
        <f>VLOOKUP(Scores[[#This Row],[MRUN]],Demographics[], 7,FALSE)</f>
        <v>5</v>
      </c>
      <c r="M1626">
        <f>VLOOKUP(Scores[[#This Row],[MRUN]],Demographics[], 5, FALSE)</f>
        <v>3</v>
      </c>
    </row>
    <row r="1627" spans="1:13" hidden="1" x14ac:dyDescent="0.2">
      <c r="A1627" s="1">
        <v>6090294</v>
      </c>
      <c r="B1627">
        <v>2</v>
      </c>
      <c r="C1627">
        <v>2</v>
      </c>
      <c r="D1627">
        <v>682</v>
      </c>
      <c r="E1627">
        <v>571</v>
      </c>
      <c r="F1627">
        <v>560</v>
      </c>
      <c r="G1627">
        <v>0</v>
      </c>
      <c r="H1627">
        <v>659</v>
      </c>
      <c r="I1627">
        <f>VLOOKUP(Scores[[#This Row],[MRUN]],Demographics[],3,FALSE)</f>
        <v>5</v>
      </c>
      <c r="J1627">
        <f>AVERAGE(Scores[[#This Row],[LYC]],Scores[[#This Row],[MATE]])</f>
        <v>565.5</v>
      </c>
      <c r="K1627">
        <f>VLOOKUP(Scores[[#This Row],[MRUN]],Demographics[],6,FALSE)</f>
        <v>5</v>
      </c>
      <c r="L1627">
        <f>VLOOKUP(Scores[[#This Row],[MRUN]],Demographics[], 7,FALSE)</f>
        <v>7</v>
      </c>
      <c r="M1627">
        <f>VLOOKUP(Scores[[#This Row],[MRUN]],Demographics[], 5, FALSE)</f>
        <v>2</v>
      </c>
    </row>
    <row r="1628" spans="1:13" hidden="1" x14ac:dyDescent="0.2">
      <c r="A1628" s="1">
        <v>12498981</v>
      </c>
      <c r="B1628">
        <v>1</v>
      </c>
      <c r="C1628">
        <v>4</v>
      </c>
      <c r="D1628">
        <v>579</v>
      </c>
      <c r="E1628">
        <v>803</v>
      </c>
      <c r="F1628">
        <v>661</v>
      </c>
      <c r="G1628">
        <v>767</v>
      </c>
      <c r="H1628">
        <v>0</v>
      </c>
      <c r="I1628">
        <f>VLOOKUP(Scores[[#This Row],[MRUN]],Demographics[],3,FALSE)</f>
        <v>4</v>
      </c>
      <c r="J1628">
        <f>AVERAGE(Scores[[#This Row],[LYC]],Scores[[#This Row],[MATE]])</f>
        <v>732</v>
      </c>
      <c r="K1628">
        <f>VLOOKUP(Scores[[#This Row],[MRUN]],Demographics[],6,FALSE)</f>
        <v>5</v>
      </c>
      <c r="L1628">
        <f>VLOOKUP(Scores[[#This Row],[MRUN]],Demographics[], 7,FALSE)</f>
        <v>7</v>
      </c>
      <c r="M1628">
        <f>VLOOKUP(Scores[[#This Row],[MRUN]],Demographics[], 5, FALSE)</f>
        <v>4</v>
      </c>
    </row>
    <row r="1629" spans="1:13" hidden="1" x14ac:dyDescent="0.2">
      <c r="A1629" s="1">
        <v>23987218</v>
      </c>
      <c r="B1629">
        <v>2</v>
      </c>
      <c r="C1629">
        <v>3</v>
      </c>
      <c r="D1629">
        <v>641</v>
      </c>
      <c r="E1629">
        <v>0</v>
      </c>
      <c r="F1629">
        <v>0</v>
      </c>
      <c r="G1629">
        <v>0</v>
      </c>
      <c r="H1629">
        <v>0</v>
      </c>
      <c r="I1629">
        <f>VLOOKUP(Scores[[#This Row],[MRUN]],Demographics[],3,FALSE)</f>
        <v>0</v>
      </c>
      <c r="J1629">
        <f>AVERAGE(Scores[[#This Row],[LYC]],Scores[[#This Row],[MATE]])</f>
        <v>0</v>
      </c>
      <c r="K1629">
        <f>VLOOKUP(Scores[[#This Row],[MRUN]],Demographics[],6,FALSE)</f>
        <v>0</v>
      </c>
      <c r="L1629">
        <f>VLOOKUP(Scores[[#This Row],[MRUN]],Demographics[], 7,FALSE)</f>
        <v>0</v>
      </c>
      <c r="M1629">
        <f>VLOOKUP(Scores[[#This Row],[MRUN]],Demographics[], 5, FALSE)</f>
        <v>1</v>
      </c>
    </row>
    <row r="1630" spans="1:13" hidden="1" x14ac:dyDescent="0.2">
      <c r="A1630" s="1">
        <v>20884923</v>
      </c>
      <c r="B1630">
        <v>2</v>
      </c>
      <c r="C1630">
        <v>2</v>
      </c>
      <c r="D1630">
        <v>682</v>
      </c>
      <c r="E1630">
        <v>458</v>
      </c>
      <c r="F1630">
        <v>545</v>
      </c>
      <c r="G1630">
        <v>0</v>
      </c>
      <c r="H1630">
        <v>483</v>
      </c>
      <c r="I1630">
        <f>VLOOKUP(Scores[[#This Row],[MRUN]],Demographics[],3,FALSE)</f>
        <v>5</v>
      </c>
      <c r="J1630">
        <f>AVERAGE(Scores[[#This Row],[LYC]],Scores[[#This Row],[MATE]])</f>
        <v>501.5</v>
      </c>
      <c r="K1630">
        <f>VLOOKUP(Scores[[#This Row],[MRUN]],Demographics[],6,FALSE)</f>
        <v>5</v>
      </c>
      <c r="L1630">
        <f>VLOOKUP(Scores[[#This Row],[MRUN]],Demographics[], 7,FALSE)</f>
        <v>5</v>
      </c>
      <c r="M1630">
        <f>VLOOKUP(Scores[[#This Row],[MRUN]],Demographics[], 5, FALSE)</f>
        <v>1</v>
      </c>
    </row>
    <row r="1631" spans="1:13" hidden="1" x14ac:dyDescent="0.2">
      <c r="A1631" s="1">
        <v>10635934</v>
      </c>
      <c r="B1631">
        <v>2</v>
      </c>
      <c r="C1631">
        <v>3</v>
      </c>
      <c r="D1631">
        <v>723</v>
      </c>
      <c r="E1631">
        <v>618</v>
      </c>
      <c r="F1631">
        <v>614</v>
      </c>
      <c r="G1631">
        <v>623</v>
      </c>
      <c r="H1631">
        <v>0</v>
      </c>
      <c r="I1631">
        <f>VLOOKUP(Scores[[#This Row],[MRUN]],Demographics[],3,FALSE)</f>
        <v>4</v>
      </c>
      <c r="J1631">
        <f>AVERAGE(Scores[[#This Row],[LYC]],Scores[[#This Row],[MATE]])</f>
        <v>616</v>
      </c>
      <c r="K1631">
        <f>VLOOKUP(Scores[[#This Row],[MRUN]],Demographics[],6,FALSE)</f>
        <v>9</v>
      </c>
      <c r="L1631">
        <f>VLOOKUP(Scores[[#This Row],[MRUN]],Demographics[], 7,FALSE)</f>
        <v>5</v>
      </c>
      <c r="M1631">
        <f>VLOOKUP(Scores[[#This Row],[MRUN]],Demographics[], 5, FALSE)</f>
        <v>3</v>
      </c>
    </row>
    <row r="1632" spans="1:13" hidden="1" x14ac:dyDescent="0.2">
      <c r="A1632" s="1">
        <v>15543761</v>
      </c>
      <c r="B1632">
        <v>1</v>
      </c>
      <c r="C1632">
        <v>4</v>
      </c>
      <c r="D1632">
        <v>496</v>
      </c>
      <c r="E1632">
        <v>629</v>
      </c>
      <c r="F1632">
        <v>652</v>
      </c>
      <c r="G1632">
        <v>0</v>
      </c>
      <c r="H1632">
        <v>591</v>
      </c>
      <c r="I1632">
        <f>VLOOKUP(Scores[[#This Row],[MRUN]],Demographics[],3,FALSE)</f>
        <v>5</v>
      </c>
      <c r="J1632">
        <f>AVERAGE(Scores[[#This Row],[LYC]],Scores[[#This Row],[MATE]])</f>
        <v>640.5</v>
      </c>
      <c r="K1632">
        <f>VLOOKUP(Scores[[#This Row],[MRUN]],Demographics[],6,FALSE)</f>
        <v>5</v>
      </c>
      <c r="L1632">
        <f>VLOOKUP(Scores[[#This Row],[MRUN]],Demographics[], 7,FALSE)</f>
        <v>5</v>
      </c>
      <c r="M1632">
        <f>VLOOKUP(Scores[[#This Row],[MRUN]],Demographics[], 5, FALSE)</f>
        <v>2</v>
      </c>
    </row>
    <row r="1633" spans="1:13" hidden="1" x14ac:dyDescent="0.2">
      <c r="A1633" s="1">
        <v>2090933</v>
      </c>
      <c r="B1633">
        <v>2</v>
      </c>
      <c r="C1633">
        <v>3</v>
      </c>
      <c r="D1633">
        <v>538</v>
      </c>
      <c r="E1633">
        <v>516</v>
      </c>
      <c r="F1633">
        <v>560</v>
      </c>
      <c r="G1633">
        <v>0</v>
      </c>
      <c r="H1633">
        <v>428</v>
      </c>
      <c r="I1633">
        <f>VLOOKUP(Scores[[#This Row],[MRUN]],Demographics[],3,FALSE)</f>
        <v>5</v>
      </c>
      <c r="J1633">
        <f>AVERAGE(Scores[[#This Row],[LYC]],Scores[[#This Row],[MATE]])</f>
        <v>538</v>
      </c>
      <c r="K1633">
        <f>VLOOKUP(Scores[[#This Row],[MRUN]],Demographics[],6,FALSE)</f>
        <v>5</v>
      </c>
      <c r="L1633">
        <f>VLOOKUP(Scores[[#This Row],[MRUN]],Demographics[], 7,FALSE)</f>
        <v>5</v>
      </c>
      <c r="M1633">
        <f>VLOOKUP(Scores[[#This Row],[MRUN]],Demographics[], 5, FALSE)</f>
        <v>2</v>
      </c>
    </row>
    <row r="1634" spans="1:13" hidden="1" x14ac:dyDescent="0.2">
      <c r="A1634" s="1">
        <v>6897783</v>
      </c>
      <c r="B1634">
        <v>1</v>
      </c>
      <c r="C1634">
        <v>2</v>
      </c>
      <c r="D1634">
        <v>455</v>
      </c>
      <c r="E1634">
        <v>367</v>
      </c>
      <c r="F1634">
        <v>328</v>
      </c>
      <c r="G1634">
        <v>0</v>
      </c>
      <c r="H1634">
        <v>417</v>
      </c>
      <c r="I1634">
        <f>VLOOKUP(Scores[[#This Row],[MRUN]],Demographics[],3,FALSE)</f>
        <v>4</v>
      </c>
      <c r="J1634">
        <f>AVERAGE(Scores[[#This Row],[LYC]],Scores[[#This Row],[MATE]])</f>
        <v>347.5</v>
      </c>
      <c r="K1634">
        <f>VLOOKUP(Scores[[#This Row],[MRUN]],Demographics[],6,FALSE)</f>
        <v>5</v>
      </c>
      <c r="L1634">
        <f>VLOOKUP(Scores[[#This Row],[MRUN]],Demographics[], 7,FALSE)</f>
        <v>5</v>
      </c>
      <c r="M1634">
        <f>VLOOKUP(Scores[[#This Row],[MRUN]],Demographics[], 5, FALSE)</f>
        <v>2</v>
      </c>
    </row>
    <row r="1635" spans="1:13" hidden="1" x14ac:dyDescent="0.2">
      <c r="A1635" s="1">
        <v>4964354</v>
      </c>
      <c r="B1635">
        <v>1</v>
      </c>
      <c r="C1635">
        <v>3</v>
      </c>
      <c r="D1635">
        <v>414</v>
      </c>
      <c r="E1635">
        <v>537</v>
      </c>
      <c r="F1635">
        <v>609</v>
      </c>
      <c r="G1635">
        <v>0</v>
      </c>
      <c r="H1635">
        <v>468</v>
      </c>
      <c r="I1635">
        <f>VLOOKUP(Scores[[#This Row],[MRUN]],Demographics[],3,FALSE)</f>
        <v>0</v>
      </c>
      <c r="J1635">
        <f>AVERAGE(Scores[[#This Row],[LYC]],Scores[[#This Row],[MATE]])</f>
        <v>573</v>
      </c>
      <c r="K1635">
        <f>VLOOKUP(Scores[[#This Row],[MRUN]],Demographics[],6,FALSE)</f>
        <v>7</v>
      </c>
      <c r="L1635">
        <f>VLOOKUP(Scores[[#This Row],[MRUN]],Demographics[], 7,FALSE)</f>
        <v>7</v>
      </c>
      <c r="M1635">
        <f>VLOOKUP(Scores[[#This Row],[MRUN]],Demographics[], 5, FALSE)</f>
        <v>1</v>
      </c>
    </row>
    <row r="1636" spans="1:13" hidden="1" x14ac:dyDescent="0.2">
      <c r="A1636" s="1">
        <v>1022725</v>
      </c>
      <c r="B1636">
        <v>2</v>
      </c>
      <c r="C1636">
        <v>2</v>
      </c>
      <c r="D1636">
        <v>458</v>
      </c>
      <c r="E1636">
        <v>476</v>
      </c>
      <c r="F1636">
        <v>353</v>
      </c>
      <c r="G1636">
        <v>484</v>
      </c>
      <c r="H1636">
        <v>0</v>
      </c>
      <c r="I1636">
        <f>VLOOKUP(Scores[[#This Row],[MRUN]],Demographics[],3,FALSE)</f>
        <v>4</v>
      </c>
      <c r="J1636">
        <f>AVERAGE(Scores[[#This Row],[LYC]],Scores[[#This Row],[MATE]])</f>
        <v>414.5</v>
      </c>
      <c r="K1636">
        <f>VLOOKUP(Scores[[#This Row],[MRUN]],Demographics[],6,FALSE)</f>
        <v>5</v>
      </c>
      <c r="L1636">
        <f>VLOOKUP(Scores[[#This Row],[MRUN]],Demographics[], 7,FALSE)</f>
        <v>4</v>
      </c>
      <c r="M1636">
        <f>VLOOKUP(Scores[[#This Row],[MRUN]],Demographics[], 5, FALSE)</f>
        <v>1</v>
      </c>
    </row>
    <row r="1637" spans="1:13" hidden="1" x14ac:dyDescent="0.2">
      <c r="A1637" s="1">
        <v>19079253</v>
      </c>
      <c r="B1637">
        <v>2</v>
      </c>
      <c r="C1637">
        <v>4</v>
      </c>
      <c r="D1637">
        <v>579</v>
      </c>
      <c r="E1637">
        <v>571</v>
      </c>
      <c r="F1637">
        <v>631</v>
      </c>
      <c r="G1637">
        <v>0</v>
      </c>
      <c r="H1637">
        <v>620</v>
      </c>
      <c r="I1637">
        <f>VLOOKUP(Scores[[#This Row],[MRUN]],Demographics[],3,FALSE)</f>
        <v>0</v>
      </c>
      <c r="J1637">
        <f>AVERAGE(Scores[[#This Row],[LYC]],Scores[[#This Row],[MATE]])</f>
        <v>601</v>
      </c>
      <c r="K1637">
        <f>VLOOKUP(Scores[[#This Row],[MRUN]],Demographics[],6,FALSE)</f>
        <v>0</v>
      </c>
      <c r="L1637">
        <f>VLOOKUP(Scores[[#This Row],[MRUN]],Demographics[], 7,FALSE)</f>
        <v>0</v>
      </c>
      <c r="M1637">
        <f>VLOOKUP(Scores[[#This Row],[MRUN]],Demographics[], 5, FALSE)</f>
        <v>2</v>
      </c>
    </row>
    <row r="1638" spans="1:13" hidden="1" x14ac:dyDescent="0.2">
      <c r="A1638" s="1">
        <v>19816967</v>
      </c>
      <c r="B1638">
        <v>2</v>
      </c>
      <c r="C1638">
        <v>2</v>
      </c>
      <c r="D1638">
        <v>538</v>
      </c>
      <c r="E1638">
        <v>415</v>
      </c>
      <c r="F1638">
        <v>300</v>
      </c>
      <c r="G1638">
        <v>0</v>
      </c>
      <c r="H1638">
        <v>404</v>
      </c>
      <c r="I1638">
        <f>VLOOKUP(Scores[[#This Row],[MRUN]],Demographics[],3,FALSE)</f>
        <v>4</v>
      </c>
      <c r="J1638">
        <f>AVERAGE(Scores[[#This Row],[LYC]],Scores[[#This Row],[MATE]])</f>
        <v>357.5</v>
      </c>
      <c r="K1638">
        <f>VLOOKUP(Scores[[#This Row],[MRUN]],Demographics[],6,FALSE)</f>
        <v>2</v>
      </c>
      <c r="L1638">
        <f>VLOOKUP(Scores[[#This Row],[MRUN]],Demographics[], 7,FALSE)</f>
        <v>2</v>
      </c>
      <c r="M1638">
        <f>VLOOKUP(Scores[[#This Row],[MRUN]],Demographics[], 5, FALSE)</f>
        <v>1</v>
      </c>
    </row>
    <row r="1639" spans="1:13" hidden="1" x14ac:dyDescent="0.2">
      <c r="A1639" s="1">
        <v>21418889</v>
      </c>
      <c r="B1639">
        <v>1</v>
      </c>
      <c r="C1639">
        <v>2</v>
      </c>
      <c r="D1639">
        <v>435</v>
      </c>
      <c r="E1639">
        <v>571</v>
      </c>
      <c r="F1639">
        <v>441</v>
      </c>
      <c r="G1639">
        <v>628</v>
      </c>
      <c r="H1639">
        <v>0</v>
      </c>
      <c r="I1639">
        <f>VLOOKUP(Scores[[#This Row],[MRUN]],Demographics[],3,FALSE)</f>
        <v>0</v>
      </c>
      <c r="J1639">
        <f>AVERAGE(Scores[[#This Row],[LYC]],Scores[[#This Row],[MATE]])</f>
        <v>506</v>
      </c>
      <c r="K1639">
        <f>VLOOKUP(Scores[[#This Row],[MRUN]],Demographics[],6,FALSE)</f>
        <v>5</v>
      </c>
      <c r="L1639">
        <f>VLOOKUP(Scores[[#This Row],[MRUN]],Demographics[], 7,FALSE)</f>
        <v>5</v>
      </c>
      <c r="M1639">
        <f>VLOOKUP(Scores[[#This Row],[MRUN]],Demographics[], 5, FALSE)</f>
        <v>1</v>
      </c>
    </row>
    <row r="1640" spans="1:13" hidden="1" x14ac:dyDescent="0.2">
      <c r="A1640" s="1">
        <v>19282372</v>
      </c>
      <c r="B1640">
        <v>2</v>
      </c>
      <c r="C1640">
        <v>2</v>
      </c>
      <c r="D1640">
        <v>435</v>
      </c>
      <c r="E1640">
        <v>444</v>
      </c>
      <c r="F1640">
        <v>395</v>
      </c>
      <c r="G1640">
        <v>370</v>
      </c>
      <c r="H1640">
        <v>0</v>
      </c>
      <c r="I1640">
        <f>VLOOKUP(Scores[[#This Row],[MRUN]],Demographics[],3,FALSE)</f>
        <v>3</v>
      </c>
      <c r="J1640">
        <f>AVERAGE(Scores[[#This Row],[LYC]],Scores[[#This Row],[MATE]])</f>
        <v>419.5</v>
      </c>
      <c r="K1640">
        <f>VLOOKUP(Scores[[#This Row],[MRUN]],Demographics[],6,FALSE)</f>
        <v>4</v>
      </c>
      <c r="L1640">
        <f>VLOOKUP(Scores[[#This Row],[MRUN]],Demographics[], 7,FALSE)</f>
        <v>3</v>
      </c>
      <c r="M1640">
        <f>VLOOKUP(Scores[[#This Row],[MRUN]],Demographics[], 5, FALSE)</f>
        <v>1</v>
      </c>
    </row>
    <row r="1641" spans="1:13" hidden="1" x14ac:dyDescent="0.2">
      <c r="A1641" s="1">
        <v>24623013</v>
      </c>
      <c r="B1641">
        <v>2</v>
      </c>
      <c r="C1641">
        <v>2</v>
      </c>
      <c r="D1641">
        <v>517</v>
      </c>
      <c r="E1641">
        <v>541</v>
      </c>
      <c r="F1641">
        <v>494</v>
      </c>
      <c r="G1641">
        <v>527</v>
      </c>
      <c r="H1641">
        <v>0</v>
      </c>
      <c r="I1641">
        <f>VLOOKUP(Scores[[#This Row],[MRUN]],Demographics[],3,FALSE)</f>
        <v>2</v>
      </c>
      <c r="J1641">
        <f>AVERAGE(Scores[[#This Row],[LYC]],Scores[[#This Row],[MATE]])</f>
        <v>517.5</v>
      </c>
      <c r="K1641">
        <f>VLOOKUP(Scores[[#This Row],[MRUN]],Demographics[],6,FALSE)</f>
        <v>4</v>
      </c>
      <c r="L1641">
        <f>VLOOKUP(Scores[[#This Row],[MRUN]],Demographics[], 7,FALSE)</f>
        <v>5</v>
      </c>
      <c r="M1641">
        <f>VLOOKUP(Scores[[#This Row],[MRUN]],Demographics[], 5, FALSE)</f>
        <v>1</v>
      </c>
    </row>
    <row r="1642" spans="1:13" hidden="1" x14ac:dyDescent="0.2">
      <c r="A1642" s="1">
        <v>2293959</v>
      </c>
      <c r="B1642">
        <v>2</v>
      </c>
      <c r="C1642">
        <v>2</v>
      </c>
      <c r="D1642">
        <v>435</v>
      </c>
      <c r="E1642">
        <v>388</v>
      </c>
      <c r="F1642">
        <v>300</v>
      </c>
      <c r="G1642">
        <v>388</v>
      </c>
      <c r="H1642">
        <v>0</v>
      </c>
      <c r="I1642">
        <f>VLOOKUP(Scores[[#This Row],[MRUN]],Demographics[],3,FALSE)</f>
        <v>4</v>
      </c>
      <c r="J1642">
        <f>AVERAGE(Scores[[#This Row],[LYC]],Scores[[#This Row],[MATE]])</f>
        <v>344</v>
      </c>
      <c r="K1642">
        <f>VLOOKUP(Scores[[#This Row],[MRUN]],Demographics[],6,FALSE)</f>
        <v>4</v>
      </c>
      <c r="L1642">
        <f>VLOOKUP(Scores[[#This Row],[MRUN]],Demographics[], 7,FALSE)</f>
        <v>2</v>
      </c>
      <c r="M1642">
        <f>VLOOKUP(Scores[[#This Row],[MRUN]],Demographics[], 5, FALSE)</f>
        <v>1</v>
      </c>
    </row>
    <row r="1643" spans="1:13" hidden="1" x14ac:dyDescent="0.2">
      <c r="A1643" s="1">
        <v>22818493</v>
      </c>
      <c r="B1643">
        <v>2</v>
      </c>
      <c r="C1643">
        <v>2</v>
      </c>
      <c r="D1643">
        <v>393</v>
      </c>
      <c r="E1643">
        <v>547</v>
      </c>
      <c r="F1643">
        <v>376</v>
      </c>
      <c r="G1643">
        <v>490</v>
      </c>
      <c r="H1643">
        <v>0</v>
      </c>
      <c r="I1643">
        <f>VLOOKUP(Scores[[#This Row],[MRUN]],Demographics[],3,FALSE)</f>
        <v>5</v>
      </c>
      <c r="J1643">
        <f>AVERAGE(Scores[[#This Row],[LYC]],Scores[[#This Row],[MATE]])</f>
        <v>461.5</v>
      </c>
      <c r="K1643">
        <f>VLOOKUP(Scores[[#This Row],[MRUN]],Demographics[],6,FALSE)</f>
        <v>8</v>
      </c>
      <c r="L1643">
        <f>VLOOKUP(Scores[[#This Row],[MRUN]],Demographics[], 7,FALSE)</f>
        <v>5</v>
      </c>
      <c r="M1643">
        <f>VLOOKUP(Scores[[#This Row],[MRUN]],Demographics[], 5, FALSE)</f>
        <v>2</v>
      </c>
    </row>
    <row r="1644" spans="1:13" hidden="1" x14ac:dyDescent="0.2">
      <c r="A1644" s="1">
        <v>8601508</v>
      </c>
      <c r="B1644">
        <v>1</v>
      </c>
      <c r="C1644">
        <v>4</v>
      </c>
      <c r="D1644">
        <v>661</v>
      </c>
      <c r="E1644">
        <v>636</v>
      </c>
      <c r="F1644">
        <v>806</v>
      </c>
      <c r="G1644">
        <v>651</v>
      </c>
      <c r="H1644">
        <v>756</v>
      </c>
      <c r="I1644">
        <f>VLOOKUP(Scores[[#This Row],[MRUN]],Demographics[],3,FALSE)</f>
        <v>4</v>
      </c>
      <c r="J1644">
        <f>AVERAGE(Scores[[#This Row],[LYC]],Scores[[#This Row],[MATE]])</f>
        <v>721</v>
      </c>
      <c r="K1644">
        <f>VLOOKUP(Scores[[#This Row],[MRUN]],Demographics[],6,FALSE)</f>
        <v>9</v>
      </c>
      <c r="L1644">
        <f>VLOOKUP(Scores[[#This Row],[MRUN]],Demographics[], 7,FALSE)</f>
        <v>9</v>
      </c>
      <c r="M1644">
        <f>VLOOKUP(Scores[[#This Row],[MRUN]],Demographics[], 5, FALSE)</f>
        <v>3</v>
      </c>
    </row>
    <row r="1645" spans="1:13" hidden="1" x14ac:dyDescent="0.2">
      <c r="A1645" s="1">
        <v>2726693</v>
      </c>
      <c r="B1645">
        <v>1</v>
      </c>
      <c r="C1645">
        <v>2</v>
      </c>
      <c r="D1645">
        <v>538</v>
      </c>
      <c r="E1645">
        <v>699</v>
      </c>
      <c r="F1645">
        <v>545</v>
      </c>
      <c r="G1645">
        <v>670</v>
      </c>
      <c r="H1645">
        <v>0</v>
      </c>
      <c r="I1645">
        <f>VLOOKUP(Scores[[#This Row],[MRUN]],Demographics[],3,FALSE)</f>
        <v>5</v>
      </c>
      <c r="J1645">
        <f>AVERAGE(Scores[[#This Row],[LYC]],Scores[[#This Row],[MATE]])</f>
        <v>622</v>
      </c>
      <c r="K1645">
        <f>VLOOKUP(Scores[[#This Row],[MRUN]],Demographics[],6,FALSE)</f>
        <v>9</v>
      </c>
      <c r="L1645">
        <f>VLOOKUP(Scores[[#This Row],[MRUN]],Demographics[], 7,FALSE)</f>
        <v>5</v>
      </c>
      <c r="M1645">
        <f>VLOOKUP(Scores[[#This Row],[MRUN]],Demographics[], 5, FALSE)</f>
        <v>3</v>
      </c>
    </row>
    <row r="1646" spans="1:13" hidden="1" x14ac:dyDescent="0.2">
      <c r="A1646" s="1">
        <v>18747968</v>
      </c>
      <c r="B1646">
        <v>2</v>
      </c>
      <c r="C1646">
        <v>3</v>
      </c>
      <c r="D1646">
        <v>476</v>
      </c>
      <c r="E1646">
        <v>451</v>
      </c>
      <c r="F1646">
        <v>506</v>
      </c>
      <c r="G1646">
        <v>0</v>
      </c>
      <c r="H1646">
        <v>459</v>
      </c>
      <c r="I1646">
        <f>VLOOKUP(Scores[[#This Row],[MRUN]],Demographics[],3,FALSE)</f>
        <v>5</v>
      </c>
      <c r="J1646">
        <f>AVERAGE(Scores[[#This Row],[LYC]],Scores[[#This Row],[MATE]])</f>
        <v>478.5</v>
      </c>
      <c r="K1646">
        <f>VLOOKUP(Scores[[#This Row],[MRUN]],Demographics[],6,FALSE)</f>
        <v>5</v>
      </c>
      <c r="L1646">
        <f>VLOOKUP(Scores[[#This Row],[MRUN]],Demographics[], 7,FALSE)</f>
        <v>5</v>
      </c>
      <c r="M1646">
        <f>VLOOKUP(Scores[[#This Row],[MRUN]],Demographics[], 5, FALSE)</f>
        <v>1</v>
      </c>
    </row>
    <row r="1647" spans="1:13" hidden="1" x14ac:dyDescent="0.2">
      <c r="A1647" s="1">
        <v>24521172</v>
      </c>
      <c r="B1647">
        <v>1</v>
      </c>
      <c r="C1647">
        <v>2</v>
      </c>
      <c r="D1647">
        <v>599</v>
      </c>
      <c r="E1647">
        <v>476</v>
      </c>
      <c r="F1647">
        <v>487</v>
      </c>
      <c r="G1647">
        <v>428</v>
      </c>
      <c r="H1647">
        <v>0</v>
      </c>
      <c r="I1647">
        <f>VLOOKUP(Scores[[#This Row],[MRUN]],Demographics[],3,FALSE)</f>
        <v>5</v>
      </c>
      <c r="J1647">
        <f>AVERAGE(Scores[[#This Row],[LYC]],Scores[[#This Row],[MATE]])</f>
        <v>481.5</v>
      </c>
      <c r="K1647">
        <f>VLOOKUP(Scores[[#This Row],[MRUN]],Demographics[],6,FALSE)</f>
        <v>0</v>
      </c>
      <c r="L1647">
        <f>VLOOKUP(Scores[[#This Row],[MRUN]],Demographics[], 7,FALSE)</f>
        <v>3</v>
      </c>
      <c r="M1647">
        <f>VLOOKUP(Scores[[#This Row],[MRUN]],Demographics[], 5, FALSE)</f>
        <v>1</v>
      </c>
    </row>
    <row r="1648" spans="1:13" hidden="1" x14ac:dyDescent="0.2">
      <c r="A1648" s="1">
        <v>4227432</v>
      </c>
      <c r="B1648">
        <v>2</v>
      </c>
      <c r="C1648">
        <v>2</v>
      </c>
      <c r="D1648">
        <v>785</v>
      </c>
      <c r="E1648">
        <v>675</v>
      </c>
      <c r="F1648">
        <v>640</v>
      </c>
      <c r="G1648">
        <v>634</v>
      </c>
      <c r="H1648">
        <v>624</v>
      </c>
      <c r="I1648">
        <f>VLOOKUP(Scores[[#This Row],[MRUN]],Demographics[],3,FALSE)</f>
        <v>4</v>
      </c>
      <c r="J1648">
        <f>AVERAGE(Scores[[#This Row],[LYC]],Scores[[#This Row],[MATE]])</f>
        <v>657.5</v>
      </c>
      <c r="K1648">
        <f>VLOOKUP(Scores[[#This Row],[MRUN]],Demographics[],6,FALSE)</f>
        <v>9</v>
      </c>
      <c r="L1648">
        <f>VLOOKUP(Scores[[#This Row],[MRUN]],Demographics[], 7,FALSE)</f>
        <v>5</v>
      </c>
      <c r="M1648">
        <f>VLOOKUP(Scores[[#This Row],[MRUN]],Demographics[], 5, FALSE)</f>
        <v>2</v>
      </c>
    </row>
    <row r="1649" spans="1:13" hidden="1" x14ac:dyDescent="0.2">
      <c r="A1649" s="1">
        <v>19180647</v>
      </c>
      <c r="B1649">
        <v>1</v>
      </c>
      <c r="C1649">
        <v>2</v>
      </c>
      <c r="D1649">
        <v>455</v>
      </c>
      <c r="E1649">
        <v>0</v>
      </c>
      <c r="F1649">
        <v>0</v>
      </c>
      <c r="G1649">
        <v>0</v>
      </c>
      <c r="H1649">
        <v>0</v>
      </c>
      <c r="I1649">
        <f>VLOOKUP(Scores[[#This Row],[MRUN]],Demographics[],3,FALSE)</f>
        <v>4</v>
      </c>
      <c r="J1649">
        <f>AVERAGE(Scores[[#This Row],[LYC]],Scores[[#This Row],[MATE]])</f>
        <v>0</v>
      </c>
      <c r="K1649">
        <f>VLOOKUP(Scores[[#This Row],[MRUN]],Demographics[],6,FALSE)</f>
        <v>3</v>
      </c>
      <c r="L1649">
        <f>VLOOKUP(Scores[[#This Row],[MRUN]],Demographics[], 7,FALSE)</f>
        <v>4</v>
      </c>
      <c r="M1649">
        <f>VLOOKUP(Scores[[#This Row],[MRUN]],Demographics[], 5, FALSE)</f>
        <v>1</v>
      </c>
    </row>
    <row r="1650" spans="1:13" hidden="1" x14ac:dyDescent="0.2">
      <c r="A1650" s="1">
        <v>15975863</v>
      </c>
      <c r="B1650">
        <v>2</v>
      </c>
      <c r="C1650">
        <v>3</v>
      </c>
      <c r="D1650">
        <v>356</v>
      </c>
      <c r="E1650">
        <v>378</v>
      </c>
      <c r="F1650">
        <v>353</v>
      </c>
      <c r="G1650">
        <v>442</v>
      </c>
      <c r="H1650">
        <v>0</v>
      </c>
      <c r="I1650">
        <f>VLOOKUP(Scores[[#This Row],[MRUN]],Demographics[],3,FALSE)</f>
        <v>5</v>
      </c>
      <c r="J1650">
        <f>AVERAGE(Scores[[#This Row],[LYC]],Scores[[#This Row],[MATE]])</f>
        <v>365.5</v>
      </c>
      <c r="K1650">
        <f>VLOOKUP(Scores[[#This Row],[MRUN]],Demographics[],6,FALSE)</f>
        <v>2</v>
      </c>
      <c r="L1650">
        <f>VLOOKUP(Scores[[#This Row],[MRUN]],Demographics[], 7,FALSE)</f>
        <v>4</v>
      </c>
      <c r="M1650">
        <f>VLOOKUP(Scores[[#This Row],[MRUN]],Demographics[], 5, FALSE)</f>
        <v>1</v>
      </c>
    </row>
    <row r="1651" spans="1:13" hidden="1" x14ac:dyDescent="0.2">
      <c r="A1651" s="1">
        <v>589832</v>
      </c>
      <c r="B1651">
        <v>2</v>
      </c>
      <c r="C1651">
        <v>3</v>
      </c>
      <c r="D1651">
        <v>641</v>
      </c>
      <c r="E1651">
        <v>629</v>
      </c>
      <c r="F1651">
        <v>560</v>
      </c>
      <c r="G1651">
        <v>0</v>
      </c>
      <c r="H1651">
        <v>571</v>
      </c>
      <c r="I1651">
        <f>VLOOKUP(Scores[[#This Row],[MRUN]],Demographics[],3,FALSE)</f>
        <v>5</v>
      </c>
      <c r="J1651">
        <f>AVERAGE(Scores[[#This Row],[LYC]],Scores[[#This Row],[MATE]])</f>
        <v>594.5</v>
      </c>
      <c r="K1651">
        <f>VLOOKUP(Scores[[#This Row],[MRUN]],Demographics[],6,FALSE)</f>
        <v>5</v>
      </c>
      <c r="L1651">
        <f>VLOOKUP(Scores[[#This Row],[MRUN]],Demographics[], 7,FALSE)</f>
        <v>5</v>
      </c>
      <c r="M1651">
        <f>VLOOKUP(Scores[[#This Row],[MRUN]],Demographics[], 5, FALSE)</f>
        <v>2</v>
      </c>
    </row>
    <row r="1652" spans="1:13" hidden="1" x14ac:dyDescent="0.2">
      <c r="A1652" s="1">
        <v>15543762</v>
      </c>
      <c r="B1652">
        <v>1</v>
      </c>
      <c r="C1652">
        <v>2</v>
      </c>
      <c r="D1652">
        <v>458</v>
      </c>
      <c r="E1652">
        <v>551</v>
      </c>
      <c r="F1652">
        <v>494</v>
      </c>
      <c r="G1652">
        <v>607</v>
      </c>
      <c r="H1652">
        <v>0</v>
      </c>
      <c r="I1652">
        <f>VLOOKUP(Scores[[#This Row],[MRUN]],Demographics[],3,FALSE)</f>
        <v>3</v>
      </c>
      <c r="J1652">
        <f>AVERAGE(Scores[[#This Row],[LYC]],Scores[[#This Row],[MATE]])</f>
        <v>522.5</v>
      </c>
      <c r="K1652">
        <f>VLOOKUP(Scores[[#This Row],[MRUN]],Demographics[],6,FALSE)</f>
        <v>4</v>
      </c>
      <c r="L1652">
        <f>VLOOKUP(Scores[[#This Row],[MRUN]],Demographics[], 7,FALSE)</f>
        <v>5</v>
      </c>
      <c r="M1652">
        <f>VLOOKUP(Scores[[#This Row],[MRUN]],Demographics[], 5, FALSE)</f>
        <v>1</v>
      </c>
    </row>
    <row r="1653" spans="1:13" hidden="1" x14ac:dyDescent="0.2">
      <c r="A1653" s="1">
        <v>2090934</v>
      </c>
      <c r="B1653">
        <v>2</v>
      </c>
      <c r="C1653">
        <v>4</v>
      </c>
      <c r="D1653">
        <v>744</v>
      </c>
      <c r="E1653">
        <v>648</v>
      </c>
      <c r="F1653">
        <v>699</v>
      </c>
      <c r="G1653">
        <v>0</v>
      </c>
      <c r="H1653">
        <v>722</v>
      </c>
      <c r="I1653">
        <f>VLOOKUP(Scores[[#This Row],[MRUN]],Demographics[],3,FALSE)</f>
        <v>7</v>
      </c>
      <c r="J1653">
        <f>AVERAGE(Scores[[#This Row],[LYC]],Scores[[#This Row],[MATE]])</f>
        <v>673.5</v>
      </c>
      <c r="K1653">
        <f>VLOOKUP(Scores[[#This Row],[MRUN]],Demographics[],6,FALSE)</f>
        <v>9</v>
      </c>
      <c r="L1653">
        <f>VLOOKUP(Scores[[#This Row],[MRUN]],Demographics[], 7,FALSE)</f>
        <v>9</v>
      </c>
      <c r="M1653">
        <f>VLOOKUP(Scores[[#This Row],[MRUN]],Demographics[], 5, FALSE)</f>
        <v>6</v>
      </c>
    </row>
    <row r="1654" spans="1:13" hidden="1" x14ac:dyDescent="0.2">
      <c r="A1654" s="1">
        <v>3693890</v>
      </c>
      <c r="B1654">
        <v>1</v>
      </c>
      <c r="C1654">
        <v>2</v>
      </c>
      <c r="D1654">
        <v>558</v>
      </c>
      <c r="E1654">
        <v>464</v>
      </c>
      <c r="F1654">
        <v>463</v>
      </c>
      <c r="G1654">
        <v>0</v>
      </c>
      <c r="H1654">
        <v>504</v>
      </c>
      <c r="I1654">
        <f>VLOOKUP(Scores[[#This Row],[MRUN]],Demographics[],3,FALSE)</f>
        <v>4</v>
      </c>
      <c r="J1654">
        <f>AVERAGE(Scores[[#This Row],[LYC]],Scores[[#This Row],[MATE]])</f>
        <v>463.5</v>
      </c>
      <c r="K1654">
        <f>VLOOKUP(Scores[[#This Row],[MRUN]],Demographics[],6,FALSE)</f>
        <v>0</v>
      </c>
      <c r="L1654">
        <f>VLOOKUP(Scores[[#This Row],[MRUN]],Demographics[], 7,FALSE)</f>
        <v>5</v>
      </c>
      <c r="M1654">
        <f>VLOOKUP(Scores[[#This Row],[MRUN]],Demographics[], 5, FALSE)</f>
        <v>1</v>
      </c>
    </row>
    <row r="1655" spans="1:13" hidden="1" x14ac:dyDescent="0.2">
      <c r="A1655" s="1">
        <v>17044382</v>
      </c>
      <c r="B1655">
        <v>2</v>
      </c>
      <c r="C1655">
        <v>2</v>
      </c>
      <c r="D1655">
        <v>702</v>
      </c>
      <c r="E1655">
        <v>629</v>
      </c>
      <c r="F1655">
        <v>596</v>
      </c>
      <c r="G1655">
        <v>634</v>
      </c>
      <c r="H1655">
        <v>0</v>
      </c>
      <c r="I1655">
        <f>VLOOKUP(Scores[[#This Row],[MRUN]],Demographics[],3,FALSE)</f>
        <v>2</v>
      </c>
      <c r="J1655">
        <f>AVERAGE(Scores[[#This Row],[LYC]],Scores[[#This Row],[MATE]])</f>
        <v>612.5</v>
      </c>
      <c r="K1655">
        <f>VLOOKUP(Scores[[#This Row],[MRUN]],Demographics[],6,FALSE)</f>
        <v>8</v>
      </c>
      <c r="L1655">
        <f>VLOOKUP(Scores[[#This Row],[MRUN]],Demographics[], 7,FALSE)</f>
        <v>8</v>
      </c>
      <c r="M1655">
        <f>VLOOKUP(Scores[[#This Row],[MRUN]],Demographics[], 5, FALSE)</f>
        <v>1</v>
      </c>
    </row>
    <row r="1656" spans="1:13" hidden="1" x14ac:dyDescent="0.2">
      <c r="A1656" s="1">
        <v>1556763</v>
      </c>
      <c r="B1656">
        <v>2</v>
      </c>
      <c r="C1656">
        <v>2</v>
      </c>
      <c r="D1656">
        <v>414</v>
      </c>
      <c r="E1656">
        <v>483</v>
      </c>
      <c r="F1656">
        <v>517</v>
      </c>
      <c r="G1656">
        <v>552</v>
      </c>
      <c r="H1656">
        <v>0</v>
      </c>
      <c r="I1656">
        <f>VLOOKUP(Scores[[#This Row],[MRUN]],Demographics[],3,FALSE)</f>
        <v>6</v>
      </c>
      <c r="J1656">
        <f>AVERAGE(Scores[[#This Row],[LYC]],Scores[[#This Row],[MATE]])</f>
        <v>500</v>
      </c>
      <c r="K1656">
        <f>VLOOKUP(Scores[[#This Row],[MRUN]],Demographics[],6,FALSE)</f>
        <v>5</v>
      </c>
      <c r="L1656">
        <f>VLOOKUP(Scores[[#This Row],[MRUN]],Demographics[], 7,FALSE)</f>
        <v>3</v>
      </c>
      <c r="M1656">
        <f>VLOOKUP(Scores[[#This Row],[MRUN]],Demographics[], 5, FALSE)</f>
        <v>1</v>
      </c>
    </row>
    <row r="1657" spans="1:13" hidden="1" x14ac:dyDescent="0.2">
      <c r="A1657" s="1">
        <v>6897784</v>
      </c>
      <c r="B1657">
        <v>2</v>
      </c>
      <c r="C1657">
        <v>3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f>VLOOKUP(Scores[[#This Row],[MRUN]],Demographics[],3,FALSE)</f>
        <v>3</v>
      </c>
      <c r="J1657">
        <f>AVERAGE(Scores[[#This Row],[LYC]],Scores[[#This Row],[MATE]])</f>
        <v>0</v>
      </c>
      <c r="K1657">
        <f>VLOOKUP(Scores[[#This Row],[MRUN]],Demographics[],6,FALSE)</f>
        <v>5</v>
      </c>
      <c r="L1657">
        <f>VLOOKUP(Scores[[#This Row],[MRUN]],Demographics[], 7,FALSE)</f>
        <v>9</v>
      </c>
      <c r="M1657">
        <f>VLOOKUP(Scores[[#This Row],[MRUN]],Demographics[], 5, FALSE)</f>
        <v>2</v>
      </c>
    </row>
    <row r="1658" spans="1:13" hidden="1" x14ac:dyDescent="0.2">
      <c r="A1658" s="1">
        <v>13942088</v>
      </c>
      <c r="B1658">
        <v>2</v>
      </c>
      <c r="C1658">
        <v>2</v>
      </c>
      <c r="D1658">
        <v>496</v>
      </c>
      <c r="E1658">
        <v>505</v>
      </c>
      <c r="F1658">
        <v>487</v>
      </c>
      <c r="G1658">
        <v>484</v>
      </c>
      <c r="H1658">
        <v>0</v>
      </c>
      <c r="I1658">
        <f>VLOOKUP(Scores[[#This Row],[MRUN]],Demographics[],3,FALSE)</f>
        <v>3</v>
      </c>
      <c r="J1658">
        <f>AVERAGE(Scores[[#This Row],[LYC]],Scores[[#This Row],[MATE]])</f>
        <v>496</v>
      </c>
      <c r="K1658">
        <f>VLOOKUP(Scores[[#This Row],[MRUN]],Demographics[],6,FALSE)</f>
        <v>0</v>
      </c>
      <c r="L1658">
        <f>VLOOKUP(Scores[[#This Row],[MRUN]],Demographics[], 7,FALSE)</f>
        <v>5</v>
      </c>
      <c r="M1658">
        <f>VLOOKUP(Scores[[#This Row],[MRUN]],Demographics[], 5, FALSE)</f>
        <v>1</v>
      </c>
    </row>
    <row r="1659" spans="1:13" hidden="1" x14ac:dyDescent="0.2">
      <c r="A1659" s="1">
        <v>23453288</v>
      </c>
      <c r="B1659">
        <v>1</v>
      </c>
      <c r="C1659">
        <v>3</v>
      </c>
      <c r="D1659">
        <v>599</v>
      </c>
      <c r="E1659">
        <v>636</v>
      </c>
      <c r="F1659">
        <v>600</v>
      </c>
      <c r="G1659">
        <v>0</v>
      </c>
      <c r="H1659">
        <v>617</v>
      </c>
      <c r="I1659">
        <f>VLOOKUP(Scores[[#This Row],[MRUN]],Demographics[],3,FALSE)</f>
        <v>4</v>
      </c>
      <c r="J1659">
        <f>AVERAGE(Scores[[#This Row],[LYC]],Scores[[#This Row],[MATE]])</f>
        <v>618</v>
      </c>
      <c r="K1659">
        <f>VLOOKUP(Scores[[#This Row],[MRUN]],Demographics[],6,FALSE)</f>
        <v>5</v>
      </c>
      <c r="L1659">
        <f>VLOOKUP(Scores[[#This Row],[MRUN]],Demographics[], 7,FALSE)</f>
        <v>5</v>
      </c>
      <c r="M1659">
        <f>VLOOKUP(Scores[[#This Row],[MRUN]],Demographics[], 5, FALSE)</f>
        <v>2</v>
      </c>
    </row>
    <row r="1660" spans="1:13" hidden="1" x14ac:dyDescent="0.2">
      <c r="A1660" s="1">
        <v>15874638</v>
      </c>
      <c r="B1660">
        <v>1</v>
      </c>
      <c r="C1660">
        <v>2</v>
      </c>
      <c r="D1660">
        <v>579</v>
      </c>
      <c r="E1660">
        <v>516</v>
      </c>
      <c r="F1660">
        <v>589</v>
      </c>
      <c r="G1660">
        <v>0</v>
      </c>
      <c r="H1660">
        <v>528</v>
      </c>
      <c r="I1660">
        <f>VLOOKUP(Scores[[#This Row],[MRUN]],Demographics[],3,FALSE)</f>
        <v>5</v>
      </c>
      <c r="J1660">
        <f>AVERAGE(Scores[[#This Row],[LYC]],Scores[[#This Row],[MATE]])</f>
        <v>552.5</v>
      </c>
      <c r="K1660">
        <f>VLOOKUP(Scores[[#This Row],[MRUN]],Demographics[],6,FALSE)</f>
        <v>5</v>
      </c>
      <c r="L1660">
        <f>VLOOKUP(Scores[[#This Row],[MRUN]],Demographics[], 7,FALSE)</f>
        <v>4</v>
      </c>
      <c r="M1660">
        <f>VLOOKUP(Scores[[#This Row],[MRUN]],Demographics[], 5, FALSE)</f>
        <v>2</v>
      </c>
    </row>
    <row r="1661" spans="1:13" hidden="1" x14ac:dyDescent="0.2">
      <c r="A1661" s="1">
        <v>14476177</v>
      </c>
      <c r="B1661">
        <v>1</v>
      </c>
      <c r="C1661">
        <v>2</v>
      </c>
      <c r="D1661">
        <v>662</v>
      </c>
      <c r="E1661">
        <v>567</v>
      </c>
      <c r="F1661">
        <v>631</v>
      </c>
      <c r="G1661">
        <v>562</v>
      </c>
      <c r="H1661">
        <v>0</v>
      </c>
      <c r="I1661">
        <f>VLOOKUP(Scores[[#This Row],[MRUN]],Demographics[],3,FALSE)</f>
        <v>5</v>
      </c>
      <c r="J1661">
        <f>AVERAGE(Scores[[#This Row],[LYC]],Scores[[#This Row],[MATE]])</f>
        <v>599</v>
      </c>
      <c r="K1661">
        <f>VLOOKUP(Scores[[#This Row],[MRUN]],Demographics[],6,FALSE)</f>
        <v>3</v>
      </c>
      <c r="L1661">
        <f>VLOOKUP(Scores[[#This Row],[MRUN]],Demographics[], 7,FALSE)</f>
        <v>3</v>
      </c>
      <c r="M1661">
        <f>VLOOKUP(Scores[[#This Row],[MRUN]],Demographics[], 5, FALSE)</f>
        <v>2</v>
      </c>
    </row>
    <row r="1662" spans="1:13" hidden="1" x14ac:dyDescent="0.2">
      <c r="A1662" s="1">
        <v>3362769</v>
      </c>
      <c r="B1662">
        <v>2</v>
      </c>
      <c r="C1662">
        <v>2</v>
      </c>
      <c r="D1662">
        <v>455</v>
      </c>
      <c r="E1662">
        <v>557</v>
      </c>
      <c r="F1662">
        <v>376</v>
      </c>
      <c r="G1662">
        <v>537</v>
      </c>
      <c r="H1662">
        <v>0</v>
      </c>
      <c r="I1662">
        <f>VLOOKUP(Scores[[#This Row],[MRUN]],Demographics[],3,FALSE)</f>
        <v>4</v>
      </c>
      <c r="J1662">
        <f>AVERAGE(Scores[[#This Row],[LYC]],Scores[[#This Row],[MATE]])</f>
        <v>466.5</v>
      </c>
      <c r="K1662">
        <f>VLOOKUP(Scores[[#This Row],[MRUN]],Demographics[],6,FALSE)</f>
        <v>4</v>
      </c>
      <c r="L1662">
        <f>VLOOKUP(Scores[[#This Row],[MRUN]],Demographics[], 7,FALSE)</f>
        <v>6</v>
      </c>
      <c r="M1662">
        <f>VLOOKUP(Scores[[#This Row],[MRUN]],Demographics[], 5, FALSE)</f>
        <v>2</v>
      </c>
    </row>
    <row r="1663" spans="1:13" hidden="1" x14ac:dyDescent="0.2">
      <c r="A1663" s="1">
        <v>1123862</v>
      </c>
      <c r="B1663">
        <v>2</v>
      </c>
      <c r="C1663">
        <v>4</v>
      </c>
      <c r="D1663">
        <v>599</v>
      </c>
      <c r="E1663">
        <v>494</v>
      </c>
      <c r="F1663">
        <v>523</v>
      </c>
      <c r="G1663">
        <v>0</v>
      </c>
      <c r="H1663">
        <v>594</v>
      </c>
      <c r="I1663">
        <f>VLOOKUP(Scores[[#This Row],[MRUN]],Demographics[],3,FALSE)</f>
        <v>4</v>
      </c>
      <c r="J1663">
        <f>AVERAGE(Scores[[#This Row],[LYC]],Scores[[#This Row],[MATE]])</f>
        <v>508.5</v>
      </c>
      <c r="K1663">
        <f>VLOOKUP(Scores[[#This Row],[MRUN]],Demographics[],6,FALSE)</f>
        <v>4</v>
      </c>
      <c r="L1663">
        <f>VLOOKUP(Scores[[#This Row],[MRUN]],Demographics[], 7,FALSE)</f>
        <v>7</v>
      </c>
      <c r="M1663">
        <f>VLOOKUP(Scores[[#This Row],[MRUN]],Demographics[], 5, FALSE)</f>
        <v>2</v>
      </c>
    </row>
    <row r="1664" spans="1:13" hidden="1" x14ac:dyDescent="0.2">
      <c r="A1664" s="1">
        <v>14908373</v>
      </c>
      <c r="B1664">
        <v>2</v>
      </c>
      <c r="C1664">
        <v>3</v>
      </c>
      <c r="D1664">
        <v>641</v>
      </c>
      <c r="E1664">
        <v>567</v>
      </c>
      <c r="F1664">
        <v>648</v>
      </c>
      <c r="G1664">
        <v>0</v>
      </c>
      <c r="H1664">
        <v>483</v>
      </c>
      <c r="I1664">
        <f>VLOOKUP(Scores[[#This Row],[MRUN]],Demographics[],3,FALSE)</f>
        <v>5</v>
      </c>
      <c r="J1664">
        <f>AVERAGE(Scores[[#This Row],[LYC]],Scores[[#This Row],[MATE]])</f>
        <v>607.5</v>
      </c>
      <c r="K1664">
        <f>VLOOKUP(Scores[[#This Row],[MRUN]],Demographics[],6,FALSE)</f>
        <v>7</v>
      </c>
      <c r="L1664">
        <f>VLOOKUP(Scores[[#This Row],[MRUN]],Demographics[], 7,FALSE)</f>
        <v>7</v>
      </c>
      <c r="M1664">
        <f>VLOOKUP(Scores[[#This Row],[MRUN]],Demographics[], 5, FALSE)</f>
        <v>2</v>
      </c>
    </row>
    <row r="1665" spans="1:13" hidden="1" x14ac:dyDescent="0.2">
      <c r="A1665" s="1">
        <v>14807154</v>
      </c>
      <c r="B1665">
        <v>2</v>
      </c>
      <c r="C1665">
        <v>3</v>
      </c>
      <c r="D1665">
        <v>558</v>
      </c>
      <c r="E1665">
        <v>483</v>
      </c>
      <c r="F1665">
        <v>512</v>
      </c>
      <c r="G1665">
        <v>0</v>
      </c>
      <c r="H1665">
        <v>344</v>
      </c>
      <c r="I1665">
        <f>VLOOKUP(Scores[[#This Row],[MRUN]],Demographics[],3,FALSE)</f>
        <v>4</v>
      </c>
      <c r="J1665">
        <f>AVERAGE(Scores[[#This Row],[LYC]],Scores[[#This Row],[MATE]])</f>
        <v>497.5</v>
      </c>
      <c r="K1665">
        <f>VLOOKUP(Scores[[#This Row],[MRUN]],Demographics[],6,FALSE)</f>
        <v>7</v>
      </c>
      <c r="L1665">
        <f>VLOOKUP(Scores[[#This Row],[MRUN]],Demographics[], 7,FALSE)</f>
        <v>5</v>
      </c>
      <c r="M1665">
        <f>VLOOKUP(Scores[[#This Row],[MRUN]],Demographics[], 5, FALSE)</f>
        <v>1</v>
      </c>
    </row>
    <row r="1666" spans="1:13" hidden="1" x14ac:dyDescent="0.2">
      <c r="A1666" s="1">
        <v>16611997</v>
      </c>
      <c r="B1666">
        <v>1</v>
      </c>
      <c r="C1666">
        <v>2</v>
      </c>
      <c r="D1666">
        <v>579</v>
      </c>
      <c r="E1666">
        <v>458</v>
      </c>
      <c r="F1666">
        <v>428</v>
      </c>
      <c r="G1666">
        <v>466</v>
      </c>
      <c r="H1666">
        <v>0</v>
      </c>
      <c r="I1666">
        <f>VLOOKUP(Scores[[#This Row],[MRUN]],Demographics[],3,FALSE)</f>
        <v>0</v>
      </c>
      <c r="J1666">
        <f>AVERAGE(Scores[[#This Row],[LYC]],Scores[[#This Row],[MATE]])</f>
        <v>443</v>
      </c>
      <c r="K1666">
        <f>VLOOKUP(Scores[[#This Row],[MRUN]],Demographics[],6,FALSE)</f>
        <v>0</v>
      </c>
      <c r="L1666">
        <f>VLOOKUP(Scores[[#This Row],[MRUN]],Demographics[], 7,FALSE)</f>
        <v>0</v>
      </c>
      <c r="M1666">
        <f>VLOOKUP(Scores[[#This Row],[MRUN]],Demographics[], 5, FALSE)</f>
        <v>1</v>
      </c>
    </row>
    <row r="1667" spans="1:13" hidden="1" x14ac:dyDescent="0.2">
      <c r="A1667" s="1">
        <v>22385577</v>
      </c>
      <c r="B1667">
        <v>2</v>
      </c>
      <c r="C1667">
        <v>4</v>
      </c>
      <c r="D1667">
        <v>435</v>
      </c>
      <c r="E1667">
        <v>499</v>
      </c>
      <c r="F1667">
        <v>540</v>
      </c>
      <c r="G1667">
        <v>0</v>
      </c>
      <c r="H1667">
        <v>523</v>
      </c>
      <c r="I1667">
        <f>VLOOKUP(Scores[[#This Row],[MRUN]],Demographics[],3,FALSE)</f>
        <v>6</v>
      </c>
      <c r="J1667">
        <f>AVERAGE(Scores[[#This Row],[LYC]],Scores[[#This Row],[MATE]])</f>
        <v>519.5</v>
      </c>
      <c r="K1667">
        <f>VLOOKUP(Scores[[#This Row],[MRUN]],Demographics[],6,FALSE)</f>
        <v>4</v>
      </c>
      <c r="L1667">
        <f>VLOOKUP(Scores[[#This Row],[MRUN]],Demographics[], 7,FALSE)</f>
        <v>7</v>
      </c>
      <c r="M1667">
        <f>VLOOKUP(Scores[[#This Row],[MRUN]],Demographics[], 5, FALSE)</f>
        <v>2</v>
      </c>
    </row>
    <row r="1668" spans="1:13" hidden="1" x14ac:dyDescent="0.2">
      <c r="A1668" s="1">
        <v>15010090</v>
      </c>
      <c r="B1668">
        <v>2</v>
      </c>
      <c r="C1668">
        <v>4</v>
      </c>
      <c r="D1668">
        <v>599</v>
      </c>
      <c r="E1668">
        <v>551</v>
      </c>
      <c r="F1668">
        <v>593</v>
      </c>
      <c r="G1668">
        <v>0</v>
      </c>
      <c r="H1668">
        <v>575</v>
      </c>
      <c r="I1668">
        <f>VLOOKUP(Scores[[#This Row],[MRUN]],Demographics[],3,FALSE)</f>
        <v>5</v>
      </c>
      <c r="J1668">
        <f>AVERAGE(Scores[[#This Row],[LYC]],Scores[[#This Row],[MATE]])</f>
        <v>572</v>
      </c>
      <c r="K1668">
        <f>VLOOKUP(Scores[[#This Row],[MRUN]],Demographics[],6,FALSE)</f>
        <v>5</v>
      </c>
      <c r="L1668">
        <f>VLOOKUP(Scores[[#This Row],[MRUN]],Demographics[], 7,FALSE)</f>
        <v>5</v>
      </c>
      <c r="M1668">
        <f>VLOOKUP(Scores[[#This Row],[MRUN]],Demographics[], 5, FALSE)</f>
        <v>1</v>
      </c>
    </row>
    <row r="1669" spans="1:13" hidden="1" x14ac:dyDescent="0.2">
      <c r="A1669" s="1">
        <v>3159758</v>
      </c>
      <c r="B1669">
        <v>1</v>
      </c>
      <c r="C1669">
        <v>3</v>
      </c>
      <c r="D1669">
        <v>580</v>
      </c>
      <c r="E1669">
        <v>444</v>
      </c>
      <c r="F1669">
        <v>463</v>
      </c>
      <c r="G1669">
        <v>0</v>
      </c>
      <c r="H1669">
        <v>491</v>
      </c>
      <c r="I1669">
        <f>VLOOKUP(Scores[[#This Row],[MRUN]],Demographics[],3,FALSE)</f>
        <v>0</v>
      </c>
      <c r="J1669">
        <f>AVERAGE(Scores[[#This Row],[LYC]],Scores[[#This Row],[MATE]])</f>
        <v>453.5</v>
      </c>
      <c r="K1669">
        <f>VLOOKUP(Scores[[#This Row],[MRUN]],Demographics[],6,FALSE)</f>
        <v>0</v>
      </c>
      <c r="L1669">
        <f>VLOOKUP(Scores[[#This Row],[MRUN]],Demographics[], 7,FALSE)</f>
        <v>0</v>
      </c>
      <c r="M1669">
        <f>VLOOKUP(Scores[[#This Row],[MRUN]],Demographics[], 5, FALSE)</f>
        <v>1</v>
      </c>
    </row>
    <row r="1670" spans="1:13" hidden="1" x14ac:dyDescent="0.2">
      <c r="A1670" s="1">
        <v>8067297</v>
      </c>
      <c r="B1670">
        <v>1</v>
      </c>
      <c r="C1670">
        <v>3</v>
      </c>
      <c r="D1670">
        <v>455</v>
      </c>
      <c r="E1670">
        <v>510</v>
      </c>
      <c r="F1670">
        <v>472</v>
      </c>
      <c r="G1670">
        <v>0</v>
      </c>
      <c r="H1670">
        <v>549</v>
      </c>
      <c r="I1670">
        <f>VLOOKUP(Scores[[#This Row],[MRUN]],Demographics[],3,FALSE)</f>
        <v>4</v>
      </c>
      <c r="J1670">
        <f>AVERAGE(Scores[[#This Row],[LYC]],Scores[[#This Row],[MATE]])</f>
        <v>491</v>
      </c>
      <c r="K1670">
        <f>VLOOKUP(Scores[[#This Row],[MRUN]],Demographics[],6,FALSE)</f>
        <v>5</v>
      </c>
      <c r="L1670">
        <f>VLOOKUP(Scores[[#This Row],[MRUN]],Demographics[], 7,FALSE)</f>
        <v>4</v>
      </c>
      <c r="M1670">
        <f>VLOOKUP(Scores[[#This Row],[MRUN]],Demographics[], 5, FALSE)</f>
        <v>2</v>
      </c>
    </row>
    <row r="1671" spans="1:13" hidden="1" x14ac:dyDescent="0.2">
      <c r="A1671" s="1">
        <v>13840232</v>
      </c>
      <c r="B1671">
        <v>2</v>
      </c>
      <c r="C1671">
        <v>2</v>
      </c>
      <c r="D1671">
        <v>641</v>
      </c>
      <c r="E1671">
        <v>629</v>
      </c>
      <c r="F1671">
        <v>557</v>
      </c>
      <c r="G1671">
        <v>537</v>
      </c>
      <c r="H1671">
        <v>0</v>
      </c>
      <c r="I1671">
        <f>VLOOKUP(Scores[[#This Row],[MRUN]],Demographics[],3,FALSE)</f>
        <v>4</v>
      </c>
      <c r="J1671">
        <f>AVERAGE(Scores[[#This Row],[LYC]],Scores[[#This Row],[MATE]])</f>
        <v>593</v>
      </c>
      <c r="K1671">
        <f>VLOOKUP(Scores[[#This Row],[MRUN]],Demographics[],6,FALSE)</f>
        <v>3</v>
      </c>
      <c r="L1671">
        <f>VLOOKUP(Scores[[#This Row],[MRUN]],Demographics[], 7,FALSE)</f>
        <v>2</v>
      </c>
      <c r="M1671">
        <f>VLOOKUP(Scores[[#This Row],[MRUN]],Demographics[], 5, FALSE)</f>
        <v>1</v>
      </c>
    </row>
    <row r="1672" spans="1:13" hidden="1" x14ac:dyDescent="0.2">
      <c r="A1672" s="1">
        <v>16077734</v>
      </c>
      <c r="B1672">
        <v>2</v>
      </c>
      <c r="C1672">
        <v>3</v>
      </c>
      <c r="D1672">
        <v>579</v>
      </c>
      <c r="E1672">
        <v>624</v>
      </c>
      <c r="F1672">
        <v>574</v>
      </c>
      <c r="G1672">
        <v>651</v>
      </c>
      <c r="H1672">
        <v>0</v>
      </c>
      <c r="I1672">
        <f>VLOOKUP(Scores[[#This Row],[MRUN]],Demographics[],3,FALSE)</f>
        <v>2</v>
      </c>
      <c r="J1672">
        <f>AVERAGE(Scores[[#This Row],[LYC]],Scores[[#This Row],[MATE]])</f>
        <v>599</v>
      </c>
      <c r="K1672">
        <f>VLOOKUP(Scores[[#This Row],[MRUN]],Demographics[],6,FALSE)</f>
        <v>7</v>
      </c>
      <c r="L1672">
        <f>VLOOKUP(Scores[[#This Row],[MRUN]],Demographics[], 7,FALSE)</f>
        <v>4</v>
      </c>
      <c r="M1672">
        <f>VLOOKUP(Scores[[#This Row],[MRUN]],Demographics[], 5, FALSE)</f>
        <v>1</v>
      </c>
    </row>
    <row r="1673" spans="1:13" hidden="1" x14ac:dyDescent="0.2">
      <c r="A1673" s="1">
        <v>11806066</v>
      </c>
      <c r="B1673">
        <v>1</v>
      </c>
      <c r="C1673">
        <v>2</v>
      </c>
      <c r="D1673">
        <v>661</v>
      </c>
      <c r="E1673">
        <v>576</v>
      </c>
      <c r="F1673">
        <v>705</v>
      </c>
      <c r="G1673">
        <v>0</v>
      </c>
      <c r="H1673">
        <v>575</v>
      </c>
      <c r="I1673">
        <f>VLOOKUP(Scores[[#This Row],[MRUN]],Demographics[],3,FALSE)</f>
        <v>4</v>
      </c>
      <c r="J1673">
        <f>AVERAGE(Scores[[#This Row],[LYC]],Scores[[#This Row],[MATE]])</f>
        <v>640.5</v>
      </c>
      <c r="K1673">
        <f>VLOOKUP(Scores[[#This Row],[MRUN]],Demographics[],6,FALSE)</f>
        <v>4</v>
      </c>
      <c r="L1673">
        <f>VLOOKUP(Scores[[#This Row],[MRUN]],Demographics[], 7,FALSE)</f>
        <v>7</v>
      </c>
      <c r="M1673">
        <f>VLOOKUP(Scores[[#This Row],[MRUN]],Demographics[], 5, FALSE)</f>
        <v>1</v>
      </c>
    </row>
    <row r="1674" spans="1:13" hidden="1" x14ac:dyDescent="0.2">
      <c r="A1674" s="1">
        <v>488537</v>
      </c>
      <c r="B1674">
        <v>2</v>
      </c>
      <c r="C1674">
        <v>2</v>
      </c>
      <c r="D1674">
        <v>579</v>
      </c>
      <c r="E1674">
        <v>406</v>
      </c>
      <c r="F1674">
        <v>501</v>
      </c>
      <c r="G1674">
        <v>0</v>
      </c>
      <c r="H1674">
        <v>326</v>
      </c>
      <c r="I1674">
        <f>VLOOKUP(Scores[[#This Row],[MRUN]],Demographics[],3,FALSE)</f>
        <v>5</v>
      </c>
      <c r="J1674">
        <f>AVERAGE(Scores[[#This Row],[LYC]],Scores[[#This Row],[MATE]])</f>
        <v>453.5</v>
      </c>
      <c r="K1674">
        <f>VLOOKUP(Scores[[#This Row],[MRUN]],Demographics[],6,FALSE)</f>
        <v>5</v>
      </c>
      <c r="L1674">
        <f>VLOOKUP(Scores[[#This Row],[MRUN]],Demographics[], 7,FALSE)</f>
        <v>2</v>
      </c>
      <c r="M1674">
        <f>VLOOKUP(Scores[[#This Row],[MRUN]],Demographics[], 5, FALSE)</f>
        <v>1</v>
      </c>
    </row>
    <row r="1675" spans="1:13" hidden="1" x14ac:dyDescent="0.2">
      <c r="A1675" s="1">
        <v>7634457</v>
      </c>
      <c r="B1675">
        <v>2</v>
      </c>
      <c r="C1675">
        <v>2</v>
      </c>
      <c r="D1675">
        <v>538</v>
      </c>
      <c r="E1675">
        <v>244</v>
      </c>
      <c r="F1675">
        <v>353</v>
      </c>
      <c r="G1675">
        <v>320</v>
      </c>
      <c r="H1675">
        <v>0</v>
      </c>
      <c r="I1675">
        <f>VLOOKUP(Scores[[#This Row],[MRUN]],Demographics[],3,FALSE)</f>
        <v>5</v>
      </c>
      <c r="J1675">
        <f>AVERAGE(Scores[[#This Row],[LYC]],Scores[[#This Row],[MATE]])</f>
        <v>298.5</v>
      </c>
      <c r="K1675">
        <f>VLOOKUP(Scores[[#This Row],[MRUN]],Demographics[],6,FALSE)</f>
        <v>5</v>
      </c>
      <c r="L1675">
        <f>VLOOKUP(Scores[[#This Row],[MRUN]],Demographics[], 7,FALSE)</f>
        <v>2</v>
      </c>
      <c r="M1675">
        <f>VLOOKUP(Scores[[#This Row],[MRUN]],Demographics[], 5, FALSE)</f>
        <v>1</v>
      </c>
    </row>
    <row r="1676" spans="1:13" hidden="1" x14ac:dyDescent="0.2">
      <c r="A1676" s="1">
        <v>19180646</v>
      </c>
      <c r="B1676">
        <v>2</v>
      </c>
      <c r="C1676">
        <v>2</v>
      </c>
      <c r="D1676">
        <v>539</v>
      </c>
      <c r="E1676">
        <v>516</v>
      </c>
      <c r="F1676">
        <v>494</v>
      </c>
      <c r="G1676">
        <v>512</v>
      </c>
      <c r="H1676">
        <v>0</v>
      </c>
      <c r="I1676">
        <f>VLOOKUP(Scores[[#This Row],[MRUN]],Demographics[],3,FALSE)</f>
        <v>4</v>
      </c>
      <c r="J1676">
        <f>AVERAGE(Scores[[#This Row],[LYC]],Scores[[#This Row],[MATE]])</f>
        <v>505</v>
      </c>
      <c r="K1676">
        <f>VLOOKUP(Scores[[#This Row],[MRUN]],Demographics[],6,FALSE)</f>
        <v>5</v>
      </c>
      <c r="L1676">
        <f>VLOOKUP(Scores[[#This Row],[MRUN]],Demographics[], 7,FALSE)</f>
        <v>5</v>
      </c>
      <c r="M1676">
        <f>VLOOKUP(Scores[[#This Row],[MRUN]],Demographics[], 5, FALSE)</f>
        <v>1</v>
      </c>
    </row>
    <row r="1677" spans="1:13" hidden="1" x14ac:dyDescent="0.2">
      <c r="A1677" s="1">
        <v>10203576</v>
      </c>
      <c r="B1677">
        <v>1</v>
      </c>
      <c r="C1677">
        <v>2</v>
      </c>
      <c r="D1677">
        <v>579</v>
      </c>
      <c r="E1677">
        <v>464</v>
      </c>
      <c r="F1677">
        <v>413</v>
      </c>
      <c r="G1677">
        <v>0</v>
      </c>
      <c r="H1677">
        <v>344</v>
      </c>
      <c r="I1677">
        <f>VLOOKUP(Scores[[#This Row],[MRUN]],Demographics[],3,FALSE)</f>
        <v>4</v>
      </c>
      <c r="J1677">
        <f>AVERAGE(Scores[[#This Row],[LYC]],Scores[[#This Row],[MATE]])</f>
        <v>438.5</v>
      </c>
      <c r="K1677">
        <f>VLOOKUP(Scores[[#This Row],[MRUN]],Demographics[],6,FALSE)</f>
        <v>2</v>
      </c>
      <c r="L1677">
        <f>VLOOKUP(Scores[[#This Row],[MRUN]],Demographics[], 7,FALSE)</f>
        <v>3</v>
      </c>
      <c r="M1677">
        <f>VLOOKUP(Scores[[#This Row],[MRUN]],Demographics[], 5, FALSE)</f>
        <v>1</v>
      </c>
    </row>
    <row r="1678" spans="1:13" hidden="1" x14ac:dyDescent="0.2">
      <c r="A1678" s="1">
        <v>6926309</v>
      </c>
      <c r="B1678">
        <v>2</v>
      </c>
      <c r="C1678">
        <v>2</v>
      </c>
      <c r="D1678">
        <v>414</v>
      </c>
      <c r="E1678">
        <v>526</v>
      </c>
      <c r="F1678">
        <v>413</v>
      </c>
      <c r="G1678">
        <v>0</v>
      </c>
      <c r="H1678">
        <v>404</v>
      </c>
      <c r="I1678">
        <f>VLOOKUP(Scores[[#This Row],[MRUN]],Demographics[],3,FALSE)</f>
        <v>5</v>
      </c>
      <c r="J1678">
        <f>AVERAGE(Scores[[#This Row],[LYC]],Scores[[#This Row],[MATE]])</f>
        <v>469.5</v>
      </c>
      <c r="K1678">
        <f>VLOOKUP(Scores[[#This Row],[MRUN]],Demographics[],6,FALSE)</f>
        <v>5</v>
      </c>
      <c r="L1678">
        <f>VLOOKUP(Scores[[#This Row],[MRUN]],Demographics[], 7,FALSE)</f>
        <v>5</v>
      </c>
      <c r="M1678">
        <f>VLOOKUP(Scores[[#This Row],[MRUN]],Demographics[], 5, FALSE)</f>
        <v>1</v>
      </c>
    </row>
    <row r="1679" spans="1:13" hidden="1" x14ac:dyDescent="0.2">
      <c r="A1679" s="1">
        <v>517041</v>
      </c>
      <c r="B1679">
        <v>2</v>
      </c>
      <c r="C1679">
        <v>2</v>
      </c>
      <c r="D1679">
        <v>620</v>
      </c>
      <c r="E1679">
        <v>438</v>
      </c>
      <c r="F1679">
        <v>480</v>
      </c>
      <c r="G1679">
        <v>0</v>
      </c>
      <c r="H1679">
        <v>428</v>
      </c>
      <c r="I1679">
        <f>VLOOKUP(Scores[[#This Row],[MRUN]],Demographics[],3,FALSE)</f>
        <v>7</v>
      </c>
      <c r="J1679">
        <f>AVERAGE(Scores[[#This Row],[LYC]],Scores[[#This Row],[MATE]])</f>
        <v>459</v>
      </c>
      <c r="K1679">
        <f>VLOOKUP(Scores[[#This Row],[MRUN]],Demographics[],6,FALSE)</f>
        <v>4</v>
      </c>
      <c r="L1679">
        <f>VLOOKUP(Scores[[#This Row],[MRUN]],Demographics[], 7,FALSE)</f>
        <v>3</v>
      </c>
      <c r="M1679">
        <f>VLOOKUP(Scores[[#This Row],[MRUN]],Demographics[], 5, FALSE)</f>
        <v>1</v>
      </c>
    </row>
    <row r="1680" spans="1:13" hidden="1" x14ac:dyDescent="0.2">
      <c r="A1680" s="1">
        <v>3722336</v>
      </c>
      <c r="B1680">
        <v>2</v>
      </c>
      <c r="C1680">
        <v>2</v>
      </c>
      <c r="D1680">
        <v>558</v>
      </c>
      <c r="E1680">
        <v>458</v>
      </c>
      <c r="F1680">
        <v>328</v>
      </c>
      <c r="G1680">
        <v>0</v>
      </c>
      <c r="H1680">
        <v>491</v>
      </c>
      <c r="I1680">
        <f>VLOOKUP(Scores[[#This Row],[MRUN]],Demographics[],3,FALSE)</f>
        <v>8</v>
      </c>
      <c r="J1680">
        <f>AVERAGE(Scores[[#This Row],[LYC]],Scores[[#This Row],[MATE]])</f>
        <v>393</v>
      </c>
      <c r="K1680">
        <f>VLOOKUP(Scores[[#This Row],[MRUN]],Demographics[],6,FALSE)</f>
        <v>5</v>
      </c>
      <c r="L1680">
        <f>VLOOKUP(Scores[[#This Row],[MRUN]],Demographics[], 7,FALSE)</f>
        <v>4</v>
      </c>
      <c r="M1680">
        <f>VLOOKUP(Scores[[#This Row],[MRUN]],Demographics[], 5, FALSE)</f>
        <v>1</v>
      </c>
    </row>
    <row r="1681" spans="1:13" hidden="1" x14ac:dyDescent="0.2">
      <c r="A1681" s="1">
        <v>18776678</v>
      </c>
      <c r="B1681">
        <v>2</v>
      </c>
      <c r="C1681">
        <v>4</v>
      </c>
      <c r="D1681">
        <v>517</v>
      </c>
      <c r="E1681">
        <v>557</v>
      </c>
      <c r="F1681">
        <v>568</v>
      </c>
      <c r="G1681">
        <v>512</v>
      </c>
      <c r="H1681">
        <v>0</v>
      </c>
      <c r="I1681">
        <f>VLOOKUP(Scores[[#This Row],[MRUN]],Demographics[],3,FALSE)</f>
        <v>5</v>
      </c>
      <c r="J1681">
        <f>AVERAGE(Scores[[#This Row],[LYC]],Scores[[#This Row],[MATE]])</f>
        <v>562.5</v>
      </c>
      <c r="K1681">
        <f>VLOOKUP(Scores[[#This Row],[MRUN]],Demographics[],6,FALSE)</f>
        <v>5</v>
      </c>
      <c r="L1681">
        <f>VLOOKUP(Scores[[#This Row],[MRUN]],Demographics[], 7,FALSE)</f>
        <v>10</v>
      </c>
      <c r="M1681">
        <f>VLOOKUP(Scores[[#This Row],[MRUN]],Demographics[], 5, FALSE)</f>
        <v>3</v>
      </c>
    </row>
    <row r="1682" spans="1:13" hidden="1" x14ac:dyDescent="0.2">
      <c r="A1682" s="1">
        <v>19107691</v>
      </c>
      <c r="B1682">
        <v>2</v>
      </c>
      <c r="C1682">
        <v>2</v>
      </c>
      <c r="D1682">
        <v>641</v>
      </c>
      <c r="E1682">
        <v>494</v>
      </c>
      <c r="F1682">
        <v>540</v>
      </c>
      <c r="G1682">
        <v>0</v>
      </c>
      <c r="H1682">
        <v>543</v>
      </c>
      <c r="I1682">
        <f>VLOOKUP(Scores[[#This Row],[MRUN]],Demographics[],3,FALSE)</f>
        <v>5</v>
      </c>
      <c r="J1682">
        <f>AVERAGE(Scores[[#This Row],[LYC]],Scores[[#This Row],[MATE]])</f>
        <v>517</v>
      </c>
      <c r="K1682">
        <f>VLOOKUP(Scores[[#This Row],[MRUN]],Demographics[],6,FALSE)</f>
        <v>4</v>
      </c>
      <c r="L1682">
        <f>VLOOKUP(Scores[[#This Row],[MRUN]],Demographics[], 7,FALSE)</f>
        <v>5</v>
      </c>
      <c r="M1682">
        <f>VLOOKUP(Scores[[#This Row],[MRUN]],Demographics[], 5, FALSE)</f>
        <v>1</v>
      </c>
    </row>
    <row r="1683" spans="1:13" hidden="1" x14ac:dyDescent="0.2">
      <c r="A1683" s="1">
        <v>618414</v>
      </c>
      <c r="B1683">
        <v>1</v>
      </c>
      <c r="C1683">
        <v>3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f>VLOOKUP(Scores[[#This Row],[MRUN]],Demographics[],3,FALSE)</f>
        <v>4</v>
      </c>
      <c r="J1683">
        <f>AVERAGE(Scores[[#This Row],[LYC]],Scores[[#This Row],[MATE]])</f>
        <v>0</v>
      </c>
      <c r="K1683">
        <f>VLOOKUP(Scores[[#This Row],[MRUN]],Demographics[],6,FALSE)</f>
        <v>3</v>
      </c>
      <c r="L1683">
        <f>VLOOKUP(Scores[[#This Row],[MRUN]],Demographics[], 7,FALSE)</f>
        <v>2</v>
      </c>
      <c r="M1683">
        <f>VLOOKUP(Scores[[#This Row],[MRUN]],Demographics[], 5, FALSE)</f>
        <v>1</v>
      </c>
    </row>
    <row r="1684" spans="1:13" hidden="1" x14ac:dyDescent="0.2">
      <c r="A1684" s="1">
        <v>5324284</v>
      </c>
      <c r="B1684">
        <v>2</v>
      </c>
      <c r="C1684">
        <v>3</v>
      </c>
      <c r="D1684">
        <v>723</v>
      </c>
      <c r="E1684">
        <v>707</v>
      </c>
      <c r="F1684">
        <v>750</v>
      </c>
      <c r="G1684">
        <v>0</v>
      </c>
      <c r="H1684">
        <v>598</v>
      </c>
      <c r="I1684">
        <f>VLOOKUP(Scores[[#This Row],[MRUN]],Demographics[],3,FALSE)</f>
        <v>4</v>
      </c>
      <c r="J1684">
        <f>AVERAGE(Scores[[#This Row],[LYC]],Scores[[#This Row],[MATE]])</f>
        <v>728.5</v>
      </c>
      <c r="K1684">
        <f>VLOOKUP(Scores[[#This Row],[MRUN]],Demographics[],6,FALSE)</f>
        <v>5</v>
      </c>
      <c r="L1684">
        <f>VLOOKUP(Scores[[#This Row],[MRUN]],Demographics[], 7,FALSE)</f>
        <v>9</v>
      </c>
      <c r="M1684">
        <f>VLOOKUP(Scores[[#This Row],[MRUN]],Demographics[], 5, FALSE)</f>
        <v>2</v>
      </c>
    </row>
    <row r="1685" spans="1:13" hidden="1" x14ac:dyDescent="0.2">
      <c r="A1685" s="1">
        <v>12165711</v>
      </c>
      <c r="B1685">
        <v>2</v>
      </c>
      <c r="C1685">
        <v>3</v>
      </c>
      <c r="D1685">
        <v>744</v>
      </c>
      <c r="E1685">
        <v>727</v>
      </c>
      <c r="F1685">
        <v>686</v>
      </c>
      <c r="G1685">
        <v>617</v>
      </c>
      <c r="H1685">
        <v>668</v>
      </c>
      <c r="I1685">
        <f>VLOOKUP(Scores[[#This Row],[MRUN]],Demographics[],3,FALSE)</f>
        <v>4</v>
      </c>
      <c r="J1685">
        <f>AVERAGE(Scores[[#This Row],[LYC]],Scores[[#This Row],[MATE]])</f>
        <v>706.5</v>
      </c>
      <c r="K1685">
        <f>VLOOKUP(Scores[[#This Row],[MRUN]],Demographics[],6,FALSE)</f>
        <v>7</v>
      </c>
      <c r="L1685">
        <f>VLOOKUP(Scores[[#This Row],[MRUN]],Demographics[], 7,FALSE)</f>
        <v>9</v>
      </c>
      <c r="M1685">
        <f>VLOOKUP(Scores[[#This Row],[MRUN]],Demographics[], 5, FALSE)</f>
        <v>2</v>
      </c>
    </row>
    <row r="1686" spans="1:13" hidden="1" x14ac:dyDescent="0.2">
      <c r="A1686" s="1">
        <v>6494070</v>
      </c>
      <c r="B1686">
        <v>2</v>
      </c>
      <c r="C1686">
        <v>2</v>
      </c>
      <c r="D1686">
        <v>620</v>
      </c>
      <c r="E1686">
        <v>494</v>
      </c>
      <c r="F1686">
        <v>571</v>
      </c>
      <c r="G1686">
        <v>466</v>
      </c>
      <c r="H1686">
        <v>0</v>
      </c>
      <c r="I1686">
        <f>VLOOKUP(Scores[[#This Row],[MRUN]],Demographics[],3,FALSE)</f>
        <v>4</v>
      </c>
      <c r="J1686">
        <f>AVERAGE(Scores[[#This Row],[LYC]],Scores[[#This Row],[MATE]])</f>
        <v>532.5</v>
      </c>
      <c r="K1686">
        <f>VLOOKUP(Scores[[#This Row],[MRUN]],Demographics[],6,FALSE)</f>
        <v>9</v>
      </c>
      <c r="L1686">
        <f>VLOOKUP(Scores[[#This Row],[MRUN]],Demographics[], 7,FALSE)</f>
        <v>4</v>
      </c>
      <c r="M1686">
        <f>VLOOKUP(Scores[[#This Row],[MRUN]],Demographics[], 5, FALSE)</f>
        <v>1</v>
      </c>
    </row>
    <row r="1687" spans="1:13" hidden="1" x14ac:dyDescent="0.2">
      <c r="A1687" s="1">
        <v>22846919</v>
      </c>
      <c r="B1687">
        <v>1</v>
      </c>
      <c r="C1687">
        <v>3</v>
      </c>
      <c r="D1687">
        <v>0</v>
      </c>
      <c r="E1687">
        <v>422</v>
      </c>
      <c r="F1687">
        <v>441</v>
      </c>
      <c r="G1687">
        <v>490</v>
      </c>
      <c r="H1687">
        <v>0</v>
      </c>
      <c r="I1687">
        <f>VLOOKUP(Scores[[#This Row],[MRUN]],Demographics[],3,FALSE)</f>
        <v>7</v>
      </c>
      <c r="J1687">
        <f>AVERAGE(Scores[[#This Row],[LYC]],Scores[[#This Row],[MATE]])</f>
        <v>431.5</v>
      </c>
      <c r="K1687">
        <f>VLOOKUP(Scores[[#This Row],[MRUN]],Demographics[],6,FALSE)</f>
        <v>0</v>
      </c>
      <c r="L1687">
        <f>VLOOKUP(Scores[[#This Row],[MRUN]],Demographics[], 7,FALSE)</f>
        <v>0</v>
      </c>
      <c r="M1687">
        <f>VLOOKUP(Scores[[#This Row],[MRUN]],Demographics[], 5, FALSE)</f>
        <v>1</v>
      </c>
    </row>
    <row r="1688" spans="1:13" hidden="1" x14ac:dyDescent="0.2">
      <c r="A1688" s="1">
        <v>21778560</v>
      </c>
      <c r="B1688">
        <v>1</v>
      </c>
      <c r="C1688">
        <v>2</v>
      </c>
      <c r="D1688">
        <v>599</v>
      </c>
      <c r="E1688">
        <v>516</v>
      </c>
      <c r="F1688">
        <v>549</v>
      </c>
      <c r="G1688">
        <v>0</v>
      </c>
      <c r="H1688">
        <v>504</v>
      </c>
      <c r="I1688">
        <f>VLOOKUP(Scores[[#This Row],[MRUN]],Demographics[],3,FALSE)</f>
        <v>3</v>
      </c>
      <c r="J1688">
        <f>AVERAGE(Scores[[#This Row],[LYC]],Scores[[#This Row],[MATE]])</f>
        <v>532.5</v>
      </c>
      <c r="K1688">
        <f>VLOOKUP(Scores[[#This Row],[MRUN]],Demographics[],6,FALSE)</f>
        <v>5</v>
      </c>
      <c r="L1688">
        <f>VLOOKUP(Scores[[#This Row],[MRUN]],Demographics[], 7,FALSE)</f>
        <v>10</v>
      </c>
      <c r="M1688">
        <f>VLOOKUP(Scores[[#This Row],[MRUN]],Demographics[], 5, FALSE)</f>
        <v>1</v>
      </c>
    </row>
    <row r="1689" spans="1:13" hidden="1" x14ac:dyDescent="0.2">
      <c r="A1689" s="1">
        <v>22948115</v>
      </c>
      <c r="B1689">
        <v>1</v>
      </c>
      <c r="C1689">
        <v>2</v>
      </c>
      <c r="D1689">
        <v>620</v>
      </c>
      <c r="E1689">
        <v>526</v>
      </c>
      <c r="F1689">
        <v>523</v>
      </c>
      <c r="G1689">
        <v>557</v>
      </c>
      <c r="H1689">
        <v>497</v>
      </c>
      <c r="I1689">
        <f>VLOOKUP(Scores[[#This Row],[MRUN]],Demographics[],3,FALSE)</f>
        <v>4</v>
      </c>
      <c r="J1689">
        <f>AVERAGE(Scores[[#This Row],[LYC]],Scores[[#This Row],[MATE]])</f>
        <v>524.5</v>
      </c>
      <c r="K1689">
        <f>VLOOKUP(Scores[[#This Row],[MRUN]],Demographics[],6,FALSE)</f>
        <v>5</v>
      </c>
      <c r="L1689">
        <f>VLOOKUP(Scores[[#This Row],[MRUN]],Demographics[], 7,FALSE)</f>
        <v>3</v>
      </c>
      <c r="M1689">
        <f>VLOOKUP(Scores[[#This Row],[MRUN]],Demographics[], 5, FALSE)</f>
        <v>2</v>
      </c>
    </row>
    <row r="1690" spans="1:13" hidden="1" x14ac:dyDescent="0.2">
      <c r="A1690" s="1">
        <v>11631696</v>
      </c>
      <c r="B1690">
        <v>2</v>
      </c>
      <c r="C1690">
        <v>2</v>
      </c>
      <c r="D1690">
        <v>682</v>
      </c>
      <c r="E1690">
        <v>571</v>
      </c>
      <c r="F1690">
        <v>631</v>
      </c>
      <c r="G1690">
        <v>0</v>
      </c>
      <c r="H1690">
        <v>549</v>
      </c>
      <c r="I1690">
        <f>VLOOKUP(Scores[[#This Row],[MRUN]],Demographics[],3,FALSE)</f>
        <v>8</v>
      </c>
      <c r="J1690">
        <f>AVERAGE(Scores[[#This Row],[LYC]],Scores[[#This Row],[MATE]])</f>
        <v>601</v>
      </c>
      <c r="K1690">
        <f>VLOOKUP(Scores[[#This Row],[MRUN]],Demographics[],6,FALSE)</f>
        <v>5</v>
      </c>
      <c r="L1690">
        <f>VLOOKUP(Scores[[#This Row],[MRUN]],Demographics[], 7,FALSE)</f>
        <v>5</v>
      </c>
      <c r="M1690">
        <f>VLOOKUP(Scores[[#This Row],[MRUN]],Demographics[], 5, FALSE)</f>
        <v>1</v>
      </c>
    </row>
    <row r="1691" spans="1:13" hidden="1" x14ac:dyDescent="0.2">
      <c r="A1691" s="1">
        <v>16640673</v>
      </c>
      <c r="B1691">
        <v>1</v>
      </c>
      <c r="C1691">
        <v>3</v>
      </c>
      <c r="D1691">
        <v>641</v>
      </c>
      <c r="E1691">
        <v>641</v>
      </c>
      <c r="F1691">
        <v>728</v>
      </c>
      <c r="G1691">
        <v>0</v>
      </c>
      <c r="H1691">
        <v>631</v>
      </c>
      <c r="I1691">
        <f>VLOOKUP(Scores[[#This Row],[MRUN]],Demographics[],3,FALSE)</f>
        <v>2</v>
      </c>
      <c r="J1691">
        <f>AVERAGE(Scores[[#This Row],[LYC]],Scores[[#This Row],[MATE]])</f>
        <v>684.5</v>
      </c>
      <c r="K1691">
        <f>VLOOKUP(Scores[[#This Row],[MRUN]],Demographics[],6,FALSE)</f>
        <v>2</v>
      </c>
      <c r="L1691">
        <f>VLOOKUP(Scores[[#This Row],[MRUN]],Demographics[], 7,FALSE)</f>
        <v>8</v>
      </c>
      <c r="M1691">
        <f>VLOOKUP(Scores[[#This Row],[MRUN]],Demographics[], 5, FALSE)</f>
        <v>1</v>
      </c>
    </row>
    <row r="1692" spans="1:13" hidden="1" x14ac:dyDescent="0.2">
      <c r="A1692" s="1">
        <v>13436455</v>
      </c>
      <c r="B1692">
        <v>2</v>
      </c>
      <c r="C1692">
        <v>2</v>
      </c>
      <c r="D1692">
        <v>620</v>
      </c>
      <c r="E1692">
        <v>636</v>
      </c>
      <c r="F1692">
        <v>564</v>
      </c>
      <c r="G1692">
        <v>0</v>
      </c>
      <c r="H1692">
        <v>523</v>
      </c>
      <c r="I1692">
        <f>VLOOKUP(Scores[[#This Row],[MRUN]],Demographics[],3,FALSE)</f>
        <v>5</v>
      </c>
      <c r="J1692">
        <f>AVERAGE(Scores[[#This Row],[LYC]],Scores[[#This Row],[MATE]])</f>
        <v>600</v>
      </c>
      <c r="K1692">
        <f>VLOOKUP(Scores[[#This Row],[MRUN]],Demographics[],6,FALSE)</f>
        <v>5</v>
      </c>
      <c r="L1692">
        <f>VLOOKUP(Scores[[#This Row],[MRUN]],Demographics[], 7,FALSE)</f>
        <v>5</v>
      </c>
      <c r="M1692">
        <f>VLOOKUP(Scores[[#This Row],[MRUN]],Demographics[], 5, FALSE)</f>
        <v>2</v>
      </c>
    </row>
    <row r="1693" spans="1:13" hidden="1" x14ac:dyDescent="0.2">
      <c r="A1693" s="1">
        <v>14403103</v>
      </c>
      <c r="B1693">
        <v>2</v>
      </c>
      <c r="C1693">
        <v>2</v>
      </c>
      <c r="D1693">
        <v>476</v>
      </c>
      <c r="E1693">
        <v>388</v>
      </c>
      <c r="F1693">
        <v>487</v>
      </c>
      <c r="G1693">
        <v>0</v>
      </c>
      <c r="H1693">
        <v>344</v>
      </c>
      <c r="I1693">
        <f>VLOOKUP(Scores[[#This Row],[MRUN]],Demographics[],3,FALSE)</f>
        <v>6</v>
      </c>
      <c r="J1693">
        <f>AVERAGE(Scores[[#This Row],[LYC]],Scores[[#This Row],[MATE]])</f>
        <v>437.5</v>
      </c>
      <c r="K1693">
        <f>VLOOKUP(Scores[[#This Row],[MRUN]],Demographics[],6,FALSE)</f>
        <v>5</v>
      </c>
      <c r="L1693">
        <f>VLOOKUP(Scores[[#This Row],[MRUN]],Demographics[], 7,FALSE)</f>
        <v>5</v>
      </c>
      <c r="M1693">
        <f>VLOOKUP(Scores[[#This Row],[MRUN]],Demographics[], 5, FALSE)</f>
        <v>1</v>
      </c>
    </row>
    <row r="1694" spans="1:13" hidden="1" x14ac:dyDescent="0.2">
      <c r="A1694" s="1">
        <v>8095918</v>
      </c>
      <c r="B1694">
        <v>2</v>
      </c>
      <c r="C1694">
        <v>3</v>
      </c>
      <c r="D1694">
        <v>579</v>
      </c>
      <c r="E1694">
        <v>557</v>
      </c>
      <c r="F1694">
        <v>395</v>
      </c>
      <c r="G1694">
        <v>567</v>
      </c>
      <c r="H1694">
        <v>0</v>
      </c>
      <c r="I1694">
        <f>VLOOKUP(Scores[[#This Row],[MRUN]],Demographics[],3,FALSE)</f>
        <v>2</v>
      </c>
      <c r="J1694">
        <f>AVERAGE(Scores[[#This Row],[LYC]],Scores[[#This Row],[MATE]])</f>
        <v>476</v>
      </c>
      <c r="K1694">
        <f>VLOOKUP(Scores[[#This Row],[MRUN]],Demographics[],6,FALSE)</f>
        <v>5</v>
      </c>
      <c r="L1694">
        <f>VLOOKUP(Scores[[#This Row],[MRUN]],Demographics[], 7,FALSE)</f>
        <v>5</v>
      </c>
      <c r="M1694">
        <f>VLOOKUP(Scores[[#This Row],[MRUN]],Demographics[], 5, FALSE)</f>
        <v>1</v>
      </c>
    </row>
    <row r="1695" spans="1:13" hidden="1" x14ac:dyDescent="0.2">
      <c r="A1695" s="1">
        <v>9698226</v>
      </c>
      <c r="B1695">
        <v>2</v>
      </c>
      <c r="C1695">
        <v>2</v>
      </c>
      <c r="D1695">
        <v>414</v>
      </c>
      <c r="E1695">
        <v>0</v>
      </c>
      <c r="F1695">
        <v>0</v>
      </c>
      <c r="G1695">
        <v>0</v>
      </c>
      <c r="H1695">
        <v>0</v>
      </c>
      <c r="I1695">
        <f>VLOOKUP(Scores[[#This Row],[MRUN]],Demographics[],3,FALSE)</f>
        <v>4</v>
      </c>
      <c r="J1695">
        <f>AVERAGE(Scores[[#This Row],[LYC]],Scores[[#This Row],[MATE]])</f>
        <v>0</v>
      </c>
      <c r="K1695">
        <f>VLOOKUP(Scores[[#This Row],[MRUN]],Demographics[],6,FALSE)</f>
        <v>4</v>
      </c>
      <c r="L1695">
        <f>VLOOKUP(Scores[[#This Row],[MRUN]],Demographics[], 7,FALSE)</f>
        <v>3</v>
      </c>
      <c r="M1695">
        <f>VLOOKUP(Scores[[#This Row],[MRUN]],Demographics[], 5, FALSE)</f>
        <v>1</v>
      </c>
    </row>
    <row r="1696" spans="1:13" hidden="1" x14ac:dyDescent="0.2">
      <c r="A1696" s="1">
        <v>3289661</v>
      </c>
      <c r="B1696">
        <v>2</v>
      </c>
      <c r="C1696">
        <v>3</v>
      </c>
      <c r="D1696">
        <v>517</v>
      </c>
      <c r="E1696">
        <v>494</v>
      </c>
      <c r="F1696">
        <v>517</v>
      </c>
      <c r="G1696">
        <v>454</v>
      </c>
      <c r="H1696">
        <v>0</v>
      </c>
      <c r="I1696">
        <f>VLOOKUP(Scores[[#This Row],[MRUN]],Demographics[],3,FALSE)</f>
        <v>5</v>
      </c>
      <c r="J1696">
        <f>AVERAGE(Scores[[#This Row],[LYC]],Scores[[#This Row],[MATE]])</f>
        <v>505.5</v>
      </c>
      <c r="K1696">
        <f>VLOOKUP(Scores[[#This Row],[MRUN]],Demographics[],6,FALSE)</f>
        <v>0</v>
      </c>
      <c r="L1696">
        <f>VLOOKUP(Scores[[#This Row],[MRUN]],Demographics[], 7,FALSE)</f>
        <v>9</v>
      </c>
      <c r="M1696">
        <f>VLOOKUP(Scores[[#This Row],[MRUN]],Demographics[], 5, FALSE)</f>
        <v>1</v>
      </c>
    </row>
    <row r="1697" spans="1:13" hidden="1" x14ac:dyDescent="0.2">
      <c r="A1697" s="1">
        <v>11097594</v>
      </c>
      <c r="B1697">
        <v>2</v>
      </c>
      <c r="C1697">
        <v>4</v>
      </c>
      <c r="D1697">
        <v>682</v>
      </c>
      <c r="E1697">
        <v>779</v>
      </c>
      <c r="F1697">
        <v>657</v>
      </c>
      <c r="G1697">
        <v>724</v>
      </c>
      <c r="H1697">
        <v>0</v>
      </c>
      <c r="I1697">
        <f>VLOOKUP(Scores[[#This Row],[MRUN]],Demographics[],3,FALSE)</f>
        <v>5</v>
      </c>
      <c r="J1697">
        <f>AVERAGE(Scores[[#This Row],[LYC]],Scores[[#This Row],[MATE]])</f>
        <v>718</v>
      </c>
      <c r="K1697">
        <f>VLOOKUP(Scores[[#This Row],[MRUN]],Demographics[],6,FALSE)</f>
        <v>9</v>
      </c>
      <c r="L1697">
        <f>VLOOKUP(Scores[[#This Row],[MRUN]],Demographics[], 7,FALSE)</f>
        <v>9</v>
      </c>
      <c r="M1697">
        <f>VLOOKUP(Scores[[#This Row],[MRUN]],Demographics[], 5, FALSE)</f>
        <v>3</v>
      </c>
    </row>
    <row r="1698" spans="1:13" hidden="1" x14ac:dyDescent="0.2">
      <c r="A1698" s="1">
        <v>16004525</v>
      </c>
      <c r="B1698">
        <v>2</v>
      </c>
      <c r="C1698">
        <v>2</v>
      </c>
      <c r="D1698">
        <v>538</v>
      </c>
      <c r="E1698">
        <v>537</v>
      </c>
      <c r="F1698">
        <v>480</v>
      </c>
      <c r="G1698">
        <v>521</v>
      </c>
      <c r="H1698">
        <v>0</v>
      </c>
      <c r="I1698">
        <f>VLOOKUP(Scores[[#This Row],[MRUN]],Demographics[],3,FALSE)</f>
        <v>5</v>
      </c>
      <c r="J1698">
        <f>AVERAGE(Scores[[#This Row],[LYC]],Scores[[#This Row],[MATE]])</f>
        <v>508.5</v>
      </c>
      <c r="K1698">
        <f>VLOOKUP(Scores[[#This Row],[MRUN]],Demographics[],6,FALSE)</f>
        <v>8</v>
      </c>
      <c r="L1698">
        <f>VLOOKUP(Scores[[#This Row],[MRUN]],Demographics[], 7,FALSE)</f>
        <v>3</v>
      </c>
      <c r="M1698">
        <f>VLOOKUP(Scores[[#This Row],[MRUN]],Demographics[], 5, FALSE)</f>
        <v>1</v>
      </c>
    </row>
    <row r="1699" spans="1:13" hidden="1" x14ac:dyDescent="0.2">
      <c r="A1699" s="1">
        <v>20811869</v>
      </c>
      <c r="B1699">
        <v>1</v>
      </c>
      <c r="C1699">
        <v>2</v>
      </c>
      <c r="D1699">
        <v>661</v>
      </c>
      <c r="E1699">
        <v>557</v>
      </c>
      <c r="F1699">
        <v>640</v>
      </c>
      <c r="G1699">
        <v>527</v>
      </c>
      <c r="H1699">
        <v>523</v>
      </c>
      <c r="I1699">
        <f>VLOOKUP(Scores[[#This Row],[MRUN]],Demographics[],3,FALSE)</f>
        <v>7</v>
      </c>
      <c r="J1699">
        <f>AVERAGE(Scores[[#This Row],[LYC]],Scores[[#This Row],[MATE]])</f>
        <v>598.5</v>
      </c>
      <c r="K1699">
        <f>VLOOKUP(Scores[[#This Row],[MRUN]],Demographics[],6,FALSE)</f>
        <v>5</v>
      </c>
      <c r="L1699">
        <f>VLOOKUP(Scores[[#This Row],[MRUN]],Demographics[], 7,FALSE)</f>
        <v>5</v>
      </c>
      <c r="M1699">
        <f>VLOOKUP(Scores[[#This Row],[MRUN]],Demographics[], 5, FALSE)</f>
        <v>2</v>
      </c>
    </row>
    <row r="1700" spans="1:13" hidden="1" x14ac:dyDescent="0.2">
      <c r="A1700" s="1">
        <v>23380597</v>
      </c>
      <c r="B1700">
        <v>2</v>
      </c>
      <c r="C1700">
        <v>2</v>
      </c>
      <c r="D1700">
        <v>558</v>
      </c>
      <c r="E1700">
        <v>0</v>
      </c>
      <c r="F1700">
        <v>0</v>
      </c>
      <c r="G1700">
        <v>0</v>
      </c>
      <c r="H1700">
        <v>0</v>
      </c>
      <c r="I1700">
        <f>VLOOKUP(Scores[[#This Row],[MRUN]],Demographics[],3,FALSE)</f>
        <v>6</v>
      </c>
      <c r="J1700">
        <f>AVERAGE(Scores[[#This Row],[LYC]],Scores[[#This Row],[MATE]])</f>
        <v>0</v>
      </c>
      <c r="K1700">
        <f>VLOOKUP(Scores[[#This Row],[MRUN]],Demographics[],6,FALSE)</f>
        <v>7</v>
      </c>
      <c r="L1700">
        <f>VLOOKUP(Scores[[#This Row],[MRUN]],Demographics[], 7,FALSE)</f>
        <v>7</v>
      </c>
      <c r="M1700">
        <f>VLOOKUP(Scores[[#This Row],[MRUN]],Demographics[], 5, FALSE)</f>
        <v>1</v>
      </c>
    </row>
    <row r="1701" spans="1:13" hidden="1" x14ac:dyDescent="0.2">
      <c r="A1701" s="1">
        <v>15038678</v>
      </c>
      <c r="B1701">
        <v>2</v>
      </c>
      <c r="C1701">
        <v>2</v>
      </c>
      <c r="D1701">
        <v>558</v>
      </c>
      <c r="E1701">
        <v>561</v>
      </c>
      <c r="F1701">
        <v>661</v>
      </c>
      <c r="G1701">
        <v>562</v>
      </c>
      <c r="H1701">
        <v>0</v>
      </c>
      <c r="I1701">
        <f>VLOOKUP(Scores[[#This Row],[MRUN]],Demographics[],3,FALSE)</f>
        <v>4</v>
      </c>
      <c r="J1701">
        <f>AVERAGE(Scores[[#This Row],[LYC]],Scores[[#This Row],[MATE]])</f>
        <v>611</v>
      </c>
      <c r="K1701">
        <f>VLOOKUP(Scores[[#This Row],[MRUN]],Demographics[],6,FALSE)</f>
        <v>5</v>
      </c>
      <c r="L1701">
        <f>VLOOKUP(Scores[[#This Row],[MRUN]],Demographics[], 7,FALSE)</f>
        <v>5</v>
      </c>
      <c r="M1701">
        <f>VLOOKUP(Scores[[#This Row],[MRUN]],Demographics[], 5, FALSE)</f>
        <v>2</v>
      </c>
    </row>
    <row r="1702" spans="1:13" hidden="1" x14ac:dyDescent="0.2">
      <c r="A1702" s="1">
        <v>19845675</v>
      </c>
      <c r="B1702">
        <v>2</v>
      </c>
      <c r="C1702">
        <v>2</v>
      </c>
      <c r="D1702">
        <v>539</v>
      </c>
      <c r="E1702">
        <v>438</v>
      </c>
      <c r="F1702">
        <v>395</v>
      </c>
      <c r="G1702">
        <v>461</v>
      </c>
      <c r="H1702">
        <v>0</v>
      </c>
      <c r="I1702">
        <f>VLOOKUP(Scores[[#This Row],[MRUN]],Demographics[],3,FALSE)</f>
        <v>4</v>
      </c>
      <c r="J1702">
        <f>AVERAGE(Scores[[#This Row],[LYC]],Scores[[#This Row],[MATE]])</f>
        <v>416.5</v>
      </c>
      <c r="K1702">
        <f>VLOOKUP(Scores[[#This Row],[MRUN]],Demographics[],6,FALSE)</f>
        <v>5</v>
      </c>
      <c r="L1702">
        <f>VLOOKUP(Scores[[#This Row],[MRUN]],Demographics[], 7,FALSE)</f>
        <v>5</v>
      </c>
      <c r="M1702">
        <f>VLOOKUP(Scores[[#This Row],[MRUN]],Demographics[], 5, FALSE)</f>
        <v>1</v>
      </c>
    </row>
    <row r="1703" spans="1:13" hidden="1" x14ac:dyDescent="0.2">
      <c r="A1703" s="1">
        <v>18776677</v>
      </c>
      <c r="B1703">
        <v>2</v>
      </c>
      <c r="C1703">
        <v>2</v>
      </c>
      <c r="D1703">
        <v>662</v>
      </c>
      <c r="E1703">
        <v>476</v>
      </c>
      <c r="F1703">
        <v>501</v>
      </c>
      <c r="G1703">
        <v>516</v>
      </c>
      <c r="H1703">
        <v>0</v>
      </c>
      <c r="I1703">
        <f>VLOOKUP(Scores[[#This Row],[MRUN]],Demographics[],3,FALSE)</f>
        <v>3</v>
      </c>
      <c r="J1703">
        <f>AVERAGE(Scores[[#This Row],[LYC]],Scores[[#This Row],[MATE]])</f>
        <v>488.5</v>
      </c>
      <c r="K1703">
        <f>VLOOKUP(Scores[[#This Row],[MRUN]],Demographics[],6,FALSE)</f>
        <v>5</v>
      </c>
      <c r="L1703">
        <f>VLOOKUP(Scores[[#This Row],[MRUN]],Demographics[], 7,FALSE)</f>
        <v>4</v>
      </c>
      <c r="M1703">
        <f>VLOOKUP(Scores[[#This Row],[MRUN]],Demographics[], 5, FALSE)</f>
        <v>1</v>
      </c>
    </row>
    <row r="1704" spans="1:13" hidden="1" x14ac:dyDescent="0.2">
      <c r="A1704" s="1">
        <v>5324283</v>
      </c>
      <c r="B1704">
        <v>2</v>
      </c>
      <c r="C1704">
        <v>3</v>
      </c>
      <c r="D1704">
        <v>661</v>
      </c>
      <c r="E1704">
        <v>618</v>
      </c>
      <c r="F1704">
        <v>568</v>
      </c>
      <c r="G1704">
        <v>597</v>
      </c>
      <c r="H1704">
        <v>558</v>
      </c>
      <c r="I1704">
        <f>VLOOKUP(Scores[[#This Row],[MRUN]],Demographics[],3,FALSE)</f>
        <v>5</v>
      </c>
      <c r="J1704">
        <f>AVERAGE(Scores[[#This Row],[LYC]],Scores[[#This Row],[MATE]])</f>
        <v>593</v>
      </c>
      <c r="K1704">
        <f>VLOOKUP(Scores[[#This Row],[MRUN]],Demographics[],6,FALSE)</f>
        <v>8</v>
      </c>
      <c r="L1704">
        <f>VLOOKUP(Scores[[#This Row],[MRUN]],Demographics[], 7,FALSE)</f>
        <v>5</v>
      </c>
      <c r="M1704">
        <f>VLOOKUP(Scores[[#This Row],[MRUN]],Demographics[], 5, FALSE)</f>
        <v>1</v>
      </c>
    </row>
    <row r="1705" spans="1:13" hidden="1" x14ac:dyDescent="0.2">
      <c r="A1705" s="1">
        <v>14835583</v>
      </c>
      <c r="B1705">
        <v>1</v>
      </c>
      <c r="C1705">
        <v>2</v>
      </c>
      <c r="D1705">
        <v>601</v>
      </c>
      <c r="E1705">
        <v>345</v>
      </c>
      <c r="F1705">
        <v>441</v>
      </c>
      <c r="G1705">
        <v>484</v>
      </c>
      <c r="H1705">
        <v>0</v>
      </c>
      <c r="I1705">
        <f>VLOOKUP(Scores[[#This Row],[MRUN]],Demographics[],3,FALSE)</f>
        <v>6</v>
      </c>
      <c r="J1705">
        <f>AVERAGE(Scores[[#This Row],[LYC]],Scores[[#This Row],[MATE]])</f>
        <v>393</v>
      </c>
      <c r="K1705">
        <f>VLOOKUP(Scores[[#This Row],[MRUN]],Demographics[],6,FALSE)</f>
        <v>5</v>
      </c>
      <c r="L1705">
        <f>VLOOKUP(Scores[[#This Row],[MRUN]],Demographics[], 7,FALSE)</f>
        <v>2</v>
      </c>
      <c r="M1705">
        <f>VLOOKUP(Scores[[#This Row],[MRUN]],Demographics[], 5, FALSE)</f>
        <v>1</v>
      </c>
    </row>
    <row r="1706" spans="1:13" hidden="1" x14ac:dyDescent="0.2">
      <c r="A1706" s="1">
        <v>10232105</v>
      </c>
      <c r="B1706">
        <v>2</v>
      </c>
      <c r="C1706">
        <v>3</v>
      </c>
      <c r="D1706">
        <v>599</v>
      </c>
      <c r="E1706">
        <v>499</v>
      </c>
      <c r="F1706">
        <v>568</v>
      </c>
      <c r="G1706">
        <v>0</v>
      </c>
      <c r="H1706">
        <v>583</v>
      </c>
      <c r="I1706">
        <f>VLOOKUP(Scores[[#This Row],[MRUN]],Demographics[],3,FALSE)</f>
        <v>4</v>
      </c>
      <c r="J1706">
        <f>AVERAGE(Scores[[#This Row],[LYC]],Scores[[#This Row],[MATE]])</f>
        <v>533.5</v>
      </c>
      <c r="K1706">
        <f>VLOOKUP(Scores[[#This Row],[MRUN]],Demographics[],6,FALSE)</f>
        <v>2</v>
      </c>
      <c r="L1706">
        <f>VLOOKUP(Scores[[#This Row],[MRUN]],Demographics[], 7,FALSE)</f>
        <v>3</v>
      </c>
      <c r="M1706">
        <f>VLOOKUP(Scores[[#This Row],[MRUN]],Demographics[], 5, FALSE)</f>
        <v>1</v>
      </c>
    </row>
    <row r="1707" spans="1:13" hidden="1" x14ac:dyDescent="0.2">
      <c r="A1707" s="1">
        <v>10563206</v>
      </c>
      <c r="B1707">
        <v>1</v>
      </c>
      <c r="C1707">
        <v>2</v>
      </c>
      <c r="D1707">
        <v>414</v>
      </c>
      <c r="E1707">
        <v>415</v>
      </c>
      <c r="F1707">
        <v>531</v>
      </c>
      <c r="G1707">
        <v>0</v>
      </c>
      <c r="H1707">
        <v>459</v>
      </c>
      <c r="I1707">
        <f>VLOOKUP(Scores[[#This Row],[MRUN]],Demographics[],3,FALSE)</f>
        <v>5</v>
      </c>
      <c r="J1707">
        <f>AVERAGE(Scores[[#This Row],[LYC]],Scores[[#This Row],[MATE]])</f>
        <v>473</v>
      </c>
      <c r="K1707">
        <f>VLOOKUP(Scores[[#This Row],[MRUN]],Demographics[],6,FALSE)</f>
        <v>5</v>
      </c>
      <c r="L1707">
        <f>VLOOKUP(Scores[[#This Row],[MRUN]],Demographics[], 7,FALSE)</f>
        <v>4</v>
      </c>
      <c r="M1707">
        <f>VLOOKUP(Scores[[#This Row],[MRUN]],Demographics[], 5, FALSE)</f>
        <v>1</v>
      </c>
    </row>
    <row r="1708" spans="1:13" hidden="1" x14ac:dyDescent="0.2">
      <c r="A1708" s="1">
        <v>8427200</v>
      </c>
      <c r="B1708">
        <v>2</v>
      </c>
      <c r="C1708">
        <v>2</v>
      </c>
      <c r="D1708">
        <v>478</v>
      </c>
      <c r="E1708">
        <v>388</v>
      </c>
      <c r="F1708">
        <v>300</v>
      </c>
      <c r="G1708">
        <v>0</v>
      </c>
      <c r="H1708">
        <v>391</v>
      </c>
      <c r="I1708">
        <f>VLOOKUP(Scores[[#This Row],[MRUN]],Demographics[],3,FALSE)</f>
        <v>7</v>
      </c>
      <c r="J1708">
        <f>AVERAGE(Scores[[#This Row],[LYC]],Scores[[#This Row],[MATE]])</f>
        <v>344</v>
      </c>
      <c r="K1708">
        <f>VLOOKUP(Scores[[#This Row],[MRUN]],Demographics[],6,FALSE)</f>
        <v>3</v>
      </c>
      <c r="L1708">
        <f>VLOOKUP(Scores[[#This Row],[MRUN]],Demographics[], 7,FALSE)</f>
        <v>3</v>
      </c>
      <c r="M1708">
        <f>VLOOKUP(Scores[[#This Row],[MRUN]],Demographics[], 5, FALSE)</f>
        <v>1</v>
      </c>
    </row>
    <row r="1709" spans="1:13" hidden="1" x14ac:dyDescent="0.2">
      <c r="A1709" s="1">
        <v>4155043</v>
      </c>
      <c r="B1709">
        <v>2</v>
      </c>
      <c r="C1709">
        <v>3</v>
      </c>
      <c r="D1709">
        <v>702</v>
      </c>
      <c r="E1709">
        <v>636</v>
      </c>
      <c r="F1709">
        <v>560</v>
      </c>
      <c r="G1709">
        <v>578</v>
      </c>
      <c r="H1709">
        <v>609</v>
      </c>
      <c r="I1709">
        <f>VLOOKUP(Scores[[#This Row],[MRUN]],Demographics[],3,FALSE)</f>
        <v>4</v>
      </c>
      <c r="J1709">
        <f>AVERAGE(Scores[[#This Row],[LYC]],Scores[[#This Row],[MATE]])</f>
        <v>598</v>
      </c>
      <c r="K1709">
        <f>VLOOKUP(Scores[[#This Row],[MRUN]],Demographics[],6,FALSE)</f>
        <v>5</v>
      </c>
      <c r="L1709">
        <f>VLOOKUP(Scores[[#This Row],[MRUN]],Demographics[], 7,FALSE)</f>
        <v>8</v>
      </c>
      <c r="M1709">
        <f>VLOOKUP(Scores[[#This Row],[MRUN]],Demographics[], 5, FALSE)</f>
        <v>2</v>
      </c>
    </row>
    <row r="1710" spans="1:13" hidden="1" x14ac:dyDescent="0.2">
      <c r="A1710" s="1">
        <v>18674785</v>
      </c>
      <c r="B1710">
        <v>1</v>
      </c>
      <c r="C1710">
        <v>3</v>
      </c>
      <c r="D1710">
        <v>517</v>
      </c>
      <c r="E1710">
        <v>541</v>
      </c>
      <c r="F1710">
        <v>549</v>
      </c>
      <c r="G1710">
        <v>582</v>
      </c>
      <c r="H1710">
        <v>558</v>
      </c>
      <c r="I1710">
        <f>VLOOKUP(Scores[[#This Row],[MRUN]],Demographics[],3,FALSE)</f>
        <v>3</v>
      </c>
      <c r="J1710">
        <f>AVERAGE(Scores[[#This Row],[LYC]],Scores[[#This Row],[MATE]])</f>
        <v>545</v>
      </c>
      <c r="K1710">
        <f>VLOOKUP(Scores[[#This Row],[MRUN]],Demographics[],6,FALSE)</f>
        <v>5</v>
      </c>
      <c r="L1710">
        <f>VLOOKUP(Scores[[#This Row],[MRUN]],Demographics[], 7,FALSE)</f>
        <v>5</v>
      </c>
      <c r="M1710">
        <f>VLOOKUP(Scores[[#This Row],[MRUN]],Demographics[], 5, FALSE)</f>
        <v>1</v>
      </c>
    </row>
    <row r="1711" spans="1:13" hidden="1" x14ac:dyDescent="0.2">
      <c r="A1711" s="1">
        <v>14301674</v>
      </c>
      <c r="B1711">
        <v>2</v>
      </c>
      <c r="C1711">
        <v>3</v>
      </c>
      <c r="D1711">
        <v>641</v>
      </c>
      <c r="E1711">
        <v>0</v>
      </c>
      <c r="F1711">
        <v>0</v>
      </c>
      <c r="G1711">
        <v>0</v>
      </c>
      <c r="H1711">
        <v>0</v>
      </c>
      <c r="I1711">
        <f>VLOOKUP(Scores[[#This Row],[MRUN]],Demographics[],3,FALSE)</f>
        <v>5</v>
      </c>
      <c r="J1711">
        <f>AVERAGE(Scores[[#This Row],[LYC]],Scores[[#This Row],[MATE]])</f>
        <v>0</v>
      </c>
      <c r="K1711">
        <f>VLOOKUP(Scores[[#This Row],[MRUN]],Demographics[],6,FALSE)</f>
        <v>5</v>
      </c>
      <c r="L1711">
        <f>VLOOKUP(Scores[[#This Row],[MRUN]],Demographics[], 7,FALSE)</f>
        <v>3</v>
      </c>
      <c r="M1711">
        <f>VLOOKUP(Scores[[#This Row],[MRUN]],Demographics[], 5, FALSE)</f>
        <v>1</v>
      </c>
    </row>
    <row r="1712" spans="1:13" hidden="1" x14ac:dyDescent="0.2">
      <c r="A1712" s="1">
        <v>13233290</v>
      </c>
      <c r="B1712">
        <v>2</v>
      </c>
      <c r="C1712">
        <v>3</v>
      </c>
      <c r="D1712">
        <v>538</v>
      </c>
      <c r="E1712">
        <v>567</v>
      </c>
      <c r="F1712">
        <v>568</v>
      </c>
      <c r="G1712">
        <v>0</v>
      </c>
      <c r="H1712">
        <v>562</v>
      </c>
      <c r="I1712">
        <f>VLOOKUP(Scores[[#This Row],[MRUN]],Demographics[],3,FALSE)</f>
        <v>4</v>
      </c>
      <c r="J1712">
        <f>AVERAGE(Scores[[#This Row],[LYC]],Scores[[#This Row],[MATE]])</f>
        <v>567.5</v>
      </c>
      <c r="K1712">
        <f>VLOOKUP(Scores[[#This Row],[MRUN]],Demographics[],6,FALSE)</f>
        <v>8</v>
      </c>
      <c r="L1712">
        <f>VLOOKUP(Scores[[#This Row],[MRUN]],Demographics[], 7,FALSE)</f>
        <v>9</v>
      </c>
      <c r="M1712">
        <f>VLOOKUP(Scores[[#This Row],[MRUN]],Demographics[], 5, FALSE)</f>
        <v>2</v>
      </c>
    </row>
    <row r="1713" spans="1:13" hidden="1" x14ac:dyDescent="0.2">
      <c r="A1713" s="1">
        <v>13970676</v>
      </c>
      <c r="B1713">
        <v>2</v>
      </c>
      <c r="C1713">
        <v>4</v>
      </c>
      <c r="D1713">
        <v>764</v>
      </c>
      <c r="E1713">
        <v>661</v>
      </c>
      <c r="F1713">
        <v>738</v>
      </c>
      <c r="G1713">
        <v>0</v>
      </c>
      <c r="H1713">
        <v>767</v>
      </c>
      <c r="I1713">
        <f>VLOOKUP(Scores[[#This Row],[MRUN]],Demographics[],3,FALSE)</f>
        <v>4</v>
      </c>
      <c r="J1713">
        <f>AVERAGE(Scores[[#This Row],[LYC]],Scores[[#This Row],[MATE]])</f>
        <v>699.5</v>
      </c>
      <c r="K1713">
        <f>VLOOKUP(Scores[[#This Row],[MRUN]],Demographics[],6,FALSE)</f>
        <v>10</v>
      </c>
      <c r="L1713">
        <f>VLOOKUP(Scores[[#This Row],[MRUN]],Demographics[], 7,FALSE)</f>
        <v>7</v>
      </c>
      <c r="M1713">
        <f>VLOOKUP(Scores[[#This Row],[MRUN]],Demographics[], 5, FALSE)</f>
        <v>2</v>
      </c>
    </row>
    <row r="1714" spans="1:13" hidden="1" x14ac:dyDescent="0.2">
      <c r="A1714" s="1">
        <v>9698227</v>
      </c>
      <c r="B1714">
        <v>1</v>
      </c>
      <c r="C1714">
        <v>3</v>
      </c>
      <c r="D1714">
        <v>435</v>
      </c>
      <c r="E1714">
        <v>422</v>
      </c>
      <c r="F1714">
        <v>0</v>
      </c>
      <c r="G1714">
        <v>0</v>
      </c>
      <c r="H1714">
        <v>0</v>
      </c>
      <c r="I1714">
        <f>VLOOKUP(Scores[[#This Row],[MRUN]],Demographics[],3,FALSE)</f>
        <v>4</v>
      </c>
      <c r="J1714">
        <f>AVERAGE(Scores[[#This Row],[LYC]],Scores[[#This Row],[MATE]])</f>
        <v>211</v>
      </c>
      <c r="K1714">
        <f>VLOOKUP(Scores[[#This Row],[MRUN]],Demographics[],6,FALSE)</f>
        <v>9</v>
      </c>
      <c r="L1714">
        <f>VLOOKUP(Scores[[#This Row],[MRUN]],Demographics[], 7,FALSE)</f>
        <v>5</v>
      </c>
      <c r="M1714">
        <f>VLOOKUP(Scores[[#This Row],[MRUN]],Demographics[], 5, FALSE)</f>
        <v>2</v>
      </c>
    </row>
    <row r="1715" spans="1:13" hidden="1" x14ac:dyDescent="0.2">
      <c r="A1715" s="1">
        <v>5757311</v>
      </c>
      <c r="B1715">
        <v>1</v>
      </c>
      <c r="C1715">
        <v>4</v>
      </c>
      <c r="D1715">
        <v>702</v>
      </c>
      <c r="E1715">
        <v>787</v>
      </c>
      <c r="F1715">
        <v>763</v>
      </c>
      <c r="G1715">
        <v>724</v>
      </c>
      <c r="H1715">
        <v>715</v>
      </c>
      <c r="I1715">
        <f>VLOOKUP(Scores[[#This Row],[MRUN]],Demographics[],3,FALSE)</f>
        <v>8</v>
      </c>
      <c r="J1715">
        <f>AVERAGE(Scores[[#This Row],[LYC]],Scores[[#This Row],[MATE]])</f>
        <v>775</v>
      </c>
      <c r="K1715">
        <f>VLOOKUP(Scores[[#This Row],[MRUN]],Demographics[],6,FALSE)</f>
        <v>9</v>
      </c>
      <c r="L1715">
        <f>VLOOKUP(Scores[[#This Row],[MRUN]],Demographics[], 7,FALSE)</f>
        <v>9</v>
      </c>
      <c r="M1715">
        <f>VLOOKUP(Scores[[#This Row],[MRUN]],Demographics[], 5, FALSE)</f>
        <v>5</v>
      </c>
    </row>
    <row r="1716" spans="1:13" hidden="1" x14ac:dyDescent="0.2">
      <c r="A1716" s="1">
        <v>16437366</v>
      </c>
      <c r="B1716">
        <v>2</v>
      </c>
      <c r="C1716">
        <v>3</v>
      </c>
      <c r="D1716">
        <v>539</v>
      </c>
      <c r="E1716">
        <v>458</v>
      </c>
      <c r="F1716">
        <v>395</v>
      </c>
      <c r="G1716">
        <v>473</v>
      </c>
      <c r="H1716">
        <v>0</v>
      </c>
      <c r="I1716">
        <f>VLOOKUP(Scores[[#This Row],[MRUN]],Demographics[],3,FALSE)</f>
        <v>4</v>
      </c>
      <c r="J1716">
        <f>AVERAGE(Scores[[#This Row],[LYC]],Scores[[#This Row],[MATE]])</f>
        <v>426.5</v>
      </c>
      <c r="K1716">
        <f>VLOOKUP(Scores[[#This Row],[MRUN]],Demographics[],6,FALSE)</f>
        <v>0</v>
      </c>
      <c r="L1716">
        <f>VLOOKUP(Scores[[#This Row],[MRUN]],Demographics[], 7,FALSE)</f>
        <v>2</v>
      </c>
      <c r="M1716">
        <f>VLOOKUP(Scores[[#This Row],[MRUN]],Demographics[], 5, FALSE)</f>
        <v>1</v>
      </c>
    </row>
    <row r="1717" spans="1:13" hidden="1" x14ac:dyDescent="0.2">
      <c r="A1717" s="1">
        <v>21345668</v>
      </c>
      <c r="B1717">
        <v>2</v>
      </c>
      <c r="C1717">
        <v>2</v>
      </c>
      <c r="D1717">
        <v>455</v>
      </c>
      <c r="E1717">
        <v>516</v>
      </c>
      <c r="F1717">
        <v>472</v>
      </c>
      <c r="G1717">
        <v>602</v>
      </c>
      <c r="H1717">
        <v>0</v>
      </c>
      <c r="I1717">
        <f>VLOOKUP(Scores[[#This Row],[MRUN]],Demographics[],3,FALSE)</f>
        <v>2</v>
      </c>
      <c r="J1717">
        <f>AVERAGE(Scores[[#This Row],[LYC]],Scores[[#This Row],[MATE]])</f>
        <v>494</v>
      </c>
      <c r="K1717">
        <f>VLOOKUP(Scores[[#This Row],[MRUN]],Demographics[],6,FALSE)</f>
        <v>9</v>
      </c>
      <c r="L1717">
        <f>VLOOKUP(Scores[[#This Row],[MRUN]],Demographics[], 7,FALSE)</f>
        <v>5</v>
      </c>
      <c r="M1717">
        <f>VLOOKUP(Scores[[#This Row],[MRUN]],Demographics[], 5, FALSE)</f>
        <v>2</v>
      </c>
    </row>
    <row r="1718" spans="1:13" hidden="1" x14ac:dyDescent="0.2">
      <c r="A1718" s="1">
        <v>22312881</v>
      </c>
      <c r="B1718">
        <v>2</v>
      </c>
      <c r="C1718">
        <v>2</v>
      </c>
      <c r="D1718">
        <v>641</v>
      </c>
      <c r="E1718">
        <v>561</v>
      </c>
      <c r="F1718">
        <v>585</v>
      </c>
      <c r="G1718">
        <v>0</v>
      </c>
      <c r="H1718">
        <v>483</v>
      </c>
      <c r="I1718">
        <f>VLOOKUP(Scores[[#This Row],[MRUN]],Demographics[],3,FALSE)</f>
        <v>5</v>
      </c>
      <c r="J1718">
        <f>AVERAGE(Scores[[#This Row],[LYC]],Scores[[#This Row],[MATE]])</f>
        <v>573</v>
      </c>
      <c r="K1718">
        <f>VLOOKUP(Scores[[#This Row],[MRUN]],Demographics[],6,FALSE)</f>
        <v>4</v>
      </c>
      <c r="L1718">
        <f>VLOOKUP(Scores[[#This Row],[MRUN]],Demographics[], 7,FALSE)</f>
        <v>2</v>
      </c>
      <c r="M1718">
        <f>VLOOKUP(Scores[[#This Row],[MRUN]],Demographics[], 5, FALSE)</f>
        <v>1</v>
      </c>
    </row>
    <row r="1719" spans="1:13" hidden="1" x14ac:dyDescent="0.2">
      <c r="A1719" s="1">
        <v>4357288</v>
      </c>
      <c r="B1719">
        <v>1</v>
      </c>
      <c r="C1719">
        <v>3</v>
      </c>
      <c r="D1719">
        <v>620</v>
      </c>
      <c r="E1719">
        <v>648</v>
      </c>
      <c r="F1719">
        <v>750</v>
      </c>
      <c r="G1719">
        <v>0</v>
      </c>
      <c r="H1719">
        <v>647</v>
      </c>
      <c r="I1719">
        <f>VLOOKUP(Scores[[#This Row],[MRUN]],Demographics[],3,FALSE)</f>
        <v>5</v>
      </c>
      <c r="J1719">
        <f>AVERAGE(Scores[[#This Row],[LYC]],Scores[[#This Row],[MATE]])</f>
        <v>699</v>
      </c>
      <c r="K1719">
        <f>VLOOKUP(Scores[[#This Row],[MRUN]],Demographics[],6,FALSE)</f>
        <v>8</v>
      </c>
      <c r="L1719">
        <f>VLOOKUP(Scores[[#This Row],[MRUN]],Demographics[], 7,FALSE)</f>
        <v>8</v>
      </c>
      <c r="M1719">
        <f>VLOOKUP(Scores[[#This Row],[MRUN]],Demographics[], 5, FALSE)</f>
        <v>1</v>
      </c>
    </row>
    <row r="1720" spans="1:13" hidden="1" x14ac:dyDescent="0.2">
      <c r="A1720" s="1">
        <v>17607016</v>
      </c>
      <c r="B1720">
        <v>2</v>
      </c>
      <c r="C1720">
        <v>2</v>
      </c>
      <c r="D1720">
        <v>621</v>
      </c>
      <c r="E1720">
        <v>596</v>
      </c>
      <c r="F1720">
        <v>557</v>
      </c>
      <c r="G1720">
        <v>617</v>
      </c>
      <c r="H1720">
        <v>0</v>
      </c>
      <c r="I1720">
        <f>VLOOKUP(Scores[[#This Row],[MRUN]],Demographics[],3,FALSE)</f>
        <v>5</v>
      </c>
      <c r="J1720">
        <f>AVERAGE(Scores[[#This Row],[LYC]],Scores[[#This Row],[MATE]])</f>
        <v>576.5</v>
      </c>
      <c r="K1720">
        <f>VLOOKUP(Scores[[#This Row],[MRUN]],Demographics[],6,FALSE)</f>
        <v>4</v>
      </c>
      <c r="L1720">
        <f>VLOOKUP(Scores[[#This Row],[MRUN]],Demographics[], 7,FALSE)</f>
        <v>5</v>
      </c>
      <c r="M1720">
        <f>VLOOKUP(Scores[[#This Row],[MRUN]],Demographics[], 5, FALSE)</f>
        <v>1</v>
      </c>
    </row>
    <row r="1721" spans="1:13" hidden="1" x14ac:dyDescent="0.2">
      <c r="A1721" s="1">
        <v>5959996</v>
      </c>
      <c r="B1721">
        <v>2</v>
      </c>
      <c r="C1721">
        <v>3</v>
      </c>
      <c r="D1721">
        <v>435</v>
      </c>
      <c r="E1721">
        <v>333</v>
      </c>
      <c r="F1721">
        <v>545</v>
      </c>
      <c r="G1721">
        <v>0</v>
      </c>
      <c r="H1721">
        <v>475</v>
      </c>
      <c r="I1721">
        <f>VLOOKUP(Scores[[#This Row],[MRUN]],Demographics[],3,FALSE)</f>
        <v>3</v>
      </c>
      <c r="J1721">
        <f>AVERAGE(Scores[[#This Row],[LYC]],Scores[[#This Row],[MATE]])</f>
        <v>439</v>
      </c>
      <c r="K1721">
        <f>VLOOKUP(Scores[[#This Row],[MRUN]],Demographics[],6,FALSE)</f>
        <v>0</v>
      </c>
      <c r="L1721">
        <f>VLOOKUP(Scores[[#This Row],[MRUN]],Demographics[], 7,FALSE)</f>
        <v>5</v>
      </c>
      <c r="M1721">
        <f>VLOOKUP(Scores[[#This Row],[MRUN]],Demographics[], 5, FALSE)</f>
        <v>1</v>
      </c>
    </row>
    <row r="1722" spans="1:13" hidden="1" x14ac:dyDescent="0.2">
      <c r="A1722" s="1">
        <v>22414190</v>
      </c>
      <c r="B1722">
        <v>1</v>
      </c>
      <c r="C1722">
        <v>2</v>
      </c>
      <c r="D1722">
        <v>682</v>
      </c>
      <c r="E1722">
        <v>586</v>
      </c>
      <c r="F1722">
        <v>593</v>
      </c>
      <c r="G1722">
        <v>0</v>
      </c>
      <c r="H1722">
        <v>591</v>
      </c>
      <c r="I1722">
        <f>VLOOKUP(Scores[[#This Row],[MRUN]],Demographics[],3,FALSE)</f>
        <v>6</v>
      </c>
      <c r="J1722">
        <f>AVERAGE(Scores[[#This Row],[LYC]],Scores[[#This Row],[MATE]])</f>
        <v>589.5</v>
      </c>
      <c r="K1722">
        <f>VLOOKUP(Scores[[#This Row],[MRUN]],Demographics[],6,FALSE)</f>
        <v>9</v>
      </c>
      <c r="L1722">
        <f>VLOOKUP(Scores[[#This Row],[MRUN]],Demographics[], 7,FALSE)</f>
        <v>4</v>
      </c>
      <c r="M1722">
        <f>VLOOKUP(Scores[[#This Row],[MRUN]],Demographics[], 5, FALSE)</f>
        <v>1</v>
      </c>
    </row>
    <row r="1723" spans="1:13" hidden="1" x14ac:dyDescent="0.2">
      <c r="A1723" s="1">
        <v>21593055</v>
      </c>
      <c r="B1723">
        <v>2</v>
      </c>
      <c r="C1723">
        <v>2</v>
      </c>
      <c r="D1723">
        <v>641</v>
      </c>
      <c r="E1723">
        <v>581</v>
      </c>
      <c r="F1723">
        <v>506</v>
      </c>
      <c r="G1723">
        <v>572</v>
      </c>
      <c r="H1723">
        <v>0</v>
      </c>
      <c r="I1723">
        <f>VLOOKUP(Scores[[#This Row],[MRUN]],Demographics[],3,FALSE)</f>
        <v>3</v>
      </c>
      <c r="J1723">
        <f>AVERAGE(Scores[[#This Row],[LYC]],Scores[[#This Row],[MATE]])</f>
        <v>543.5</v>
      </c>
      <c r="K1723">
        <f>VLOOKUP(Scores[[#This Row],[MRUN]],Demographics[],6,FALSE)</f>
        <v>4</v>
      </c>
      <c r="L1723">
        <f>VLOOKUP(Scores[[#This Row],[MRUN]],Demographics[], 7,FALSE)</f>
        <v>4</v>
      </c>
      <c r="M1723">
        <f>VLOOKUP(Scores[[#This Row],[MRUN]],Demographics[], 5, FALSE)</f>
        <v>1</v>
      </c>
    </row>
    <row r="1724" spans="1:13" hidden="1" x14ac:dyDescent="0.2">
      <c r="A1724" s="1">
        <v>11113461</v>
      </c>
      <c r="B1724">
        <v>2</v>
      </c>
      <c r="C1724">
        <v>2</v>
      </c>
      <c r="D1724">
        <v>437</v>
      </c>
      <c r="E1724">
        <v>438</v>
      </c>
      <c r="F1724">
        <v>395</v>
      </c>
      <c r="G1724">
        <v>0</v>
      </c>
      <c r="H1724">
        <v>267</v>
      </c>
      <c r="I1724">
        <f>VLOOKUP(Scores[[#This Row],[MRUN]],Demographics[],3,FALSE)</f>
        <v>6</v>
      </c>
      <c r="J1724">
        <f>AVERAGE(Scores[[#This Row],[LYC]],Scores[[#This Row],[MATE]])</f>
        <v>416.5</v>
      </c>
      <c r="K1724">
        <f>VLOOKUP(Scores[[#This Row],[MRUN]],Demographics[],6,FALSE)</f>
        <v>4</v>
      </c>
      <c r="L1724">
        <f>VLOOKUP(Scores[[#This Row],[MRUN]],Demographics[], 7,FALSE)</f>
        <v>4</v>
      </c>
      <c r="M1724">
        <f>VLOOKUP(Scores[[#This Row],[MRUN]],Demographics[], 5, FALSE)</f>
        <v>1</v>
      </c>
    </row>
    <row r="1725" spans="1:13" hidden="1" x14ac:dyDescent="0.2">
      <c r="A1725" s="1">
        <v>15184016</v>
      </c>
      <c r="B1725">
        <v>2</v>
      </c>
      <c r="C1725">
        <v>2</v>
      </c>
      <c r="D1725">
        <v>558</v>
      </c>
      <c r="E1725">
        <v>510</v>
      </c>
      <c r="F1725">
        <v>472</v>
      </c>
      <c r="G1725">
        <v>0</v>
      </c>
      <c r="H1725">
        <v>483</v>
      </c>
      <c r="I1725">
        <f>VLOOKUP(Scores[[#This Row],[MRUN]],Demographics[],3,FALSE)</f>
        <v>3</v>
      </c>
      <c r="J1725">
        <f>AVERAGE(Scores[[#This Row],[LYC]],Scores[[#This Row],[MATE]])</f>
        <v>491</v>
      </c>
      <c r="K1725">
        <f>VLOOKUP(Scores[[#This Row],[MRUN]],Demographics[],6,FALSE)</f>
        <v>7</v>
      </c>
      <c r="L1725">
        <f>VLOOKUP(Scores[[#This Row],[MRUN]],Demographics[], 7,FALSE)</f>
        <v>7</v>
      </c>
      <c r="M1725">
        <f>VLOOKUP(Scores[[#This Row],[MRUN]],Demographics[], 5, FALSE)</f>
        <v>1</v>
      </c>
    </row>
    <row r="1726" spans="1:13" hidden="1" x14ac:dyDescent="0.2">
      <c r="A1726" s="1">
        <v>13047960</v>
      </c>
      <c r="B1726">
        <v>1</v>
      </c>
      <c r="C1726">
        <v>2</v>
      </c>
      <c r="D1726">
        <v>417</v>
      </c>
      <c r="E1726">
        <v>430</v>
      </c>
      <c r="F1726">
        <v>441</v>
      </c>
      <c r="G1726">
        <v>421</v>
      </c>
      <c r="H1726">
        <v>0</v>
      </c>
      <c r="I1726">
        <f>VLOOKUP(Scores[[#This Row],[MRUN]],Demographics[],3,FALSE)</f>
        <v>5</v>
      </c>
      <c r="J1726">
        <f>AVERAGE(Scores[[#This Row],[LYC]],Scores[[#This Row],[MATE]])</f>
        <v>435.5</v>
      </c>
      <c r="K1726">
        <f>VLOOKUP(Scores[[#This Row],[MRUN]],Demographics[],6,FALSE)</f>
        <v>4</v>
      </c>
      <c r="L1726">
        <f>VLOOKUP(Scores[[#This Row],[MRUN]],Demographics[], 7,FALSE)</f>
        <v>3</v>
      </c>
      <c r="M1726">
        <f>VLOOKUP(Scores[[#This Row],[MRUN]],Demographics[], 5, FALSE)</f>
        <v>1</v>
      </c>
    </row>
    <row r="1727" spans="1:13" hidden="1" x14ac:dyDescent="0.2">
      <c r="A1727" s="1">
        <v>3969360</v>
      </c>
      <c r="B1727">
        <v>2</v>
      </c>
      <c r="C1727">
        <v>2</v>
      </c>
      <c r="D1727">
        <v>641</v>
      </c>
      <c r="E1727">
        <v>636</v>
      </c>
      <c r="F1727">
        <v>531</v>
      </c>
      <c r="G1727">
        <v>0</v>
      </c>
      <c r="H1727">
        <v>475</v>
      </c>
      <c r="I1727">
        <f>VLOOKUP(Scores[[#This Row],[MRUN]],Demographics[],3,FALSE)</f>
        <v>5</v>
      </c>
      <c r="J1727">
        <f>AVERAGE(Scores[[#This Row],[LYC]],Scores[[#This Row],[MATE]])</f>
        <v>583.5</v>
      </c>
      <c r="K1727">
        <f>VLOOKUP(Scores[[#This Row],[MRUN]],Demographics[],6,FALSE)</f>
        <v>0</v>
      </c>
      <c r="L1727">
        <f>VLOOKUP(Scores[[#This Row],[MRUN]],Demographics[], 7,FALSE)</f>
        <v>5</v>
      </c>
      <c r="M1727">
        <f>VLOOKUP(Scores[[#This Row],[MRUN]],Demographics[], 5, FALSE)</f>
        <v>1</v>
      </c>
    </row>
    <row r="1728" spans="1:13" hidden="1" x14ac:dyDescent="0.2">
      <c r="A1728" s="1">
        <v>11980241</v>
      </c>
      <c r="B1728">
        <v>2</v>
      </c>
      <c r="C1728">
        <v>2</v>
      </c>
      <c r="D1728">
        <v>478</v>
      </c>
      <c r="E1728">
        <v>0</v>
      </c>
      <c r="F1728">
        <v>0</v>
      </c>
      <c r="G1728">
        <v>0</v>
      </c>
      <c r="H1728">
        <v>0</v>
      </c>
      <c r="I1728">
        <f>VLOOKUP(Scores[[#This Row],[MRUN]],Demographics[],3,FALSE)</f>
        <v>4</v>
      </c>
      <c r="J1728">
        <f>AVERAGE(Scores[[#This Row],[LYC]],Scores[[#This Row],[MATE]])</f>
        <v>0</v>
      </c>
      <c r="K1728">
        <f>VLOOKUP(Scores[[#This Row],[MRUN]],Demographics[],6,FALSE)</f>
        <v>2</v>
      </c>
      <c r="L1728">
        <f>VLOOKUP(Scores[[#This Row],[MRUN]],Demographics[], 7,FALSE)</f>
        <v>4</v>
      </c>
      <c r="M1728">
        <f>VLOOKUP(Scores[[#This Row],[MRUN]],Demographics[], 5, FALSE)</f>
        <v>1</v>
      </c>
    </row>
    <row r="1729" spans="1:13" hidden="1" x14ac:dyDescent="0.2">
      <c r="A1729" s="1">
        <v>19022711</v>
      </c>
      <c r="B1729">
        <v>1</v>
      </c>
      <c r="C1729">
        <v>4</v>
      </c>
      <c r="D1729">
        <v>579</v>
      </c>
      <c r="E1729">
        <v>675</v>
      </c>
      <c r="F1729">
        <v>681</v>
      </c>
      <c r="G1729">
        <v>0</v>
      </c>
      <c r="H1729">
        <v>672</v>
      </c>
      <c r="I1729">
        <f>VLOOKUP(Scores[[#This Row],[MRUN]],Demographics[],3,FALSE)</f>
        <v>4</v>
      </c>
      <c r="J1729">
        <f>AVERAGE(Scores[[#This Row],[LYC]],Scores[[#This Row],[MATE]])</f>
        <v>678</v>
      </c>
      <c r="K1729">
        <f>VLOOKUP(Scores[[#This Row],[MRUN]],Demographics[],6,FALSE)</f>
        <v>9</v>
      </c>
      <c r="L1729">
        <f>VLOOKUP(Scores[[#This Row],[MRUN]],Demographics[], 7,FALSE)</f>
        <v>9</v>
      </c>
      <c r="M1729">
        <f>VLOOKUP(Scores[[#This Row],[MRUN]],Demographics[], 5, FALSE)</f>
        <v>6</v>
      </c>
    </row>
    <row r="1730" spans="1:13" hidden="1" x14ac:dyDescent="0.2">
      <c r="A1730" s="1">
        <v>23627990</v>
      </c>
      <c r="B1730">
        <v>2</v>
      </c>
      <c r="C1730">
        <v>3</v>
      </c>
      <c r="D1730">
        <v>661</v>
      </c>
      <c r="E1730">
        <v>499</v>
      </c>
      <c r="F1730">
        <v>614</v>
      </c>
      <c r="G1730">
        <v>572</v>
      </c>
      <c r="H1730">
        <v>543</v>
      </c>
      <c r="I1730">
        <f>VLOOKUP(Scores[[#This Row],[MRUN]],Demographics[],3,FALSE)</f>
        <v>4</v>
      </c>
      <c r="J1730">
        <f>AVERAGE(Scores[[#This Row],[LYC]],Scores[[#This Row],[MATE]])</f>
        <v>556.5</v>
      </c>
      <c r="K1730">
        <f>VLOOKUP(Scores[[#This Row],[MRUN]],Demographics[],6,FALSE)</f>
        <v>9</v>
      </c>
      <c r="L1730">
        <f>VLOOKUP(Scores[[#This Row],[MRUN]],Demographics[], 7,FALSE)</f>
        <v>9</v>
      </c>
      <c r="M1730">
        <f>VLOOKUP(Scores[[#This Row],[MRUN]],Demographics[], 5, FALSE)</f>
        <v>3</v>
      </c>
    </row>
    <row r="1731" spans="1:13" hidden="1" x14ac:dyDescent="0.2">
      <c r="A1731" s="1">
        <v>19557214</v>
      </c>
      <c r="B1731">
        <v>1</v>
      </c>
      <c r="C1731">
        <v>2</v>
      </c>
      <c r="D1731">
        <v>558</v>
      </c>
      <c r="E1731">
        <v>557</v>
      </c>
      <c r="F1731">
        <v>617</v>
      </c>
      <c r="G1731">
        <v>0</v>
      </c>
      <c r="H1731">
        <v>523</v>
      </c>
      <c r="I1731">
        <f>VLOOKUP(Scores[[#This Row],[MRUN]],Demographics[],3,FALSE)</f>
        <v>4</v>
      </c>
      <c r="J1731">
        <f>AVERAGE(Scores[[#This Row],[LYC]],Scores[[#This Row],[MATE]])</f>
        <v>587</v>
      </c>
      <c r="K1731">
        <f>VLOOKUP(Scores[[#This Row],[MRUN]],Demographics[],6,FALSE)</f>
        <v>4</v>
      </c>
      <c r="L1731">
        <f>VLOOKUP(Scores[[#This Row],[MRUN]],Demographics[], 7,FALSE)</f>
        <v>2</v>
      </c>
      <c r="M1731">
        <f>VLOOKUP(Scores[[#This Row],[MRUN]],Demographics[], 5, FALSE)</f>
        <v>1</v>
      </c>
    </row>
    <row r="1732" spans="1:13" hidden="1" x14ac:dyDescent="0.2">
      <c r="A1732" s="1">
        <v>8443063</v>
      </c>
      <c r="B1732">
        <v>1</v>
      </c>
      <c r="C1732">
        <v>2</v>
      </c>
      <c r="D1732">
        <v>599</v>
      </c>
      <c r="E1732">
        <v>494</v>
      </c>
      <c r="F1732">
        <v>596</v>
      </c>
      <c r="G1732">
        <v>0</v>
      </c>
      <c r="H1732">
        <v>428</v>
      </c>
      <c r="I1732">
        <f>VLOOKUP(Scores[[#This Row],[MRUN]],Demographics[],3,FALSE)</f>
        <v>4</v>
      </c>
      <c r="J1732">
        <f>AVERAGE(Scores[[#This Row],[LYC]],Scores[[#This Row],[MATE]])</f>
        <v>545</v>
      </c>
      <c r="K1732">
        <f>VLOOKUP(Scores[[#This Row],[MRUN]],Demographics[],6,FALSE)</f>
        <v>0</v>
      </c>
      <c r="L1732">
        <f>VLOOKUP(Scores[[#This Row],[MRUN]],Demographics[], 7,FALSE)</f>
        <v>0</v>
      </c>
      <c r="M1732">
        <f>VLOOKUP(Scores[[#This Row],[MRUN]],Demographics[], 5, FALSE)</f>
        <v>2</v>
      </c>
    </row>
    <row r="1733" spans="1:13" hidden="1" x14ac:dyDescent="0.2">
      <c r="A1733" s="1">
        <v>5037210</v>
      </c>
      <c r="B1733">
        <v>2</v>
      </c>
      <c r="C1733">
        <v>2</v>
      </c>
      <c r="D1733">
        <v>397</v>
      </c>
      <c r="E1733">
        <v>0</v>
      </c>
      <c r="F1733">
        <v>0</v>
      </c>
      <c r="G1733">
        <v>0</v>
      </c>
      <c r="H1733">
        <v>0</v>
      </c>
      <c r="I1733">
        <f>VLOOKUP(Scores[[#This Row],[MRUN]],Demographics[],3,FALSE)</f>
        <v>3</v>
      </c>
      <c r="J1733">
        <f>AVERAGE(Scores[[#This Row],[LYC]],Scores[[#This Row],[MATE]])</f>
        <v>0</v>
      </c>
      <c r="K1733">
        <f>VLOOKUP(Scores[[#This Row],[MRUN]],Demographics[],6,FALSE)</f>
        <v>2</v>
      </c>
      <c r="L1733">
        <f>VLOOKUP(Scores[[#This Row],[MRUN]],Demographics[], 7,FALSE)</f>
        <v>2</v>
      </c>
      <c r="M1733">
        <f>VLOOKUP(Scores[[#This Row],[MRUN]],Demographics[], 5, FALSE)</f>
        <v>1</v>
      </c>
    </row>
    <row r="1734" spans="1:13" hidden="1" x14ac:dyDescent="0.2">
      <c r="A1734" s="1">
        <v>1500119</v>
      </c>
      <c r="B1734">
        <v>1</v>
      </c>
      <c r="C1734">
        <v>3</v>
      </c>
      <c r="D1734">
        <v>599</v>
      </c>
      <c r="E1734">
        <v>607</v>
      </c>
      <c r="F1734">
        <v>692</v>
      </c>
      <c r="G1734">
        <v>0</v>
      </c>
      <c r="H1734">
        <v>579</v>
      </c>
      <c r="I1734">
        <f>VLOOKUP(Scores[[#This Row],[MRUN]],Demographics[],3,FALSE)</f>
        <v>4</v>
      </c>
      <c r="J1734">
        <f>AVERAGE(Scores[[#This Row],[LYC]],Scores[[#This Row],[MATE]])</f>
        <v>649.5</v>
      </c>
      <c r="K1734">
        <f>VLOOKUP(Scores[[#This Row],[MRUN]],Demographics[],6,FALSE)</f>
        <v>9</v>
      </c>
      <c r="L1734">
        <f>VLOOKUP(Scores[[#This Row],[MRUN]],Demographics[], 7,FALSE)</f>
        <v>7</v>
      </c>
      <c r="M1734">
        <f>VLOOKUP(Scores[[#This Row],[MRUN]],Demographics[], 5, FALSE)</f>
        <v>1</v>
      </c>
    </row>
    <row r="1735" spans="1:13" hidden="1" x14ac:dyDescent="0.2">
      <c r="A1735" s="1">
        <v>22560467</v>
      </c>
      <c r="B1735">
        <v>2</v>
      </c>
      <c r="C1735">
        <v>4</v>
      </c>
      <c r="D1735">
        <v>579</v>
      </c>
      <c r="E1735">
        <v>691</v>
      </c>
      <c r="F1735">
        <v>603</v>
      </c>
      <c r="G1735">
        <v>0</v>
      </c>
      <c r="H1735">
        <v>650</v>
      </c>
      <c r="I1735">
        <f>VLOOKUP(Scores[[#This Row],[MRUN]],Demographics[],3,FALSE)</f>
        <v>6</v>
      </c>
      <c r="J1735">
        <f>AVERAGE(Scores[[#This Row],[LYC]],Scores[[#This Row],[MATE]])</f>
        <v>647</v>
      </c>
      <c r="K1735">
        <f>VLOOKUP(Scores[[#This Row],[MRUN]],Demographics[],6,FALSE)</f>
        <v>8</v>
      </c>
      <c r="L1735">
        <f>VLOOKUP(Scores[[#This Row],[MRUN]],Demographics[], 7,FALSE)</f>
        <v>4</v>
      </c>
      <c r="M1735">
        <f>VLOOKUP(Scores[[#This Row],[MRUN]],Demographics[], 5, FALSE)</f>
        <v>2</v>
      </c>
    </row>
    <row r="1736" spans="1:13" hidden="1" x14ac:dyDescent="0.2">
      <c r="A1736" s="1">
        <v>16352461</v>
      </c>
      <c r="B1736">
        <v>2</v>
      </c>
      <c r="C1736">
        <v>3</v>
      </c>
      <c r="D1736">
        <v>414</v>
      </c>
      <c r="E1736">
        <v>607</v>
      </c>
      <c r="F1736">
        <v>472</v>
      </c>
      <c r="G1736">
        <v>586</v>
      </c>
      <c r="H1736">
        <v>0</v>
      </c>
      <c r="I1736">
        <f>VLOOKUP(Scores[[#This Row],[MRUN]],Demographics[],3,FALSE)</f>
        <v>7</v>
      </c>
      <c r="J1736">
        <f>AVERAGE(Scores[[#This Row],[LYC]],Scores[[#This Row],[MATE]])</f>
        <v>539.5</v>
      </c>
      <c r="K1736">
        <f>VLOOKUP(Scores[[#This Row],[MRUN]],Demographics[],6,FALSE)</f>
        <v>4</v>
      </c>
      <c r="L1736">
        <f>VLOOKUP(Scores[[#This Row],[MRUN]],Demographics[], 7,FALSE)</f>
        <v>9</v>
      </c>
      <c r="M1736">
        <f>VLOOKUP(Scores[[#This Row],[MRUN]],Demographics[], 5, FALSE)</f>
        <v>2</v>
      </c>
    </row>
    <row r="1737" spans="1:13" hidden="1" x14ac:dyDescent="0.2">
      <c r="A1737" s="1">
        <v>6307375</v>
      </c>
      <c r="B1737">
        <v>1</v>
      </c>
      <c r="C1737">
        <v>2</v>
      </c>
      <c r="D1737">
        <v>682</v>
      </c>
      <c r="E1737">
        <v>624</v>
      </c>
      <c r="F1737">
        <v>571</v>
      </c>
      <c r="G1737">
        <v>0</v>
      </c>
      <c r="H1737">
        <v>591</v>
      </c>
      <c r="I1737">
        <f>VLOOKUP(Scores[[#This Row],[MRUN]],Demographics[],3,FALSE)</f>
        <v>4</v>
      </c>
      <c r="J1737">
        <f>AVERAGE(Scores[[#This Row],[LYC]],Scores[[#This Row],[MATE]])</f>
        <v>597.5</v>
      </c>
      <c r="K1737">
        <f>VLOOKUP(Scores[[#This Row],[MRUN]],Demographics[],6,FALSE)</f>
        <v>5</v>
      </c>
      <c r="L1737">
        <f>VLOOKUP(Scores[[#This Row],[MRUN]],Demographics[], 7,FALSE)</f>
        <v>3</v>
      </c>
      <c r="M1737">
        <f>VLOOKUP(Scores[[#This Row],[MRUN]],Demographics[], 5, FALSE)</f>
        <v>1</v>
      </c>
    </row>
    <row r="1738" spans="1:13" hidden="1" x14ac:dyDescent="0.2">
      <c r="A1738" s="1">
        <v>15818231</v>
      </c>
      <c r="B1738">
        <v>2</v>
      </c>
      <c r="C1738">
        <v>2</v>
      </c>
      <c r="D1738">
        <v>702</v>
      </c>
      <c r="E1738">
        <v>499</v>
      </c>
      <c r="F1738">
        <v>536</v>
      </c>
      <c r="G1738">
        <v>592</v>
      </c>
      <c r="H1738">
        <v>0</v>
      </c>
      <c r="I1738">
        <f>VLOOKUP(Scores[[#This Row],[MRUN]],Demographics[],3,FALSE)</f>
        <v>2</v>
      </c>
      <c r="J1738">
        <f>AVERAGE(Scores[[#This Row],[LYC]],Scores[[#This Row],[MATE]])</f>
        <v>517.5</v>
      </c>
      <c r="K1738">
        <f>VLOOKUP(Scores[[#This Row],[MRUN]],Demographics[],6,FALSE)</f>
        <v>3</v>
      </c>
      <c r="L1738">
        <f>VLOOKUP(Scores[[#This Row],[MRUN]],Demographics[], 7,FALSE)</f>
        <v>0</v>
      </c>
      <c r="M1738">
        <f>VLOOKUP(Scores[[#This Row],[MRUN]],Demographics[], 5, FALSE)</f>
        <v>1</v>
      </c>
    </row>
    <row r="1739" spans="1:13" hidden="1" x14ac:dyDescent="0.2">
      <c r="A1739" s="1">
        <v>24696029</v>
      </c>
      <c r="B1739">
        <v>2</v>
      </c>
      <c r="C1739">
        <v>2</v>
      </c>
      <c r="D1739">
        <v>414</v>
      </c>
      <c r="E1739">
        <v>378</v>
      </c>
      <c r="F1739">
        <v>328</v>
      </c>
      <c r="G1739">
        <v>0</v>
      </c>
      <c r="H1739">
        <v>344</v>
      </c>
      <c r="I1739">
        <f>VLOOKUP(Scores[[#This Row],[MRUN]],Demographics[],3,FALSE)</f>
        <v>6</v>
      </c>
      <c r="J1739">
        <f>AVERAGE(Scores[[#This Row],[LYC]],Scores[[#This Row],[MATE]])</f>
        <v>353</v>
      </c>
      <c r="K1739">
        <f>VLOOKUP(Scores[[#This Row],[MRUN]],Demographics[],6,FALSE)</f>
        <v>5</v>
      </c>
      <c r="L1739">
        <f>VLOOKUP(Scores[[#This Row],[MRUN]],Demographics[], 7,FALSE)</f>
        <v>5</v>
      </c>
      <c r="M1739">
        <f>VLOOKUP(Scores[[#This Row],[MRUN]],Demographics[], 5, FALSE)</f>
        <v>1</v>
      </c>
    </row>
    <row r="1740" spans="1:13" hidden="1" x14ac:dyDescent="0.2">
      <c r="A1740" s="1">
        <v>9843640</v>
      </c>
      <c r="B1740">
        <v>2</v>
      </c>
      <c r="C1740">
        <v>3</v>
      </c>
      <c r="D1740">
        <v>702</v>
      </c>
      <c r="E1740">
        <v>661</v>
      </c>
      <c r="F1740">
        <v>614</v>
      </c>
      <c r="G1740">
        <v>578</v>
      </c>
      <c r="H1740">
        <v>497</v>
      </c>
      <c r="I1740">
        <f>VLOOKUP(Scores[[#This Row],[MRUN]],Demographics[],3,FALSE)</f>
        <v>4</v>
      </c>
      <c r="J1740">
        <f>AVERAGE(Scores[[#This Row],[LYC]],Scores[[#This Row],[MATE]])</f>
        <v>637.5</v>
      </c>
      <c r="K1740">
        <f>VLOOKUP(Scores[[#This Row],[MRUN]],Demographics[],6,FALSE)</f>
        <v>7</v>
      </c>
      <c r="L1740">
        <f>VLOOKUP(Scores[[#This Row],[MRUN]],Demographics[], 7,FALSE)</f>
        <v>9</v>
      </c>
      <c r="M1740">
        <f>VLOOKUP(Scores[[#This Row],[MRUN]],Demographics[], 5, FALSE)</f>
        <v>3</v>
      </c>
    </row>
    <row r="1741" spans="1:13" hidden="1" x14ac:dyDescent="0.2">
      <c r="A1741" s="1">
        <v>5571618</v>
      </c>
      <c r="B1741">
        <v>2</v>
      </c>
      <c r="C1741">
        <v>3</v>
      </c>
      <c r="D1741">
        <v>579</v>
      </c>
      <c r="E1741">
        <v>586</v>
      </c>
      <c r="F1741">
        <v>582</v>
      </c>
      <c r="G1741">
        <v>0</v>
      </c>
      <c r="H1741">
        <v>468</v>
      </c>
      <c r="I1741">
        <f>VLOOKUP(Scores[[#This Row],[MRUN]],Demographics[],3,FALSE)</f>
        <v>4</v>
      </c>
      <c r="J1741">
        <f>AVERAGE(Scores[[#This Row],[LYC]],Scores[[#This Row],[MATE]])</f>
        <v>584</v>
      </c>
      <c r="K1741">
        <f>VLOOKUP(Scores[[#This Row],[MRUN]],Demographics[],6,FALSE)</f>
        <v>7</v>
      </c>
      <c r="L1741">
        <f>VLOOKUP(Scores[[#This Row],[MRUN]],Demographics[], 7,FALSE)</f>
        <v>7</v>
      </c>
      <c r="M1741">
        <f>VLOOKUP(Scores[[#This Row],[MRUN]],Demographics[], 5, FALSE)</f>
        <v>3</v>
      </c>
    </row>
    <row r="1742" spans="1:13" hidden="1" x14ac:dyDescent="0.2">
      <c r="A1742" s="1">
        <v>3002384</v>
      </c>
      <c r="B1742">
        <v>1</v>
      </c>
      <c r="C1742">
        <v>3</v>
      </c>
      <c r="D1742">
        <v>458</v>
      </c>
      <c r="E1742">
        <v>464</v>
      </c>
      <c r="F1742">
        <v>501</v>
      </c>
      <c r="G1742">
        <v>473</v>
      </c>
      <c r="H1742">
        <v>475</v>
      </c>
      <c r="I1742">
        <f>VLOOKUP(Scores[[#This Row],[MRUN]],Demographics[],3,FALSE)</f>
        <v>3</v>
      </c>
      <c r="J1742">
        <f>AVERAGE(Scores[[#This Row],[LYC]],Scores[[#This Row],[MATE]])</f>
        <v>482.5</v>
      </c>
      <c r="K1742">
        <f>VLOOKUP(Scores[[#This Row],[MRUN]],Demographics[],6,FALSE)</f>
        <v>4</v>
      </c>
      <c r="L1742">
        <f>VLOOKUP(Scores[[#This Row],[MRUN]],Demographics[], 7,FALSE)</f>
        <v>4</v>
      </c>
      <c r="M1742">
        <f>VLOOKUP(Scores[[#This Row],[MRUN]],Demographics[], 5, FALSE)</f>
        <v>1</v>
      </c>
    </row>
    <row r="1743" spans="1:13" hidden="1" x14ac:dyDescent="0.2">
      <c r="A1743" s="1">
        <v>1298536</v>
      </c>
      <c r="B1743">
        <v>2</v>
      </c>
      <c r="C1743">
        <v>3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f>VLOOKUP(Scores[[#This Row],[MRUN]],Demographics[],3,FALSE)</f>
        <v>4</v>
      </c>
      <c r="J1743">
        <f>AVERAGE(Scores[[#This Row],[LYC]],Scores[[#This Row],[MATE]])</f>
        <v>0</v>
      </c>
      <c r="K1743">
        <f>VLOOKUP(Scores[[#This Row],[MRUN]],Demographics[],6,FALSE)</f>
        <v>5</v>
      </c>
      <c r="L1743">
        <f>VLOOKUP(Scores[[#This Row],[MRUN]],Demographics[], 7,FALSE)</f>
        <v>5</v>
      </c>
      <c r="M1743">
        <f>VLOOKUP(Scores[[#This Row],[MRUN]],Demographics[], 5, FALSE)</f>
        <v>1</v>
      </c>
    </row>
    <row r="1744" spans="1:13" hidden="1" x14ac:dyDescent="0.2">
      <c r="A1744" s="1">
        <v>24263012</v>
      </c>
      <c r="B1744">
        <v>2</v>
      </c>
      <c r="C1744">
        <v>2</v>
      </c>
      <c r="D1744">
        <v>496</v>
      </c>
      <c r="E1744">
        <v>378</v>
      </c>
      <c r="F1744">
        <v>517</v>
      </c>
      <c r="G1744">
        <v>0</v>
      </c>
      <c r="H1744">
        <v>475</v>
      </c>
      <c r="I1744">
        <f>VLOOKUP(Scores[[#This Row],[MRUN]],Demographics[],3,FALSE)</f>
        <v>3</v>
      </c>
      <c r="J1744">
        <f>AVERAGE(Scores[[#This Row],[LYC]],Scores[[#This Row],[MATE]])</f>
        <v>447.5</v>
      </c>
      <c r="K1744">
        <f>VLOOKUP(Scores[[#This Row],[MRUN]],Demographics[],6,FALSE)</f>
        <v>2</v>
      </c>
      <c r="L1744">
        <f>VLOOKUP(Scores[[#This Row],[MRUN]],Demographics[], 7,FALSE)</f>
        <v>5</v>
      </c>
      <c r="M1744">
        <f>VLOOKUP(Scores[[#This Row],[MRUN]],Demographics[], 5, FALSE)</f>
        <v>1</v>
      </c>
    </row>
    <row r="1745" spans="1:13" hidden="1" x14ac:dyDescent="0.2">
      <c r="A1745" s="1">
        <v>21059065</v>
      </c>
      <c r="B1745">
        <v>1</v>
      </c>
      <c r="C1745">
        <v>2</v>
      </c>
      <c r="D1745">
        <v>437</v>
      </c>
      <c r="E1745">
        <v>415</v>
      </c>
      <c r="F1745">
        <v>353</v>
      </c>
      <c r="G1745">
        <v>461</v>
      </c>
      <c r="H1745">
        <v>0</v>
      </c>
      <c r="I1745">
        <f>VLOOKUP(Scores[[#This Row],[MRUN]],Demographics[],3,FALSE)</f>
        <v>7</v>
      </c>
      <c r="J1745">
        <f>AVERAGE(Scores[[#This Row],[LYC]],Scores[[#This Row],[MATE]])</f>
        <v>384</v>
      </c>
      <c r="K1745">
        <f>VLOOKUP(Scores[[#This Row],[MRUN]],Demographics[],6,FALSE)</f>
        <v>5</v>
      </c>
      <c r="L1745">
        <f>VLOOKUP(Scores[[#This Row],[MRUN]],Demographics[], 7,FALSE)</f>
        <v>5</v>
      </c>
      <c r="M1745">
        <f>VLOOKUP(Scores[[#This Row],[MRUN]],Demographics[], 5, FALSE)</f>
        <v>2</v>
      </c>
    </row>
    <row r="1746" spans="1:13" hidden="1" x14ac:dyDescent="0.2">
      <c r="A1746" s="1">
        <v>19456678</v>
      </c>
      <c r="B1746">
        <v>2</v>
      </c>
      <c r="C1746">
        <v>2</v>
      </c>
      <c r="D1746">
        <v>496</v>
      </c>
      <c r="E1746">
        <v>356</v>
      </c>
      <c r="F1746">
        <v>452</v>
      </c>
      <c r="G1746">
        <v>421</v>
      </c>
      <c r="H1746">
        <v>0</v>
      </c>
      <c r="I1746">
        <f>VLOOKUP(Scores[[#This Row],[MRUN]],Demographics[],3,FALSE)</f>
        <v>6</v>
      </c>
      <c r="J1746">
        <f>AVERAGE(Scores[[#This Row],[LYC]],Scores[[#This Row],[MATE]])</f>
        <v>404</v>
      </c>
      <c r="K1746">
        <f>VLOOKUP(Scores[[#This Row],[MRUN]],Demographics[],6,FALSE)</f>
        <v>5</v>
      </c>
      <c r="L1746">
        <f>VLOOKUP(Scores[[#This Row],[MRUN]],Demographics[], 7,FALSE)</f>
        <v>5</v>
      </c>
      <c r="M1746">
        <f>VLOOKUP(Scores[[#This Row],[MRUN]],Demographics[], 5, FALSE)</f>
        <v>1</v>
      </c>
    </row>
    <row r="1747" spans="1:13" hidden="1" x14ac:dyDescent="0.2">
      <c r="A1747" s="1">
        <v>966093</v>
      </c>
      <c r="B1747">
        <v>2</v>
      </c>
      <c r="C1747">
        <v>2</v>
      </c>
      <c r="D1747">
        <v>579</v>
      </c>
      <c r="E1747">
        <v>581</v>
      </c>
      <c r="F1747">
        <v>531</v>
      </c>
      <c r="G1747">
        <v>541</v>
      </c>
      <c r="H1747">
        <v>0</v>
      </c>
      <c r="I1747">
        <f>VLOOKUP(Scores[[#This Row],[MRUN]],Demographics[],3,FALSE)</f>
        <v>3</v>
      </c>
      <c r="J1747">
        <f>AVERAGE(Scores[[#This Row],[LYC]],Scores[[#This Row],[MATE]])</f>
        <v>556</v>
      </c>
      <c r="K1747">
        <f>VLOOKUP(Scores[[#This Row],[MRUN]],Demographics[],6,FALSE)</f>
        <v>3</v>
      </c>
      <c r="L1747">
        <f>VLOOKUP(Scores[[#This Row],[MRUN]],Demographics[], 7,FALSE)</f>
        <v>4</v>
      </c>
      <c r="M1747">
        <f>VLOOKUP(Scores[[#This Row],[MRUN]],Demographics[], 5, FALSE)</f>
        <v>1</v>
      </c>
    </row>
    <row r="1748" spans="1:13" hidden="1" x14ac:dyDescent="0.2">
      <c r="A1748" s="1">
        <v>20625583</v>
      </c>
      <c r="B1748">
        <v>1</v>
      </c>
      <c r="C1748">
        <v>2</v>
      </c>
      <c r="D1748">
        <v>417</v>
      </c>
      <c r="E1748">
        <v>422</v>
      </c>
      <c r="F1748">
        <v>560</v>
      </c>
      <c r="G1748">
        <v>537</v>
      </c>
      <c r="H1748">
        <v>404</v>
      </c>
      <c r="I1748">
        <f>VLOOKUP(Scores[[#This Row],[MRUN]],Demographics[],3,FALSE)</f>
        <v>6</v>
      </c>
      <c r="J1748">
        <f>AVERAGE(Scores[[#This Row],[LYC]],Scores[[#This Row],[MATE]])</f>
        <v>491</v>
      </c>
      <c r="K1748">
        <f>VLOOKUP(Scores[[#This Row],[MRUN]],Demographics[],6,FALSE)</f>
        <v>5</v>
      </c>
      <c r="L1748">
        <f>VLOOKUP(Scores[[#This Row],[MRUN]],Demographics[], 7,FALSE)</f>
        <v>4</v>
      </c>
      <c r="M1748">
        <f>VLOOKUP(Scores[[#This Row],[MRUN]],Demographics[], 5, FALSE)</f>
        <v>1</v>
      </c>
    </row>
    <row r="1749" spans="1:13" hidden="1" x14ac:dyDescent="0.2">
      <c r="A1749" s="1">
        <v>11647535</v>
      </c>
      <c r="B1749">
        <v>2</v>
      </c>
      <c r="C1749">
        <v>2</v>
      </c>
      <c r="D1749">
        <v>560</v>
      </c>
      <c r="E1749">
        <v>306</v>
      </c>
      <c r="F1749">
        <v>353</v>
      </c>
      <c r="G1749">
        <v>0</v>
      </c>
      <c r="H1749">
        <v>491</v>
      </c>
      <c r="I1749">
        <f>VLOOKUP(Scores[[#This Row],[MRUN]],Demographics[],3,FALSE)</f>
        <v>6</v>
      </c>
      <c r="J1749">
        <f>AVERAGE(Scores[[#This Row],[LYC]],Scores[[#This Row],[MATE]])</f>
        <v>329.5</v>
      </c>
      <c r="K1749">
        <f>VLOOKUP(Scores[[#This Row],[MRUN]],Demographics[],6,FALSE)</f>
        <v>4</v>
      </c>
      <c r="L1749">
        <f>VLOOKUP(Scores[[#This Row],[MRUN]],Demographics[], 7,FALSE)</f>
        <v>3</v>
      </c>
      <c r="M1749">
        <f>VLOOKUP(Scores[[#This Row],[MRUN]],Demographics[], 5, FALSE)</f>
        <v>1</v>
      </c>
    </row>
    <row r="1750" spans="1:13" hidden="1" x14ac:dyDescent="0.2">
      <c r="A1750" s="1">
        <v>23195210</v>
      </c>
      <c r="B1750">
        <v>2</v>
      </c>
      <c r="C1750">
        <v>2</v>
      </c>
      <c r="D1750">
        <v>661</v>
      </c>
      <c r="E1750">
        <v>378</v>
      </c>
      <c r="F1750">
        <v>506</v>
      </c>
      <c r="G1750">
        <v>501</v>
      </c>
      <c r="H1750">
        <v>0</v>
      </c>
      <c r="I1750">
        <f>VLOOKUP(Scores[[#This Row],[MRUN]],Demographics[],3,FALSE)</f>
        <v>4</v>
      </c>
      <c r="J1750">
        <f>AVERAGE(Scores[[#This Row],[LYC]],Scores[[#This Row],[MATE]])</f>
        <v>442</v>
      </c>
      <c r="K1750">
        <f>VLOOKUP(Scores[[#This Row],[MRUN]],Demographics[],6,FALSE)</f>
        <v>4</v>
      </c>
      <c r="L1750">
        <f>VLOOKUP(Scores[[#This Row],[MRUN]],Demographics[], 7,FALSE)</f>
        <v>9</v>
      </c>
      <c r="M1750">
        <f>VLOOKUP(Scores[[#This Row],[MRUN]],Demographics[], 5, FALSE)</f>
        <v>2</v>
      </c>
    </row>
    <row r="1751" spans="1:13" hidden="1" x14ac:dyDescent="0.2">
      <c r="A1751" s="1">
        <v>16251887</v>
      </c>
      <c r="B1751">
        <v>2</v>
      </c>
      <c r="C1751">
        <v>2</v>
      </c>
      <c r="D1751">
        <v>744</v>
      </c>
      <c r="E1751">
        <v>771</v>
      </c>
      <c r="F1751">
        <v>628</v>
      </c>
      <c r="G1751">
        <v>0</v>
      </c>
      <c r="H1751">
        <v>639</v>
      </c>
      <c r="I1751">
        <f>VLOOKUP(Scores[[#This Row],[MRUN]],Demographics[],3,FALSE)</f>
        <v>4</v>
      </c>
      <c r="J1751">
        <f>AVERAGE(Scores[[#This Row],[LYC]],Scores[[#This Row],[MATE]])</f>
        <v>699.5</v>
      </c>
      <c r="K1751">
        <f>VLOOKUP(Scores[[#This Row],[MRUN]],Demographics[],6,FALSE)</f>
        <v>5</v>
      </c>
      <c r="L1751">
        <f>VLOOKUP(Scores[[#This Row],[MRUN]],Demographics[], 7,FALSE)</f>
        <v>4</v>
      </c>
      <c r="M1751">
        <f>VLOOKUP(Scores[[#This Row],[MRUN]],Demographics[], 5, FALSE)</f>
        <v>1</v>
      </c>
    </row>
    <row r="1752" spans="1:13" hidden="1" x14ac:dyDescent="0.2">
      <c r="A1752" s="1">
        <v>2366963</v>
      </c>
      <c r="B1752">
        <v>2</v>
      </c>
      <c r="C1752">
        <v>2</v>
      </c>
      <c r="D1752">
        <v>579</v>
      </c>
      <c r="E1752">
        <v>378</v>
      </c>
      <c r="F1752">
        <v>452</v>
      </c>
      <c r="G1752">
        <v>0</v>
      </c>
      <c r="H1752">
        <v>391</v>
      </c>
      <c r="I1752">
        <f>VLOOKUP(Scores[[#This Row],[MRUN]],Demographics[],3,FALSE)</f>
        <v>2</v>
      </c>
      <c r="J1752">
        <f>AVERAGE(Scores[[#This Row],[LYC]],Scores[[#This Row],[MATE]])</f>
        <v>415</v>
      </c>
      <c r="K1752">
        <f>VLOOKUP(Scores[[#This Row],[MRUN]],Demographics[],6,FALSE)</f>
        <v>5</v>
      </c>
      <c r="L1752">
        <f>VLOOKUP(Scores[[#This Row],[MRUN]],Demographics[], 7,FALSE)</f>
        <v>4</v>
      </c>
      <c r="M1752">
        <f>VLOOKUP(Scores[[#This Row],[MRUN]],Demographics[], 5, FALSE)</f>
        <v>1</v>
      </c>
    </row>
    <row r="1753" spans="1:13" hidden="1" x14ac:dyDescent="0.2">
      <c r="A1753" s="1">
        <v>8876232</v>
      </c>
      <c r="B1753">
        <v>1</v>
      </c>
      <c r="C1753">
        <v>3</v>
      </c>
      <c r="D1753">
        <v>661</v>
      </c>
      <c r="E1753">
        <v>675</v>
      </c>
      <c r="F1753">
        <v>763</v>
      </c>
      <c r="G1753">
        <v>791</v>
      </c>
      <c r="H1753">
        <v>0</v>
      </c>
      <c r="I1753">
        <f>VLOOKUP(Scores[[#This Row],[MRUN]],Demographics[],3,FALSE)</f>
        <v>5</v>
      </c>
      <c r="J1753">
        <f>AVERAGE(Scores[[#This Row],[LYC]],Scores[[#This Row],[MATE]])</f>
        <v>719</v>
      </c>
      <c r="K1753">
        <f>VLOOKUP(Scores[[#This Row],[MRUN]],Demographics[],6,FALSE)</f>
        <v>7</v>
      </c>
      <c r="L1753">
        <f>VLOOKUP(Scores[[#This Row],[MRUN]],Demographics[], 7,FALSE)</f>
        <v>7</v>
      </c>
      <c r="M1753">
        <f>VLOOKUP(Scores[[#This Row],[MRUN]],Demographics[], 5, FALSE)</f>
        <v>3</v>
      </c>
    </row>
    <row r="1754" spans="1:13" hidden="1" x14ac:dyDescent="0.2">
      <c r="A1754" s="1">
        <v>23094218</v>
      </c>
      <c r="B1754">
        <v>1</v>
      </c>
      <c r="C1754">
        <v>2</v>
      </c>
      <c r="D1754">
        <v>437</v>
      </c>
      <c r="E1754">
        <v>451</v>
      </c>
      <c r="F1754">
        <v>452</v>
      </c>
      <c r="G1754">
        <v>479</v>
      </c>
      <c r="H1754">
        <v>0</v>
      </c>
      <c r="I1754">
        <f>VLOOKUP(Scores[[#This Row],[MRUN]],Demographics[],3,FALSE)</f>
        <v>3</v>
      </c>
      <c r="J1754">
        <f>AVERAGE(Scores[[#This Row],[LYC]],Scores[[#This Row],[MATE]])</f>
        <v>451.5</v>
      </c>
      <c r="K1754">
        <f>VLOOKUP(Scores[[#This Row],[MRUN]],Demographics[],6,FALSE)</f>
        <v>4</v>
      </c>
      <c r="L1754">
        <f>VLOOKUP(Scores[[#This Row],[MRUN]],Demographics[], 7,FALSE)</f>
        <v>2</v>
      </c>
      <c r="M1754">
        <f>VLOOKUP(Scores[[#This Row],[MRUN]],Demographics[], 5, FALSE)</f>
        <v>1</v>
      </c>
    </row>
    <row r="1755" spans="1:13" hidden="1" x14ac:dyDescent="0.2">
      <c r="A1755" s="1">
        <v>14750752</v>
      </c>
      <c r="B1755">
        <v>1</v>
      </c>
      <c r="C1755">
        <v>3</v>
      </c>
      <c r="D1755">
        <v>682</v>
      </c>
      <c r="E1755">
        <v>675</v>
      </c>
      <c r="F1755">
        <v>728</v>
      </c>
      <c r="G1755">
        <v>0</v>
      </c>
      <c r="H1755">
        <v>692</v>
      </c>
      <c r="I1755">
        <f>VLOOKUP(Scores[[#This Row],[MRUN]],Demographics[],3,FALSE)</f>
        <v>5</v>
      </c>
      <c r="J1755">
        <f>AVERAGE(Scores[[#This Row],[LYC]],Scores[[#This Row],[MATE]])</f>
        <v>701.5</v>
      </c>
      <c r="K1755">
        <f>VLOOKUP(Scores[[#This Row],[MRUN]],Demographics[],6,FALSE)</f>
        <v>5</v>
      </c>
      <c r="L1755">
        <f>VLOOKUP(Scores[[#This Row],[MRUN]],Demographics[], 7,FALSE)</f>
        <v>5</v>
      </c>
      <c r="M1755">
        <f>VLOOKUP(Scores[[#This Row],[MRUN]],Demographics[], 5, FALSE)</f>
        <v>1</v>
      </c>
    </row>
    <row r="1756" spans="1:13" hidden="1" x14ac:dyDescent="0.2">
      <c r="A1756" s="1">
        <v>6105763</v>
      </c>
      <c r="B1756">
        <v>1</v>
      </c>
      <c r="C1756">
        <v>2</v>
      </c>
      <c r="D1756">
        <v>641</v>
      </c>
      <c r="E1756">
        <v>576</v>
      </c>
      <c r="F1756">
        <v>589</v>
      </c>
      <c r="G1756">
        <v>0</v>
      </c>
      <c r="H1756">
        <v>558</v>
      </c>
      <c r="I1756">
        <f>VLOOKUP(Scores[[#This Row],[MRUN]],Demographics[],3,FALSE)</f>
        <v>4</v>
      </c>
      <c r="J1756">
        <f>AVERAGE(Scores[[#This Row],[LYC]],Scores[[#This Row],[MATE]])</f>
        <v>582.5</v>
      </c>
      <c r="K1756">
        <f>VLOOKUP(Scores[[#This Row],[MRUN]],Demographics[],6,FALSE)</f>
        <v>5</v>
      </c>
      <c r="L1756">
        <f>VLOOKUP(Scores[[#This Row],[MRUN]],Demographics[], 7,FALSE)</f>
        <v>5</v>
      </c>
      <c r="M1756">
        <f>VLOOKUP(Scores[[#This Row],[MRUN]],Demographics[], 5, FALSE)</f>
        <v>2</v>
      </c>
    </row>
    <row r="1757" spans="1:13" hidden="1" x14ac:dyDescent="0.2">
      <c r="A1757" s="1">
        <v>5239067</v>
      </c>
      <c r="B1757">
        <v>2</v>
      </c>
      <c r="C1757">
        <v>2</v>
      </c>
      <c r="D1757">
        <v>517</v>
      </c>
      <c r="E1757">
        <v>607</v>
      </c>
      <c r="F1757">
        <v>527</v>
      </c>
      <c r="G1757">
        <v>531</v>
      </c>
      <c r="H1757">
        <v>0</v>
      </c>
      <c r="I1757">
        <f>VLOOKUP(Scores[[#This Row],[MRUN]],Demographics[],3,FALSE)</f>
        <v>5</v>
      </c>
      <c r="J1757">
        <f>AVERAGE(Scores[[#This Row],[LYC]],Scores[[#This Row],[MATE]])</f>
        <v>567</v>
      </c>
      <c r="K1757">
        <f>VLOOKUP(Scores[[#This Row],[MRUN]],Demographics[],6,FALSE)</f>
        <v>4</v>
      </c>
      <c r="L1757">
        <f>VLOOKUP(Scores[[#This Row],[MRUN]],Demographics[], 7,FALSE)</f>
        <v>3</v>
      </c>
      <c r="M1757">
        <f>VLOOKUP(Scores[[#This Row],[MRUN]],Demographics[], 5, FALSE)</f>
        <v>2</v>
      </c>
    </row>
    <row r="1758" spans="1:13" hidden="1" x14ac:dyDescent="0.2">
      <c r="A1758" s="1">
        <v>1933578</v>
      </c>
      <c r="B1758">
        <v>1</v>
      </c>
      <c r="C1758">
        <v>2</v>
      </c>
      <c r="D1758">
        <v>538</v>
      </c>
      <c r="E1758">
        <v>641</v>
      </c>
      <c r="F1758">
        <v>480</v>
      </c>
      <c r="G1758">
        <v>657</v>
      </c>
      <c r="H1758">
        <v>0</v>
      </c>
      <c r="I1758">
        <f>VLOOKUP(Scores[[#This Row],[MRUN]],Demographics[],3,FALSE)</f>
        <v>8</v>
      </c>
      <c r="J1758">
        <f>AVERAGE(Scores[[#This Row],[LYC]],Scores[[#This Row],[MATE]])</f>
        <v>560.5</v>
      </c>
      <c r="K1758">
        <f>VLOOKUP(Scores[[#This Row],[MRUN]],Demographics[],6,FALSE)</f>
        <v>0</v>
      </c>
      <c r="L1758">
        <f>VLOOKUP(Scores[[#This Row],[MRUN]],Demographics[], 7,FALSE)</f>
        <v>9</v>
      </c>
      <c r="M1758">
        <f>VLOOKUP(Scores[[#This Row],[MRUN]],Demographics[], 5, FALSE)</f>
        <v>2</v>
      </c>
    </row>
    <row r="1759" spans="1:13" hidden="1" x14ac:dyDescent="0.2">
      <c r="A1759" s="1">
        <v>21492010</v>
      </c>
      <c r="B1759">
        <v>2</v>
      </c>
      <c r="C1759">
        <v>3</v>
      </c>
      <c r="D1759">
        <v>558</v>
      </c>
      <c r="E1759">
        <v>586</v>
      </c>
      <c r="F1759">
        <v>579</v>
      </c>
      <c r="G1759">
        <v>0</v>
      </c>
      <c r="H1759">
        <v>516</v>
      </c>
      <c r="I1759">
        <f>VLOOKUP(Scores[[#This Row],[MRUN]],Demographics[],3,FALSE)</f>
        <v>6</v>
      </c>
      <c r="J1759">
        <f>AVERAGE(Scores[[#This Row],[LYC]],Scores[[#This Row],[MATE]])</f>
        <v>582.5</v>
      </c>
      <c r="K1759">
        <f>VLOOKUP(Scores[[#This Row],[MRUN]],Demographics[],6,FALSE)</f>
        <v>9</v>
      </c>
      <c r="L1759">
        <f>VLOOKUP(Scores[[#This Row],[MRUN]],Demographics[], 7,FALSE)</f>
        <v>5</v>
      </c>
      <c r="M1759">
        <f>VLOOKUP(Scores[[#This Row],[MRUN]],Demographics[], 5, FALSE)</f>
        <v>2</v>
      </c>
    </row>
    <row r="1760" spans="1:13" hidden="1" x14ac:dyDescent="0.2">
      <c r="A1760" s="1">
        <v>7808108</v>
      </c>
      <c r="B1760">
        <v>1</v>
      </c>
      <c r="C1760">
        <v>4</v>
      </c>
      <c r="D1760">
        <v>476</v>
      </c>
      <c r="E1760">
        <v>636</v>
      </c>
      <c r="F1760">
        <v>603</v>
      </c>
      <c r="G1760">
        <v>724</v>
      </c>
      <c r="H1760">
        <v>0</v>
      </c>
      <c r="I1760">
        <f>VLOOKUP(Scores[[#This Row],[MRUN]],Demographics[],3,FALSE)</f>
        <v>6</v>
      </c>
      <c r="J1760">
        <f>AVERAGE(Scores[[#This Row],[LYC]],Scores[[#This Row],[MATE]])</f>
        <v>619.5</v>
      </c>
      <c r="K1760">
        <f>VLOOKUP(Scores[[#This Row],[MRUN]],Demographics[],6,FALSE)</f>
        <v>5</v>
      </c>
      <c r="L1760">
        <f>VLOOKUP(Scores[[#This Row],[MRUN]],Demographics[], 7,FALSE)</f>
        <v>5</v>
      </c>
      <c r="M1760">
        <f>VLOOKUP(Scores[[#This Row],[MRUN]],Demographics[], 5, FALSE)</f>
        <v>4</v>
      </c>
    </row>
    <row r="1761" spans="1:13" hidden="1" x14ac:dyDescent="0.2">
      <c r="A1761" s="1">
        <v>22026381</v>
      </c>
      <c r="B1761">
        <v>2</v>
      </c>
      <c r="C1761">
        <v>3</v>
      </c>
      <c r="D1761">
        <v>420</v>
      </c>
      <c r="E1761">
        <v>388</v>
      </c>
      <c r="F1761">
        <v>300</v>
      </c>
      <c r="G1761">
        <v>479</v>
      </c>
      <c r="H1761">
        <v>344</v>
      </c>
      <c r="I1761">
        <f>VLOOKUP(Scores[[#This Row],[MRUN]],Demographics[],3,FALSE)</f>
        <v>5</v>
      </c>
      <c r="J1761">
        <f>AVERAGE(Scores[[#This Row],[LYC]],Scores[[#This Row],[MATE]])</f>
        <v>344</v>
      </c>
      <c r="K1761">
        <f>VLOOKUP(Scores[[#This Row],[MRUN]],Demographics[],6,FALSE)</f>
        <v>2</v>
      </c>
      <c r="L1761">
        <f>VLOOKUP(Scores[[#This Row],[MRUN]],Demographics[], 7,FALSE)</f>
        <v>7</v>
      </c>
      <c r="M1761">
        <f>VLOOKUP(Scores[[#This Row],[MRUN]],Demographics[], 5, FALSE)</f>
        <v>1</v>
      </c>
    </row>
    <row r="1762" spans="1:13" hidden="1" x14ac:dyDescent="0.2">
      <c r="A1762" s="1">
        <v>3997764</v>
      </c>
      <c r="B1762">
        <v>2</v>
      </c>
      <c r="C1762">
        <v>2</v>
      </c>
      <c r="D1762">
        <v>517</v>
      </c>
      <c r="E1762">
        <v>547</v>
      </c>
      <c r="F1762">
        <v>596</v>
      </c>
      <c r="G1762">
        <v>0</v>
      </c>
      <c r="H1762">
        <v>439</v>
      </c>
      <c r="I1762">
        <f>VLOOKUP(Scores[[#This Row],[MRUN]],Demographics[],3,FALSE)</f>
        <v>6</v>
      </c>
      <c r="J1762">
        <f>AVERAGE(Scores[[#This Row],[LYC]],Scores[[#This Row],[MATE]])</f>
        <v>571.5</v>
      </c>
      <c r="K1762">
        <f>VLOOKUP(Scores[[#This Row],[MRUN]],Demographics[],6,FALSE)</f>
        <v>6</v>
      </c>
      <c r="L1762">
        <f>VLOOKUP(Scores[[#This Row],[MRUN]],Demographics[], 7,FALSE)</f>
        <v>7</v>
      </c>
      <c r="M1762">
        <f>VLOOKUP(Scores[[#This Row],[MRUN]],Demographics[], 5, FALSE)</f>
        <v>1</v>
      </c>
    </row>
    <row r="1763" spans="1:13" hidden="1" x14ac:dyDescent="0.2">
      <c r="A1763" s="1">
        <v>10405844</v>
      </c>
      <c r="B1763">
        <v>1</v>
      </c>
      <c r="C1763">
        <v>2</v>
      </c>
      <c r="D1763">
        <v>455</v>
      </c>
      <c r="E1763">
        <v>444</v>
      </c>
      <c r="F1763">
        <v>472</v>
      </c>
      <c r="G1763">
        <v>442</v>
      </c>
      <c r="H1763">
        <v>0</v>
      </c>
      <c r="I1763">
        <f>VLOOKUP(Scores[[#This Row],[MRUN]],Demographics[],3,FALSE)</f>
        <v>6</v>
      </c>
      <c r="J1763">
        <f>AVERAGE(Scores[[#This Row],[LYC]],Scores[[#This Row],[MATE]])</f>
        <v>458</v>
      </c>
      <c r="K1763">
        <f>VLOOKUP(Scores[[#This Row],[MRUN]],Demographics[],6,FALSE)</f>
        <v>4</v>
      </c>
      <c r="L1763">
        <f>VLOOKUP(Scores[[#This Row],[MRUN]],Demographics[], 7,FALSE)</f>
        <v>5</v>
      </c>
      <c r="M1763">
        <f>VLOOKUP(Scores[[#This Row],[MRUN]],Demographics[], 5, FALSE)</f>
        <v>1</v>
      </c>
    </row>
    <row r="1764" spans="1:13" hidden="1" x14ac:dyDescent="0.2">
      <c r="A1764" s="1">
        <v>16380731</v>
      </c>
      <c r="B1764">
        <v>2</v>
      </c>
      <c r="C1764">
        <v>2</v>
      </c>
      <c r="D1764">
        <v>496</v>
      </c>
      <c r="E1764">
        <v>510</v>
      </c>
      <c r="F1764">
        <v>512</v>
      </c>
      <c r="G1764">
        <v>466</v>
      </c>
      <c r="H1764">
        <v>0</v>
      </c>
      <c r="I1764">
        <f>VLOOKUP(Scores[[#This Row],[MRUN]],Demographics[],3,FALSE)</f>
        <v>5</v>
      </c>
      <c r="J1764">
        <f>AVERAGE(Scores[[#This Row],[LYC]],Scores[[#This Row],[MATE]])</f>
        <v>511</v>
      </c>
      <c r="K1764">
        <f>VLOOKUP(Scores[[#This Row],[MRUN]],Demographics[],6,FALSE)</f>
        <v>4</v>
      </c>
      <c r="L1764">
        <f>VLOOKUP(Scores[[#This Row],[MRUN]],Demographics[], 7,FALSE)</f>
        <v>4</v>
      </c>
      <c r="M1764">
        <f>VLOOKUP(Scores[[#This Row],[MRUN]],Demographics[], 5, FALSE)</f>
        <v>1</v>
      </c>
    </row>
    <row r="1765" spans="1:13" hidden="1" x14ac:dyDescent="0.2">
      <c r="A1765" s="1">
        <v>16814448</v>
      </c>
      <c r="B1765">
        <v>1</v>
      </c>
      <c r="C1765">
        <v>2</v>
      </c>
      <c r="D1765">
        <v>476</v>
      </c>
      <c r="E1765">
        <v>458</v>
      </c>
      <c r="F1765">
        <v>487</v>
      </c>
      <c r="G1765">
        <v>521</v>
      </c>
      <c r="H1765">
        <v>0</v>
      </c>
      <c r="I1765">
        <f>VLOOKUP(Scores[[#This Row],[MRUN]],Demographics[],3,FALSE)</f>
        <v>4</v>
      </c>
      <c r="J1765">
        <f>AVERAGE(Scores[[#This Row],[LYC]],Scores[[#This Row],[MATE]])</f>
        <v>472.5</v>
      </c>
      <c r="K1765">
        <f>VLOOKUP(Scores[[#This Row],[MRUN]],Demographics[],6,FALSE)</f>
        <v>7</v>
      </c>
      <c r="L1765">
        <f>VLOOKUP(Scores[[#This Row],[MRUN]],Demographics[], 7,FALSE)</f>
        <v>7</v>
      </c>
      <c r="M1765">
        <f>VLOOKUP(Scores[[#This Row],[MRUN]],Demographics[], 5, FALSE)</f>
        <v>1</v>
      </c>
    </row>
    <row r="1766" spans="1:13" hidden="1" x14ac:dyDescent="0.2">
      <c r="A1766" s="1">
        <v>6768794</v>
      </c>
      <c r="B1766">
        <v>1</v>
      </c>
      <c r="C1766">
        <v>2</v>
      </c>
      <c r="D1766">
        <v>352</v>
      </c>
      <c r="E1766">
        <v>388</v>
      </c>
      <c r="F1766">
        <v>413</v>
      </c>
      <c r="G1766">
        <v>370</v>
      </c>
      <c r="H1766">
        <v>0</v>
      </c>
      <c r="I1766">
        <f>VLOOKUP(Scores[[#This Row],[MRUN]],Demographics[],3,FALSE)</f>
        <v>5</v>
      </c>
      <c r="J1766">
        <f>AVERAGE(Scores[[#This Row],[LYC]],Scores[[#This Row],[MATE]])</f>
        <v>400.5</v>
      </c>
      <c r="K1766">
        <f>VLOOKUP(Scores[[#This Row],[MRUN]],Demographics[],6,FALSE)</f>
        <v>9</v>
      </c>
      <c r="L1766">
        <f>VLOOKUP(Scores[[#This Row],[MRUN]],Demographics[], 7,FALSE)</f>
        <v>9</v>
      </c>
      <c r="M1766">
        <f>VLOOKUP(Scores[[#This Row],[MRUN]],Demographics[], 5, FALSE)</f>
        <v>2</v>
      </c>
    </row>
    <row r="1767" spans="1:13" hidden="1" x14ac:dyDescent="0.2">
      <c r="A1767" s="1">
        <v>23223488</v>
      </c>
      <c r="B1767">
        <v>2</v>
      </c>
      <c r="C1767">
        <v>2</v>
      </c>
      <c r="D1767">
        <v>435</v>
      </c>
      <c r="E1767">
        <v>602</v>
      </c>
      <c r="F1767">
        <v>549</v>
      </c>
      <c r="G1767">
        <v>692</v>
      </c>
      <c r="H1767">
        <v>0</v>
      </c>
      <c r="I1767">
        <f>VLOOKUP(Scores[[#This Row],[MRUN]],Demographics[],3,FALSE)</f>
        <v>6</v>
      </c>
      <c r="J1767">
        <f>AVERAGE(Scores[[#This Row],[LYC]],Scores[[#This Row],[MATE]])</f>
        <v>575.5</v>
      </c>
      <c r="K1767">
        <f>VLOOKUP(Scores[[#This Row],[MRUN]],Demographics[],6,FALSE)</f>
        <v>5</v>
      </c>
      <c r="L1767">
        <f>VLOOKUP(Scores[[#This Row],[MRUN]],Demographics[], 7,FALSE)</f>
        <v>3</v>
      </c>
      <c r="M1767">
        <f>VLOOKUP(Scores[[#This Row],[MRUN]],Demographics[], 5, FALSE)</f>
        <v>1</v>
      </c>
    </row>
    <row r="1768" spans="1:13" hidden="1" x14ac:dyDescent="0.2">
      <c r="A1768" s="1">
        <v>16914908</v>
      </c>
      <c r="B1768">
        <v>1</v>
      </c>
      <c r="C1768">
        <v>2</v>
      </c>
      <c r="D1768">
        <v>417</v>
      </c>
      <c r="E1768">
        <v>367</v>
      </c>
      <c r="F1768">
        <v>300</v>
      </c>
      <c r="G1768">
        <v>428</v>
      </c>
      <c r="H1768">
        <v>0</v>
      </c>
      <c r="I1768">
        <f>VLOOKUP(Scores[[#This Row],[MRUN]],Demographics[],3,FALSE)</f>
        <v>5</v>
      </c>
      <c r="J1768">
        <f>AVERAGE(Scores[[#This Row],[LYC]],Scores[[#This Row],[MATE]])</f>
        <v>333.5</v>
      </c>
      <c r="K1768">
        <f>VLOOKUP(Scores[[#This Row],[MRUN]],Demographics[],6,FALSE)</f>
        <v>2</v>
      </c>
      <c r="L1768">
        <f>VLOOKUP(Scores[[#This Row],[MRUN]],Demographics[], 7,FALSE)</f>
        <v>2</v>
      </c>
      <c r="M1768">
        <f>VLOOKUP(Scores[[#This Row],[MRUN]],Demographics[], 5, FALSE)</f>
        <v>1</v>
      </c>
    </row>
    <row r="1769" spans="1:13" hidden="1" x14ac:dyDescent="0.2">
      <c r="A1769" s="1">
        <v>5065676</v>
      </c>
      <c r="B1769">
        <v>2</v>
      </c>
      <c r="C1769">
        <v>4</v>
      </c>
      <c r="D1769">
        <v>538</v>
      </c>
      <c r="E1769">
        <v>618</v>
      </c>
      <c r="F1769">
        <v>606</v>
      </c>
      <c r="G1769">
        <v>572</v>
      </c>
      <c r="H1769">
        <v>0</v>
      </c>
      <c r="I1769">
        <f>VLOOKUP(Scores[[#This Row],[MRUN]],Demographics[],3,FALSE)</f>
        <v>0</v>
      </c>
      <c r="J1769">
        <f>AVERAGE(Scores[[#This Row],[LYC]],Scores[[#This Row],[MATE]])</f>
        <v>612</v>
      </c>
      <c r="K1769">
        <f>VLOOKUP(Scores[[#This Row],[MRUN]],Demographics[],6,FALSE)</f>
        <v>0</v>
      </c>
      <c r="L1769">
        <f>VLOOKUP(Scores[[#This Row],[MRUN]],Demographics[], 7,FALSE)</f>
        <v>0</v>
      </c>
      <c r="M1769">
        <f>VLOOKUP(Scores[[#This Row],[MRUN]],Demographics[], 5, FALSE)</f>
        <v>4</v>
      </c>
    </row>
    <row r="1770" spans="1:13" hidden="1" x14ac:dyDescent="0.2">
      <c r="A1770" s="1">
        <v>10839236</v>
      </c>
      <c r="B1770">
        <v>2</v>
      </c>
      <c r="C1770">
        <v>2</v>
      </c>
      <c r="D1770">
        <v>437</v>
      </c>
      <c r="E1770">
        <v>444</v>
      </c>
      <c r="F1770">
        <v>568</v>
      </c>
      <c r="G1770">
        <v>0</v>
      </c>
      <c r="H1770">
        <v>417</v>
      </c>
      <c r="I1770">
        <f>VLOOKUP(Scores[[#This Row],[MRUN]],Demographics[],3,FALSE)</f>
        <v>4</v>
      </c>
      <c r="J1770">
        <f>AVERAGE(Scores[[#This Row],[LYC]],Scores[[#This Row],[MATE]])</f>
        <v>506</v>
      </c>
      <c r="K1770">
        <f>VLOOKUP(Scores[[#This Row],[MRUN]],Demographics[],6,FALSE)</f>
        <v>5</v>
      </c>
      <c r="L1770">
        <f>VLOOKUP(Scores[[#This Row],[MRUN]],Demographics[], 7,FALSE)</f>
        <v>7</v>
      </c>
      <c r="M1770">
        <f>VLOOKUP(Scores[[#This Row],[MRUN]],Demographics[], 5, FALSE)</f>
        <v>1</v>
      </c>
    </row>
    <row r="1771" spans="1:13" hidden="1" x14ac:dyDescent="0.2">
      <c r="A1771" s="1">
        <v>15745969</v>
      </c>
      <c r="B1771">
        <v>1</v>
      </c>
      <c r="C1771">
        <v>2</v>
      </c>
      <c r="D1771">
        <v>620</v>
      </c>
      <c r="E1771">
        <v>531</v>
      </c>
      <c r="F1771">
        <v>549</v>
      </c>
      <c r="G1771">
        <v>582</v>
      </c>
      <c r="H1771">
        <v>497</v>
      </c>
      <c r="I1771">
        <f>VLOOKUP(Scores[[#This Row],[MRUN]],Demographics[],3,FALSE)</f>
        <v>5</v>
      </c>
      <c r="J1771">
        <f>AVERAGE(Scores[[#This Row],[LYC]],Scores[[#This Row],[MATE]])</f>
        <v>540</v>
      </c>
      <c r="K1771">
        <f>VLOOKUP(Scores[[#This Row],[MRUN]],Demographics[],6,FALSE)</f>
        <v>4</v>
      </c>
      <c r="L1771">
        <f>VLOOKUP(Scores[[#This Row],[MRUN]],Demographics[], 7,FALSE)</f>
        <v>5</v>
      </c>
      <c r="M1771">
        <f>VLOOKUP(Scores[[#This Row],[MRUN]],Demographics[], 5, FALSE)</f>
        <v>1</v>
      </c>
    </row>
    <row r="1772" spans="1:13" hidden="1" x14ac:dyDescent="0.2">
      <c r="A1772" s="1">
        <v>4632271</v>
      </c>
      <c r="B1772">
        <v>2</v>
      </c>
      <c r="C1772">
        <v>3</v>
      </c>
      <c r="D1772">
        <v>521</v>
      </c>
      <c r="E1772">
        <v>557</v>
      </c>
      <c r="F1772">
        <v>540</v>
      </c>
      <c r="G1772">
        <v>0</v>
      </c>
      <c r="H1772">
        <v>558</v>
      </c>
      <c r="I1772">
        <f>VLOOKUP(Scores[[#This Row],[MRUN]],Demographics[],3,FALSE)</f>
        <v>3</v>
      </c>
      <c r="J1772">
        <f>AVERAGE(Scores[[#This Row],[LYC]],Scores[[#This Row],[MATE]])</f>
        <v>548.5</v>
      </c>
      <c r="K1772">
        <f>VLOOKUP(Scores[[#This Row],[MRUN]],Demographics[],6,FALSE)</f>
        <v>7</v>
      </c>
      <c r="L1772">
        <f>VLOOKUP(Scores[[#This Row],[MRUN]],Demographics[], 7,FALSE)</f>
        <v>7</v>
      </c>
      <c r="M1772">
        <f>VLOOKUP(Scores[[#This Row],[MRUN]],Demographics[], 5, FALSE)</f>
        <v>2</v>
      </c>
    </row>
    <row r="1773" spans="1:13" hidden="1" x14ac:dyDescent="0.2">
      <c r="A1773" s="1">
        <v>2395429</v>
      </c>
      <c r="B1773">
        <v>1</v>
      </c>
      <c r="C1773">
        <v>2</v>
      </c>
      <c r="D1773">
        <v>455</v>
      </c>
      <c r="E1773">
        <v>557</v>
      </c>
      <c r="F1773">
        <v>494</v>
      </c>
      <c r="G1773">
        <v>572</v>
      </c>
      <c r="H1773">
        <v>523</v>
      </c>
      <c r="I1773">
        <f>VLOOKUP(Scores[[#This Row],[MRUN]],Demographics[],3,FALSE)</f>
        <v>6</v>
      </c>
      <c r="J1773">
        <f>AVERAGE(Scores[[#This Row],[LYC]],Scores[[#This Row],[MATE]])</f>
        <v>525.5</v>
      </c>
      <c r="K1773">
        <f>VLOOKUP(Scores[[#This Row],[MRUN]],Demographics[],6,FALSE)</f>
        <v>4</v>
      </c>
      <c r="L1773">
        <f>VLOOKUP(Scores[[#This Row],[MRUN]],Demographics[], 7,FALSE)</f>
        <v>1</v>
      </c>
      <c r="M1773">
        <f>VLOOKUP(Scores[[#This Row],[MRUN]],Demographics[], 5, FALSE)</f>
        <v>1</v>
      </c>
    </row>
    <row r="1774" spans="1:13" hidden="1" x14ac:dyDescent="0.2">
      <c r="A1774" s="1">
        <v>16179432</v>
      </c>
      <c r="B1774">
        <v>1</v>
      </c>
      <c r="C1774">
        <v>2</v>
      </c>
      <c r="D1774">
        <v>455</v>
      </c>
      <c r="E1774">
        <v>586</v>
      </c>
      <c r="F1774">
        <v>480</v>
      </c>
      <c r="G1774">
        <v>527</v>
      </c>
      <c r="H1774">
        <v>0</v>
      </c>
      <c r="I1774">
        <f>VLOOKUP(Scores[[#This Row],[MRUN]],Demographics[],3,FALSE)</f>
        <v>3</v>
      </c>
      <c r="J1774">
        <f>AVERAGE(Scores[[#This Row],[LYC]],Scores[[#This Row],[MATE]])</f>
        <v>533</v>
      </c>
      <c r="K1774">
        <f>VLOOKUP(Scores[[#This Row],[MRUN]],Demographics[],6,FALSE)</f>
        <v>5</v>
      </c>
      <c r="L1774">
        <f>VLOOKUP(Scores[[#This Row],[MRUN]],Demographics[], 7,FALSE)</f>
        <v>2</v>
      </c>
      <c r="M1774">
        <f>VLOOKUP(Scores[[#This Row],[MRUN]],Demographics[], 5, FALSE)</f>
        <v>1</v>
      </c>
    </row>
    <row r="1775" spans="1:13" hidden="1" x14ac:dyDescent="0.2">
      <c r="A1775" s="1">
        <v>5166550</v>
      </c>
      <c r="B1775">
        <v>2</v>
      </c>
      <c r="C1775">
        <v>2</v>
      </c>
      <c r="D1775">
        <v>620</v>
      </c>
      <c r="E1775">
        <v>510</v>
      </c>
      <c r="F1775">
        <v>395</v>
      </c>
      <c r="G1775">
        <v>537</v>
      </c>
      <c r="H1775">
        <v>459</v>
      </c>
      <c r="I1775">
        <f>VLOOKUP(Scores[[#This Row],[MRUN]],Demographics[],3,FALSE)</f>
        <v>4</v>
      </c>
      <c r="J1775">
        <f>AVERAGE(Scores[[#This Row],[LYC]],Scores[[#This Row],[MATE]])</f>
        <v>452.5</v>
      </c>
      <c r="K1775">
        <f>VLOOKUP(Scores[[#This Row],[MRUN]],Demographics[],6,FALSE)</f>
        <v>7</v>
      </c>
      <c r="L1775">
        <f>VLOOKUP(Scores[[#This Row],[MRUN]],Demographics[], 7,FALSE)</f>
        <v>7</v>
      </c>
      <c r="M1775">
        <f>VLOOKUP(Scores[[#This Row],[MRUN]],Demographics[], 5, FALSE)</f>
        <v>1</v>
      </c>
    </row>
    <row r="1776" spans="1:13" hidden="1" x14ac:dyDescent="0.2">
      <c r="A1776" s="1">
        <v>18416218</v>
      </c>
      <c r="B1776">
        <v>2</v>
      </c>
      <c r="C1776">
        <v>2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f>VLOOKUP(Scores[[#This Row],[MRUN]],Demographics[],3,FALSE)</f>
        <v>4</v>
      </c>
      <c r="J1776">
        <f>AVERAGE(Scores[[#This Row],[LYC]],Scores[[#This Row],[MATE]])</f>
        <v>0</v>
      </c>
      <c r="K1776">
        <f>VLOOKUP(Scores[[#This Row],[MRUN]],Demographics[],6,FALSE)</f>
        <v>5</v>
      </c>
      <c r="L1776">
        <f>VLOOKUP(Scores[[#This Row],[MRUN]],Demographics[], 7,FALSE)</f>
        <v>5</v>
      </c>
      <c r="M1776">
        <f>VLOOKUP(Scores[[#This Row],[MRUN]],Demographics[], 5, FALSE)</f>
        <v>1</v>
      </c>
    </row>
    <row r="1777" spans="1:13" hidden="1" x14ac:dyDescent="0.2">
      <c r="A1777" s="1">
        <v>10304913</v>
      </c>
      <c r="B1777">
        <v>1</v>
      </c>
      <c r="C1777">
        <v>2</v>
      </c>
      <c r="D1777">
        <v>476</v>
      </c>
      <c r="E1777">
        <v>444</v>
      </c>
      <c r="F1777">
        <v>376</v>
      </c>
      <c r="G1777">
        <v>501</v>
      </c>
      <c r="H1777">
        <v>0</v>
      </c>
      <c r="I1777">
        <f>VLOOKUP(Scores[[#This Row],[MRUN]],Demographics[],3,FALSE)</f>
        <v>5</v>
      </c>
      <c r="J1777">
        <f>AVERAGE(Scores[[#This Row],[LYC]],Scores[[#This Row],[MATE]])</f>
        <v>410</v>
      </c>
      <c r="K1777">
        <f>VLOOKUP(Scores[[#This Row],[MRUN]],Demographics[],6,FALSE)</f>
        <v>3</v>
      </c>
      <c r="L1777">
        <f>VLOOKUP(Scores[[#This Row],[MRUN]],Demographics[], 7,FALSE)</f>
        <v>5</v>
      </c>
      <c r="M1777">
        <f>VLOOKUP(Scores[[#This Row],[MRUN]],Demographics[], 5, FALSE)</f>
        <v>1</v>
      </c>
    </row>
    <row r="1778" spans="1:13" hidden="1" x14ac:dyDescent="0.2">
      <c r="A1778" s="1">
        <v>14043636</v>
      </c>
      <c r="B1778">
        <v>2</v>
      </c>
      <c r="C1778">
        <v>2</v>
      </c>
      <c r="D1778">
        <v>621</v>
      </c>
      <c r="E1778">
        <v>581</v>
      </c>
      <c r="F1778">
        <v>463</v>
      </c>
      <c r="G1778">
        <v>582</v>
      </c>
      <c r="H1778">
        <v>0</v>
      </c>
      <c r="I1778">
        <f>VLOOKUP(Scores[[#This Row],[MRUN]],Demographics[],3,FALSE)</f>
        <v>5</v>
      </c>
      <c r="J1778">
        <f>AVERAGE(Scores[[#This Row],[LYC]],Scores[[#This Row],[MATE]])</f>
        <v>522</v>
      </c>
      <c r="K1778">
        <f>VLOOKUP(Scores[[#This Row],[MRUN]],Demographics[],6,FALSE)</f>
        <v>5</v>
      </c>
      <c r="L1778">
        <f>VLOOKUP(Scores[[#This Row],[MRUN]],Demographics[], 7,FALSE)</f>
        <v>5</v>
      </c>
      <c r="M1778">
        <f>VLOOKUP(Scores[[#This Row],[MRUN]],Demographics[], 5, FALSE)</f>
        <v>2</v>
      </c>
    </row>
    <row r="1779" spans="1:13" hidden="1" x14ac:dyDescent="0.2">
      <c r="A1779" s="1">
        <v>14245045</v>
      </c>
      <c r="B1779">
        <v>2</v>
      </c>
      <c r="C1779">
        <v>4</v>
      </c>
      <c r="D1779">
        <v>455</v>
      </c>
      <c r="E1779">
        <v>471</v>
      </c>
      <c r="F1779">
        <v>517</v>
      </c>
      <c r="G1779">
        <v>0</v>
      </c>
      <c r="H1779">
        <v>449</v>
      </c>
      <c r="I1779">
        <f>VLOOKUP(Scores[[#This Row],[MRUN]],Demographics[],3,FALSE)</f>
        <v>3</v>
      </c>
      <c r="J1779">
        <f>AVERAGE(Scores[[#This Row],[LYC]],Scores[[#This Row],[MATE]])</f>
        <v>494</v>
      </c>
      <c r="K1779">
        <f>VLOOKUP(Scores[[#This Row],[MRUN]],Demographics[],6,FALSE)</f>
        <v>9</v>
      </c>
      <c r="L1779">
        <f>VLOOKUP(Scores[[#This Row],[MRUN]],Demographics[], 7,FALSE)</f>
        <v>3</v>
      </c>
      <c r="M1779">
        <f>VLOOKUP(Scores[[#This Row],[MRUN]],Demographics[], 5, FALSE)</f>
        <v>2</v>
      </c>
    </row>
    <row r="1780" spans="1:13" hidden="1" x14ac:dyDescent="0.2">
      <c r="A1780" s="1">
        <v>11575181</v>
      </c>
      <c r="B1780">
        <v>1</v>
      </c>
      <c r="C1780">
        <v>3</v>
      </c>
      <c r="D1780">
        <v>641</v>
      </c>
      <c r="E1780">
        <v>526</v>
      </c>
      <c r="F1780">
        <v>531</v>
      </c>
      <c r="G1780">
        <v>567</v>
      </c>
      <c r="H1780">
        <v>0</v>
      </c>
      <c r="I1780">
        <f>VLOOKUP(Scores[[#This Row],[MRUN]],Demographics[],3,FALSE)</f>
        <v>6</v>
      </c>
      <c r="J1780">
        <f>AVERAGE(Scores[[#This Row],[LYC]],Scores[[#This Row],[MATE]])</f>
        <v>528.5</v>
      </c>
      <c r="K1780">
        <f>VLOOKUP(Scores[[#This Row],[MRUN]],Demographics[],6,FALSE)</f>
        <v>5</v>
      </c>
      <c r="L1780">
        <f>VLOOKUP(Scores[[#This Row],[MRUN]],Demographics[], 7,FALSE)</f>
        <v>3</v>
      </c>
      <c r="M1780">
        <f>VLOOKUP(Scores[[#This Row],[MRUN]],Demographics[], 5, FALSE)</f>
        <v>1</v>
      </c>
    </row>
    <row r="1781" spans="1:13" hidden="1" x14ac:dyDescent="0.2">
      <c r="A1781" s="1">
        <v>359656</v>
      </c>
      <c r="B1781">
        <v>2</v>
      </c>
      <c r="C1781">
        <v>3</v>
      </c>
      <c r="D1781">
        <v>397</v>
      </c>
      <c r="E1781">
        <v>0</v>
      </c>
      <c r="F1781">
        <v>0</v>
      </c>
      <c r="G1781">
        <v>0</v>
      </c>
      <c r="H1781">
        <v>0</v>
      </c>
      <c r="I1781">
        <f>VLOOKUP(Scores[[#This Row],[MRUN]],Demographics[],3,FALSE)</f>
        <v>0</v>
      </c>
      <c r="J1781">
        <f>AVERAGE(Scores[[#This Row],[LYC]],Scores[[#This Row],[MATE]])</f>
        <v>0</v>
      </c>
      <c r="K1781">
        <f>VLOOKUP(Scores[[#This Row],[MRUN]],Demographics[],6,FALSE)</f>
        <v>3</v>
      </c>
      <c r="L1781">
        <f>VLOOKUP(Scores[[#This Row],[MRUN]],Demographics[], 7,FALSE)</f>
        <v>3</v>
      </c>
      <c r="M1781">
        <f>VLOOKUP(Scores[[#This Row],[MRUN]],Demographics[], 5, FALSE)</f>
        <v>1</v>
      </c>
    </row>
    <row r="1782" spans="1:13" hidden="1" x14ac:dyDescent="0.2">
      <c r="A1782" s="1">
        <v>15312683</v>
      </c>
      <c r="B1782">
        <v>2</v>
      </c>
      <c r="C1782">
        <v>2</v>
      </c>
      <c r="D1782">
        <v>455</v>
      </c>
      <c r="E1782">
        <v>0</v>
      </c>
      <c r="F1782">
        <v>0</v>
      </c>
      <c r="G1782">
        <v>0</v>
      </c>
      <c r="H1782">
        <v>0</v>
      </c>
      <c r="I1782">
        <f>VLOOKUP(Scores[[#This Row],[MRUN]],Demographics[],3,FALSE)</f>
        <v>0</v>
      </c>
      <c r="J1782">
        <f>AVERAGE(Scores[[#This Row],[LYC]],Scores[[#This Row],[MATE]])</f>
        <v>0</v>
      </c>
      <c r="K1782">
        <f>VLOOKUP(Scores[[#This Row],[MRUN]],Demographics[],6,FALSE)</f>
        <v>0</v>
      </c>
      <c r="L1782">
        <f>VLOOKUP(Scores[[#This Row],[MRUN]],Demographics[], 7,FALSE)</f>
        <v>0</v>
      </c>
      <c r="M1782">
        <f>VLOOKUP(Scores[[#This Row],[MRUN]],Demographics[], 5, FALSE)</f>
        <v>1</v>
      </c>
    </row>
    <row r="1783" spans="1:13" hidden="1" x14ac:dyDescent="0.2">
      <c r="A1783" s="1">
        <v>16814449</v>
      </c>
      <c r="B1783">
        <v>1</v>
      </c>
      <c r="C1783">
        <v>2</v>
      </c>
      <c r="D1783">
        <v>478</v>
      </c>
      <c r="E1783">
        <v>464</v>
      </c>
      <c r="F1783">
        <v>531</v>
      </c>
      <c r="G1783">
        <v>473</v>
      </c>
      <c r="H1783">
        <v>0</v>
      </c>
      <c r="I1783">
        <f>VLOOKUP(Scores[[#This Row],[MRUN]],Demographics[],3,FALSE)</f>
        <v>5</v>
      </c>
      <c r="J1783">
        <f>AVERAGE(Scores[[#This Row],[LYC]],Scores[[#This Row],[MATE]])</f>
        <v>497.5</v>
      </c>
      <c r="K1783">
        <f>VLOOKUP(Scores[[#This Row],[MRUN]],Demographics[],6,FALSE)</f>
        <v>4</v>
      </c>
      <c r="L1783">
        <f>VLOOKUP(Scores[[#This Row],[MRUN]],Demographics[], 7,FALSE)</f>
        <v>3</v>
      </c>
      <c r="M1783">
        <f>VLOOKUP(Scores[[#This Row],[MRUN]],Demographics[], 5, FALSE)</f>
        <v>1</v>
      </c>
    </row>
    <row r="1784" spans="1:13" hidden="1" x14ac:dyDescent="0.2">
      <c r="A1784" s="1">
        <v>23757376</v>
      </c>
      <c r="B1784">
        <v>2</v>
      </c>
      <c r="C1784">
        <v>2</v>
      </c>
      <c r="D1784">
        <v>785</v>
      </c>
      <c r="E1784">
        <v>683</v>
      </c>
      <c r="F1784">
        <v>728</v>
      </c>
      <c r="G1784">
        <v>684</v>
      </c>
      <c r="H1784">
        <v>0</v>
      </c>
      <c r="I1784">
        <f>VLOOKUP(Scores[[#This Row],[MRUN]],Demographics[],3,FALSE)</f>
        <v>5</v>
      </c>
      <c r="J1784">
        <f>AVERAGE(Scores[[#This Row],[LYC]],Scores[[#This Row],[MATE]])</f>
        <v>705.5</v>
      </c>
      <c r="K1784">
        <f>VLOOKUP(Scores[[#This Row],[MRUN]],Demographics[],6,FALSE)</f>
        <v>2</v>
      </c>
      <c r="L1784">
        <f>VLOOKUP(Scores[[#This Row],[MRUN]],Demographics[], 7,FALSE)</f>
        <v>2</v>
      </c>
      <c r="M1784">
        <f>VLOOKUP(Scores[[#This Row],[MRUN]],Demographics[], 5, FALSE)</f>
        <v>1</v>
      </c>
    </row>
    <row r="1785" spans="1:13" hidden="1" x14ac:dyDescent="0.2">
      <c r="A1785" s="1">
        <v>9972561</v>
      </c>
      <c r="B1785">
        <v>1</v>
      </c>
      <c r="C1785">
        <v>2</v>
      </c>
      <c r="D1785">
        <v>538</v>
      </c>
      <c r="E1785">
        <v>438</v>
      </c>
      <c r="F1785">
        <v>527</v>
      </c>
      <c r="G1785">
        <v>0</v>
      </c>
      <c r="H1785">
        <v>307</v>
      </c>
      <c r="I1785">
        <f>VLOOKUP(Scores[[#This Row],[MRUN]],Demographics[],3,FALSE)</f>
        <v>4</v>
      </c>
      <c r="J1785">
        <f>AVERAGE(Scores[[#This Row],[LYC]],Scores[[#This Row],[MATE]])</f>
        <v>482.5</v>
      </c>
      <c r="K1785">
        <f>VLOOKUP(Scores[[#This Row],[MRUN]],Demographics[],6,FALSE)</f>
        <v>0</v>
      </c>
      <c r="L1785">
        <f>VLOOKUP(Scores[[#This Row],[MRUN]],Demographics[], 7,FALSE)</f>
        <v>2</v>
      </c>
      <c r="M1785">
        <f>VLOOKUP(Scores[[#This Row],[MRUN]],Demographics[], 5, FALSE)</f>
        <v>1</v>
      </c>
    </row>
    <row r="1786" spans="1:13" hidden="1" x14ac:dyDescent="0.2">
      <c r="A1786" s="1">
        <v>15745970</v>
      </c>
      <c r="B1786">
        <v>1</v>
      </c>
      <c r="C1786">
        <v>3</v>
      </c>
      <c r="D1786">
        <v>478</v>
      </c>
      <c r="E1786">
        <v>406</v>
      </c>
      <c r="F1786">
        <v>376</v>
      </c>
      <c r="G1786">
        <v>449</v>
      </c>
      <c r="H1786">
        <v>417</v>
      </c>
      <c r="I1786">
        <f>VLOOKUP(Scores[[#This Row],[MRUN]],Demographics[],3,FALSE)</f>
        <v>4</v>
      </c>
      <c r="J1786">
        <f>AVERAGE(Scores[[#This Row],[LYC]],Scores[[#This Row],[MATE]])</f>
        <v>391</v>
      </c>
      <c r="K1786">
        <f>VLOOKUP(Scores[[#This Row],[MRUN]],Demographics[],6,FALSE)</f>
        <v>0</v>
      </c>
      <c r="L1786">
        <f>VLOOKUP(Scores[[#This Row],[MRUN]],Demographics[], 7,FALSE)</f>
        <v>4</v>
      </c>
      <c r="M1786">
        <f>VLOOKUP(Scores[[#This Row],[MRUN]],Demographics[], 5, FALSE)</f>
        <v>1</v>
      </c>
    </row>
    <row r="1787" spans="1:13" hidden="1" x14ac:dyDescent="0.2">
      <c r="A1787" s="1">
        <v>9438846</v>
      </c>
      <c r="B1787">
        <v>1</v>
      </c>
      <c r="C1787">
        <v>2</v>
      </c>
      <c r="D1787">
        <v>579</v>
      </c>
      <c r="E1787">
        <v>521</v>
      </c>
      <c r="F1787">
        <v>452</v>
      </c>
      <c r="G1787">
        <v>586</v>
      </c>
      <c r="H1787">
        <v>0</v>
      </c>
      <c r="I1787">
        <f>VLOOKUP(Scores[[#This Row],[MRUN]],Demographics[],3,FALSE)</f>
        <v>2</v>
      </c>
      <c r="J1787">
        <f>AVERAGE(Scores[[#This Row],[LYC]],Scores[[#This Row],[MATE]])</f>
        <v>486.5</v>
      </c>
      <c r="K1787">
        <f>VLOOKUP(Scores[[#This Row],[MRUN]],Demographics[],6,FALSE)</f>
        <v>2</v>
      </c>
      <c r="L1787">
        <f>VLOOKUP(Scores[[#This Row],[MRUN]],Demographics[], 7,FALSE)</f>
        <v>5</v>
      </c>
      <c r="M1787">
        <f>VLOOKUP(Scores[[#This Row],[MRUN]],Demographics[], 5, FALSE)</f>
        <v>1</v>
      </c>
    </row>
    <row r="1788" spans="1:13" hidden="1" x14ac:dyDescent="0.2">
      <c r="A1788" s="1">
        <v>23122676</v>
      </c>
      <c r="B1788">
        <v>1</v>
      </c>
      <c r="C1788">
        <v>2</v>
      </c>
      <c r="D1788">
        <v>437</v>
      </c>
      <c r="E1788">
        <v>516</v>
      </c>
      <c r="F1788">
        <v>501</v>
      </c>
      <c r="G1788">
        <v>516</v>
      </c>
      <c r="H1788">
        <v>0</v>
      </c>
      <c r="I1788">
        <f>VLOOKUP(Scores[[#This Row],[MRUN]],Demographics[],3,FALSE)</f>
        <v>3</v>
      </c>
      <c r="J1788">
        <f>AVERAGE(Scores[[#This Row],[LYC]],Scores[[#This Row],[MATE]])</f>
        <v>508.5</v>
      </c>
      <c r="K1788">
        <f>VLOOKUP(Scores[[#This Row],[MRUN]],Demographics[],6,FALSE)</f>
        <v>8</v>
      </c>
      <c r="L1788">
        <f>VLOOKUP(Scores[[#This Row],[MRUN]],Demographics[], 7,FALSE)</f>
        <v>4</v>
      </c>
      <c r="M1788">
        <f>VLOOKUP(Scores[[#This Row],[MRUN]],Demographics[], 5, FALSE)</f>
        <v>1</v>
      </c>
    </row>
    <row r="1789" spans="1:13" hidden="1" x14ac:dyDescent="0.2">
      <c r="A1789" s="1">
        <v>23656428</v>
      </c>
      <c r="B1789">
        <v>2</v>
      </c>
      <c r="C1789">
        <v>3</v>
      </c>
      <c r="D1789">
        <v>397</v>
      </c>
      <c r="E1789">
        <v>0</v>
      </c>
      <c r="F1789">
        <v>0</v>
      </c>
      <c r="G1789">
        <v>0</v>
      </c>
      <c r="H1789">
        <v>0</v>
      </c>
      <c r="I1789">
        <f>VLOOKUP(Scores[[#This Row],[MRUN]],Demographics[],3,FALSE)</f>
        <v>5</v>
      </c>
      <c r="J1789">
        <f>AVERAGE(Scores[[#This Row],[LYC]],Scores[[#This Row],[MATE]])</f>
        <v>0</v>
      </c>
      <c r="K1789">
        <f>VLOOKUP(Scores[[#This Row],[MRUN]],Demographics[],6,FALSE)</f>
        <v>4</v>
      </c>
      <c r="L1789">
        <f>VLOOKUP(Scores[[#This Row],[MRUN]],Demographics[], 7,FALSE)</f>
        <v>4</v>
      </c>
      <c r="M1789">
        <f>VLOOKUP(Scores[[#This Row],[MRUN]],Demographics[], 5, FALSE)</f>
        <v>1</v>
      </c>
    </row>
    <row r="1790" spans="1:13" hidden="1" x14ac:dyDescent="0.2">
      <c r="A1790" s="1">
        <v>15661129</v>
      </c>
      <c r="B1790">
        <v>2</v>
      </c>
      <c r="C1790">
        <v>2</v>
      </c>
      <c r="D1790">
        <v>519</v>
      </c>
      <c r="E1790">
        <v>430</v>
      </c>
      <c r="F1790">
        <v>487</v>
      </c>
      <c r="G1790">
        <v>449</v>
      </c>
      <c r="H1790">
        <v>0</v>
      </c>
      <c r="I1790">
        <f>VLOOKUP(Scores[[#This Row],[MRUN]],Demographics[],3,FALSE)</f>
        <v>5</v>
      </c>
      <c r="J1790">
        <f>AVERAGE(Scores[[#This Row],[LYC]],Scores[[#This Row],[MATE]])</f>
        <v>458.5</v>
      </c>
      <c r="K1790">
        <f>VLOOKUP(Scores[[#This Row],[MRUN]],Demographics[],6,FALSE)</f>
        <v>3</v>
      </c>
      <c r="L1790">
        <f>VLOOKUP(Scores[[#This Row],[MRUN]],Demographics[], 7,FALSE)</f>
        <v>3</v>
      </c>
      <c r="M1790">
        <f>VLOOKUP(Scores[[#This Row],[MRUN]],Demographics[], 5, FALSE)</f>
        <v>1</v>
      </c>
    </row>
    <row r="1791" spans="1:13" hidden="1" x14ac:dyDescent="0.2">
      <c r="A1791" s="1">
        <v>15127344</v>
      </c>
      <c r="B1791">
        <v>1</v>
      </c>
      <c r="C1791">
        <v>2</v>
      </c>
      <c r="D1791">
        <v>455</v>
      </c>
      <c r="E1791">
        <v>345</v>
      </c>
      <c r="F1791">
        <v>428</v>
      </c>
      <c r="G1791">
        <v>466</v>
      </c>
      <c r="H1791">
        <v>0</v>
      </c>
      <c r="I1791">
        <f>VLOOKUP(Scores[[#This Row],[MRUN]],Demographics[],3,FALSE)</f>
        <v>8</v>
      </c>
      <c r="J1791">
        <f>AVERAGE(Scores[[#This Row],[LYC]],Scores[[#This Row],[MATE]])</f>
        <v>386.5</v>
      </c>
      <c r="K1791">
        <f>VLOOKUP(Scores[[#This Row],[MRUN]],Demographics[],6,FALSE)</f>
        <v>1</v>
      </c>
      <c r="L1791">
        <f>VLOOKUP(Scores[[#This Row],[MRUN]],Demographics[], 7,FALSE)</f>
        <v>8</v>
      </c>
      <c r="M1791">
        <f>VLOOKUP(Scores[[#This Row],[MRUN]],Demographics[], 5, FALSE)</f>
        <v>1</v>
      </c>
    </row>
    <row r="1792" spans="1:13" hidden="1" x14ac:dyDescent="0.2">
      <c r="A1792" s="1">
        <v>24970245</v>
      </c>
      <c r="B1792">
        <v>1</v>
      </c>
      <c r="C1792">
        <v>3</v>
      </c>
      <c r="D1792">
        <v>435</v>
      </c>
      <c r="E1792">
        <v>451</v>
      </c>
      <c r="F1792">
        <v>574</v>
      </c>
      <c r="G1792">
        <v>541</v>
      </c>
      <c r="H1792">
        <v>497</v>
      </c>
      <c r="I1792">
        <f>VLOOKUP(Scores[[#This Row],[MRUN]],Demographics[],3,FALSE)</f>
        <v>5</v>
      </c>
      <c r="J1792">
        <f>AVERAGE(Scores[[#This Row],[LYC]],Scores[[#This Row],[MATE]])</f>
        <v>512.5</v>
      </c>
      <c r="K1792">
        <f>VLOOKUP(Scores[[#This Row],[MRUN]],Demographics[],6,FALSE)</f>
        <v>5</v>
      </c>
      <c r="L1792">
        <f>VLOOKUP(Scores[[#This Row],[MRUN]],Demographics[], 7,FALSE)</f>
        <v>5</v>
      </c>
      <c r="M1792">
        <f>VLOOKUP(Scores[[#This Row],[MRUN]],Demographics[], 5, FALSE)</f>
        <v>1</v>
      </c>
    </row>
    <row r="1793" spans="1:13" hidden="1" x14ac:dyDescent="0.2">
      <c r="A1793" s="1">
        <v>23037134</v>
      </c>
      <c r="B1793">
        <v>2</v>
      </c>
      <c r="C1793">
        <v>2</v>
      </c>
      <c r="D1793">
        <v>662</v>
      </c>
      <c r="E1793">
        <v>476</v>
      </c>
      <c r="F1793">
        <v>494</v>
      </c>
      <c r="G1793">
        <v>449</v>
      </c>
      <c r="H1793">
        <v>0</v>
      </c>
      <c r="I1793">
        <f>VLOOKUP(Scores[[#This Row],[MRUN]],Demographics[],3,FALSE)</f>
        <v>6</v>
      </c>
      <c r="J1793">
        <f>AVERAGE(Scores[[#This Row],[LYC]],Scores[[#This Row],[MATE]])</f>
        <v>485</v>
      </c>
      <c r="K1793">
        <f>VLOOKUP(Scores[[#This Row],[MRUN]],Demographics[],6,FALSE)</f>
        <v>3</v>
      </c>
      <c r="L1793">
        <f>VLOOKUP(Scores[[#This Row],[MRUN]],Demographics[], 7,FALSE)</f>
        <v>3</v>
      </c>
      <c r="M1793">
        <f>VLOOKUP(Scores[[#This Row],[MRUN]],Demographics[], 5, FALSE)</f>
        <v>1</v>
      </c>
    </row>
    <row r="1794" spans="1:13" hidden="1" x14ac:dyDescent="0.2">
      <c r="A1794" s="1">
        <v>22935468</v>
      </c>
      <c r="B1794">
        <v>1</v>
      </c>
      <c r="C1794">
        <v>2</v>
      </c>
      <c r="D1794">
        <v>620</v>
      </c>
      <c r="E1794">
        <v>629</v>
      </c>
      <c r="F1794">
        <v>564</v>
      </c>
      <c r="G1794">
        <v>670</v>
      </c>
      <c r="H1794">
        <v>0</v>
      </c>
      <c r="I1794">
        <f>VLOOKUP(Scores[[#This Row],[MRUN]],Demographics[],3,FALSE)</f>
        <v>6</v>
      </c>
      <c r="J1794">
        <f>AVERAGE(Scores[[#This Row],[LYC]],Scores[[#This Row],[MATE]])</f>
        <v>596.5</v>
      </c>
      <c r="K1794">
        <f>VLOOKUP(Scores[[#This Row],[MRUN]],Demographics[],6,FALSE)</f>
        <v>9</v>
      </c>
      <c r="L1794">
        <f>VLOOKUP(Scores[[#This Row],[MRUN]],Demographics[], 7,FALSE)</f>
        <v>5</v>
      </c>
      <c r="M1794">
        <f>VLOOKUP(Scores[[#This Row],[MRUN]],Demographics[], 5, FALSE)</f>
        <v>1</v>
      </c>
    </row>
    <row r="1795" spans="1:13" hidden="1" x14ac:dyDescent="0.2">
      <c r="A1795" s="1">
        <v>14390494</v>
      </c>
      <c r="B1795">
        <v>2</v>
      </c>
      <c r="C1795">
        <v>3</v>
      </c>
      <c r="D1795">
        <v>499</v>
      </c>
      <c r="E1795">
        <v>345</v>
      </c>
      <c r="F1795">
        <v>0</v>
      </c>
      <c r="G1795">
        <v>0</v>
      </c>
      <c r="H1795">
        <v>0</v>
      </c>
      <c r="I1795">
        <f>VLOOKUP(Scores[[#This Row],[MRUN]],Demographics[],3,FALSE)</f>
        <v>5</v>
      </c>
      <c r="J1795">
        <f>AVERAGE(Scores[[#This Row],[LYC]],Scores[[#This Row],[MATE]])</f>
        <v>172.5</v>
      </c>
      <c r="K1795">
        <f>VLOOKUP(Scores[[#This Row],[MRUN]],Demographics[],6,FALSE)</f>
        <v>4</v>
      </c>
      <c r="L1795">
        <f>VLOOKUP(Scores[[#This Row],[MRUN]],Demographics[], 7,FALSE)</f>
        <v>4</v>
      </c>
      <c r="M1795">
        <f>VLOOKUP(Scores[[#This Row],[MRUN]],Demographics[], 5, FALSE)</f>
        <v>1</v>
      </c>
    </row>
    <row r="1796" spans="1:13" hidden="1" x14ac:dyDescent="0.2">
      <c r="A1796" s="1">
        <v>13423811</v>
      </c>
      <c r="B1796">
        <v>2</v>
      </c>
      <c r="C1796">
        <v>3</v>
      </c>
      <c r="D1796">
        <v>519</v>
      </c>
      <c r="E1796">
        <v>499</v>
      </c>
      <c r="F1796">
        <v>413</v>
      </c>
      <c r="G1796">
        <v>506</v>
      </c>
      <c r="H1796">
        <v>0</v>
      </c>
      <c r="I1796">
        <f>VLOOKUP(Scores[[#This Row],[MRUN]],Demographics[],3,FALSE)</f>
        <v>3</v>
      </c>
      <c r="J1796">
        <f>AVERAGE(Scores[[#This Row],[LYC]],Scores[[#This Row],[MATE]])</f>
        <v>456</v>
      </c>
      <c r="K1796">
        <f>VLOOKUP(Scores[[#This Row],[MRUN]],Demographics[],6,FALSE)</f>
        <v>2</v>
      </c>
      <c r="L1796">
        <f>VLOOKUP(Scores[[#This Row],[MRUN]],Demographics[], 7,FALSE)</f>
        <v>3</v>
      </c>
      <c r="M1796">
        <f>VLOOKUP(Scores[[#This Row],[MRUN]],Demographics[], 5, FALSE)</f>
        <v>1</v>
      </c>
    </row>
    <row r="1797" spans="1:13" hidden="1" x14ac:dyDescent="0.2">
      <c r="A1797" s="1">
        <v>24638959</v>
      </c>
      <c r="B1797">
        <v>2</v>
      </c>
      <c r="C1797">
        <v>2</v>
      </c>
      <c r="D1797">
        <v>437</v>
      </c>
      <c r="E1797">
        <v>345</v>
      </c>
      <c r="F1797">
        <v>452</v>
      </c>
      <c r="G1797">
        <v>397</v>
      </c>
      <c r="H1797">
        <v>0</v>
      </c>
      <c r="I1797">
        <f>VLOOKUP(Scores[[#This Row],[MRUN]],Demographics[],3,FALSE)</f>
        <v>6</v>
      </c>
      <c r="J1797">
        <f>AVERAGE(Scores[[#This Row],[LYC]],Scores[[#This Row],[MATE]])</f>
        <v>398.5</v>
      </c>
      <c r="K1797">
        <f>VLOOKUP(Scores[[#This Row],[MRUN]],Demographics[],6,FALSE)</f>
        <v>5</v>
      </c>
      <c r="L1797">
        <f>VLOOKUP(Scores[[#This Row],[MRUN]],Demographics[], 7,FALSE)</f>
        <v>3</v>
      </c>
      <c r="M1797">
        <f>VLOOKUP(Scores[[#This Row],[MRUN]],Demographics[], 5, FALSE)</f>
        <v>2</v>
      </c>
    </row>
    <row r="1798" spans="1:13" hidden="1" x14ac:dyDescent="0.2">
      <c r="A1798" s="1">
        <v>6137415</v>
      </c>
      <c r="B1798">
        <v>1</v>
      </c>
      <c r="C1798">
        <v>2</v>
      </c>
      <c r="D1798">
        <v>393</v>
      </c>
      <c r="E1798">
        <v>0</v>
      </c>
      <c r="F1798">
        <v>0</v>
      </c>
      <c r="G1798">
        <v>0</v>
      </c>
      <c r="H1798">
        <v>0</v>
      </c>
      <c r="I1798">
        <f>VLOOKUP(Scores[[#This Row],[MRUN]],Demographics[],3,FALSE)</f>
        <v>4</v>
      </c>
      <c r="J1798">
        <f>AVERAGE(Scores[[#This Row],[LYC]],Scores[[#This Row],[MATE]])</f>
        <v>0</v>
      </c>
      <c r="K1798">
        <f>VLOOKUP(Scores[[#This Row],[MRUN]],Demographics[],6,FALSE)</f>
        <v>5</v>
      </c>
      <c r="L1798">
        <f>VLOOKUP(Scores[[#This Row],[MRUN]],Demographics[], 7,FALSE)</f>
        <v>3</v>
      </c>
      <c r="M1798">
        <f>VLOOKUP(Scores[[#This Row],[MRUN]],Demographics[], 5, FALSE)</f>
        <v>1</v>
      </c>
    </row>
    <row r="1799" spans="1:13" hidden="1" x14ac:dyDescent="0.2">
      <c r="A1799" s="1">
        <v>24310232</v>
      </c>
      <c r="B1799">
        <v>2</v>
      </c>
      <c r="C1799">
        <v>3</v>
      </c>
      <c r="D1799">
        <v>478</v>
      </c>
      <c r="E1799">
        <v>0</v>
      </c>
      <c r="F1799">
        <v>0</v>
      </c>
      <c r="G1799">
        <v>0</v>
      </c>
      <c r="H1799">
        <v>0</v>
      </c>
      <c r="I1799">
        <f>VLOOKUP(Scores[[#This Row],[MRUN]],Demographics[],3,FALSE)</f>
        <v>4</v>
      </c>
      <c r="J1799">
        <f>AVERAGE(Scores[[#This Row],[LYC]],Scores[[#This Row],[MATE]])</f>
        <v>0</v>
      </c>
      <c r="K1799">
        <f>VLOOKUP(Scores[[#This Row],[MRUN]],Demographics[],6,FALSE)</f>
        <v>5</v>
      </c>
      <c r="L1799">
        <f>VLOOKUP(Scores[[#This Row],[MRUN]],Demographics[], 7,FALSE)</f>
        <v>5</v>
      </c>
      <c r="M1799">
        <f>VLOOKUP(Scores[[#This Row],[MRUN]],Demographics[], 5, FALSE)</f>
        <v>1</v>
      </c>
    </row>
    <row r="1800" spans="1:13" hidden="1" x14ac:dyDescent="0.2">
      <c r="A1800" s="1">
        <v>20572476</v>
      </c>
      <c r="B1800">
        <v>2</v>
      </c>
      <c r="C1800">
        <v>3</v>
      </c>
      <c r="D1800">
        <v>560</v>
      </c>
      <c r="E1800">
        <v>367</v>
      </c>
      <c r="F1800">
        <v>472</v>
      </c>
      <c r="G1800">
        <v>0</v>
      </c>
      <c r="H1800">
        <v>459</v>
      </c>
      <c r="I1800">
        <f>VLOOKUP(Scores[[#This Row],[MRUN]],Demographics[],3,FALSE)</f>
        <v>8</v>
      </c>
      <c r="J1800">
        <f>AVERAGE(Scores[[#This Row],[LYC]],Scores[[#This Row],[MATE]])</f>
        <v>419.5</v>
      </c>
      <c r="K1800">
        <f>VLOOKUP(Scores[[#This Row],[MRUN]],Demographics[],6,FALSE)</f>
        <v>2</v>
      </c>
      <c r="L1800">
        <f>VLOOKUP(Scores[[#This Row],[MRUN]],Demographics[], 7,FALSE)</f>
        <v>2</v>
      </c>
      <c r="M1800">
        <f>VLOOKUP(Scores[[#This Row],[MRUN]],Demographics[], 5, FALSE)</f>
        <v>1</v>
      </c>
    </row>
    <row r="1801" spans="1:13" hidden="1" x14ac:dyDescent="0.2">
      <c r="A1801" s="1">
        <v>18334643</v>
      </c>
      <c r="B1801">
        <v>1</v>
      </c>
      <c r="C1801">
        <v>3</v>
      </c>
      <c r="D1801">
        <v>744</v>
      </c>
      <c r="E1801">
        <v>648</v>
      </c>
      <c r="F1801">
        <v>738</v>
      </c>
      <c r="G1801">
        <v>0</v>
      </c>
      <c r="H1801">
        <v>767</v>
      </c>
      <c r="I1801">
        <f>VLOOKUP(Scores[[#This Row],[MRUN]],Demographics[],3,FALSE)</f>
        <v>4</v>
      </c>
      <c r="J1801">
        <f>AVERAGE(Scores[[#This Row],[LYC]],Scores[[#This Row],[MATE]])</f>
        <v>693</v>
      </c>
      <c r="K1801">
        <f>VLOOKUP(Scores[[#This Row],[MRUN]],Demographics[],6,FALSE)</f>
        <v>1</v>
      </c>
      <c r="L1801">
        <f>VLOOKUP(Scores[[#This Row],[MRUN]],Demographics[], 7,FALSE)</f>
        <v>2</v>
      </c>
      <c r="M1801">
        <f>VLOOKUP(Scores[[#This Row],[MRUN]],Demographics[], 5, FALSE)</f>
        <v>1</v>
      </c>
    </row>
    <row r="1802" spans="1:13" hidden="1" x14ac:dyDescent="0.2">
      <c r="A1802" s="1">
        <v>2571944</v>
      </c>
      <c r="B1802">
        <v>1</v>
      </c>
      <c r="C1802">
        <v>2</v>
      </c>
      <c r="D1802">
        <v>458</v>
      </c>
      <c r="E1802">
        <v>320</v>
      </c>
      <c r="F1802">
        <v>300</v>
      </c>
      <c r="G1802">
        <v>233</v>
      </c>
      <c r="H1802">
        <v>0</v>
      </c>
      <c r="I1802">
        <f>VLOOKUP(Scores[[#This Row],[MRUN]],Demographics[],3,FALSE)</f>
        <v>8</v>
      </c>
      <c r="J1802">
        <f>AVERAGE(Scores[[#This Row],[LYC]],Scores[[#This Row],[MATE]])</f>
        <v>310</v>
      </c>
      <c r="K1802">
        <f>VLOOKUP(Scores[[#This Row],[MRUN]],Demographics[],6,FALSE)</f>
        <v>3</v>
      </c>
      <c r="L1802">
        <f>VLOOKUP(Scores[[#This Row],[MRUN]],Demographics[], 7,FALSE)</f>
        <v>4</v>
      </c>
      <c r="M1802">
        <f>VLOOKUP(Scores[[#This Row],[MRUN]],Demographics[], 5, FALSE)</f>
        <v>1</v>
      </c>
    </row>
    <row r="1803" spans="1:13" hidden="1" x14ac:dyDescent="0.2">
      <c r="A1803" s="1">
        <v>14491601</v>
      </c>
      <c r="B1803">
        <v>1</v>
      </c>
      <c r="C1803">
        <v>2</v>
      </c>
      <c r="D1803">
        <v>579</v>
      </c>
      <c r="E1803">
        <v>787</v>
      </c>
      <c r="F1803">
        <v>657</v>
      </c>
      <c r="G1803">
        <v>0</v>
      </c>
      <c r="H1803">
        <v>686</v>
      </c>
      <c r="I1803">
        <f>VLOOKUP(Scores[[#This Row],[MRUN]],Demographics[],3,FALSE)</f>
        <v>4</v>
      </c>
      <c r="J1803">
        <f>AVERAGE(Scores[[#This Row],[LYC]],Scores[[#This Row],[MATE]])</f>
        <v>722</v>
      </c>
      <c r="K1803">
        <f>VLOOKUP(Scores[[#This Row],[MRUN]],Demographics[],6,FALSE)</f>
        <v>0</v>
      </c>
      <c r="L1803">
        <f>VLOOKUP(Scores[[#This Row],[MRUN]],Demographics[], 7,FALSE)</f>
        <v>0</v>
      </c>
      <c r="M1803">
        <f>VLOOKUP(Scores[[#This Row],[MRUN]],Demographics[], 5, FALSE)</f>
        <v>2</v>
      </c>
    </row>
    <row r="1804" spans="1:13" hidden="1" x14ac:dyDescent="0.2">
      <c r="A1804" s="1">
        <v>12731075</v>
      </c>
      <c r="B1804">
        <v>1</v>
      </c>
      <c r="C1804">
        <v>2</v>
      </c>
      <c r="D1804">
        <v>519</v>
      </c>
      <c r="E1804">
        <v>531</v>
      </c>
      <c r="F1804">
        <v>531</v>
      </c>
      <c r="G1804">
        <v>617</v>
      </c>
      <c r="H1804">
        <v>0</v>
      </c>
      <c r="I1804">
        <f>VLOOKUP(Scores[[#This Row],[MRUN]],Demographics[],3,FALSE)</f>
        <v>5</v>
      </c>
      <c r="J1804">
        <f>AVERAGE(Scores[[#This Row],[LYC]],Scores[[#This Row],[MATE]])</f>
        <v>531</v>
      </c>
      <c r="K1804">
        <f>VLOOKUP(Scores[[#This Row],[MRUN]],Demographics[],6,FALSE)</f>
        <v>5</v>
      </c>
      <c r="L1804">
        <f>VLOOKUP(Scores[[#This Row],[MRUN]],Demographics[], 7,FALSE)</f>
        <v>4</v>
      </c>
      <c r="M1804">
        <f>VLOOKUP(Scores[[#This Row],[MRUN]],Demographics[], 5, FALSE)</f>
        <v>1</v>
      </c>
    </row>
    <row r="1805" spans="1:13" hidden="1" x14ac:dyDescent="0.2">
      <c r="A1805" s="1">
        <v>17238359</v>
      </c>
      <c r="B1805">
        <v>2</v>
      </c>
      <c r="C1805">
        <v>2</v>
      </c>
      <c r="D1805">
        <v>579</v>
      </c>
      <c r="E1805">
        <v>541</v>
      </c>
      <c r="F1805">
        <v>413</v>
      </c>
      <c r="G1805">
        <v>521</v>
      </c>
      <c r="H1805">
        <v>0</v>
      </c>
      <c r="I1805">
        <f>VLOOKUP(Scores[[#This Row],[MRUN]],Demographics[],3,FALSE)</f>
        <v>4</v>
      </c>
      <c r="J1805">
        <f>AVERAGE(Scores[[#This Row],[LYC]],Scores[[#This Row],[MATE]])</f>
        <v>477</v>
      </c>
      <c r="K1805">
        <f>VLOOKUP(Scores[[#This Row],[MRUN]],Demographics[],6,FALSE)</f>
        <v>5</v>
      </c>
      <c r="L1805">
        <f>VLOOKUP(Scores[[#This Row],[MRUN]],Demographics[], 7,FALSE)</f>
        <v>5</v>
      </c>
      <c r="M1805">
        <f>VLOOKUP(Scores[[#This Row],[MRUN]],Demographics[], 5, FALSE)</f>
        <v>1</v>
      </c>
    </row>
    <row r="1806" spans="1:13" hidden="1" x14ac:dyDescent="0.2">
      <c r="A1806" s="1">
        <v>15785555</v>
      </c>
      <c r="B1806">
        <v>1</v>
      </c>
      <c r="C1806">
        <v>3</v>
      </c>
      <c r="D1806">
        <v>682</v>
      </c>
      <c r="E1806">
        <v>602</v>
      </c>
      <c r="F1806">
        <v>596</v>
      </c>
      <c r="G1806">
        <v>0</v>
      </c>
      <c r="H1806">
        <v>602</v>
      </c>
      <c r="I1806">
        <f>VLOOKUP(Scores[[#This Row],[MRUN]],Demographics[],3,FALSE)</f>
        <v>5</v>
      </c>
      <c r="J1806">
        <f>AVERAGE(Scores[[#This Row],[LYC]],Scores[[#This Row],[MATE]])</f>
        <v>599</v>
      </c>
      <c r="K1806">
        <f>VLOOKUP(Scores[[#This Row],[MRUN]],Demographics[],6,FALSE)</f>
        <v>9</v>
      </c>
      <c r="L1806">
        <f>VLOOKUP(Scores[[#This Row],[MRUN]],Demographics[], 7,FALSE)</f>
        <v>9</v>
      </c>
      <c r="M1806">
        <f>VLOOKUP(Scores[[#This Row],[MRUN]],Demographics[], 5, FALSE)</f>
        <v>3</v>
      </c>
    </row>
    <row r="1807" spans="1:13" hidden="1" x14ac:dyDescent="0.2">
      <c r="A1807" s="1">
        <v>16190888</v>
      </c>
      <c r="B1807">
        <v>1</v>
      </c>
      <c r="C1807">
        <v>2</v>
      </c>
      <c r="D1807">
        <v>496</v>
      </c>
      <c r="E1807">
        <v>464</v>
      </c>
      <c r="F1807">
        <v>494</v>
      </c>
      <c r="G1807">
        <v>490</v>
      </c>
      <c r="H1807">
        <v>404</v>
      </c>
      <c r="I1807">
        <f>VLOOKUP(Scores[[#This Row],[MRUN]],Demographics[],3,FALSE)</f>
        <v>4</v>
      </c>
      <c r="J1807">
        <f>AVERAGE(Scores[[#This Row],[LYC]],Scores[[#This Row],[MATE]])</f>
        <v>479</v>
      </c>
      <c r="K1807">
        <f>VLOOKUP(Scores[[#This Row],[MRUN]],Demographics[],6,FALSE)</f>
        <v>5</v>
      </c>
      <c r="L1807">
        <f>VLOOKUP(Scores[[#This Row],[MRUN]],Demographics[], 7,FALSE)</f>
        <v>3</v>
      </c>
      <c r="M1807">
        <f>VLOOKUP(Scores[[#This Row],[MRUN]],Demographics[], 5, FALSE)</f>
        <v>1</v>
      </c>
    </row>
    <row r="1808" spans="1:13" hidden="1" x14ac:dyDescent="0.2">
      <c r="A1808" s="1">
        <v>14733212</v>
      </c>
      <c r="B1808">
        <v>2</v>
      </c>
      <c r="C1808">
        <v>3</v>
      </c>
      <c r="D1808">
        <v>702</v>
      </c>
      <c r="E1808">
        <v>551</v>
      </c>
      <c r="F1808">
        <v>631</v>
      </c>
      <c r="G1808">
        <v>578</v>
      </c>
      <c r="H1808">
        <v>539</v>
      </c>
      <c r="I1808">
        <f>VLOOKUP(Scores[[#This Row],[MRUN]],Demographics[],3,FALSE)</f>
        <v>6</v>
      </c>
      <c r="J1808">
        <f>AVERAGE(Scores[[#This Row],[LYC]],Scores[[#This Row],[MATE]])</f>
        <v>591</v>
      </c>
      <c r="K1808">
        <f>VLOOKUP(Scores[[#This Row],[MRUN]],Demographics[],6,FALSE)</f>
        <v>7</v>
      </c>
      <c r="L1808">
        <f>VLOOKUP(Scores[[#This Row],[MRUN]],Demographics[], 7,FALSE)</f>
        <v>8</v>
      </c>
      <c r="M1808">
        <f>VLOOKUP(Scores[[#This Row],[MRUN]],Demographics[], 5, FALSE)</f>
        <v>2</v>
      </c>
    </row>
    <row r="1809" spans="1:13" hidden="1" x14ac:dyDescent="0.2">
      <c r="A1809" s="1">
        <v>13307199</v>
      </c>
      <c r="B1809">
        <v>2</v>
      </c>
      <c r="C1809">
        <v>2</v>
      </c>
      <c r="D1809">
        <v>641</v>
      </c>
      <c r="E1809">
        <v>675</v>
      </c>
      <c r="F1809">
        <v>593</v>
      </c>
      <c r="G1809">
        <v>0</v>
      </c>
      <c r="H1809">
        <v>613</v>
      </c>
      <c r="I1809">
        <f>VLOOKUP(Scores[[#This Row],[MRUN]],Demographics[],3,FALSE)</f>
        <v>3</v>
      </c>
      <c r="J1809">
        <f>AVERAGE(Scores[[#This Row],[LYC]],Scores[[#This Row],[MATE]])</f>
        <v>634</v>
      </c>
      <c r="K1809">
        <f>VLOOKUP(Scores[[#This Row],[MRUN]],Demographics[],6,FALSE)</f>
        <v>9</v>
      </c>
      <c r="L1809">
        <f>VLOOKUP(Scores[[#This Row],[MRUN]],Demographics[], 7,FALSE)</f>
        <v>4</v>
      </c>
      <c r="M1809">
        <f>VLOOKUP(Scores[[#This Row],[MRUN]],Demographics[], 5, FALSE)</f>
        <v>2</v>
      </c>
    </row>
    <row r="1810" spans="1:13" hidden="1" x14ac:dyDescent="0.2">
      <c r="A1810" s="1">
        <v>18234278</v>
      </c>
      <c r="B1810">
        <v>1</v>
      </c>
      <c r="C1810">
        <v>2</v>
      </c>
      <c r="D1810">
        <v>558</v>
      </c>
      <c r="E1810">
        <v>581</v>
      </c>
      <c r="F1810">
        <v>606</v>
      </c>
      <c r="G1810">
        <v>0</v>
      </c>
      <c r="H1810">
        <v>543</v>
      </c>
      <c r="I1810">
        <f>VLOOKUP(Scores[[#This Row],[MRUN]],Demographics[],3,FALSE)</f>
        <v>4</v>
      </c>
      <c r="J1810">
        <f>AVERAGE(Scores[[#This Row],[LYC]],Scores[[#This Row],[MATE]])</f>
        <v>593.5</v>
      </c>
      <c r="K1810">
        <f>VLOOKUP(Scores[[#This Row],[MRUN]],Demographics[],6,FALSE)</f>
        <v>5</v>
      </c>
      <c r="L1810">
        <f>VLOOKUP(Scores[[#This Row],[MRUN]],Demographics[], 7,FALSE)</f>
        <v>4</v>
      </c>
      <c r="M1810">
        <f>VLOOKUP(Scores[[#This Row],[MRUN]],Demographics[], 5, FALSE)</f>
        <v>2</v>
      </c>
    </row>
    <row r="1811" spans="1:13" hidden="1" x14ac:dyDescent="0.2">
      <c r="A1811" s="1">
        <v>20819559</v>
      </c>
      <c r="B1811">
        <v>2</v>
      </c>
      <c r="C1811">
        <v>4</v>
      </c>
      <c r="D1811">
        <v>538</v>
      </c>
      <c r="E1811">
        <v>526</v>
      </c>
      <c r="F1811">
        <v>585</v>
      </c>
      <c r="G1811">
        <v>0</v>
      </c>
      <c r="H1811">
        <v>624</v>
      </c>
      <c r="I1811">
        <f>VLOOKUP(Scores[[#This Row],[MRUN]],Demographics[],3,FALSE)</f>
        <v>7</v>
      </c>
      <c r="J1811">
        <f>AVERAGE(Scores[[#This Row],[LYC]],Scores[[#This Row],[MATE]])</f>
        <v>555.5</v>
      </c>
      <c r="K1811">
        <f>VLOOKUP(Scores[[#This Row],[MRUN]],Demographics[],6,FALSE)</f>
        <v>9</v>
      </c>
      <c r="L1811">
        <f>VLOOKUP(Scores[[#This Row],[MRUN]],Demographics[], 7,FALSE)</f>
        <v>8</v>
      </c>
      <c r="M1811">
        <f>VLOOKUP(Scores[[#This Row],[MRUN]],Demographics[], 5, FALSE)</f>
        <v>3</v>
      </c>
    </row>
    <row r="1812" spans="1:13" hidden="1" x14ac:dyDescent="0.2">
      <c r="A1812" s="1">
        <v>12910089</v>
      </c>
      <c r="B1812">
        <v>2</v>
      </c>
      <c r="C1812">
        <v>3</v>
      </c>
      <c r="D1812">
        <v>661</v>
      </c>
      <c r="E1812">
        <v>586</v>
      </c>
      <c r="F1812">
        <v>606</v>
      </c>
      <c r="G1812">
        <v>527</v>
      </c>
      <c r="H1812">
        <v>523</v>
      </c>
      <c r="I1812">
        <f>VLOOKUP(Scores[[#This Row],[MRUN]],Demographics[],3,FALSE)</f>
        <v>4</v>
      </c>
      <c r="J1812">
        <f>AVERAGE(Scores[[#This Row],[LYC]],Scores[[#This Row],[MATE]])</f>
        <v>596</v>
      </c>
      <c r="K1812">
        <f>VLOOKUP(Scores[[#This Row],[MRUN]],Demographics[],6,FALSE)</f>
        <v>5</v>
      </c>
      <c r="L1812">
        <f>VLOOKUP(Scores[[#This Row],[MRUN]],Demographics[], 7,FALSE)</f>
        <v>4</v>
      </c>
      <c r="M1812">
        <f>VLOOKUP(Scores[[#This Row],[MRUN]],Demographics[], 5, FALSE)</f>
        <v>2</v>
      </c>
    </row>
    <row r="1813" spans="1:13" hidden="1" x14ac:dyDescent="0.2">
      <c r="A1813" s="1">
        <v>2781669</v>
      </c>
      <c r="B1813">
        <v>1</v>
      </c>
      <c r="C1813">
        <v>2</v>
      </c>
      <c r="D1813">
        <v>599</v>
      </c>
      <c r="E1813">
        <v>464</v>
      </c>
      <c r="F1813">
        <v>517</v>
      </c>
      <c r="G1813">
        <v>0</v>
      </c>
      <c r="H1813">
        <v>404</v>
      </c>
      <c r="I1813">
        <f>VLOOKUP(Scores[[#This Row],[MRUN]],Demographics[],3,FALSE)</f>
        <v>5</v>
      </c>
      <c r="J1813">
        <f>AVERAGE(Scores[[#This Row],[LYC]],Scores[[#This Row],[MATE]])</f>
        <v>490.5</v>
      </c>
      <c r="K1813">
        <f>VLOOKUP(Scores[[#This Row],[MRUN]],Demographics[],6,FALSE)</f>
        <v>4</v>
      </c>
      <c r="L1813">
        <f>VLOOKUP(Scores[[#This Row],[MRUN]],Demographics[], 7,FALSE)</f>
        <v>5</v>
      </c>
      <c r="M1813">
        <f>VLOOKUP(Scores[[#This Row],[MRUN]],Demographics[], 5, FALSE)</f>
        <v>1</v>
      </c>
    </row>
    <row r="1814" spans="1:13" hidden="1" x14ac:dyDescent="0.2">
      <c r="A1814" s="1">
        <v>10443837</v>
      </c>
      <c r="B1814">
        <v>1</v>
      </c>
      <c r="C1814">
        <v>2</v>
      </c>
      <c r="D1814">
        <v>435</v>
      </c>
      <c r="E1814">
        <v>430</v>
      </c>
      <c r="F1814">
        <v>248</v>
      </c>
      <c r="G1814">
        <v>0</v>
      </c>
      <c r="H1814">
        <v>404</v>
      </c>
      <c r="I1814">
        <f>VLOOKUP(Scores[[#This Row],[MRUN]],Demographics[],3,FALSE)</f>
        <v>7</v>
      </c>
      <c r="J1814">
        <f>AVERAGE(Scores[[#This Row],[LYC]],Scores[[#This Row],[MATE]])</f>
        <v>339</v>
      </c>
      <c r="K1814">
        <f>VLOOKUP(Scores[[#This Row],[MRUN]],Demographics[],6,FALSE)</f>
        <v>9</v>
      </c>
      <c r="L1814">
        <f>VLOOKUP(Scores[[#This Row],[MRUN]],Demographics[], 7,FALSE)</f>
        <v>8</v>
      </c>
      <c r="M1814">
        <f>VLOOKUP(Scores[[#This Row],[MRUN]],Demographics[], 5, FALSE)</f>
        <v>2</v>
      </c>
    </row>
    <row r="1815" spans="1:13" hidden="1" x14ac:dyDescent="0.2">
      <c r="A1815" s="1">
        <v>7616779</v>
      </c>
      <c r="B1815">
        <v>1</v>
      </c>
      <c r="C1815">
        <v>3</v>
      </c>
      <c r="D1815">
        <v>579</v>
      </c>
      <c r="E1815">
        <v>613</v>
      </c>
      <c r="F1815">
        <v>692</v>
      </c>
      <c r="G1815">
        <v>0</v>
      </c>
      <c r="H1815">
        <v>639</v>
      </c>
      <c r="I1815">
        <f>VLOOKUP(Scores[[#This Row],[MRUN]],Demographics[],3,FALSE)</f>
        <v>8</v>
      </c>
      <c r="J1815">
        <f>AVERAGE(Scores[[#This Row],[LYC]],Scores[[#This Row],[MATE]])</f>
        <v>652.5</v>
      </c>
      <c r="K1815">
        <f>VLOOKUP(Scores[[#This Row],[MRUN]],Demographics[],6,FALSE)</f>
        <v>9</v>
      </c>
      <c r="L1815">
        <f>VLOOKUP(Scores[[#This Row],[MRUN]],Demographics[], 7,FALSE)</f>
        <v>8</v>
      </c>
      <c r="M1815">
        <f>VLOOKUP(Scores[[#This Row],[MRUN]],Demographics[], 5, FALSE)</f>
        <v>1</v>
      </c>
    </row>
    <row r="1816" spans="1:13" hidden="1" x14ac:dyDescent="0.2">
      <c r="A1816" s="1">
        <v>10519595</v>
      </c>
      <c r="B1816">
        <v>2</v>
      </c>
      <c r="C1816">
        <v>3</v>
      </c>
      <c r="D1816">
        <v>661</v>
      </c>
      <c r="E1816">
        <v>655</v>
      </c>
      <c r="F1816">
        <v>631</v>
      </c>
      <c r="G1816">
        <v>670</v>
      </c>
      <c r="H1816">
        <v>606</v>
      </c>
      <c r="I1816">
        <f>VLOOKUP(Scores[[#This Row],[MRUN]],Demographics[],3,FALSE)</f>
        <v>5</v>
      </c>
      <c r="J1816">
        <f>AVERAGE(Scores[[#This Row],[LYC]],Scores[[#This Row],[MATE]])</f>
        <v>643</v>
      </c>
      <c r="K1816">
        <f>VLOOKUP(Scores[[#This Row],[MRUN]],Demographics[],6,FALSE)</f>
        <v>5</v>
      </c>
      <c r="L1816">
        <f>VLOOKUP(Scores[[#This Row],[MRUN]],Demographics[], 7,FALSE)</f>
        <v>5</v>
      </c>
      <c r="M1816">
        <f>VLOOKUP(Scores[[#This Row],[MRUN]],Demographics[], 5, FALSE)</f>
        <v>2</v>
      </c>
    </row>
    <row r="1817" spans="1:13" hidden="1" x14ac:dyDescent="0.2">
      <c r="A1817" s="1">
        <v>21734736</v>
      </c>
      <c r="B1817">
        <v>1</v>
      </c>
      <c r="C1817">
        <v>3</v>
      </c>
      <c r="D1817">
        <v>437</v>
      </c>
      <c r="E1817">
        <v>0</v>
      </c>
      <c r="F1817">
        <v>0</v>
      </c>
      <c r="G1817">
        <v>0</v>
      </c>
      <c r="H1817">
        <v>0</v>
      </c>
      <c r="I1817">
        <f>VLOOKUP(Scores[[#This Row],[MRUN]],Demographics[],3,FALSE)</f>
        <v>5</v>
      </c>
      <c r="J1817">
        <f>AVERAGE(Scores[[#This Row],[LYC]],Scores[[#This Row],[MATE]])</f>
        <v>0</v>
      </c>
      <c r="K1817">
        <f>VLOOKUP(Scores[[#This Row],[MRUN]],Demographics[],6,FALSE)</f>
        <v>5</v>
      </c>
      <c r="L1817">
        <f>VLOOKUP(Scores[[#This Row],[MRUN]],Demographics[], 7,FALSE)</f>
        <v>5</v>
      </c>
      <c r="M1817">
        <f>VLOOKUP(Scores[[#This Row],[MRUN]],Demographics[], 5, FALSE)</f>
        <v>2</v>
      </c>
    </row>
    <row r="1818" spans="1:13" hidden="1" x14ac:dyDescent="0.2">
      <c r="A1818" s="1">
        <v>11689010</v>
      </c>
      <c r="B1818">
        <v>2</v>
      </c>
      <c r="C1818">
        <v>3</v>
      </c>
      <c r="D1818">
        <v>579</v>
      </c>
      <c r="E1818">
        <v>567</v>
      </c>
      <c r="F1818">
        <v>531</v>
      </c>
      <c r="G1818">
        <v>592</v>
      </c>
      <c r="H1818">
        <v>0</v>
      </c>
      <c r="I1818">
        <f>VLOOKUP(Scores[[#This Row],[MRUN]],Demographics[],3,FALSE)</f>
        <v>7</v>
      </c>
      <c r="J1818">
        <f>AVERAGE(Scores[[#This Row],[LYC]],Scores[[#This Row],[MATE]])</f>
        <v>549</v>
      </c>
      <c r="K1818">
        <f>VLOOKUP(Scores[[#This Row],[MRUN]],Demographics[],6,FALSE)</f>
        <v>9</v>
      </c>
      <c r="L1818">
        <f>VLOOKUP(Scores[[#This Row],[MRUN]],Demographics[], 7,FALSE)</f>
        <v>5</v>
      </c>
      <c r="M1818">
        <f>VLOOKUP(Scores[[#This Row],[MRUN]],Demographics[], 5, FALSE)</f>
        <v>3</v>
      </c>
    </row>
    <row r="1819" spans="1:13" hidden="1" x14ac:dyDescent="0.2">
      <c r="A1819" s="1">
        <v>4111534</v>
      </c>
      <c r="B1819">
        <v>1</v>
      </c>
      <c r="C1819">
        <v>2</v>
      </c>
      <c r="D1819">
        <v>723</v>
      </c>
      <c r="E1819">
        <v>613</v>
      </c>
      <c r="F1819">
        <v>557</v>
      </c>
      <c r="G1819">
        <v>646</v>
      </c>
      <c r="H1819">
        <v>0</v>
      </c>
      <c r="I1819">
        <f>VLOOKUP(Scores[[#This Row],[MRUN]],Demographics[],3,FALSE)</f>
        <v>4</v>
      </c>
      <c r="J1819">
        <f>AVERAGE(Scores[[#This Row],[LYC]],Scores[[#This Row],[MATE]])</f>
        <v>585</v>
      </c>
      <c r="K1819">
        <f>VLOOKUP(Scores[[#This Row],[MRUN]],Demographics[],6,FALSE)</f>
        <v>3</v>
      </c>
      <c r="L1819">
        <f>VLOOKUP(Scores[[#This Row],[MRUN]],Demographics[], 7,FALSE)</f>
        <v>5</v>
      </c>
      <c r="M1819">
        <f>VLOOKUP(Scores[[#This Row],[MRUN]],Demographics[], 5, FALSE)</f>
        <v>1</v>
      </c>
    </row>
    <row r="1820" spans="1:13" hidden="1" x14ac:dyDescent="0.2">
      <c r="A1820" s="1">
        <v>23236421</v>
      </c>
      <c r="B1820">
        <v>2</v>
      </c>
      <c r="C1820">
        <v>3</v>
      </c>
      <c r="D1820">
        <v>437</v>
      </c>
      <c r="E1820">
        <v>378</v>
      </c>
      <c r="F1820">
        <v>328</v>
      </c>
      <c r="G1820">
        <v>454</v>
      </c>
      <c r="H1820">
        <v>344</v>
      </c>
      <c r="I1820">
        <f>VLOOKUP(Scores[[#This Row],[MRUN]],Demographics[],3,FALSE)</f>
        <v>4</v>
      </c>
      <c r="J1820">
        <f>AVERAGE(Scores[[#This Row],[LYC]],Scores[[#This Row],[MATE]])</f>
        <v>353</v>
      </c>
      <c r="K1820">
        <f>VLOOKUP(Scores[[#This Row],[MRUN]],Demographics[],6,FALSE)</f>
        <v>2</v>
      </c>
      <c r="L1820">
        <f>VLOOKUP(Scores[[#This Row],[MRUN]],Demographics[], 7,FALSE)</f>
        <v>5</v>
      </c>
      <c r="M1820">
        <f>VLOOKUP(Scores[[#This Row],[MRUN]],Demographics[], 5, FALSE)</f>
        <v>1</v>
      </c>
    </row>
    <row r="1821" spans="1:13" hidden="1" x14ac:dyDescent="0.2">
      <c r="A1821" s="1">
        <v>14258027</v>
      </c>
      <c r="B1821">
        <v>1</v>
      </c>
      <c r="C1821">
        <v>2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f>VLOOKUP(Scores[[#This Row],[MRUN]],Demographics[],3,FALSE)</f>
        <v>5</v>
      </c>
      <c r="J1821">
        <f>AVERAGE(Scores[[#This Row],[LYC]],Scores[[#This Row],[MATE]])</f>
        <v>0</v>
      </c>
      <c r="K1821">
        <f>VLOOKUP(Scores[[#This Row],[MRUN]],Demographics[],6,FALSE)</f>
        <v>3</v>
      </c>
      <c r="L1821">
        <f>VLOOKUP(Scores[[#This Row],[MRUN]],Demographics[], 7,FALSE)</f>
        <v>4</v>
      </c>
      <c r="M1821">
        <f>VLOOKUP(Scores[[#This Row],[MRUN]],Demographics[], 5, FALSE)</f>
        <v>2</v>
      </c>
    </row>
    <row r="1822" spans="1:13" hidden="1" x14ac:dyDescent="0.2">
      <c r="A1822" s="1">
        <v>7315313</v>
      </c>
      <c r="B1822">
        <v>2</v>
      </c>
      <c r="C1822">
        <v>2</v>
      </c>
      <c r="D1822">
        <v>476</v>
      </c>
      <c r="E1822">
        <v>488</v>
      </c>
      <c r="F1822">
        <v>395</v>
      </c>
      <c r="G1822">
        <v>0</v>
      </c>
      <c r="H1822">
        <v>459</v>
      </c>
      <c r="I1822">
        <f>VLOOKUP(Scores[[#This Row],[MRUN]],Demographics[],3,FALSE)</f>
        <v>4</v>
      </c>
      <c r="J1822">
        <f>AVERAGE(Scores[[#This Row],[LYC]],Scores[[#This Row],[MATE]])</f>
        <v>441.5</v>
      </c>
      <c r="K1822">
        <f>VLOOKUP(Scores[[#This Row],[MRUN]],Demographics[],6,FALSE)</f>
        <v>5</v>
      </c>
      <c r="L1822">
        <f>VLOOKUP(Scores[[#This Row],[MRUN]],Demographics[], 7,FALSE)</f>
        <v>3</v>
      </c>
      <c r="M1822">
        <f>VLOOKUP(Scores[[#This Row],[MRUN]],Demographics[], 5, FALSE)</f>
        <v>1</v>
      </c>
    </row>
    <row r="1823" spans="1:13" hidden="1" x14ac:dyDescent="0.2">
      <c r="A1823" s="1">
        <v>14691472</v>
      </c>
      <c r="B1823">
        <v>1</v>
      </c>
      <c r="C1823">
        <v>3</v>
      </c>
      <c r="D1823">
        <v>517</v>
      </c>
      <c r="E1823">
        <v>567</v>
      </c>
      <c r="F1823">
        <v>600</v>
      </c>
      <c r="G1823">
        <v>0</v>
      </c>
      <c r="H1823">
        <v>543</v>
      </c>
      <c r="I1823">
        <f>VLOOKUP(Scores[[#This Row],[MRUN]],Demographics[],3,FALSE)</f>
        <v>5</v>
      </c>
      <c r="J1823">
        <f>AVERAGE(Scores[[#This Row],[LYC]],Scores[[#This Row],[MATE]])</f>
        <v>583.5</v>
      </c>
      <c r="K1823">
        <f>VLOOKUP(Scores[[#This Row],[MRUN]],Demographics[],6,FALSE)</f>
        <v>2</v>
      </c>
      <c r="L1823">
        <f>VLOOKUP(Scores[[#This Row],[MRUN]],Demographics[], 7,FALSE)</f>
        <v>4</v>
      </c>
      <c r="M1823">
        <f>VLOOKUP(Scores[[#This Row],[MRUN]],Demographics[], 5, FALSE)</f>
        <v>1</v>
      </c>
    </row>
    <row r="1824" spans="1:13" hidden="1" x14ac:dyDescent="0.2">
      <c r="A1824" s="1">
        <v>5713731</v>
      </c>
      <c r="B1824">
        <v>2</v>
      </c>
      <c r="C1824">
        <v>2</v>
      </c>
      <c r="D1824">
        <v>437</v>
      </c>
      <c r="E1824">
        <v>0</v>
      </c>
      <c r="F1824">
        <v>0</v>
      </c>
      <c r="G1824">
        <v>0</v>
      </c>
      <c r="H1824">
        <v>0</v>
      </c>
      <c r="I1824">
        <f>VLOOKUP(Scores[[#This Row],[MRUN]],Demographics[],3,FALSE)</f>
        <v>5</v>
      </c>
      <c r="J1824">
        <f>AVERAGE(Scores[[#This Row],[LYC]],Scores[[#This Row],[MATE]])</f>
        <v>0</v>
      </c>
      <c r="K1824">
        <f>VLOOKUP(Scores[[#This Row],[MRUN]],Demographics[],6,FALSE)</f>
        <v>5</v>
      </c>
      <c r="L1824">
        <f>VLOOKUP(Scores[[#This Row],[MRUN]],Demographics[], 7,FALSE)</f>
        <v>3</v>
      </c>
      <c r="M1824">
        <f>VLOOKUP(Scores[[#This Row],[MRUN]],Demographics[], 5, FALSE)</f>
        <v>1</v>
      </c>
    </row>
    <row r="1825" spans="1:13" hidden="1" x14ac:dyDescent="0.2">
      <c r="A1825" s="1">
        <v>14157361</v>
      </c>
      <c r="B1825">
        <v>2</v>
      </c>
      <c r="C1825">
        <v>2</v>
      </c>
      <c r="D1825">
        <v>560</v>
      </c>
      <c r="E1825">
        <v>415</v>
      </c>
      <c r="F1825">
        <v>487</v>
      </c>
      <c r="G1825">
        <v>466</v>
      </c>
      <c r="H1825">
        <v>361</v>
      </c>
      <c r="I1825">
        <f>VLOOKUP(Scores[[#This Row],[MRUN]],Demographics[],3,FALSE)</f>
        <v>4</v>
      </c>
      <c r="J1825">
        <f>AVERAGE(Scores[[#This Row],[LYC]],Scores[[#This Row],[MATE]])</f>
        <v>451</v>
      </c>
      <c r="K1825">
        <f>VLOOKUP(Scores[[#This Row],[MRUN]],Demographics[],6,FALSE)</f>
        <v>2</v>
      </c>
      <c r="L1825">
        <f>VLOOKUP(Scores[[#This Row],[MRUN]],Demographics[], 7,FALSE)</f>
        <v>4</v>
      </c>
      <c r="M1825">
        <f>VLOOKUP(Scores[[#This Row],[MRUN]],Demographics[], 5, FALSE)</f>
        <v>1</v>
      </c>
    </row>
    <row r="1826" spans="1:13" hidden="1" x14ac:dyDescent="0.2">
      <c r="A1826" s="1">
        <v>19497946</v>
      </c>
      <c r="B1826">
        <v>2</v>
      </c>
      <c r="C1826">
        <v>2</v>
      </c>
      <c r="D1826">
        <v>641</v>
      </c>
      <c r="E1826">
        <v>537</v>
      </c>
      <c r="F1826">
        <v>472</v>
      </c>
      <c r="G1826">
        <v>537</v>
      </c>
      <c r="H1826">
        <v>0</v>
      </c>
      <c r="I1826">
        <f>VLOOKUP(Scores[[#This Row],[MRUN]],Demographics[],3,FALSE)</f>
        <v>4</v>
      </c>
      <c r="J1826">
        <f>AVERAGE(Scores[[#This Row],[LYC]],Scores[[#This Row],[MATE]])</f>
        <v>504.5</v>
      </c>
      <c r="K1826">
        <f>VLOOKUP(Scores[[#This Row],[MRUN]],Demographics[],6,FALSE)</f>
        <v>5</v>
      </c>
      <c r="L1826">
        <f>VLOOKUP(Scores[[#This Row],[MRUN]],Demographics[], 7,FALSE)</f>
        <v>5</v>
      </c>
      <c r="M1826">
        <f>VLOOKUP(Scores[[#This Row],[MRUN]],Demographics[], 5, FALSE)</f>
        <v>1</v>
      </c>
    </row>
    <row r="1827" spans="1:13" hidden="1" x14ac:dyDescent="0.2">
      <c r="A1827" s="1">
        <v>9884890</v>
      </c>
      <c r="B1827">
        <v>1</v>
      </c>
      <c r="C1827">
        <v>2</v>
      </c>
      <c r="D1827">
        <v>620</v>
      </c>
      <c r="E1827">
        <v>488</v>
      </c>
      <c r="F1827">
        <v>527</v>
      </c>
      <c r="G1827">
        <v>0</v>
      </c>
      <c r="H1827">
        <v>549</v>
      </c>
      <c r="I1827">
        <f>VLOOKUP(Scores[[#This Row],[MRUN]],Demographics[],3,FALSE)</f>
        <v>6</v>
      </c>
      <c r="J1827">
        <f>AVERAGE(Scores[[#This Row],[LYC]],Scores[[#This Row],[MATE]])</f>
        <v>507.5</v>
      </c>
      <c r="K1827">
        <f>VLOOKUP(Scores[[#This Row],[MRUN]],Demographics[],6,FALSE)</f>
        <v>10</v>
      </c>
      <c r="L1827">
        <f>VLOOKUP(Scores[[#This Row],[MRUN]],Demographics[], 7,FALSE)</f>
        <v>8</v>
      </c>
      <c r="M1827">
        <f>VLOOKUP(Scores[[#This Row],[MRUN]],Demographics[], 5, FALSE)</f>
        <v>2</v>
      </c>
    </row>
    <row r="1828" spans="1:13" hidden="1" x14ac:dyDescent="0.2">
      <c r="A1828" s="1">
        <v>2942846</v>
      </c>
      <c r="B1828">
        <v>1</v>
      </c>
      <c r="C1828">
        <v>2</v>
      </c>
      <c r="D1828">
        <v>661</v>
      </c>
      <c r="E1828">
        <v>458</v>
      </c>
      <c r="F1828">
        <v>568</v>
      </c>
      <c r="G1828">
        <v>0</v>
      </c>
      <c r="H1828">
        <v>504</v>
      </c>
      <c r="I1828">
        <f>VLOOKUP(Scores[[#This Row],[MRUN]],Demographics[],3,FALSE)</f>
        <v>6</v>
      </c>
      <c r="J1828">
        <f>AVERAGE(Scores[[#This Row],[LYC]],Scores[[#This Row],[MATE]])</f>
        <v>513</v>
      </c>
      <c r="K1828">
        <f>VLOOKUP(Scores[[#This Row],[MRUN]],Demographics[],6,FALSE)</f>
        <v>4</v>
      </c>
      <c r="L1828">
        <f>VLOOKUP(Scores[[#This Row],[MRUN]],Demographics[], 7,FALSE)</f>
        <v>4</v>
      </c>
      <c r="M1828">
        <f>VLOOKUP(Scores[[#This Row],[MRUN]],Demographics[], 5, FALSE)</f>
        <v>1</v>
      </c>
    </row>
    <row r="1829" spans="1:13" hidden="1" x14ac:dyDescent="0.2">
      <c r="A1829" s="1">
        <v>19699714</v>
      </c>
      <c r="B1829">
        <v>1</v>
      </c>
      <c r="C1829">
        <v>2</v>
      </c>
      <c r="D1829">
        <v>496</v>
      </c>
      <c r="E1829">
        <v>397</v>
      </c>
      <c r="F1829">
        <v>413</v>
      </c>
      <c r="G1829">
        <v>0</v>
      </c>
      <c r="H1829">
        <v>307</v>
      </c>
      <c r="I1829">
        <f>VLOOKUP(Scores[[#This Row],[MRUN]],Demographics[],3,FALSE)</f>
        <v>5</v>
      </c>
      <c r="J1829">
        <f>AVERAGE(Scores[[#This Row],[LYC]],Scores[[#This Row],[MATE]])</f>
        <v>405</v>
      </c>
      <c r="K1829">
        <f>VLOOKUP(Scores[[#This Row],[MRUN]],Demographics[],6,FALSE)</f>
        <v>5</v>
      </c>
      <c r="L1829">
        <f>VLOOKUP(Scores[[#This Row],[MRUN]],Demographics[], 7,FALSE)</f>
        <v>5</v>
      </c>
      <c r="M1829">
        <f>VLOOKUP(Scores[[#This Row],[MRUN]],Demographics[], 5, FALSE)</f>
        <v>2</v>
      </c>
    </row>
    <row r="1830" spans="1:13" hidden="1" x14ac:dyDescent="0.2">
      <c r="A1830" s="1">
        <v>12555449</v>
      </c>
      <c r="B1830">
        <v>1</v>
      </c>
      <c r="C1830">
        <v>2</v>
      </c>
      <c r="D1830">
        <v>478</v>
      </c>
      <c r="E1830">
        <v>0</v>
      </c>
      <c r="F1830">
        <v>0</v>
      </c>
      <c r="G1830">
        <v>0</v>
      </c>
      <c r="H1830">
        <v>0</v>
      </c>
      <c r="I1830">
        <f>VLOOKUP(Scores[[#This Row],[MRUN]],Demographics[],3,FALSE)</f>
        <v>5</v>
      </c>
      <c r="J1830">
        <f>AVERAGE(Scores[[#This Row],[LYC]],Scores[[#This Row],[MATE]])</f>
        <v>0</v>
      </c>
      <c r="K1830">
        <f>VLOOKUP(Scores[[#This Row],[MRUN]],Demographics[],6,FALSE)</f>
        <v>7</v>
      </c>
      <c r="L1830">
        <f>VLOOKUP(Scores[[#This Row],[MRUN]],Demographics[], 7,FALSE)</f>
        <v>5</v>
      </c>
      <c r="M1830">
        <f>VLOOKUP(Scores[[#This Row],[MRUN]],Demographics[], 5, FALSE)</f>
        <v>2</v>
      </c>
    </row>
    <row r="1831" spans="1:13" hidden="1" x14ac:dyDescent="0.2">
      <c r="A1831" s="1">
        <v>13290681</v>
      </c>
      <c r="B1831">
        <v>1</v>
      </c>
      <c r="C1831">
        <v>2</v>
      </c>
      <c r="D1831">
        <v>517</v>
      </c>
      <c r="E1831">
        <v>541</v>
      </c>
      <c r="F1831">
        <v>472</v>
      </c>
      <c r="G1831">
        <v>657</v>
      </c>
      <c r="H1831">
        <v>0</v>
      </c>
      <c r="I1831">
        <f>VLOOKUP(Scores[[#This Row],[MRUN]],Demographics[],3,FALSE)</f>
        <v>5</v>
      </c>
      <c r="J1831">
        <f>AVERAGE(Scores[[#This Row],[LYC]],Scores[[#This Row],[MATE]])</f>
        <v>506.5</v>
      </c>
      <c r="K1831">
        <f>VLOOKUP(Scores[[#This Row],[MRUN]],Demographics[],6,FALSE)</f>
        <v>2</v>
      </c>
      <c r="L1831">
        <f>VLOOKUP(Scores[[#This Row],[MRUN]],Demographics[], 7,FALSE)</f>
        <v>2</v>
      </c>
      <c r="M1831">
        <f>VLOOKUP(Scores[[#This Row],[MRUN]],Demographics[], 5, FALSE)</f>
        <v>1</v>
      </c>
    </row>
    <row r="1832" spans="1:13" hidden="1" x14ac:dyDescent="0.2">
      <c r="A1832" s="1">
        <v>5078683</v>
      </c>
      <c r="B1832">
        <v>2</v>
      </c>
      <c r="C1832">
        <v>3</v>
      </c>
      <c r="D1832">
        <v>682</v>
      </c>
      <c r="E1832">
        <v>458</v>
      </c>
      <c r="F1832">
        <v>501</v>
      </c>
      <c r="G1832">
        <v>473</v>
      </c>
      <c r="H1832">
        <v>528</v>
      </c>
      <c r="I1832">
        <f>VLOOKUP(Scores[[#This Row],[MRUN]],Demographics[],3,FALSE)</f>
        <v>5</v>
      </c>
      <c r="J1832">
        <f>AVERAGE(Scores[[#This Row],[LYC]],Scores[[#This Row],[MATE]])</f>
        <v>479.5</v>
      </c>
      <c r="K1832">
        <f>VLOOKUP(Scores[[#This Row],[MRUN]],Demographics[],6,FALSE)</f>
        <v>5</v>
      </c>
      <c r="L1832">
        <f>VLOOKUP(Scores[[#This Row],[MRUN]],Demographics[], 7,FALSE)</f>
        <v>7</v>
      </c>
      <c r="M1832">
        <f>VLOOKUP(Scores[[#This Row],[MRUN]],Demographics[], 5, FALSE)</f>
        <v>1</v>
      </c>
    </row>
    <row r="1833" spans="1:13" hidden="1" x14ac:dyDescent="0.2">
      <c r="A1833" s="1">
        <v>2610115</v>
      </c>
      <c r="B1833">
        <v>1</v>
      </c>
      <c r="C1833">
        <v>2</v>
      </c>
      <c r="D1833">
        <v>397</v>
      </c>
      <c r="E1833">
        <v>0</v>
      </c>
      <c r="F1833">
        <v>0</v>
      </c>
      <c r="G1833">
        <v>0</v>
      </c>
      <c r="H1833">
        <v>0</v>
      </c>
      <c r="I1833">
        <f>VLOOKUP(Scores[[#This Row],[MRUN]],Demographics[],3,FALSE)</f>
        <v>5</v>
      </c>
      <c r="J1833">
        <f>AVERAGE(Scores[[#This Row],[LYC]],Scores[[#This Row],[MATE]])</f>
        <v>0</v>
      </c>
      <c r="K1833">
        <f>VLOOKUP(Scores[[#This Row],[MRUN]],Demographics[],6,FALSE)</f>
        <v>2</v>
      </c>
      <c r="L1833">
        <f>VLOOKUP(Scores[[#This Row],[MRUN]],Demographics[], 7,FALSE)</f>
        <v>2</v>
      </c>
      <c r="M1833">
        <f>VLOOKUP(Scores[[#This Row],[MRUN]],Demographics[], 5, FALSE)</f>
        <v>1</v>
      </c>
    </row>
    <row r="1834" spans="1:13" hidden="1" x14ac:dyDescent="0.2">
      <c r="A1834" s="1">
        <v>23870805</v>
      </c>
      <c r="B1834">
        <v>1</v>
      </c>
      <c r="C1834">
        <v>2</v>
      </c>
      <c r="D1834">
        <v>579</v>
      </c>
      <c r="E1834">
        <v>547</v>
      </c>
      <c r="F1834">
        <v>614</v>
      </c>
      <c r="G1834">
        <v>0</v>
      </c>
      <c r="H1834">
        <v>567</v>
      </c>
      <c r="I1834">
        <f>VLOOKUP(Scores[[#This Row],[MRUN]],Demographics[],3,FALSE)</f>
        <v>5</v>
      </c>
      <c r="J1834">
        <f>AVERAGE(Scores[[#This Row],[LYC]],Scores[[#This Row],[MATE]])</f>
        <v>580.5</v>
      </c>
      <c r="K1834">
        <f>VLOOKUP(Scores[[#This Row],[MRUN]],Demographics[],6,FALSE)</f>
        <v>9</v>
      </c>
      <c r="L1834">
        <f>VLOOKUP(Scores[[#This Row],[MRUN]],Demographics[], 7,FALSE)</f>
        <v>3</v>
      </c>
      <c r="M1834">
        <f>VLOOKUP(Scores[[#This Row],[MRUN]],Demographics[], 5, FALSE)</f>
        <v>2</v>
      </c>
    </row>
    <row r="1835" spans="1:13" hidden="1" x14ac:dyDescent="0.2">
      <c r="A1835" s="1">
        <v>21634341</v>
      </c>
      <c r="B1835">
        <v>2</v>
      </c>
      <c r="C1835">
        <v>2</v>
      </c>
      <c r="D1835">
        <v>435</v>
      </c>
      <c r="E1835">
        <v>464</v>
      </c>
      <c r="F1835">
        <v>413</v>
      </c>
      <c r="G1835">
        <v>484</v>
      </c>
      <c r="H1835">
        <v>0</v>
      </c>
      <c r="I1835">
        <f>VLOOKUP(Scores[[#This Row],[MRUN]],Demographics[],3,FALSE)</f>
        <v>4</v>
      </c>
      <c r="J1835">
        <f>AVERAGE(Scores[[#This Row],[LYC]],Scores[[#This Row],[MATE]])</f>
        <v>438.5</v>
      </c>
      <c r="K1835">
        <f>VLOOKUP(Scores[[#This Row],[MRUN]],Demographics[],6,FALSE)</f>
        <v>5</v>
      </c>
      <c r="L1835">
        <f>VLOOKUP(Scores[[#This Row],[MRUN]],Demographics[], 7,FALSE)</f>
        <v>3</v>
      </c>
      <c r="M1835">
        <f>VLOOKUP(Scores[[#This Row],[MRUN]],Demographics[], 5, FALSE)</f>
        <v>1</v>
      </c>
    </row>
    <row r="1836" spans="1:13" hidden="1" x14ac:dyDescent="0.2">
      <c r="A1836" s="1">
        <v>15325620</v>
      </c>
      <c r="B1836">
        <v>1</v>
      </c>
      <c r="C1836">
        <v>3</v>
      </c>
      <c r="D1836">
        <v>558</v>
      </c>
      <c r="E1836">
        <v>618</v>
      </c>
      <c r="F1836">
        <v>609</v>
      </c>
      <c r="G1836">
        <v>0</v>
      </c>
      <c r="H1836">
        <v>534</v>
      </c>
      <c r="I1836">
        <f>VLOOKUP(Scores[[#This Row],[MRUN]],Demographics[],3,FALSE)</f>
        <v>4</v>
      </c>
      <c r="J1836">
        <f>AVERAGE(Scores[[#This Row],[LYC]],Scores[[#This Row],[MATE]])</f>
        <v>613.5</v>
      </c>
      <c r="K1836">
        <f>VLOOKUP(Scores[[#This Row],[MRUN]],Demographics[],6,FALSE)</f>
        <v>5</v>
      </c>
      <c r="L1836">
        <f>VLOOKUP(Scores[[#This Row],[MRUN]],Demographics[], 7,FALSE)</f>
        <v>4</v>
      </c>
      <c r="M1836">
        <f>VLOOKUP(Scores[[#This Row],[MRUN]],Demographics[], 5, FALSE)</f>
        <v>1</v>
      </c>
    </row>
    <row r="1837" spans="1:13" hidden="1" x14ac:dyDescent="0.2">
      <c r="A1837" s="1">
        <v>17895520</v>
      </c>
      <c r="B1837">
        <v>1</v>
      </c>
      <c r="C1837">
        <v>2</v>
      </c>
      <c r="D1837">
        <v>476</v>
      </c>
      <c r="E1837">
        <v>494</v>
      </c>
      <c r="F1837">
        <v>480</v>
      </c>
      <c r="G1837">
        <v>495</v>
      </c>
      <c r="H1837">
        <v>0</v>
      </c>
      <c r="I1837">
        <f>VLOOKUP(Scores[[#This Row],[MRUN]],Demographics[],3,FALSE)</f>
        <v>3</v>
      </c>
      <c r="J1837">
        <f>AVERAGE(Scores[[#This Row],[LYC]],Scores[[#This Row],[MATE]])</f>
        <v>487</v>
      </c>
      <c r="K1837">
        <f>VLOOKUP(Scores[[#This Row],[MRUN]],Demographics[],6,FALSE)</f>
        <v>5</v>
      </c>
      <c r="L1837">
        <f>VLOOKUP(Scores[[#This Row],[MRUN]],Demographics[], 7,FALSE)</f>
        <v>5</v>
      </c>
      <c r="M1837">
        <f>VLOOKUP(Scores[[#This Row],[MRUN]],Demographics[], 5, FALSE)</f>
        <v>1</v>
      </c>
    </row>
    <row r="1838" spans="1:13" hidden="1" x14ac:dyDescent="0.2">
      <c r="A1838" s="1">
        <v>4544520</v>
      </c>
      <c r="B1838">
        <v>2</v>
      </c>
      <c r="C1838">
        <v>4</v>
      </c>
      <c r="D1838">
        <v>682</v>
      </c>
      <c r="E1838">
        <v>648</v>
      </c>
      <c r="F1838">
        <v>644</v>
      </c>
      <c r="G1838">
        <v>0</v>
      </c>
      <c r="H1838">
        <v>642</v>
      </c>
      <c r="I1838">
        <f>VLOOKUP(Scores[[#This Row],[MRUN]],Demographics[],3,FALSE)</f>
        <v>6</v>
      </c>
      <c r="J1838">
        <f>AVERAGE(Scores[[#This Row],[LYC]],Scores[[#This Row],[MATE]])</f>
        <v>646</v>
      </c>
      <c r="K1838">
        <f>VLOOKUP(Scores[[#This Row],[MRUN]],Demographics[],6,FALSE)</f>
        <v>5</v>
      </c>
      <c r="L1838">
        <f>VLOOKUP(Scores[[#This Row],[MRUN]],Demographics[], 7,FALSE)</f>
        <v>9</v>
      </c>
      <c r="M1838">
        <f>VLOOKUP(Scores[[#This Row],[MRUN]],Demographics[], 5, FALSE)</f>
        <v>2</v>
      </c>
    </row>
    <row r="1839" spans="1:13" hidden="1" x14ac:dyDescent="0.2">
      <c r="A1839" s="1">
        <v>9351132</v>
      </c>
      <c r="B1839">
        <v>1</v>
      </c>
      <c r="C1839">
        <v>2</v>
      </c>
      <c r="D1839">
        <v>661</v>
      </c>
      <c r="E1839">
        <v>531</v>
      </c>
      <c r="F1839">
        <v>552</v>
      </c>
      <c r="G1839">
        <v>557</v>
      </c>
      <c r="H1839">
        <v>391</v>
      </c>
      <c r="I1839">
        <f>VLOOKUP(Scores[[#This Row],[MRUN]],Demographics[],3,FALSE)</f>
        <v>3</v>
      </c>
      <c r="J1839">
        <f>AVERAGE(Scores[[#This Row],[LYC]],Scores[[#This Row],[MATE]])</f>
        <v>541.5</v>
      </c>
      <c r="K1839">
        <f>VLOOKUP(Scores[[#This Row],[MRUN]],Demographics[],6,FALSE)</f>
        <v>5</v>
      </c>
      <c r="L1839">
        <f>VLOOKUP(Scores[[#This Row],[MRUN]],Demographics[], 7,FALSE)</f>
        <v>4</v>
      </c>
      <c r="M1839">
        <f>VLOOKUP(Scores[[#This Row],[MRUN]],Demographics[], 5, FALSE)</f>
        <v>1</v>
      </c>
    </row>
    <row r="1840" spans="1:13" hidden="1" x14ac:dyDescent="0.2">
      <c r="A1840" s="1">
        <v>11588110</v>
      </c>
      <c r="B1840">
        <v>1</v>
      </c>
      <c r="C1840">
        <v>2</v>
      </c>
      <c r="D1840">
        <v>499</v>
      </c>
      <c r="E1840">
        <v>397</v>
      </c>
      <c r="F1840">
        <v>248</v>
      </c>
      <c r="G1840">
        <v>0</v>
      </c>
      <c r="H1840">
        <v>307</v>
      </c>
      <c r="I1840">
        <f>VLOOKUP(Scores[[#This Row],[MRUN]],Demographics[],3,FALSE)</f>
        <v>4</v>
      </c>
      <c r="J1840">
        <f>AVERAGE(Scores[[#This Row],[LYC]],Scores[[#This Row],[MATE]])</f>
        <v>322.5</v>
      </c>
      <c r="K1840">
        <f>VLOOKUP(Scores[[#This Row],[MRUN]],Demographics[],6,FALSE)</f>
        <v>3</v>
      </c>
      <c r="L1840">
        <f>VLOOKUP(Scores[[#This Row],[MRUN]],Demographics[], 7,FALSE)</f>
        <v>5</v>
      </c>
      <c r="M1840">
        <f>VLOOKUP(Scores[[#This Row],[MRUN]],Demographics[], 5, FALSE)</f>
        <v>1</v>
      </c>
    </row>
    <row r="1841" spans="1:13" hidden="1" x14ac:dyDescent="0.2">
      <c r="A1841" s="1">
        <v>24838372</v>
      </c>
      <c r="B1841">
        <v>1</v>
      </c>
      <c r="C1841">
        <v>2</v>
      </c>
      <c r="D1841">
        <v>601</v>
      </c>
      <c r="E1841">
        <v>526</v>
      </c>
      <c r="F1841">
        <v>540</v>
      </c>
      <c r="G1841">
        <v>506</v>
      </c>
      <c r="H1841">
        <v>558</v>
      </c>
      <c r="I1841">
        <f>VLOOKUP(Scores[[#This Row],[MRUN]],Demographics[],3,FALSE)</f>
        <v>4</v>
      </c>
      <c r="J1841">
        <f>AVERAGE(Scores[[#This Row],[LYC]],Scores[[#This Row],[MATE]])</f>
        <v>533</v>
      </c>
      <c r="K1841">
        <f>VLOOKUP(Scores[[#This Row],[MRUN]],Demographics[],6,FALSE)</f>
        <v>4</v>
      </c>
      <c r="L1841">
        <f>VLOOKUP(Scores[[#This Row],[MRUN]],Demographics[], 7,FALSE)</f>
        <v>5</v>
      </c>
      <c r="M1841">
        <f>VLOOKUP(Scores[[#This Row],[MRUN]],Demographics[], 5, FALSE)</f>
        <v>1</v>
      </c>
    </row>
    <row r="1842" spans="1:13" hidden="1" x14ac:dyDescent="0.2">
      <c r="A1842" s="1">
        <v>20032424</v>
      </c>
      <c r="B1842">
        <v>2</v>
      </c>
      <c r="C1842">
        <v>2</v>
      </c>
      <c r="D1842">
        <v>682</v>
      </c>
      <c r="E1842">
        <v>430</v>
      </c>
      <c r="F1842">
        <v>328</v>
      </c>
      <c r="G1842">
        <v>0</v>
      </c>
      <c r="H1842">
        <v>376</v>
      </c>
      <c r="I1842">
        <f>VLOOKUP(Scores[[#This Row],[MRUN]],Demographics[],3,FALSE)</f>
        <v>3</v>
      </c>
      <c r="J1842">
        <f>AVERAGE(Scores[[#This Row],[LYC]],Scores[[#This Row],[MATE]])</f>
        <v>379</v>
      </c>
      <c r="K1842">
        <f>VLOOKUP(Scores[[#This Row],[MRUN]],Demographics[],6,FALSE)</f>
        <v>2</v>
      </c>
      <c r="L1842">
        <f>VLOOKUP(Scores[[#This Row],[MRUN]],Demographics[], 7,FALSE)</f>
        <v>2</v>
      </c>
      <c r="M1842">
        <f>VLOOKUP(Scores[[#This Row],[MRUN]],Demographics[], 5, FALSE)</f>
        <v>1</v>
      </c>
    </row>
    <row r="1843" spans="1:13" hidden="1" x14ac:dyDescent="0.2">
      <c r="A1843" s="1">
        <v>19598499</v>
      </c>
      <c r="B1843">
        <v>2</v>
      </c>
      <c r="C1843">
        <v>3</v>
      </c>
      <c r="D1843">
        <v>579</v>
      </c>
      <c r="E1843">
        <v>561</v>
      </c>
      <c r="F1843">
        <v>606</v>
      </c>
      <c r="G1843">
        <v>484</v>
      </c>
      <c r="H1843">
        <v>523</v>
      </c>
      <c r="I1843">
        <f>VLOOKUP(Scores[[#This Row],[MRUN]],Demographics[],3,FALSE)</f>
        <v>5</v>
      </c>
      <c r="J1843">
        <f>AVERAGE(Scores[[#This Row],[LYC]],Scores[[#This Row],[MATE]])</f>
        <v>583.5</v>
      </c>
      <c r="K1843">
        <f>VLOOKUP(Scores[[#This Row],[MRUN]],Demographics[],6,FALSE)</f>
        <v>9</v>
      </c>
      <c r="L1843">
        <f>VLOOKUP(Scores[[#This Row],[MRUN]],Demographics[], 7,FALSE)</f>
        <v>9</v>
      </c>
      <c r="M1843">
        <f>VLOOKUP(Scores[[#This Row],[MRUN]],Demographics[], 5, FALSE)</f>
        <v>2</v>
      </c>
    </row>
    <row r="1844" spans="1:13" hidden="1" x14ac:dyDescent="0.2">
      <c r="A1844" s="1">
        <v>9884891</v>
      </c>
      <c r="B1844">
        <v>1</v>
      </c>
      <c r="C1844">
        <v>3</v>
      </c>
      <c r="D1844">
        <v>458</v>
      </c>
      <c r="E1844">
        <v>406</v>
      </c>
      <c r="F1844">
        <v>413</v>
      </c>
      <c r="G1844">
        <v>0</v>
      </c>
      <c r="H1844">
        <v>326</v>
      </c>
      <c r="I1844">
        <f>VLOOKUP(Scores[[#This Row],[MRUN]],Demographics[],3,FALSE)</f>
        <v>7</v>
      </c>
      <c r="J1844">
        <f>AVERAGE(Scores[[#This Row],[LYC]],Scores[[#This Row],[MATE]])</f>
        <v>409.5</v>
      </c>
      <c r="K1844">
        <f>VLOOKUP(Scores[[#This Row],[MRUN]],Demographics[],6,FALSE)</f>
        <v>2</v>
      </c>
      <c r="L1844">
        <f>VLOOKUP(Scores[[#This Row],[MRUN]],Demographics[], 7,FALSE)</f>
        <v>2</v>
      </c>
      <c r="M1844">
        <f>VLOOKUP(Scores[[#This Row],[MRUN]],Demographics[], 5, FALSE)</f>
        <v>1</v>
      </c>
    </row>
    <row r="1845" spans="1:13" hidden="1" x14ac:dyDescent="0.2">
      <c r="A1845" s="1">
        <v>11503084</v>
      </c>
      <c r="B1845">
        <v>2</v>
      </c>
      <c r="C1845">
        <v>2</v>
      </c>
      <c r="D1845">
        <v>620</v>
      </c>
      <c r="E1845">
        <v>471</v>
      </c>
      <c r="F1845">
        <v>441</v>
      </c>
      <c r="G1845">
        <v>506</v>
      </c>
      <c r="H1845">
        <v>376</v>
      </c>
      <c r="I1845">
        <f>VLOOKUP(Scores[[#This Row],[MRUN]],Demographics[],3,FALSE)</f>
        <v>4</v>
      </c>
      <c r="J1845">
        <f>AVERAGE(Scores[[#This Row],[LYC]],Scores[[#This Row],[MATE]])</f>
        <v>456</v>
      </c>
      <c r="K1845">
        <f>VLOOKUP(Scores[[#This Row],[MRUN]],Demographics[],6,FALSE)</f>
        <v>4</v>
      </c>
      <c r="L1845">
        <f>VLOOKUP(Scores[[#This Row],[MRUN]],Demographics[], 7,FALSE)</f>
        <v>5</v>
      </c>
      <c r="M1845">
        <f>VLOOKUP(Scores[[#This Row],[MRUN]],Demographics[], 5, FALSE)</f>
        <v>1</v>
      </c>
    </row>
    <row r="1846" spans="1:13" hidden="1" x14ac:dyDescent="0.2">
      <c r="A1846" s="1">
        <v>23482318</v>
      </c>
      <c r="B1846">
        <v>1</v>
      </c>
      <c r="C1846">
        <v>4</v>
      </c>
      <c r="D1846">
        <v>538</v>
      </c>
      <c r="E1846">
        <v>683</v>
      </c>
      <c r="F1846">
        <v>699</v>
      </c>
      <c r="G1846">
        <v>0</v>
      </c>
      <c r="H1846">
        <v>663</v>
      </c>
      <c r="I1846">
        <f>VLOOKUP(Scores[[#This Row],[MRUN]],Demographics[],3,FALSE)</f>
        <v>0</v>
      </c>
      <c r="J1846">
        <f>AVERAGE(Scores[[#This Row],[LYC]],Scores[[#This Row],[MATE]])</f>
        <v>691</v>
      </c>
      <c r="K1846">
        <f>VLOOKUP(Scores[[#This Row],[MRUN]],Demographics[],6,FALSE)</f>
        <v>0</v>
      </c>
      <c r="L1846">
        <f>VLOOKUP(Scores[[#This Row],[MRUN]],Demographics[], 7,FALSE)</f>
        <v>0</v>
      </c>
      <c r="M1846">
        <f>VLOOKUP(Scores[[#This Row],[MRUN]],Demographics[], 5, FALSE)</f>
        <v>2</v>
      </c>
    </row>
    <row r="1847" spans="1:13" hidden="1" x14ac:dyDescent="0.2">
      <c r="A1847" s="1">
        <v>4357765</v>
      </c>
      <c r="B1847">
        <v>2</v>
      </c>
      <c r="C1847">
        <v>3</v>
      </c>
      <c r="D1847">
        <v>311</v>
      </c>
      <c r="E1847">
        <v>0</v>
      </c>
      <c r="F1847">
        <v>0</v>
      </c>
      <c r="G1847">
        <v>0</v>
      </c>
      <c r="H1847">
        <v>0</v>
      </c>
      <c r="I1847">
        <f>VLOOKUP(Scores[[#This Row],[MRUN]],Demographics[],3,FALSE)</f>
        <v>9</v>
      </c>
      <c r="J1847">
        <f>AVERAGE(Scores[[#This Row],[LYC]],Scores[[#This Row],[MATE]])</f>
        <v>0</v>
      </c>
      <c r="K1847">
        <f>VLOOKUP(Scores[[#This Row],[MRUN]],Demographics[],6,FALSE)</f>
        <v>2</v>
      </c>
      <c r="L1847">
        <f>VLOOKUP(Scores[[#This Row],[MRUN]],Demographics[], 7,FALSE)</f>
        <v>2</v>
      </c>
      <c r="M1847">
        <f>VLOOKUP(Scores[[#This Row],[MRUN]],Demographics[], 5, FALSE)</f>
        <v>1</v>
      </c>
    </row>
    <row r="1848" spans="1:13" hidden="1" x14ac:dyDescent="0.2">
      <c r="A1848" s="1">
        <v>21015300</v>
      </c>
      <c r="B1848">
        <v>1</v>
      </c>
      <c r="C1848">
        <v>2</v>
      </c>
      <c r="D1848">
        <v>539</v>
      </c>
      <c r="E1848">
        <v>494</v>
      </c>
      <c r="F1848">
        <v>463</v>
      </c>
      <c r="G1848">
        <v>613</v>
      </c>
      <c r="H1848">
        <v>459</v>
      </c>
      <c r="I1848">
        <f>VLOOKUP(Scores[[#This Row],[MRUN]],Demographics[],3,FALSE)</f>
        <v>4</v>
      </c>
      <c r="J1848">
        <f>AVERAGE(Scores[[#This Row],[LYC]],Scores[[#This Row],[MATE]])</f>
        <v>478.5</v>
      </c>
      <c r="K1848">
        <f>VLOOKUP(Scores[[#This Row],[MRUN]],Demographics[],6,FALSE)</f>
        <v>2</v>
      </c>
      <c r="L1848">
        <f>VLOOKUP(Scores[[#This Row],[MRUN]],Demographics[], 7,FALSE)</f>
        <v>2</v>
      </c>
      <c r="M1848">
        <f>VLOOKUP(Scores[[#This Row],[MRUN]],Demographics[], 5, FALSE)</f>
        <v>1</v>
      </c>
    </row>
    <row r="1849" spans="1:13" hidden="1" x14ac:dyDescent="0.2">
      <c r="A1849" s="1">
        <v>1788637</v>
      </c>
      <c r="B1849">
        <v>2</v>
      </c>
      <c r="C1849">
        <v>3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f>VLOOKUP(Scores[[#This Row],[MRUN]],Demographics[],3,FALSE)</f>
        <v>5</v>
      </c>
      <c r="J1849">
        <f>AVERAGE(Scores[[#This Row],[LYC]],Scores[[#This Row],[MATE]])</f>
        <v>0</v>
      </c>
      <c r="K1849">
        <f>VLOOKUP(Scores[[#This Row],[MRUN]],Demographics[],6,FALSE)</f>
        <v>8</v>
      </c>
      <c r="L1849">
        <f>VLOOKUP(Scores[[#This Row],[MRUN]],Demographics[], 7,FALSE)</f>
        <v>8</v>
      </c>
      <c r="M1849">
        <f>VLOOKUP(Scores[[#This Row],[MRUN]],Demographics[], 5, FALSE)</f>
        <v>2</v>
      </c>
    </row>
    <row r="1850" spans="1:13" hidden="1" x14ac:dyDescent="0.2">
      <c r="A1850" s="1">
        <v>4026474</v>
      </c>
      <c r="B1850">
        <v>1</v>
      </c>
      <c r="C1850">
        <v>2</v>
      </c>
      <c r="D1850">
        <v>723</v>
      </c>
      <c r="E1850">
        <v>592</v>
      </c>
      <c r="F1850">
        <v>652</v>
      </c>
      <c r="G1850">
        <v>582</v>
      </c>
      <c r="H1850">
        <v>613</v>
      </c>
      <c r="I1850">
        <f>VLOOKUP(Scores[[#This Row],[MRUN]],Demographics[],3,FALSE)</f>
        <v>5</v>
      </c>
      <c r="J1850">
        <f>AVERAGE(Scores[[#This Row],[LYC]],Scores[[#This Row],[MATE]])</f>
        <v>622</v>
      </c>
      <c r="K1850">
        <f>VLOOKUP(Scores[[#This Row],[MRUN]],Demographics[],6,FALSE)</f>
        <v>2</v>
      </c>
      <c r="L1850">
        <f>VLOOKUP(Scores[[#This Row],[MRUN]],Demographics[], 7,FALSE)</f>
        <v>4</v>
      </c>
      <c r="M1850">
        <f>VLOOKUP(Scores[[#This Row],[MRUN]],Demographics[], 5, FALSE)</f>
        <v>1</v>
      </c>
    </row>
    <row r="1851" spans="1:13" hidden="1" x14ac:dyDescent="0.2">
      <c r="A1851" s="1">
        <v>19412980</v>
      </c>
      <c r="B1851">
        <v>1</v>
      </c>
      <c r="C1851">
        <v>3</v>
      </c>
      <c r="D1851">
        <v>476</v>
      </c>
      <c r="E1851">
        <v>505</v>
      </c>
      <c r="F1851">
        <v>487</v>
      </c>
      <c r="G1851">
        <v>607</v>
      </c>
      <c r="H1851">
        <v>0</v>
      </c>
      <c r="I1851">
        <f>VLOOKUP(Scores[[#This Row],[MRUN]],Demographics[],3,FALSE)</f>
        <v>4</v>
      </c>
      <c r="J1851">
        <f>AVERAGE(Scores[[#This Row],[LYC]],Scores[[#This Row],[MATE]])</f>
        <v>496</v>
      </c>
      <c r="K1851">
        <f>VLOOKUP(Scores[[#This Row],[MRUN]],Demographics[],6,FALSE)</f>
        <v>4</v>
      </c>
      <c r="L1851">
        <f>VLOOKUP(Scores[[#This Row],[MRUN]],Demographics[], 7,FALSE)</f>
        <v>5</v>
      </c>
      <c r="M1851">
        <f>VLOOKUP(Scores[[#This Row],[MRUN]],Demographics[], 5, FALSE)</f>
        <v>2</v>
      </c>
    </row>
    <row r="1852" spans="1:13" hidden="1" x14ac:dyDescent="0.2">
      <c r="A1852" s="1">
        <v>15674050</v>
      </c>
      <c r="B1852">
        <v>1</v>
      </c>
      <c r="C1852">
        <v>4</v>
      </c>
      <c r="D1852">
        <v>579</v>
      </c>
      <c r="E1852">
        <v>661</v>
      </c>
      <c r="F1852">
        <v>600</v>
      </c>
      <c r="G1852">
        <v>706</v>
      </c>
      <c r="H1852">
        <v>0</v>
      </c>
      <c r="I1852">
        <f>VLOOKUP(Scores[[#This Row],[MRUN]],Demographics[],3,FALSE)</f>
        <v>3</v>
      </c>
      <c r="J1852">
        <f>AVERAGE(Scores[[#This Row],[LYC]],Scores[[#This Row],[MATE]])</f>
        <v>630.5</v>
      </c>
      <c r="K1852">
        <f>VLOOKUP(Scores[[#This Row],[MRUN]],Demographics[],6,FALSE)</f>
        <v>9</v>
      </c>
      <c r="L1852">
        <f>VLOOKUP(Scores[[#This Row],[MRUN]],Demographics[], 7,FALSE)</f>
        <v>9</v>
      </c>
      <c r="M1852">
        <f>VLOOKUP(Scores[[#This Row],[MRUN]],Demographics[], 5, FALSE)</f>
        <v>3</v>
      </c>
    </row>
    <row r="1853" spans="1:13" hidden="1" x14ac:dyDescent="0.2">
      <c r="A1853" s="1">
        <v>3925477</v>
      </c>
      <c r="B1853">
        <v>1</v>
      </c>
      <c r="C1853">
        <v>2</v>
      </c>
      <c r="D1853">
        <v>601</v>
      </c>
      <c r="E1853">
        <v>464</v>
      </c>
      <c r="F1853">
        <v>523</v>
      </c>
      <c r="G1853">
        <v>0</v>
      </c>
      <c r="H1853">
        <v>459</v>
      </c>
      <c r="I1853">
        <f>VLOOKUP(Scores[[#This Row],[MRUN]],Demographics[],3,FALSE)</f>
        <v>2</v>
      </c>
      <c r="J1853">
        <f>AVERAGE(Scores[[#This Row],[LYC]],Scores[[#This Row],[MATE]])</f>
        <v>493.5</v>
      </c>
      <c r="K1853">
        <f>VLOOKUP(Scores[[#This Row],[MRUN]],Demographics[],6,FALSE)</f>
        <v>0</v>
      </c>
      <c r="L1853">
        <f>VLOOKUP(Scores[[#This Row],[MRUN]],Demographics[], 7,FALSE)</f>
        <v>0</v>
      </c>
      <c r="M1853">
        <f>VLOOKUP(Scores[[#This Row],[MRUN]],Demographics[], 5, FALSE)</f>
        <v>1</v>
      </c>
    </row>
    <row r="1854" spans="1:13" hidden="1" x14ac:dyDescent="0.2">
      <c r="A1854" s="1">
        <v>4459067</v>
      </c>
      <c r="B1854">
        <v>1</v>
      </c>
      <c r="C1854">
        <v>2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f>VLOOKUP(Scores[[#This Row],[MRUN]],Demographics[],3,FALSE)</f>
        <v>3</v>
      </c>
      <c r="J1854">
        <f>AVERAGE(Scores[[#This Row],[LYC]],Scores[[#This Row],[MATE]])</f>
        <v>0</v>
      </c>
      <c r="K1854">
        <f>VLOOKUP(Scores[[#This Row],[MRUN]],Demographics[],6,FALSE)</f>
        <v>0</v>
      </c>
      <c r="L1854">
        <f>VLOOKUP(Scores[[#This Row],[MRUN]],Demographics[], 7,FALSE)</f>
        <v>8</v>
      </c>
      <c r="M1854">
        <f>VLOOKUP(Scores[[#This Row],[MRUN]],Demographics[], 5, FALSE)</f>
        <v>2</v>
      </c>
    </row>
    <row r="1855" spans="1:13" hidden="1" x14ac:dyDescent="0.2">
      <c r="A1855" s="1">
        <v>2322999</v>
      </c>
      <c r="B1855">
        <v>2</v>
      </c>
      <c r="C1855">
        <v>3</v>
      </c>
      <c r="D1855">
        <v>661</v>
      </c>
      <c r="E1855">
        <v>648</v>
      </c>
      <c r="F1855">
        <v>603</v>
      </c>
      <c r="G1855">
        <v>0</v>
      </c>
      <c r="H1855">
        <v>528</v>
      </c>
      <c r="I1855">
        <f>VLOOKUP(Scores[[#This Row],[MRUN]],Demographics[],3,FALSE)</f>
        <v>4</v>
      </c>
      <c r="J1855">
        <f>AVERAGE(Scores[[#This Row],[LYC]],Scores[[#This Row],[MATE]])</f>
        <v>625.5</v>
      </c>
      <c r="K1855">
        <f>VLOOKUP(Scores[[#This Row],[MRUN]],Demographics[],6,FALSE)</f>
        <v>5</v>
      </c>
      <c r="L1855">
        <f>VLOOKUP(Scores[[#This Row],[MRUN]],Demographics[], 7,FALSE)</f>
        <v>5</v>
      </c>
      <c r="M1855">
        <f>VLOOKUP(Scores[[#This Row],[MRUN]],Demographics[], 5, FALSE)</f>
        <v>2</v>
      </c>
    </row>
    <row r="1856" spans="1:13" hidden="1" x14ac:dyDescent="0.2">
      <c r="A1856" s="1">
        <v>23584053</v>
      </c>
      <c r="B1856">
        <v>1</v>
      </c>
      <c r="C1856">
        <v>2</v>
      </c>
      <c r="D1856">
        <v>435</v>
      </c>
      <c r="E1856">
        <v>567</v>
      </c>
      <c r="F1856">
        <v>617</v>
      </c>
      <c r="G1856">
        <v>0</v>
      </c>
      <c r="H1856">
        <v>631</v>
      </c>
      <c r="I1856">
        <f>VLOOKUP(Scores[[#This Row],[MRUN]],Demographics[],3,FALSE)</f>
        <v>6</v>
      </c>
      <c r="J1856">
        <f>AVERAGE(Scores[[#This Row],[LYC]],Scores[[#This Row],[MATE]])</f>
        <v>592</v>
      </c>
      <c r="K1856">
        <f>VLOOKUP(Scores[[#This Row],[MRUN]],Demographics[],6,FALSE)</f>
        <v>0</v>
      </c>
      <c r="L1856">
        <f>VLOOKUP(Scores[[#This Row],[MRUN]],Demographics[], 7,FALSE)</f>
        <v>5</v>
      </c>
      <c r="M1856">
        <f>VLOOKUP(Scores[[#This Row],[MRUN]],Demographics[], 5, FALSE)</f>
        <v>1</v>
      </c>
    </row>
    <row r="1857" spans="1:13" hidden="1" x14ac:dyDescent="0.2">
      <c r="A1857" s="1">
        <v>186354</v>
      </c>
      <c r="B1857">
        <v>1</v>
      </c>
      <c r="C1857">
        <v>3</v>
      </c>
      <c r="D1857">
        <v>478</v>
      </c>
      <c r="E1857">
        <v>464</v>
      </c>
      <c r="F1857">
        <v>219</v>
      </c>
      <c r="G1857">
        <v>0</v>
      </c>
      <c r="H1857">
        <v>376</v>
      </c>
      <c r="I1857">
        <f>VLOOKUP(Scores[[#This Row],[MRUN]],Demographics[],3,FALSE)</f>
        <v>4</v>
      </c>
      <c r="J1857">
        <f>AVERAGE(Scores[[#This Row],[LYC]],Scores[[#This Row],[MATE]])</f>
        <v>341.5</v>
      </c>
      <c r="K1857">
        <f>VLOOKUP(Scores[[#This Row],[MRUN]],Demographics[],6,FALSE)</f>
        <v>5</v>
      </c>
      <c r="L1857">
        <f>VLOOKUP(Scores[[#This Row],[MRUN]],Demographics[], 7,FALSE)</f>
        <v>5</v>
      </c>
      <c r="M1857">
        <f>VLOOKUP(Scores[[#This Row],[MRUN]],Demographics[], 5, FALSE)</f>
        <v>2</v>
      </c>
    </row>
    <row r="1858" spans="1:13" hidden="1" x14ac:dyDescent="0.2">
      <c r="A1858" s="1">
        <v>13538253</v>
      </c>
      <c r="B1858">
        <v>2</v>
      </c>
      <c r="C1858">
        <v>2</v>
      </c>
      <c r="D1858">
        <v>538</v>
      </c>
      <c r="E1858">
        <v>471</v>
      </c>
      <c r="F1858">
        <v>568</v>
      </c>
      <c r="G1858">
        <v>0</v>
      </c>
      <c r="H1858">
        <v>562</v>
      </c>
      <c r="I1858">
        <f>VLOOKUP(Scores[[#This Row],[MRUN]],Demographics[],3,FALSE)</f>
        <v>4</v>
      </c>
      <c r="J1858">
        <f>AVERAGE(Scores[[#This Row],[LYC]],Scores[[#This Row],[MATE]])</f>
        <v>519.5</v>
      </c>
      <c r="K1858">
        <f>VLOOKUP(Scores[[#This Row],[MRUN]],Demographics[],6,FALSE)</f>
        <v>4</v>
      </c>
      <c r="L1858">
        <f>VLOOKUP(Scores[[#This Row],[MRUN]],Demographics[], 7,FALSE)</f>
        <v>4</v>
      </c>
      <c r="M1858">
        <f>VLOOKUP(Scores[[#This Row],[MRUN]],Demographics[], 5, FALSE)</f>
        <v>1</v>
      </c>
    </row>
    <row r="1859" spans="1:13" hidden="1" x14ac:dyDescent="0.2">
      <c r="A1859" s="1">
        <v>23050216</v>
      </c>
      <c r="B1859">
        <v>2</v>
      </c>
      <c r="C1859">
        <v>2</v>
      </c>
      <c r="D1859">
        <v>290</v>
      </c>
      <c r="E1859">
        <v>0</v>
      </c>
      <c r="F1859">
        <v>0</v>
      </c>
      <c r="G1859">
        <v>0</v>
      </c>
      <c r="H1859">
        <v>0</v>
      </c>
      <c r="I1859">
        <f>VLOOKUP(Scores[[#This Row],[MRUN]],Demographics[],3,FALSE)</f>
        <v>5</v>
      </c>
      <c r="J1859">
        <f>AVERAGE(Scores[[#This Row],[LYC]],Scores[[#This Row],[MATE]])</f>
        <v>0</v>
      </c>
      <c r="K1859">
        <f>VLOOKUP(Scores[[#This Row],[MRUN]],Demographics[],6,FALSE)</f>
        <v>2</v>
      </c>
      <c r="L1859">
        <f>VLOOKUP(Scores[[#This Row],[MRUN]],Demographics[], 7,FALSE)</f>
        <v>4</v>
      </c>
      <c r="M1859">
        <f>VLOOKUP(Scores[[#This Row],[MRUN]],Demographics[], 5, FALSE)</f>
        <v>1</v>
      </c>
    </row>
    <row r="1860" spans="1:13" hidden="1" x14ac:dyDescent="0.2">
      <c r="A1860" s="1">
        <v>1152907</v>
      </c>
      <c r="B1860">
        <v>2</v>
      </c>
      <c r="C1860">
        <v>2</v>
      </c>
      <c r="D1860">
        <v>478</v>
      </c>
      <c r="E1860">
        <v>483</v>
      </c>
      <c r="F1860">
        <v>328</v>
      </c>
      <c r="G1860">
        <v>461</v>
      </c>
      <c r="H1860">
        <v>376</v>
      </c>
      <c r="I1860">
        <f>VLOOKUP(Scores[[#This Row],[MRUN]],Demographics[],3,FALSE)</f>
        <v>4</v>
      </c>
      <c r="J1860">
        <f>AVERAGE(Scores[[#This Row],[LYC]],Scores[[#This Row],[MATE]])</f>
        <v>405.5</v>
      </c>
      <c r="K1860">
        <f>VLOOKUP(Scores[[#This Row],[MRUN]],Demographics[],6,FALSE)</f>
        <v>2</v>
      </c>
      <c r="L1860">
        <f>VLOOKUP(Scores[[#This Row],[MRUN]],Demographics[], 7,FALSE)</f>
        <v>3</v>
      </c>
      <c r="M1860">
        <f>VLOOKUP(Scores[[#This Row],[MRUN]],Demographics[], 5, FALSE)</f>
        <v>1</v>
      </c>
    </row>
    <row r="1861" spans="1:13" hidden="1" x14ac:dyDescent="0.2">
      <c r="A1861" s="1">
        <v>3391705</v>
      </c>
      <c r="B1861">
        <v>2</v>
      </c>
      <c r="C1861">
        <v>2</v>
      </c>
      <c r="D1861">
        <v>435</v>
      </c>
      <c r="E1861">
        <v>388</v>
      </c>
      <c r="F1861">
        <v>353</v>
      </c>
      <c r="G1861">
        <v>0</v>
      </c>
      <c r="H1861">
        <v>404</v>
      </c>
      <c r="I1861">
        <f>VLOOKUP(Scores[[#This Row],[MRUN]],Demographics[],3,FALSE)</f>
        <v>5</v>
      </c>
      <c r="J1861">
        <f>AVERAGE(Scores[[#This Row],[LYC]],Scores[[#This Row],[MATE]])</f>
        <v>370.5</v>
      </c>
      <c r="K1861">
        <f>VLOOKUP(Scores[[#This Row],[MRUN]],Demographics[],6,FALSE)</f>
        <v>5</v>
      </c>
      <c r="L1861">
        <f>VLOOKUP(Scores[[#This Row],[MRUN]],Demographics[], 7,FALSE)</f>
        <v>5</v>
      </c>
      <c r="M1861">
        <f>VLOOKUP(Scores[[#This Row],[MRUN]],Demographics[], 5, FALSE)</f>
        <v>1</v>
      </c>
    </row>
    <row r="1862" spans="1:13" hidden="1" x14ac:dyDescent="0.2">
      <c r="A1862" s="1">
        <v>11835101</v>
      </c>
      <c r="B1862">
        <v>2</v>
      </c>
      <c r="C1862">
        <v>3</v>
      </c>
      <c r="D1862">
        <v>580</v>
      </c>
      <c r="E1862">
        <v>397</v>
      </c>
      <c r="F1862">
        <v>441</v>
      </c>
      <c r="G1862">
        <v>0</v>
      </c>
      <c r="H1862">
        <v>439</v>
      </c>
      <c r="I1862">
        <f>VLOOKUP(Scores[[#This Row],[MRUN]],Demographics[],3,FALSE)</f>
        <v>5</v>
      </c>
      <c r="J1862">
        <f>AVERAGE(Scores[[#This Row],[LYC]],Scores[[#This Row],[MATE]])</f>
        <v>419</v>
      </c>
      <c r="K1862">
        <f>VLOOKUP(Scores[[#This Row],[MRUN]],Demographics[],6,FALSE)</f>
        <v>4</v>
      </c>
      <c r="L1862">
        <f>VLOOKUP(Scores[[#This Row],[MRUN]],Demographics[], 7,FALSE)</f>
        <v>5</v>
      </c>
      <c r="M1862">
        <f>VLOOKUP(Scores[[#This Row],[MRUN]],Demographics[], 5, FALSE)</f>
        <v>1</v>
      </c>
    </row>
    <row r="1863" spans="1:13" hidden="1" x14ac:dyDescent="0.2">
      <c r="A1863" s="1">
        <v>9900561</v>
      </c>
      <c r="B1863">
        <v>1</v>
      </c>
      <c r="C1863">
        <v>3</v>
      </c>
      <c r="D1863">
        <v>558</v>
      </c>
      <c r="E1863">
        <v>488</v>
      </c>
      <c r="F1863">
        <v>631</v>
      </c>
      <c r="G1863">
        <v>547</v>
      </c>
      <c r="H1863">
        <v>567</v>
      </c>
      <c r="I1863">
        <f>VLOOKUP(Scores[[#This Row],[MRUN]],Demographics[],3,FALSE)</f>
        <v>4</v>
      </c>
      <c r="J1863">
        <f>AVERAGE(Scores[[#This Row],[LYC]],Scores[[#This Row],[MATE]])</f>
        <v>559.5</v>
      </c>
      <c r="K1863">
        <f>VLOOKUP(Scores[[#This Row],[MRUN]],Demographics[],6,FALSE)</f>
        <v>5</v>
      </c>
      <c r="L1863">
        <f>VLOOKUP(Scores[[#This Row],[MRUN]],Demographics[], 7,FALSE)</f>
        <v>5</v>
      </c>
      <c r="M1863">
        <f>VLOOKUP(Scores[[#This Row],[MRUN]],Demographics[], 5, FALSE)</f>
        <v>1</v>
      </c>
    </row>
    <row r="1864" spans="1:13" hidden="1" x14ac:dyDescent="0.2">
      <c r="A1864" s="1">
        <v>6494553</v>
      </c>
      <c r="B1864">
        <v>2</v>
      </c>
      <c r="C1864">
        <v>2</v>
      </c>
      <c r="D1864">
        <v>458</v>
      </c>
      <c r="E1864">
        <v>510</v>
      </c>
      <c r="F1864">
        <v>413</v>
      </c>
      <c r="G1864">
        <v>406</v>
      </c>
      <c r="H1864">
        <v>0</v>
      </c>
      <c r="I1864">
        <f>VLOOKUP(Scores[[#This Row],[MRUN]],Demographics[],3,FALSE)</f>
        <v>4</v>
      </c>
      <c r="J1864">
        <f>AVERAGE(Scores[[#This Row],[LYC]],Scores[[#This Row],[MATE]])</f>
        <v>461.5</v>
      </c>
      <c r="K1864">
        <f>VLOOKUP(Scores[[#This Row],[MRUN]],Demographics[],6,FALSE)</f>
        <v>5</v>
      </c>
      <c r="L1864">
        <f>VLOOKUP(Scores[[#This Row],[MRUN]],Demographics[], 7,FALSE)</f>
        <v>5</v>
      </c>
      <c r="M1864">
        <f>VLOOKUP(Scores[[#This Row],[MRUN]],Demographics[], 5, FALSE)</f>
        <v>1</v>
      </c>
    </row>
    <row r="1865" spans="1:13" hidden="1" x14ac:dyDescent="0.2">
      <c r="A1865" s="1">
        <v>8096405</v>
      </c>
      <c r="B1865">
        <v>1</v>
      </c>
      <c r="C1865">
        <v>2</v>
      </c>
      <c r="D1865">
        <v>499</v>
      </c>
      <c r="E1865">
        <v>505</v>
      </c>
      <c r="F1865">
        <v>463</v>
      </c>
      <c r="G1865">
        <v>0</v>
      </c>
      <c r="H1865">
        <v>475</v>
      </c>
      <c r="I1865">
        <f>VLOOKUP(Scores[[#This Row],[MRUN]],Demographics[],3,FALSE)</f>
        <v>4</v>
      </c>
      <c r="J1865">
        <f>AVERAGE(Scores[[#This Row],[LYC]],Scores[[#This Row],[MATE]])</f>
        <v>484</v>
      </c>
      <c r="K1865">
        <f>VLOOKUP(Scores[[#This Row],[MRUN]],Demographics[],6,FALSE)</f>
        <v>5</v>
      </c>
      <c r="L1865">
        <f>VLOOKUP(Scores[[#This Row],[MRUN]],Demographics[], 7,FALSE)</f>
        <v>5</v>
      </c>
      <c r="M1865">
        <f>VLOOKUP(Scores[[#This Row],[MRUN]],Demographics[], 5, FALSE)</f>
        <v>1</v>
      </c>
    </row>
    <row r="1866" spans="1:13" hidden="1" x14ac:dyDescent="0.2">
      <c r="A1866" s="1">
        <v>21448014</v>
      </c>
      <c r="B1866">
        <v>2</v>
      </c>
      <c r="C1866">
        <v>2</v>
      </c>
      <c r="D1866">
        <v>621</v>
      </c>
      <c r="E1866">
        <v>0</v>
      </c>
      <c r="F1866">
        <v>0</v>
      </c>
      <c r="G1866">
        <v>0</v>
      </c>
      <c r="H1866">
        <v>0</v>
      </c>
      <c r="I1866">
        <f>VLOOKUP(Scores[[#This Row],[MRUN]],Demographics[],3,FALSE)</f>
        <v>10</v>
      </c>
      <c r="J1866">
        <f>AVERAGE(Scores[[#This Row],[LYC]],Scores[[#This Row],[MATE]])</f>
        <v>0</v>
      </c>
      <c r="K1866">
        <f>VLOOKUP(Scores[[#This Row],[MRUN]],Demographics[],6,FALSE)</f>
        <v>4</v>
      </c>
      <c r="L1866">
        <f>VLOOKUP(Scores[[#This Row],[MRUN]],Demographics[], 7,FALSE)</f>
        <v>5</v>
      </c>
      <c r="M1866">
        <f>VLOOKUP(Scores[[#This Row],[MRUN]],Demographics[], 5, FALSE)</f>
        <v>1</v>
      </c>
    </row>
    <row r="1867" spans="1:13" hidden="1" x14ac:dyDescent="0.2">
      <c r="A1867" s="1">
        <v>5960475</v>
      </c>
      <c r="B1867">
        <v>1</v>
      </c>
      <c r="C1867">
        <v>2</v>
      </c>
      <c r="D1867">
        <v>538</v>
      </c>
      <c r="E1867">
        <v>526</v>
      </c>
      <c r="F1867">
        <v>494</v>
      </c>
      <c r="G1867">
        <v>527</v>
      </c>
      <c r="H1867">
        <v>0</v>
      </c>
      <c r="I1867">
        <f>VLOOKUP(Scores[[#This Row],[MRUN]],Demographics[],3,FALSE)</f>
        <v>4</v>
      </c>
      <c r="J1867">
        <f>AVERAGE(Scores[[#This Row],[LYC]],Scores[[#This Row],[MATE]])</f>
        <v>510</v>
      </c>
      <c r="K1867">
        <f>VLOOKUP(Scores[[#This Row],[MRUN]],Demographics[],6,FALSE)</f>
        <v>5</v>
      </c>
      <c r="L1867">
        <f>VLOOKUP(Scores[[#This Row],[MRUN]],Demographics[], 7,FALSE)</f>
        <v>4</v>
      </c>
      <c r="M1867">
        <f>VLOOKUP(Scores[[#This Row],[MRUN]],Demographics[], 5, FALSE)</f>
        <v>1</v>
      </c>
    </row>
    <row r="1868" spans="1:13" hidden="1" x14ac:dyDescent="0.2">
      <c r="A1868" s="1">
        <v>22617707</v>
      </c>
      <c r="B1868">
        <v>2</v>
      </c>
      <c r="C1868">
        <v>3</v>
      </c>
      <c r="D1868">
        <v>376</v>
      </c>
      <c r="E1868">
        <v>333</v>
      </c>
      <c r="F1868">
        <v>376</v>
      </c>
      <c r="G1868">
        <v>442</v>
      </c>
      <c r="H1868">
        <v>0</v>
      </c>
      <c r="I1868">
        <f>VLOOKUP(Scores[[#This Row],[MRUN]],Demographics[],3,FALSE)</f>
        <v>0</v>
      </c>
      <c r="J1868">
        <f>AVERAGE(Scores[[#This Row],[LYC]],Scores[[#This Row],[MATE]])</f>
        <v>354.5</v>
      </c>
      <c r="K1868">
        <f>VLOOKUP(Scores[[#This Row],[MRUN]],Demographics[],6,FALSE)</f>
        <v>0</v>
      </c>
      <c r="L1868">
        <f>VLOOKUP(Scores[[#This Row],[MRUN]],Demographics[], 7,FALSE)</f>
        <v>0</v>
      </c>
      <c r="M1868">
        <f>VLOOKUP(Scores[[#This Row],[MRUN]],Demographics[], 5, FALSE)</f>
        <v>1</v>
      </c>
    </row>
    <row r="1869" spans="1:13" hidden="1" x14ac:dyDescent="0.2">
      <c r="A1869" s="1">
        <v>24550247</v>
      </c>
      <c r="B1869">
        <v>2</v>
      </c>
      <c r="C1869">
        <v>2</v>
      </c>
      <c r="D1869">
        <v>661</v>
      </c>
      <c r="E1869">
        <v>602</v>
      </c>
      <c r="F1869">
        <v>675</v>
      </c>
      <c r="G1869">
        <v>0</v>
      </c>
      <c r="H1869">
        <v>549</v>
      </c>
      <c r="I1869">
        <f>VLOOKUP(Scores[[#This Row],[MRUN]],Demographics[],3,FALSE)</f>
        <v>4</v>
      </c>
      <c r="J1869">
        <f>AVERAGE(Scores[[#This Row],[LYC]],Scores[[#This Row],[MATE]])</f>
        <v>638.5</v>
      </c>
      <c r="K1869">
        <f>VLOOKUP(Scores[[#This Row],[MRUN]],Demographics[],6,FALSE)</f>
        <v>5</v>
      </c>
      <c r="L1869">
        <f>VLOOKUP(Scores[[#This Row],[MRUN]],Demographics[], 7,FALSE)</f>
        <v>5</v>
      </c>
      <c r="M1869">
        <f>VLOOKUP(Scores[[#This Row],[MRUN]],Demographics[], 5, FALSE)</f>
        <v>1</v>
      </c>
    </row>
    <row r="1870" spans="1:13" hidden="1" x14ac:dyDescent="0.2">
      <c r="A1870" s="1">
        <v>20278395</v>
      </c>
      <c r="B1870">
        <v>1</v>
      </c>
      <c r="C1870">
        <v>2</v>
      </c>
      <c r="D1870">
        <v>499</v>
      </c>
      <c r="E1870">
        <v>0</v>
      </c>
      <c r="F1870">
        <v>0</v>
      </c>
      <c r="G1870">
        <v>0</v>
      </c>
      <c r="H1870">
        <v>0</v>
      </c>
      <c r="I1870">
        <f>VLOOKUP(Scores[[#This Row],[MRUN]],Demographics[],3,FALSE)</f>
        <v>3</v>
      </c>
      <c r="J1870">
        <f>AVERAGE(Scores[[#This Row],[LYC]],Scores[[#This Row],[MATE]])</f>
        <v>0</v>
      </c>
      <c r="K1870">
        <f>VLOOKUP(Scores[[#This Row],[MRUN]],Demographics[],6,FALSE)</f>
        <v>2</v>
      </c>
      <c r="L1870">
        <f>VLOOKUP(Scores[[#This Row],[MRUN]],Demographics[], 7,FALSE)</f>
        <v>2</v>
      </c>
      <c r="M1870">
        <f>VLOOKUP(Scores[[#This Row],[MRUN]],Demographics[], 5, FALSE)</f>
        <v>1</v>
      </c>
    </row>
    <row r="1871" spans="1:13" hidden="1" x14ac:dyDescent="0.2">
      <c r="A1871" s="1">
        <v>11503083</v>
      </c>
      <c r="B1871">
        <v>2</v>
      </c>
      <c r="C1871">
        <v>3</v>
      </c>
      <c r="D1871">
        <v>458</v>
      </c>
      <c r="E1871">
        <v>397</v>
      </c>
      <c r="F1871">
        <v>328</v>
      </c>
      <c r="G1871">
        <v>449</v>
      </c>
      <c r="H1871">
        <v>0</v>
      </c>
      <c r="I1871">
        <f>VLOOKUP(Scores[[#This Row],[MRUN]],Demographics[],3,FALSE)</f>
        <v>6</v>
      </c>
      <c r="J1871">
        <f>AVERAGE(Scores[[#This Row],[LYC]],Scores[[#This Row],[MATE]])</f>
        <v>362.5</v>
      </c>
      <c r="K1871">
        <f>VLOOKUP(Scores[[#This Row],[MRUN]],Demographics[],6,FALSE)</f>
        <v>5</v>
      </c>
      <c r="L1871">
        <f>VLOOKUP(Scores[[#This Row],[MRUN]],Demographics[], 7,FALSE)</f>
        <v>4</v>
      </c>
      <c r="M1871">
        <f>VLOOKUP(Scores[[#This Row],[MRUN]],Demographics[], 5, FALSE)</f>
        <v>1</v>
      </c>
    </row>
    <row r="1872" spans="1:13" hidden="1" x14ac:dyDescent="0.2">
      <c r="A1872" s="1">
        <v>9799806</v>
      </c>
      <c r="B1872">
        <v>1</v>
      </c>
      <c r="C1872">
        <v>2</v>
      </c>
      <c r="D1872">
        <v>455</v>
      </c>
      <c r="E1872">
        <v>567</v>
      </c>
      <c r="F1872">
        <v>413</v>
      </c>
      <c r="G1872">
        <v>495</v>
      </c>
      <c r="H1872">
        <v>0</v>
      </c>
      <c r="I1872">
        <f>VLOOKUP(Scores[[#This Row],[MRUN]],Demographics[],3,FALSE)</f>
        <v>3</v>
      </c>
      <c r="J1872">
        <f>AVERAGE(Scores[[#This Row],[LYC]],Scores[[#This Row],[MATE]])</f>
        <v>490</v>
      </c>
      <c r="K1872">
        <f>VLOOKUP(Scores[[#This Row],[MRUN]],Demographics[],6,FALSE)</f>
        <v>0</v>
      </c>
      <c r="L1872">
        <f>VLOOKUP(Scores[[#This Row],[MRUN]],Demographics[], 7,FALSE)</f>
        <v>3</v>
      </c>
      <c r="M1872">
        <f>VLOOKUP(Scores[[#This Row],[MRUN]],Demographics[], 5, FALSE)</f>
        <v>2</v>
      </c>
    </row>
    <row r="1873" spans="1:13" hidden="1" x14ac:dyDescent="0.2">
      <c r="A1873" s="1">
        <v>7764281</v>
      </c>
      <c r="B1873">
        <v>2</v>
      </c>
      <c r="C1873">
        <v>2</v>
      </c>
      <c r="D1873">
        <v>437</v>
      </c>
      <c r="E1873">
        <v>333</v>
      </c>
      <c r="F1873">
        <v>413</v>
      </c>
      <c r="G1873">
        <v>421</v>
      </c>
      <c r="H1873">
        <v>0</v>
      </c>
      <c r="I1873">
        <f>VLOOKUP(Scores[[#This Row],[MRUN]],Demographics[],3,FALSE)</f>
        <v>5</v>
      </c>
      <c r="J1873">
        <f>AVERAGE(Scores[[#This Row],[LYC]],Scores[[#This Row],[MATE]])</f>
        <v>373</v>
      </c>
      <c r="K1873">
        <f>VLOOKUP(Scores[[#This Row],[MRUN]],Demographics[],6,FALSE)</f>
        <v>5</v>
      </c>
      <c r="L1873">
        <f>VLOOKUP(Scores[[#This Row],[MRUN]],Demographics[], 7,FALSE)</f>
        <v>4</v>
      </c>
      <c r="M1873">
        <f>VLOOKUP(Scores[[#This Row],[MRUN]],Demographics[], 5, FALSE)</f>
        <v>1</v>
      </c>
    </row>
    <row r="1874" spans="1:13" hidden="1" x14ac:dyDescent="0.2">
      <c r="A1874" s="1">
        <v>19209751</v>
      </c>
      <c r="B1874">
        <v>2</v>
      </c>
      <c r="C1874">
        <v>2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f>VLOOKUP(Scores[[#This Row],[MRUN]],Demographics[],3,FALSE)</f>
        <v>4</v>
      </c>
      <c r="J1874">
        <f>AVERAGE(Scores[[#This Row],[LYC]],Scores[[#This Row],[MATE]])</f>
        <v>0</v>
      </c>
      <c r="K1874">
        <f>VLOOKUP(Scores[[#This Row],[MRUN]],Demographics[],6,FALSE)</f>
        <v>2</v>
      </c>
      <c r="L1874">
        <f>VLOOKUP(Scores[[#This Row],[MRUN]],Demographics[], 7,FALSE)</f>
        <v>5</v>
      </c>
      <c r="M1874">
        <f>VLOOKUP(Scores[[#This Row],[MRUN]],Demographics[], 5, FALSE)</f>
        <v>1</v>
      </c>
    </row>
    <row r="1875" spans="1:13" hidden="1" x14ac:dyDescent="0.2">
      <c r="A1875" s="1">
        <v>2958548</v>
      </c>
      <c r="B1875">
        <v>2</v>
      </c>
      <c r="C1875">
        <v>2</v>
      </c>
      <c r="D1875">
        <v>579</v>
      </c>
      <c r="E1875">
        <v>624</v>
      </c>
      <c r="F1875">
        <v>523</v>
      </c>
      <c r="G1875">
        <v>613</v>
      </c>
      <c r="H1875">
        <v>0</v>
      </c>
      <c r="I1875">
        <f>VLOOKUP(Scores[[#This Row],[MRUN]],Demographics[],3,FALSE)</f>
        <v>6</v>
      </c>
      <c r="J1875">
        <f>AVERAGE(Scores[[#This Row],[LYC]],Scores[[#This Row],[MATE]])</f>
        <v>573.5</v>
      </c>
      <c r="K1875">
        <f>VLOOKUP(Scores[[#This Row],[MRUN]],Demographics[],6,FALSE)</f>
        <v>5</v>
      </c>
      <c r="L1875">
        <f>VLOOKUP(Scores[[#This Row],[MRUN]],Demographics[], 7,FALSE)</f>
        <v>2</v>
      </c>
      <c r="M1875">
        <f>VLOOKUP(Scores[[#This Row],[MRUN]],Demographics[], 5, FALSE)</f>
        <v>1</v>
      </c>
    </row>
    <row r="1876" spans="1:13" hidden="1" x14ac:dyDescent="0.2">
      <c r="A1876" s="1">
        <v>21982420</v>
      </c>
      <c r="B1876">
        <v>1</v>
      </c>
      <c r="C1876">
        <v>2</v>
      </c>
      <c r="D1876">
        <v>417</v>
      </c>
      <c r="E1876">
        <v>262</v>
      </c>
      <c r="F1876">
        <v>413</v>
      </c>
      <c r="G1876">
        <v>0</v>
      </c>
      <c r="H1876">
        <v>439</v>
      </c>
      <c r="I1876">
        <f>VLOOKUP(Scores[[#This Row],[MRUN]],Demographics[],3,FALSE)</f>
        <v>5</v>
      </c>
      <c r="J1876">
        <f>AVERAGE(Scores[[#This Row],[LYC]],Scores[[#This Row],[MATE]])</f>
        <v>337.5</v>
      </c>
      <c r="K1876">
        <f>VLOOKUP(Scores[[#This Row],[MRUN]],Demographics[],6,FALSE)</f>
        <v>6</v>
      </c>
      <c r="L1876">
        <f>VLOOKUP(Scores[[#This Row],[MRUN]],Demographics[], 7,FALSE)</f>
        <v>5</v>
      </c>
      <c r="M1876">
        <f>VLOOKUP(Scores[[#This Row],[MRUN]],Demographics[], 5, FALSE)</f>
        <v>1</v>
      </c>
    </row>
    <row r="1877" spans="1:13" hidden="1" x14ac:dyDescent="0.2">
      <c r="A1877" s="1">
        <v>10766753</v>
      </c>
      <c r="B1877">
        <v>2</v>
      </c>
      <c r="C1877">
        <v>2</v>
      </c>
      <c r="D1877">
        <v>599</v>
      </c>
      <c r="E1877">
        <v>567</v>
      </c>
      <c r="F1877">
        <v>536</v>
      </c>
      <c r="G1877">
        <v>634</v>
      </c>
      <c r="H1877">
        <v>0</v>
      </c>
      <c r="I1877">
        <f>VLOOKUP(Scores[[#This Row],[MRUN]],Demographics[],3,FALSE)</f>
        <v>5</v>
      </c>
      <c r="J1877">
        <f>AVERAGE(Scores[[#This Row],[LYC]],Scores[[#This Row],[MATE]])</f>
        <v>551.5</v>
      </c>
      <c r="K1877">
        <f>VLOOKUP(Scores[[#This Row],[MRUN]],Demographics[],6,FALSE)</f>
        <v>5</v>
      </c>
      <c r="L1877">
        <f>VLOOKUP(Scores[[#This Row],[MRUN]],Demographics[], 7,FALSE)</f>
        <v>5</v>
      </c>
      <c r="M1877">
        <f>VLOOKUP(Scores[[#This Row],[MRUN]],Demographics[], 5, FALSE)</f>
        <v>1</v>
      </c>
    </row>
    <row r="1878" spans="1:13" hidden="1" x14ac:dyDescent="0.2">
      <c r="A1878" s="1">
        <v>19412981</v>
      </c>
      <c r="B1878">
        <v>2</v>
      </c>
      <c r="C1878">
        <v>2</v>
      </c>
      <c r="D1878">
        <v>661</v>
      </c>
      <c r="E1878">
        <v>596</v>
      </c>
      <c r="F1878">
        <v>531</v>
      </c>
      <c r="G1878">
        <v>586</v>
      </c>
      <c r="H1878">
        <v>0</v>
      </c>
      <c r="I1878">
        <f>VLOOKUP(Scores[[#This Row],[MRUN]],Demographics[],3,FALSE)</f>
        <v>6</v>
      </c>
      <c r="J1878">
        <f>AVERAGE(Scores[[#This Row],[LYC]],Scores[[#This Row],[MATE]])</f>
        <v>563.5</v>
      </c>
      <c r="K1878">
        <f>VLOOKUP(Scores[[#This Row],[MRUN]],Demographics[],6,FALSE)</f>
        <v>4</v>
      </c>
      <c r="L1878">
        <f>VLOOKUP(Scores[[#This Row],[MRUN]],Demographics[], 7,FALSE)</f>
        <v>5</v>
      </c>
      <c r="M1878">
        <f>VLOOKUP(Scores[[#This Row],[MRUN]],Demographics[], 5, FALSE)</f>
        <v>2</v>
      </c>
    </row>
    <row r="1879" spans="1:13" hidden="1" x14ac:dyDescent="0.2">
      <c r="A1879" s="1">
        <v>15140330</v>
      </c>
      <c r="B1879">
        <v>1</v>
      </c>
      <c r="C1879">
        <v>2</v>
      </c>
      <c r="D1879">
        <v>641</v>
      </c>
      <c r="E1879">
        <v>488</v>
      </c>
      <c r="F1879">
        <v>494</v>
      </c>
      <c r="G1879">
        <v>0</v>
      </c>
      <c r="H1879">
        <v>539</v>
      </c>
      <c r="I1879">
        <f>VLOOKUP(Scores[[#This Row],[MRUN]],Demographics[],3,FALSE)</f>
        <v>4</v>
      </c>
      <c r="J1879">
        <f>AVERAGE(Scores[[#This Row],[LYC]],Scores[[#This Row],[MATE]])</f>
        <v>491</v>
      </c>
      <c r="K1879">
        <f>VLOOKUP(Scores[[#This Row],[MRUN]],Demographics[],6,FALSE)</f>
        <v>3</v>
      </c>
      <c r="L1879">
        <f>VLOOKUP(Scores[[#This Row],[MRUN]],Demographics[], 7,FALSE)</f>
        <v>5</v>
      </c>
      <c r="M1879">
        <f>VLOOKUP(Scores[[#This Row],[MRUN]],Demographics[], 5, FALSE)</f>
        <v>1</v>
      </c>
    </row>
    <row r="1880" spans="1:13" hidden="1" x14ac:dyDescent="0.2">
      <c r="A1880" s="1">
        <v>13004184</v>
      </c>
      <c r="B1880">
        <v>1</v>
      </c>
      <c r="C1880">
        <v>2</v>
      </c>
      <c r="D1880">
        <v>373</v>
      </c>
      <c r="E1880">
        <v>483</v>
      </c>
      <c r="F1880">
        <v>545</v>
      </c>
      <c r="G1880">
        <v>495</v>
      </c>
      <c r="H1880">
        <v>0</v>
      </c>
      <c r="I1880">
        <f>VLOOKUP(Scores[[#This Row],[MRUN]],Demographics[],3,FALSE)</f>
        <v>5</v>
      </c>
      <c r="J1880">
        <f>AVERAGE(Scores[[#This Row],[LYC]],Scores[[#This Row],[MATE]])</f>
        <v>514</v>
      </c>
      <c r="K1880">
        <f>VLOOKUP(Scores[[#This Row],[MRUN]],Demographics[],6,FALSE)</f>
        <v>5</v>
      </c>
      <c r="L1880">
        <f>VLOOKUP(Scores[[#This Row],[MRUN]],Demographics[], 7,FALSE)</f>
        <v>5</v>
      </c>
      <c r="M1880">
        <f>VLOOKUP(Scores[[#This Row],[MRUN]],Demographics[], 5, FALSE)</f>
        <v>1</v>
      </c>
    </row>
    <row r="1881" spans="1:13" hidden="1" x14ac:dyDescent="0.2">
      <c r="A1881" s="1">
        <v>10868137</v>
      </c>
      <c r="B1881">
        <v>1</v>
      </c>
      <c r="C1881">
        <v>3</v>
      </c>
      <c r="D1881">
        <v>496</v>
      </c>
      <c r="E1881">
        <v>602</v>
      </c>
      <c r="F1881">
        <v>628</v>
      </c>
      <c r="G1881">
        <v>0</v>
      </c>
      <c r="H1881">
        <v>620</v>
      </c>
      <c r="I1881">
        <f>VLOOKUP(Scores[[#This Row],[MRUN]],Demographics[],3,FALSE)</f>
        <v>3</v>
      </c>
      <c r="J1881">
        <f>AVERAGE(Scores[[#This Row],[LYC]],Scores[[#This Row],[MATE]])</f>
        <v>615</v>
      </c>
      <c r="K1881">
        <f>VLOOKUP(Scores[[#This Row],[MRUN]],Demographics[],6,FALSE)</f>
        <v>5</v>
      </c>
      <c r="L1881">
        <f>VLOOKUP(Scores[[#This Row],[MRUN]],Demographics[], 7,FALSE)</f>
        <v>4</v>
      </c>
      <c r="M1881">
        <f>VLOOKUP(Scores[[#This Row],[MRUN]],Demographics[], 5, FALSE)</f>
        <v>1</v>
      </c>
    </row>
    <row r="1882" spans="1:13" hidden="1" x14ac:dyDescent="0.2">
      <c r="A1882" s="1">
        <v>12037056</v>
      </c>
      <c r="B1882">
        <v>1</v>
      </c>
      <c r="C1882">
        <v>2</v>
      </c>
      <c r="D1882">
        <v>476</v>
      </c>
      <c r="E1882">
        <v>516</v>
      </c>
      <c r="F1882">
        <v>353</v>
      </c>
      <c r="G1882">
        <v>506</v>
      </c>
      <c r="H1882">
        <v>0</v>
      </c>
      <c r="I1882">
        <f>VLOOKUP(Scores[[#This Row],[MRUN]],Demographics[],3,FALSE)</f>
        <v>4</v>
      </c>
      <c r="J1882">
        <f>AVERAGE(Scores[[#This Row],[LYC]],Scores[[#This Row],[MATE]])</f>
        <v>434.5</v>
      </c>
      <c r="K1882">
        <f>VLOOKUP(Scores[[#This Row],[MRUN]],Demographics[],6,FALSE)</f>
        <v>4</v>
      </c>
      <c r="L1882">
        <f>VLOOKUP(Scores[[#This Row],[MRUN]],Demographics[], 7,FALSE)</f>
        <v>3</v>
      </c>
      <c r="M1882">
        <f>VLOOKUP(Scores[[#This Row],[MRUN]],Demographics[], 5, FALSE)</f>
        <v>1</v>
      </c>
    </row>
    <row r="1883" spans="1:13" hidden="1" x14ac:dyDescent="0.2">
      <c r="A1883" s="1">
        <v>9698710</v>
      </c>
      <c r="B1883">
        <v>2</v>
      </c>
      <c r="C1883">
        <v>2</v>
      </c>
      <c r="D1883">
        <v>538</v>
      </c>
      <c r="E1883">
        <v>494</v>
      </c>
      <c r="F1883">
        <v>441</v>
      </c>
      <c r="G1883">
        <v>473</v>
      </c>
      <c r="H1883">
        <v>475</v>
      </c>
      <c r="I1883">
        <f>VLOOKUP(Scores[[#This Row],[MRUN]],Demographics[],3,FALSE)</f>
        <v>4</v>
      </c>
      <c r="J1883">
        <f>AVERAGE(Scores[[#This Row],[LYC]],Scores[[#This Row],[MATE]])</f>
        <v>467.5</v>
      </c>
      <c r="K1883">
        <f>VLOOKUP(Scores[[#This Row],[MRUN]],Demographics[],6,FALSE)</f>
        <v>4</v>
      </c>
      <c r="L1883">
        <f>VLOOKUP(Scores[[#This Row],[MRUN]],Demographics[], 7,FALSE)</f>
        <v>4</v>
      </c>
      <c r="M1883">
        <f>VLOOKUP(Scores[[#This Row],[MRUN]],Demographics[], 5, FALSE)</f>
        <v>1</v>
      </c>
    </row>
    <row r="1884" spans="1:13" hidden="1" x14ac:dyDescent="0.2">
      <c r="A1884" s="1">
        <v>618891</v>
      </c>
      <c r="B1884">
        <v>1</v>
      </c>
      <c r="C1884">
        <v>2</v>
      </c>
      <c r="D1884">
        <v>538</v>
      </c>
      <c r="E1884">
        <v>397</v>
      </c>
      <c r="F1884">
        <v>428</v>
      </c>
      <c r="G1884">
        <v>421</v>
      </c>
      <c r="H1884">
        <v>0</v>
      </c>
      <c r="I1884">
        <f>VLOOKUP(Scores[[#This Row],[MRUN]],Demographics[],3,FALSE)</f>
        <v>7</v>
      </c>
      <c r="J1884">
        <f>AVERAGE(Scores[[#This Row],[LYC]],Scores[[#This Row],[MATE]])</f>
        <v>412.5</v>
      </c>
      <c r="K1884">
        <f>VLOOKUP(Scores[[#This Row],[MRUN]],Demographics[],6,FALSE)</f>
        <v>5</v>
      </c>
      <c r="L1884">
        <f>VLOOKUP(Scores[[#This Row],[MRUN]],Demographics[], 7,FALSE)</f>
        <v>5</v>
      </c>
      <c r="M1884">
        <f>VLOOKUP(Scores[[#This Row],[MRUN]],Demographics[], 5, FALSE)</f>
        <v>1</v>
      </c>
    </row>
    <row r="1885" spans="1:13" hidden="1" x14ac:dyDescent="0.2">
      <c r="A1885" s="1">
        <v>13538254</v>
      </c>
      <c r="B1885">
        <v>1</v>
      </c>
      <c r="C1885">
        <v>2</v>
      </c>
      <c r="D1885">
        <v>560</v>
      </c>
      <c r="E1885">
        <v>0</v>
      </c>
      <c r="F1885">
        <v>0</v>
      </c>
      <c r="G1885">
        <v>0</v>
      </c>
      <c r="H1885">
        <v>0</v>
      </c>
      <c r="I1885">
        <f>VLOOKUP(Scores[[#This Row],[MRUN]],Demographics[],3,FALSE)</f>
        <v>7</v>
      </c>
      <c r="J1885">
        <f>AVERAGE(Scores[[#This Row],[LYC]],Scores[[#This Row],[MATE]])</f>
        <v>0</v>
      </c>
      <c r="K1885">
        <f>VLOOKUP(Scores[[#This Row],[MRUN]],Demographics[],6,FALSE)</f>
        <v>5</v>
      </c>
      <c r="L1885">
        <f>VLOOKUP(Scores[[#This Row],[MRUN]],Demographics[], 7,FALSE)</f>
        <v>4</v>
      </c>
      <c r="M1885">
        <f>VLOOKUP(Scores[[#This Row],[MRUN]],Demographics[], 5, FALSE)</f>
        <v>1</v>
      </c>
    </row>
    <row r="1886" spans="1:13" hidden="1" x14ac:dyDescent="0.2">
      <c r="A1886" s="1">
        <v>15039167</v>
      </c>
      <c r="B1886">
        <v>1</v>
      </c>
      <c r="C1886">
        <v>2</v>
      </c>
      <c r="D1886">
        <v>519</v>
      </c>
      <c r="E1886">
        <v>0</v>
      </c>
      <c r="F1886">
        <v>0</v>
      </c>
      <c r="G1886">
        <v>0</v>
      </c>
      <c r="H1886">
        <v>0</v>
      </c>
      <c r="I1886">
        <f>VLOOKUP(Scores[[#This Row],[MRUN]],Demographics[],3,FALSE)</f>
        <v>3</v>
      </c>
      <c r="J1886">
        <f>AVERAGE(Scores[[#This Row],[LYC]],Scores[[#This Row],[MATE]])</f>
        <v>0</v>
      </c>
      <c r="K1886">
        <f>VLOOKUP(Scores[[#This Row],[MRUN]],Demographics[],6,FALSE)</f>
        <v>8</v>
      </c>
      <c r="L1886">
        <f>VLOOKUP(Scores[[#This Row],[MRUN]],Demographics[], 7,FALSE)</f>
        <v>3</v>
      </c>
      <c r="M1886">
        <f>VLOOKUP(Scores[[#This Row],[MRUN]],Demographics[], 5, FALSE)</f>
        <v>1</v>
      </c>
    </row>
    <row r="1887" spans="1:13" hidden="1" x14ac:dyDescent="0.2">
      <c r="A1887" s="1">
        <v>24118044</v>
      </c>
      <c r="B1887">
        <v>2</v>
      </c>
      <c r="C1887">
        <v>2</v>
      </c>
      <c r="D1887">
        <v>476</v>
      </c>
      <c r="E1887">
        <v>526</v>
      </c>
      <c r="F1887">
        <v>376</v>
      </c>
      <c r="G1887">
        <v>0</v>
      </c>
      <c r="H1887">
        <v>428</v>
      </c>
      <c r="I1887">
        <f>VLOOKUP(Scores[[#This Row],[MRUN]],Demographics[],3,FALSE)</f>
        <v>4</v>
      </c>
      <c r="J1887">
        <f>AVERAGE(Scores[[#This Row],[LYC]],Scores[[#This Row],[MATE]])</f>
        <v>451</v>
      </c>
      <c r="K1887">
        <f>VLOOKUP(Scores[[#This Row],[MRUN]],Demographics[],6,FALSE)</f>
        <v>5</v>
      </c>
      <c r="L1887">
        <f>VLOOKUP(Scores[[#This Row],[MRUN]],Demographics[], 7,FALSE)</f>
        <v>5</v>
      </c>
      <c r="M1887">
        <f>VLOOKUP(Scores[[#This Row],[MRUN]],Demographics[], 5, FALSE)</f>
        <v>1</v>
      </c>
    </row>
    <row r="1888" spans="1:13" hidden="1" x14ac:dyDescent="0.2">
      <c r="A1888" s="1">
        <v>4993298</v>
      </c>
      <c r="B1888">
        <v>1</v>
      </c>
      <c r="C1888">
        <v>2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f>VLOOKUP(Scores[[#This Row],[MRUN]],Demographics[],3,FALSE)</f>
        <v>4</v>
      </c>
      <c r="J1888">
        <f>AVERAGE(Scores[[#This Row],[LYC]],Scores[[#This Row],[MATE]])</f>
        <v>0</v>
      </c>
      <c r="K1888">
        <f>VLOOKUP(Scores[[#This Row],[MRUN]],Demographics[],6,FALSE)</f>
        <v>4</v>
      </c>
      <c r="L1888">
        <f>VLOOKUP(Scores[[#This Row],[MRUN]],Demographics[], 7,FALSE)</f>
        <v>3</v>
      </c>
      <c r="M1888">
        <f>VLOOKUP(Scores[[#This Row],[MRUN]],Demographics[], 5, FALSE)</f>
        <v>2</v>
      </c>
    </row>
    <row r="1889" spans="1:13" hidden="1" x14ac:dyDescent="0.2">
      <c r="A1889" s="1">
        <v>12369348</v>
      </c>
      <c r="B1889">
        <v>2</v>
      </c>
      <c r="C1889">
        <v>2</v>
      </c>
      <c r="D1889">
        <v>579</v>
      </c>
      <c r="E1889">
        <v>471</v>
      </c>
      <c r="F1889">
        <v>523</v>
      </c>
      <c r="G1889">
        <v>537</v>
      </c>
      <c r="H1889">
        <v>0</v>
      </c>
      <c r="I1889">
        <f>VLOOKUP(Scores[[#This Row],[MRUN]],Demographics[],3,FALSE)</f>
        <v>3</v>
      </c>
      <c r="J1889">
        <f>AVERAGE(Scores[[#This Row],[LYC]],Scores[[#This Row],[MATE]])</f>
        <v>497</v>
      </c>
      <c r="K1889">
        <f>VLOOKUP(Scores[[#This Row],[MRUN]],Demographics[],6,FALSE)</f>
        <v>3</v>
      </c>
      <c r="L1889">
        <f>VLOOKUP(Scores[[#This Row],[MRUN]],Demographics[], 7,FALSE)</f>
        <v>5</v>
      </c>
      <c r="M1889">
        <f>VLOOKUP(Scores[[#This Row],[MRUN]],Demographics[], 5, FALSE)</f>
        <v>1</v>
      </c>
    </row>
    <row r="1890" spans="1:13" hidden="1" x14ac:dyDescent="0.2">
      <c r="A1890" s="1">
        <v>22516438</v>
      </c>
      <c r="B1890">
        <v>1</v>
      </c>
      <c r="C1890">
        <v>2</v>
      </c>
      <c r="D1890">
        <v>519</v>
      </c>
      <c r="E1890">
        <v>444</v>
      </c>
      <c r="F1890">
        <v>441</v>
      </c>
      <c r="G1890">
        <v>370</v>
      </c>
      <c r="H1890">
        <v>0</v>
      </c>
      <c r="I1890">
        <f>VLOOKUP(Scores[[#This Row],[MRUN]],Demographics[],3,FALSE)</f>
        <v>0</v>
      </c>
      <c r="J1890">
        <f>AVERAGE(Scores[[#This Row],[LYC]],Scores[[#This Row],[MATE]])</f>
        <v>442.5</v>
      </c>
      <c r="K1890">
        <f>VLOOKUP(Scores[[#This Row],[MRUN]],Demographics[],6,FALSE)</f>
        <v>0</v>
      </c>
      <c r="L1890">
        <f>VLOOKUP(Scores[[#This Row],[MRUN]],Demographics[], 7,FALSE)</f>
        <v>0</v>
      </c>
      <c r="M1890">
        <f>VLOOKUP(Scores[[#This Row],[MRUN]],Demographics[], 5, FALSE)</f>
        <v>1</v>
      </c>
    </row>
    <row r="1891" spans="1:13" hidden="1" x14ac:dyDescent="0.2">
      <c r="A1891" s="1">
        <v>15572838</v>
      </c>
      <c r="B1891">
        <v>2</v>
      </c>
      <c r="C1891">
        <v>2</v>
      </c>
      <c r="D1891">
        <v>478</v>
      </c>
      <c r="E1891">
        <v>531</v>
      </c>
      <c r="F1891">
        <v>463</v>
      </c>
      <c r="G1891">
        <v>501</v>
      </c>
      <c r="H1891">
        <v>0</v>
      </c>
      <c r="I1891">
        <f>VLOOKUP(Scores[[#This Row],[MRUN]],Demographics[],3,FALSE)</f>
        <v>6</v>
      </c>
      <c r="J1891">
        <f>AVERAGE(Scores[[#This Row],[LYC]],Scores[[#This Row],[MATE]])</f>
        <v>497</v>
      </c>
      <c r="K1891">
        <f>VLOOKUP(Scores[[#This Row],[MRUN]],Demographics[],6,FALSE)</f>
        <v>5</v>
      </c>
      <c r="L1891">
        <f>VLOOKUP(Scores[[#This Row],[MRUN]],Demographics[], 7,FALSE)</f>
        <v>5</v>
      </c>
      <c r="M1891">
        <f>VLOOKUP(Scores[[#This Row],[MRUN]],Demographics[], 5, FALSE)</f>
        <v>1</v>
      </c>
    </row>
    <row r="1892" spans="1:13" hidden="1" x14ac:dyDescent="0.2">
      <c r="A1892" s="1">
        <v>22948597</v>
      </c>
      <c r="B1892">
        <v>2</v>
      </c>
      <c r="C1892">
        <v>2</v>
      </c>
      <c r="D1892">
        <v>417</v>
      </c>
      <c r="E1892">
        <v>499</v>
      </c>
      <c r="F1892">
        <v>441</v>
      </c>
      <c r="G1892">
        <v>501</v>
      </c>
      <c r="H1892">
        <v>0</v>
      </c>
      <c r="I1892">
        <f>VLOOKUP(Scores[[#This Row],[MRUN]],Demographics[],3,FALSE)</f>
        <v>4</v>
      </c>
      <c r="J1892">
        <f>AVERAGE(Scores[[#This Row],[LYC]],Scores[[#This Row],[MATE]])</f>
        <v>470</v>
      </c>
      <c r="K1892">
        <f>VLOOKUP(Scores[[#This Row],[MRUN]],Demographics[],6,FALSE)</f>
        <v>3</v>
      </c>
      <c r="L1892">
        <f>VLOOKUP(Scores[[#This Row],[MRUN]],Demographics[], 7,FALSE)</f>
        <v>4</v>
      </c>
      <c r="M1892">
        <f>VLOOKUP(Scores[[#This Row],[MRUN]],Demographics[], 5, FALSE)</f>
        <v>1</v>
      </c>
    </row>
    <row r="1893" spans="1:13" hidden="1" x14ac:dyDescent="0.2">
      <c r="A1893" s="1">
        <v>24550248</v>
      </c>
      <c r="B1893">
        <v>2</v>
      </c>
      <c r="C1893">
        <v>2</v>
      </c>
      <c r="D1893">
        <v>496</v>
      </c>
      <c r="E1893">
        <v>494</v>
      </c>
      <c r="F1893">
        <v>472</v>
      </c>
      <c r="G1893">
        <v>484</v>
      </c>
      <c r="H1893">
        <v>483</v>
      </c>
      <c r="I1893">
        <f>VLOOKUP(Scores[[#This Row],[MRUN]],Demographics[],3,FALSE)</f>
        <v>2</v>
      </c>
      <c r="J1893">
        <f>AVERAGE(Scores[[#This Row],[LYC]],Scores[[#This Row],[MATE]])</f>
        <v>483</v>
      </c>
      <c r="K1893">
        <f>VLOOKUP(Scores[[#This Row],[MRUN]],Demographics[],6,FALSE)</f>
        <v>2</v>
      </c>
      <c r="L1893">
        <f>VLOOKUP(Scores[[#This Row],[MRUN]],Demographics[], 7,FALSE)</f>
        <v>2</v>
      </c>
      <c r="M1893">
        <f>VLOOKUP(Scores[[#This Row],[MRUN]],Demographics[], 5, FALSE)</f>
        <v>1</v>
      </c>
    </row>
    <row r="1894" spans="1:13" hidden="1" x14ac:dyDescent="0.2">
      <c r="A1894" s="1">
        <v>17636083</v>
      </c>
      <c r="B1894">
        <v>1</v>
      </c>
      <c r="C1894">
        <v>2</v>
      </c>
      <c r="D1894">
        <v>620</v>
      </c>
      <c r="E1894">
        <v>624</v>
      </c>
      <c r="F1894">
        <v>609</v>
      </c>
      <c r="G1894">
        <v>651</v>
      </c>
      <c r="H1894">
        <v>0</v>
      </c>
      <c r="I1894">
        <f>VLOOKUP(Scores[[#This Row],[MRUN]],Demographics[],3,FALSE)</f>
        <v>4</v>
      </c>
      <c r="J1894">
        <f>AVERAGE(Scores[[#This Row],[LYC]],Scores[[#This Row],[MATE]])</f>
        <v>616.5</v>
      </c>
      <c r="K1894">
        <f>VLOOKUP(Scores[[#This Row],[MRUN]],Demographics[],6,FALSE)</f>
        <v>0</v>
      </c>
      <c r="L1894">
        <f>VLOOKUP(Scores[[#This Row],[MRUN]],Demographics[], 7,FALSE)</f>
        <v>3</v>
      </c>
      <c r="M1894">
        <f>VLOOKUP(Scores[[#This Row],[MRUN]],Demographics[], 5, FALSE)</f>
        <v>1</v>
      </c>
    </row>
    <row r="1895" spans="1:13" hidden="1" x14ac:dyDescent="0.2">
      <c r="A1895" s="1">
        <v>18372554</v>
      </c>
      <c r="B1895">
        <v>1</v>
      </c>
      <c r="C1895">
        <v>2</v>
      </c>
      <c r="D1895">
        <v>478</v>
      </c>
      <c r="E1895">
        <v>471</v>
      </c>
      <c r="F1895">
        <v>472</v>
      </c>
      <c r="G1895">
        <v>466</v>
      </c>
      <c r="H1895">
        <v>0</v>
      </c>
      <c r="I1895">
        <f>VLOOKUP(Scores[[#This Row],[MRUN]],Demographics[],3,FALSE)</f>
        <v>5</v>
      </c>
      <c r="J1895">
        <f>AVERAGE(Scores[[#This Row],[LYC]],Scores[[#This Row],[MATE]])</f>
        <v>471.5</v>
      </c>
      <c r="K1895">
        <f>VLOOKUP(Scores[[#This Row],[MRUN]],Demographics[],6,FALSE)</f>
        <v>5</v>
      </c>
      <c r="L1895">
        <f>VLOOKUP(Scores[[#This Row],[MRUN]],Demographics[], 7,FALSE)</f>
        <v>3</v>
      </c>
      <c r="M1895">
        <f>VLOOKUP(Scores[[#This Row],[MRUN]],Demographics[], 5, FALSE)</f>
        <v>1</v>
      </c>
    </row>
    <row r="1896" spans="1:13" hidden="1" x14ac:dyDescent="0.2">
      <c r="A1896" s="1">
        <v>9091777</v>
      </c>
      <c r="B1896">
        <v>2</v>
      </c>
      <c r="C1896">
        <v>2</v>
      </c>
      <c r="D1896">
        <v>517</v>
      </c>
      <c r="E1896">
        <v>333</v>
      </c>
      <c r="F1896">
        <v>328</v>
      </c>
      <c r="G1896">
        <v>388</v>
      </c>
      <c r="H1896">
        <v>0</v>
      </c>
      <c r="I1896">
        <f>VLOOKUP(Scores[[#This Row],[MRUN]],Demographics[],3,FALSE)</f>
        <v>4</v>
      </c>
      <c r="J1896">
        <f>AVERAGE(Scores[[#This Row],[LYC]],Scores[[#This Row],[MATE]])</f>
        <v>330.5</v>
      </c>
      <c r="K1896">
        <f>VLOOKUP(Scores[[#This Row],[MRUN]],Demographics[],6,FALSE)</f>
        <v>4</v>
      </c>
      <c r="L1896">
        <f>VLOOKUP(Scores[[#This Row],[MRUN]],Demographics[], 7,FALSE)</f>
        <v>4</v>
      </c>
      <c r="M1896">
        <f>VLOOKUP(Scores[[#This Row],[MRUN]],Demographics[], 5, FALSE)</f>
        <v>1</v>
      </c>
    </row>
    <row r="1897" spans="1:13" hidden="1" x14ac:dyDescent="0.2">
      <c r="A1897" s="1">
        <v>3953827</v>
      </c>
      <c r="B1897">
        <v>2</v>
      </c>
      <c r="C1897">
        <v>2</v>
      </c>
      <c r="D1897">
        <v>682</v>
      </c>
      <c r="E1897">
        <v>551</v>
      </c>
      <c r="F1897">
        <v>452</v>
      </c>
      <c r="G1897">
        <v>501</v>
      </c>
      <c r="H1897">
        <v>0</v>
      </c>
      <c r="I1897">
        <f>VLOOKUP(Scores[[#This Row],[MRUN]],Demographics[],3,FALSE)</f>
        <v>5</v>
      </c>
      <c r="J1897">
        <f>AVERAGE(Scores[[#This Row],[LYC]],Scores[[#This Row],[MATE]])</f>
        <v>501.5</v>
      </c>
      <c r="K1897">
        <f>VLOOKUP(Scores[[#This Row],[MRUN]],Demographics[],6,FALSE)</f>
        <v>4</v>
      </c>
      <c r="L1897">
        <f>VLOOKUP(Scores[[#This Row],[MRUN]],Demographics[], 7,FALSE)</f>
        <v>4</v>
      </c>
      <c r="M1897">
        <f>VLOOKUP(Scores[[#This Row],[MRUN]],Demographics[], 5, FALSE)</f>
        <v>1</v>
      </c>
    </row>
    <row r="1898" spans="1:13" hidden="1" x14ac:dyDescent="0.2">
      <c r="A1898" s="1">
        <v>3420043</v>
      </c>
      <c r="B1898">
        <v>2</v>
      </c>
      <c r="C1898">
        <v>2</v>
      </c>
      <c r="D1898">
        <v>437</v>
      </c>
      <c r="E1898">
        <v>180</v>
      </c>
      <c r="F1898">
        <v>441</v>
      </c>
      <c r="G1898">
        <v>348</v>
      </c>
      <c r="H1898">
        <v>0</v>
      </c>
      <c r="I1898">
        <f>VLOOKUP(Scores[[#This Row],[MRUN]],Demographics[],3,FALSE)</f>
        <v>6</v>
      </c>
      <c r="J1898">
        <f>AVERAGE(Scores[[#This Row],[LYC]],Scores[[#This Row],[MATE]])</f>
        <v>310.5</v>
      </c>
      <c r="K1898">
        <f>VLOOKUP(Scores[[#This Row],[MRUN]],Demographics[],6,FALSE)</f>
        <v>5</v>
      </c>
      <c r="L1898">
        <f>VLOOKUP(Scores[[#This Row],[MRUN]],Demographics[], 7,FALSE)</f>
        <v>3</v>
      </c>
      <c r="M1898">
        <f>VLOOKUP(Scores[[#This Row],[MRUN]],Demographics[], 5, FALSE)</f>
        <v>1</v>
      </c>
    </row>
    <row r="1899" spans="1:13" hidden="1" x14ac:dyDescent="0.2">
      <c r="A1899" s="1">
        <v>11430759</v>
      </c>
      <c r="B1899">
        <v>1</v>
      </c>
      <c r="C1899">
        <v>2</v>
      </c>
      <c r="D1899">
        <v>517</v>
      </c>
      <c r="E1899">
        <v>618</v>
      </c>
      <c r="F1899">
        <v>545</v>
      </c>
      <c r="G1899">
        <v>714</v>
      </c>
      <c r="H1899">
        <v>0</v>
      </c>
      <c r="I1899">
        <f>VLOOKUP(Scores[[#This Row],[MRUN]],Demographics[],3,FALSE)</f>
        <v>6</v>
      </c>
      <c r="J1899">
        <f>AVERAGE(Scores[[#This Row],[LYC]],Scores[[#This Row],[MATE]])</f>
        <v>581.5</v>
      </c>
      <c r="K1899">
        <f>VLOOKUP(Scores[[#This Row],[MRUN]],Demographics[],6,FALSE)</f>
        <v>3</v>
      </c>
      <c r="L1899">
        <f>VLOOKUP(Scores[[#This Row],[MRUN]],Demographics[], 7,FALSE)</f>
        <v>4</v>
      </c>
      <c r="M1899">
        <f>VLOOKUP(Scores[[#This Row],[MRUN]],Demographics[], 5, FALSE)</f>
        <v>1</v>
      </c>
    </row>
    <row r="1900" spans="1:13" hidden="1" x14ac:dyDescent="0.2">
      <c r="A1900" s="1">
        <v>20942615</v>
      </c>
      <c r="B1900">
        <v>1</v>
      </c>
      <c r="C1900">
        <v>2</v>
      </c>
      <c r="D1900">
        <v>417</v>
      </c>
      <c r="E1900">
        <v>0</v>
      </c>
      <c r="F1900">
        <v>0</v>
      </c>
      <c r="G1900">
        <v>0</v>
      </c>
      <c r="H1900">
        <v>0</v>
      </c>
      <c r="I1900">
        <f>VLOOKUP(Scores[[#This Row],[MRUN]],Demographics[],3,FALSE)</f>
        <v>3</v>
      </c>
      <c r="J1900">
        <f>AVERAGE(Scores[[#This Row],[LYC]],Scores[[#This Row],[MATE]])</f>
        <v>0</v>
      </c>
      <c r="K1900">
        <f>VLOOKUP(Scores[[#This Row],[MRUN]],Demographics[],6,FALSE)</f>
        <v>3</v>
      </c>
      <c r="L1900">
        <f>VLOOKUP(Scores[[#This Row],[MRUN]],Demographics[], 7,FALSE)</f>
        <v>2</v>
      </c>
      <c r="M1900">
        <f>VLOOKUP(Scores[[#This Row],[MRUN]],Demographics[], 5, FALSE)</f>
        <v>1</v>
      </c>
    </row>
    <row r="1901" spans="1:13" hidden="1" x14ac:dyDescent="0.2">
      <c r="A1901" s="1">
        <v>14432188</v>
      </c>
      <c r="B1901">
        <v>1</v>
      </c>
      <c r="C1901">
        <v>2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f>VLOOKUP(Scores[[#This Row],[MRUN]],Demographics[],3,FALSE)</f>
        <v>5</v>
      </c>
      <c r="J1901">
        <f>AVERAGE(Scores[[#This Row],[LYC]],Scores[[#This Row],[MATE]])</f>
        <v>0</v>
      </c>
      <c r="K1901">
        <f>VLOOKUP(Scores[[#This Row],[MRUN]],Demographics[],6,FALSE)</f>
        <v>3</v>
      </c>
      <c r="L1901">
        <f>VLOOKUP(Scores[[#This Row],[MRUN]],Demographics[], 7,FALSE)</f>
        <v>5</v>
      </c>
      <c r="M1901">
        <f>VLOOKUP(Scores[[#This Row],[MRUN]],Demographics[], 5, FALSE)</f>
        <v>1</v>
      </c>
    </row>
    <row r="1902" spans="1:13" hidden="1" x14ac:dyDescent="0.2">
      <c r="A1902" s="1">
        <v>19238255</v>
      </c>
      <c r="B1902">
        <v>2</v>
      </c>
      <c r="C1902">
        <v>2</v>
      </c>
      <c r="D1902">
        <v>558</v>
      </c>
      <c r="E1902">
        <v>571</v>
      </c>
      <c r="F1902">
        <v>536</v>
      </c>
      <c r="G1902">
        <v>0</v>
      </c>
      <c r="H1902">
        <v>558</v>
      </c>
      <c r="I1902">
        <f>VLOOKUP(Scores[[#This Row],[MRUN]],Demographics[],3,FALSE)</f>
        <v>4</v>
      </c>
      <c r="J1902">
        <f>AVERAGE(Scores[[#This Row],[LYC]],Scores[[#This Row],[MATE]])</f>
        <v>553.5</v>
      </c>
      <c r="K1902">
        <f>VLOOKUP(Scores[[#This Row],[MRUN]],Demographics[],6,FALSE)</f>
        <v>5</v>
      </c>
      <c r="L1902">
        <f>VLOOKUP(Scores[[#This Row],[MRUN]],Demographics[], 7,FALSE)</f>
        <v>5</v>
      </c>
      <c r="M1902">
        <f>VLOOKUP(Scores[[#This Row],[MRUN]],Demographics[], 5, FALSE)</f>
        <v>2</v>
      </c>
    </row>
    <row r="1903" spans="1:13" hidden="1" x14ac:dyDescent="0.2">
      <c r="A1903" s="1">
        <v>16567910</v>
      </c>
      <c r="B1903">
        <v>1</v>
      </c>
      <c r="C1903">
        <v>2</v>
      </c>
      <c r="D1903">
        <v>517</v>
      </c>
      <c r="E1903">
        <v>531</v>
      </c>
      <c r="F1903">
        <v>540</v>
      </c>
      <c r="G1903">
        <v>527</v>
      </c>
      <c r="H1903">
        <v>0</v>
      </c>
      <c r="I1903">
        <f>VLOOKUP(Scores[[#This Row],[MRUN]],Demographics[],3,FALSE)</f>
        <v>6</v>
      </c>
      <c r="J1903">
        <f>AVERAGE(Scores[[#This Row],[LYC]],Scores[[#This Row],[MATE]])</f>
        <v>535.5</v>
      </c>
      <c r="K1903">
        <f>VLOOKUP(Scores[[#This Row],[MRUN]],Demographics[],6,FALSE)</f>
        <v>5</v>
      </c>
      <c r="L1903">
        <f>VLOOKUP(Scores[[#This Row],[MRUN]],Demographics[], 7,FALSE)</f>
        <v>4</v>
      </c>
      <c r="M1903">
        <f>VLOOKUP(Scores[[#This Row],[MRUN]],Demographics[], 5, FALSE)</f>
        <v>1</v>
      </c>
    </row>
    <row r="1904" spans="1:13" hidden="1" x14ac:dyDescent="0.2">
      <c r="A1904" s="1">
        <v>15702371</v>
      </c>
      <c r="B1904">
        <v>2</v>
      </c>
      <c r="C1904">
        <v>2</v>
      </c>
      <c r="D1904">
        <v>558</v>
      </c>
      <c r="E1904">
        <v>551</v>
      </c>
      <c r="F1904">
        <v>560</v>
      </c>
      <c r="G1904">
        <v>537</v>
      </c>
      <c r="H1904">
        <v>0</v>
      </c>
      <c r="I1904">
        <f>VLOOKUP(Scores[[#This Row],[MRUN]],Demographics[],3,FALSE)</f>
        <v>4</v>
      </c>
      <c r="J1904">
        <f>AVERAGE(Scores[[#This Row],[LYC]],Scores[[#This Row],[MATE]])</f>
        <v>555.5</v>
      </c>
      <c r="K1904">
        <f>VLOOKUP(Scores[[#This Row],[MRUN]],Demographics[],6,FALSE)</f>
        <v>2</v>
      </c>
      <c r="L1904">
        <f>VLOOKUP(Scores[[#This Row],[MRUN]],Demographics[], 7,FALSE)</f>
        <v>2</v>
      </c>
      <c r="M1904">
        <f>VLOOKUP(Scores[[#This Row],[MRUN]],Demographics[], 5, FALSE)</f>
        <v>1</v>
      </c>
    </row>
    <row r="1905" spans="1:13" hidden="1" x14ac:dyDescent="0.2">
      <c r="A1905" s="1">
        <v>14634794</v>
      </c>
      <c r="B1905">
        <v>2</v>
      </c>
      <c r="C1905">
        <v>2</v>
      </c>
      <c r="D1905">
        <v>538</v>
      </c>
      <c r="E1905">
        <v>320</v>
      </c>
      <c r="F1905">
        <v>441</v>
      </c>
      <c r="G1905">
        <v>0</v>
      </c>
      <c r="H1905">
        <v>307</v>
      </c>
      <c r="I1905">
        <f>VLOOKUP(Scores[[#This Row],[MRUN]],Demographics[],3,FALSE)</f>
        <v>4</v>
      </c>
      <c r="J1905">
        <f>AVERAGE(Scores[[#This Row],[LYC]],Scores[[#This Row],[MATE]])</f>
        <v>380.5</v>
      </c>
      <c r="K1905">
        <f>VLOOKUP(Scores[[#This Row],[MRUN]],Demographics[],6,FALSE)</f>
        <v>5</v>
      </c>
      <c r="L1905">
        <f>VLOOKUP(Scores[[#This Row],[MRUN]],Demographics[], 7,FALSE)</f>
        <v>2</v>
      </c>
      <c r="M1905">
        <f>VLOOKUP(Scores[[#This Row],[MRUN]],Demographics[], 5, FALSE)</f>
        <v>1</v>
      </c>
    </row>
    <row r="1906" spans="1:13" hidden="1" x14ac:dyDescent="0.2">
      <c r="A1906" s="1">
        <v>14965987</v>
      </c>
      <c r="B1906">
        <v>2</v>
      </c>
      <c r="C1906">
        <v>2</v>
      </c>
      <c r="D1906">
        <v>579</v>
      </c>
      <c r="E1906">
        <v>547</v>
      </c>
      <c r="F1906">
        <v>517</v>
      </c>
      <c r="G1906">
        <v>541</v>
      </c>
      <c r="H1906">
        <v>516</v>
      </c>
      <c r="I1906">
        <f>VLOOKUP(Scores[[#This Row],[MRUN]],Demographics[],3,FALSE)</f>
        <v>4</v>
      </c>
      <c r="J1906">
        <f>AVERAGE(Scores[[#This Row],[LYC]],Scores[[#This Row],[MATE]])</f>
        <v>532</v>
      </c>
      <c r="K1906">
        <f>VLOOKUP(Scores[[#This Row],[MRUN]],Demographics[],6,FALSE)</f>
        <v>2</v>
      </c>
      <c r="L1906">
        <f>VLOOKUP(Scores[[#This Row],[MRUN]],Demographics[], 7,FALSE)</f>
        <v>2</v>
      </c>
      <c r="M1906">
        <f>VLOOKUP(Scores[[#This Row],[MRUN]],Demographics[], 5, FALSE)</f>
        <v>1</v>
      </c>
    </row>
    <row r="1907" spans="1:13" hidden="1" x14ac:dyDescent="0.2">
      <c r="A1907" s="1">
        <v>6624179</v>
      </c>
      <c r="B1907">
        <v>2</v>
      </c>
      <c r="C1907">
        <v>2</v>
      </c>
      <c r="D1907">
        <v>682</v>
      </c>
      <c r="E1907">
        <v>592</v>
      </c>
      <c r="F1907">
        <v>614</v>
      </c>
      <c r="G1907">
        <v>0</v>
      </c>
      <c r="H1907">
        <v>583</v>
      </c>
      <c r="I1907">
        <f>VLOOKUP(Scores[[#This Row],[MRUN]],Demographics[],3,FALSE)</f>
        <v>5</v>
      </c>
      <c r="J1907">
        <f>AVERAGE(Scores[[#This Row],[LYC]],Scores[[#This Row],[MATE]])</f>
        <v>603</v>
      </c>
      <c r="K1907">
        <f>VLOOKUP(Scores[[#This Row],[MRUN]],Demographics[],6,FALSE)</f>
        <v>4</v>
      </c>
      <c r="L1907">
        <f>VLOOKUP(Scores[[#This Row],[MRUN]],Demographics[], 7,FALSE)</f>
        <v>4</v>
      </c>
      <c r="M1907">
        <f>VLOOKUP(Scores[[#This Row],[MRUN]],Demographics[], 5, FALSE)</f>
        <v>1</v>
      </c>
    </row>
    <row r="1908" spans="1:13" hidden="1" x14ac:dyDescent="0.2">
      <c r="A1908" s="1">
        <v>1181487</v>
      </c>
      <c r="B1908">
        <v>1</v>
      </c>
      <c r="C1908">
        <v>2</v>
      </c>
      <c r="D1908">
        <v>580</v>
      </c>
      <c r="E1908">
        <v>499</v>
      </c>
      <c r="F1908">
        <v>552</v>
      </c>
      <c r="G1908">
        <v>531</v>
      </c>
      <c r="H1908">
        <v>0</v>
      </c>
      <c r="I1908">
        <f>VLOOKUP(Scores[[#This Row],[MRUN]],Demographics[],3,FALSE)</f>
        <v>3</v>
      </c>
      <c r="J1908">
        <f>AVERAGE(Scores[[#This Row],[LYC]],Scores[[#This Row],[MATE]])</f>
        <v>525.5</v>
      </c>
      <c r="K1908">
        <f>VLOOKUP(Scores[[#This Row],[MRUN]],Demographics[],6,FALSE)</f>
        <v>5</v>
      </c>
      <c r="L1908">
        <f>VLOOKUP(Scores[[#This Row],[MRUN]],Demographics[], 7,FALSE)</f>
        <v>5</v>
      </c>
      <c r="M1908">
        <f>VLOOKUP(Scores[[#This Row],[MRUN]],Demographics[], 5, FALSE)</f>
        <v>2</v>
      </c>
    </row>
    <row r="1909" spans="1:13" hidden="1" x14ac:dyDescent="0.2">
      <c r="A1909" s="1">
        <v>21043659</v>
      </c>
      <c r="B1909">
        <v>2</v>
      </c>
      <c r="C1909">
        <v>3</v>
      </c>
      <c r="D1909">
        <v>417</v>
      </c>
      <c r="E1909">
        <v>0</v>
      </c>
      <c r="F1909">
        <v>0</v>
      </c>
      <c r="G1909">
        <v>0</v>
      </c>
      <c r="H1909">
        <v>0</v>
      </c>
      <c r="I1909">
        <f>VLOOKUP(Scores[[#This Row],[MRUN]],Demographics[],3,FALSE)</f>
        <v>4</v>
      </c>
      <c r="J1909">
        <f>AVERAGE(Scores[[#This Row],[LYC]],Scores[[#This Row],[MATE]])</f>
        <v>0</v>
      </c>
      <c r="K1909">
        <f>VLOOKUP(Scores[[#This Row],[MRUN]],Demographics[],6,FALSE)</f>
        <v>7</v>
      </c>
      <c r="L1909">
        <f>VLOOKUP(Scores[[#This Row],[MRUN]],Demographics[], 7,FALSE)</f>
        <v>2</v>
      </c>
      <c r="M1909">
        <f>VLOOKUP(Scores[[#This Row],[MRUN]],Demographics[], 5, FALSE)</f>
        <v>1</v>
      </c>
    </row>
    <row r="1910" spans="1:13" hidden="1" x14ac:dyDescent="0.2">
      <c r="A1910" s="1">
        <v>20509827</v>
      </c>
      <c r="B1910">
        <v>2</v>
      </c>
      <c r="C1910">
        <v>2</v>
      </c>
      <c r="D1910">
        <v>458</v>
      </c>
      <c r="E1910">
        <v>356</v>
      </c>
      <c r="F1910">
        <v>413</v>
      </c>
      <c r="G1910">
        <v>334</v>
      </c>
      <c r="H1910">
        <v>0</v>
      </c>
      <c r="I1910">
        <f>VLOOKUP(Scores[[#This Row],[MRUN]],Demographics[],3,FALSE)</f>
        <v>6</v>
      </c>
      <c r="J1910">
        <f>AVERAGE(Scores[[#This Row],[LYC]],Scores[[#This Row],[MATE]])</f>
        <v>384.5</v>
      </c>
      <c r="K1910">
        <f>VLOOKUP(Scores[[#This Row],[MRUN]],Demographics[],6,FALSE)</f>
        <v>5</v>
      </c>
      <c r="L1910">
        <f>VLOOKUP(Scores[[#This Row],[MRUN]],Demographics[], 7,FALSE)</f>
        <v>4</v>
      </c>
      <c r="M1910">
        <f>VLOOKUP(Scores[[#This Row],[MRUN]],Demographics[], 5, FALSE)</f>
        <v>1</v>
      </c>
    </row>
    <row r="1911" spans="1:13" hidden="1" x14ac:dyDescent="0.2">
      <c r="A1911" s="1">
        <v>4386209</v>
      </c>
      <c r="B1911">
        <v>2</v>
      </c>
      <c r="C1911">
        <v>2</v>
      </c>
      <c r="D1911">
        <v>579</v>
      </c>
      <c r="E1911">
        <v>602</v>
      </c>
      <c r="F1911">
        <v>512</v>
      </c>
      <c r="G1911">
        <v>516</v>
      </c>
      <c r="H1911">
        <v>0</v>
      </c>
      <c r="I1911">
        <f>VLOOKUP(Scores[[#This Row],[MRUN]],Demographics[],3,FALSE)</f>
        <v>4</v>
      </c>
      <c r="J1911">
        <f>AVERAGE(Scores[[#This Row],[LYC]],Scores[[#This Row],[MATE]])</f>
        <v>557</v>
      </c>
      <c r="K1911">
        <f>VLOOKUP(Scores[[#This Row],[MRUN]],Demographics[],6,FALSE)</f>
        <v>4</v>
      </c>
      <c r="L1911">
        <f>VLOOKUP(Scores[[#This Row],[MRUN]],Demographics[], 7,FALSE)</f>
        <v>4</v>
      </c>
      <c r="M1911">
        <f>VLOOKUP(Scores[[#This Row],[MRUN]],Demographics[], 5, FALSE)</f>
        <v>2</v>
      </c>
    </row>
    <row r="1912" spans="1:13" hidden="1" x14ac:dyDescent="0.2">
      <c r="A1912" s="1">
        <v>21577638</v>
      </c>
      <c r="B1912">
        <v>2</v>
      </c>
      <c r="C1912">
        <v>2</v>
      </c>
      <c r="D1912">
        <v>560</v>
      </c>
      <c r="E1912">
        <v>406</v>
      </c>
      <c r="F1912">
        <v>472</v>
      </c>
      <c r="G1912">
        <v>406</v>
      </c>
      <c r="H1912">
        <v>0</v>
      </c>
      <c r="I1912">
        <f>VLOOKUP(Scores[[#This Row],[MRUN]],Demographics[],3,FALSE)</f>
        <v>4</v>
      </c>
      <c r="J1912">
        <f>AVERAGE(Scores[[#This Row],[LYC]],Scores[[#This Row],[MATE]])</f>
        <v>439</v>
      </c>
      <c r="K1912">
        <f>VLOOKUP(Scores[[#This Row],[MRUN]],Demographics[],6,FALSE)</f>
        <v>3</v>
      </c>
      <c r="L1912">
        <f>VLOOKUP(Scores[[#This Row],[MRUN]],Demographics[], 7,FALSE)</f>
        <v>3</v>
      </c>
      <c r="M1912">
        <f>VLOOKUP(Scores[[#This Row],[MRUN]],Demographics[], 5, FALSE)</f>
        <v>1</v>
      </c>
    </row>
    <row r="1913" spans="1:13" hidden="1" x14ac:dyDescent="0.2">
      <c r="A1913" s="1">
        <v>15067599</v>
      </c>
      <c r="B1913">
        <v>2</v>
      </c>
      <c r="C1913">
        <v>2</v>
      </c>
      <c r="D1913">
        <v>641</v>
      </c>
      <c r="E1913">
        <v>444</v>
      </c>
      <c r="F1913">
        <v>376</v>
      </c>
      <c r="G1913">
        <v>0</v>
      </c>
      <c r="H1913">
        <v>475</v>
      </c>
      <c r="I1913">
        <f>VLOOKUP(Scores[[#This Row],[MRUN]],Demographics[],3,FALSE)</f>
        <v>4</v>
      </c>
      <c r="J1913">
        <f>AVERAGE(Scores[[#This Row],[LYC]],Scores[[#This Row],[MATE]])</f>
        <v>410</v>
      </c>
      <c r="K1913">
        <f>VLOOKUP(Scores[[#This Row],[MRUN]],Demographics[],6,FALSE)</f>
        <v>7</v>
      </c>
      <c r="L1913">
        <f>VLOOKUP(Scores[[#This Row],[MRUN]],Demographics[], 7,FALSE)</f>
        <v>7</v>
      </c>
      <c r="M1913">
        <f>VLOOKUP(Scores[[#This Row],[MRUN]],Demographics[], 5, FALSE)</f>
        <v>2</v>
      </c>
    </row>
    <row r="1914" spans="1:13" hidden="1" x14ac:dyDescent="0.2">
      <c r="A1914" s="1">
        <v>13999643</v>
      </c>
      <c r="B1914">
        <v>1</v>
      </c>
      <c r="C1914">
        <v>2</v>
      </c>
      <c r="D1914">
        <v>414</v>
      </c>
      <c r="E1914">
        <v>422</v>
      </c>
      <c r="F1914">
        <v>353</v>
      </c>
      <c r="G1914">
        <v>442</v>
      </c>
      <c r="H1914">
        <v>0</v>
      </c>
      <c r="I1914">
        <f>VLOOKUP(Scores[[#This Row],[MRUN]],Demographics[],3,FALSE)</f>
        <v>3</v>
      </c>
      <c r="J1914">
        <f>AVERAGE(Scores[[#This Row],[LYC]],Scores[[#This Row],[MATE]])</f>
        <v>387.5</v>
      </c>
      <c r="K1914">
        <f>VLOOKUP(Scores[[#This Row],[MRUN]],Demographics[],6,FALSE)</f>
        <v>5</v>
      </c>
      <c r="L1914">
        <f>VLOOKUP(Scores[[#This Row],[MRUN]],Demographics[], 7,FALSE)</f>
        <v>4</v>
      </c>
      <c r="M1914">
        <f>VLOOKUP(Scores[[#This Row],[MRUN]],Demographics[], 5, FALSE)</f>
        <v>1</v>
      </c>
    </row>
    <row r="1915" spans="1:13" hidden="1" x14ac:dyDescent="0.2">
      <c r="A1915" s="1">
        <v>749000</v>
      </c>
      <c r="B1915">
        <v>1</v>
      </c>
      <c r="C1915">
        <v>2</v>
      </c>
      <c r="D1915">
        <v>560</v>
      </c>
      <c r="E1915">
        <v>438</v>
      </c>
      <c r="F1915">
        <v>540</v>
      </c>
      <c r="G1915">
        <v>572</v>
      </c>
      <c r="H1915">
        <v>417</v>
      </c>
      <c r="I1915">
        <f>VLOOKUP(Scores[[#This Row],[MRUN]],Demographics[],3,FALSE)</f>
        <v>3</v>
      </c>
      <c r="J1915">
        <f>AVERAGE(Scores[[#This Row],[LYC]],Scores[[#This Row],[MATE]])</f>
        <v>489</v>
      </c>
      <c r="K1915">
        <f>VLOOKUP(Scores[[#This Row],[MRUN]],Demographics[],6,FALSE)</f>
        <v>3</v>
      </c>
      <c r="L1915">
        <f>VLOOKUP(Scores[[#This Row],[MRUN]],Demographics[], 7,FALSE)</f>
        <v>3</v>
      </c>
      <c r="M1915">
        <f>VLOOKUP(Scores[[#This Row],[MRUN]],Demographics[], 5, FALSE)</f>
        <v>1</v>
      </c>
    </row>
    <row r="1916" spans="1:13" hidden="1" x14ac:dyDescent="0.2">
      <c r="A1916" s="1">
        <v>12296251</v>
      </c>
      <c r="B1916">
        <v>2</v>
      </c>
      <c r="C1916">
        <v>3</v>
      </c>
      <c r="D1916">
        <v>521</v>
      </c>
      <c r="E1916">
        <v>510</v>
      </c>
      <c r="F1916">
        <v>376</v>
      </c>
      <c r="G1916">
        <v>0</v>
      </c>
      <c r="H1916">
        <v>404</v>
      </c>
      <c r="I1916">
        <f>VLOOKUP(Scores[[#This Row],[MRUN]],Demographics[],3,FALSE)</f>
        <v>4</v>
      </c>
      <c r="J1916">
        <f>AVERAGE(Scores[[#This Row],[LYC]],Scores[[#This Row],[MATE]])</f>
        <v>443</v>
      </c>
      <c r="K1916">
        <f>VLOOKUP(Scores[[#This Row],[MRUN]],Demographics[],6,FALSE)</f>
        <v>0</v>
      </c>
      <c r="L1916">
        <f>VLOOKUP(Scores[[#This Row],[MRUN]],Demographics[], 7,FALSE)</f>
        <v>5</v>
      </c>
      <c r="M1916">
        <f>VLOOKUP(Scores[[#This Row],[MRUN]],Demographics[], 5, FALSE)</f>
        <v>1</v>
      </c>
    </row>
    <row r="1917" spans="1:13" hidden="1" x14ac:dyDescent="0.2">
      <c r="A1917" s="1">
        <v>17737855</v>
      </c>
      <c r="B1917">
        <v>2</v>
      </c>
      <c r="C1917">
        <v>3</v>
      </c>
      <c r="D1917">
        <v>579</v>
      </c>
      <c r="E1917">
        <v>494</v>
      </c>
      <c r="F1917">
        <v>540</v>
      </c>
      <c r="G1917">
        <v>0</v>
      </c>
      <c r="H1917">
        <v>516</v>
      </c>
      <c r="I1917">
        <f>VLOOKUP(Scores[[#This Row],[MRUN]],Demographics[],3,FALSE)</f>
        <v>3</v>
      </c>
      <c r="J1917">
        <f>AVERAGE(Scores[[#This Row],[LYC]],Scores[[#This Row],[MATE]])</f>
        <v>517</v>
      </c>
      <c r="K1917">
        <f>VLOOKUP(Scores[[#This Row],[MRUN]],Demographics[],6,FALSE)</f>
        <v>3</v>
      </c>
      <c r="L1917">
        <f>VLOOKUP(Scores[[#This Row],[MRUN]],Demographics[], 7,FALSE)</f>
        <v>7</v>
      </c>
      <c r="M1917">
        <f>VLOOKUP(Scores[[#This Row],[MRUN]],Demographics[], 5, FALSE)</f>
        <v>1</v>
      </c>
    </row>
    <row r="1918" spans="1:13" hidden="1" x14ac:dyDescent="0.2">
      <c r="A1918" s="1">
        <v>214754</v>
      </c>
      <c r="B1918">
        <v>1</v>
      </c>
      <c r="C1918">
        <v>2</v>
      </c>
      <c r="D1918">
        <v>414</v>
      </c>
      <c r="E1918">
        <v>494</v>
      </c>
      <c r="F1918">
        <v>428</v>
      </c>
      <c r="G1918">
        <v>557</v>
      </c>
      <c r="H1918">
        <v>0</v>
      </c>
      <c r="I1918">
        <f>VLOOKUP(Scores[[#This Row],[MRUN]],Demographics[],3,FALSE)</f>
        <v>4</v>
      </c>
      <c r="J1918">
        <f>AVERAGE(Scores[[#This Row],[LYC]],Scores[[#This Row],[MATE]])</f>
        <v>461</v>
      </c>
      <c r="K1918">
        <f>VLOOKUP(Scores[[#This Row],[MRUN]],Demographics[],6,FALSE)</f>
        <v>7</v>
      </c>
      <c r="L1918">
        <f>VLOOKUP(Scores[[#This Row],[MRUN]],Demographics[], 7,FALSE)</f>
        <v>5</v>
      </c>
      <c r="M1918">
        <f>VLOOKUP(Scores[[#This Row],[MRUN]],Demographics[], 5, FALSE)</f>
        <v>2</v>
      </c>
    </row>
    <row r="1919" spans="1:13" hidden="1" x14ac:dyDescent="0.2">
      <c r="A1919" s="1">
        <v>21909050</v>
      </c>
      <c r="B1919">
        <v>1</v>
      </c>
      <c r="C1919">
        <v>2</v>
      </c>
      <c r="D1919">
        <v>579</v>
      </c>
      <c r="E1919">
        <v>415</v>
      </c>
      <c r="F1919">
        <v>441</v>
      </c>
      <c r="G1919">
        <v>454</v>
      </c>
      <c r="H1919">
        <v>0</v>
      </c>
      <c r="I1919">
        <f>VLOOKUP(Scores[[#This Row],[MRUN]],Demographics[],3,FALSE)</f>
        <v>4</v>
      </c>
      <c r="J1919">
        <f>AVERAGE(Scores[[#This Row],[LYC]],Scores[[#This Row],[MATE]])</f>
        <v>428</v>
      </c>
      <c r="K1919">
        <f>VLOOKUP(Scores[[#This Row],[MRUN]],Demographics[],6,FALSE)</f>
        <v>5</v>
      </c>
      <c r="L1919">
        <f>VLOOKUP(Scores[[#This Row],[MRUN]],Demographics[], 7,FALSE)</f>
        <v>4</v>
      </c>
      <c r="M1919">
        <f>VLOOKUP(Scores[[#This Row],[MRUN]],Demographics[], 5, FALSE)</f>
        <v>1</v>
      </c>
    </row>
    <row r="1920" spans="1:13" hidden="1" x14ac:dyDescent="0.2">
      <c r="A1920" s="1">
        <v>2885732</v>
      </c>
      <c r="B1920">
        <v>1</v>
      </c>
      <c r="C1920">
        <v>3</v>
      </c>
      <c r="D1920">
        <v>702</v>
      </c>
      <c r="E1920">
        <v>707</v>
      </c>
      <c r="F1920">
        <v>686</v>
      </c>
      <c r="G1920">
        <v>0</v>
      </c>
      <c r="H1920">
        <v>642</v>
      </c>
      <c r="I1920">
        <f>VLOOKUP(Scores[[#This Row],[MRUN]],Demographics[],3,FALSE)</f>
        <v>5</v>
      </c>
      <c r="J1920">
        <f>AVERAGE(Scores[[#This Row],[LYC]],Scores[[#This Row],[MATE]])</f>
        <v>696.5</v>
      </c>
      <c r="K1920">
        <f>VLOOKUP(Scores[[#This Row],[MRUN]],Demographics[],6,FALSE)</f>
        <v>5</v>
      </c>
      <c r="L1920">
        <f>VLOOKUP(Scores[[#This Row],[MRUN]],Demographics[], 7,FALSE)</f>
        <v>4</v>
      </c>
      <c r="M1920">
        <f>VLOOKUP(Scores[[#This Row],[MRUN]],Demographics[], 5, FALSE)</f>
        <v>1</v>
      </c>
    </row>
    <row r="1921" spans="1:13" hidden="1" x14ac:dyDescent="0.2">
      <c r="A1921" s="1">
        <v>8658982</v>
      </c>
      <c r="B1921">
        <v>1</v>
      </c>
      <c r="C1921">
        <v>2</v>
      </c>
      <c r="D1921">
        <v>517</v>
      </c>
      <c r="E1921">
        <v>458</v>
      </c>
      <c r="F1921">
        <v>480</v>
      </c>
      <c r="G1921">
        <v>557</v>
      </c>
      <c r="H1921">
        <v>0</v>
      </c>
      <c r="I1921">
        <f>VLOOKUP(Scores[[#This Row],[MRUN]],Demographics[],3,FALSE)</f>
        <v>4</v>
      </c>
      <c r="J1921">
        <f>AVERAGE(Scores[[#This Row],[LYC]],Scores[[#This Row],[MATE]])</f>
        <v>469</v>
      </c>
      <c r="K1921">
        <f>VLOOKUP(Scores[[#This Row],[MRUN]],Demographics[],6,FALSE)</f>
        <v>3</v>
      </c>
      <c r="L1921">
        <f>VLOOKUP(Scores[[#This Row],[MRUN]],Demographics[], 7,FALSE)</f>
        <v>2</v>
      </c>
      <c r="M1921">
        <f>VLOOKUP(Scores[[#This Row],[MRUN]],Demographics[], 5, FALSE)</f>
        <v>1</v>
      </c>
    </row>
    <row r="1922" spans="1:13" hidden="1" x14ac:dyDescent="0.2">
      <c r="A1922" s="1">
        <v>13566593</v>
      </c>
      <c r="B1922">
        <v>2</v>
      </c>
      <c r="C1922">
        <v>2</v>
      </c>
      <c r="D1922">
        <v>496</v>
      </c>
      <c r="E1922">
        <v>438</v>
      </c>
      <c r="F1922">
        <v>395</v>
      </c>
      <c r="G1922">
        <v>388</v>
      </c>
      <c r="H1922">
        <v>0</v>
      </c>
      <c r="I1922">
        <f>VLOOKUP(Scores[[#This Row],[MRUN]],Demographics[],3,FALSE)</f>
        <v>4</v>
      </c>
      <c r="J1922">
        <f>AVERAGE(Scores[[#This Row],[LYC]],Scores[[#This Row],[MATE]])</f>
        <v>416.5</v>
      </c>
      <c r="K1922">
        <f>VLOOKUP(Scores[[#This Row],[MRUN]],Demographics[],6,FALSE)</f>
        <v>10</v>
      </c>
      <c r="L1922">
        <f>VLOOKUP(Scores[[#This Row],[MRUN]],Demographics[], 7,FALSE)</f>
        <v>5</v>
      </c>
      <c r="M1922">
        <f>VLOOKUP(Scores[[#This Row],[MRUN]],Demographics[], 5, FALSE)</f>
        <v>2</v>
      </c>
    </row>
    <row r="1923" spans="1:13" hidden="1" x14ac:dyDescent="0.2">
      <c r="A1923" s="1">
        <v>19441289</v>
      </c>
      <c r="B1923">
        <v>1</v>
      </c>
      <c r="C1923">
        <v>3</v>
      </c>
      <c r="D1923">
        <v>538</v>
      </c>
      <c r="E1923">
        <v>505</v>
      </c>
      <c r="F1923">
        <v>582</v>
      </c>
      <c r="G1923">
        <v>0</v>
      </c>
      <c r="H1923">
        <v>583</v>
      </c>
      <c r="I1923">
        <f>VLOOKUP(Scores[[#This Row],[MRUN]],Demographics[],3,FALSE)</f>
        <v>6</v>
      </c>
      <c r="J1923">
        <f>AVERAGE(Scores[[#This Row],[LYC]],Scores[[#This Row],[MATE]])</f>
        <v>543.5</v>
      </c>
      <c r="K1923">
        <f>VLOOKUP(Scores[[#This Row],[MRUN]],Demographics[],6,FALSE)</f>
        <v>9</v>
      </c>
      <c r="L1923">
        <f>VLOOKUP(Scores[[#This Row],[MRUN]],Demographics[], 7,FALSE)</f>
        <v>9</v>
      </c>
      <c r="M1923">
        <f>VLOOKUP(Scores[[#This Row],[MRUN]],Demographics[], 5, FALSE)</f>
        <v>3</v>
      </c>
    </row>
    <row r="1924" spans="1:13" hidden="1" x14ac:dyDescent="0.2">
      <c r="A1924" s="1">
        <v>5021645</v>
      </c>
      <c r="B1924">
        <v>2</v>
      </c>
      <c r="C1924">
        <v>2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f>VLOOKUP(Scores[[#This Row],[MRUN]],Demographics[],3,FALSE)</f>
        <v>6</v>
      </c>
      <c r="J1924">
        <f>AVERAGE(Scores[[#This Row],[LYC]],Scores[[#This Row],[MATE]])</f>
        <v>0</v>
      </c>
      <c r="K1924">
        <f>VLOOKUP(Scores[[#This Row],[MRUN]],Demographics[],6,FALSE)</f>
        <v>4</v>
      </c>
      <c r="L1924">
        <f>VLOOKUP(Scores[[#This Row],[MRUN]],Demographics[], 7,FALSE)</f>
        <v>4</v>
      </c>
      <c r="M1924">
        <f>VLOOKUP(Scores[[#This Row],[MRUN]],Demographics[], 5, FALSE)</f>
        <v>1</v>
      </c>
    </row>
    <row r="1925" spans="1:13" hidden="1" x14ac:dyDescent="0.2">
      <c r="A1925" s="1">
        <v>15168633</v>
      </c>
      <c r="B1925">
        <v>2</v>
      </c>
      <c r="C1925">
        <v>2</v>
      </c>
      <c r="D1925">
        <v>499</v>
      </c>
      <c r="E1925">
        <v>505</v>
      </c>
      <c r="F1925">
        <v>376</v>
      </c>
      <c r="G1925">
        <v>567</v>
      </c>
      <c r="H1925">
        <v>0</v>
      </c>
      <c r="I1925">
        <f>VLOOKUP(Scores[[#This Row],[MRUN]],Demographics[],3,FALSE)</f>
        <v>6</v>
      </c>
      <c r="J1925">
        <f>AVERAGE(Scores[[#This Row],[LYC]],Scores[[#This Row],[MATE]])</f>
        <v>440.5</v>
      </c>
      <c r="K1925">
        <f>VLOOKUP(Scores[[#This Row],[MRUN]],Demographics[],6,FALSE)</f>
        <v>4</v>
      </c>
      <c r="L1925">
        <f>VLOOKUP(Scores[[#This Row],[MRUN]],Demographics[], 7,FALSE)</f>
        <v>3</v>
      </c>
      <c r="M1925">
        <f>VLOOKUP(Scores[[#This Row],[MRUN]],Demographics[], 5, FALSE)</f>
        <v>1</v>
      </c>
    </row>
    <row r="1926" spans="1:13" hidden="1" x14ac:dyDescent="0.2">
      <c r="A1926" s="1">
        <v>20306880</v>
      </c>
      <c r="B1926">
        <v>2</v>
      </c>
      <c r="C1926">
        <v>2</v>
      </c>
      <c r="D1926">
        <v>435</v>
      </c>
      <c r="E1926">
        <v>378</v>
      </c>
      <c r="F1926">
        <v>395</v>
      </c>
      <c r="G1926">
        <v>406</v>
      </c>
      <c r="H1926">
        <v>0</v>
      </c>
      <c r="I1926">
        <f>VLOOKUP(Scores[[#This Row],[MRUN]],Demographics[],3,FALSE)</f>
        <v>7</v>
      </c>
      <c r="J1926">
        <f>AVERAGE(Scores[[#This Row],[LYC]],Scores[[#This Row],[MATE]])</f>
        <v>386.5</v>
      </c>
      <c r="K1926">
        <f>VLOOKUP(Scores[[#This Row],[MRUN]],Demographics[],6,FALSE)</f>
        <v>4</v>
      </c>
      <c r="L1926">
        <f>VLOOKUP(Scores[[#This Row],[MRUN]],Demographics[], 7,FALSE)</f>
        <v>4</v>
      </c>
      <c r="M1926">
        <f>VLOOKUP(Scores[[#This Row],[MRUN]],Demographics[], 5, FALSE)</f>
        <v>1</v>
      </c>
    </row>
    <row r="1927" spans="1:13" hidden="1" x14ac:dyDescent="0.2">
      <c r="A1927" s="1">
        <v>24825894</v>
      </c>
      <c r="B1927">
        <v>1</v>
      </c>
      <c r="C1927">
        <v>2</v>
      </c>
      <c r="D1927">
        <v>393</v>
      </c>
      <c r="E1927">
        <v>438</v>
      </c>
      <c r="F1927">
        <v>428</v>
      </c>
      <c r="G1927">
        <v>466</v>
      </c>
      <c r="H1927">
        <v>0</v>
      </c>
      <c r="I1927">
        <f>VLOOKUP(Scores[[#This Row],[MRUN]],Demographics[],3,FALSE)</f>
        <v>5</v>
      </c>
      <c r="J1927">
        <f>AVERAGE(Scores[[#This Row],[LYC]],Scores[[#This Row],[MATE]])</f>
        <v>433</v>
      </c>
      <c r="K1927">
        <f>VLOOKUP(Scores[[#This Row],[MRUN]],Demographics[],6,FALSE)</f>
        <v>4</v>
      </c>
      <c r="L1927">
        <f>VLOOKUP(Scores[[#This Row],[MRUN]],Demographics[], 7,FALSE)</f>
        <v>3</v>
      </c>
      <c r="M1927">
        <f>VLOOKUP(Scores[[#This Row],[MRUN]],Demographics[], 5, FALSE)</f>
        <v>1</v>
      </c>
    </row>
    <row r="1928" spans="1:13" hidden="1" x14ac:dyDescent="0.2">
      <c r="A1928" s="1">
        <v>14880372</v>
      </c>
      <c r="B1928">
        <v>2</v>
      </c>
      <c r="C1928">
        <v>2</v>
      </c>
      <c r="D1928">
        <v>478</v>
      </c>
      <c r="E1928">
        <v>541</v>
      </c>
      <c r="F1928">
        <v>512</v>
      </c>
      <c r="G1928">
        <v>442</v>
      </c>
      <c r="H1928">
        <v>0</v>
      </c>
      <c r="I1928">
        <f>VLOOKUP(Scores[[#This Row],[MRUN]],Demographics[],3,FALSE)</f>
        <v>4</v>
      </c>
      <c r="J1928">
        <f>AVERAGE(Scores[[#This Row],[LYC]],Scores[[#This Row],[MATE]])</f>
        <v>526.5</v>
      </c>
      <c r="K1928">
        <f>VLOOKUP(Scores[[#This Row],[MRUN]],Demographics[],6,FALSE)</f>
        <v>2</v>
      </c>
      <c r="L1928">
        <f>VLOOKUP(Scores[[#This Row],[MRUN]],Demographics[], 7,FALSE)</f>
        <v>3</v>
      </c>
      <c r="M1928">
        <f>VLOOKUP(Scores[[#This Row],[MRUN]],Demographics[], 5, FALSE)</f>
        <v>1</v>
      </c>
    </row>
    <row r="1929" spans="1:13" hidden="1" x14ac:dyDescent="0.2">
      <c r="A1929" s="1">
        <v>10507068</v>
      </c>
      <c r="B1929">
        <v>1</v>
      </c>
      <c r="C1929">
        <v>2</v>
      </c>
      <c r="D1929">
        <v>496</v>
      </c>
      <c r="E1929">
        <v>488</v>
      </c>
      <c r="F1929">
        <v>472</v>
      </c>
      <c r="G1929">
        <v>501</v>
      </c>
      <c r="H1929">
        <v>0</v>
      </c>
      <c r="I1929">
        <f>VLOOKUP(Scores[[#This Row],[MRUN]],Demographics[],3,FALSE)</f>
        <v>0</v>
      </c>
      <c r="J1929">
        <f>AVERAGE(Scores[[#This Row],[LYC]],Scores[[#This Row],[MATE]])</f>
        <v>480</v>
      </c>
      <c r="K1929">
        <f>VLOOKUP(Scores[[#This Row],[MRUN]],Demographics[],6,FALSE)</f>
        <v>0</v>
      </c>
      <c r="L1929">
        <f>VLOOKUP(Scores[[#This Row],[MRUN]],Demographics[], 7,FALSE)</f>
        <v>0</v>
      </c>
      <c r="M1929">
        <f>VLOOKUP(Scores[[#This Row],[MRUN]],Demographics[], 5, FALSE)</f>
        <v>1</v>
      </c>
    </row>
    <row r="1930" spans="1:13" hidden="1" x14ac:dyDescent="0.2">
      <c r="A1930" s="1">
        <v>24392204</v>
      </c>
      <c r="B1930">
        <v>2</v>
      </c>
      <c r="C1930">
        <v>3</v>
      </c>
      <c r="D1930">
        <v>601</v>
      </c>
      <c r="E1930">
        <v>494</v>
      </c>
      <c r="F1930">
        <v>413</v>
      </c>
      <c r="G1930">
        <v>479</v>
      </c>
      <c r="H1930">
        <v>0</v>
      </c>
      <c r="I1930">
        <f>VLOOKUP(Scores[[#This Row],[MRUN]],Demographics[],3,FALSE)</f>
        <v>5</v>
      </c>
      <c r="J1930">
        <f>AVERAGE(Scores[[#This Row],[LYC]],Scores[[#This Row],[MATE]])</f>
        <v>453.5</v>
      </c>
      <c r="K1930">
        <f>VLOOKUP(Scores[[#This Row],[MRUN]],Demographics[],6,FALSE)</f>
        <v>4</v>
      </c>
      <c r="L1930">
        <f>VLOOKUP(Scores[[#This Row],[MRUN]],Demographics[], 7,FALSE)</f>
        <v>5</v>
      </c>
      <c r="M1930">
        <f>VLOOKUP(Scores[[#This Row],[MRUN]],Demographics[], 5, FALSE)</f>
        <v>1</v>
      </c>
    </row>
    <row r="1931" spans="1:13" hidden="1" x14ac:dyDescent="0.2">
      <c r="A1931" s="1">
        <v>15414047</v>
      </c>
      <c r="B1931">
        <v>2</v>
      </c>
      <c r="C1931">
        <v>2</v>
      </c>
      <c r="D1931">
        <v>356</v>
      </c>
      <c r="E1931">
        <v>378</v>
      </c>
      <c r="F1931">
        <v>353</v>
      </c>
      <c r="G1931">
        <v>484</v>
      </c>
      <c r="H1931">
        <v>0</v>
      </c>
      <c r="I1931">
        <f>VLOOKUP(Scores[[#This Row],[MRUN]],Demographics[],3,FALSE)</f>
        <v>4</v>
      </c>
      <c r="J1931">
        <f>AVERAGE(Scores[[#This Row],[LYC]],Scores[[#This Row],[MATE]])</f>
        <v>365.5</v>
      </c>
      <c r="K1931">
        <f>VLOOKUP(Scores[[#This Row],[MRUN]],Demographics[],6,FALSE)</f>
        <v>3</v>
      </c>
      <c r="L1931">
        <f>VLOOKUP(Scores[[#This Row],[MRUN]],Demographics[], 7,FALSE)</f>
        <v>2</v>
      </c>
      <c r="M1931">
        <f>VLOOKUP(Scores[[#This Row],[MRUN]],Demographics[], 5, FALSE)</f>
        <v>1</v>
      </c>
    </row>
    <row r="1932" spans="1:13" hidden="1" x14ac:dyDescent="0.2">
      <c r="A1932" s="1">
        <v>3767141</v>
      </c>
      <c r="B1932">
        <v>2</v>
      </c>
      <c r="C1932">
        <v>2</v>
      </c>
      <c r="D1932">
        <v>393</v>
      </c>
      <c r="E1932">
        <v>0</v>
      </c>
      <c r="F1932">
        <v>0</v>
      </c>
      <c r="G1932">
        <v>0</v>
      </c>
      <c r="H1932">
        <v>0</v>
      </c>
      <c r="I1932">
        <f>VLOOKUP(Scores[[#This Row],[MRUN]],Demographics[],3,FALSE)</f>
        <v>6</v>
      </c>
      <c r="J1932">
        <f>AVERAGE(Scores[[#This Row],[LYC]],Scores[[#This Row],[MATE]])</f>
        <v>0</v>
      </c>
      <c r="K1932">
        <f>VLOOKUP(Scores[[#This Row],[MRUN]],Demographics[],6,FALSE)</f>
        <v>4</v>
      </c>
      <c r="L1932">
        <f>VLOOKUP(Scores[[#This Row],[MRUN]],Demographics[], 7,FALSE)</f>
        <v>4</v>
      </c>
      <c r="M1932">
        <f>VLOOKUP(Scores[[#This Row],[MRUN]],Demographics[], 5, FALSE)</f>
        <v>1</v>
      </c>
    </row>
    <row r="1933" spans="1:13" hidden="1" x14ac:dyDescent="0.2">
      <c r="A1933" s="1">
        <v>15846906</v>
      </c>
      <c r="B1933">
        <v>1</v>
      </c>
      <c r="C1933">
        <v>2</v>
      </c>
      <c r="D1933">
        <v>499</v>
      </c>
      <c r="E1933">
        <v>388</v>
      </c>
      <c r="F1933">
        <v>441</v>
      </c>
      <c r="G1933">
        <v>449</v>
      </c>
      <c r="H1933">
        <v>0</v>
      </c>
      <c r="I1933">
        <f>VLOOKUP(Scores[[#This Row],[MRUN]],Demographics[],3,FALSE)</f>
        <v>5</v>
      </c>
      <c r="J1933">
        <f>AVERAGE(Scores[[#This Row],[LYC]],Scores[[#This Row],[MATE]])</f>
        <v>414.5</v>
      </c>
      <c r="K1933">
        <f>VLOOKUP(Scores[[#This Row],[MRUN]],Demographics[],6,FALSE)</f>
        <v>4</v>
      </c>
      <c r="L1933">
        <f>VLOOKUP(Scores[[#This Row],[MRUN]],Demographics[], 7,FALSE)</f>
        <v>2</v>
      </c>
      <c r="M1933">
        <f>VLOOKUP(Scores[[#This Row],[MRUN]],Demographics[], 5, FALSE)</f>
        <v>1</v>
      </c>
    </row>
    <row r="1934" spans="1:13" hidden="1" x14ac:dyDescent="0.2">
      <c r="A1934" s="1">
        <v>12643596</v>
      </c>
      <c r="B1934">
        <v>2</v>
      </c>
      <c r="C1934">
        <v>2</v>
      </c>
      <c r="D1934">
        <v>560</v>
      </c>
      <c r="E1934">
        <v>345</v>
      </c>
      <c r="F1934">
        <v>395</v>
      </c>
      <c r="G1934">
        <v>428</v>
      </c>
      <c r="H1934">
        <v>0</v>
      </c>
      <c r="I1934">
        <f>VLOOKUP(Scores[[#This Row],[MRUN]],Demographics[],3,FALSE)</f>
        <v>0</v>
      </c>
      <c r="J1934">
        <f>AVERAGE(Scores[[#This Row],[LYC]],Scores[[#This Row],[MATE]])</f>
        <v>370</v>
      </c>
      <c r="K1934">
        <f>VLOOKUP(Scores[[#This Row],[MRUN]],Demographics[],6,FALSE)</f>
        <v>0</v>
      </c>
      <c r="L1934">
        <f>VLOOKUP(Scores[[#This Row],[MRUN]],Demographics[], 7,FALSE)</f>
        <v>0</v>
      </c>
      <c r="M1934">
        <f>VLOOKUP(Scores[[#This Row],[MRUN]],Demographics[], 5, FALSE)</f>
        <v>1</v>
      </c>
    </row>
    <row r="1935" spans="1:13" hidden="1" x14ac:dyDescent="0.2">
      <c r="A1935" s="1">
        <v>13711330</v>
      </c>
      <c r="B1935">
        <v>2</v>
      </c>
      <c r="C1935">
        <v>2</v>
      </c>
      <c r="D1935">
        <v>397</v>
      </c>
      <c r="E1935">
        <v>415</v>
      </c>
      <c r="F1935">
        <v>376</v>
      </c>
      <c r="G1935">
        <v>380</v>
      </c>
      <c r="H1935">
        <v>0</v>
      </c>
      <c r="I1935">
        <f>VLOOKUP(Scores[[#This Row],[MRUN]],Demographics[],3,FALSE)</f>
        <v>5</v>
      </c>
      <c r="J1935">
        <f>AVERAGE(Scores[[#This Row],[LYC]],Scores[[#This Row],[MATE]])</f>
        <v>395.5</v>
      </c>
      <c r="K1935">
        <f>VLOOKUP(Scores[[#This Row],[MRUN]],Demographics[],6,FALSE)</f>
        <v>5</v>
      </c>
      <c r="L1935">
        <f>VLOOKUP(Scores[[#This Row],[MRUN]],Demographics[], 7,FALSE)</f>
        <v>5</v>
      </c>
      <c r="M1935">
        <f>VLOOKUP(Scores[[#This Row],[MRUN]],Demographics[], 5, FALSE)</f>
        <v>1</v>
      </c>
    </row>
    <row r="1936" spans="1:13" hidden="1" x14ac:dyDescent="0.2">
      <c r="A1936" s="1">
        <v>5167022</v>
      </c>
      <c r="B1936">
        <v>2</v>
      </c>
      <c r="C1936">
        <v>2</v>
      </c>
      <c r="D1936">
        <v>455</v>
      </c>
      <c r="E1936">
        <v>367</v>
      </c>
      <c r="F1936">
        <v>248</v>
      </c>
      <c r="G1936">
        <v>320</v>
      </c>
      <c r="H1936">
        <v>0</v>
      </c>
      <c r="I1936">
        <f>VLOOKUP(Scores[[#This Row],[MRUN]],Demographics[],3,FALSE)</f>
        <v>5</v>
      </c>
      <c r="J1936">
        <f>AVERAGE(Scores[[#This Row],[LYC]],Scores[[#This Row],[MATE]])</f>
        <v>307.5</v>
      </c>
      <c r="K1936">
        <f>VLOOKUP(Scores[[#This Row],[MRUN]],Demographics[],6,FALSE)</f>
        <v>10</v>
      </c>
      <c r="L1936">
        <f>VLOOKUP(Scores[[#This Row],[MRUN]],Demographics[], 7,FALSE)</f>
        <v>10</v>
      </c>
      <c r="M1936">
        <f>VLOOKUP(Scores[[#This Row],[MRUN]],Demographics[], 5, FALSE)</f>
        <v>2</v>
      </c>
    </row>
    <row r="1937" spans="1:13" hidden="1" x14ac:dyDescent="0.2">
      <c r="A1937" s="1">
        <v>5369191</v>
      </c>
      <c r="B1937">
        <v>1</v>
      </c>
      <c r="C1937">
        <v>2</v>
      </c>
      <c r="D1937">
        <v>496</v>
      </c>
      <c r="E1937">
        <v>476</v>
      </c>
      <c r="F1937">
        <v>452</v>
      </c>
      <c r="G1937">
        <v>537</v>
      </c>
      <c r="H1937">
        <v>0</v>
      </c>
      <c r="I1937">
        <f>VLOOKUP(Scores[[#This Row],[MRUN]],Demographics[],3,FALSE)</f>
        <v>4</v>
      </c>
      <c r="J1937">
        <f>AVERAGE(Scores[[#This Row],[LYC]],Scores[[#This Row],[MATE]])</f>
        <v>464</v>
      </c>
      <c r="K1937">
        <f>VLOOKUP(Scores[[#This Row],[MRUN]],Demographics[],6,FALSE)</f>
        <v>5</v>
      </c>
      <c r="L1937">
        <f>VLOOKUP(Scores[[#This Row],[MRUN]],Demographics[], 7,FALSE)</f>
        <v>3</v>
      </c>
      <c r="M1937">
        <f>VLOOKUP(Scores[[#This Row],[MRUN]],Demographics[], 5, FALSE)</f>
        <v>1</v>
      </c>
    </row>
    <row r="1938" spans="1:13" hidden="1" x14ac:dyDescent="0.2">
      <c r="A1938" s="1">
        <v>17983404</v>
      </c>
      <c r="B1938">
        <v>2</v>
      </c>
      <c r="C1938">
        <v>3</v>
      </c>
      <c r="D1938">
        <v>662</v>
      </c>
      <c r="E1938">
        <v>0</v>
      </c>
      <c r="F1938">
        <v>0</v>
      </c>
      <c r="G1938">
        <v>0</v>
      </c>
      <c r="H1938">
        <v>0</v>
      </c>
      <c r="I1938">
        <f>VLOOKUP(Scores[[#This Row],[MRUN]],Demographics[],3,FALSE)</f>
        <v>0</v>
      </c>
      <c r="J1938">
        <f>AVERAGE(Scores[[#This Row],[LYC]],Scores[[#This Row],[MATE]])</f>
        <v>0</v>
      </c>
      <c r="K1938">
        <f>VLOOKUP(Scores[[#This Row],[MRUN]],Demographics[],6,FALSE)</f>
        <v>0</v>
      </c>
      <c r="L1938">
        <f>VLOOKUP(Scores[[#This Row],[MRUN]],Demographics[], 7,FALSE)</f>
        <v>0</v>
      </c>
      <c r="M1938">
        <f>VLOOKUP(Scores[[#This Row],[MRUN]],Demographics[], 5, FALSE)</f>
        <v>1</v>
      </c>
    </row>
    <row r="1939" spans="1:13" hidden="1" x14ac:dyDescent="0.2">
      <c r="A1939" s="1">
        <v>15846905</v>
      </c>
      <c r="B1939">
        <v>1</v>
      </c>
      <c r="C1939">
        <v>2</v>
      </c>
      <c r="D1939">
        <v>393</v>
      </c>
      <c r="E1939">
        <v>557</v>
      </c>
      <c r="F1939">
        <v>517</v>
      </c>
      <c r="G1939">
        <v>572</v>
      </c>
      <c r="H1939">
        <v>0</v>
      </c>
      <c r="I1939">
        <f>VLOOKUP(Scores[[#This Row],[MRUN]],Demographics[],3,FALSE)</f>
        <v>5</v>
      </c>
      <c r="J1939">
        <f>AVERAGE(Scores[[#This Row],[LYC]],Scores[[#This Row],[MATE]])</f>
        <v>537</v>
      </c>
      <c r="K1939">
        <f>VLOOKUP(Scores[[#This Row],[MRUN]],Demographics[],6,FALSE)</f>
        <v>5</v>
      </c>
      <c r="L1939">
        <f>VLOOKUP(Scores[[#This Row],[MRUN]],Demographics[], 7,FALSE)</f>
        <v>8</v>
      </c>
      <c r="M1939">
        <f>VLOOKUP(Scores[[#This Row],[MRUN]],Demographics[], 5, FALSE)</f>
        <v>1</v>
      </c>
    </row>
    <row r="1940" spans="1:13" hidden="1" x14ac:dyDescent="0.2">
      <c r="A1940" s="1">
        <v>23324403</v>
      </c>
      <c r="B1940">
        <v>2</v>
      </c>
      <c r="C1940">
        <v>2</v>
      </c>
      <c r="D1940">
        <v>620</v>
      </c>
      <c r="E1940">
        <v>464</v>
      </c>
      <c r="F1940">
        <v>441</v>
      </c>
      <c r="G1940">
        <v>436</v>
      </c>
      <c r="H1940">
        <v>0</v>
      </c>
      <c r="I1940">
        <f>VLOOKUP(Scores[[#This Row],[MRUN]],Demographics[],3,FALSE)</f>
        <v>3</v>
      </c>
      <c r="J1940">
        <f>AVERAGE(Scores[[#This Row],[LYC]],Scores[[#This Row],[MATE]])</f>
        <v>452.5</v>
      </c>
      <c r="K1940">
        <f>VLOOKUP(Scores[[#This Row],[MRUN]],Demographics[],6,FALSE)</f>
        <v>0</v>
      </c>
      <c r="L1940">
        <f>VLOOKUP(Scores[[#This Row],[MRUN]],Demographics[], 7,FALSE)</f>
        <v>0</v>
      </c>
      <c r="M1940">
        <f>VLOOKUP(Scores[[#This Row],[MRUN]],Demographics[], 5, FALSE)</f>
        <v>1</v>
      </c>
    </row>
    <row r="1941" spans="1:13" hidden="1" x14ac:dyDescent="0.2">
      <c r="A1941" s="1">
        <v>9540323</v>
      </c>
      <c r="B1941">
        <v>1</v>
      </c>
      <c r="C1941">
        <v>2</v>
      </c>
      <c r="D1941">
        <v>435</v>
      </c>
      <c r="E1941">
        <v>438</v>
      </c>
      <c r="F1941">
        <v>452</v>
      </c>
      <c r="G1941">
        <v>414</v>
      </c>
      <c r="H1941">
        <v>0</v>
      </c>
      <c r="I1941">
        <f>VLOOKUP(Scores[[#This Row],[MRUN]],Demographics[],3,FALSE)</f>
        <v>4</v>
      </c>
      <c r="J1941">
        <f>AVERAGE(Scores[[#This Row],[LYC]],Scores[[#This Row],[MATE]])</f>
        <v>445</v>
      </c>
      <c r="K1941">
        <f>VLOOKUP(Scores[[#This Row],[MRUN]],Demographics[],6,FALSE)</f>
        <v>4</v>
      </c>
      <c r="L1941">
        <f>VLOOKUP(Scores[[#This Row],[MRUN]],Demographics[], 7,FALSE)</f>
        <v>5</v>
      </c>
      <c r="M1941">
        <f>VLOOKUP(Scores[[#This Row],[MRUN]],Demographics[], 5, FALSE)</f>
        <v>1</v>
      </c>
    </row>
    <row r="1942" spans="1:13" hidden="1" x14ac:dyDescent="0.2">
      <c r="A1942" s="1">
        <v>994961</v>
      </c>
      <c r="B1942">
        <v>2</v>
      </c>
      <c r="C1942">
        <v>2</v>
      </c>
      <c r="D1942">
        <v>458</v>
      </c>
      <c r="E1942">
        <v>476</v>
      </c>
      <c r="F1942">
        <v>428</v>
      </c>
      <c r="G1942">
        <v>479</v>
      </c>
      <c r="H1942">
        <v>0</v>
      </c>
      <c r="I1942">
        <f>VLOOKUP(Scores[[#This Row],[MRUN]],Demographics[],3,FALSE)</f>
        <v>3</v>
      </c>
      <c r="J1942">
        <f>AVERAGE(Scores[[#This Row],[LYC]],Scores[[#This Row],[MATE]])</f>
        <v>452</v>
      </c>
      <c r="K1942">
        <f>VLOOKUP(Scores[[#This Row],[MRUN]],Demographics[],6,FALSE)</f>
        <v>5</v>
      </c>
      <c r="L1942">
        <f>VLOOKUP(Scores[[#This Row],[MRUN]],Demographics[], 7,FALSE)</f>
        <v>3</v>
      </c>
      <c r="M1942">
        <f>VLOOKUP(Scores[[#This Row],[MRUN]],Demographics[], 5, FALSE)</f>
        <v>1</v>
      </c>
    </row>
    <row r="1943" spans="1:13" hidden="1" x14ac:dyDescent="0.2">
      <c r="A1943" s="1">
        <v>2698690</v>
      </c>
      <c r="B1943">
        <v>2</v>
      </c>
      <c r="C1943">
        <v>2</v>
      </c>
      <c r="D1943">
        <v>558</v>
      </c>
      <c r="E1943">
        <v>415</v>
      </c>
      <c r="F1943">
        <v>395</v>
      </c>
      <c r="G1943">
        <v>484</v>
      </c>
      <c r="H1943">
        <v>0</v>
      </c>
      <c r="I1943">
        <f>VLOOKUP(Scores[[#This Row],[MRUN]],Demographics[],3,FALSE)</f>
        <v>4</v>
      </c>
      <c r="J1943">
        <f>AVERAGE(Scores[[#This Row],[LYC]],Scores[[#This Row],[MATE]])</f>
        <v>405</v>
      </c>
      <c r="K1943">
        <f>VLOOKUP(Scores[[#This Row],[MRUN]],Demographics[],6,FALSE)</f>
        <v>4</v>
      </c>
      <c r="L1943">
        <f>VLOOKUP(Scores[[#This Row],[MRUN]],Demographics[], 7,FALSE)</f>
        <v>3</v>
      </c>
      <c r="M1943">
        <f>VLOOKUP(Scores[[#This Row],[MRUN]],Demographics[], 5, FALSE)</f>
        <v>1</v>
      </c>
    </row>
    <row r="1944" spans="1:13" hidden="1" x14ac:dyDescent="0.2">
      <c r="A1944" s="1">
        <v>9123553</v>
      </c>
      <c r="B1944">
        <v>2</v>
      </c>
      <c r="C1944">
        <v>2</v>
      </c>
      <c r="D1944">
        <v>579</v>
      </c>
      <c r="E1944">
        <v>345</v>
      </c>
      <c r="F1944">
        <v>300</v>
      </c>
      <c r="G1944">
        <v>359</v>
      </c>
      <c r="H1944">
        <v>0</v>
      </c>
      <c r="I1944">
        <f>VLOOKUP(Scores[[#This Row],[MRUN]],Demographics[],3,FALSE)</f>
        <v>0</v>
      </c>
      <c r="J1944">
        <f>AVERAGE(Scores[[#This Row],[LYC]],Scores[[#This Row],[MATE]])</f>
        <v>322.5</v>
      </c>
      <c r="K1944">
        <f>VLOOKUP(Scores[[#This Row],[MRUN]],Demographics[],6,FALSE)</f>
        <v>0</v>
      </c>
      <c r="L1944">
        <f>VLOOKUP(Scores[[#This Row],[MRUN]],Demographics[], 7,FALSE)</f>
        <v>0</v>
      </c>
      <c r="M1944">
        <f>VLOOKUP(Scores[[#This Row],[MRUN]],Demographics[], 5, FALSE)</f>
        <v>1</v>
      </c>
    </row>
    <row r="1945" spans="1:13" hidden="1" x14ac:dyDescent="0.2">
      <c r="A1945" s="1">
        <v>12125403</v>
      </c>
      <c r="B1945">
        <v>1</v>
      </c>
      <c r="C1945">
        <v>2</v>
      </c>
      <c r="D1945">
        <v>682</v>
      </c>
      <c r="E1945">
        <v>803</v>
      </c>
      <c r="F1945">
        <v>644</v>
      </c>
      <c r="G1945">
        <v>724</v>
      </c>
      <c r="H1945">
        <v>0</v>
      </c>
      <c r="I1945">
        <f>VLOOKUP(Scores[[#This Row],[MRUN]],Demographics[],3,FALSE)</f>
        <v>3</v>
      </c>
      <c r="J1945">
        <f>AVERAGE(Scores[[#This Row],[LYC]],Scores[[#This Row],[MATE]])</f>
        <v>723.5</v>
      </c>
      <c r="K1945">
        <f>VLOOKUP(Scores[[#This Row],[MRUN]],Demographics[],6,FALSE)</f>
        <v>1</v>
      </c>
      <c r="L1945">
        <f>VLOOKUP(Scores[[#This Row],[MRUN]],Demographics[], 7,FALSE)</f>
        <v>3</v>
      </c>
      <c r="M1945">
        <f>VLOOKUP(Scores[[#This Row],[MRUN]],Demographics[], 5, FALSE)</f>
        <v>1</v>
      </c>
    </row>
    <row r="1946" spans="1:13" hidden="1" x14ac:dyDescent="0.2">
      <c r="A1946" s="1">
        <v>13294009</v>
      </c>
      <c r="B1946">
        <v>1</v>
      </c>
      <c r="C1946">
        <v>2</v>
      </c>
      <c r="D1946">
        <v>517</v>
      </c>
      <c r="E1946">
        <v>505</v>
      </c>
      <c r="F1946">
        <v>472</v>
      </c>
      <c r="G1946">
        <v>0</v>
      </c>
      <c r="H1946">
        <v>468</v>
      </c>
      <c r="I1946">
        <f>VLOOKUP(Scores[[#This Row],[MRUN]],Demographics[],3,FALSE)</f>
        <v>4</v>
      </c>
      <c r="J1946">
        <f>AVERAGE(Scores[[#This Row],[LYC]],Scores[[#This Row],[MATE]])</f>
        <v>488.5</v>
      </c>
      <c r="K1946">
        <f>VLOOKUP(Scores[[#This Row],[MRUN]],Demographics[],6,FALSE)</f>
        <v>5</v>
      </c>
      <c r="L1946">
        <f>VLOOKUP(Scores[[#This Row],[MRUN]],Demographics[], 7,FALSE)</f>
        <v>5</v>
      </c>
      <c r="M1946">
        <f>VLOOKUP(Scores[[#This Row],[MRUN]],Demographics[], 5, FALSE)</f>
        <v>1</v>
      </c>
    </row>
    <row r="1947" spans="1:13" hidden="1" x14ac:dyDescent="0.2">
      <c r="A1947" s="1">
        <v>20237254</v>
      </c>
      <c r="B1947">
        <v>1</v>
      </c>
      <c r="C1947">
        <v>2</v>
      </c>
      <c r="D1947">
        <v>476</v>
      </c>
      <c r="E1947">
        <v>526</v>
      </c>
      <c r="F1947">
        <v>603</v>
      </c>
      <c r="G1947">
        <v>0</v>
      </c>
      <c r="H1947">
        <v>510</v>
      </c>
      <c r="I1947">
        <f>VLOOKUP(Scores[[#This Row],[MRUN]],Demographics[],3,FALSE)</f>
        <v>7</v>
      </c>
      <c r="J1947">
        <f>AVERAGE(Scores[[#This Row],[LYC]],Scores[[#This Row],[MATE]])</f>
        <v>564.5</v>
      </c>
      <c r="K1947">
        <f>VLOOKUP(Scores[[#This Row],[MRUN]],Demographics[],6,FALSE)</f>
        <v>9</v>
      </c>
      <c r="L1947">
        <f>VLOOKUP(Scores[[#This Row],[MRUN]],Demographics[], 7,FALSE)</f>
        <v>4</v>
      </c>
      <c r="M1947">
        <f>VLOOKUP(Scores[[#This Row],[MRUN]],Demographics[], 5, FALSE)</f>
        <v>2</v>
      </c>
    </row>
    <row r="1948" spans="1:13" hidden="1" x14ac:dyDescent="0.2">
      <c r="A1948" s="1">
        <v>12760165</v>
      </c>
      <c r="B1948">
        <v>1</v>
      </c>
      <c r="C1948">
        <v>2</v>
      </c>
      <c r="D1948">
        <v>476</v>
      </c>
      <c r="E1948">
        <v>406</v>
      </c>
      <c r="F1948">
        <v>428</v>
      </c>
      <c r="G1948">
        <v>484</v>
      </c>
      <c r="H1948">
        <v>0</v>
      </c>
      <c r="I1948">
        <f>VLOOKUP(Scores[[#This Row],[MRUN]],Demographics[],3,FALSE)</f>
        <v>3</v>
      </c>
      <c r="J1948">
        <f>AVERAGE(Scores[[#This Row],[LYC]],Scores[[#This Row],[MATE]])</f>
        <v>417</v>
      </c>
      <c r="K1948">
        <f>VLOOKUP(Scores[[#This Row],[MRUN]],Demographics[],6,FALSE)</f>
        <v>7</v>
      </c>
      <c r="L1948">
        <f>VLOOKUP(Scores[[#This Row],[MRUN]],Demographics[], 7,FALSE)</f>
        <v>5</v>
      </c>
      <c r="M1948">
        <f>VLOOKUP(Scores[[#This Row],[MRUN]],Demographics[], 5, FALSE)</f>
        <v>1</v>
      </c>
    </row>
    <row r="1949" spans="1:13" hidden="1" x14ac:dyDescent="0.2">
      <c r="A1949" s="1">
        <v>1111677</v>
      </c>
      <c r="B1949">
        <v>1</v>
      </c>
      <c r="C1949">
        <v>2</v>
      </c>
      <c r="D1949">
        <v>499</v>
      </c>
      <c r="E1949">
        <v>0</v>
      </c>
      <c r="F1949">
        <v>0</v>
      </c>
      <c r="G1949">
        <v>0</v>
      </c>
      <c r="H1949">
        <v>0</v>
      </c>
      <c r="I1949">
        <f>VLOOKUP(Scores[[#This Row],[MRUN]],Demographics[],3,FALSE)</f>
        <v>3</v>
      </c>
      <c r="J1949">
        <f>AVERAGE(Scores[[#This Row],[LYC]],Scores[[#This Row],[MATE]])</f>
        <v>0</v>
      </c>
      <c r="K1949">
        <f>VLOOKUP(Scores[[#This Row],[MRUN]],Demographics[],6,FALSE)</f>
        <v>1</v>
      </c>
      <c r="L1949">
        <f>VLOOKUP(Scores[[#This Row],[MRUN]],Demographics[], 7,FALSE)</f>
        <v>4</v>
      </c>
      <c r="M1949">
        <f>VLOOKUP(Scores[[#This Row],[MRUN]],Demographics[], 5, FALSE)</f>
        <v>1</v>
      </c>
    </row>
    <row r="1950" spans="1:13" hidden="1" x14ac:dyDescent="0.2">
      <c r="A1950" s="1">
        <v>23066173</v>
      </c>
      <c r="B1950">
        <v>1</v>
      </c>
      <c r="C1950">
        <v>2</v>
      </c>
      <c r="D1950">
        <v>621</v>
      </c>
      <c r="E1950">
        <v>581</v>
      </c>
      <c r="F1950">
        <v>527</v>
      </c>
      <c r="G1950">
        <v>628</v>
      </c>
      <c r="H1950">
        <v>0</v>
      </c>
      <c r="I1950">
        <f>VLOOKUP(Scores[[#This Row],[MRUN]],Demographics[],3,FALSE)</f>
        <v>0</v>
      </c>
      <c r="J1950">
        <f>AVERAGE(Scores[[#This Row],[LYC]],Scores[[#This Row],[MATE]])</f>
        <v>554</v>
      </c>
      <c r="K1950">
        <f>VLOOKUP(Scores[[#This Row],[MRUN]],Demographics[],6,FALSE)</f>
        <v>0</v>
      </c>
      <c r="L1950">
        <f>VLOOKUP(Scores[[#This Row],[MRUN]],Demographics[], 7,FALSE)</f>
        <v>0</v>
      </c>
      <c r="M1950">
        <f>VLOOKUP(Scores[[#This Row],[MRUN]],Demographics[], 5, FALSE)</f>
        <v>1</v>
      </c>
    </row>
    <row r="1951" spans="1:13" hidden="1" x14ac:dyDescent="0.2">
      <c r="A1951" s="1">
        <v>7577899</v>
      </c>
      <c r="B1951">
        <v>1</v>
      </c>
      <c r="C1951">
        <v>2</v>
      </c>
      <c r="D1951">
        <v>539</v>
      </c>
      <c r="E1951">
        <v>488</v>
      </c>
      <c r="F1951">
        <v>452</v>
      </c>
      <c r="G1951">
        <v>436</v>
      </c>
      <c r="H1951">
        <v>0</v>
      </c>
      <c r="I1951">
        <f>VLOOKUP(Scores[[#This Row],[MRUN]],Demographics[],3,FALSE)</f>
        <v>7</v>
      </c>
      <c r="J1951">
        <f>AVERAGE(Scores[[#This Row],[LYC]],Scores[[#This Row],[MATE]])</f>
        <v>470</v>
      </c>
      <c r="K1951">
        <f>VLOOKUP(Scores[[#This Row],[MRUN]],Demographics[],6,FALSE)</f>
        <v>3</v>
      </c>
      <c r="L1951">
        <f>VLOOKUP(Scores[[#This Row],[MRUN]],Demographics[], 7,FALSE)</f>
        <v>3</v>
      </c>
      <c r="M1951">
        <f>VLOOKUP(Scores[[#This Row],[MRUN]],Demographics[], 5, FALSE)</f>
        <v>1</v>
      </c>
    </row>
    <row r="1952" spans="1:13" hidden="1" x14ac:dyDescent="0.2">
      <c r="A1952" s="1">
        <v>2338890</v>
      </c>
      <c r="B1952">
        <v>1</v>
      </c>
      <c r="C1952">
        <v>2</v>
      </c>
      <c r="D1952">
        <v>376</v>
      </c>
      <c r="E1952">
        <v>0</v>
      </c>
      <c r="F1952">
        <v>0</v>
      </c>
      <c r="G1952">
        <v>0</v>
      </c>
      <c r="H1952">
        <v>0</v>
      </c>
      <c r="I1952">
        <f>VLOOKUP(Scores[[#This Row],[MRUN]],Demographics[],3,FALSE)</f>
        <v>2</v>
      </c>
      <c r="J1952">
        <f>AVERAGE(Scores[[#This Row],[LYC]],Scores[[#This Row],[MATE]])</f>
        <v>0</v>
      </c>
      <c r="K1952">
        <f>VLOOKUP(Scores[[#This Row],[MRUN]],Demographics[],6,FALSE)</f>
        <v>5</v>
      </c>
      <c r="L1952">
        <f>VLOOKUP(Scores[[#This Row],[MRUN]],Demographics[], 7,FALSE)</f>
        <v>5</v>
      </c>
      <c r="M1952">
        <f>VLOOKUP(Scores[[#This Row],[MRUN]],Demographics[], 5, FALSE)</f>
        <v>1</v>
      </c>
    </row>
    <row r="1953" spans="1:13" hidden="1" x14ac:dyDescent="0.2">
      <c r="A1953" s="1">
        <v>17292382</v>
      </c>
      <c r="B1953">
        <v>2</v>
      </c>
      <c r="C1953">
        <v>2</v>
      </c>
      <c r="D1953">
        <v>437</v>
      </c>
      <c r="E1953">
        <v>0</v>
      </c>
      <c r="F1953">
        <v>0</v>
      </c>
      <c r="G1953">
        <v>0</v>
      </c>
      <c r="H1953">
        <v>0</v>
      </c>
      <c r="I1953">
        <f>VLOOKUP(Scores[[#This Row],[MRUN]],Demographics[],3,FALSE)</f>
        <v>4</v>
      </c>
      <c r="J1953">
        <f>AVERAGE(Scores[[#This Row],[LYC]],Scores[[#This Row],[MATE]])</f>
        <v>0</v>
      </c>
      <c r="K1953">
        <f>VLOOKUP(Scores[[#This Row],[MRUN]],Demographics[],6,FALSE)</f>
        <v>4</v>
      </c>
      <c r="L1953">
        <f>VLOOKUP(Scores[[#This Row],[MRUN]],Demographics[], 7,FALSE)</f>
        <v>4</v>
      </c>
      <c r="M1953">
        <f>VLOOKUP(Scores[[#This Row],[MRUN]],Demographics[], 5, FALSE)</f>
        <v>1</v>
      </c>
    </row>
    <row r="1954" spans="1:13" hidden="1" x14ac:dyDescent="0.2">
      <c r="A1954" s="1">
        <v>18360139</v>
      </c>
      <c r="B1954">
        <v>2</v>
      </c>
      <c r="C1954">
        <v>2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f>VLOOKUP(Scores[[#This Row],[MRUN]],Demographics[],3,FALSE)</f>
        <v>4</v>
      </c>
      <c r="J1954">
        <f>AVERAGE(Scores[[#This Row],[LYC]],Scores[[#This Row],[MATE]])</f>
        <v>0</v>
      </c>
      <c r="K1954">
        <f>VLOOKUP(Scores[[#This Row],[MRUN]],Demographics[],6,FALSE)</f>
        <v>3</v>
      </c>
      <c r="L1954">
        <f>VLOOKUP(Scores[[#This Row],[MRUN]],Demographics[], 7,FALSE)</f>
        <v>4</v>
      </c>
      <c r="M1954">
        <f>VLOOKUP(Scores[[#This Row],[MRUN]],Demographics[], 5, FALSE)</f>
        <v>1</v>
      </c>
    </row>
    <row r="1955" spans="1:13" hidden="1" x14ac:dyDescent="0.2">
      <c r="A1955" s="1">
        <v>16052867</v>
      </c>
      <c r="B1955">
        <v>1</v>
      </c>
      <c r="C1955">
        <v>2</v>
      </c>
      <c r="D1955">
        <v>558</v>
      </c>
      <c r="E1955">
        <v>557</v>
      </c>
      <c r="F1955">
        <v>452</v>
      </c>
      <c r="G1955">
        <v>567</v>
      </c>
      <c r="H1955">
        <v>0</v>
      </c>
      <c r="I1955">
        <f>VLOOKUP(Scores[[#This Row],[MRUN]],Demographics[],3,FALSE)</f>
        <v>3</v>
      </c>
      <c r="J1955">
        <f>AVERAGE(Scores[[#This Row],[LYC]],Scores[[#This Row],[MATE]])</f>
        <v>504.5</v>
      </c>
      <c r="K1955">
        <f>VLOOKUP(Scores[[#This Row],[MRUN]],Demographics[],6,FALSE)</f>
        <v>0</v>
      </c>
      <c r="L1955">
        <f>VLOOKUP(Scores[[#This Row],[MRUN]],Demographics[], 7,FALSE)</f>
        <v>5</v>
      </c>
      <c r="M1955">
        <f>VLOOKUP(Scores[[#This Row],[MRUN]],Demographics[], 5, FALSE)</f>
        <v>1</v>
      </c>
    </row>
    <row r="1956" spans="1:13" hidden="1" x14ac:dyDescent="0.2">
      <c r="A1956" s="1">
        <v>9401099</v>
      </c>
      <c r="B1956">
        <v>1</v>
      </c>
      <c r="C1956">
        <v>2</v>
      </c>
      <c r="D1956">
        <v>539</v>
      </c>
      <c r="E1956">
        <v>458</v>
      </c>
      <c r="F1956">
        <v>487</v>
      </c>
      <c r="G1956">
        <v>454</v>
      </c>
      <c r="H1956">
        <v>0</v>
      </c>
      <c r="I1956">
        <f>VLOOKUP(Scores[[#This Row],[MRUN]],Demographics[],3,FALSE)</f>
        <v>6</v>
      </c>
      <c r="J1956">
        <f>AVERAGE(Scores[[#This Row],[LYC]],Scores[[#This Row],[MATE]])</f>
        <v>472.5</v>
      </c>
      <c r="K1956">
        <f>VLOOKUP(Scores[[#This Row],[MRUN]],Demographics[],6,FALSE)</f>
        <v>4</v>
      </c>
      <c r="L1956">
        <f>VLOOKUP(Scores[[#This Row],[MRUN]],Demographics[], 7,FALSE)</f>
        <v>4</v>
      </c>
      <c r="M1956">
        <f>VLOOKUP(Scores[[#This Row],[MRUN]],Demographics[], 5, FALSE)</f>
        <v>1</v>
      </c>
    </row>
    <row r="1957" spans="1:13" hidden="1" x14ac:dyDescent="0.2">
      <c r="A1957" s="1">
        <v>22246811</v>
      </c>
      <c r="B1957">
        <v>2</v>
      </c>
      <c r="C1957">
        <v>3</v>
      </c>
      <c r="D1957">
        <v>496</v>
      </c>
      <c r="E1957">
        <v>602</v>
      </c>
      <c r="F1957">
        <v>624</v>
      </c>
      <c r="G1957">
        <v>562</v>
      </c>
      <c r="H1957">
        <v>516</v>
      </c>
      <c r="I1957">
        <f>VLOOKUP(Scores[[#This Row],[MRUN]],Demographics[],3,FALSE)</f>
        <v>5</v>
      </c>
      <c r="J1957">
        <f>AVERAGE(Scores[[#This Row],[LYC]],Scores[[#This Row],[MATE]])</f>
        <v>613</v>
      </c>
      <c r="K1957">
        <f>VLOOKUP(Scores[[#This Row],[MRUN]],Demographics[],6,FALSE)</f>
        <v>8</v>
      </c>
      <c r="L1957">
        <f>VLOOKUP(Scores[[#This Row],[MRUN]],Demographics[], 7,FALSE)</f>
        <v>5</v>
      </c>
      <c r="M1957">
        <f>VLOOKUP(Scores[[#This Row],[MRUN]],Demographics[], 5, FALSE)</f>
        <v>3</v>
      </c>
    </row>
    <row r="1958" spans="1:13" hidden="1" x14ac:dyDescent="0.2">
      <c r="A1958" s="1">
        <v>4189905</v>
      </c>
      <c r="B1958">
        <v>2</v>
      </c>
      <c r="C1958">
        <v>4</v>
      </c>
      <c r="D1958">
        <v>476</v>
      </c>
      <c r="E1958">
        <v>494</v>
      </c>
      <c r="F1958">
        <v>472</v>
      </c>
      <c r="G1958">
        <v>562</v>
      </c>
      <c r="H1958">
        <v>0</v>
      </c>
      <c r="I1958">
        <f>VLOOKUP(Scores[[#This Row],[MRUN]],Demographics[],3,FALSE)</f>
        <v>4</v>
      </c>
      <c r="J1958">
        <f>AVERAGE(Scores[[#This Row],[LYC]],Scores[[#This Row],[MATE]])</f>
        <v>483</v>
      </c>
      <c r="K1958">
        <f>VLOOKUP(Scores[[#This Row],[MRUN]],Demographics[],6,FALSE)</f>
        <v>9</v>
      </c>
      <c r="L1958">
        <f>VLOOKUP(Scores[[#This Row],[MRUN]],Demographics[], 7,FALSE)</f>
        <v>5</v>
      </c>
      <c r="M1958">
        <f>VLOOKUP(Scores[[#This Row],[MRUN]],Demographics[], 5, FALSE)</f>
        <v>2</v>
      </c>
    </row>
    <row r="1959" spans="1:13" hidden="1" x14ac:dyDescent="0.2">
      <c r="A1959" s="1">
        <v>22246812</v>
      </c>
      <c r="B1959">
        <v>1</v>
      </c>
      <c r="C1959">
        <v>3</v>
      </c>
      <c r="D1959">
        <v>620</v>
      </c>
      <c r="E1959">
        <v>561</v>
      </c>
      <c r="F1959">
        <v>648</v>
      </c>
      <c r="G1959">
        <v>613</v>
      </c>
      <c r="H1959">
        <v>549</v>
      </c>
      <c r="I1959">
        <f>VLOOKUP(Scores[[#This Row],[MRUN]],Demographics[],3,FALSE)</f>
        <v>3</v>
      </c>
      <c r="J1959">
        <f>AVERAGE(Scores[[#This Row],[LYC]],Scores[[#This Row],[MATE]])</f>
        <v>604.5</v>
      </c>
      <c r="K1959">
        <f>VLOOKUP(Scores[[#This Row],[MRUN]],Demographics[],6,FALSE)</f>
        <v>5</v>
      </c>
      <c r="L1959">
        <f>VLOOKUP(Scores[[#This Row],[MRUN]],Demographics[], 7,FALSE)</f>
        <v>7</v>
      </c>
      <c r="M1959">
        <f>VLOOKUP(Scores[[#This Row],[MRUN]],Demographics[], 5, FALSE)</f>
        <v>1</v>
      </c>
    </row>
    <row r="1960" spans="1:13" hidden="1" x14ac:dyDescent="0.2">
      <c r="A1960" s="1">
        <v>14914960</v>
      </c>
      <c r="B1960">
        <v>2</v>
      </c>
      <c r="C1960">
        <v>2</v>
      </c>
      <c r="D1960">
        <v>682</v>
      </c>
      <c r="E1960">
        <v>613</v>
      </c>
      <c r="F1960">
        <v>545</v>
      </c>
      <c r="G1960">
        <v>602</v>
      </c>
      <c r="H1960">
        <v>0</v>
      </c>
      <c r="I1960">
        <f>VLOOKUP(Scores[[#This Row],[MRUN]],Demographics[],3,FALSE)</f>
        <v>6</v>
      </c>
      <c r="J1960">
        <f>AVERAGE(Scores[[#This Row],[LYC]],Scores[[#This Row],[MATE]])</f>
        <v>579</v>
      </c>
      <c r="K1960">
        <f>VLOOKUP(Scores[[#This Row],[MRUN]],Demographics[],6,FALSE)</f>
        <v>5</v>
      </c>
      <c r="L1960">
        <f>VLOOKUP(Scores[[#This Row],[MRUN]],Demographics[], 7,FALSE)</f>
        <v>4</v>
      </c>
      <c r="M1960">
        <f>VLOOKUP(Scores[[#This Row],[MRUN]],Demographics[], 5, FALSE)</f>
        <v>1</v>
      </c>
    </row>
    <row r="1961" spans="1:13" hidden="1" x14ac:dyDescent="0.2">
      <c r="A1961" s="1">
        <v>6036611</v>
      </c>
      <c r="B1961">
        <v>1</v>
      </c>
      <c r="C1961">
        <v>2</v>
      </c>
      <c r="D1961">
        <v>435</v>
      </c>
      <c r="E1961">
        <v>367</v>
      </c>
      <c r="F1961">
        <v>376</v>
      </c>
      <c r="G1961">
        <v>512</v>
      </c>
      <c r="H1961">
        <v>0</v>
      </c>
      <c r="I1961">
        <f>VLOOKUP(Scores[[#This Row],[MRUN]],Demographics[],3,FALSE)</f>
        <v>6</v>
      </c>
      <c r="J1961">
        <f>AVERAGE(Scores[[#This Row],[LYC]],Scores[[#This Row],[MATE]])</f>
        <v>371.5</v>
      </c>
      <c r="K1961">
        <f>VLOOKUP(Scores[[#This Row],[MRUN]],Demographics[],6,FALSE)</f>
        <v>2</v>
      </c>
      <c r="L1961">
        <f>VLOOKUP(Scores[[#This Row],[MRUN]],Demographics[], 7,FALSE)</f>
        <v>5</v>
      </c>
      <c r="M1961">
        <f>VLOOKUP(Scores[[#This Row],[MRUN]],Demographics[], 5, FALSE)</f>
        <v>1</v>
      </c>
    </row>
    <row r="1962" spans="1:13" hidden="1" x14ac:dyDescent="0.2">
      <c r="A1962" s="1">
        <v>17123955</v>
      </c>
      <c r="B1962">
        <v>1</v>
      </c>
      <c r="C1962">
        <v>3</v>
      </c>
      <c r="D1962">
        <v>435</v>
      </c>
      <c r="E1962">
        <v>531</v>
      </c>
      <c r="F1962">
        <v>596</v>
      </c>
      <c r="G1962">
        <v>0</v>
      </c>
      <c r="H1962">
        <v>539</v>
      </c>
      <c r="I1962">
        <f>VLOOKUP(Scores[[#This Row],[MRUN]],Demographics[],3,FALSE)</f>
        <v>5</v>
      </c>
      <c r="J1962">
        <f>AVERAGE(Scores[[#This Row],[LYC]],Scores[[#This Row],[MATE]])</f>
        <v>563.5</v>
      </c>
      <c r="K1962">
        <f>VLOOKUP(Scores[[#This Row],[MRUN]],Demographics[],6,FALSE)</f>
        <v>0</v>
      </c>
      <c r="L1962">
        <f>VLOOKUP(Scores[[#This Row],[MRUN]],Demographics[], 7,FALSE)</f>
        <v>0</v>
      </c>
      <c r="M1962">
        <f>VLOOKUP(Scores[[#This Row],[MRUN]],Demographics[], 5, FALSE)</f>
        <v>2</v>
      </c>
    </row>
    <row r="1963" spans="1:13" hidden="1" x14ac:dyDescent="0.2">
      <c r="A1963" s="1">
        <v>18516503</v>
      </c>
      <c r="B1963">
        <v>1</v>
      </c>
      <c r="C1963">
        <v>3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f>VLOOKUP(Scores[[#This Row],[MRUN]],Demographics[],3,FALSE)</f>
        <v>8</v>
      </c>
      <c r="J1963">
        <f>AVERAGE(Scores[[#This Row],[LYC]],Scores[[#This Row],[MATE]])</f>
        <v>0</v>
      </c>
      <c r="K1963">
        <f>VLOOKUP(Scores[[#This Row],[MRUN]],Demographics[],6,FALSE)</f>
        <v>0</v>
      </c>
      <c r="L1963">
        <f>VLOOKUP(Scores[[#This Row],[MRUN]],Demographics[], 7,FALSE)</f>
        <v>5</v>
      </c>
      <c r="M1963">
        <f>VLOOKUP(Scores[[#This Row],[MRUN]],Demographics[], 5, FALSE)</f>
        <v>1</v>
      </c>
    </row>
    <row r="1964" spans="1:13" hidden="1" x14ac:dyDescent="0.2">
      <c r="A1964" s="1">
        <v>14593399</v>
      </c>
      <c r="B1964">
        <v>1</v>
      </c>
      <c r="C1964">
        <v>3</v>
      </c>
      <c r="D1964">
        <v>0</v>
      </c>
      <c r="E1964">
        <v>345</v>
      </c>
      <c r="F1964">
        <v>395</v>
      </c>
      <c r="G1964">
        <v>442</v>
      </c>
      <c r="H1964">
        <v>0</v>
      </c>
      <c r="I1964">
        <f>VLOOKUP(Scores[[#This Row],[MRUN]],Demographics[],3,FALSE)</f>
        <v>9</v>
      </c>
      <c r="J1964">
        <f>AVERAGE(Scores[[#This Row],[LYC]],Scores[[#This Row],[MATE]])</f>
        <v>370</v>
      </c>
      <c r="K1964">
        <f>VLOOKUP(Scores[[#This Row],[MRUN]],Demographics[],6,FALSE)</f>
        <v>4</v>
      </c>
      <c r="L1964">
        <f>VLOOKUP(Scores[[#This Row],[MRUN]],Demographics[], 7,FALSE)</f>
        <v>4</v>
      </c>
      <c r="M1964">
        <f>VLOOKUP(Scores[[#This Row],[MRUN]],Demographics[], 5, FALSE)</f>
        <v>2</v>
      </c>
    </row>
    <row r="1965" spans="1:13" hidden="1" x14ac:dyDescent="0.2">
      <c r="A1965" s="1">
        <v>9388024</v>
      </c>
      <c r="B1965">
        <v>2</v>
      </c>
      <c r="C1965">
        <v>3</v>
      </c>
      <c r="D1965">
        <v>641</v>
      </c>
      <c r="E1965">
        <v>537</v>
      </c>
      <c r="F1965">
        <v>666</v>
      </c>
      <c r="G1965">
        <v>490</v>
      </c>
      <c r="H1965">
        <v>617</v>
      </c>
      <c r="I1965">
        <f>VLOOKUP(Scores[[#This Row],[MRUN]],Demographics[],3,FALSE)</f>
        <v>4</v>
      </c>
      <c r="J1965">
        <f>AVERAGE(Scores[[#This Row],[LYC]],Scores[[#This Row],[MATE]])</f>
        <v>601.5</v>
      </c>
      <c r="K1965">
        <f>VLOOKUP(Scores[[#This Row],[MRUN]],Demographics[],6,FALSE)</f>
        <v>7</v>
      </c>
      <c r="L1965">
        <f>VLOOKUP(Scores[[#This Row],[MRUN]],Demographics[], 7,FALSE)</f>
        <v>9</v>
      </c>
      <c r="M1965">
        <f>VLOOKUP(Scores[[#This Row],[MRUN]],Demographics[], 5, FALSE)</f>
        <v>2</v>
      </c>
    </row>
    <row r="1966" spans="1:13" hidden="1" x14ac:dyDescent="0.2">
      <c r="A1966" s="1">
        <v>20454750</v>
      </c>
      <c r="B1966">
        <v>2</v>
      </c>
      <c r="C1966">
        <v>3</v>
      </c>
      <c r="D1966">
        <v>519</v>
      </c>
      <c r="E1966">
        <v>378</v>
      </c>
      <c r="F1966">
        <v>472</v>
      </c>
      <c r="G1966">
        <v>397</v>
      </c>
      <c r="H1966">
        <v>0</v>
      </c>
      <c r="I1966">
        <f>VLOOKUP(Scores[[#This Row],[MRUN]],Demographics[],3,FALSE)</f>
        <v>0</v>
      </c>
      <c r="J1966">
        <f>AVERAGE(Scores[[#This Row],[LYC]],Scores[[#This Row],[MATE]])</f>
        <v>425</v>
      </c>
      <c r="K1966">
        <f>VLOOKUP(Scores[[#This Row],[MRUN]],Demographics[],6,FALSE)</f>
        <v>0</v>
      </c>
      <c r="L1966">
        <f>VLOOKUP(Scores[[#This Row],[MRUN]],Demographics[], 7,FALSE)</f>
        <v>0</v>
      </c>
      <c r="M1966">
        <f>VLOOKUP(Scores[[#This Row],[MRUN]],Demographics[], 5, FALSE)</f>
        <v>1</v>
      </c>
    </row>
    <row r="1967" spans="1:13" hidden="1" x14ac:dyDescent="0.2">
      <c r="A1967" s="1">
        <v>24349167</v>
      </c>
      <c r="B1967">
        <v>2</v>
      </c>
      <c r="C1967">
        <v>2</v>
      </c>
      <c r="D1967">
        <v>455</v>
      </c>
      <c r="E1967">
        <v>422</v>
      </c>
      <c r="F1967">
        <v>441</v>
      </c>
      <c r="G1967">
        <v>512</v>
      </c>
      <c r="H1967">
        <v>0</v>
      </c>
      <c r="I1967">
        <f>VLOOKUP(Scores[[#This Row],[MRUN]],Demographics[],3,FALSE)</f>
        <v>8</v>
      </c>
      <c r="J1967">
        <f>AVERAGE(Scores[[#This Row],[LYC]],Scores[[#This Row],[MATE]])</f>
        <v>431.5</v>
      </c>
      <c r="K1967">
        <f>VLOOKUP(Scores[[#This Row],[MRUN]],Demographics[],6,FALSE)</f>
        <v>5</v>
      </c>
      <c r="L1967">
        <f>VLOOKUP(Scores[[#This Row],[MRUN]],Demographics[], 7,FALSE)</f>
        <v>4</v>
      </c>
      <c r="M1967">
        <f>VLOOKUP(Scores[[#This Row],[MRUN]],Demographics[], 5, FALSE)</f>
        <v>1</v>
      </c>
    </row>
    <row r="1968" spans="1:13" hidden="1" x14ac:dyDescent="0.2">
      <c r="A1968" s="1">
        <v>19008454</v>
      </c>
      <c r="B1968">
        <v>1</v>
      </c>
      <c r="C1968">
        <v>2</v>
      </c>
      <c r="D1968">
        <v>620</v>
      </c>
      <c r="E1968">
        <v>494</v>
      </c>
      <c r="F1968">
        <v>536</v>
      </c>
      <c r="G1968">
        <v>0</v>
      </c>
      <c r="H1968">
        <v>558</v>
      </c>
      <c r="I1968">
        <f>VLOOKUP(Scores[[#This Row],[MRUN]],Demographics[],3,FALSE)</f>
        <v>5</v>
      </c>
      <c r="J1968">
        <f>AVERAGE(Scores[[#This Row],[LYC]],Scores[[#This Row],[MATE]])</f>
        <v>515</v>
      </c>
      <c r="K1968">
        <f>VLOOKUP(Scores[[#This Row],[MRUN]],Demographics[],6,FALSE)</f>
        <v>5</v>
      </c>
      <c r="L1968">
        <f>VLOOKUP(Scores[[#This Row],[MRUN]],Demographics[], 7,FALSE)</f>
        <v>7</v>
      </c>
      <c r="M1968">
        <f>VLOOKUP(Scores[[#This Row],[MRUN]],Demographics[], 5, FALSE)</f>
        <v>1</v>
      </c>
    </row>
    <row r="1969" spans="1:13" hidden="1" x14ac:dyDescent="0.2">
      <c r="A1969" s="1">
        <v>7341789</v>
      </c>
      <c r="B1969">
        <v>1</v>
      </c>
      <c r="C1969">
        <v>2</v>
      </c>
      <c r="D1969">
        <v>437</v>
      </c>
      <c r="E1969">
        <v>378</v>
      </c>
      <c r="F1969">
        <v>413</v>
      </c>
      <c r="G1969">
        <v>406</v>
      </c>
      <c r="H1969">
        <v>0</v>
      </c>
      <c r="I1969">
        <f>VLOOKUP(Scores[[#This Row],[MRUN]],Demographics[],3,FALSE)</f>
        <v>3</v>
      </c>
      <c r="J1969">
        <f>AVERAGE(Scores[[#This Row],[LYC]],Scores[[#This Row],[MATE]])</f>
        <v>395.5</v>
      </c>
      <c r="K1969">
        <f>VLOOKUP(Scores[[#This Row],[MRUN]],Demographics[],6,FALSE)</f>
        <v>5</v>
      </c>
      <c r="L1969">
        <f>VLOOKUP(Scores[[#This Row],[MRUN]],Demographics[], 7,FALSE)</f>
        <v>4</v>
      </c>
      <c r="M1969">
        <f>VLOOKUP(Scores[[#This Row],[MRUN]],Demographics[], 5, FALSE)</f>
        <v>2</v>
      </c>
    </row>
    <row r="1970" spans="1:13" hidden="1" x14ac:dyDescent="0.2">
      <c r="A1970" s="1">
        <v>10894152</v>
      </c>
      <c r="B1970">
        <v>1</v>
      </c>
      <c r="C1970">
        <v>2</v>
      </c>
      <c r="D1970">
        <v>560</v>
      </c>
      <c r="E1970">
        <v>0</v>
      </c>
      <c r="F1970">
        <v>0</v>
      </c>
      <c r="G1970">
        <v>0</v>
      </c>
      <c r="H1970">
        <v>0</v>
      </c>
      <c r="I1970">
        <f>VLOOKUP(Scores[[#This Row],[MRUN]],Demographics[],3,FALSE)</f>
        <v>0</v>
      </c>
      <c r="J1970">
        <f>AVERAGE(Scores[[#This Row],[LYC]],Scores[[#This Row],[MATE]])</f>
        <v>0</v>
      </c>
      <c r="K1970">
        <f>VLOOKUP(Scores[[#This Row],[MRUN]],Demographics[],6,FALSE)</f>
        <v>0</v>
      </c>
      <c r="L1970">
        <f>VLOOKUP(Scores[[#This Row],[MRUN]],Demographics[], 7,FALSE)</f>
        <v>0</v>
      </c>
      <c r="M1970">
        <f>VLOOKUP(Scores[[#This Row],[MRUN]],Demographics[], 5, FALSE)</f>
        <v>1</v>
      </c>
    </row>
    <row r="1971" spans="1:13" hidden="1" x14ac:dyDescent="0.2">
      <c r="A1971" s="1">
        <v>16918490</v>
      </c>
      <c r="B1971">
        <v>1</v>
      </c>
      <c r="C1971">
        <v>3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f>VLOOKUP(Scores[[#This Row],[MRUN]],Demographics[],3,FALSE)</f>
        <v>5</v>
      </c>
      <c r="J1971">
        <f>AVERAGE(Scores[[#This Row],[LYC]],Scores[[#This Row],[MATE]])</f>
        <v>0</v>
      </c>
      <c r="K1971">
        <f>VLOOKUP(Scores[[#This Row],[MRUN]],Demographics[],6,FALSE)</f>
        <v>3</v>
      </c>
      <c r="L1971">
        <f>VLOOKUP(Scores[[#This Row],[MRUN]],Demographics[], 7,FALSE)</f>
        <v>4</v>
      </c>
      <c r="M1971">
        <f>VLOOKUP(Scores[[#This Row],[MRUN]],Demographics[], 5, FALSE)</f>
        <v>2</v>
      </c>
    </row>
    <row r="1972" spans="1:13" hidden="1" x14ac:dyDescent="0.2">
      <c r="A1972" s="1">
        <v>4405265</v>
      </c>
      <c r="B1972">
        <v>2</v>
      </c>
      <c r="C1972">
        <v>3</v>
      </c>
      <c r="D1972">
        <v>238</v>
      </c>
      <c r="E1972">
        <v>430</v>
      </c>
      <c r="F1972">
        <v>376</v>
      </c>
      <c r="G1972">
        <v>406</v>
      </c>
      <c r="H1972">
        <v>0</v>
      </c>
      <c r="I1972">
        <f>VLOOKUP(Scores[[#This Row],[MRUN]],Demographics[],3,FALSE)</f>
        <v>5</v>
      </c>
      <c r="J1972">
        <f>AVERAGE(Scores[[#This Row],[LYC]],Scores[[#This Row],[MATE]])</f>
        <v>403</v>
      </c>
      <c r="K1972">
        <f>VLOOKUP(Scores[[#This Row],[MRUN]],Demographics[],6,FALSE)</f>
        <v>4</v>
      </c>
      <c r="L1972">
        <f>VLOOKUP(Scores[[#This Row],[MRUN]],Demographics[], 7,FALSE)</f>
        <v>2</v>
      </c>
      <c r="M1972">
        <f>VLOOKUP(Scores[[#This Row],[MRUN]],Demographics[], 5, FALSE)</f>
        <v>1</v>
      </c>
    </row>
    <row r="1973" spans="1:13" hidden="1" x14ac:dyDescent="0.2">
      <c r="A1973" s="1">
        <v>2269014</v>
      </c>
      <c r="B1973">
        <v>1</v>
      </c>
      <c r="C1973">
        <v>2</v>
      </c>
      <c r="D1973">
        <v>519</v>
      </c>
      <c r="E1973">
        <v>471</v>
      </c>
      <c r="F1973">
        <v>472</v>
      </c>
      <c r="G1973">
        <v>586</v>
      </c>
      <c r="H1973">
        <v>0</v>
      </c>
      <c r="I1973">
        <f>VLOOKUP(Scores[[#This Row],[MRUN]],Demographics[],3,FALSE)</f>
        <v>5</v>
      </c>
      <c r="J1973">
        <f>AVERAGE(Scores[[#This Row],[LYC]],Scores[[#This Row],[MATE]])</f>
        <v>471.5</v>
      </c>
      <c r="K1973">
        <f>VLOOKUP(Scores[[#This Row],[MRUN]],Demographics[],6,FALSE)</f>
        <v>3</v>
      </c>
      <c r="L1973">
        <f>VLOOKUP(Scores[[#This Row],[MRUN]],Demographics[], 7,FALSE)</f>
        <v>2</v>
      </c>
      <c r="M1973">
        <f>VLOOKUP(Scores[[#This Row],[MRUN]],Demographics[], 5, FALSE)</f>
        <v>1</v>
      </c>
    </row>
    <row r="1974" spans="1:13" hidden="1" x14ac:dyDescent="0.2">
      <c r="A1974" s="1">
        <v>11796992</v>
      </c>
      <c r="B1974">
        <v>2</v>
      </c>
      <c r="C1974">
        <v>3</v>
      </c>
      <c r="D1974">
        <v>703</v>
      </c>
      <c r="E1974">
        <v>510</v>
      </c>
      <c r="F1974">
        <v>472</v>
      </c>
      <c r="G1974">
        <v>537</v>
      </c>
      <c r="H1974">
        <v>0</v>
      </c>
      <c r="I1974">
        <f>VLOOKUP(Scores[[#This Row],[MRUN]],Demographics[],3,FALSE)</f>
        <v>0</v>
      </c>
      <c r="J1974">
        <f>AVERAGE(Scores[[#This Row],[LYC]],Scores[[#This Row],[MATE]])</f>
        <v>491</v>
      </c>
      <c r="K1974">
        <f>VLOOKUP(Scores[[#This Row],[MRUN]],Demographics[],6,FALSE)</f>
        <v>0</v>
      </c>
      <c r="L1974">
        <f>VLOOKUP(Scores[[#This Row],[MRUN]],Demographics[], 7,FALSE)</f>
        <v>0</v>
      </c>
      <c r="M1974">
        <f>VLOOKUP(Scores[[#This Row],[MRUN]],Demographics[], 5, FALSE)</f>
        <v>1</v>
      </c>
    </row>
    <row r="1975" spans="1:13" hidden="1" x14ac:dyDescent="0.2">
      <c r="A1975" s="1">
        <v>8693858</v>
      </c>
      <c r="B1975">
        <v>2</v>
      </c>
      <c r="C1975">
        <v>3</v>
      </c>
      <c r="D1975">
        <v>539</v>
      </c>
      <c r="E1975">
        <v>494</v>
      </c>
      <c r="F1975">
        <v>300</v>
      </c>
      <c r="G1975">
        <v>421</v>
      </c>
      <c r="H1975">
        <v>0</v>
      </c>
      <c r="I1975">
        <f>VLOOKUP(Scores[[#This Row],[MRUN]],Demographics[],3,FALSE)</f>
        <v>0</v>
      </c>
      <c r="J1975">
        <f>AVERAGE(Scores[[#This Row],[LYC]],Scores[[#This Row],[MATE]])</f>
        <v>397</v>
      </c>
      <c r="K1975">
        <f>VLOOKUP(Scores[[#This Row],[MRUN]],Demographics[],6,FALSE)</f>
        <v>0</v>
      </c>
      <c r="L1975">
        <f>VLOOKUP(Scores[[#This Row],[MRUN]],Demographics[], 7,FALSE)</f>
        <v>0</v>
      </c>
      <c r="M1975">
        <f>VLOOKUP(Scores[[#This Row],[MRUN]],Demographics[], 5, FALSE)</f>
        <v>1</v>
      </c>
    </row>
    <row r="1976" spans="1:13" hidden="1" x14ac:dyDescent="0.2">
      <c r="A1976" s="1">
        <v>6023845</v>
      </c>
      <c r="B1976">
        <v>2</v>
      </c>
      <c r="C1976">
        <v>2</v>
      </c>
      <c r="D1976">
        <v>517</v>
      </c>
      <c r="E1976">
        <v>494</v>
      </c>
      <c r="F1976">
        <v>480</v>
      </c>
      <c r="G1976">
        <v>0</v>
      </c>
      <c r="H1976">
        <v>475</v>
      </c>
      <c r="I1976">
        <f>VLOOKUP(Scores[[#This Row],[MRUN]],Demographics[],3,FALSE)</f>
        <v>4</v>
      </c>
      <c r="J1976">
        <f>AVERAGE(Scores[[#This Row],[LYC]],Scores[[#This Row],[MATE]])</f>
        <v>487</v>
      </c>
      <c r="K1976">
        <f>VLOOKUP(Scores[[#This Row],[MRUN]],Demographics[],6,FALSE)</f>
        <v>5</v>
      </c>
      <c r="L1976">
        <f>VLOOKUP(Scores[[#This Row],[MRUN]],Demographics[], 7,FALSE)</f>
        <v>4</v>
      </c>
      <c r="M1976">
        <f>VLOOKUP(Scores[[#This Row],[MRUN]],Demographics[], 5, FALSE)</f>
        <v>6</v>
      </c>
    </row>
    <row r="1977" spans="1:13" hidden="1" x14ac:dyDescent="0.2">
      <c r="A1977" s="1">
        <v>1362263</v>
      </c>
      <c r="B1977">
        <v>1</v>
      </c>
      <c r="C1977">
        <v>3</v>
      </c>
      <c r="D1977">
        <v>417</v>
      </c>
      <c r="E1977">
        <v>458</v>
      </c>
      <c r="F1977">
        <v>441</v>
      </c>
      <c r="G1977">
        <v>541</v>
      </c>
      <c r="H1977">
        <v>0</v>
      </c>
      <c r="I1977">
        <f>VLOOKUP(Scores[[#This Row],[MRUN]],Demographics[],3,FALSE)</f>
        <v>0</v>
      </c>
      <c r="J1977">
        <f>AVERAGE(Scores[[#This Row],[LYC]],Scores[[#This Row],[MATE]])</f>
        <v>449.5</v>
      </c>
      <c r="K1977">
        <f>VLOOKUP(Scores[[#This Row],[MRUN]],Demographics[],6,FALSE)</f>
        <v>0</v>
      </c>
      <c r="L1977">
        <f>VLOOKUP(Scores[[#This Row],[MRUN]],Demographics[], 7,FALSE)</f>
        <v>0</v>
      </c>
      <c r="M1977">
        <f>VLOOKUP(Scores[[#This Row],[MRUN]],Demographics[], 5, FALSE)</f>
        <v>1</v>
      </c>
    </row>
    <row r="1978" spans="1:13" hidden="1" x14ac:dyDescent="0.2">
      <c r="A1978" s="1">
        <v>859913</v>
      </c>
      <c r="B1978">
        <v>1</v>
      </c>
      <c r="C1978">
        <v>2</v>
      </c>
      <c r="D1978">
        <v>376</v>
      </c>
      <c r="E1978">
        <v>464</v>
      </c>
      <c r="F1978">
        <v>441</v>
      </c>
      <c r="G1978">
        <v>370</v>
      </c>
      <c r="H1978">
        <v>0</v>
      </c>
      <c r="I1978">
        <f>VLOOKUP(Scores[[#This Row],[MRUN]],Demographics[],3,FALSE)</f>
        <v>4</v>
      </c>
      <c r="J1978">
        <f>AVERAGE(Scores[[#This Row],[LYC]],Scores[[#This Row],[MATE]])</f>
        <v>452.5</v>
      </c>
      <c r="K1978">
        <f>VLOOKUP(Scores[[#This Row],[MRUN]],Demographics[],6,FALSE)</f>
        <v>4</v>
      </c>
      <c r="L1978">
        <f>VLOOKUP(Scores[[#This Row],[MRUN]],Demographics[], 7,FALSE)</f>
        <v>4</v>
      </c>
      <c r="M1978">
        <f>VLOOKUP(Scores[[#This Row],[MRUN]],Demographics[], 5, FALSE)</f>
        <v>1</v>
      </c>
    </row>
    <row r="1979" spans="1:13" hidden="1" x14ac:dyDescent="0.2">
      <c r="A1979" s="1">
        <v>8703721</v>
      </c>
      <c r="B1979">
        <v>1</v>
      </c>
      <c r="C1979">
        <v>3</v>
      </c>
      <c r="D1979">
        <v>517</v>
      </c>
      <c r="E1979">
        <v>581</v>
      </c>
      <c r="F1979">
        <v>527</v>
      </c>
      <c r="G1979">
        <v>628</v>
      </c>
      <c r="H1979">
        <v>0</v>
      </c>
      <c r="I1979">
        <f>VLOOKUP(Scores[[#This Row],[MRUN]],Demographics[],3,FALSE)</f>
        <v>4</v>
      </c>
      <c r="J1979">
        <f>AVERAGE(Scores[[#This Row],[LYC]],Scores[[#This Row],[MATE]])</f>
        <v>554</v>
      </c>
      <c r="K1979">
        <f>VLOOKUP(Scores[[#This Row],[MRUN]],Demographics[],6,FALSE)</f>
        <v>9</v>
      </c>
      <c r="L1979">
        <f>VLOOKUP(Scores[[#This Row],[MRUN]],Demographics[], 7,FALSE)</f>
        <v>9</v>
      </c>
      <c r="M1979">
        <f>VLOOKUP(Scores[[#This Row],[MRUN]],Demographics[], 5, FALSE)</f>
        <v>2</v>
      </c>
    </row>
    <row r="1980" spans="1:13" hidden="1" x14ac:dyDescent="0.2">
      <c r="A1980" s="1">
        <v>14816786</v>
      </c>
      <c r="B1980">
        <v>1</v>
      </c>
      <c r="C1980">
        <v>2</v>
      </c>
      <c r="D1980">
        <v>476</v>
      </c>
      <c r="E1980">
        <v>451</v>
      </c>
      <c r="F1980">
        <v>428</v>
      </c>
      <c r="G1980">
        <v>449</v>
      </c>
      <c r="H1980">
        <v>0</v>
      </c>
      <c r="I1980">
        <f>VLOOKUP(Scores[[#This Row],[MRUN]],Demographics[],3,FALSE)</f>
        <v>6</v>
      </c>
      <c r="J1980">
        <f>AVERAGE(Scores[[#This Row],[LYC]],Scores[[#This Row],[MATE]])</f>
        <v>439.5</v>
      </c>
      <c r="K1980">
        <f>VLOOKUP(Scores[[#This Row],[MRUN]],Demographics[],6,FALSE)</f>
        <v>5</v>
      </c>
      <c r="L1980">
        <f>VLOOKUP(Scores[[#This Row],[MRUN]],Demographics[], 7,FALSE)</f>
        <v>5</v>
      </c>
      <c r="M1980">
        <f>VLOOKUP(Scores[[#This Row],[MRUN]],Demographics[], 5, FALSE)</f>
        <v>2</v>
      </c>
    </row>
    <row r="1981" spans="1:13" hidden="1" x14ac:dyDescent="0.2">
      <c r="A1981" s="1">
        <v>13113918</v>
      </c>
      <c r="B1981">
        <v>2</v>
      </c>
      <c r="C1981">
        <v>2</v>
      </c>
      <c r="D1981">
        <v>682</v>
      </c>
      <c r="E1981">
        <v>613</v>
      </c>
      <c r="F1981">
        <v>624</v>
      </c>
      <c r="G1981">
        <v>0</v>
      </c>
      <c r="H1981">
        <v>543</v>
      </c>
      <c r="I1981">
        <f>VLOOKUP(Scores[[#This Row],[MRUN]],Demographics[],3,FALSE)</f>
        <v>4</v>
      </c>
      <c r="J1981">
        <f>AVERAGE(Scores[[#This Row],[LYC]],Scores[[#This Row],[MATE]])</f>
        <v>618.5</v>
      </c>
      <c r="K1981">
        <f>VLOOKUP(Scores[[#This Row],[MRUN]],Demographics[],6,FALSE)</f>
        <v>0</v>
      </c>
      <c r="L1981">
        <f>VLOOKUP(Scores[[#This Row],[MRUN]],Demographics[], 7,FALSE)</f>
        <v>5</v>
      </c>
      <c r="M1981">
        <f>VLOOKUP(Scores[[#This Row],[MRUN]],Demographics[], 5, FALSE)</f>
        <v>1</v>
      </c>
    </row>
    <row r="1982" spans="1:13" hidden="1" x14ac:dyDescent="0.2">
      <c r="A1982" s="1">
        <v>4224558</v>
      </c>
      <c r="B1982">
        <v>2</v>
      </c>
      <c r="C1982">
        <v>2</v>
      </c>
      <c r="D1982">
        <v>437</v>
      </c>
      <c r="E1982">
        <v>438</v>
      </c>
      <c r="F1982">
        <v>413</v>
      </c>
      <c r="G1982">
        <v>428</v>
      </c>
      <c r="H1982">
        <v>0</v>
      </c>
      <c r="I1982">
        <f>VLOOKUP(Scores[[#This Row],[MRUN]],Demographics[],3,FALSE)</f>
        <v>3</v>
      </c>
      <c r="J1982">
        <f>AVERAGE(Scores[[#This Row],[LYC]],Scores[[#This Row],[MATE]])</f>
        <v>425.5</v>
      </c>
      <c r="K1982">
        <f>VLOOKUP(Scores[[#This Row],[MRUN]],Demographics[],6,FALSE)</f>
        <v>10</v>
      </c>
      <c r="L1982">
        <f>VLOOKUP(Scores[[#This Row],[MRUN]],Demographics[], 7,FALSE)</f>
        <v>5</v>
      </c>
      <c r="M1982">
        <f>VLOOKUP(Scores[[#This Row],[MRUN]],Demographics[], 5, FALSE)</f>
        <v>1</v>
      </c>
    </row>
    <row r="1983" spans="1:13" hidden="1" x14ac:dyDescent="0.2">
      <c r="A1983" s="1">
        <v>13060675</v>
      </c>
      <c r="B1983">
        <v>1</v>
      </c>
      <c r="C1983">
        <v>2</v>
      </c>
      <c r="D1983">
        <v>641</v>
      </c>
      <c r="E1983">
        <v>464</v>
      </c>
      <c r="F1983">
        <v>463</v>
      </c>
      <c r="G1983">
        <v>501</v>
      </c>
      <c r="H1983">
        <v>0</v>
      </c>
      <c r="I1983">
        <f>VLOOKUP(Scores[[#This Row],[MRUN]],Demographics[],3,FALSE)</f>
        <v>5</v>
      </c>
      <c r="J1983">
        <f>AVERAGE(Scores[[#This Row],[LYC]],Scores[[#This Row],[MATE]])</f>
        <v>463.5</v>
      </c>
      <c r="K1983">
        <f>VLOOKUP(Scores[[#This Row],[MRUN]],Demographics[],6,FALSE)</f>
        <v>0</v>
      </c>
      <c r="L1983">
        <f>VLOOKUP(Scores[[#This Row],[MRUN]],Demographics[], 7,FALSE)</f>
        <v>2</v>
      </c>
      <c r="M1983">
        <f>VLOOKUP(Scores[[#This Row],[MRUN]],Demographics[], 5, FALSE)</f>
        <v>1</v>
      </c>
    </row>
    <row r="1984" spans="1:13" hidden="1" x14ac:dyDescent="0.2">
      <c r="A1984" s="1">
        <v>926732</v>
      </c>
      <c r="B1984">
        <v>2</v>
      </c>
      <c r="C1984">
        <v>2</v>
      </c>
      <c r="D1984">
        <v>538</v>
      </c>
      <c r="E1984">
        <v>505</v>
      </c>
      <c r="F1984">
        <v>531</v>
      </c>
      <c r="G1984">
        <v>527</v>
      </c>
      <c r="H1984">
        <v>0</v>
      </c>
      <c r="I1984">
        <f>VLOOKUP(Scores[[#This Row],[MRUN]],Demographics[],3,FALSE)</f>
        <v>5</v>
      </c>
      <c r="J1984">
        <f>AVERAGE(Scores[[#This Row],[LYC]],Scores[[#This Row],[MATE]])</f>
        <v>518</v>
      </c>
      <c r="K1984">
        <f>VLOOKUP(Scores[[#This Row],[MRUN]],Demographics[],6,FALSE)</f>
        <v>2</v>
      </c>
      <c r="L1984">
        <f>VLOOKUP(Scores[[#This Row],[MRUN]],Demographics[], 7,FALSE)</f>
        <v>2</v>
      </c>
      <c r="M1984">
        <f>VLOOKUP(Scores[[#This Row],[MRUN]],Demographics[], 5, FALSE)</f>
        <v>1</v>
      </c>
    </row>
    <row r="1985" spans="1:13" hidden="1" x14ac:dyDescent="0.2">
      <c r="A1985" s="1">
        <v>21808340</v>
      </c>
      <c r="B1985">
        <v>2</v>
      </c>
      <c r="C1985">
        <v>2</v>
      </c>
      <c r="D1985">
        <v>458</v>
      </c>
      <c r="E1985">
        <v>541</v>
      </c>
      <c r="F1985">
        <v>480</v>
      </c>
      <c r="G1985">
        <v>527</v>
      </c>
      <c r="H1985">
        <v>0</v>
      </c>
      <c r="I1985">
        <f>VLOOKUP(Scores[[#This Row],[MRUN]],Demographics[],3,FALSE)</f>
        <v>3</v>
      </c>
      <c r="J1985">
        <f>AVERAGE(Scores[[#This Row],[LYC]],Scores[[#This Row],[MATE]])</f>
        <v>510.5</v>
      </c>
      <c r="K1985">
        <f>VLOOKUP(Scores[[#This Row],[MRUN]],Demographics[],6,FALSE)</f>
        <v>5</v>
      </c>
      <c r="L1985">
        <f>VLOOKUP(Scores[[#This Row],[MRUN]],Demographics[], 7,FALSE)</f>
        <v>2</v>
      </c>
      <c r="M1985">
        <f>VLOOKUP(Scores[[#This Row],[MRUN]],Demographics[], 5, FALSE)</f>
        <v>1</v>
      </c>
    </row>
    <row r="1986" spans="1:13" hidden="1" x14ac:dyDescent="0.2">
      <c r="A1986" s="1">
        <v>15487436</v>
      </c>
      <c r="B1986">
        <v>2</v>
      </c>
      <c r="C1986">
        <v>2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f>VLOOKUP(Scores[[#This Row],[MRUN]],Demographics[],3,FALSE)</f>
        <v>5</v>
      </c>
      <c r="J1986">
        <f>AVERAGE(Scores[[#This Row],[LYC]],Scores[[#This Row],[MATE]])</f>
        <v>0</v>
      </c>
      <c r="K1986">
        <f>VLOOKUP(Scores[[#This Row],[MRUN]],Demographics[],6,FALSE)</f>
        <v>4</v>
      </c>
      <c r="L1986">
        <f>VLOOKUP(Scores[[#This Row],[MRUN]],Demographics[], 7,FALSE)</f>
        <v>2</v>
      </c>
      <c r="M1986">
        <f>VLOOKUP(Scores[[#This Row],[MRUN]],Demographics[], 5, FALSE)</f>
        <v>1</v>
      </c>
    </row>
    <row r="1987" spans="1:13" hidden="1" x14ac:dyDescent="0.2">
      <c r="A1987" s="1">
        <v>6671585</v>
      </c>
      <c r="B1987">
        <v>2</v>
      </c>
      <c r="C1987">
        <v>2</v>
      </c>
      <c r="D1987">
        <v>641</v>
      </c>
      <c r="E1987">
        <v>510</v>
      </c>
      <c r="F1987">
        <v>517</v>
      </c>
      <c r="G1987">
        <v>0</v>
      </c>
      <c r="H1987">
        <v>539</v>
      </c>
      <c r="I1987">
        <f>VLOOKUP(Scores[[#This Row],[MRUN]],Demographics[],3,FALSE)</f>
        <v>5</v>
      </c>
      <c r="J1987">
        <f>AVERAGE(Scores[[#This Row],[LYC]],Scores[[#This Row],[MATE]])</f>
        <v>513.5</v>
      </c>
      <c r="K1987">
        <f>VLOOKUP(Scores[[#This Row],[MRUN]],Demographics[],6,FALSE)</f>
        <v>3</v>
      </c>
      <c r="L1987">
        <f>VLOOKUP(Scores[[#This Row],[MRUN]],Demographics[], 7,FALSE)</f>
        <v>3</v>
      </c>
      <c r="M1987">
        <f>VLOOKUP(Scores[[#This Row],[MRUN]],Demographics[], 5, FALSE)</f>
        <v>2</v>
      </c>
    </row>
    <row r="1988" spans="1:13" hidden="1" x14ac:dyDescent="0.2">
      <c r="A1988" s="1">
        <v>24035262</v>
      </c>
      <c r="B1988">
        <v>1</v>
      </c>
      <c r="C1988">
        <v>2</v>
      </c>
      <c r="D1988">
        <v>458</v>
      </c>
      <c r="E1988">
        <v>333</v>
      </c>
      <c r="F1988">
        <v>494</v>
      </c>
      <c r="G1988">
        <v>0</v>
      </c>
      <c r="H1988">
        <v>344</v>
      </c>
      <c r="I1988">
        <f>VLOOKUP(Scores[[#This Row],[MRUN]],Demographics[],3,FALSE)</f>
        <v>7</v>
      </c>
      <c r="J1988">
        <f>AVERAGE(Scores[[#This Row],[LYC]],Scores[[#This Row],[MATE]])</f>
        <v>413.5</v>
      </c>
      <c r="K1988">
        <f>VLOOKUP(Scores[[#This Row],[MRUN]],Demographics[],6,FALSE)</f>
        <v>7</v>
      </c>
      <c r="L1988">
        <f>VLOOKUP(Scores[[#This Row],[MRUN]],Demographics[], 7,FALSE)</f>
        <v>5</v>
      </c>
      <c r="M1988">
        <f>VLOOKUP(Scores[[#This Row],[MRUN]],Demographics[], 5, FALSE)</f>
        <v>1</v>
      </c>
    </row>
    <row r="1989" spans="1:13" hidden="1" x14ac:dyDescent="0.2">
      <c r="A1989" s="1">
        <v>24259361</v>
      </c>
      <c r="B1989">
        <v>1</v>
      </c>
      <c r="C1989">
        <v>3</v>
      </c>
      <c r="D1989">
        <v>599</v>
      </c>
      <c r="E1989">
        <v>648</v>
      </c>
      <c r="F1989">
        <v>705</v>
      </c>
      <c r="G1989">
        <v>0</v>
      </c>
      <c r="H1989">
        <v>620</v>
      </c>
      <c r="I1989">
        <f>VLOOKUP(Scores[[#This Row],[MRUN]],Demographics[],3,FALSE)</f>
        <v>3</v>
      </c>
      <c r="J1989">
        <f>AVERAGE(Scores[[#This Row],[LYC]],Scores[[#This Row],[MATE]])</f>
        <v>676.5</v>
      </c>
      <c r="K1989">
        <f>VLOOKUP(Scores[[#This Row],[MRUN]],Demographics[],6,FALSE)</f>
        <v>5</v>
      </c>
      <c r="L1989">
        <f>VLOOKUP(Scores[[#This Row],[MRUN]],Demographics[], 7,FALSE)</f>
        <v>9</v>
      </c>
      <c r="M1989">
        <f>VLOOKUP(Scores[[#This Row],[MRUN]],Demographics[], 5, FALSE)</f>
        <v>2</v>
      </c>
    </row>
    <row r="1990" spans="1:13" hidden="1" x14ac:dyDescent="0.2">
      <c r="A1990" s="1">
        <v>24113870</v>
      </c>
      <c r="B1990">
        <v>2</v>
      </c>
      <c r="C1990">
        <v>2</v>
      </c>
      <c r="D1990">
        <v>499</v>
      </c>
      <c r="E1990">
        <v>488</v>
      </c>
      <c r="F1990">
        <v>376</v>
      </c>
      <c r="G1990">
        <v>521</v>
      </c>
      <c r="H1990">
        <v>0</v>
      </c>
      <c r="I1990">
        <f>VLOOKUP(Scores[[#This Row],[MRUN]],Demographics[],3,FALSE)</f>
        <v>4</v>
      </c>
      <c r="J1990">
        <f>AVERAGE(Scores[[#This Row],[LYC]],Scores[[#This Row],[MATE]])</f>
        <v>432</v>
      </c>
      <c r="K1990">
        <f>VLOOKUP(Scores[[#This Row],[MRUN]],Demographics[],6,FALSE)</f>
        <v>8</v>
      </c>
      <c r="L1990">
        <f>VLOOKUP(Scores[[#This Row],[MRUN]],Demographics[], 7,FALSE)</f>
        <v>3</v>
      </c>
      <c r="M1990">
        <f>VLOOKUP(Scores[[#This Row],[MRUN]],Demographics[], 5, FALSE)</f>
        <v>1</v>
      </c>
    </row>
    <row r="1991" spans="1:13" hidden="1" x14ac:dyDescent="0.2">
      <c r="A1991" s="1">
        <v>614724</v>
      </c>
      <c r="B1991">
        <v>1</v>
      </c>
      <c r="C1991">
        <v>2</v>
      </c>
      <c r="D1991">
        <v>417</v>
      </c>
      <c r="E1991">
        <v>476</v>
      </c>
      <c r="F1991">
        <v>517</v>
      </c>
      <c r="G1991">
        <v>516</v>
      </c>
      <c r="H1991">
        <v>0</v>
      </c>
      <c r="I1991">
        <f>VLOOKUP(Scores[[#This Row],[MRUN]],Demographics[],3,FALSE)</f>
        <v>3</v>
      </c>
      <c r="J1991">
        <f>AVERAGE(Scores[[#This Row],[LYC]],Scores[[#This Row],[MATE]])</f>
        <v>496.5</v>
      </c>
      <c r="K1991">
        <f>VLOOKUP(Scores[[#This Row],[MRUN]],Demographics[],6,FALSE)</f>
        <v>9</v>
      </c>
      <c r="L1991">
        <f>VLOOKUP(Scores[[#This Row],[MRUN]],Demographics[], 7,FALSE)</f>
        <v>2</v>
      </c>
      <c r="M1991">
        <f>VLOOKUP(Scores[[#This Row],[MRUN]],Demographics[], 5, FALSE)</f>
        <v>1</v>
      </c>
    </row>
    <row r="1992" spans="1:13" hidden="1" x14ac:dyDescent="0.2">
      <c r="A1992" s="1">
        <v>17069281</v>
      </c>
      <c r="B1992">
        <v>2</v>
      </c>
      <c r="C1992">
        <v>2</v>
      </c>
      <c r="D1992">
        <v>538</v>
      </c>
      <c r="E1992">
        <v>581</v>
      </c>
      <c r="F1992">
        <v>552</v>
      </c>
      <c r="G1992">
        <v>414</v>
      </c>
      <c r="H1992">
        <v>0</v>
      </c>
      <c r="I1992">
        <f>VLOOKUP(Scores[[#This Row],[MRUN]],Demographics[],3,FALSE)</f>
        <v>5</v>
      </c>
      <c r="J1992">
        <f>AVERAGE(Scores[[#This Row],[LYC]],Scores[[#This Row],[MATE]])</f>
        <v>566.5</v>
      </c>
      <c r="K1992">
        <f>VLOOKUP(Scores[[#This Row],[MRUN]],Demographics[],6,FALSE)</f>
        <v>9</v>
      </c>
      <c r="L1992">
        <f>VLOOKUP(Scores[[#This Row],[MRUN]],Demographics[], 7,FALSE)</f>
        <v>9</v>
      </c>
      <c r="M1992">
        <f>VLOOKUP(Scores[[#This Row],[MRUN]],Demographics[], 5, FALSE)</f>
        <v>3</v>
      </c>
    </row>
    <row r="1993" spans="1:13" hidden="1" x14ac:dyDescent="0.2">
      <c r="A1993" s="1">
        <v>14399422</v>
      </c>
      <c r="B1993">
        <v>1</v>
      </c>
      <c r="C1993">
        <v>2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f>VLOOKUP(Scores[[#This Row],[MRUN]],Demographics[],3,FALSE)</f>
        <v>4</v>
      </c>
      <c r="J1993">
        <f>AVERAGE(Scores[[#This Row],[LYC]],Scores[[#This Row],[MATE]])</f>
        <v>0</v>
      </c>
      <c r="K1993">
        <f>VLOOKUP(Scores[[#This Row],[MRUN]],Demographics[],6,FALSE)</f>
        <v>3</v>
      </c>
      <c r="L1993">
        <f>VLOOKUP(Scores[[#This Row],[MRUN]],Demographics[], 7,FALSE)</f>
        <v>3</v>
      </c>
      <c r="M1993">
        <f>VLOOKUP(Scores[[#This Row],[MRUN]],Demographics[], 5, FALSE)</f>
        <v>1</v>
      </c>
    </row>
    <row r="1994" spans="1:13" hidden="1" x14ac:dyDescent="0.2">
      <c r="A1994" s="1">
        <v>23681188</v>
      </c>
      <c r="B1994">
        <v>1</v>
      </c>
      <c r="C1994">
        <v>2</v>
      </c>
      <c r="D1994">
        <v>0</v>
      </c>
      <c r="E1994">
        <v>476</v>
      </c>
      <c r="F1994">
        <v>472</v>
      </c>
      <c r="G1994">
        <v>0</v>
      </c>
      <c r="H1994">
        <v>468</v>
      </c>
      <c r="I1994">
        <f>VLOOKUP(Scores[[#This Row],[MRUN]],Demographics[],3,FALSE)</f>
        <v>9</v>
      </c>
      <c r="J1994">
        <f>AVERAGE(Scores[[#This Row],[LYC]],Scores[[#This Row],[MATE]])</f>
        <v>474</v>
      </c>
      <c r="K1994">
        <f>VLOOKUP(Scores[[#This Row],[MRUN]],Demographics[],6,FALSE)</f>
        <v>3</v>
      </c>
      <c r="L1994">
        <f>VLOOKUP(Scores[[#This Row],[MRUN]],Demographics[], 7,FALSE)</f>
        <v>2</v>
      </c>
      <c r="M1994">
        <f>VLOOKUP(Scores[[#This Row],[MRUN]],Demographics[], 5, FALSE)</f>
        <v>1</v>
      </c>
    </row>
    <row r="1995" spans="1:13" hidden="1" x14ac:dyDescent="0.2">
      <c r="A1995" s="1">
        <v>1351714</v>
      </c>
      <c r="B1995">
        <v>1</v>
      </c>
      <c r="C1995">
        <v>2</v>
      </c>
      <c r="D1995">
        <v>599</v>
      </c>
      <c r="E1995">
        <v>488</v>
      </c>
      <c r="F1995">
        <v>557</v>
      </c>
      <c r="G1995">
        <v>527</v>
      </c>
      <c r="H1995">
        <v>326</v>
      </c>
      <c r="I1995">
        <f>VLOOKUP(Scores[[#This Row],[MRUN]],Demographics[],3,FALSE)</f>
        <v>2</v>
      </c>
      <c r="J1995">
        <f>AVERAGE(Scores[[#This Row],[LYC]],Scores[[#This Row],[MATE]])</f>
        <v>522.5</v>
      </c>
      <c r="K1995">
        <f>VLOOKUP(Scores[[#This Row],[MRUN]],Demographics[],6,FALSE)</f>
        <v>0</v>
      </c>
      <c r="L1995">
        <f>VLOOKUP(Scores[[#This Row],[MRUN]],Demographics[], 7,FALSE)</f>
        <v>5</v>
      </c>
      <c r="M1995">
        <f>VLOOKUP(Scores[[#This Row],[MRUN]],Demographics[], 5, FALSE)</f>
        <v>1</v>
      </c>
    </row>
    <row r="1996" spans="1:13" hidden="1" x14ac:dyDescent="0.2">
      <c r="A1996" s="1">
        <v>10474593</v>
      </c>
      <c r="B1996">
        <v>2</v>
      </c>
      <c r="C1996">
        <v>2</v>
      </c>
      <c r="D1996">
        <v>641</v>
      </c>
      <c r="E1996">
        <v>541</v>
      </c>
      <c r="F1996">
        <v>600</v>
      </c>
      <c r="G1996">
        <v>572</v>
      </c>
      <c r="H1996">
        <v>0</v>
      </c>
      <c r="I1996">
        <f>VLOOKUP(Scores[[#This Row],[MRUN]],Demographics[],3,FALSE)</f>
        <v>3</v>
      </c>
      <c r="J1996">
        <f>AVERAGE(Scores[[#This Row],[LYC]],Scores[[#This Row],[MATE]])</f>
        <v>570.5</v>
      </c>
      <c r="K1996">
        <f>VLOOKUP(Scores[[#This Row],[MRUN]],Demographics[],6,FALSE)</f>
        <v>4</v>
      </c>
      <c r="L1996">
        <f>VLOOKUP(Scores[[#This Row],[MRUN]],Demographics[], 7,FALSE)</f>
        <v>5</v>
      </c>
      <c r="M1996">
        <f>VLOOKUP(Scores[[#This Row],[MRUN]],Demographics[], 5, FALSE)</f>
        <v>1</v>
      </c>
    </row>
    <row r="1997" spans="1:13" hidden="1" x14ac:dyDescent="0.2">
      <c r="A1997" s="1">
        <v>906004</v>
      </c>
      <c r="B1997">
        <v>2</v>
      </c>
      <c r="C1997">
        <v>4</v>
      </c>
      <c r="D1997">
        <v>393</v>
      </c>
      <c r="E1997">
        <v>476</v>
      </c>
      <c r="F1997">
        <v>487</v>
      </c>
      <c r="G1997">
        <v>406</v>
      </c>
      <c r="H1997">
        <v>491</v>
      </c>
      <c r="I1997">
        <f>VLOOKUP(Scores[[#This Row],[MRUN]],Demographics[],3,FALSE)</f>
        <v>3</v>
      </c>
      <c r="J1997">
        <f>AVERAGE(Scores[[#This Row],[LYC]],Scores[[#This Row],[MATE]])</f>
        <v>481.5</v>
      </c>
      <c r="K1997">
        <f>VLOOKUP(Scores[[#This Row],[MRUN]],Demographics[],6,FALSE)</f>
        <v>9</v>
      </c>
      <c r="L1997">
        <f>VLOOKUP(Scores[[#This Row],[MRUN]],Demographics[], 7,FALSE)</f>
        <v>5</v>
      </c>
      <c r="M1997">
        <f>VLOOKUP(Scores[[#This Row],[MRUN]],Demographics[], 5, FALSE)</f>
        <v>3</v>
      </c>
    </row>
    <row r="1998" spans="1:13" hidden="1" x14ac:dyDescent="0.2">
      <c r="A1998" s="1">
        <v>11385790</v>
      </c>
      <c r="B1998">
        <v>1</v>
      </c>
      <c r="C1998">
        <v>2</v>
      </c>
      <c r="D1998">
        <v>620</v>
      </c>
      <c r="E1998">
        <v>547</v>
      </c>
      <c r="F1998">
        <v>568</v>
      </c>
      <c r="G1998">
        <v>0</v>
      </c>
      <c r="H1998">
        <v>534</v>
      </c>
      <c r="I1998">
        <f>VLOOKUP(Scores[[#This Row],[MRUN]],Demographics[],3,FALSE)</f>
        <v>6</v>
      </c>
      <c r="J1998">
        <f>AVERAGE(Scores[[#This Row],[LYC]],Scores[[#This Row],[MATE]])</f>
        <v>557.5</v>
      </c>
      <c r="K1998">
        <f>VLOOKUP(Scores[[#This Row],[MRUN]],Demographics[],6,FALSE)</f>
        <v>4</v>
      </c>
      <c r="L1998">
        <f>VLOOKUP(Scores[[#This Row],[MRUN]],Demographics[], 7,FALSE)</f>
        <v>3</v>
      </c>
      <c r="M1998">
        <f>VLOOKUP(Scores[[#This Row],[MRUN]],Demographics[], 5, FALSE)</f>
        <v>1</v>
      </c>
    </row>
    <row r="1999" spans="1:13" hidden="1" x14ac:dyDescent="0.2">
      <c r="A1999" s="1">
        <v>17174440</v>
      </c>
      <c r="B1999">
        <v>2</v>
      </c>
      <c r="C1999">
        <v>3</v>
      </c>
      <c r="D1999">
        <v>601</v>
      </c>
      <c r="E1999">
        <v>0</v>
      </c>
      <c r="F1999">
        <v>0</v>
      </c>
      <c r="G1999">
        <v>0</v>
      </c>
      <c r="H1999">
        <v>0</v>
      </c>
      <c r="I1999">
        <f>VLOOKUP(Scores[[#This Row],[MRUN]],Demographics[],3,FALSE)</f>
        <v>6</v>
      </c>
      <c r="J1999">
        <f>AVERAGE(Scores[[#This Row],[LYC]],Scores[[#This Row],[MATE]])</f>
        <v>0</v>
      </c>
      <c r="K1999">
        <f>VLOOKUP(Scores[[#This Row],[MRUN]],Demographics[],6,FALSE)</f>
        <v>0</v>
      </c>
      <c r="L1999">
        <f>VLOOKUP(Scores[[#This Row],[MRUN]],Demographics[], 7,FALSE)</f>
        <v>0</v>
      </c>
      <c r="M1999">
        <f>VLOOKUP(Scores[[#This Row],[MRUN]],Demographics[], 5, FALSE)</f>
        <v>1</v>
      </c>
    </row>
    <row r="2000" spans="1:13" hidden="1" x14ac:dyDescent="0.2">
      <c r="A2000" s="1">
        <v>7561160</v>
      </c>
      <c r="B2000">
        <v>2</v>
      </c>
      <c r="C2000">
        <v>2</v>
      </c>
      <c r="D2000">
        <v>417</v>
      </c>
      <c r="E2000">
        <v>483</v>
      </c>
      <c r="F2000">
        <v>452</v>
      </c>
      <c r="G2000">
        <v>0</v>
      </c>
      <c r="H2000">
        <v>428</v>
      </c>
      <c r="I2000">
        <f>VLOOKUP(Scores[[#This Row],[MRUN]],Demographics[],3,FALSE)</f>
        <v>5</v>
      </c>
      <c r="J2000">
        <f>AVERAGE(Scores[[#This Row],[LYC]],Scores[[#This Row],[MATE]])</f>
        <v>467.5</v>
      </c>
      <c r="K2000">
        <f>VLOOKUP(Scores[[#This Row],[MRUN]],Demographics[],6,FALSE)</f>
        <v>2</v>
      </c>
      <c r="L2000">
        <f>VLOOKUP(Scores[[#This Row],[MRUN]],Demographics[], 7,FALSE)</f>
        <v>6</v>
      </c>
      <c r="M2000">
        <f>VLOOKUP(Scores[[#This Row],[MRUN]],Demographics[], 5, FALSE)</f>
        <v>1</v>
      </c>
    </row>
    <row r="2001" spans="1:13" hidden="1" x14ac:dyDescent="0.2">
      <c r="A2001" s="1">
        <v>10692785</v>
      </c>
      <c r="B2001">
        <v>1</v>
      </c>
      <c r="C2001">
        <v>4</v>
      </c>
      <c r="D2001">
        <v>702</v>
      </c>
      <c r="E2001">
        <v>648</v>
      </c>
      <c r="F2001">
        <v>699</v>
      </c>
      <c r="G2001">
        <v>0</v>
      </c>
      <c r="H2001">
        <v>677</v>
      </c>
      <c r="I2001">
        <f>VLOOKUP(Scores[[#This Row],[MRUN]],Demographics[],3,FALSE)</f>
        <v>4</v>
      </c>
      <c r="J2001">
        <f>AVERAGE(Scores[[#This Row],[LYC]],Scores[[#This Row],[MATE]])</f>
        <v>673.5</v>
      </c>
      <c r="K2001">
        <f>VLOOKUP(Scores[[#This Row],[MRUN]],Demographics[],6,FALSE)</f>
        <v>3</v>
      </c>
      <c r="L2001">
        <f>VLOOKUP(Scores[[#This Row],[MRUN]],Demographics[], 7,FALSE)</f>
        <v>9</v>
      </c>
      <c r="M2001">
        <f>VLOOKUP(Scores[[#This Row],[MRUN]],Demographics[], 5, FALSE)</f>
        <v>2</v>
      </c>
    </row>
    <row r="2002" spans="1:13" hidden="1" x14ac:dyDescent="0.2">
      <c r="A2002" s="1">
        <v>24476470</v>
      </c>
      <c r="B2002">
        <v>2</v>
      </c>
      <c r="C2002">
        <v>4</v>
      </c>
      <c r="D2002">
        <v>538</v>
      </c>
      <c r="E2002">
        <v>516</v>
      </c>
      <c r="F2002">
        <v>582</v>
      </c>
      <c r="G2002">
        <v>597</v>
      </c>
      <c r="H2002">
        <v>0</v>
      </c>
      <c r="I2002">
        <f>VLOOKUP(Scores[[#This Row],[MRUN]],Demographics[],3,FALSE)</f>
        <v>4</v>
      </c>
      <c r="J2002">
        <f>AVERAGE(Scores[[#This Row],[LYC]],Scores[[#This Row],[MATE]])</f>
        <v>549</v>
      </c>
      <c r="K2002">
        <f>VLOOKUP(Scores[[#This Row],[MRUN]],Demographics[],6,FALSE)</f>
        <v>3</v>
      </c>
      <c r="L2002">
        <f>VLOOKUP(Scores[[#This Row],[MRUN]],Demographics[], 7,FALSE)</f>
        <v>9</v>
      </c>
      <c r="M2002">
        <f>VLOOKUP(Scores[[#This Row],[MRUN]],Demographics[], 5, FALSE)</f>
        <v>2</v>
      </c>
    </row>
    <row r="2003" spans="1:13" hidden="1" x14ac:dyDescent="0.2">
      <c r="A2003" s="1">
        <v>24577945</v>
      </c>
      <c r="B2003">
        <v>2</v>
      </c>
      <c r="C2003">
        <v>3</v>
      </c>
      <c r="D2003">
        <v>601</v>
      </c>
      <c r="E2003">
        <v>451</v>
      </c>
      <c r="F2003">
        <v>395</v>
      </c>
      <c r="G2003">
        <v>461</v>
      </c>
      <c r="H2003">
        <v>0</v>
      </c>
      <c r="I2003">
        <f>VLOOKUP(Scores[[#This Row],[MRUN]],Demographics[],3,FALSE)</f>
        <v>0</v>
      </c>
      <c r="J2003">
        <f>AVERAGE(Scores[[#This Row],[LYC]],Scores[[#This Row],[MATE]])</f>
        <v>423</v>
      </c>
      <c r="K2003">
        <f>VLOOKUP(Scores[[#This Row],[MRUN]],Demographics[],6,FALSE)</f>
        <v>0</v>
      </c>
      <c r="L2003">
        <f>VLOOKUP(Scores[[#This Row],[MRUN]],Demographics[], 7,FALSE)</f>
        <v>0</v>
      </c>
      <c r="M2003">
        <f>VLOOKUP(Scores[[#This Row],[MRUN]],Demographics[], 5, FALSE)</f>
        <v>1</v>
      </c>
    </row>
    <row r="2004" spans="1:13" hidden="1" x14ac:dyDescent="0.2">
      <c r="A2004" s="1">
        <v>16914536</v>
      </c>
      <c r="B2004">
        <v>1</v>
      </c>
      <c r="C2004">
        <v>3</v>
      </c>
      <c r="D2004">
        <v>496</v>
      </c>
      <c r="E2004">
        <v>483</v>
      </c>
      <c r="F2004">
        <v>480</v>
      </c>
      <c r="G2004">
        <v>0</v>
      </c>
      <c r="H2004">
        <v>553</v>
      </c>
      <c r="I2004">
        <f>VLOOKUP(Scores[[#This Row],[MRUN]],Demographics[],3,FALSE)</f>
        <v>5</v>
      </c>
      <c r="J2004">
        <f>AVERAGE(Scores[[#This Row],[LYC]],Scores[[#This Row],[MATE]])</f>
        <v>481.5</v>
      </c>
      <c r="K2004">
        <f>VLOOKUP(Scores[[#This Row],[MRUN]],Demographics[],6,FALSE)</f>
        <v>5</v>
      </c>
      <c r="L2004">
        <f>VLOOKUP(Scores[[#This Row],[MRUN]],Demographics[], 7,FALSE)</f>
        <v>5</v>
      </c>
      <c r="M2004">
        <f>VLOOKUP(Scores[[#This Row],[MRUN]],Demographics[], 5, FALSE)</f>
        <v>1</v>
      </c>
    </row>
    <row r="2005" spans="1:13" hidden="1" x14ac:dyDescent="0.2">
      <c r="A2005" s="1">
        <v>10421249</v>
      </c>
      <c r="B2005">
        <v>2</v>
      </c>
      <c r="C2005">
        <v>2</v>
      </c>
      <c r="D2005">
        <v>499</v>
      </c>
      <c r="E2005">
        <v>0</v>
      </c>
      <c r="F2005">
        <v>0</v>
      </c>
      <c r="G2005">
        <v>0</v>
      </c>
      <c r="H2005">
        <v>0</v>
      </c>
      <c r="I2005">
        <f>VLOOKUP(Scores[[#This Row],[MRUN]],Demographics[],3,FALSE)</f>
        <v>5</v>
      </c>
      <c r="J2005">
        <f>AVERAGE(Scores[[#This Row],[LYC]],Scores[[#This Row],[MATE]])</f>
        <v>0</v>
      </c>
      <c r="K2005">
        <f>VLOOKUP(Scores[[#This Row],[MRUN]],Demographics[],6,FALSE)</f>
        <v>2</v>
      </c>
      <c r="L2005">
        <f>VLOOKUP(Scores[[#This Row],[MRUN]],Demographics[], 7,FALSE)</f>
        <v>2</v>
      </c>
      <c r="M2005">
        <f>VLOOKUP(Scores[[#This Row],[MRUN]],Demographics[], 5, FALSE)</f>
        <v>1</v>
      </c>
    </row>
    <row r="2006" spans="1:13" hidden="1" x14ac:dyDescent="0.2">
      <c r="A2006" s="1">
        <v>23010804</v>
      </c>
      <c r="B2006">
        <v>1</v>
      </c>
      <c r="C2006">
        <v>3</v>
      </c>
      <c r="D2006">
        <v>414</v>
      </c>
      <c r="E2006">
        <v>557</v>
      </c>
      <c r="F2006">
        <v>620</v>
      </c>
      <c r="G2006">
        <v>0</v>
      </c>
      <c r="H2006">
        <v>594</v>
      </c>
      <c r="I2006">
        <f>VLOOKUP(Scores[[#This Row],[MRUN]],Demographics[],3,FALSE)</f>
        <v>4</v>
      </c>
      <c r="J2006">
        <f>AVERAGE(Scores[[#This Row],[LYC]],Scores[[#This Row],[MATE]])</f>
        <v>588.5</v>
      </c>
      <c r="K2006">
        <f>VLOOKUP(Scores[[#This Row],[MRUN]],Demographics[],6,FALSE)</f>
        <v>9</v>
      </c>
      <c r="L2006">
        <f>VLOOKUP(Scores[[#This Row],[MRUN]],Demographics[], 7,FALSE)</f>
        <v>9</v>
      </c>
      <c r="M2006">
        <f>VLOOKUP(Scores[[#This Row],[MRUN]],Demographics[], 5, FALSE)</f>
        <v>4</v>
      </c>
    </row>
    <row r="2007" spans="1:13" hidden="1" x14ac:dyDescent="0.2">
      <c r="A2007" s="1">
        <v>11467916</v>
      </c>
      <c r="B2007">
        <v>1</v>
      </c>
      <c r="C2007">
        <v>2</v>
      </c>
      <c r="D2007">
        <v>599</v>
      </c>
      <c r="E2007">
        <v>406</v>
      </c>
      <c r="F2007">
        <v>395</v>
      </c>
      <c r="G2007">
        <v>406</v>
      </c>
      <c r="H2007">
        <v>0</v>
      </c>
      <c r="I2007">
        <f>VLOOKUP(Scores[[#This Row],[MRUN]],Demographics[],3,FALSE)</f>
        <v>7</v>
      </c>
      <c r="J2007">
        <f>AVERAGE(Scores[[#This Row],[LYC]],Scores[[#This Row],[MATE]])</f>
        <v>400.5</v>
      </c>
      <c r="K2007">
        <f>VLOOKUP(Scores[[#This Row],[MRUN]],Demographics[],6,FALSE)</f>
        <v>0</v>
      </c>
      <c r="L2007">
        <f>VLOOKUP(Scores[[#This Row],[MRUN]],Demographics[], 7,FALSE)</f>
        <v>7</v>
      </c>
      <c r="M2007">
        <f>VLOOKUP(Scores[[#This Row],[MRUN]],Demographics[], 5, FALSE)</f>
        <v>2</v>
      </c>
    </row>
    <row r="2008" spans="1:13" hidden="1" x14ac:dyDescent="0.2">
      <c r="A2008" s="1">
        <v>689774</v>
      </c>
      <c r="B2008">
        <v>2</v>
      </c>
      <c r="C2008">
        <v>2</v>
      </c>
      <c r="D2008">
        <v>417</v>
      </c>
      <c r="E2008">
        <v>306</v>
      </c>
      <c r="F2008">
        <v>441</v>
      </c>
      <c r="G2008">
        <v>0</v>
      </c>
      <c r="H2008">
        <v>497</v>
      </c>
      <c r="I2008">
        <f>VLOOKUP(Scores[[#This Row],[MRUN]],Demographics[],3,FALSE)</f>
        <v>4</v>
      </c>
      <c r="J2008">
        <f>AVERAGE(Scores[[#This Row],[LYC]],Scores[[#This Row],[MATE]])</f>
        <v>373.5</v>
      </c>
      <c r="K2008">
        <f>VLOOKUP(Scores[[#This Row],[MRUN]],Demographics[],6,FALSE)</f>
        <v>3</v>
      </c>
      <c r="L2008">
        <f>VLOOKUP(Scores[[#This Row],[MRUN]],Demographics[], 7,FALSE)</f>
        <v>5</v>
      </c>
      <c r="M2008">
        <f>VLOOKUP(Scores[[#This Row],[MRUN]],Demographics[], 5, FALSE)</f>
        <v>1</v>
      </c>
    </row>
    <row r="2009" spans="1:13" hidden="1" x14ac:dyDescent="0.2">
      <c r="A2009" s="1">
        <v>19941390</v>
      </c>
      <c r="B2009">
        <v>1</v>
      </c>
      <c r="C2009">
        <v>2</v>
      </c>
      <c r="D2009">
        <v>414</v>
      </c>
      <c r="E2009">
        <v>415</v>
      </c>
      <c r="F2009">
        <v>274</v>
      </c>
      <c r="G2009">
        <v>388</v>
      </c>
      <c r="H2009">
        <v>0</v>
      </c>
      <c r="I2009">
        <f>VLOOKUP(Scores[[#This Row],[MRUN]],Demographics[],3,FALSE)</f>
        <v>0</v>
      </c>
      <c r="J2009">
        <f>AVERAGE(Scores[[#This Row],[LYC]],Scores[[#This Row],[MATE]])</f>
        <v>344.5</v>
      </c>
      <c r="K2009">
        <f>VLOOKUP(Scores[[#This Row],[MRUN]],Demographics[],6,FALSE)</f>
        <v>0</v>
      </c>
      <c r="L2009">
        <f>VLOOKUP(Scores[[#This Row],[MRUN]],Demographics[], 7,FALSE)</f>
        <v>0</v>
      </c>
      <c r="M2009">
        <f>VLOOKUP(Scores[[#This Row],[MRUN]],Demographics[], 5, FALSE)</f>
        <v>1</v>
      </c>
    </row>
    <row r="2010" spans="1:13" hidden="1" x14ac:dyDescent="0.2">
      <c r="A2010" s="1">
        <v>23504764</v>
      </c>
      <c r="B2010">
        <v>1</v>
      </c>
      <c r="C2010">
        <v>2</v>
      </c>
      <c r="D2010">
        <v>702</v>
      </c>
      <c r="E2010">
        <v>648</v>
      </c>
      <c r="F2010">
        <v>657</v>
      </c>
      <c r="G2010">
        <v>0</v>
      </c>
      <c r="H2010">
        <v>692</v>
      </c>
      <c r="I2010">
        <f>VLOOKUP(Scores[[#This Row],[MRUN]],Demographics[],3,FALSE)</f>
        <v>4</v>
      </c>
      <c r="J2010">
        <f>AVERAGE(Scores[[#This Row],[LYC]],Scores[[#This Row],[MATE]])</f>
        <v>652.5</v>
      </c>
      <c r="K2010">
        <f>VLOOKUP(Scores[[#This Row],[MRUN]],Demographics[],6,FALSE)</f>
        <v>0</v>
      </c>
      <c r="L2010">
        <f>VLOOKUP(Scores[[#This Row],[MRUN]],Demographics[], 7,FALSE)</f>
        <v>4</v>
      </c>
      <c r="M2010">
        <f>VLOOKUP(Scores[[#This Row],[MRUN]],Demographics[], 5, FALSE)</f>
        <v>1</v>
      </c>
    </row>
    <row r="2011" spans="1:13" hidden="1" x14ac:dyDescent="0.2">
      <c r="A2011" s="1">
        <v>3414120</v>
      </c>
      <c r="B2011">
        <v>2</v>
      </c>
      <c r="C2011">
        <v>2</v>
      </c>
      <c r="D2011">
        <v>414</v>
      </c>
      <c r="E2011">
        <v>422</v>
      </c>
      <c r="F2011">
        <v>428</v>
      </c>
      <c r="G2011">
        <v>506</v>
      </c>
      <c r="H2011">
        <v>0</v>
      </c>
      <c r="I2011">
        <f>VLOOKUP(Scores[[#This Row],[MRUN]],Demographics[],3,FALSE)</f>
        <v>9</v>
      </c>
      <c r="J2011">
        <f>AVERAGE(Scores[[#This Row],[LYC]],Scores[[#This Row],[MATE]])</f>
        <v>425</v>
      </c>
      <c r="K2011">
        <f>VLOOKUP(Scores[[#This Row],[MRUN]],Demographics[],6,FALSE)</f>
        <v>3</v>
      </c>
      <c r="L2011">
        <f>VLOOKUP(Scores[[#This Row],[MRUN]],Demographics[], 7,FALSE)</f>
        <v>4</v>
      </c>
      <c r="M2011">
        <f>VLOOKUP(Scores[[#This Row],[MRUN]],Demographics[], 5, FALSE)</f>
        <v>1</v>
      </c>
    </row>
    <row r="2012" spans="1:13" hidden="1" x14ac:dyDescent="0.2">
      <c r="A2012" s="1">
        <v>15407917</v>
      </c>
      <c r="B2012">
        <v>2</v>
      </c>
      <c r="C2012">
        <v>2</v>
      </c>
      <c r="D2012">
        <v>723</v>
      </c>
      <c r="E2012">
        <v>641</v>
      </c>
      <c r="F2012">
        <v>571</v>
      </c>
      <c r="G2012">
        <v>602</v>
      </c>
      <c r="H2012">
        <v>0</v>
      </c>
      <c r="I2012">
        <f>VLOOKUP(Scores[[#This Row],[MRUN]],Demographics[],3,FALSE)</f>
        <v>2</v>
      </c>
      <c r="J2012">
        <f>AVERAGE(Scores[[#This Row],[LYC]],Scores[[#This Row],[MATE]])</f>
        <v>606</v>
      </c>
      <c r="K2012">
        <f>VLOOKUP(Scores[[#This Row],[MRUN]],Demographics[],6,FALSE)</f>
        <v>0</v>
      </c>
      <c r="L2012">
        <f>VLOOKUP(Scores[[#This Row],[MRUN]],Demographics[], 7,FALSE)</f>
        <v>5</v>
      </c>
      <c r="M2012">
        <f>VLOOKUP(Scores[[#This Row],[MRUN]],Demographics[], 5, FALSE)</f>
        <v>1</v>
      </c>
    </row>
    <row r="2013" spans="1:13" hidden="1" x14ac:dyDescent="0.2">
      <c r="A2013" s="1">
        <v>17459203</v>
      </c>
      <c r="B2013">
        <v>2</v>
      </c>
      <c r="C2013">
        <v>2</v>
      </c>
      <c r="D2013">
        <v>580</v>
      </c>
      <c r="E2013">
        <v>444</v>
      </c>
      <c r="F2013">
        <v>428</v>
      </c>
      <c r="G2013">
        <v>388</v>
      </c>
      <c r="H2013">
        <v>0</v>
      </c>
      <c r="I2013">
        <f>VLOOKUP(Scores[[#This Row],[MRUN]],Demographics[],3,FALSE)</f>
        <v>0</v>
      </c>
      <c r="J2013">
        <f>AVERAGE(Scores[[#This Row],[LYC]],Scores[[#This Row],[MATE]])</f>
        <v>436</v>
      </c>
      <c r="K2013">
        <f>VLOOKUP(Scores[[#This Row],[MRUN]],Demographics[],6,FALSE)</f>
        <v>0</v>
      </c>
      <c r="L2013">
        <f>VLOOKUP(Scores[[#This Row],[MRUN]],Demographics[], 7,FALSE)</f>
        <v>0</v>
      </c>
      <c r="M2013">
        <f>VLOOKUP(Scores[[#This Row],[MRUN]],Demographics[], 5, FALSE)</f>
        <v>1</v>
      </c>
    </row>
    <row r="2014" spans="1:13" hidden="1" x14ac:dyDescent="0.2">
      <c r="A2014" s="1">
        <v>17719244</v>
      </c>
      <c r="B2014">
        <v>1</v>
      </c>
      <c r="C2014">
        <v>2</v>
      </c>
      <c r="D2014">
        <v>579</v>
      </c>
      <c r="E2014">
        <v>378</v>
      </c>
      <c r="F2014">
        <v>428</v>
      </c>
      <c r="G2014">
        <v>406</v>
      </c>
      <c r="H2014">
        <v>0</v>
      </c>
      <c r="I2014">
        <f>VLOOKUP(Scores[[#This Row],[MRUN]],Demographics[],3,FALSE)</f>
        <v>4</v>
      </c>
      <c r="J2014">
        <f>AVERAGE(Scores[[#This Row],[LYC]],Scores[[#This Row],[MATE]])</f>
        <v>403</v>
      </c>
      <c r="K2014">
        <f>VLOOKUP(Scores[[#This Row],[MRUN]],Demographics[],6,FALSE)</f>
        <v>5</v>
      </c>
      <c r="L2014">
        <f>VLOOKUP(Scores[[#This Row],[MRUN]],Demographics[], 7,FALSE)</f>
        <v>2</v>
      </c>
      <c r="M2014">
        <f>VLOOKUP(Scores[[#This Row],[MRUN]],Demographics[], 5, FALSE)</f>
        <v>1</v>
      </c>
    </row>
    <row r="2015" spans="1:13" hidden="1" x14ac:dyDescent="0.2">
      <c r="A2015" s="1">
        <v>5919195</v>
      </c>
      <c r="B2015">
        <v>1</v>
      </c>
      <c r="C2015">
        <v>2</v>
      </c>
      <c r="D2015">
        <v>641</v>
      </c>
      <c r="E2015">
        <v>516</v>
      </c>
      <c r="F2015">
        <v>501</v>
      </c>
      <c r="G2015">
        <v>0</v>
      </c>
      <c r="H2015">
        <v>459</v>
      </c>
      <c r="I2015">
        <f>VLOOKUP(Scores[[#This Row],[MRUN]],Demographics[],3,FALSE)</f>
        <v>7</v>
      </c>
      <c r="J2015">
        <f>AVERAGE(Scores[[#This Row],[LYC]],Scores[[#This Row],[MATE]])</f>
        <v>508.5</v>
      </c>
      <c r="K2015">
        <f>VLOOKUP(Scores[[#This Row],[MRUN]],Demographics[],6,FALSE)</f>
        <v>2</v>
      </c>
      <c r="L2015">
        <f>VLOOKUP(Scores[[#This Row],[MRUN]],Demographics[], 7,FALSE)</f>
        <v>5</v>
      </c>
      <c r="M2015">
        <f>VLOOKUP(Scores[[#This Row],[MRUN]],Demographics[], 5, FALSE)</f>
        <v>1</v>
      </c>
    </row>
    <row r="2016" spans="1:13" hidden="1" x14ac:dyDescent="0.2">
      <c r="A2016" s="1">
        <v>4519220</v>
      </c>
      <c r="B2016">
        <v>1</v>
      </c>
      <c r="C2016">
        <v>2</v>
      </c>
      <c r="D2016">
        <v>620</v>
      </c>
      <c r="E2016">
        <v>422</v>
      </c>
      <c r="F2016">
        <v>512</v>
      </c>
      <c r="G2016">
        <v>0</v>
      </c>
      <c r="H2016">
        <v>459</v>
      </c>
      <c r="I2016">
        <f>VLOOKUP(Scores[[#This Row],[MRUN]],Demographics[],3,FALSE)</f>
        <v>7</v>
      </c>
      <c r="J2016">
        <f>AVERAGE(Scores[[#This Row],[LYC]],Scores[[#This Row],[MATE]])</f>
        <v>467</v>
      </c>
      <c r="K2016">
        <f>VLOOKUP(Scores[[#This Row],[MRUN]],Demographics[],6,FALSE)</f>
        <v>2</v>
      </c>
      <c r="L2016">
        <f>VLOOKUP(Scores[[#This Row],[MRUN]],Demographics[], 7,FALSE)</f>
        <v>5</v>
      </c>
      <c r="M2016">
        <f>VLOOKUP(Scores[[#This Row],[MRUN]],Demographics[], 5, FALSE)</f>
        <v>1</v>
      </c>
    </row>
    <row r="2017" spans="1:13" hidden="1" x14ac:dyDescent="0.2">
      <c r="A2017" s="1">
        <v>24746756</v>
      </c>
      <c r="B2017">
        <v>2</v>
      </c>
      <c r="C2017">
        <v>2</v>
      </c>
      <c r="D2017">
        <v>517</v>
      </c>
      <c r="E2017">
        <v>378</v>
      </c>
      <c r="F2017">
        <v>413</v>
      </c>
      <c r="G2017">
        <v>421</v>
      </c>
      <c r="H2017">
        <v>0</v>
      </c>
      <c r="I2017">
        <f>VLOOKUP(Scores[[#This Row],[MRUN]],Demographics[],3,FALSE)</f>
        <v>2</v>
      </c>
      <c r="J2017">
        <f>AVERAGE(Scores[[#This Row],[LYC]],Scores[[#This Row],[MATE]])</f>
        <v>395.5</v>
      </c>
      <c r="K2017">
        <f>VLOOKUP(Scores[[#This Row],[MRUN]],Demographics[],6,FALSE)</f>
        <v>8</v>
      </c>
      <c r="L2017">
        <f>VLOOKUP(Scores[[#This Row],[MRUN]],Demographics[], 7,FALSE)</f>
        <v>5</v>
      </c>
      <c r="M2017">
        <f>VLOOKUP(Scores[[#This Row],[MRUN]],Demographics[], 5, FALSE)</f>
        <v>1</v>
      </c>
    </row>
    <row r="2018" spans="1:13" hidden="1" x14ac:dyDescent="0.2">
      <c r="A2018" s="1">
        <v>2518529</v>
      </c>
      <c r="B2018">
        <v>1</v>
      </c>
      <c r="C2018">
        <v>2</v>
      </c>
      <c r="D2018">
        <v>458</v>
      </c>
      <c r="E2018">
        <v>0</v>
      </c>
      <c r="F2018">
        <v>0</v>
      </c>
      <c r="G2018">
        <v>0</v>
      </c>
      <c r="H2018">
        <v>0</v>
      </c>
      <c r="I2018">
        <f>VLOOKUP(Scores[[#This Row],[MRUN]],Demographics[],3,FALSE)</f>
        <v>5</v>
      </c>
      <c r="J2018">
        <f>AVERAGE(Scores[[#This Row],[LYC]],Scores[[#This Row],[MATE]])</f>
        <v>0</v>
      </c>
      <c r="K2018">
        <f>VLOOKUP(Scores[[#This Row],[MRUN]],Demographics[],6,FALSE)</f>
        <v>4</v>
      </c>
      <c r="L2018">
        <f>VLOOKUP(Scores[[#This Row],[MRUN]],Demographics[], 7,FALSE)</f>
        <v>4</v>
      </c>
      <c r="M2018">
        <f>VLOOKUP(Scores[[#This Row],[MRUN]],Demographics[], 5, FALSE)</f>
        <v>1</v>
      </c>
    </row>
    <row r="2019" spans="1:13" hidden="1" x14ac:dyDescent="0.2">
      <c r="A2019" s="1">
        <v>3867763</v>
      </c>
      <c r="B2019">
        <v>1</v>
      </c>
      <c r="C2019">
        <v>2</v>
      </c>
      <c r="D2019">
        <v>560</v>
      </c>
      <c r="E2019">
        <v>541</v>
      </c>
      <c r="F2019">
        <v>545</v>
      </c>
      <c r="G2019">
        <v>592</v>
      </c>
      <c r="H2019">
        <v>0</v>
      </c>
      <c r="I2019">
        <f>VLOOKUP(Scores[[#This Row],[MRUN]],Demographics[],3,FALSE)</f>
        <v>7</v>
      </c>
      <c r="J2019">
        <f>AVERAGE(Scores[[#This Row],[LYC]],Scores[[#This Row],[MATE]])</f>
        <v>543</v>
      </c>
      <c r="K2019">
        <f>VLOOKUP(Scores[[#This Row],[MRUN]],Demographics[],6,FALSE)</f>
        <v>2</v>
      </c>
      <c r="L2019">
        <f>VLOOKUP(Scores[[#This Row],[MRUN]],Demographics[], 7,FALSE)</f>
        <v>4</v>
      </c>
      <c r="M2019">
        <f>VLOOKUP(Scores[[#This Row],[MRUN]],Demographics[], 5, FALSE)</f>
        <v>1</v>
      </c>
    </row>
    <row r="2020" spans="1:13" hidden="1" x14ac:dyDescent="0.2">
      <c r="A2020" s="1">
        <v>11667985</v>
      </c>
      <c r="B2020">
        <v>1</v>
      </c>
      <c r="C2020">
        <v>2</v>
      </c>
      <c r="D2020">
        <v>397</v>
      </c>
      <c r="E2020">
        <v>494</v>
      </c>
      <c r="F2020">
        <v>480</v>
      </c>
      <c r="G2020">
        <v>506</v>
      </c>
      <c r="H2020">
        <v>0</v>
      </c>
      <c r="I2020">
        <f>VLOOKUP(Scores[[#This Row],[MRUN]],Demographics[],3,FALSE)</f>
        <v>3</v>
      </c>
      <c r="J2020">
        <f>AVERAGE(Scores[[#This Row],[LYC]],Scores[[#This Row],[MATE]])</f>
        <v>487</v>
      </c>
      <c r="K2020">
        <f>VLOOKUP(Scores[[#This Row],[MRUN]],Demographics[],6,FALSE)</f>
        <v>8</v>
      </c>
      <c r="L2020">
        <f>VLOOKUP(Scores[[#This Row],[MRUN]],Demographics[], 7,FALSE)</f>
        <v>3</v>
      </c>
      <c r="M2020">
        <f>VLOOKUP(Scores[[#This Row],[MRUN]],Demographics[], 5, FALSE)</f>
        <v>1</v>
      </c>
    </row>
    <row r="2021" spans="1:13" hidden="1" x14ac:dyDescent="0.2">
      <c r="A2021" s="1">
        <v>7181647</v>
      </c>
      <c r="B2021">
        <v>2</v>
      </c>
      <c r="C2021">
        <v>2</v>
      </c>
      <c r="D2021">
        <v>579</v>
      </c>
      <c r="E2021">
        <v>345</v>
      </c>
      <c r="F2021">
        <v>428</v>
      </c>
      <c r="G2021">
        <v>0</v>
      </c>
      <c r="H2021">
        <v>475</v>
      </c>
      <c r="I2021">
        <f>VLOOKUP(Scores[[#This Row],[MRUN]],Demographics[],3,FALSE)</f>
        <v>4</v>
      </c>
      <c r="J2021">
        <f>AVERAGE(Scores[[#This Row],[LYC]],Scores[[#This Row],[MATE]])</f>
        <v>386.5</v>
      </c>
      <c r="K2021">
        <f>VLOOKUP(Scores[[#This Row],[MRUN]],Demographics[],6,FALSE)</f>
        <v>2</v>
      </c>
      <c r="L2021">
        <f>VLOOKUP(Scores[[#This Row],[MRUN]],Demographics[], 7,FALSE)</f>
        <v>5</v>
      </c>
      <c r="M2021">
        <f>VLOOKUP(Scores[[#This Row],[MRUN]],Demographics[], 5, FALSE)</f>
        <v>1</v>
      </c>
    </row>
    <row r="2022" spans="1:13" hidden="1" x14ac:dyDescent="0.2">
      <c r="A2022" s="1">
        <v>11353505</v>
      </c>
      <c r="B2022">
        <v>1</v>
      </c>
      <c r="C2022">
        <v>3</v>
      </c>
      <c r="D2022">
        <v>519</v>
      </c>
      <c r="E2022">
        <v>320</v>
      </c>
      <c r="F2022">
        <v>395</v>
      </c>
      <c r="G2022">
        <v>380</v>
      </c>
      <c r="H2022">
        <v>0</v>
      </c>
      <c r="I2022">
        <f>VLOOKUP(Scores[[#This Row],[MRUN]],Demographics[],3,FALSE)</f>
        <v>4</v>
      </c>
      <c r="J2022">
        <f>AVERAGE(Scores[[#This Row],[LYC]],Scores[[#This Row],[MATE]])</f>
        <v>357.5</v>
      </c>
      <c r="K2022">
        <f>VLOOKUP(Scores[[#This Row],[MRUN]],Demographics[],6,FALSE)</f>
        <v>5</v>
      </c>
      <c r="L2022">
        <f>VLOOKUP(Scores[[#This Row],[MRUN]],Demographics[], 7,FALSE)</f>
        <v>5</v>
      </c>
      <c r="M2022">
        <f>VLOOKUP(Scores[[#This Row],[MRUN]],Demographics[], 5, FALSE)</f>
        <v>1</v>
      </c>
    </row>
    <row r="2023" spans="1:13" hidden="1" x14ac:dyDescent="0.2">
      <c r="A2023" s="1">
        <v>24544986</v>
      </c>
      <c r="B2023">
        <v>1</v>
      </c>
      <c r="C2023">
        <v>2</v>
      </c>
      <c r="D2023">
        <v>496</v>
      </c>
      <c r="E2023">
        <v>406</v>
      </c>
      <c r="F2023">
        <v>517</v>
      </c>
      <c r="G2023">
        <v>359</v>
      </c>
      <c r="H2023">
        <v>0</v>
      </c>
      <c r="I2023">
        <f>VLOOKUP(Scores[[#This Row],[MRUN]],Demographics[],3,FALSE)</f>
        <v>5</v>
      </c>
      <c r="J2023">
        <f>AVERAGE(Scores[[#This Row],[LYC]],Scores[[#This Row],[MATE]])</f>
        <v>461.5</v>
      </c>
      <c r="K2023">
        <f>VLOOKUP(Scores[[#This Row],[MRUN]],Demographics[],6,FALSE)</f>
        <v>5</v>
      </c>
      <c r="L2023">
        <f>VLOOKUP(Scores[[#This Row],[MRUN]],Demographics[], 7,FALSE)</f>
        <v>4</v>
      </c>
      <c r="M2023">
        <f>VLOOKUP(Scores[[#This Row],[MRUN]],Demographics[], 5, FALSE)</f>
        <v>1</v>
      </c>
    </row>
    <row r="2024" spans="1:13" hidden="1" x14ac:dyDescent="0.2">
      <c r="A2024" s="1">
        <v>23477080</v>
      </c>
      <c r="B2024">
        <v>2</v>
      </c>
      <c r="C2024">
        <v>3</v>
      </c>
      <c r="D2024">
        <v>517</v>
      </c>
      <c r="E2024">
        <v>505</v>
      </c>
      <c r="F2024">
        <v>501</v>
      </c>
      <c r="G2024">
        <v>501</v>
      </c>
      <c r="H2024">
        <v>468</v>
      </c>
      <c r="I2024">
        <f>VLOOKUP(Scores[[#This Row],[MRUN]],Demographics[],3,FALSE)</f>
        <v>5</v>
      </c>
      <c r="J2024">
        <f>AVERAGE(Scores[[#This Row],[LYC]],Scores[[#This Row],[MATE]])</f>
        <v>503</v>
      </c>
      <c r="K2024">
        <f>VLOOKUP(Scores[[#This Row],[MRUN]],Demographics[],6,FALSE)</f>
        <v>4</v>
      </c>
      <c r="L2024">
        <f>VLOOKUP(Scores[[#This Row],[MRUN]],Demographics[], 7,FALSE)</f>
        <v>4</v>
      </c>
      <c r="M2024">
        <f>VLOOKUP(Scores[[#This Row],[MRUN]],Demographics[], 5, FALSE)</f>
        <v>1</v>
      </c>
    </row>
    <row r="2025" spans="1:13" hidden="1" x14ac:dyDescent="0.2">
      <c r="A2025" s="1">
        <v>13330045</v>
      </c>
      <c r="B2025">
        <v>1</v>
      </c>
      <c r="C2025">
        <v>3</v>
      </c>
      <c r="D2025">
        <v>437</v>
      </c>
      <c r="E2025">
        <v>444</v>
      </c>
      <c r="F2025">
        <v>441</v>
      </c>
      <c r="G2025">
        <v>512</v>
      </c>
      <c r="H2025">
        <v>404</v>
      </c>
      <c r="I2025">
        <f>VLOOKUP(Scores[[#This Row],[MRUN]],Demographics[],3,FALSE)</f>
        <v>5</v>
      </c>
      <c r="J2025">
        <f>AVERAGE(Scores[[#This Row],[LYC]],Scores[[#This Row],[MATE]])</f>
        <v>442.5</v>
      </c>
      <c r="K2025">
        <f>VLOOKUP(Scores[[#This Row],[MRUN]],Demographics[],6,FALSE)</f>
        <v>7</v>
      </c>
      <c r="L2025">
        <f>VLOOKUP(Scores[[#This Row],[MRUN]],Demographics[], 7,FALSE)</f>
        <v>3</v>
      </c>
      <c r="M2025">
        <f>VLOOKUP(Scores[[#This Row],[MRUN]],Demographics[], 5, FALSE)</f>
        <v>1</v>
      </c>
    </row>
    <row r="2026" spans="1:13" hidden="1" x14ac:dyDescent="0.2">
      <c r="A2026" s="1">
        <v>24905469</v>
      </c>
      <c r="B2026">
        <v>2</v>
      </c>
      <c r="C2026">
        <v>2</v>
      </c>
      <c r="D2026">
        <v>682</v>
      </c>
      <c r="E2026">
        <v>567</v>
      </c>
      <c r="F2026">
        <v>585</v>
      </c>
      <c r="G2026">
        <v>479</v>
      </c>
      <c r="H2026">
        <v>468</v>
      </c>
      <c r="I2026">
        <f>VLOOKUP(Scores[[#This Row],[MRUN]],Demographics[],3,FALSE)</f>
        <v>4</v>
      </c>
      <c r="J2026">
        <f>AVERAGE(Scores[[#This Row],[LYC]],Scores[[#This Row],[MATE]])</f>
        <v>576</v>
      </c>
      <c r="K2026">
        <f>VLOOKUP(Scores[[#This Row],[MRUN]],Demographics[],6,FALSE)</f>
        <v>2</v>
      </c>
      <c r="L2026">
        <f>VLOOKUP(Scores[[#This Row],[MRUN]],Demographics[], 7,FALSE)</f>
        <v>3</v>
      </c>
      <c r="M2026">
        <f>VLOOKUP(Scores[[#This Row],[MRUN]],Demographics[], 5, FALSE)</f>
        <v>1</v>
      </c>
    </row>
    <row r="2027" spans="1:13" hidden="1" x14ac:dyDescent="0.2">
      <c r="A2027" s="1">
        <v>18803816</v>
      </c>
      <c r="B2027">
        <v>1</v>
      </c>
      <c r="C2027">
        <v>2</v>
      </c>
      <c r="D2027">
        <v>476</v>
      </c>
      <c r="E2027">
        <v>541</v>
      </c>
      <c r="F2027">
        <v>441</v>
      </c>
      <c r="G2027">
        <v>547</v>
      </c>
      <c r="H2027">
        <v>0</v>
      </c>
      <c r="I2027">
        <f>VLOOKUP(Scores[[#This Row],[MRUN]],Demographics[],3,FALSE)</f>
        <v>4</v>
      </c>
      <c r="J2027">
        <f>AVERAGE(Scores[[#This Row],[LYC]],Scores[[#This Row],[MATE]])</f>
        <v>491</v>
      </c>
      <c r="K2027">
        <f>VLOOKUP(Scores[[#This Row],[MRUN]],Demographics[],6,FALSE)</f>
        <v>8</v>
      </c>
      <c r="L2027">
        <f>VLOOKUP(Scores[[#This Row],[MRUN]],Demographics[], 7,FALSE)</f>
        <v>5</v>
      </c>
      <c r="M2027">
        <f>VLOOKUP(Scores[[#This Row],[MRUN]],Demographics[], 5, FALSE)</f>
        <v>1</v>
      </c>
    </row>
    <row r="2028" spans="1:13" hidden="1" x14ac:dyDescent="0.2">
      <c r="A2028" s="1">
        <v>17808754</v>
      </c>
      <c r="B2028">
        <v>2</v>
      </c>
      <c r="C2028">
        <v>2</v>
      </c>
      <c r="D2028">
        <v>393</v>
      </c>
      <c r="E2028">
        <v>458</v>
      </c>
      <c r="F2028">
        <v>428</v>
      </c>
      <c r="G2028">
        <v>466</v>
      </c>
      <c r="H2028">
        <v>0</v>
      </c>
      <c r="I2028">
        <f>VLOOKUP(Scores[[#This Row],[MRUN]],Demographics[],3,FALSE)</f>
        <v>4</v>
      </c>
      <c r="J2028">
        <f>AVERAGE(Scores[[#This Row],[LYC]],Scores[[#This Row],[MATE]])</f>
        <v>443</v>
      </c>
      <c r="K2028">
        <f>VLOOKUP(Scores[[#This Row],[MRUN]],Demographics[],6,FALSE)</f>
        <v>3</v>
      </c>
      <c r="L2028">
        <f>VLOOKUP(Scores[[#This Row],[MRUN]],Demographics[], 7,FALSE)</f>
        <v>3</v>
      </c>
      <c r="M2028">
        <f>VLOOKUP(Scores[[#This Row],[MRUN]],Demographics[], 5, FALSE)</f>
        <v>1</v>
      </c>
    </row>
    <row r="2029" spans="1:13" hidden="1" x14ac:dyDescent="0.2">
      <c r="A2029" s="1">
        <v>16306945</v>
      </c>
      <c r="B2029">
        <v>1</v>
      </c>
      <c r="C2029">
        <v>2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f>VLOOKUP(Scores[[#This Row],[MRUN]],Demographics[],3,FALSE)</f>
        <v>7</v>
      </c>
      <c r="J2029">
        <f>AVERAGE(Scores[[#This Row],[LYC]],Scores[[#This Row],[MATE]])</f>
        <v>0</v>
      </c>
      <c r="K2029">
        <f>VLOOKUP(Scores[[#This Row],[MRUN]],Demographics[],6,FALSE)</f>
        <v>2</v>
      </c>
      <c r="L2029">
        <f>VLOOKUP(Scores[[#This Row],[MRUN]],Demographics[], 7,FALSE)</f>
        <v>2</v>
      </c>
      <c r="M2029">
        <f>VLOOKUP(Scores[[#This Row],[MRUN]],Demographics[], 5, FALSE)</f>
        <v>2</v>
      </c>
    </row>
    <row r="2030" spans="1:13" hidden="1" x14ac:dyDescent="0.2">
      <c r="A2030" s="1">
        <v>8008764</v>
      </c>
      <c r="B2030">
        <v>2</v>
      </c>
      <c r="C2030">
        <v>2</v>
      </c>
      <c r="D2030">
        <v>435</v>
      </c>
      <c r="E2030">
        <v>458</v>
      </c>
      <c r="F2030">
        <v>413</v>
      </c>
      <c r="G2030">
        <v>0</v>
      </c>
      <c r="H2030">
        <v>0</v>
      </c>
      <c r="I2030">
        <f>VLOOKUP(Scores[[#This Row],[MRUN]],Demographics[],3,FALSE)</f>
        <v>5</v>
      </c>
      <c r="J2030">
        <f>AVERAGE(Scores[[#This Row],[LYC]],Scores[[#This Row],[MATE]])</f>
        <v>435.5</v>
      </c>
      <c r="K2030">
        <f>VLOOKUP(Scores[[#This Row],[MRUN]],Demographics[],6,FALSE)</f>
        <v>5</v>
      </c>
      <c r="L2030">
        <f>VLOOKUP(Scores[[#This Row],[MRUN]],Demographics[], 7,FALSE)</f>
        <v>4</v>
      </c>
      <c r="M2030">
        <f>VLOOKUP(Scores[[#This Row],[MRUN]],Demographics[], 5, FALSE)</f>
        <v>1</v>
      </c>
    </row>
    <row r="2031" spans="1:13" hidden="1" x14ac:dyDescent="0.2">
      <c r="A2031" s="1">
        <v>12815346</v>
      </c>
      <c r="B2031">
        <v>2</v>
      </c>
      <c r="C2031">
        <v>2</v>
      </c>
      <c r="D2031">
        <v>373</v>
      </c>
      <c r="E2031">
        <v>415</v>
      </c>
      <c r="F2031">
        <v>328</v>
      </c>
      <c r="G2031">
        <v>334</v>
      </c>
      <c r="H2031">
        <v>0</v>
      </c>
      <c r="I2031">
        <f>VLOOKUP(Scores[[#This Row],[MRUN]],Demographics[],3,FALSE)</f>
        <v>4</v>
      </c>
      <c r="J2031">
        <f>AVERAGE(Scores[[#This Row],[LYC]],Scores[[#This Row],[MATE]])</f>
        <v>371.5</v>
      </c>
      <c r="K2031">
        <f>VLOOKUP(Scores[[#This Row],[MRUN]],Demographics[],6,FALSE)</f>
        <v>5</v>
      </c>
      <c r="L2031">
        <f>VLOOKUP(Scores[[#This Row],[MRUN]],Demographics[], 7,FALSE)</f>
        <v>5</v>
      </c>
      <c r="M2031">
        <f>VLOOKUP(Scores[[#This Row],[MRUN]],Demographics[], 5, FALSE)</f>
        <v>2</v>
      </c>
    </row>
    <row r="2032" spans="1:13" hidden="1" x14ac:dyDescent="0.2">
      <c r="A2032" s="1">
        <v>23944667</v>
      </c>
      <c r="B2032">
        <v>1</v>
      </c>
      <c r="C2032">
        <v>2</v>
      </c>
      <c r="D2032">
        <v>499</v>
      </c>
      <c r="E2032">
        <v>531</v>
      </c>
      <c r="F2032">
        <v>501</v>
      </c>
      <c r="G2032">
        <v>0</v>
      </c>
      <c r="H2032">
        <v>417</v>
      </c>
      <c r="I2032">
        <f>VLOOKUP(Scores[[#This Row],[MRUN]],Demographics[],3,FALSE)</f>
        <v>5</v>
      </c>
      <c r="J2032">
        <f>AVERAGE(Scores[[#This Row],[LYC]],Scores[[#This Row],[MATE]])</f>
        <v>516</v>
      </c>
      <c r="K2032">
        <f>VLOOKUP(Scores[[#This Row],[MRUN]],Demographics[],6,FALSE)</f>
        <v>5</v>
      </c>
      <c r="L2032">
        <f>VLOOKUP(Scores[[#This Row],[MRUN]],Demographics[], 7,FALSE)</f>
        <v>2</v>
      </c>
      <c r="M2032">
        <f>VLOOKUP(Scores[[#This Row],[MRUN]],Demographics[], 5, FALSE)</f>
        <v>2</v>
      </c>
    </row>
    <row r="2033" spans="1:13" hidden="1" x14ac:dyDescent="0.2">
      <c r="A2033" s="1">
        <v>2239185</v>
      </c>
      <c r="B2033">
        <v>1</v>
      </c>
      <c r="C2033">
        <v>2</v>
      </c>
      <c r="D2033">
        <v>517</v>
      </c>
      <c r="E2033">
        <v>516</v>
      </c>
      <c r="F2033">
        <v>463</v>
      </c>
      <c r="G2033">
        <v>692</v>
      </c>
      <c r="H2033">
        <v>0</v>
      </c>
      <c r="I2033">
        <f>VLOOKUP(Scores[[#This Row],[MRUN]],Demographics[],3,FALSE)</f>
        <v>4</v>
      </c>
      <c r="J2033">
        <f>AVERAGE(Scores[[#This Row],[LYC]],Scores[[#This Row],[MATE]])</f>
        <v>489.5</v>
      </c>
      <c r="K2033">
        <f>VLOOKUP(Scores[[#This Row],[MRUN]],Demographics[],6,FALSE)</f>
        <v>2</v>
      </c>
      <c r="L2033">
        <f>VLOOKUP(Scores[[#This Row],[MRUN]],Demographics[], 7,FALSE)</f>
        <v>5</v>
      </c>
      <c r="M2033">
        <f>VLOOKUP(Scores[[#This Row],[MRUN]],Demographics[], 5, FALSE)</f>
        <v>1</v>
      </c>
    </row>
    <row r="2034" spans="1:13" hidden="1" x14ac:dyDescent="0.2">
      <c r="A2034" s="1">
        <v>8956049</v>
      </c>
      <c r="B2034">
        <v>2</v>
      </c>
      <c r="C2034">
        <v>2</v>
      </c>
      <c r="D2034">
        <v>417</v>
      </c>
      <c r="E2034">
        <v>0</v>
      </c>
      <c r="F2034">
        <v>0</v>
      </c>
      <c r="G2034">
        <v>0</v>
      </c>
      <c r="H2034">
        <v>0</v>
      </c>
      <c r="I2034">
        <f>VLOOKUP(Scores[[#This Row],[MRUN]],Demographics[],3,FALSE)</f>
        <v>5</v>
      </c>
      <c r="J2034">
        <f>AVERAGE(Scores[[#This Row],[LYC]],Scores[[#This Row],[MATE]])</f>
        <v>0</v>
      </c>
      <c r="K2034">
        <f>VLOOKUP(Scores[[#This Row],[MRUN]],Demographics[],6,FALSE)</f>
        <v>5</v>
      </c>
      <c r="L2034">
        <f>VLOOKUP(Scores[[#This Row],[MRUN]],Demographics[], 7,FALSE)</f>
        <v>2</v>
      </c>
      <c r="M2034">
        <f>VLOOKUP(Scores[[#This Row],[MRUN]],Demographics[], 5, FALSE)</f>
        <v>1</v>
      </c>
    </row>
    <row r="2035" spans="1:13" hidden="1" x14ac:dyDescent="0.2">
      <c r="A2035" s="1">
        <v>13171375</v>
      </c>
      <c r="B2035">
        <v>2</v>
      </c>
      <c r="C2035">
        <v>2</v>
      </c>
      <c r="D2035">
        <v>599</v>
      </c>
      <c r="E2035">
        <v>290</v>
      </c>
      <c r="F2035">
        <v>480</v>
      </c>
      <c r="G2035">
        <v>0</v>
      </c>
      <c r="H2035">
        <v>439</v>
      </c>
      <c r="I2035">
        <f>VLOOKUP(Scores[[#This Row],[MRUN]],Demographics[],3,FALSE)</f>
        <v>5</v>
      </c>
      <c r="J2035">
        <f>AVERAGE(Scores[[#This Row],[LYC]],Scores[[#This Row],[MATE]])</f>
        <v>385</v>
      </c>
      <c r="K2035">
        <f>VLOOKUP(Scores[[#This Row],[MRUN]],Demographics[],6,FALSE)</f>
        <v>0</v>
      </c>
      <c r="L2035">
        <f>VLOOKUP(Scores[[#This Row],[MRUN]],Demographics[], 7,FALSE)</f>
        <v>2</v>
      </c>
      <c r="M2035">
        <f>VLOOKUP(Scores[[#This Row],[MRUN]],Demographics[], 5, FALSE)</f>
        <v>1</v>
      </c>
    </row>
    <row r="2036" spans="1:13" hidden="1" x14ac:dyDescent="0.2">
      <c r="A2036" s="1">
        <v>4339267</v>
      </c>
      <c r="B2036">
        <v>2</v>
      </c>
      <c r="C2036">
        <v>2</v>
      </c>
      <c r="D2036">
        <v>373</v>
      </c>
      <c r="E2036">
        <v>378</v>
      </c>
      <c r="F2036">
        <v>413</v>
      </c>
      <c r="G2036">
        <v>271</v>
      </c>
      <c r="H2036">
        <v>0</v>
      </c>
      <c r="I2036">
        <f>VLOOKUP(Scores[[#This Row],[MRUN]],Demographics[],3,FALSE)</f>
        <v>2</v>
      </c>
      <c r="J2036">
        <f>AVERAGE(Scores[[#This Row],[LYC]],Scores[[#This Row],[MATE]])</f>
        <v>395.5</v>
      </c>
      <c r="K2036">
        <f>VLOOKUP(Scores[[#This Row],[MRUN]],Demographics[],6,FALSE)</f>
        <v>3</v>
      </c>
      <c r="L2036">
        <f>VLOOKUP(Scores[[#This Row],[MRUN]],Demographics[], 7,FALSE)</f>
        <v>7</v>
      </c>
      <c r="M2036">
        <f>VLOOKUP(Scores[[#This Row],[MRUN]],Demographics[], 5, FALSE)</f>
        <v>1</v>
      </c>
    </row>
    <row r="2037" spans="1:13" hidden="1" x14ac:dyDescent="0.2">
      <c r="A2037" s="1">
        <v>22772424</v>
      </c>
      <c r="B2037">
        <v>1</v>
      </c>
      <c r="C2037">
        <v>2</v>
      </c>
      <c r="D2037">
        <v>662</v>
      </c>
      <c r="E2037">
        <v>0</v>
      </c>
      <c r="F2037">
        <v>0</v>
      </c>
      <c r="G2037">
        <v>0</v>
      </c>
      <c r="H2037">
        <v>0</v>
      </c>
      <c r="I2037">
        <f>VLOOKUP(Scores[[#This Row],[MRUN]],Demographics[],3,FALSE)</f>
        <v>0</v>
      </c>
      <c r="J2037">
        <f>AVERAGE(Scores[[#This Row],[LYC]],Scores[[#This Row],[MATE]])</f>
        <v>0</v>
      </c>
      <c r="K2037">
        <f>VLOOKUP(Scores[[#This Row],[MRUN]],Demographics[],6,FALSE)</f>
        <v>0</v>
      </c>
      <c r="L2037">
        <f>VLOOKUP(Scores[[#This Row],[MRUN]],Demographics[], 7,FALSE)</f>
        <v>0</v>
      </c>
      <c r="M2037">
        <f>VLOOKUP(Scores[[#This Row],[MRUN]],Demographics[], 5, FALSE)</f>
        <v>1</v>
      </c>
    </row>
    <row r="2038" spans="1:13" hidden="1" x14ac:dyDescent="0.2">
      <c r="A2038" s="1">
        <v>9826128</v>
      </c>
      <c r="B2038">
        <v>2</v>
      </c>
      <c r="C2038">
        <v>3</v>
      </c>
      <c r="D2038">
        <v>376</v>
      </c>
      <c r="E2038">
        <v>0</v>
      </c>
      <c r="F2038">
        <v>0</v>
      </c>
      <c r="G2038">
        <v>0</v>
      </c>
      <c r="H2038">
        <v>0</v>
      </c>
      <c r="I2038">
        <f>VLOOKUP(Scores[[#This Row],[MRUN]],Demographics[],3,FALSE)</f>
        <v>7</v>
      </c>
      <c r="J2038">
        <f>AVERAGE(Scores[[#This Row],[LYC]],Scores[[#This Row],[MATE]])</f>
        <v>0</v>
      </c>
      <c r="K2038">
        <f>VLOOKUP(Scores[[#This Row],[MRUN]],Demographics[],6,FALSE)</f>
        <v>0</v>
      </c>
      <c r="L2038">
        <f>VLOOKUP(Scores[[#This Row],[MRUN]],Demographics[], 7,FALSE)</f>
        <v>0</v>
      </c>
      <c r="M2038">
        <f>VLOOKUP(Scores[[#This Row],[MRUN]],Demographics[], 5, FALSE)</f>
        <v>1</v>
      </c>
    </row>
    <row r="2039" spans="1:13" hidden="1" x14ac:dyDescent="0.2">
      <c r="A2039" s="1">
        <v>16798627</v>
      </c>
      <c r="B2039">
        <v>1</v>
      </c>
      <c r="C2039">
        <v>3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f>VLOOKUP(Scores[[#This Row],[MRUN]],Demographics[],3,FALSE)</f>
        <v>3</v>
      </c>
      <c r="J2039">
        <f>AVERAGE(Scores[[#This Row],[LYC]],Scores[[#This Row],[MATE]])</f>
        <v>0</v>
      </c>
      <c r="K2039">
        <f>VLOOKUP(Scores[[#This Row],[MRUN]],Demographics[],6,FALSE)</f>
        <v>0</v>
      </c>
      <c r="L2039">
        <f>VLOOKUP(Scores[[#This Row],[MRUN]],Demographics[], 7,FALSE)</f>
        <v>3</v>
      </c>
      <c r="M2039">
        <f>VLOOKUP(Scores[[#This Row],[MRUN]],Demographics[], 5, FALSE)</f>
        <v>1</v>
      </c>
    </row>
    <row r="2040" spans="1:13" hidden="1" x14ac:dyDescent="0.2">
      <c r="A2040" s="1">
        <v>14128633</v>
      </c>
      <c r="B2040">
        <v>2</v>
      </c>
      <c r="C2040">
        <v>3</v>
      </c>
      <c r="D2040">
        <v>414</v>
      </c>
      <c r="E2040">
        <v>438</v>
      </c>
      <c r="F2040">
        <v>452</v>
      </c>
      <c r="G2040">
        <v>359</v>
      </c>
      <c r="H2040">
        <v>0</v>
      </c>
      <c r="I2040">
        <f>VLOOKUP(Scores[[#This Row],[MRUN]],Demographics[],3,FALSE)</f>
        <v>5</v>
      </c>
      <c r="J2040">
        <f>AVERAGE(Scores[[#This Row],[LYC]],Scores[[#This Row],[MATE]])</f>
        <v>445</v>
      </c>
      <c r="K2040">
        <f>VLOOKUP(Scores[[#This Row],[MRUN]],Demographics[],6,FALSE)</f>
        <v>9</v>
      </c>
      <c r="L2040">
        <f>VLOOKUP(Scores[[#This Row],[MRUN]],Demographics[], 7,FALSE)</f>
        <v>2</v>
      </c>
      <c r="M2040">
        <f>VLOOKUP(Scores[[#This Row],[MRUN]],Demographics[], 5, FALSE)</f>
        <v>1</v>
      </c>
    </row>
    <row r="2041" spans="1:13" hidden="1" x14ac:dyDescent="0.2">
      <c r="A2041" s="1">
        <v>11928144</v>
      </c>
      <c r="B2041">
        <v>2</v>
      </c>
      <c r="C2041">
        <v>2</v>
      </c>
      <c r="D2041">
        <v>435</v>
      </c>
      <c r="E2041">
        <v>464</v>
      </c>
      <c r="F2041">
        <v>274</v>
      </c>
      <c r="G2041">
        <v>428</v>
      </c>
      <c r="H2041">
        <v>0</v>
      </c>
      <c r="I2041">
        <f>VLOOKUP(Scores[[#This Row],[MRUN]],Demographics[],3,FALSE)</f>
        <v>5</v>
      </c>
      <c r="J2041">
        <f>AVERAGE(Scores[[#This Row],[LYC]],Scores[[#This Row],[MATE]])</f>
        <v>369</v>
      </c>
      <c r="K2041">
        <f>VLOOKUP(Scores[[#This Row],[MRUN]],Demographics[],6,FALSE)</f>
        <v>5</v>
      </c>
      <c r="L2041">
        <f>VLOOKUP(Scores[[#This Row],[MRUN]],Demographics[], 7,FALSE)</f>
        <v>5</v>
      </c>
      <c r="M2041">
        <f>VLOOKUP(Scores[[#This Row],[MRUN]],Demographics[], 5, FALSE)</f>
        <v>1</v>
      </c>
    </row>
    <row r="2042" spans="1:13" hidden="1" x14ac:dyDescent="0.2">
      <c r="A2042" s="1">
        <v>16002591</v>
      </c>
      <c r="B2042">
        <v>2</v>
      </c>
      <c r="C2042">
        <v>2</v>
      </c>
      <c r="D2042">
        <v>478</v>
      </c>
      <c r="E2042">
        <v>397</v>
      </c>
      <c r="F2042">
        <v>501</v>
      </c>
      <c r="G2042">
        <v>397</v>
      </c>
      <c r="H2042">
        <v>0</v>
      </c>
      <c r="I2042">
        <f>VLOOKUP(Scores[[#This Row],[MRUN]],Demographics[],3,FALSE)</f>
        <v>6</v>
      </c>
      <c r="J2042">
        <f>AVERAGE(Scores[[#This Row],[LYC]],Scores[[#This Row],[MATE]])</f>
        <v>449</v>
      </c>
      <c r="K2042">
        <f>VLOOKUP(Scores[[#This Row],[MRUN]],Demographics[],6,FALSE)</f>
        <v>4</v>
      </c>
      <c r="L2042">
        <f>VLOOKUP(Scores[[#This Row],[MRUN]],Demographics[], 7,FALSE)</f>
        <v>2</v>
      </c>
      <c r="M2042">
        <f>VLOOKUP(Scores[[#This Row],[MRUN]],Demographics[], 5, FALSE)</f>
        <v>1</v>
      </c>
    </row>
    <row r="2043" spans="1:13" hidden="1" x14ac:dyDescent="0.2">
      <c r="A2043" s="1">
        <v>4574254</v>
      </c>
      <c r="B2043">
        <v>2</v>
      </c>
      <c r="C2043">
        <v>2</v>
      </c>
      <c r="D2043">
        <v>620</v>
      </c>
      <c r="E2043">
        <v>505</v>
      </c>
      <c r="F2043">
        <v>527</v>
      </c>
      <c r="G2043">
        <v>531</v>
      </c>
      <c r="H2043">
        <v>326</v>
      </c>
      <c r="I2043">
        <f>VLOOKUP(Scores[[#This Row],[MRUN]],Demographics[],3,FALSE)</f>
        <v>4</v>
      </c>
      <c r="J2043">
        <f>AVERAGE(Scores[[#This Row],[LYC]],Scores[[#This Row],[MATE]])</f>
        <v>516</v>
      </c>
      <c r="K2043">
        <f>VLOOKUP(Scores[[#This Row],[MRUN]],Demographics[],6,FALSE)</f>
        <v>2</v>
      </c>
      <c r="L2043">
        <f>VLOOKUP(Scores[[#This Row],[MRUN]],Demographics[], 7,FALSE)</f>
        <v>2</v>
      </c>
      <c r="M2043">
        <f>VLOOKUP(Scores[[#This Row],[MRUN]],Demographics[], 5, FALSE)</f>
        <v>1</v>
      </c>
    </row>
    <row r="2044" spans="1:13" hidden="1" x14ac:dyDescent="0.2">
      <c r="A2044" s="1">
        <v>13278983</v>
      </c>
      <c r="B2044">
        <v>2</v>
      </c>
      <c r="C2044">
        <v>2</v>
      </c>
      <c r="D2044">
        <v>0</v>
      </c>
      <c r="E2044">
        <v>499</v>
      </c>
      <c r="F2044">
        <v>487</v>
      </c>
      <c r="G2044">
        <v>479</v>
      </c>
      <c r="H2044">
        <v>391</v>
      </c>
      <c r="I2044">
        <f>VLOOKUP(Scores[[#This Row],[MRUN]],Demographics[],3,FALSE)</f>
        <v>3</v>
      </c>
      <c r="J2044">
        <f>AVERAGE(Scores[[#This Row],[LYC]],Scores[[#This Row],[MATE]])</f>
        <v>493</v>
      </c>
      <c r="K2044">
        <f>VLOOKUP(Scores[[#This Row],[MRUN]],Demographics[],6,FALSE)</f>
        <v>9</v>
      </c>
      <c r="L2044">
        <f>VLOOKUP(Scores[[#This Row],[MRUN]],Demographics[], 7,FALSE)</f>
        <v>5</v>
      </c>
      <c r="M2044">
        <f>VLOOKUP(Scores[[#This Row],[MRUN]],Demographics[], 5, FALSE)</f>
        <v>1</v>
      </c>
    </row>
    <row r="2045" spans="1:13" hidden="1" x14ac:dyDescent="0.2">
      <c r="A2045" s="1">
        <v>5125104</v>
      </c>
      <c r="B2045">
        <v>2</v>
      </c>
      <c r="C2045">
        <v>2</v>
      </c>
      <c r="D2045">
        <v>601</v>
      </c>
      <c r="E2045">
        <v>557</v>
      </c>
      <c r="F2045">
        <v>574</v>
      </c>
      <c r="G2045">
        <v>0</v>
      </c>
      <c r="H2045">
        <v>534</v>
      </c>
      <c r="I2045">
        <f>VLOOKUP(Scores[[#This Row],[MRUN]],Demographics[],3,FALSE)</f>
        <v>8</v>
      </c>
      <c r="J2045">
        <f>AVERAGE(Scores[[#This Row],[LYC]],Scores[[#This Row],[MATE]])</f>
        <v>565.5</v>
      </c>
      <c r="K2045">
        <f>VLOOKUP(Scores[[#This Row],[MRUN]],Demographics[],6,FALSE)</f>
        <v>3</v>
      </c>
      <c r="L2045">
        <f>VLOOKUP(Scores[[#This Row],[MRUN]],Demographics[], 7,FALSE)</f>
        <v>4</v>
      </c>
      <c r="M2045">
        <f>VLOOKUP(Scores[[#This Row],[MRUN]],Demographics[], 5, FALSE)</f>
        <v>1</v>
      </c>
    </row>
    <row r="2046" spans="1:13" hidden="1" x14ac:dyDescent="0.2">
      <c r="A2046" s="1">
        <v>21578841</v>
      </c>
      <c r="B2046">
        <v>1</v>
      </c>
      <c r="C2046">
        <v>2</v>
      </c>
      <c r="D2046">
        <v>496</v>
      </c>
      <c r="E2046">
        <v>592</v>
      </c>
      <c r="F2046">
        <v>487</v>
      </c>
      <c r="G2046">
        <v>602</v>
      </c>
      <c r="H2046">
        <v>0</v>
      </c>
      <c r="I2046">
        <f>VLOOKUP(Scores[[#This Row],[MRUN]],Demographics[],3,FALSE)</f>
        <v>4</v>
      </c>
      <c r="J2046">
        <f>AVERAGE(Scores[[#This Row],[LYC]],Scores[[#This Row],[MATE]])</f>
        <v>539.5</v>
      </c>
      <c r="K2046">
        <f>VLOOKUP(Scores[[#This Row],[MRUN]],Demographics[],6,FALSE)</f>
        <v>7</v>
      </c>
      <c r="L2046">
        <f>VLOOKUP(Scores[[#This Row],[MRUN]],Demographics[], 7,FALSE)</f>
        <v>9</v>
      </c>
      <c r="M2046">
        <f>VLOOKUP(Scores[[#This Row],[MRUN]],Demographics[], 5, FALSE)</f>
        <v>3</v>
      </c>
    </row>
    <row r="2047" spans="1:13" hidden="1" x14ac:dyDescent="0.2">
      <c r="A2047" s="1">
        <v>18272768</v>
      </c>
      <c r="B2047">
        <v>1</v>
      </c>
      <c r="C2047">
        <v>2</v>
      </c>
      <c r="D2047">
        <v>435</v>
      </c>
      <c r="E2047">
        <v>483</v>
      </c>
      <c r="F2047">
        <v>441</v>
      </c>
      <c r="G2047">
        <v>567</v>
      </c>
      <c r="H2047">
        <v>0</v>
      </c>
      <c r="I2047">
        <f>VLOOKUP(Scores[[#This Row],[MRUN]],Demographics[],3,FALSE)</f>
        <v>4</v>
      </c>
      <c r="J2047">
        <f>AVERAGE(Scores[[#This Row],[LYC]],Scores[[#This Row],[MATE]])</f>
        <v>462</v>
      </c>
      <c r="K2047">
        <f>VLOOKUP(Scores[[#This Row],[MRUN]],Demographics[],6,FALSE)</f>
        <v>7</v>
      </c>
      <c r="L2047">
        <f>VLOOKUP(Scores[[#This Row],[MRUN]],Demographics[], 7,FALSE)</f>
        <v>9</v>
      </c>
      <c r="M2047">
        <f>VLOOKUP(Scores[[#This Row],[MRUN]],Demographics[], 5, FALSE)</f>
        <v>2</v>
      </c>
    </row>
    <row r="2048" spans="1:13" hidden="1" x14ac:dyDescent="0.2">
      <c r="A2048" s="1">
        <v>20812787</v>
      </c>
      <c r="B2048">
        <v>1</v>
      </c>
      <c r="C2048">
        <v>2</v>
      </c>
      <c r="D2048">
        <v>437</v>
      </c>
      <c r="E2048">
        <v>306</v>
      </c>
      <c r="F2048">
        <v>395</v>
      </c>
      <c r="G2048">
        <v>428</v>
      </c>
      <c r="H2048">
        <v>0</v>
      </c>
      <c r="I2048">
        <f>VLOOKUP(Scores[[#This Row],[MRUN]],Demographics[],3,FALSE)</f>
        <v>2</v>
      </c>
      <c r="J2048">
        <f>AVERAGE(Scores[[#This Row],[LYC]],Scores[[#This Row],[MATE]])</f>
        <v>350.5</v>
      </c>
      <c r="K2048">
        <f>VLOOKUP(Scores[[#This Row],[MRUN]],Demographics[],6,FALSE)</f>
        <v>0</v>
      </c>
      <c r="L2048">
        <f>VLOOKUP(Scores[[#This Row],[MRUN]],Demographics[], 7,FALSE)</f>
        <v>5</v>
      </c>
      <c r="M2048">
        <f>VLOOKUP(Scores[[#This Row],[MRUN]],Demographics[], 5, FALSE)</f>
        <v>1</v>
      </c>
    </row>
    <row r="2049" spans="1:13" hidden="1" x14ac:dyDescent="0.2">
      <c r="A2049" s="1">
        <v>23441018</v>
      </c>
      <c r="B2049">
        <v>1</v>
      </c>
      <c r="C2049">
        <v>2</v>
      </c>
      <c r="D2049">
        <v>455</v>
      </c>
      <c r="E2049">
        <v>581</v>
      </c>
      <c r="F2049">
        <v>501</v>
      </c>
      <c r="G2049">
        <v>623</v>
      </c>
      <c r="H2049">
        <v>0</v>
      </c>
      <c r="I2049">
        <f>VLOOKUP(Scores[[#This Row],[MRUN]],Demographics[],3,FALSE)</f>
        <v>4</v>
      </c>
      <c r="J2049">
        <f>AVERAGE(Scores[[#This Row],[LYC]],Scores[[#This Row],[MATE]])</f>
        <v>541</v>
      </c>
      <c r="K2049">
        <f>VLOOKUP(Scores[[#This Row],[MRUN]],Demographics[],6,FALSE)</f>
        <v>3</v>
      </c>
      <c r="L2049">
        <f>VLOOKUP(Scores[[#This Row],[MRUN]],Demographics[], 7,FALSE)</f>
        <v>5</v>
      </c>
      <c r="M2049">
        <f>VLOOKUP(Scores[[#This Row],[MRUN]],Demographics[], 5, FALSE)</f>
        <v>1</v>
      </c>
    </row>
    <row r="2050" spans="1:13" hidden="1" x14ac:dyDescent="0.2">
      <c r="A2050" s="1">
        <v>21770603</v>
      </c>
      <c r="B2050">
        <v>2</v>
      </c>
      <c r="C2050">
        <v>2</v>
      </c>
      <c r="D2050">
        <v>620</v>
      </c>
      <c r="E2050">
        <v>551</v>
      </c>
      <c r="F2050">
        <v>472</v>
      </c>
      <c r="G2050">
        <v>501</v>
      </c>
      <c r="H2050">
        <v>0</v>
      </c>
      <c r="I2050">
        <f>VLOOKUP(Scores[[#This Row],[MRUN]],Demographics[],3,FALSE)</f>
        <v>4</v>
      </c>
      <c r="J2050">
        <f>AVERAGE(Scores[[#This Row],[LYC]],Scores[[#This Row],[MATE]])</f>
        <v>511.5</v>
      </c>
      <c r="K2050">
        <f>VLOOKUP(Scores[[#This Row],[MRUN]],Demographics[],6,FALSE)</f>
        <v>9</v>
      </c>
      <c r="L2050">
        <f>VLOOKUP(Scores[[#This Row],[MRUN]],Demographics[], 7,FALSE)</f>
        <v>9</v>
      </c>
      <c r="M2050">
        <f>VLOOKUP(Scores[[#This Row],[MRUN]],Demographics[], 5, FALSE)</f>
        <v>2</v>
      </c>
    </row>
    <row r="2051" spans="1:13" hidden="1" x14ac:dyDescent="0.2">
      <c r="A2051" s="1">
        <v>9575588</v>
      </c>
      <c r="B2051">
        <v>2</v>
      </c>
      <c r="C2051">
        <v>2</v>
      </c>
      <c r="D2051">
        <v>702</v>
      </c>
      <c r="E2051">
        <v>596</v>
      </c>
      <c r="F2051">
        <v>628</v>
      </c>
      <c r="G2051">
        <v>0</v>
      </c>
      <c r="H2051">
        <v>510</v>
      </c>
      <c r="I2051">
        <f>VLOOKUP(Scores[[#This Row],[MRUN]],Demographics[],3,FALSE)</f>
        <v>4</v>
      </c>
      <c r="J2051">
        <f>AVERAGE(Scores[[#This Row],[LYC]],Scores[[#This Row],[MATE]])</f>
        <v>612</v>
      </c>
      <c r="K2051">
        <f>VLOOKUP(Scores[[#This Row],[MRUN]],Demographics[],6,FALSE)</f>
        <v>7</v>
      </c>
      <c r="L2051">
        <f>VLOOKUP(Scores[[#This Row],[MRUN]],Demographics[], 7,FALSE)</f>
        <v>7</v>
      </c>
      <c r="M2051">
        <f>VLOOKUP(Scores[[#This Row],[MRUN]],Demographics[], 5, FALSE)</f>
        <v>2</v>
      </c>
    </row>
    <row r="2052" spans="1:13" hidden="1" x14ac:dyDescent="0.2">
      <c r="A2052" s="1">
        <v>10369140</v>
      </c>
      <c r="B2052">
        <v>1</v>
      </c>
      <c r="C2052">
        <v>2</v>
      </c>
      <c r="D2052">
        <v>601</v>
      </c>
      <c r="E2052">
        <v>406</v>
      </c>
      <c r="F2052">
        <v>441</v>
      </c>
      <c r="G2052">
        <v>406</v>
      </c>
      <c r="H2052">
        <v>0</v>
      </c>
      <c r="I2052">
        <f>VLOOKUP(Scores[[#This Row],[MRUN]],Demographics[],3,FALSE)</f>
        <v>7</v>
      </c>
      <c r="J2052">
        <f>AVERAGE(Scores[[#This Row],[LYC]],Scores[[#This Row],[MATE]])</f>
        <v>423.5</v>
      </c>
      <c r="K2052">
        <f>VLOOKUP(Scores[[#This Row],[MRUN]],Demographics[],6,FALSE)</f>
        <v>4</v>
      </c>
      <c r="L2052">
        <f>VLOOKUP(Scores[[#This Row],[MRUN]],Demographics[], 7,FALSE)</f>
        <v>5</v>
      </c>
      <c r="M2052">
        <f>VLOOKUP(Scores[[#This Row],[MRUN]],Demographics[], 5, FALSE)</f>
        <v>1</v>
      </c>
    </row>
    <row r="2053" spans="1:13" hidden="1" x14ac:dyDescent="0.2">
      <c r="A2053" s="1">
        <v>6882298</v>
      </c>
      <c r="B2053">
        <v>1</v>
      </c>
      <c r="C2053">
        <v>2</v>
      </c>
      <c r="D2053">
        <v>397</v>
      </c>
      <c r="E2053">
        <v>547</v>
      </c>
      <c r="F2053">
        <v>494</v>
      </c>
      <c r="G2053">
        <v>414</v>
      </c>
      <c r="H2053">
        <v>0</v>
      </c>
      <c r="I2053">
        <f>VLOOKUP(Scores[[#This Row],[MRUN]],Demographics[],3,FALSE)</f>
        <v>0</v>
      </c>
      <c r="J2053">
        <f>AVERAGE(Scores[[#This Row],[LYC]],Scores[[#This Row],[MATE]])</f>
        <v>520.5</v>
      </c>
      <c r="K2053">
        <f>VLOOKUP(Scores[[#This Row],[MRUN]],Demographics[],6,FALSE)</f>
        <v>0</v>
      </c>
      <c r="L2053">
        <f>VLOOKUP(Scores[[#This Row],[MRUN]],Demographics[], 7,FALSE)</f>
        <v>0</v>
      </c>
      <c r="M2053">
        <f>VLOOKUP(Scores[[#This Row],[MRUN]],Demographics[], 5, FALSE)</f>
        <v>1</v>
      </c>
    </row>
    <row r="2054" spans="1:13" hidden="1" x14ac:dyDescent="0.2">
      <c r="A2054" s="1">
        <v>2719087</v>
      </c>
      <c r="B2054">
        <v>1</v>
      </c>
      <c r="C2054">
        <v>2</v>
      </c>
      <c r="D2054">
        <v>621</v>
      </c>
      <c r="E2054">
        <v>0</v>
      </c>
      <c r="F2054">
        <v>0</v>
      </c>
      <c r="G2054">
        <v>0</v>
      </c>
      <c r="H2054">
        <v>0</v>
      </c>
      <c r="I2054">
        <f>VLOOKUP(Scores[[#This Row],[MRUN]],Demographics[],3,FALSE)</f>
        <v>3</v>
      </c>
      <c r="J2054">
        <f>AVERAGE(Scores[[#This Row],[LYC]],Scores[[#This Row],[MATE]])</f>
        <v>0</v>
      </c>
      <c r="K2054">
        <f>VLOOKUP(Scores[[#This Row],[MRUN]],Demographics[],6,FALSE)</f>
        <v>3</v>
      </c>
      <c r="L2054">
        <f>VLOOKUP(Scores[[#This Row],[MRUN]],Demographics[], 7,FALSE)</f>
        <v>5</v>
      </c>
      <c r="M2054">
        <f>VLOOKUP(Scores[[#This Row],[MRUN]],Demographics[], 5, FALSE)</f>
        <v>1</v>
      </c>
    </row>
    <row r="2055" spans="1:13" hidden="1" x14ac:dyDescent="0.2">
      <c r="A2055" s="1">
        <v>14379620</v>
      </c>
      <c r="B2055">
        <v>2</v>
      </c>
      <c r="C2055">
        <v>3</v>
      </c>
      <c r="D2055">
        <v>580</v>
      </c>
      <c r="E2055">
        <v>471</v>
      </c>
      <c r="F2055">
        <v>300</v>
      </c>
      <c r="G2055">
        <v>495</v>
      </c>
      <c r="H2055">
        <v>0</v>
      </c>
      <c r="I2055">
        <f>VLOOKUP(Scores[[#This Row],[MRUN]],Demographics[],3,FALSE)</f>
        <v>2</v>
      </c>
      <c r="J2055">
        <f>AVERAGE(Scores[[#This Row],[LYC]],Scores[[#This Row],[MATE]])</f>
        <v>385.5</v>
      </c>
      <c r="K2055">
        <f>VLOOKUP(Scores[[#This Row],[MRUN]],Demographics[],6,FALSE)</f>
        <v>2</v>
      </c>
      <c r="L2055">
        <f>VLOOKUP(Scores[[#This Row],[MRUN]],Demographics[], 7,FALSE)</f>
        <v>2</v>
      </c>
      <c r="M2055">
        <f>VLOOKUP(Scores[[#This Row],[MRUN]],Demographics[], 5, FALSE)</f>
        <v>1</v>
      </c>
    </row>
    <row r="2056" spans="1:13" hidden="1" x14ac:dyDescent="0.2">
      <c r="A2056" s="1">
        <v>3384678</v>
      </c>
      <c r="B2056">
        <v>2</v>
      </c>
      <c r="C2056">
        <v>3</v>
      </c>
      <c r="D2056">
        <v>517</v>
      </c>
      <c r="E2056">
        <v>561</v>
      </c>
      <c r="F2056">
        <v>603</v>
      </c>
      <c r="G2056">
        <v>501</v>
      </c>
      <c r="H2056">
        <v>483</v>
      </c>
      <c r="I2056">
        <f>VLOOKUP(Scores[[#This Row],[MRUN]],Demographics[],3,FALSE)</f>
        <v>3</v>
      </c>
      <c r="J2056">
        <f>AVERAGE(Scores[[#This Row],[LYC]],Scores[[#This Row],[MATE]])</f>
        <v>582</v>
      </c>
      <c r="K2056">
        <f>VLOOKUP(Scores[[#This Row],[MRUN]],Demographics[],6,FALSE)</f>
        <v>2</v>
      </c>
      <c r="L2056">
        <f>VLOOKUP(Scores[[#This Row],[MRUN]],Demographics[], 7,FALSE)</f>
        <v>5</v>
      </c>
      <c r="M2056">
        <f>VLOOKUP(Scores[[#This Row],[MRUN]],Demographics[], 5, FALSE)</f>
        <v>1</v>
      </c>
    </row>
    <row r="2057" spans="1:13" hidden="1" x14ac:dyDescent="0.2">
      <c r="A2057" s="1">
        <v>3384677</v>
      </c>
      <c r="B2057">
        <v>2</v>
      </c>
      <c r="C2057">
        <v>3</v>
      </c>
      <c r="D2057">
        <v>662</v>
      </c>
      <c r="E2057">
        <v>541</v>
      </c>
      <c r="F2057">
        <v>413</v>
      </c>
      <c r="G2057">
        <v>562</v>
      </c>
      <c r="H2057">
        <v>0</v>
      </c>
      <c r="I2057">
        <f>VLOOKUP(Scores[[#This Row],[MRUN]],Demographics[],3,FALSE)</f>
        <v>0</v>
      </c>
      <c r="J2057">
        <f>AVERAGE(Scores[[#This Row],[LYC]],Scores[[#This Row],[MATE]])</f>
        <v>477</v>
      </c>
      <c r="K2057">
        <f>VLOOKUP(Scores[[#This Row],[MRUN]],Demographics[],6,FALSE)</f>
        <v>0</v>
      </c>
      <c r="L2057">
        <f>VLOOKUP(Scores[[#This Row],[MRUN]],Demographics[], 7,FALSE)</f>
        <v>0</v>
      </c>
      <c r="M2057">
        <f>VLOOKUP(Scores[[#This Row],[MRUN]],Demographics[], 5, FALSE)</f>
        <v>1</v>
      </c>
    </row>
    <row r="2058" spans="1:13" hidden="1" x14ac:dyDescent="0.2">
      <c r="A2058" s="1">
        <v>4727473</v>
      </c>
      <c r="B2058">
        <v>2</v>
      </c>
      <c r="C2058">
        <v>2</v>
      </c>
      <c r="D2058">
        <v>437</v>
      </c>
      <c r="E2058">
        <v>0</v>
      </c>
      <c r="F2058">
        <v>0</v>
      </c>
      <c r="G2058">
        <v>0</v>
      </c>
      <c r="H2058">
        <v>0</v>
      </c>
      <c r="I2058">
        <f>VLOOKUP(Scores[[#This Row],[MRUN]],Demographics[],3,FALSE)</f>
        <v>4</v>
      </c>
      <c r="J2058">
        <f>AVERAGE(Scores[[#This Row],[LYC]],Scores[[#This Row],[MATE]])</f>
        <v>0</v>
      </c>
      <c r="K2058">
        <f>VLOOKUP(Scores[[#This Row],[MRUN]],Demographics[],6,FALSE)</f>
        <v>3</v>
      </c>
      <c r="L2058">
        <f>VLOOKUP(Scores[[#This Row],[MRUN]],Demographics[], 7,FALSE)</f>
        <v>3</v>
      </c>
      <c r="M2058">
        <f>VLOOKUP(Scores[[#This Row],[MRUN]],Demographics[], 5, FALSE)</f>
        <v>1</v>
      </c>
    </row>
    <row r="2059" spans="1:13" hidden="1" x14ac:dyDescent="0.2">
      <c r="A2059" s="1">
        <v>4257916</v>
      </c>
      <c r="B2059">
        <v>2</v>
      </c>
      <c r="C2059">
        <v>3</v>
      </c>
      <c r="D2059">
        <v>437</v>
      </c>
      <c r="E2059">
        <v>476</v>
      </c>
      <c r="F2059">
        <v>472</v>
      </c>
      <c r="G2059">
        <v>521</v>
      </c>
      <c r="H2059">
        <v>0</v>
      </c>
      <c r="I2059">
        <f>VLOOKUP(Scores[[#This Row],[MRUN]],Demographics[],3,FALSE)</f>
        <v>4</v>
      </c>
      <c r="J2059">
        <f>AVERAGE(Scores[[#This Row],[LYC]],Scores[[#This Row],[MATE]])</f>
        <v>474</v>
      </c>
      <c r="K2059">
        <f>VLOOKUP(Scores[[#This Row],[MRUN]],Demographics[],6,FALSE)</f>
        <v>3</v>
      </c>
      <c r="L2059">
        <f>VLOOKUP(Scores[[#This Row],[MRUN]],Demographics[], 7,FALSE)</f>
        <v>3</v>
      </c>
      <c r="M2059">
        <f>VLOOKUP(Scores[[#This Row],[MRUN]],Demographics[], 5, FALSE)</f>
        <v>1</v>
      </c>
    </row>
    <row r="2060" spans="1:13" hidden="1" x14ac:dyDescent="0.2">
      <c r="A2060" s="1">
        <v>22624471</v>
      </c>
      <c r="B2060">
        <v>1</v>
      </c>
      <c r="C2060">
        <v>4</v>
      </c>
      <c r="D2060">
        <v>435</v>
      </c>
      <c r="E2060">
        <v>367</v>
      </c>
      <c r="F2060">
        <v>463</v>
      </c>
      <c r="G2060">
        <v>334</v>
      </c>
      <c r="H2060">
        <v>0</v>
      </c>
      <c r="I2060">
        <f>VLOOKUP(Scores[[#This Row],[MRUN]],Demographics[],3,FALSE)</f>
        <v>4</v>
      </c>
      <c r="J2060">
        <f>AVERAGE(Scores[[#This Row],[LYC]],Scores[[#This Row],[MATE]])</f>
        <v>415</v>
      </c>
      <c r="K2060">
        <f>VLOOKUP(Scores[[#This Row],[MRUN]],Demographics[],6,FALSE)</f>
        <v>4</v>
      </c>
      <c r="L2060">
        <f>VLOOKUP(Scores[[#This Row],[MRUN]],Demographics[], 7,FALSE)</f>
        <v>4</v>
      </c>
      <c r="M2060">
        <f>VLOOKUP(Scores[[#This Row],[MRUN]],Demographics[], 5, FALSE)</f>
        <v>3</v>
      </c>
    </row>
    <row r="2061" spans="1:13" hidden="1" x14ac:dyDescent="0.2">
      <c r="A2061" s="1">
        <v>9923111</v>
      </c>
      <c r="B2061">
        <v>1</v>
      </c>
      <c r="C2061">
        <v>2</v>
      </c>
      <c r="D2061">
        <v>642</v>
      </c>
      <c r="E2061">
        <v>451</v>
      </c>
      <c r="F2061">
        <v>353</v>
      </c>
      <c r="G2061">
        <v>406</v>
      </c>
      <c r="H2061">
        <v>361</v>
      </c>
      <c r="I2061">
        <f>VLOOKUP(Scores[[#This Row],[MRUN]],Demographics[],3,FALSE)</f>
        <v>0</v>
      </c>
      <c r="J2061">
        <f>AVERAGE(Scores[[#This Row],[LYC]],Scores[[#This Row],[MATE]])</f>
        <v>402</v>
      </c>
      <c r="K2061">
        <f>VLOOKUP(Scores[[#This Row],[MRUN]],Demographics[],6,FALSE)</f>
        <v>0</v>
      </c>
      <c r="L2061">
        <f>VLOOKUP(Scores[[#This Row],[MRUN]],Demographics[], 7,FALSE)</f>
        <v>0</v>
      </c>
      <c r="M2061">
        <f>VLOOKUP(Scores[[#This Row],[MRUN]],Demographics[], 5, FALSE)</f>
        <v>1</v>
      </c>
    </row>
    <row r="2062" spans="1:13" hidden="1" x14ac:dyDescent="0.2">
      <c r="A2062" s="1">
        <v>2769077</v>
      </c>
      <c r="B2062">
        <v>1</v>
      </c>
      <c r="C2062">
        <v>2</v>
      </c>
      <c r="D2062">
        <v>476</v>
      </c>
      <c r="E2062">
        <v>422</v>
      </c>
      <c r="F2062">
        <v>480</v>
      </c>
      <c r="G2062">
        <v>454</v>
      </c>
      <c r="H2062">
        <v>0</v>
      </c>
      <c r="I2062">
        <f>VLOOKUP(Scores[[#This Row],[MRUN]],Demographics[],3,FALSE)</f>
        <v>5</v>
      </c>
      <c r="J2062">
        <f>AVERAGE(Scores[[#This Row],[LYC]],Scores[[#This Row],[MATE]])</f>
        <v>451</v>
      </c>
      <c r="K2062">
        <f>VLOOKUP(Scores[[#This Row],[MRUN]],Demographics[],6,FALSE)</f>
        <v>5</v>
      </c>
      <c r="L2062">
        <f>VLOOKUP(Scores[[#This Row],[MRUN]],Demographics[], 7,FALSE)</f>
        <v>4</v>
      </c>
      <c r="M2062">
        <f>VLOOKUP(Scores[[#This Row],[MRUN]],Demographics[], 5, FALSE)</f>
        <v>1</v>
      </c>
    </row>
    <row r="2063" spans="1:13" hidden="1" x14ac:dyDescent="0.2">
      <c r="A2063" s="1">
        <v>21044362</v>
      </c>
      <c r="B2063">
        <v>1</v>
      </c>
      <c r="C2063">
        <v>3</v>
      </c>
      <c r="D2063">
        <v>620</v>
      </c>
      <c r="E2063">
        <v>458</v>
      </c>
      <c r="F2063">
        <v>472</v>
      </c>
      <c r="G2063">
        <v>466</v>
      </c>
      <c r="H2063">
        <v>0</v>
      </c>
      <c r="I2063">
        <f>VLOOKUP(Scores[[#This Row],[MRUN]],Demographics[],3,FALSE)</f>
        <v>5</v>
      </c>
      <c r="J2063">
        <f>AVERAGE(Scores[[#This Row],[LYC]],Scores[[#This Row],[MATE]])</f>
        <v>465</v>
      </c>
      <c r="K2063">
        <f>VLOOKUP(Scores[[#This Row],[MRUN]],Demographics[],6,FALSE)</f>
        <v>2</v>
      </c>
      <c r="L2063">
        <f>VLOOKUP(Scores[[#This Row],[MRUN]],Demographics[], 7,FALSE)</f>
        <v>2</v>
      </c>
      <c r="M2063">
        <f>VLOOKUP(Scores[[#This Row],[MRUN]],Demographics[], 5, FALSE)</f>
        <v>1</v>
      </c>
    </row>
    <row r="2064" spans="1:13" hidden="1" x14ac:dyDescent="0.2">
      <c r="A2064" s="1">
        <v>23912769</v>
      </c>
      <c r="B2064">
        <v>2</v>
      </c>
      <c r="C2064">
        <v>2</v>
      </c>
      <c r="D2064">
        <v>437</v>
      </c>
      <c r="E2064">
        <v>333</v>
      </c>
      <c r="F2064">
        <v>376</v>
      </c>
      <c r="G2064">
        <v>428</v>
      </c>
      <c r="H2064">
        <v>0</v>
      </c>
      <c r="I2064">
        <f>VLOOKUP(Scores[[#This Row],[MRUN]],Demographics[],3,FALSE)</f>
        <v>5</v>
      </c>
      <c r="J2064">
        <f>AVERAGE(Scores[[#This Row],[LYC]],Scores[[#This Row],[MATE]])</f>
        <v>354.5</v>
      </c>
      <c r="K2064">
        <f>VLOOKUP(Scores[[#This Row],[MRUN]],Demographics[],6,FALSE)</f>
        <v>3</v>
      </c>
      <c r="L2064">
        <f>VLOOKUP(Scores[[#This Row],[MRUN]],Demographics[], 7,FALSE)</f>
        <v>4</v>
      </c>
      <c r="M2064">
        <f>VLOOKUP(Scores[[#This Row],[MRUN]],Demographics[], 5, FALSE)</f>
        <v>1</v>
      </c>
    </row>
    <row r="2065" spans="1:13" hidden="1" x14ac:dyDescent="0.2">
      <c r="A2065" s="1">
        <v>1150694</v>
      </c>
      <c r="B2065">
        <v>2</v>
      </c>
      <c r="C2065">
        <v>3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f>VLOOKUP(Scores[[#This Row],[MRUN]],Demographics[],3,FALSE)</f>
        <v>0</v>
      </c>
      <c r="J2065">
        <f>AVERAGE(Scores[[#This Row],[LYC]],Scores[[#This Row],[MATE]])</f>
        <v>0</v>
      </c>
      <c r="K2065">
        <f>VLOOKUP(Scores[[#This Row],[MRUN]],Demographics[],6,FALSE)</f>
        <v>0</v>
      </c>
      <c r="L2065">
        <f>VLOOKUP(Scores[[#This Row],[MRUN]],Demographics[], 7,FALSE)</f>
        <v>0</v>
      </c>
      <c r="M2065">
        <f>VLOOKUP(Scores[[#This Row],[MRUN]],Demographics[], 5, FALSE)</f>
        <v>0</v>
      </c>
    </row>
    <row r="2066" spans="1:13" hidden="1" x14ac:dyDescent="0.2">
      <c r="A2066" s="1">
        <v>14833835</v>
      </c>
      <c r="B2066">
        <v>2</v>
      </c>
      <c r="C2066">
        <v>2</v>
      </c>
      <c r="D2066">
        <v>702</v>
      </c>
      <c r="E2066">
        <v>541</v>
      </c>
      <c r="F2066">
        <v>552</v>
      </c>
      <c r="G2066">
        <v>623</v>
      </c>
      <c r="H2066">
        <v>0</v>
      </c>
      <c r="I2066">
        <f>VLOOKUP(Scores[[#This Row],[MRUN]],Demographics[],3,FALSE)</f>
        <v>5</v>
      </c>
      <c r="J2066">
        <f>AVERAGE(Scores[[#This Row],[LYC]],Scores[[#This Row],[MATE]])</f>
        <v>546.5</v>
      </c>
      <c r="K2066">
        <f>VLOOKUP(Scores[[#This Row],[MRUN]],Demographics[],6,FALSE)</f>
        <v>5</v>
      </c>
      <c r="L2066">
        <f>VLOOKUP(Scores[[#This Row],[MRUN]],Demographics[], 7,FALSE)</f>
        <v>5</v>
      </c>
      <c r="M2066">
        <f>VLOOKUP(Scores[[#This Row],[MRUN]],Demographics[], 5, FALSE)</f>
        <v>1</v>
      </c>
    </row>
    <row r="2067" spans="1:13" hidden="1" x14ac:dyDescent="0.2">
      <c r="A2067" s="1">
        <v>9060967</v>
      </c>
      <c r="B2067">
        <v>2</v>
      </c>
      <c r="C2067">
        <v>2</v>
      </c>
      <c r="D2067">
        <v>601</v>
      </c>
      <c r="E2067">
        <v>531</v>
      </c>
      <c r="F2067">
        <v>517</v>
      </c>
      <c r="G2067">
        <v>562</v>
      </c>
      <c r="H2067">
        <v>428</v>
      </c>
      <c r="I2067">
        <f>VLOOKUP(Scores[[#This Row],[MRUN]],Demographics[],3,FALSE)</f>
        <v>5</v>
      </c>
      <c r="J2067">
        <f>AVERAGE(Scores[[#This Row],[LYC]],Scores[[#This Row],[MATE]])</f>
        <v>524</v>
      </c>
      <c r="K2067">
        <f>VLOOKUP(Scores[[#This Row],[MRUN]],Demographics[],6,FALSE)</f>
        <v>4</v>
      </c>
      <c r="L2067">
        <f>VLOOKUP(Scores[[#This Row],[MRUN]],Demographics[], 7,FALSE)</f>
        <v>3</v>
      </c>
      <c r="M2067">
        <f>VLOOKUP(Scores[[#This Row],[MRUN]],Demographics[], 5, FALSE)</f>
        <v>1</v>
      </c>
    </row>
    <row r="2068" spans="1:13" hidden="1" x14ac:dyDescent="0.2">
      <c r="A2068" s="1">
        <v>2432425</v>
      </c>
      <c r="B2068">
        <v>2</v>
      </c>
      <c r="C2068">
        <v>2</v>
      </c>
      <c r="D2068">
        <v>558</v>
      </c>
      <c r="E2068">
        <v>526</v>
      </c>
      <c r="F2068">
        <v>523</v>
      </c>
      <c r="G2068">
        <v>0</v>
      </c>
      <c r="H2068">
        <v>516</v>
      </c>
      <c r="I2068">
        <f>VLOOKUP(Scores[[#This Row],[MRUN]],Demographics[],3,FALSE)</f>
        <v>4</v>
      </c>
      <c r="J2068">
        <f>AVERAGE(Scores[[#This Row],[LYC]],Scores[[#This Row],[MATE]])</f>
        <v>524.5</v>
      </c>
      <c r="K2068">
        <f>VLOOKUP(Scores[[#This Row],[MRUN]],Demographics[],6,FALSE)</f>
        <v>0</v>
      </c>
      <c r="L2068">
        <f>VLOOKUP(Scores[[#This Row],[MRUN]],Demographics[], 7,FALSE)</f>
        <v>9</v>
      </c>
      <c r="M2068">
        <f>VLOOKUP(Scores[[#This Row],[MRUN]],Demographics[], 5, FALSE)</f>
        <v>1</v>
      </c>
    </row>
    <row r="2069" spans="1:13" hidden="1" x14ac:dyDescent="0.2">
      <c r="A2069" s="1">
        <v>2322837</v>
      </c>
      <c r="B2069">
        <v>1</v>
      </c>
      <c r="C2069">
        <v>2</v>
      </c>
      <c r="D2069">
        <v>397</v>
      </c>
      <c r="E2069">
        <v>356</v>
      </c>
      <c r="F2069">
        <v>376</v>
      </c>
      <c r="G2069">
        <v>348</v>
      </c>
      <c r="H2069">
        <v>0</v>
      </c>
      <c r="I2069">
        <f>VLOOKUP(Scores[[#This Row],[MRUN]],Demographics[],3,FALSE)</f>
        <v>5</v>
      </c>
      <c r="J2069">
        <f>AVERAGE(Scores[[#This Row],[LYC]],Scores[[#This Row],[MATE]])</f>
        <v>366</v>
      </c>
      <c r="K2069">
        <f>VLOOKUP(Scores[[#This Row],[MRUN]],Demographics[],6,FALSE)</f>
        <v>4</v>
      </c>
      <c r="L2069">
        <f>VLOOKUP(Scores[[#This Row],[MRUN]],Demographics[], 7,FALSE)</f>
        <v>4</v>
      </c>
      <c r="M2069">
        <f>VLOOKUP(Scores[[#This Row],[MRUN]],Demographics[], 5, FALSE)</f>
        <v>1</v>
      </c>
    </row>
    <row r="2070" spans="1:13" hidden="1" x14ac:dyDescent="0.2">
      <c r="A2070" s="1">
        <v>12413594</v>
      </c>
      <c r="B2070">
        <v>2</v>
      </c>
      <c r="C2070">
        <v>2</v>
      </c>
      <c r="D2070">
        <v>558</v>
      </c>
      <c r="E2070">
        <v>488</v>
      </c>
      <c r="F2070">
        <v>523</v>
      </c>
      <c r="G2070">
        <v>0</v>
      </c>
      <c r="H2070">
        <v>459</v>
      </c>
      <c r="I2070">
        <f>VLOOKUP(Scores[[#This Row],[MRUN]],Demographics[],3,FALSE)</f>
        <v>4</v>
      </c>
      <c r="J2070">
        <f>AVERAGE(Scores[[#This Row],[LYC]],Scores[[#This Row],[MATE]])</f>
        <v>505.5</v>
      </c>
      <c r="K2070">
        <f>VLOOKUP(Scores[[#This Row],[MRUN]],Demographics[],6,FALSE)</f>
        <v>3</v>
      </c>
      <c r="L2070">
        <f>VLOOKUP(Scores[[#This Row],[MRUN]],Demographics[], 7,FALSE)</f>
        <v>5</v>
      </c>
      <c r="M2070">
        <f>VLOOKUP(Scores[[#This Row],[MRUN]],Demographics[], 5, FALSE)</f>
        <v>1</v>
      </c>
    </row>
    <row r="2071" spans="1:13" hidden="1" x14ac:dyDescent="0.2">
      <c r="A2071" s="1">
        <v>9167892</v>
      </c>
      <c r="B2071">
        <v>2</v>
      </c>
      <c r="C2071">
        <v>3</v>
      </c>
      <c r="D2071">
        <v>558</v>
      </c>
      <c r="E2071">
        <v>586</v>
      </c>
      <c r="F2071">
        <v>557</v>
      </c>
      <c r="G2071">
        <v>0</v>
      </c>
      <c r="H2071">
        <v>587</v>
      </c>
      <c r="I2071">
        <f>VLOOKUP(Scores[[#This Row],[MRUN]],Demographics[],3,FALSE)</f>
        <v>5</v>
      </c>
      <c r="J2071">
        <f>AVERAGE(Scores[[#This Row],[LYC]],Scores[[#This Row],[MATE]])</f>
        <v>571.5</v>
      </c>
      <c r="K2071">
        <f>VLOOKUP(Scores[[#This Row],[MRUN]],Demographics[],6,FALSE)</f>
        <v>9</v>
      </c>
      <c r="L2071">
        <f>VLOOKUP(Scores[[#This Row],[MRUN]],Demographics[], 7,FALSE)</f>
        <v>5</v>
      </c>
      <c r="M2071">
        <f>VLOOKUP(Scores[[#This Row],[MRUN]],Demographics[], 5, FALSE)</f>
        <v>2</v>
      </c>
    </row>
    <row r="2072" spans="1:13" hidden="1" x14ac:dyDescent="0.2">
      <c r="A2072" s="1">
        <v>8317492</v>
      </c>
      <c r="B2072">
        <v>1</v>
      </c>
      <c r="C2072">
        <v>3</v>
      </c>
      <c r="D2072">
        <v>641</v>
      </c>
      <c r="E2072">
        <v>596</v>
      </c>
      <c r="F2072">
        <v>738</v>
      </c>
      <c r="G2072">
        <v>0</v>
      </c>
      <c r="H2072">
        <v>631</v>
      </c>
      <c r="I2072">
        <f>VLOOKUP(Scores[[#This Row],[MRUN]],Demographics[],3,FALSE)</f>
        <v>5</v>
      </c>
      <c r="J2072">
        <f>AVERAGE(Scores[[#This Row],[LYC]],Scores[[#This Row],[MATE]])</f>
        <v>667</v>
      </c>
      <c r="K2072">
        <f>VLOOKUP(Scores[[#This Row],[MRUN]],Demographics[],6,FALSE)</f>
        <v>8</v>
      </c>
      <c r="L2072">
        <f>VLOOKUP(Scores[[#This Row],[MRUN]],Demographics[], 7,FALSE)</f>
        <v>9</v>
      </c>
      <c r="M2072">
        <f>VLOOKUP(Scores[[#This Row],[MRUN]],Demographics[], 5, FALSE)</f>
        <v>2</v>
      </c>
    </row>
    <row r="2073" spans="1:13" hidden="1" x14ac:dyDescent="0.2">
      <c r="A2073" s="1">
        <v>21571091</v>
      </c>
      <c r="B2073">
        <v>1</v>
      </c>
      <c r="C2073">
        <v>3</v>
      </c>
      <c r="D2073">
        <v>620</v>
      </c>
      <c r="E2073">
        <v>641</v>
      </c>
      <c r="F2073">
        <v>589</v>
      </c>
      <c r="G2073">
        <v>0</v>
      </c>
      <c r="H2073">
        <v>562</v>
      </c>
      <c r="I2073">
        <f>VLOOKUP(Scores[[#This Row],[MRUN]],Demographics[],3,FALSE)</f>
        <v>5</v>
      </c>
      <c r="J2073">
        <f>AVERAGE(Scores[[#This Row],[LYC]],Scores[[#This Row],[MATE]])</f>
        <v>615</v>
      </c>
      <c r="K2073">
        <f>VLOOKUP(Scores[[#This Row],[MRUN]],Demographics[],6,FALSE)</f>
        <v>5</v>
      </c>
      <c r="L2073">
        <f>VLOOKUP(Scores[[#This Row],[MRUN]],Demographics[], 7,FALSE)</f>
        <v>5</v>
      </c>
      <c r="M2073">
        <f>VLOOKUP(Scores[[#This Row],[MRUN]],Demographics[], 5, FALSE)</f>
        <v>1</v>
      </c>
    </row>
    <row r="2074" spans="1:13" hidden="1" x14ac:dyDescent="0.2">
      <c r="A2074" s="1">
        <v>17096114</v>
      </c>
      <c r="B2074">
        <v>1</v>
      </c>
      <c r="C2074">
        <v>3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f>VLOOKUP(Scores[[#This Row],[MRUN]],Demographics[],3,FALSE)</f>
        <v>4</v>
      </c>
      <c r="J2074">
        <f>AVERAGE(Scores[[#This Row],[LYC]],Scores[[#This Row],[MATE]])</f>
        <v>0</v>
      </c>
      <c r="K2074">
        <f>VLOOKUP(Scores[[#This Row],[MRUN]],Demographics[],6,FALSE)</f>
        <v>0</v>
      </c>
      <c r="L2074">
        <f>VLOOKUP(Scores[[#This Row],[MRUN]],Demographics[], 7,FALSE)</f>
        <v>0</v>
      </c>
      <c r="M2074">
        <f>VLOOKUP(Scores[[#This Row],[MRUN]],Demographics[], 5, FALSE)</f>
        <v>1</v>
      </c>
    </row>
    <row r="2075" spans="1:13" hidden="1" x14ac:dyDescent="0.2">
      <c r="A2075" s="1">
        <v>354176</v>
      </c>
      <c r="B2075">
        <v>2</v>
      </c>
      <c r="C2075">
        <v>2</v>
      </c>
      <c r="D2075">
        <v>435</v>
      </c>
      <c r="E2075">
        <v>483</v>
      </c>
      <c r="F2075">
        <v>494</v>
      </c>
      <c r="G2075">
        <v>473</v>
      </c>
      <c r="H2075">
        <v>0</v>
      </c>
      <c r="I2075">
        <f>VLOOKUP(Scores[[#This Row],[MRUN]],Demographics[],3,FALSE)</f>
        <v>7</v>
      </c>
      <c r="J2075">
        <f>AVERAGE(Scores[[#This Row],[LYC]],Scores[[#This Row],[MATE]])</f>
        <v>488.5</v>
      </c>
      <c r="K2075">
        <f>VLOOKUP(Scores[[#This Row],[MRUN]],Demographics[],6,FALSE)</f>
        <v>5</v>
      </c>
      <c r="L2075">
        <f>VLOOKUP(Scores[[#This Row],[MRUN]],Demographics[], 7,FALSE)</f>
        <v>5</v>
      </c>
      <c r="M2075">
        <f>VLOOKUP(Scores[[#This Row],[MRUN]],Demographics[], 5, FALSE)</f>
        <v>1</v>
      </c>
    </row>
    <row r="2076" spans="1:13" hidden="1" x14ac:dyDescent="0.2">
      <c r="A2076" s="1">
        <v>8669103</v>
      </c>
      <c r="B2076">
        <v>2</v>
      </c>
      <c r="C2076">
        <v>2</v>
      </c>
      <c r="D2076">
        <v>496</v>
      </c>
      <c r="E2076">
        <v>471</v>
      </c>
      <c r="F2076">
        <v>413</v>
      </c>
      <c r="G2076">
        <v>0</v>
      </c>
      <c r="H2076">
        <v>417</v>
      </c>
      <c r="I2076">
        <f>VLOOKUP(Scores[[#This Row],[MRUN]],Demographics[],3,FALSE)</f>
        <v>3</v>
      </c>
      <c r="J2076">
        <f>AVERAGE(Scores[[#This Row],[LYC]],Scores[[#This Row],[MATE]])</f>
        <v>442</v>
      </c>
      <c r="K2076">
        <f>VLOOKUP(Scores[[#This Row],[MRUN]],Demographics[],6,FALSE)</f>
        <v>3</v>
      </c>
      <c r="L2076">
        <f>VLOOKUP(Scores[[#This Row],[MRUN]],Demographics[], 7,FALSE)</f>
        <v>5</v>
      </c>
      <c r="M2076">
        <f>VLOOKUP(Scores[[#This Row],[MRUN]],Demographics[], 5, FALSE)</f>
        <v>1</v>
      </c>
    </row>
    <row r="2077" spans="1:13" hidden="1" x14ac:dyDescent="0.2">
      <c r="A2077" s="1">
        <v>3069430</v>
      </c>
      <c r="B2077">
        <v>1</v>
      </c>
      <c r="C2077">
        <v>2</v>
      </c>
      <c r="D2077">
        <v>455</v>
      </c>
      <c r="E2077">
        <v>415</v>
      </c>
      <c r="F2077">
        <v>501</v>
      </c>
      <c r="G2077">
        <v>479</v>
      </c>
      <c r="H2077">
        <v>0</v>
      </c>
      <c r="I2077">
        <f>VLOOKUP(Scores[[#This Row],[MRUN]],Demographics[],3,FALSE)</f>
        <v>5</v>
      </c>
      <c r="J2077">
        <f>AVERAGE(Scores[[#This Row],[LYC]],Scores[[#This Row],[MATE]])</f>
        <v>458</v>
      </c>
      <c r="K2077">
        <f>VLOOKUP(Scores[[#This Row],[MRUN]],Demographics[],6,FALSE)</f>
        <v>4</v>
      </c>
      <c r="L2077">
        <f>VLOOKUP(Scores[[#This Row],[MRUN]],Demographics[], 7,FALSE)</f>
        <v>3</v>
      </c>
      <c r="M2077">
        <f>VLOOKUP(Scores[[#This Row],[MRUN]],Demographics[], 5, FALSE)</f>
        <v>1</v>
      </c>
    </row>
    <row r="2078" spans="1:13" hidden="1" x14ac:dyDescent="0.2">
      <c r="A2078" s="1">
        <v>13924049</v>
      </c>
      <c r="B2078">
        <v>2</v>
      </c>
      <c r="C2078">
        <v>2</v>
      </c>
      <c r="D2078">
        <v>661</v>
      </c>
      <c r="E2078">
        <v>464</v>
      </c>
      <c r="F2078">
        <v>531</v>
      </c>
      <c r="G2078">
        <v>0</v>
      </c>
      <c r="H2078">
        <v>459</v>
      </c>
      <c r="I2078">
        <f>VLOOKUP(Scores[[#This Row],[MRUN]],Demographics[],3,FALSE)</f>
        <v>4</v>
      </c>
      <c r="J2078">
        <f>AVERAGE(Scores[[#This Row],[LYC]],Scores[[#This Row],[MATE]])</f>
        <v>497.5</v>
      </c>
      <c r="K2078">
        <f>VLOOKUP(Scores[[#This Row],[MRUN]],Demographics[],6,FALSE)</f>
        <v>0</v>
      </c>
      <c r="L2078">
        <f>VLOOKUP(Scores[[#This Row],[MRUN]],Demographics[], 7,FALSE)</f>
        <v>0</v>
      </c>
      <c r="M2078">
        <f>VLOOKUP(Scores[[#This Row],[MRUN]],Demographics[], 5, FALSE)</f>
        <v>1</v>
      </c>
    </row>
    <row r="2079" spans="1:13" hidden="1" x14ac:dyDescent="0.2">
      <c r="A2079" s="1">
        <v>20723789</v>
      </c>
      <c r="B2079">
        <v>2</v>
      </c>
      <c r="C2079">
        <v>2</v>
      </c>
      <c r="D2079">
        <v>662</v>
      </c>
      <c r="E2079">
        <v>505</v>
      </c>
      <c r="F2079">
        <v>512</v>
      </c>
      <c r="G2079">
        <v>484</v>
      </c>
      <c r="H2079">
        <v>449</v>
      </c>
      <c r="I2079">
        <f>VLOOKUP(Scores[[#This Row],[MRUN]],Demographics[],3,FALSE)</f>
        <v>6</v>
      </c>
      <c r="J2079">
        <f>AVERAGE(Scores[[#This Row],[LYC]],Scores[[#This Row],[MATE]])</f>
        <v>508.5</v>
      </c>
      <c r="K2079">
        <f>VLOOKUP(Scores[[#This Row],[MRUN]],Demographics[],6,FALSE)</f>
        <v>3</v>
      </c>
      <c r="L2079">
        <f>VLOOKUP(Scores[[#This Row],[MRUN]],Demographics[], 7,FALSE)</f>
        <v>3</v>
      </c>
      <c r="M2079">
        <f>VLOOKUP(Scores[[#This Row],[MRUN]],Demographics[], 5, FALSE)</f>
        <v>1</v>
      </c>
    </row>
    <row r="2080" spans="1:13" hidden="1" x14ac:dyDescent="0.2">
      <c r="A2080" s="1">
        <v>2237539</v>
      </c>
      <c r="B2080">
        <v>1</v>
      </c>
      <c r="C2080">
        <v>3</v>
      </c>
      <c r="D2080">
        <v>501</v>
      </c>
      <c r="E2080">
        <v>0</v>
      </c>
      <c r="F2080">
        <v>0</v>
      </c>
      <c r="G2080">
        <v>0</v>
      </c>
      <c r="H2080">
        <v>0</v>
      </c>
      <c r="I2080">
        <f>VLOOKUP(Scores[[#This Row],[MRUN]],Demographics[],3,FALSE)</f>
        <v>5</v>
      </c>
      <c r="J2080">
        <f>AVERAGE(Scores[[#This Row],[LYC]],Scores[[#This Row],[MATE]])</f>
        <v>0</v>
      </c>
      <c r="K2080">
        <f>VLOOKUP(Scores[[#This Row],[MRUN]],Demographics[],6,FALSE)</f>
        <v>0</v>
      </c>
      <c r="L2080">
        <f>VLOOKUP(Scores[[#This Row],[MRUN]],Demographics[], 7,FALSE)</f>
        <v>5</v>
      </c>
      <c r="M2080">
        <f>VLOOKUP(Scores[[#This Row],[MRUN]],Demographics[], 5, FALSE)</f>
        <v>1</v>
      </c>
    </row>
    <row r="2081" spans="1:13" hidden="1" x14ac:dyDescent="0.2">
      <c r="A2081" s="1">
        <v>19111683</v>
      </c>
      <c r="B2081">
        <v>2</v>
      </c>
      <c r="C2081">
        <v>2</v>
      </c>
      <c r="D2081">
        <v>641</v>
      </c>
      <c r="E2081">
        <v>505</v>
      </c>
      <c r="F2081">
        <v>517</v>
      </c>
      <c r="G2081">
        <v>0</v>
      </c>
      <c r="H2081">
        <v>528</v>
      </c>
      <c r="I2081">
        <f>VLOOKUP(Scores[[#This Row],[MRUN]],Demographics[],3,FALSE)</f>
        <v>4</v>
      </c>
      <c r="J2081">
        <f>AVERAGE(Scores[[#This Row],[LYC]],Scores[[#This Row],[MATE]])</f>
        <v>511</v>
      </c>
      <c r="K2081">
        <f>VLOOKUP(Scores[[#This Row],[MRUN]],Demographics[],6,FALSE)</f>
        <v>4</v>
      </c>
      <c r="L2081">
        <f>VLOOKUP(Scores[[#This Row],[MRUN]],Demographics[], 7,FALSE)</f>
        <v>4</v>
      </c>
      <c r="M2081">
        <f>VLOOKUP(Scores[[#This Row],[MRUN]],Demographics[], 5, FALSE)</f>
        <v>1</v>
      </c>
    </row>
    <row r="2082" spans="1:13" hidden="1" x14ac:dyDescent="0.2">
      <c r="A2082" s="1">
        <v>16706742</v>
      </c>
      <c r="B2082">
        <v>1</v>
      </c>
      <c r="C2082">
        <v>3</v>
      </c>
      <c r="D2082">
        <v>519</v>
      </c>
      <c r="E2082">
        <v>0</v>
      </c>
      <c r="F2082">
        <v>0</v>
      </c>
      <c r="G2082">
        <v>0</v>
      </c>
      <c r="H2082">
        <v>0</v>
      </c>
      <c r="I2082">
        <f>VLOOKUP(Scores[[#This Row],[MRUN]],Demographics[],3,FALSE)</f>
        <v>7</v>
      </c>
      <c r="J2082">
        <f>AVERAGE(Scores[[#This Row],[LYC]],Scores[[#This Row],[MATE]])</f>
        <v>0</v>
      </c>
      <c r="K2082">
        <f>VLOOKUP(Scores[[#This Row],[MRUN]],Demographics[],6,FALSE)</f>
        <v>5</v>
      </c>
      <c r="L2082">
        <f>VLOOKUP(Scores[[#This Row],[MRUN]],Demographics[], 7,FALSE)</f>
        <v>4</v>
      </c>
      <c r="M2082">
        <f>VLOOKUP(Scores[[#This Row],[MRUN]],Demographics[], 5, FALSE)</f>
        <v>2</v>
      </c>
    </row>
    <row r="2083" spans="1:13" hidden="1" x14ac:dyDescent="0.2">
      <c r="A2083" s="1">
        <v>24444619</v>
      </c>
      <c r="B2083">
        <v>1</v>
      </c>
      <c r="C2083">
        <v>4</v>
      </c>
      <c r="D2083">
        <v>435</v>
      </c>
      <c r="E2083">
        <v>531</v>
      </c>
      <c r="F2083">
        <v>571</v>
      </c>
      <c r="G2083">
        <v>0</v>
      </c>
      <c r="H2083">
        <v>491</v>
      </c>
      <c r="I2083">
        <f>VLOOKUP(Scores[[#This Row],[MRUN]],Demographics[],3,FALSE)</f>
        <v>3</v>
      </c>
      <c r="J2083">
        <f>AVERAGE(Scores[[#This Row],[LYC]],Scores[[#This Row],[MATE]])</f>
        <v>551</v>
      </c>
      <c r="K2083">
        <f>VLOOKUP(Scores[[#This Row],[MRUN]],Demographics[],6,FALSE)</f>
        <v>0</v>
      </c>
      <c r="L2083">
        <f>VLOOKUP(Scores[[#This Row],[MRUN]],Demographics[], 7,FALSE)</f>
        <v>8</v>
      </c>
      <c r="M2083">
        <f>VLOOKUP(Scores[[#This Row],[MRUN]],Demographics[], 5, FALSE)</f>
        <v>2</v>
      </c>
    </row>
    <row r="2084" spans="1:13" hidden="1" x14ac:dyDescent="0.2">
      <c r="A2084" s="1">
        <v>9226903</v>
      </c>
      <c r="B2084">
        <v>2</v>
      </c>
      <c r="C2084">
        <v>2</v>
      </c>
      <c r="D2084">
        <v>702</v>
      </c>
      <c r="E2084">
        <v>0</v>
      </c>
      <c r="F2084">
        <v>0</v>
      </c>
      <c r="G2084">
        <v>0</v>
      </c>
      <c r="H2084">
        <v>0</v>
      </c>
      <c r="I2084">
        <f>VLOOKUP(Scores[[#This Row],[MRUN]],Demographics[],3,FALSE)</f>
        <v>3</v>
      </c>
      <c r="J2084">
        <f>AVERAGE(Scores[[#This Row],[LYC]],Scores[[#This Row],[MATE]])</f>
        <v>0</v>
      </c>
      <c r="K2084">
        <f>VLOOKUP(Scores[[#This Row],[MRUN]],Demographics[],6,FALSE)</f>
        <v>5</v>
      </c>
      <c r="L2084">
        <f>VLOOKUP(Scores[[#This Row],[MRUN]],Demographics[], 7,FALSE)</f>
        <v>4</v>
      </c>
      <c r="M2084">
        <f>VLOOKUP(Scores[[#This Row],[MRUN]],Demographics[], 5, FALSE)</f>
        <v>2</v>
      </c>
    </row>
    <row r="2085" spans="1:13" hidden="1" x14ac:dyDescent="0.2">
      <c r="A2085" s="1">
        <v>7139023</v>
      </c>
      <c r="B2085">
        <v>1</v>
      </c>
      <c r="C2085">
        <v>2</v>
      </c>
      <c r="D2085">
        <v>517</v>
      </c>
      <c r="E2085">
        <v>505</v>
      </c>
      <c r="F2085">
        <v>536</v>
      </c>
      <c r="G2085">
        <v>578</v>
      </c>
      <c r="H2085">
        <v>404</v>
      </c>
      <c r="I2085">
        <f>VLOOKUP(Scores[[#This Row],[MRUN]],Demographics[],3,FALSE)</f>
        <v>4</v>
      </c>
      <c r="J2085">
        <f>AVERAGE(Scores[[#This Row],[LYC]],Scores[[#This Row],[MATE]])</f>
        <v>520.5</v>
      </c>
      <c r="K2085">
        <f>VLOOKUP(Scores[[#This Row],[MRUN]],Demographics[],6,FALSE)</f>
        <v>8</v>
      </c>
      <c r="L2085">
        <f>VLOOKUP(Scores[[#This Row],[MRUN]],Demographics[], 7,FALSE)</f>
        <v>4</v>
      </c>
      <c r="M2085">
        <f>VLOOKUP(Scores[[#This Row],[MRUN]],Demographics[], 5, FALSE)</f>
        <v>2</v>
      </c>
    </row>
    <row r="2086" spans="1:13" hidden="1" x14ac:dyDescent="0.2">
      <c r="A2086" s="1">
        <v>9758496</v>
      </c>
      <c r="B2086">
        <v>1</v>
      </c>
      <c r="C2086">
        <v>2</v>
      </c>
      <c r="D2086">
        <v>599</v>
      </c>
      <c r="E2086">
        <v>592</v>
      </c>
      <c r="F2086">
        <v>527</v>
      </c>
      <c r="G2086">
        <v>0</v>
      </c>
      <c r="H2086">
        <v>417</v>
      </c>
      <c r="I2086">
        <f>VLOOKUP(Scores[[#This Row],[MRUN]],Demographics[],3,FALSE)</f>
        <v>5</v>
      </c>
      <c r="J2086">
        <f>AVERAGE(Scores[[#This Row],[LYC]],Scores[[#This Row],[MATE]])</f>
        <v>559.5</v>
      </c>
      <c r="K2086">
        <f>VLOOKUP(Scores[[#This Row],[MRUN]],Demographics[],6,FALSE)</f>
        <v>2</v>
      </c>
      <c r="L2086">
        <f>VLOOKUP(Scores[[#This Row],[MRUN]],Demographics[], 7,FALSE)</f>
        <v>5</v>
      </c>
      <c r="M2086">
        <f>VLOOKUP(Scores[[#This Row],[MRUN]],Demographics[], 5, FALSE)</f>
        <v>1</v>
      </c>
    </row>
    <row r="2087" spans="1:13" hidden="1" x14ac:dyDescent="0.2">
      <c r="A2087" s="1">
        <v>22063463</v>
      </c>
      <c r="B2087">
        <v>2</v>
      </c>
      <c r="C2087">
        <v>2</v>
      </c>
      <c r="D2087">
        <v>476</v>
      </c>
      <c r="E2087">
        <v>471</v>
      </c>
      <c r="F2087">
        <v>353</v>
      </c>
      <c r="G2087">
        <v>414</v>
      </c>
      <c r="H2087">
        <v>0</v>
      </c>
      <c r="I2087">
        <f>VLOOKUP(Scores[[#This Row],[MRUN]],Demographics[],3,FALSE)</f>
        <v>4</v>
      </c>
      <c r="J2087">
        <f>AVERAGE(Scores[[#This Row],[LYC]],Scores[[#This Row],[MATE]])</f>
        <v>412</v>
      </c>
      <c r="K2087">
        <f>VLOOKUP(Scores[[#This Row],[MRUN]],Demographics[],6,FALSE)</f>
        <v>9</v>
      </c>
      <c r="L2087">
        <f>VLOOKUP(Scores[[#This Row],[MRUN]],Demographics[], 7,FALSE)</f>
        <v>5</v>
      </c>
      <c r="M2087">
        <f>VLOOKUP(Scores[[#This Row],[MRUN]],Demographics[], 5, FALSE)</f>
        <v>1</v>
      </c>
    </row>
    <row r="2088" spans="1:13" hidden="1" x14ac:dyDescent="0.2">
      <c r="A2088" s="1">
        <v>15208158</v>
      </c>
      <c r="B2088">
        <v>1</v>
      </c>
      <c r="C2088">
        <v>2</v>
      </c>
      <c r="D2088">
        <v>496</v>
      </c>
      <c r="E2088">
        <v>290</v>
      </c>
      <c r="F2088">
        <v>376</v>
      </c>
      <c r="G2088">
        <v>442</v>
      </c>
      <c r="H2088">
        <v>0</v>
      </c>
      <c r="I2088">
        <f>VLOOKUP(Scores[[#This Row],[MRUN]],Demographics[],3,FALSE)</f>
        <v>4</v>
      </c>
      <c r="J2088">
        <f>AVERAGE(Scores[[#This Row],[LYC]],Scores[[#This Row],[MATE]])</f>
        <v>333</v>
      </c>
      <c r="K2088">
        <f>VLOOKUP(Scores[[#This Row],[MRUN]],Demographics[],6,FALSE)</f>
        <v>3</v>
      </c>
      <c r="L2088">
        <f>VLOOKUP(Scores[[#This Row],[MRUN]],Demographics[], 7,FALSE)</f>
        <v>3</v>
      </c>
      <c r="M2088">
        <f>VLOOKUP(Scores[[#This Row],[MRUN]],Demographics[], 5, FALSE)</f>
        <v>1</v>
      </c>
    </row>
    <row r="2089" spans="1:13" hidden="1" x14ac:dyDescent="0.2">
      <c r="A2089" s="1">
        <v>9630386</v>
      </c>
      <c r="B2089">
        <v>2</v>
      </c>
      <c r="C2089">
        <v>2</v>
      </c>
      <c r="D2089">
        <v>435</v>
      </c>
      <c r="E2089">
        <v>483</v>
      </c>
      <c r="F2089">
        <v>441</v>
      </c>
      <c r="G2089">
        <v>512</v>
      </c>
      <c r="H2089">
        <v>0</v>
      </c>
      <c r="I2089">
        <f>VLOOKUP(Scores[[#This Row],[MRUN]],Demographics[],3,FALSE)</f>
        <v>5</v>
      </c>
      <c r="J2089">
        <f>AVERAGE(Scores[[#This Row],[LYC]],Scores[[#This Row],[MATE]])</f>
        <v>462</v>
      </c>
      <c r="K2089">
        <f>VLOOKUP(Scores[[#This Row],[MRUN]],Demographics[],6,FALSE)</f>
        <v>5</v>
      </c>
      <c r="L2089">
        <f>VLOOKUP(Scores[[#This Row],[MRUN]],Demographics[], 7,FALSE)</f>
        <v>5</v>
      </c>
      <c r="M2089">
        <f>VLOOKUP(Scores[[#This Row],[MRUN]],Demographics[], 5, FALSE)</f>
        <v>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8B1A2-7909-2744-8AAB-2A478917A0A2}">
  <dimension ref="A1:K2089"/>
  <sheetViews>
    <sheetView tabSelected="1" topLeftCell="D1" workbookViewId="0">
      <selection activeCell="M8" sqref="M8"/>
    </sheetView>
  </sheetViews>
  <sheetFormatPr baseColWidth="10" defaultRowHeight="16" x14ac:dyDescent="0.2"/>
  <cols>
    <col min="3" max="3" width="13.6640625" customWidth="1"/>
    <col min="4" max="4" width="34" customWidth="1"/>
    <col min="5" max="5" width="15.6640625" customWidth="1"/>
    <col min="6" max="6" width="26" customWidth="1"/>
    <col min="7" max="9" width="26.83203125" customWidth="1"/>
    <col min="10" max="10" width="21.6640625" customWidth="1"/>
    <col min="11" max="11" width="23.1640625" customWidth="1"/>
  </cols>
  <sheetData>
    <row r="1" spans="1:11" x14ac:dyDescent="0.2">
      <c r="A1" t="s">
        <v>8</v>
      </c>
      <c r="B1" t="s">
        <v>468</v>
      </c>
      <c r="C1" t="s">
        <v>469</v>
      </c>
      <c r="D1" t="s">
        <v>470</v>
      </c>
      <c r="E1" t="s">
        <v>471</v>
      </c>
      <c r="F1" t="s">
        <v>472</v>
      </c>
      <c r="G1" t="s">
        <v>473</v>
      </c>
      <c r="H1" t="s">
        <v>481</v>
      </c>
      <c r="I1" t="s">
        <v>482</v>
      </c>
      <c r="J1" t="s">
        <v>474</v>
      </c>
      <c r="K1" t="s">
        <v>480</v>
      </c>
    </row>
    <row r="2" spans="1:11" x14ac:dyDescent="0.2">
      <c r="A2">
        <v>6359918</v>
      </c>
      <c r="B2">
        <v>27051965</v>
      </c>
      <c r="C2">
        <v>0</v>
      </c>
      <c r="D2">
        <v>0</v>
      </c>
      <c r="E2">
        <v>1</v>
      </c>
      <c r="F2">
        <v>3</v>
      </c>
      <c r="G2">
        <v>3</v>
      </c>
      <c r="H2" t="str">
        <f>IF(Demographics[[#This Row],[DOB]]&gt;10000000, TEXT(Demographics[[#This Row],[DOB]],0),CONCATENATE("0",TEXT(Demographics[[#This Row],[DOB]],0)))</f>
        <v>27051965</v>
      </c>
      <c r="I2" s="4">
        <f ca="1">IFERROR((VALUE(TODAY()-DATE(RIGHT(Demographics[[#This Row],[DOB - Fixed]],4),MID(Demographics[[#This Row],[DOB - Fixed]],3,2),LEFT(Demographics[[#This Row],[DOB - Fixed]],2))))/365,0)</f>
        <v>58.323287671232876</v>
      </c>
      <c r="J2">
        <f>VLOOKUP(Demographics[[#This Row],[INCOME LEVEL]],Income[],4,FALSE)</f>
        <v>175</v>
      </c>
      <c r="K2">
        <f>IFERROR(Demographics[[#This Row],[Total monthly income]]/Demographics[[#This Row],[FAMILY SIZE]], 0)</f>
        <v>0</v>
      </c>
    </row>
    <row r="3" spans="1:11" x14ac:dyDescent="0.2">
      <c r="A3">
        <v>19942312</v>
      </c>
      <c r="B3">
        <v>6111960</v>
      </c>
      <c r="C3">
        <v>4</v>
      </c>
      <c r="D3">
        <v>2</v>
      </c>
      <c r="E3">
        <v>2</v>
      </c>
      <c r="F3">
        <v>2</v>
      </c>
      <c r="G3">
        <v>4</v>
      </c>
      <c r="H3" t="str">
        <f>IF(Demographics[[#This Row],[DOB]]&gt;10000000, TEXT(Demographics[[#This Row],[DOB]],0),CONCATENATE("0",TEXT(Demographics[[#This Row],[DOB]],0)))</f>
        <v>06111960</v>
      </c>
      <c r="I3" s="4">
        <f ca="1">IFERROR((VALUE(TODAY()-DATE(RIGHT(Demographics[[#This Row],[DOB - Fixed]],4),MID(Demographics[[#This Row],[DOB - Fixed]],3,2),LEFT(Demographics[[#This Row],[DOB - Fixed]],2))))/365,0)</f>
        <v>62.87945205479452</v>
      </c>
      <c r="J3">
        <f>VLOOKUP(Demographics[[#This Row],[INCOME LEVEL]],Income[],4,FALSE)</f>
        <v>697.5</v>
      </c>
      <c r="K3">
        <f>IFERROR(Demographics[[#This Row],[Total monthly income]]/Demographics[[#This Row],[FAMILY SIZE]], 0)</f>
        <v>174.375</v>
      </c>
    </row>
    <row r="4" spans="1:11" x14ac:dyDescent="0.2">
      <c r="A4">
        <v>2329184</v>
      </c>
      <c r="B4">
        <v>23041969</v>
      </c>
      <c r="C4">
        <v>1</v>
      </c>
      <c r="D4">
        <v>1</v>
      </c>
      <c r="E4">
        <v>1</v>
      </c>
      <c r="F4">
        <v>2</v>
      </c>
      <c r="G4">
        <v>3</v>
      </c>
      <c r="H4" t="str">
        <f>IF(Demographics[[#This Row],[DOB]]&gt;10000000, TEXT(Demographics[[#This Row],[DOB]],0),CONCATENATE("0",TEXT(Demographics[[#This Row],[DOB]],0)))</f>
        <v>23041969</v>
      </c>
      <c r="I4" s="4">
        <f ca="1">IFERROR((VALUE(TODAY()-DATE(RIGHT(Demographics[[#This Row],[DOB - Fixed]],4),MID(Demographics[[#This Row],[DOB - Fixed]],3,2),LEFT(Demographics[[#This Row],[DOB - Fixed]],2))))/365,0)</f>
        <v>54.413698630136984</v>
      </c>
      <c r="J4">
        <f>VLOOKUP(Demographics[[#This Row],[INCOME LEVEL]],Income[],4,FALSE)</f>
        <v>175</v>
      </c>
      <c r="K4">
        <f>IFERROR(Demographics[[#This Row],[Total monthly income]]/Demographics[[#This Row],[FAMILY SIZE]], 0)</f>
        <v>175</v>
      </c>
    </row>
    <row r="5" spans="1:11" x14ac:dyDescent="0.2">
      <c r="A5">
        <v>11339507</v>
      </c>
      <c r="B5">
        <v>22101978</v>
      </c>
      <c r="C5">
        <v>4</v>
      </c>
      <c r="D5">
        <v>3</v>
      </c>
      <c r="E5">
        <v>2</v>
      </c>
      <c r="F5">
        <v>2</v>
      </c>
      <c r="G5">
        <v>2</v>
      </c>
      <c r="H5" t="str">
        <f>IF(Demographics[[#This Row],[DOB]]&gt;10000000, TEXT(Demographics[[#This Row],[DOB]],0),CONCATENATE("0",TEXT(Demographics[[#This Row],[DOB]],0)))</f>
        <v>22101978</v>
      </c>
      <c r="I5" s="4">
        <f ca="1">IFERROR((VALUE(TODAY()-DATE(RIGHT(Demographics[[#This Row],[DOB - Fixed]],4),MID(Demographics[[#This Row],[DOB - Fixed]],3,2),LEFT(Demographics[[#This Row],[DOB - Fixed]],2))))/365,0)</f>
        <v>44.909589041095892</v>
      </c>
      <c r="J5">
        <f>VLOOKUP(Demographics[[#This Row],[INCOME LEVEL]],Income[],4,FALSE)</f>
        <v>697.5</v>
      </c>
      <c r="K5">
        <f>IFERROR(Demographics[[#This Row],[Total monthly income]]/Demographics[[#This Row],[FAMILY SIZE]], 0)</f>
        <v>174.375</v>
      </c>
    </row>
    <row r="6" spans="1:11" x14ac:dyDescent="0.2">
      <c r="A6">
        <v>14990773</v>
      </c>
      <c r="B6">
        <v>14061981</v>
      </c>
      <c r="C6">
        <v>6</v>
      </c>
      <c r="D6">
        <v>1</v>
      </c>
      <c r="E6">
        <v>1</v>
      </c>
      <c r="F6">
        <v>9</v>
      </c>
      <c r="G6">
        <v>5</v>
      </c>
      <c r="H6" t="str">
        <f>IF(Demographics[[#This Row],[DOB]]&gt;10000000, TEXT(Demographics[[#This Row],[DOB]],0),CONCATENATE("0",TEXT(Demographics[[#This Row],[DOB]],0)))</f>
        <v>14061981</v>
      </c>
      <c r="I6" s="4">
        <f ca="1">IFERROR((VALUE(TODAY()-DATE(RIGHT(Demographics[[#This Row],[DOB - Fixed]],4),MID(Demographics[[#This Row],[DOB - Fixed]],3,2),LEFT(Demographics[[#This Row],[DOB - Fixed]],2))))/365,0)</f>
        <v>42.263013698630139</v>
      </c>
      <c r="J6">
        <f>VLOOKUP(Demographics[[#This Row],[INCOME LEVEL]],Income[],4,FALSE)</f>
        <v>175</v>
      </c>
      <c r="K6">
        <f>IFERROR(Demographics[[#This Row],[Total monthly income]]/Demographics[[#This Row],[FAMILY SIZE]], 0)</f>
        <v>29.166666666666668</v>
      </c>
    </row>
    <row r="7" spans="1:11" x14ac:dyDescent="0.2">
      <c r="A7">
        <v>6997586</v>
      </c>
      <c r="B7">
        <v>19081967</v>
      </c>
      <c r="C7">
        <v>0</v>
      </c>
      <c r="D7">
        <v>0</v>
      </c>
      <c r="E7">
        <v>1</v>
      </c>
      <c r="F7">
        <v>3</v>
      </c>
      <c r="G7">
        <v>3</v>
      </c>
      <c r="H7" t="str">
        <f>IF(Demographics[[#This Row],[DOB]]&gt;10000000, TEXT(Demographics[[#This Row],[DOB]],0),CONCATENATE("0",TEXT(Demographics[[#This Row],[DOB]],0)))</f>
        <v>19081967</v>
      </c>
      <c r="I7" s="4">
        <f ca="1">IFERROR((VALUE(TODAY()-DATE(RIGHT(Demographics[[#This Row],[DOB - Fixed]],4),MID(Demographics[[#This Row],[DOB - Fixed]],3,2),LEFT(Demographics[[#This Row],[DOB - Fixed]],2))))/365,0)</f>
        <v>56.093150684931508</v>
      </c>
      <c r="J7">
        <f>VLOOKUP(Demographics[[#This Row],[INCOME LEVEL]],Income[],4,FALSE)</f>
        <v>175</v>
      </c>
      <c r="K7">
        <f>IFERROR(Demographics[[#This Row],[Total monthly income]]/Demographics[[#This Row],[FAMILY SIZE]], 0)</f>
        <v>0</v>
      </c>
    </row>
    <row r="8" spans="1:11" x14ac:dyDescent="0.2">
      <c r="A8">
        <v>18732301</v>
      </c>
      <c r="B8">
        <v>21121970</v>
      </c>
      <c r="C8">
        <v>1</v>
      </c>
      <c r="D8">
        <v>1</v>
      </c>
      <c r="E8">
        <v>1</v>
      </c>
      <c r="F8">
        <v>1</v>
      </c>
      <c r="G8">
        <v>1</v>
      </c>
      <c r="H8" t="str">
        <f>IF(Demographics[[#This Row],[DOB]]&gt;10000000, TEXT(Demographics[[#This Row],[DOB]],0),CONCATENATE("0",TEXT(Demographics[[#This Row],[DOB]],0)))</f>
        <v>21121970</v>
      </c>
      <c r="I8" s="4">
        <f ca="1">IFERROR((VALUE(TODAY()-DATE(RIGHT(Demographics[[#This Row],[DOB - Fixed]],4),MID(Demographics[[#This Row],[DOB - Fixed]],3,2),LEFT(Demographics[[#This Row],[DOB - Fixed]],2))))/365,0)</f>
        <v>52.750684931506846</v>
      </c>
      <c r="J8">
        <f>VLOOKUP(Demographics[[#This Row],[INCOME LEVEL]],Income[],4,FALSE)</f>
        <v>175</v>
      </c>
      <c r="K8">
        <f>IFERROR(Demographics[[#This Row],[Total monthly income]]/Demographics[[#This Row],[FAMILY SIZE]], 0)</f>
        <v>175</v>
      </c>
    </row>
    <row r="9" spans="1:11" x14ac:dyDescent="0.2">
      <c r="A9">
        <v>13328516</v>
      </c>
      <c r="B9">
        <v>19101974</v>
      </c>
      <c r="C9">
        <v>0</v>
      </c>
      <c r="D9">
        <v>0</v>
      </c>
      <c r="E9">
        <v>1</v>
      </c>
      <c r="F9">
        <v>0</v>
      </c>
      <c r="G9">
        <v>0</v>
      </c>
      <c r="H9" t="str">
        <f>IF(Demographics[[#This Row],[DOB]]&gt;10000000, TEXT(Demographics[[#This Row],[DOB]],0),CONCATENATE("0",TEXT(Demographics[[#This Row],[DOB]],0)))</f>
        <v>19101974</v>
      </c>
      <c r="I9" s="4">
        <f ca="1">IFERROR((VALUE(TODAY()-DATE(RIGHT(Demographics[[#This Row],[DOB - Fixed]],4),MID(Demographics[[#This Row],[DOB - Fixed]],3,2),LEFT(Demographics[[#This Row],[DOB - Fixed]],2))))/365,0)</f>
        <v>48.920547945205477</v>
      </c>
      <c r="J9">
        <f>VLOOKUP(Demographics[[#This Row],[INCOME LEVEL]],Income[],4,FALSE)</f>
        <v>175</v>
      </c>
      <c r="K9">
        <f>IFERROR(Demographics[[#This Row],[Total monthly income]]/Demographics[[#This Row],[FAMILY SIZE]], 0)</f>
        <v>0</v>
      </c>
    </row>
    <row r="10" spans="1:11" x14ac:dyDescent="0.2">
      <c r="A10">
        <v>1297686</v>
      </c>
      <c r="B10">
        <v>27021977</v>
      </c>
      <c r="C10">
        <v>5</v>
      </c>
      <c r="D10">
        <v>3</v>
      </c>
      <c r="E10">
        <v>1</v>
      </c>
      <c r="F10">
        <v>4</v>
      </c>
      <c r="G10">
        <v>2</v>
      </c>
      <c r="H10" t="str">
        <f>IF(Demographics[[#This Row],[DOB]]&gt;10000000, TEXT(Demographics[[#This Row],[DOB]],0),CONCATENATE("0",TEXT(Demographics[[#This Row],[DOB]],0)))</f>
        <v>27021977</v>
      </c>
      <c r="I10" s="4">
        <f ca="1">IFERROR((VALUE(TODAY()-DATE(RIGHT(Demographics[[#This Row],[DOB - Fixed]],4),MID(Demographics[[#This Row],[DOB - Fixed]],3,2),LEFT(Demographics[[#This Row],[DOB - Fixed]],2))))/365,0)</f>
        <v>46.558904109589044</v>
      </c>
      <c r="J10">
        <f>VLOOKUP(Demographics[[#This Row],[INCOME LEVEL]],Income[],4,FALSE)</f>
        <v>175</v>
      </c>
      <c r="K10">
        <f>IFERROR(Demographics[[#This Row],[Total monthly income]]/Demographics[[#This Row],[FAMILY SIZE]], 0)</f>
        <v>35</v>
      </c>
    </row>
    <row r="11" spans="1:11" x14ac:dyDescent="0.2">
      <c r="A11">
        <v>20711393</v>
      </c>
      <c r="B11">
        <v>26081967</v>
      </c>
      <c r="C11">
        <v>5</v>
      </c>
      <c r="D11">
        <v>0</v>
      </c>
      <c r="E11">
        <v>1</v>
      </c>
      <c r="F11">
        <v>4</v>
      </c>
      <c r="G11">
        <v>3</v>
      </c>
      <c r="H11" t="str">
        <f>IF(Demographics[[#This Row],[DOB]]&gt;10000000, TEXT(Demographics[[#This Row],[DOB]],0),CONCATENATE("0",TEXT(Demographics[[#This Row],[DOB]],0)))</f>
        <v>26081967</v>
      </c>
      <c r="I11" s="4">
        <f ca="1">IFERROR((VALUE(TODAY()-DATE(RIGHT(Demographics[[#This Row],[DOB - Fixed]],4),MID(Demographics[[#This Row],[DOB - Fixed]],3,2),LEFT(Demographics[[#This Row],[DOB - Fixed]],2))))/365,0)</f>
        <v>56.073972602739723</v>
      </c>
      <c r="J11">
        <f>VLOOKUP(Demographics[[#This Row],[INCOME LEVEL]],Income[],4,FALSE)</f>
        <v>175</v>
      </c>
      <c r="K11">
        <f>IFERROR(Demographics[[#This Row],[Total monthly income]]/Demographics[[#This Row],[FAMILY SIZE]], 0)</f>
        <v>35</v>
      </c>
    </row>
    <row r="12" spans="1:11" x14ac:dyDescent="0.2">
      <c r="A12">
        <v>6669917</v>
      </c>
      <c r="B12">
        <v>30041976</v>
      </c>
      <c r="C12">
        <v>6</v>
      </c>
      <c r="D12">
        <v>1</v>
      </c>
      <c r="E12">
        <v>1</v>
      </c>
      <c r="F12">
        <v>2</v>
      </c>
      <c r="G12">
        <v>2</v>
      </c>
      <c r="H12" t="str">
        <f>IF(Demographics[[#This Row],[DOB]]&gt;10000000, TEXT(Demographics[[#This Row],[DOB]],0),CONCATENATE("0",TEXT(Demographics[[#This Row],[DOB]],0)))</f>
        <v>30041976</v>
      </c>
      <c r="I12" s="4">
        <f ca="1">IFERROR((VALUE(TODAY()-DATE(RIGHT(Demographics[[#This Row],[DOB - Fixed]],4),MID(Demographics[[#This Row],[DOB - Fixed]],3,2),LEFT(Demographics[[#This Row],[DOB - Fixed]],2))))/365,0)</f>
        <v>47.389041095890413</v>
      </c>
      <c r="J12">
        <f>VLOOKUP(Demographics[[#This Row],[INCOME LEVEL]],Income[],4,FALSE)</f>
        <v>175</v>
      </c>
      <c r="K12">
        <f>IFERROR(Demographics[[#This Row],[Total monthly income]]/Demographics[[#This Row],[FAMILY SIZE]], 0)</f>
        <v>29.166666666666668</v>
      </c>
    </row>
    <row r="13" spans="1:11" x14ac:dyDescent="0.2">
      <c r="A13">
        <v>13390415</v>
      </c>
      <c r="B13">
        <v>0</v>
      </c>
      <c r="C13">
        <v>5</v>
      </c>
      <c r="D13">
        <v>1</v>
      </c>
      <c r="E13">
        <v>1</v>
      </c>
      <c r="F13">
        <v>0</v>
      </c>
      <c r="G13">
        <v>0</v>
      </c>
      <c r="H13" t="str">
        <f>IF(Demographics[[#This Row],[DOB]]&gt;10000000, TEXT(Demographics[[#This Row],[DOB]],0),CONCATENATE("0",TEXT(Demographics[[#This Row],[DOB]],0)))</f>
        <v>00</v>
      </c>
      <c r="I13" s="4">
        <f ca="1">IFERROR((VALUE(TODAY()-DATE(RIGHT(Demographics[[#This Row],[DOB - Fixed]],4),MID(Demographics[[#This Row],[DOB - Fixed]],3,2),LEFT(Demographics[[#This Row],[DOB - Fixed]],2))))/365,0)</f>
        <v>0</v>
      </c>
      <c r="J13">
        <f>VLOOKUP(Demographics[[#This Row],[INCOME LEVEL]],Income[],4,FALSE)</f>
        <v>175</v>
      </c>
      <c r="K13">
        <f>IFERROR(Demographics[[#This Row],[Total monthly income]]/Demographics[[#This Row],[FAMILY SIZE]], 0)</f>
        <v>35</v>
      </c>
    </row>
    <row r="14" spans="1:11" x14ac:dyDescent="0.2">
      <c r="A14">
        <v>5099564</v>
      </c>
      <c r="B14">
        <v>7081973</v>
      </c>
      <c r="C14">
        <v>2</v>
      </c>
      <c r="D14">
        <v>1</v>
      </c>
      <c r="E14">
        <v>2</v>
      </c>
      <c r="F14">
        <v>4</v>
      </c>
      <c r="G14">
        <v>4</v>
      </c>
      <c r="H14" t="str">
        <f>IF(Demographics[[#This Row],[DOB]]&gt;10000000, TEXT(Demographics[[#This Row],[DOB]],0),CONCATENATE("0",TEXT(Demographics[[#This Row],[DOB]],0)))</f>
        <v>07081973</v>
      </c>
      <c r="I14" s="4">
        <f ca="1">IFERROR((VALUE(TODAY()-DATE(RIGHT(Demographics[[#This Row],[DOB - Fixed]],4),MID(Demographics[[#This Row],[DOB - Fixed]],3,2),LEFT(Demographics[[#This Row],[DOB - Fixed]],2))))/365,0)</f>
        <v>50.12054794520548</v>
      </c>
      <c r="J14">
        <f>VLOOKUP(Demographics[[#This Row],[INCOME LEVEL]],Income[],4,FALSE)</f>
        <v>697.5</v>
      </c>
      <c r="K14">
        <f>IFERROR(Demographics[[#This Row],[Total monthly income]]/Demographics[[#This Row],[FAMILY SIZE]], 0)</f>
        <v>348.75</v>
      </c>
    </row>
    <row r="15" spans="1:11" x14ac:dyDescent="0.2">
      <c r="A15">
        <v>22722846</v>
      </c>
      <c r="B15">
        <v>28071974</v>
      </c>
      <c r="C15">
        <v>3</v>
      </c>
      <c r="D15">
        <v>2</v>
      </c>
      <c r="E15">
        <v>1</v>
      </c>
      <c r="F15">
        <v>10</v>
      </c>
      <c r="G15">
        <v>10</v>
      </c>
      <c r="H15" t="str">
        <f>IF(Demographics[[#This Row],[DOB]]&gt;10000000, TEXT(Demographics[[#This Row],[DOB]],0),CONCATENATE("0",TEXT(Demographics[[#This Row],[DOB]],0)))</f>
        <v>28071974</v>
      </c>
      <c r="I15" s="4">
        <f ca="1">IFERROR((VALUE(TODAY()-DATE(RIGHT(Demographics[[#This Row],[DOB - Fixed]],4),MID(Demographics[[#This Row],[DOB - Fixed]],3,2),LEFT(Demographics[[#This Row],[DOB - Fixed]],2))))/365,0)</f>
        <v>49.147945205479452</v>
      </c>
      <c r="J15">
        <f>VLOOKUP(Demographics[[#This Row],[INCOME LEVEL]],Income[],4,FALSE)</f>
        <v>175</v>
      </c>
      <c r="K15">
        <f>IFERROR(Demographics[[#This Row],[Total monthly income]]/Demographics[[#This Row],[FAMILY SIZE]], 0)</f>
        <v>58.333333333333336</v>
      </c>
    </row>
    <row r="16" spans="1:11" x14ac:dyDescent="0.2">
      <c r="A16">
        <v>14076904</v>
      </c>
      <c r="B16">
        <v>6051973</v>
      </c>
      <c r="C16">
        <v>0</v>
      </c>
      <c r="D16">
        <v>0</v>
      </c>
      <c r="E16">
        <v>1</v>
      </c>
      <c r="F16">
        <v>0</v>
      </c>
      <c r="G16">
        <v>0</v>
      </c>
      <c r="H16" t="str">
        <f>IF(Demographics[[#This Row],[DOB]]&gt;10000000, TEXT(Demographics[[#This Row],[DOB]],0),CONCATENATE("0",TEXT(Demographics[[#This Row],[DOB]],0)))</f>
        <v>06051973</v>
      </c>
      <c r="I16" s="4">
        <f ca="1">IFERROR((VALUE(TODAY()-DATE(RIGHT(Demographics[[#This Row],[DOB - Fixed]],4),MID(Demographics[[#This Row],[DOB - Fixed]],3,2),LEFT(Demographics[[#This Row],[DOB - Fixed]],2))))/365,0)</f>
        <v>50.375342465753427</v>
      </c>
      <c r="J16">
        <f>VLOOKUP(Demographics[[#This Row],[INCOME LEVEL]],Income[],4,FALSE)</f>
        <v>175</v>
      </c>
      <c r="K16">
        <f>IFERROR(Demographics[[#This Row],[Total monthly income]]/Demographics[[#This Row],[FAMILY SIZE]], 0)</f>
        <v>0</v>
      </c>
    </row>
    <row r="17" spans="1:11" x14ac:dyDescent="0.2">
      <c r="A17">
        <v>14944702</v>
      </c>
      <c r="B17">
        <v>1091974</v>
      </c>
      <c r="C17">
        <v>5</v>
      </c>
      <c r="D17">
        <v>1</v>
      </c>
      <c r="E17">
        <v>1</v>
      </c>
      <c r="F17">
        <v>10</v>
      </c>
      <c r="G17">
        <v>4</v>
      </c>
      <c r="H17" t="str">
        <f>IF(Demographics[[#This Row],[DOB]]&gt;10000000, TEXT(Demographics[[#This Row],[DOB]],0),CONCATENATE("0",TEXT(Demographics[[#This Row],[DOB]],0)))</f>
        <v>01091974</v>
      </c>
      <c r="I17" s="4">
        <f ca="1">IFERROR((VALUE(TODAY()-DATE(RIGHT(Demographics[[#This Row],[DOB - Fixed]],4),MID(Demographics[[#This Row],[DOB - Fixed]],3,2),LEFT(Demographics[[#This Row],[DOB - Fixed]],2))))/365,0)</f>
        <v>49.052054794520551</v>
      </c>
      <c r="J17">
        <f>VLOOKUP(Demographics[[#This Row],[INCOME LEVEL]],Income[],4,FALSE)</f>
        <v>175</v>
      </c>
      <c r="K17">
        <f>IFERROR(Demographics[[#This Row],[Total monthly income]]/Demographics[[#This Row],[FAMILY SIZE]], 0)</f>
        <v>35</v>
      </c>
    </row>
    <row r="18" spans="1:11" x14ac:dyDescent="0.2">
      <c r="A18">
        <v>1430656</v>
      </c>
      <c r="B18">
        <v>27091976</v>
      </c>
      <c r="C18">
        <v>5</v>
      </c>
      <c r="D18">
        <v>1</v>
      </c>
      <c r="E18">
        <v>1</v>
      </c>
      <c r="F18">
        <v>0</v>
      </c>
      <c r="G18">
        <v>2</v>
      </c>
      <c r="H18" t="str">
        <f>IF(Demographics[[#This Row],[DOB]]&gt;10000000, TEXT(Demographics[[#This Row],[DOB]],0),CONCATENATE("0",TEXT(Demographics[[#This Row],[DOB]],0)))</f>
        <v>27091976</v>
      </c>
      <c r="I18" s="4">
        <f ca="1">IFERROR((VALUE(TODAY()-DATE(RIGHT(Demographics[[#This Row],[DOB - Fixed]],4),MID(Demographics[[#This Row],[DOB - Fixed]],3,2),LEFT(Demographics[[#This Row],[DOB - Fixed]],2))))/365,0)</f>
        <v>46.978082191780821</v>
      </c>
      <c r="J18">
        <f>VLOOKUP(Demographics[[#This Row],[INCOME LEVEL]],Income[],4,FALSE)</f>
        <v>175</v>
      </c>
      <c r="K18">
        <f>IFERROR(Demographics[[#This Row],[Total monthly income]]/Demographics[[#This Row],[FAMILY SIZE]], 0)</f>
        <v>35</v>
      </c>
    </row>
    <row r="19" spans="1:11" x14ac:dyDescent="0.2">
      <c r="A19">
        <v>14879454</v>
      </c>
      <c r="B19">
        <v>18011976</v>
      </c>
      <c r="C19">
        <v>0</v>
      </c>
      <c r="D19">
        <v>0</v>
      </c>
      <c r="E19">
        <v>1</v>
      </c>
      <c r="F19">
        <v>4</v>
      </c>
      <c r="G19">
        <v>3</v>
      </c>
      <c r="H19" t="str">
        <f>IF(Demographics[[#This Row],[DOB]]&gt;10000000, TEXT(Demographics[[#This Row],[DOB]],0),CONCATENATE("0",TEXT(Demographics[[#This Row],[DOB]],0)))</f>
        <v>18011976</v>
      </c>
      <c r="I19" s="4">
        <f ca="1">IFERROR((VALUE(TODAY()-DATE(RIGHT(Demographics[[#This Row],[DOB - Fixed]],4),MID(Demographics[[#This Row],[DOB - Fixed]],3,2),LEFT(Demographics[[#This Row],[DOB - Fixed]],2))))/365,0)</f>
        <v>47.671232876712331</v>
      </c>
      <c r="J19">
        <f>VLOOKUP(Demographics[[#This Row],[INCOME LEVEL]],Income[],4,FALSE)</f>
        <v>175</v>
      </c>
      <c r="K19">
        <f>IFERROR(Demographics[[#This Row],[Total monthly income]]/Demographics[[#This Row],[FAMILY SIZE]], 0)</f>
        <v>0</v>
      </c>
    </row>
    <row r="20" spans="1:11" x14ac:dyDescent="0.2">
      <c r="A20">
        <v>21174269</v>
      </c>
      <c r="B20">
        <v>26111976</v>
      </c>
      <c r="C20">
        <v>1</v>
      </c>
      <c r="D20">
        <v>1</v>
      </c>
      <c r="E20">
        <v>2</v>
      </c>
      <c r="F20">
        <v>2</v>
      </c>
      <c r="G20">
        <v>2</v>
      </c>
      <c r="H20" t="str">
        <f>IF(Demographics[[#This Row],[DOB]]&gt;10000000, TEXT(Demographics[[#This Row],[DOB]],0),CONCATENATE("0",TEXT(Demographics[[#This Row],[DOB]],0)))</f>
        <v>26111976</v>
      </c>
      <c r="I20" s="4">
        <f ca="1">IFERROR((VALUE(TODAY()-DATE(RIGHT(Demographics[[#This Row],[DOB - Fixed]],4),MID(Demographics[[#This Row],[DOB - Fixed]],3,2),LEFT(Demographics[[#This Row],[DOB - Fixed]],2))))/365,0)</f>
        <v>46.813698630136983</v>
      </c>
      <c r="J20">
        <f>VLOOKUP(Demographics[[#This Row],[INCOME LEVEL]],Income[],4,FALSE)</f>
        <v>697.5</v>
      </c>
      <c r="K20">
        <f>IFERROR(Demographics[[#This Row],[Total monthly income]]/Demographics[[#This Row],[FAMILY SIZE]], 0)</f>
        <v>697.5</v>
      </c>
    </row>
    <row r="21" spans="1:11" x14ac:dyDescent="0.2">
      <c r="A21">
        <v>2065956</v>
      </c>
      <c r="B21">
        <v>13051977</v>
      </c>
      <c r="C21">
        <v>3</v>
      </c>
      <c r="D21">
        <v>1</v>
      </c>
      <c r="E21">
        <v>1</v>
      </c>
      <c r="F21">
        <v>5</v>
      </c>
      <c r="G21">
        <v>4</v>
      </c>
      <c r="H21" t="str">
        <f>IF(Demographics[[#This Row],[DOB]]&gt;10000000, TEXT(Demographics[[#This Row],[DOB]],0),CONCATENATE("0",TEXT(Demographics[[#This Row],[DOB]],0)))</f>
        <v>13051977</v>
      </c>
      <c r="I21" s="4">
        <f ca="1">IFERROR((VALUE(TODAY()-DATE(RIGHT(Demographics[[#This Row],[DOB - Fixed]],4),MID(Demographics[[#This Row],[DOB - Fixed]],3,2),LEFT(Demographics[[#This Row],[DOB - Fixed]],2))))/365,0)</f>
        <v>46.353424657534248</v>
      </c>
      <c r="J21">
        <f>VLOOKUP(Demographics[[#This Row],[INCOME LEVEL]],Income[],4,FALSE)</f>
        <v>175</v>
      </c>
      <c r="K21">
        <f>IFERROR(Demographics[[#This Row],[Total monthly income]]/Demographics[[#This Row],[FAMILY SIZE]], 0)</f>
        <v>58.333333333333336</v>
      </c>
    </row>
    <row r="22" spans="1:11" x14ac:dyDescent="0.2">
      <c r="A22">
        <v>4720393</v>
      </c>
      <c r="B22">
        <v>23081976</v>
      </c>
      <c r="C22">
        <v>2</v>
      </c>
      <c r="D22">
        <v>0</v>
      </c>
      <c r="E22">
        <v>1</v>
      </c>
      <c r="F22">
        <v>2</v>
      </c>
      <c r="G22">
        <v>2</v>
      </c>
      <c r="H22" t="str">
        <f>IF(Demographics[[#This Row],[DOB]]&gt;10000000, TEXT(Demographics[[#This Row],[DOB]],0),CONCATENATE("0",TEXT(Demographics[[#This Row],[DOB]],0)))</f>
        <v>23081976</v>
      </c>
      <c r="I22" s="4">
        <f ca="1">IFERROR((VALUE(TODAY()-DATE(RIGHT(Demographics[[#This Row],[DOB - Fixed]],4),MID(Demographics[[#This Row],[DOB - Fixed]],3,2),LEFT(Demographics[[#This Row],[DOB - Fixed]],2))))/365,0)</f>
        <v>47.073972602739723</v>
      </c>
      <c r="J22">
        <f>VLOOKUP(Demographics[[#This Row],[INCOME LEVEL]],Income[],4,FALSE)</f>
        <v>175</v>
      </c>
      <c r="K22">
        <f>IFERROR(Demographics[[#This Row],[Total monthly income]]/Demographics[[#This Row],[FAMILY SIZE]], 0)</f>
        <v>87.5</v>
      </c>
    </row>
    <row r="23" spans="1:11" x14ac:dyDescent="0.2">
      <c r="A23">
        <v>15616310</v>
      </c>
      <c r="B23">
        <v>27021977</v>
      </c>
      <c r="C23">
        <v>5</v>
      </c>
      <c r="D23">
        <v>2</v>
      </c>
      <c r="E23">
        <v>1</v>
      </c>
      <c r="F23">
        <v>2</v>
      </c>
      <c r="G23">
        <v>2</v>
      </c>
      <c r="H23" t="str">
        <f>IF(Demographics[[#This Row],[DOB]]&gt;10000000, TEXT(Demographics[[#This Row],[DOB]],0),CONCATENATE("0",TEXT(Demographics[[#This Row],[DOB]],0)))</f>
        <v>27021977</v>
      </c>
      <c r="I23" s="4">
        <f ca="1">IFERROR((VALUE(TODAY()-DATE(RIGHT(Demographics[[#This Row],[DOB - Fixed]],4),MID(Demographics[[#This Row],[DOB - Fixed]],3,2),LEFT(Demographics[[#This Row],[DOB - Fixed]],2))))/365,0)</f>
        <v>46.558904109589044</v>
      </c>
      <c r="J23">
        <f>VLOOKUP(Demographics[[#This Row],[INCOME LEVEL]],Income[],4,FALSE)</f>
        <v>175</v>
      </c>
      <c r="K23">
        <f>IFERROR(Demographics[[#This Row],[Total monthly income]]/Demographics[[#This Row],[FAMILY SIZE]], 0)</f>
        <v>35</v>
      </c>
    </row>
    <row r="24" spans="1:11" x14ac:dyDescent="0.2">
      <c r="A24">
        <v>3687329</v>
      </c>
      <c r="B24">
        <v>25121977</v>
      </c>
      <c r="C24">
        <v>2</v>
      </c>
      <c r="D24">
        <v>2</v>
      </c>
      <c r="E24">
        <v>4</v>
      </c>
      <c r="F24">
        <v>3</v>
      </c>
      <c r="G24">
        <v>3</v>
      </c>
      <c r="H24" t="str">
        <f>IF(Demographics[[#This Row],[DOB]]&gt;10000000, TEXT(Demographics[[#This Row],[DOB]],0),CONCATENATE("0",TEXT(Demographics[[#This Row],[DOB]],0)))</f>
        <v>25121977</v>
      </c>
      <c r="I24" s="4">
        <f ca="1">IFERROR((VALUE(TODAY()-DATE(RIGHT(Demographics[[#This Row],[DOB - Fixed]],4),MID(Demographics[[#This Row],[DOB - Fixed]],3,2),LEFT(Demographics[[#This Row],[DOB - Fixed]],2))))/365,0)</f>
        <v>45.734246575342468</v>
      </c>
      <c r="J24">
        <f>VLOOKUP(Demographics[[#This Row],[INCOME LEVEL]],Income[],4,FALSE)</f>
        <v>2100</v>
      </c>
      <c r="K24">
        <f>IFERROR(Demographics[[#This Row],[Total monthly income]]/Demographics[[#This Row],[FAMILY SIZE]], 0)</f>
        <v>1050</v>
      </c>
    </row>
    <row r="25" spans="1:11" x14ac:dyDescent="0.2">
      <c r="A25">
        <v>6718065</v>
      </c>
      <c r="B25">
        <v>13111978</v>
      </c>
      <c r="C25">
        <v>3</v>
      </c>
      <c r="D25">
        <v>1</v>
      </c>
      <c r="E25">
        <v>1</v>
      </c>
      <c r="F25">
        <v>2</v>
      </c>
      <c r="G25">
        <v>9</v>
      </c>
      <c r="H25" t="str">
        <f>IF(Demographics[[#This Row],[DOB]]&gt;10000000, TEXT(Demographics[[#This Row],[DOB]],0),CONCATENATE("0",TEXT(Demographics[[#This Row],[DOB]],0)))</f>
        <v>13111978</v>
      </c>
      <c r="I25" s="4">
        <f ca="1">IFERROR((VALUE(TODAY()-DATE(RIGHT(Demographics[[#This Row],[DOB - Fixed]],4),MID(Demographics[[#This Row],[DOB - Fixed]],3,2),LEFT(Demographics[[#This Row],[DOB - Fixed]],2))))/365,0)</f>
        <v>44.849315068493148</v>
      </c>
      <c r="J25">
        <f>VLOOKUP(Demographics[[#This Row],[INCOME LEVEL]],Income[],4,FALSE)</f>
        <v>175</v>
      </c>
      <c r="K25">
        <f>IFERROR(Demographics[[#This Row],[Total monthly income]]/Demographics[[#This Row],[FAMILY SIZE]], 0)</f>
        <v>58.333333333333336</v>
      </c>
    </row>
    <row r="26" spans="1:11" x14ac:dyDescent="0.2">
      <c r="A26">
        <v>5450980</v>
      </c>
      <c r="B26">
        <v>10031978</v>
      </c>
      <c r="C26">
        <v>3</v>
      </c>
      <c r="D26">
        <v>1</v>
      </c>
      <c r="E26">
        <v>2</v>
      </c>
      <c r="F26">
        <v>2</v>
      </c>
      <c r="G26">
        <v>9</v>
      </c>
      <c r="H26" t="str">
        <f>IF(Demographics[[#This Row],[DOB]]&gt;10000000, TEXT(Demographics[[#This Row],[DOB]],0),CONCATENATE("0",TEXT(Demographics[[#This Row],[DOB]],0)))</f>
        <v>10031978</v>
      </c>
      <c r="I26" s="4">
        <f ca="1">IFERROR((VALUE(TODAY()-DATE(RIGHT(Demographics[[#This Row],[DOB - Fixed]],4),MID(Demographics[[#This Row],[DOB - Fixed]],3,2),LEFT(Demographics[[#This Row],[DOB - Fixed]],2))))/365,0)</f>
        <v>45.528767123287672</v>
      </c>
      <c r="J26">
        <f>VLOOKUP(Demographics[[#This Row],[INCOME LEVEL]],Income[],4,FALSE)</f>
        <v>697.5</v>
      </c>
      <c r="K26">
        <f>IFERROR(Demographics[[#This Row],[Total monthly income]]/Demographics[[#This Row],[FAMILY SIZE]], 0)</f>
        <v>232.5</v>
      </c>
    </row>
    <row r="27" spans="1:11" x14ac:dyDescent="0.2">
      <c r="A27">
        <v>16716758</v>
      </c>
      <c r="B27">
        <v>7011979</v>
      </c>
      <c r="C27">
        <v>7</v>
      </c>
      <c r="D27">
        <v>2</v>
      </c>
      <c r="E27">
        <v>1</v>
      </c>
      <c r="F27">
        <v>2</v>
      </c>
      <c r="G27">
        <v>3</v>
      </c>
      <c r="H27" t="str">
        <f>IF(Demographics[[#This Row],[DOB]]&gt;10000000, TEXT(Demographics[[#This Row],[DOB]],0),CONCATENATE("0",TEXT(Demographics[[#This Row],[DOB]],0)))</f>
        <v>07011979</v>
      </c>
      <c r="I27" s="4">
        <f ca="1">IFERROR((VALUE(TODAY()-DATE(RIGHT(Demographics[[#This Row],[DOB - Fixed]],4),MID(Demographics[[#This Row],[DOB - Fixed]],3,2),LEFT(Demographics[[#This Row],[DOB - Fixed]],2))))/365,0)</f>
        <v>44.698630136986303</v>
      </c>
      <c r="J27">
        <f>VLOOKUP(Demographics[[#This Row],[INCOME LEVEL]],Income[],4,FALSE)</f>
        <v>175</v>
      </c>
      <c r="K27">
        <f>IFERROR(Demographics[[#This Row],[Total monthly income]]/Demographics[[#This Row],[FAMILY SIZE]], 0)</f>
        <v>25</v>
      </c>
    </row>
    <row r="28" spans="1:11" x14ac:dyDescent="0.2">
      <c r="A28">
        <v>23807658</v>
      </c>
      <c r="B28">
        <v>22121978</v>
      </c>
      <c r="C28">
        <v>4</v>
      </c>
      <c r="D28">
        <v>1</v>
      </c>
      <c r="E28">
        <v>2</v>
      </c>
      <c r="F28">
        <v>2</v>
      </c>
      <c r="G28">
        <v>2</v>
      </c>
      <c r="H28" t="str">
        <f>IF(Demographics[[#This Row],[DOB]]&gt;10000000, TEXT(Demographics[[#This Row],[DOB]],0),CONCATENATE("0",TEXT(Demographics[[#This Row],[DOB]],0)))</f>
        <v>22121978</v>
      </c>
      <c r="I28" s="4">
        <f ca="1">IFERROR((VALUE(TODAY()-DATE(RIGHT(Demographics[[#This Row],[DOB - Fixed]],4),MID(Demographics[[#This Row],[DOB - Fixed]],3,2),LEFT(Demographics[[#This Row],[DOB - Fixed]],2))))/365,0)</f>
        <v>44.742465753424661</v>
      </c>
      <c r="J28">
        <f>VLOOKUP(Demographics[[#This Row],[INCOME LEVEL]],Income[],4,FALSE)</f>
        <v>697.5</v>
      </c>
      <c r="K28">
        <f>IFERROR(Demographics[[#This Row],[Total monthly income]]/Demographics[[#This Row],[FAMILY SIZE]], 0)</f>
        <v>174.375</v>
      </c>
    </row>
    <row r="29" spans="1:11" x14ac:dyDescent="0.2">
      <c r="A29">
        <v>7312986</v>
      </c>
      <c r="B29">
        <v>19041979</v>
      </c>
      <c r="C29">
        <v>4</v>
      </c>
      <c r="D29">
        <v>1</v>
      </c>
      <c r="E29">
        <v>1</v>
      </c>
      <c r="F29">
        <v>0</v>
      </c>
      <c r="G29">
        <v>3</v>
      </c>
      <c r="H29" t="str">
        <f>IF(Demographics[[#This Row],[DOB]]&gt;10000000, TEXT(Demographics[[#This Row],[DOB]],0),CONCATENATE("0",TEXT(Demographics[[#This Row],[DOB]],0)))</f>
        <v>19041979</v>
      </c>
      <c r="I29" s="4">
        <f ca="1">IFERROR((VALUE(TODAY()-DATE(RIGHT(Demographics[[#This Row],[DOB - Fixed]],4),MID(Demographics[[#This Row],[DOB - Fixed]],3,2),LEFT(Demographics[[#This Row],[DOB - Fixed]],2))))/365,0)</f>
        <v>44.419178082191777</v>
      </c>
      <c r="J29">
        <f>VLOOKUP(Demographics[[#This Row],[INCOME LEVEL]],Income[],4,FALSE)</f>
        <v>175</v>
      </c>
      <c r="K29">
        <f>IFERROR(Demographics[[#This Row],[Total monthly income]]/Demographics[[#This Row],[FAMILY SIZE]], 0)</f>
        <v>43.75</v>
      </c>
    </row>
    <row r="30" spans="1:11" x14ac:dyDescent="0.2">
      <c r="A30">
        <v>8077404</v>
      </c>
      <c r="B30">
        <v>22111979</v>
      </c>
      <c r="C30">
        <v>5</v>
      </c>
      <c r="D30">
        <v>2</v>
      </c>
      <c r="E30">
        <v>2</v>
      </c>
      <c r="F30">
        <v>5</v>
      </c>
      <c r="G30">
        <v>9</v>
      </c>
      <c r="H30" t="str">
        <f>IF(Demographics[[#This Row],[DOB]]&gt;10000000, TEXT(Demographics[[#This Row],[DOB]],0),CONCATENATE("0",TEXT(Demographics[[#This Row],[DOB]],0)))</f>
        <v>22111979</v>
      </c>
      <c r="I30" s="4">
        <f ca="1">IFERROR((VALUE(TODAY()-DATE(RIGHT(Demographics[[#This Row],[DOB - Fixed]],4),MID(Demographics[[#This Row],[DOB - Fixed]],3,2),LEFT(Demographics[[#This Row],[DOB - Fixed]],2))))/365,0)</f>
        <v>43.824657534246576</v>
      </c>
      <c r="J30">
        <f>VLOOKUP(Demographics[[#This Row],[INCOME LEVEL]],Income[],4,FALSE)</f>
        <v>697.5</v>
      </c>
      <c r="K30">
        <f>IFERROR(Demographics[[#This Row],[Total monthly income]]/Demographics[[#This Row],[FAMILY SIZE]], 0)</f>
        <v>139.5</v>
      </c>
    </row>
    <row r="31" spans="1:11" x14ac:dyDescent="0.2">
      <c r="A31">
        <v>12386605</v>
      </c>
      <c r="B31">
        <v>1081979</v>
      </c>
      <c r="C31">
        <v>1</v>
      </c>
      <c r="D31">
        <v>1</v>
      </c>
      <c r="E31">
        <v>1</v>
      </c>
      <c r="F31">
        <v>4</v>
      </c>
      <c r="G31">
        <v>2</v>
      </c>
      <c r="H31" t="str">
        <f>IF(Demographics[[#This Row],[DOB]]&gt;10000000, TEXT(Demographics[[#This Row],[DOB]],0),CONCATENATE("0",TEXT(Demographics[[#This Row],[DOB]],0)))</f>
        <v>01081979</v>
      </c>
      <c r="I31" s="4">
        <f ca="1">IFERROR((VALUE(TODAY()-DATE(RIGHT(Demographics[[#This Row],[DOB - Fixed]],4),MID(Demographics[[#This Row],[DOB - Fixed]],3,2),LEFT(Demographics[[#This Row],[DOB - Fixed]],2))))/365,0)</f>
        <v>44.134246575342466</v>
      </c>
      <c r="J31">
        <f>VLOOKUP(Demographics[[#This Row],[INCOME LEVEL]],Income[],4,FALSE)</f>
        <v>175</v>
      </c>
      <c r="K31">
        <f>IFERROR(Demographics[[#This Row],[Total monthly income]]/Demographics[[#This Row],[FAMILY SIZE]], 0)</f>
        <v>175</v>
      </c>
    </row>
    <row r="32" spans="1:11" x14ac:dyDescent="0.2">
      <c r="A32">
        <v>11419632</v>
      </c>
      <c r="B32">
        <v>1091979</v>
      </c>
      <c r="C32">
        <v>5</v>
      </c>
      <c r="D32">
        <v>2</v>
      </c>
      <c r="E32">
        <v>2</v>
      </c>
      <c r="F32">
        <v>5</v>
      </c>
      <c r="G32">
        <v>9</v>
      </c>
      <c r="H32" t="str">
        <f>IF(Demographics[[#This Row],[DOB]]&gt;10000000, TEXT(Demographics[[#This Row],[DOB]],0),CONCATENATE("0",TEXT(Demographics[[#This Row],[DOB]],0)))</f>
        <v>01091979</v>
      </c>
      <c r="I32" s="4">
        <f ca="1">IFERROR((VALUE(TODAY()-DATE(RIGHT(Demographics[[#This Row],[DOB - Fixed]],4),MID(Demographics[[#This Row],[DOB - Fixed]],3,2),LEFT(Demographics[[#This Row],[DOB - Fixed]],2))))/365,0)</f>
        <v>44.049315068493151</v>
      </c>
      <c r="J32">
        <f>VLOOKUP(Demographics[[#This Row],[INCOME LEVEL]],Income[],4,FALSE)</f>
        <v>697.5</v>
      </c>
      <c r="K32">
        <f>IFERROR(Demographics[[#This Row],[Total monthly income]]/Demographics[[#This Row],[FAMILY SIZE]], 0)</f>
        <v>139.5</v>
      </c>
    </row>
    <row r="33" spans="1:11" x14ac:dyDescent="0.2">
      <c r="A33">
        <v>12475183</v>
      </c>
      <c r="B33">
        <v>29031979</v>
      </c>
      <c r="C33">
        <v>4</v>
      </c>
      <c r="D33">
        <v>4</v>
      </c>
      <c r="E33">
        <v>1</v>
      </c>
      <c r="F33">
        <v>4</v>
      </c>
      <c r="G33">
        <v>4</v>
      </c>
      <c r="H33" t="str">
        <f>IF(Demographics[[#This Row],[DOB]]&gt;10000000, TEXT(Demographics[[#This Row],[DOB]],0),CONCATENATE("0",TEXT(Demographics[[#This Row],[DOB]],0)))</f>
        <v>29031979</v>
      </c>
      <c r="I33" s="4">
        <f ca="1">IFERROR((VALUE(TODAY()-DATE(RIGHT(Demographics[[#This Row],[DOB - Fixed]],4),MID(Demographics[[#This Row],[DOB - Fixed]],3,2),LEFT(Demographics[[#This Row],[DOB - Fixed]],2))))/365,0)</f>
        <v>44.476712328767121</v>
      </c>
      <c r="J33">
        <f>VLOOKUP(Demographics[[#This Row],[INCOME LEVEL]],Income[],4,FALSE)</f>
        <v>175</v>
      </c>
      <c r="K33">
        <f>IFERROR(Demographics[[#This Row],[Total monthly income]]/Demographics[[#This Row],[FAMILY SIZE]], 0)</f>
        <v>43.75</v>
      </c>
    </row>
    <row r="34" spans="1:11" x14ac:dyDescent="0.2">
      <c r="A34">
        <v>21980852</v>
      </c>
      <c r="B34">
        <v>16041980</v>
      </c>
      <c r="C34">
        <v>5</v>
      </c>
      <c r="D34">
        <v>2</v>
      </c>
      <c r="E34">
        <v>1</v>
      </c>
      <c r="F34">
        <v>2</v>
      </c>
      <c r="G34">
        <v>2</v>
      </c>
      <c r="H34" t="str">
        <f>IF(Demographics[[#This Row],[DOB]]&gt;10000000, TEXT(Demographics[[#This Row],[DOB]],0),CONCATENATE("0",TEXT(Demographics[[#This Row],[DOB]],0)))</f>
        <v>16041980</v>
      </c>
      <c r="I34" s="4">
        <f ca="1">IFERROR((VALUE(TODAY()-DATE(RIGHT(Demographics[[#This Row],[DOB - Fixed]],4),MID(Demographics[[#This Row],[DOB - Fixed]],3,2),LEFT(Demographics[[#This Row],[DOB - Fixed]],2))))/365,0)</f>
        <v>43.424657534246577</v>
      </c>
      <c r="J34">
        <f>VLOOKUP(Demographics[[#This Row],[INCOME LEVEL]],Income[],4,FALSE)</f>
        <v>175</v>
      </c>
      <c r="K34">
        <f>IFERROR(Demographics[[#This Row],[Total monthly income]]/Demographics[[#This Row],[FAMILY SIZE]], 0)</f>
        <v>35</v>
      </c>
    </row>
    <row r="35" spans="1:11" x14ac:dyDescent="0.2">
      <c r="A35">
        <v>18679782</v>
      </c>
      <c r="B35">
        <v>27121979</v>
      </c>
      <c r="C35">
        <v>4</v>
      </c>
      <c r="D35">
        <v>1</v>
      </c>
      <c r="E35">
        <v>1</v>
      </c>
      <c r="F35">
        <v>4</v>
      </c>
      <c r="G35">
        <v>3</v>
      </c>
      <c r="H35" t="str">
        <f>IF(Demographics[[#This Row],[DOB]]&gt;10000000, TEXT(Demographics[[#This Row],[DOB]],0),CONCATENATE("0",TEXT(Demographics[[#This Row],[DOB]],0)))</f>
        <v>27121979</v>
      </c>
      <c r="I35" s="4">
        <f ca="1">IFERROR((VALUE(TODAY()-DATE(RIGHT(Demographics[[#This Row],[DOB - Fixed]],4),MID(Demographics[[#This Row],[DOB - Fixed]],3,2),LEFT(Demographics[[#This Row],[DOB - Fixed]],2))))/365,0)</f>
        <v>43.728767123287675</v>
      </c>
      <c r="J35">
        <f>VLOOKUP(Demographics[[#This Row],[INCOME LEVEL]],Income[],4,FALSE)</f>
        <v>175</v>
      </c>
      <c r="K35">
        <f>IFERROR(Demographics[[#This Row],[Total monthly income]]/Demographics[[#This Row],[FAMILY SIZE]], 0)</f>
        <v>43.75</v>
      </c>
    </row>
    <row r="36" spans="1:11" x14ac:dyDescent="0.2">
      <c r="A36">
        <v>8157767</v>
      </c>
      <c r="B36">
        <v>17041980</v>
      </c>
      <c r="C36">
        <v>0</v>
      </c>
      <c r="D36">
        <v>0</v>
      </c>
      <c r="E36">
        <v>1</v>
      </c>
      <c r="F36">
        <v>0</v>
      </c>
      <c r="G36">
        <v>0</v>
      </c>
      <c r="H36" t="str">
        <f>IF(Demographics[[#This Row],[DOB]]&gt;10000000, TEXT(Demographics[[#This Row],[DOB]],0),CONCATENATE("0",TEXT(Demographics[[#This Row],[DOB]],0)))</f>
        <v>17041980</v>
      </c>
      <c r="I36" s="4">
        <f ca="1">IFERROR((VALUE(TODAY()-DATE(RIGHT(Demographics[[#This Row],[DOB - Fixed]],4),MID(Demographics[[#This Row],[DOB - Fixed]],3,2),LEFT(Demographics[[#This Row],[DOB - Fixed]],2))))/365,0)</f>
        <v>43.421917808219177</v>
      </c>
      <c r="J36">
        <f>VLOOKUP(Demographics[[#This Row],[INCOME LEVEL]],Income[],4,FALSE)</f>
        <v>175</v>
      </c>
      <c r="K36">
        <f>IFERROR(Demographics[[#This Row],[Total monthly income]]/Demographics[[#This Row],[FAMILY SIZE]], 0)</f>
        <v>0</v>
      </c>
    </row>
    <row r="37" spans="1:11" x14ac:dyDescent="0.2">
      <c r="A37">
        <v>9144043</v>
      </c>
      <c r="B37">
        <v>4111980</v>
      </c>
      <c r="C37">
        <v>5</v>
      </c>
      <c r="D37">
        <v>3</v>
      </c>
      <c r="E37">
        <v>1</v>
      </c>
      <c r="F37">
        <v>2</v>
      </c>
      <c r="G37">
        <v>2</v>
      </c>
      <c r="H37" t="str">
        <f>IF(Demographics[[#This Row],[DOB]]&gt;10000000, TEXT(Demographics[[#This Row],[DOB]],0),CONCATENATE("0",TEXT(Demographics[[#This Row],[DOB]],0)))</f>
        <v>04111980</v>
      </c>
      <c r="I37" s="4">
        <f ca="1">IFERROR((VALUE(TODAY()-DATE(RIGHT(Demographics[[#This Row],[DOB - Fixed]],4),MID(Demographics[[#This Row],[DOB - Fixed]],3,2),LEFT(Demographics[[#This Row],[DOB - Fixed]],2))))/365,0)</f>
        <v>42.871232876712327</v>
      </c>
      <c r="J37">
        <f>VLOOKUP(Demographics[[#This Row],[INCOME LEVEL]],Income[],4,FALSE)</f>
        <v>175</v>
      </c>
      <c r="K37">
        <f>IFERROR(Demographics[[#This Row],[Total monthly income]]/Demographics[[#This Row],[FAMILY SIZE]], 0)</f>
        <v>35</v>
      </c>
    </row>
    <row r="38" spans="1:11" x14ac:dyDescent="0.2">
      <c r="A38">
        <v>63805</v>
      </c>
      <c r="B38">
        <v>28111980</v>
      </c>
      <c r="C38">
        <v>2</v>
      </c>
      <c r="D38">
        <v>1</v>
      </c>
      <c r="E38">
        <v>1</v>
      </c>
      <c r="F38">
        <v>3</v>
      </c>
      <c r="G38">
        <v>3</v>
      </c>
      <c r="H38" t="str">
        <f>IF(Demographics[[#This Row],[DOB]]&gt;10000000, TEXT(Demographics[[#This Row],[DOB]],0),CONCATENATE("0",TEXT(Demographics[[#This Row],[DOB]],0)))</f>
        <v>28111980</v>
      </c>
      <c r="I38" s="4">
        <f ca="1">IFERROR((VALUE(TODAY()-DATE(RIGHT(Demographics[[#This Row],[DOB - Fixed]],4),MID(Demographics[[#This Row],[DOB - Fixed]],3,2),LEFT(Demographics[[#This Row],[DOB - Fixed]],2))))/365,0)</f>
        <v>42.805479452054797</v>
      </c>
      <c r="J38">
        <f>VLOOKUP(Demographics[[#This Row],[INCOME LEVEL]],Income[],4,FALSE)</f>
        <v>175</v>
      </c>
      <c r="K38">
        <f>IFERROR(Demographics[[#This Row],[Total monthly income]]/Demographics[[#This Row],[FAMILY SIZE]], 0)</f>
        <v>87.5</v>
      </c>
    </row>
    <row r="39" spans="1:11" x14ac:dyDescent="0.2">
      <c r="A39">
        <v>23029485</v>
      </c>
      <c r="B39">
        <v>18111980</v>
      </c>
      <c r="C39">
        <v>3</v>
      </c>
      <c r="D39">
        <v>1</v>
      </c>
      <c r="E39">
        <v>1</v>
      </c>
      <c r="F39">
        <v>4</v>
      </c>
      <c r="G39">
        <v>2</v>
      </c>
      <c r="H39" t="str">
        <f>IF(Demographics[[#This Row],[DOB]]&gt;10000000, TEXT(Demographics[[#This Row],[DOB]],0),CONCATENATE("0",TEXT(Demographics[[#This Row],[DOB]],0)))</f>
        <v>18111980</v>
      </c>
      <c r="I39" s="4">
        <f ca="1">IFERROR((VALUE(TODAY()-DATE(RIGHT(Demographics[[#This Row],[DOB - Fixed]],4),MID(Demographics[[#This Row],[DOB - Fixed]],3,2),LEFT(Demographics[[#This Row],[DOB - Fixed]],2))))/365,0)</f>
        <v>42.832876712328769</v>
      </c>
      <c r="J39">
        <f>VLOOKUP(Demographics[[#This Row],[INCOME LEVEL]],Income[],4,FALSE)</f>
        <v>175</v>
      </c>
      <c r="K39">
        <f>IFERROR(Demographics[[#This Row],[Total monthly income]]/Demographics[[#This Row],[FAMILY SIZE]], 0)</f>
        <v>58.333333333333336</v>
      </c>
    </row>
    <row r="40" spans="1:11" x14ac:dyDescent="0.2">
      <c r="A40">
        <v>12804712</v>
      </c>
      <c r="B40">
        <v>26071980</v>
      </c>
      <c r="C40">
        <v>5</v>
      </c>
      <c r="D40">
        <v>1</v>
      </c>
      <c r="E40">
        <v>1</v>
      </c>
      <c r="F40">
        <v>5</v>
      </c>
      <c r="G40">
        <v>5</v>
      </c>
      <c r="H40" t="str">
        <f>IF(Demographics[[#This Row],[DOB]]&gt;10000000, TEXT(Demographics[[#This Row],[DOB]],0),CONCATENATE("0",TEXT(Demographics[[#This Row],[DOB]],0)))</f>
        <v>26071980</v>
      </c>
      <c r="I40" s="4">
        <f ca="1">IFERROR((VALUE(TODAY()-DATE(RIGHT(Demographics[[#This Row],[DOB - Fixed]],4),MID(Demographics[[#This Row],[DOB - Fixed]],3,2),LEFT(Demographics[[#This Row],[DOB - Fixed]],2))))/365,0)</f>
        <v>43.147945205479452</v>
      </c>
      <c r="J40">
        <f>VLOOKUP(Demographics[[#This Row],[INCOME LEVEL]],Income[],4,FALSE)</f>
        <v>175</v>
      </c>
      <c r="K40">
        <f>IFERROR(Demographics[[#This Row],[Total monthly income]]/Demographics[[#This Row],[FAMILY SIZE]], 0)</f>
        <v>35</v>
      </c>
    </row>
    <row r="41" spans="1:11" x14ac:dyDescent="0.2">
      <c r="A41">
        <v>7425182</v>
      </c>
      <c r="B41">
        <v>3041981</v>
      </c>
      <c r="C41">
        <v>6</v>
      </c>
      <c r="D41">
        <v>2</v>
      </c>
      <c r="E41">
        <v>1</v>
      </c>
      <c r="F41">
        <v>4</v>
      </c>
      <c r="G41">
        <v>5</v>
      </c>
      <c r="H41" t="str">
        <f>IF(Demographics[[#This Row],[DOB]]&gt;10000000, TEXT(Demographics[[#This Row],[DOB]],0),CONCATENATE("0",TEXT(Demographics[[#This Row],[DOB]],0)))</f>
        <v>03041981</v>
      </c>
      <c r="I41" s="4">
        <f ca="1">IFERROR((VALUE(TODAY()-DATE(RIGHT(Demographics[[#This Row],[DOB - Fixed]],4),MID(Demographics[[#This Row],[DOB - Fixed]],3,2),LEFT(Demographics[[#This Row],[DOB - Fixed]],2))))/365,0)</f>
        <v>42.460273972602742</v>
      </c>
      <c r="J41">
        <f>VLOOKUP(Demographics[[#This Row],[INCOME LEVEL]],Income[],4,FALSE)</f>
        <v>175</v>
      </c>
      <c r="K41">
        <f>IFERROR(Demographics[[#This Row],[Total monthly income]]/Demographics[[#This Row],[FAMILY SIZE]], 0)</f>
        <v>29.166666666666668</v>
      </c>
    </row>
    <row r="42" spans="1:11" x14ac:dyDescent="0.2">
      <c r="A42">
        <v>11129989</v>
      </c>
      <c r="B42">
        <v>16121977</v>
      </c>
      <c r="C42">
        <v>0</v>
      </c>
      <c r="D42">
        <v>0</v>
      </c>
      <c r="E42">
        <v>1</v>
      </c>
      <c r="F42">
        <v>2</v>
      </c>
      <c r="G42">
        <v>3</v>
      </c>
      <c r="H42" t="str">
        <f>IF(Demographics[[#This Row],[DOB]]&gt;10000000, TEXT(Demographics[[#This Row],[DOB]],0),CONCATENATE("0",TEXT(Demographics[[#This Row],[DOB]],0)))</f>
        <v>16121977</v>
      </c>
      <c r="I42" s="4">
        <f ca="1">IFERROR((VALUE(TODAY()-DATE(RIGHT(Demographics[[#This Row],[DOB - Fixed]],4),MID(Demographics[[#This Row],[DOB - Fixed]],3,2),LEFT(Demographics[[#This Row],[DOB - Fixed]],2))))/365,0)</f>
        <v>45.758904109589039</v>
      </c>
      <c r="J42">
        <f>VLOOKUP(Demographics[[#This Row],[INCOME LEVEL]],Income[],4,FALSE)</f>
        <v>175</v>
      </c>
      <c r="K42">
        <f>IFERROR(Demographics[[#This Row],[Total monthly income]]/Demographics[[#This Row],[FAMILY SIZE]], 0)</f>
        <v>0</v>
      </c>
    </row>
    <row r="43" spans="1:11" x14ac:dyDescent="0.2">
      <c r="A43">
        <v>2399438</v>
      </c>
      <c r="B43">
        <v>26101981</v>
      </c>
      <c r="C43">
        <v>4</v>
      </c>
      <c r="D43">
        <v>1</v>
      </c>
      <c r="E43">
        <v>2</v>
      </c>
      <c r="F43">
        <v>5</v>
      </c>
      <c r="G43">
        <v>9</v>
      </c>
      <c r="H43" t="str">
        <f>IF(Demographics[[#This Row],[DOB]]&gt;10000000, TEXT(Demographics[[#This Row],[DOB]],0),CONCATENATE("0",TEXT(Demographics[[#This Row],[DOB]],0)))</f>
        <v>26101981</v>
      </c>
      <c r="I43" s="4">
        <f ca="1">IFERROR((VALUE(TODAY()-DATE(RIGHT(Demographics[[#This Row],[DOB - Fixed]],4),MID(Demographics[[#This Row],[DOB - Fixed]],3,2),LEFT(Demographics[[#This Row],[DOB - Fixed]],2))))/365,0)</f>
        <v>41.895890410958906</v>
      </c>
      <c r="J43">
        <f>VLOOKUP(Demographics[[#This Row],[INCOME LEVEL]],Income[],4,FALSE)</f>
        <v>697.5</v>
      </c>
      <c r="K43">
        <f>IFERROR(Demographics[[#This Row],[Total monthly income]]/Demographics[[#This Row],[FAMILY SIZE]], 0)</f>
        <v>174.375</v>
      </c>
    </row>
    <row r="44" spans="1:11" x14ac:dyDescent="0.2">
      <c r="A44">
        <v>2892668</v>
      </c>
      <c r="B44">
        <v>6111981</v>
      </c>
      <c r="C44">
        <v>4</v>
      </c>
      <c r="D44">
        <v>0</v>
      </c>
      <c r="E44">
        <v>1</v>
      </c>
      <c r="F44">
        <v>2</v>
      </c>
      <c r="G44">
        <v>2</v>
      </c>
      <c r="H44" t="str">
        <f>IF(Demographics[[#This Row],[DOB]]&gt;10000000, TEXT(Demographics[[#This Row],[DOB]],0),CONCATENATE("0",TEXT(Demographics[[#This Row],[DOB]],0)))</f>
        <v>06111981</v>
      </c>
      <c r="I44" s="4">
        <f ca="1">IFERROR((VALUE(TODAY()-DATE(RIGHT(Demographics[[#This Row],[DOB - Fixed]],4),MID(Demographics[[#This Row],[DOB - Fixed]],3,2),LEFT(Demographics[[#This Row],[DOB - Fixed]],2))))/365,0)</f>
        <v>41.865753424657534</v>
      </c>
      <c r="J44">
        <f>VLOOKUP(Demographics[[#This Row],[INCOME LEVEL]],Income[],4,FALSE)</f>
        <v>175</v>
      </c>
      <c r="K44">
        <f>IFERROR(Demographics[[#This Row],[Total monthly income]]/Demographics[[#This Row],[FAMILY SIZE]], 0)</f>
        <v>43.75</v>
      </c>
    </row>
    <row r="45" spans="1:11" x14ac:dyDescent="0.2">
      <c r="A45">
        <v>19346989</v>
      </c>
      <c r="B45">
        <v>30081978</v>
      </c>
      <c r="C45">
        <v>0</v>
      </c>
      <c r="D45">
        <v>0</v>
      </c>
      <c r="E45">
        <v>1</v>
      </c>
      <c r="F45">
        <v>2</v>
      </c>
      <c r="G45">
        <v>2</v>
      </c>
      <c r="H45" t="str">
        <f>IF(Demographics[[#This Row],[DOB]]&gt;10000000, TEXT(Demographics[[#This Row],[DOB]],0),CONCATENATE("0",TEXT(Demographics[[#This Row],[DOB]],0)))</f>
        <v>30081978</v>
      </c>
      <c r="I45" s="4">
        <f ca="1">IFERROR((VALUE(TODAY()-DATE(RIGHT(Demographics[[#This Row],[DOB - Fixed]],4),MID(Demographics[[#This Row],[DOB - Fixed]],3,2),LEFT(Demographics[[#This Row],[DOB - Fixed]],2))))/365,0)</f>
        <v>45.054794520547944</v>
      </c>
      <c r="J45">
        <f>VLOOKUP(Demographics[[#This Row],[INCOME LEVEL]],Income[],4,FALSE)</f>
        <v>175</v>
      </c>
      <c r="K45">
        <f>IFERROR(Demographics[[#This Row],[Total monthly income]]/Demographics[[#This Row],[FAMILY SIZE]], 0)</f>
        <v>0</v>
      </c>
    </row>
    <row r="46" spans="1:11" x14ac:dyDescent="0.2">
      <c r="A46">
        <v>575075</v>
      </c>
      <c r="B46">
        <v>24091978</v>
      </c>
      <c r="C46">
        <v>4</v>
      </c>
      <c r="D46">
        <v>1</v>
      </c>
      <c r="E46">
        <v>1</v>
      </c>
      <c r="F46">
        <v>0</v>
      </c>
      <c r="G46">
        <v>0</v>
      </c>
      <c r="H46" t="str">
        <f>IF(Demographics[[#This Row],[DOB]]&gt;10000000, TEXT(Demographics[[#This Row],[DOB]],0),CONCATENATE("0",TEXT(Demographics[[#This Row],[DOB]],0)))</f>
        <v>24091978</v>
      </c>
      <c r="I46" s="4">
        <f ca="1">IFERROR((VALUE(TODAY()-DATE(RIGHT(Demographics[[#This Row],[DOB - Fixed]],4),MID(Demographics[[#This Row],[DOB - Fixed]],3,2),LEFT(Demographics[[#This Row],[DOB - Fixed]],2))))/365,0)</f>
        <v>44.986301369863014</v>
      </c>
      <c r="J46">
        <f>VLOOKUP(Demographics[[#This Row],[INCOME LEVEL]],Income[],4,FALSE)</f>
        <v>175</v>
      </c>
      <c r="K46">
        <f>IFERROR(Demographics[[#This Row],[Total monthly income]]/Demographics[[#This Row],[FAMILY SIZE]], 0)</f>
        <v>43.75</v>
      </c>
    </row>
    <row r="47" spans="1:11" x14ac:dyDescent="0.2">
      <c r="A47">
        <v>23196334</v>
      </c>
      <c r="B47">
        <v>10121981</v>
      </c>
      <c r="C47">
        <v>2</v>
      </c>
      <c r="D47">
        <v>1</v>
      </c>
      <c r="E47">
        <v>1</v>
      </c>
      <c r="F47">
        <v>3</v>
      </c>
      <c r="G47">
        <v>4</v>
      </c>
      <c r="H47" t="str">
        <f>IF(Demographics[[#This Row],[DOB]]&gt;10000000, TEXT(Demographics[[#This Row],[DOB]],0),CONCATENATE("0",TEXT(Demographics[[#This Row],[DOB]],0)))</f>
        <v>10121981</v>
      </c>
      <c r="I47" s="4">
        <f ca="1">IFERROR((VALUE(TODAY()-DATE(RIGHT(Demographics[[#This Row],[DOB - Fixed]],4),MID(Demographics[[#This Row],[DOB - Fixed]],3,2),LEFT(Demographics[[#This Row],[DOB - Fixed]],2))))/365,0)</f>
        <v>41.772602739726025</v>
      </c>
      <c r="J47">
        <f>VLOOKUP(Demographics[[#This Row],[INCOME LEVEL]],Income[],4,FALSE)</f>
        <v>175</v>
      </c>
      <c r="K47">
        <f>IFERROR(Demographics[[#This Row],[Total monthly income]]/Demographics[[#This Row],[FAMILY SIZE]], 0)</f>
        <v>87.5</v>
      </c>
    </row>
    <row r="48" spans="1:11" x14ac:dyDescent="0.2">
      <c r="A48">
        <v>23896044</v>
      </c>
      <c r="B48">
        <v>27081980</v>
      </c>
      <c r="C48">
        <v>0</v>
      </c>
      <c r="D48">
        <v>0</v>
      </c>
      <c r="E48">
        <v>1</v>
      </c>
      <c r="F48">
        <v>0</v>
      </c>
      <c r="G48">
        <v>0</v>
      </c>
      <c r="H48" t="str">
        <f>IF(Demographics[[#This Row],[DOB]]&gt;10000000, TEXT(Demographics[[#This Row],[DOB]],0),CONCATENATE("0",TEXT(Demographics[[#This Row],[DOB]],0)))</f>
        <v>27081980</v>
      </c>
      <c r="I48" s="4">
        <f ca="1">IFERROR((VALUE(TODAY()-DATE(RIGHT(Demographics[[#This Row],[DOB - Fixed]],4),MID(Demographics[[#This Row],[DOB - Fixed]],3,2),LEFT(Demographics[[#This Row],[DOB - Fixed]],2))))/365,0)</f>
        <v>43.060273972602737</v>
      </c>
      <c r="J48">
        <f>VLOOKUP(Demographics[[#This Row],[INCOME LEVEL]],Income[],4,FALSE)</f>
        <v>175</v>
      </c>
      <c r="K48">
        <f>IFERROR(Demographics[[#This Row],[Total monthly income]]/Demographics[[#This Row],[FAMILY SIZE]], 0)</f>
        <v>0</v>
      </c>
    </row>
    <row r="49" spans="1:11" x14ac:dyDescent="0.2">
      <c r="A49">
        <v>20332402</v>
      </c>
      <c r="B49">
        <v>13091981</v>
      </c>
      <c r="C49">
        <v>1</v>
      </c>
      <c r="D49">
        <v>1</v>
      </c>
      <c r="E49">
        <v>1</v>
      </c>
      <c r="F49">
        <v>4</v>
      </c>
      <c r="G49">
        <v>2</v>
      </c>
      <c r="H49" t="str">
        <f>IF(Demographics[[#This Row],[DOB]]&gt;10000000, TEXT(Demographics[[#This Row],[DOB]],0),CONCATENATE("0",TEXT(Demographics[[#This Row],[DOB]],0)))</f>
        <v>13091981</v>
      </c>
      <c r="I49" s="4">
        <f ca="1">IFERROR((VALUE(TODAY()-DATE(RIGHT(Demographics[[#This Row],[DOB - Fixed]],4),MID(Demographics[[#This Row],[DOB - Fixed]],3,2),LEFT(Demographics[[#This Row],[DOB - Fixed]],2))))/365,0)</f>
        <v>42.013698630136986</v>
      </c>
      <c r="J49">
        <f>VLOOKUP(Demographics[[#This Row],[INCOME LEVEL]],Income[],4,FALSE)</f>
        <v>175</v>
      </c>
      <c r="K49">
        <f>IFERROR(Demographics[[#This Row],[Total monthly income]]/Demographics[[#This Row],[FAMILY SIZE]], 0)</f>
        <v>175</v>
      </c>
    </row>
    <row r="50" spans="1:11" x14ac:dyDescent="0.2">
      <c r="A50">
        <v>948797</v>
      </c>
      <c r="B50">
        <v>8041981</v>
      </c>
      <c r="C50">
        <v>0</v>
      </c>
      <c r="D50">
        <v>0</v>
      </c>
      <c r="E50">
        <v>1</v>
      </c>
      <c r="F50">
        <v>3</v>
      </c>
      <c r="G50">
        <v>3</v>
      </c>
      <c r="H50" t="str">
        <f>IF(Demographics[[#This Row],[DOB]]&gt;10000000, TEXT(Demographics[[#This Row],[DOB]],0),CONCATENATE("0",TEXT(Demographics[[#This Row],[DOB]],0)))</f>
        <v>08041981</v>
      </c>
      <c r="I50" s="4">
        <f ca="1">IFERROR((VALUE(TODAY()-DATE(RIGHT(Demographics[[#This Row],[DOB - Fixed]],4),MID(Demographics[[#This Row],[DOB - Fixed]],3,2),LEFT(Demographics[[#This Row],[DOB - Fixed]],2))))/365,0)</f>
        <v>42.446575342465756</v>
      </c>
      <c r="J50">
        <f>VLOOKUP(Demographics[[#This Row],[INCOME LEVEL]],Income[],4,FALSE)</f>
        <v>175</v>
      </c>
      <c r="K50">
        <f>IFERROR(Demographics[[#This Row],[Total monthly income]]/Demographics[[#This Row],[FAMILY SIZE]], 0)</f>
        <v>0</v>
      </c>
    </row>
    <row r="51" spans="1:11" x14ac:dyDescent="0.2">
      <c r="A51">
        <v>16582019</v>
      </c>
      <c r="B51">
        <v>9021987</v>
      </c>
      <c r="C51">
        <v>6</v>
      </c>
      <c r="D51">
        <v>3</v>
      </c>
      <c r="E51">
        <v>3</v>
      </c>
      <c r="F51">
        <v>10</v>
      </c>
      <c r="G51">
        <v>10</v>
      </c>
      <c r="H51" t="str">
        <f>IF(Demographics[[#This Row],[DOB]]&gt;10000000, TEXT(Demographics[[#This Row],[DOB]],0),CONCATENATE("0",TEXT(Demographics[[#This Row],[DOB]],0)))</f>
        <v>09021987</v>
      </c>
      <c r="I51" s="4">
        <f ca="1">IFERROR((VALUE(TODAY()-DATE(RIGHT(Demographics[[#This Row],[DOB - Fixed]],4),MID(Demographics[[#This Row],[DOB - Fixed]],3,2),LEFT(Demographics[[#This Row],[DOB - Fixed]],2))))/365,0)</f>
        <v>36.602739726027394</v>
      </c>
      <c r="J51">
        <f>VLOOKUP(Demographics[[#This Row],[INCOME LEVEL]],Income[],4,FALSE)</f>
        <v>1397.5</v>
      </c>
      <c r="K51">
        <f>IFERROR(Demographics[[#This Row],[Total monthly income]]/Demographics[[#This Row],[FAMILY SIZE]], 0)</f>
        <v>232.91666666666666</v>
      </c>
    </row>
    <row r="52" spans="1:11" x14ac:dyDescent="0.2">
      <c r="A52">
        <v>16760001</v>
      </c>
      <c r="B52">
        <v>7051982</v>
      </c>
      <c r="C52">
        <v>7</v>
      </c>
      <c r="D52">
        <v>1</v>
      </c>
      <c r="E52">
        <v>1</v>
      </c>
      <c r="F52">
        <v>2</v>
      </c>
      <c r="G52">
        <v>5</v>
      </c>
      <c r="H52" t="str">
        <f>IF(Demographics[[#This Row],[DOB]]&gt;10000000, TEXT(Demographics[[#This Row],[DOB]],0),CONCATENATE("0",TEXT(Demographics[[#This Row],[DOB]],0)))</f>
        <v>07051982</v>
      </c>
      <c r="I52" s="4">
        <f ca="1">IFERROR((VALUE(TODAY()-DATE(RIGHT(Demographics[[#This Row],[DOB - Fixed]],4),MID(Demographics[[#This Row],[DOB - Fixed]],3,2),LEFT(Demographics[[#This Row],[DOB - Fixed]],2))))/365,0)</f>
        <v>41.367123287671234</v>
      </c>
      <c r="J52">
        <f>VLOOKUP(Demographics[[#This Row],[INCOME LEVEL]],Income[],4,FALSE)</f>
        <v>175</v>
      </c>
      <c r="K52">
        <f>IFERROR(Demographics[[#This Row],[Total monthly income]]/Demographics[[#This Row],[FAMILY SIZE]], 0)</f>
        <v>25</v>
      </c>
    </row>
    <row r="53" spans="1:11" x14ac:dyDescent="0.2">
      <c r="A53">
        <v>15339515</v>
      </c>
      <c r="B53">
        <v>27081982</v>
      </c>
      <c r="C53">
        <v>5</v>
      </c>
      <c r="D53">
        <v>2</v>
      </c>
      <c r="E53">
        <v>1</v>
      </c>
      <c r="F53">
        <v>2</v>
      </c>
      <c r="G53">
        <v>4</v>
      </c>
      <c r="H53" t="str">
        <f>IF(Demographics[[#This Row],[DOB]]&gt;10000000, TEXT(Demographics[[#This Row],[DOB]],0),CONCATENATE("0",TEXT(Demographics[[#This Row],[DOB]],0)))</f>
        <v>27081982</v>
      </c>
      <c r="I53" s="4">
        <f ca="1">IFERROR((VALUE(TODAY()-DATE(RIGHT(Demographics[[#This Row],[DOB - Fixed]],4),MID(Demographics[[#This Row],[DOB - Fixed]],3,2),LEFT(Demographics[[#This Row],[DOB - Fixed]],2))))/365,0)</f>
        <v>41.060273972602737</v>
      </c>
      <c r="J53">
        <f>VLOOKUP(Demographics[[#This Row],[INCOME LEVEL]],Income[],4,FALSE)</f>
        <v>175</v>
      </c>
      <c r="K53">
        <f>IFERROR(Demographics[[#This Row],[Total monthly income]]/Demographics[[#This Row],[FAMILY SIZE]], 0)</f>
        <v>35</v>
      </c>
    </row>
    <row r="54" spans="1:11" x14ac:dyDescent="0.2">
      <c r="A54">
        <v>4074944</v>
      </c>
      <c r="B54">
        <v>1041982</v>
      </c>
      <c r="C54">
        <v>10</v>
      </c>
      <c r="D54">
        <v>2</v>
      </c>
      <c r="E54">
        <v>1</v>
      </c>
      <c r="F54">
        <v>2</v>
      </c>
      <c r="G54">
        <v>2</v>
      </c>
      <c r="H54" t="str">
        <f>IF(Demographics[[#This Row],[DOB]]&gt;10000000, TEXT(Demographics[[#This Row],[DOB]],0),CONCATENATE("0",TEXT(Demographics[[#This Row],[DOB]],0)))</f>
        <v>01041982</v>
      </c>
      <c r="I54" s="4">
        <f ca="1">IFERROR((VALUE(TODAY()-DATE(RIGHT(Demographics[[#This Row],[DOB - Fixed]],4),MID(Demographics[[#This Row],[DOB - Fixed]],3,2),LEFT(Demographics[[#This Row],[DOB - Fixed]],2))))/365,0)</f>
        <v>41.465753424657535</v>
      </c>
      <c r="J54">
        <f>VLOOKUP(Demographics[[#This Row],[INCOME LEVEL]],Income[],4,FALSE)</f>
        <v>175</v>
      </c>
      <c r="K54">
        <f>IFERROR(Demographics[[#This Row],[Total monthly income]]/Demographics[[#This Row],[FAMILY SIZE]], 0)</f>
        <v>17.5</v>
      </c>
    </row>
    <row r="55" spans="1:11" x14ac:dyDescent="0.2">
      <c r="A55">
        <v>18006089</v>
      </c>
      <c r="B55">
        <v>13011982</v>
      </c>
      <c r="C55">
        <v>5</v>
      </c>
      <c r="D55">
        <v>2</v>
      </c>
      <c r="E55">
        <v>2</v>
      </c>
      <c r="F55">
        <v>7</v>
      </c>
      <c r="G55">
        <v>2</v>
      </c>
      <c r="H55" t="str">
        <f>IF(Demographics[[#This Row],[DOB]]&gt;10000000, TEXT(Demographics[[#This Row],[DOB]],0),CONCATENATE("0",TEXT(Demographics[[#This Row],[DOB]],0)))</f>
        <v>13011982</v>
      </c>
      <c r="I55" s="4">
        <f ca="1">IFERROR((VALUE(TODAY()-DATE(RIGHT(Demographics[[#This Row],[DOB - Fixed]],4),MID(Demographics[[#This Row],[DOB - Fixed]],3,2),LEFT(Demographics[[#This Row],[DOB - Fixed]],2))))/365,0)</f>
        <v>41.679452054794524</v>
      </c>
      <c r="J55">
        <f>VLOOKUP(Demographics[[#This Row],[INCOME LEVEL]],Income[],4,FALSE)</f>
        <v>697.5</v>
      </c>
      <c r="K55">
        <f>IFERROR(Demographics[[#This Row],[Total monthly income]]/Demographics[[#This Row],[FAMILY SIZE]], 0)</f>
        <v>139.5</v>
      </c>
    </row>
    <row r="56" spans="1:11" x14ac:dyDescent="0.2">
      <c r="A56">
        <v>7859595</v>
      </c>
      <c r="B56">
        <v>27091981</v>
      </c>
      <c r="C56">
        <v>0</v>
      </c>
      <c r="D56">
        <v>0</v>
      </c>
      <c r="E56">
        <v>1</v>
      </c>
      <c r="F56">
        <v>0</v>
      </c>
      <c r="G56">
        <v>0</v>
      </c>
      <c r="H56" t="str">
        <f>IF(Demographics[[#This Row],[DOB]]&gt;10000000, TEXT(Demographics[[#This Row],[DOB]],0),CONCATENATE("0",TEXT(Demographics[[#This Row],[DOB]],0)))</f>
        <v>27091981</v>
      </c>
      <c r="I56" s="4">
        <f ca="1">IFERROR((VALUE(TODAY()-DATE(RIGHT(Demographics[[#This Row],[DOB - Fixed]],4),MID(Demographics[[#This Row],[DOB - Fixed]],3,2),LEFT(Demographics[[#This Row],[DOB - Fixed]],2))))/365,0)</f>
        <v>41.975342465753428</v>
      </c>
      <c r="J56">
        <f>VLOOKUP(Demographics[[#This Row],[INCOME LEVEL]],Income[],4,FALSE)</f>
        <v>175</v>
      </c>
      <c r="K56">
        <f>IFERROR(Demographics[[#This Row],[Total monthly income]]/Demographics[[#This Row],[FAMILY SIZE]], 0)</f>
        <v>0</v>
      </c>
    </row>
    <row r="57" spans="1:11" x14ac:dyDescent="0.2">
      <c r="A57">
        <v>2708923</v>
      </c>
      <c r="B57">
        <v>13071982</v>
      </c>
      <c r="C57">
        <v>4</v>
      </c>
      <c r="D57">
        <v>2</v>
      </c>
      <c r="E57">
        <v>1</v>
      </c>
      <c r="F57">
        <v>8</v>
      </c>
      <c r="G57">
        <v>4</v>
      </c>
      <c r="H57" t="str">
        <f>IF(Demographics[[#This Row],[DOB]]&gt;10000000, TEXT(Demographics[[#This Row],[DOB]],0),CONCATENATE("0",TEXT(Demographics[[#This Row],[DOB]],0)))</f>
        <v>13071982</v>
      </c>
      <c r="I57" s="4">
        <f ca="1">IFERROR((VALUE(TODAY()-DATE(RIGHT(Demographics[[#This Row],[DOB - Fixed]],4),MID(Demographics[[#This Row],[DOB - Fixed]],3,2),LEFT(Demographics[[#This Row],[DOB - Fixed]],2))))/365,0)</f>
        <v>41.183561643835617</v>
      </c>
      <c r="J57">
        <f>VLOOKUP(Demographics[[#This Row],[INCOME LEVEL]],Income[],4,FALSE)</f>
        <v>175</v>
      </c>
      <c r="K57">
        <f>IFERROR(Demographics[[#This Row],[Total monthly income]]/Demographics[[#This Row],[FAMILY SIZE]], 0)</f>
        <v>43.75</v>
      </c>
    </row>
    <row r="58" spans="1:11" x14ac:dyDescent="0.2">
      <c r="A58">
        <v>7127111</v>
      </c>
      <c r="B58">
        <v>5111982</v>
      </c>
      <c r="C58">
        <v>4</v>
      </c>
      <c r="D58">
        <v>2</v>
      </c>
      <c r="E58">
        <v>6</v>
      </c>
      <c r="F58">
        <v>8</v>
      </c>
      <c r="G58">
        <v>6</v>
      </c>
      <c r="H58" t="str">
        <f>IF(Demographics[[#This Row],[DOB]]&gt;10000000, TEXT(Demographics[[#This Row],[DOB]],0),CONCATENATE("0",TEXT(Demographics[[#This Row],[DOB]],0)))</f>
        <v>05111982</v>
      </c>
      <c r="I58" s="4">
        <f ca="1">IFERROR((VALUE(TODAY()-DATE(RIGHT(Demographics[[#This Row],[DOB - Fixed]],4),MID(Demographics[[#This Row],[DOB - Fixed]],3,2),LEFT(Demographics[[#This Row],[DOB - Fixed]],2))))/365,0)</f>
        <v>40.868493150684934</v>
      </c>
      <c r="J58">
        <f>VLOOKUP(Demographics[[#This Row],[INCOME LEVEL]],Income[],4,FALSE)</f>
        <v>4000</v>
      </c>
      <c r="K58">
        <f>IFERROR(Demographics[[#This Row],[Total monthly income]]/Demographics[[#This Row],[FAMILY SIZE]], 0)</f>
        <v>1000</v>
      </c>
    </row>
    <row r="59" spans="1:11" x14ac:dyDescent="0.2">
      <c r="A59">
        <v>13030210</v>
      </c>
      <c r="B59">
        <v>13031977</v>
      </c>
      <c r="C59">
        <v>2</v>
      </c>
      <c r="D59">
        <v>2</v>
      </c>
      <c r="E59">
        <v>3</v>
      </c>
      <c r="F59">
        <v>5</v>
      </c>
      <c r="G59">
        <v>2</v>
      </c>
      <c r="H59" t="str">
        <f>IF(Demographics[[#This Row],[DOB]]&gt;10000000, TEXT(Demographics[[#This Row],[DOB]],0),CONCATENATE("0",TEXT(Demographics[[#This Row],[DOB]],0)))</f>
        <v>13031977</v>
      </c>
      <c r="I59" s="4">
        <f ca="1">IFERROR((VALUE(TODAY()-DATE(RIGHT(Demographics[[#This Row],[DOB - Fixed]],4),MID(Demographics[[#This Row],[DOB - Fixed]],3,2),LEFT(Demographics[[#This Row],[DOB - Fixed]],2))))/365,0)</f>
        <v>46.520547945205479</v>
      </c>
      <c r="J59">
        <f>VLOOKUP(Demographics[[#This Row],[INCOME LEVEL]],Income[],4,FALSE)</f>
        <v>1397.5</v>
      </c>
      <c r="K59">
        <f>IFERROR(Demographics[[#This Row],[Total monthly income]]/Demographics[[#This Row],[FAMILY SIZE]], 0)</f>
        <v>698.75</v>
      </c>
    </row>
    <row r="60" spans="1:11" x14ac:dyDescent="0.2">
      <c r="A60">
        <v>11428426</v>
      </c>
      <c r="B60">
        <v>27011983</v>
      </c>
      <c r="C60">
        <v>5</v>
      </c>
      <c r="D60">
        <v>3</v>
      </c>
      <c r="E60">
        <v>2</v>
      </c>
      <c r="F60">
        <v>5</v>
      </c>
      <c r="G60">
        <v>9</v>
      </c>
      <c r="H60" t="str">
        <f>IF(Demographics[[#This Row],[DOB]]&gt;10000000, TEXT(Demographics[[#This Row],[DOB]],0),CONCATENATE("0",TEXT(Demographics[[#This Row],[DOB]],0)))</f>
        <v>27011983</v>
      </c>
      <c r="I60" s="4">
        <f ca="1">IFERROR((VALUE(TODAY()-DATE(RIGHT(Demographics[[#This Row],[DOB - Fixed]],4),MID(Demographics[[#This Row],[DOB - Fixed]],3,2),LEFT(Demographics[[#This Row],[DOB - Fixed]],2))))/365,0)</f>
        <v>40.641095890410959</v>
      </c>
      <c r="J60">
        <f>VLOOKUP(Demographics[[#This Row],[INCOME LEVEL]],Income[],4,FALSE)</f>
        <v>697.5</v>
      </c>
      <c r="K60">
        <f>IFERROR(Demographics[[#This Row],[Total monthly income]]/Demographics[[#This Row],[FAMILY SIZE]], 0)</f>
        <v>139.5</v>
      </c>
    </row>
    <row r="61" spans="1:11" x14ac:dyDescent="0.2">
      <c r="A61">
        <v>19337736</v>
      </c>
      <c r="B61">
        <v>29121982</v>
      </c>
      <c r="C61">
        <v>5</v>
      </c>
      <c r="D61">
        <v>1</v>
      </c>
      <c r="E61">
        <v>1</v>
      </c>
      <c r="F61">
        <v>3</v>
      </c>
      <c r="G61">
        <v>8</v>
      </c>
      <c r="H61" t="str">
        <f>IF(Demographics[[#This Row],[DOB]]&gt;10000000, TEXT(Demographics[[#This Row],[DOB]],0),CONCATENATE("0",TEXT(Demographics[[#This Row],[DOB]],0)))</f>
        <v>29121982</v>
      </c>
      <c r="I61" s="4">
        <f ca="1">IFERROR((VALUE(TODAY()-DATE(RIGHT(Demographics[[#This Row],[DOB - Fixed]],4),MID(Demographics[[#This Row],[DOB - Fixed]],3,2),LEFT(Demographics[[#This Row],[DOB - Fixed]],2))))/365,0)</f>
        <v>40.720547945205482</v>
      </c>
      <c r="J61">
        <f>VLOOKUP(Demographics[[#This Row],[INCOME LEVEL]],Income[],4,FALSE)</f>
        <v>175</v>
      </c>
      <c r="K61">
        <f>IFERROR(Demographics[[#This Row],[Total monthly income]]/Demographics[[#This Row],[FAMILY SIZE]], 0)</f>
        <v>35</v>
      </c>
    </row>
    <row r="62" spans="1:11" x14ac:dyDescent="0.2">
      <c r="A62">
        <v>22456752</v>
      </c>
      <c r="B62">
        <v>9021982</v>
      </c>
      <c r="C62">
        <v>3</v>
      </c>
      <c r="D62">
        <v>2</v>
      </c>
      <c r="E62">
        <v>1</v>
      </c>
      <c r="F62">
        <v>3</v>
      </c>
      <c r="G62">
        <v>3</v>
      </c>
      <c r="H62" t="str">
        <f>IF(Demographics[[#This Row],[DOB]]&gt;10000000, TEXT(Demographics[[#This Row],[DOB]],0),CONCATENATE("0",TEXT(Demographics[[#This Row],[DOB]],0)))</f>
        <v>09021982</v>
      </c>
      <c r="I62" s="4">
        <f ca="1">IFERROR((VALUE(TODAY()-DATE(RIGHT(Demographics[[#This Row],[DOB - Fixed]],4),MID(Demographics[[#This Row],[DOB - Fixed]],3,2),LEFT(Demographics[[#This Row],[DOB - Fixed]],2))))/365,0)</f>
        <v>41.605479452054794</v>
      </c>
      <c r="J62">
        <f>VLOOKUP(Demographics[[#This Row],[INCOME LEVEL]],Income[],4,FALSE)</f>
        <v>175</v>
      </c>
      <c r="K62">
        <f>IFERROR(Demographics[[#This Row],[Total monthly income]]/Demographics[[#This Row],[FAMILY SIZE]], 0)</f>
        <v>58.333333333333336</v>
      </c>
    </row>
    <row r="63" spans="1:11" x14ac:dyDescent="0.2">
      <c r="A63">
        <v>14979665</v>
      </c>
      <c r="B63">
        <v>8031983</v>
      </c>
      <c r="C63">
        <v>2</v>
      </c>
      <c r="D63">
        <v>2</v>
      </c>
      <c r="E63">
        <v>1</v>
      </c>
      <c r="F63">
        <v>5</v>
      </c>
      <c r="G63">
        <v>2</v>
      </c>
      <c r="H63" t="str">
        <f>IF(Demographics[[#This Row],[DOB]]&gt;10000000, TEXT(Demographics[[#This Row],[DOB]],0),CONCATENATE("0",TEXT(Demographics[[#This Row],[DOB]],0)))</f>
        <v>08031983</v>
      </c>
      <c r="I63" s="4">
        <f ca="1">IFERROR((VALUE(TODAY()-DATE(RIGHT(Demographics[[#This Row],[DOB - Fixed]],4),MID(Demographics[[#This Row],[DOB - Fixed]],3,2),LEFT(Demographics[[#This Row],[DOB - Fixed]],2))))/365,0)</f>
        <v>40.531506849315072</v>
      </c>
      <c r="J63">
        <f>VLOOKUP(Demographics[[#This Row],[INCOME LEVEL]],Income[],4,FALSE)</f>
        <v>175</v>
      </c>
      <c r="K63">
        <f>IFERROR(Demographics[[#This Row],[Total monthly income]]/Demographics[[#This Row],[FAMILY SIZE]], 0)</f>
        <v>87.5</v>
      </c>
    </row>
    <row r="64" spans="1:11" x14ac:dyDescent="0.2">
      <c r="A64">
        <v>19251867</v>
      </c>
      <c r="B64">
        <v>1021982</v>
      </c>
      <c r="C64">
        <v>9</v>
      </c>
      <c r="D64">
        <v>2</v>
      </c>
      <c r="E64">
        <v>1</v>
      </c>
      <c r="F64">
        <v>2</v>
      </c>
      <c r="G64">
        <v>3</v>
      </c>
      <c r="H64" t="str">
        <f>IF(Demographics[[#This Row],[DOB]]&gt;10000000, TEXT(Demographics[[#This Row],[DOB]],0),CONCATENATE("0",TEXT(Demographics[[#This Row],[DOB]],0)))</f>
        <v>01021982</v>
      </c>
      <c r="I64" s="4">
        <f ca="1">IFERROR((VALUE(TODAY()-DATE(RIGHT(Demographics[[#This Row],[DOB - Fixed]],4),MID(Demographics[[#This Row],[DOB - Fixed]],3,2),LEFT(Demographics[[#This Row],[DOB - Fixed]],2))))/365,0)</f>
        <v>41.627397260273973</v>
      </c>
      <c r="J64">
        <f>VLOOKUP(Demographics[[#This Row],[INCOME LEVEL]],Income[],4,FALSE)</f>
        <v>175</v>
      </c>
      <c r="K64">
        <f>IFERROR(Demographics[[#This Row],[Total monthly income]]/Demographics[[#This Row],[FAMILY SIZE]], 0)</f>
        <v>19.444444444444443</v>
      </c>
    </row>
    <row r="65" spans="1:11" x14ac:dyDescent="0.2">
      <c r="A65">
        <v>1656022</v>
      </c>
      <c r="B65">
        <v>23051983</v>
      </c>
      <c r="C65">
        <v>4</v>
      </c>
      <c r="D65">
        <v>1</v>
      </c>
      <c r="E65">
        <v>2</v>
      </c>
      <c r="F65">
        <v>5</v>
      </c>
      <c r="G65">
        <v>9</v>
      </c>
      <c r="H65" t="str">
        <f>IF(Demographics[[#This Row],[DOB]]&gt;10000000, TEXT(Demographics[[#This Row],[DOB]],0),CONCATENATE("0",TEXT(Demographics[[#This Row],[DOB]],0)))</f>
        <v>23051983</v>
      </c>
      <c r="I65" s="4">
        <f ca="1">IFERROR((VALUE(TODAY()-DATE(RIGHT(Demographics[[#This Row],[DOB - Fixed]],4),MID(Demographics[[#This Row],[DOB - Fixed]],3,2),LEFT(Demographics[[#This Row],[DOB - Fixed]],2))))/365,0)</f>
        <v>40.323287671232876</v>
      </c>
      <c r="J65">
        <f>VLOOKUP(Demographics[[#This Row],[INCOME LEVEL]],Income[],4,FALSE)</f>
        <v>697.5</v>
      </c>
      <c r="K65">
        <f>IFERROR(Demographics[[#This Row],[Total monthly income]]/Demographics[[#This Row],[FAMILY SIZE]], 0)</f>
        <v>174.375</v>
      </c>
    </row>
    <row r="66" spans="1:11" x14ac:dyDescent="0.2">
      <c r="A66">
        <v>13118274</v>
      </c>
      <c r="B66">
        <v>17061983</v>
      </c>
      <c r="C66">
        <v>8</v>
      </c>
      <c r="D66">
        <v>2</v>
      </c>
      <c r="E66">
        <v>1</v>
      </c>
      <c r="F66">
        <v>2</v>
      </c>
      <c r="G66">
        <v>2</v>
      </c>
      <c r="H66" t="str">
        <f>IF(Demographics[[#This Row],[DOB]]&gt;10000000, TEXT(Demographics[[#This Row],[DOB]],0),CONCATENATE("0",TEXT(Demographics[[#This Row],[DOB]],0)))</f>
        <v>17061983</v>
      </c>
      <c r="I66" s="4">
        <f ca="1">IFERROR((VALUE(TODAY()-DATE(RIGHT(Demographics[[#This Row],[DOB - Fixed]],4),MID(Demographics[[#This Row],[DOB - Fixed]],3,2),LEFT(Demographics[[#This Row],[DOB - Fixed]],2))))/365,0)</f>
        <v>40.254794520547946</v>
      </c>
      <c r="J66">
        <f>VLOOKUP(Demographics[[#This Row],[INCOME LEVEL]],Income[],4,FALSE)</f>
        <v>175</v>
      </c>
      <c r="K66">
        <f>IFERROR(Demographics[[#This Row],[Total monthly income]]/Demographics[[#This Row],[FAMILY SIZE]], 0)</f>
        <v>21.875</v>
      </c>
    </row>
    <row r="67" spans="1:11" x14ac:dyDescent="0.2">
      <c r="A67">
        <v>21160358</v>
      </c>
      <c r="B67">
        <v>1101987</v>
      </c>
      <c r="C67">
        <v>3</v>
      </c>
      <c r="D67">
        <v>1</v>
      </c>
      <c r="E67">
        <v>1</v>
      </c>
      <c r="F67">
        <v>0</v>
      </c>
      <c r="G67">
        <v>0</v>
      </c>
      <c r="H67" t="str">
        <f>IF(Demographics[[#This Row],[DOB]]&gt;10000000, TEXT(Demographics[[#This Row],[DOB]],0),CONCATENATE("0",TEXT(Demographics[[#This Row],[DOB]],0)))</f>
        <v>01101987</v>
      </c>
      <c r="I67" s="4">
        <f ca="1">IFERROR((VALUE(TODAY()-DATE(RIGHT(Demographics[[#This Row],[DOB - Fixed]],4),MID(Demographics[[#This Row],[DOB - Fixed]],3,2),LEFT(Demographics[[#This Row],[DOB - Fixed]],2))))/365,0)</f>
        <v>35.961643835616435</v>
      </c>
      <c r="J67">
        <f>VLOOKUP(Demographics[[#This Row],[INCOME LEVEL]],Income[],4,FALSE)</f>
        <v>175</v>
      </c>
      <c r="K67">
        <f>IFERROR(Demographics[[#This Row],[Total monthly income]]/Demographics[[#This Row],[FAMILY SIZE]], 0)</f>
        <v>58.333333333333336</v>
      </c>
    </row>
    <row r="68" spans="1:11" x14ac:dyDescent="0.2">
      <c r="A68">
        <v>17855163</v>
      </c>
      <c r="B68">
        <v>25051988</v>
      </c>
      <c r="C68">
        <v>5</v>
      </c>
      <c r="D68">
        <v>0</v>
      </c>
      <c r="E68">
        <v>1</v>
      </c>
      <c r="F68">
        <v>5</v>
      </c>
      <c r="G68">
        <v>5</v>
      </c>
      <c r="H68" t="str">
        <f>IF(Demographics[[#This Row],[DOB]]&gt;10000000, TEXT(Demographics[[#This Row],[DOB]],0),CONCATENATE("0",TEXT(Demographics[[#This Row],[DOB]],0)))</f>
        <v>25051988</v>
      </c>
      <c r="I68" s="4">
        <f ca="1">IFERROR((VALUE(TODAY()-DATE(RIGHT(Demographics[[#This Row],[DOB - Fixed]],4),MID(Demographics[[#This Row],[DOB - Fixed]],3,2),LEFT(Demographics[[#This Row],[DOB - Fixed]],2))))/365,0)</f>
        <v>35.31232876712329</v>
      </c>
      <c r="J68">
        <f>VLOOKUP(Demographics[[#This Row],[INCOME LEVEL]],Income[],4,FALSE)</f>
        <v>175</v>
      </c>
      <c r="K68">
        <f>IFERROR(Demographics[[#This Row],[Total monthly income]]/Demographics[[#This Row],[FAMILY SIZE]], 0)</f>
        <v>35</v>
      </c>
    </row>
    <row r="69" spans="1:11" x14ac:dyDescent="0.2">
      <c r="A69">
        <v>10204448</v>
      </c>
      <c r="B69">
        <v>10101987</v>
      </c>
      <c r="C69">
        <v>6</v>
      </c>
      <c r="D69">
        <v>1</v>
      </c>
      <c r="E69">
        <v>1</v>
      </c>
      <c r="F69">
        <v>4</v>
      </c>
      <c r="G69">
        <v>1</v>
      </c>
      <c r="H69" t="str">
        <f>IF(Demographics[[#This Row],[DOB]]&gt;10000000, TEXT(Demographics[[#This Row],[DOB]],0),CONCATENATE("0",TEXT(Demographics[[#This Row],[DOB]],0)))</f>
        <v>10101987</v>
      </c>
      <c r="I69" s="4">
        <f ca="1">IFERROR((VALUE(TODAY()-DATE(RIGHT(Demographics[[#This Row],[DOB - Fixed]],4),MID(Demographics[[#This Row],[DOB - Fixed]],3,2),LEFT(Demographics[[#This Row],[DOB - Fixed]],2))))/365,0)</f>
        <v>35.936986301369863</v>
      </c>
      <c r="J69">
        <f>VLOOKUP(Demographics[[#This Row],[INCOME LEVEL]],Income[],4,FALSE)</f>
        <v>175</v>
      </c>
      <c r="K69">
        <f>IFERROR(Demographics[[#This Row],[Total monthly income]]/Demographics[[#This Row],[FAMILY SIZE]], 0)</f>
        <v>29.166666666666668</v>
      </c>
    </row>
    <row r="70" spans="1:11" x14ac:dyDescent="0.2">
      <c r="A70">
        <v>13510261</v>
      </c>
      <c r="B70">
        <v>22031988</v>
      </c>
      <c r="C70">
        <v>5</v>
      </c>
      <c r="D70">
        <v>3</v>
      </c>
      <c r="E70">
        <v>1</v>
      </c>
      <c r="F70">
        <v>2</v>
      </c>
      <c r="G70">
        <v>2</v>
      </c>
      <c r="H70" t="str">
        <f>IF(Demographics[[#This Row],[DOB]]&gt;10000000, TEXT(Demographics[[#This Row],[DOB]],0),CONCATENATE("0",TEXT(Demographics[[#This Row],[DOB]],0)))</f>
        <v>22031988</v>
      </c>
      <c r="I70" s="4">
        <f ca="1">IFERROR((VALUE(TODAY()-DATE(RIGHT(Demographics[[#This Row],[DOB - Fixed]],4),MID(Demographics[[#This Row],[DOB - Fixed]],3,2),LEFT(Demographics[[#This Row],[DOB - Fixed]],2))))/365,0)</f>
        <v>35.487671232876714</v>
      </c>
      <c r="J70">
        <f>VLOOKUP(Demographics[[#This Row],[INCOME LEVEL]],Income[],4,FALSE)</f>
        <v>175</v>
      </c>
      <c r="K70">
        <f>IFERROR(Demographics[[#This Row],[Total monthly income]]/Demographics[[#This Row],[FAMILY SIZE]], 0)</f>
        <v>35</v>
      </c>
    </row>
    <row r="71" spans="1:11" x14ac:dyDescent="0.2">
      <c r="A71">
        <v>17146984</v>
      </c>
      <c r="B71">
        <v>24041989</v>
      </c>
      <c r="C71">
        <v>3</v>
      </c>
      <c r="D71">
        <v>1</v>
      </c>
      <c r="E71">
        <v>1</v>
      </c>
      <c r="F71">
        <v>2</v>
      </c>
      <c r="G71">
        <v>2</v>
      </c>
      <c r="H71" t="str">
        <f>IF(Demographics[[#This Row],[DOB]]&gt;10000000, TEXT(Demographics[[#This Row],[DOB]],0),CONCATENATE("0",TEXT(Demographics[[#This Row],[DOB]],0)))</f>
        <v>24041989</v>
      </c>
      <c r="I71" s="4">
        <f ca="1">IFERROR((VALUE(TODAY()-DATE(RIGHT(Demographics[[#This Row],[DOB - Fixed]],4),MID(Demographics[[#This Row],[DOB - Fixed]],3,2),LEFT(Demographics[[#This Row],[DOB - Fixed]],2))))/365,0)</f>
        <v>34.397260273972606</v>
      </c>
      <c r="J71">
        <f>VLOOKUP(Demographics[[#This Row],[INCOME LEVEL]],Income[],4,FALSE)</f>
        <v>175</v>
      </c>
      <c r="K71">
        <f>IFERROR(Demographics[[#This Row],[Total monthly income]]/Demographics[[#This Row],[FAMILY SIZE]], 0)</f>
        <v>58.333333333333336</v>
      </c>
    </row>
    <row r="72" spans="1:11" x14ac:dyDescent="0.2">
      <c r="A72">
        <v>2294820</v>
      </c>
      <c r="B72">
        <v>18081986</v>
      </c>
      <c r="C72">
        <v>3</v>
      </c>
      <c r="D72">
        <v>2</v>
      </c>
      <c r="E72">
        <v>2</v>
      </c>
      <c r="F72">
        <v>5</v>
      </c>
      <c r="G72">
        <v>5</v>
      </c>
      <c r="H72" t="str">
        <f>IF(Demographics[[#This Row],[DOB]]&gt;10000000, TEXT(Demographics[[#This Row],[DOB]],0),CONCATENATE("0",TEXT(Demographics[[#This Row],[DOB]],0)))</f>
        <v>18081986</v>
      </c>
      <c r="I72" s="4">
        <f ca="1">IFERROR((VALUE(TODAY()-DATE(RIGHT(Demographics[[#This Row],[DOB - Fixed]],4),MID(Demographics[[#This Row],[DOB - Fixed]],3,2),LEFT(Demographics[[#This Row],[DOB - Fixed]],2))))/365,0)</f>
        <v>37.082191780821915</v>
      </c>
      <c r="J72">
        <f>VLOOKUP(Demographics[[#This Row],[INCOME LEVEL]],Income[],4,FALSE)</f>
        <v>697.5</v>
      </c>
      <c r="K72">
        <f>IFERROR(Demographics[[#This Row],[Total monthly income]]/Demographics[[#This Row],[FAMILY SIZE]], 0)</f>
        <v>232.5</v>
      </c>
    </row>
    <row r="73" spans="1:11" x14ac:dyDescent="0.2">
      <c r="A73">
        <v>708274</v>
      </c>
      <c r="B73">
        <v>18111982</v>
      </c>
      <c r="C73">
        <v>6</v>
      </c>
      <c r="D73">
        <v>3</v>
      </c>
      <c r="E73">
        <v>1</v>
      </c>
      <c r="F73">
        <v>5</v>
      </c>
      <c r="G73">
        <v>2</v>
      </c>
      <c r="H73" t="str">
        <f>IF(Demographics[[#This Row],[DOB]]&gt;10000000, TEXT(Demographics[[#This Row],[DOB]],0),CONCATENATE("0",TEXT(Demographics[[#This Row],[DOB]],0)))</f>
        <v>18111982</v>
      </c>
      <c r="I73" s="4">
        <f ca="1">IFERROR((VALUE(TODAY()-DATE(RIGHT(Demographics[[#This Row],[DOB - Fixed]],4),MID(Demographics[[#This Row],[DOB - Fixed]],3,2),LEFT(Demographics[[#This Row],[DOB - Fixed]],2))))/365,0)</f>
        <v>40.832876712328769</v>
      </c>
      <c r="J73">
        <f>VLOOKUP(Demographics[[#This Row],[INCOME LEVEL]],Income[],4,FALSE)</f>
        <v>175</v>
      </c>
      <c r="K73">
        <f>IFERROR(Demographics[[#This Row],[Total monthly income]]/Demographics[[#This Row],[FAMILY SIZE]], 0)</f>
        <v>29.166666666666668</v>
      </c>
    </row>
    <row r="74" spans="1:11" x14ac:dyDescent="0.2">
      <c r="A74">
        <v>24553936</v>
      </c>
      <c r="B74">
        <v>30121982</v>
      </c>
      <c r="C74">
        <v>4</v>
      </c>
      <c r="D74">
        <v>1</v>
      </c>
      <c r="E74">
        <v>1</v>
      </c>
      <c r="F74">
        <v>1</v>
      </c>
      <c r="G74">
        <v>2</v>
      </c>
      <c r="H74" t="str">
        <f>IF(Demographics[[#This Row],[DOB]]&gt;10000000, TEXT(Demographics[[#This Row],[DOB]],0),CONCATENATE("0",TEXT(Demographics[[#This Row],[DOB]],0)))</f>
        <v>30121982</v>
      </c>
      <c r="I74" s="4">
        <f ca="1">IFERROR((VALUE(TODAY()-DATE(RIGHT(Demographics[[#This Row],[DOB - Fixed]],4),MID(Demographics[[#This Row],[DOB - Fixed]],3,2),LEFT(Demographics[[#This Row],[DOB - Fixed]],2))))/365,0)</f>
        <v>40.717808219178082</v>
      </c>
      <c r="J74">
        <f>VLOOKUP(Demographics[[#This Row],[INCOME LEVEL]],Income[],4,FALSE)</f>
        <v>175</v>
      </c>
      <c r="K74">
        <f>IFERROR(Demographics[[#This Row],[Total monthly income]]/Demographics[[#This Row],[FAMILY SIZE]], 0)</f>
        <v>43.75</v>
      </c>
    </row>
    <row r="75" spans="1:11" x14ac:dyDescent="0.2">
      <c r="A75">
        <v>6857774</v>
      </c>
      <c r="B75">
        <v>24011983</v>
      </c>
      <c r="C75">
        <v>4</v>
      </c>
      <c r="D75">
        <v>2</v>
      </c>
      <c r="E75">
        <v>2</v>
      </c>
      <c r="F75">
        <v>8</v>
      </c>
      <c r="G75">
        <v>5</v>
      </c>
      <c r="H75" t="str">
        <f>IF(Demographics[[#This Row],[DOB]]&gt;10000000, TEXT(Demographics[[#This Row],[DOB]],0),CONCATENATE("0",TEXT(Demographics[[#This Row],[DOB]],0)))</f>
        <v>24011983</v>
      </c>
      <c r="I75" s="4">
        <f ca="1">IFERROR((VALUE(TODAY()-DATE(RIGHT(Demographics[[#This Row],[DOB - Fixed]],4),MID(Demographics[[#This Row],[DOB - Fixed]],3,2),LEFT(Demographics[[#This Row],[DOB - Fixed]],2))))/365,0)</f>
        <v>40.649315068493152</v>
      </c>
      <c r="J75">
        <f>VLOOKUP(Demographics[[#This Row],[INCOME LEVEL]],Income[],4,FALSE)</f>
        <v>697.5</v>
      </c>
      <c r="K75">
        <f>IFERROR(Demographics[[#This Row],[Total monthly income]]/Demographics[[#This Row],[FAMILY SIZE]], 0)</f>
        <v>174.375</v>
      </c>
    </row>
    <row r="76" spans="1:11" x14ac:dyDescent="0.2">
      <c r="A76">
        <v>1258248</v>
      </c>
      <c r="B76">
        <v>29061985</v>
      </c>
      <c r="C76">
        <v>5</v>
      </c>
      <c r="D76">
        <v>2</v>
      </c>
      <c r="E76">
        <v>1</v>
      </c>
      <c r="F76">
        <v>4</v>
      </c>
      <c r="G76">
        <v>2</v>
      </c>
      <c r="H76" t="str">
        <f>IF(Demographics[[#This Row],[DOB]]&gt;10000000, TEXT(Demographics[[#This Row],[DOB]],0),CONCATENATE("0",TEXT(Demographics[[#This Row],[DOB]],0)))</f>
        <v>29061985</v>
      </c>
      <c r="I76" s="4">
        <f ca="1">IFERROR((VALUE(TODAY()-DATE(RIGHT(Demographics[[#This Row],[DOB - Fixed]],4),MID(Demographics[[#This Row],[DOB - Fixed]],3,2),LEFT(Demographics[[#This Row],[DOB - Fixed]],2))))/365,0)</f>
        <v>38.219178082191782</v>
      </c>
      <c r="J76">
        <f>VLOOKUP(Demographics[[#This Row],[INCOME LEVEL]],Income[],4,FALSE)</f>
        <v>175</v>
      </c>
      <c r="K76">
        <f>IFERROR(Demographics[[#This Row],[Total monthly income]]/Demographics[[#This Row],[FAMILY SIZE]], 0)</f>
        <v>35</v>
      </c>
    </row>
    <row r="77" spans="1:11" x14ac:dyDescent="0.2">
      <c r="A77">
        <v>14176730</v>
      </c>
      <c r="B77">
        <v>6101985</v>
      </c>
      <c r="C77">
        <v>6</v>
      </c>
      <c r="D77">
        <v>0</v>
      </c>
      <c r="E77">
        <v>1</v>
      </c>
      <c r="F77">
        <v>3</v>
      </c>
      <c r="G77">
        <v>5</v>
      </c>
      <c r="H77" t="str">
        <f>IF(Demographics[[#This Row],[DOB]]&gt;10000000, TEXT(Demographics[[#This Row],[DOB]],0),CONCATENATE("0",TEXT(Demographics[[#This Row],[DOB]],0)))</f>
        <v>06101985</v>
      </c>
      <c r="I77" s="4">
        <f ca="1">IFERROR((VALUE(TODAY()-DATE(RIGHT(Demographics[[#This Row],[DOB - Fixed]],4),MID(Demographics[[#This Row],[DOB - Fixed]],3,2),LEFT(Demographics[[#This Row],[DOB - Fixed]],2))))/365,0)</f>
        <v>37.947945205479449</v>
      </c>
      <c r="J77">
        <f>VLOOKUP(Demographics[[#This Row],[INCOME LEVEL]],Income[],4,FALSE)</f>
        <v>175</v>
      </c>
      <c r="K77">
        <f>IFERROR(Demographics[[#This Row],[Total monthly income]]/Demographics[[#This Row],[FAMILY SIZE]], 0)</f>
        <v>29.166666666666668</v>
      </c>
    </row>
    <row r="78" spans="1:11" x14ac:dyDescent="0.2">
      <c r="A78">
        <v>19577128</v>
      </c>
      <c r="B78">
        <v>26101982</v>
      </c>
      <c r="C78">
        <v>4</v>
      </c>
      <c r="D78">
        <v>1</v>
      </c>
      <c r="E78">
        <v>1</v>
      </c>
      <c r="F78">
        <v>2</v>
      </c>
      <c r="G78">
        <v>2</v>
      </c>
      <c r="H78" t="str">
        <f>IF(Demographics[[#This Row],[DOB]]&gt;10000000, TEXT(Demographics[[#This Row],[DOB]],0),CONCATENATE("0",TEXT(Demographics[[#This Row],[DOB]],0)))</f>
        <v>26101982</v>
      </c>
      <c r="I78" s="4">
        <f ca="1">IFERROR((VALUE(TODAY()-DATE(RIGHT(Demographics[[#This Row],[DOB - Fixed]],4),MID(Demographics[[#This Row],[DOB - Fixed]],3,2),LEFT(Demographics[[#This Row],[DOB - Fixed]],2))))/365,0)</f>
        <v>40.895890410958906</v>
      </c>
      <c r="J78">
        <f>VLOOKUP(Demographics[[#This Row],[INCOME LEVEL]],Income[],4,FALSE)</f>
        <v>175</v>
      </c>
      <c r="K78">
        <f>IFERROR(Demographics[[#This Row],[Total monthly income]]/Demographics[[#This Row],[FAMILY SIZE]], 0)</f>
        <v>43.75</v>
      </c>
    </row>
    <row r="79" spans="1:11" x14ac:dyDescent="0.2">
      <c r="A79">
        <v>4652099</v>
      </c>
      <c r="B79">
        <v>9051983</v>
      </c>
      <c r="C79">
        <v>2</v>
      </c>
      <c r="D79">
        <v>1</v>
      </c>
      <c r="E79">
        <v>1</v>
      </c>
      <c r="F79">
        <v>5</v>
      </c>
      <c r="G79">
        <v>5</v>
      </c>
      <c r="H79" t="str">
        <f>IF(Demographics[[#This Row],[DOB]]&gt;10000000, TEXT(Demographics[[#This Row],[DOB]],0),CONCATENATE("0",TEXT(Demographics[[#This Row],[DOB]],0)))</f>
        <v>09051983</v>
      </c>
      <c r="I79" s="4">
        <f ca="1">IFERROR((VALUE(TODAY()-DATE(RIGHT(Demographics[[#This Row],[DOB - Fixed]],4),MID(Demographics[[#This Row],[DOB - Fixed]],3,2),LEFT(Demographics[[#This Row],[DOB - Fixed]],2))))/365,0)</f>
        <v>40.361643835616441</v>
      </c>
      <c r="J79">
        <f>VLOOKUP(Demographics[[#This Row],[INCOME LEVEL]],Income[],4,FALSE)</f>
        <v>175</v>
      </c>
      <c r="K79">
        <f>IFERROR(Demographics[[#This Row],[Total monthly income]]/Demographics[[#This Row],[FAMILY SIZE]], 0)</f>
        <v>87.5</v>
      </c>
    </row>
    <row r="80" spans="1:11" x14ac:dyDescent="0.2">
      <c r="A80">
        <v>20057776</v>
      </c>
      <c r="B80">
        <v>11061983</v>
      </c>
      <c r="C80">
        <v>7</v>
      </c>
      <c r="D80">
        <v>2</v>
      </c>
      <c r="E80">
        <v>1</v>
      </c>
      <c r="F80">
        <v>5</v>
      </c>
      <c r="G80">
        <v>4</v>
      </c>
      <c r="H80" t="str">
        <f>IF(Demographics[[#This Row],[DOB]]&gt;10000000, TEXT(Demographics[[#This Row],[DOB]],0),CONCATENATE("0",TEXT(Demographics[[#This Row],[DOB]],0)))</f>
        <v>11061983</v>
      </c>
      <c r="I80" s="4">
        <f ca="1">IFERROR((VALUE(TODAY()-DATE(RIGHT(Demographics[[#This Row],[DOB - Fixed]],4),MID(Demographics[[#This Row],[DOB - Fixed]],3,2),LEFT(Demographics[[#This Row],[DOB - Fixed]],2))))/365,0)</f>
        <v>40.271232876712325</v>
      </c>
      <c r="J80">
        <f>VLOOKUP(Demographics[[#This Row],[INCOME LEVEL]],Income[],4,FALSE)</f>
        <v>175</v>
      </c>
      <c r="K80">
        <f>IFERROR(Demographics[[#This Row],[Total monthly income]]/Demographics[[#This Row],[FAMILY SIZE]], 0)</f>
        <v>25</v>
      </c>
    </row>
    <row r="81" spans="1:11" x14ac:dyDescent="0.2">
      <c r="A81">
        <v>22528932</v>
      </c>
      <c r="B81">
        <v>16031982</v>
      </c>
      <c r="C81">
        <v>3</v>
      </c>
      <c r="D81">
        <v>1</v>
      </c>
      <c r="E81">
        <v>1</v>
      </c>
      <c r="F81">
        <v>5</v>
      </c>
      <c r="G81">
        <v>5</v>
      </c>
      <c r="H81" t="str">
        <f>IF(Demographics[[#This Row],[DOB]]&gt;10000000, TEXT(Demographics[[#This Row],[DOB]],0),CONCATENATE("0",TEXT(Demographics[[#This Row],[DOB]],0)))</f>
        <v>16031982</v>
      </c>
      <c r="I81" s="4">
        <f ca="1">IFERROR((VALUE(TODAY()-DATE(RIGHT(Demographics[[#This Row],[DOB - Fixed]],4),MID(Demographics[[#This Row],[DOB - Fixed]],3,2),LEFT(Demographics[[#This Row],[DOB - Fixed]],2))))/365,0)</f>
        <v>41.509589041095893</v>
      </c>
      <c r="J81">
        <f>VLOOKUP(Demographics[[#This Row],[INCOME LEVEL]],Income[],4,FALSE)</f>
        <v>175</v>
      </c>
      <c r="K81">
        <f>IFERROR(Demographics[[#This Row],[Total monthly income]]/Demographics[[#This Row],[FAMILY SIZE]], 0)</f>
        <v>58.333333333333336</v>
      </c>
    </row>
    <row r="82" spans="1:11" x14ac:dyDescent="0.2">
      <c r="A82">
        <v>16580423</v>
      </c>
      <c r="B82">
        <v>3051982</v>
      </c>
      <c r="C82">
        <v>4</v>
      </c>
      <c r="D82">
        <v>2</v>
      </c>
      <c r="E82">
        <v>1</v>
      </c>
      <c r="F82">
        <v>3</v>
      </c>
      <c r="G82">
        <v>2</v>
      </c>
      <c r="H82" t="str">
        <f>IF(Demographics[[#This Row],[DOB]]&gt;10000000, TEXT(Demographics[[#This Row],[DOB]],0),CONCATENATE("0",TEXT(Demographics[[#This Row],[DOB]],0)))</f>
        <v>03051982</v>
      </c>
      <c r="I82" s="4">
        <f ca="1">IFERROR((VALUE(TODAY()-DATE(RIGHT(Demographics[[#This Row],[DOB - Fixed]],4),MID(Demographics[[#This Row],[DOB - Fixed]],3,2),LEFT(Demographics[[#This Row],[DOB - Fixed]],2))))/365,0)</f>
        <v>41.37808219178082</v>
      </c>
      <c r="J82">
        <f>VLOOKUP(Demographics[[#This Row],[INCOME LEVEL]],Income[],4,FALSE)</f>
        <v>175</v>
      </c>
      <c r="K82">
        <f>IFERROR(Demographics[[#This Row],[Total monthly income]]/Demographics[[#This Row],[FAMILY SIZE]], 0)</f>
        <v>43.75</v>
      </c>
    </row>
    <row r="83" spans="1:11" x14ac:dyDescent="0.2">
      <c r="A83">
        <v>19699552</v>
      </c>
      <c r="B83">
        <v>17031982</v>
      </c>
      <c r="C83">
        <v>4</v>
      </c>
      <c r="D83">
        <v>1</v>
      </c>
      <c r="E83">
        <v>1</v>
      </c>
      <c r="F83">
        <v>2</v>
      </c>
      <c r="G83">
        <v>5</v>
      </c>
      <c r="H83" t="str">
        <f>IF(Demographics[[#This Row],[DOB]]&gt;10000000, TEXT(Demographics[[#This Row],[DOB]],0),CONCATENATE("0",TEXT(Demographics[[#This Row],[DOB]],0)))</f>
        <v>17031982</v>
      </c>
      <c r="I83" s="4">
        <f ca="1">IFERROR((VALUE(TODAY()-DATE(RIGHT(Demographics[[#This Row],[DOB - Fixed]],4),MID(Demographics[[#This Row],[DOB - Fixed]],3,2),LEFT(Demographics[[#This Row],[DOB - Fixed]],2))))/365,0)</f>
        <v>41.506849315068493</v>
      </c>
      <c r="J83">
        <f>VLOOKUP(Demographics[[#This Row],[INCOME LEVEL]],Income[],4,FALSE)</f>
        <v>175</v>
      </c>
      <c r="K83">
        <f>IFERROR(Demographics[[#This Row],[Total monthly income]]/Demographics[[#This Row],[FAMILY SIZE]], 0)</f>
        <v>43.75</v>
      </c>
    </row>
    <row r="84" spans="1:11" x14ac:dyDescent="0.2">
      <c r="A84">
        <v>17044660</v>
      </c>
      <c r="B84">
        <v>30061982</v>
      </c>
      <c r="C84">
        <v>5</v>
      </c>
      <c r="D84">
        <v>3</v>
      </c>
      <c r="E84">
        <v>1</v>
      </c>
      <c r="F84">
        <v>2</v>
      </c>
      <c r="G84">
        <v>2</v>
      </c>
      <c r="H84" t="str">
        <f>IF(Demographics[[#This Row],[DOB]]&gt;10000000, TEXT(Demographics[[#This Row],[DOB]],0),CONCATENATE("0",TEXT(Demographics[[#This Row],[DOB]],0)))</f>
        <v>30061982</v>
      </c>
      <c r="I84" s="4">
        <f ca="1">IFERROR((VALUE(TODAY()-DATE(RIGHT(Demographics[[#This Row],[DOB - Fixed]],4),MID(Demographics[[#This Row],[DOB - Fixed]],3,2),LEFT(Demographics[[#This Row],[DOB - Fixed]],2))))/365,0)</f>
        <v>41.219178082191782</v>
      </c>
      <c r="J84">
        <f>VLOOKUP(Demographics[[#This Row],[INCOME LEVEL]],Income[],4,FALSE)</f>
        <v>175</v>
      </c>
      <c r="K84">
        <f>IFERROR(Demographics[[#This Row],[Total monthly income]]/Demographics[[#This Row],[FAMILY SIZE]], 0)</f>
        <v>35</v>
      </c>
    </row>
    <row r="85" spans="1:11" x14ac:dyDescent="0.2">
      <c r="A85">
        <v>21374481</v>
      </c>
      <c r="B85">
        <v>13091977</v>
      </c>
      <c r="C85">
        <v>0</v>
      </c>
      <c r="D85">
        <v>0</v>
      </c>
      <c r="E85">
        <v>1</v>
      </c>
      <c r="F85">
        <v>3</v>
      </c>
      <c r="G85">
        <v>3</v>
      </c>
      <c r="H85" t="str">
        <f>IF(Demographics[[#This Row],[DOB]]&gt;10000000, TEXT(Demographics[[#This Row],[DOB]],0),CONCATENATE("0",TEXT(Demographics[[#This Row],[DOB]],0)))</f>
        <v>13091977</v>
      </c>
      <c r="I85" s="4">
        <f ca="1">IFERROR((VALUE(TODAY()-DATE(RIGHT(Demographics[[#This Row],[DOB - Fixed]],4),MID(Demographics[[#This Row],[DOB - Fixed]],3,2),LEFT(Demographics[[#This Row],[DOB - Fixed]],2))))/365,0)</f>
        <v>46.016438356164386</v>
      </c>
      <c r="J85">
        <f>VLOOKUP(Demographics[[#This Row],[INCOME LEVEL]],Income[],4,FALSE)</f>
        <v>175</v>
      </c>
      <c r="K85">
        <f>IFERROR(Demographics[[#This Row],[Total monthly income]]/Demographics[[#This Row],[FAMILY SIZE]], 0)</f>
        <v>0</v>
      </c>
    </row>
    <row r="86" spans="1:11" x14ac:dyDescent="0.2">
      <c r="A86">
        <v>19890446</v>
      </c>
      <c r="B86">
        <v>23071982</v>
      </c>
      <c r="C86">
        <v>4</v>
      </c>
      <c r="D86">
        <v>1</v>
      </c>
      <c r="E86">
        <v>1</v>
      </c>
      <c r="F86">
        <v>5</v>
      </c>
      <c r="G86">
        <v>5</v>
      </c>
      <c r="H86" t="str">
        <f>IF(Demographics[[#This Row],[DOB]]&gt;10000000, TEXT(Demographics[[#This Row],[DOB]],0),CONCATENATE("0",TEXT(Demographics[[#This Row],[DOB]],0)))</f>
        <v>23071982</v>
      </c>
      <c r="I86" s="4">
        <f ca="1">IFERROR((VALUE(TODAY()-DATE(RIGHT(Demographics[[#This Row],[DOB - Fixed]],4),MID(Demographics[[#This Row],[DOB - Fixed]],3,2),LEFT(Demographics[[#This Row],[DOB - Fixed]],2))))/365,0)</f>
        <v>41.156164383561645</v>
      </c>
      <c r="J86">
        <f>VLOOKUP(Demographics[[#This Row],[INCOME LEVEL]],Income[],4,FALSE)</f>
        <v>175</v>
      </c>
      <c r="K86">
        <f>IFERROR(Demographics[[#This Row],[Total monthly income]]/Demographics[[#This Row],[FAMILY SIZE]], 0)</f>
        <v>43.75</v>
      </c>
    </row>
    <row r="87" spans="1:11" x14ac:dyDescent="0.2">
      <c r="A87">
        <v>18375696</v>
      </c>
      <c r="B87">
        <v>29011982</v>
      </c>
      <c r="C87">
        <v>4</v>
      </c>
      <c r="D87">
        <v>1</v>
      </c>
      <c r="E87">
        <v>1</v>
      </c>
      <c r="F87">
        <v>0</v>
      </c>
      <c r="G87">
        <v>8</v>
      </c>
      <c r="H87" t="str">
        <f>IF(Demographics[[#This Row],[DOB]]&gt;10000000, TEXT(Demographics[[#This Row],[DOB]],0),CONCATENATE("0",TEXT(Demographics[[#This Row],[DOB]],0)))</f>
        <v>29011982</v>
      </c>
      <c r="I87" s="4">
        <f ca="1">IFERROR((VALUE(TODAY()-DATE(RIGHT(Demographics[[#This Row],[DOB - Fixed]],4),MID(Demographics[[#This Row],[DOB - Fixed]],3,2),LEFT(Demographics[[#This Row],[DOB - Fixed]],2))))/365,0)</f>
        <v>41.635616438356166</v>
      </c>
      <c r="J87">
        <f>VLOOKUP(Demographics[[#This Row],[INCOME LEVEL]],Income[],4,FALSE)</f>
        <v>175</v>
      </c>
      <c r="K87">
        <f>IFERROR(Demographics[[#This Row],[Total monthly income]]/Demographics[[#This Row],[FAMILY SIZE]], 0)</f>
        <v>43.75</v>
      </c>
    </row>
    <row r="88" spans="1:11" x14ac:dyDescent="0.2">
      <c r="A88">
        <v>8653894</v>
      </c>
      <c r="B88">
        <v>29091982</v>
      </c>
      <c r="C88">
        <v>6</v>
      </c>
      <c r="D88">
        <v>1</v>
      </c>
      <c r="E88">
        <v>1</v>
      </c>
      <c r="F88">
        <v>4</v>
      </c>
      <c r="G88">
        <v>4</v>
      </c>
      <c r="H88" t="str">
        <f>IF(Demographics[[#This Row],[DOB]]&gt;10000000, TEXT(Demographics[[#This Row],[DOB]],0),CONCATENATE("0",TEXT(Demographics[[#This Row],[DOB]],0)))</f>
        <v>29091982</v>
      </c>
      <c r="I88" s="4">
        <f ca="1">IFERROR((VALUE(TODAY()-DATE(RIGHT(Demographics[[#This Row],[DOB - Fixed]],4),MID(Demographics[[#This Row],[DOB - Fixed]],3,2),LEFT(Demographics[[#This Row],[DOB - Fixed]],2))))/365,0)</f>
        <v>40.969863013698628</v>
      </c>
      <c r="J88">
        <f>VLOOKUP(Demographics[[#This Row],[INCOME LEVEL]],Income[],4,FALSE)</f>
        <v>175</v>
      </c>
      <c r="K88">
        <f>IFERROR(Demographics[[#This Row],[Total monthly income]]/Demographics[[#This Row],[FAMILY SIZE]], 0)</f>
        <v>29.166666666666668</v>
      </c>
    </row>
    <row r="89" spans="1:11" x14ac:dyDescent="0.2">
      <c r="A89">
        <v>4278352</v>
      </c>
      <c r="B89">
        <v>11031982</v>
      </c>
      <c r="C89">
        <v>4</v>
      </c>
      <c r="D89">
        <v>2</v>
      </c>
      <c r="E89">
        <v>3</v>
      </c>
      <c r="F89">
        <v>9</v>
      </c>
      <c r="G89">
        <v>9</v>
      </c>
      <c r="H89" t="str">
        <f>IF(Demographics[[#This Row],[DOB]]&gt;10000000, TEXT(Demographics[[#This Row],[DOB]],0),CONCATENATE("0",TEXT(Demographics[[#This Row],[DOB]],0)))</f>
        <v>11031982</v>
      </c>
      <c r="I89" s="4">
        <f ca="1">IFERROR((VALUE(TODAY()-DATE(RIGHT(Demographics[[#This Row],[DOB - Fixed]],4),MID(Demographics[[#This Row],[DOB - Fixed]],3,2),LEFT(Demographics[[#This Row],[DOB - Fixed]],2))))/365,0)</f>
        <v>41.523287671232879</v>
      </c>
      <c r="J89">
        <f>VLOOKUP(Demographics[[#This Row],[INCOME LEVEL]],Income[],4,FALSE)</f>
        <v>1397.5</v>
      </c>
      <c r="K89">
        <f>IFERROR(Demographics[[#This Row],[Total monthly income]]/Demographics[[#This Row],[FAMILY SIZE]], 0)</f>
        <v>349.375</v>
      </c>
    </row>
    <row r="90" spans="1:11" x14ac:dyDescent="0.2">
      <c r="A90">
        <v>17271</v>
      </c>
      <c r="B90">
        <v>29081979</v>
      </c>
      <c r="C90">
        <v>3</v>
      </c>
      <c r="D90">
        <v>1</v>
      </c>
      <c r="E90">
        <v>1</v>
      </c>
      <c r="F90">
        <v>0</v>
      </c>
      <c r="G90">
        <v>2</v>
      </c>
      <c r="H90" t="str">
        <f>IF(Demographics[[#This Row],[DOB]]&gt;10000000, TEXT(Demographics[[#This Row],[DOB]],0),CONCATENATE("0",TEXT(Demographics[[#This Row],[DOB]],0)))</f>
        <v>29081979</v>
      </c>
      <c r="I90" s="4">
        <f ca="1">IFERROR((VALUE(TODAY()-DATE(RIGHT(Demographics[[#This Row],[DOB - Fixed]],4),MID(Demographics[[#This Row],[DOB - Fixed]],3,2),LEFT(Demographics[[#This Row],[DOB - Fixed]],2))))/365,0)</f>
        <v>44.057534246575344</v>
      </c>
      <c r="J90">
        <f>VLOOKUP(Demographics[[#This Row],[INCOME LEVEL]],Income[],4,FALSE)</f>
        <v>175</v>
      </c>
      <c r="K90">
        <f>IFERROR(Demographics[[#This Row],[Total monthly income]]/Demographics[[#This Row],[FAMILY SIZE]], 0)</f>
        <v>58.333333333333336</v>
      </c>
    </row>
    <row r="91" spans="1:11" x14ac:dyDescent="0.2">
      <c r="A91">
        <v>10989095</v>
      </c>
      <c r="B91">
        <v>19051986</v>
      </c>
      <c r="C91">
        <v>4</v>
      </c>
      <c r="D91">
        <v>0</v>
      </c>
      <c r="E91">
        <v>1</v>
      </c>
      <c r="F91">
        <v>4</v>
      </c>
      <c r="G91">
        <v>5</v>
      </c>
      <c r="H91" t="str">
        <f>IF(Demographics[[#This Row],[DOB]]&gt;10000000, TEXT(Demographics[[#This Row],[DOB]],0),CONCATENATE("0",TEXT(Demographics[[#This Row],[DOB]],0)))</f>
        <v>19051986</v>
      </c>
      <c r="I91" s="4">
        <f ca="1">IFERROR((VALUE(TODAY()-DATE(RIGHT(Demographics[[#This Row],[DOB - Fixed]],4),MID(Demographics[[#This Row],[DOB - Fixed]],3,2),LEFT(Demographics[[#This Row],[DOB - Fixed]],2))))/365,0)</f>
        <v>37.331506849315069</v>
      </c>
      <c r="J91">
        <f>VLOOKUP(Demographics[[#This Row],[INCOME LEVEL]],Income[],4,FALSE)</f>
        <v>175</v>
      </c>
      <c r="K91">
        <f>IFERROR(Demographics[[#This Row],[Total monthly income]]/Demographics[[#This Row],[FAMILY SIZE]], 0)</f>
        <v>43.75</v>
      </c>
    </row>
    <row r="92" spans="1:11" x14ac:dyDescent="0.2">
      <c r="A92">
        <v>10084270</v>
      </c>
      <c r="B92">
        <v>18111983</v>
      </c>
      <c r="C92">
        <v>3</v>
      </c>
      <c r="D92">
        <v>2</v>
      </c>
      <c r="E92">
        <v>1</v>
      </c>
      <c r="F92">
        <v>2</v>
      </c>
      <c r="G92">
        <v>2</v>
      </c>
      <c r="H92" t="str">
        <f>IF(Demographics[[#This Row],[DOB]]&gt;10000000, TEXT(Demographics[[#This Row],[DOB]],0),CONCATENATE("0",TEXT(Demographics[[#This Row],[DOB]],0)))</f>
        <v>18111983</v>
      </c>
      <c r="I92" s="4">
        <f ca="1">IFERROR((VALUE(TODAY()-DATE(RIGHT(Demographics[[#This Row],[DOB - Fixed]],4),MID(Demographics[[#This Row],[DOB - Fixed]],3,2),LEFT(Demographics[[#This Row],[DOB - Fixed]],2))))/365,0)</f>
        <v>39.832876712328769</v>
      </c>
      <c r="J92">
        <f>VLOOKUP(Demographics[[#This Row],[INCOME LEVEL]],Income[],4,FALSE)</f>
        <v>175</v>
      </c>
      <c r="K92">
        <f>IFERROR(Demographics[[#This Row],[Total monthly income]]/Demographics[[#This Row],[FAMILY SIZE]], 0)</f>
        <v>58.333333333333336</v>
      </c>
    </row>
    <row r="93" spans="1:11" x14ac:dyDescent="0.2">
      <c r="A93">
        <v>16581673</v>
      </c>
      <c r="B93">
        <v>24011983</v>
      </c>
      <c r="C93">
        <v>7</v>
      </c>
      <c r="D93">
        <v>1</v>
      </c>
      <c r="E93">
        <v>3</v>
      </c>
      <c r="F93">
        <v>5</v>
      </c>
      <c r="G93">
        <v>8</v>
      </c>
      <c r="H93" t="str">
        <f>IF(Demographics[[#This Row],[DOB]]&gt;10000000, TEXT(Demographics[[#This Row],[DOB]],0),CONCATENATE("0",TEXT(Demographics[[#This Row],[DOB]],0)))</f>
        <v>24011983</v>
      </c>
      <c r="I93" s="4">
        <f ca="1">IFERROR((VALUE(TODAY()-DATE(RIGHT(Demographics[[#This Row],[DOB - Fixed]],4),MID(Demographics[[#This Row],[DOB - Fixed]],3,2),LEFT(Demographics[[#This Row],[DOB - Fixed]],2))))/365,0)</f>
        <v>40.649315068493152</v>
      </c>
      <c r="J93">
        <f>VLOOKUP(Demographics[[#This Row],[INCOME LEVEL]],Income[],4,FALSE)</f>
        <v>1397.5</v>
      </c>
      <c r="K93">
        <f>IFERROR(Demographics[[#This Row],[Total monthly income]]/Demographics[[#This Row],[FAMILY SIZE]], 0)</f>
        <v>199.64285714285714</v>
      </c>
    </row>
    <row r="94" spans="1:11" x14ac:dyDescent="0.2">
      <c r="A94">
        <v>3438133</v>
      </c>
      <c r="B94">
        <v>11021986</v>
      </c>
      <c r="C94">
        <v>2</v>
      </c>
      <c r="D94">
        <v>1</v>
      </c>
      <c r="E94">
        <v>3</v>
      </c>
      <c r="F94">
        <v>10</v>
      </c>
      <c r="G94">
        <v>9</v>
      </c>
      <c r="H94" t="str">
        <f>IF(Demographics[[#This Row],[DOB]]&gt;10000000, TEXT(Demographics[[#This Row],[DOB]],0),CONCATENATE("0",TEXT(Demographics[[#This Row],[DOB]],0)))</f>
        <v>11021986</v>
      </c>
      <c r="I94" s="4">
        <f ca="1">IFERROR((VALUE(TODAY()-DATE(RIGHT(Demographics[[#This Row],[DOB - Fixed]],4),MID(Demographics[[#This Row],[DOB - Fixed]],3,2),LEFT(Demographics[[#This Row],[DOB - Fixed]],2))))/365,0)</f>
        <v>37.597260273972601</v>
      </c>
      <c r="J94">
        <f>VLOOKUP(Demographics[[#This Row],[INCOME LEVEL]],Income[],4,FALSE)</f>
        <v>1397.5</v>
      </c>
      <c r="K94">
        <f>IFERROR(Demographics[[#This Row],[Total monthly income]]/Demographics[[#This Row],[FAMILY SIZE]], 0)</f>
        <v>698.75</v>
      </c>
    </row>
    <row r="95" spans="1:11" x14ac:dyDescent="0.2">
      <c r="A95">
        <v>2766647</v>
      </c>
      <c r="B95">
        <v>1051980</v>
      </c>
      <c r="C95">
        <v>7</v>
      </c>
      <c r="D95">
        <v>3</v>
      </c>
      <c r="E95">
        <v>2</v>
      </c>
      <c r="F95">
        <v>2</v>
      </c>
      <c r="G95">
        <v>2</v>
      </c>
      <c r="H95" t="str">
        <f>IF(Demographics[[#This Row],[DOB]]&gt;10000000, TEXT(Demographics[[#This Row],[DOB]],0),CONCATENATE("0",TEXT(Demographics[[#This Row],[DOB]],0)))</f>
        <v>01051980</v>
      </c>
      <c r="I95" s="4">
        <f ca="1">IFERROR((VALUE(TODAY()-DATE(RIGHT(Demographics[[#This Row],[DOB - Fixed]],4),MID(Demographics[[#This Row],[DOB - Fixed]],3,2),LEFT(Demographics[[#This Row],[DOB - Fixed]],2))))/365,0)</f>
        <v>43.38356164383562</v>
      </c>
      <c r="J95">
        <f>VLOOKUP(Demographics[[#This Row],[INCOME LEVEL]],Income[],4,FALSE)</f>
        <v>697.5</v>
      </c>
      <c r="K95">
        <f>IFERROR(Demographics[[#This Row],[Total monthly income]]/Demographics[[#This Row],[FAMILY SIZE]], 0)</f>
        <v>99.642857142857139</v>
      </c>
    </row>
    <row r="96" spans="1:11" x14ac:dyDescent="0.2">
      <c r="A96">
        <v>9232487</v>
      </c>
      <c r="B96">
        <v>27051983</v>
      </c>
      <c r="C96">
        <v>4</v>
      </c>
      <c r="D96">
        <v>2</v>
      </c>
      <c r="E96">
        <v>1</v>
      </c>
      <c r="F96">
        <v>5</v>
      </c>
      <c r="G96">
        <v>8</v>
      </c>
      <c r="H96" t="str">
        <f>IF(Demographics[[#This Row],[DOB]]&gt;10000000, TEXT(Demographics[[#This Row],[DOB]],0),CONCATENATE("0",TEXT(Demographics[[#This Row],[DOB]],0)))</f>
        <v>27051983</v>
      </c>
      <c r="I96" s="4">
        <f ca="1">IFERROR((VALUE(TODAY()-DATE(RIGHT(Demographics[[#This Row],[DOB - Fixed]],4),MID(Demographics[[#This Row],[DOB - Fixed]],3,2),LEFT(Demographics[[#This Row],[DOB - Fixed]],2))))/365,0)</f>
        <v>40.31232876712329</v>
      </c>
      <c r="J96">
        <f>VLOOKUP(Demographics[[#This Row],[INCOME LEVEL]],Income[],4,FALSE)</f>
        <v>175</v>
      </c>
      <c r="K96">
        <f>IFERROR(Demographics[[#This Row],[Total monthly income]]/Demographics[[#This Row],[FAMILY SIZE]], 0)</f>
        <v>43.75</v>
      </c>
    </row>
    <row r="97" spans="1:11" x14ac:dyDescent="0.2">
      <c r="A97">
        <v>11902970</v>
      </c>
      <c r="B97">
        <v>14051983</v>
      </c>
      <c r="C97">
        <v>6</v>
      </c>
      <c r="D97">
        <v>2</v>
      </c>
      <c r="E97">
        <v>1</v>
      </c>
      <c r="F97">
        <v>5</v>
      </c>
      <c r="G97">
        <v>4</v>
      </c>
      <c r="H97" t="str">
        <f>IF(Demographics[[#This Row],[DOB]]&gt;10000000, TEXT(Demographics[[#This Row],[DOB]],0),CONCATENATE("0",TEXT(Demographics[[#This Row],[DOB]],0)))</f>
        <v>14051983</v>
      </c>
      <c r="I97" s="4">
        <f ca="1">IFERROR((VALUE(TODAY()-DATE(RIGHT(Demographics[[#This Row],[DOB - Fixed]],4),MID(Demographics[[#This Row],[DOB - Fixed]],3,2),LEFT(Demographics[[#This Row],[DOB - Fixed]],2))))/365,0)</f>
        <v>40.347945205479455</v>
      </c>
      <c r="J97">
        <f>VLOOKUP(Demographics[[#This Row],[INCOME LEVEL]],Income[],4,FALSE)</f>
        <v>175</v>
      </c>
      <c r="K97">
        <f>IFERROR(Demographics[[#This Row],[Total monthly income]]/Demographics[[#This Row],[FAMILY SIZE]], 0)</f>
        <v>29.166666666666668</v>
      </c>
    </row>
    <row r="98" spans="1:11" x14ac:dyDescent="0.2">
      <c r="A98">
        <v>22925996</v>
      </c>
      <c r="B98">
        <v>23071984</v>
      </c>
      <c r="C98">
        <v>5</v>
      </c>
      <c r="D98">
        <v>2</v>
      </c>
      <c r="E98">
        <v>1</v>
      </c>
      <c r="F98">
        <v>2</v>
      </c>
      <c r="G98">
        <v>4</v>
      </c>
      <c r="H98" t="str">
        <f>IF(Demographics[[#This Row],[DOB]]&gt;10000000, TEXT(Demographics[[#This Row],[DOB]],0),CONCATENATE("0",TEXT(Demographics[[#This Row],[DOB]],0)))</f>
        <v>23071984</v>
      </c>
      <c r="I98" s="4">
        <f ca="1">IFERROR((VALUE(TODAY()-DATE(RIGHT(Demographics[[#This Row],[DOB - Fixed]],4),MID(Demographics[[#This Row],[DOB - Fixed]],3,2),LEFT(Demographics[[#This Row],[DOB - Fixed]],2))))/365,0)</f>
        <v>39.153424657534245</v>
      </c>
      <c r="J98">
        <f>VLOOKUP(Demographics[[#This Row],[INCOME LEVEL]],Income[],4,FALSE)</f>
        <v>175</v>
      </c>
      <c r="K98">
        <f>IFERROR(Demographics[[#This Row],[Total monthly income]]/Demographics[[#This Row],[FAMILY SIZE]], 0)</f>
        <v>35</v>
      </c>
    </row>
    <row r="99" spans="1:11" x14ac:dyDescent="0.2">
      <c r="A99">
        <v>11409904</v>
      </c>
      <c r="B99">
        <v>15091983</v>
      </c>
      <c r="C99">
        <v>5</v>
      </c>
      <c r="D99">
        <v>2</v>
      </c>
      <c r="E99">
        <v>4</v>
      </c>
      <c r="F99">
        <v>9</v>
      </c>
      <c r="G99">
        <v>9</v>
      </c>
      <c r="H99" t="str">
        <f>IF(Demographics[[#This Row],[DOB]]&gt;10000000, TEXT(Demographics[[#This Row],[DOB]],0),CONCATENATE("0",TEXT(Demographics[[#This Row],[DOB]],0)))</f>
        <v>15091983</v>
      </c>
      <c r="I99" s="4">
        <f ca="1">IFERROR((VALUE(TODAY()-DATE(RIGHT(Demographics[[#This Row],[DOB - Fixed]],4),MID(Demographics[[#This Row],[DOB - Fixed]],3,2),LEFT(Demographics[[#This Row],[DOB - Fixed]],2))))/365,0)</f>
        <v>40.008219178082193</v>
      </c>
      <c r="J99">
        <f>VLOOKUP(Demographics[[#This Row],[INCOME LEVEL]],Income[],4,FALSE)</f>
        <v>2100</v>
      </c>
      <c r="K99">
        <f>IFERROR(Demographics[[#This Row],[Total monthly income]]/Demographics[[#This Row],[FAMILY SIZE]], 0)</f>
        <v>420</v>
      </c>
    </row>
    <row r="100" spans="1:11" x14ac:dyDescent="0.2">
      <c r="A100">
        <v>3686004</v>
      </c>
      <c r="B100">
        <v>23071983</v>
      </c>
      <c r="C100">
        <v>8</v>
      </c>
      <c r="D100">
        <v>1</v>
      </c>
      <c r="E100">
        <v>1</v>
      </c>
      <c r="F100">
        <v>3</v>
      </c>
      <c r="G100">
        <v>3</v>
      </c>
      <c r="H100" t="str">
        <f>IF(Demographics[[#This Row],[DOB]]&gt;10000000, TEXT(Demographics[[#This Row],[DOB]],0),CONCATENATE("0",TEXT(Demographics[[#This Row],[DOB]],0)))</f>
        <v>23071983</v>
      </c>
      <c r="I100" s="4">
        <f ca="1">IFERROR((VALUE(TODAY()-DATE(RIGHT(Demographics[[#This Row],[DOB - Fixed]],4),MID(Demographics[[#This Row],[DOB - Fixed]],3,2),LEFT(Demographics[[#This Row],[DOB - Fixed]],2))))/365,0)</f>
        <v>40.156164383561645</v>
      </c>
      <c r="J100">
        <f>VLOOKUP(Demographics[[#This Row],[INCOME LEVEL]],Income[],4,FALSE)</f>
        <v>175</v>
      </c>
      <c r="K100">
        <f>IFERROR(Demographics[[#This Row],[Total monthly income]]/Demographics[[#This Row],[FAMILY SIZE]], 0)</f>
        <v>21.875</v>
      </c>
    </row>
    <row r="101" spans="1:11" x14ac:dyDescent="0.2">
      <c r="A101">
        <v>19135863</v>
      </c>
      <c r="B101">
        <v>27061983</v>
      </c>
      <c r="C101">
        <v>4</v>
      </c>
      <c r="D101">
        <v>1</v>
      </c>
      <c r="E101">
        <v>1</v>
      </c>
      <c r="F101">
        <v>2</v>
      </c>
      <c r="G101">
        <v>2</v>
      </c>
      <c r="H101" t="str">
        <f>IF(Demographics[[#This Row],[DOB]]&gt;10000000, TEXT(Demographics[[#This Row],[DOB]],0),CONCATENATE("0",TEXT(Demographics[[#This Row],[DOB]],0)))</f>
        <v>27061983</v>
      </c>
      <c r="I101" s="4">
        <f ca="1">IFERROR((VALUE(TODAY()-DATE(RIGHT(Demographics[[#This Row],[DOB - Fixed]],4),MID(Demographics[[#This Row],[DOB - Fixed]],3,2),LEFT(Demographics[[#This Row],[DOB - Fixed]],2))))/365,0)</f>
        <v>40.227397260273975</v>
      </c>
      <c r="J101">
        <f>VLOOKUP(Demographics[[#This Row],[INCOME LEVEL]],Income[],4,FALSE)</f>
        <v>175</v>
      </c>
      <c r="K101">
        <f>IFERROR(Demographics[[#This Row],[Total monthly income]]/Demographics[[#This Row],[FAMILY SIZE]], 0)</f>
        <v>43.75</v>
      </c>
    </row>
    <row r="102" spans="1:11" x14ac:dyDescent="0.2">
      <c r="A102">
        <v>6370953</v>
      </c>
      <c r="B102">
        <v>20081983</v>
      </c>
      <c r="C102">
        <v>5</v>
      </c>
      <c r="D102">
        <v>1</v>
      </c>
      <c r="E102">
        <v>2</v>
      </c>
      <c r="F102">
        <v>9</v>
      </c>
      <c r="G102">
        <v>5</v>
      </c>
      <c r="H102" t="str">
        <f>IF(Demographics[[#This Row],[DOB]]&gt;10000000, TEXT(Demographics[[#This Row],[DOB]],0),CONCATENATE("0",TEXT(Demographics[[#This Row],[DOB]],0)))</f>
        <v>20081983</v>
      </c>
      <c r="I102" s="4">
        <f ca="1">IFERROR((VALUE(TODAY()-DATE(RIGHT(Demographics[[#This Row],[DOB - Fixed]],4),MID(Demographics[[#This Row],[DOB - Fixed]],3,2),LEFT(Demographics[[#This Row],[DOB - Fixed]],2))))/365,0)</f>
        <v>40.079452054794523</v>
      </c>
      <c r="J102">
        <f>VLOOKUP(Demographics[[#This Row],[INCOME LEVEL]],Income[],4,FALSE)</f>
        <v>697.5</v>
      </c>
      <c r="K102">
        <f>IFERROR(Demographics[[#This Row],[Total monthly income]]/Demographics[[#This Row],[FAMILY SIZE]], 0)</f>
        <v>139.5</v>
      </c>
    </row>
    <row r="103" spans="1:11" x14ac:dyDescent="0.2">
      <c r="A103">
        <v>15550542</v>
      </c>
      <c r="B103">
        <v>17091983</v>
      </c>
      <c r="C103">
        <v>6</v>
      </c>
      <c r="D103">
        <v>1</v>
      </c>
      <c r="E103">
        <v>1</v>
      </c>
      <c r="F103">
        <v>0</v>
      </c>
      <c r="G103">
        <v>0</v>
      </c>
      <c r="H103" t="str">
        <f>IF(Demographics[[#This Row],[DOB]]&gt;10000000, TEXT(Demographics[[#This Row],[DOB]],0),CONCATENATE("0",TEXT(Demographics[[#This Row],[DOB]],0)))</f>
        <v>17091983</v>
      </c>
      <c r="I103" s="4">
        <f ca="1">IFERROR((VALUE(TODAY()-DATE(RIGHT(Demographics[[#This Row],[DOB - Fixed]],4),MID(Demographics[[#This Row],[DOB - Fixed]],3,2),LEFT(Demographics[[#This Row],[DOB - Fixed]],2))))/365,0)</f>
        <v>40.0027397260274</v>
      </c>
      <c r="J103">
        <f>VLOOKUP(Demographics[[#This Row],[INCOME LEVEL]],Income[],4,FALSE)</f>
        <v>175</v>
      </c>
      <c r="K103">
        <f>IFERROR(Demographics[[#This Row],[Total monthly income]]/Demographics[[#This Row],[FAMILY SIZE]], 0)</f>
        <v>29.166666666666668</v>
      </c>
    </row>
    <row r="104" spans="1:11" x14ac:dyDescent="0.2">
      <c r="A104">
        <v>2214889</v>
      </c>
      <c r="B104">
        <v>31071983</v>
      </c>
      <c r="C104">
        <v>1</v>
      </c>
      <c r="D104">
        <v>1</v>
      </c>
      <c r="E104">
        <v>1</v>
      </c>
      <c r="F104">
        <v>2</v>
      </c>
      <c r="G104">
        <v>3</v>
      </c>
      <c r="H104" t="str">
        <f>IF(Demographics[[#This Row],[DOB]]&gt;10000000, TEXT(Demographics[[#This Row],[DOB]],0),CONCATENATE("0",TEXT(Demographics[[#This Row],[DOB]],0)))</f>
        <v>31071983</v>
      </c>
      <c r="I104" s="4">
        <f ca="1">IFERROR((VALUE(TODAY()-DATE(RIGHT(Demographics[[#This Row],[DOB - Fixed]],4),MID(Demographics[[#This Row],[DOB - Fixed]],3,2),LEFT(Demographics[[#This Row],[DOB - Fixed]],2))))/365,0)</f>
        <v>40.134246575342466</v>
      </c>
      <c r="J104">
        <f>VLOOKUP(Demographics[[#This Row],[INCOME LEVEL]],Income[],4,FALSE)</f>
        <v>175</v>
      </c>
      <c r="K104">
        <f>IFERROR(Demographics[[#This Row],[Total monthly income]]/Demographics[[#This Row],[FAMILY SIZE]], 0)</f>
        <v>175</v>
      </c>
    </row>
    <row r="105" spans="1:11" x14ac:dyDescent="0.2">
      <c r="A105">
        <v>16201928</v>
      </c>
      <c r="B105">
        <v>13101983</v>
      </c>
      <c r="C105">
        <v>4</v>
      </c>
      <c r="D105">
        <v>1</v>
      </c>
      <c r="E105">
        <v>1</v>
      </c>
      <c r="F105">
        <v>5</v>
      </c>
      <c r="G105">
        <v>3</v>
      </c>
      <c r="H105" t="str">
        <f>IF(Demographics[[#This Row],[DOB]]&gt;10000000, TEXT(Demographics[[#This Row],[DOB]],0),CONCATENATE("0",TEXT(Demographics[[#This Row],[DOB]],0)))</f>
        <v>13101983</v>
      </c>
      <c r="I105" s="4">
        <f ca="1">IFERROR((VALUE(TODAY()-DATE(RIGHT(Demographics[[#This Row],[DOB - Fixed]],4),MID(Demographics[[#This Row],[DOB - Fixed]],3,2),LEFT(Demographics[[#This Row],[DOB - Fixed]],2))))/365,0)</f>
        <v>39.93150684931507</v>
      </c>
      <c r="J105">
        <f>VLOOKUP(Demographics[[#This Row],[INCOME LEVEL]],Income[],4,FALSE)</f>
        <v>175</v>
      </c>
      <c r="K105">
        <f>IFERROR(Demographics[[#This Row],[Total monthly income]]/Demographics[[#This Row],[FAMILY SIZE]], 0)</f>
        <v>43.75</v>
      </c>
    </row>
    <row r="106" spans="1:11" x14ac:dyDescent="0.2">
      <c r="A106">
        <v>24645692</v>
      </c>
      <c r="B106">
        <v>10101983</v>
      </c>
      <c r="C106">
        <v>4</v>
      </c>
      <c r="D106">
        <v>2</v>
      </c>
      <c r="E106">
        <v>1</v>
      </c>
      <c r="F106">
        <v>0</v>
      </c>
      <c r="G106">
        <v>2</v>
      </c>
      <c r="H106" t="str">
        <f>IF(Demographics[[#This Row],[DOB]]&gt;10000000, TEXT(Demographics[[#This Row],[DOB]],0),CONCATENATE("0",TEXT(Demographics[[#This Row],[DOB]],0)))</f>
        <v>10101983</v>
      </c>
      <c r="I106" s="4">
        <f ca="1">IFERROR((VALUE(TODAY()-DATE(RIGHT(Demographics[[#This Row],[DOB - Fixed]],4),MID(Demographics[[#This Row],[DOB - Fixed]],3,2),LEFT(Demographics[[#This Row],[DOB - Fixed]],2))))/365,0)</f>
        <v>39.939726027397263</v>
      </c>
      <c r="J106">
        <f>VLOOKUP(Demographics[[#This Row],[INCOME LEVEL]],Income[],4,FALSE)</f>
        <v>175</v>
      </c>
      <c r="K106">
        <f>IFERROR(Demographics[[#This Row],[Total monthly income]]/Demographics[[#This Row],[FAMILY SIZE]], 0)</f>
        <v>43.75</v>
      </c>
    </row>
    <row r="107" spans="1:11" x14ac:dyDescent="0.2">
      <c r="A107">
        <v>11930167</v>
      </c>
      <c r="B107">
        <v>26011983</v>
      </c>
      <c r="C107">
        <v>4</v>
      </c>
      <c r="D107">
        <v>1</v>
      </c>
      <c r="E107">
        <v>1</v>
      </c>
      <c r="F107">
        <v>8</v>
      </c>
      <c r="G107">
        <v>2</v>
      </c>
      <c r="H107" t="str">
        <f>IF(Demographics[[#This Row],[DOB]]&gt;10000000, TEXT(Demographics[[#This Row],[DOB]],0),CONCATENATE("0",TEXT(Demographics[[#This Row],[DOB]],0)))</f>
        <v>26011983</v>
      </c>
      <c r="I107" s="4">
        <f ca="1">IFERROR((VALUE(TODAY()-DATE(RIGHT(Demographics[[#This Row],[DOB - Fixed]],4),MID(Demographics[[#This Row],[DOB - Fixed]],3,2),LEFT(Demographics[[#This Row],[DOB - Fixed]],2))))/365,0)</f>
        <v>40.643835616438359</v>
      </c>
      <c r="J107">
        <f>VLOOKUP(Demographics[[#This Row],[INCOME LEVEL]],Income[],4,FALSE)</f>
        <v>175</v>
      </c>
      <c r="K107">
        <f>IFERROR(Demographics[[#This Row],[Total monthly income]]/Demographics[[#This Row],[FAMILY SIZE]], 0)</f>
        <v>43.75</v>
      </c>
    </row>
    <row r="108" spans="1:11" x14ac:dyDescent="0.2">
      <c r="A108">
        <v>1146554</v>
      </c>
      <c r="B108">
        <v>21101983</v>
      </c>
      <c r="C108">
        <v>5</v>
      </c>
      <c r="D108">
        <v>1</v>
      </c>
      <c r="E108">
        <v>1</v>
      </c>
      <c r="F108">
        <v>4</v>
      </c>
      <c r="G108">
        <v>4</v>
      </c>
      <c r="H108" t="str">
        <f>IF(Demographics[[#This Row],[DOB]]&gt;10000000, TEXT(Demographics[[#This Row],[DOB]],0),CONCATENATE("0",TEXT(Demographics[[#This Row],[DOB]],0)))</f>
        <v>21101983</v>
      </c>
      <c r="I108" s="4">
        <f ca="1">IFERROR((VALUE(TODAY()-DATE(RIGHT(Demographics[[#This Row],[DOB - Fixed]],4),MID(Demographics[[#This Row],[DOB - Fixed]],3,2),LEFT(Demographics[[#This Row],[DOB - Fixed]],2))))/365,0)</f>
        <v>39.909589041095892</v>
      </c>
      <c r="J108">
        <f>VLOOKUP(Demographics[[#This Row],[INCOME LEVEL]],Income[],4,FALSE)</f>
        <v>175</v>
      </c>
      <c r="K108">
        <f>IFERROR(Demographics[[#This Row],[Total monthly income]]/Demographics[[#This Row],[FAMILY SIZE]], 0)</f>
        <v>35</v>
      </c>
    </row>
    <row r="109" spans="1:11" x14ac:dyDescent="0.2">
      <c r="A109">
        <v>4541506</v>
      </c>
      <c r="B109">
        <v>31081983</v>
      </c>
      <c r="C109">
        <v>5</v>
      </c>
      <c r="D109">
        <v>1</v>
      </c>
      <c r="E109">
        <v>1</v>
      </c>
      <c r="F109">
        <v>0</v>
      </c>
      <c r="G109">
        <v>3</v>
      </c>
      <c r="H109" t="str">
        <f>IF(Demographics[[#This Row],[DOB]]&gt;10000000, TEXT(Demographics[[#This Row],[DOB]],0),CONCATENATE("0",TEXT(Demographics[[#This Row],[DOB]],0)))</f>
        <v>31081983</v>
      </c>
      <c r="I109" s="4">
        <f ca="1">IFERROR((VALUE(TODAY()-DATE(RIGHT(Demographics[[#This Row],[DOB - Fixed]],4),MID(Demographics[[#This Row],[DOB - Fixed]],3,2),LEFT(Demographics[[#This Row],[DOB - Fixed]],2))))/365,0)</f>
        <v>40.049315068493151</v>
      </c>
      <c r="J109">
        <f>VLOOKUP(Demographics[[#This Row],[INCOME LEVEL]],Income[],4,FALSE)</f>
        <v>175</v>
      </c>
      <c r="K109">
        <f>IFERROR(Demographics[[#This Row],[Total monthly income]]/Demographics[[#This Row],[FAMILY SIZE]], 0)</f>
        <v>35</v>
      </c>
    </row>
    <row r="110" spans="1:11" x14ac:dyDescent="0.2">
      <c r="A110">
        <v>5508773</v>
      </c>
      <c r="B110">
        <v>15011984</v>
      </c>
      <c r="C110">
        <v>5</v>
      </c>
      <c r="D110">
        <v>1</v>
      </c>
      <c r="E110">
        <v>1</v>
      </c>
      <c r="F110">
        <v>4</v>
      </c>
      <c r="G110">
        <v>3</v>
      </c>
      <c r="H110" t="str">
        <f>IF(Demographics[[#This Row],[DOB]]&gt;10000000, TEXT(Demographics[[#This Row],[DOB]],0),CONCATENATE("0",TEXT(Demographics[[#This Row],[DOB]],0)))</f>
        <v>15011984</v>
      </c>
      <c r="I110" s="4">
        <f ca="1">IFERROR((VALUE(TODAY()-DATE(RIGHT(Demographics[[#This Row],[DOB - Fixed]],4),MID(Demographics[[#This Row],[DOB - Fixed]],3,2),LEFT(Demographics[[#This Row],[DOB - Fixed]],2))))/365,0)</f>
        <v>39.673972602739724</v>
      </c>
      <c r="J110">
        <f>VLOOKUP(Demographics[[#This Row],[INCOME LEVEL]],Income[],4,FALSE)</f>
        <v>175</v>
      </c>
      <c r="K110">
        <f>IFERROR(Demographics[[#This Row],[Total monthly income]]/Demographics[[#This Row],[FAMILY SIZE]], 0)</f>
        <v>35</v>
      </c>
    </row>
    <row r="111" spans="1:11" x14ac:dyDescent="0.2">
      <c r="A111">
        <v>6576932</v>
      </c>
      <c r="B111">
        <v>20011984</v>
      </c>
      <c r="C111">
        <v>7</v>
      </c>
      <c r="D111">
        <v>0</v>
      </c>
      <c r="E111">
        <v>1</v>
      </c>
      <c r="F111">
        <v>0</v>
      </c>
      <c r="G111">
        <v>5</v>
      </c>
      <c r="H111" t="str">
        <f>IF(Demographics[[#This Row],[DOB]]&gt;10000000, TEXT(Demographics[[#This Row],[DOB]],0),CONCATENATE("0",TEXT(Demographics[[#This Row],[DOB]],0)))</f>
        <v>20011984</v>
      </c>
      <c r="I111" s="4">
        <f ca="1">IFERROR((VALUE(TODAY()-DATE(RIGHT(Demographics[[#This Row],[DOB - Fixed]],4),MID(Demographics[[#This Row],[DOB - Fixed]],3,2),LEFT(Demographics[[#This Row],[DOB - Fixed]],2))))/365,0)</f>
        <v>39.660273972602738</v>
      </c>
      <c r="J111">
        <f>VLOOKUP(Demographics[[#This Row],[INCOME LEVEL]],Income[],4,FALSE)</f>
        <v>175</v>
      </c>
      <c r="K111">
        <f>IFERROR(Demographics[[#This Row],[Total monthly income]]/Demographics[[#This Row],[FAMILY SIZE]], 0)</f>
        <v>25</v>
      </c>
    </row>
    <row r="112" spans="1:11" x14ac:dyDescent="0.2">
      <c r="A112">
        <v>195961</v>
      </c>
      <c r="B112">
        <v>7021984</v>
      </c>
      <c r="C112">
        <v>8</v>
      </c>
      <c r="D112">
        <v>2</v>
      </c>
      <c r="E112">
        <v>1</v>
      </c>
      <c r="F112">
        <v>5</v>
      </c>
      <c r="G112">
        <v>4</v>
      </c>
      <c r="H112" t="str">
        <f>IF(Demographics[[#This Row],[DOB]]&gt;10000000, TEXT(Demographics[[#This Row],[DOB]],0),CONCATENATE("0",TEXT(Demographics[[#This Row],[DOB]],0)))</f>
        <v>07021984</v>
      </c>
      <c r="I112" s="4">
        <f ca="1">IFERROR((VALUE(TODAY()-DATE(RIGHT(Demographics[[#This Row],[DOB - Fixed]],4),MID(Demographics[[#This Row],[DOB - Fixed]],3,2),LEFT(Demographics[[#This Row],[DOB - Fixed]],2))))/365,0)</f>
        <v>39.610958904109587</v>
      </c>
      <c r="J112">
        <f>VLOOKUP(Demographics[[#This Row],[INCOME LEVEL]],Income[],4,FALSE)</f>
        <v>175</v>
      </c>
      <c r="K112">
        <f>IFERROR(Demographics[[#This Row],[Total monthly income]]/Demographics[[#This Row],[FAMILY SIZE]], 0)</f>
        <v>21.875</v>
      </c>
    </row>
    <row r="113" spans="1:11" x14ac:dyDescent="0.2">
      <c r="A113">
        <v>6418505</v>
      </c>
      <c r="B113">
        <v>15041984</v>
      </c>
      <c r="C113">
        <v>3</v>
      </c>
      <c r="D113">
        <v>1</v>
      </c>
      <c r="E113">
        <v>1</v>
      </c>
      <c r="F113">
        <v>4</v>
      </c>
      <c r="G113">
        <v>4</v>
      </c>
      <c r="H113" t="str">
        <f>IF(Demographics[[#This Row],[DOB]]&gt;10000000, TEXT(Demographics[[#This Row],[DOB]],0),CONCATENATE("0",TEXT(Demographics[[#This Row],[DOB]],0)))</f>
        <v>15041984</v>
      </c>
      <c r="I113" s="4">
        <f ca="1">IFERROR((VALUE(TODAY()-DATE(RIGHT(Demographics[[#This Row],[DOB - Fixed]],4),MID(Demographics[[#This Row],[DOB - Fixed]],3,2),LEFT(Demographics[[#This Row],[DOB - Fixed]],2))))/365,0)</f>
        <v>39.424657534246577</v>
      </c>
      <c r="J113">
        <f>VLOOKUP(Demographics[[#This Row],[INCOME LEVEL]],Income[],4,FALSE)</f>
        <v>175</v>
      </c>
      <c r="K113">
        <f>IFERROR(Demographics[[#This Row],[Total monthly income]]/Demographics[[#This Row],[FAMILY SIZE]], 0)</f>
        <v>58.333333333333336</v>
      </c>
    </row>
    <row r="114" spans="1:11" x14ac:dyDescent="0.2">
      <c r="A114">
        <v>7648323</v>
      </c>
      <c r="B114">
        <v>5021989</v>
      </c>
      <c r="C114">
        <v>5</v>
      </c>
      <c r="D114">
        <v>1</v>
      </c>
      <c r="E114">
        <v>1</v>
      </c>
      <c r="F114">
        <v>2</v>
      </c>
      <c r="G114">
        <v>2</v>
      </c>
      <c r="H114" t="str">
        <f>IF(Demographics[[#This Row],[DOB]]&gt;10000000, TEXT(Demographics[[#This Row],[DOB]],0),CONCATENATE("0",TEXT(Demographics[[#This Row],[DOB]],0)))</f>
        <v>05021989</v>
      </c>
      <c r="I114" s="4">
        <f ca="1">IFERROR((VALUE(TODAY()-DATE(RIGHT(Demographics[[#This Row],[DOB - Fixed]],4),MID(Demographics[[#This Row],[DOB - Fixed]],3,2),LEFT(Demographics[[#This Row],[DOB - Fixed]],2))))/365,0)</f>
        <v>34.610958904109587</v>
      </c>
      <c r="J114">
        <f>VLOOKUP(Demographics[[#This Row],[INCOME LEVEL]],Income[],4,FALSE)</f>
        <v>175</v>
      </c>
      <c r="K114">
        <f>IFERROR(Demographics[[#This Row],[Total monthly income]]/Demographics[[#This Row],[FAMILY SIZE]], 0)</f>
        <v>35</v>
      </c>
    </row>
    <row r="115" spans="1:11" x14ac:dyDescent="0.2">
      <c r="A115">
        <v>19495326</v>
      </c>
      <c r="B115">
        <v>19121983</v>
      </c>
      <c r="C115">
        <v>6</v>
      </c>
      <c r="D115">
        <v>1</v>
      </c>
      <c r="E115">
        <v>1</v>
      </c>
      <c r="F115">
        <v>3</v>
      </c>
      <c r="G115">
        <v>4</v>
      </c>
      <c r="H115" t="str">
        <f>IF(Demographics[[#This Row],[DOB]]&gt;10000000, TEXT(Demographics[[#This Row],[DOB]],0),CONCATENATE("0",TEXT(Demographics[[#This Row],[DOB]],0)))</f>
        <v>19121983</v>
      </c>
      <c r="I115" s="4">
        <f ca="1">IFERROR((VALUE(TODAY()-DATE(RIGHT(Demographics[[#This Row],[DOB - Fixed]],4),MID(Demographics[[#This Row],[DOB - Fixed]],3,2),LEFT(Demographics[[#This Row],[DOB - Fixed]],2))))/365,0)</f>
        <v>39.747945205479454</v>
      </c>
      <c r="J115">
        <f>VLOOKUP(Demographics[[#This Row],[INCOME LEVEL]],Income[],4,FALSE)</f>
        <v>175</v>
      </c>
      <c r="K115">
        <f>IFERROR(Demographics[[#This Row],[Total monthly income]]/Demographics[[#This Row],[FAMILY SIZE]], 0)</f>
        <v>29.166666666666668</v>
      </c>
    </row>
    <row r="116" spans="1:11" x14ac:dyDescent="0.2">
      <c r="A116">
        <v>3626946</v>
      </c>
      <c r="B116">
        <v>21081984</v>
      </c>
      <c r="C116">
        <v>3</v>
      </c>
      <c r="D116">
        <v>2</v>
      </c>
      <c r="E116">
        <v>1</v>
      </c>
      <c r="F116">
        <v>3</v>
      </c>
      <c r="G116">
        <v>5</v>
      </c>
      <c r="H116" t="str">
        <f>IF(Demographics[[#This Row],[DOB]]&gt;10000000, TEXT(Demographics[[#This Row],[DOB]],0),CONCATENATE("0",TEXT(Demographics[[#This Row],[DOB]],0)))</f>
        <v>21081984</v>
      </c>
      <c r="I116" s="4">
        <f ca="1">IFERROR((VALUE(TODAY()-DATE(RIGHT(Demographics[[#This Row],[DOB - Fixed]],4),MID(Demographics[[#This Row],[DOB - Fixed]],3,2),LEFT(Demographics[[#This Row],[DOB - Fixed]],2))))/365,0)</f>
        <v>39.073972602739723</v>
      </c>
      <c r="J116">
        <f>VLOOKUP(Demographics[[#This Row],[INCOME LEVEL]],Income[],4,FALSE)</f>
        <v>175</v>
      </c>
      <c r="K116">
        <f>IFERROR(Demographics[[#This Row],[Total monthly income]]/Demographics[[#This Row],[FAMILY SIZE]], 0)</f>
        <v>58.333333333333336</v>
      </c>
    </row>
    <row r="117" spans="1:11" x14ac:dyDescent="0.2">
      <c r="A117">
        <v>7315945</v>
      </c>
      <c r="B117">
        <v>10121985</v>
      </c>
      <c r="C117">
        <v>5</v>
      </c>
      <c r="D117">
        <v>2</v>
      </c>
      <c r="E117">
        <v>2</v>
      </c>
      <c r="F117">
        <v>5</v>
      </c>
      <c r="G117">
        <v>5</v>
      </c>
      <c r="H117" t="str">
        <f>IF(Demographics[[#This Row],[DOB]]&gt;10000000, TEXT(Demographics[[#This Row],[DOB]],0),CONCATENATE("0",TEXT(Demographics[[#This Row],[DOB]],0)))</f>
        <v>10121985</v>
      </c>
      <c r="I117" s="4">
        <f ca="1">IFERROR((VALUE(TODAY()-DATE(RIGHT(Demographics[[#This Row],[DOB - Fixed]],4),MID(Demographics[[#This Row],[DOB - Fixed]],3,2),LEFT(Demographics[[#This Row],[DOB - Fixed]],2))))/365,0)</f>
        <v>37.769863013698632</v>
      </c>
      <c r="J117">
        <f>VLOOKUP(Demographics[[#This Row],[INCOME LEVEL]],Income[],4,FALSE)</f>
        <v>697.5</v>
      </c>
      <c r="K117">
        <f>IFERROR(Demographics[[#This Row],[Total monthly income]]/Demographics[[#This Row],[FAMILY SIZE]], 0)</f>
        <v>139.5</v>
      </c>
    </row>
    <row r="118" spans="1:11" x14ac:dyDescent="0.2">
      <c r="A118">
        <v>8934054</v>
      </c>
      <c r="B118">
        <v>2021984</v>
      </c>
      <c r="C118">
        <v>5</v>
      </c>
      <c r="D118">
        <v>3</v>
      </c>
      <c r="E118">
        <v>1</v>
      </c>
      <c r="F118">
        <v>0</v>
      </c>
      <c r="G118">
        <v>3</v>
      </c>
      <c r="H118" t="str">
        <f>IF(Demographics[[#This Row],[DOB]]&gt;10000000, TEXT(Demographics[[#This Row],[DOB]],0),CONCATENATE("0",TEXT(Demographics[[#This Row],[DOB]],0)))</f>
        <v>02021984</v>
      </c>
      <c r="I118" s="4">
        <f ca="1">IFERROR((VALUE(TODAY()-DATE(RIGHT(Demographics[[#This Row],[DOB - Fixed]],4),MID(Demographics[[#This Row],[DOB - Fixed]],3,2),LEFT(Demographics[[#This Row],[DOB - Fixed]],2))))/365,0)</f>
        <v>39.624657534246573</v>
      </c>
      <c r="J118">
        <f>VLOOKUP(Demographics[[#This Row],[INCOME LEVEL]],Income[],4,FALSE)</f>
        <v>175</v>
      </c>
      <c r="K118">
        <f>IFERROR(Demographics[[#This Row],[Total monthly income]]/Demographics[[#This Row],[FAMILY SIZE]], 0)</f>
        <v>35</v>
      </c>
    </row>
    <row r="119" spans="1:11" x14ac:dyDescent="0.2">
      <c r="A119">
        <v>7764957</v>
      </c>
      <c r="B119">
        <v>17021984</v>
      </c>
      <c r="C119">
        <v>6</v>
      </c>
      <c r="D119">
        <v>2</v>
      </c>
      <c r="E119">
        <v>3</v>
      </c>
      <c r="F119">
        <v>9</v>
      </c>
      <c r="G119">
        <v>9</v>
      </c>
      <c r="H119" t="str">
        <f>IF(Demographics[[#This Row],[DOB]]&gt;10000000, TEXT(Demographics[[#This Row],[DOB]],0),CONCATENATE("0",TEXT(Demographics[[#This Row],[DOB]],0)))</f>
        <v>17021984</v>
      </c>
      <c r="I119" s="4">
        <f ca="1">IFERROR((VALUE(TODAY()-DATE(RIGHT(Demographics[[#This Row],[DOB - Fixed]],4),MID(Demographics[[#This Row],[DOB - Fixed]],3,2),LEFT(Demographics[[#This Row],[DOB - Fixed]],2))))/365,0)</f>
        <v>39.583561643835615</v>
      </c>
      <c r="J119">
        <f>VLOOKUP(Demographics[[#This Row],[INCOME LEVEL]],Income[],4,FALSE)</f>
        <v>1397.5</v>
      </c>
      <c r="K119">
        <f>IFERROR(Demographics[[#This Row],[Total monthly income]]/Demographics[[#This Row],[FAMILY SIZE]], 0)</f>
        <v>232.91666666666666</v>
      </c>
    </row>
    <row r="120" spans="1:11" x14ac:dyDescent="0.2">
      <c r="A120">
        <v>22775546</v>
      </c>
      <c r="B120">
        <v>13041984</v>
      </c>
      <c r="C120">
        <v>3</v>
      </c>
      <c r="D120">
        <v>2</v>
      </c>
      <c r="E120">
        <v>2</v>
      </c>
      <c r="F120">
        <v>4</v>
      </c>
      <c r="G120">
        <v>5</v>
      </c>
      <c r="H120" t="str">
        <f>IF(Demographics[[#This Row],[DOB]]&gt;10000000, TEXT(Demographics[[#This Row],[DOB]],0),CONCATENATE("0",TEXT(Demographics[[#This Row],[DOB]],0)))</f>
        <v>13041984</v>
      </c>
      <c r="I120" s="4">
        <f ca="1">IFERROR((VALUE(TODAY()-DATE(RIGHT(Demographics[[#This Row],[DOB - Fixed]],4),MID(Demographics[[#This Row],[DOB - Fixed]],3,2),LEFT(Demographics[[#This Row],[DOB - Fixed]],2))))/365,0)</f>
        <v>39.43013698630137</v>
      </c>
      <c r="J120">
        <f>VLOOKUP(Demographics[[#This Row],[INCOME LEVEL]],Income[],4,FALSE)</f>
        <v>697.5</v>
      </c>
      <c r="K120">
        <f>IFERROR(Demographics[[#This Row],[Total monthly income]]/Demographics[[#This Row],[FAMILY SIZE]], 0)</f>
        <v>232.5</v>
      </c>
    </row>
    <row r="121" spans="1:11" x14ac:dyDescent="0.2">
      <c r="A121">
        <v>7057293</v>
      </c>
      <c r="B121">
        <v>12041984</v>
      </c>
      <c r="C121">
        <v>3</v>
      </c>
      <c r="D121">
        <v>0</v>
      </c>
      <c r="E121">
        <v>2</v>
      </c>
      <c r="F121">
        <v>8</v>
      </c>
      <c r="G121">
        <v>9</v>
      </c>
      <c r="H121" t="str">
        <f>IF(Demographics[[#This Row],[DOB]]&gt;10000000, TEXT(Demographics[[#This Row],[DOB]],0),CONCATENATE("0",TEXT(Demographics[[#This Row],[DOB]],0)))</f>
        <v>12041984</v>
      </c>
      <c r="I121" s="4">
        <f ca="1">IFERROR((VALUE(TODAY()-DATE(RIGHT(Demographics[[#This Row],[DOB - Fixed]],4),MID(Demographics[[#This Row],[DOB - Fixed]],3,2),LEFT(Demographics[[#This Row],[DOB - Fixed]],2))))/365,0)</f>
        <v>39.43287671232877</v>
      </c>
      <c r="J121">
        <f>VLOOKUP(Demographics[[#This Row],[INCOME LEVEL]],Income[],4,FALSE)</f>
        <v>697.5</v>
      </c>
      <c r="K121">
        <f>IFERROR(Demographics[[#This Row],[Total monthly income]]/Demographics[[#This Row],[FAMILY SIZE]], 0)</f>
        <v>232.5</v>
      </c>
    </row>
    <row r="122" spans="1:11" x14ac:dyDescent="0.2">
      <c r="A122">
        <v>113800</v>
      </c>
      <c r="B122">
        <v>30031984</v>
      </c>
      <c r="C122">
        <v>4</v>
      </c>
      <c r="D122">
        <v>1</v>
      </c>
      <c r="E122">
        <v>2</v>
      </c>
      <c r="F122">
        <v>5</v>
      </c>
      <c r="G122">
        <v>4</v>
      </c>
      <c r="H122" t="str">
        <f>IF(Demographics[[#This Row],[DOB]]&gt;10000000, TEXT(Demographics[[#This Row],[DOB]],0),CONCATENATE("0",TEXT(Demographics[[#This Row],[DOB]],0)))</f>
        <v>30031984</v>
      </c>
      <c r="I122" s="4">
        <f ca="1">IFERROR((VALUE(TODAY()-DATE(RIGHT(Demographics[[#This Row],[DOB - Fixed]],4),MID(Demographics[[#This Row],[DOB - Fixed]],3,2),LEFT(Demographics[[#This Row],[DOB - Fixed]],2))))/365,0)</f>
        <v>39.468493150684928</v>
      </c>
      <c r="J122">
        <f>VLOOKUP(Demographics[[#This Row],[INCOME LEVEL]],Income[],4,FALSE)</f>
        <v>697.5</v>
      </c>
      <c r="K122">
        <f>IFERROR(Demographics[[#This Row],[Total monthly income]]/Demographics[[#This Row],[FAMILY SIZE]], 0)</f>
        <v>174.375</v>
      </c>
    </row>
    <row r="123" spans="1:11" x14ac:dyDescent="0.2">
      <c r="A123">
        <v>9888750</v>
      </c>
      <c r="B123">
        <v>20081984</v>
      </c>
      <c r="C123">
        <v>5</v>
      </c>
      <c r="D123">
        <v>3</v>
      </c>
      <c r="E123">
        <v>4</v>
      </c>
      <c r="F123">
        <v>10</v>
      </c>
      <c r="G123">
        <v>9</v>
      </c>
      <c r="H123" t="str">
        <f>IF(Demographics[[#This Row],[DOB]]&gt;10000000, TEXT(Demographics[[#This Row],[DOB]],0),CONCATENATE("0",TEXT(Demographics[[#This Row],[DOB]],0)))</f>
        <v>20081984</v>
      </c>
      <c r="I123" s="4">
        <f ca="1">IFERROR((VALUE(TODAY()-DATE(RIGHT(Demographics[[#This Row],[DOB - Fixed]],4),MID(Demographics[[#This Row],[DOB - Fixed]],3,2),LEFT(Demographics[[#This Row],[DOB - Fixed]],2))))/365,0)</f>
        <v>39.076712328767123</v>
      </c>
      <c r="J123">
        <f>VLOOKUP(Demographics[[#This Row],[INCOME LEVEL]],Income[],4,FALSE)</f>
        <v>2100</v>
      </c>
      <c r="K123">
        <f>IFERROR(Demographics[[#This Row],[Total monthly income]]/Demographics[[#This Row],[FAMILY SIZE]], 0)</f>
        <v>420</v>
      </c>
    </row>
    <row r="124" spans="1:11" x14ac:dyDescent="0.2">
      <c r="A124">
        <v>19501809</v>
      </c>
      <c r="B124">
        <v>27081984</v>
      </c>
      <c r="C124">
        <v>3</v>
      </c>
      <c r="D124">
        <v>1</v>
      </c>
      <c r="E124">
        <v>2</v>
      </c>
      <c r="F124">
        <v>0</v>
      </c>
      <c r="G124">
        <v>9</v>
      </c>
      <c r="H124" t="str">
        <f>IF(Demographics[[#This Row],[DOB]]&gt;10000000, TEXT(Demographics[[#This Row],[DOB]],0),CONCATENATE("0",TEXT(Demographics[[#This Row],[DOB]],0)))</f>
        <v>27081984</v>
      </c>
      <c r="I124" s="4">
        <f ca="1">IFERROR((VALUE(TODAY()-DATE(RIGHT(Demographics[[#This Row],[DOB - Fixed]],4),MID(Demographics[[#This Row],[DOB - Fixed]],3,2),LEFT(Demographics[[#This Row],[DOB - Fixed]],2))))/365,0)</f>
        <v>39.057534246575344</v>
      </c>
      <c r="J124">
        <f>VLOOKUP(Demographics[[#This Row],[INCOME LEVEL]],Income[],4,FALSE)</f>
        <v>697.5</v>
      </c>
      <c r="K124">
        <f>IFERROR(Demographics[[#This Row],[Total monthly income]]/Demographics[[#This Row],[FAMILY SIZE]], 0)</f>
        <v>232.5</v>
      </c>
    </row>
    <row r="125" spans="1:11" x14ac:dyDescent="0.2">
      <c r="A125">
        <v>8046346</v>
      </c>
      <c r="B125">
        <v>27071984</v>
      </c>
      <c r="C125">
        <v>5</v>
      </c>
      <c r="D125">
        <v>1</v>
      </c>
      <c r="E125">
        <v>2</v>
      </c>
      <c r="F125">
        <v>9</v>
      </c>
      <c r="G125">
        <v>4</v>
      </c>
      <c r="H125" t="str">
        <f>IF(Demographics[[#This Row],[DOB]]&gt;10000000, TEXT(Demographics[[#This Row],[DOB]],0),CONCATENATE("0",TEXT(Demographics[[#This Row],[DOB]],0)))</f>
        <v>27071984</v>
      </c>
      <c r="I125" s="4">
        <f ca="1">IFERROR((VALUE(TODAY()-DATE(RIGHT(Demographics[[#This Row],[DOB - Fixed]],4),MID(Demographics[[#This Row],[DOB - Fixed]],3,2),LEFT(Demographics[[#This Row],[DOB - Fixed]],2))))/365,0)</f>
        <v>39.142465753424659</v>
      </c>
      <c r="J125">
        <f>VLOOKUP(Demographics[[#This Row],[INCOME LEVEL]],Income[],4,FALSE)</f>
        <v>697.5</v>
      </c>
      <c r="K125">
        <f>IFERROR(Demographics[[#This Row],[Total monthly income]]/Demographics[[#This Row],[FAMILY SIZE]], 0)</f>
        <v>139.5</v>
      </c>
    </row>
    <row r="126" spans="1:11" x14ac:dyDescent="0.2">
      <c r="A126">
        <v>18529126</v>
      </c>
      <c r="B126">
        <v>12091984</v>
      </c>
      <c r="C126">
        <v>6</v>
      </c>
      <c r="D126">
        <v>0</v>
      </c>
      <c r="E126">
        <v>1</v>
      </c>
      <c r="F126">
        <v>5</v>
      </c>
      <c r="G126">
        <v>4</v>
      </c>
      <c r="H126" t="str">
        <f>IF(Demographics[[#This Row],[DOB]]&gt;10000000, TEXT(Demographics[[#This Row],[DOB]],0),CONCATENATE("0",TEXT(Demographics[[#This Row],[DOB]],0)))</f>
        <v>12091984</v>
      </c>
      <c r="I126" s="4">
        <f ca="1">IFERROR((VALUE(TODAY()-DATE(RIGHT(Demographics[[#This Row],[DOB - Fixed]],4),MID(Demographics[[#This Row],[DOB - Fixed]],3,2),LEFT(Demographics[[#This Row],[DOB - Fixed]],2))))/365,0)</f>
        <v>39.013698630136986</v>
      </c>
      <c r="J126">
        <f>VLOOKUP(Demographics[[#This Row],[INCOME LEVEL]],Income[],4,FALSE)</f>
        <v>175</v>
      </c>
      <c r="K126">
        <f>IFERROR(Demographics[[#This Row],[Total monthly income]]/Demographics[[#This Row],[FAMILY SIZE]], 0)</f>
        <v>29.166666666666668</v>
      </c>
    </row>
    <row r="127" spans="1:11" x14ac:dyDescent="0.2">
      <c r="A127">
        <v>22059075</v>
      </c>
      <c r="B127">
        <v>19011985</v>
      </c>
      <c r="C127">
        <v>3</v>
      </c>
      <c r="D127">
        <v>2</v>
      </c>
      <c r="E127">
        <v>1</v>
      </c>
      <c r="F127">
        <v>8</v>
      </c>
      <c r="G127">
        <v>10</v>
      </c>
      <c r="H127" t="str">
        <f>IF(Demographics[[#This Row],[DOB]]&gt;10000000, TEXT(Demographics[[#This Row],[DOB]],0),CONCATENATE("0",TEXT(Demographics[[#This Row],[DOB]],0)))</f>
        <v>19011985</v>
      </c>
      <c r="I127" s="4">
        <f ca="1">IFERROR((VALUE(TODAY()-DATE(RIGHT(Demographics[[#This Row],[DOB - Fixed]],4),MID(Demographics[[#This Row],[DOB - Fixed]],3,2),LEFT(Demographics[[#This Row],[DOB - Fixed]],2))))/365,0)</f>
        <v>38.660273972602738</v>
      </c>
      <c r="J127">
        <f>VLOOKUP(Demographics[[#This Row],[INCOME LEVEL]],Income[],4,FALSE)</f>
        <v>175</v>
      </c>
      <c r="K127">
        <f>IFERROR(Demographics[[#This Row],[Total monthly income]]/Demographics[[#This Row],[FAMILY SIZE]], 0)</f>
        <v>58.333333333333336</v>
      </c>
    </row>
    <row r="128" spans="1:11" x14ac:dyDescent="0.2">
      <c r="A128">
        <v>19200896</v>
      </c>
      <c r="B128">
        <v>13081985</v>
      </c>
      <c r="C128">
        <v>3</v>
      </c>
      <c r="D128">
        <v>2</v>
      </c>
      <c r="E128">
        <v>1</v>
      </c>
      <c r="F128">
        <v>5</v>
      </c>
      <c r="G128">
        <v>5</v>
      </c>
      <c r="H128" t="str">
        <f>IF(Demographics[[#This Row],[DOB]]&gt;10000000, TEXT(Demographics[[#This Row],[DOB]],0),CONCATENATE("0",TEXT(Demographics[[#This Row],[DOB]],0)))</f>
        <v>13081985</v>
      </c>
      <c r="I128" s="4">
        <f ca="1">IFERROR((VALUE(TODAY()-DATE(RIGHT(Demographics[[#This Row],[DOB - Fixed]],4),MID(Demographics[[#This Row],[DOB - Fixed]],3,2),LEFT(Demographics[[#This Row],[DOB - Fixed]],2))))/365,0)</f>
        <v>38.095890410958901</v>
      </c>
      <c r="J128">
        <f>VLOOKUP(Demographics[[#This Row],[INCOME LEVEL]],Income[],4,FALSE)</f>
        <v>175</v>
      </c>
      <c r="K128">
        <f>IFERROR(Demographics[[#This Row],[Total monthly income]]/Demographics[[#This Row],[FAMILY SIZE]], 0)</f>
        <v>58.333333333333336</v>
      </c>
    </row>
    <row r="129" spans="1:11" x14ac:dyDescent="0.2">
      <c r="A129">
        <v>24832343</v>
      </c>
      <c r="B129">
        <v>10121984</v>
      </c>
      <c r="C129">
        <v>5</v>
      </c>
      <c r="D129">
        <v>1</v>
      </c>
      <c r="E129">
        <v>1</v>
      </c>
      <c r="F129">
        <v>5</v>
      </c>
      <c r="G129">
        <v>5</v>
      </c>
      <c r="H129" t="str">
        <f>IF(Demographics[[#This Row],[DOB]]&gt;10000000, TEXT(Demographics[[#This Row],[DOB]],0),CONCATENATE("0",TEXT(Demographics[[#This Row],[DOB]],0)))</f>
        <v>10121984</v>
      </c>
      <c r="I129" s="4">
        <f ca="1">IFERROR((VALUE(TODAY()-DATE(RIGHT(Demographics[[#This Row],[DOB - Fixed]],4),MID(Demographics[[#This Row],[DOB - Fixed]],3,2),LEFT(Demographics[[#This Row],[DOB - Fixed]],2))))/365,0)</f>
        <v>38.769863013698632</v>
      </c>
      <c r="J129">
        <f>VLOOKUP(Demographics[[#This Row],[INCOME LEVEL]],Income[],4,FALSE)</f>
        <v>175</v>
      </c>
      <c r="K129">
        <f>IFERROR(Demographics[[#This Row],[Total monthly income]]/Demographics[[#This Row],[FAMILY SIZE]], 0)</f>
        <v>35</v>
      </c>
    </row>
    <row r="130" spans="1:11" x14ac:dyDescent="0.2">
      <c r="A130">
        <v>7227082</v>
      </c>
      <c r="B130">
        <v>24121984</v>
      </c>
      <c r="C130">
        <v>6</v>
      </c>
      <c r="D130">
        <v>1</v>
      </c>
      <c r="E130">
        <v>1</v>
      </c>
      <c r="F130">
        <v>2</v>
      </c>
      <c r="G130">
        <v>1</v>
      </c>
      <c r="H130" t="str">
        <f>IF(Demographics[[#This Row],[DOB]]&gt;10000000, TEXT(Demographics[[#This Row],[DOB]],0),CONCATENATE("0",TEXT(Demographics[[#This Row],[DOB]],0)))</f>
        <v>24121984</v>
      </c>
      <c r="I130" s="4">
        <f ca="1">IFERROR((VALUE(TODAY()-DATE(RIGHT(Demographics[[#This Row],[DOB - Fixed]],4),MID(Demographics[[#This Row],[DOB - Fixed]],3,2),LEFT(Demographics[[#This Row],[DOB - Fixed]],2))))/365,0)</f>
        <v>38.731506849315068</v>
      </c>
      <c r="J130">
        <f>VLOOKUP(Demographics[[#This Row],[INCOME LEVEL]],Income[],4,FALSE)</f>
        <v>175</v>
      </c>
      <c r="K130">
        <f>IFERROR(Demographics[[#This Row],[Total monthly income]]/Demographics[[#This Row],[FAMILY SIZE]], 0)</f>
        <v>29.166666666666668</v>
      </c>
    </row>
    <row r="131" spans="1:11" x14ac:dyDescent="0.2">
      <c r="A131">
        <v>21434767</v>
      </c>
      <c r="B131">
        <v>3051984</v>
      </c>
      <c r="C131">
        <v>6</v>
      </c>
      <c r="D131">
        <v>1</v>
      </c>
      <c r="E131">
        <v>1</v>
      </c>
      <c r="F131">
        <v>5</v>
      </c>
      <c r="G131">
        <v>4</v>
      </c>
      <c r="H131" t="str">
        <f>IF(Demographics[[#This Row],[DOB]]&gt;10000000, TEXT(Demographics[[#This Row],[DOB]],0),CONCATENATE("0",TEXT(Demographics[[#This Row],[DOB]],0)))</f>
        <v>03051984</v>
      </c>
      <c r="I131" s="4">
        <f ca="1">IFERROR((VALUE(TODAY()-DATE(RIGHT(Demographics[[#This Row],[DOB - Fixed]],4),MID(Demographics[[#This Row],[DOB - Fixed]],3,2),LEFT(Demographics[[#This Row],[DOB - Fixed]],2))))/365,0)</f>
        <v>39.375342465753427</v>
      </c>
      <c r="J131">
        <f>VLOOKUP(Demographics[[#This Row],[INCOME LEVEL]],Income[],4,FALSE)</f>
        <v>175</v>
      </c>
      <c r="K131">
        <f>IFERROR(Demographics[[#This Row],[Total monthly income]]/Demographics[[#This Row],[FAMILY SIZE]], 0)</f>
        <v>29.166666666666668</v>
      </c>
    </row>
    <row r="132" spans="1:11" x14ac:dyDescent="0.2">
      <c r="A132">
        <v>16987198</v>
      </c>
      <c r="B132">
        <v>21061984</v>
      </c>
      <c r="C132">
        <v>6</v>
      </c>
      <c r="D132">
        <v>1</v>
      </c>
      <c r="E132">
        <v>1</v>
      </c>
      <c r="F132">
        <v>5</v>
      </c>
      <c r="G132">
        <v>7</v>
      </c>
      <c r="H132" t="str">
        <f>IF(Demographics[[#This Row],[DOB]]&gt;10000000, TEXT(Demographics[[#This Row],[DOB]],0),CONCATENATE("0",TEXT(Demographics[[#This Row],[DOB]],0)))</f>
        <v>21061984</v>
      </c>
      <c r="I132" s="4">
        <f ca="1">IFERROR((VALUE(TODAY()-DATE(RIGHT(Demographics[[#This Row],[DOB - Fixed]],4),MID(Demographics[[#This Row],[DOB - Fixed]],3,2),LEFT(Demographics[[#This Row],[DOB - Fixed]],2))))/365,0)</f>
        <v>39.241095890410961</v>
      </c>
      <c r="J132">
        <f>VLOOKUP(Demographics[[#This Row],[INCOME LEVEL]],Income[],4,FALSE)</f>
        <v>175</v>
      </c>
      <c r="K132">
        <f>IFERROR(Demographics[[#This Row],[Total monthly income]]/Demographics[[#This Row],[FAMILY SIZE]], 0)</f>
        <v>29.166666666666668</v>
      </c>
    </row>
    <row r="133" spans="1:11" x14ac:dyDescent="0.2">
      <c r="A133">
        <v>15632579</v>
      </c>
      <c r="B133">
        <v>22061984</v>
      </c>
      <c r="C133">
        <v>5</v>
      </c>
      <c r="D133">
        <v>0</v>
      </c>
      <c r="E133">
        <v>1</v>
      </c>
      <c r="F133">
        <v>3</v>
      </c>
      <c r="G133">
        <v>2</v>
      </c>
      <c r="H133" t="str">
        <f>IF(Demographics[[#This Row],[DOB]]&gt;10000000, TEXT(Demographics[[#This Row],[DOB]],0),CONCATENATE("0",TEXT(Demographics[[#This Row],[DOB]],0)))</f>
        <v>22061984</v>
      </c>
      <c r="I133" s="4">
        <f ca="1">IFERROR((VALUE(TODAY()-DATE(RIGHT(Demographics[[#This Row],[DOB - Fixed]],4),MID(Demographics[[#This Row],[DOB - Fixed]],3,2),LEFT(Demographics[[#This Row],[DOB - Fixed]],2))))/365,0)</f>
        <v>39.238356164383561</v>
      </c>
      <c r="J133">
        <f>VLOOKUP(Demographics[[#This Row],[INCOME LEVEL]],Income[],4,FALSE)</f>
        <v>175</v>
      </c>
      <c r="K133">
        <f>IFERROR(Demographics[[#This Row],[Total monthly income]]/Demographics[[#This Row],[FAMILY SIZE]], 0)</f>
        <v>35</v>
      </c>
    </row>
    <row r="134" spans="1:11" x14ac:dyDescent="0.2">
      <c r="A134">
        <v>15833735</v>
      </c>
      <c r="B134">
        <v>9041984</v>
      </c>
      <c r="C134">
        <v>5</v>
      </c>
      <c r="D134">
        <v>1</v>
      </c>
      <c r="E134">
        <v>1</v>
      </c>
      <c r="F134">
        <v>3</v>
      </c>
      <c r="G134">
        <v>4</v>
      </c>
      <c r="H134" t="str">
        <f>IF(Demographics[[#This Row],[DOB]]&gt;10000000, TEXT(Demographics[[#This Row],[DOB]],0),CONCATENATE("0",TEXT(Demographics[[#This Row],[DOB]],0)))</f>
        <v>09041984</v>
      </c>
      <c r="I134" s="4">
        <f ca="1">IFERROR((VALUE(TODAY()-DATE(RIGHT(Demographics[[#This Row],[DOB - Fixed]],4),MID(Demographics[[#This Row],[DOB - Fixed]],3,2),LEFT(Demographics[[#This Row],[DOB - Fixed]],2))))/365,0)</f>
        <v>39.441095890410956</v>
      </c>
      <c r="J134">
        <f>VLOOKUP(Demographics[[#This Row],[INCOME LEVEL]],Income[],4,FALSE)</f>
        <v>175</v>
      </c>
      <c r="K134">
        <f>IFERROR(Demographics[[#This Row],[Total monthly income]]/Demographics[[#This Row],[FAMILY SIZE]], 0)</f>
        <v>35</v>
      </c>
    </row>
    <row r="135" spans="1:11" x14ac:dyDescent="0.2">
      <c r="A135">
        <v>3652937</v>
      </c>
      <c r="B135">
        <v>25061984</v>
      </c>
      <c r="C135">
        <v>3</v>
      </c>
      <c r="D135">
        <v>1</v>
      </c>
      <c r="E135">
        <v>1</v>
      </c>
      <c r="F135">
        <v>7</v>
      </c>
      <c r="G135">
        <v>7</v>
      </c>
      <c r="H135" t="str">
        <f>IF(Demographics[[#This Row],[DOB]]&gt;10000000, TEXT(Demographics[[#This Row],[DOB]],0),CONCATENATE("0",TEXT(Demographics[[#This Row],[DOB]],0)))</f>
        <v>25061984</v>
      </c>
      <c r="I135" s="4">
        <f ca="1">IFERROR((VALUE(TODAY()-DATE(RIGHT(Demographics[[#This Row],[DOB - Fixed]],4),MID(Demographics[[#This Row],[DOB - Fixed]],3,2),LEFT(Demographics[[#This Row],[DOB - Fixed]],2))))/365,0)</f>
        <v>39.230136986301368</v>
      </c>
      <c r="J135">
        <f>VLOOKUP(Demographics[[#This Row],[INCOME LEVEL]],Income[],4,FALSE)</f>
        <v>175</v>
      </c>
      <c r="K135">
        <f>IFERROR(Demographics[[#This Row],[Total monthly income]]/Demographics[[#This Row],[FAMILY SIZE]], 0)</f>
        <v>58.333333333333336</v>
      </c>
    </row>
    <row r="136" spans="1:11" x14ac:dyDescent="0.2">
      <c r="A136">
        <v>17869894</v>
      </c>
      <c r="B136">
        <v>22051984</v>
      </c>
      <c r="C136">
        <v>4</v>
      </c>
      <c r="D136">
        <v>1</v>
      </c>
      <c r="E136">
        <v>1</v>
      </c>
      <c r="F136">
        <v>4</v>
      </c>
      <c r="G136">
        <v>3</v>
      </c>
      <c r="H136" t="str">
        <f>IF(Demographics[[#This Row],[DOB]]&gt;10000000, TEXT(Demographics[[#This Row],[DOB]],0),CONCATENATE("0",TEXT(Demographics[[#This Row],[DOB]],0)))</f>
        <v>22051984</v>
      </c>
      <c r="I136" s="4">
        <f ca="1">IFERROR((VALUE(TODAY()-DATE(RIGHT(Demographics[[#This Row],[DOB - Fixed]],4),MID(Demographics[[#This Row],[DOB - Fixed]],3,2),LEFT(Demographics[[#This Row],[DOB - Fixed]],2))))/365,0)</f>
        <v>39.323287671232876</v>
      </c>
      <c r="J136">
        <f>VLOOKUP(Demographics[[#This Row],[INCOME LEVEL]],Income[],4,FALSE)</f>
        <v>175</v>
      </c>
      <c r="K136">
        <f>IFERROR(Demographics[[#This Row],[Total monthly income]]/Demographics[[#This Row],[FAMILY SIZE]], 0)</f>
        <v>43.75</v>
      </c>
    </row>
    <row r="137" spans="1:11" x14ac:dyDescent="0.2">
      <c r="A137">
        <v>15215327</v>
      </c>
      <c r="B137">
        <v>31081984</v>
      </c>
      <c r="C137">
        <v>3</v>
      </c>
      <c r="D137">
        <v>1</v>
      </c>
      <c r="E137">
        <v>1</v>
      </c>
      <c r="F137">
        <v>7</v>
      </c>
      <c r="G137">
        <v>3</v>
      </c>
      <c r="H137" t="str">
        <f>IF(Demographics[[#This Row],[DOB]]&gt;10000000, TEXT(Demographics[[#This Row],[DOB]],0),CONCATENATE("0",TEXT(Demographics[[#This Row],[DOB]],0)))</f>
        <v>31081984</v>
      </c>
      <c r="I137" s="4">
        <f ca="1">IFERROR((VALUE(TODAY()-DATE(RIGHT(Demographics[[#This Row],[DOB - Fixed]],4),MID(Demographics[[#This Row],[DOB - Fixed]],3,2),LEFT(Demographics[[#This Row],[DOB - Fixed]],2))))/365,0)</f>
        <v>39.046575342465751</v>
      </c>
      <c r="J137">
        <f>VLOOKUP(Demographics[[#This Row],[INCOME LEVEL]],Income[],4,FALSE)</f>
        <v>175</v>
      </c>
      <c r="K137">
        <f>IFERROR(Demographics[[#This Row],[Total monthly income]]/Demographics[[#This Row],[FAMILY SIZE]], 0)</f>
        <v>58.333333333333336</v>
      </c>
    </row>
    <row r="138" spans="1:11" x14ac:dyDescent="0.2">
      <c r="A138">
        <v>6513067</v>
      </c>
      <c r="B138">
        <v>8111984</v>
      </c>
      <c r="C138">
        <v>5</v>
      </c>
      <c r="D138">
        <v>2</v>
      </c>
      <c r="E138">
        <v>1</v>
      </c>
      <c r="F138">
        <v>3</v>
      </c>
      <c r="G138">
        <v>3</v>
      </c>
      <c r="H138" t="str">
        <f>IF(Demographics[[#This Row],[DOB]]&gt;10000000, TEXT(Demographics[[#This Row],[DOB]],0),CONCATENATE("0",TEXT(Demographics[[#This Row],[DOB]],0)))</f>
        <v>08111984</v>
      </c>
      <c r="I138" s="4">
        <f ca="1">IFERROR((VALUE(TODAY()-DATE(RIGHT(Demographics[[#This Row],[DOB - Fixed]],4),MID(Demographics[[#This Row],[DOB - Fixed]],3,2),LEFT(Demographics[[#This Row],[DOB - Fixed]],2))))/365,0)</f>
        <v>38.857534246575341</v>
      </c>
      <c r="J138">
        <f>VLOOKUP(Demographics[[#This Row],[INCOME LEVEL]],Income[],4,FALSE)</f>
        <v>175</v>
      </c>
      <c r="K138">
        <f>IFERROR(Demographics[[#This Row],[Total monthly income]]/Demographics[[#This Row],[FAMILY SIZE]], 0)</f>
        <v>35</v>
      </c>
    </row>
    <row r="139" spans="1:11" x14ac:dyDescent="0.2">
      <c r="A139">
        <v>7494989</v>
      </c>
      <c r="B139">
        <v>13111984</v>
      </c>
      <c r="C139">
        <v>0</v>
      </c>
      <c r="D139">
        <v>0</v>
      </c>
      <c r="E139">
        <v>1</v>
      </c>
      <c r="F139">
        <v>0</v>
      </c>
      <c r="G139">
        <v>0</v>
      </c>
      <c r="H139" t="str">
        <f>IF(Demographics[[#This Row],[DOB]]&gt;10000000, TEXT(Demographics[[#This Row],[DOB]],0),CONCATENATE("0",TEXT(Demographics[[#This Row],[DOB]],0)))</f>
        <v>13111984</v>
      </c>
      <c r="I139" s="4">
        <f ca="1">IFERROR((VALUE(TODAY()-DATE(RIGHT(Demographics[[#This Row],[DOB - Fixed]],4),MID(Demographics[[#This Row],[DOB - Fixed]],3,2),LEFT(Demographics[[#This Row],[DOB - Fixed]],2))))/365,0)</f>
        <v>38.843835616438355</v>
      </c>
      <c r="J139">
        <f>VLOOKUP(Demographics[[#This Row],[INCOME LEVEL]],Income[],4,FALSE)</f>
        <v>175</v>
      </c>
      <c r="K139">
        <f>IFERROR(Demographics[[#This Row],[Total monthly income]]/Demographics[[#This Row],[FAMILY SIZE]], 0)</f>
        <v>0</v>
      </c>
    </row>
    <row r="140" spans="1:11" x14ac:dyDescent="0.2">
      <c r="A140">
        <v>6759394</v>
      </c>
      <c r="B140">
        <v>23071984</v>
      </c>
      <c r="C140">
        <v>1</v>
      </c>
      <c r="D140">
        <v>0</v>
      </c>
      <c r="E140">
        <v>1</v>
      </c>
      <c r="F140">
        <v>0</v>
      </c>
      <c r="G140">
        <v>2</v>
      </c>
      <c r="H140" t="str">
        <f>IF(Demographics[[#This Row],[DOB]]&gt;10000000, TEXT(Demographics[[#This Row],[DOB]],0),CONCATENATE("0",TEXT(Demographics[[#This Row],[DOB]],0)))</f>
        <v>23071984</v>
      </c>
      <c r="I140" s="4">
        <f ca="1">IFERROR((VALUE(TODAY()-DATE(RIGHT(Demographics[[#This Row],[DOB - Fixed]],4),MID(Demographics[[#This Row],[DOB - Fixed]],3,2),LEFT(Demographics[[#This Row],[DOB - Fixed]],2))))/365,0)</f>
        <v>39.153424657534245</v>
      </c>
      <c r="J140">
        <f>VLOOKUP(Demographics[[#This Row],[INCOME LEVEL]],Income[],4,FALSE)</f>
        <v>175</v>
      </c>
      <c r="K140">
        <f>IFERROR(Demographics[[#This Row],[Total monthly income]]/Demographics[[#This Row],[FAMILY SIZE]], 0)</f>
        <v>175</v>
      </c>
    </row>
    <row r="141" spans="1:11" x14ac:dyDescent="0.2">
      <c r="A141">
        <v>22809216</v>
      </c>
      <c r="B141">
        <v>9121984</v>
      </c>
      <c r="C141">
        <v>4</v>
      </c>
      <c r="D141">
        <v>1</v>
      </c>
      <c r="E141">
        <v>1</v>
      </c>
      <c r="F141">
        <v>4</v>
      </c>
      <c r="G141">
        <v>5</v>
      </c>
      <c r="H141" t="str">
        <f>IF(Demographics[[#This Row],[DOB]]&gt;10000000, TEXT(Demographics[[#This Row],[DOB]],0),CONCATENATE("0",TEXT(Demographics[[#This Row],[DOB]],0)))</f>
        <v>09121984</v>
      </c>
      <c r="I141" s="4">
        <f ca="1">IFERROR((VALUE(TODAY()-DATE(RIGHT(Demographics[[#This Row],[DOB - Fixed]],4),MID(Demographics[[#This Row],[DOB - Fixed]],3,2),LEFT(Demographics[[#This Row],[DOB - Fixed]],2))))/365,0)</f>
        <v>38.772602739726025</v>
      </c>
      <c r="J141">
        <f>VLOOKUP(Demographics[[#This Row],[INCOME LEVEL]],Income[],4,FALSE)</f>
        <v>175</v>
      </c>
      <c r="K141">
        <f>IFERROR(Demographics[[#This Row],[Total monthly income]]/Demographics[[#This Row],[FAMILY SIZE]], 0)</f>
        <v>43.75</v>
      </c>
    </row>
    <row r="142" spans="1:11" x14ac:dyDescent="0.2">
      <c r="A142">
        <v>13729791</v>
      </c>
      <c r="B142">
        <v>19121984</v>
      </c>
      <c r="C142">
        <v>6</v>
      </c>
      <c r="D142">
        <v>3</v>
      </c>
      <c r="E142">
        <v>2</v>
      </c>
      <c r="F142">
        <v>2</v>
      </c>
      <c r="G142">
        <v>2</v>
      </c>
      <c r="H142" t="str">
        <f>IF(Demographics[[#This Row],[DOB]]&gt;10000000, TEXT(Demographics[[#This Row],[DOB]],0),CONCATENATE("0",TEXT(Demographics[[#This Row],[DOB]],0)))</f>
        <v>19121984</v>
      </c>
      <c r="I142" s="4">
        <f ca="1">IFERROR((VALUE(TODAY()-DATE(RIGHT(Demographics[[#This Row],[DOB - Fixed]],4),MID(Demographics[[#This Row],[DOB - Fixed]],3,2),LEFT(Demographics[[#This Row],[DOB - Fixed]],2))))/365,0)</f>
        <v>38.745205479452054</v>
      </c>
      <c r="J142">
        <f>VLOOKUP(Demographics[[#This Row],[INCOME LEVEL]],Income[],4,FALSE)</f>
        <v>697.5</v>
      </c>
      <c r="K142">
        <f>IFERROR(Demographics[[#This Row],[Total monthly income]]/Demographics[[#This Row],[FAMILY SIZE]], 0)</f>
        <v>116.25</v>
      </c>
    </row>
    <row r="143" spans="1:11" x14ac:dyDescent="0.2">
      <c r="A143">
        <v>15344500</v>
      </c>
      <c r="B143">
        <v>13091984</v>
      </c>
      <c r="C143">
        <v>4</v>
      </c>
      <c r="D143">
        <v>1</v>
      </c>
      <c r="E143">
        <v>1</v>
      </c>
      <c r="F143">
        <v>5</v>
      </c>
      <c r="G143">
        <v>5</v>
      </c>
      <c r="H143" t="str">
        <f>IF(Demographics[[#This Row],[DOB]]&gt;10000000, TEXT(Demographics[[#This Row],[DOB]],0),CONCATENATE("0",TEXT(Demographics[[#This Row],[DOB]],0)))</f>
        <v>13091984</v>
      </c>
      <c r="I143" s="4">
        <f ca="1">IFERROR((VALUE(TODAY()-DATE(RIGHT(Demographics[[#This Row],[DOB - Fixed]],4),MID(Demographics[[#This Row],[DOB - Fixed]],3,2),LEFT(Demographics[[#This Row],[DOB - Fixed]],2))))/365,0)</f>
        <v>39.010958904109586</v>
      </c>
      <c r="J143">
        <f>VLOOKUP(Demographics[[#This Row],[INCOME LEVEL]],Income[],4,FALSE)</f>
        <v>175</v>
      </c>
      <c r="K143">
        <f>IFERROR(Demographics[[#This Row],[Total monthly income]]/Demographics[[#This Row],[FAMILY SIZE]], 0)</f>
        <v>43.75</v>
      </c>
    </row>
    <row r="144" spans="1:11" x14ac:dyDescent="0.2">
      <c r="A144">
        <v>22369018</v>
      </c>
      <c r="B144">
        <v>27051985</v>
      </c>
      <c r="C144">
        <v>5</v>
      </c>
      <c r="D144">
        <v>2</v>
      </c>
      <c r="E144">
        <v>1</v>
      </c>
      <c r="F144">
        <v>2</v>
      </c>
      <c r="G144">
        <v>3</v>
      </c>
      <c r="H144" t="str">
        <f>IF(Demographics[[#This Row],[DOB]]&gt;10000000, TEXT(Demographics[[#This Row],[DOB]],0),CONCATENATE("0",TEXT(Demographics[[#This Row],[DOB]],0)))</f>
        <v>27051985</v>
      </c>
      <c r="I144" s="4">
        <f ca="1">IFERROR((VALUE(TODAY()-DATE(RIGHT(Demographics[[#This Row],[DOB - Fixed]],4),MID(Demographics[[#This Row],[DOB - Fixed]],3,2),LEFT(Demographics[[#This Row],[DOB - Fixed]],2))))/365,0)</f>
        <v>38.30958904109589</v>
      </c>
      <c r="J144">
        <f>VLOOKUP(Demographics[[#This Row],[INCOME LEVEL]],Income[],4,FALSE)</f>
        <v>175</v>
      </c>
      <c r="K144">
        <f>IFERROR(Demographics[[#This Row],[Total monthly income]]/Demographics[[#This Row],[FAMILY SIZE]], 0)</f>
        <v>35</v>
      </c>
    </row>
    <row r="145" spans="1:11" x14ac:dyDescent="0.2">
      <c r="A145">
        <v>2543888</v>
      </c>
      <c r="B145">
        <v>21091984</v>
      </c>
      <c r="C145">
        <v>4</v>
      </c>
      <c r="D145">
        <v>1</v>
      </c>
      <c r="E145">
        <v>1</v>
      </c>
      <c r="F145">
        <v>5</v>
      </c>
      <c r="G145">
        <v>5</v>
      </c>
      <c r="H145" t="str">
        <f>IF(Demographics[[#This Row],[DOB]]&gt;10000000, TEXT(Demographics[[#This Row],[DOB]],0),CONCATENATE("0",TEXT(Demographics[[#This Row],[DOB]],0)))</f>
        <v>21091984</v>
      </c>
      <c r="I145" s="4">
        <f ca="1">IFERROR((VALUE(TODAY()-DATE(RIGHT(Demographics[[#This Row],[DOB - Fixed]],4),MID(Demographics[[#This Row],[DOB - Fixed]],3,2),LEFT(Demographics[[#This Row],[DOB - Fixed]],2))))/365,0)</f>
        <v>38.989041095890414</v>
      </c>
      <c r="J145">
        <f>VLOOKUP(Demographics[[#This Row],[INCOME LEVEL]],Income[],4,FALSE)</f>
        <v>175</v>
      </c>
      <c r="K145">
        <f>IFERROR(Demographics[[#This Row],[Total monthly income]]/Demographics[[#This Row],[FAMILY SIZE]], 0)</f>
        <v>43.75</v>
      </c>
    </row>
    <row r="146" spans="1:11" x14ac:dyDescent="0.2">
      <c r="A146">
        <v>14883448</v>
      </c>
      <c r="B146">
        <v>10071984</v>
      </c>
      <c r="C146">
        <v>8</v>
      </c>
      <c r="D146">
        <v>1</v>
      </c>
      <c r="E146">
        <v>1</v>
      </c>
      <c r="F146">
        <v>5</v>
      </c>
      <c r="G146">
        <v>4</v>
      </c>
      <c r="H146" t="str">
        <f>IF(Demographics[[#This Row],[DOB]]&gt;10000000, TEXT(Demographics[[#This Row],[DOB]],0),CONCATENATE("0",TEXT(Demographics[[#This Row],[DOB]],0)))</f>
        <v>10071984</v>
      </c>
      <c r="I146" s="4">
        <f ca="1">IFERROR((VALUE(TODAY()-DATE(RIGHT(Demographics[[#This Row],[DOB - Fixed]],4),MID(Demographics[[#This Row],[DOB - Fixed]],3,2),LEFT(Demographics[[#This Row],[DOB - Fixed]],2))))/365,0)</f>
        <v>39.18904109589041</v>
      </c>
      <c r="J146">
        <f>VLOOKUP(Demographics[[#This Row],[INCOME LEVEL]],Income[],4,FALSE)</f>
        <v>175</v>
      </c>
      <c r="K146">
        <f>IFERROR(Demographics[[#This Row],[Total monthly income]]/Demographics[[#This Row],[FAMILY SIZE]], 0)</f>
        <v>21.875</v>
      </c>
    </row>
    <row r="147" spans="1:11" x14ac:dyDescent="0.2">
      <c r="A147">
        <v>5372237</v>
      </c>
      <c r="B147">
        <v>10121984</v>
      </c>
      <c r="C147">
        <v>4</v>
      </c>
      <c r="D147">
        <v>1</v>
      </c>
      <c r="E147">
        <v>2</v>
      </c>
      <c r="F147">
        <v>9</v>
      </c>
      <c r="G147">
        <v>5</v>
      </c>
      <c r="H147" t="str">
        <f>IF(Demographics[[#This Row],[DOB]]&gt;10000000, TEXT(Demographics[[#This Row],[DOB]],0),CONCATENATE("0",TEXT(Demographics[[#This Row],[DOB]],0)))</f>
        <v>10121984</v>
      </c>
      <c r="I147" s="4">
        <f ca="1">IFERROR((VALUE(TODAY()-DATE(RIGHT(Demographics[[#This Row],[DOB - Fixed]],4),MID(Demographics[[#This Row],[DOB - Fixed]],3,2),LEFT(Demographics[[#This Row],[DOB - Fixed]],2))))/365,0)</f>
        <v>38.769863013698632</v>
      </c>
      <c r="J147">
        <f>VLOOKUP(Demographics[[#This Row],[INCOME LEVEL]],Income[],4,FALSE)</f>
        <v>697.5</v>
      </c>
      <c r="K147">
        <f>IFERROR(Demographics[[#This Row],[Total monthly income]]/Demographics[[#This Row],[FAMILY SIZE]], 0)</f>
        <v>174.375</v>
      </c>
    </row>
    <row r="148" spans="1:11" x14ac:dyDescent="0.2">
      <c r="A148">
        <v>7940938</v>
      </c>
      <c r="B148">
        <v>3121984</v>
      </c>
      <c r="C148">
        <v>6</v>
      </c>
      <c r="D148">
        <v>1</v>
      </c>
      <c r="E148">
        <v>6</v>
      </c>
      <c r="F148">
        <v>9</v>
      </c>
      <c r="G148">
        <v>5</v>
      </c>
      <c r="H148" t="str">
        <f>IF(Demographics[[#This Row],[DOB]]&gt;10000000, TEXT(Demographics[[#This Row],[DOB]],0),CONCATENATE("0",TEXT(Demographics[[#This Row],[DOB]],0)))</f>
        <v>03121984</v>
      </c>
      <c r="I148" s="4">
        <f ca="1">IFERROR((VALUE(TODAY()-DATE(RIGHT(Demographics[[#This Row],[DOB - Fixed]],4),MID(Demographics[[#This Row],[DOB - Fixed]],3,2),LEFT(Demographics[[#This Row],[DOB - Fixed]],2))))/365,0)</f>
        <v>38.789041095890411</v>
      </c>
      <c r="J148">
        <f>VLOOKUP(Demographics[[#This Row],[INCOME LEVEL]],Income[],4,FALSE)</f>
        <v>4000</v>
      </c>
      <c r="K148">
        <f>IFERROR(Demographics[[#This Row],[Total monthly income]]/Demographics[[#This Row],[FAMILY SIZE]], 0)</f>
        <v>666.66666666666663</v>
      </c>
    </row>
    <row r="149" spans="1:11" x14ac:dyDescent="0.2">
      <c r="A149">
        <v>10304598</v>
      </c>
      <c r="B149">
        <v>20021985</v>
      </c>
      <c r="C149">
        <v>3</v>
      </c>
      <c r="D149">
        <v>1</v>
      </c>
      <c r="E149">
        <v>1</v>
      </c>
      <c r="F149">
        <v>0</v>
      </c>
      <c r="G149">
        <v>3</v>
      </c>
      <c r="H149" t="str">
        <f>IF(Demographics[[#This Row],[DOB]]&gt;10000000, TEXT(Demographics[[#This Row],[DOB]],0),CONCATENATE("0",TEXT(Demographics[[#This Row],[DOB]],0)))</f>
        <v>20021985</v>
      </c>
      <c r="I149" s="4">
        <f ca="1">IFERROR((VALUE(TODAY()-DATE(RIGHT(Demographics[[#This Row],[DOB - Fixed]],4),MID(Demographics[[#This Row],[DOB - Fixed]],3,2),LEFT(Demographics[[#This Row],[DOB - Fixed]],2))))/365,0)</f>
        <v>38.57260273972603</v>
      </c>
      <c r="J149">
        <f>VLOOKUP(Demographics[[#This Row],[INCOME LEVEL]],Income[],4,FALSE)</f>
        <v>175</v>
      </c>
      <c r="K149">
        <f>IFERROR(Demographics[[#This Row],[Total monthly income]]/Demographics[[#This Row],[FAMILY SIZE]], 0)</f>
        <v>58.333333333333336</v>
      </c>
    </row>
    <row r="150" spans="1:11" x14ac:dyDescent="0.2">
      <c r="A150">
        <v>15908255</v>
      </c>
      <c r="B150">
        <v>18061985</v>
      </c>
      <c r="C150">
        <v>4</v>
      </c>
      <c r="D150">
        <v>1</v>
      </c>
      <c r="E150">
        <v>1</v>
      </c>
      <c r="F150">
        <v>2</v>
      </c>
      <c r="G150">
        <v>4</v>
      </c>
      <c r="H150" t="str">
        <f>IF(Demographics[[#This Row],[DOB]]&gt;10000000, TEXT(Demographics[[#This Row],[DOB]],0),CONCATENATE("0",TEXT(Demographics[[#This Row],[DOB]],0)))</f>
        <v>18061985</v>
      </c>
      <c r="I150" s="4">
        <f ca="1">IFERROR((VALUE(TODAY()-DATE(RIGHT(Demographics[[#This Row],[DOB - Fixed]],4),MID(Demographics[[#This Row],[DOB - Fixed]],3,2),LEFT(Demographics[[#This Row],[DOB - Fixed]],2))))/365,0)</f>
        <v>38.249315068493154</v>
      </c>
      <c r="J150">
        <f>VLOOKUP(Demographics[[#This Row],[INCOME LEVEL]],Income[],4,FALSE)</f>
        <v>175</v>
      </c>
      <c r="K150">
        <f>IFERROR(Demographics[[#This Row],[Total monthly income]]/Demographics[[#This Row],[FAMILY SIZE]], 0)</f>
        <v>43.75</v>
      </c>
    </row>
    <row r="151" spans="1:11" x14ac:dyDescent="0.2">
      <c r="A151">
        <v>9238949</v>
      </c>
      <c r="B151">
        <v>19081988</v>
      </c>
      <c r="C151">
        <v>2</v>
      </c>
      <c r="D151">
        <v>1</v>
      </c>
      <c r="E151">
        <v>1</v>
      </c>
      <c r="F151">
        <v>7</v>
      </c>
      <c r="G151">
        <v>9</v>
      </c>
      <c r="H151" t="str">
        <f>IF(Demographics[[#This Row],[DOB]]&gt;10000000, TEXT(Demographics[[#This Row],[DOB]],0),CONCATENATE("0",TEXT(Demographics[[#This Row],[DOB]],0)))</f>
        <v>19081988</v>
      </c>
      <c r="I151" s="4">
        <f ca="1">IFERROR((VALUE(TODAY()-DATE(RIGHT(Demographics[[#This Row],[DOB - Fixed]],4),MID(Demographics[[#This Row],[DOB - Fixed]],3,2),LEFT(Demographics[[#This Row],[DOB - Fixed]],2))))/365,0)</f>
        <v>35.076712328767123</v>
      </c>
      <c r="J151">
        <f>VLOOKUP(Demographics[[#This Row],[INCOME LEVEL]],Income[],4,FALSE)</f>
        <v>175</v>
      </c>
      <c r="K151">
        <f>IFERROR(Demographics[[#This Row],[Total monthly income]]/Demographics[[#This Row],[FAMILY SIZE]], 0)</f>
        <v>87.5</v>
      </c>
    </row>
    <row r="152" spans="1:11" x14ac:dyDescent="0.2">
      <c r="A152">
        <v>8488131</v>
      </c>
      <c r="B152">
        <v>22111985</v>
      </c>
      <c r="C152">
        <v>4</v>
      </c>
      <c r="D152">
        <v>1</v>
      </c>
      <c r="E152">
        <v>3</v>
      </c>
      <c r="F152">
        <v>3</v>
      </c>
      <c r="G152">
        <v>3</v>
      </c>
      <c r="H152" t="str">
        <f>IF(Demographics[[#This Row],[DOB]]&gt;10000000, TEXT(Demographics[[#This Row],[DOB]],0),CONCATENATE("0",TEXT(Demographics[[#This Row],[DOB]],0)))</f>
        <v>22111985</v>
      </c>
      <c r="I152" s="4">
        <f ca="1">IFERROR((VALUE(TODAY()-DATE(RIGHT(Demographics[[#This Row],[DOB - Fixed]],4),MID(Demographics[[#This Row],[DOB - Fixed]],3,2),LEFT(Demographics[[#This Row],[DOB - Fixed]],2))))/365,0)</f>
        <v>37.819178082191783</v>
      </c>
      <c r="J152">
        <f>VLOOKUP(Demographics[[#This Row],[INCOME LEVEL]],Income[],4,FALSE)</f>
        <v>1397.5</v>
      </c>
      <c r="K152">
        <f>IFERROR(Demographics[[#This Row],[Total monthly income]]/Demographics[[#This Row],[FAMILY SIZE]], 0)</f>
        <v>349.375</v>
      </c>
    </row>
    <row r="153" spans="1:11" x14ac:dyDescent="0.2">
      <c r="A153">
        <v>8482121</v>
      </c>
      <c r="B153">
        <v>24101985</v>
      </c>
      <c r="C153">
        <v>6</v>
      </c>
      <c r="D153">
        <v>1</v>
      </c>
      <c r="E153">
        <v>2</v>
      </c>
      <c r="F153">
        <v>5</v>
      </c>
      <c r="G153">
        <v>5</v>
      </c>
      <c r="H153" t="str">
        <f>IF(Demographics[[#This Row],[DOB]]&gt;10000000, TEXT(Demographics[[#This Row],[DOB]],0),CONCATENATE("0",TEXT(Demographics[[#This Row],[DOB]],0)))</f>
        <v>24101985</v>
      </c>
      <c r="I153" s="4">
        <f ca="1">IFERROR((VALUE(TODAY()-DATE(RIGHT(Demographics[[#This Row],[DOB - Fixed]],4),MID(Demographics[[#This Row],[DOB - Fixed]],3,2),LEFT(Demographics[[#This Row],[DOB - Fixed]],2))))/365,0)</f>
        <v>37.898630136986299</v>
      </c>
      <c r="J153">
        <f>VLOOKUP(Demographics[[#This Row],[INCOME LEVEL]],Income[],4,FALSE)</f>
        <v>697.5</v>
      </c>
      <c r="K153">
        <f>IFERROR(Demographics[[#This Row],[Total monthly income]]/Demographics[[#This Row],[FAMILY SIZE]], 0)</f>
        <v>116.25</v>
      </c>
    </row>
    <row r="154" spans="1:11" x14ac:dyDescent="0.2">
      <c r="A154">
        <v>13907007</v>
      </c>
      <c r="B154">
        <v>13011985</v>
      </c>
      <c r="C154">
        <v>4</v>
      </c>
      <c r="D154">
        <v>0</v>
      </c>
      <c r="E154">
        <v>1</v>
      </c>
      <c r="F154">
        <v>2</v>
      </c>
      <c r="G154">
        <v>2</v>
      </c>
      <c r="H154" t="str">
        <f>IF(Demographics[[#This Row],[DOB]]&gt;10000000, TEXT(Demographics[[#This Row],[DOB]],0),CONCATENATE("0",TEXT(Demographics[[#This Row],[DOB]],0)))</f>
        <v>13011985</v>
      </c>
      <c r="I154" s="4">
        <f ca="1">IFERROR((VALUE(TODAY()-DATE(RIGHT(Demographics[[#This Row],[DOB - Fixed]],4),MID(Demographics[[#This Row],[DOB - Fixed]],3,2),LEFT(Demographics[[#This Row],[DOB - Fixed]],2))))/365,0)</f>
        <v>38.676712328767124</v>
      </c>
      <c r="J154">
        <f>VLOOKUP(Demographics[[#This Row],[INCOME LEVEL]],Income[],4,FALSE)</f>
        <v>175</v>
      </c>
      <c r="K154">
        <f>IFERROR(Demographics[[#This Row],[Total monthly income]]/Demographics[[#This Row],[FAMILY SIZE]], 0)</f>
        <v>43.75</v>
      </c>
    </row>
    <row r="155" spans="1:11" x14ac:dyDescent="0.2">
      <c r="A155">
        <v>23043294</v>
      </c>
      <c r="B155">
        <v>5021985</v>
      </c>
      <c r="C155">
        <v>4</v>
      </c>
      <c r="D155">
        <v>1</v>
      </c>
      <c r="E155">
        <v>1</v>
      </c>
      <c r="F155">
        <v>3</v>
      </c>
      <c r="G155">
        <v>3</v>
      </c>
      <c r="H155" t="str">
        <f>IF(Demographics[[#This Row],[DOB]]&gt;10000000, TEXT(Demographics[[#This Row],[DOB]],0),CONCATENATE("0",TEXT(Demographics[[#This Row],[DOB]],0)))</f>
        <v>05021985</v>
      </c>
      <c r="I155" s="4">
        <f ca="1">IFERROR((VALUE(TODAY()-DATE(RIGHT(Demographics[[#This Row],[DOB - Fixed]],4),MID(Demographics[[#This Row],[DOB - Fixed]],3,2),LEFT(Demographics[[#This Row],[DOB - Fixed]],2))))/365,0)</f>
        <v>38.613698630136987</v>
      </c>
      <c r="J155">
        <f>VLOOKUP(Demographics[[#This Row],[INCOME LEVEL]],Income[],4,FALSE)</f>
        <v>175</v>
      </c>
      <c r="K155">
        <f>IFERROR(Demographics[[#This Row],[Total monthly income]]/Demographics[[#This Row],[FAMILY SIZE]], 0)</f>
        <v>43.75</v>
      </c>
    </row>
    <row r="156" spans="1:11" x14ac:dyDescent="0.2">
      <c r="A156">
        <v>2850425</v>
      </c>
      <c r="B156">
        <v>2041985</v>
      </c>
      <c r="C156">
        <v>3</v>
      </c>
      <c r="D156">
        <v>1</v>
      </c>
      <c r="E156">
        <v>2</v>
      </c>
      <c r="F156">
        <v>3</v>
      </c>
      <c r="G156">
        <v>4</v>
      </c>
      <c r="H156" t="str">
        <f>IF(Demographics[[#This Row],[DOB]]&gt;10000000, TEXT(Demographics[[#This Row],[DOB]],0),CONCATENATE("0",TEXT(Demographics[[#This Row],[DOB]],0)))</f>
        <v>02041985</v>
      </c>
      <c r="I156" s="4">
        <f ca="1">IFERROR((VALUE(TODAY()-DATE(RIGHT(Demographics[[#This Row],[DOB - Fixed]],4),MID(Demographics[[#This Row],[DOB - Fixed]],3,2),LEFT(Demographics[[#This Row],[DOB - Fixed]],2))))/365,0)</f>
        <v>38.460273972602742</v>
      </c>
      <c r="J156">
        <f>VLOOKUP(Demographics[[#This Row],[INCOME LEVEL]],Income[],4,FALSE)</f>
        <v>697.5</v>
      </c>
      <c r="K156">
        <f>IFERROR(Demographics[[#This Row],[Total monthly income]]/Demographics[[#This Row],[FAMILY SIZE]], 0)</f>
        <v>232.5</v>
      </c>
    </row>
    <row r="157" spans="1:11" x14ac:dyDescent="0.2">
      <c r="A157">
        <v>12580130</v>
      </c>
      <c r="B157">
        <v>17071985</v>
      </c>
      <c r="C157">
        <v>5</v>
      </c>
      <c r="D157">
        <v>2</v>
      </c>
      <c r="E157">
        <v>2</v>
      </c>
      <c r="F157">
        <v>9</v>
      </c>
      <c r="G157">
        <v>9</v>
      </c>
      <c r="H157" t="str">
        <f>IF(Demographics[[#This Row],[DOB]]&gt;10000000, TEXT(Demographics[[#This Row],[DOB]],0),CONCATENATE("0",TEXT(Demographics[[#This Row],[DOB]],0)))</f>
        <v>17071985</v>
      </c>
      <c r="I157" s="4">
        <f ca="1">IFERROR((VALUE(TODAY()-DATE(RIGHT(Demographics[[#This Row],[DOB - Fixed]],4),MID(Demographics[[#This Row],[DOB - Fixed]],3,2),LEFT(Demographics[[#This Row],[DOB - Fixed]],2))))/365,0)</f>
        <v>38.169863013698631</v>
      </c>
      <c r="J157">
        <f>VLOOKUP(Demographics[[#This Row],[INCOME LEVEL]],Income[],4,FALSE)</f>
        <v>697.5</v>
      </c>
      <c r="K157">
        <f>IFERROR(Demographics[[#This Row],[Total monthly income]]/Demographics[[#This Row],[FAMILY SIZE]], 0)</f>
        <v>139.5</v>
      </c>
    </row>
    <row r="158" spans="1:11" x14ac:dyDescent="0.2">
      <c r="A158">
        <v>14716081</v>
      </c>
      <c r="B158">
        <v>17071985</v>
      </c>
      <c r="C158">
        <v>3</v>
      </c>
      <c r="D158">
        <v>2</v>
      </c>
      <c r="E158">
        <v>1</v>
      </c>
      <c r="F158">
        <v>9</v>
      </c>
      <c r="G158">
        <v>9</v>
      </c>
      <c r="H158" t="str">
        <f>IF(Demographics[[#This Row],[DOB]]&gt;10000000, TEXT(Demographics[[#This Row],[DOB]],0),CONCATENATE("0",TEXT(Demographics[[#This Row],[DOB]],0)))</f>
        <v>17071985</v>
      </c>
      <c r="I158" s="4">
        <f ca="1">IFERROR((VALUE(TODAY()-DATE(RIGHT(Demographics[[#This Row],[DOB - Fixed]],4),MID(Demographics[[#This Row],[DOB - Fixed]],3,2),LEFT(Demographics[[#This Row],[DOB - Fixed]],2))))/365,0)</f>
        <v>38.169863013698631</v>
      </c>
      <c r="J158">
        <f>VLOOKUP(Demographics[[#This Row],[INCOME LEVEL]],Income[],4,FALSE)</f>
        <v>175</v>
      </c>
      <c r="K158">
        <f>IFERROR(Demographics[[#This Row],[Total monthly income]]/Demographics[[#This Row],[FAMILY SIZE]], 0)</f>
        <v>58.333333333333336</v>
      </c>
    </row>
    <row r="159" spans="1:11" x14ac:dyDescent="0.2">
      <c r="A159">
        <v>23405829</v>
      </c>
      <c r="B159">
        <v>1081985</v>
      </c>
      <c r="C159">
        <v>4</v>
      </c>
      <c r="D159">
        <v>0</v>
      </c>
      <c r="E159">
        <v>5</v>
      </c>
      <c r="F159">
        <v>8</v>
      </c>
      <c r="G159">
        <v>9</v>
      </c>
      <c r="H159" t="str">
        <f>IF(Demographics[[#This Row],[DOB]]&gt;10000000, TEXT(Demographics[[#This Row],[DOB]],0),CONCATENATE("0",TEXT(Demographics[[#This Row],[DOB]],0)))</f>
        <v>01081985</v>
      </c>
      <c r="I159" s="4">
        <f ca="1">IFERROR((VALUE(TODAY()-DATE(RIGHT(Demographics[[#This Row],[DOB - Fixed]],4),MID(Demographics[[#This Row],[DOB - Fixed]],3,2),LEFT(Demographics[[#This Row],[DOB - Fixed]],2))))/365,0)</f>
        <v>38.128767123287673</v>
      </c>
      <c r="J159">
        <f>VLOOKUP(Demographics[[#This Row],[INCOME LEVEL]],Income[],4,FALSE)</f>
        <v>2787.5</v>
      </c>
      <c r="K159">
        <f>IFERROR(Demographics[[#This Row],[Total monthly income]]/Demographics[[#This Row],[FAMILY SIZE]], 0)</f>
        <v>696.875</v>
      </c>
    </row>
    <row r="160" spans="1:11" x14ac:dyDescent="0.2">
      <c r="A160">
        <v>21371049</v>
      </c>
      <c r="B160">
        <v>12091985</v>
      </c>
      <c r="C160">
        <v>5</v>
      </c>
      <c r="D160">
        <v>2</v>
      </c>
      <c r="E160">
        <v>3</v>
      </c>
      <c r="F160">
        <v>5</v>
      </c>
      <c r="G160">
        <v>9</v>
      </c>
      <c r="H160" t="str">
        <f>IF(Demographics[[#This Row],[DOB]]&gt;10000000, TEXT(Demographics[[#This Row],[DOB]],0),CONCATENATE("0",TEXT(Demographics[[#This Row],[DOB]],0)))</f>
        <v>12091985</v>
      </c>
      <c r="I160" s="4">
        <f ca="1">IFERROR((VALUE(TODAY()-DATE(RIGHT(Demographics[[#This Row],[DOB - Fixed]],4),MID(Demographics[[#This Row],[DOB - Fixed]],3,2),LEFT(Demographics[[#This Row],[DOB - Fixed]],2))))/365,0)</f>
        <v>38.013698630136986</v>
      </c>
      <c r="J160">
        <f>VLOOKUP(Demographics[[#This Row],[INCOME LEVEL]],Income[],4,FALSE)</f>
        <v>1397.5</v>
      </c>
      <c r="K160">
        <f>IFERROR(Demographics[[#This Row],[Total monthly income]]/Demographics[[#This Row],[FAMILY SIZE]], 0)</f>
        <v>279.5</v>
      </c>
    </row>
    <row r="161" spans="1:11" x14ac:dyDescent="0.2">
      <c r="A161">
        <v>20735790</v>
      </c>
      <c r="B161">
        <v>28091985</v>
      </c>
      <c r="C161">
        <v>5</v>
      </c>
      <c r="D161">
        <v>1</v>
      </c>
      <c r="E161">
        <v>1</v>
      </c>
      <c r="F161">
        <v>5</v>
      </c>
      <c r="G161">
        <v>5</v>
      </c>
      <c r="H161" t="str">
        <f>IF(Demographics[[#This Row],[DOB]]&gt;10000000, TEXT(Demographics[[#This Row],[DOB]],0),CONCATENATE("0",TEXT(Demographics[[#This Row],[DOB]],0)))</f>
        <v>28091985</v>
      </c>
      <c r="I161" s="4">
        <f ca="1">IFERROR((VALUE(TODAY()-DATE(RIGHT(Demographics[[#This Row],[DOB - Fixed]],4),MID(Demographics[[#This Row],[DOB - Fixed]],3,2),LEFT(Demographics[[#This Row],[DOB - Fixed]],2))))/365,0)</f>
        <v>37.969863013698628</v>
      </c>
      <c r="J161">
        <f>VLOOKUP(Demographics[[#This Row],[INCOME LEVEL]],Income[],4,FALSE)</f>
        <v>175</v>
      </c>
      <c r="K161">
        <f>IFERROR(Demographics[[#This Row],[Total monthly income]]/Demographics[[#This Row],[FAMILY SIZE]], 0)</f>
        <v>35</v>
      </c>
    </row>
    <row r="162" spans="1:11" x14ac:dyDescent="0.2">
      <c r="A162">
        <v>5248480</v>
      </c>
      <c r="B162">
        <v>1101985</v>
      </c>
      <c r="C162">
        <v>0</v>
      </c>
      <c r="D162">
        <v>0</v>
      </c>
      <c r="E162">
        <v>1</v>
      </c>
      <c r="F162">
        <v>0</v>
      </c>
      <c r="G162">
        <v>0</v>
      </c>
      <c r="H162" t="str">
        <f>IF(Demographics[[#This Row],[DOB]]&gt;10000000, TEXT(Demographics[[#This Row],[DOB]],0),CONCATENATE("0",TEXT(Demographics[[#This Row],[DOB]],0)))</f>
        <v>01101985</v>
      </c>
      <c r="I162" s="4">
        <f ca="1">IFERROR((VALUE(TODAY()-DATE(RIGHT(Demographics[[#This Row],[DOB - Fixed]],4),MID(Demographics[[#This Row],[DOB - Fixed]],3,2),LEFT(Demographics[[#This Row],[DOB - Fixed]],2))))/365,0)</f>
        <v>37.961643835616435</v>
      </c>
      <c r="J162">
        <f>VLOOKUP(Demographics[[#This Row],[INCOME LEVEL]],Income[],4,FALSE)</f>
        <v>175</v>
      </c>
      <c r="K162">
        <f>IFERROR(Demographics[[#This Row],[Total monthly income]]/Demographics[[#This Row],[FAMILY SIZE]], 0)</f>
        <v>0</v>
      </c>
    </row>
    <row r="163" spans="1:11" x14ac:dyDescent="0.2">
      <c r="A163">
        <v>1711896</v>
      </c>
      <c r="B163">
        <v>11101985</v>
      </c>
      <c r="C163">
        <v>5</v>
      </c>
      <c r="D163">
        <v>1</v>
      </c>
      <c r="E163">
        <v>1</v>
      </c>
      <c r="F163">
        <v>5</v>
      </c>
      <c r="G163">
        <v>5</v>
      </c>
      <c r="H163" t="str">
        <f>IF(Demographics[[#This Row],[DOB]]&gt;10000000, TEXT(Demographics[[#This Row],[DOB]],0),CONCATENATE("0",TEXT(Demographics[[#This Row],[DOB]],0)))</f>
        <v>11101985</v>
      </c>
      <c r="I163" s="4">
        <f ca="1">IFERROR((VALUE(TODAY()-DATE(RIGHT(Demographics[[#This Row],[DOB - Fixed]],4),MID(Demographics[[#This Row],[DOB - Fixed]],3,2),LEFT(Demographics[[#This Row],[DOB - Fixed]],2))))/365,0)</f>
        <v>37.934246575342463</v>
      </c>
      <c r="J163">
        <f>VLOOKUP(Demographics[[#This Row],[INCOME LEVEL]],Income[],4,FALSE)</f>
        <v>175</v>
      </c>
      <c r="K163">
        <f>IFERROR(Demographics[[#This Row],[Total monthly income]]/Demographics[[#This Row],[FAMILY SIZE]], 0)</f>
        <v>35</v>
      </c>
    </row>
    <row r="164" spans="1:11" x14ac:dyDescent="0.2">
      <c r="A164">
        <v>5075078</v>
      </c>
      <c r="B164">
        <v>18101985</v>
      </c>
      <c r="C164">
        <v>5</v>
      </c>
      <c r="D164">
        <v>1</v>
      </c>
      <c r="E164">
        <v>1</v>
      </c>
      <c r="F164">
        <v>4</v>
      </c>
      <c r="G164">
        <v>2</v>
      </c>
      <c r="H164" t="str">
        <f>IF(Demographics[[#This Row],[DOB]]&gt;10000000, TEXT(Demographics[[#This Row],[DOB]],0),CONCATENATE("0",TEXT(Demographics[[#This Row],[DOB]],0)))</f>
        <v>18101985</v>
      </c>
      <c r="I164" s="4">
        <f ca="1">IFERROR((VALUE(TODAY()-DATE(RIGHT(Demographics[[#This Row],[DOB - Fixed]],4),MID(Demographics[[#This Row],[DOB - Fixed]],3,2),LEFT(Demographics[[#This Row],[DOB - Fixed]],2))))/365,0)</f>
        <v>37.915068493150685</v>
      </c>
      <c r="J164">
        <f>VLOOKUP(Demographics[[#This Row],[INCOME LEVEL]],Income[],4,FALSE)</f>
        <v>175</v>
      </c>
      <c r="K164">
        <f>IFERROR(Demographics[[#This Row],[Total monthly income]]/Demographics[[#This Row],[FAMILY SIZE]], 0)</f>
        <v>35</v>
      </c>
    </row>
    <row r="165" spans="1:11" x14ac:dyDescent="0.2">
      <c r="A165">
        <v>2404829</v>
      </c>
      <c r="B165">
        <v>2111985</v>
      </c>
      <c r="C165">
        <v>3</v>
      </c>
      <c r="D165">
        <v>1</v>
      </c>
      <c r="E165">
        <v>1</v>
      </c>
      <c r="F165">
        <v>2</v>
      </c>
      <c r="G165">
        <v>2</v>
      </c>
      <c r="H165" t="str">
        <f>IF(Demographics[[#This Row],[DOB]]&gt;10000000, TEXT(Demographics[[#This Row],[DOB]],0),CONCATENATE("0",TEXT(Demographics[[#This Row],[DOB]],0)))</f>
        <v>02111985</v>
      </c>
      <c r="I165" s="4">
        <f ca="1">IFERROR((VALUE(TODAY()-DATE(RIGHT(Demographics[[#This Row],[DOB - Fixed]],4),MID(Demographics[[#This Row],[DOB - Fixed]],3,2),LEFT(Demographics[[#This Row],[DOB - Fixed]],2))))/365,0)</f>
        <v>37.873972602739727</v>
      </c>
      <c r="J165">
        <f>VLOOKUP(Demographics[[#This Row],[INCOME LEVEL]],Income[],4,FALSE)</f>
        <v>175</v>
      </c>
      <c r="K165">
        <f>IFERROR(Demographics[[#This Row],[Total monthly income]]/Demographics[[#This Row],[FAMILY SIZE]], 0)</f>
        <v>58.333333333333336</v>
      </c>
    </row>
    <row r="166" spans="1:11" x14ac:dyDescent="0.2">
      <c r="A166">
        <v>5609400</v>
      </c>
      <c r="B166">
        <v>29101985</v>
      </c>
      <c r="C166">
        <v>0</v>
      </c>
      <c r="D166">
        <v>0</v>
      </c>
      <c r="E166">
        <v>1</v>
      </c>
      <c r="F166">
        <v>0</v>
      </c>
      <c r="G166">
        <v>0</v>
      </c>
      <c r="H166" t="str">
        <f>IF(Demographics[[#This Row],[DOB]]&gt;10000000, TEXT(Demographics[[#This Row],[DOB]],0),CONCATENATE("0",TEXT(Demographics[[#This Row],[DOB]],0)))</f>
        <v>29101985</v>
      </c>
      <c r="I166" s="4">
        <f ca="1">IFERROR((VALUE(TODAY()-DATE(RIGHT(Demographics[[#This Row],[DOB - Fixed]],4),MID(Demographics[[#This Row],[DOB - Fixed]],3,2),LEFT(Demographics[[#This Row],[DOB - Fixed]],2))))/365,0)</f>
        <v>37.884931506849313</v>
      </c>
      <c r="J166">
        <f>VLOOKUP(Demographics[[#This Row],[INCOME LEVEL]],Income[],4,FALSE)</f>
        <v>175</v>
      </c>
      <c r="K166">
        <f>IFERROR(Demographics[[#This Row],[Total monthly income]]/Demographics[[#This Row],[FAMILY SIZE]], 0)</f>
        <v>0</v>
      </c>
    </row>
    <row r="167" spans="1:11" x14ac:dyDescent="0.2">
      <c r="A167">
        <v>13518835</v>
      </c>
      <c r="B167">
        <v>10111985</v>
      </c>
      <c r="C167">
        <v>4</v>
      </c>
      <c r="D167">
        <v>2</v>
      </c>
      <c r="E167">
        <v>1</v>
      </c>
      <c r="F167">
        <v>3</v>
      </c>
      <c r="G167">
        <v>5</v>
      </c>
      <c r="H167" t="str">
        <f>IF(Demographics[[#This Row],[DOB]]&gt;10000000, TEXT(Demographics[[#This Row],[DOB]],0),CONCATENATE("0",TEXT(Demographics[[#This Row],[DOB]],0)))</f>
        <v>10111985</v>
      </c>
      <c r="I167" s="4">
        <f ca="1">IFERROR((VALUE(TODAY()-DATE(RIGHT(Demographics[[#This Row],[DOB - Fixed]],4),MID(Demographics[[#This Row],[DOB - Fixed]],3,2),LEFT(Demographics[[#This Row],[DOB - Fixed]],2))))/365,0)</f>
        <v>37.852054794520548</v>
      </c>
      <c r="J167">
        <f>VLOOKUP(Demographics[[#This Row],[INCOME LEVEL]],Income[],4,FALSE)</f>
        <v>175</v>
      </c>
      <c r="K167">
        <f>IFERROR(Demographics[[#This Row],[Total monthly income]]/Demographics[[#This Row],[FAMILY SIZE]], 0)</f>
        <v>43.75</v>
      </c>
    </row>
    <row r="168" spans="1:11" x14ac:dyDescent="0.2">
      <c r="A168">
        <v>8295038</v>
      </c>
      <c r="B168">
        <v>18121985</v>
      </c>
      <c r="C168">
        <v>2</v>
      </c>
      <c r="D168">
        <v>1</v>
      </c>
      <c r="E168">
        <v>1</v>
      </c>
      <c r="F168">
        <v>5</v>
      </c>
      <c r="G168">
        <v>5</v>
      </c>
      <c r="H168" t="str">
        <f>IF(Demographics[[#This Row],[DOB]]&gt;10000000, TEXT(Demographics[[#This Row],[DOB]],0),CONCATENATE("0",TEXT(Demographics[[#This Row],[DOB]],0)))</f>
        <v>18121985</v>
      </c>
      <c r="I168" s="4">
        <f ca="1">IFERROR((VALUE(TODAY()-DATE(RIGHT(Demographics[[#This Row],[DOB - Fixed]],4),MID(Demographics[[#This Row],[DOB - Fixed]],3,2),LEFT(Demographics[[#This Row],[DOB - Fixed]],2))))/365,0)</f>
        <v>37.747945205479454</v>
      </c>
      <c r="J168">
        <f>VLOOKUP(Demographics[[#This Row],[INCOME LEVEL]],Income[],4,FALSE)</f>
        <v>175</v>
      </c>
      <c r="K168">
        <f>IFERROR(Demographics[[#This Row],[Total monthly income]]/Demographics[[#This Row],[FAMILY SIZE]], 0)</f>
        <v>87.5</v>
      </c>
    </row>
    <row r="169" spans="1:11" x14ac:dyDescent="0.2">
      <c r="A169">
        <v>3099476</v>
      </c>
      <c r="B169">
        <v>5061985</v>
      </c>
      <c r="C169">
        <v>6</v>
      </c>
      <c r="D169">
        <v>3</v>
      </c>
      <c r="E169">
        <v>6</v>
      </c>
      <c r="F169">
        <v>9</v>
      </c>
      <c r="G169">
        <v>9</v>
      </c>
      <c r="H169" t="str">
        <f>IF(Demographics[[#This Row],[DOB]]&gt;10000000, TEXT(Demographics[[#This Row],[DOB]],0),CONCATENATE("0",TEXT(Demographics[[#This Row],[DOB]],0)))</f>
        <v>05061985</v>
      </c>
      <c r="I169" s="4">
        <f ca="1">IFERROR((VALUE(TODAY()-DATE(RIGHT(Demographics[[#This Row],[DOB - Fixed]],4),MID(Demographics[[#This Row],[DOB - Fixed]],3,2),LEFT(Demographics[[#This Row],[DOB - Fixed]],2))))/365,0)</f>
        <v>38.284931506849318</v>
      </c>
      <c r="J169">
        <f>VLOOKUP(Demographics[[#This Row],[INCOME LEVEL]],Income[],4,FALSE)</f>
        <v>4000</v>
      </c>
      <c r="K169">
        <f>IFERROR(Demographics[[#This Row],[Total monthly income]]/Demographics[[#This Row],[FAMILY SIZE]], 0)</f>
        <v>666.66666666666663</v>
      </c>
    </row>
    <row r="170" spans="1:11" x14ac:dyDescent="0.2">
      <c r="A170">
        <v>21265253</v>
      </c>
      <c r="B170">
        <v>23061985</v>
      </c>
      <c r="C170">
        <v>6</v>
      </c>
      <c r="D170">
        <v>1</v>
      </c>
      <c r="E170">
        <v>1</v>
      </c>
      <c r="F170">
        <v>2</v>
      </c>
      <c r="G170">
        <v>3</v>
      </c>
      <c r="H170" t="str">
        <f>IF(Demographics[[#This Row],[DOB]]&gt;10000000, TEXT(Demographics[[#This Row],[DOB]],0),CONCATENATE("0",TEXT(Demographics[[#This Row],[DOB]],0)))</f>
        <v>23061985</v>
      </c>
      <c r="I170" s="4">
        <f ca="1">IFERROR((VALUE(TODAY()-DATE(RIGHT(Demographics[[#This Row],[DOB - Fixed]],4),MID(Demographics[[#This Row],[DOB - Fixed]],3,2),LEFT(Demographics[[#This Row],[DOB - Fixed]],2))))/365,0)</f>
        <v>38.235616438356168</v>
      </c>
      <c r="J170">
        <f>VLOOKUP(Demographics[[#This Row],[INCOME LEVEL]],Income[],4,FALSE)</f>
        <v>175</v>
      </c>
      <c r="K170">
        <f>IFERROR(Demographics[[#This Row],[Total monthly income]]/Demographics[[#This Row],[FAMILY SIZE]], 0)</f>
        <v>29.166666666666668</v>
      </c>
    </row>
    <row r="171" spans="1:11" x14ac:dyDescent="0.2">
      <c r="A171">
        <v>10078446</v>
      </c>
      <c r="B171">
        <v>29041986</v>
      </c>
      <c r="C171">
        <v>0</v>
      </c>
      <c r="D171">
        <v>0</v>
      </c>
      <c r="E171">
        <v>1</v>
      </c>
      <c r="F171">
        <v>0</v>
      </c>
      <c r="G171">
        <v>0</v>
      </c>
      <c r="H171" t="str">
        <f>IF(Demographics[[#This Row],[DOB]]&gt;10000000, TEXT(Demographics[[#This Row],[DOB]],0),CONCATENATE("0",TEXT(Demographics[[#This Row],[DOB]],0)))</f>
        <v>29041986</v>
      </c>
      <c r="I171" s="4">
        <f ca="1">IFERROR((VALUE(TODAY()-DATE(RIGHT(Demographics[[#This Row],[DOB - Fixed]],4),MID(Demographics[[#This Row],[DOB - Fixed]],3,2),LEFT(Demographics[[#This Row],[DOB - Fixed]],2))))/365,0)</f>
        <v>37.386301369863013</v>
      </c>
      <c r="J171">
        <f>VLOOKUP(Demographics[[#This Row],[INCOME LEVEL]],Income[],4,FALSE)</f>
        <v>175</v>
      </c>
      <c r="K171">
        <f>IFERROR(Demographics[[#This Row],[Total monthly income]]/Demographics[[#This Row],[FAMILY SIZE]], 0)</f>
        <v>0</v>
      </c>
    </row>
    <row r="172" spans="1:11" x14ac:dyDescent="0.2">
      <c r="A172">
        <v>17469613</v>
      </c>
      <c r="B172">
        <v>21041986</v>
      </c>
      <c r="C172">
        <v>5</v>
      </c>
      <c r="D172">
        <v>2</v>
      </c>
      <c r="E172">
        <v>1</v>
      </c>
      <c r="F172">
        <v>4</v>
      </c>
      <c r="G172">
        <v>4</v>
      </c>
      <c r="H172" t="str">
        <f>IF(Demographics[[#This Row],[DOB]]&gt;10000000, TEXT(Demographics[[#This Row],[DOB]],0),CONCATENATE("0",TEXT(Demographics[[#This Row],[DOB]],0)))</f>
        <v>21041986</v>
      </c>
      <c r="I172" s="4">
        <f ca="1">IFERROR((VALUE(TODAY()-DATE(RIGHT(Demographics[[#This Row],[DOB - Fixed]],4),MID(Demographics[[#This Row],[DOB - Fixed]],3,2),LEFT(Demographics[[#This Row],[DOB - Fixed]],2))))/365,0)</f>
        <v>37.408219178082192</v>
      </c>
      <c r="J172">
        <f>VLOOKUP(Demographics[[#This Row],[INCOME LEVEL]],Income[],4,FALSE)</f>
        <v>175</v>
      </c>
      <c r="K172">
        <f>IFERROR(Demographics[[#This Row],[Total monthly income]]/Demographics[[#This Row],[FAMILY SIZE]], 0)</f>
        <v>35</v>
      </c>
    </row>
    <row r="173" spans="1:11" x14ac:dyDescent="0.2">
      <c r="A173">
        <v>5420511</v>
      </c>
      <c r="B173">
        <v>28061985</v>
      </c>
      <c r="C173">
        <v>6</v>
      </c>
      <c r="D173">
        <v>1</v>
      </c>
      <c r="E173">
        <v>4</v>
      </c>
      <c r="F173">
        <v>9</v>
      </c>
      <c r="G173">
        <v>9</v>
      </c>
      <c r="H173" t="str">
        <f>IF(Demographics[[#This Row],[DOB]]&gt;10000000, TEXT(Demographics[[#This Row],[DOB]],0),CONCATENATE("0",TEXT(Demographics[[#This Row],[DOB]],0)))</f>
        <v>28061985</v>
      </c>
      <c r="I173" s="4">
        <f ca="1">IFERROR((VALUE(TODAY()-DATE(RIGHT(Demographics[[#This Row],[DOB - Fixed]],4),MID(Demographics[[#This Row],[DOB - Fixed]],3,2),LEFT(Demographics[[#This Row],[DOB - Fixed]],2))))/365,0)</f>
        <v>38.221917808219175</v>
      </c>
      <c r="J173">
        <f>VLOOKUP(Demographics[[#This Row],[INCOME LEVEL]],Income[],4,FALSE)</f>
        <v>2100</v>
      </c>
      <c r="K173">
        <f>IFERROR(Demographics[[#This Row],[Total monthly income]]/Demographics[[#This Row],[FAMILY SIZE]], 0)</f>
        <v>350</v>
      </c>
    </row>
    <row r="174" spans="1:11" x14ac:dyDescent="0.2">
      <c r="A174">
        <v>6462211</v>
      </c>
      <c r="B174">
        <v>16021985</v>
      </c>
      <c r="C174">
        <v>6</v>
      </c>
      <c r="D174">
        <v>1</v>
      </c>
      <c r="E174">
        <v>1</v>
      </c>
      <c r="F174">
        <v>8</v>
      </c>
      <c r="G174">
        <v>5</v>
      </c>
      <c r="H174" t="str">
        <f>IF(Demographics[[#This Row],[DOB]]&gt;10000000, TEXT(Demographics[[#This Row],[DOB]],0),CONCATENATE("0",TEXT(Demographics[[#This Row],[DOB]],0)))</f>
        <v>16021985</v>
      </c>
      <c r="I174" s="4">
        <f ca="1">IFERROR((VALUE(TODAY()-DATE(RIGHT(Demographics[[#This Row],[DOB - Fixed]],4),MID(Demographics[[#This Row],[DOB - Fixed]],3,2),LEFT(Demographics[[#This Row],[DOB - Fixed]],2))))/365,0)</f>
        <v>38.583561643835615</v>
      </c>
      <c r="J174">
        <f>VLOOKUP(Demographics[[#This Row],[INCOME LEVEL]],Income[],4,FALSE)</f>
        <v>175</v>
      </c>
      <c r="K174">
        <f>IFERROR(Demographics[[#This Row],[Total monthly income]]/Demographics[[#This Row],[FAMILY SIZE]], 0)</f>
        <v>29.166666666666668</v>
      </c>
    </row>
    <row r="175" spans="1:11" x14ac:dyDescent="0.2">
      <c r="A175">
        <v>11370228</v>
      </c>
      <c r="B175">
        <v>17021985</v>
      </c>
      <c r="C175">
        <v>6</v>
      </c>
      <c r="D175">
        <v>2</v>
      </c>
      <c r="E175">
        <v>2</v>
      </c>
      <c r="F175">
        <v>2</v>
      </c>
      <c r="G175">
        <v>2</v>
      </c>
      <c r="H175" t="str">
        <f>IF(Demographics[[#This Row],[DOB]]&gt;10000000, TEXT(Demographics[[#This Row],[DOB]],0),CONCATENATE("0",TEXT(Demographics[[#This Row],[DOB]],0)))</f>
        <v>17021985</v>
      </c>
      <c r="I175" s="4">
        <f ca="1">IFERROR((VALUE(TODAY()-DATE(RIGHT(Demographics[[#This Row],[DOB - Fixed]],4),MID(Demographics[[#This Row],[DOB - Fixed]],3,2),LEFT(Demographics[[#This Row],[DOB - Fixed]],2))))/365,0)</f>
        <v>38.580821917808223</v>
      </c>
      <c r="J175">
        <f>VLOOKUP(Demographics[[#This Row],[INCOME LEVEL]],Income[],4,FALSE)</f>
        <v>697.5</v>
      </c>
      <c r="K175">
        <f>IFERROR(Demographics[[#This Row],[Total monthly income]]/Demographics[[#This Row],[FAMILY SIZE]], 0)</f>
        <v>116.25</v>
      </c>
    </row>
    <row r="176" spans="1:11" x14ac:dyDescent="0.2">
      <c r="A176">
        <v>18210590</v>
      </c>
      <c r="B176">
        <v>19021985</v>
      </c>
      <c r="C176">
        <v>3</v>
      </c>
      <c r="D176">
        <v>0</v>
      </c>
      <c r="E176">
        <v>1</v>
      </c>
      <c r="F176">
        <v>7</v>
      </c>
      <c r="G176">
        <v>4</v>
      </c>
      <c r="H176" t="str">
        <f>IF(Demographics[[#This Row],[DOB]]&gt;10000000, TEXT(Demographics[[#This Row],[DOB]],0),CONCATENATE("0",TEXT(Demographics[[#This Row],[DOB]],0)))</f>
        <v>19021985</v>
      </c>
      <c r="I176" s="4">
        <f ca="1">IFERROR((VALUE(TODAY()-DATE(RIGHT(Demographics[[#This Row],[DOB - Fixed]],4),MID(Demographics[[#This Row],[DOB - Fixed]],3,2),LEFT(Demographics[[#This Row],[DOB - Fixed]],2))))/365,0)</f>
        <v>38.575342465753423</v>
      </c>
      <c r="J176">
        <f>VLOOKUP(Demographics[[#This Row],[INCOME LEVEL]],Income[],4,FALSE)</f>
        <v>175</v>
      </c>
      <c r="K176">
        <f>IFERROR(Demographics[[#This Row],[Total monthly income]]/Demographics[[#This Row],[FAMILY SIZE]], 0)</f>
        <v>58.333333333333336</v>
      </c>
    </row>
    <row r="177" spans="1:11" x14ac:dyDescent="0.2">
      <c r="A177">
        <v>3273665</v>
      </c>
      <c r="B177">
        <v>10041985</v>
      </c>
      <c r="C177">
        <v>3</v>
      </c>
      <c r="D177">
        <v>1</v>
      </c>
      <c r="E177">
        <v>1</v>
      </c>
      <c r="F177">
        <v>0</v>
      </c>
      <c r="G177">
        <v>2</v>
      </c>
      <c r="H177" t="str">
        <f>IF(Demographics[[#This Row],[DOB]]&gt;10000000, TEXT(Demographics[[#This Row],[DOB]],0),CONCATENATE("0",TEXT(Demographics[[#This Row],[DOB]],0)))</f>
        <v>10041985</v>
      </c>
      <c r="I177" s="4">
        <f ca="1">IFERROR((VALUE(TODAY()-DATE(RIGHT(Demographics[[#This Row],[DOB - Fixed]],4),MID(Demographics[[#This Row],[DOB - Fixed]],3,2),LEFT(Demographics[[#This Row],[DOB - Fixed]],2))))/365,0)</f>
        <v>38.438356164383563</v>
      </c>
      <c r="J177">
        <f>VLOOKUP(Demographics[[#This Row],[INCOME LEVEL]],Income[],4,FALSE)</f>
        <v>175</v>
      </c>
      <c r="K177">
        <f>IFERROR(Demographics[[#This Row],[Total monthly income]]/Demographics[[#This Row],[FAMILY SIZE]], 0)</f>
        <v>58.333333333333336</v>
      </c>
    </row>
    <row r="178" spans="1:11" x14ac:dyDescent="0.2">
      <c r="A178">
        <v>1063700</v>
      </c>
      <c r="B178">
        <v>27041985</v>
      </c>
      <c r="C178">
        <v>4</v>
      </c>
      <c r="D178">
        <v>2</v>
      </c>
      <c r="E178">
        <v>1</v>
      </c>
      <c r="F178">
        <v>4</v>
      </c>
      <c r="G178">
        <v>4</v>
      </c>
      <c r="H178" t="str">
        <f>IF(Demographics[[#This Row],[DOB]]&gt;10000000, TEXT(Demographics[[#This Row],[DOB]],0),CONCATENATE("0",TEXT(Demographics[[#This Row],[DOB]],0)))</f>
        <v>27041985</v>
      </c>
      <c r="I178" s="4">
        <f ca="1">IFERROR((VALUE(TODAY()-DATE(RIGHT(Demographics[[#This Row],[DOB - Fixed]],4),MID(Demographics[[#This Row],[DOB - Fixed]],3,2),LEFT(Demographics[[#This Row],[DOB - Fixed]],2))))/365,0)</f>
        <v>38.391780821917806</v>
      </c>
      <c r="J178">
        <f>VLOOKUP(Demographics[[#This Row],[INCOME LEVEL]],Income[],4,FALSE)</f>
        <v>175</v>
      </c>
      <c r="K178">
        <f>IFERROR(Demographics[[#This Row],[Total monthly income]]/Demographics[[#This Row],[FAMILY SIZE]], 0)</f>
        <v>43.75</v>
      </c>
    </row>
    <row r="179" spans="1:11" x14ac:dyDescent="0.2">
      <c r="A179">
        <v>22758666</v>
      </c>
      <c r="B179">
        <v>15041985</v>
      </c>
      <c r="C179">
        <v>5</v>
      </c>
      <c r="D179">
        <v>1</v>
      </c>
      <c r="E179">
        <v>1</v>
      </c>
      <c r="F179">
        <v>2</v>
      </c>
      <c r="G179">
        <v>2</v>
      </c>
      <c r="H179" t="str">
        <f>IF(Demographics[[#This Row],[DOB]]&gt;10000000, TEXT(Demographics[[#This Row],[DOB]],0),CONCATENATE("0",TEXT(Demographics[[#This Row],[DOB]],0)))</f>
        <v>15041985</v>
      </c>
      <c r="I179" s="4">
        <f ca="1">IFERROR((VALUE(TODAY()-DATE(RIGHT(Demographics[[#This Row],[DOB - Fixed]],4),MID(Demographics[[#This Row],[DOB - Fixed]],3,2),LEFT(Demographics[[#This Row],[DOB - Fixed]],2))))/365,0)</f>
        <v>38.424657534246577</v>
      </c>
      <c r="J179">
        <f>VLOOKUP(Demographics[[#This Row],[INCOME LEVEL]],Income[],4,FALSE)</f>
        <v>175</v>
      </c>
      <c r="K179">
        <f>IFERROR(Demographics[[#This Row],[Total monthly income]]/Demographics[[#This Row],[FAMILY SIZE]], 0)</f>
        <v>35</v>
      </c>
    </row>
    <row r="180" spans="1:11" x14ac:dyDescent="0.2">
      <c r="A180">
        <v>10143125</v>
      </c>
      <c r="B180">
        <v>13041985</v>
      </c>
      <c r="C180">
        <v>4</v>
      </c>
      <c r="D180">
        <v>0</v>
      </c>
      <c r="E180">
        <v>1</v>
      </c>
      <c r="F180">
        <v>2</v>
      </c>
      <c r="G180">
        <v>2</v>
      </c>
      <c r="H180" t="str">
        <f>IF(Demographics[[#This Row],[DOB]]&gt;10000000, TEXT(Demographics[[#This Row],[DOB]],0),CONCATENATE("0",TEXT(Demographics[[#This Row],[DOB]],0)))</f>
        <v>13041985</v>
      </c>
      <c r="I180" s="4">
        <f ca="1">IFERROR((VALUE(TODAY()-DATE(RIGHT(Demographics[[#This Row],[DOB - Fixed]],4),MID(Demographics[[#This Row],[DOB - Fixed]],3,2),LEFT(Demographics[[#This Row],[DOB - Fixed]],2))))/365,0)</f>
        <v>38.43013698630137</v>
      </c>
      <c r="J180">
        <f>VLOOKUP(Demographics[[#This Row],[INCOME LEVEL]],Income[],4,FALSE)</f>
        <v>175</v>
      </c>
      <c r="K180">
        <f>IFERROR(Demographics[[#This Row],[Total monthly income]]/Demographics[[#This Row],[FAMILY SIZE]], 0)</f>
        <v>43.75</v>
      </c>
    </row>
    <row r="181" spans="1:11" x14ac:dyDescent="0.2">
      <c r="A181">
        <v>19019407</v>
      </c>
      <c r="B181">
        <v>11051985</v>
      </c>
      <c r="C181">
        <v>5</v>
      </c>
      <c r="D181">
        <v>2</v>
      </c>
      <c r="E181">
        <v>1</v>
      </c>
      <c r="F181">
        <v>0</v>
      </c>
      <c r="G181">
        <v>2</v>
      </c>
      <c r="H181" t="str">
        <f>IF(Demographics[[#This Row],[DOB]]&gt;10000000, TEXT(Demographics[[#This Row],[DOB]],0),CONCATENATE("0",TEXT(Demographics[[#This Row],[DOB]],0)))</f>
        <v>11051985</v>
      </c>
      <c r="I181" s="4">
        <f ca="1">IFERROR((VALUE(TODAY()-DATE(RIGHT(Demographics[[#This Row],[DOB - Fixed]],4),MID(Demographics[[#This Row],[DOB - Fixed]],3,2),LEFT(Demographics[[#This Row],[DOB - Fixed]],2))))/365,0)</f>
        <v>38.353424657534248</v>
      </c>
      <c r="J181">
        <f>VLOOKUP(Demographics[[#This Row],[INCOME LEVEL]],Income[],4,FALSE)</f>
        <v>175</v>
      </c>
      <c r="K181">
        <f>IFERROR(Demographics[[#This Row],[Total monthly income]]/Demographics[[#This Row],[FAMILY SIZE]], 0)</f>
        <v>35</v>
      </c>
    </row>
    <row r="182" spans="1:11" x14ac:dyDescent="0.2">
      <c r="A182">
        <v>16551557</v>
      </c>
      <c r="B182">
        <v>10051985</v>
      </c>
      <c r="C182">
        <v>7</v>
      </c>
      <c r="D182">
        <v>1</v>
      </c>
      <c r="E182">
        <v>1</v>
      </c>
      <c r="F182">
        <v>4</v>
      </c>
      <c r="G182">
        <v>2</v>
      </c>
      <c r="H182" t="str">
        <f>IF(Demographics[[#This Row],[DOB]]&gt;10000000, TEXT(Demographics[[#This Row],[DOB]],0),CONCATENATE("0",TEXT(Demographics[[#This Row],[DOB]],0)))</f>
        <v>10051985</v>
      </c>
      <c r="I182" s="4">
        <f ca="1">IFERROR((VALUE(TODAY()-DATE(RIGHT(Demographics[[#This Row],[DOB - Fixed]],4),MID(Demographics[[#This Row],[DOB - Fixed]],3,2),LEFT(Demographics[[#This Row],[DOB - Fixed]],2))))/365,0)</f>
        <v>38.356164383561641</v>
      </c>
      <c r="J182">
        <f>VLOOKUP(Demographics[[#This Row],[INCOME LEVEL]],Income[],4,FALSE)</f>
        <v>175</v>
      </c>
      <c r="K182">
        <f>IFERROR(Demographics[[#This Row],[Total monthly income]]/Demographics[[#This Row],[FAMILY SIZE]], 0)</f>
        <v>25</v>
      </c>
    </row>
    <row r="183" spans="1:11" x14ac:dyDescent="0.2">
      <c r="A183">
        <v>19902743</v>
      </c>
      <c r="B183">
        <v>28061985</v>
      </c>
      <c r="C183">
        <v>3</v>
      </c>
      <c r="D183">
        <v>1</v>
      </c>
      <c r="E183">
        <v>1</v>
      </c>
      <c r="F183">
        <v>4</v>
      </c>
      <c r="G183">
        <v>4</v>
      </c>
      <c r="H183" t="str">
        <f>IF(Demographics[[#This Row],[DOB]]&gt;10000000, TEXT(Demographics[[#This Row],[DOB]],0),CONCATENATE("0",TEXT(Demographics[[#This Row],[DOB]],0)))</f>
        <v>28061985</v>
      </c>
      <c r="I183" s="4">
        <f ca="1">IFERROR((VALUE(TODAY()-DATE(RIGHT(Demographics[[#This Row],[DOB - Fixed]],4),MID(Demographics[[#This Row],[DOB - Fixed]],3,2),LEFT(Demographics[[#This Row],[DOB - Fixed]],2))))/365,0)</f>
        <v>38.221917808219175</v>
      </c>
      <c r="J183">
        <f>VLOOKUP(Demographics[[#This Row],[INCOME LEVEL]],Income[],4,FALSE)</f>
        <v>175</v>
      </c>
      <c r="K183">
        <f>IFERROR(Demographics[[#This Row],[Total monthly income]]/Demographics[[#This Row],[FAMILY SIZE]], 0)</f>
        <v>58.333333333333336</v>
      </c>
    </row>
    <row r="184" spans="1:11" x14ac:dyDescent="0.2">
      <c r="A184">
        <v>8168789</v>
      </c>
      <c r="B184">
        <v>22071985</v>
      </c>
      <c r="C184">
        <v>2</v>
      </c>
      <c r="D184">
        <v>0</v>
      </c>
      <c r="E184">
        <v>1</v>
      </c>
      <c r="F184">
        <v>5</v>
      </c>
      <c r="G184">
        <v>5</v>
      </c>
      <c r="H184" t="str">
        <f>IF(Demographics[[#This Row],[DOB]]&gt;10000000, TEXT(Demographics[[#This Row],[DOB]],0),CONCATENATE("0",TEXT(Demographics[[#This Row],[DOB]],0)))</f>
        <v>22071985</v>
      </c>
      <c r="I184" s="4">
        <f ca="1">IFERROR((VALUE(TODAY()-DATE(RIGHT(Demographics[[#This Row],[DOB - Fixed]],4),MID(Demographics[[#This Row],[DOB - Fixed]],3,2),LEFT(Demographics[[#This Row],[DOB - Fixed]],2))))/365,0)</f>
        <v>38.156164383561645</v>
      </c>
      <c r="J184">
        <f>VLOOKUP(Demographics[[#This Row],[INCOME LEVEL]],Income[],4,FALSE)</f>
        <v>175</v>
      </c>
      <c r="K184">
        <f>IFERROR(Demographics[[#This Row],[Total monthly income]]/Demographics[[#This Row],[FAMILY SIZE]], 0)</f>
        <v>87.5</v>
      </c>
    </row>
    <row r="185" spans="1:11" x14ac:dyDescent="0.2">
      <c r="A185">
        <v>9669667</v>
      </c>
      <c r="B185">
        <v>2081985</v>
      </c>
      <c r="C185">
        <v>6</v>
      </c>
      <c r="D185">
        <v>2</v>
      </c>
      <c r="E185">
        <v>2</v>
      </c>
      <c r="F185">
        <v>4</v>
      </c>
      <c r="G185">
        <v>8</v>
      </c>
      <c r="H185" t="str">
        <f>IF(Demographics[[#This Row],[DOB]]&gt;10000000, TEXT(Demographics[[#This Row],[DOB]],0),CONCATENATE("0",TEXT(Demographics[[#This Row],[DOB]],0)))</f>
        <v>02081985</v>
      </c>
      <c r="I185" s="4">
        <f ca="1">IFERROR((VALUE(TODAY()-DATE(RIGHT(Demographics[[#This Row],[DOB - Fixed]],4),MID(Demographics[[#This Row],[DOB - Fixed]],3,2),LEFT(Demographics[[#This Row],[DOB - Fixed]],2))))/365,0)</f>
        <v>38.126027397260273</v>
      </c>
      <c r="J185">
        <f>VLOOKUP(Demographics[[#This Row],[INCOME LEVEL]],Income[],4,FALSE)</f>
        <v>697.5</v>
      </c>
      <c r="K185">
        <f>IFERROR(Demographics[[#This Row],[Total monthly income]]/Demographics[[#This Row],[FAMILY SIZE]], 0)</f>
        <v>116.25</v>
      </c>
    </row>
    <row r="186" spans="1:11" x14ac:dyDescent="0.2">
      <c r="A186">
        <v>10737679</v>
      </c>
      <c r="B186">
        <v>4081985</v>
      </c>
      <c r="C186">
        <v>4</v>
      </c>
      <c r="D186">
        <v>1</v>
      </c>
      <c r="E186">
        <v>3</v>
      </c>
      <c r="F186">
        <v>2</v>
      </c>
      <c r="G186">
        <v>2</v>
      </c>
      <c r="H186" t="str">
        <f>IF(Demographics[[#This Row],[DOB]]&gt;10000000, TEXT(Demographics[[#This Row],[DOB]],0),CONCATENATE("0",TEXT(Demographics[[#This Row],[DOB]],0)))</f>
        <v>04081985</v>
      </c>
      <c r="I186" s="4">
        <f ca="1">IFERROR((VALUE(TODAY()-DATE(RIGHT(Demographics[[#This Row],[DOB - Fixed]],4),MID(Demographics[[#This Row],[DOB - Fixed]],3,2),LEFT(Demographics[[#This Row],[DOB - Fixed]],2))))/365,0)</f>
        <v>38.12054794520548</v>
      </c>
      <c r="J186">
        <f>VLOOKUP(Demographics[[#This Row],[INCOME LEVEL]],Income[],4,FALSE)</f>
        <v>1397.5</v>
      </c>
      <c r="K186">
        <f>IFERROR(Demographics[[#This Row],[Total monthly income]]/Demographics[[#This Row],[FAMILY SIZE]], 0)</f>
        <v>349.375</v>
      </c>
    </row>
    <row r="187" spans="1:11" x14ac:dyDescent="0.2">
      <c r="A187">
        <v>17477129</v>
      </c>
      <c r="B187">
        <v>28081985</v>
      </c>
      <c r="C187">
        <v>6</v>
      </c>
      <c r="D187">
        <v>2</v>
      </c>
      <c r="E187">
        <v>1</v>
      </c>
      <c r="F187">
        <v>4</v>
      </c>
      <c r="G187">
        <v>3</v>
      </c>
      <c r="H187" t="str">
        <f>IF(Demographics[[#This Row],[DOB]]&gt;10000000, TEXT(Demographics[[#This Row],[DOB]],0),CONCATENATE("0",TEXT(Demographics[[#This Row],[DOB]],0)))</f>
        <v>28081985</v>
      </c>
      <c r="I187" s="4">
        <f ca="1">IFERROR((VALUE(TODAY()-DATE(RIGHT(Demographics[[#This Row],[DOB - Fixed]],4),MID(Demographics[[#This Row],[DOB - Fixed]],3,2),LEFT(Demographics[[#This Row],[DOB - Fixed]],2))))/365,0)</f>
        <v>38.054794520547944</v>
      </c>
      <c r="J187">
        <f>VLOOKUP(Demographics[[#This Row],[INCOME LEVEL]],Income[],4,FALSE)</f>
        <v>175</v>
      </c>
      <c r="K187">
        <f>IFERROR(Demographics[[#This Row],[Total monthly income]]/Demographics[[#This Row],[FAMILY SIZE]], 0)</f>
        <v>29.166666666666668</v>
      </c>
    </row>
    <row r="188" spans="1:11" x14ac:dyDescent="0.2">
      <c r="A188">
        <v>12165691</v>
      </c>
      <c r="B188">
        <v>6091985</v>
      </c>
      <c r="C188">
        <v>6</v>
      </c>
      <c r="D188">
        <v>1</v>
      </c>
      <c r="E188">
        <v>1</v>
      </c>
      <c r="F188">
        <v>5</v>
      </c>
      <c r="G188">
        <v>3</v>
      </c>
      <c r="H188" t="str">
        <f>IF(Demographics[[#This Row],[DOB]]&gt;10000000, TEXT(Demographics[[#This Row],[DOB]],0),CONCATENATE("0",TEXT(Demographics[[#This Row],[DOB]],0)))</f>
        <v>06091985</v>
      </c>
      <c r="I188" s="4">
        <f ca="1">IFERROR((VALUE(TODAY()-DATE(RIGHT(Demographics[[#This Row],[DOB - Fixed]],4),MID(Demographics[[#This Row],[DOB - Fixed]],3,2),LEFT(Demographics[[#This Row],[DOB - Fixed]],2))))/365,0)</f>
        <v>38.030136986301372</v>
      </c>
      <c r="J188">
        <f>VLOOKUP(Demographics[[#This Row],[INCOME LEVEL]],Income[],4,FALSE)</f>
        <v>175</v>
      </c>
      <c r="K188">
        <f>IFERROR(Demographics[[#This Row],[Total monthly income]]/Demographics[[#This Row],[FAMILY SIZE]], 0)</f>
        <v>29.166666666666668</v>
      </c>
    </row>
    <row r="189" spans="1:11" x14ac:dyDescent="0.2">
      <c r="A189">
        <v>6494043</v>
      </c>
      <c r="B189">
        <v>19091985</v>
      </c>
      <c r="C189">
        <v>4</v>
      </c>
      <c r="D189">
        <v>1</v>
      </c>
      <c r="E189">
        <v>1</v>
      </c>
      <c r="F189">
        <v>5</v>
      </c>
      <c r="G189">
        <v>5</v>
      </c>
      <c r="H189" t="str">
        <f>IF(Demographics[[#This Row],[DOB]]&gt;10000000, TEXT(Demographics[[#This Row],[DOB]],0),CONCATENATE("0",TEXT(Demographics[[#This Row],[DOB]],0)))</f>
        <v>19091985</v>
      </c>
      <c r="I189" s="4">
        <f ca="1">IFERROR((VALUE(TODAY()-DATE(RIGHT(Demographics[[#This Row],[DOB - Fixed]],4),MID(Demographics[[#This Row],[DOB - Fixed]],3,2),LEFT(Demographics[[#This Row],[DOB - Fixed]],2))))/365,0)</f>
        <v>37.994520547945207</v>
      </c>
      <c r="J189">
        <f>VLOOKUP(Demographics[[#This Row],[INCOME LEVEL]],Income[],4,FALSE)</f>
        <v>175</v>
      </c>
      <c r="K189">
        <f>IFERROR(Demographics[[#This Row],[Total monthly income]]/Demographics[[#This Row],[FAMILY SIZE]], 0)</f>
        <v>43.75</v>
      </c>
    </row>
    <row r="190" spans="1:11" x14ac:dyDescent="0.2">
      <c r="A190">
        <v>16886595</v>
      </c>
      <c r="B190">
        <v>12101985</v>
      </c>
      <c r="C190">
        <v>4</v>
      </c>
      <c r="D190">
        <v>1</v>
      </c>
      <c r="E190">
        <v>1</v>
      </c>
      <c r="F190">
        <v>3</v>
      </c>
      <c r="G190">
        <v>3</v>
      </c>
      <c r="H190" t="str">
        <f>IF(Demographics[[#This Row],[DOB]]&gt;10000000, TEXT(Demographics[[#This Row],[DOB]],0),CONCATENATE("0",TEXT(Demographics[[#This Row],[DOB]],0)))</f>
        <v>12101985</v>
      </c>
      <c r="I190" s="4">
        <f ca="1">IFERROR((VALUE(TODAY()-DATE(RIGHT(Demographics[[#This Row],[DOB - Fixed]],4),MID(Demographics[[#This Row],[DOB - Fixed]],3,2),LEFT(Demographics[[#This Row],[DOB - Fixed]],2))))/365,0)</f>
        <v>37.93150684931507</v>
      </c>
      <c r="J190">
        <f>VLOOKUP(Demographics[[#This Row],[INCOME LEVEL]],Income[],4,FALSE)</f>
        <v>175</v>
      </c>
      <c r="K190">
        <f>IFERROR(Demographics[[#This Row],[Total monthly income]]/Demographics[[#This Row],[FAMILY SIZE]], 0)</f>
        <v>43.75</v>
      </c>
    </row>
    <row r="191" spans="1:11" x14ac:dyDescent="0.2">
      <c r="A191">
        <v>8775596</v>
      </c>
      <c r="B191">
        <v>15101985</v>
      </c>
      <c r="C191">
        <v>4</v>
      </c>
      <c r="D191">
        <v>1</v>
      </c>
      <c r="E191">
        <v>1</v>
      </c>
      <c r="F191">
        <v>2</v>
      </c>
      <c r="G191">
        <v>4</v>
      </c>
      <c r="H191" t="str">
        <f>IF(Demographics[[#This Row],[DOB]]&gt;10000000, TEXT(Demographics[[#This Row],[DOB]],0),CONCATENATE("0",TEXT(Demographics[[#This Row],[DOB]],0)))</f>
        <v>15101985</v>
      </c>
      <c r="I191" s="4">
        <f ca="1">IFERROR((VALUE(TODAY()-DATE(RIGHT(Demographics[[#This Row],[DOB - Fixed]],4),MID(Demographics[[#This Row],[DOB - Fixed]],3,2),LEFT(Demographics[[#This Row],[DOB - Fixed]],2))))/365,0)</f>
        <v>37.923287671232877</v>
      </c>
      <c r="J191">
        <f>VLOOKUP(Demographics[[#This Row],[INCOME LEVEL]],Income[],4,FALSE)</f>
        <v>175</v>
      </c>
      <c r="K191">
        <f>IFERROR(Demographics[[#This Row],[Total monthly income]]/Demographics[[#This Row],[FAMILY SIZE]], 0)</f>
        <v>43.75</v>
      </c>
    </row>
    <row r="192" spans="1:11" x14ac:dyDescent="0.2">
      <c r="A192">
        <v>7908865</v>
      </c>
      <c r="B192">
        <v>26121985</v>
      </c>
      <c r="C192">
        <v>5</v>
      </c>
      <c r="D192">
        <v>1</v>
      </c>
      <c r="E192">
        <v>3</v>
      </c>
      <c r="F192">
        <v>8</v>
      </c>
      <c r="G192">
        <v>8</v>
      </c>
      <c r="H192" t="str">
        <f>IF(Demographics[[#This Row],[DOB]]&gt;10000000, TEXT(Demographics[[#This Row],[DOB]],0),CONCATENATE("0",TEXT(Demographics[[#This Row],[DOB]],0)))</f>
        <v>26121985</v>
      </c>
      <c r="I192" s="4">
        <f ca="1">IFERROR((VALUE(TODAY()-DATE(RIGHT(Demographics[[#This Row],[DOB - Fixed]],4),MID(Demographics[[#This Row],[DOB - Fixed]],3,2),LEFT(Demographics[[#This Row],[DOB - Fixed]],2))))/365,0)</f>
        <v>37.726027397260275</v>
      </c>
      <c r="J192">
        <f>VLOOKUP(Demographics[[#This Row],[INCOME LEVEL]],Income[],4,FALSE)</f>
        <v>1397.5</v>
      </c>
      <c r="K192">
        <f>IFERROR(Demographics[[#This Row],[Total monthly income]]/Demographics[[#This Row],[FAMILY SIZE]], 0)</f>
        <v>279.5</v>
      </c>
    </row>
    <row r="193" spans="1:11" x14ac:dyDescent="0.2">
      <c r="A193">
        <v>3536619</v>
      </c>
      <c r="B193">
        <v>9011986</v>
      </c>
      <c r="C193">
        <v>2</v>
      </c>
      <c r="D193">
        <v>1</v>
      </c>
      <c r="E193">
        <v>1</v>
      </c>
      <c r="F193">
        <v>5</v>
      </c>
      <c r="G193">
        <v>5</v>
      </c>
      <c r="H193" t="str">
        <f>IF(Demographics[[#This Row],[DOB]]&gt;10000000, TEXT(Demographics[[#This Row],[DOB]],0),CONCATENATE("0",TEXT(Demographics[[#This Row],[DOB]],0)))</f>
        <v>09011986</v>
      </c>
      <c r="I193" s="4">
        <f ca="1">IFERROR((VALUE(TODAY()-DATE(RIGHT(Demographics[[#This Row],[DOB - Fixed]],4),MID(Demographics[[#This Row],[DOB - Fixed]],3,2),LEFT(Demographics[[#This Row],[DOB - Fixed]],2))))/365,0)</f>
        <v>37.68767123287671</v>
      </c>
      <c r="J193">
        <f>VLOOKUP(Demographics[[#This Row],[INCOME LEVEL]],Income[],4,FALSE)</f>
        <v>175</v>
      </c>
      <c r="K193">
        <f>IFERROR(Demographics[[#This Row],[Total monthly income]]/Demographics[[#This Row],[FAMILY SIZE]], 0)</f>
        <v>87.5</v>
      </c>
    </row>
    <row r="194" spans="1:11" x14ac:dyDescent="0.2">
      <c r="A194">
        <v>15212167</v>
      </c>
      <c r="B194">
        <v>28021986</v>
      </c>
      <c r="C194">
        <v>4</v>
      </c>
      <c r="D194">
        <v>1</v>
      </c>
      <c r="E194">
        <v>1</v>
      </c>
      <c r="F194">
        <v>2</v>
      </c>
      <c r="G194">
        <v>2</v>
      </c>
      <c r="H194" t="str">
        <f>IF(Demographics[[#This Row],[DOB]]&gt;10000000, TEXT(Demographics[[#This Row],[DOB]],0),CONCATENATE("0",TEXT(Demographics[[#This Row],[DOB]],0)))</f>
        <v>28021986</v>
      </c>
      <c r="I194" s="4">
        <f ca="1">IFERROR((VALUE(TODAY()-DATE(RIGHT(Demographics[[#This Row],[DOB - Fixed]],4),MID(Demographics[[#This Row],[DOB - Fixed]],3,2),LEFT(Demographics[[#This Row],[DOB - Fixed]],2))))/365,0)</f>
        <v>37.550684931506851</v>
      </c>
      <c r="J194">
        <f>VLOOKUP(Demographics[[#This Row],[INCOME LEVEL]],Income[],4,FALSE)</f>
        <v>175</v>
      </c>
      <c r="K194">
        <f>IFERROR(Demographics[[#This Row],[Total monthly income]]/Demographics[[#This Row],[FAMILY SIZE]], 0)</f>
        <v>43.75</v>
      </c>
    </row>
    <row r="195" spans="1:11" x14ac:dyDescent="0.2">
      <c r="A195">
        <v>20653791</v>
      </c>
      <c r="B195">
        <v>18101985</v>
      </c>
      <c r="C195">
        <v>4</v>
      </c>
      <c r="D195">
        <v>0</v>
      </c>
      <c r="E195">
        <v>1</v>
      </c>
      <c r="F195">
        <v>4</v>
      </c>
      <c r="G195">
        <v>4</v>
      </c>
      <c r="H195" t="str">
        <f>IF(Demographics[[#This Row],[DOB]]&gt;10000000, TEXT(Demographics[[#This Row],[DOB]],0),CONCATENATE("0",TEXT(Demographics[[#This Row],[DOB]],0)))</f>
        <v>18101985</v>
      </c>
      <c r="I195" s="4">
        <f ca="1">IFERROR((VALUE(TODAY()-DATE(RIGHT(Demographics[[#This Row],[DOB - Fixed]],4),MID(Demographics[[#This Row],[DOB - Fixed]],3,2),LEFT(Demographics[[#This Row],[DOB - Fixed]],2))))/365,0)</f>
        <v>37.915068493150685</v>
      </c>
      <c r="J195">
        <f>VLOOKUP(Demographics[[#This Row],[INCOME LEVEL]],Income[],4,FALSE)</f>
        <v>175</v>
      </c>
      <c r="K195">
        <f>IFERROR(Demographics[[#This Row],[Total monthly income]]/Demographics[[#This Row],[FAMILY SIZE]], 0)</f>
        <v>43.75</v>
      </c>
    </row>
    <row r="196" spans="1:11" x14ac:dyDescent="0.2">
      <c r="A196">
        <v>9770938</v>
      </c>
      <c r="B196">
        <v>23031986</v>
      </c>
      <c r="C196">
        <v>4</v>
      </c>
      <c r="D196">
        <v>2</v>
      </c>
      <c r="E196">
        <v>1</v>
      </c>
      <c r="F196">
        <v>0</v>
      </c>
      <c r="G196">
        <v>5</v>
      </c>
      <c r="H196" t="str">
        <f>IF(Demographics[[#This Row],[DOB]]&gt;10000000, TEXT(Demographics[[#This Row],[DOB]],0),CONCATENATE("0",TEXT(Demographics[[#This Row],[DOB]],0)))</f>
        <v>23031986</v>
      </c>
      <c r="I196" s="4">
        <f ca="1">IFERROR((VALUE(TODAY()-DATE(RIGHT(Demographics[[#This Row],[DOB - Fixed]],4),MID(Demographics[[#This Row],[DOB - Fixed]],3,2),LEFT(Demographics[[#This Row],[DOB - Fixed]],2))))/365,0)</f>
        <v>37.487671232876714</v>
      </c>
      <c r="J196">
        <f>VLOOKUP(Demographics[[#This Row],[INCOME LEVEL]],Income[],4,FALSE)</f>
        <v>175</v>
      </c>
      <c r="K196">
        <f>IFERROR(Demographics[[#This Row],[Total monthly income]]/Demographics[[#This Row],[FAMILY SIZE]], 0)</f>
        <v>43.75</v>
      </c>
    </row>
    <row r="197" spans="1:11" x14ac:dyDescent="0.2">
      <c r="A197">
        <v>15486019</v>
      </c>
      <c r="B197">
        <v>16041986</v>
      </c>
      <c r="C197">
        <v>4</v>
      </c>
      <c r="D197">
        <v>1</v>
      </c>
      <c r="E197">
        <v>1</v>
      </c>
      <c r="F197">
        <v>4</v>
      </c>
      <c r="G197">
        <v>3</v>
      </c>
      <c r="H197" t="str">
        <f>IF(Demographics[[#This Row],[DOB]]&gt;10000000, TEXT(Demographics[[#This Row],[DOB]],0),CONCATENATE("0",TEXT(Demographics[[#This Row],[DOB]],0)))</f>
        <v>16041986</v>
      </c>
      <c r="I197" s="4">
        <f ca="1">IFERROR((VALUE(TODAY()-DATE(RIGHT(Demographics[[#This Row],[DOB - Fixed]],4),MID(Demographics[[#This Row],[DOB - Fixed]],3,2),LEFT(Demographics[[#This Row],[DOB - Fixed]],2))))/365,0)</f>
        <v>37.421917808219177</v>
      </c>
      <c r="J197">
        <f>VLOOKUP(Demographics[[#This Row],[INCOME LEVEL]],Income[],4,FALSE)</f>
        <v>175</v>
      </c>
      <c r="K197">
        <f>IFERROR(Demographics[[#This Row],[Total monthly income]]/Demographics[[#This Row],[FAMILY SIZE]], 0)</f>
        <v>43.75</v>
      </c>
    </row>
    <row r="198" spans="1:11" x14ac:dyDescent="0.2">
      <c r="A198">
        <v>14316974</v>
      </c>
      <c r="B198">
        <v>16041986</v>
      </c>
      <c r="C198">
        <v>3</v>
      </c>
      <c r="D198">
        <v>1</v>
      </c>
      <c r="E198">
        <v>1</v>
      </c>
      <c r="F198">
        <v>2</v>
      </c>
      <c r="G198">
        <v>4</v>
      </c>
      <c r="H198" t="str">
        <f>IF(Demographics[[#This Row],[DOB]]&gt;10000000, TEXT(Demographics[[#This Row],[DOB]],0),CONCATENATE("0",TEXT(Demographics[[#This Row],[DOB]],0)))</f>
        <v>16041986</v>
      </c>
      <c r="I198" s="4">
        <f ca="1">IFERROR((VALUE(TODAY()-DATE(RIGHT(Demographics[[#This Row],[DOB - Fixed]],4),MID(Demographics[[#This Row],[DOB - Fixed]],3,2),LEFT(Demographics[[#This Row],[DOB - Fixed]],2))))/365,0)</f>
        <v>37.421917808219177</v>
      </c>
      <c r="J198">
        <f>VLOOKUP(Demographics[[#This Row],[INCOME LEVEL]],Income[],4,FALSE)</f>
        <v>175</v>
      </c>
      <c r="K198">
        <f>IFERROR(Demographics[[#This Row],[Total monthly income]]/Demographics[[#This Row],[FAMILY SIZE]], 0)</f>
        <v>58.333333333333336</v>
      </c>
    </row>
    <row r="199" spans="1:11" x14ac:dyDescent="0.2">
      <c r="A199">
        <v>1701842</v>
      </c>
      <c r="B199">
        <v>12051986</v>
      </c>
      <c r="C199">
        <v>5</v>
      </c>
      <c r="D199">
        <v>2</v>
      </c>
      <c r="E199">
        <v>2</v>
      </c>
      <c r="F199">
        <v>9</v>
      </c>
      <c r="G199">
        <v>7</v>
      </c>
      <c r="H199" t="str">
        <f>IF(Demographics[[#This Row],[DOB]]&gt;10000000, TEXT(Demographics[[#This Row],[DOB]],0),CONCATENATE("0",TEXT(Demographics[[#This Row],[DOB]],0)))</f>
        <v>12051986</v>
      </c>
      <c r="I199" s="4">
        <f ca="1">IFERROR((VALUE(TODAY()-DATE(RIGHT(Demographics[[#This Row],[DOB - Fixed]],4),MID(Demographics[[#This Row],[DOB - Fixed]],3,2),LEFT(Demographics[[#This Row],[DOB - Fixed]],2))))/365,0)</f>
        <v>37.350684931506848</v>
      </c>
      <c r="J199">
        <f>VLOOKUP(Demographics[[#This Row],[INCOME LEVEL]],Income[],4,FALSE)</f>
        <v>697.5</v>
      </c>
      <c r="K199">
        <f>IFERROR(Demographics[[#This Row],[Total monthly income]]/Demographics[[#This Row],[FAMILY SIZE]], 0)</f>
        <v>139.5</v>
      </c>
    </row>
    <row r="200" spans="1:11" x14ac:dyDescent="0.2">
      <c r="A200">
        <v>24148776</v>
      </c>
      <c r="B200">
        <v>16051986</v>
      </c>
      <c r="C200">
        <v>4</v>
      </c>
      <c r="D200">
        <v>1</v>
      </c>
      <c r="E200">
        <v>1</v>
      </c>
      <c r="F200">
        <v>8</v>
      </c>
      <c r="G200">
        <v>2</v>
      </c>
      <c r="H200" t="str">
        <f>IF(Demographics[[#This Row],[DOB]]&gt;10000000, TEXT(Demographics[[#This Row],[DOB]],0),CONCATENATE("0",TEXT(Demographics[[#This Row],[DOB]],0)))</f>
        <v>16051986</v>
      </c>
      <c r="I200" s="4">
        <f ca="1">IFERROR((VALUE(TODAY()-DATE(RIGHT(Demographics[[#This Row],[DOB - Fixed]],4),MID(Demographics[[#This Row],[DOB - Fixed]],3,2),LEFT(Demographics[[#This Row],[DOB - Fixed]],2))))/365,0)</f>
        <v>37.339726027397262</v>
      </c>
      <c r="J200">
        <f>VLOOKUP(Demographics[[#This Row],[INCOME LEVEL]],Income[],4,FALSE)</f>
        <v>175</v>
      </c>
      <c r="K200">
        <f>IFERROR(Demographics[[#This Row],[Total monthly income]]/Demographics[[#This Row],[FAMILY SIZE]], 0)</f>
        <v>43.75</v>
      </c>
    </row>
    <row r="201" spans="1:11" x14ac:dyDescent="0.2">
      <c r="A201">
        <v>5889598</v>
      </c>
      <c r="B201">
        <v>12051986</v>
      </c>
      <c r="C201">
        <v>5</v>
      </c>
      <c r="D201">
        <v>1</v>
      </c>
      <c r="E201">
        <v>1</v>
      </c>
      <c r="F201">
        <v>7</v>
      </c>
      <c r="G201">
        <v>4</v>
      </c>
      <c r="H201" t="str">
        <f>IF(Demographics[[#This Row],[DOB]]&gt;10000000, TEXT(Demographics[[#This Row],[DOB]],0),CONCATENATE("0",TEXT(Demographics[[#This Row],[DOB]],0)))</f>
        <v>12051986</v>
      </c>
      <c r="I201" s="4">
        <f ca="1">IFERROR((VALUE(TODAY()-DATE(RIGHT(Demographics[[#This Row],[DOB - Fixed]],4),MID(Demographics[[#This Row],[DOB - Fixed]],3,2),LEFT(Demographics[[#This Row],[DOB - Fixed]],2))))/365,0)</f>
        <v>37.350684931506848</v>
      </c>
      <c r="J201">
        <f>VLOOKUP(Demographics[[#This Row],[INCOME LEVEL]],Income[],4,FALSE)</f>
        <v>175</v>
      </c>
      <c r="K201">
        <f>IFERROR(Demographics[[#This Row],[Total monthly income]]/Demographics[[#This Row],[FAMILY SIZE]], 0)</f>
        <v>35</v>
      </c>
    </row>
    <row r="202" spans="1:11" x14ac:dyDescent="0.2">
      <c r="A202">
        <v>12933634</v>
      </c>
      <c r="B202">
        <v>21051986</v>
      </c>
      <c r="C202">
        <v>4</v>
      </c>
      <c r="D202">
        <v>3</v>
      </c>
      <c r="E202">
        <v>1</v>
      </c>
      <c r="F202">
        <v>4</v>
      </c>
      <c r="G202">
        <v>4</v>
      </c>
      <c r="H202" t="str">
        <f>IF(Demographics[[#This Row],[DOB]]&gt;10000000, TEXT(Demographics[[#This Row],[DOB]],0),CONCATENATE("0",TEXT(Demographics[[#This Row],[DOB]],0)))</f>
        <v>21051986</v>
      </c>
      <c r="I202" s="4">
        <f ca="1">IFERROR((VALUE(TODAY()-DATE(RIGHT(Demographics[[#This Row],[DOB - Fixed]],4),MID(Demographics[[#This Row],[DOB - Fixed]],3,2),LEFT(Demographics[[#This Row],[DOB - Fixed]],2))))/365,0)</f>
        <v>37.326027397260276</v>
      </c>
      <c r="J202">
        <f>VLOOKUP(Demographics[[#This Row],[INCOME LEVEL]],Income[],4,FALSE)</f>
        <v>175</v>
      </c>
      <c r="K202">
        <f>IFERROR(Demographics[[#This Row],[Total monthly income]]/Demographics[[#This Row],[FAMILY SIZE]], 0)</f>
        <v>43.75</v>
      </c>
    </row>
    <row r="203" spans="1:11" x14ac:dyDescent="0.2">
      <c r="A203">
        <v>17536652</v>
      </c>
      <c r="B203">
        <v>26051986</v>
      </c>
      <c r="C203">
        <v>3</v>
      </c>
      <c r="D203">
        <v>1</v>
      </c>
      <c r="E203">
        <v>1</v>
      </c>
      <c r="F203">
        <v>4</v>
      </c>
      <c r="G203">
        <v>2</v>
      </c>
      <c r="H203" t="str">
        <f>IF(Demographics[[#This Row],[DOB]]&gt;10000000, TEXT(Demographics[[#This Row],[DOB]],0),CONCATENATE("0",TEXT(Demographics[[#This Row],[DOB]],0)))</f>
        <v>26051986</v>
      </c>
      <c r="I203" s="4">
        <f ca="1">IFERROR((VALUE(TODAY()-DATE(RIGHT(Demographics[[#This Row],[DOB - Fixed]],4),MID(Demographics[[#This Row],[DOB - Fixed]],3,2),LEFT(Demographics[[#This Row],[DOB - Fixed]],2))))/365,0)</f>
        <v>37.31232876712329</v>
      </c>
      <c r="J203">
        <f>VLOOKUP(Demographics[[#This Row],[INCOME LEVEL]],Income[],4,FALSE)</f>
        <v>175</v>
      </c>
      <c r="K203">
        <f>IFERROR(Demographics[[#This Row],[Total monthly income]]/Demographics[[#This Row],[FAMILY SIZE]], 0)</f>
        <v>58.333333333333336</v>
      </c>
    </row>
    <row r="204" spans="1:11" x14ac:dyDescent="0.2">
      <c r="A204">
        <v>548130</v>
      </c>
      <c r="B204">
        <v>28051986</v>
      </c>
      <c r="C204">
        <v>3</v>
      </c>
      <c r="D204">
        <v>0</v>
      </c>
      <c r="E204">
        <v>1</v>
      </c>
      <c r="F204">
        <v>5</v>
      </c>
      <c r="G204">
        <v>2</v>
      </c>
      <c r="H204" t="str">
        <f>IF(Demographics[[#This Row],[DOB]]&gt;10000000, TEXT(Demographics[[#This Row],[DOB]],0),CONCATENATE("0",TEXT(Demographics[[#This Row],[DOB]],0)))</f>
        <v>28051986</v>
      </c>
      <c r="I204" s="4">
        <f ca="1">IFERROR((VALUE(TODAY()-DATE(RIGHT(Demographics[[#This Row],[DOB - Fixed]],4),MID(Demographics[[#This Row],[DOB - Fixed]],3,2),LEFT(Demographics[[#This Row],[DOB - Fixed]],2))))/365,0)</f>
        <v>37.30684931506849</v>
      </c>
      <c r="J204">
        <f>VLOOKUP(Demographics[[#This Row],[INCOME LEVEL]],Income[],4,FALSE)</f>
        <v>175</v>
      </c>
      <c r="K204">
        <f>IFERROR(Demographics[[#This Row],[Total monthly income]]/Demographics[[#This Row],[FAMILY SIZE]], 0)</f>
        <v>58.333333333333336</v>
      </c>
    </row>
    <row r="205" spans="1:11" x14ac:dyDescent="0.2">
      <c r="A205">
        <v>14968262</v>
      </c>
      <c r="B205">
        <v>28051986</v>
      </c>
      <c r="C205">
        <v>3</v>
      </c>
      <c r="D205">
        <v>0</v>
      </c>
      <c r="E205">
        <v>1</v>
      </c>
      <c r="F205">
        <v>5</v>
      </c>
      <c r="G205">
        <v>3</v>
      </c>
      <c r="H205" t="str">
        <f>IF(Demographics[[#This Row],[DOB]]&gt;10000000, TEXT(Demographics[[#This Row],[DOB]],0),CONCATENATE("0",TEXT(Demographics[[#This Row],[DOB]],0)))</f>
        <v>28051986</v>
      </c>
      <c r="I205" s="4">
        <f ca="1">IFERROR((VALUE(TODAY()-DATE(RIGHT(Demographics[[#This Row],[DOB - Fixed]],4),MID(Demographics[[#This Row],[DOB - Fixed]],3,2),LEFT(Demographics[[#This Row],[DOB - Fixed]],2))))/365,0)</f>
        <v>37.30684931506849</v>
      </c>
      <c r="J205">
        <f>VLOOKUP(Demographics[[#This Row],[INCOME LEVEL]],Income[],4,FALSE)</f>
        <v>175</v>
      </c>
      <c r="K205">
        <f>IFERROR(Demographics[[#This Row],[Total monthly income]]/Demographics[[#This Row],[FAMILY SIZE]], 0)</f>
        <v>58.333333333333336</v>
      </c>
    </row>
    <row r="206" spans="1:11" x14ac:dyDescent="0.2">
      <c r="A206">
        <v>11865835</v>
      </c>
      <c r="B206">
        <v>27051986</v>
      </c>
      <c r="C206">
        <v>4</v>
      </c>
      <c r="D206">
        <v>0</v>
      </c>
      <c r="E206">
        <v>1</v>
      </c>
      <c r="F206">
        <v>4</v>
      </c>
      <c r="G206">
        <v>2</v>
      </c>
      <c r="H206" t="str">
        <f>IF(Demographics[[#This Row],[DOB]]&gt;10000000, TEXT(Demographics[[#This Row],[DOB]],0),CONCATENATE("0",TEXT(Demographics[[#This Row],[DOB]],0)))</f>
        <v>27051986</v>
      </c>
      <c r="I206" s="4">
        <f ca="1">IFERROR((VALUE(TODAY()-DATE(RIGHT(Demographics[[#This Row],[DOB - Fixed]],4),MID(Demographics[[#This Row],[DOB - Fixed]],3,2),LEFT(Demographics[[#This Row],[DOB - Fixed]],2))))/365,0)</f>
        <v>37.30958904109589</v>
      </c>
      <c r="J206">
        <f>VLOOKUP(Demographics[[#This Row],[INCOME LEVEL]],Income[],4,FALSE)</f>
        <v>175</v>
      </c>
      <c r="K206">
        <f>IFERROR(Demographics[[#This Row],[Total monthly income]]/Demographics[[#This Row],[FAMILY SIZE]], 0)</f>
        <v>43.75</v>
      </c>
    </row>
    <row r="207" spans="1:11" x14ac:dyDescent="0.2">
      <c r="A207">
        <v>19876989</v>
      </c>
      <c r="B207">
        <v>13021986</v>
      </c>
      <c r="C207">
        <v>5</v>
      </c>
      <c r="D207">
        <v>1</v>
      </c>
      <c r="E207">
        <v>1</v>
      </c>
      <c r="F207">
        <v>5</v>
      </c>
      <c r="G207">
        <v>3</v>
      </c>
      <c r="H207" t="str">
        <f>IF(Demographics[[#This Row],[DOB]]&gt;10000000, TEXT(Demographics[[#This Row],[DOB]],0),CONCATENATE("0",TEXT(Demographics[[#This Row],[DOB]],0)))</f>
        <v>13021986</v>
      </c>
      <c r="I207" s="4">
        <f ca="1">IFERROR((VALUE(TODAY()-DATE(RIGHT(Demographics[[#This Row],[DOB - Fixed]],4),MID(Demographics[[#This Row],[DOB - Fixed]],3,2),LEFT(Demographics[[#This Row],[DOB - Fixed]],2))))/365,0)</f>
        <v>37.591780821917808</v>
      </c>
      <c r="J207">
        <f>VLOOKUP(Demographics[[#This Row],[INCOME LEVEL]],Income[],4,FALSE)</f>
        <v>175</v>
      </c>
      <c r="K207">
        <f>IFERROR(Demographics[[#This Row],[Total monthly income]]/Demographics[[#This Row],[FAMILY SIZE]], 0)</f>
        <v>35</v>
      </c>
    </row>
    <row r="208" spans="1:11" x14ac:dyDescent="0.2">
      <c r="A208">
        <v>10797503</v>
      </c>
      <c r="B208">
        <v>16061986</v>
      </c>
      <c r="C208">
        <v>5</v>
      </c>
      <c r="D208">
        <v>1</v>
      </c>
      <c r="E208">
        <v>1</v>
      </c>
      <c r="F208">
        <v>5</v>
      </c>
      <c r="G208">
        <v>5</v>
      </c>
      <c r="H208" t="str">
        <f>IF(Demographics[[#This Row],[DOB]]&gt;10000000, TEXT(Demographics[[#This Row],[DOB]],0),CONCATENATE("0",TEXT(Demographics[[#This Row],[DOB]],0)))</f>
        <v>16061986</v>
      </c>
      <c r="I208" s="4">
        <f ca="1">IFERROR((VALUE(TODAY()-DATE(RIGHT(Demographics[[#This Row],[DOB - Fixed]],4),MID(Demographics[[#This Row],[DOB - Fixed]],3,2),LEFT(Demographics[[#This Row],[DOB - Fixed]],2))))/365,0)</f>
        <v>37.254794520547946</v>
      </c>
      <c r="J208">
        <f>VLOOKUP(Demographics[[#This Row],[INCOME LEVEL]],Income[],4,FALSE)</f>
        <v>175</v>
      </c>
      <c r="K208">
        <f>IFERROR(Demographics[[#This Row],[Total monthly income]]/Demographics[[#This Row],[FAMILY SIZE]], 0)</f>
        <v>35</v>
      </c>
    </row>
    <row r="209" spans="1:11" x14ac:dyDescent="0.2">
      <c r="A209">
        <v>20549603</v>
      </c>
      <c r="B209">
        <v>17101985</v>
      </c>
      <c r="C209">
        <v>3</v>
      </c>
      <c r="D209">
        <v>1</v>
      </c>
      <c r="E209">
        <v>1</v>
      </c>
      <c r="F209">
        <v>10</v>
      </c>
      <c r="G209">
        <v>4</v>
      </c>
      <c r="H209" t="str">
        <f>IF(Demographics[[#This Row],[DOB]]&gt;10000000, TEXT(Demographics[[#This Row],[DOB]],0),CONCATENATE("0",TEXT(Demographics[[#This Row],[DOB]],0)))</f>
        <v>17101985</v>
      </c>
      <c r="I209" s="4">
        <f ca="1">IFERROR((VALUE(TODAY()-DATE(RIGHT(Demographics[[#This Row],[DOB - Fixed]],4),MID(Demographics[[#This Row],[DOB - Fixed]],3,2),LEFT(Demographics[[#This Row],[DOB - Fixed]],2))))/365,0)</f>
        <v>37.917808219178085</v>
      </c>
      <c r="J209">
        <f>VLOOKUP(Demographics[[#This Row],[INCOME LEVEL]],Income[],4,FALSE)</f>
        <v>175</v>
      </c>
      <c r="K209">
        <f>IFERROR(Demographics[[#This Row],[Total monthly income]]/Demographics[[#This Row],[FAMILY SIZE]], 0)</f>
        <v>58.333333333333336</v>
      </c>
    </row>
    <row r="210" spans="1:11" x14ac:dyDescent="0.2">
      <c r="A210">
        <v>1424007</v>
      </c>
      <c r="B210">
        <v>17101985</v>
      </c>
      <c r="C210">
        <v>6</v>
      </c>
      <c r="D210">
        <v>1</v>
      </c>
      <c r="E210">
        <v>1</v>
      </c>
      <c r="F210">
        <v>5</v>
      </c>
      <c r="G210">
        <v>3</v>
      </c>
      <c r="H210" t="str">
        <f>IF(Demographics[[#This Row],[DOB]]&gt;10000000, TEXT(Demographics[[#This Row],[DOB]],0),CONCATENATE("0",TEXT(Demographics[[#This Row],[DOB]],0)))</f>
        <v>17101985</v>
      </c>
      <c r="I210" s="4">
        <f ca="1">IFERROR((VALUE(TODAY()-DATE(RIGHT(Demographics[[#This Row],[DOB - Fixed]],4),MID(Demographics[[#This Row],[DOB - Fixed]],3,2),LEFT(Demographics[[#This Row],[DOB - Fixed]],2))))/365,0)</f>
        <v>37.917808219178085</v>
      </c>
      <c r="J210">
        <f>VLOOKUP(Demographics[[#This Row],[INCOME LEVEL]],Income[],4,FALSE)</f>
        <v>175</v>
      </c>
      <c r="K210">
        <f>IFERROR(Demographics[[#This Row],[Total monthly income]]/Demographics[[#This Row],[FAMILY SIZE]], 0)</f>
        <v>29.166666666666668</v>
      </c>
    </row>
    <row r="211" spans="1:11" x14ac:dyDescent="0.2">
      <c r="A211">
        <v>18415640</v>
      </c>
      <c r="B211">
        <v>5011986</v>
      </c>
      <c r="C211">
        <v>6</v>
      </c>
      <c r="D211">
        <v>2</v>
      </c>
      <c r="E211">
        <v>1</v>
      </c>
      <c r="F211">
        <v>3</v>
      </c>
      <c r="G211">
        <v>3</v>
      </c>
      <c r="H211" t="str">
        <f>IF(Demographics[[#This Row],[DOB]]&gt;10000000, TEXT(Demographics[[#This Row],[DOB]],0),CONCATENATE("0",TEXT(Demographics[[#This Row],[DOB]],0)))</f>
        <v>05011986</v>
      </c>
      <c r="I211" s="4">
        <f ca="1">IFERROR((VALUE(TODAY()-DATE(RIGHT(Demographics[[#This Row],[DOB - Fixed]],4),MID(Demographics[[#This Row],[DOB - Fixed]],3,2),LEFT(Demographics[[#This Row],[DOB - Fixed]],2))))/365,0)</f>
        <v>37.698630136986303</v>
      </c>
      <c r="J211">
        <f>VLOOKUP(Demographics[[#This Row],[INCOME LEVEL]],Income[],4,FALSE)</f>
        <v>175</v>
      </c>
      <c r="K211">
        <f>IFERROR(Demographics[[#This Row],[Total monthly income]]/Demographics[[#This Row],[FAMILY SIZE]], 0)</f>
        <v>29.166666666666668</v>
      </c>
    </row>
    <row r="212" spans="1:11" x14ac:dyDescent="0.2">
      <c r="A212">
        <v>2193773</v>
      </c>
      <c r="B212">
        <v>17101985</v>
      </c>
      <c r="C212">
        <v>4</v>
      </c>
      <c r="D212">
        <v>1</v>
      </c>
      <c r="E212">
        <v>1</v>
      </c>
      <c r="F212">
        <v>4</v>
      </c>
      <c r="G212">
        <v>5</v>
      </c>
      <c r="H212" t="str">
        <f>IF(Demographics[[#This Row],[DOB]]&gt;10000000, TEXT(Demographics[[#This Row],[DOB]],0),CONCATENATE("0",TEXT(Demographics[[#This Row],[DOB]],0)))</f>
        <v>17101985</v>
      </c>
      <c r="I212" s="4">
        <f ca="1">IFERROR((VALUE(TODAY()-DATE(RIGHT(Demographics[[#This Row],[DOB - Fixed]],4),MID(Demographics[[#This Row],[DOB - Fixed]],3,2),LEFT(Demographics[[#This Row],[DOB - Fixed]],2))))/365,0)</f>
        <v>37.917808219178085</v>
      </c>
      <c r="J212">
        <f>VLOOKUP(Demographics[[#This Row],[INCOME LEVEL]],Income[],4,FALSE)</f>
        <v>175</v>
      </c>
      <c r="K212">
        <f>IFERROR(Demographics[[#This Row],[Total monthly income]]/Demographics[[#This Row],[FAMILY SIZE]], 0)</f>
        <v>43.75</v>
      </c>
    </row>
    <row r="213" spans="1:11" x14ac:dyDescent="0.2">
      <c r="A213">
        <v>11925562</v>
      </c>
      <c r="B213">
        <v>19111985</v>
      </c>
      <c r="C213">
        <v>6</v>
      </c>
      <c r="D213">
        <v>1</v>
      </c>
      <c r="E213">
        <v>1</v>
      </c>
      <c r="F213">
        <v>5</v>
      </c>
      <c r="G213">
        <v>5</v>
      </c>
      <c r="H213" t="str">
        <f>IF(Demographics[[#This Row],[DOB]]&gt;10000000, TEXT(Demographics[[#This Row],[DOB]],0),CONCATENATE("0",TEXT(Demographics[[#This Row],[DOB]],0)))</f>
        <v>19111985</v>
      </c>
      <c r="I213" s="4">
        <f ca="1">IFERROR((VALUE(TODAY()-DATE(RIGHT(Demographics[[#This Row],[DOB - Fixed]],4),MID(Demographics[[#This Row],[DOB - Fixed]],3,2),LEFT(Demographics[[#This Row],[DOB - Fixed]],2))))/365,0)</f>
        <v>37.827397260273976</v>
      </c>
      <c r="J213">
        <f>VLOOKUP(Demographics[[#This Row],[INCOME LEVEL]],Income[],4,FALSE)</f>
        <v>175</v>
      </c>
      <c r="K213">
        <f>IFERROR(Demographics[[#This Row],[Total monthly income]]/Demographics[[#This Row],[FAMILY SIZE]], 0)</f>
        <v>29.166666666666668</v>
      </c>
    </row>
    <row r="214" spans="1:11" x14ac:dyDescent="0.2">
      <c r="A214">
        <v>8953072</v>
      </c>
      <c r="B214">
        <v>6011986</v>
      </c>
      <c r="C214">
        <v>4</v>
      </c>
      <c r="D214">
        <v>1</v>
      </c>
      <c r="E214">
        <v>1</v>
      </c>
      <c r="F214">
        <v>5</v>
      </c>
      <c r="G214">
        <v>5</v>
      </c>
      <c r="H214" t="str">
        <f>IF(Demographics[[#This Row],[DOB]]&gt;10000000, TEXT(Demographics[[#This Row],[DOB]],0),CONCATENATE("0",TEXT(Demographics[[#This Row],[DOB]],0)))</f>
        <v>06011986</v>
      </c>
      <c r="I214" s="4">
        <f ca="1">IFERROR((VALUE(TODAY()-DATE(RIGHT(Demographics[[#This Row],[DOB - Fixed]],4),MID(Demographics[[#This Row],[DOB - Fixed]],3,2),LEFT(Demographics[[#This Row],[DOB - Fixed]],2))))/365,0)</f>
        <v>37.695890410958903</v>
      </c>
      <c r="J214">
        <f>VLOOKUP(Demographics[[#This Row],[INCOME LEVEL]],Income[],4,FALSE)</f>
        <v>175</v>
      </c>
      <c r="K214">
        <f>IFERROR(Demographics[[#This Row],[Total monthly income]]/Demographics[[#This Row],[FAMILY SIZE]], 0)</f>
        <v>43.75</v>
      </c>
    </row>
    <row r="215" spans="1:11" x14ac:dyDescent="0.2">
      <c r="A215">
        <v>12337459</v>
      </c>
      <c r="B215">
        <v>10091983</v>
      </c>
      <c r="C215">
        <v>2</v>
      </c>
      <c r="D215">
        <v>1</v>
      </c>
      <c r="E215">
        <v>1</v>
      </c>
      <c r="F215">
        <v>8</v>
      </c>
      <c r="G215">
        <v>9</v>
      </c>
      <c r="H215" t="str">
        <f>IF(Demographics[[#This Row],[DOB]]&gt;10000000, TEXT(Demographics[[#This Row],[DOB]],0),CONCATENATE("0",TEXT(Demographics[[#This Row],[DOB]],0)))</f>
        <v>10091983</v>
      </c>
      <c r="I215" s="4">
        <f ca="1">IFERROR((VALUE(TODAY()-DATE(RIGHT(Demographics[[#This Row],[DOB - Fixed]],4),MID(Demographics[[#This Row],[DOB - Fixed]],3,2),LEFT(Demographics[[#This Row],[DOB - Fixed]],2))))/365,0)</f>
        <v>40.021917808219179</v>
      </c>
      <c r="J215">
        <f>VLOOKUP(Demographics[[#This Row],[INCOME LEVEL]],Income[],4,FALSE)</f>
        <v>175</v>
      </c>
      <c r="K215">
        <f>IFERROR(Demographics[[#This Row],[Total monthly income]]/Demographics[[#This Row],[FAMILY SIZE]], 0)</f>
        <v>87.5</v>
      </c>
    </row>
    <row r="216" spans="1:11" x14ac:dyDescent="0.2">
      <c r="A216">
        <v>20486454</v>
      </c>
      <c r="B216">
        <v>19031986</v>
      </c>
      <c r="C216">
        <v>6</v>
      </c>
      <c r="D216">
        <v>1</v>
      </c>
      <c r="E216">
        <v>1</v>
      </c>
      <c r="F216">
        <v>5</v>
      </c>
      <c r="G216">
        <v>5</v>
      </c>
      <c r="H216" t="str">
        <f>IF(Demographics[[#This Row],[DOB]]&gt;10000000, TEXT(Demographics[[#This Row],[DOB]],0),CONCATENATE("0",TEXT(Demographics[[#This Row],[DOB]],0)))</f>
        <v>19031986</v>
      </c>
      <c r="I216" s="4">
        <f ca="1">IFERROR((VALUE(TODAY()-DATE(RIGHT(Demographics[[#This Row],[DOB - Fixed]],4),MID(Demographics[[#This Row],[DOB - Fixed]],3,2),LEFT(Demographics[[#This Row],[DOB - Fixed]],2))))/365,0)</f>
        <v>37.4986301369863</v>
      </c>
      <c r="J216">
        <f>VLOOKUP(Demographics[[#This Row],[INCOME LEVEL]],Income[],4,FALSE)</f>
        <v>175</v>
      </c>
      <c r="K216">
        <f>IFERROR(Demographics[[#This Row],[Total monthly income]]/Demographics[[#This Row],[FAMILY SIZE]], 0)</f>
        <v>29.166666666666668</v>
      </c>
    </row>
    <row r="217" spans="1:11" x14ac:dyDescent="0.2">
      <c r="A217">
        <v>11542365</v>
      </c>
      <c r="B217">
        <v>5041984</v>
      </c>
      <c r="C217">
        <v>5</v>
      </c>
      <c r="D217">
        <v>1</v>
      </c>
      <c r="E217">
        <v>1</v>
      </c>
      <c r="F217">
        <v>4</v>
      </c>
      <c r="G217">
        <v>4</v>
      </c>
      <c r="H217" t="str">
        <f>IF(Demographics[[#This Row],[DOB]]&gt;10000000, TEXT(Demographics[[#This Row],[DOB]],0),CONCATENATE("0",TEXT(Demographics[[#This Row],[DOB]],0)))</f>
        <v>05041984</v>
      </c>
      <c r="I217" s="4">
        <f ca="1">IFERROR((VALUE(TODAY()-DATE(RIGHT(Demographics[[#This Row],[DOB - Fixed]],4),MID(Demographics[[#This Row],[DOB - Fixed]],3,2),LEFT(Demographics[[#This Row],[DOB - Fixed]],2))))/365,0)</f>
        <v>39.452054794520549</v>
      </c>
      <c r="J217">
        <f>VLOOKUP(Demographics[[#This Row],[INCOME LEVEL]],Income[],4,FALSE)</f>
        <v>175</v>
      </c>
      <c r="K217">
        <f>IFERROR(Demographics[[#This Row],[Total monthly income]]/Demographics[[#This Row],[FAMILY SIZE]], 0)</f>
        <v>35</v>
      </c>
    </row>
    <row r="218" spans="1:11" x14ac:dyDescent="0.2">
      <c r="A218">
        <v>2112157</v>
      </c>
      <c r="B218">
        <v>13061986</v>
      </c>
      <c r="C218">
        <v>5</v>
      </c>
      <c r="D218">
        <v>1</v>
      </c>
      <c r="E218">
        <v>6</v>
      </c>
      <c r="F218">
        <v>9</v>
      </c>
      <c r="G218">
        <v>5</v>
      </c>
      <c r="H218" t="str">
        <f>IF(Demographics[[#This Row],[DOB]]&gt;10000000, TEXT(Demographics[[#This Row],[DOB]],0),CONCATENATE("0",TEXT(Demographics[[#This Row],[DOB]],0)))</f>
        <v>13061986</v>
      </c>
      <c r="I218" s="4">
        <f ca="1">IFERROR((VALUE(TODAY()-DATE(RIGHT(Demographics[[#This Row],[DOB - Fixed]],4),MID(Demographics[[#This Row],[DOB - Fixed]],3,2),LEFT(Demographics[[#This Row],[DOB - Fixed]],2))))/365,0)</f>
        <v>37.263013698630139</v>
      </c>
      <c r="J218">
        <f>VLOOKUP(Demographics[[#This Row],[INCOME LEVEL]],Income[],4,FALSE)</f>
        <v>4000</v>
      </c>
      <c r="K218">
        <f>IFERROR(Demographics[[#This Row],[Total monthly income]]/Demographics[[#This Row],[FAMILY SIZE]], 0)</f>
        <v>800</v>
      </c>
    </row>
    <row r="219" spans="1:11" x14ac:dyDescent="0.2">
      <c r="A219">
        <v>474805</v>
      </c>
      <c r="B219">
        <v>24111986</v>
      </c>
      <c r="C219">
        <v>5</v>
      </c>
      <c r="D219">
        <v>1</v>
      </c>
      <c r="E219">
        <v>3</v>
      </c>
      <c r="F219">
        <v>9</v>
      </c>
      <c r="G219">
        <v>7</v>
      </c>
      <c r="H219" t="str">
        <f>IF(Demographics[[#This Row],[DOB]]&gt;10000000, TEXT(Demographics[[#This Row],[DOB]],0),CONCATENATE("0",TEXT(Demographics[[#This Row],[DOB]],0)))</f>
        <v>24111986</v>
      </c>
      <c r="I219" s="4">
        <f ca="1">IFERROR((VALUE(TODAY()-DATE(RIGHT(Demographics[[#This Row],[DOB - Fixed]],4),MID(Demographics[[#This Row],[DOB - Fixed]],3,2),LEFT(Demographics[[#This Row],[DOB - Fixed]],2))))/365,0)</f>
        <v>36.813698630136983</v>
      </c>
      <c r="J219">
        <f>VLOOKUP(Demographics[[#This Row],[INCOME LEVEL]],Income[],4,FALSE)</f>
        <v>1397.5</v>
      </c>
      <c r="K219">
        <f>IFERROR(Demographics[[#This Row],[Total monthly income]]/Demographics[[#This Row],[FAMILY SIZE]], 0)</f>
        <v>279.5</v>
      </c>
    </row>
    <row r="220" spans="1:11" x14ac:dyDescent="0.2">
      <c r="A220">
        <v>6328040</v>
      </c>
      <c r="B220">
        <v>31071986</v>
      </c>
      <c r="C220">
        <v>8</v>
      </c>
      <c r="D220">
        <v>2</v>
      </c>
      <c r="E220">
        <v>1</v>
      </c>
      <c r="F220">
        <v>2</v>
      </c>
      <c r="G220">
        <v>2</v>
      </c>
      <c r="H220" t="str">
        <f>IF(Demographics[[#This Row],[DOB]]&gt;10000000, TEXT(Demographics[[#This Row],[DOB]],0),CONCATENATE("0",TEXT(Demographics[[#This Row],[DOB]],0)))</f>
        <v>31071986</v>
      </c>
      <c r="I220" s="4">
        <f ca="1">IFERROR((VALUE(TODAY()-DATE(RIGHT(Demographics[[#This Row],[DOB - Fixed]],4),MID(Demographics[[#This Row],[DOB - Fixed]],3,2),LEFT(Demographics[[#This Row],[DOB - Fixed]],2))))/365,0)</f>
        <v>37.131506849315066</v>
      </c>
      <c r="J220">
        <f>VLOOKUP(Demographics[[#This Row],[INCOME LEVEL]],Income[],4,FALSE)</f>
        <v>175</v>
      </c>
      <c r="K220">
        <f>IFERROR(Demographics[[#This Row],[Total monthly income]]/Demographics[[#This Row],[FAMILY SIZE]], 0)</f>
        <v>21.875</v>
      </c>
    </row>
    <row r="221" spans="1:11" x14ac:dyDescent="0.2">
      <c r="A221">
        <v>16575627</v>
      </c>
      <c r="B221">
        <v>19041988</v>
      </c>
      <c r="C221">
        <v>5</v>
      </c>
      <c r="D221">
        <v>0</v>
      </c>
      <c r="E221">
        <v>1</v>
      </c>
      <c r="F221">
        <v>2</v>
      </c>
      <c r="G221">
        <v>2</v>
      </c>
      <c r="H221" t="str">
        <f>IF(Demographics[[#This Row],[DOB]]&gt;10000000, TEXT(Demographics[[#This Row],[DOB]],0),CONCATENATE("0",TEXT(Demographics[[#This Row],[DOB]],0)))</f>
        <v>19041988</v>
      </c>
      <c r="I221" s="4">
        <f ca="1">IFERROR((VALUE(TODAY()-DATE(RIGHT(Demographics[[#This Row],[DOB - Fixed]],4),MID(Demographics[[#This Row],[DOB - Fixed]],3,2),LEFT(Demographics[[#This Row],[DOB - Fixed]],2))))/365,0)</f>
        <v>35.410958904109592</v>
      </c>
      <c r="J221">
        <f>VLOOKUP(Demographics[[#This Row],[INCOME LEVEL]],Income[],4,FALSE)</f>
        <v>175</v>
      </c>
      <c r="K221">
        <f>IFERROR(Demographics[[#This Row],[Total monthly income]]/Demographics[[#This Row],[FAMILY SIZE]], 0)</f>
        <v>35</v>
      </c>
    </row>
    <row r="222" spans="1:11" x14ac:dyDescent="0.2">
      <c r="A222">
        <v>5582344</v>
      </c>
      <c r="B222">
        <v>25071986</v>
      </c>
      <c r="C222">
        <v>5</v>
      </c>
      <c r="D222">
        <v>2</v>
      </c>
      <c r="E222">
        <v>2</v>
      </c>
      <c r="F222">
        <v>7</v>
      </c>
      <c r="G222">
        <v>4</v>
      </c>
      <c r="H222" t="str">
        <f>IF(Demographics[[#This Row],[DOB]]&gt;10000000, TEXT(Demographics[[#This Row],[DOB]],0),CONCATENATE("0",TEXT(Demographics[[#This Row],[DOB]],0)))</f>
        <v>25071986</v>
      </c>
      <c r="I222" s="4">
        <f ca="1">IFERROR((VALUE(TODAY()-DATE(RIGHT(Demographics[[#This Row],[DOB - Fixed]],4),MID(Demographics[[#This Row],[DOB - Fixed]],3,2),LEFT(Demographics[[#This Row],[DOB - Fixed]],2))))/365,0)</f>
        <v>37.147945205479452</v>
      </c>
      <c r="J222">
        <f>VLOOKUP(Demographics[[#This Row],[INCOME LEVEL]],Income[],4,FALSE)</f>
        <v>697.5</v>
      </c>
      <c r="K222">
        <f>IFERROR(Demographics[[#This Row],[Total monthly income]]/Demographics[[#This Row],[FAMILY SIZE]], 0)</f>
        <v>139.5</v>
      </c>
    </row>
    <row r="223" spans="1:11" x14ac:dyDescent="0.2">
      <c r="A223">
        <v>4262906</v>
      </c>
      <c r="B223">
        <v>15041986</v>
      </c>
      <c r="C223">
        <v>3</v>
      </c>
      <c r="D223">
        <v>1</v>
      </c>
      <c r="E223">
        <v>2</v>
      </c>
      <c r="F223">
        <v>7</v>
      </c>
      <c r="G223">
        <v>9</v>
      </c>
      <c r="H223" t="str">
        <f>IF(Demographics[[#This Row],[DOB]]&gt;10000000, TEXT(Demographics[[#This Row],[DOB]],0),CONCATENATE("0",TEXT(Demographics[[#This Row],[DOB]],0)))</f>
        <v>15041986</v>
      </c>
      <c r="I223" s="4">
        <f ca="1">IFERROR((VALUE(TODAY()-DATE(RIGHT(Demographics[[#This Row],[DOB - Fixed]],4),MID(Demographics[[#This Row],[DOB - Fixed]],3,2),LEFT(Demographics[[#This Row],[DOB - Fixed]],2))))/365,0)</f>
        <v>37.424657534246577</v>
      </c>
      <c r="J223">
        <f>VLOOKUP(Demographics[[#This Row],[INCOME LEVEL]],Income[],4,FALSE)</f>
        <v>697.5</v>
      </c>
      <c r="K223">
        <f>IFERROR(Demographics[[#This Row],[Total monthly income]]/Demographics[[#This Row],[FAMILY SIZE]], 0)</f>
        <v>232.5</v>
      </c>
    </row>
    <row r="224" spans="1:11" x14ac:dyDescent="0.2">
      <c r="A224">
        <v>4039068</v>
      </c>
      <c r="B224">
        <v>10091986</v>
      </c>
      <c r="C224">
        <v>5</v>
      </c>
      <c r="D224">
        <v>2</v>
      </c>
      <c r="E224">
        <v>2</v>
      </c>
      <c r="F224">
        <v>5</v>
      </c>
      <c r="G224">
        <v>9</v>
      </c>
      <c r="H224" t="str">
        <f>IF(Demographics[[#This Row],[DOB]]&gt;10000000, TEXT(Demographics[[#This Row],[DOB]],0),CONCATENATE("0",TEXT(Demographics[[#This Row],[DOB]],0)))</f>
        <v>10091986</v>
      </c>
      <c r="I224" s="4">
        <f ca="1">IFERROR((VALUE(TODAY()-DATE(RIGHT(Demographics[[#This Row],[DOB - Fixed]],4),MID(Demographics[[#This Row],[DOB - Fixed]],3,2),LEFT(Demographics[[#This Row],[DOB - Fixed]],2))))/365,0)</f>
        <v>37.019178082191779</v>
      </c>
      <c r="J224">
        <f>VLOOKUP(Demographics[[#This Row],[INCOME LEVEL]],Income[],4,FALSE)</f>
        <v>697.5</v>
      </c>
      <c r="K224">
        <f>IFERROR(Demographics[[#This Row],[Total monthly income]]/Demographics[[#This Row],[FAMILY SIZE]], 0)</f>
        <v>139.5</v>
      </c>
    </row>
    <row r="225" spans="1:11" x14ac:dyDescent="0.2">
      <c r="A225">
        <v>4496875</v>
      </c>
      <c r="B225">
        <v>5101985</v>
      </c>
      <c r="C225">
        <v>5</v>
      </c>
      <c r="D225">
        <v>2</v>
      </c>
      <c r="E225">
        <v>1</v>
      </c>
      <c r="F225">
        <v>3</v>
      </c>
      <c r="G225">
        <v>2</v>
      </c>
      <c r="H225" t="str">
        <f>IF(Demographics[[#This Row],[DOB]]&gt;10000000, TEXT(Demographics[[#This Row],[DOB]],0),CONCATENATE("0",TEXT(Demographics[[#This Row],[DOB]],0)))</f>
        <v>05101985</v>
      </c>
      <c r="I225" s="4">
        <f ca="1">IFERROR((VALUE(TODAY()-DATE(RIGHT(Demographics[[#This Row],[DOB - Fixed]],4),MID(Demographics[[#This Row],[DOB - Fixed]],3,2),LEFT(Demographics[[#This Row],[DOB - Fixed]],2))))/365,0)</f>
        <v>37.950684931506849</v>
      </c>
      <c r="J225">
        <f>VLOOKUP(Demographics[[#This Row],[INCOME LEVEL]],Income[],4,FALSE)</f>
        <v>175</v>
      </c>
      <c r="K225">
        <f>IFERROR(Demographics[[#This Row],[Total monthly income]]/Demographics[[#This Row],[FAMILY SIZE]], 0)</f>
        <v>35</v>
      </c>
    </row>
    <row r="226" spans="1:11" x14ac:dyDescent="0.2">
      <c r="A226">
        <v>21918367</v>
      </c>
      <c r="B226">
        <v>28121985</v>
      </c>
      <c r="C226">
        <v>3</v>
      </c>
      <c r="D226">
        <v>1</v>
      </c>
      <c r="E226">
        <v>1</v>
      </c>
      <c r="F226">
        <v>4</v>
      </c>
      <c r="G226">
        <v>4</v>
      </c>
      <c r="H226" t="str">
        <f>IF(Demographics[[#This Row],[DOB]]&gt;10000000, TEXT(Demographics[[#This Row],[DOB]],0),CONCATENATE("0",TEXT(Demographics[[#This Row],[DOB]],0)))</f>
        <v>28121985</v>
      </c>
      <c r="I226" s="4">
        <f ca="1">IFERROR((VALUE(TODAY()-DATE(RIGHT(Demographics[[#This Row],[DOB - Fixed]],4),MID(Demographics[[#This Row],[DOB - Fixed]],3,2),LEFT(Demographics[[#This Row],[DOB - Fixed]],2))))/365,0)</f>
        <v>37.720547945205482</v>
      </c>
      <c r="J226">
        <f>VLOOKUP(Demographics[[#This Row],[INCOME LEVEL]],Income[],4,FALSE)</f>
        <v>175</v>
      </c>
      <c r="K226">
        <f>IFERROR(Demographics[[#This Row],[Total monthly income]]/Demographics[[#This Row],[FAMILY SIZE]], 0)</f>
        <v>58.333333333333336</v>
      </c>
    </row>
    <row r="227" spans="1:11" x14ac:dyDescent="0.2">
      <c r="A227">
        <v>8380322</v>
      </c>
      <c r="B227">
        <v>30101986</v>
      </c>
      <c r="C227">
        <v>4</v>
      </c>
      <c r="D227">
        <v>1</v>
      </c>
      <c r="E227">
        <v>1</v>
      </c>
      <c r="F227">
        <v>5</v>
      </c>
      <c r="G227">
        <v>3</v>
      </c>
      <c r="H227" t="str">
        <f>IF(Demographics[[#This Row],[DOB]]&gt;10000000, TEXT(Demographics[[#This Row],[DOB]],0),CONCATENATE("0",TEXT(Demographics[[#This Row],[DOB]],0)))</f>
        <v>30101986</v>
      </c>
      <c r="I227" s="4">
        <f ca="1">IFERROR((VALUE(TODAY()-DATE(RIGHT(Demographics[[#This Row],[DOB - Fixed]],4),MID(Demographics[[#This Row],[DOB - Fixed]],3,2),LEFT(Demographics[[#This Row],[DOB - Fixed]],2))))/365,0)</f>
        <v>36.88219178082192</v>
      </c>
      <c r="J227">
        <f>VLOOKUP(Demographics[[#This Row],[INCOME LEVEL]],Income[],4,FALSE)</f>
        <v>175</v>
      </c>
      <c r="K227">
        <f>IFERROR(Demographics[[#This Row],[Total monthly income]]/Demographics[[#This Row],[FAMILY SIZE]], 0)</f>
        <v>43.75</v>
      </c>
    </row>
    <row r="228" spans="1:11" x14ac:dyDescent="0.2">
      <c r="A228">
        <v>10718885</v>
      </c>
      <c r="B228">
        <v>3091985</v>
      </c>
      <c r="C228">
        <v>6</v>
      </c>
      <c r="D228">
        <v>2</v>
      </c>
      <c r="E228">
        <v>1</v>
      </c>
      <c r="F228">
        <v>2</v>
      </c>
      <c r="G228">
        <v>2</v>
      </c>
      <c r="H228" t="str">
        <f>IF(Demographics[[#This Row],[DOB]]&gt;10000000, TEXT(Demographics[[#This Row],[DOB]],0),CONCATENATE("0",TEXT(Demographics[[#This Row],[DOB]],0)))</f>
        <v>03091985</v>
      </c>
      <c r="I228" s="4">
        <f ca="1">IFERROR((VALUE(TODAY()-DATE(RIGHT(Demographics[[#This Row],[DOB - Fixed]],4),MID(Demographics[[#This Row],[DOB - Fixed]],3,2),LEFT(Demographics[[#This Row],[DOB - Fixed]],2))))/365,0)</f>
        <v>38.038356164383565</v>
      </c>
      <c r="J228">
        <f>VLOOKUP(Demographics[[#This Row],[INCOME LEVEL]],Income[],4,FALSE)</f>
        <v>175</v>
      </c>
      <c r="K228">
        <f>IFERROR(Demographics[[#This Row],[Total monthly income]]/Demographics[[#This Row],[FAMILY SIZE]], 0)</f>
        <v>29.166666666666668</v>
      </c>
    </row>
    <row r="229" spans="1:11" x14ac:dyDescent="0.2">
      <c r="A229">
        <v>7678589</v>
      </c>
      <c r="B229">
        <v>26081985</v>
      </c>
      <c r="C229">
        <v>4</v>
      </c>
      <c r="D229">
        <v>2</v>
      </c>
      <c r="E229">
        <v>1</v>
      </c>
      <c r="F229">
        <v>0</v>
      </c>
      <c r="G229">
        <v>5</v>
      </c>
      <c r="H229" t="str">
        <f>IF(Demographics[[#This Row],[DOB]]&gt;10000000, TEXT(Demographics[[#This Row],[DOB]],0),CONCATENATE("0",TEXT(Demographics[[#This Row],[DOB]],0)))</f>
        <v>26081985</v>
      </c>
      <c r="I229" s="4">
        <f ca="1">IFERROR((VALUE(TODAY()-DATE(RIGHT(Demographics[[#This Row],[DOB - Fixed]],4),MID(Demographics[[#This Row],[DOB - Fixed]],3,2),LEFT(Demographics[[#This Row],[DOB - Fixed]],2))))/365,0)</f>
        <v>38.060273972602737</v>
      </c>
      <c r="J229">
        <f>VLOOKUP(Demographics[[#This Row],[INCOME LEVEL]],Income[],4,FALSE)</f>
        <v>175</v>
      </c>
      <c r="K229">
        <f>IFERROR(Demographics[[#This Row],[Total monthly income]]/Demographics[[#This Row],[FAMILY SIZE]], 0)</f>
        <v>43.75</v>
      </c>
    </row>
    <row r="230" spans="1:11" x14ac:dyDescent="0.2">
      <c r="A230">
        <v>11808641</v>
      </c>
      <c r="B230">
        <v>9091986</v>
      </c>
      <c r="C230">
        <v>2</v>
      </c>
      <c r="D230">
        <v>2</v>
      </c>
      <c r="E230">
        <v>1</v>
      </c>
      <c r="F230">
        <v>1</v>
      </c>
      <c r="G230">
        <v>7</v>
      </c>
      <c r="H230" t="str">
        <f>IF(Demographics[[#This Row],[DOB]]&gt;10000000, TEXT(Demographics[[#This Row],[DOB]],0),CONCATENATE("0",TEXT(Demographics[[#This Row],[DOB]],0)))</f>
        <v>09091986</v>
      </c>
      <c r="I230" s="4">
        <f ca="1">IFERROR((VALUE(TODAY()-DATE(RIGHT(Demographics[[#This Row],[DOB - Fixed]],4),MID(Demographics[[#This Row],[DOB - Fixed]],3,2),LEFT(Demographics[[#This Row],[DOB - Fixed]],2))))/365,0)</f>
        <v>37.021917808219179</v>
      </c>
      <c r="J230">
        <f>VLOOKUP(Demographics[[#This Row],[INCOME LEVEL]],Income[],4,FALSE)</f>
        <v>175</v>
      </c>
      <c r="K230">
        <f>IFERROR(Demographics[[#This Row],[Total monthly income]]/Demographics[[#This Row],[FAMILY SIZE]], 0)</f>
        <v>87.5</v>
      </c>
    </row>
    <row r="231" spans="1:11" x14ac:dyDescent="0.2">
      <c r="A231">
        <v>4432769</v>
      </c>
      <c r="B231">
        <v>20111985</v>
      </c>
      <c r="C231">
        <v>5</v>
      </c>
      <c r="D231">
        <v>1</v>
      </c>
      <c r="E231">
        <v>1</v>
      </c>
      <c r="F231">
        <v>10</v>
      </c>
      <c r="G231">
        <v>2</v>
      </c>
      <c r="H231" t="str">
        <f>IF(Demographics[[#This Row],[DOB]]&gt;10000000, TEXT(Demographics[[#This Row],[DOB]],0),CONCATENATE("0",TEXT(Demographics[[#This Row],[DOB]],0)))</f>
        <v>20111985</v>
      </c>
      <c r="I231" s="4">
        <f ca="1">IFERROR((VALUE(TODAY()-DATE(RIGHT(Demographics[[#This Row],[DOB - Fixed]],4),MID(Demographics[[#This Row],[DOB - Fixed]],3,2),LEFT(Demographics[[#This Row],[DOB - Fixed]],2))))/365,0)</f>
        <v>37.824657534246576</v>
      </c>
      <c r="J231">
        <f>VLOOKUP(Demographics[[#This Row],[INCOME LEVEL]],Income[],4,FALSE)</f>
        <v>175</v>
      </c>
      <c r="K231">
        <f>IFERROR(Demographics[[#This Row],[Total monthly income]]/Demographics[[#This Row],[FAMILY SIZE]], 0)</f>
        <v>35</v>
      </c>
    </row>
    <row r="232" spans="1:11" x14ac:dyDescent="0.2">
      <c r="A232">
        <v>3899161</v>
      </c>
      <c r="B232">
        <v>28081987</v>
      </c>
      <c r="C232">
        <v>4</v>
      </c>
      <c r="D232">
        <v>1</v>
      </c>
      <c r="E232">
        <v>1</v>
      </c>
      <c r="F232">
        <v>2</v>
      </c>
      <c r="G232">
        <v>2</v>
      </c>
      <c r="H232" t="str">
        <f>IF(Demographics[[#This Row],[DOB]]&gt;10000000, TEXT(Demographics[[#This Row],[DOB]],0),CONCATENATE("0",TEXT(Demographics[[#This Row],[DOB]],0)))</f>
        <v>28081987</v>
      </c>
      <c r="I232" s="4">
        <f ca="1">IFERROR((VALUE(TODAY()-DATE(RIGHT(Demographics[[#This Row],[DOB - Fixed]],4),MID(Demographics[[#This Row],[DOB - Fixed]],3,2),LEFT(Demographics[[#This Row],[DOB - Fixed]],2))))/365,0)</f>
        <v>36.054794520547944</v>
      </c>
      <c r="J232">
        <f>VLOOKUP(Demographics[[#This Row],[INCOME LEVEL]],Income[],4,FALSE)</f>
        <v>175</v>
      </c>
      <c r="K232">
        <f>IFERROR(Demographics[[#This Row],[Total monthly income]]/Demographics[[#This Row],[FAMILY SIZE]], 0)</f>
        <v>43.75</v>
      </c>
    </row>
    <row r="233" spans="1:11" x14ac:dyDescent="0.2">
      <c r="A233">
        <v>396348</v>
      </c>
      <c r="B233">
        <v>31071986</v>
      </c>
      <c r="C233">
        <v>5</v>
      </c>
      <c r="D233">
        <v>2</v>
      </c>
      <c r="E233">
        <v>1</v>
      </c>
      <c r="F233">
        <v>2</v>
      </c>
      <c r="G233">
        <v>5</v>
      </c>
      <c r="H233" t="str">
        <f>IF(Demographics[[#This Row],[DOB]]&gt;10000000, TEXT(Demographics[[#This Row],[DOB]],0),CONCATENATE("0",TEXT(Demographics[[#This Row],[DOB]],0)))</f>
        <v>31071986</v>
      </c>
      <c r="I233" s="4">
        <f ca="1">IFERROR((VALUE(TODAY()-DATE(RIGHT(Demographics[[#This Row],[DOB - Fixed]],4),MID(Demographics[[#This Row],[DOB - Fixed]],3,2),LEFT(Demographics[[#This Row],[DOB - Fixed]],2))))/365,0)</f>
        <v>37.131506849315066</v>
      </c>
      <c r="J233">
        <f>VLOOKUP(Demographics[[#This Row],[INCOME LEVEL]],Income[],4,FALSE)</f>
        <v>175</v>
      </c>
      <c r="K233">
        <f>IFERROR(Demographics[[#This Row],[Total monthly income]]/Demographics[[#This Row],[FAMILY SIZE]], 0)</f>
        <v>35</v>
      </c>
    </row>
    <row r="234" spans="1:11" x14ac:dyDescent="0.2">
      <c r="A234">
        <v>7023654</v>
      </c>
      <c r="B234">
        <v>24071986</v>
      </c>
      <c r="C234">
        <v>4</v>
      </c>
      <c r="D234">
        <v>2</v>
      </c>
      <c r="E234">
        <v>2</v>
      </c>
      <c r="F234">
        <v>4</v>
      </c>
      <c r="G234">
        <v>2</v>
      </c>
      <c r="H234" t="str">
        <f>IF(Demographics[[#This Row],[DOB]]&gt;10000000, TEXT(Demographics[[#This Row],[DOB]],0),CONCATENATE("0",TEXT(Demographics[[#This Row],[DOB]],0)))</f>
        <v>24071986</v>
      </c>
      <c r="I234" s="4">
        <f ca="1">IFERROR((VALUE(TODAY()-DATE(RIGHT(Demographics[[#This Row],[DOB - Fixed]],4),MID(Demographics[[#This Row],[DOB - Fixed]],3,2),LEFT(Demographics[[#This Row],[DOB - Fixed]],2))))/365,0)</f>
        <v>37.150684931506852</v>
      </c>
      <c r="J234">
        <f>VLOOKUP(Demographics[[#This Row],[INCOME LEVEL]],Income[],4,FALSE)</f>
        <v>697.5</v>
      </c>
      <c r="K234">
        <f>IFERROR(Demographics[[#This Row],[Total monthly income]]/Demographics[[#This Row],[FAMILY SIZE]], 0)</f>
        <v>174.375</v>
      </c>
    </row>
    <row r="235" spans="1:11" x14ac:dyDescent="0.2">
      <c r="A235">
        <v>13648500</v>
      </c>
      <c r="B235">
        <v>24091985</v>
      </c>
      <c r="C235">
        <v>5</v>
      </c>
      <c r="D235">
        <v>2</v>
      </c>
      <c r="E235">
        <v>2</v>
      </c>
      <c r="F235">
        <v>7</v>
      </c>
      <c r="G235">
        <v>5</v>
      </c>
      <c r="H235" t="str">
        <f>IF(Demographics[[#This Row],[DOB]]&gt;10000000, TEXT(Demographics[[#This Row],[DOB]],0),CONCATENATE("0",TEXT(Demographics[[#This Row],[DOB]],0)))</f>
        <v>24091985</v>
      </c>
      <c r="I235" s="4">
        <f ca="1">IFERROR((VALUE(TODAY()-DATE(RIGHT(Demographics[[#This Row],[DOB - Fixed]],4),MID(Demographics[[#This Row],[DOB - Fixed]],3,2),LEFT(Demographics[[#This Row],[DOB - Fixed]],2))))/365,0)</f>
        <v>37.980821917808221</v>
      </c>
      <c r="J235">
        <f>VLOOKUP(Demographics[[#This Row],[INCOME LEVEL]],Income[],4,FALSE)</f>
        <v>697.5</v>
      </c>
      <c r="K235">
        <f>IFERROR(Demographics[[#This Row],[Total monthly income]]/Demographics[[#This Row],[FAMILY SIZE]], 0)</f>
        <v>139.5</v>
      </c>
    </row>
    <row r="236" spans="1:11" x14ac:dyDescent="0.2">
      <c r="A236">
        <v>13745379</v>
      </c>
      <c r="B236">
        <v>20061986</v>
      </c>
      <c r="C236">
        <v>5</v>
      </c>
      <c r="D236">
        <v>1</v>
      </c>
      <c r="E236">
        <v>1</v>
      </c>
      <c r="F236">
        <v>0</v>
      </c>
      <c r="G236">
        <v>2</v>
      </c>
      <c r="H236" t="str">
        <f>IF(Demographics[[#This Row],[DOB]]&gt;10000000, TEXT(Demographics[[#This Row],[DOB]],0),CONCATENATE("0",TEXT(Demographics[[#This Row],[DOB]],0)))</f>
        <v>20061986</v>
      </c>
      <c r="I236" s="4">
        <f ca="1">IFERROR((VALUE(TODAY()-DATE(RIGHT(Demographics[[#This Row],[DOB - Fixed]],4),MID(Demographics[[#This Row],[DOB - Fixed]],3,2),LEFT(Demographics[[#This Row],[DOB - Fixed]],2))))/365,0)</f>
        <v>37.243835616438353</v>
      </c>
      <c r="J236">
        <f>VLOOKUP(Demographics[[#This Row],[INCOME LEVEL]],Income[],4,FALSE)</f>
        <v>175</v>
      </c>
      <c r="K236">
        <f>IFERROR(Demographics[[#This Row],[Total monthly income]]/Demographics[[#This Row],[FAMILY SIZE]], 0)</f>
        <v>35</v>
      </c>
    </row>
    <row r="237" spans="1:11" x14ac:dyDescent="0.2">
      <c r="A237">
        <v>12105560</v>
      </c>
      <c r="B237">
        <v>23021986</v>
      </c>
      <c r="C237">
        <v>7</v>
      </c>
      <c r="D237">
        <v>1</v>
      </c>
      <c r="E237">
        <v>2</v>
      </c>
      <c r="F237">
        <v>9</v>
      </c>
      <c r="G237">
        <v>4</v>
      </c>
      <c r="H237" t="str">
        <f>IF(Demographics[[#This Row],[DOB]]&gt;10000000, TEXT(Demographics[[#This Row],[DOB]],0),CONCATENATE("0",TEXT(Demographics[[#This Row],[DOB]],0)))</f>
        <v>23021986</v>
      </c>
      <c r="I237" s="4">
        <f ca="1">IFERROR((VALUE(TODAY()-DATE(RIGHT(Demographics[[#This Row],[DOB - Fixed]],4),MID(Demographics[[#This Row],[DOB - Fixed]],3,2),LEFT(Demographics[[#This Row],[DOB - Fixed]],2))))/365,0)</f>
        <v>37.564383561643837</v>
      </c>
      <c r="J237">
        <f>VLOOKUP(Demographics[[#This Row],[INCOME LEVEL]],Income[],4,FALSE)</f>
        <v>697.5</v>
      </c>
      <c r="K237">
        <f>IFERROR(Demographics[[#This Row],[Total monthly income]]/Demographics[[#This Row],[FAMILY SIZE]], 0)</f>
        <v>99.642857142857139</v>
      </c>
    </row>
    <row r="238" spans="1:11" x14ac:dyDescent="0.2">
      <c r="A238">
        <v>21598174</v>
      </c>
      <c r="B238">
        <v>7061986</v>
      </c>
      <c r="C238">
        <v>9</v>
      </c>
      <c r="D238">
        <v>0</v>
      </c>
      <c r="E238">
        <v>1</v>
      </c>
      <c r="F238">
        <v>2</v>
      </c>
      <c r="G238">
        <v>1</v>
      </c>
      <c r="H238" t="str">
        <f>IF(Demographics[[#This Row],[DOB]]&gt;10000000, TEXT(Demographics[[#This Row],[DOB]],0),CONCATENATE("0",TEXT(Demographics[[#This Row],[DOB]],0)))</f>
        <v>07061986</v>
      </c>
      <c r="I238" s="4">
        <f ca="1">IFERROR((VALUE(TODAY()-DATE(RIGHT(Demographics[[#This Row],[DOB - Fixed]],4),MID(Demographics[[#This Row],[DOB - Fixed]],3,2),LEFT(Demographics[[#This Row],[DOB - Fixed]],2))))/365,0)</f>
        <v>37.279452054794518</v>
      </c>
      <c r="J238">
        <f>VLOOKUP(Demographics[[#This Row],[INCOME LEVEL]],Income[],4,FALSE)</f>
        <v>175</v>
      </c>
      <c r="K238">
        <f>IFERROR(Demographics[[#This Row],[Total monthly income]]/Demographics[[#This Row],[FAMILY SIZE]], 0)</f>
        <v>19.444444444444443</v>
      </c>
    </row>
    <row r="239" spans="1:11" x14ac:dyDescent="0.2">
      <c r="A239">
        <v>3557563</v>
      </c>
      <c r="B239">
        <v>19051986</v>
      </c>
      <c r="C239">
        <v>5</v>
      </c>
      <c r="D239">
        <v>1</v>
      </c>
      <c r="E239">
        <v>1</v>
      </c>
      <c r="F239">
        <v>5</v>
      </c>
      <c r="G239">
        <v>3</v>
      </c>
      <c r="H239" t="str">
        <f>IF(Demographics[[#This Row],[DOB]]&gt;10000000, TEXT(Demographics[[#This Row],[DOB]],0),CONCATENATE("0",TEXT(Demographics[[#This Row],[DOB]],0)))</f>
        <v>19051986</v>
      </c>
      <c r="I239" s="4">
        <f ca="1">IFERROR((VALUE(TODAY()-DATE(RIGHT(Demographics[[#This Row],[DOB - Fixed]],4),MID(Demographics[[#This Row],[DOB - Fixed]],3,2),LEFT(Demographics[[#This Row],[DOB - Fixed]],2))))/365,0)</f>
        <v>37.331506849315069</v>
      </c>
      <c r="J239">
        <f>VLOOKUP(Demographics[[#This Row],[INCOME LEVEL]],Income[],4,FALSE)</f>
        <v>175</v>
      </c>
      <c r="K239">
        <f>IFERROR(Demographics[[#This Row],[Total monthly income]]/Demographics[[#This Row],[FAMILY SIZE]], 0)</f>
        <v>35</v>
      </c>
    </row>
    <row r="240" spans="1:11" x14ac:dyDescent="0.2">
      <c r="A240">
        <v>4568255</v>
      </c>
      <c r="B240">
        <v>14081986</v>
      </c>
      <c r="C240">
        <v>6</v>
      </c>
      <c r="D240">
        <v>2</v>
      </c>
      <c r="E240">
        <v>3</v>
      </c>
      <c r="F240">
        <v>8</v>
      </c>
      <c r="G240">
        <v>9</v>
      </c>
      <c r="H240" t="str">
        <f>IF(Demographics[[#This Row],[DOB]]&gt;10000000, TEXT(Demographics[[#This Row],[DOB]],0),CONCATENATE("0",TEXT(Demographics[[#This Row],[DOB]],0)))</f>
        <v>14081986</v>
      </c>
      <c r="I240" s="4">
        <f ca="1">IFERROR((VALUE(TODAY()-DATE(RIGHT(Demographics[[#This Row],[DOB - Fixed]],4),MID(Demographics[[#This Row],[DOB - Fixed]],3,2),LEFT(Demographics[[#This Row],[DOB - Fixed]],2))))/365,0)</f>
        <v>37.093150684931508</v>
      </c>
      <c r="J240">
        <f>VLOOKUP(Demographics[[#This Row],[INCOME LEVEL]],Income[],4,FALSE)</f>
        <v>1397.5</v>
      </c>
      <c r="K240">
        <f>IFERROR(Demographics[[#This Row],[Total monthly income]]/Demographics[[#This Row],[FAMILY SIZE]], 0)</f>
        <v>232.91666666666666</v>
      </c>
    </row>
    <row r="241" spans="1:11" x14ac:dyDescent="0.2">
      <c r="A241">
        <v>7042176</v>
      </c>
      <c r="B241">
        <v>14111985</v>
      </c>
      <c r="C241">
        <v>4</v>
      </c>
      <c r="D241">
        <v>2</v>
      </c>
      <c r="E241">
        <v>1</v>
      </c>
      <c r="F241">
        <v>2</v>
      </c>
      <c r="G241">
        <v>2</v>
      </c>
      <c r="H241" t="str">
        <f>IF(Demographics[[#This Row],[DOB]]&gt;10000000, TEXT(Demographics[[#This Row],[DOB]],0),CONCATENATE("0",TEXT(Demographics[[#This Row],[DOB]],0)))</f>
        <v>14111985</v>
      </c>
      <c r="I241" s="4">
        <f ca="1">IFERROR((VALUE(TODAY()-DATE(RIGHT(Demographics[[#This Row],[DOB - Fixed]],4),MID(Demographics[[#This Row],[DOB - Fixed]],3,2),LEFT(Demographics[[#This Row],[DOB - Fixed]],2))))/365,0)</f>
        <v>37.841095890410962</v>
      </c>
      <c r="J241">
        <f>VLOOKUP(Demographics[[#This Row],[INCOME LEVEL]],Income[],4,FALSE)</f>
        <v>175</v>
      </c>
      <c r="K241">
        <f>IFERROR(Demographics[[#This Row],[Total monthly income]]/Demographics[[#This Row],[FAMILY SIZE]], 0)</f>
        <v>43.75</v>
      </c>
    </row>
    <row r="242" spans="1:11" x14ac:dyDescent="0.2">
      <c r="A242">
        <v>17520052</v>
      </c>
      <c r="B242">
        <v>11011986</v>
      </c>
      <c r="C242">
        <v>4</v>
      </c>
      <c r="D242">
        <v>2</v>
      </c>
      <c r="E242">
        <v>1</v>
      </c>
      <c r="F242">
        <v>2</v>
      </c>
      <c r="G242">
        <v>2</v>
      </c>
      <c r="H242" t="str">
        <f>IF(Demographics[[#This Row],[DOB]]&gt;10000000, TEXT(Demographics[[#This Row],[DOB]],0),CONCATENATE("0",TEXT(Demographics[[#This Row],[DOB]],0)))</f>
        <v>11011986</v>
      </c>
      <c r="I242" s="4">
        <f ca="1">IFERROR((VALUE(TODAY()-DATE(RIGHT(Demographics[[#This Row],[DOB - Fixed]],4),MID(Demographics[[#This Row],[DOB - Fixed]],3,2),LEFT(Demographics[[#This Row],[DOB - Fixed]],2))))/365,0)</f>
        <v>37.682191780821917</v>
      </c>
      <c r="J242">
        <f>VLOOKUP(Demographics[[#This Row],[INCOME LEVEL]],Income[],4,FALSE)</f>
        <v>175</v>
      </c>
      <c r="K242">
        <f>IFERROR(Demographics[[#This Row],[Total monthly income]]/Demographics[[#This Row],[FAMILY SIZE]], 0)</f>
        <v>43.75</v>
      </c>
    </row>
    <row r="243" spans="1:11" x14ac:dyDescent="0.2">
      <c r="A243">
        <v>10577647</v>
      </c>
      <c r="B243">
        <v>21011986</v>
      </c>
      <c r="C243">
        <v>5</v>
      </c>
      <c r="D243">
        <v>1</v>
      </c>
      <c r="E243">
        <v>1</v>
      </c>
      <c r="F243">
        <v>2</v>
      </c>
      <c r="G243">
        <v>2</v>
      </c>
      <c r="H243" t="str">
        <f>IF(Demographics[[#This Row],[DOB]]&gt;10000000, TEXT(Demographics[[#This Row],[DOB]],0),CONCATENATE("0",TEXT(Demographics[[#This Row],[DOB]],0)))</f>
        <v>21011986</v>
      </c>
      <c r="I243" s="4">
        <f ca="1">IFERROR((VALUE(TODAY()-DATE(RIGHT(Demographics[[#This Row],[DOB - Fixed]],4),MID(Demographics[[#This Row],[DOB - Fixed]],3,2),LEFT(Demographics[[#This Row],[DOB - Fixed]],2))))/365,0)</f>
        <v>37.654794520547945</v>
      </c>
      <c r="J243">
        <f>VLOOKUP(Demographics[[#This Row],[INCOME LEVEL]],Income[],4,FALSE)</f>
        <v>175</v>
      </c>
      <c r="K243">
        <f>IFERROR(Demographics[[#This Row],[Total monthly income]]/Demographics[[#This Row],[FAMILY SIZE]], 0)</f>
        <v>35</v>
      </c>
    </row>
    <row r="244" spans="1:11" x14ac:dyDescent="0.2">
      <c r="A244">
        <v>21996391</v>
      </c>
      <c r="B244">
        <v>1021986</v>
      </c>
      <c r="C244">
        <v>3</v>
      </c>
      <c r="D244">
        <v>0</v>
      </c>
      <c r="E244">
        <v>1</v>
      </c>
      <c r="F244">
        <v>2</v>
      </c>
      <c r="G244">
        <v>4</v>
      </c>
      <c r="H244" t="str">
        <f>IF(Demographics[[#This Row],[DOB]]&gt;10000000, TEXT(Demographics[[#This Row],[DOB]],0),CONCATENATE("0",TEXT(Demographics[[#This Row],[DOB]],0)))</f>
        <v>01021986</v>
      </c>
      <c r="I244" s="4">
        <f ca="1">IFERROR((VALUE(TODAY()-DATE(RIGHT(Demographics[[#This Row],[DOB - Fixed]],4),MID(Demographics[[#This Row],[DOB - Fixed]],3,2),LEFT(Demographics[[#This Row],[DOB - Fixed]],2))))/365,0)</f>
        <v>37.624657534246573</v>
      </c>
      <c r="J244">
        <f>VLOOKUP(Demographics[[#This Row],[INCOME LEVEL]],Income[],4,FALSE)</f>
        <v>175</v>
      </c>
      <c r="K244">
        <f>IFERROR(Demographics[[#This Row],[Total monthly income]]/Demographics[[#This Row],[FAMILY SIZE]], 0)</f>
        <v>58.333333333333336</v>
      </c>
    </row>
    <row r="245" spans="1:11" x14ac:dyDescent="0.2">
      <c r="A245">
        <v>20219440</v>
      </c>
      <c r="B245">
        <v>6021986</v>
      </c>
      <c r="C245">
        <v>5</v>
      </c>
      <c r="D245">
        <v>4</v>
      </c>
      <c r="E245">
        <v>1</v>
      </c>
      <c r="F245">
        <v>0</v>
      </c>
      <c r="G245">
        <v>2</v>
      </c>
      <c r="H245" t="str">
        <f>IF(Demographics[[#This Row],[DOB]]&gt;10000000, TEXT(Demographics[[#This Row],[DOB]],0),CONCATENATE("0",TEXT(Demographics[[#This Row],[DOB]],0)))</f>
        <v>06021986</v>
      </c>
      <c r="I245" s="4">
        <f ca="1">IFERROR((VALUE(TODAY()-DATE(RIGHT(Demographics[[#This Row],[DOB - Fixed]],4),MID(Demographics[[#This Row],[DOB - Fixed]],3,2),LEFT(Demographics[[#This Row],[DOB - Fixed]],2))))/365,0)</f>
        <v>37.610958904109587</v>
      </c>
      <c r="J245">
        <f>VLOOKUP(Demographics[[#This Row],[INCOME LEVEL]],Income[],4,FALSE)</f>
        <v>175</v>
      </c>
      <c r="K245">
        <f>IFERROR(Demographics[[#This Row],[Total monthly income]]/Demographics[[#This Row],[FAMILY SIZE]], 0)</f>
        <v>35</v>
      </c>
    </row>
    <row r="246" spans="1:11" x14ac:dyDescent="0.2">
      <c r="A246">
        <v>12411841</v>
      </c>
      <c r="B246">
        <v>7021986</v>
      </c>
      <c r="C246">
        <v>6</v>
      </c>
      <c r="D246">
        <v>0</v>
      </c>
      <c r="E246">
        <v>1</v>
      </c>
      <c r="F246">
        <v>4</v>
      </c>
      <c r="G246">
        <v>2</v>
      </c>
      <c r="H246" t="str">
        <f>IF(Demographics[[#This Row],[DOB]]&gt;10000000, TEXT(Demographics[[#This Row],[DOB]],0),CONCATENATE("0",TEXT(Demographics[[#This Row],[DOB]],0)))</f>
        <v>07021986</v>
      </c>
      <c r="I246" s="4">
        <f ca="1">IFERROR((VALUE(TODAY()-DATE(RIGHT(Demographics[[#This Row],[DOB - Fixed]],4),MID(Demographics[[#This Row],[DOB - Fixed]],3,2),LEFT(Demographics[[#This Row],[DOB - Fixed]],2))))/365,0)</f>
        <v>37.608219178082194</v>
      </c>
      <c r="J246">
        <f>VLOOKUP(Demographics[[#This Row],[INCOME LEVEL]],Income[],4,FALSE)</f>
        <v>175</v>
      </c>
      <c r="K246">
        <f>IFERROR(Demographics[[#This Row],[Total monthly income]]/Demographics[[#This Row],[FAMILY SIZE]], 0)</f>
        <v>29.166666666666668</v>
      </c>
    </row>
    <row r="247" spans="1:11" x14ac:dyDescent="0.2">
      <c r="A247">
        <v>24491280</v>
      </c>
      <c r="B247">
        <v>8121985</v>
      </c>
      <c r="C247">
        <v>5</v>
      </c>
      <c r="D247">
        <v>1</v>
      </c>
      <c r="E247">
        <v>1</v>
      </c>
      <c r="F247">
        <v>4</v>
      </c>
      <c r="G247">
        <v>5</v>
      </c>
      <c r="H247" t="str">
        <f>IF(Demographics[[#This Row],[DOB]]&gt;10000000, TEXT(Demographics[[#This Row],[DOB]],0),CONCATENATE("0",TEXT(Demographics[[#This Row],[DOB]],0)))</f>
        <v>08121985</v>
      </c>
      <c r="I247" s="4">
        <f ca="1">IFERROR((VALUE(TODAY()-DATE(RIGHT(Demographics[[#This Row],[DOB - Fixed]],4),MID(Demographics[[#This Row],[DOB - Fixed]],3,2),LEFT(Demographics[[#This Row],[DOB - Fixed]],2))))/365,0)</f>
        <v>37.775342465753425</v>
      </c>
      <c r="J247">
        <f>VLOOKUP(Demographics[[#This Row],[INCOME LEVEL]],Income[],4,FALSE)</f>
        <v>175</v>
      </c>
      <c r="K247">
        <f>IFERROR(Demographics[[#This Row],[Total monthly income]]/Demographics[[#This Row],[FAMILY SIZE]], 0)</f>
        <v>35</v>
      </c>
    </row>
    <row r="248" spans="1:11" x14ac:dyDescent="0.2">
      <c r="A248">
        <v>11674541</v>
      </c>
      <c r="B248">
        <v>16021986</v>
      </c>
      <c r="C248">
        <v>6</v>
      </c>
      <c r="D248">
        <v>2</v>
      </c>
      <c r="E248">
        <v>1</v>
      </c>
      <c r="F248">
        <v>0</v>
      </c>
      <c r="G248">
        <v>0</v>
      </c>
      <c r="H248" t="str">
        <f>IF(Demographics[[#This Row],[DOB]]&gt;10000000, TEXT(Demographics[[#This Row],[DOB]],0),CONCATENATE("0",TEXT(Demographics[[#This Row],[DOB]],0)))</f>
        <v>16021986</v>
      </c>
      <c r="I248" s="4">
        <f ca="1">IFERROR((VALUE(TODAY()-DATE(RIGHT(Demographics[[#This Row],[DOB - Fixed]],4),MID(Demographics[[#This Row],[DOB - Fixed]],3,2),LEFT(Demographics[[#This Row],[DOB - Fixed]],2))))/365,0)</f>
        <v>37.583561643835615</v>
      </c>
      <c r="J248">
        <f>VLOOKUP(Demographics[[#This Row],[INCOME LEVEL]],Income[],4,FALSE)</f>
        <v>175</v>
      </c>
      <c r="K248">
        <f>IFERROR(Demographics[[#This Row],[Total monthly income]]/Demographics[[#This Row],[FAMILY SIZE]], 0)</f>
        <v>29.166666666666668</v>
      </c>
    </row>
    <row r="249" spans="1:11" x14ac:dyDescent="0.2">
      <c r="A249">
        <v>8470086</v>
      </c>
      <c r="B249">
        <v>24021986</v>
      </c>
      <c r="C249">
        <v>4</v>
      </c>
      <c r="D249">
        <v>1</v>
      </c>
      <c r="E249">
        <v>1</v>
      </c>
      <c r="F249">
        <v>3</v>
      </c>
      <c r="G249">
        <v>4</v>
      </c>
      <c r="H249" t="str">
        <f>IF(Demographics[[#This Row],[DOB]]&gt;10000000, TEXT(Demographics[[#This Row],[DOB]],0),CONCATENATE("0",TEXT(Demographics[[#This Row],[DOB]],0)))</f>
        <v>24021986</v>
      </c>
      <c r="I249" s="4">
        <f ca="1">IFERROR((VALUE(TODAY()-DATE(RIGHT(Demographics[[#This Row],[DOB - Fixed]],4),MID(Demographics[[#This Row],[DOB - Fixed]],3,2),LEFT(Demographics[[#This Row],[DOB - Fixed]],2))))/365,0)</f>
        <v>37.561643835616437</v>
      </c>
      <c r="J249">
        <f>VLOOKUP(Demographics[[#This Row],[INCOME LEVEL]],Income[],4,FALSE)</f>
        <v>175</v>
      </c>
      <c r="K249">
        <f>IFERROR(Demographics[[#This Row],[Total monthly income]]/Demographics[[#This Row],[FAMILY SIZE]], 0)</f>
        <v>43.75</v>
      </c>
    </row>
    <row r="250" spans="1:11" x14ac:dyDescent="0.2">
      <c r="A250">
        <v>1008803</v>
      </c>
      <c r="B250">
        <v>17031986</v>
      </c>
      <c r="C250">
        <v>2</v>
      </c>
      <c r="D250">
        <v>0</v>
      </c>
      <c r="E250">
        <v>1</v>
      </c>
      <c r="F250">
        <v>5</v>
      </c>
      <c r="G250">
        <v>2</v>
      </c>
      <c r="H250" t="str">
        <f>IF(Demographics[[#This Row],[DOB]]&gt;10000000, TEXT(Demographics[[#This Row],[DOB]],0),CONCATENATE("0",TEXT(Demographics[[#This Row],[DOB]],0)))</f>
        <v>17031986</v>
      </c>
      <c r="I250" s="4">
        <f ca="1">IFERROR((VALUE(TODAY()-DATE(RIGHT(Demographics[[#This Row],[DOB - Fixed]],4),MID(Demographics[[#This Row],[DOB - Fixed]],3,2),LEFT(Demographics[[#This Row],[DOB - Fixed]],2))))/365,0)</f>
        <v>37.504109589041093</v>
      </c>
      <c r="J250">
        <f>VLOOKUP(Demographics[[#This Row],[INCOME LEVEL]],Income[],4,FALSE)</f>
        <v>175</v>
      </c>
      <c r="K250">
        <f>IFERROR(Demographics[[#This Row],[Total monthly income]]/Demographics[[#This Row],[FAMILY SIZE]], 0)</f>
        <v>87.5</v>
      </c>
    </row>
    <row r="251" spans="1:11" x14ac:dyDescent="0.2">
      <c r="A251">
        <v>16828767</v>
      </c>
      <c r="B251">
        <v>23041986</v>
      </c>
      <c r="C251">
        <v>4</v>
      </c>
      <c r="D251">
        <v>0</v>
      </c>
      <c r="E251">
        <v>1</v>
      </c>
      <c r="F251">
        <v>5</v>
      </c>
      <c r="G251">
        <v>5</v>
      </c>
      <c r="H251" t="str">
        <f>IF(Demographics[[#This Row],[DOB]]&gt;10000000, TEXT(Demographics[[#This Row],[DOB]],0),CONCATENATE("0",TEXT(Demographics[[#This Row],[DOB]],0)))</f>
        <v>23041986</v>
      </c>
      <c r="I251" s="4">
        <f ca="1">IFERROR((VALUE(TODAY()-DATE(RIGHT(Demographics[[#This Row],[DOB - Fixed]],4),MID(Demographics[[#This Row],[DOB - Fixed]],3,2),LEFT(Demographics[[#This Row],[DOB - Fixed]],2))))/365,0)</f>
        <v>37.402739726027399</v>
      </c>
      <c r="J251">
        <f>VLOOKUP(Demographics[[#This Row],[INCOME LEVEL]],Income[],4,FALSE)</f>
        <v>175</v>
      </c>
      <c r="K251">
        <f>IFERROR(Demographics[[#This Row],[Total monthly income]]/Demographics[[#This Row],[FAMILY SIZE]], 0)</f>
        <v>43.75</v>
      </c>
    </row>
    <row r="252" spans="1:11" x14ac:dyDescent="0.2">
      <c r="A252">
        <v>8631916</v>
      </c>
      <c r="B252">
        <v>20051986</v>
      </c>
      <c r="C252">
        <v>6</v>
      </c>
      <c r="D252">
        <v>1</v>
      </c>
      <c r="E252">
        <v>1</v>
      </c>
      <c r="F252">
        <v>5</v>
      </c>
      <c r="G252">
        <v>4</v>
      </c>
      <c r="H252" t="str">
        <f>IF(Demographics[[#This Row],[DOB]]&gt;10000000, TEXT(Demographics[[#This Row],[DOB]],0),CONCATENATE("0",TEXT(Demographics[[#This Row],[DOB]],0)))</f>
        <v>20051986</v>
      </c>
      <c r="I252" s="4">
        <f ca="1">IFERROR((VALUE(TODAY()-DATE(RIGHT(Demographics[[#This Row],[DOB - Fixed]],4),MID(Demographics[[#This Row],[DOB - Fixed]],3,2),LEFT(Demographics[[#This Row],[DOB - Fixed]],2))))/365,0)</f>
        <v>37.328767123287669</v>
      </c>
      <c r="J252">
        <f>VLOOKUP(Demographics[[#This Row],[INCOME LEVEL]],Income[],4,FALSE)</f>
        <v>175</v>
      </c>
      <c r="K252">
        <f>IFERROR(Demographics[[#This Row],[Total monthly income]]/Demographics[[#This Row],[FAMILY SIZE]], 0)</f>
        <v>29.166666666666668</v>
      </c>
    </row>
    <row r="253" spans="1:11" x14ac:dyDescent="0.2">
      <c r="A253">
        <v>13005559</v>
      </c>
      <c r="B253">
        <v>16011986</v>
      </c>
      <c r="C253">
        <v>7</v>
      </c>
      <c r="D253">
        <v>2</v>
      </c>
      <c r="E253">
        <v>2</v>
      </c>
      <c r="F253">
        <v>5</v>
      </c>
      <c r="G253">
        <v>7</v>
      </c>
      <c r="H253" t="str">
        <f>IF(Demographics[[#This Row],[DOB]]&gt;10000000, TEXT(Demographics[[#This Row],[DOB]],0),CONCATENATE("0",TEXT(Demographics[[#This Row],[DOB]],0)))</f>
        <v>16011986</v>
      </c>
      <c r="I253" s="4">
        <f ca="1">IFERROR((VALUE(TODAY()-DATE(RIGHT(Demographics[[#This Row],[DOB - Fixed]],4),MID(Demographics[[#This Row],[DOB - Fixed]],3,2),LEFT(Demographics[[#This Row],[DOB - Fixed]],2))))/365,0)</f>
        <v>37.668493150684931</v>
      </c>
      <c r="J253">
        <f>VLOOKUP(Demographics[[#This Row],[INCOME LEVEL]],Income[],4,FALSE)</f>
        <v>697.5</v>
      </c>
      <c r="K253">
        <f>IFERROR(Demographics[[#This Row],[Total monthly income]]/Demographics[[#This Row],[FAMILY SIZE]], 0)</f>
        <v>99.642857142857139</v>
      </c>
    </row>
    <row r="254" spans="1:11" x14ac:dyDescent="0.2">
      <c r="A254">
        <v>9700075</v>
      </c>
      <c r="B254">
        <v>13061986</v>
      </c>
      <c r="C254">
        <v>6</v>
      </c>
      <c r="D254">
        <v>1</v>
      </c>
      <c r="E254">
        <v>2</v>
      </c>
      <c r="F254">
        <v>5</v>
      </c>
      <c r="G254">
        <v>4</v>
      </c>
      <c r="H254" t="str">
        <f>IF(Demographics[[#This Row],[DOB]]&gt;10000000, TEXT(Demographics[[#This Row],[DOB]],0),CONCATENATE("0",TEXT(Demographics[[#This Row],[DOB]],0)))</f>
        <v>13061986</v>
      </c>
      <c r="I254" s="4">
        <f ca="1">IFERROR((VALUE(TODAY()-DATE(RIGHT(Demographics[[#This Row],[DOB - Fixed]],4),MID(Demographics[[#This Row],[DOB - Fixed]],3,2),LEFT(Demographics[[#This Row],[DOB - Fixed]],2))))/365,0)</f>
        <v>37.263013698630139</v>
      </c>
      <c r="J254">
        <f>VLOOKUP(Demographics[[#This Row],[INCOME LEVEL]],Income[],4,FALSE)</f>
        <v>697.5</v>
      </c>
      <c r="K254">
        <f>IFERROR(Demographics[[#This Row],[Total monthly income]]/Demographics[[#This Row],[FAMILY SIZE]], 0)</f>
        <v>116.25</v>
      </c>
    </row>
    <row r="255" spans="1:11" x14ac:dyDescent="0.2">
      <c r="A255">
        <v>4488949</v>
      </c>
      <c r="B255">
        <v>4071986</v>
      </c>
      <c r="C255">
        <v>3</v>
      </c>
      <c r="D255">
        <v>1</v>
      </c>
      <c r="E255">
        <v>1</v>
      </c>
      <c r="F255">
        <v>0</v>
      </c>
      <c r="G255">
        <v>5</v>
      </c>
      <c r="H255" t="str">
        <f>IF(Demographics[[#This Row],[DOB]]&gt;10000000, TEXT(Demographics[[#This Row],[DOB]],0),CONCATENATE("0",TEXT(Demographics[[#This Row],[DOB]],0)))</f>
        <v>04071986</v>
      </c>
      <c r="I255" s="4">
        <f ca="1">IFERROR((VALUE(TODAY()-DATE(RIGHT(Demographics[[#This Row],[DOB - Fixed]],4),MID(Demographics[[#This Row],[DOB - Fixed]],3,2),LEFT(Demographics[[#This Row],[DOB - Fixed]],2))))/365,0)</f>
        <v>37.205479452054796</v>
      </c>
      <c r="J255">
        <f>VLOOKUP(Demographics[[#This Row],[INCOME LEVEL]],Income[],4,FALSE)</f>
        <v>175</v>
      </c>
      <c r="K255">
        <f>IFERROR(Demographics[[#This Row],[Total monthly income]]/Demographics[[#This Row],[FAMILY SIZE]], 0)</f>
        <v>58.333333333333336</v>
      </c>
    </row>
    <row r="256" spans="1:11" x14ac:dyDescent="0.2">
      <c r="A256">
        <v>10695009</v>
      </c>
      <c r="B256">
        <v>8071986</v>
      </c>
      <c r="C256">
        <v>5</v>
      </c>
      <c r="D256">
        <v>1</v>
      </c>
      <c r="E256">
        <v>2</v>
      </c>
      <c r="F256">
        <v>7</v>
      </c>
      <c r="G256">
        <v>7</v>
      </c>
      <c r="H256" t="str">
        <f>IF(Demographics[[#This Row],[DOB]]&gt;10000000, TEXT(Demographics[[#This Row],[DOB]],0),CONCATENATE("0",TEXT(Demographics[[#This Row],[DOB]],0)))</f>
        <v>08071986</v>
      </c>
      <c r="I256" s="4">
        <f ca="1">IFERROR((VALUE(TODAY()-DATE(RIGHT(Demographics[[#This Row],[DOB - Fixed]],4),MID(Demographics[[#This Row],[DOB - Fixed]],3,2),LEFT(Demographics[[#This Row],[DOB - Fixed]],2))))/365,0)</f>
        <v>37.194520547945203</v>
      </c>
      <c r="J256">
        <f>VLOOKUP(Demographics[[#This Row],[INCOME LEVEL]],Income[],4,FALSE)</f>
        <v>697.5</v>
      </c>
      <c r="K256">
        <f>IFERROR(Demographics[[#This Row],[Total monthly income]]/Demographics[[#This Row],[FAMILY SIZE]], 0)</f>
        <v>139.5</v>
      </c>
    </row>
    <row r="257" spans="1:11" x14ac:dyDescent="0.2">
      <c r="A257">
        <v>12831243</v>
      </c>
      <c r="B257">
        <v>27051986</v>
      </c>
      <c r="C257">
        <v>0</v>
      </c>
      <c r="D257">
        <v>0</v>
      </c>
      <c r="E257">
        <v>1</v>
      </c>
      <c r="F257">
        <v>2</v>
      </c>
      <c r="G257">
        <v>2</v>
      </c>
      <c r="H257" t="str">
        <f>IF(Demographics[[#This Row],[DOB]]&gt;10000000, TEXT(Demographics[[#This Row],[DOB]],0),CONCATENATE("0",TEXT(Demographics[[#This Row],[DOB]],0)))</f>
        <v>27051986</v>
      </c>
      <c r="I257" s="4">
        <f ca="1">IFERROR((VALUE(TODAY()-DATE(RIGHT(Demographics[[#This Row],[DOB - Fixed]],4),MID(Demographics[[#This Row],[DOB - Fixed]],3,2),LEFT(Demographics[[#This Row],[DOB - Fixed]],2))))/365,0)</f>
        <v>37.30958904109589</v>
      </c>
      <c r="J257">
        <f>VLOOKUP(Demographics[[#This Row],[INCOME LEVEL]],Income[],4,FALSE)</f>
        <v>175</v>
      </c>
      <c r="K257">
        <f>IFERROR(Demographics[[#This Row],[Total monthly income]]/Demographics[[#This Row],[FAMILY SIZE]], 0)</f>
        <v>0</v>
      </c>
    </row>
    <row r="258" spans="1:11" x14ac:dyDescent="0.2">
      <c r="A258">
        <v>6091641</v>
      </c>
      <c r="B258">
        <v>26071986</v>
      </c>
      <c r="C258">
        <v>5</v>
      </c>
      <c r="D258">
        <v>2</v>
      </c>
      <c r="E258">
        <v>3</v>
      </c>
      <c r="F258">
        <v>9</v>
      </c>
      <c r="G258">
        <v>7</v>
      </c>
      <c r="H258" t="str">
        <f>IF(Demographics[[#This Row],[DOB]]&gt;10000000, TEXT(Demographics[[#This Row],[DOB]],0),CONCATENATE("0",TEXT(Demographics[[#This Row],[DOB]],0)))</f>
        <v>26071986</v>
      </c>
      <c r="I258" s="4">
        <f ca="1">IFERROR((VALUE(TODAY()-DATE(RIGHT(Demographics[[#This Row],[DOB - Fixed]],4),MID(Demographics[[#This Row],[DOB - Fixed]],3,2),LEFT(Demographics[[#This Row],[DOB - Fixed]],2))))/365,0)</f>
        <v>37.145205479452052</v>
      </c>
      <c r="J258">
        <f>VLOOKUP(Demographics[[#This Row],[INCOME LEVEL]],Income[],4,FALSE)</f>
        <v>1397.5</v>
      </c>
      <c r="K258">
        <f>IFERROR(Demographics[[#This Row],[Total monthly income]]/Demographics[[#This Row],[FAMILY SIZE]], 0)</f>
        <v>279.5</v>
      </c>
    </row>
    <row r="259" spans="1:11" x14ac:dyDescent="0.2">
      <c r="A259">
        <v>22877088</v>
      </c>
      <c r="B259">
        <v>8071986</v>
      </c>
      <c r="C259">
        <v>4</v>
      </c>
      <c r="D259">
        <v>2</v>
      </c>
      <c r="E259">
        <v>2</v>
      </c>
      <c r="F259">
        <v>7</v>
      </c>
      <c r="G259">
        <v>7</v>
      </c>
      <c r="H259" t="str">
        <f>IF(Demographics[[#This Row],[DOB]]&gt;10000000, TEXT(Demographics[[#This Row],[DOB]],0),CONCATENATE("0",TEXT(Demographics[[#This Row],[DOB]],0)))</f>
        <v>08071986</v>
      </c>
      <c r="I259" s="4">
        <f ca="1">IFERROR((VALUE(TODAY()-DATE(RIGHT(Demographics[[#This Row],[DOB - Fixed]],4),MID(Demographics[[#This Row],[DOB - Fixed]],3,2),LEFT(Demographics[[#This Row],[DOB - Fixed]],2))))/365,0)</f>
        <v>37.194520547945203</v>
      </c>
      <c r="J259">
        <f>VLOOKUP(Demographics[[#This Row],[INCOME LEVEL]],Income[],4,FALSE)</f>
        <v>697.5</v>
      </c>
      <c r="K259">
        <f>IFERROR(Demographics[[#This Row],[Total monthly income]]/Demographics[[#This Row],[FAMILY SIZE]], 0)</f>
        <v>174.375</v>
      </c>
    </row>
    <row r="260" spans="1:11" x14ac:dyDescent="0.2">
      <c r="A260">
        <v>10363644</v>
      </c>
      <c r="B260">
        <v>3121985</v>
      </c>
      <c r="C260">
        <v>3</v>
      </c>
      <c r="D260">
        <v>1</v>
      </c>
      <c r="E260">
        <v>1</v>
      </c>
      <c r="F260">
        <v>3</v>
      </c>
      <c r="G260">
        <v>2</v>
      </c>
      <c r="H260" t="str">
        <f>IF(Demographics[[#This Row],[DOB]]&gt;10000000, TEXT(Demographics[[#This Row],[DOB]],0),CONCATENATE("0",TEXT(Demographics[[#This Row],[DOB]],0)))</f>
        <v>03121985</v>
      </c>
      <c r="I260" s="4">
        <f ca="1">IFERROR((VALUE(TODAY()-DATE(RIGHT(Demographics[[#This Row],[DOB - Fixed]],4),MID(Demographics[[#This Row],[DOB - Fixed]],3,2),LEFT(Demographics[[#This Row],[DOB - Fixed]],2))))/365,0)</f>
        <v>37.789041095890411</v>
      </c>
      <c r="J260">
        <f>VLOOKUP(Demographics[[#This Row],[INCOME LEVEL]],Income[],4,FALSE)</f>
        <v>175</v>
      </c>
      <c r="K260">
        <f>IFERROR(Demographics[[#This Row],[Total monthly income]]/Demographics[[#This Row],[FAMILY SIZE]], 0)</f>
        <v>58.333333333333336</v>
      </c>
    </row>
    <row r="261" spans="1:11" x14ac:dyDescent="0.2">
      <c r="A261">
        <v>22546353</v>
      </c>
      <c r="B261">
        <v>14081986</v>
      </c>
      <c r="C261">
        <v>5</v>
      </c>
      <c r="D261">
        <v>2</v>
      </c>
      <c r="E261">
        <v>2</v>
      </c>
      <c r="F261">
        <v>5</v>
      </c>
      <c r="G261">
        <v>4</v>
      </c>
      <c r="H261" t="str">
        <f>IF(Demographics[[#This Row],[DOB]]&gt;10000000, TEXT(Demographics[[#This Row],[DOB]],0),CONCATENATE("0",TEXT(Demographics[[#This Row],[DOB]],0)))</f>
        <v>14081986</v>
      </c>
      <c r="I261" s="4">
        <f ca="1">IFERROR((VALUE(TODAY()-DATE(RIGHT(Demographics[[#This Row],[DOB - Fixed]],4),MID(Demographics[[#This Row],[DOB - Fixed]],3,2),LEFT(Demographics[[#This Row],[DOB - Fixed]],2))))/365,0)</f>
        <v>37.093150684931508</v>
      </c>
      <c r="J261">
        <f>VLOOKUP(Demographics[[#This Row],[INCOME LEVEL]],Income[],4,FALSE)</f>
        <v>697.5</v>
      </c>
      <c r="K261">
        <f>IFERROR(Demographics[[#This Row],[Total monthly income]]/Demographics[[#This Row],[FAMILY SIZE]], 0)</f>
        <v>139.5</v>
      </c>
    </row>
    <row r="262" spans="1:11" x14ac:dyDescent="0.2">
      <c r="A262">
        <v>2498249</v>
      </c>
      <c r="B262">
        <v>24081986</v>
      </c>
      <c r="C262">
        <v>4</v>
      </c>
      <c r="D262">
        <v>2</v>
      </c>
      <c r="E262">
        <v>1</v>
      </c>
      <c r="F262">
        <v>5</v>
      </c>
      <c r="G262">
        <v>5</v>
      </c>
      <c r="H262" t="str">
        <f>IF(Demographics[[#This Row],[DOB]]&gt;10000000, TEXT(Demographics[[#This Row],[DOB]],0),CONCATENATE("0",TEXT(Demographics[[#This Row],[DOB]],0)))</f>
        <v>24081986</v>
      </c>
      <c r="I262" s="4">
        <f ca="1">IFERROR((VALUE(TODAY()-DATE(RIGHT(Demographics[[#This Row],[DOB - Fixed]],4),MID(Demographics[[#This Row],[DOB - Fixed]],3,2),LEFT(Demographics[[#This Row],[DOB - Fixed]],2))))/365,0)</f>
        <v>37.065753424657537</v>
      </c>
      <c r="J262">
        <f>VLOOKUP(Demographics[[#This Row],[INCOME LEVEL]],Income[],4,FALSE)</f>
        <v>175</v>
      </c>
      <c r="K262">
        <f>IFERROR(Demographics[[#This Row],[Total monthly income]]/Demographics[[#This Row],[FAMILY SIZE]], 0)</f>
        <v>43.75</v>
      </c>
    </row>
    <row r="263" spans="1:11" x14ac:dyDescent="0.2">
      <c r="A263">
        <v>8906478</v>
      </c>
      <c r="B263">
        <v>25041986</v>
      </c>
      <c r="C263">
        <v>5</v>
      </c>
      <c r="D263">
        <v>1</v>
      </c>
      <c r="E263">
        <v>1</v>
      </c>
      <c r="F263">
        <v>4</v>
      </c>
      <c r="G263">
        <v>4</v>
      </c>
      <c r="H263" t="str">
        <f>IF(Demographics[[#This Row],[DOB]]&gt;10000000, TEXT(Demographics[[#This Row],[DOB]],0),CONCATENATE("0",TEXT(Demographics[[#This Row],[DOB]],0)))</f>
        <v>25041986</v>
      </c>
      <c r="I263" s="4">
        <f ca="1">IFERROR((VALUE(TODAY()-DATE(RIGHT(Demographics[[#This Row],[DOB - Fixed]],4),MID(Demographics[[#This Row],[DOB - Fixed]],3,2),LEFT(Demographics[[#This Row],[DOB - Fixed]],2))))/365,0)</f>
        <v>37.397260273972606</v>
      </c>
      <c r="J263">
        <f>VLOOKUP(Demographics[[#This Row],[INCOME LEVEL]],Income[],4,FALSE)</f>
        <v>175</v>
      </c>
      <c r="K263">
        <f>IFERROR(Demographics[[#This Row],[Total monthly income]]/Demographics[[#This Row],[FAMILY SIZE]], 0)</f>
        <v>35</v>
      </c>
    </row>
    <row r="264" spans="1:11" x14ac:dyDescent="0.2">
      <c r="A264">
        <v>9440674</v>
      </c>
      <c r="B264">
        <v>4091986</v>
      </c>
      <c r="C264">
        <v>7</v>
      </c>
      <c r="D264">
        <v>2</v>
      </c>
      <c r="E264">
        <v>3</v>
      </c>
      <c r="F264">
        <v>10</v>
      </c>
      <c r="G264">
        <v>9</v>
      </c>
      <c r="H264" t="str">
        <f>IF(Demographics[[#This Row],[DOB]]&gt;10000000, TEXT(Demographics[[#This Row],[DOB]],0),CONCATENATE("0",TEXT(Demographics[[#This Row],[DOB]],0)))</f>
        <v>04091986</v>
      </c>
      <c r="I264" s="4">
        <f ca="1">IFERROR((VALUE(TODAY()-DATE(RIGHT(Demographics[[#This Row],[DOB - Fixed]],4),MID(Demographics[[#This Row],[DOB - Fixed]],3,2),LEFT(Demographics[[#This Row],[DOB - Fixed]],2))))/365,0)</f>
        <v>37.035616438356165</v>
      </c>
      <c r="J264">
        <f>VLOOKUP(Demographics[[#This Row],[INCOME LEVEL]],Income[],4,FALSE)</f>
        <v>1397.5</v>
      </c>
      <c r="K264">
        <f>IFERROR(Demographics[[#This Row],[Total monthly income]]/Demographics[[#This Row],[FAMILY SIZE]], 0)</f>
        <v>199.64285714285714</v>
      </c>
    </row>
    <row r="265" spans="1:11" x14ac:dyDescent="0.2">
      <c r="A265">
        <v>5702616</v>
      </c>
      <c r="B265">
        <v>30081986</v>
      </c>
      <c r="C265">
        <v>4</v>
      </c>
      <c r="D265">
        <v>1</v>
      </c>
      <c r="E265">
        <v>2</v>
      </c>
      <c r="F265">
        <v>0</v>
      </c>
      <c r="G265">
        <v>3</v>
      </c>
      <c r="H265" t="str">
        <f>IF(Demographics[[#This Row],[DOB]]&gt;10000000, TEXT(Demographics[[#This Row],[DOB]],0),CONCATENATE("0",TEXT(Demographics[[#This Row],[DOB]],0)))</f>
        <v>30081986</v>
      </c>
      <c r="I265" s="4">
        <f ca="1">IFERROR((VALUE(TODAY()-DATE(RIGHT(Demographics[[#This Row],[DOB - Fixed]],4),MID(Demographics[[#This Row],[DOB - Fixed]],3,2),LEFT(Demographics[[#This Row],[DOB - Fixed]],2))))/365,0)</f>
        <v>37.049315068493151</v>
      </c>
      <c r="J265">
        <f>VLOOKUP(Demographics[[#This Row],[INCOME LEVEL]],Income[],4,FALSE)</f>
        <v>697.5</v>
      </c>
      <c r="K265">
        <f>IFERROR(Demographics[[#This Row],[Total monthly income]]/Demographics[[#This Row],[FAMILY SIZE]], 0)</f>
        <v>174.375</v>
      </c>
    </row>
    <row r="266" spans="1:11" x14ac:dyDescent="0.2">
      <c r="A266">
        <v>17350274</v>
      </c>
      <c r="B266">
        <v>24081986</v>
      </c>
      <c r="C266">
        <v>0</v>
      </c>
      <c r="D266">
        <v>0</v>
      </c>
      <c r="E266">
        <v>1</v>
      </c>
      <c r="F266">
        <v>2</v>
      </c>
      <c r="G266">
        <v>0</v>
      </c>
      <c r="H266" t="str">
        <f>IF(Demographics[[#This Row],[DOB]]&gt;10000000, TEXT(Demographics[[#This Row],[DOB]],0),CONCATENATE("0",TEXT(Demographics[[#This Row],[DOB]],0)))</f>
        <v>24081986</v>
      </c>
      <c r="I266" s="4">
        <f ca="1">IFERROR((VALUE(TODAY()-DATE(RIGHT(Demographics[[#This Row],[DOB - Fixed]],4),MID(Demographics[[#This Row],[DOB - Fixed]],3,2),LEFT(Demographics[[#This Row],[DOB - Fixed]],2))))/365,0)</f>
        <v>37.065753424657537</v>
      </c>
      <c r="J266">
        <f>VLOOKUP(Demographics[[#This Row],[INCOME LEVEL]],Income[],4,FALSE)</f>
        <v>175</v>
      </c>
      <c r="K266">
        <f>IFERROR(Demographics[[#This Row],[Total monthly income]]/Demographics[[#This Row],[FAMILY SIZE]], 0)</f>
        <v>0</v>
      </c>
    </row>
    <row r="267" spans="1:11" x14ac:dyDescent="0.2">
      <c r="A267">
        <v>10941980</v>
      </c>
      <c r="B267">
        <v>14091986</v>
      </c>
      <c r="C267">
        <v>4</v>
      </c>
      <c r="D267">
        <v>2</v>
      </c>
      <c r="E267">
        <v>2</v>
      </c>
      <c r="F267">
        <v>8</v>
      </c>
      <c r="G267">
        <v>5</v>
      </c>
      <c r="H267" t="str">
        <f>IF(Demographics[[#This Row],[DOB]]&gt;10000000, TEXT(Demographics[[#This Row],[DOB]],0),CONCATENATE("0",TEXT(Demographics[[#This Row],[DOB]],0)))</f>
        <v>14091986</v>
      </c>
      <c r="I267" s="4">
        <f ca="1">IFERROR((VALUE(TODAY()-DATE(RIGHT(Demographics[[#This Row],[DOB - Fixed]],4),MID(Demographics[[#This Row],[DOB - Fixed]],3,2),LEFT(Demographics[[#This Row],[DOB - Fixed]],2))))/365,0)</f>
        <v>37.008219178082193</v>
      </c>
      <c r="J267">
        <f>VLOOKUP(Demographics[[#This Row],[INCOME LEVEL]],Income[],4,FALSE)</f>
        <v>697.5</v>
      </c>
      <c r="K267">
        <f>IFERROR(Demographics[[#This Row],[Total monthly income]]/Demographics[[#This Row],[FAMILY SIZE]], 0)</f>
        <v>174.375</v>
      </c>
    </row>
    <row r="268" spans="1:11" x14ac:dyDescent="0.2">
      <c r="A268">
        <v>28995</v>
      </c>
      <c r="B268">
        <v>29071985</v>
      </c>
      <c r="C268">
        <v>4</v>
      </c>
      <c r="D268">
        <v>2</v>
      </c>
      <c r="E268">
        <v>2</v>
      </c>
      <c r="F268">
        <v>4</v>
      </c>
      <c r="G268">
        <v>5</v>
      </c>
      <c r="H268" t="str">
        <f>IF(Demographics[[#This Row],[DOB]]&gt;10000000, TEXT(Demographics[[#This Row],[DOB]],0),CONCATENATE("0",TEXT(Demographics[[#This Row],[DOB]],0)))</f>
        <v>29071985</v>
      </c>
      <c r="I268" s="4">
        <f ca="1">IFERROR((VALUE(TODAY()-DATE(RIGHT(Demographics[[#This Row],[DOB - Fixed]],4),MID(Demographics[[#This Row],[DOB - Fixed]],3,2),LEFT(Demographics[[#This Row],[DOB - Fixed]],2))))/365,0)</f>
        <v>38.136986301369866</v>
      </c>
      <c r="J268">
        <f>VLOOKUP(Demographics[[#This Row],[INCOME LEVEL]],Income[],4,FALSE)</f>
        <v>697.5</v>
      </c>
      <c r="K268">
        <f>IFERROR(Demographics[[#This Row],[Total monthly income]]/Demographics[[#This Row],[FAMILY SIZE]], 0)</f>
        <v>174.375</v>
      </c>
    </row>
    <row r="269" spans="1:11" x14ac:dyDescent="0.2">
      <c r="A269">
        <v>19081125</v>
      </c>
      <c r="B269">
        <v>2081986</v>
      </c>
      <c r="C269">
        <v>4</v>
      </c>
      <c r="D269">
        <v>1</v>
      </c>
      <c r="E269">
        <v>1</v>
      </c>
      <c r="F269">
        <v>3</v>
      </c>
      <c r="G269">
        <v>3</v>
      </c>
      <c r="H269" t="str">
        <f>IF(Demographics[[#This Row],[DOB]]&gt;10000000, TEXT(Demographics[[#This Row],[DOB]],0),CONCATENATE("0",TEXT(Demographics[[#This Row],[DOB]],0)))</f>
        <v>02081986</v>
      </c>
      <c r="I269" s="4">
        <f ca="1">IFERROR((VALUE(TODAY()-DATE(RIGHT(Demographics[[#This Row],[DOB - Fixed]],4),MID(Demographics[[#This Row],[DOB - Fixed]],3,2),LEFT(Demographics[[#This Row],[DOB - Fixed]],2))))/365,0)</f>
        <v>37.126027397260273</v>
      </c>
      <c r="J269">
        <f>VLOOKUP(Demographics[[#This Row],[INCOME LEVEL]],Income[],4,FALSE)</f>
        <v>175</v>
      </c>
      <c r="K269">
        <f>IFERROR(Demographics[[#This Row],[Total monthly income]]/Demographics[[#This Row],[FAMILY SIZE]], 0)</f>
        <v>43.75</v>
      </c>
    </row>
    <row r="270" spans="1:11" x14ac:dyDescent="0.2">
      <c r="A270">
        <v>1991921</v>
      </c>
      <c r="B270">
        <v>13091986</v>
      </c>
      <c r="C270">
        <v>4</v>
      </c>
      <c r="D270">
        <v>2</v>
      </c>
      <c r="E270">
        <v>1</v>
      </c>
      <c r="F270">
        <v>5</v>
      </c>
      <c r="G270">
        <v>5</v>
      </c>
      <c r="H270" t="str">
        <f>IF(Demographics[[#This Row],[DOB]]&gt;10000000, TEXT(Demographics[[#This Row],[DOB]],0),CONCATENATE("0",TEXT(Demographics[[#This Row],[DOB]],0)))</f>
        <v>13091986</v>
      </c>
      <c r="I270" s="4">
        <f ca="1">IFERROR((VALUE(TODAY()-DATE(RIGHT(Demographics[[#This Row],[DOB - Fixed]],4),MID(Demographics[[#This Row],[DOB - Fixed]],3,2),LEFT(Demographics[[#This Row],[DOB - Fixed]],2))))/365,0)</f>
        <v>37.010958904109586</v>
      </c>
      <c r="J270">
        <f>VLOOKUP(Demographics[[#This Row],[INCOME LEVEL]],Income[],4,FALSE)</f>
        <v>175</v>
      </c>
      <c r="K270">
        <f>IFERROR(Demographics[[#This Row],[Total monthly income]]/Demographics[[#This Row],[FAMILY SIZE]], 0)</f>
        <v>43.75</v>
      </c>
    </row>
    <row r="271" spans="1:11" x14ac:dyDescent="0.2">
      <c r="A271">
        <v>15242158</v>
      </c>
      <c r="B271">
        <v>11091986</v>
      </c>
      <c r="C271">
        <v>3</v>
      </c>
      <c r="D271">
        <v>0</v>
      </c>
      <c r="E271">
        <v>1</v>
      </c>
      <c r="F271">
        <v>5</v>
      </c>
      <c r="G271">
        <v>5</v>
      </c>
      <c r="H271" t="str">
        <f>IF(Demographics[[#This Row],[DOB]]&gt;10000000, TEXT(Demographics[[#This Row],[DOB]],0),CONCATENATE("0",TEXT(Demographics[[#This Row],[DOB]],0)))</f>
        <v>11091986</v>
      </c>
      <c r="I271" s="4">
        <f ca="1">IFERROR((VALUE(TODAY()-DATE(RIGHT(Demographics[[#This Row],[DOB - Fixed]],4),MID(Demographics[[#This Row],[DOB - Fixed]],3,2),LEFT(Demographics[[#This Row],[DOB - Fixed]],2))))/365,0)</f>
        <v>37.016438356164386</v>
      </c>
      <c r="J271">
        <f>VLOOKUP(Demographics[[#This Row],[INCOME LEVEL]],Income[],4,FALSE)</f>
        <v>175</v>
      </c>
      <c r="K271">
        <f>IFERROR(Demographics[[#This Row],[Total monthly income]]/Demographics[[#This Row],[FAMILY SIZE]], 0)</f>
        <v>58.333333333333336</v>
      </c>
    </row>
    <row r="272" spans="1:11" x14ac:dyDescent="0.2">
      <c r="A272">
        <v>490431</v>
      </c>
      <c r="B272">
        <v>13041986</v>
      </c>
      <c r="C272">
        <v>8</v>
      </c>
      <c r="D272">
        <v>1</v>
      </c>
      <c r="E272">
        <v>1</v>
      </c>
      <c r="F272">
        <v>0</v>
      </c>
      <c r="G272">
        <v>2</v>
      </c>
      <c r="H272" t="str">
        <f>IF(Demographics[[#This Row],[DOB]]&gt;10000000, TEXT(Demographics[[#This Row],[DOB]],0),CONCATENATE("0",TEXT(Demographics[[#This Row],[DOB]],0)))</f>
        <v>13041986</v>
      </c>
      <c r="I272" s="4">
        <f ca="1">IFERROR((VALUE(TODAY()-DATE(RIGHT(Demographics[[#This Row],[DOB - Fixed]],4),MID(Demographics[[#This Row],[DOB - Fixed]],3,2),LEFT(Demographics[[#This Row],[DOB - Fixed]],2))))/365,0)</f>
        <v>37.43013698630137</v>
      </c>
      <c r="J272">
        <f>VLOOKUP(Demographics[[#This Row],[INCOME LEVEL]],Income[],4,FALSE)</f>
        <v>175</v>
      </c>
      <c r="K272">
        <f>IFERROR(Demographics[[#This Row],[Total monthly income]]/Demographics[[#This Row],[FAMILY SIZE]], 0)</f>
        <v>21.875</v>
      </c>
    </row>
    <row r="273" spans="1:11" x14ac:dyDescent="0.2">
      <c r="A273">
        <v>17479024</v>
      </c>
      <c r="B273">
        <v>24091986</v>
      </c>
      <c r="C273">
        <v>5</v>
      </c>
      <c r="D273">
        <v>1</v>
      </c>
      <c r="E273">
        <v>1</v>
      </c>
      <c r="F273">
        <v>3</v>
      </c>
      <c r="G273">
        <v>3</v>
      </c>
      <c r="H273" t="str">
        <f>IF(Demographics[[#This Row],[DOB]]&gt;10000000, TEXT(Demographics[[#This Row],[DOB]],0),CONCATENATE("0",TEXT(Demographics[[#This Row],[DOB]],0)))</f>
        <v>24091986</v>
      </c>
      <c r="I273" s="4">
        <f ca="1">IFERROR((VALUE(TODAY()-DATE(RIGHT(Demographics[[#This Row],[DOB - Fixed]],4),MID(Demographics[[#This Row],[DOB - Fixed]],3,2),LEFT(Demographics[[#This Row],[DOB - Fixed]],2))))/365,0)</f>
        <v>36.980821917808221</v>
      </c>
      <c r="J273">
        <f>VLOOKUP(Demographics[[#This Row],[INCOME LEVEL]],Income[],4,FALSE)</f>
        <v>175</v>
      </c>
      <c r="K273">
        <f>IFERROR(Demographics[[#This Row],[Total monthly income]]/Demographics[[#This Row],[FAMILY SIZE]], 0)</f>
        <v>35</v>
      </c>
    </row>
    <row r="274" spans="1:11" x14ac:dyDescent="0.2">
      <c r="A274">
        <v>24855459</v>
      </c>
      <c r="B274">
        <v>29091986</v>
      </c>
      <c r="C274">
        <v>5</v>
      </c>
      <c r="D274">
        <v>2</v>
      </c>
      <c r="E274">
        <v>5</v>
      </c>
      <c r="F274">
        <v>7</v>
      </c>
      <c r="G274">
        <v>4</v>
      </c>
      <c r="H274" t="str">
        <f>IF(Demographics[[#This Row],[DOB]]&gt;10000000, TEXT(Demographics[[#This Row],[DOB]],0),CONCATENATE("0",TEXT(Demographics[[#This Row],[DOB]],0)))</f>
        <v>29091986</v>
      </c>
      <c r="I274" s="4">
        <f ca="1">IFERROR((VALUE(TODAY()-DATE(RIGHT(Demographics[[#This Row],[DOB - Fixed]],4),MID(Demographics[[#This Row],[DOB - Fixed]],3,2),LEFT(Demographics[[#This Row],[DOB - Fixed]],2))))/365,0)</f>
        <v>36.967123287671235</v>
      </c>
      <c r="J274">
        <f>VLOOKUP(Demographics[[#This Row],[INCOME LEVEL]],Income[],4,FALSE)</f>
        <v>2787.5</v>
      </c>
      <c r="K274">
        <f>IFERROR(Demographics[[#This Row],[Total monthly income]]/Demographics[[#This Row],[FAMILY SIZE]], 0)</f>
        <v>557.5</v>
      </c>
    </row>
    <row r="275" spans="1:11" x14ac:dyDescent="0.2">
      <c r="A275">
        <v>21032574</v>
      </c>
      <c r="B275">
        <v>29051986</v>
      </c>
      <c r="C275">
        <v>0</v>
      </c>
      <c r="D275">
        <v>0</v>
      </c>
      <c r="E275">
        <v>1</v>
      </c>
      <c r="F275">
        <v>3</v>
      </c>
      <c r="G275">
        <v>4</v>
      </c>
      <c r="H275" t="str">
        <f>IF(Demographics[[#This Row],[DOB]]&gt;10000000, TEXT(Demographics[[#This Row],[DOB]],0),CONCATENATE("0",TEXT(Demographics[[#This Row],[DOB]],0)))</f>
        <v>29051986</v>
      </c>
      <c r="I275" s="4">
        <f ca="1">IFERROR((VALUE(TODAY()-DATE(RIGHT(Demographics[[#This Row],[DOB - Fixed]],4),MID(Demographics[[#This Row],[DOB - Fixed]],3,2),LEFT(Demographics[[#This Row],[DOB - Fixed]],2))))/365,0)</f>
        <v>37.304109589041097</v>
      </c>
      <c r="J275">
        <f>VLOOKUP(Demographics[[#This Row],[INCOME LEVEL]],Income[],4,FALSE)</f>
        <v>175</v>
      </c>
      <c r="K275">
        <f>IFERROR(Demographics[[#This Row],[Total monthly income]]/Demographics[[#This Row],[FAMILY SIZE]], 0)</f>
        <v>0</v>
      </c>
    </row>
    <row r="276" spans="1:11" x14ac:dyDescent="0.2">
      <c r="A276">
        <v>11318560</v>
      </c>
      <c r="B276">
        <v>20061986</v>
      </c>
      <c r="C276">
        <v>9</v>
      </c>
      <c r="D276">
        <v>2</v>
      </c>
      <c r="E276">
        <v>1</v>
      </c>
      <c r="F276">
        <v>2</v>
      </c>
      <c r="G276">
        <v>2</v>
      </c>
      <c r="H276" t="str">
        <f>IF(Demographics[[#This Row],[DOB]]&gt;10000000, TEXT(Demographics[[#This Row],[DOB]],0),CONCATENATE("0",TEXT(Demographics[[#This Row],[DOB]],0)))</f>
        <v>20061986</v>
      </c>
      <c r="I276" s="4">
        <f ca="1">IFERROR((VALUE(TODAY()-DATE(RIGHT(Demographics[[#This Row],[DOB - Fixed]],4),MID(Demographics[[#This Row],[DOB - Fixed]],3,2),LEFT(Demographics[[#This Row],[DOB - Fixed]],2))))/365,0)</f>
        <v>37.243835616438353</v>
      </c>
      <c r="J276">
        <f>VLOOKUP(Demographics[[#This Row],[INCOME LEVEL]],Income[],4,FALSE)</f>
        <v>175</v>
      </c>
      <c r="K276">
        <f>IFERROR(Demographics[[#This Row],[Total monthly income]]/Demographics[[#This Row],[FAMILY SIZE]], 0)</f>
        <v>19.444444444444443</v>
      </c>
    </row>
    <row r="277" spans="1:11" x14ac:dyDescent="0.2">
      <c r="A277">
        <v>18895672</v>
      </c>
      <c r="B277">
        <v>4111986</v>
      </c>
      <c r="C277">
        <v>4</v>
      </c>
      <c r="D277">
        <v>1</v>
      </c>
      <c r="E277">
        <v>3</v>
      </c>
      <c r="F277">
        <v>5</v>
      </c>
      <c r="G277">
        <v>5</v>
      </c>
      <c r="H277" t="str">
        <f>IF(Demographics[[#This Row],[DOB]]&gt;10000000, TEXT(Demographics[[#This Row],[DOB]],0),CONCATENATE("0",TEXT(Demographics[[#This Row],[DOB]],0)))</f>
        <v>04111986</v>
      </c>
      <c r="I277" s="4">
        <f ca="1">IFERROR((VALUE(TODAY()-DATE(RIGHT(Demographics[[#This Row],[DOB - Fixed]],4),MID(Demographics[[#This Row],[DOB - Fixed]],3,2),LEFT(Demographics[[#This Row],[DOB - Fixed]],2))))/365,0)</f>
        <v>36.868493150684934</v>
      </c>
      <c r="J277">
        <f>VLOOKUP(Demographics[[#This Row],[INCOME LEVEL]],Income[],4,FALSE)</f>
        <v>1397.5</v>
      </c>
      <c r="K277">
        <f>IFERROR(Demographics[[#This Row],[Total monthly income]]/Demographics[[#This Row],[FAMILY SIZE]], 0)</f>
        <v>349.375</v>
      </c>
    </row>
    <row r="278" spans="1:11" x14ac:dyDescent="0.2">
      <c r="A278">
        <v>24135316</v>
      </c>
      <c r="B278">
        <v>4061984</v>
      </c>
      <c r="C278">
        <v>4</v>
      </c>
      <c r="D278">
        <v>1</v>
      </c>
      <c r="E278">
        <v>1</v>
      </c>
      <c r="F278">
        <v>5</v>
      </c>
      <c r="G278">
        <v>5</v>
      </c>
      <c r="H278" t="str">
        <f>IF(Demographics[[#This Row],[DOB]]&gt;10000000, TEXT(Demographics[[#This Row],[DOB]],0),CONCATENATE("0",TEXT(Demographics[[#This Row],[DOB]],0)))</f>
        <v>04061984</v>
      </c>
      <c r="I278" s="4">
        <f ca="1">IFERROR((VALUE(TODAY()-DATE(RIGHT(Demographics[[#This Row],[DOB - Fixed]],4),MID(Demographics[[#This Row],[DOB - Fixed]],3,2),LEFT(Demographics[[#This Row],[DOB - Fixed]],2))))/365,0)</f>
        <v>39.287671232876711</v>
      </c>
      <c r="J278">
        <f>VLOOKUP(Demographics[[#This Row],[INCOME LEVEL]],Income[],4,FALSE)</f>
        <v>175</v>
      </c>
      <c r="K278">
        <f>IFERROR(Demographics[[#This Row],[Total monthly income]]/Demographics[[#This Row],[FAMILY SIZE]], 0)</f>
        <v>43.75</v>
      </c>
    </row>
    <row r="279" spans="1:11" x14ac:dyDescent="0.2">
      <c r="A279">
        <v>6714030</v>
      </c>
      <c r="B279">
        <v>17111986</v>
      </c>
      <c r="C279">
        <v>4</v>
      </c>
      <c r="D279">
        <v>1</v>
      </c>
      <c r="E279">
        <v>2</v>
      </c>
      <c r="F279">
        <v>5</v>
      </c>
      <c r="G279">
        <v>4</v>
      </c>
      <c r="H279" t="str">
        <f>IF(Demographics[[#This Row],[DOB]]&gt;10000000, TEXT(Demographics[[#This Row],[DOB]],0),CONCATENATE("0",TEXT(Demographics[[#This Row],[DOB]],0)))</f>
        <v>17111986</v>
      </c>
      <c r="I279" s="4">
        <f ca="1">IFERROR((VALUE(TODAY()-DATE(RIGHT(Demographics[[#This Row],[DOB - Fixed]],4),MID(Demographics[[#This Row],[DOB - Fixed]],3,2),LEFT(Demographics[[#This Row],[DOB - Fixed]],2))))/365,0)</f>
        <v>36.832876712328769</v>
      </c>
      <c r="J279">
        <f>VLOOKUP(Demographics[[#This Row],[INCOME LEVEL]],Income[],4,FALSE)</f>
        <v>697.5</v>
      </c>
      <c r="K279">
        <f>IFERROR(Demographics[[#This Row],[Total monthly income]]/Demographics[[#This Row],[FAMILY SIZE]], 0)</f>
        <v>174.375</v>
      </c>
    </row>
    <row r="280" spans="1:11" x14ac:dyDescent="0.2">
      <c r="A280">
        <v>2238661</v>
      </c>
      <c r="B280">
        <v>7101986</v>
      </c>
      <c r="C280">
        <v>3</v>
      </c>
      <c r="D280">
        <v>1</v>
      </c>
      <c r="E280">
        <v>1</v>
      </c>
      <c r="F280">
        <v>2</v>
      </c>
      <c r="G280">
        <v>2</v>
      </c>
      <c r="H280" t="str">
        <f>IF(Demographics[[#This Row],[DOB]]&gt;10000000, TEXT(Demographics[[#This Row],[DOB]],0),CONCATENATE("0",TEXT(Demographics[[#This Row],[DOB]],0)))</f>
        <v>07101986</v>
      </c>
      <c r="I280" s="4">
        <f ca="1">IFERROR((VALUE(TODAY()-DATE(RIGHT(Demographics[[#This Row],[DOB - Fixed]],4),MID(Demographics[[#This Row],[DOB - Fixed]],3,2),LEFT(Demographics[[#This Row],[DOB - Fixed]],2))))/365,0)</f>
        <v>36.945205479452056</v>
      </c>
      <c r="J280">
        <f>VLOOKUP(Demographics[[#This Row],[INCOME LEVEL]],Income[],4,FALSE)</f>
        <v>175</v>
      </c>
      <c r="K280">
        <f>IFERROR(Demographics[[#This Row],[Total monthly income]]/Demographics[[#This Row],[FAMILY SIZE]], 0)</f>
        <v>58.333333333333336</v>
      </c>
    </row>
    <row r="281" spans="1:11" x14ac:dyDescent="0.2">
      <c r="A281">
        <v>5278107</v>
      </c>
      <c r="B281">
        <v>31071986</v>
      </c>
      <c r="C281">
        <v>4</v>
      </c>
      <c r="D281">
        <v>1</v>
      </c>
      <c r="E281">
        <v>1</v>
      </c>
      <c r="F281">
        <v>4</v>
      </c>
      <c r="G281">
        <v>5</v>
      </c>
      <c r="H281" t="str">
        <f>IF(Demographics[[#This Row],[DOB]]&gt;10000000, TEXT(Demographics[[#This Row],[DOB]],0),CONCATENATE("0",TEXT(Demographics[[#This Row],[DOB]],0)))</f>
        <v>31071986</v>
      </c>
      <c r="I281" s="4">
        <f ca="1">IFERROR((VALUE(TODAY()-DATE(RIGHT(Demographics[[#This Row],[DOB - Fixed]],4),MID(Demographics[[#This Row],[DOB - Fixed]],3,2),LEFT(Demographics[[#This Row],[DOB - Fixed]],2))))/365,0)</f>
        <v>37.131506849315066</v>
      </c>
      <c r="J281">
        <f>VLOOKUP(Demographics[[#This Row],[INCOME LEVEL]],Income[],4,FALSE)</f>
        <v>175</v>
      </c>
      <c r="K281">
        <f>IFERROR(Demographics[[#This Row],[Total monthly income]]/Demographics[[#This Row],[FAMILY SIZE]], 0)</f>
        <v>43.75</v>
      </c>
    </row>
    <row r="282" spans="1:11" x14ac:dyDescent="0.2">
      <c r="A282">
        <v>16824975</v>
      </c>
      <c r="B282">
        <v>31071986</v>
      </c>
      <c r="C282">
        <v>5</v>
      </c>
      <c r="D282">
        <v>1</v>
      </c>
      <c r="E282">
        <v>1</v>
      </c>
      <c r="F282">
        <v>5</v>
      </c>
      <c r="G282">
        <v>5</v>
      </c>
      <c r="H282" t="str">
        <f>IF(Demographics[[#This Row],[DOB]]&gt;10000000, TEXT(Demographics[[#This Row],[DOB]],0),CONCATENATE("0",TEXT(Demographics[[#This Row],[DOB]],0)))</f>
        <v>31071986</v>
      </c>
      <c r="I282" s="4">
        <f ca="1">IFERROR((VALUE(TODAY()-DATE(RIGHT(Demographics[[#This Row],[DOB - Fixed]],4),MID(Demographics[[#This Row],[DOB - Fixed]],3,2),LEFT(Demographics[[#This Row],[DOB - Fixed]],2))))/365,0)</f>
        <v>37.131506849315066</v>
      </c>
      <c r="J282">
        <f>VLOOKUP(Demographics[[#This Row],[INCOME LEVEL]],Income[],4,FALSE)</f>
        <v>175</v>
      </c>
      <c r="K282">
        <f>IFERROR(Demographics[[#This Row],[Total monthly income]]/Demographics[[#This Row],[FAMILY SIZE]], 0)</f>
        <v>35</v>
      </c>
    </row>
    <row r="283" spans="1:11" x14ac:dyDescent="0.2">
      <c r="A283">
        <v>20564007</v>
      </c>
      <c r="B283">
        <v>26091986</v>
      </c>
      <c r="C283">
        <v>5</v>
      </c>
      <c r="D283">
        <v>1</v>
      </c>
      <c r="E283">
        <v>1</v>
      </c>
      <c r="F283">
        <v>5</v>
      </c>
      <c r="G283">
        <v>3</v>
      </c>
      <c r="H283" t="str">
        <f>IF(Demographics[[#This Row],[DOB]]&gt;10000000, TEXT(Demographics[[#This Row],[DOB]],0),CONCATENATE("0",TEXT(Demographics[[#This Row],[DOB]],0)))</f>
        <v>26091986</v>
      </c>
      <c r="I283" s="4">
        <f ca="1">IFERROR((VALUE(TODAY()-DATE(RIGHT(Demographics[[#This Row],[DOB - Fixed]],4),MID(Demographics[[#This Row],[DOB - Fixed]],3,2),LEFT(Demographics[[#This Row],[DOB - Fixed]],2))))/365,0)</f>
        <v>36.975342465753428</v>
      </c>
      <c r="J283">
        <f>VLOOKUP(Demographics[[#This Row],[INCOME LEVEL]],Income[],4,FALSE)</f>
        <v>175</v>
      </c>
      <c r="K283">
        <f>IFERROR(Demographics[[#This Row],[Total monthly income]]/Demographics[[#This Row],[FAMILY SIZE]], 0)</f>
        <v>35</v>
      </c>
    </row>
    <row r="284" spans="1:11" x14ac:dyDescent="0.2">
      <c r="A284">
        <v>3041251</v>
      </c>
      <c r="B284">
        <v>14081986</v>
      </c>
      <c r="C284">
        <v>7</v>
      </c>
      <c r="D284">
        <v>0</v>
      </c>
      <c r="E284">
        <v>1</v>
      </c>
      <c r="F284">
        <v>0</v>
      </c>
      <c r="G284">
        <v>2</v>
      </c>
      <c r="H284" t="str">
        <f>IF(Demographics[[#This Row],[DOB]]&gt;10000000, TEXT(Demographics[[#This Row],[DOB]],0),CONCATENATE("0",TEXT(Demographics[[#This Row],[DOB]],0)))</f>
        <v>14081986</v>
      </c>
      <c r="I284" s="4">
        <f ca="1">IFERROR((VALUE(TODAY()-DATE(RIGHT(Demographics[[#This Row],[DOB - Fixed]],4),MID(Demographics[[#This Row],[DOB - Fixed]],3,2),LEFT(Demographics[[#This Row],[DOB - Fixed]],2))))/365,0)</f>
        <v>37.093150684931508</v>
      </c>
      <c r="J284">
        <f>VLOOKUP(Demographics[[#This Row],[INCOME LEVEL]],Income[],4,FALSE)</f>
        <v>175</v>
      </c>
      <c r="K284">
        <f>IFERROR(Demographics[[#This Row],[Total monthly income]]/Demographics[[#This Row],[FAMILY SIZE]], 0)</f>
        <v>25</v>
      </c>
    </row>
    <row r="285" spans="1:11" x14ac:dyDescent="0.2">
      <c r="A285">
        <v>16391335</v>
      </c>
      <c r="B285">
        <v>30071986</v>
      </c>
      <c r="C285">
        <v>4</v>
      </c>
      <c r="D285">
        <v>1</v>
      </c>
      <c r="E285">
        <v>1</v>
      </c>
      <c r="F285">
        <v>5</v>
      </c>
      <c r="G285">
        <v>5</v>
      </c>
      <c r="H285" t="str">
        <f>IF(Demographics[[#This Row],[DOB]]&gt;10000000, TEXT(Demographics[[#This Row],[DOB]],0),CONCATENATE("0",TEXT(Demographics[[#This Row],[DOB]],0)))</f>
        <v>30071986</v>
      </c>
      <c r="I285" s="4">
        <f ca="1">IFERROR((VALUE(TODAY()-DATE(RIGHT(Demographics[[#This Row],[DOB - Fixed]],4),MID(Demographics[[#This Row],[DOB - Fixed]],3,2),LEFT(Demographics[[#This Row],[DOB - Fixed]],2))))/365,0)</f>
        <v>37.134246575342466</v>
      </c>
      <c r="J285">
        <f>VLOOKUP(Demographics[[#This Row],[INCOME LEVEL]],Income[],4,FALSE)</f>
        <v>175</v>
      </c>
      <c r="K285">
        <f>IFERROR(Demographics[[#This Row],[Total monthly income]]/Demographics[[#This Row],[FAMILY SIZE]], 0)</f>
        <v>43.75</v>
      </c>
    </row>
    <row r="286" spans="1:11" x14ac:dyDescent="0.2">
      <c r="A286">
        <v>23435479</v>
      </c>
      <c r="B286">
        <v>29091986</v>
      </c>
      <c r="C286">
        <v>0</v>
      </c>
      <c r="D286">
        <v>0</v>
      </c>
      <c r="E286">
        <v>1</v>
      </c>
      <c r="F286">
        <v>0</v>
      </c>
      <c r="G286">
        <v>0</v>
      </c>
      <c r="H286" t="str">
        <f>IF(Demographics[[#This Row],[DOB]]&gt;10000000, TEXT(Demographics[[#This Row],[DOB]],0),CONCATENATE("0",TEXT(Demographics[[#This Row],[DOB]],0)))</f>
        <v>29091986</v>
      </c>
      <c r="I286" s="4">
        <f ca="1">IFERROR((VALUE(TODAY()-DATE(RIGHT(Demographics[[#This Row],[DOB - Fixed]],4),MID(Demographics[[#This Row],[DOB - Fixed]],3,2),LEFT(Demographics[[#This Row],[DOB - Fixed]],2))))/365,0)</f>
        <v>36.967123287671235</v>
      </c>
      <c r="J286">
        <f>VLOOKUP(Demographics[[#This Row],[INCOME LEVEL]],Income[],4,FALSE)</f>
        <v>175</v>
      </c>
      <c r="K286">
        <f>IFERROR(Demographics[[#This Row],[Total monthly income]]/Demographics[[#This Row],[FAMILY SIZE]], 0)</f>
        <v>0</v>
      </c>
    </row>
    <row r="287" spans="1:11" x14ac:dyDescent="0.2">
      <c r="A287">
        <v>18961054</v>
      </c>
      <c r="B287">
        <v>13101986</v>
      </c>
      <c r="C287">
        <v>8</v>
      </c>
      <c r="D287">
        <v>3</v>
      </c>
      <c r="E287">
        <v>3</v>
      </c>
      <c r="F287">
        <v>9</v>
      </c>
      <c r="G287">
        <v>9</v>
      </c>
      <c r="H287" t="str">
        <f>IF(Demographics[[#This Row],[DOB]]&gt;10000000, TEXT(Demographics[[#This Row],[DOB]],0),CONCATENATE("0",TEXT(Demographics[[#This Row],[DOB]],0)))</f>
        <v>13101986</v>
      </c>
      <c r="I287" s="4">
        <f ca="1">IFERROR((VALUE(TODAY()-DATE(RIGHT(Demographics[[#This Row],[DOB - Fixed]],4),MID(Demographics[[#This Row],[DOB - Fixed]],3,2),LEFT(Demographics[[#This Row],[DOB - Fixed]],2))))/365,0)</f>
        <v>36.92876712328767</v>
      </c>
      <c r="J287">
        <f>VLOOKUP(Demographics[[#This Row],[INCOME LEVEL]],Income[],4,FALSE)</f>
        <v>1397.5</v>
      </c>
      <c r="K287">
        <f>IFERROR(Demographics[[#This Row],[Total monthly income]]/Demographics[[#This Row],[FAMILY SIZE]], 0)</f>
        <v>174.6875</v>
      </c>
    </row>
    <row r="288" spans="1:11" x14ac:dyDescent="0.2">
      <c r="A288">
        <v>12119798</v>
      </c>
      <c r="B288">
        <v>14101986</v>
      </c>
      <c r="C288">
        <v>0</v>
      </c>
      <c r="D288">
        <v>0</v>
      </c>
      <c r="E288">
        <v>1</v>
      </c>
      <c r="F288">
        <v>0</v>
      </c>
      <c r="G288">
        <v>0</v>
      </c>
      <c r="H288" t="str">
        <f>IF(Demographics[[#This Row],[DOB]]&gt;10000000, TEXT(Demographics[[#This Row],[DOB]],0),CONCATENATE("0",TEXT(Demographics[[#This Row],[DOB]],0)))</f>
        <v>14101986</v>
      </c>
      <c r="I288" s="4">
        <f ca="1">IFERROR((VALUE(TODAY()-DATE(RIGHT(Demographics[[#This Row],[DOB - Fixed]],4),MID(Demographics[[#This Row],[DOB - Fixed]],3,2),LEFT(Demographics[[#This Row],[DOB - Fixed]],2))))/365,0)</f>
        <v>36.926027397260277</v>
      </c>
      <c r="J288">
        <f>VLOOKUP(Demographics[[#This Row],[INCOME LEVEL]],Income[],4,FALSE)</f>
        <v>175</v>
      </c>
      <c r="K288">
        <f>IFERROR(Demographics[[#This Row],[Total monthly income]]/Demographics[[#This Row],[FAMILY SIZE]], 0)</f>
        <v>0</v>
      </c>
    </row>
    <row r="289" spans="1:11" x14ac:dyDescent="0.2">
      <c r="A289">
        <v>19162825</v>
      </c>
      <c r="B289">
        <v>26101986</v>
      </c>
      <c r="C289">
        <v>4</v>
      </c>
      <c r="D289">
        <v>2</v>
      </c>
      <c r="E289">
        <v>3</v>
      </c>
      <c r="F289">
        <v>9</v>
      </c>
      <c r="G289">
        <v>9</v>
      </c>
      <c r="H289" t="str">
        <f>IF(Demographics[[#This Row],[DOB]]&gt;10000000, TEXT(Demographics[[#This Row],[DOB]],0),CONCATENATE("0",TEXT(Demographics[[#This Row],[DOB]],0)))</f>
        <v>26101986</v>
      </c>
      <c r="I289" s="4">
        <f ca="1">IFERROR((VALUE(TODAY()-DATE(RIGHT(Demographics[[#This Row],[DOB - Fixed]],4),MID(Demographics[[#This Row],[DOB - Fixed]],3,2),LEFT(Demographics[[#This Row],[DOB - Fixed]],2))))/365,0)</f>
        <v>36.893150684931506</v>
      </c>
      <c r="J289">
        <f>VLOOKUP(Demographics[[#This Row],[INCOME LEVEL]],Income[],4,FALSE)</f>
        <v>1397.5</v>
      </c>
      <c r="K289">
        <f>IFERROR(Demographics[[#This Row],[Total monthly income]]/Demographics[[#This Row],[FAMILY SIZE]], 0)</f>
        <v>349.375</v>
      </c>
    </row>
    <row r="290" spans="1:11" x14ac:dyDescent="0.2">
      <c r="A290">
        <v>22166231</v>
      </c>
      <c r="B290">
        <v>25101986</v>
      </c>
      <c r="C290">
        <v>7</v>
      </c>
      <c r="D290">
        <v>2</v>
      </c>
      <c r="E290">
        <v>1</v>
      </c>
      <c r="F290">
        <v>2</v>
      </c>
      <c r="G290">
        <v>2</v>
      </c>
      <c r="H290" t="str">
        <f>IF(Demographics[[#This Row],[DOB]]&gt;10000000, TEXT(Demographics[[#This Row],[DOB]],0),CONCATENATE("0",TEXT(Demographics[[#This Row],[DOB]],0)))</f>
        <v>25101986</v>
      </c>
      <c r="I290" s="4">
        <f ca="1">IFERROR((VALUE(TODAY()-DATE(RIGHT(Demographics[[#This Row],[DOB - Fixed]],4),MID(Demographics[[#This Row],[DOB - Fixed]],3,2),LEFT(Demographics[[#This Row],[DOB - Fixed]],2))))/365,0)</f>
        <v>36.895890410958906</v>
      </c>
      <c r="J290">
        <f>VLOOKUP(Demographics[[#This Row],[INCOME LEVEL]],Income[],4,FALSE)</f>
        <v>175</v>
      </c>
      <c r="K290">
        <f>IFERROR(Demographics[[#This Row],[Total monthly income]]/Demographics[[#This Row],[FAMILY SIZE]], 0)</f>
        <v>25</v>
      </c>
    </row>
    <row r="291" spans="1:11" x14ac:dyDescent="0.2">
      <c r="A291">
        <v>12277899</v>
      </c>
      <c r="B291">
        <v>31101986</v>
      </c>
      <c r="C291">
        <v>5</v>
      </c>
      <c r="D291">
        <v>1</v>
      </c>
      <c r="E291">
        <v>1</v>
      </c>
      <c r="F291">
        <v>2</v>
      </c>
      <c r="G291">
        <v>2</v>
      </c>
      <c r="H291" t="str">
        <f>IF(Demographics[[#This Row],[DOB]]&gt;10000000, TEXT(Demographics[[#This Row],[DOB]],0),CONCATENATE("0",TEXT(Demographics[[#This Row],[DOB]],0)))</f>
        <v>31101986</v>
      </c>
      <c r="I291" s="4">
        <f ca="1">IFERROR((VALUE(TODAY()-DATE(RIGHT(Demographics[[#This Row],[DOB - Fixed]],4),MID(Demographics[[#This Row],[DOB - Fixed]],3,2),LEFT(Demographics[[#This Row],[DOB - Fixed]],2))))/365,0)</f>
        <v>36.87945205479452</v>
      </c>
      <c r="J291">
        <f>VLOOKUP(Demographics[[#This Row],[INCOME LEVEL]],Income[],4,FALSE)</f>
        <v>175</v>
      </c>
      <c r="K291">
        <f>IFERROR(Demographics[[#This Row],[Total monthly income]]/Demographics[[#This Row],[FAMILY SIZE]], 0)</f>
        <v>35</v>
      </c>
    </row>
    <row r="292" spans="1:11" x14ac:dyDescent="0.2">
      <c r="A292">
        <v>14947730</v>
      </c>
      <c r="B292">
        <v>14111986</v>
      </c>
      <c r="C292">
        <v>0</v>
      </c>
      <c r="D292">
        <v>0</v>
      </c>
      <c r="E292">
        <v>1</v>
      </c>
      <c r="F292">
        <v>0</v>
      </c>
      <c r="G292">
        <v>0</v>
      </c>
      <c r="H292" t="str">
        <f>IF(Demographics[[#This Row],[DOB]]&gt;10000000, TEXT(Demographics[[#This Row],[DOB]],0),CONCATENATE("0",TEXT(Demographics[[#This Row],[DOB]],0)))</f>
        <v>14111986</v>
      </c>
      <c r="I292" s="4">
        <f ca="1">IFERROR((VALUE(TODAY()-DATE(RIGHT(Demographics[[#This Row],[DOB - Fixed]],4),MID(Demographics[[#This Row],[DOB - Fixed]],3,2),LEFT(Demographics[[#This Row],[DOB - Fixed]],2))))/365,0)</f>
        <v>36.841095890410962</v>
      </c>
      <c r="J292">
        <f>VLOOKUP(Demographics[[#This Row],[INCOME LEVEL]],Income[],4,FALSE)</f>
        <v>175</v>
      </c>
      <c r="K292">
        <f>IFERROR(Demographics[[#This Row],[Total monthly income]]/Demographics[[#This Row],[FAMILY SIZE]], 0)</f>
        <v>0</v>
      </c>
    </row>
    <row r="293" spans="1:11" x14ac:dyDescent="0.2">
      <c r="A293">
        <v>18685483</v>
      </c>
      <c r="B293">
        <v>30101986</v>
      </c>
      <c r="C293">
        <v>4</v>
      </c>
      <c r="D293">
        <v>0</v>
      </c>
      <c r="E293">
        <v>1</v>
      </c>
      <c r="F293">
        <v>3</v>
      </c>
      <c r="G293">
        <v>2</v>
      </c>
      <c r="H293" t="str">
        <f>IF(Demographics[[#This Row],[DOB]]&gt;10000000, TEXT(Demographics[[#This Row],[DOB]],0),CONCATENATE("0",TEXT(Demographics[[#This Row],[DOB]],0)))</f>
        <v>30101986</v>
      </c>
      <c r="I293" s="4">
        <f ca="1">IFERROR((VALUE(TODAY()-DATE(RIGHT(Demographics[[#This Row],[DOB - Fixed]],4),MID(Demographics[[#This Row],[DOB - Fixed]],3,2),LEFT(Demographics[[#This Row],[DOB - Fixed]],2))))/365,0)</f>
        <v>36.88219178082192</v>
      </c>
      <c r="J293">
        <f>VLOOKUP(Demographics[[#This Row],[INCOME LEVEL]],Income[],4,FALSE)</f>
        <v>175</v>
      </c>
      <c r="K293">
        <f>IFERROR(Demographics[[#This Row],[Total monthly income]]/Demographics[[#This Row],[FAMILY SIZE]], 0)</f>
        <v>43.75</v>
      </c>
    </row>
    <row r="294" spans="1:11" x14ac:dyDescent="0.2">
      <c r="A294">
        <v>6937006</v>
      </c>
      <c r="B294">
        <v>23071986</v>
      </c>
      <c r="C294">
        <v>4</v>
      </c>
      <c r="D294">
        <v>1</v>
      </c>
      <c r="E294">
        <v>1</v>
      </c>
      <c r="F294">
        <v>3</v>
      </c>
      <c r="G294">
        <v>5</v>
      </c>
      <c r="H294" t="str">
        <f>IF(Demographics[[#This Row],[DOB]]&gt;10000000, TEXT(Demographics[[#This Row],[DOB]],0),CONCATENATE("0",TEXT(Demographics[[#This Row],[DOB]],0)))</f>
        <v>23071986</v>
      </c>
      <c r="I294" s="4">
        <f ca="1">IFERROR((VALUE(TODAY()-DATE(RIGHT(Demographics[[#This Row],[DOB - Fixed]],4),MID(Demographics[[#This Row],[DOB - Fixed]],3,2),LEFT(Demographics[[#This Row],[DOB - Fixed]],2))))/365,0)</f>
        <v>37.153424657534245</v>
      </c>
      <c r="J294">
        <f>VLOOKUP(Demographics[[#This Row],[INCOME LEVEL]],Income[],4,FALSE)</f>
        <v>175</v>
      </c>
      <c r="K294">
        <f>IFERROR(Demographics[[#This Row],[Total monthly income]]/Demographics[[#This Row],[FAMILY SIZE]], 0)</f>
        <v>43.75</v>
      </c>
    </row>
    <row r="295" spans="1:11" x14ac:dyDescent="0.2">
      <c r="A295">
        <v>8539121</v>
      </c>
      <c r="B295">
        <v>27101986</v>
      </c>
      <c r="C295">
        <v>7</v>
      </c>
      <c r="D295">
        <v>2</v>
      </c>
      <c r="E295">
        <v>1</v>
      </c>
      <c r="F295">
        <v>2</v>
      </c>
      <c r="G295">
        <v>2</v>
      </c>
      <c r="H295" t="str">
        <f>IF(Demographics[[#This Row],[DOB]]&gt;10000000, TEXT(Demographics[[#This Row],[DOB]],0),CONCATENATE("0",TEXT(Demographics[[#This Row],[DOB]],0)))</f>
        <v>27101986</v>
      </c>
      <c r="I295" s="4">
        <f ca="1">IFERROR((VALUE(TODAY()-DATE(RIGHT(Demographics[[#This Row],[DOB - Fixed]],4),MID(Demographics[[#This Row],[DOB - Fixed]],3,2),LEFT(Demographics[[#This Row],[DOB - Fixed]],2))))/365,0)</f>
        <v>36.890410958904113</v>
      </c>
      <c r="J295">
        <f>VLOOKUP(Demographics[[#This Row],[INCOME LEVEL]],Income[],4,FALSE)</f>
        <v>175</v>
      </c>
      <c r="K295">
        <f>IFERROR(Demographics[[#This Row],[Total monthly income]]/Demographics[[#This Row],[FAMILY SIZE]], 0)</f>
        <v>25</v>
      </c>
    </row>
    <row r="296" spans="1:11" x14ac:dyDescent="0.2">
      <c r="A296">
        <v>15684214</v>
      </c>
      <c r="B296">
        <v>17071986</v>
      </c>
      <c r="C296">
        <v>5</v>
      </c>
      <c r="D296">
        <v>2</v>
      </c>
      <c r="E296">
        <v>1</v>
      </c>
      <c r="F296">
        <v>2</v>
      </c>
      <c r="G296">
        <v>4</v>
      </c>
      <c r="H296" t="str">
        <f>IF(Demographics[[#This Row],[DOB]]&gt;10000000, TEXT(Demographics[[#This Row],[DOB]],0),CONCATENATE("0",TEXT(Demographics[[#This Row],[DOB]],0)))</f>
        <v>17071986</v>
      </c>
      <c r="I296" s="4">
        <f ca="1">IFERROR((VALUE(TODAY()-DATE(RIGHT(Demographics[[#This Row],[DOB - Fixed]],4),MID(Demographics[[#This Row],[DOB - Fixed]],3,2),LEFT(Demographics[[#This Row],[DOB - Fixed]],2))))/365,0)</f>
        <v>37.169863013698631</v>
      </c>
      <c r="J296">
        <f>VLOOKUP(Demographics[[#This Row],[INCOME LEVEL]],Income[],4,FALSE)</f>
        <v>175</v>
      </c>
      <c r="K296">
        <f>IFERROR(Demographics[[#This Row],[Total monthly income]]/Demographics[[#This Row],[FAMILY SIZE]], 0)</f>
        <v>35</v>
      </c>
    </row>
    <row r="297" spans="1:11" x14ac:dyDescent="0.2">
      <c r="A297">
        <v>7038421</v>
      </c>
      <c r="B297">
        <v>3121986</v>
      </c>
      <c r="C297">
        <v>5</v>
      </c>
      <c r="D297">
        <v>2</v>
      </c>
      <c r="E297">
        <v>1</v>
      </c>
      <c r="F297">
        <v>0</v>
      </c>
      <c r="G297">
        <v>2</v>
      </c>
      <c r="H297" t="str">
        <f>IF(Demographics[[#This Row],[DOB]]&gt;10000000, TEXT(Demographics[[#This Row],[DOB]],0),CONCATENATE("0",TEXT(Demographics[[#This Row],[DOB]],0)))</f>
        <v>03121986</v>
      </c>
      <c r="I297" s="4">
        <f ca="1">IFERROR((VALUE(TODAY()-DATE(RIGHT(Demographics[[#This Row],[DOB - Fixed]],4),MID(Demographics[[#This Row],[DOB - Fixed]],3,2),LEFT(Demographics[[#This Row],[DOB - Fixed]],2))))/365,0)</f>
        <v>36.789041095890411</v>
      </c>
      <c r="J297">
        <f>VLOOKUP(Demographics[[#This Row],[INCOME LEVEL]],Income[],4,FALSE)</f>
        <v>175</v>
      </c>
      <c r="K297">
        <f>IFERROR(Demographics[[#This Row],[Total monthly income]]/Demographics[[#This Row],[FAMILY SIZE]], 0)</f>
        <v>35</v>
      </c>
    </row>
    <row r="298" spans="1:11" x14ac:dyDescent="0.2">
      <c r="A298">
        <v>9607423</v>
      </c>
      <c r="B298">
        <v>1101986</v>
      </c>
      <c r="C298">
        <v>5</v>
      </c>
      <c r="D298">
        <v>1</v>
      </c>
      <c r="E298">
        <v>1</v>
      </c>
      <c r="F298">
        <v>4</v>
      </c>
      <c r="G298">
        <v>2</v>
      </c>
      <c r="H298" t="str">
        <f>IF(Demographics[[#This Row],[DOB]]&gt;10000000, TEXT(Demographics[[#This Row],[DOB]],0),CONCATENATE("0",TEXT(Demographics[[#This Row],[DOB]],0)))</f>
        <v>01101986</v>
      </c>
      <c r="I298" s="4">
        <f ca="1">IFERROR((VALUE(TODAY()-DATE(RIGHT(Demographics[[#This Row],[DOB - Fixed]],4),MID(Demographics[[#This Row],[DOB - Fixed]],3,2),LEFT(Demographics[[#This Row],[DOB - Fixed]],2))))/365,0)</f>
        <v>36.961643835616435</v>
      </c>
      <c r="J298">
        <f>VLOOKUP(Demographics[[#This Row],[INCOME LEVEL]],Income[],4,FALSE)</f>
        <v>175</v>
      </c>
      <c r="K298">
        <f>IFERROR(Demographics[[#This Row],[Total monthly income]]/Demographics[[#This Row],[FAMILY SIZE]], 0)</f>
        <v>35</v>
      </c>
    </row>
    <row r="299" spans="1:11" x14ac:dyDescent="0.2">
      <c r="A299">
        <v>12496434</v>
      </c>
      <c r="B299">
        <v>5101986</v>
      </c>
      <c r="C299">
        <v>2</v>
      </c>
      <c r="D299">
        <v>1</v>
      </c>
      <c r="E299">
        <v>1</v>
      </c>
      <c r="F299">
        <v>2</v>
      </c>
      <c r="G299">
        <v>3</v>
      </c>
      <c r="H299" t="str">
        <f>IF(Demographics[[#This Row],[DOB]]&gt;10000000, TEXT(Demographics[[#This Row],[DOB]],0),CONCATENATE("0",TEXT(Demographics[[#This Row],[DOB]],0)))</f>
        <v>05101986</v>
      </c>
      <c r="I299" s="4">
        <f ca="1">IFERROR((VALUE(TODAY()-DATE(RIGHT(Demographics[[#This Row],[DOB - Fixed]],4),MID(Demographics[[#This Row],[DOB - Fixed]],3,2),LEFT(Demographics[[#This Row],[DOB - Fixed]],2))))/365,0)</f>
        <v>36.950684931506849</v>
      </c>
      <c r="J299">
        <f>VLOOKUP(Demographics[[#This Row],[INCOME LEVEL]],Income[],4,FALSE)</f>
        <v>175</v>
      </c>
      <c r="K299">
        <f>IFERROR(Demographics[[#This Row],[Total monthly income]]/Demographics[[#This Row],[FAMILY SIZE]], 0)</f>
        <v>87.5</v>
      </c>
    </row>
    <row r="300" spans="1:11" x14ac:dyDescent="0.2">
      <c r="A300">
        <v>2883290</v>
      </c>
      <c r="B300">
        <v>30121986</v>
      </c>
      <c r="C300">
        <v>5</v>
      </c>
      <c r="D300">
        <v>2</v>
      </c>
      <c r="E300">
        <v>2</v>
      </c>
      <c r="F300">
        <v>3</v>
      </c>
      <c r="G300">
        <v>9</v>
      </c>
      <c r="H300" t="str">
        <f>IF(Demographics[[#This Row],[DOB]]&gt;10000000, TEXT(Demographics[[#This Row],[DOB]],0),CONCATENATE("0",TEXT(Demographics[[#This Row],[DOB]],0)))</f>
        <v>30121986</v>
      </c>
      <c r="I300" s="4">
        <f ca="1">IFERROR((VALUE(TODAY()-DATE(RIGHT(Demographics[[#This Row],[DOB - Fixed]],4),MID(Demographics[[#This Row],[DOB - Fixed]],3,2),LEFT(Demographics[[#This Row],[DOB - Fixed]],2))))/365,0)</f>
        <v>36.715068493150682</v>
      </c>
      <c r="J300">
        <f>VLOOKUP(Demographics[[#This Row],[INCOME LEVEL]],Income[],4,FALSE)</f>
        <v>697.5</v>
      </c>
      <c r="K300">
        <f>IFERROR(Demographics[[#This Row],[Total monthly income]]/Demographics[[#This Row],[FAMILY SIZE]], 0)</f>
        <v>139.5</v>
      </c>
    </row>
    <row r="301" spans="1:11" x14ac:dyDescent="0.2">
      <c r="A301">
        <v>11327296</v>
      </c>
      <c r="B301">
        <v>31121986</v>
      </c>
      <c r="C301">
        <v>6</v>
      </c>
      <c r="D301">
        <v>1</v>
      </c>
      <c r="E301">
        <v>1</v>
      </c>
      <c r="F301">
        <v>2</v>
      </c>
      <c r="G301">
        <v>5</v>
      </c>
      <c r="H301" t="str">
        <f>IF(Demographics[[#This Row],[DOB]]&gt;10000000, TEXT(Demographics[[#This Row],[DOB]],0),CONCATENATE("0",TEXT(Demographics[[#This Row],[DOB]],0)))</f>
        <v>31121986</v>
      </c>
      <c r="I301" s="4">
        <f ca="1">IFERROR((VALUE(TODAY()-DATE(RIGHT(Demographics[[#This Row],[DOB - Fixed]],4),MID(Demographics[[#This Row],[DOB - Fixed]],3,2),LEFT(Demographics[[#This Row],[DOB - Fixed]],2))))/365,0)</f>
        <v>36.712328767123289</v>
      </c>
      <c r="J301">
        <f>VLOOKUP(Demographics[[#This Row],[INCOME LEVEL]],Income[],4,FALSE)</f>
        <v>175</v>
      </c>
      <c r="K301">
        <f>IFERROR(Demographics[[#This Row],[Total monthly income]]/Demographics[[#This Row],[FAMILY SIZE]], 0)</f>
        <v>29.166666666666668</v>
      </c>
    </row>
    <row r="302" spans="1:11" x14ac:dyDescent="0.2">
      <c r="A302">
        <v>23711248</v>
      </c>
      <c r="B302">
        <v>22121986</v>
      </c>
      <c r="C302">
        <v>5</v>
      </c>
      <c r="D302">
        <v>1</v>
      </c>
      <c r="E302">
        <v>1</v>
      </c>
      <c r="F302">
        <v>4</v>
      </c>
      <c r="G302">
        <v>5</v>
      </c>
      <c r="H302" t="str">
        <f>IF(Demographics[[#This Row],[DOB]]&gt;10000000, TEXT(Demographics[[#This Row],[DOB]],0),CONCATENATE("0",TEXT(Demographics[[#This Row],[DOB]],0)))</f>
        <v>22121986</v>
      </c>
      <c r="I302" s="4">
        <f ca="1">IFERROR((VALUE(TODAY()-DATE(RIGHT(Demographics[[#This Row],[DOB - Fixed]],4),MID(Demographics[[#This Row],[DOB - Fixed]],3,2),LEFT(Demographics[[#This Row],[DOB - Fixed]],2))))/365,0)</f>
        <v>36.736986301369861</v>
      </c>
      <c r="J302">
        <f>VLOOKUP(Demographics[[#This Row],[INCOME LEVEL]],Income[],4,FALSE)</f>
        <v>175</v>
      </c>
      <c r="K302">
        <f>IFERROR(Demographics[[#This Row],[Total monthly income]]/Demographics[[#This Row],[FAMILY SIZE]], 0)</f>
        <v>35</v>
      </c>
    </row>
    <row r="303" spans="1:11" x14ac:dyDescent="0.2">
      <c r="A303">
        <v>1381764</v>
      </c>
      <c r="B303">
        <v>18091986</v>
      </c>
      <c r="C303">
        <v>0</v>
      </c>
      <c r="D303">
        <v>0</v>
      </c>
      <c r="E303">
        <v>1</v>
      </c>
      <c r="F303">
        <v>1</v>
      </c>
      <c r="G303">
        <v>1</v>
      </c>
      <c r="H303" t="str">
        <f>IF(Demographics[[#This Row],[DOB]]&gt;10000000, TEXT(Demographics[[#This Row],[DOB]],0),CONCATENATE("0",TEXT(Demographics[[#This Row],[DOB]],0)))</f>
        <v>18091986</v>
      </c>
      <c r="I303" s="4">
        <f ca="1">IFERROR((VALUE(TODAY()-DATE(RIGHT(Demographics[[#This Row],[DOB - Fixed]],4),MID(Demographics[[#This Row],[DOB - Fixed]],3,2),LEFT(Demographics[[#This Row],[DOB - Fixed]],2))))/365,0)</f>
        <v>36.9972602739726</v>
      </c>
      <c r="J303">
        <f>VLOOKUP(Demographics[[#This Row],[INCOME LEVEL]],Income[],4,FALSE)</f>
        <v>175</v>
      </c>
      <c r="K303">
        <f>IFERROR(Demographics[[#This Row],[Total monthly income]]/Demographics[[#This Row],[FAMILY SIZE]], 0)</f>
        <v>0</v>
      </c>
    </row>
    <row r="304" spans="1:11" x14ac:dyDescent="0.2">
      <c r="A304">
        <v>20406265</v>
      </c>
      <c r="B304">
        <v>24121986</v>
      </c>
      <c r="C304">
        <v>3</v>
      </c>
      <c r="D304">
        <v>0</v>
      </c>
      <c r="E304">
        <v>1</v>
      </c>
      <c r="F304">
        <v>2</v>
      </c>
      <c r="G304">
        <v>4</v>
      </c>
      <c r="H304" t="str">
        <f>IF(Demographics[[#This Row],[DOB]]&gt;10000000, TEXT(Demographics[[#This Row],[DOB]],0),CONCATENATE("0",TEXT(Demographics[[#This Row],[DOB]],0)))</f>
        <v>24121986</v>
      </c>
      <c r="I304" s="4">
        <f ca="1">IFERROR((VALUE(TODAY()-DATE(RIGHT(Demographics[[#This Row],[DOB - Fixed]],4),MID(Demographics[[#This Row],[DOB - Fixed]],3,2),LEFT(Demographics[[#This Row],[DOB - Fixed]],2))))/365,0)</f>
        <v>36.731506849315068</v>
      </c>
      <c r="J304">
        <f>VLOOKUP(Demographics[[#This Row],[INCOME LEVEL]],Income[],4,FALSE)</f>
        <v>175</v>
      </c>
      <c r="K304">
        <f>IFERROR(Demographics[[#This Row],[Total monthly income]]/Demographics[[#This Row],[FAMILY SIZE]], 0)</f>
        <v>58.333333333333336</v>
      </c>
    </row>
    <row r="305" spans="1:11" x14ac:dyDescent="0.2">
      <c r="A305">
        <v>22889171</v>
      </c>
      <c r="B305">
        <v>2021987</v>
      </c>
      <c r="C305">
        <v>0</v>
      </c>
      <c r="D305">
        <v>0</v>
      </c>
      <c r="E305">
        <v>1</v>
      </c>
      <c r="F305">
        <v>0</v>
      </c>
      <c r="G305">
        <v>0</v>
      </c>
      <c r="H305" t="str">
        <f>IF(Demographics[[#This Row],[DOB]]&gt;10000000, TEXT(Demographics[[#This Row],[DOB]],0),CONCATENATE("0",TEXT(Demographics[[#This Row],[DOB]],0)))</f>
        <v>02021987</v>
      </c>
      <c r="I305" s="4">
        <f ca="1">IFERROR((VALUE(TODAY()-DATE(RIGHT(Demographics[[#This Row],[DOB - Fixed]],4),MID(Demographics[[#This Row],[DOB - Fixed]],3,2),LEFT(Demographics[[#This Row],[DOB - Fixed]],2))))/365,0)</f>
        <v>36.62191780821918</v>
      </c>
      <c r="J305">
        <f>VLOOKUP(Demographics[[#This Row],[INCOME LEVEL]],Income[],4,FALSE)</f>
        <v>175</v>
      </c>
      <c r="K305">
        <f>IFERROR(Demographics[[#This Row],[Total monthly income]]/Demographics[[#This Row],[FAMILY SIZE]], 0)</f>
        <v>0</v>
      </c>
    </row>
    <row r="306" spans="1:11" x14ac:dyDescent="0.2">
      <c r="A306">
        <v>3764676</v>
      </c>
      <c r="B306">
        <v>10021987</v>
      </c>
      <c r="C306">
        <v>3</v>
      </c>
      <c r="D306">
        <v>2</v>
      </c>
      <c r="E306">
        <v>1</v>
      </c>
      <c r="F306">
        <v>9</v>
      </c>
      <c r="G306">
        <v>8</v>
      </c>
      <c r="H306" t="str">
        <f>IF(Demographics[[#This Row],[DOB]]&gt;10000000, TEXT(Demographics[[#This Row],[DOB]],0),CONCATENATE("0",TEXT(Demographics[[#This Row],[DOB]],0)))</f>
        <v>10021987</v>
      </c>
      <c r="I306" s="4">
        <f ca="1">IFERROR((VALUE(TODAY()-DATE(RIGHT(Demographics[[#This Row],[DOB - Fixed]],4),MID(Demographics[[#This Row],[DOB - Fixed]],3,2),LEFT(Demographics[[#This Row],[DOB - Fixed]],2))))/365,0)</f>
        <v>36.6</v>
      </c>
      <c r="J306">
        <f>VLOOKUP(Demographics[[#This Row],[INCOME LEVEL]],Income[],4,FALSE)</f>
        <v>175</v>
      </c>
      <c r="K306">
        <f>IFERROR(Demographics[[#This Row],[Total monthly income]]/Demographics[[#This Row],[FAMILY SIZE]], 0)</f>
        <v>58.333333333333336</v>
      </c>
    </row>
    <row r="307" spans="1:11" x14ac:dyDescent="0.2">
      <c r="A307">
        <v>8469548</v>
      </c>
      <c r="B307">
        <v>22021987</v>
      </c>
      <c r="C307">
        <v>3</v>
      </c>
      <c r="D307">
        <v>0</v>
      </c>
      <c r="E307">
        <v>1</v>
      </c>
      <c r="F307">
        <v>5</v>
      </c>
      <c r="G307">
        <v>5</v>
      </c>
      <c r="H307" t="str">
        <f>IF(Demographics[[#This Row],[DOB]]&gt;10000000, TEXT(Demographics[[#This Row],[DOB]],0),CONCATENATE("0",TEXT(Demographics[[#This Row],[DOB]],0)))</f>
        <v>22021987</v>
      </c>
      <c r="I307" s="4">
        <f ca="1">IFERROR((VALUE(TODAY()-DATE(RIGHT(Demographics[[#This Row],[DOB - Fixed]],4),MID(Demographics[[#This Row],[DOB - Fixed]],3,2),LEFT(Demographics[[#This Row],[DOB - Fixed]],2))))/365,0)</f>
        <v>36.56712328767123</v>
      </c>
      <c r="J307">
        <f>VLOOKUP(Demographics[[#This Row],[INCOME LEVEL]],Income[],4,FALSE)</f>
        <v>175</v>
      </c>
      <c r="K307">
        <f>IFERROR(Demographics[[#This Row],[Total monthly income]]/Demographics[[#This Row],[FAMILY SIZE]], 0)</f>
        <v>58.333333333333336</v>
      </c>
    </row>
    <row r="308" spans="1:11" x14ac:dyDescent="0.2">
      <c r="A308">
        <v>23524355</v>
      </c>
      <c r="B308">
        <v>14021987</v>
      </c>
      <c r="C308">
        <v>5</v>
      </c>
      <c r="D308">
        <v>1</v>
      </c>
      <c r="E308">
        <v>1</v>
      </c>
      <c r="F308">
        <v>5</v>
      </c>
      <c r="G308">
        <v>7</v>
      </c>
      <c r="H308" t="str">
        <f>IF(Demographics[[#This Row],[DOB]]&gt;10000000, TEXT(Demographics[[#This Row],[DOB]],0),CONCATENATE("0",TEXT(Demographics[[#This Row],[DOB]],0)))</f>
        <v>14021987</v>
      </c>
      <c r="I308" s="4">
        <f ca="1">IFERROR((VALUE(TODAY()-DATE(RIGHT(Demographics[[#This Row],[DOB - Fixed]],4),MID(Demographics[[#This Row],[DOB - Fixed]],3,2),LEFT(Demographics[[#This Row],[DOB - Fixed]],2))))/365,0)</f>
        <v>36.589041095890408</v>
      </c>
      <c r="J308">
        <f>VLOOKUP(Demographics[[#This Row],[INCOME LEVEL]],Income[],4,FALSE)</f>
        <v>175</v>
      </c>
      <c r="K308">
        <f>IFERROR(Demographics[[#This Row],[Total monthly income]]/Demographics[[#This Row],[FAMILY SIZE]], 0)</f>
        <v>35</v>
      </c>
    </row>
    <row r="309" spans="1:11" x14ac:dyDescent="0.2">
      <c r="A309">
        <v>16047127</v>
      </c>
      <c r="B309">
        <v>19021987</v>
      </c>
      <c r="C309">
        <v>4</v>
      </c>
      <c r="D309">
        <v>1</v>
      </c>
      <c r="E309">
        <v>1</v>
      </c>
      <c r="F309">
        <v>3</v>
      </c>
      <c r="G309">
        <v>3</v>
      </c>
      <c r="H309" t="str">
        <f>IF(Demographics[[#This Row],[DOB]]&gt;10000000, TEXT(Demographics[[#This Row],[DOB]],0),CONCATENATE("0",TEXT(Demographics[[#This Row],[DOB]],0)))</f>
        <v>19021987</v>
      </c>
      <c r="I309" s="4">
        <f ca="1">IFERROR((VALUE(TODAY()-DATE(RIGHT(Demographics[[#This Row],[DOB - Fixed]],4),MID(Demographics[[#This Row],[DOB - Fixed]],3,2),LEFT(Demographics[[#This Row],[DOB - Fixed]],2))))/365,0)</f>
        <v>36.575342465753423</v>
      </c>
      <c r="J309">
        <f>VLOOKUP(Demographics[[#This Row],[INCOME LEVEL]],Income[],4,FALSE)</f>
        <v>175</v>
      </c>
      <c r="K309">
        <f>IFERROR(Demographics[[#This Row],[Total monthly income]]/Demographics[[#This Row],[FAMILY SIZE]], 0)</f>
        <v>43.75</v>
      </c>
    </row>
    <row r="310" spans="1:11" x14ac:dyDescent="0.2">
      <c r="A310">
        <v>8902603</v>
      </c>
      <c r="B310">
        <v>21011987</v>
      </c>
      <c r="C310">
        <v>4</v>
      </c>
      <c r="D310">
        <v>1</v>
      </c>
      <c r="E310">
        <v>1</v>
      </c>
      <c r="F310">
        <v>2</v>
      </c>
      <c r="G310">
        <v>3</v>
      </c>
      <c r="H310" t="str">
        <f>IF(Demographics[[#This Row],[DOB]]&gt;10000000, TEXT(Demographics[[#This Row],[DOB]],0),CONCATENATE("0",TEXT(Demographics[[#This Row],[DOB]],0)))</f>
        <v>21011987</v>
      </c>
      <c r="I310" s="4">
        <f ca="1">IFERROR((VALUE(TODAY()-DATE(RIGHT(Demographics[[#This Row],[DOB - Fixed]],4),MID(Demographics[[#This Row],[DOB - Fixed]],3,2),LEFT(Demographics[[#This Row],[DOB - Fixed]],2))))/365,0)</f>
        <v>36.654794520547945</v>
      </c>
      <c r="J310">
        <f>VLOOKUP(Demographics[[#This Row],[INCOME LEVEL]],Income[],4,FALSE)</f>
        <v>175</v>
      </c>
      <c r="K310">
        <f>IFERROR(Demographics[[#This Row],[Total monthly income]]/Demographics[[#This Row],[FAMILY SIZE]], 0)</f>
        <v>43.75</v>
      </c>
    </row>
    <row r="311" spans="1:11" x14ac:dyDescent="0.2">
      <c r="A311">
        <v>19048986</v>
      </c>
      <c r="B311">
        <v>6031987</v>
      </c>
      <c r="C311">
        <v>4</v>
      </c>
      <c r="D311">
        <v>1</v>
      </c>
      <c r="E311">
        <v>1</v>
      </c>
      <c r="F311">
        <v>5</v>
      </c>
      <c r="G311">
        <v>5</v>
      </c>
      <c r="H311" t="str">
        <f>IF(Demographics[[#This Row],[DOB]]&gt;10000000, TEXT(Demographics[[#This Row],[DOB]],0),CONCATENATE("0",TEXT(Demographics[[#This Row],[DOB]],0)))</f>
        <v>06031987</v>
      </c>
      <c r="I311" s="4">
        <f ca="1">IFERROR((VALUE(TODAY()-DATE(RIGHT(Demographics[[#This Row],[DOB - Fixed]],4),MID(Demographics[[#This Row],[DOB - Fixed]],3,2),LEFT(Demographics[[#This Row],[DOB - Fixed]],2))))/365,0)</f>
        <v>36.534246575342465</v>
      </c>
      <c r="J311">
        <f>VLOOKUP(Demographics[[#This Row],[INCOME LEVEL]],Income[],4,FALSE)</f>
        <v>175</v>
      </c>
      <c r="K311">
        <f>IFERROR(Demographics[[#This Row],[Total monthly income]]/Demographics[[#This Row],[FAMILY SIZE]], 0)</f>
        <v>43.75</v>
      </c>
    </row>
    <row r="312" spans="1:11" x14ac:dyDescent="0.2">
      <c r="A312">
        <v>14344017</v>
      </c>
      <c r="B312">
        <v>11031987</v>
      </c>
      <c r="C312">
        <v>6</v>
      </c>
      <c r="D312">
        <v>2</v>
      </c>
      <c r="E312">
        <v>1</v>
      </c>
      <c r="F312">
        <v>4</v>
      </c>
      <c r="G312">
        <v>5</v>
      </c>
      <c r="H312" t="str">
        <f>IF(Demographics[[#This Row],[DOB]]&gt;10000000, TEXT(Demographics[[#This Row],[DOB]],0),CONCATENATE("0",TEXT(Demographics[[#This Row],[DOB]],0)))</f>
        <v>11031987</v>
      </c>
      <c r="I312" s="4">
        <f ca="1">IFERROR((VALUE(TODAY()-DATE(RIGHT(Demographics[[#This Row],[DOB - Fixed]],4),MID(Demographics[[#This Row],[DOB - Fixed]],3,2),LEFT(Demographics[[#This Row],[DOB - Fixed]],2))))/365,0)</f>
        <v>36.520547945205479</v>
      </c>
      <c r="J312">
        <f>VLOOKUP(Demographics[[#This Row],[INCOME LEVEL]],Income[],4,FALSE)</f>
        <v>175</v>
      </c>
      <c r="K312">
        <f>IFERROR(Demographics[[#This Row],[Total monthly income]]/Demographics[[#This Row],[FAMILY SIZE]], 0)</f>
        <v>29.166666666666668</v>
      </c>
    </row>
    <row r="313" spans="1:11" x14ac:dyDescent="0.2">
      <c r="A313">
        <v>24490759</v>
      </c>
      <c r="B313">
        <v>12031987</v>
      </c>
      <c r="C313">
        <v>5</v>
      </c>
      <c r="D313">
        <v>3</v>
      </c>
      <c r="E313">
        <v>1</v>
      </c>
      <c r="F313">
        <v>2</v>
      </c>
      <c r="G313">
        <v>5</v>
      </c>
      <c r="H313" t="str">
        <f>IF(Demographics[[#This Row],[DOB]]&gt;10000000, TEXT(Demographics[[#This Row],[DOB]],0),CONCATENATE("0",TEXT(Demographics[[#This Row],[DOB]],0)))</f>
        <v>12031987</v>
      </c>
      <c r="I313" s="4">
        <f ca="1">IFERROR((VALUE(TODAY()-DATE(RIGHT(Demographics[[#This Row],[DOB - Fixed]],4),MID(Demographics[[#This Row],[DOB - Fixed]],3,2),LEFT(Demographics[[#This Row],[DOB - Fixed]],2))))/365,0)</f>
        <v>36.517808219178079</v>
      </c>
      <c r="J313">
        <f>VLOOKUP(Demographics[[#This Row],[INCOME LEVEL]],Income[],4,FALSE)</f>
        <v>175</v>
      </c>
      <c r="K313">
        <f>IFERROR(Demographics[[#This Row],[Total monthly income]]/Demographics[[#This Row],[FAMILY SIZE]], 0)</f>
        <v>35</v>
      </c>
    </row>
    <row r="314" spans="1:11" x14ac:dyDescent="0.2">
      <c r="A314">
        <v>22456654</v>
      </c>
      <c r="B314">
        <v>19111986</v>
      </c>
      <c r="C314">
        <v>7</v>
      </c>
      <c r="D314">
        <v>2</v>
      </c>
      <c r="E314">
        <v>1</v>
      </c>
      <c r="F314">
        <v>4</v>
      </c>
      <c r="G314">
        <v>2</v>
      </c>
      <c r="H314" t="str">
        <f>IF(Demographics[[#This Row],[DOB]]&gt;10000000, TEXT(Demographics[[#This Row],[DOB]],0),CONCATENATE("0",TEXT(Demographics[[#This Row],[DOB]],0)))</f>
        <v>19111986</v>
      </c>
      <c r="I314" s="4">
        <f ca="1">IFERROR((VALUE(TODAY()-DATE(RIGHT(Demographics[[#This Row],[DOB - Fixed]],4),MID(Demographics[[#This Row],[DOB - Fixed]],3,2),LEFT(Demographics[[#This Row],[DOB - Fixed]],2))))/365,0)</f>
        <v>36.827397260273976</v>
      </c>
      <c r="J314">
        <f>VLOOKUP(Demographics[[#This Row],[INCOME LEVEL]],Income[],4,FALSE)</f>
        <v>175</v>
      </c>
      <c r="K314">
        <f>IFERROR(Demographics[[#This Row],[Total monthly income]]/Demographics[[#This Row],[FAMILY SIZE]], 0)</f>
        <v>25</v>
      </c>
    </row>
    <row r="315" spans="1:11" x14ac:dyDescent="0.2">
      <c r="A315">
        <v>3230629</v>
      </c>
      <c r="B315">
        <v>8031987</v>
      </c>
      <c r="C315">
        <v>4</v>
      </c>
      <c r="D315">
        <v>1</v>
      </c>
      <c r="E315">
        <v>1</v>
      </c>
      <c r="F315">
        <v>2</v>
      </c>
      <c r="G315">
        <v>4</v>
      </c>
      <c r="H315" t="str">
        <f>IF(Demographics[[#This Row],[DOB]]&gt;10000000, TEXT(Demographics[[#This Row],[DOB]],0),CONCATENATE("0",TEXT(Demographics[[#This Row],[DOB]],0)))</f>
        <v>08031987</v>
      </c>
      <c r="I315" s="4">
        <f ca="1">IFERROR((VALUE(TODAY()-DATE(RIGHT(Demographics[[#This Row],[DOB - Fixed]],4),MID(Demographics[[#This Row],[DOB - Fixed]],3,2),LEFT(Demographics[[#This Row],[DOB - Fixed]],2))))/365,0)</f>
        <v>36.528767123287672</v>
      </c>
      <c r="J315">
        <f>VLOOKUP(Demographics[[#This Row],[INCOME LEVEL]],Income[],4,FALSE)</f>
        <v>175</v>
      </c>
      <c r="K315">
        <f>IFERROR(Demographics[[#This Row],[Total monthly income]]/Demographics[[#This Row],[FAMILY SIZE]], 0)</f>
        <v>43.75</v>
      </c>
    </row>
    <row r="316" spans="1:11" x14ac:dyDescent="0.2">
      <c r="A316">
        <v>22383581</v>
      </c>
      <c r="B316">
        <v>22031987</v>
      </c>
      <c r="C316">
        <v>5</v>
      </c>
      <c r="D316">
        <v>1</v>
      </c>
      <c r="E316">
        <v>1</v>
      </c>
      <c r="F316">
        <v>2</v>
      </c>
      <c r="G316">
        <v>2</v>
      </c>
      <c r="H316" t="str">
        <f>IF(Demographics[[#This Row],[DOB]]&gt;10000000, TEXT(Demographics[[#This Row],[DOB]],0),CONCATENATE("0",TEXT(Demographics[[#This Row],[DOB]],0)))</f>
        <v>22031987</v>
      </c>
      <c r="I316" s="4">
        <f ca="1">IFERROR((VALUE(TODAY()-DATE(RIGHT(Demographics[[#This Row],[DOB - Fixed]],4),MID(Demographics[[#This Row],[DOB - Fixed]],3,2),LEFT(Demographics[[#This Row],[DOB - Fixed]],2))))/365,0)</f>
        <v>36.490410958904107</v>
      </c>
      <c r="J316">
        <f>VLOOKUP(Demographics[[#This Row],[INCOME LEVEL]],Income[],4,FALSE)</f>
        <v>175</v>
      </c>
      <c r="K316">
        <f>IFERROR(Demographics[[#This Row],[Total monthly income]]/Demographics[[#This Row],[FAMILY SIZE]], 0)</f>
        <v>35</v>
      </c>
    </row>
    <row r="317" spans="1:11" x14ac:dyDescent="0.2">
      <c r="A317">
        <v>4674318</v>
      </c>
      <c r="B317">
        <v>29031987</v>
      </c>
      <c r="C317">
        <v>5</v>
      </c>
      <c r="D317">
        <v>2</v>
      </c>
      <c r="E317">
        <v>1</v>
      </c>
      <c r="F317">
        <v>4</v>
      </c>
      <c r="G317">
        <v>5</v>
      </c>
      <c r="H317" t="str">
        <f>IF(Demographics[[#This Row],[DOB]]&gt;10000000, TEXT(Demographics[[#This Row],[DOB]],0),CONCATENATE("0",TEXT(Demographics[[#This Row],[DOB]],0)))</f>
        <v>29031987</v>
      </c>
      <c r="I317" s="4">
        <f ca="1">IFERROR((VALUE(TODAY()-DATE(RIGHT(Demographics[[#This Row],[DOB - Fixed]],4),MID(Demographics[[#This Row],[DOB - Fixed]],3,2),LEFT(Demographics[[#This Row],[DOB - Fixed]],2))))/365,0)</f>
        <v>36.471232876712328</v>
      </c>
      <c r="J317">
        <f>VLOOKUP(Demographics[[#This Row],[INCOME LEVEL]],Income[],4,FALSE)</f>
        <v>175</v>
      </c>
      <c r="K317">
        <f>IFERROR(Demographics[[#This Row],[Total monthly income]]/Demographics[[#This Row],[FAMILY SIZE]], 0)</f>
        <v>35</v>
      </c>
    </row>
    <row r="318" spans="1:11" x14ac:dyDescent="0.2">
      <c r="A318">
        <v>9727870</v>
      </c>
      <c r="B318">
        <v>15031987</v>
      </c>
      <c r="C318">
        <v>3</v>
      </c>
      <c r="D318">
        <v>1</v>
      </c>
      <c r="E318">
        <v>1</v>
      </c>
      <c r="F318">
        <v>4</v>
      </c>
      <c r="G318">
        <v>4</v>
      </c>
      <c r="H318" t="str">
        <f>IF(Demographics[[#This Row],[DOB]]&gt;10000000, TEXT(Demographics[[#This Row],[DOB]],0),CONCATENATE("0",TEXT(Demographics[[#This Row],[DOB]],0)))</f>
        <v>15031987</v>
      </c>
      <c r="I318" s="4">
        <f ca="1">IFERROR((VALUE(TODAY()-DATE(RIGHT(Demographics[[#This Row],[DOB - Fixed]],4),MID(Demographics[[#This Row],[DOB - Fixed]],3,2),LEFT(Demographics[[#This Row],[DOB - Fixed]],2))))/365,0)</f>
        <v>36.509589041095893</v>
      </c>
      <c r="J318">
        <f>VLOOKUP(Demographics[[#This Row],[INCOME LEVEL]],Income[],4,FALSE)</f>
        <v>175</v>
      </c>
      <c r="K318">
        <f>IFERROR(Demographics[[#This Row],[Total monthly income]]/Demographics[[#This Row],[FAMILY SIZE]], 0)</f>
        <v>58.333333333333336</v>
      </c>
    </row>
    <row r="319" spans="1:11" x14ac:dyDescent="0.2">
      <c r="A319">
        <v>10261856</v>
      </c>
      <c r="B319">
        <v>15041987</v>
      </c>
      <c r="C319">
        <v>5</v>
      </c>
      <c r="D319">
        <v>1</v>
      </c>
      <c r="E319">
        <v>1</v>
      </c>
      <c r="F319">
        <v>5</v>
      </c>
      <c r="G319">
        <v>5</v>
      </c>
      <c r="H319" t="str">
        <f>IF(Demographics[[#This Row],[DOB]]&gt;10000000, TEXT(Demographics[[#This Row],[DOB]],0),CONCATENATE("0",TEXT(Demographics[[#This Row],[DOB]],0)))</f>
        <v>15041987</v>
      </c>
      <c r="I319" s="4">
        <f ca="1">IFERROR((VALUE(TODAY()-DATE(RIGHT(Demographics[[#This Row],[DOB - Fixed]],4),MID(Demographics[[#This Row],[DOB - Fixed]],3,2),LEFT(Demographics[[#This Row],[DOB - Fixed]],2))))/365,0)</f>
        <v>36.424657534246577</v>
      </c>
      <c r="J319">
        <f>VLOOKUP(Demographics[[#This Row],[INCOME LEVEL]],Income[],4,FALSE)</f>
        <v>175</v>
      </c>
      <c r="K319">
        <f>IFERROR(Demographics[[#This Row],[Total monthly income]]/Demographics[[#This Row],[FAMILY SIZE]], 0)</f>
        <v>35</v>
      </c>
    </row>
    <row r="320" spans="1:11" x14ac:dyDescent="0.2">
      <c r="A320">
        <v>22545785</v>
      </c>
      <c r="B320">
        <v>2031987</v>
      </c>
      <c r="C320">
        <v>3</v>
      </c>
      <c r="D320">
        <v>1</v>
      </c>
      <c r="E320">
        <v>1</v>
      </c>
      <c r="F320">
        <v>4</v>
      </c>
      <c r="G320">
        <v>4</v>
      </c>
      <c r="H320" t="str">
        <f>IF(Demographics[[#This Row],[DOB]]&gt;10000000, TEXT(Demographics[[#This Row],[DOB]],0),CONCATENATE("0",TEXT(Demographics[[#This Row],[DOB]],0)))</f>
        <v>02031987</v>
      </c>
      <c r="I320" s="4">
        <f ca="1">IFERROR((VALUE(TODAY()-DATE(RIGHT(Demographics[[#This Row],[DOB - Fixed]],4),MID(Demographics[[#This Row],[DOB - Fixed]],3,2),LEFT(Demographics[[#This Row],[DOB - Fixed]],2))))/365,0)</f>
        <v>36.545205479452058</v>
      </c>
      <c r="J320">
        <f>VLOOKUP(Demographics[[#This Row],[INCOME LEVEL]],Income[],4,FALSE)</f>
        <v>175</v>
      </c>
      <c r="K320">
        <f>IFERROR(Demographics[[#This Row],[Total monthly income]]/Demographics[[#This Row],[FAMILY SIZE]], 0)</f>
        <v>58.333333333333336</v>
      </c>
    </row>
    <row r="321" spans="1:11" x14ac:dyDescent="0.2">
      <c r="A321">
        <v>8558253</v>
      </c>
      <c r="B321">
        <v>16041987</v>
      </c>
      <c r="C321">
        <v>4</v>
      </c>
      <c r="D321">
        <v>2</v>
      </c>
      <c r="E321">
        <v>1</v>
      </c>
      <c r="F321">
        <v>5</v>
      </c>
      <c r="G321">
        <v>4</v>
      </c>
      <c r="H321" t="str">
        <f>IF(Demographics[[#This Row],[DOB]]&gt;10000000, TEXT(Demographics[[#This Row],[DOB]],0),CONCATENATE("0",TEXT(Demographics[[#This Row],[DOB]],0)))</f>
        <v>16041987</v>
      </c>
      <c r="I321" s="4">
        <f ca="1">IFERROR((VALUE(TODAY()-DATE(RIGHT(Demographics[[#This Row],[DOB - Fixed]],4),MID(Demographics[[#This Row],[DOB - Fixed]],3,2),LEFT(Demographics[[#This Row],[DOB - Fixed]],2))))/365,0)</f>
        <v>36.421917808219177</v>
      </c>
      <c r="J321">
        <f>VLOOKUP(Demographics[[#This Row],[INCOME LEVEL]],Income[],4,FALSE)</f>
        <v>175</v>
      </c>
      <c r="K321">
        <f>IFERROR(Demographics[[#This Row],[Total monthly income]]/Demographics[[#This Row],[FAMILY SIZE]], 0)</f>
        <v>43.75</v>
      </c>
    </row>
    <row r="322" spans="1:11" x14ac:dyDescent="0.2">
      <c r="A322">
        <v>3881964</v>
      </c>
      <c r="B322">
        <v>30041987</v>
      </c>
      <c r="C322">
        <v>4</v>
      </c>
      <c r="D322">
        <v>1</v>
      </c>
      <c r="E322">
        <v>1</v>
      </c>
      <c r="F322">
        <v>5</v>
      </c>
      <c r="G322">
        <v>5</v>
      </c>
      <c r="H322" t="str">
        <f>IF(Demographics[[#This Row],[DOB]]&gt;10000000, TEXT(Demographics[[#This Row],[DOB]],0),CONCATENATE("0",TEXT(Demographics[[#This Row],[DOB]],0)))</f>
        <v>30041987</v>
      </c>
      <c r="I322" s="4">
        <f ca="1">IFERROR((VALUE(TODAY()-DATE(RIGHT(Demographics[[#This Row],[DOB - Fixed]],4),MID(Demographics[[#This Row],[DOB - Fixed]],3,2),LEFT(Demographics[[#This Row],[DOB - Fixed]],2))))/365,0)</f>
        <v>36.38356164383562</v>
      </c>
      <c r="J322">
        <f>VLOOKUP(Demographics[[#This Row],[INCOME LEVEL]],Income[],4,FALSE)</f>
        <v>175</v>
      </c>
      <c r="K322">
        <f>IFERROR(Demographics[[#This Row],[Total monthly income]]/Demographics[[#This Row],[FAMILY SIZE]], 0)</f>
        <v>43.75</v>
      </c>
    </row>
    <row r="323" spans="1:11" x14ac:dyDescent="0.2">
      <c r="A323">
        <v>17996716</v>
      </c>
      <c r="B323">
        <v>1051987</v>
      </c>
      <c r="C323">
        <v>4</v>
      </c>
      <c r="D323">
        <v>1</v>
      </c>
      <c r="E323">
        <v>1</v>
      </c>
      <c r="F323">
        <v>5</v>
      </c>
      <c r="G323">
        <v>5</v>
      </c>
      <c r="H323" t="str">
        <f>IF(Demographics[[#This Row],[DOB]]&gt;10000000, TEXT(Demographics[[#This Row],[DOB]],0),CONCATENATE("0",TEXT(Demographics[[#This Row],[DOB]],0)))</f>
        <v>01051987</v>
      </c>
      <c r="I323" s="4">
        <f ca="1">IFERROR((VALUE(TODAY()-DATE(RIGHT(Demographics[[#This Row],[DOB - Fixed]],4),MID(Demographics[[#This Row],[DOB - Fixed]],3,2),LEFT(Demographics[[#This Row],[DOB - Fixed]],2))))/365,0)</f>
        <v>36.38082191780822</v>
      </c>
      <c r="J323">
        <f>VLOOKUP(Demographics[[#This Row],[INCOME LEVEL]],Income[],4,FALSE)</f>
        <v>175</v>
      </c>
      <c r="K323">
        <f>IFERROR(Demographics[[#This Row],[Total monthly income]]/Demographics[[#This Row],[FAMILY SIZE]], 0)</f>
        <v>43.75</v>
      </c>
    </row>
    <row r="324" spans="1:11" x14ac:dyDescent="0.2">
      <c r="A324">
        <v>3060221</v>
      </c>
      <c r="B324">
        <v>7051987</v>
      </c>
      <c r="C324">
        <v>4</v>
      </c>
      <c r="D324">
        <v>1</v>
      </c>
      <c r="E324">
        <v>1</v>
      </c>
      <c r="F324">
        <v>2</v>
      </c>
      <c r="G324">
        <v>4</v>
      </c>
      <c r="H324" t="str">
        <f>IF(Demographics[[#This Row],[DOB]]&gt;10000000, TEXT(Demographics[[#This Row],[DOB]],0),CONCATENATE("0",TEXT(Demographics[[#This Row],[DOB]],0)))</f>
        <v>07051987</v>
      </c>
      <c r="I324" s="4">
        <f ca="1">IFERROR((VALUE(TODAY()-DATE(RIGHT(Demographics[[#This Row],[DOB - Fixed]],4),MID(Demographics[[#This Row],[DOB - Fixed]],3,2),LEFT(Demographics[[#This Row],[DOB - Fixed]],2))))/365,0)</f>
        <v>36.364383561643834</v>
      </c>
      <c r="J324">
        <f>VLOOKUP(Demographics[[#This Row],[INCOME LEVEL]],Income[],4,FALSE)</f>
        <v>175</v>
      </c>
      <c r="K324">
        <f>IFERROR(Demographics[[#This Row],[Total monthly income]]/Demographics[[#This Row],[FAMILY SIZE]], 0)</f>
        <v>43.75</v>
      </c>
    </row>
    <row r="325" spans="1:11" x14ac:dyDescent="0.2">
      <c r="A325">
        <v>1558105</v>
      </c>
      <c r="B325">
        <v>17051987</v>
      </c>
      <c r="C325">
        <v>3</v>
      </c>
      <c r="D325">
        <v>1</v>
      </c>
      <c r="E325">
        <v>1</v>
      </c>
      <c r="F325">
        <v>5</v>
      </c>
      <c r="G325">
        <v>5</v>
      </c>
      <c r="H325" t="str">
        <f>IF(Demographics[[#This Row],[DOB]]&gt;10000000, TEXT(Demographics[[#This Row],[DOB]],0),CONCATENATE("0",TEXT(Demographics[[#This Row],[DOB]],0)))</f>
        <v>17051987</v>
      </c>
      <c r="I325" s="4">
        <f ca="1">IFERROR((VALUE(TODAY()-DATE(RIGHT(Demographics[[#This Row],[DOB - Fixed]],4),MID(Demographics[[#This Row],[DOB - Fixed]],3,2),LEFT(Demographics[[#This Row],[DOB - Fixed]],2))))/365,0)</f>
        <v>36.336986301369862</v>
      </c>
      <c r="J325">
        <f>VLOOKUP(Demographics[[#This Row],[INCOME LEVEL]],Income[],4,FALSE)</f>
        <v>175</v>
      </c>
      <c r="K325">
        <f>IFERROR(Demographics[[#This Row],[Total monthly income]]/Demographics[[#This Row],[FAMILY SIZE]], 0)</f>
        <v>58.333333333333336</v>
      </c>
    </row>
    <row r="326" spans="1:11" x14ac:dyDescent="0.2">
      <c r="A326">
        <v>18879309</v>
      </c>
      <c r="B326">
        <v>18051987</v>
      </c>
      <c r="C326">
        <v>4</v>
      </c>
      <c r="D326">
        <v>1</v>
      </c>
      <c r="E326">
        <v>1</v>
      </c>
      <c r="F326">
        <v>2</v>
      </c>
      <c r="G326">
        <v>4</v>
      </c>
      <c r="H326" t="str">
        <f>IF(Demographics[[#This Row],[DOB]]&gt;10000000, TEXT(Demographics[[#This Row],[DOB]],0),CONCATENATE("0",TEXT(Demographics[[#This Row],[DOB]],0)))</f>
        <v>18051987</v>
      </c>
      <c r="I326" s="4">
        <f ca="1">IFERROR((VALUE(TODAY()-DATE(RIGHT(Demographics[[#This Row],[DOB - Fixed]],4),MID(Demographics[[#This Row],[DOB - Fixed]],3,2),LEFT(Demographics[[#This Row],[DOB - Fixed]],2))))/365,0)</f>
        <v>36.334246575342469</v>
      </c>
      <c r="J326">
        <f>VLOOKUP(Demographics[[#This Row],[INCOME LEVEL]],Income[],4,FALSE)</f>
        <v>175</v>
      </c>
      <c r="K326">
        <f>IFERROR(Demographics[[#This Row],[Total monthly income]]/Demographics[[#This Row],[FAMILY SIZE]], 0)</f>
        <v>43.75</v>
      </c>
    </row>
    <row r="327" spans="1:11" x14ac:dyDescent="0.2">
      <c r="A327">
        <v>10463680</v>
      </c>
      <c r="B327">
        <v>25051987</v>
      </c>
      <c r="C327">
        <v>4</v>
      </c>
      <c r="D327">
        <v>2</v>
      </c>
      <c r="E327">
        <v>2</v>
      </c>
      <c r="F327">
        <v>5</v>
      </c>
      <c r="G327">
        <v>5</v>
      </c>
      <c r="H327" t="str">
        <f>IF(Demographics[[#This Row],[DOB]]&gt;10000000, TEXT(Demographics[[#This Row],[DOB]],0),CONCATENATE("0",TEXT(Demographics[[#This Row],[DOB]],0)))</f>
        <v>25051987</v>
      </c>
      <c r="I327" s="4">
        <f ca="1">IFERROR((VALUE(TODAY()-DATE(RIGHT(Demographics[[#This Row],[DOB - Fixed]],4),MID(Demographics[[#This Row],[DOB - Fixed]],3,2),LEFT(Demographics[[#This Row],[DOB - Fixed]],2))))/365,0)</f>
        <v>36.315068493150683</v>
      </c>
      <c r="J327">
        <f>VLOOKUP(Demographics[[#This Row],[INCOME LEVEL]],Income[],4,FALSE)</f>
        <v>697.5</v>
      </c>
      <c r="K327">
        <f>IFERROR(Demographics[[#This Row],[Total monthly income]]/Demographics[[#This Row],[FAMILY SIZE]], 0)</f>
        <v>174.375</v>
      </c>
    </row>
    <row r="328" spans="1:11" x14ac:dyDescent="0.2">
      <c r="A328">
        <v>20756236</v>
      </c>
      <c r="B328">
        <v>29051987</v>
      </c>
      <c r="C328">
        <v>5</v>
      </c>
      <c r="D328">
        <v>1</v>
      </c>
      <c r="E328">
        <v>1</v>
      </c>
      <c r="F328">
        <v>3</v>
      </c>
      <c r="G328">
        <v>3</v>
      </c>
      <c r="H328" t="str">
        <f>IF(Demographics[[#This Row],[DOB]]&gt;10000000, TEXT(Demographics[[#This Row],[DOB]],0),CONCATENATE("0",TEXT(Demographics[[#This Row],[DOB]],0)))</f>
        <v>29051987</v>
      </c>
      <c r="I328" s="4">
        <f ca="1">IFERROR((VALUE(TODAY()-DATE(RIGHT(Demographics[[#This Row],[DOB - Fixed]],4),MID(Demographics[[#This Row],[DOB - Fixed]],3,2),LEFT(Demographics[[#This Row],[DOB - Fixed]],2))))/365,0)</f>
        <v>36.304109589041097</v>
      </c>
      <c r="J328">
        <f>VLOOKUP(Demographics[[#This Row],[INCOME LEVEL]],Income[],4,FALSE)</f>
        <v>175</v>
      </c>
      <c r="K328">
        <f>IFERROR(Demographics[[#This Row],[Total monthly income]]/Demographics[[#This Row],[FAMILY SIZE]], 0)</f>
        <v>35</v>
      </c>
    </row>
    <row r="329" spans="1:11" x14ac:dyDescent="0.2">
      <c r="A329">
        <v>6972024</v>
      </c>
      <c r="B329">
        <v>6061987</v>
      </c>
      <c r="C329">
        <v>5</v>
      </c>
      <c r="D329">
        <v>1</v>
      </c>
      <c r="E329">
        <v>1</v>
      </c>
      <c r="F329">
        <v>5</v>
      </c>
      <c r="G329">
        <v>5</v>
      </c>
      <c r="H329" t="str">
        <f>IF(Demographics[[#This Row],[DOB]]&gt;10000000, TEXT(Demographics[[#This Row],[DOB]],0),CONCATENATE("0",TEXT(Demographics[[#This Row],[DOB]],0)))</f>
        <v>06061987</v>
      </c>
      <c r="I329" s="4">
        <f ca="1">IFERROR((VALUE(TODAY()-DATE(RIGHT(Demographics[[#This Row],[DOB - Fixed]],4),MID(Demographics[[#This Row],[DOB - Fixed]],3,2),LEFT(Demographics[[#This Row],[DOB - Fixed]],2))))/365,0)</f>
        <v>36.282191780821918</v>
      </c>
      <c r="J329">
        <f>VLOOKUP(Demographics[[#This Row],[INCOME LEVEL]],Income[],4,FALSE)</f>
        <v>175</v>
      </c>
      <c r="K329">
        <f>IFERROR(Demographics[[#This Row],[Total monthly income]]/Demographics[[#This Row],[FAMILY SIZE]], 0)</f>
        <v>35</v>
      </c>
    </row>
    <row r="330" spans="1:11" x14ac:dyDescent="0.2">
      <c r="A330">
        <v>14982907</v>
      </c>
      <c r="B330">
        <v>18061987</v>
      </c>
      <c r="C330">
        <v>4</v>
      </c>
      <c r="D330">
        <v>2</v>
      </c>
      <c r="E330">
        <v>1</v>
      </c>
      <c r="F330">
        <v>8</v>
      </c>
      <c r="G330">
        <v>5</v>
      </c>
      <c r="H330" t="str">
        <f>IF(Demographics[[#This Row],[DOB]]&gt;10000000, TEXT(Demographics[[#This Row],[DOB]],0),CONCATENATE("0",TEXT(Demographics[[#This Row],[DOB]],0)))</f>
        <v>18061987</v>
      </c>
      <c r="I330" s="4">
        <f ca="1">IFERROR((VALUE(TODAY()-DATE(RIGHT(Demographics[[#This Row],[DOB - Fixed]],4),MID(Demographics[[#This Row],[DOB - Fixed]],3,2),LEFT(Demographics[[#This Row],[DOB - Fixed]],2))))/365,0)</f>
        <v>36.249315068493154</v>
      </c>
      <c r="J330">
        <f>VLOOKUP(Demographics[[#This Row],[INCOME LEVEL]],Income[],4,FALSE)</f>
        <v>175</v>
      </c>
      <c r="K330">
        <f>IFERROR(Demographics[[#This Row],[Total monthly income]]/Demographics[[#This Row],[FAMILY SIZE]], 0)</f>
        <v>43.75</v>
      </c>
    </row>
    <row r="331" spans="1:11" x14ac:dyDescent="0.2">
      <c r="A331">
        <v>3986374</v>
      </c>
      <c r="B331">
        <v>2061987</v>
      </c>
      <c r="C331">
        <v>8</v>
      </c>
      <c r="D331">
        <v>0</v>
      </c>
      <c r="E331">
        <v>1</v>
      </c>
      <c r="F331">
        <v>0</v>
      </c>
      <c r="G331">
        <v>0</v>
      </c>
      <c r="H331" t="str">
        <f>IF(Demographics[[#This Row],[DOB]]&gt;10000000, TEXT(Demographics[[#This Row],[DOB]],0),CONCATENATE("0",TEXT(Demographics[[#This Row],[DOB]],0)))</f>
        <v>02061987</v>
      </c>
      <c r="I331" s="4">
        <f ca="1">IFERROR((VALUE(TODAY()-DATE(RIGHT(Demographics[[#This Row],[DOB - Fixed]],4),MID(Demographics[[#This Row],[DOB - Fixed]],3,2),LEFT(Demographics[[#This Row],[DOB - Fixed]],2))))/365,0)</f>
        <v>36.293150684931504</v>
      </c>
      <c r="J331">
        <f>VLOOKUP(Demographics[[#This Row],[INCOME LEVEL]],Income[],4,FALSE)</f>
        <v>175</v>
      </c>
      <c r="K331">
        <f>IFERROR(Demographics[[#This Row],[Total monthly income]]/Demographics[[#This Row],[FAMILY SIZE]], 0)</f>
        <v>21.875</v>
      </c>
    </row>
    <row r="332" spans="1:11" x14ac:dyDescent="0.2">
      <c r="A332">
        <v>17871290</v>
      </c>
      <c r="B332">
        <v>2071987</v>
      </c>
      <c r="C332">
        <v>5</v>
      </c>
      <c r="D332">
        <v>1</v>
      </c>
      <c r="E332">
        <v>2</v>
      </c>
      <c r="F332">
        <v>9</v>
      </c>
      <c r="G332">
        <v>5</v>
      </c>
      <c r="H332" t="str">
        <f>IF(Demographics[[#This Row],[DOB]]&gt;10000000, TEXT(Demographics[[#This Row],[DOB]],0),CONCATENATE("0",TEXT(Demographics[[#This Row],[DOB]],0)))</f>
        <v>02071987</v>
      </c>
      <c r="I332" s="4">
        <f ca="1">IFERROR((VALUE(TODAY()-DATE(RIGHT(Demographics[[#This Row],[DOB - Fixed]],4),MID(Demographics[[#This Row],[DOB - Fixed]],3,2),LEFT(Demographics[[#This Row],[DOB - Fixed]],2))))/365,0)</f>
        <v>36.210958904109589</v>
      </c>
      <c r="J332">
        <f>VLOOKUP(Demographics[[#This Row],[INCOME LEVEL]],Income[],4,FALSE)</f>
        <v>697.5</v>
      </c>
      <c r="K332">
        <f>IFERROR(Demographics[[#This Row],[Total monthly income]]/Demographics[[#This Row],[FAMILY SIZE]], 0)</f>
        <v>139.5</v>
      </c>
    </row>
    <row r="333" spans="1:11" x14ac:dyDescent="0.2">
      <c r="A333">
        <v>20441293</v>
      </c>
      <c r="B333">
        <v>2071987</v>
      </c>
      <c r="C333">
        <v>5</v>
      </c>
      <c r="D333">
        <v>1</v>
      </c>
      <c r="E333">
        <v>1</v>
      </c>
      <c r="F333">
        <v>5</v>
      </c>
      <c r="G333">
        <v>2</v>
      </c>
      <c r="H333" t="str">
        <f>IF(Demographics[[#This Row],[DOB]]&gt;10000000, TEXT(Demographics[[#This Row],[DOB]],0),CONCATENATE("0",TEXT(Demographics[[#This Row],[DOB]],0)))</f>
        <v>02071987</v>
      </c>
      <c r="I333" s="4">
        <f ca="1">IFERROR((VALUE(TODAY()-DATE(RIGHT(Demographics[[#This Row],[DOB - Fixed]],4),MID(Demographics[[#This Row],[DOB - Fixed]],3,2),LEFT(Demographics[[#This Row],[DOB - Fixed]],2))))/365,0)</f>
        <v>36.210958904109589</v>
      </c>
      <c r="J333">
        <f>VLOOKUP(Demographics[[#This Row],[INCOME LEVEL]],Income[],4,FALSE)</f>
        <v>175</v>
      </c>
      <c r="K333">
        <f>IFERROR(Demographics[[#This Row],[Total monthly income]]/Demographics[[#This Row],[FAMILY SIZE]], 0)</f>
        <v>35</v>
      </c>
    </row>
    <row r="334" spans="1:11" x14ac:dyDescent="0.2">
      <c r="A334">
        <v>19372710</v>
      </c>
      <c r="B334">
        <v>2071987</v>
      </c>
      <c r="C334">
        <v>4</v>
      </c>
      <c r="D334">
        <v>2</v>
      </c>
      <c r="E334">
        <v>3</v>
      </c>
      <c r="F334">
        <v>5</v>
      </c>
      <c r="G334">
        <v>7</v>
      </c>
      <c r="H334" t="str">
        <f>IF(Demographics[[#This Row],[DOB]]&gt;10000000, TEXT(Demographics[[#This Row],[DOB]],0),CONCATENATE("0",TEXT(Demographics[[#This Row],[DOB]],0)))</f>
        <v>02071987</v>
      </c>
      <c r="I334" s="4">
        <f ca="1">IFERROR((VALUE(TODAY()-DATE(RIGHT(Demographics[[#This Row],[DOB - Fixed]],4),MID(Demographics[[#This Row],[DOB - Fixed]],3,2),LEFT(Demographics[[#This Row],[DOB - Fixed]],2))))/365,0)</f>
        <v>36.210958904109589</v>
      </c>
      <c r="J334">
        <f>VLOOKUP(Demographics[[#This Row],[INCOME LEVEL]],Income[],4,FALSE)</f>
        <v>1397.5</v>
      </c>
      <c r="K334">
        <f>IFERROR(Demographics[[#This Row],[Total monthly income]]/Demographics[[#This Row],[FAMILY SIZE]], 0)</f>
        <v>349.375</v>
      </c>
    </row>
    <row r="335" spans="1:11" x14ac:dyDescent="0.2">
      <c r="A335">
        <v>11896191</v>
      </c>
      <c r="B335">
        <v>26031987</v>
      </c>
      <c r="C335">
        <v>5</v>
      </c>
      <c r="D335">
        <v>1</v>
      </c>
      <c r="E335">
        <v>1</v>
      </c>
      <c r="F335">
        <v>4</v>
      </c>
      <c r="G335">
        <v>4</v>
      </c>
      <c r="H335" t="str">
        <f>IF(Demographics[[#This Row],[DOB]]&gt;10000000, TEXT(Demographics[[#This Row],[DOB]],0),CONCATENATE("0",TEXT(Demographics[[#This Row],[DOB]],0)))</f>
        <v>26031987</v>
      </c>
      <c r="I335" s="4">
        <f ca="1">IFERROR((VALUE(TODAY()-DATE(RIGHT(Demographics[[#This Row],[DOB - Fixed]],4),MID(Demographics[[#This Row],[DOB - Fixed]],3,2),LEFT(Demographics[[#This Row],[DOB - Fixed]],2))))/365,0)</f>
        <v>36.479452054794521</v>
      </c>
      <c r="J335">
        <f>VLOOKUP(Demographics[[#This Row],[INCOME LEVEL]],Income[],4,FALSE)</f>
        <v>175</v>
      </c>
      <c r="K335">
        <f>IFERROR(Demographics[[#This Row],[Total monthly income]]/Demographics[[#This Row],[FAMILY SIZE]], 0)</f>
        <v>35</v>
      </c>
    </row>
    <row r="336" spans="1:11" x14ac:dyDescent="0.2">
      <c r="A336">
        <v>7724273</v>
      </c>
      <c r="B336">
        <v>6071987</v>
      </c>
      <c r="C336">
        <v>4</v>
      </c>
      <c r="D336">
        <v>2</v>
      </c>
      <c r="E336">
        <v>2</v>
      </c>
      <c r="F336">
        <v>3</v>
      </c>
      <c r="G336">
        <v>3</v>
      </c>
      <c r="H336" t="str">
        <f>IF(Demographics[[#This Row],[DOB]]&gt;10000000, TEXT(Demographics[[#This Row],[DOB]],0),CONCATENATE("0",TEXT(Demographics[[#This Row],[DOB]],0)))</f>
        <v>06071987</v>
      </c>
      <c r="I336" s="4">
        <f ca="1">IFERROR((VALUE(TODAY()-DATE(RIGHT(Demographics[[#This Row],[DOB - Fixed]],4),MID(Demographics[[#This Row],[DOB - Fixed]],3,2),LEFT(Demographics[[#This Row],[DOB - Fixed]],2))))/365,0)</f>
        <v>36.200000000000003</v>
      </c>
      <c r="J336">
        <f>VLOOKUP(Demographics[[#This Row],[INCOME LEVEL]],Income[],4,FALSE)</f>
        <v>697.5</v>
      </c>
      <c r="K336">
        <f>IFERROR(Demographics[[#This Row],[Total monthly income]]/Demographics[[#This Row],[FAMILY SIZE]], 0)</f>
        <v>174.375</v>
      </c>
    </row>
    <row r="337" spans="1:11" x14ac:dyDescent="0.2">
      <c r="A337">
        <v>7190306</v>
      </c>
      <c r="B337">
        <v>9071987</v>
      </c>
      <c r="C337">
        <v>4</v>
      </c>
      <c r="D337">
        <v>2</v>
      </c>
      <c r="E337">
        <v>1</v>
      </c>
      <c r="F337">
        <v>8</v>
      </c>
      <c r="G337">
        <v>6</v>
      </c>
      <c r="H337" t="str">
        <f>IF(Demographics[[#This Row],[DOB]]&gt;10000000, TEXT(Demographics[[#This Row],[DOB]],0),CONCATENATE("0",TEXT(Demographics[[#This Row],[DOB]],0)))</f>
        <v>09071987</v>
      </c>
      <c r="I337" s="4">
        <f ca="1">IFERROR((VALUE(TODAY()-DATE(RIGHT(Demographics[[#This Row],[DOB - Fixed]],4),MID(Demographics[[#This Row],[DOB - Fixed]],3,2),LEFT(Demographics[[#This Row],[DOB - Fixed]],2))))/365,0)</f>
        <v>36.19178082191781</v>
      </c>
      <c r="J337">
        <f>VLOOKUP(Demographics[[#This Row],[INCOME LEVEL]],Income[],4,FALSE)</f>
        <v>175</v>
      </c>
      <c r="K337">
        <f>IFERROR(Demographics[[#This Row],[Total monthly income]]/Demographics[[#This Row],[FAMILY SIZE]], 0)</f>
        <v>43.75</v>
      </c>
    </row>
    <row r="338" spans="1:11" x14ac:dyDescent="0.2">
      <c r="A338">
        <v>14824368</v>
      </c>
      <c r="B338">
        <v>12071987</v>
      </c>
      <c r="C338">
        <v>0</v>
      </c>
      <c r="D338">
        <v>0</v>
      </c>
      <c r="E338">
        <v>1</v>
      </c>
      <c r="F338">
        <v>0</v>
      </c>
      <c r="G338">
        <v>0</v>
      </c>
      <c r="H338" t="str">
        <f>IF(Demographics[[#This Row],[DOB]]&gt;10000000, TEXT(Demographics[[#This Row],[DOB]],0),CONCATENATE("0",TEXT(Demographics[[#This Row],[DOB]],0)))</f>
        <v>12071987</v>
      </c>
      <c r="I338" s="4">
        <f ca="1">IFERROR((VALUE(TODAY()-DATE(RIGHT(Demographics[[#This Row],[DOB - Fixed]],4),MID(Demographics[[#This Row],[DOB - Fixed]],3,2),LEFT(Demographics[[#This Row],[DOB - Fixed]],2))))/365,0)</f>
        <v>36.183561643835617</v>
      </c>
      <c r="J338">
        <f>VLOOKUP(Demographics[[#This Row],[INCOME LEVEL]],Income[],4,FALSE)</f>
        <v>175</v>
      </c>
      <c r="K338">
        <f>IFERROR(Demographics[[#This Row],[Total monthly income]]/Demographics[[#This Row],[FAMILY SIZE]], 0)</f>
        <v>0</v>
      </c>
    </row>
    <row r="339" spans="1:11" x14ac:dyDescent="0.2">
      <c r="A339">
        <v>12255832</v>
      </c>
      <c r="B339">
        <v>12071987</v>
      </c>
      <c r="C339">
        <v>0</v>
      </c>
      <c r="D339">
        <v>0</v>
      </c>
      <c r="E339">
        <v>1</v>
      </c>
      <c r="F339">
        <v>0</v>
      </c>
      <c r="G339">
        <v>0</v>
      </c>
      <c r="H339" t="str">
        <f>IF(Demographics[[#This Row],[DOB]]&gt;10000000, TEXT(Demographics[[#This Row],[DOB]],0),CONCATENATE("0",TEXT(Demographics[[#This Row],[DOB]],0)))</f>
        <v>12071987</v>
      </c>
      <c r="I339" s="4">
        <f ca="1">IFERROR((VALUE(TODAY()-DATE(RIGHT(Demographics[[#This Row],[DOB - Fixed]],4),MID(Demographics[[#This Row],[DOB - Fixed]],3,2),LEFT(Demographics[[#This Row],[DOB - Fixed]],2))))/365,0)</f>
        <v>36.183561643835617</v>
      </c>
      <c r="J339">
        <f>VLOOKUP(Demographics[[#This Row],[INCOME LEVEL]],Income[],4,FALSE)</f>
        <v>175</v>
      </c>
      <c r="K339">
        <f>IFERROR(Demographics[[#This Row],[Total monthly income]]/Demographics[[#This Row],[FAMILY SIZE]], 0)</f>
        <v>0</v>
      </c>
    </row>
    <row r="340" spans="1:11" x14ac:dyDescent="0.2">
      <c r="A340">
        <v>404913</v>
      </c>
      <c r="B340">
        <v>3061987</v>
      </c>
      <c r="C340">
        <v>4</v>
      </c>
      <c r="D340">
        <v>1</v>
      </c>
      <c r="E340">
        <v>2</v>
      </c>
      <c r="F340">
        <v>5</v>
      </c>
      <c r="G340">
        <v>5</v>
      </c>
      <c r="H340" t="str">
        <f>IF(Demographics[[#This Row],[DOB]]&gt;10000000, TEXT(Demographics[[#This Row],[DOB]],0),CONCATENATE("0",TEXT(Demographics[[#This Row],[DOB]],0)))</f>
        <v>03061987</v>
      </c>
      <c r="I340" s="4">
        <f ca="1">IFERROR((VALUE(TODAY()-DATE(RIGHT(Demographics[[#This Row],[DOB - Fixed]],4),MID(Demographics[[#This Row],[DOB - Fixed]],3,2),LEFT(Demographics[[#This Row],[DOB - Fixed]],2))))/365,0)</f>
        <v>36.290410958904111</v>
      </c>
      <c r="J340">
        <f>VLOOKUP(Demographics[[#This Row],[INCOME LEVEL]],Income[],4,FALSE)</f>
        <v>697.5</v>
      </c>
      <c r="K340">
        <f>IFERROR(Demographics[[#This Row],[Total monthly income]]/Demographics[[#This Row],[FAMILY SIZE]], 0)</f>
        <v>174.375</v>
      </c>
    </row>
    <row r="341" spans="1:11" x14ac:dyDescent="0.2">
      <c r="A341">
        <v>24235941</v>
      </c>
      <c r="B341">
        <v>10101986</v>
      </c>
      <c r="C341">
        <v>0</v>
      </c>
      <c r="D341">
        <v>0</v>
      </c>
      <c r="E341">
        <v>1</v>
      </c>
      <c r="F341">
        <v>0</v>
      </c>
      <c r="G341">
        <v>0</v>
      </c>
      <c r="H341" t="str">
        <f>IF(Demographics[[#This Row],[DOB]]&gt;10000000, TEXT(Demographics[[#This Row],[DOB]],0),CONCATENATE("0",TEXT(Demographics[[#This Row],[DOB]],0)))</f>
        <v>10101986</v>
      </c>
      <c r="I341" s="4">
        <f ca="1">IFERROR((VALUE(TODAY()-DATE(RIGHT(Demographics[[#This Row],[DOB - Fixed]],4),MID(Demographics[[#This Row],[DOB - Fixed]],3,2),LEFT(Demographics[[#This Row],[DOB - Fixed]],2))))/365,0)</f>
        <v>36.936986301369863</v>
      </c>
      <c r="J341">
        <f>VLOOKUP(Demographics[[#This Row],[INCOME LEVEL]],Income[],4,FALSE)</f>
        <v>175</v>
      </c>
      <c r="K341">
        <f>IFERROR(Demographics[[#This Row],[Total monthly income]]/Demographics[[#This Row],[FAMILY SIZE]], 0)</f>
        <v>0</v>
      </c>
    </row>
    <row r="342" spans="1:11" x14ac:dyDescent="0.2">
      <c r="A342">
        <v>7982963</v>
      </c>
      <c r="B342">
        <v>10071987</v>
      </c>
      <c r="C342">
        <v>5</v>
      </c>
      <c r="D342">
        <v>1</v>
      </c>
      <c r="E342">
        <v>1</v>
      </c>
      <c r="F342">
        <v>8</v>
      </c>
      <c r="G342">
        <v>5</v>
      </c>
      <c r="H342" t="str">
        <f>IF(Demographics[[#This Row],[DOB]]&gt;10000000, TEXT(Demographics[[#This Row],[DOB]],0),CONCATENATE("0",TEXT(Demographics[[#This Row],[DOB]],0)))</f>
        <v>10071987</v>
      </c>
      <c r="I342" s="4">
        <f ca="1">IFERROR((VALUE(TODAY()-DATE(RIGHT(Demographics[[#This Row],[DOB - Fixed]],4),MID(Demographics[[#This Row],[DOB - Fixed]],3,2),LEFT(Demographics[[#This Row],[DOB - Fixed]],2))))/365,0)</f>
        <v>36.18904109589041</v>
      </c>
      <c r="J342">
        <f>VLOOKUP(Demographics[[#This Row],[INCOME LEVEL]],Income[],4,FALSE)</f>
        <v>175</v>
      </c>
      <c r="K342">
        <f>IFERROR(Demographics[[#This Row],[Total monthly income]]/Demographics[[#This Row],[FAMILY SIZE]], 0)</f>
        <v>35</v>
      </c>
    </row>
    <row r="343" spans="1:11" x14ac:dyDescent="0.2">
      <c r="A343">
        <v>1573930</v>
      </c>
      <c r="B343">
        <v>11071987</v>
      </c>
      <c r="C343">
        <v>9</v>
      </c>
      <c r="D343">
        <v>3</v>
      </c>
      <c r="E343">
        <v>1</v>
      </c>
      <c r="F343">
        <v>7</v>
      </c>
      <c r="G343">
        <v>5</v>
      </c>
      <c r="H343" t="str">
        <f>IF(Demographics[[#This Row],[DOB]]&gt;10000000, TEXT(Demographics[[#This Row],[DOB]],0),CONCATENATE("0",TEXT(Demographics[[#This Row],[DOB]],0)))</f>
        <v>11071987</v>
      </c>
      <c r="I343" s="4">
        <f ca="1">IFERROR((VALUE(TODAY()-DATE(RIGHT(Demographics[[#This Row],[DOB - Fixed]],4),MID(Demographics[[#This Row],[DOB - Fixed]],3,2),LEFT(Demographics[[#This Row],[DOB - Fixed]],2))))/365,0)</f>
        <v>36.186301369863017</v>
      </c>
      <c r="J343">
        <f>VLOOKUP(Demographics[[#This Row],[INCOME LEVEL]],Income[],4,FALSE)</f>
        <v>175</v>
      </c>
      <c r="K343">
        <f>IFERROR(Demographics[[#This Row],[Total monthly income]]/Demographics[[#This Row],[FAMILY SIZE]], 0)</f>
        <v>19.444444444444443</v>
      </c>
    </row>
    <row r="344" spans="1:11" x14ac:dyDescent="0.2">
      <c r="A344">
        <v>9051361</v>
      </c>
      <c r="B344">
        <v>20071987</v>
      </c>
      <c r="C344">
        <v>5</v>
      </c>
      <c r="D344">
        <v>1</v>
      </c>
      <c r="E344">
        <v>2</v>
      </c>
      <c r="F344">
        <v>9</v>
      </c>
      <c r="G344">
        <v>5</v>
      </c>
      <c r="H344" t="str">
        <f>IF(Demographics[[#This Row],[DOB]]&gt;10000000, TEXT(Demographics[[#This Row],[DOB]],0),CONCATENATE("0",TEXT(Demographics[[#This Row],[DOB]],0)))</f>
        <v>20071987</v>
      </c>
      <c r="I344" s="4">
        <f ca="1">IFERROR((VALUE(TODAY()-DATE(RIGHT(Demographics[[#This Row],[DOB - Fixed]],4),MID(Demographics[[#This Row],[DOB - Fixed]],3,2),LEFT(Demographics[[#This Row],[DOB - Fixed]],2))))/365,0)</f>
        <v>36.161643835616438</v>
      </c>
      <c r="J344">
        <f>VLOOKUP(Demographics[[#This Row],[INCOME LEVEL]],Income[],4,FALSE)</f>
        <v>697.5</v>
      </c>
      <c r="K344">
        <f>IFERROR(Demographics[[#This Row],[Total monthly income]]/Demographics[[#This Row],[FAMILY SIZE]], 0)</f>
        <v>139.5</v>
      </c>
    </row>
    <row r="345" spans="1:11" x14ac:dyDescent="0.2">
      <c r="A345">
        <v>10451190</v>
      </c>
      <c r="B345">
        <v>29071987</v>
      </c>
      <c r="C345">
        <v>0</v>
      </c>
      <c r="D345">
        <v>0</v>
      </c>
      <c r="E345">
        <v>2</v>
      </c>
      <c r="F345">
        <v>9</v>
      </c>
      <c r="G345">
        <v>9</v>
      </c>
      <c r="H345" t="str">
        <f>IF(Demographics[[#This Row],[DOB]]&gt;10000000, TEXT(Demographics[[#This Row],[DOB]],0),CONCATENATE("0",TEXT(Demographics[[#This Row],[DOB]],0)))</f>
        <v>29071987</v>
      </c>
      <c r="I345" s="4">
        <f ca="1">IFERROR((VALUE(TODAY()-DATE(RIGHT(Demographics[[#This Row],[DOB - Fixed]],4),MID(Demographics[[#This Row],[DOB - Fixed]],3,2),LEFT(Demographics[[#This Row],[DOB - Fixed]],2))))/365,0)</f>
        <v>36.136986301369866</v>
      </c>
      <c r="J345">
        <f>VLOOKUP(Demographics[[#This Row],[INCOME LEVEL]],Income[],4,FALSE)</f>
        <v>697.5</v>
      </c>
      <c r="K345">
        <f>IFERROR(Demographics[[#This Row],[Total monthly income]]/Demographics[[#This Row],[FAMILY SIZE]], 0)</f>
        <v>0</v>
      </c>
    </row>
    <row r="346" spans="1:11" x14ac:dyDescent="0.2">
      <c r="A346">
        <v>9585400</v>
      </c>
      <c r="B346">
        <v>26051987</v>
      </c>
      <c r="C346">
        <v>5</v>
      </c>
      <c r="D346">
        <v>1</v>
      </c>
      <c r="E346">
        <v>1</v>
      </c>
      <c r="F346">
        <v>4</v>
      </c>
      <c r="G346">
        <v>4</v>
      </c>
      <c r="H346" t="str">
        <f>IF(Demographics[[#This Row],[DOB]]&gt;10000000, TEXT(Demographics[[#This Row],[DOB]],0),CONCATENATE("0",TEXT(Demographics[[#This Row],[DOB]],0)))</f>
        <v>26051987</v>
      </c>
      <c r="I346" s="4">
        <f ca="1">IFERROR((VALUE(TODAY()-DATE(RIGHT(Demographics[[#This Row],[DOB - Fixed]],4),MID(Demographics[[#This Row],[DOB - Fixed]],3,2),LEFT(Demographics[[#This Row],[DOB - Fixed]],2))))/365,0)</f>
        <v>36.31232876712329</v>
      </c>
      <c r="J346">
        <f>VLOOKUP(Demographics[[#This Row],[INCOME LEVEL]],Income[],4,FALSE)</f>
        <v>175</v>
      </c>
      <c r="K346">
        <f>IFERROR(Demographics[[#This Row],[Total monthly income]]/Demographics[[#This Row],[FAMILY SIZE]], 0)</f>
        <v>35</v>
      </c>
    </row>
    <row r="347" spans="1:11" x14ac:dyDescent="0.2">
      <c r="A347">
        <v>8416044</v>
      </c>
      <c r="B347">
        <v>22071987</v>
      </c>
      <c r="C347">
        <v>5</v>
      </c>
      <c r="D347">
        <v>1</v>
      </c>
      <c r="E347">
        <v>2</v>
      </c>
      <c r="F347">
        <v>9</v>
      </c>
      <c r="G347">
        <v>3</v>
      </c>
      <c r="H347" t="str">
        <f>IF(Demographics[[#This Row],[DOB]]&gt;10000000, TEXT(Demographics[[#This Row],[DOB]],0),CONCATENATE("0",TEXT(Demographics[[#This Row],[DOB]],0)))</f>
        <v>22071987</v>
      </c>
      <c r="I347" s="4">
        <f ca="1">IFERROR((VALUE(TODAY()-DATE(RIGHT(Demographics[[#This Row],[DOB - Fixed]],4),MID(Demographics[[#This Row],[DOB - Fixed]],3,2),LEFT(Demographics[[#This Row],[DOB - Fixed]],2))))/365,0)</f>
        <v>36.156164383561645</v>
      </c>
      <c r="J347">
        <f>VLOOKUP(Demographics[[#This Row],[INCOME LEVEL]],Income[],4,FALSE)</f>
        <v>697.5</v>
      </c>
      <c r="K347">
        <f>IFERROR(Demographics[[#This Row],[Total monthly income]]/Demographics[[#This Row],[FAMILY SIZE]], 0)</f>
        <v>139.5</v>
      </c>
    </row>
    <row r="348" spans="1:11" x14ac:dyDescent="0.2">
      <c r="A348">
        <v>21560498</v>
      </c>
      <c r="B348">
        <v>31071987</v>
      </c>
      <c r="C348">
        <v>4</v>
      </c>
      <c r="D348">
        <v>2</v>
      </c>
      <c r="E348">
        <v>2</v>
      </c>
      <c r="F348">
        <v>9</v>
      </c>
      <c r="G348">
        <v>9</v>
      </c>
      <c r="H348" t="str">
        <f>IF(Demographics[[#This Row],[DOB]]&gt;10000000, TEXT(Demographics[[#This Row],[DOB]],0),CONCATENATE("0",TEXT(Demographics[[#This Row],[DOB]],0)))</f>
        <v>31071987</v>
      </c>
      <c r="I348" s="4">
        <f ca="1">IFERROR((VALUE(TODAY()-DATE(RIGHT(Demographics[[#This Row],[DOB - Fixed]],4),MID(Demographics[[#This Row],[DOB - Fixed]],3,2),LEFT(Demographics[[#This Row],[DOB - Fixed]],2))))/365,0)</f>
        <v>36.131506849315066</v>
      </c>
      <c r="J348">
        <f>VLOOKUP(Demographics[[#This Row],[INCOME LEVEL]],Income[],4,FALSE)</f>
        <v>697.5</v>
      </c>
      <c r="K348">
        <f>IFERROR(Demographics[[#This Row],[Total monthly income]]/Demographics[[#This Row],[FAMILY SIZE]], 0)</f>
        <v>174.375</v>
      </c>
    </row>
    <row r="349" spans="1:11" x14ac:dyDescent="0.2">
      <c r="A349">
        <v>24561535</v>
      </c>
      <c r="B349">
        <v>30071987</v>
      </c>
      <c r="C349">
        <v>4</v>
      </c>
      <c r="D349">
        <v>1</v>
      </c>
      <c r="E349">
        <v>2</v>
      </c>
      <c r="F349">
        <v>5</v>
      </c>
      <c r="G349">
        <v>5</v>
      </c>
      <c r="H349" t="str">
        <f>IF(Demographics[[#This Row],[DOB]]&gt;10000000, TEXT(Demographics[[#This Row],[DOB]],0),CONCATENATE("0",TEXT(Demographics[[#This Row],[DOB]],0)))</f>
        <v>30071987</v>
      </c>
      <c r="I349" s="4">
        <f ca="1">IFERROR((VALUE(TODAY()-DATE(RIGHT(Demographics[[#This Row],[DOB - Fixed]],4),MID(Demographics[[#This Row],[DOB - Fixed]],3,2),LEFT(Demographics[[#This Row],[DOB - Fixed]],2))))/365,0)</f>
        <v>36.134246575342466</v>
      </c>
      <c r="J349">
        <f>VLOOKUP(Demographics[[#This Row],[INCOME LEVEL]],Income[],4,FALSE)</f>
        <v>697.5</v>
      </c>
      <c r="K349">
        <f>IFERROR(Demographics[[#This Row],[Total monthly income]]/Demographics[[#This Row],[FAMILY SIZE]], 0)</f>
        <v>174.375</v>
      </c>
    </row>
    <row r="350" spans="1:11" x14ac:dyDescent="0.2">
      <c r="A350">
        <v>15685252</v>
      </c>
      <c r="B350">
        <v>28061987</v>
      </c>
      <c r="C350">
        <v>3</v>
      </c>
      <c r="D350">
        <v>1</v>
      </c>
      <c r="E350">
        <v>1</v>
      </c>
      <c r="F350">
        <v>4</v>
      </c>
      <c r="G350">
        <v>5</v>
      </c>
      <c r="H350" t="str">
        <f>IF(Demographics[[#This Row],[DOB]]&gt;10000000, TEXT(Demographics[[#This Row],[DOB]],0),CONCATENATE("0",TEXT(Demographics[[#This Row],[DOB]],0)))</f>
        <v>28061987</v>
      </c>
      <c r="I350" s="4">
        <f ca="1">IFERROR((VALUE(TODAY()-DATE(RIGHT(Demographics[[#This Row],[DOB - Fixed]],4),MID(Demographics[[#This Row],[DOB - Fixed]],3,2),LEFT(Demographics[[#This Row],[DOB - Fixed]],2))))/365,0)</f>
        <v>36.221917808219175</v>
      </c>
      <c r="J350">
        <f>VLOOKUP(Demographics[[#This Row],[INCOME LEVEL]],Income[],4,FALSE)</f>
        <v>175</v>
      </c>
      <c r="K350">
        <f>IFERROR(Demographics[[#This Row],[Total monthly income]]/Demographics[[#This Row],[FAMILY SIZE]], 0)</f>
        <v>58.333333333333336</v>
      </c>
    </row>
    <row r="351" spans="1:11" x14ac:dyDescent="0.2">
      <c r="A351">
        <v>20492714</v>
      </c>
      <c r="B351">
        <v>19071987</v>
      </c>
      <c r="C351">
        <v>3</v>
      </c>
      <c r="D351">
        <v>0</v>
      </c>
      <c r="E351">
        <v>1</v>
      </c>
      <c r="F351">
        <v>3</v>
      </c>
      <c r="G351">
        <v>3</v>
      </c>
      <c r="H351" t="str">
        <f>IF(Demographics[[#This Row],[DOB]]&gt;10000000, TEXT(Demographics[[#This Row],[DOB]],0),CONCATENATE("0",TEXT(Demographics[[#This Row],[DOB]],0)))</f>
        <v>19071987</v>
      </c>
      <c r="I351" s="4">
        <f ca="1">IFERROR((VALUE(TODAY()-DATE(RIGHT(Demographics[[#This Row],[DOB - Fixed]],4),MID(Demographics[[#This Row],[DOB - Fixed]],3,2),LEFT(Demographics[[#This Row],[DOB - Fixed]],2))))/365,0)</f>
        <v>36.164383561643838</v>
      </c>
      <c r="J351">
        <f>VLOOKUP(Demographics[[#This Row],[INCOME LEVEL]],Income[],4,FALSE)</f>
        <v>175</v>
      </c>
      <c r="K351">
        <f>IFERROR(Demographics[[#This Row],[Total monthly income]]/Demographics[[#This Row],[FAMILY SIZE]], 0)</f>
        <v>58.333333333333336</v>
      </c>
    </row>
    <row r="352" spans="1:11" x14ac:dyDescent="0.2">
      <c r="A352">
        <v>17720601</v>
      </c>
      <c r="B352">
        <v>17071987</v>
      </c>
      <c r="C352">
        <v>5</v>
      </c>
      <c r="D352">
        <v>2</v>
      </c>
      <c r="E352">
        <v>1</v>
      </c>
      <c r="F352">
        <v>2</v>
      </c>
      <c r="G352">
        <v>3</v>
      </c>
      <c r="H352" t="str">
        <f>IF(Demographics[[#This Row],[DOB]]&gt;10000000, TEXT(Demographics[[#This Row],[DOB]],0),CONCATENATE("0",TEXT(Demographics[[#This Row],[DOB]],0)))</f>
        <v>17071987</v>
      </c>
      <c r="I352" s="4">
        <f ca="1">IFERROR((VALUE(TODAY()-DATE(RIGHT(Demographics[[#This Row],[DOB - Fixed]],4),MID(Demographics[[#This Row],[DOB - Fixed]],3,2),LEFT(Demographics[[#This Row],[DOB - Fixed]],2))))/365,0)</f>
        <v>36.169863013698631</v>
      </c>
      <c r="J352">
        <f>VLOOKUP(Demographics[[#This Row],[INCOME LEVEL]],Income[],4,FALSE)</f>
        <v>175</v>
      </c>
      <c r="K352">
        <f>IFERROR(Demographics[[#This Row],[Total monthly income]]/Demographics[[#This Row],[FAMILY SIZE]], 0)</f>
        <v>35</v>
      </c>
    </row>
    <row r="353" spans="1:11" x14ac:dyDescent="0.2">
      <c r="A353">
        <v>14083682</v>
      </c>
      <c r="B353">
        <v>29071987</v>
      </c>
      <c r="C353">
        <v>7</v>
      </c>
      <c r="D353">
        <v>1</v>
      </c>
      <c r="E353">
        <v>1</v>
      </c>
      <c r="F353">
        <v>2</v>
      </c>
      <c r="G353">
        <v>2</v>
      </c>
      <c r="H353" t="str">
        <f>IF(Demographics[[#This Row],[DOB]]&gt;10000000, TEXT(Demographics[[#This Row],[DOB]],0),CONCATENATE("0",TEXT(Demographics[[#This Row],[DOB]],0)))</f>
        <v>29071987</v>
      </c>
      <c r="I353" s="4">
        <f ca="1">IFERROR((VALUE(TODAY()-DATE(RIGHT(Demographics[[#This Row],[DOB - Fixed]],4),MID(Demographics[[#This Row],[DOB - Fixed]],3,2),LEFT(Demographics[[#This Row],[DOB - Fixed]],2))))/365,0)</f>
        <v>36.136986301369866</v>
      </c>
      <c r="J353">
        <f>VLOOKUP(Demographics[[#This Row],[INCOME LEVEL]],Income[],4,FALSE)</f>
        <v>175</v>
      </c>
      <c r="K353">
        <f>IFERROR(Demographics[[#This Row],[Total monthly income]]/Demographics[[#This Row],[FAMILY SIZE]], 0)</f>
        <v>25</v>
      </c>
    </row>
    <row r="354" spans="1:11" x14ac:dyDescent="0.2">
      <c r="A354">
        <v>19857415</v>
      </c>
      <c r="B354">
        <v>27071987</v>
      </c>
      <c r="C354">
        <v>5</v>
      </c>
      <c r="D354">
        <v>2</v>
      </c>
      <c r="E354">
        <v>1</v>
      </c>
      <c r="F354">
        <v>4</v>
      </c>
      <c r="G354">
        <v>4</v>
      </c>
      <c r="H354" t="str">
        <f>IF(Demographics[[#This Row],[DOB]]&gt;10000000, TEXT(Demographics[[#This Row],[DOB]],0),CONCATENATE("0",TEXT(Demographics[[#This Row],[DOB]],0)))</f>
        <v>27071987</v>
      </c>
      <c r="I354" s="4">
        <f ca="1">IFERROR((VALUE(TODAY()-DATE(RIGHT(Demographics[[#This Row],[DOB - Fixed]],4),MID(Demographics[[#This Row],[DOB - Fixed]],3,2),LEFT(Demographics[[#This Row],[DOB - Fixed]],2))))/365,0)</f>
        <v>36.142465753424659</v>
      </c>
      <c r="J354">
        <f>VLOOKUP(Demographics[[#This Row],[INCOME LEVEL]],Income[],4,FALSE)</f>
        <v>175</v>
      </c>
      <c r="K354">
        <f>IFERROR(Demographics[[#This Row],[Total monthly income]]/Demographics[[#This Row],[FAMILY SIZE]], 0)</f>
        <v>35</v>
      </c>
    </row>
    <row r="355" spans="1:11" x14ac:dyDescent="0.2">
      <c r="A355">
        <v>14099415</v>
      </c>
      <c r="B355">
        <v>7081987</v>
      </c>
      <c r="C355">
        <v>4</v>
      </c>
      <c r="D355">
        <v>0</v>
      </c>
      <c r="E355">
        <v>1</v>
      </c>
      <c r="F355">
        <v>3</v>
      </c>
      <c r="G355">
        <v>5</v>
      </c>
      <c r="H355" t="str">
        <f>IF(Demographics[[#This Row],[DOB]]&gt;10000000, TEXT(Demographics[[#This Row],[DOB]],0),CONCATENATE("0",TEXT(Demographics[[#This Row],[DOB]],0)))</f>
        <v>07081987</v>
      </c>
      <c r="I355" s="4">
        <f ca="1">IFERROR((VALUE(TODAY()-DATE(RIGHT(Demographics[[#This Row],[DOB - Fixed]],4),MID(Demographics[[#This Row],[DOB - Fixed]],3,2),LEFT(Demographics[[#This Row],[DOB - Fixed]],2))))/365,0)</f>
        <v>36.112328767123287</v>
      </c>
      <c r="J355">
        <f>VLOOKUP(Demographics[[#This Row],[INCOME LEVEL]],Income[],4,FALSE)</f>
        <v>175</v>
      </c>
      <c r="K355">
        <f>IFERROR(Demographics[[#This Row],[Total monthly income]]/Demographics[[#This Row],[FAMILY SIZE]], 0)</f>
        <v>43.75</v>
      </c>
    </row>
    <row r="356" spans="1:11" x14ac:dyDescent="0.2">
      <c r="A356">
        <v>19439895</v>
      </c>
      <c r="B356">
        <v>24071987</v>
      </c>
      <c r="C356">
        <v>8</v>
      </c>
      <c r="D356">
        <v>0</v>
      </c>
      <c r="E356">
        <v>1</v>
      </c>
      <c r="F356">
        <v>1</v>
      </c>
      <c r="G356">
        <v>4</v>
      </c>
      <c r="H356" t="str">
        <f>IF(Demographics[[#This Row],[DOB]]&gt;10000000, TEXT(Demographics[[#This Row],[DOB]],0),CONCATENATE("0",TEXT(Demographics[[#This Row],[DOB]],0)))</f>
        <v>24071987</v>
      </c>
      <c r="I356" s="4">
        <f ca="1">IFERROR((VALUE(TODAY()-DATE(RIGHT(Demographics[[#This Row],[DOB - Fixed]],4),MID(Demographics[[#This Row],[DOB - Fixed]],3,2),LEFT(Demographics[[#This Row],[DOB - Fixed]],2))))/365,0)</f>
        <v>36.150684931506852</v>
      </c>
      <c r="J356">
        <f>VLOOKUP(Demographics[[#This Row],[INCOME LEVEL]],Income[],4,FALSE)</f>
        <v>175</v>
      </c>
      <c r="K356">
        <f>IFERROR(Demographics[[#This Row],[Total monthly income]]/Demographics[[#This Row],[FAMILY SIZE]], 0)</f>
        <v>21.875</v>
      </c>
    </row>
    <row r="357" spans="1:11" x14ac:dyDescent="0.2">
      <c r="A357">
        <v>9826774</v>
      </c>
      <c r="B357">
        <v>14081987</v>
      </c>
      <c r="C357">
        <v>3</v>
      </c>
      <c r="D357">
        <v>2</v>
      </c>
      <c r="E357">
        <v>2</v>
      </c>
      <c r="F357">
        <v>2</v>
      </c>
      <c r="G357">
        <v>2</v>
      </c>
      <c r="H357" t="str">
        <f>IF(Demographics[[#This Row],[DOB]]&gt;10000000, TEXT(Demographics[[#This Row],[DOB]],0),CONCATENATE("0",TEXT(Demographics[[#This Row],[DOB]],0)))</f>
        <v>14081987</v>
      </c>
      <c r="I357" s="4">
        <f ca="1">IFERROR((VALUE(TODAY()-DATE(RIGHT(Demographics[[#This Row],[DOB - Fixed]],4),MID(Demographics[[#This Row],[DOB - Fixed]],3,2),LEFT(Demographics[[#This Row],[DOB - Fixed]],2))))/365,0)</f>
        <v>36.093150684931508</v>
      </c>
      <c r="J357">
        <f>VLOOKUP(Demographics[[#This Row],[INCOME LEVEL]],Income[],4,FALSE)</f>
        <v>697.5</v>
      </c>
      <c r="K357">
        <f>IFERROR(Demographics[[#This Row],[Total monthly income]]/Demographics[[#This Row],[FAMILY SIZE]], 0)</f>
        <v>232.5</v>
      </c>
    </row>
    <row r="358" spans="1:11" x14ac:dyDescent="0.2">
      <c r="A358">
        <v>11862148</v>
      </c>
      <c r="B358">
        <v>17081987</v>
      </c>
      <c r="C358">
        <v>5</v>
      </c>
      <c r="D358">
        <v>1</v>
      </c>
      <c r="E358">
        <v>1</v>
      </c>
      <c r="F358">
        <v>4</v>
      </c>
      <c r="G358">
        <v>3</v>
      </c>
      <c r="H358" t="str">
        <f>IF(Demographics[[#This Row],[DOB]]&gt;10000000, TEXT(Demographics[[#This Row],[DOB]],0),CONCATENATE("0",TEXT(Demographics[[#This Row],[DOB]],0)))</f>
        <v>17081987</v>
      </c>
      <c r="I358" s="4">
        <f ca="1">IFERROR((VALUE(TODAY()-DATE(RIGHT(Demographics[[#This Row],[DOB - Fixed]],4),MID(Demographics[[#This Row],[DOB - Fixed]],3,2),LEFT(Demographics[[#This Row],[DOB - Fixed]],2))))/365,0)</f>
        <v>36.084931506849315</v>
      </c>
      <c r="J358">
        <f>VLOOKUP(Demographics[[#This Row],[INCOME LEVEL]],Income[],4,FALSE)</f>
        <v>175</v>
      </c>
      <c r="K358">
        <f>IFERROR(Demographics[[#This Row],[Total monthly income]]/Demographics[[#This Row],[FAMILY SIZE]], 0)</f>
        <v>35</v>
      </c>
    </row>
    <row r="359" spans="1:11" x14ac:dyDescent="0.2">
      <c r="A359">
        <v>3519809</v>
      </c>
      <c r="B359">
        <v>12081987</v>
      </c>
      <c r="C359">
        <v>4</v>
      </c>
      <c r="D359">
        <v>2</v>
      </c>
      <c r="E359">
        <v>1</v>
      </c>
      <c r="F359">
        <v>0</v>
      </c>
      <c r="G359">
        <v>0</v>
      </c>
      <c r="H359" t="str">
        <f>IF(Demographics[[#This Row],[DOB]]&gt;10000000, TEXT(Demographics[[#This Row],[DOB]],0),CONCATENATE("0",TEXT(Demographics[[#This Row],[DOB]],0)))</f>
        <v>12081987</v>
      </c>
      <c r="I359" s="4">
        <f ca="1">IFERROR((VALUE(TODAY()-DATE(RIGHT(Demographics[[#This Row],[DOB - Fixed]],4),MID(Demographics[[#This Row],[DOB - Fixed]],3,2),LEFT(Demographics[[#This Row],[DOB - Fixed]],2))))/365,0)</f>
        <v>36.098630136986301</v>
      </c>
      <c r="J359">
        <f>VLOOKUP(Demographics[[#This Row],[INCOME LEVEL]],Income[],4,FALSE)</f>
        <v>175</v>
      </c>
      <c r="K359">
        <f>IFERROR(Demographics[[#This Row],[Total monthly income]]/Demographics[[#This Row],[FAMILY SIZE]], 0)</f>
        <v>43.75</v>
      </c>
    </row>
    <row r="360" spans="1:11" x14ac:dyDescent="0.2">
      <c r="A360">
        <v>2350022</v>
      </c>
      <c r="B360">
        <v>8061987</v>
      </c>
      <c r="C360">
        <v>4</v>
      </c>
      <c r="D360">
        <v>1</v>
      </c>
      <c r="E360">
        <v>1</v>
      </c>
      <c r="F360">
        <v>9</v>
      </c>
      <c r="G360">
        <v>4</v>
      </c>
      <c r="H360" t="str">
        <f>IF(Demographics[[#This Row],[DOB]]&gt;10000000, TEXT(Demographics[[#This Row],[DOB]],0),CONCATENATE("0",TEXT(Demographics[[#This Row],[DOB]],0)))</f>
        <v>08061987</v>
      </c>
      <c r="I360" s="4">
        <f ca="1">IFERROR((VALUE(TODAY()-DATE(RIGHT(Demographics[[#This Row],[DOB - Fixed]],4),MID(Demographics[[#This Row],[DOB - Fixed]],3,2),LEFT(Demographics[[#This Row],[DOB - Fixed]],2))))/365,0)</f>
        <v>36.276712328767125</v>
      </c>
      <c r="J360">
        <f>VLOOKUP(Demographics[[#This Row],[INCOME LEVEL]],Income[],4,FALSE)</f>
        <v>175</v>
      </c>
      <c r="K360">
        <f>IFERROR(Demographics[[#This Row],[Total monthly income]]/Demographics[[#This Row],[FAMILY SIZE]], 0)</f>
        <v>43.75</v>
      </c>
    </row>
    <row r="361" spans="1:11" x14ac:dyDescent="0.2">
      <c r="A361">
        <v>8224713</v>
      </c>
      <c r="B361">
        <v>15081987</v>
      </c>
      <c r="C361">
        <v>3</v>
      </c>
      <c r="D361">
        <v>1</v>
      </c>
      <c r="E361">
        <v>1</v>
      </c>
      <c r="F361">
        <v>3</v>
      </c>
      <c r="G361">
        <v>4</v>
      </c>
      <c r="H361" t="str">
        <f>IF(Demographics[[#This Row],[DOB]]&gt;10000000, TEXT(Demographics[[#This Row],[DOB]],0),CONCATENATE("0",TEXT(Demographics[[#This Row],[DOB]],0)))</f>
        <v>15081987</v>
      </c>
      <c r="I361" s="4">
        <f ca="1">IFERROR((VALUE(TODAY()-DATE(RIGHT(Demographics[[#This Row],[DOB - Fixed]],4),MID(Demographics[[#This Row],[DOB - Fixed]],3,2),LEFT(Demographics[[#This Row],[DOB - Fixed]],2))))/365,0)</f>
        <v>36.090410958904108</v>
      </c>
      <c r="J361">
        <f>VLOOKUP(Demographics[[#This Row],[INCOME LEVEL]],Income[],4,FALSE)</f>
        <v>175</v>
      </c>
      <c r="K361">
        <f>IFERROR(Demographics[[#This Row],[Total monthly income]]/Demographics[[#This Row],[FAMILY SIZE]], 0)</f>
        <v>58.333333333333336</v>
      </c>
    </row>
    <row r="362" spans="1:11" x14ac:dyDescent="0.2">
      <c r="A362">
        <v>9652857</v>
      </c>
      <c r="B362">
        <v>19051987</v>
      </c>
      <c r="C362">
        <v>6</v>
      </c>
      <c r="D362">
        <v>0</v>
      </c>
      <c r="E362">
        <v>1</v>
      </c>
      <c r="F362">
        <v>4</v>
      </c>
      <c r="G362">
        <v>2</v>
      </c>
      <c r="H362" t="str">
        <f>IF(Demographics[[#This Row],[DOB]]&gt;10000000, TEXT(Demographics[[#This Row],[DOB]],0),CONCATENATE("0",TEXT(Demographics[[#This Row],[DOB]],0)))</f>
        <v>19051987</v>
      </c>
      <c r="I362" s="4">
        <f ca="1">IFERROR((VALUE(TODAY()-DATE(RIGHT(Demographics[[#This Row],[DOB - Fixed]],4),MID(Demographics[[#This Row],[DOB - Fixed]],3,2),LEFT(Demographics[[#This Row],[DOB - Fixed]],2))))/365,0)</f>
        <v>36.331506849315069</v>
      </c>
      <c r="J362">
        <f>VLOOKUP(Demographics[[#This Row],[INCOME LEVEL]],Income[],4,FALSE)</f>
        <v>175</v>
      </c>
      <c r="K362">
        <f>IFERROR(Demographics[[#This Row],[Total monthly income]]/Demographics[[#This Row],[FAMILY SIZE]], 0)</f>
        <v>29.166666666666668</v>
      </c>
    </row>
    <row r="363" spans="1:11" x14ac:dyDescent="0.2">
      <c r="A363">
        <v>3576511</v>
      </c>
      <c r="B363">
        <v>27081987</v>
      </c>
      <c r="C363">
        <v>5</v>
      </c>
      <c r="D363">
        <v>1</v>
      </c>
      <c r="E363">
        <v>1</v>
      </c>
      <c r="F363">
        <v>4</v>
      </c>
      <c r="G363">
        <v>4</v>
      </c>
      <c r="H363" t="str">
        <f>IF(Demographics[[#This Row],[DOB]]&gt;10000000, TEXT(Demographics[[#This Row],[DOB]],0),CONCATENATE("0",TEXT(Demographics[[#This Row],[DOB]],0)))</f>
        <v>27081987</v>
      </c>
      <c r="I363" s="4">
        <f ca="1">IFERROR((VALUE(TODAY()-DATE(RIGHT(Demographics[[#This Row],[DOB - Fixed]],4),MID(Demographics[[#This Row],[DOB - Fixed]],3,2),LEFT(Demographics[[#This Row],[DOB - Fixed]],2))))/365,0)</f>
        <v>36.057534246575344</v>
      </c>
      <c r="J363">
        <f>VLOOKUP(Demographics[[#This Row],[INCOME LEVEL]],Income[],4,FALSE)</f>
        <v>175</v>
      </c>
      <c r="K363">
        <f>IFERROR(Demographics[[#This Row],[Total monthly income]]/Demographics[[#This Row],[FAMILY SIZE]], 0)</f>
        <v>35</v>
      </c>
    </row>
    <row r="364" spans="1:11" x14ac:dyDescent="0.2">
      <c r="A364">
        <v>17460538</v>
      </c>
      <c r="B364">
        <v>4081987</v>
      </c>
      <c r="C364">
        <v>3</v>
      </c>
      <c r="D364">
        <v>1</v>
      </c>
      <c r="E364">
        <v>1</v>
      </c>
      <c r="F364">
        <v>2</v>
      </c>
      <c r="G364">
        <v>2</v>
      </c>
      <c r="H364" t="str">
        <f>IF(Demographics[[#This Row],[DOB]]&gt;10000000, TEXT(Demographics[[#This Row],[DOB]],0),CONCATENATE("0",TEXT(Demographics[[#This Row],[DOB]],0)))</f>
        <v>04081987</v>
      </c>
      <c r="I364" s="4">
        <f ca="1">IFERROR((VALUE(TODAY()-DATE(RIGHT(Demographics[[#This Row],[DOB - Fixed]],4),MID(Demographics[[#This Row],[DOB - Fixed]],3,2),LEFT(Demographics[[#This Row],[DOB - Fixed]],2))))/365,0)</f>
        <v>36.12054794520548</v>
      </c>
      <c r="J364">
        <f>VLOOKUP(Demographics[[#This Row],[INCOME LEVEL]],Income[],4,FALSE)</f>
        <v>175</v>
      </c>
      <c r="K364">
        <f>IFERROR(Demographics[[#This Row],[Total monthly income]]/Demographics[[#This Row],[FAMILY SIZE]], 0)</f>
        <v>58.333333333333336</v>
      </c>
    </row>
    <row r="365" spans="1:11" x14ac:dyDescent="0.2">
      <c r="A365">
        <v>14256652</v>
      </c>
      <c r="B365">
        <v>30081987</v>
      </c>
      <c r="C365">
        <v>6</v>
      </c>
      <c r="D365">
        <v>1</v>
      </c>
      <c r="E365">
        <v>1</v>
      </c>
      <c r="F365">
        <v>4</v>
      </c>
      <c r="G365">
        <v>2</v>
      </c>
      <c r="H365" t="str">
        <f>IF(Demographics[[#This Row],[DOB]]&gt;10000000, TEXT(Demographics[[#This Row],[DOB]],0),CONCATENATE("0",TEXT(Demographics[[#This Row],[DOB]],0)))</f>
        <v>30081987</v>
      </c>
      <c r="I365" s="4">
        <f ca="1">IFERROR((VALUE(TODAY()-DATE(RIGHT(Demographics[[#This Row],[DOB - Fixed]],4),MID(Demographics[[#This Row],[DOB - Fixed]],3,2),LEFT(Demographics[[#This Row],[DOB - Fixed]],2))))/365,0)</f>
        <v>36.049315068493151</v>
      </c>
      <c r="J365">
        <f>VLOOKUP(Demographics[[#This Row],[INCOME LEVEL]],Income[],4,FALSE)</f>
        <v>175</v>
      </c>
      <c r="K365">
        <f>IFERROR(Demographics[[#This Row],[Total monthly income]]/Demographics[[#This Row],[FAMILY SIZE]], 0)</f>
        <v>29.166666666666668</v>
      </c>
    </row>
    <row r="366" spans="1:11" x14ac:dyDescent="0.2">
      <c r="A366">
        <v>20131530</v>
      </c>
      <c r="B366">
        <v>18081987</v>
      </c>
      <c r="C366">
        <v>5</v>
      </c>
      <c r="D366">
        <v>2</v>
      </c>
      <c r="E366">
        <v>2</v>
      </c>
      <c r="F366">
        <v>7</v>
      </c>
      <c r="G366">
        <v>6</v>
      </c>
      <c r="H366" t="str">
        <f>IF(Demographics[[#This Row],[DOB]]&gt;10000000, TEXT(Demographics[[#This Row],[DOB]],0),CONCATENATE("0",TEXT(Demographics[[#This Row],[DOB]],0)))</f>
        <v>18081987</v>
      </c>
      <c r="I366" s="4">
        <f ca="1">IFERROR((VALUE(TODAY()-DATE(RIGHT(Demographics[[#This Row],[DOB - Fixed]],4),MID(Demographics[[#This Row],[DOB - Fixed]],3,2),LEFT(Demographics[[#This Row],[DOB - Fixed]],2))))/365,0)</f>
        <v>36.082191780821915</v>
      </c>
      <c r="J366">
        <f>VLOOKUP(Demographics[[#This Row],[INCOME LEVEL]],Income[],4,FALSE)</f>
        <v>697.5</v>
      </c>
      <c r="K366">
        <f>IFERROR(Demographics[[#This Row],[Total monthly income]]/Demographics[[#This Row],[FAMILY SIZE]], 0)</f>
        <v>139.5</v>
      </c>
    </row>
    <row r="367" spans="1:11" x14ac:dyDescent="0.2">
      <c r="A367">
        <v>17561584</v>
      </c>
      <c r="B367">
        <v>3091987</v>
      </c>
      <c r="C367">
        <v>5</v>
      </c>
      <c r="D367">
        <v>1</v>
      </c>
      <c r="E367">
        <v>1</v>
      </c>
      <c r="F367">
        <v>5</v>
      </c>
      <c r="G367">
        <v>4</v>
      </c>
      <c r="H367" t="str">
        <f>IF(Demographics[[#This Row],[DOB]]&gt;10000000, TEXT(Demographics[[#This Row],[DOB]],0),CONCATENATE("0",TEXT(Demographics[[#This Row],[DOB]],0)))</f>
        <v>03091987</v>
      </c>
      <c r="I367" s="4">
        <f ca="1">IFERROR((VALUE(TODAY()-DATE(RIGHT(Demographics[[#This Row],[DOB - Fixed]],4),MID(Demographics[[#This Row],[DOB - Fixed]],3,2),LEFT(Demographics[[#This Row],[DOB - Fixed]],2))))/365,0)</f>
        <v>36.038356164383565</v>
      </c>
      <c r="J367">
        <f>VLOOKUP(Demographics[[#This Row],[INCOME LEVEL]],Income[],4,FALSE)</f>
        <v>175</v>
      </c>
      <c r="K367">
        <f>IFERROR(Demographics[[#This Row],[Total monthly income]]/Demographics[[#This Row],[FAMILY SIZE]], 0)</f>
        <v>35</v>
      </c>
    </row>
    <row r="368" spans="1:11" x14ac:dyDescent="0.2">
      <c r="A368">
        <v>4845782</v>
      </c>
      <c r="B368">
        <v>23091987</v>
      </c>
      <c r="C368">
        <v>5</v>
      </c>
      <c r="D368">
        <v>1</v>
      </c>
      <c r="E368">
        <v>1</v>
      </c>
      <c r="F368">
        <v>5</v>
      </c>
      <c r="G368">
        <v>4</v>
      </c>
      <c r="H368" t="str">
        <f>IF(Demographics[[#This Row],[DOB]]&gt;10000000, TEXT(Demographics[[#This Row],[DOB]],0),CONCATENATE("0",TEXT(Demographics[[#This Row],[DOB]],0)))</f>
        <v>23091987</v>
      </c>
      <c r="I368" s="4">
        <f ca="1">IFERROR((VALUE(TODAY()-DATE(RIGHT(Demographics[[#This Row],[DOB - Fixed]],4),MID(Demographics[[#This Row],[DOB - Fixed]],3,2),LEFT(Demographics[[#This Row],[DOB - Fixed]],2))))/365,0)</f>
        <v>35.983561643835614</v>
      </c>
      <c r="J368">
        <f>VLOOKUP(Demographics[[#This Row],[INCOME LEVEL]],Income[],4,FALSE)</f>
        <v>175</v>
      </c>
      <c r="K368">
        <f>IFERROR(Demographics[[#This Row],[Total monthly income]]/Demographics[[#This Row],[FAMILY SIZE]], 0)</f>
        <v>35</v>
      </c>
    </row>
    <row r="369" spans="1:11" x14ac:dyDescent="0.2">
      <c r="A369">
        <v>20232565</v>
      </c>
      <c r="B369">
        <v>7091987</v>
      </c>
      <c r="C369">
        <v>5</v>
      </c>
      <c r="D369">
        <v>1</v>
      </c>
      <c r="E369">
        <v>1</v>
      </c>
      <c r="F369">
        <v>4</v>
      </c>
      <c r="G369">
        <v>4</v>
      </c>
      <c r="H369" t="str">
        <f>IF(Demographics[[#This Row],[DOB]]&gt;10000000, TEXT(Demographics[[#This Row],[DOB]],0),CONCATENATE("0",TEXT(Demographics[[#This Row],[DOB]],0)))</f>
        <v>07091987</v>
      </c>
      <c r="I369" s="4">
        <f ca="1">IFERROR((VALUE(TODAY()-DATE(RIGHT(Demographics[[#This Row],[DOB - Fixed]],4),MID(Demographics[[#This Row],[DOB - Fixed]],3,2),LEFT(Demographics[[#This Row],[DOB - Fixed]],2))))/365,0)</f>
        <v>36.027397260273972</v>
      </c>
      <c r="J369">
        <f>VLOOKUP(Demographics[[#This Row],[INCOME LEVEL]],Income[],4,FALSE)</f>
        <v>175</v>
      </c>
      <c r="K369">
        <f>IFERROR(Demographics[[#This Row],[Total monthly income]]/Demographics[[#This Row],[FAMILY SIZE]], 0)</f>
        <v>35</v>
      </c>
    </row>
    <row r="370" spans="1:11" x14ac:dyDescent="0.2">
      <c r="A370">
        <v>21733379</v>
      </c>
      <c r="B370">
        <v>24091987</v>
      </c>
      <c r="C370">
        <v>5</v>
      </c>
      <c r="D370">
        <v>1</v>
      </c>
      <c r="E370">
        <v>2</v>
      </c>
      <c r="F370">
        <v>9</v>
      </c>
      <c r="G370">
        <v>7</v>
      </c>
      <c r="H370" t="str">
        <f>IF(Demographics[[#This Row],[DOB]]&gt;10000000, TEXT(Demographics[[#This Row],[DOB]],0),CONCATENATE("0",TEXT(Demographics[[#This Row],[DOB]],0)))</f>
        <v>24091987</v>
      </c>
      <c r="I370" s="4">
        <f ca="1">IFERROR((VALUE(TODAY()-DATE(RIGHT(Demographics[[#This Row],[DOB - Fixed]],4),MID(Demographics[[#This Row],[DOB - Fixed]],3,2),LEFT(Demographics[[#This Row],[DOB - Fixed]],2))))/365,0)</f>
        <v>35.980821917808221</v>
      </c>
      <c r="J370">
        <f>VLOOKUP(Demographics[[#This Row],[INCOME LEVEL]],Income[],4,FALSE)</f>
        <v>697.5</v>
      </c>
      <c r="K370">
        <f>IFERROR(Demographics[[#This Row],[Total monthly income]]/Demographics[[#This Row],[FAMILY SIZE]], 0)</f>
        <v>139.5</v>
      </c>
    </row>
    <row r="371" spans="1:11" x14ac:dyDescent="0.2">
      <c r="A371">
        <v>14373512</v>
      </c>
      <c r="B371">
        <v>31081987</v>
      </c>
      <c r="C371">
        <v>4</v>
      </c>
      <c r="D371">
        <v>1</v>
      </c>
      <c r="E371">
        <v>1</v>
      </c>
      <c r="F371">
        <v>3</v>
      </c>
      <c r="G371">
        <v>4</v>
      </c>
      <c r="H371" t="str">
        <f>IF(Demographics[[#This Row],[DOB]]&gt;10000000, TEXT(Demographics[[#This Row],[DOB]],0),CONCATENATE("0",TEXT(Demographics[[#This Row],[DOB]],0)))</f>
        <v>31081987</v>
      </c>
      <c r="I371" s="4">
        <f ca="1">IFERROR((VALUE(TODAY()-DATE(RIGHT(Demographics[[#This Row],[DOB - Fixed]],4),MID(Demographics[[#This Row],[DOB - Fixed]],3,2),LEFT(Demographics[[#This Row],[DOB - Fixed]],2))))/365,0)</f>
        <v>36.046575342465751</v>
      </c>
      <c r="J371">
        <f>VLOOKUP(Demographics[[#This Row],[INCOME LEVEL]],Income[],4,FALSE)</f>
        <v>175</v>
      </c>
      <c r="K371">
        <f>IFERROR(Demographics[[#This Row],[Total monthly income]]/Demographics[[#This Row],[FAMILY SIZE]], 0)</f>
        <v>43.75</v>
      </c>
    </row>
    <row r="372" spans="1:11" x14ac:dyDescent="0.2">
      <c r="A372">
        <v>6778744</v>
      </c>
      <c r="B372">
        <v>21061986</v>
      </c>
      <c r="C372">
        <v>0</v>
      </c>
      <c r="D372">
        <v>0</v>
      </c>
      <c r="E372">
        <v>2</v>
      </c>
      <c r="F372">
        <v>0</v>
      </c>
      <c r="G372">
        <v>0</v>
      </c>
      <c r="H372" t="str">
        <f>IF(Demographics[[#This Row],[DOB]]&gt;10000000, TEXT(Demographics[[#This Row],[DOB]],0),CONCATENATE("0",TEXT(Demographics[[#This Row],[DOB]],0)))</f>
        <v>21061986</v>
      </c>
      <c r="I372" s="4">
        <f ca="1">IFERROR((VALUE(TODAY()-DATE(RIGHT(Demographics[[#This Row],[DOB - Fixed]],4),MID(Demographics[[#This Row],[DOB - Fixed]],3,2),LEFT(Demographics[[#This Row],[DOB - Fixed]],2))))/365,0)</f>
        <v>37.241095890410961</v>
      </c>
      <c r="J372">
        <f>VLOOKUP(Demographics[[#This Row],[INCOME LEVEL]],Income[],4,FALSE)</f>
        <v>697.5</v>
      </c>
      <c r="K372">
        <f>IFERROR(Demographics[[#This Row],[Total monthly income]]/Demographics[[#This Row],[FAMILY SIZE]], 0)</f>
        <v>0</v>
      </c>
    </row>
    <row r="373" spans="1:11" x14ac:dyDescent="0.2">
      <c r="A373">
        <v>24798351</v>
      </c>
      <c r="B373">
        <v>6051987</v>
      </c>
      <c r="C373">
        <v>4</v>
      </c>
      <c r="D373">
        <v>1</v>
      </c>
      <c r="E373">
        <v>3</v>
      </c>
      <c r="F373">
        <v>9</v>
      </c>
      <c r="G373">
        <v>9</v>
      </c>
      <c r="H373" t="str">
        <f>IF(Demographics[[#This Row],[DOB]]&gt;10000000, TEXT(Demographics[[#This Row],[DOB]],0),CONCATENATE("0",TEXT(Demographics[[#This Row],[DOB]],0)))</f>
        <v>06051987</v>
      </c>
      <c r="I373" s="4">
        <f ca="1">IFERROR((VALUE(TODAY()-DATE(RIGHT(Demographics[[#This Row],[DOB - Fixed]],4),MID(Demographics[[#This Row],[DOB - Fixed]],3,2),LEFT(Demographics[[#This Row],[DOB - Fixed]],2))))/365,0)</f>
        <v>36.367123287671234</v>
      </c>
      <c r="J373">
        <f>VLOOKUP(Demographics[[#This Row],[INCOME LEVEL]],Income[],4,FALSE)</f>
        <v>1397.5</v>
      </c>
      <c r="K373">
        <f>IFERROR(Demographics[[#This Row],[Total monthly income]]/Demographics[[#This Row],[FAMILY SIZE]], 0)</f>
        <v>349.375</v>
      </c>
    </row>
    <row r="374" spans="1:11" x14ac:dyDescent="0.2">
      <c r="A374">
        <v>8173311</v>
      </c>
      <c r="B374">
        <v>12071987</v>
      </c>
      <c r="C374">
        <v>3</v>
      </c>
      <c r="D374">
        <v>1</v>
      </c>
      <c r="E374">
        <v>2</v>
      </c>
      <c r="F374">
        <v>9</v>
      </c>
      <c r="G374">
        <v>7</v>
      </c>
      <c r="H374" t="str">
        <f>IF(Demographics[[#This Row],[DOB]]&gt;10000000, TEXT(Demographics[[#This Row],[DOB]],0),CONCATENATE("0",TEXT(Demographics[[#This Row],[DOB]],0)))</f>
        <v>12071987</v>
      </c>
      <c r="I374" s="4">
        <f ca="1">IFERROR((VALUE(TODAY()-DATE(RIGHT(Demographics[[#This Row],[DOB - Fixed]],4),MID(Demographics[[#This Row],[DOB - Fixed]],3,2),LEFT(Demographics[[#This Row],[DOB - Fixed]],2))))/365,0)</f>
        <v>36.183561643835617</v>
      </c>
      <c r="J374">
        <f>VLOOKUP(Demographics[[#This Row],[INCOME LEVEL]],Income[],4,FALSE)</f>
        <v>697.5</v>
      </c>
      <c r="K374">
        <f>IFERROR(Demographics[[#This Row],[Total monthly income]]/Demographics[[#This Row],[FAMILY SIZE]], 0)</f>
        <v>232.5</v>
      </c>
    </row>
    <row r="375" spans="1:11" x14ac:dyDescent="0.2">
      <c r="A375">
        <v>16502131</v>
      </c>
      <c r="B375">
        <v>12081987</v>
      </c>
      <c r="C375">
        <v>6</v>
      </c>
      <c r="D375">
        <v>1</v>
      </c>
      <c r="E375">
        <v>5</v>
      </c>
      <c r="F375">
        <v>9</v>
      </c>
      <c r="G375">
        <v>8</v>
      </c>
      <c r="H375" t="str">
        <f>IF(Demographics[[#This Row],[DOB]]&gt;10000000, TEXT(Demographics[[#This Row],[DOB]],0),CONCATENATE("0",TEXT(Demographics[[#This Row],[DOB]],0)))</f>
        <v>12081987</v>
      </c>
      <c r="I375" s="4">
        <f ca="1">IFERROR((VALUE(TODAY()-DATE(RIGHT(Demographics[[#This Row],[DOB - Fixed]],4),MID(Demographics[[#This Row],[DOB - Fixed]],3,2),LEFT(Demographics[[#This Row],[DOB - Fixed]],2))))/365,0)</f>
        <v>36.098630136986301</v>
      </c>
      <c r="J375">
        <f>VLOOKUP(Demographics[[#This Row],[INCOME LEVEL]],Income[],4,FALSE)</f>
        <v>2787.5</v>
      </c>
      <c r="K375">
        <f>IFERROR(Demographics[[#This Row],[Total monthly income]]/Demographics[[#This Row],[FAMILY SIZE]], 0)</f>
        <v>464.58333333333331</v>
      </c>
    </row>
    <row r="376" spans="1:11" x14ac:dyDescent="0.2">
      <c r="A376">
        <v>11028389</v>
      </c>
      <c r="B376">
        <v>7061986</v>
      </c>
      <c r="C376">
        <v>4</v>
      </c>
      <c r="D376">
        <v>1</v>
      </c>
      <c r="E376">
        <v>1</v>
      </c>
      <c r="F376">
        <v>4</v>
      </c>
      <c r="G376">
        <v>4</v>
      </c>
      <c r="H376" t="str">
        <f>IF(Demographics[[#This Row],[DOB]]&gt;10000000, TEXT(Demographics[[#This Row],[DOB]],0),CONCATENATE("0",TEXT(Demographics[[#This Row],[DOB]],0)))</f>
        <v>07061986</v>
      </c>
      <c r="I376" s="4">
        <f ca="1">IFERROR((VALUE(TODAY()-DATE(RIGHT(Demographics[[#This Row],[DOB - Fixed]],4),MID(Demographics[[#This Row],[DOB - Fixed]],3,2),LEFT(Demographics[[#This Row],[DOB - Fixed]],2))))/365,0)</f>
        <v>37.279452054794518</v>
      </c>
      <c r="J376">
        <f>VLOOKUP(Demographics[[#This Row],[INCOME LEVEL]],Income[],4,FALSE)</f>
        <v>175</v>
      </c>
      <c r="K376">
        <f>IFERROR(Demographics[[#This Row],[Total monthly income]]/Demographics[[#This Row],[FAMILY SIZE]], 0)</f>
        <v>43.75</v>
      </c>
    </row>
    <row r="377" spans="1:11" x14ac:dyDescent="0.2">
      <c r="A377">
        <v>18131096</v>
      </c>
      <c r="B377">
        <v>12091986</v>
      </c>
      <c r="C377">
        <v>4</v>
      </c>
      <c r="D377">
        <v>0</v>
      </c>
      <c r="E377">
        <v>1</v>
      </c>
      <c r="F377">
        <v>5</v>
      </c>
      <c r="G377">
        <v>2</v>
      </c>
      <c r="H377" t="str">
        <f>IF(Demographics[[#This Row],[DOB]]&gt;10000000, TEXT(Demographics[[#This Row],[DOB]],0),CONCATENATE("0",TEXT(Demographics[[#This Row],[DOB]],0)))</f>
        <v>12091986</v>
      </c>
      <c r="I377" s="4">
        <f ca="1">IFERROR((VALUE(TODAY()-DATE(RIGHT(Demographics[[#This Row],[DOB - Fixed]],4),MID(Demographics[[#This Row],[DOB - Fixed]],3,2),LEFT(Demographics[[#This Row],[DOB - Fixed]],2))))/365,0)</f>
        <v>37.013698630136986</v>
      </c>
      <c r="J377">
        <f>VLOOKUP(Demographics[[#This Row],[INCOME LEVEL]],Income[],4,FALSE)</f>
        <v>175</v>
      </c>
      <c r="K377">
        <f>IFERROR(Demographics[[#This Row],[Total monthly income]]/Demographics[[#This Row],[FAMILY SIZE]], 0)</f>
        <v>43.75</v>
      </c>
    </row>
    <row r="378" spans="1:11" x14ac:dyDescent="0.2">
      <c r="A378">
        <v>7017942</v>
      </c>
      <c r="B378">
        <v>30101986</v>
      </c>
      <c r="C378">
        <v>2</v>
      </c>
      <c r="D378">
        <v>0</v>
      </c>
      <c r="E378">
        <v>1</v>
      </c>
      <c r="F378">
        <v>5</v>
      </c>
      <c r="G378">
        <v>4</v>
      </c>
      <c r="H378" t="str">
        <f>IF(Demographics[[#This Row],[DOB]]&gt;10000000, TEXT(Demographics[[#This Row],[DOB]],0),CONCATENATE("0",TEXT(Demographics[[#This Row],[DOB]],0)))</f>
        <v>30101986</v>
      </c>
      <c r="I378" s="4">
        <f ca="1">IFERROR((VALUE(TODAY()-DATE(RIGHT(Demographics[[#This Row],[DOB - Fixed]],4),MID(Demographics[[#This Row],[DOB - Fixed]],3,2),LEFT(Demographics[[#This Row],[DOB - Fixed]],2))))/365,0)</f>
        <v>36.88219178082192</v>
      </c>
      <c r="J378">
        <f>VLOOKUP(Demographics[[#This Row],[INCOME LEVEL]],Income[],4,FALSE)</f>
        <v>175</v>
      </c>
      <c r="K378">
        <f>IFERROR(Demographics[[#This Row],[Total monthly income]]/Demographics[[#This Row],[FAMILY SIZE]], 0)</f>
        <v>87.5</v>
      </c>
    </row>
    <row r="379" spans="1:11" x14ac:dyDescent="0.2">
      <c r="A379">
        <v>13672790</v>
      </c>
      <c r="B379">
        <v>4011987</v>
      </c>
      <c r="C379">
        <v>6</v>
      </c>
      <c r="D379">
        <v>1</v>
      </c>
      <c r="E379">
        <v>1</v>
      </c>
      <c r="F379">
        <v>2</v>
      </c>
      <c r="G379">
        <v>3</v>
      </c>
      <c r="H379" t="str">
        <f>IF(Demographics[[#This Row],[DOB]]&gt;10000000, TEXT(Demographics[[#This Row],[DOB]],0),CONCATENATE("0",TEXT(Demographics[[#This Row],[DOB]],0)))</f>
        <v>04011987</v>
      </c>
      <c r="I379" s="4">
        <f ca="1">IFERROR((VALUE(TODAY()-DATE(RIGHT(Demographics[[#This Row],[DOB - Fixed]],4),MID(Demographics[[#This Row],[DOB - Fixed]],3,2),LEFT(Demographics[[#This Row],[DOB - Fixed]],2))))/365,0)</f>
        <v>36.701369863013696</v>
      </c>
      <c r="J379">
        <f>VLOOKUP(Demographics[[#This Row],[INCOME LEVEL]],Income[],4,FALSE)</f>
        <v>175</v>
      </c>
      <c r="K379">
        <f>IFERROR(Demographics[[#This Row],[Total monthly income]]/Demographics[[#This Row],[FAMILY SIZE]], 0)</f>
        <v>29.166666666666668</v>
      </c>
    </row>
    <row r="380" spans="1:11" x14ac:dyDescent="0.2">
      <c r="A380">
        <v>11476182</v>
      </c>
      <c r="B380">
        <v>8081986</v>
      </c>
      <c r="C380">
        <v>5</v>
      </c>
      <c r="D380">
        <v>1</v>
      </c>
      <c r="E380">
        <v>1</v>
      </c>
      <c r="F380">
        <v>5</v>
      </c>
      <c r="G380">
        <v>4</v>
      </c>
      <c r="H380" t="str">
        <f>IF(Demographics[[#This Row],[DOB]]&gt;10000000, TEXT(Demographics[[#This Row],[DOB]],0),CONCATENATE("0",TEXT(Demographics[[#This Row],[DOB]],0)))</f>
        <v>08081986</v>
      </c>
      <c r="I380" s="4">
        <f ca="1">IFERROR((VALUE(TODAY()-DATE(RIGHT(Demographics[[#This Row],[DOB - Fixed]],4),MID(Demographics[[#This Row],[DOB - Fixed]],3,2),LEFT(Demographics[[#This Row],[DOB - Fixed]],2))))/365,0)</f>
        <v>37.109589041095887</v>
      </c>
      <c r="J380">
        <f>VLOOKUP(Demographics[[#This Row],[INCOME LEVEL]],Income[],4,FALSE)</f>
        <v>175</v>
      </c>
      <c r="K380">
        <f>IFERROR(Demographics[[#This Row],[Total monthly income]]/Demographics[[#This Row],[FAMILY SIZE]], 0)</f>
        <v>35</v>
      </c>
    </row>
    <row r="381" spans="1:11" x14ac:dyDescent="0.2">
      <c r="A381">
        <v>19965055</v>
      </c>
      <c r="B381">
        <v>29011987</v>
      </c>
      <c r="C381">
        <v>8</v>
      </c>
      <c r="D381">
        <v>2</v>
      </c>
      <c r="E381">
        <v>1</v>
      </c>
      <c r="F381">
        <v>1</v>
      </c>
      <c r="G381">
        <v>4</v>
      </c>
      <c r="H381" t="str">
        <f>IF(Demographics[[#This Row],[DOB]]&gt;10000000, TEXT(Demographics[[#This Row],[DOB]],0),CONCATENATE("0",TEXT(Demographics[[#This Row],[DOB]],0)))</f>
        <v>29011987</v>
      </c>
      <c r="I381" s="4">
        <f ca="1">IFERROR((VALUE(TODAY()-DATE(RIGHT(Demographics[[#This Row],[DOB - Fixed]],4),MID(Demographics[[#This Row],[DOB - Fixed]],3,2),LEFT(Demographics[[#This Row],[DOB - Fixed]],2))))/365,0)</f>
        <v>36.632876712328766</v>
      </c>
      <c r="J381">
        <f>VLOOKUP(Demographics[[#This Row],[INCOME LEVEL]],Income[],4,FALSE)</f>
        <v>175</v>
      </c>
      <c r="K381">
        <f>IFERROR(Demographics[[#This Row],[Total monthly income]]/Demographics[[#This Row],[FAMILY SIZE]], 0)</f>
        <v>21.875</v>
      </c>
    </row>
    <row r="382" spans="1:11" x14ac:dyDescent="0.2">
      <c r="A382">
        <v>8681573</v>
      </c>
      <c r="B382">
        <v>9051987</v>
      </c>
      <c r="C382">
        <v>4</v>
      </c>
      <c r="D382">
        <v>2</v>
      </c>
      <c r="E382">
        <v>2</v>
      </c>
      <c r="F382">
        <v>7</v>
      </c>
      <c r="G382">
        <v>9</v>
      </c>
      <c r="H382" t="str">
        <f>IF(Demographics[[#This Row],[DOB]]&gt;10000000, TEXT(Demographics[[#This Row],[DOB]],0),CONCATENATE("0",TEXT(Demographics[[#This Row],[DOB]],0)))</f>
        <v>09051987</v>
      </c>
      <c r="I382" s="4">
        <f ca="1">IFERROR((VALUE(TODAY()-DATE(RIGHT(Demographics[[#This Row],[DOB - Fixed]],4),MID(Demographics[[#This Row],[DOB - Fixed]],3,2),LEFT(Demographics[[#This Row],[DOB - Fixed]],2))))/365,0)</f>
        <v>36.358904109589041</v>
      </c>
      <c r="J382">
        <f>VLOOKUP(Demographics[[#This Row],[INCOME LEVEL]],Income[],4,FALSE)</f>
        <v>697.5</v>
      </c>
      <c r="K382">
        <f>IFERROR(Demographics[[#This Row],[Total monthly income]]/Demographics[[#This Row],[FAMILY SIZE]], 0)</f>
        <v>174.375</v>
      </c>
    </row>
    <row r="383" spans="1:11" x14ac:dyDescent="0.2">
      <c r="A383">
        <v>10298890</v>
      </c>
      <c r="B383">
        <v>18011987</v>
      </c>
      <c r="C383">
        <v>7</v>
      </c>
      <c r="D383">
        <v>1</v>
      </c>
      <c r="E383">
        <v>1</v>
      </c>
      <c r="F383">
        <v>5</v>
      </c>
      <c r="G383">
        <v>4</v>
      </c>
      <c r="H383" t="str">
        <f>IF(Demographics[[#This Row],[DOB]]&gt;10000000, TEXT(Demographics[[#This Row],[DOB]],0),CONCATENATE("0",TEXT(Demographics[[#This Row],[DOB]],0)))</f>
        <v>18011987</v>
      </c>
      <c r="I383" s="4">
        <f ca="1">IFERROR((VALUE(TODAY()-DATE(RIGHT(Demographics[[#This Row],[DOB - Fixed]],4),MID(Demographics[[#This Row],[DOB - Fixed]],3,2),LEFT(Demographics[[#This Row],[DOB - Fixed]],2))))/365,0)</f>
        <v>36.663013698630138</v>
      </c>
      <c r="J383">
        <f>VLOOKUP(Demographics[[#This Row],[INCOME LEVEL]],Income[],4,FALSE)</f>
        <v>175</v>
      </c>
      <c r="K383">
        <f>IFERROR(Demographics[[#This Row],[Total monthly income]]/Demographics[[#This Row],[FAMILY SIZE]], 0)</f>
        <v>25</v>
      </c>
    </row>
    <row r="384" spans="1:11" x14ac:dyDescent="0.2">
      <c r="A384">
        <v>1534573</v>
      </c>
      <c r="B384">
        <v>4071987</v>
      </c>
      <c r="C384">
        <v>6</v>
      </c>
      <c r="D384">
        <v>1</v>
      </c>
      <c r="E384">
        <v>2</v>
      </c>
      <c r="F384">
        <v>9</v>
      </c>
      <c r="G384">
        <v>5</v>
      </c>
      <c r="H384" t="str">
        <f>IF(Demographics[[#This Row],[DOB]]&gt;10000000, TEXT(Demographics[[#This Row],[DOB]],0),CONCATENATE("0",TEXT(Demographics[[#This Row],[DOB]],0)))</f>
        <v>04071987</v>
      </c>
      <c r="I384" s="4">
        <f ca="1">IFERROR((VALUE(TODAY()-DATE(RIGHT(Demographics[[#This Row],[DOB - Fixed]],4),MID(Demographics[[#This Row],[DOB - Fixed]],3,2),LEFT(Demographics[[#This Row],[DOB - Fixed]],2))))/365,0)</f>
        <v>36.205479452054796</v>
      </c>
      <c r="J384">
        <f>VLOOKUP(Demographics[[#This Row],[INCOME LEVEL]],Income[],4,FALSE)</f>
        <v>697.5</v>
      </c>
      <c r="K384">
        <f>IFERROR(Demographics[[#This Row],[Total monthly income]]/Demographics[[#This Row],[FAMILY SIZE]], 0)</f>
        <v>116.25</v>
      </c>
    </row>
    <row r="385" spans="1:11" x14ac:dyDescent="0.2">
      <c r="A385">
        <v>17889597</v>
      </c>
      <c r="B385">
        <v>9071987</v>
      </c>
      <c r="C385">
        <v>5</v>
      </c>
      <c r="D385">
        <v>1</v>
      </c>
      <c r="E385">
        <v>4</v>
      </c>
      <c r="F385">
        <v>9</v>
      </c>
      <c r="G385">
        <v>9</v>
      </c>
      <c r="H385" t="str">
        <f>IF(Demographics[[#This Row],[DOB]]&gt;10000000, TEXT(Demographics[[#This Row],[DOB]],0),CONCATENATE("0",TEXT(Demographics[[#This Row],[DOB]],0)))</f>
        <v>09071987</v>
      </c>
      <c r="I385" s="4">
        <f ca="1">IFERROR((VALUE(TODAY()-DATE(RIGHT(Demographics[[#This Row],[DOB - Fixed]],4),MID(Demographics[[#This Row],[DOB - Fixed]],3,2),LEFT(Demographics[[#This Row],[DOB - Fixed]],2))))/365,0)</f>
        <v>36.19178082191781</v>
      </c>
      <c r="J385">
        <f>VLOOKUP(Demographics[[#This Row],[INCOME LEVEL]],Income[],4,FALSE)</f>
        <v>2100</v>
      </c>
      <c r="K385">
        <f>IFERROR(Demographics[[#This Row],[Total monthly income]]/Demographics[[#This Row],[FAMILY SIZE]], 0)</f>
        <v>420</v>
      </c>
    </row>
    <row r="386" spans="1:11" x14ac:dyDescent="0.2">
      <c r="A386">
        <v>17085189</v>
      </c>
      <c r="B386">
        <v>20031987</v>
      </c>
      <c r="C386">
        <v>5</v>
      </c>
      <c r="D386">
        <v>2</v>
      </c>
      <c r="E386">
        <v>1</v>
      </c>
      <c r="F386">
        <v>9</v>
      </c>
      <c r="G386">
        <v>7</v>
      </c>
      <c r="H386" t="str">
        <f>IF(Demographics[[#This Row],[DOB]]&gt;10000000, TEXT(Demographics[[#This Row],[DOB]],0),CONCATENATE("0",TEXT(Demographics[[#This Row],[DOB]],0)))</f>
        <v>20031987</v>
      </c>
      <c r="I386" s="4">
        <f ca="1">IFERROR((VALUE(TODAY()-DATE(RIGHT(Demographics[[#This Row],[DOB - Fixed]],4),MID(Demographics[[#This Row],[DOB - Fixed]],3,2),LEFT(Demographics[[#This Row],[DOB - Fixed]],2))))/365,0)</f>
        <v>36.495890410958907</v>
      </c>
      <c r="J386">
        <f>VLOOKUP(Demographics[[#This Row],[INCOME LEVEL]],Income[],4,FALSE)</f>
        <v>175</v>
      </c>
      <c r="K386">
        <f>IFERROR(Demographics[[#This Row],[Total monthly income]]/Demographics[[#This Row],[FAMILY SIZE]], 0)</f>
        <v>35</v>
      </c>
    </row>
    <row r="387" spans="1:11" x14ac:dyDescent="0.2">
      <c r="A387">
        <v>17482758</v>
      </c>
      <c r="B387">
        <v>21111986</v>
      </c>
      <c r="C387">
        <v>3</v>
      </c>
      <c r="D387">
        <v>1</v>
      </c>
      <c r="E387">
        <v>1</v>
      </c>
      <c r="F387">
        <v>9</v>
      </c>
      <c r="G387">
        <v>9</v>
      </c>
      <c r="H387" t="str">
        <f>IF(Demographics[[#This Row],[DOB]]&gt;10000000, TEXT(Demographics[[#This Row],[DOB]],0),CONCATENATE("0",TEXT(Demographics[[#This Row],[DOB]],0)))</f>
        <v>21111986</v>
      </c>
      <c r="I387" s="4">
        <f ca="1">IFERROR((VALUE(TODAY()-DATE(RIGHT(Demographics[[#This Row],[DOB - Fixed]],4),MID(Demographics[[#This Row],[DOB - Fixed]],3,2),LEFT(Demographics[[#This Row],[DOB - Fixed]],2))))/365,0)</f>
        <v>36.821917808219176</v>
      </c>
      <c r="J387">
        <f>VLOOKUP(Demographics[[#This Row],[INCOME LEVEL]],Income[],4,FALSE)</f>
        <v>175</v>
      </c>
      <c r="K387">
        <f>IFERROR(Demographics[[#This Row],[Total monthly income]]/Demographics[[#This Row],[FAMILY SIZE]], 0)</f>
        <v>58.333333333333336</v>
      </c>
    </row>
    <row r="388" spans="1:11" x14ac:dyDescent="0.2">
      <c r="A388">
        <v>18117862</v>
      </c>
      <c r="B388">
        <v>28061987</v>
      </c>
      <c r="C388">
        <v>8</v>
      </c>
      <c r="D388">
        <v>0</v>
      </c>
      <c r="E388">
        <v>1</v>
      </c>
      <c r="F388">
        <v>2</v>
      </c>
      <c r="G388">
        <v>2</v>
      </c>
      <c r="H388" t="str">
        <f>IF(Demographics[[#This Row],[DOB]]&gt;10000000, TEXT(Demographics[[#This Row],[DOB]],0),CONCATENATE("0",TEXT(Demographics[[#This Row],[DOB]],0)))</f>
        <v>28061987</v>
      </c>
      <c r="I388" s="4">
        <f ca="1">IFERROR((VALUE(TODAY()-DATE(RIGHT(Demographics[[#This Row],[DOB - Fixed]],4),MID(Demographics[[#This Row],[DOB - Fixed]],3,2),LEFT(Demographics[[#This Row],[DOB - Fixed]],2))))/365,0)</f>
        <v>36.221917808219175</v>
      </c>
      <c r="J388">
        <f>VLOOKUP(Demographics[[#This Row],[INCOME LEVEL]],Income[],4,FALSE)</f>
        <v>175</v>
      </c>
      <c r="K388">
        <f>IFERROR(Demographics[[#This Row],[Total monthly income]]/Demographics[[#This Row],[FAMILY SIZE]], 0)</f>
        <v>21.875</v>
      </c>
    </row>
    <row r="389" spans="1:11" x14ac:dyDescent="0.2">
      <c r="A389">
        <v>19838513</v>
      </c>
      <c r="B389">
        <v>26091987</v>
      </c>
      <c r="C389">
        <v>3</v>
      </c>
      <c r="D389">
        <v>0</v>
      </c>
      <c r="E389">
        <v>1</v>
      </c>
      <c r="F389">
        <v>1</v>
      </c>
      <c r="G389">
        <v>5</v>
      </c>
      <c r="H389" t="str">
        <f>IF(Demographics[[#This Row],[DOB]]&gt;10000000, TEXT(Demographics[[#This Row],[DOB]],0),CONCATENATE("0",TEXT(Demographics[[#This Row],[DOB]],0)))</f>
        <v>26091987</v>
      </c>
      <c r="I389" s="4">
        <f ca="1">IFERROR((VALUE(TODAY()-DATE(RIGHT(Demographics[[#This Row],[DOB - Fixed]],4),MID(Demographics[[#This Row],[DOB - Fixed]],3,2),LEFT(Demographics[[#This Row],[DOB - Fixed]],2))))/365,0)</f>
        <v>35.975342465753428</v>
      </c>
      <c r="J389">
        <f>VLOOKUP(Demographics[[#This Row],[INCOME LEVEL]],Income[],4,FALSE)</f>
        <v>175</v>
      </c>
      <c r="K389">
        <f>IFERROR(Demographics[[#This Row],[Total monthly income]]/Demographics[[#This Row],[FAMILY SIZE]], 0)</f>
        <v>58.333333333333336</v>
      </c>
    </row>
    <row r="390" spans="1:11" x14ac:dyDescent="0.2">
      <c r="A390">
        <v>1578160</v>
      </c>
      <c r="B390">
        <v>4041988</v>
      </c>
      <c r="C390">
        <v>6</v>
      </c>
      <c r="D390">
        <v>1</v>
      </c>
      <c r="E390">
        <v>1</v>
      </c>
      <c r="F390">
        <v>3</v>
      </c>
      <c r="G390">
        <v>3</v>
      </c>
      <c r="H390" t="str">
        <f>IF(Demographics[[#This Row],[DOB]]&gt;10000000, TEXT(Demographics[[#This Row],[DOB]],0),CONCATENATE("0",TEXT(Demographics[[#This Row],[DOB]],0)))</f>
        <v>04041988</v>
      </c>
      <c r="I390" s="4">
        <f ca="1">IFERROR((VALUE(TODAY()-DATE(RIGHT(Demographics[[#This Row],[DOB - Fixed]],4),MID(Demographics[[#This Row],[DOB - Fixed]],3,2),LEFT(Demographics[[#This Row],[DOB - Fixed]],2))))/365,0)</f>
        <v>35.452054794520549</v>
      </c>
      <c r="J390">
        <f>VLOOKUP(Demographics[[#This Row],[INCOME LEVEL]],Income[],4,FALSE)</f>
        <v>175</v>
      </c>
      <c r="K390">
        <f>IFERROR(Demographics[[#This Row],[Total monthly income]]/Demographics[[#This Row],[FAMILY SIZE]], 0)</f>
        <v>29.166666666666668</v>
      </c>
    </row>
    <row r="391" spans="1:11" x14ac:dyDescent="0.2">
      <c r="A391">
        <v>23347301</v>
      </c>
      <c r="B391">
        <v>12051987</v>
      </c>
      <c r="C391">
        <v>4</v>
      </c>
      <c r="D391">
        <v>2</v>
      </c>
      <c r="E391">
        <v>2</v>
      </c>
      <c r="F391">
        <v>5</v>
      </c>
      <c r="G391">
        <v>5</v>
      </c>
      <c r="H391" t="str">
        <f>IF(Demographics[[#This Row],[DOB]]&gt;10000000, TEXT(Demographics[[#This Row],[DOB]],0),CONCATENATE("0",TEXT(Demographics[[#This Row],[DOB]],0)))</f>
        <v>12051987</v>
      </c>
      <c r="I391" s="4">
        <f ca="1">IFERROR((VALUE(TODAY()-DATE(RIGHT(Demographics[[#This Row],[DOB - Fixed]],4),MID(Demographics[[#This Row],[DOB - Fixed]],3,2),LEFT(Demographics[[#This Row],[DOB - Fixed]],2))))/365,0)</f>
        <v>36.350684931506848</v>
      </c>
      <c r="J391">
        <f>VLOOKUP(Demographics[[#This Row],[INCOME LEVEL]],Income[],4,FALSE)</f>
        <v>697.5</v>
      </c>
      <c r="K391">
        <f>IFERROR(Demographics[[#This Row],[Total monthly income]]/Demographics[[#This Row],[FAMILY SIZE]], 0)</f>
        <v>174.375</v>
      </c>
    </row>
    <row r="392" spans="1:11" x14ac:dyDescent="0.2">
      <c r="A392">
        <v>22733736</v>
      </c>
      <c r="B392">
        <v>15111986</v>
      </c>
      <c r="C392">
        <v>10</v>
      </c>
      <c r="D392">
        <v>2</v>
      </c>
      <c r="E392">
        <v>1</v>
      </c>
      <c r="F392">
        <v>5</v>
      </c>
      <c r="G392">
        <v>0</v>
      </c>
      <c r="H392" t="str">
        <f>IF(Demographics[[#This Row],[DOB]]&gt;10000000, TEXT(Demographics[[#This Row],[DOB]],0),CONCATENATE("0",TEXT(Demographics[[#This Row],[DOB]],0)))</f>
        <v>15111986</v>
      </c>
      <c r="I392" s="4">
        <f ca="1">IFERROR((VALUE(TODAY()-DATE(RIGHT(Demographics[[#This Row],[DOB - Fixed]],4),MID(Demographics[[#This Row],[DOB - Fixed]],3,2),LEFT(Demographics[[#This Row],[DOB - Fixed]],2))))/365,0)</f>
        <v>36.838356164383562</v>
      </c>
      <c r="J392">
        <f>VLOOKUP(Demographics[[#This Row],[INCOME LEVEL]],Income[],4,FALSE)</f>
        <v>175</v>
      </c>
      <c r="K392">
        <f>IFERROR(Demographics[[#This Row],[Total monthly income]]/Demographics[[#This Row],[FAMILY SIZE]], 0)</f>
        <v>17.5</v>
      </c>
    </row>
    <row r="393" spans="1:11" x14ac:dyDescent="0.2">
      <c r="A393">
        <v>87383</v>
      </c>
      <c r="B393">
        <v>7031987</v>
      </c>
      <c r="C393">
        <v>7</v>
      </c>
      <c r="D393">
        <v>1</v>
      </c>
      <c r="E393">
        <v>1</v>
      </c>
      <c r="F393">
        <v>1</v>
      </c>
      <c r="G393">
        <v>2</v>
      </c>
      <c r="H393" t="str">
        <f>IF(Demographics[[#This Row],[DOB]]&gt;10000000, TEXT(Demographics[[#This Row],[DOB]],0),CONCATENATE("0",TEXT(Demographics[[#This Row],[DOB]],0)))</f>
        <v>07031987</v>
      </c>
      <c r="I393" s="4">
        <f ca="1">IFERROR((VALUE(TODAY()-DATE(RIGHT(Demographics[[#This Row],[DOB - Fixed]],4),MID(Demographics[[#This Row],[DOB - Fixed]],3,2),LEFT(Demographics[[#This Row],[DOB - Fixed]],2))))/365,0)</f>
        <v>36.531506849315072</v>
      </c>
      <c r="J393">
        <f>VLOOKUP(Demographics[[#This Row],[INCOME LEVEL]],Income[],4,FALSE)</f>
        <v>175</v>
      </c>
      <c r="K393">
        <f>IFERROR(Demographics[[#This Row],[Total monthly income]]/Demographics[[#This Row],[FAMILY SIZE]], 0)</f>
        <v>25</v>
      </c>
    </row>
    <row r="394" spans="1:11" x14ac:dyDescent="0.2">
      <c r="A394">
        <v>14991864</v>
      </c>
      <c r="B394">
        <v>3051987</v>
      </c>
      <c r="C394">
        <v>4</v>
      </c>
      <c r="D394">
        <v>1</v>
      </c>
      <c r="E394">
        <v>1</v>
      </c>
      <c r="F394">
        <v>5</v>
      </c>
      <c r="G394">
        <v>5</v>
      </c>
      <c r="H394" t="str">
        <f>IF(Demographics[[#This Row],[DOB]]&gt;10000000, TEXT(Demographics[[#This Row],[DOB]],0),CONCATENATE("0",TEXT(Demographics[[#This Row],[DOB]],0)))</f>
        <v>03051987</v>
      </c>
      <c r="I394" s="4">
        <f ca="1">IFERROR((VALUE(TODAY()-DATE(RIGHT(Demographics[[#This Row],[DOB - Fixed]],4),MID(Demographics[[#This Row],[DOB - Fixed]],3,2),LEFT(Demographics[[#This Row],[DOB - Fixed]],2))))/365,0)</f>
        <v>36.375342465753427</v>
      </c>
      <c r="J394">
        <f>VLOOKUP(Demographics[[#This Row],[INCOME LEVEL]],Income[],4,FALSE)</f>
        <v>175</v>
      </c>
      <c r="K394">
        <f>IFERROR(Demographics[[#This Row],[Total monthly income]]/Demographics[[#This Row],[FAMILY SIZE]], 0)</f>
        <v>43.75</v>
      </c>
    </row>
    <row r="395" spans="1:11" x14ac:dyDescent="0.2">
      <c r="A395">
        <v>22932070</v>
      </c>
      <c r="B395">
        <v>15101988</v>
      </c>
      <c r="C395">
        <v>5</v>
      </c>
      <c r="D395">
        <v>0</v>
      </c>
      <c r="E395">
        <v>1</v>
      </c>
      <c r="F395">
        <v>4</v>
      </c>
      <c r="G395">
        <v>4</v>
      </c>
      <c r="H395" t="str">
        <f>IF(Demographics[[#This Row],[DOB]]&gt;10000000, TEXT(Demographics[[#This Row],[DOB]],0),CONCATENATE("0",TEXT(Demographics[[#This Row],[DOB]],0)))</f>
        <v>15101988</v>
      </c>
      <c r="I395" s="4">
        <f ca="1">IFERROR((VALUE(TODAY()-DATE(RIGHT(Demographics[[#This Row],[DOB - Fixed]],4),MID(Demographics[[#This Row],[DOB - Fixed]],3,2),LEFT(Demographics[[#This Row],[DOB - Fixed]],2))))/365,0)</f>
        <v>34.920547945205477</v>
      </c>
      <c r="J395">
        <f>VLOOKUP(Demographics[[#This Row],[INCOME LEVEL]],Income[],4,FALSE)</f>
        <v>175</v>
      </c>
      <c r="K395">
        <f>IFERROR(Demographics[[#This Row],[Total monthly income]]/Demographics[[#This Row],[FAMILY SIZE]], 0)</f>
        <v>35</v>
      </c>
    </row>
    <row r="396" spans="1:11" x14ac:dyDescent="0.2">
      <c r="A396">
        <v>1929648</v>
      </c>
      <c r="B396">
        <v>30121986</v>
      </c>
      <c r="C396">
        <v>4</v>
      </c>
      <c r="D396">
        <v>2</v>
      </c>
      <c r="E396">
        <v>4</v>
      </c>
      <c r="F396">
        <v>8</v>
      </c>
      <c r="G396">
        <v>9</v>
      </c>
      <c r="H396" t="str">
        <f>IF(Demographics[[#This Row],[DOB]]&gt;10000000, TEXT(Demographics[[#This Row],[DOB]],0),CONCATENATE("0",TEXT(Demographics[[#This Row],[DOB]],0)))</f>
        <v>30121986</v>
      </c>
      <c r="I396" s="4">
        <f ca="1">IFERROR((VALUE(TODAY()-DATE(RIGHT(Demographics[[#This Row],[DOB - Fixed]],4),MID(Demographics[[#This Row],[DOB - Fixed]],3,2),LEFT(Demographics[[#This Row],[DOB - Fixed]],2))))/365,0)</f>
        <v>36.715068493150682</v>
      </c>
      <c r="J396">
        <f>VLOOKUP(Demographics[[#This Row],[INCOME LEVEL]],Income[],4,FALSE)</f>
        <v>2100</v>
      </c>
      <c r="K396">
        <f>IFERROR(Demographics[[#This Row],[Total monthly income]]/Demographics[[#This Row],[FAMILY SIZE]], 0)</f>
        <v>525</v>
      </c>
    </row>
    <row r="397" spans="1:11" x14ac:dyDescent="0.2">
      <c r="A397">
        <v>3411838</v>
      </c>
      <c r="B397">
        <v>17011987</v>
      </c>
      <c r="C397">
        <v>5</v>
      </c>
      <c r="D397">
        <v>0</v>
      </c>
      <c r="E397">
        <v>1</v>
      </c>
      <c r="F397">
        <v>4</v>
      </c>
      <c r="G397">
        <v>2</v>
      </c>
      <c r="H397" t="str">
        <f>IF(Demographics[[#This Row],[DOB]]&gt;10000000, TEXT(Demographics[[#This Row],[DOB]],0),CONCATENATE("0",TEXT(Demographics[[#This Row],[DOB]],0)))</f>
        <v>17011987</v>
      </c>
      <c r="I397" s="4">
        <f ca="1">IFERROR((VALUE(TODAY()-DATE(RIGHT(Demographics[[#This Row],[DOB - Fixed]],4),MID(Demographics[[#This Row],[DOB - Fixed]],3,2),LEFT(Demographics[[#This Row],[DOB - Fixed]],2))))/365,0)</f>
        <v>36.665753424657531</v>
      </c>
      <c r="J397">
        <f>VLOOKUP(Demographics[[#This Row],[INCOME LEVEL]],Income[],4,FALSE)</f>
        <v>175</v>
      </c>
      <c r="K397">
        <f>IFERROR(Demographics[[#This Row],[Total monthly income]]/Demographics[[#This Row],[FAMILY SIZE]], 0)</f>
        <v>35</v>
      </c>
    </row>
    <row r="398" spans="1:11" x14ac:dyDescent="0.2">
      <c r="A398">
        <v>12396664</v>
      </c>
      <c r="B398">
        <v>17061987</v>
      </c>
      <c r="C398">
        <v>5</v>
      </c>
      <c r="D398">
        <v>1</v>
      </c>
      <c r="E398">
        <v>1</v>
      </c>
      <c r="F398">
        <v>2</v>
      </c>
      <c r="G398">
        <v>4</v>
      </c>
      <c r="H398" t="str">
        <f>IF(Demographics[[#This Row],[DOB]]&gt;10000000, TEXT(Demographics[[#This Row],[DOB]],0),CONCATENATE("0",TEXT(Demographics[[#This Row],[DOB]],0)))</f>
        <v>17061987</v>
      </c>
      <c r="I398" s="4">
        <f ca="1">IFERROR((VALUE(TODAY()-DATE(RIGHT(Demographics[[#This Row],[DOB - Fixed]],4),MID(Demographics[[#This Row],[DOB - Fixed]],3,2),LEFT(Demographics[[#This Row],[DOB - Fixed]],2))))/365,0)</f>
        <v>36.252054794520546</v>
      </c>
      <c r="J398">
        <f>VLOOKUP(Demographics[[#This Row],[INCOME LEVEL]],Income[],4,FALSE)</f>
        <v>175</v>
      </c>
      <c r="K398">
        <f>IFERROR(Demographics[[#This Row],[Total monthly income]]/Demographics[[#This Row],[FAMILY SIZE]], 0)</f>
        <v>35</v>
      </c>
    </row>
    <row r="399" spans="1:11" x14ac:dyDescent="0.2">
      <c r="A399">
        <v>2061889</v>
      </c>
      <c r="B399">
        <v>5071988</v>
      </c>
      <c r="C399">
        <v>5</v>
      </c>
      <c r="D399">
        <v>1</v>
      </c>
      <c r="E399">
        <v>1</v>
      </c>
      <c r="F399">
        <v>5</v>
      </c>
      <c r="G399">
        <v>2</v>
      </c>
      <c r="H399" t="str">
        <f>IF(Demographics[[#This Row],[DOB]]&gt;10000000, TEXT(Demographics[[#This Row],[DOB]],0),CONCATENATE("0",TEXT(Demographics[[#This Row],[DOB]],0)))</f>
        <v>05071988</v>
      </c>
      <c r="I399" s="4">
        <f ca="1">IFERROR((VALUE(TODAY()-DATE(RIGHT(Demographics[[#This Row],[DOB - Fixed]],4),MID(Demographics[[#This Row],[DOB - Fixed]],3,2),LEFT(Demographics[[#This Row],[DOB - Fixed]],2))))/365,0)</f>
        <v>35.200000000000003</v>
      </c>
      <c r="J399">
        <f>VLOOKUP(Demographics[[#This Row],[INCOME LEVEL]],Income[],4,FALSE)</f>
        <v>175</v>
      </c>
      <c r="K399">
        <f>IFERROR(Demographics[[#This Row],[Total monthly income]]/Demographics[[#This Row],[FAMILY SIZE]], 0)</f>
        <v>35</v>
      </c>
    </row>
    <row r="400" spans="1:11" x14ac:dyDescent="0.2">
      <c r="A400">
        <v>18534395</v>
      </c>
      <c r="B400">
        <v>11081987</v>
      </c>
      <c r="C400">
        <v>2</v>
      </c>
      <c r="D400">
        <v>0</v>
      </c>
      <c r="E400">
        <v>2</v>
      </c>
      <c r="F400">
        <v>9</v>
      </c>
      <c r="G400">
        <v>8</v>
      </c>
      <c r="H400" t="str">
        <f>IF(Demographics[[#This Row],[DOB]]&gt;10000000, TEXT(Demographics[[#This Row],[DOB]],0),CONCATENATE("0",TEXT(Demographics[[#This Row],[DOB]],0)))</f>
        <v>11081987</v>
      </c>
      <c r="I400" s="4">
        <f ca="1">IFERROR((VALUE(TODAY()-DATE(RIGHT(Demographics[[#This Row],[DOB - Fixed]],4),MID(Demographics[[#This Row],[DOB - Fixed]],3,2),LEFT(Demographics[[#This Row],[DOB - Fixed]],2))))/365,0)</f>
        <v>36.101369863013701</v>
      </c>
      <c r="J400">
        <f>VLOOKUP(Demographics[[#This Row],[INCOME LEVEL]],Income[],4,FALSE)</f>
        <v>697.5</v>
      </c>
      <c r="K400">
        <f>IFERROR(Demographics[[#This Row],[Total monthly income]]/Demographics[[#This Row],[FAMILY SIZE]], 0)</f>
        <v>348.75</v>
      </c>
    </row>
    <row r="401" spans="1:11" x14ac:dyDescent="0.2">
      <c r="A401">
        <v>2728766</v>
      </c>
      <c r="B401">
        <v>21021987</v>
      </c>
      <c r="C401">
        <v>4</v>
      </c>
      <c r="D401">
        <v>1</v>
      </c>
      <c r="E401">
        <v>1</v>
      </c>
      <c r="F401">
        <v>2</v>
      </c>
      <c r="G401">
        <v>2</v>
      </c>
      <c r="H401" t="str">
        <f>IF(Demographics[[#This Row],[DOB]]&gt;10000000, TEXT(Demographics[[#This Row],[DOB]],0),CONCATENATE("0",TEXT(Demographics[[#This Row],[DOB]],0)))</f>
        <v>21021987</v>
      </c>
      <c r="I401" s="4">
        <f ca="1">IFERROR((VALUE(TODAY()-DATE(RIGHT(Demographics[[#This Row],[DOB - Fixed]],4),MID(Demographics[[#This Row],[DOB - Fixed]],3,2),LEFT(Demographics[[#This Row],[DOB - Fixed]],2))))/365,0)</f>
        <v>36.56986301369863</v>
      </c>
      <c r="J401">
        <f>VLOOKUP(Demographics[[#This Row],[INCOME LEVEL]],Income[],4,FALSE)</f>
        <v>175</v>
      </c>
      <c r="K401">
        <f>IFERROR(Demographics[[#This Row],[Total monthly income]]/Demographics[[#This Row],[FAMILY SIZE]], 0)</f>
        <v>43.75</v>
      </c>
    </row>
    <row r="402" spans="1:11" x14ac:dyDescent="0.2">
      <c r="A402">
        <v>19774372</v>
      </c>
      <c r="B402">
        <v>16051987</v>
      </c>
      <c r="C402">
        <v>4</v>
      </c>
      <c r="D402">
        <v>1</v>
      </c>
      <c r="E402">
        <v>1</v>
      </c>
      <c r="F402">
        <v>9</v>
      </c>
      <c r="G402">
        <v>9</v>
      </c>
      <c r="H402" t="str">
        <f>IF(Demographics[[#This Row],[DOB]]&gt;10000000, TEXT(Demographics[[#This Row],[DOB]],0),CONCATENATE("0",TEXT(Demographics[[#This Row],[DOB]],0)))</f>
        <v>16051987</v>
      </c>
      <c r="I402" s="4">
        <f ca="1">IFERROR((VALUE(TODAY()-DATE(RIGHT(Demographics[[#This Row],[DOB - Fixed]],4),MID(Demographics[[#This Row],[DOB - Fixed]],3,2),LEFT(Demographics[[#This Row],[DOB - Fixed]],2))))/365,0)</f>
        <v>36.339726027397262</v>
      </c>
      <c r="J402">
        <f>VLOOKUP(Demographics[[#This Row],[INCOME LEVEL]],Income[],4,FALSE)</f>
        <v>175</v>
      </c>
      <c r="K402">
        <f>IFERROR(Demographics[[#This Row],[Total monthly income]]/Demographics[[#This Row],[FAMILY SIZE]], 0)</f>
        <v>43.75</v>
      </c>
    </row>
    <row r="403" spans="1:11" x14ac:dyDescent="0.2">
      <c r="A403">
        <v>3898078</v>
      </c>
      <c r="B403">
        <v>20061987</v>
      </c>
      <c r="C403">
        <v>5</v>
      </c>
      <c r="D403">
        <v>2</v>
      </c>
      <c r="E403">
        <v>3</v>
      </c>
      <c r="F403">
        <v>8</v>
      </c>
      <c r="G403">
        <v>5</v>
      </c>
      <c r="H403" t="str">
        <f>IF(Demographics[[#This Row],[DOB]]&gt;10000000, TEXT(Demographics[[#This Row],[DOB]],0),CONCATENATE("0",TEXT(Demographics[[#This Row],[DOB]],0)))</f>
        <v>20061987</v>
      </c>
      <c r="I403" s="4">
        <f ca="1">IFERROR((VALUE(TODAY()-DATE(RIGHT(Demographics[[#This Row],[DOB - Fixed]],4),MID(Demographics[[#This Row],[DOB - Fixed]],3,2),LEFT(Demographics[[#This Row],[DOB - Fixed]],2))))/365,0)</f>
        <v>36.243835616438353</v>
      </c>
      <c r="J403">
        <f>VLOOKUP(Demographics[[#This Row],[INCOME LEVEL]],Income[],4,FALSE)</f>
        <v>1397.5</v>
      </c>
      <c r="K403">
        <f>IFERROR(Demographics[[#This Row],[Total monthly income]]/Demographics[[#This Row],[FAMILY SIZE]], 0)</f>
        <v>279.5</v>
      </c>
    </row>
    <row r="404" spans="1:11" x14ac:dyDescent="0.2">
      <c r="A404">
        <v>24191890</v>
      </c>
      <c r="B404">
        <v>4091987</v>
      </c>
      <c r="C404">
        <v>6</v>
      </c>
      <c r="D404">
        <v>3</v>
      </c>
      <c r="E404">
        <v>3</v>
      </c>
      <c r="F404">
        <v>9</v>
      </c>
      <c r="G404">
        <v>9</v>
      </c>
      <c r="H404" t="str">
        <f>IF(Demographics[[#This Row],[DOB]]&gt;10000000, TEXT(Demographics[[#This Row],[DOB]],0),CONCATENATE("0",TEXT(Demographics[[#This Row],[DOB]],0)))</f>
        <v>04091987</v>
      </c>
      <c r="I404" s="4">
        <f ca="1">IFERROR((VALUE(TODAY()-DATE(RIGHT(Demographics[[#This Row],[DOB - Fixed]],4),MID(Demographics[[#This Row],[DOB - Fixed]],3,2),LEFT(Demographics[[#This Row],[DOB - Fixed]],2))))/365,0)</f>
        <v>36.035616438356165</v>
      </c>
      <c r="J404">
        <f>VLOOKUP(Demographics[[#This Row],[INCOME LEVEL]],Income[],4,FALSE)</f>
        <v>1397.5</v>
      </c>
      <c r="K404">
        <f>IFERROR(Demographics[[#This Row],[Total monthly income]]/Demographics[[#This Row],[FAMILY SIZE]], 0)</f>
        <v>232.91666666666666</v>
      </c>
    </row>
    <row r="405" spans="1:11" x14ac:dyDescent="0.2">
      <c r="A405">
        <v>12154705</v>
      </c>
      <c r="B405">
        <v>18091987</v>
      </c>
      <c r="C405">
        <v>4</v>
      </c>
      <c r="D405">
        <v>1</v>
      </c>
      <c r="E405">
        <v>1</v>
      </c>
      <c r="F405">
        <v>3</v>
      </c>
      <c r="G405">
        <v>4</v>
      </c>
      <c r="H405" t="str">
        <f>IF(Demographics[[#This Row],[DOB]]&gt;10000000, TEXT(Demographics[[#This Row],[DOB]],0),CONCATENATE("0",TEXT(Demographics[[#This Row],[DOB]],0)))</f>
        <v>18091987</v>
      </c>
      <c r="I405" s="4">
        <f ca="1">IFERROR((VALUE(TODAY()-DATE(RIGHT(Demographics[[#This Row],[DOB - Fixed]],4),MID(Demographics[[#This Row],[DOB - Fixed]],3,2),LEFT(Demographics[[#This Row],[DOB - Fixed]],2))))/365,0)</f>
        <v>35.9972602739726</v>
      </c>
      <c r="J405">
        <f>VLOOKUP(Demographics[[#This Row],[INCOME LEVEL]],Income[],4,FALSE)</f>
        <v>175</v>
      </c>
      <c r="K405">
        <f>IFERROR(Demographics[[#This Row],[Total monthly income]]/Demographics[[#This Row],[FAMILY SIZE]], 0)</f>
        <v>43.75</v>
      </c>
    </row>
    <row r="406" spans="1:11" x14ac:dyDescent="0.2">
      <c r="A406">
        <v>23268918</v>
      </c>
      <c r="B406">
        <v>20101987</v>
      </c>
      <c r="C406">
        <v>5</v>
      </c>
      <c r="D406">
        <v>1</v>
      </c>
      <c r="E406">
        <v>1</v>
      </c>
      <c r="F406">
        <v>7</v>
      </c>
      <c r="G406">
        <v>9</v>
      </c>
      <c r="H406" t="str">
        <f>IF(Demographics[[#This Row],[DOB]]&gt;10000000, TEXT(Demographics[[#This Row],[DOB]],0),CONCATENATE("0",TEXT(Demographics[[#This Row],[DOB]],0)))</f>
        <v>20101987</v>
      </c>
      <c r="I406" s="4">
        <f ca="1">IFERROR((VALUE(TODAY()-DATE(RIGHT(Demographics[[#This Row],[DOB - Fixed]],4),MID(Demographics[[#This Row],[DOB - Fixed]],3,2),LEFT(Demographics[[#This Row],[DOB - Fixed]],2))))/365,0)</f>
        <v>35.909589041095892</v>
      </c>
      <c r="J406">
        <f>VLOOKUP(Demographics[[#This Row],[INCOME LEVEL]],Income[],4,FALSE)</f>
        <v>175</v>
      </c>
      <c r="K406">
        <f>IFERROR(Demographics[[#This Row],[Total monthly income]]/Demographics[[#This Row],[FAMILY SIZE]], 0)</f>
        <v>35</v>
      </c>
    </row>
    <row r="407" spans="1:11" x14ac:dyDescent="0.2">
      <c r="A407">
        <v>6697708</v>
      </c>
      <c r="B407">
        <v>11061987</v>
      </c>
      <c r="C407">
        <v>5</v>
      </c>
      <c r="D407">
        <v>1</v>
      </c>
      <c r="E407">
        <v>1</v>
      </c>
      <c r="F407">
        <v>7</v>
      </c>
      <c r="G407">
        <v>7</v>
      </c>
      <c r="H407" t="str">
        <f>IF(Demographics[[#This Row],[DOB]]&gt;10000000, TEXT(Demographics[[#This Row],[DOB]],0),CONCATENATE("0",TEXT(Demographics[[#This Row],[DOB]],0)))</f>
        <v>11061987</v>
      </c>
      <c r="I407" s="4">
        <f ca="1">IFERROR((VALUE(TODAY()-DATE(RIGHT(Demographics[[#This Row],[DOB - Fixed]],4),MID(Demographics[[#This Row],[DOB - Fixed]],3,2),LEFT(Demographics[[#This Row],[DOB - Fixed]],2))))/365,0)</f>
        <v>36.268493150684932</v>
      </c>
      <c r="J407">
        <f>VLOOKUP(Demographics[[#This Row],[INCOME LEVEL]],Income[],4,FALSE)</f>
        <v>175</v>
      </c>
      <c r="K407">
        <f>IFERROR(Demographics[[#This Row],[Total monthly income]]/Demographics[[#This Row],[FAMILY SIZE]], 0)</f>
        <v>35</v>
      </c>
    </row>
    <row r="408" spans="1:11" x14ac:dyDescent="0.2">
      <c r="A408">
        <v>9667801</v>
      </c>
      <c r="B408">
        <v>10111986</v>
      </c>
      <c r="C408">
        <v>7</v>
      </c>
      <c r="D408">
        <v>1</v>
      </c>
      <c r="E408">
        <v>1</v>
      </c>
      <c r="F408">
        <v>5</v>
      </c>
      <c r="G408">
        <v>5</v>
      </c>
      <c r="H408" t="str">
        <f>IF(Demographics[[#This Row],[DOB]]&gt;10000000, TEXT(Demographics[[#This Row],[DOB]],0),CONCATENATE("0",TEXT(Demographics[[#This Row],[DOB]],0)))</f>
        <v>10111986</v>
      </c>
      <c r="I408" s="4">
        <f ca="1">IFERROR((VALUE(TODAY()-DATE(RIGHT(Demographics[[#This Row],[DOB - Fixed]],4),MID(Demographics[[#This Row],[DOB - Fixed]],3,2),LEFT(Demographics[[#This Row],[DOB - Fixed]],2))))/365,0)</f>
        <v>36.852054794520548</v>
      </c>
      <c r="J408">
        <f>VLOOKUP(Demographics[[#This Row],[INCOME LEVEL]],Income[],4,FALSE)</f>
        <v>175</v>
      </c>
      <c r="K408">
        <f>IFERROR(Demographics[[#This Row],[Total monthly income]]/Demographics[[#This Row],[FAMILY SIZE]], 0)</f>
        <v>25</v>
      </c>
    </row>
    <row r="409" spans="1:11" x14ac:dyDescent="0.2">
      <c r="A409">
        <v>23654518</v>
      </c>
      <c r="B409">
        <v>22041986</v>
      </c>
      <c r="C409">
        <v>4</v>
      </c>
      <c r="D409">
        <v>1</v>
      </c>
      <c r="E409">
        <v>1</v>
      </c>
      <c r="F409">
        <v>0</v>
      </c>
      <c r="G409">
        <v>5</v>
      </c>
      <c r="H409" t="str">
        <f>IF(Demographics[[#This Row],[DOB]]&gt;10000000, TEXT(Demographics[[#This Row],[DOB]],0),CONCATENATE("0",TEXT(Demographics[[#This Row],[DOB]],0)))</f>
        <v>22041986</v>
      </c>
      <c r="I409" s="4">
        <f ca="1">IFERROR((VALUE(TODAY()-DATE(RIGHT(Demographics[[#This Row],[DOB - Fixed]],4),MID(Demographics[[#This Row],[DOB - Fixed]],3,2),LEFT(Demographics[[#This Row],[DOB - Fixed]],2))))/365,0)</f>
        <v>37.405479452054792</v>
      </c>
      <c r="J409">
        <f>VLOOKUP(Demographics[[#This Row],[INCOME LEVEL]],Income[],4,FALSE)</f>
        <v>175</v>
      </c>
      <c r="K409">
        <f>IFERROR(Demographics[[#This Row],[Total monthly income]]/Demographics[[#This Row],[FAMILY SIZE]], 0)</f>
        <v>43.75</v>
      </c>
    </row>
    <row r="410" spans="1:11" x14ac:dyDescent="0.2">
      <c r="A410">
        <v>13940207</v>
      </c>
      <c r="B410">
        <v>29111986</v>
      </c>
      <c r="C410">
        <v>3</v>
      </c>
      <c r="D410">
        <v>2</v>
      </c>
      <c r="E410">
        <v>1</v>
      </c>
      <c r="F410">
        <v>5</v>
      </c>
      <c r="G410">
        <v>5</v>
      </c>
      <c r="H410" t="str">
        <f>IF(Demographics[[#This Row],[DOB]]&gt;10000000, TEXT(Demographics[[#This Row],[DOB]],0),CONCATENATE("0",TEXT(Demographics[[#This Row],[DOB]],0)))</f>
        <v>29111986</v>
      </c>
      <c r="I410" s="4">
        <f ca="1">IFERROR((VALUE(TODAY()-DATE(RIGHT(Demographics[[#This Row],[DOB - Fixed]],4),MID(Demographics[[#This Row],[DOB - Fixed]],3,2),LEFT(Demographics[[#This Row],[DOB - Fixed]],2))))/365,0)</f>
        <v>36.799999999999997</v>
      </c>
      <c r="J410">
        <f>VLOOKUP(Demographics[[#This Row],[INCOME LEVEL]],Income[],4,FALSE)</f>
        <v>175</v>
      </c>
      <c r="K410">
        <f>IFERROR(Demographics[[#This Row],[Total monthly income]]/Demographics[[#This Row],[FAMILY SIZE]], 0)</f>
        <v>58.333333333333336</v>
      </c>
    </row>
    <row r="411" spans="1:11" x14ac:dyDescent="0.2">
      <c r="A411">
        <v>2826423</v>
      </c>
      <c r="B411">
        <v>3121986</v>
      </c>
      <c r="C411">
        <v>6</v>
      </c>
      <c r="D411">
        <v>1</v>
      </c>
      <c r="E411">
        <v>2</v>
      </c>
      <c r="F411">
        <v>9</v>
      </c>
      <c r="G411">
        <v>9</v>
      </c>
      <c r="H411" t="str">
        <f>IF(Demographics[[#This Row],[DOB]]&gt;10000000, TEXT(Demographics[[#This Row],[DOB]],0),CONCATENATE("0",TEXT(Demographics[[#This Row],[DOB]],0)))</f>
        <v>03121986</v>
      </c>
      <c r="I411" s="4">
        <f ca="1">IFERROR((VALUE(TODAY()-DATE(RIGHT(Demographics[[#This Row],[DOB - Fixed]],4),MID(Demographics[[#This Row],[DOB - Fixed]],3,2),LEFT(Demographics[[#This Row],[DOB - Fixed]],2))))/365,0)</f>
        <v>36.789041095890411</v>
      </c>
      <c r="J411">
        <f>VLOOKUP(Demographics[[#This Row],[INCOME LEVEL]],Income[],4,FALSE)</f>
        <v>697.5</v>
      </c>
      <c r="K411">
        <f>IFERROR(Demographics[[#This Row],[Total monthly income]]/Demographics[[#This Row],[FAMILY SIZE]], 0)</f>
        <v>116.25</v>
      </c>
    </row>
    <row r="412" spans="1:11" x14ac:dyDescent="0.2">
      <c r="A412">
        <v>20984642</v>
      </c>
      <c r="B412">
        <v>14121986</v>
      </c>
      <c r="C412">
        <v>5</v>
      </c>
      <c r="D412">
        <v>1</v>
      </c>
      <c r="E412">
        <v>2</v>
      </c>
      <c r="F412">
        <v>7</v>
      </c>
      <c r="G412">
        <v>5</v>
      </c>
      <c r="H412" t="str">
        <f>IF(Demographics[[#This Row],[DOB]]&gt;10000000, TEXT(Demographics[[#This Row],[DOB]],0),CONCATENATE("0",TEXT(Demographics[[#This Row],[DOB]],0)))</f>
        <v>14121986</v>
      </c>
      <c r="I412" s="4">
        <f ca="1">IFERROR((VALUE(TODAY()-DATE(RIGHT(Demographics[[#This Row],[DOB - Fixed]],4),MID(Demographics[[#This Row],[DOB - Fixed]],3,2),LEFT(Demographics[[#This Row],[DOB - Fixed]],2))))/365,0)</f>
        <v>36.758904109589039</v>
      </c>
      <c r="J412">
        <f>VLOOKUP(Demographics[[#This Row],[INCOME LEVEL]],Income[],4,FALSE)</f>
        <v>697.5</v>
      </c>
      <c r="K412">
        <f>IFERROR(Demographics[[#This Row],[Total monthly income]]/Demographics[[#This Row],[FAMILY SIZE]], 0)</f>
        <v>139.5</v>
      </c>
    </row>
    <row r="413" spans="1:11" x14ac:dyDescent="0.2">
      <c r="A413">
        <v>23120773</v>
      </c>
      <c r="B413">
        <v>20121986</v>
      </c>
      <c r="C413">
        <v>4</v>
      </c>
      <c r="D413">
        <v>1</v>
      </c>
      <c r="E413">
        <v>2</v>
      </c>
      <c r="F413">
        <v>9</v>
      </c>
      <c r="G413">
        <v>5</v>
      </c>
      <c r="H413" t="str">
        <f>IF(Demographics[[#This Row],[DOB]]&gt;10000000, TEXT(Demographics[[#This Row],[DOB]],0),CONCATENATE("0",TEXT(Demographics[[#This Row],[DOB]],0)))</f>
        <v>20121986</v>
      </c>
      <c r="I413" s="4">
        <f ca="1">IFERROR((VALUE(TODAY()-DATE(RIGHT(Demographics[[#This Row],[DOB - Fixed]],4),MID(Demographics[[#This Row],[DOB - Fixed]],3,2),LEFT(Demographics[[#This Row],[DOB - Fixed]],2))))/365,0)</f>
        <v>36.742465753424661</v>
      </c>
      <c r="J413">
        <f>VLOOKUP(Demographics[[#This Row],[INCOME LEVEL]],Income[],4,FALSE)</f>
        <v>697.5</v>
      </c>
      <c r="K413">
        <f>IFERROR(Demographics[[#This Row],[Total monthly income]]/Demographics[[#This Row],[FAMILY SIZE]], 0)</f>
        <v>174.375</v>
      </c>
    </row>
    <row r="414" spans="1:11" x14ac:dyDescent="0.2">
      <c r="A414">
        <v>18414329</v>
      </c>
      <c r="B414">
        <v>23121986</v>
      </c>
      <c r="C414">
        <v>5</v>
      </c>
      <c r="D414">
        <v>1</v>
      </c>
      <c r="E414">
        <v>1</v>
      </c>
      <c r="F414">
        <v>5</v>
      </c>
      <c r="G414">
        <v>9</v>
      </c>
      <c r="H414" t="str">
        <f>IF(Demographics[[#This Row],[DOB]]&gt;10000000, TEXT(Demographics[[#This Row],[DOB]],0),CONCATENATE("0",TEXT(Demographics[[#This Row],[DOB]],0)))</f>
        <v>23121986</v>
      </c>
      <c r="I414" s="4">
        <f ca="1">IFERROR((VALUE(TODAY()-DATE(RIGHT(Demographics[[#This Row],[DOB - Fixed]],4),MID(Demographics[[#This Row],[DOB - Fixed]],3,2),LEFT(Demographics[[#This Row],[DOB - Fixed]],2))))/365,0)</f>
        <v>36.734246575342468</v>
      </c>
      <c r="J414">
        <f>VLOOKUP(Demographics[[#This Row],[INCOME LEVEL]],Income[],4,FALSE)</f>
        <v>175</v>
      </c>
      <c r="K414">
        <f>IFERROR(Demographics[[#This Row],[Total monthly income]]/Demographics[[#This Row],[FAMILY SIZE]], 0)</f>
        <v>35</v>
      </c>
    </row>
    <row r="415" spans="1:11" x14ac:dyDescent="0.2">
      <c r="A415">
        <v>10938244</v>
      </c>
      <c r="B415">
        <v>16121986</v>
      </c>
      <c r="C415">
        <v>4</v>
      </c>
      <c r="D415">
        <v>1</v>
      </c>
      <c r="E415">
        <v>1</v>
      </c>
      <c r="F415">
        <v>8</v>
      </c>
      <c r="G415">
        <v>4</v>
      </c>
      <c r="H415" t="str">
        <f>IF(Demographics[[#This Row],[DOB]]&gt;10000000, TEXT(Demographics[[#This Row],[DOB]],0),CONCATENATE("0",TEXT(Demographics[[#This Row],[DOB]],0)))</f>
        <v>16121986</v>
      </c>
      <c r="I415" s="4">
        <f ca="1">IFERROR((VALUE(TODAY()-DATE(RIGHT(Demographics[[#This Row],[DOB - Fixed]],4),MID(Demographics[[#This Row],[DOB - Fixed]],3,2),LEFT(Demographics[[#This Row],[DOB - Fixed]],2))))/365,0)</f>
        <v>36.753424657534246</v>
      </c>
      <c r="J415">
        <f>VLOOKUP(Demographics[[#This Row],[INCOME LEVEL]],Income[],4,FALSE)</f>
        <v>175</v>
      </c>
      <c r="K415">
        <f>IFERROR(Demographics[[#This Row],[Total monthly income]]/Demographics[[#This Row],[FAMILY SIZE]], 0)</f>
        <v>43.75</v>
      </c>
    </row>
    <row r="416" spans="1:11" x14ac:dyDescent="0.2">
      <c r="A416">
        <v>10837293</v>
      </c>
      <c r="B416">
        <v>26121986</v>
      </c>
      <c r="C416">
        <v>6</v>
      </c>
      <c r="D416">
        <v>0</v>
      </c>
      <c r="E416">
        <v>1</v>
      </c>
      <c r="F416">
        <v>3</v>
      </c>
      <c r="G416">
        <v>2</v>
      </c>
      <c r="H416" t="str">
        <f>IF(Demographics[[#This Row],[DOB]]&gt;10000000, TEXT(Demographics[[#This Row],[DOB]],0),CONCATENATE("0",TEXT(Demographics[[#This Row],[DOB]],0)))</f>
        <v>26121986</v>
      </c>
      <c r="I416" s="4">
        <f ca="1">IFERROR((VALUE(TODAY()-DATE(RIGHT(Demographics[[#This Row],[DOB - Fixed]],4),MID(Demographics[[#This Row],[DOB - Fixed]],3,2),LEFT(Demographics[[#This Row],[DOB - Fixed]],2))))/365,0)</f>
        <v>36.726027397260275</v>
      </c>
      <c r="J416">
        <f>VLOOKUP(Demographics[[#This Row],[INCOME LEVEL]],Income[],4,FALSE)</f>
        <v>175</v>
      </c>
      <c r="K416">
        <f>IFERROR(Demographics[[#This Row],[Total monthly income]]/Demographics[[#This Row],[FAMILY SIZE]], 0)</f>
        <v>29.166666666666668</v>
      </c>
    </row>
    <row r="417" spans="1:11" x14ac:dyDescent="0.2">
      <c r="A417">
        <v>13940206</v>
      </c>
      <c r="B417">
        <v>29121986</v>
      </c>
      <c r="C417">
        <v>3</v>
      </c>
      <c r="D417">
        <v>1</v>
      </c>
      <c r="E417">
        <v>3</v>
      </c>
      <c r="F417">
        <v>9</v>
      </c>
      <c r="G417">
        <v>9</v>
      </c>
      <c r="H417" t="str">
        <f>IF(Demographics[[#This Row],[DOB]]&gt;10000000, TEXT(Demographics[[#This Row],[DOB]],0),CONCATENATE("0",TEXT(Demographics[[#This Row],[DOB]],0)))</f>
        <v>29121986</v>
      </c>
      <c r="I417" s="4">
        <f ca="1">IFERROR((VALUE(TODAY()-DATE(RIGHT(Demographics[[#This Row],[DOB - Fixed]],4),MID(Demographics[[#This Row],[DOB - Fixed]],3,2),LEFT(Demographics[[#This Row],[DOB - Fixed]],2))))/365,0)</f>
        <v>36.717808219178082</v>
      </c>
      <c r="J417">
        <f>VLOOKUP(Demographics[[#This Row],[INCOME LEVEL]],Income[],4,FALSE)</f>
        <v>1397.5</v>
      </c>
      <c r="K417">
        <f>IFERROR(Demographics[[#This Row],[Total monthly income]]/Demographics[[#This Row],[FAMILY SIZE]], 0)</f>
        <v>465.83333333333331</v>
      </c>
    </row>
    <row r="418" spans="1:11" x14ac:dyDescent="0.2">
      <c r="A418">
        <v>16638796</v>
      </c>
      <c r="B418">
        <v>29071986</v>
      </c>
      <c r="C418">
        <v>5</v>
      </c>
      <c r="D418">
        <v>1</v>
      </c>
      <c r="E418">
        <v>1</v>
      </c>
      <c r="F418">
        <v>5</v>
      </c>
      <c r="G418">
        <v>4</v>
      </c>
      <c r="H418" t="str">
        <f>IF(Demographics[[#This Row],[DOB]]&gt;10000000, TEXT(Demographics[[#This Row],[DOB]],0),CONCATENATE("0",TEXT(Demographics[[#This Row],[DOB]],0)))</f>
        <v>29071986</v>
      </c>
      <c r="I418" s="4">
        <f ca="1">IFERROR((VALUE(TODAY()-DATE(RIGHT(Demographics[[#This Row],[DOB - Fixed]],4),MID(Demographics[[#This Row],[DOB - Fixed]],3,2),LEFT(Demographics[[#This Row],[DOB - Fixed]],2))))/365,0)</f>
        <v>37.136986301369866</v>
      </c>
      <c r="J418">
        <f>VLOOKUP(Demographics[[#This Row],[INCOME LEVEL]],Income[],4,FALSE)</f>
        <v>175</v>
      </c>
      <c r="K418">
        <f>IFERROR(Demographics[[#This Row],[Total monthly income]]/Demographics[[#This Row],[FAMILY SIZE]], 0)</f>
        <v>35</v>
      </c>
    </row>
    <row r="419" spans="1:11" x14ac:dyDescent="0.2">
      <c r="A419">
        <v>8094033</v>
      </c>
      <c r="B419">
        <v>10011987</v>
      </c>
      <c r="C419">
        <v>0</v>
      </c>
      <c r="D419">
        <v>0</v>
      </c>
      <c r="E419">
        <v>1</v>
      </c>
      <c r="F419">
        <v>0</v>
      </c>
      <c r="G419">
        <v>0</v>
      </c>
      <c r="H419" t="str">
        <f>IF(Demographics[[#This Row],[DOB]]&gt;10000000, TEXT(Demographics[[#This Row],[DOB]],0),CONCATENATE("0",TEXT(Demographics[[#This Row],[DOB]],0)))</f>
        <v>10011987</v>
      </c>
      <c r="I419" s="4">
        <f ca="1">IFERROR((VALUE(TODAY()-DATE(RIGHT(Demographics[[#This Row],[DOB - Fixed]],4),MID(Demographics[[#This Row],[DOB - Fixed]],3,2),LEFT(Demographics[[#This Row],[DOB - Fixed]],2))))/365,0)</f>
        <v>36.684931506849317</v>
      </c>
      <c r="J419">
        <f>VLOOKUP(Demographics[[#This Row],[INCOME LEVEL]],Income[],4,FALSE)</f>
        <v>175</v>
      </c>
      <c r="K419">
        <f>IFERROR(Demographics[[#This Row],[Total monthly income]]/Demographics[[#This Row],[FAMILY SIZE]], 0)</f>
        <v>0</v>
      </c>
    </row>
    <row r="420" spans="1:11" x14ac:dyDescent="0.2">
      <c r="A420">
        <v>8830299</v>
      </c>
      <c r="B420">
        <v>11011987</v>
      </c>
      <c r="C420">
        <v>2</v>
      </c>
      <c r="D420">
        <v>1</v>
      </c>
      <c r="E420">
        <v>2</v>
      </c>
      <c r="F420">
        <v>8</v>
      </c>
      <c r="G420">
        <v>0</v>
      </c>
      <c r="H420" t="str">
        <f>IF(Demographics[[#This Row],[DOB]]&gt;10000000, TEXT(Demographics[[#This Row],[DOB]],0),CONCATENATE("0",TEXT(Demographics[[#This Row],[DOB]],0)))</f>
        <v>11011987</v>
      </c>
      <c r="I420" s="4">
        <f ca="1">IFERROR((VALUE(TODAY()-DATE(RIGHT(Demographics[[#This Row],[DOB - Fixed]],4),MID(Demographics[[#This Row],[DOB - Fixed]],3,2),LEFT(Demographics[[#This Row],[DOB - Fixed]],2))))/365,0)</f>
        <v>36.682191780821917</v>
      </c>
      <c r="J420">
        <f>VLOOKUP(Demographics[[#This Row],[INCOME LEVEL]],Income[],4,FALSE)</f>
        <v>697.5</v>
      </c>
      <c r="K420">
        <f>IFERROR(Demographics[[#This Row],[Total monthly income]]/Demographics[[#This Row],[FAMILY SIZE]], 0)</f>
        <v>348.75</v>
      </c>
    </row>
    <row r="421" spans="1:11" x14ac:dyDescent="0.2">
      <c r="A421">
        <v>15671778</v>
      </c>
      <c r="B421">
        <v>25121986</v>
      </c>
      <c r="C421">
        <v>7</v>
      </c>
      <c r="D421">
        <v>0</v>
      </c>
      <c r="E421">
        <v>1</v>
      </c>
      <c r="F421">
        <v>2</v>
      </c>
      <c r="G421">
        <v>2</v>
      </c>
      <c r="H421" t="str">
        <f>IF(Demographics[[#This Row],[DOB]]&gt;10000000, TEXT(Demographics[[#This Row],[DOB]],0),CONCATENATE("0",TEXT(Demographics[[#This Row],[DOB]],0)))</f>
        <v>25121986</v>
      </c>
      <c r="I421" s="4">
        <f ca="1">IFERROR((VALUE(TODAY()-DATE(RIGHT(Demographics[[#This Row],[DOB - Fixed]],4),MID(Demographics[[#This Row],[DOB - Fixed]],3,2),LEFT(Demographics[[#This Row],[DOB - Fixed]],2))))/365,0)</f>
        <v>36.728767123287675</v>
      </c>
      <c r="J421">
        <f>VLOOKUP(Demographics[[#This Row],[INCOME LEVEL]],Income[],4,FALSE)</f>
        <v>175</v>
      </c>
      <c r="K421">
        <f>IFERROR(Demographics[[#This Row],[Total monthly income]]/Demographics[[#This Row],[FAMILY SIZE]], 0)</f>
        <v>25</v>
      </c>
    </row>
    <row r="422" spans="1:11" x14ac:dyDescent="0.2">
      <c r="A422">
        <v>21445667</v>
      </c>
      <c r="B422">
        <v>19011987</v>
      </c>
      <c r="C422">
        <v>2</v>
      </c>
      <c r="D422">
        <v>0</v>
      </c>
      <c r="E422">
        <v>1</v>
      </c>
      <c r="F422">
        <v>4</v>
      </c>
      <c r="G422">
        <v>5</v>
      </c>
      <c r="H422" t="str">
        <f>IF(Demographics[[#This Row],[DOB]]&gt;10000000, TEXT(Demographics[[#This Row],[DOB]],0),CONCATENATE("0",TEXT(Demographics[[#This Row],[DOB]],0)))</f>
        <v>19011987</v>
      </c>
      <c r="I422" s="4">
        <f ca="1">IFERROR((VALUE(TODAY()-DATE(RIGHT(Demographics[[#This Row],[DOB - Fixed]],4),MID(Demographics[[#This Row],[DOB - Fixed]],3,2),LEFT(Demographics[[#This Row],[DOB - Fixed]],2))))/365,0)</f>
        <v>36.660273972602738</v>
      </c>
      <c r="J422">
        <f>VLOOKUP(Demographics[[#This Row],[INCOME LEVEL]],Income[],4,FALSE)</f>
        <v>175</v>
      </c>
      <c r="K422">
        <f>IFERROR(Demographics[[#This Row],[Total monthly income]]/Demographics[[#This Row],[FAMILY SIZE]], 0)</f>
        <v>87.5</v>
      </c>
    </row>
    <row r="423" spans="1:11" x14ac:dyDescent="0.2">
      <c r="A423">
        <v>12034820</v>
      </c>
      <c r="B423">
        <v>22011987</v>
      </c>
      <c r="C423">
        <v>4</v>
      </c>
      <c r="D423">
        <v>1</v>
      </c>
      <c r="E423">
        <v>1</v>
      </c>
      <c r="F423">
        <v>0</v>
      </c>
      <c r="G423">
        <v>0</v>
      </c>
      <c r="H423" t="str">
        <f>IF(Demographics[[#This Row],[DOB]]&gt;10000000, TEXT(Demographics[[#This Row],[DOB]],0),CONCATENATE("0",TEXT(Demographics[[#This Row],[DOB]],0)))</f>
        <v>22011987</v>
      </c>
      <c r="I423" s="4">
        <f ca="1">IFERROR((VALUE(TODAY()-DATE(RIGHT(Demographics[[#This Row],[DOB - Fixed]],4),MID(Demographics[[#This Row],[DOB - Fixed]],3,2),LEFT(Demographics[[#This Row],[DOB - Fixed]],2))))/365,0)</f>
        <v>36.652054794520545</v>
      </c>
      <c r="J423">
        <f>VLOOKUP(Demographics[[#This Row],[INCOME LEVEL]],Income[],4,FALSE)</f>
        <v>175</v>
      </c>
      <c r="K423">
        <f>IFERROR(Demographics[[#This Row],[Total monthly income]]/Demographics[[#This Row],[FAMILY SIZE]], 0)</f>
        <v>43.75</v>
      </c>
    </row>
    <row r="424" spans="1:11" x14ac:dyDescent="0.2">
      <c r="A424">
        <v>5092164</v>
      </c>
      <c r="B424">
        <v>1111986</v>
      </c>
      <c r="C424">
        <v>3</v>
      </c>
      <c r="D424">
        <v>1</v>
      </c>
      <c r="E424">
        <v>1</v>
      </c>
      <c r="F424">
        <v>3</v>
      </c>
      <c r="G424">
        <v>5</v>
      </c>
      <c r="H424" t="str">
        <f>IF(Demographics[[#This Row],[DOB]]&gt;10000000, TEXT(Demographics[[#This Row],[DOB]],0),CONCATENATE("0",TEXT(Demographics[[#This Row],[DOB]],0)))</f>
        <v>01111986</v>
      </c>
      <c r="I424" s="4">
        <f ca="1">IFERROR((VALUE(TODAY()-DATE(RIGHT(Demographics[[#This Row],[DOB - Fixed]],4),MID(Demographics[[#This Row],[DOB - Fixed]],3,2),LEFT(Demographics[[#This Row],[DOB - Fixed]],2))))/365,0)</f>
        <v>36.876712328767127</v>
      </c>
      <c r="J424">
        <f>VLOOKUP(Demographics[[#This Row],[INCOME LEVEL]],Income[],4,FALSE)</f>
        <v>175</v>
      </c>
      <c r="K424">
        <f>IFERROR(Demographics[[#This Row],[Total monthly income]]/Demographics[[#This Row],[FAMILY SIZE]], 0)</f>
        <v>58.333333333333336</v>
      </c>
    </row>
    <row r="425" spans="1:11" x14ac:dyDescent="0.2">
      <c r="A425">
        <v>5771331</v>
      </c>
      <c r="B425">
        <v>6031987</v>
      </c>
      <c r="C425">
        <v>2</v>
      </c>
      <c r="D425">
        <v>1</v>
      </c>
      <c r="E425">
        <v>1</v>
      </c>
      <c r="F425">
        <v>7</v>
      </c>
      <c r="G425">
        <v>7</v>
      </c>
      <c r="H425" t="str">
        <f>IF(Demographics[[#This Row],[DOB]]&gt;10000000, TEXT(Demographics[[#This Row],[DOB]],0),CONCATENATE("0",TEXT(Demographics[[#This Row],[DOB]],0)))</f>
        <v>06031987</v>
      </c>
      <c r="I425" s="4">
        <f ca="1">IFERROR((VALUE(TODAY()-DATE(RIGHT(Demographics[[#This Row],[DOB - Fixed]],4),MID(Demographics[[#This Row],[DOB - Fixed]],3,2),LEFT(Demographics[[#This Row],[DOB - Fixed]],2))))/365,0)</f>
        <v>36.534246575342465</v>
      </c>
      <c r="J425">
        <f>VLOOKUP(Demographics[[#This Row],[INCOME LEVEL]],Income[],4,FALSE)</f>
        <v>175</v>
      </c>
      <c r="K425">
        <f>IFERROR(Demographics[[#This Row],[Total monthly income]]/Demographics[[#This Row],[FAMILY SIZE]], 0)</f>
        <v>87.5</v>
      </c>
    </row>
    <row r="426" spans="1:11" x14ac:dyDescent="0.2">
      <c r="A426">
        <v>22962178</v>
      </c>
      <c r="B426">
        <v>8031987</v>
      </c>
      <c r="C426">
        <v>4</v>
      </c>
      <c r="D426">
        <v>2</v>
      </c>
      <c r="E426">
        <v>1</v>
      </c>
      <c r="F426">
        <v>5</v>
      </c>
      <c r="G426">
        <v>4</v>
      </c>
      <c r="H426" t="str">
        <f>IF(Demographics[[#This Row],[DOB]]&gt;10000000, TEXT(Demographics[[#This Row],[DOB]],0),CONCATENATE("0",TEXT(Demographics[[#This Row],[DOB]],0)))</f>
        <v>08031987</v>
      </c>
      <c r="I426" s="4">
        <f ca="1">IFERROR((VALUE(TODAY()-DATE(RIGHT(Demographics[[#This Row],[DOB - Fixed]],4),MID(Demographics[[#This Row],[DOB - Fixed]],3,2),LEFT(Demographics[[#This Row],[DOB - Fixed]],2))))/365,0)</f>
        <v>36.528767123287672</v>
      </c>
      <c r="J426">
        <f>VLOOKUP(Demographics[[#This Row],[INCOME LEVEL]],Income[],4,FALSE)</f>
        <v>175</v>
      </c>
      <c r="K426">
        <f>IFERROR(Demographics[[#This Row],[Total monthly income]]/Demographics[[#This Row],[FAMILY SIZE]], 0)</f>
        <v>43.75</v>
      </c>
    </row>
    <row r="427" spans="1:11" x14ac:dyDescent="0.2">
      <c r="A427">
        <v>12079013</v>
      </c>
      <c r="B427">
        <v>27011987</v>
      </c>
      <c r="C427">
        <v>3</v>
      </c>
      <c r="D427">
        <v>0</v>
      </c>
      <c r="E427">
        <v>1</v>
      </c>
      <c r="F427">
        <v>5</v>
      </c>
      <c r="G427">
        <v>5</v>
      </c>
      <c r="H427" t="str">
        <f>IF(Demographics[[#This Row],[DOB]]&gt;10000000, TEXT(Demographics[[#This Row],[DOB]],0),CONCATENATE("0",TEXT(Demographics[[#This Row],[DOB]],0)))</f>
        <v>27011987</v>
      </c>
      <c r="I427" s="4">
        <f ca="1">IFERROR((VALUE(TODAY()-DATE(RIGHT(Demographics[[#This Row],[DOB - Fixed]],4),MID(Demographics[[#This Row],[DOB - Fixed]],3,2),LEFT(Demographics[[#This Row],[DOB - Fixed]],2))))/365,0)</f>
        <v>36.638356164383559</v>
      </c>
      <c r="J427">
        <f>VLOOKUP(Demographics[[#This Row],[INCOME LEVEL]],Income[],4,FALSE)</f>
        <v>175</v>
      </c>
      <c r="K427">
        <f>IFERROR(Demographics[[#This Row],[Total monthly income]]/Demographics[[#This Row],[FAMILY SIZE]], 0)</f>
        <v>58.333333333333336</v>
      </c>
    </row>
    <row r="428" spans="1:11" x14ac:dyDescent="0.2">
      <c r="A428">
        <v>20825930</v>
      </c>
      <c r="B428">
        <v>25021987</v>
      </c>
      <c r="C428">
        <v>9</v>
      </c>
      <c r="D428">
        <v>2</v>
      </c>
      <c r="E428">
        <v>1</v>
      </c>
      <c r="F428">
        <v>5</v>
      </c>
      <c r="G428">
        <v>5</v>
      </c>
      <c r="H428" t="str">
        <f>IF(Demographics[[#This Row],[DOB]]&gt;10000000, TEXT(Demographics[[#This Row],[DOB]],0),CONCATENATE("0",TEXT(Demographics[[#This Row],[DOB]],0)))</f>
        <v>25021987</v>
      </c>
      <c r="I428" s="4">
        <f ca="1">IFERROR((VALUE(TODAY()-DATE(RIGHT(Demographics[[#This Row],[DOB - Fixed]],4),MID(Demographics[[#This Row],[DOB - Fixed]],3,2),LEFT(Demographics[[#This Row],[DOB - Fixed]],2))))/365,0)</f>
        <v>36.558904109589044</v>
      </c>
      <c r="J428">
        <f>VLOOKUP(Demographics[[#This Row],[INCOME LEVEL]],Income[],4,FALSE)</f>
        <v>175</v>
      </c>
      <c r="K428">
        <f>IFERROR(Demographics[[#This Row],[Total monthly income]]/Demographics[[#This Row],[FAMILY SIZE]], 0)</f>
        <v>19.444444444444443</v>
      </c>
    </row>
    <row r="429" spans="1:11" x14ac:dyDescent="0.2">
      <c r="A429">
        <v>1700581</v>
      </c>
      <c r="B429">
        <v>31031987</v>
      </c>
      <c r="C429">
        <v>4</v>
      </c>
      <c r="D429">
        <v>1</v>
      </c>
      <c r="E429">
        <v>3</v>
      </c>
      <c r="F429">
        <v>9</v>
      </c>
      <c r="G429">
        <v>5</v>
      </c>
      <c r="H429" t="str">
        <f>IF(Demographics[[#This Row],[DOB]]&gt;10000000, TEXT(Demographics[[#This Row],[DOB]],0),CONCATENATE("0",TEXT(Demographics[[#This Row],[DOB]],0)))</f>
        <v>31031987</v>
      </c>
      <c r="I429" s="4">
        <f ca="1">IFERROR((VALUE(TODAY()-DATE(RIGHT(Demographics[[#This Row],[DOB - Fixed]],4),MID(Demographics[[#This Row],[DOB - Fixed]],3,2),LEFT(Demographics[[#This Row],[DOB - Fixed]],2))))/365,0)</f>
        <v>36.465753424657535</v>
      </c>
      <c r="J429">
        <f>VLOOKUP(Demographics[[#This Row],[INCOME LEVEL]],Income[],4,FALSE)</f>
        <v>1397.5</v>
      </c>
      <c r="K429">
        <f>IFERROR(Demographics[[#This Row],[Total monthly income]]/Demographics[[#This Row],[FAMILY SIZE]], 0)</f>
        <v>349.375</v>
      </c>
    </row>
    <row r="430" spans="1:11" x14ac:dyDescent="0.2">
      <c r="A430">
        <v>2769406</v>
      </c>
      <c r="B430">
        <v>8041987</v>
      </c>
      <c r="C430">
        <v>7</v>
      </c>
      <c r="D430">
        <v>1</v>
      </c>
      <c r="E430">
        <v>2</v>
      </c>
      <c r="F430">
        <v>5</v>
      </c>
      <c r="G430">
        <v>9</v>
      </c>
      <c r="H430" t="str">
        <f>IF(Demographics[[#This Row],[DOB]]&gt;10000000, TEXT(Demographics[[#This Row],[DOB]],0),CONCATENATE("0",TEXT(Demographics[[#This Row],[DOB]],0)))</f>
        <v>08041987</v>
      </c>
      <c r="I430" s="4">
        <f ca="1">IFERROR((VALUE(TODAY()-DATE(RIGHT(Demographics[[#This Row],[DOB - Fixed]],4),MID(Demographics[[#This Row],[DOB - Fixed]],3,2),LEFT(Demographics[[#This Row],[DOB - Fixed]],2))))/365,0)</f>
        <v>36.443835616438356</v>
      </c>
      <c r="J430">
        <f>VLOOKUP(Demographics[[#This Row],[INCOME LEVEL]],Income[],4,FALSE)</f>
        <v>697.5</v>
      </c>
      <c r="K430">
        <f>IFERROR(Demographics[[#This Row],[Total monthly income]]/Demographics[[#This Row],[FAMILY SIZE]], 0)</f>
        <v>99.642857142857139</v>
      </c>
    </row>
    <row r="431" spans="1:11" x14ac:dyDescent="0.2">
      <c r="A431">
        <v>23827691</v>
      </c>
      <c r="B431">
        <v>14041987</v>
      </c>
      <c r="C431">
        <v>4</v>
      </c>
      <c r="D431">
        <v>1</v>
      </c>
      <c r="E431">
        <v>5</v>
      </c>
      <c r="F431">
        <v>9</v>
      </c>
      <c r="G431">
        <v>9</v>
      </c>
      <c r="H431" t="str">
        <f>IF(Demographics[[#This Row],[DOB]]&gt;10000000, TEXT(Demographics[[#This Row],[DOB]],0),CONCATENATE("0",TEXT(Demographics[[#This Row],[DOB]],0)))</f>
        <v>14041987</v>
      </c>
      <c r="I431" s="4">
        <f ca="1">IFERROR((VALUE(TODAY()-DATE(RIGHT(Demographics[[#This Row],[DOB - Fixed]],4),MID(Demographics[[#This Row],[DOB - Fixed]],3,2),LEFT(Demographics[[#This Row],[DOB - Fixed]],2))))/365,0)</f>
        <v>36.42739726027397</v>
      </c>
      <c r="J431">
        <f>VLOOKUP(Demographics[[#This Row],[INCOME LEVEL]],Income[],4,FALSE)</f>
        <v>2787.5</v>
      </c>
      <c r="K431">
        <f>IFERROR(Demographics[[#This Row],[Total monthly income]]/Demographics[[#This Row],[FAMILY SIZE]], 0)</f>
        <v>696.875</v>
      </c>
    </row>
    <row r="432" spans="1:11" x14ac:dyDescent="0.2">
      <c r="A432">
        <v>632544</v>
      </c>
      <c r="B432">
        <v>13041987</v>
      </c>
      <c r="C432">
        <v>3</v>
      </c>
      <c r="D432">
        <v>1</v>
      </c>
      <c r="E432">
        <v>4</v>
      </c>
      <c r="F432">
        <v>0</v>
      </c>
      <c r="G432">
        <v>0</v>
      </c>
      <c r="H432" t="str">
        <f>IF(Demographics[[#This Row],[DOB]]&gt;10000000, TEXT(Demographics[[#This Row],[DOB]],0),CONCATENATE("0",TEXT(Demographics[[#This Row],[DOB]],0)))</f>
        <v>13041987</v>
      </c>
      <c r="I432" s="4">
        <f ca="1">IFERROR((VALUE(TODAY()-DATE(RIGHT(Demographics[[#This Row],[DOB - Fixed]],4),MID(Demographics[[#This Row],[DOB - Fixed]],3,2),LEFT(Demographics[[#This Row],[DOB - Fixed]],2))))/365,0)</f>
        <v>36.43013698630137</v>
      </c>
      <c r="J432">
        <f>VLOOKUP(Demographics[[#This Row],[INCOME LEVEL]],Income[],4,FALSE)</f>
        <v>2100</v>
      </c>
      <c r="K432">
        <f>IFERROR(Demographics[[#This Row],[Total monthly income]]/Demographics[[#This Row],[FAMILY SIZE]], 0)</f>
        <v>700</v>
      </c>
    </row>
    <row r="433" spans="1:11" x14ac:dyDescent="0.2">
      <c r="A433">
        <v>3736360</v>
      </c>
      <c r="B433">
        <v>6051987</v>
      </c>
      <c r="C433">
        <v>8</v>
      </c>
      <c r="D433">
        <v>2</v>
      </c>
      <c r="E433">
        <v>3</v>
      </c>
      <c r="F433">
        <v>10</v>
      </c>
      <c r="G433">
        <v>10</v>
      </c>
      <c r="H433" t="str">
        <f>IF(Demographics[[#This Row],[DOB]]&gt;10000000, TEXT(Demographics[[#This Row],[DOB]],0),CONCATENATE("0",TEXT(Demographics[[#This Row],[DOB]],0)))</f>
        <v>06051987</v>
      </c>
      <c r="I433" s="4">
        <f ca="1">IFERROR((VALUE(TODAY()-DATE(RIGHT(Demographics[[#This Row],[DOB - Fixed]],4),MID(Demographics[[#This Row],[DOB - Fixed]],3,2),LEFT(Demographics[[#This Row],[DOB - Fixed]],2))))/365,0)</f>
        <v>36.367123287671234</v>
      </c>
      <c r="J433">
        <f>VLOOKUP(Demographics[[#This Row],[INCOME LEVEL]],Income[],4,FALSE)</f>
        <v>1397.5</v>
      </c>
      <c r="K433">
        <f>IFERROR(Demographics[[#This Row],[Total monthly income]]/Demographics[[#This Row],[FAMILY SIZE]], 0)</f>
        <v>174.6875</v>
      </c>
    </row>
    <row r="434" spans="1:11" x14ac:dyDescent="0.2">
      <c r="A434">
        <v>16884793</v>
      </c>
      <c r="B434">
        <v>30041987</v>
      </c>
      <c r="C434">
        <v>5</v>
      </c>
      <c r="D434">
        <v>2</v>
      </c>
      <c r="E434">
        <v>5</v>
      </c>
      <c r="F434">
        <v>9</v>
      </c>
      <c r="G434">
        <v>8</v>
      </c>
      <c r="H434" t="str">
        <f>IF(Demographics[[#This Row],[DOB]]&gt;10000000, TEXT(Demographics[[#This Row],[DOB]],0),CONCATENATE("0",TEXT(Demographics[[#This Row],[DOB]],0)))</f>
        <v>30041987</v>
      </c>
      <c r="I434" s="4">
        <f ca="1">IFERROR((VALUE(TODAY()-DATE(RIGHT(Demographics[[#This Row],[DOB - Fixed]],4),MID(Demographics[[#This Row],[DOB - Fixed]],3,2),LEFT(Demographics[[#This Row],[DOB - Fixed]],2))))/365,0)</f>
        <v>36.38356164383562</v>
      </c>
      <c r="J434">
        <f>VLOOKUP(Demographics[[#This Row],[INCOME LEVEL]],Income[],4,FALSE)</f>
        <v>2787.5</v>
      </c>
      <c r="K434">
        <f>IFERROR(Demographics[[#This Row],[Total monthly income]]/Demographics[[#This Row],[FAMILY SIZE]], 0)</f>
        <v>557.5</v>
      </c>
    </row>
    <row r="435" spans="1:11" x14ac:dyDescent="0.2">
      <c r="A435">
        <v>4905339</v>
      </c>
      <c r="B435">
        <v>13051987</v>
      </c>
      <c r="C435">
        <v>5</v>
      </c>
      <c r="D435">
        <v>1</v>
      </c>
      <c r="E435">
        <v>2</v>
      </c>
      <c r="F435">
        <v>6</v>
      </c>
      <c r="G435">
        <v>4</v>
      </c>
      <c r="H435" t="str">
        <f>IF(Demographics[[#This Row],[DOB]]&gt;10000000, TEXT(Demographics[[#This Row],[DOB]],0),CONCATENATE("0",TEXT(Demographics[[#This Row],[DOB]],0)))</f>
        <v>13051987</v>
      </c>
      <c r="I435" s="4">
        <f ca="1">IFERROR((VALUE(TODAY()-DATE(RIGHT(Demographics[[#This Row],[DOB - Fixed]],4),MID(Demographics[[#This Row],[DOB - Fixed]],3,2),LEFT(Demographics[[#This Row],[DOB - Fixed]],2))))/365,0)</f>
        <v>36.347945205479455</v>
      </c>
      <c r="J435">
        <f>VLOOKUP(Demographics[[#This Row],[INCOME LEVEL]],Income[],4,FALSE)</f>
        <v>697.5</v>
      </c>
      <c r="K435">
        <f>IFERROR(Demographics[[#This Row],[Total monthly income]]/Demographics[[#This Row],[FAMILY SIZE]], 0)</f>
        <v>139.5</v>
      </c>
    </row>
    <row r="436" spans="1:11" x14ac:dyDescent="0.2">
      <c r="A436">
        <v>11155476</v>
      </c>
      <c r="B436">
        <v>11051987</v>
      </c>
      <c r="C436">
        <v>3</v>
      </c>
      <c r="D436">
        <v>1</v>
      </c>
      <c r="E436">
        <v>1</v>
      </c>
      <c r="F436">
        <v>2</v>
      </c>
      <c r="G436">
        <v>7</v>
      </c>
      <c r="H436" t="str">
        <f>IF(Demographics[[#This Row],[DOB]]&gt;10000000, TEXT(Demographics[[#This Row],[DOB]],0),CONCATENATE("0",TEXT(Demographics[[#This Row],[DOB]],0)))</f>
        <v>11051987</v>
      </c>
      <c r="I436" s="4">
        <f ca="1">IFERROR((VALUE(TODAY()-DATE(RIGHT(Demographics[[#This Row],[DOB - Fixed]],4),MID(Demographics[[#This Row],[DOB - Fixed]],3,2),LEFT(Demographics[[#This Row],[DOB - Fixed]],2))))/365,0)</f>
        <v>36.353424657534248</v>
      </c>
      <c r="J436">
        <f>VLOOKUP(Demographics[[#This Row],[INCOME LEVEL]],Income[],4,FALSE)</f>
        <v>175</v>
      </c>
      <c r="K436">
        <f>IFERROR(Demographics[[#This Row],[Total monthly income]]/Demographics[[#This Row],[FAMILY SIZE]], 0)</f>
        <v>58.333333333333336</v>
      </c>
    </row>
    <row r="437" spans="1:11" x14ac:dyDescent="0.2">
      <c r="A437">
        <v>21302151</v>
      </c>
      <c r="B437">
        <v>28051987</v>
      </c>
      <c r="C437">
        <v>4</v>
      </c>
      <c r="D437">
        <v>3</v>
      </c>
      <c r="E437">
        <v>2</v>
      </c>
      <c r="F437">
        <v>9</v>
      </c>
      <c r="G437">
        <v>9</v>
      </c>
      <c r="H437" t="str">
        <f>IF(Demographics[[#This Row],[DOB]]&gt;10000000, TEXT(Demographics[[#This Row],[DOB]],0),CONCATENATE("0",TEXT(Demographics[[#This Row],[DOB]],0)))</f>
        <v>28051987</v>
      </c>
      <c r="I437" s="4">
        <f ca="1">IFERROR((VALUE(TODAY()-DATE(RIGHT(Demographics[[#This Row],[DOB - Fixed]],4),MID(Demographics[[#This Row],[DOB - Fixed]],3,2),LEFT(Demographics[[#This Row],[DOB - Fixed]],2))))/365,0)</f>
        <v>36.30684931506849</v>
      </c>
      <c r="J437">
        <f>VLOOKUP(Demographics[[#This Row],[INCOME LEVEL]],Income[],4,FALSE)</f>
        <v>697.5</v>
      </c>
      <c r="K437">
        <f>IFERROR(Demographics[[#This Row],[Total monthly income]]/Demographics[[#This Row],[FAMILY SIZE]], 0)</f>
        <v>174.375</v>
      </c>
    </row>
    <row r="438" spans="1:11" x14ac:dyDescent="0.2">
      <c r="A438">
        <v>5815079</v>
      </c>
      <c r="B438">
        <v>1061987</v>
      </c>
      <c r="C438">
        <v>5</v>
      </c>
      <c r="D438">
        <v>1</v>
      </c>
      <c r="E438">
        <v>2</v>
      </c>
      <c r="F438">
        <v>7</v>
      </c>
      <c r="G438">
        <v>7</v>
      </c>
      <c r="H438" t="str">
        <f>IF(Demographics[[#This Row],[DOB]]&gt;10000000, TEXT(Demographics[[#This Row],[DOB]],0),CONCATENATE("0",TEXT(Demographics[[#This Row],[DOB]],0)))</f>
        <v>01061987</v>
      </c>
      <c r="I438" s="4">
        <f ca="1">IFERROR((VALUE(TODAY()-DATE(RIGHT(Demographics[[#This Row],[DOB - Fixed]],4),MID(Demographics[[#This Row],[DOB - Fixed]],3,2),LEFT(Demographics[[#This Row],[DOB - Fixed]],2))))/365,0)</f>
        <v>36.295890410958904</v>
      </c>
      <c r="J438">
        <f>VLOOKUP(Demographics[[#This Row],[INCOME LEVEL]],Income[],4,FALSE)</f>
        <v>697.5</v>
      </c>
      <c r="K438">
        <f>IFERROR(Demographics[[#This Row],[Total monthly income]]/Demographics[[#This Row],[FAMILY SIZE]], 0)</f>
        <v>139.5</v>
      </c>
    </row>
    <row r="439" spans="1:11" x14ac:dyDescent="0.2">
      <c r="A439">
        <v>20768354</v>
      </c>
      <c r="B439">
        <v>2061987</v>
      </c>
      <c r="C439">
        <v>6</v>
      </c>
      <c r="D439">
        <v>1</v>
      </c>
      <c r="E439">
        <v>1</v>
      </c>
      <c r="F439">
        <v>9</v>
      </c>
      <c r="G439">
        <v>5</v>
      </c>
      <c r="H439" t="str">
        <f>IF(Demographics[[#This Row],[DOB]]&gt;10000000, TEXT(Demographics[[#This Row],[DOB]],0),CONCATENATE("0",TEXT(Demographics[[#This Row],[DOB]],0)))</f>
        <v>02061987</v>
      </c>
      <c r="I439" s="4">
        <f ca="1">IFERROR((VALUE(TODAY()-DATE(RIGHT(Demographics[[#This Row],[DOB - Fixed]],4),MID(Demographics[[#This Row],[DOB - Fixed]],3,2),LEFT(Demographics[[#This Row],[DOB - Fixed]],2))))/365,0)</f>
        <v>36.293150684931504</v>
      </c>
      <c r="J439">
        <f>VLOOKUP(Demographics[[#This Row],[INCOME LEVEL]],Income[],4,FALSE)</f>
        <v>175</v>
      </c>
      <c r="K439">
        <f>IFERROR(Demographics[[#This Row],[Total monthly income]]/Demographics[[#This Row],[FAMILY SIZE]], 0)</f>
        <v>29.166666666666668</v>
      </c>
    </row>
    <row r="440" spans="1:11" x14ac:dyDescent="0.2">
      <c r="A440">
        <v>12122609</v>
      </c>
      <c r="B440">
        <v>2061987</v>
      </c>
      <c r="C440">
        <v>5</v>
      </c>
      <c r="D440">
        <v>1</v>
      </c>
      <c r="E440">
        <v>4</v>
      </c>
      <c r="F440">
        <v>9</v>
      </c>
      <c r="G440">
        <v>9</v>
      </c>
      <c r="H440" t="str">
        <f>IF(Demographics[[#This Row],[DOB]]&gt;10000000, TEXT(Demographics[[#This Row],[DOB]],0),CONCATENATE("0",TEXT(Demographics[[#This Row],[DOB]],0)))</f>
        <v>02061987</v>
      </c>
      <c r="I440" s="4">
        <f ca="1">IFERROR((VALUE(TODAY()-DATE(RIGHT(Demographics[[#This Row],[DOB - Fixed]],4),MID(Demographics[[#This Row],[DOB - Fixed]],3,2),LEFT(Demographics[[#This Row],[DOB - Fixed]],2))))/365,0)</f>
        <v>36.293150684931504</v>
      </c>
      <c r="J440">
        <f>VLOOKUP(Demographics[[#This Row],[INCOME LEVEL]],Income[],4,FALSE)</f>
        <v>2100</v>
      </c>
      <c r="K440">
        <f>IFERROR(Demographics[[#This Row],[Total monthly income]]/Demographics[[#This Row],[FAMILY SIZE]], 0)</f>
        <v>420</v>
      </c>
    </row>
    <row r="441" spans="1:11" x14ac:dyDescent="0.2">
      <c r="A441">
        <v>10086897</v>
      </c>
      <c r="B441">
        <v>13061987</v>
      </c>
      <c r="C441">
        <v>5</v>
      </c>
      <c r="D441">
        <v>2</v>
      </c>
      <c r="E441">
        <v>1</v>
      </c>
      <c r="F441">
        <v>9</v>
      </c>
      <c r="G441">
        <v>9</v>
      </c>
      <c r="H441" t="str">
        <f>IF(Demographics[[#This Row],[DOB]]&gt;10000000, TEXT(Demographics[[#This Row],[DOB]],0),CONCATENATE("0",TEXT(Demographics[[#This Row],[DOB]],0)))</f>
        <v>13061987</v>
      </c>
      <c r="I441" s="4">
        <f ca="1">IFERROR((VALUE(TODAY()-DATE(RIGHT(Demographics[[#This Row],[DOB - Fixed]],4),MID(Demographics[[#This Row],[DOB - Fixed]],3,2),LEFT(Demographics[[#This Row],[DOB - Fixed]],2))))/365,0)</f>
        <v>36.263013698630139</v>
      </c>
      <c r="J441">
        <f>VLOOKUP(Demographics[[#This Row],[INCOME LEVEL]],Income[],4,FALSE)</f>
        <v>175</v>
      </c>
      <c r="K441">
        <f>IFERROR(Demographics[[#This Row],[Total monthly income]]/Demographics[[#This Row],[FAMILY SIZE]], 0)</f>
        <v>35</v>
      </c>
    </row>
    <row r="442" spans="1:11" x14ac:dyDescent="0.2">
      <c r="A442">
        <v>19165695</v>
      </c>
      <c r="B442">
        <v>26051987</v>
      </c>
      <c r="C442">
        <v>6</v>
      </c>
      <c r="D442">
        <v>2</v>
      </c>
      <c r="E442">
        <v>6</v>
      </c>
      <c r="F442">
        <v>9</v>
      </c>
      <c r="G442">
        <v>9</v>
      </c>
      <c r="H442" t="str">
        <f>IF(Demographics[[#This Row],[DOB]]&gt;10000000, TEXT(Demographics[[#This Row],[DOB]],0),CONCATENATE("0",TEXT(Demographics[[#This Row],[DOB]],0)))</f>
        <v>26051987</v>
      </c>
      <c r="I442" s="4">
        <f ca="1">IFERROR((VALUE(TODAY()-DATE(RIGHT(Demographics[[#This Row],[DOB - Fixed]],4),MID(Demographics[[#This Row],[DOB - Fixed]],3,2),LEFT(Demographics[[#This Row],[DOB - Fixed]],2))))/365,0)</f>
        <v>36.31232876712329</v>
      </c>
      <c r="J442">
        <f>VLOOKUP(Demographics[[#This Row],[INCOME LEVEL]],Income[],4,FALSE)</f>
        <v>4000</v>
      </c>
      <c r="K442">
        <f>IFERROR(Demographics[[#This Row],[Total monthly income]]/Demographics[[#This Row],[FAMILY SIZE]], 0)</f>
        <v>666.66666666666663</v>
      </c>
    </row>
    <row r="443" spans="1:11" x14ac:dyDescent="0.2">
      <c r="A443">
        <v>5280960</v>
      </c>
      <c r="B443">
        <v>12061987</v>
      </c>
      <c r="C443">
        <v>5</v>
      </c>
      <c r="D443">
        <v>2</v>
      </c>
      <c r="E443">
        <v>2</v>
      </c>
      <c r="F443">
        <v>8</v>
      </c>
      <c r="G443">
        <v>9</v>
      </c>
      <c r="H443" t="str">
        <f>IF(Demographics[[#This Row],[DOB]]&gt;10000000, TEXT(Demographics[[#This Row],[DOB]],0),CONCATENATE("0",TEXT(Demographics[[#This Row],[DOB]],0)))</f>
        <v>12061987</v>
      </c>
      <c r="I443" s="4">
        <f ca="1">IFERROR((VALUE(TODAY()-DATE(RIGHT(Demographics[[#This Row],[DOB - Fixed]],4),MID(Demographics[[#This Row],[DOB - Fixed]],3,2),LEFT(Demographics[[#This Row],[DOB - Fixed]],2))))/365,0)</f>
        <v>36.265753424657532</v>
      </c>
      <c r="J443">
        <f>VLOOKUP(Demographics[[#This Row],[INCOME LEVEL]],Income[],4,FALSE)</f>
        <v>697.5</v>
      </c>
      <c r="K443">
        <f>IFERROR(Demographics[[#This Row],[Total monthly income]]/Demographics[[#This Row],[FAMILY SIZE]], 0)</f>
        <v>139.5</v>
      </c>
    </row>
    <row r="444" spans="1:11" x14ac:dyDescent="0.2">
      <c r="A444">
        <v>4111958</v>
      </c>
      <c r="B444">
        <v>23051987</v>
      </c>
      <c r="C444">
        <v>5</v>
      </c>
      <c r="D444">
        <v>1</v>
      </c>
      <c r="E444">
        <v>1</v>
      </c>
      <c r="F444">
        <v>5</v>
      </c>
      <c r="G444">
        <v>4</v>
      </c>
      <c r="H444" t="str">
        <f>IF(Demographics[[#This Row],[DOB]]&gt;10000000, TEXT(Demographics[[#This Row],[DOB]],0),CONCATENATE("0",TEXT(Demographics[[#This Row],[DOB]],0)))</f>
        <v>23051987</v>
      </c>
      <c r="I444" s="4">
        <f ca="1">IFERROR((VALUE(TODAY()-DATE(RIGHT(Demographics[[#This Row],[DOB - Fixed]],4),MID(Demographics[[#This Row],[DOB - Fixed]],3,2),LEFT(Demographics[[#This Row],[DOB - Fixed]],2))))/365,0)</f>
        <v>36.320547945205476</v>
      </c>
      <c r="J444">
        <f>VLOOKUP(Demographics[[#This Row],[INCOME LEVEL]],Income[],4,FALSE)</f>
        <v>175</v>
      </c>
      <c r="K444">
        <f>IFERROR(Demographics[[#This Row],[Total monthly income]]/Demographics[[#This Row],[FAMILY SIZE]], 0)</f>
        <v>35</v>
      </c>
    </row>
    <row r="445" spans="1:11" x14ac:dyDescent="0.2">
      <c r="A445">
        <v>21735177</v>
      </c>
      <c r="B445">
        <v>13041987</v>
      </c>
      <c r="C445">
        <v>5</v>
      </c>
      <c r="D445">
        <v>2</v>
      </c>
      <c r="E445">
        <v>2</v>
      </c>
      <c r="F445">
        <v>4</v>
      </c>
      <c r="G445">
        <v>5</v>
      </c>
      <c r="H445" t="str">
        <f>IF(Demographics[[#This Row],[DOB]]&gt;10000000, TEXT(Demographics[[#This Row],[DOB]],0),CONCATENATE("0",TEXT(Demographics[[#This Row],[DOB]],0)))</f>
        <v>13041987</v>
      </c>
      <c r="I445" s="4">
        <f ca="1">IFERROR((VALUE(TODAY()-DATE(RIGHT(Demographics[[#This Row],[DOB - Fixed]],4),MID(Demographics[[#This Row],[DOB - Fixed]],3,2),LEFT(Demographics[[#This Row],[DOB - Fixed]],2))))/365,0)</f>
        <v>36.43013698630137</v>
      </c>
      <c r="J445">
        <f>VLOOKUP(Demographics[[#This Row],[INCOME LEVEL]],Income[],4,FALSE)</f>
        <v>697.5</v>
      </c>
      <c r="K445">
        <f>IFERROR(Demographics[[#This Row],[Total monthly income]]/Demographics[[#This Row],[FAMILY SIZE]], 0)</f>
        <v>139.5</v>
      </c>
    </row>
    <row r="446" spans="1:11" x14ac:dyDescent="0.2">
      <c r="A446">
        <v>14359473</v>
      </c>
      <c r="B446">
        <v>27041987</v>
      </c>
      <c r="C446">
        <v>8</v>
      </c>
      <c r="D446">
        <v>2</v>
      </c>
      <c r="E446">
        <v>1</v>
      </c>
      <c r="F446">
        <v>5</v>
      </c>
      <c r="G446">
        <v>5</v>
      </c>
      <c r="H446" t="str">
        <f>IF(Demographics[[#This Row],[DOB]]&gt;10000000, TEXT(Demographics[[#This Row],[DOB]],0),CONCATENATE("0",TEXT(Demographics[[#This Row],[DOB]],0)))</f>
        <v>27041987</v>
      </c>
      <c r="I446" s="4">
        <f ca="1">IFERROR((VALUE(TODAY()-DATE(RIGHT(Demographics[[#This Row],[DOB - Fixed]],4),MID(Demographics[[#This Row],[DOB - Fixed]],3,2),LEFT(Demographics[[#This Row],[DOB - Fixed]],2))))/365,0)</f>
        <v>36.391780821917806</v>
      </c>
      <c r="J446">
        <f>VLOOKUP(Demographics[[#This Row],[INCOME LEVEL]],Income[],4,FALSE)</f>
        <v>175</v>
      </c>
      <c r="K446">
        <f>IFERROR(Demographics[[#This Row],[Total monthly income]]/Demographics[[#This Row],[FAMILY SIZE]], 0)</f>
        <v>21.875</v>
      </c>
    </row>
    <row r="447" spans="1:11" x14ac:dyDescent="0.2">
      <c r="A447">
        <v>14258463</v>
      </c>
      <c r="B447">
        <v>22061987</v>
      </c>
      <c r="C447">
        <v>6</v>
      </c>
      <c r="D447">
        <v>1</v>
      </c>
      <c r="E447">
        <v>3</v>
      </c>
      <c r="F447">
        <v>9</v>
      </c>
      <c r="G447">
        <v>9</v>
      </c>
      <c r="H447" t="str">
        <f>IF(Demographics[[#This Row],[DOB]]&gt;10000000, TEXT(Demographics[[#This Row],[DOB]],0),CONCATENATE("0",TEXT(Demographics[[#This Row],[DOB]],0)))</f>
        <v>22061987</v>
      </c>
      <c r="I447" s="4">
        <f ca="1">IFERROR((VALUE(TODAY()-DATE(RIGHT(Demographics[[#This Row],[DOB - Fixed]],4),MID(Demographics[[#This Row],[DOB - Fixed]],3,2),LEFT(Demographics[[#This Row],[DOB - Fixed]],2))))/365,0)</f>
        <v>36.238356164383561</v>
      </c>
      <c r="J447">
        <f>VLOOKUP(Demographics[[#This Row],[INCOME LEVEL]],Income[],4,FALSE)</f>
        <v>1397.5</v>
      </c>
      <c r="K447">
        <f>IFERROR(Demographics[[#This Row],[Total monthly income]]/Demographics[[#This Row],[FAMILY SIZE]], 0)</f>
        <v>232.91666666666666</v>
      </c>
    </row>
    <row r="448" spans="1:11" x14ac:dyDescent="0.2">
      <c r="A448">
        <v>15859832</v>
      </c>
      <c r="B448">
        <v>25061987</v>
      </c>
      <c r="C448">
        <v>4</v>
      </c>
      <c r="D448">
        <v>2</v>
      </c>
      <c r="E448">
        <v>2</v>
      </c>
      <c r="F448">
        <v>4</v>
      </c>
      <c r="G448">
        <v>5</v>
      </c>
      <c r="H448" t="str">
        <f>IF(Demographics[[#This Row],[DOB]]&gt;10000000, TEXT(Demographics[[#This Row],[DOB]],0),CONCATENATE("0",TEXT(Demographics[[#This Row],[DOB]],0)))</f>
        <v>25061987</v>
      </c>
      <c r="I448" s="4">
        <f ca="1">IFERROR((VALUE(TODAY()-DATE(RIGHT(Demographics[[#This Row],[DOB - Fixed]],4),MID(Demographics[[#This Row],[DOB - Fixed]],3,2),LEFT(Demographics[[#This Row],[DOB - Fixed]],2))))/365,0)</f>
        <v>36.230136986301368</v>
      </c>
      <c r="J448">
        <f>VLOOKUP(Demographics[[#This Row],[INCOME LEVEL]],Income[],4,FALSE)</f>
        <v>697.5</v>
      </c>
      <c r="K448">
        <f>IFERROR(Demographics[[#This Row],[Total monthly income]]/Demographics[[#This Row],[FAMILY SIZE]], 0)</f>
        <v>174.375</v>
      </c>
    </row>
    <row r="449" spans="1:11" x14ac:dyDescent="0.2">
      <c r="A449">
        <v>17029329</v>
      </c>
      <c r="B449">
        <v>27031987</v>
      </c>
      <c r="C449">
        <v>6</v>
      </c>
      <c r="D449">
        <v>2</v>
      </c>
      <c r="E449">
        <v>2</v>
      </c>
      <c r="F449">
        <v>5</v>
      </c>
      <c r="G449">
        <v>10</v>
      </c>
      <c r="H449" t="str">
        <f>IF(Demographics[[#This Row],[DOB]]&gt;10000000, TEXT(Demographics[[#This Row],[DOB]],0),CONCATENATE("0",TEXT(Demographics[[#This Row],[DOB]],0)))</f>
        <v>27031987</v>
      </c>
      <c r="I449" s="4">
        <f ca="1">IFERROR((VALUE(TODAY()-DATE(RIGHT(Demographics[[#This Row],[DOB - Fixed]],4),MID(Demographics[[#This Row],[DOB - Fixed]],3,2),LEFT(Demographics[[#This Row],[DOB - Fixed]],2))))/365,0)</f>
        <v>36.476712328767121</v>
      </c>
      <c r="J449">
        <f>VLOOKUP(Demographics[[#This Row],[INCOME LEVEL]],Income[],4,FALSE)</f>
        <v>697.5</v>
      </c>
      <c r="K449">
        <f>IFERROR(Demographics[[#This Row],[Total monthly income]]/Demographics[[#This Row],[FAMILY SIZE]], 0)</f>
        <v>116.25</v>
      </c>
    </row>
    <row r="450" spans="1:11" x14ac:dyDescent="0.2">
      <c r="A450">
        <v>23236837</v>
      </c>
      <c r="B450">
        <v>25061987</v>
      </c>
      <c r="C450">
        <v>4</v>
      </c>
      <c r="D450">
        <v>2</v>
      </c>
      <c r="E450">
        <v>1</v>
      </c>
      <c r="F450">
        <v>4</v>
      </c>
      <c r="G450">
        <v>5</v>
      </c>
      <c r="H450" t="str">
        <f>IF(Demographics[[#This Row],[DOB]]&gt;10000000, TEXT(Demographics[[#This Row],[DOB]],0),CONCATENATE("0",TEXT(Demographics[[#This Row],[DOB]],0)))</f>
        <v>25061987</v>
      </c>
      <c r="I450" s="4">
        <f ca="1">IFERROR((VALUE(TODAY()-DATE(RIGHT(Demographics[[#This Row],[DOB - Fixed]],4),MID(Demographics[[#This Row],[DOB - Fixed]],3,2),LEFT(Demographics[[#This Row],[DOB - Fixed]],2))))/365,0)</f>
        <v>36.230136986301368</v>
      </c>
      <c r="J450">
        <f>VLOOKUP(Demographics[[#This Row],[INCOME LEVEL]],Income[],4,FALSE)</f>
        <v>175</v>
      </c>
      <c r="K450">
        <f>IFERROR(Demographics[[#This Row],[Total monthly income]]/Demographics[[#This Row],[FAMILY SIZE]], 0)</f>
        <v>43.75</v>
      </c>
    </row>
    <row r="451" spans="1:11" x14ac:dyDescent="0.2">
      <c r="A451">
        <v>1441219</v>
      </c>
      <c r="B451">
        <v>29061987</v>
      </c>
      <c r="C451">
        <v>3</v>
      </c>
      <c r="D451">
        <v>0</v>
      </c>
      <c r="E451">
        <v>1</v>
      </c>
      <c r="F451">
        <v>5</v>
      </c>
      <c r="G451">
        <v>5</v>
      </c>
      <c r="H451" t="str">
        <f>IF(Demographics[[#This Row],[DOB]]&gt;10000000, TEXT(Demographics[[#This Row],[DOB]],0),CONCATENATE("0",TEXT(Demographics[[#This Row],[DOB]],0)))</f>
        <v>29061987</v>
      </c>
      <c r="I451" s="4">
        <f ca="1">IFERROR((VALUE(TODAY()-DATE(RIGHT(Demographics[[#This Row],[DOB - Fixed]],4),MID(Demographics[[#This Row],[DOB - Fixed]],3,2),LEFT(Demographics[[#This Row],[DOB - Fixed]],2))))/365,0)</f>
        <v>36.219178082191782</v>
      </c>
      <c r="J451">
        <f>VLOOKUP(Demographics[[#This Row],[INCOME LEVEL]],Income[],4,FALSE)</f>
        <v>175</v>
      </c>
      <c r="K451">
        <f>IFERROR(Demographics[[#This Row],[Total monthly income]]/Demographics[[#This Row],[FAMILY SIZE]], 0)</f>
        <v>58.333333333333336</v>
      </c>
    </row>
    <row r="452" spans="1:11" x14ac:dyDescent="0.2">
      <c r="A452">
        <v>6984147</v>
      </c>
      <c r="B452">
        <v>29061987</v>
      </c>
      <c r="C452">
        <v>5</v>
      </c>
      <c r="D452">
        <v>1</v>
      </c>
      <c r="E452">
        <v>2</v>
      </c>
      <c r="F452">
        <v>5</v>
      </c>
      <c r="G452">
        <v>5</v>
      </c>
      <c r="H452" t="str">
        <f>IF(Demographics[[#This Row],[DOB]]&gt;10000000, TEXT(Demographics[[#This Row],[DOB]],0),CONCATENATE("0",TEXT(Demographics[[#This Row],[DOB]],0)))</f>
        <v>29061987</v>
      </c>
      <c r="I452" s="4">
        <f ca="1">IFERROR((VALUE(TODAY()-DATE(RIGHT(Demographics[[#This Row],[DOB - Fixed]],4),MID(Demographics[[#This Row],[DOB - Fixed]],3,2),LEFT(Demographics[[#This Row],[DOB - Fixed]],2))))/365,0)</f>
        <v>36.219178082191782</v>
      </c>
      <c r="J452">
        <f>VLOOKUP(Demographics[[#This Row],[INCOME LEVEL]],Income[],4,FALSE)</f>
        <v>697.5</v>
      </c>
      <c r="K452">
        <f>IFERROR(Demographics[[#This Row],[Total monthly income]]/Demographics[[#This Row],[FAMILY SIZE]], 0)</f>
        <v>139.5</v>
      </c>
    </row>
    <row r="453" spans="1:11" x14ac:dyDescent="0.2">
      <c r="A453">
        <v>13825231</v>
      </c>
      <c r="B453">
        <v>7071987</v>
      </c>
      <c r="C453">
        <v>3</v>
      </c>
      <c r="D453">
        <v>1</v>
      </c>
      <c r="E453">
        <v>1</v>
      </c>
      <c r="F453">
        <v>10</v>
      </c>
      <c r="G453">
        <v>5</v>
      </c>
      <c r="H453" t="str">
        <f>IF(Demographics[[#This Row],[DOB]]&gt;10000000, TEXT(Demographics[[#This Row],[DOB]],0),CONCATENATE("0",TEXT(Demographics[[#This Row],[DOB]],0)))</f>
        <v>07071987</v>
      </c>
      <c r="I453" s="4">
        <f ca="1">IFERROR((VALUE(TODAY()-DATE(RIGHT(Demographics[[#This Row],[DOB - Fixed]],4),MID(Demographics[[#This Row],[DOB - Fixed]],3,2),LEFT(Demographics[[#This Row],[DOB - Fixed]],2))))/365,0)</f>
        <v>36.197260273972603</v>
      </c>
      <c r="J453">
        <f>VLOOKUP(Demographics[[#This Row],[INCOME LEVEL]],Income[],4,FALSE)</f>
        <v>175</v>
      </c>
      <c r="K453">
        <f>IFERROR(Demographics[[#This Row],[Total monthly income]]/Demographics[[#This Row],[FAMILY SIZE]], 0)</f>
        <v>58.333333333333336</v>
      </c>
    </row>
    <row r="454" spans="1:11" x14ac:dyDescent="0.2">
      <c r="A454">
        <v>9553289</v>
      </c>
      <c r="B454">
        <v>23061987</v>
      </c>
      <c r="C454">
        <v>7</v>
      </c>
      <c r="D454">
        <v>1</v>
      </c>
      <c r="E454">
        <v>1</v>
      </c>
      <c r="F454">
        <v>7</v>
      </c>
      <c r="G454">
        <v>7</v>
      </c>
      <c r="H454" t="str">
        <f>IF(Demographics[[#This Row],[DOB]]&gt;10000000, TEXT(Demographics[[#This Row],[DOB]],0),CONCATENATE("0",TEXT(Demographics[[#This Row],[DOB]],0)))</f>
        <v>23061987</v>
      </c>
      <c r="I454" s="4">
        <f ca="1">IFERROR((VALUE(TODAY()-DATE(RIGHT(Demographics[[#This Row],[DOB - Fixed]],4),MID(Demographics[[#This Row],[DOB - Fixed]],3,2),LEFT(Demographics[[#This Row],[DOB - Fixed]],2))))/365,0)</f>
        <v>36.235616438356168</v>
      </c>
      <c r="J454">
        <f>VLOOKUP(Demographics[[#This Row],[INCOME LEVEL]],Income[],4,FALSE)</f>
        <v>175</v>
      </c>
      <c r="K454">
        <f>IFERROR(Demographics[[#This Row],[Total monthly income]]/Demographics[[#This Row],[FAMILY SIZE]], 0)</f>
        <v>25</v>
      </c>
    </row>
    <row r="455" spans="1:11" x14ac:dyDescent="0.2">
      <c r="A455">
        <v>17563422</v>
      </c>
      <c r="B455">
        <v>9071987</v>
      </c>
      <c r="C455">
        <v>2</v>
      </c>
      <c r="D455">
        <v>1</v>
      </c>
      <c r="E455">
        <v>1</v>
      </c>
      <c r="F455">
        <v>9</v>
      </c>
      <c r="G455">
        <v>9</v>
      </c>
      <c r="H455" t="str">
        <f>IF(Demographics[[#This Row],[DOB]]&gt;10000000, TEXT(Demographics[[#This Row],[DOB]],0),CONCATENATE("0",TEXT(Demographics[[#This Row],[DOB]],0)))</f>
        <v>09071987</v>
      </c>
      <c r="I455" s="4">
        <f ca="1">IFERROR((VALUE(TODAY()-DATE(RIGHT(Demographics[[#This Row],[DOB - Fixed]],4),MID(Demographics[[#This Row],[DOB - Fixed]],3,2),LEFT(Demographics[[#This Row],[DOB - Fixed]],2))))/365,0)</f>
        <v>36.19178082191781</v>
      </c>
      <c r="J455">
        <f>VLOOKUP(Demographics[[#This Row],[INCOME LEVEL]],Income[],4,FALSE)</f>
        <v>175</v>
      </c>
      <c r="K455">
        <f>IFERROR(Demographics[[#This Row],[Total monthly income]]/Demographics[[#This Row],[FAMILY SIZE]], 0)</f>
        <v>87.5</v>
      </c>
    </row>
    <row r="456" spans="1:11" x14ac:dyDescent="0.2">
      <c r="A456">
        <v>6450531</v>
      </c>
      <c r="B456">
        <v>12071987</v>
      </c>
      <c r="C456">
        <v>4</v>
      </c>
      <c r="D456">
        <v>1</v>
      </c>
      <c r="E456">
        <v>1</v>
      </c>
      <c r="F456">
        <v>4</v>
      </c>
      <c r="G456">
        <v>5</v>
      </c>
      <c r="H456" t="str">
        <f>IF(Demographics[[#This Row],[DOB]]&gt;10000000, TEXT(Demographics[[#This Row],[DOB]],0),CONCATENATE("0",TEXT(Demographics[[#This Row],[DOB]],0)))</f>
        <v>12071987</v>
      </c>
      <c r="I456" s="4">
        <f ca="1">IFERROR((VALUE(TODAY()-DATE(RIGHT(Demographics[[#This Row],[DOB - Fixed]],4),MID(Demographics[[#This Row],[DOB - Fixed]],3,2),LEFT(Demographics[[#This Row],[DOB - Fixed]],2))))/365,0)</f>
        <v>36.183561643835617</v>
      </c>
      <c r="J456">
        <f>VLOOKUP(Demographics[[#This Row],[INCOME LEVEL]],Income[],4,FALSE)</f>
        <v>175</v>
      </c>
      <c r="K456">
        <f>IFERROR(Demographics[[#This Row],[Total monthly income]]/Demographics[[#This Row],[FAMILY SIZE]], 0)</f>
        <v>43.75</v>
      </c>
    </row>
    <row r="457" spans="1:11" x14ac:dyDescent="0.2">
      <c r="A457">
        <v>24766346</v>
      </c>
      <c r="B457">
        <v>16071987</v>
      </c>
      <c r="C457">
        <v>4</v>
      </c>
      <c r="D457">
        <v>1</v>
      </c>
      <c r="E457">
        <v>1</v>
      </c>
      <c r="F457">
        <v>5</v>
      </c>
      <c r="G457">
        <v>5</v>
      </c>
      <c r="H457" t="str">
        <f>IF(Demographics[[#This Row],[DOB]]&gt;10000000, TEXT(Demographics[[#This Row],[DOB]],0),CONCATENATE("0",TEXT(Demographics[[#This Row],[DOB]],0)))</f>
        <v>16071987</v>
      </c>
      <c r="I457" s="4">
        <f ca="1">IFERROR((VALUE(TODAY()-DATE(RIGHT(Demographics[[#This Row],[DOB - Fixed]],4),MID(Demographics[[#This Row],[DOB - Fixed]],3,2),LEFT(Demographics[[#This Row],[DOB - Fixed]],2))))/365,0)</f>
        <v>36.172602739726024</v>
      </c>
      <c r="J457">
        <f>VLOOKUP(Demographics[[#This Row],[INCOME LEVEL]],Income[],4,FALSE)</f>
        <v>175</v>
      </c>
      <c r="K457">
        <f>IFERROR(Demographics[[#This Row],[Total monthly income]]/Demographics[[#This Row],[FAMILY SIZE]], 0)</f>
        <v>43.75</v>
      </c>
    </row>
    <row r="458" spans="1:11" x14ac:dyDescent="0.2">
      <c r="A458">
        <v>20494543</v>
      </c>
      <c r="B458">
        <v>17071987</v>
      </c>
      <c r="C458">
        <v>6</v>
      </c>
      <c r="D458">
        <v>1</v>
      </c>
      <c r="E458">
        <v>1</v>
      </c>
      <c r="F458">
        <v>5</v>
      </c>
      <c r="G458">
        <v>5</v>
      </c>
      <c r="H458" t="str">
        <f>IF(Demographics[[#This Row],[DOB]]&gt;10000000, TEXT(Demographics[[#This Row],[DOB]],0),CONCATENATE("0",TEXT(Demographics[[#This Row],[DOB]],0)))</f>
        <v>17071987</v>
      </c>
      <c r="I458" s="4">
        <f ca="1">IFERROR((VALUE(TODAY()-DATE(RIGHT(Demographics[[#This Row],[DOB - Fixed]],4),MID(Demographics[[#This Row],[DOB - Fixed]],3,2),LEFT(Demographics[[#This Row],[DOB - Fixed]],2))))/365,0)</f>
        <v>36.169863013698631</v>
      </c>
      <c r="J458">
        <f>VLOOKUP(Demographics[[#This Row],[INCOME LEVEL]],Income[],4,FALSE)</f>
        <v>175</v>
      </c>
      <c r="K458">
        <f>IFERROR(Demographics[[#This Row],[Total monthly income]]/Demographics[[#This Row],[FAMILY SIZE]], 0)</f>
        <v>29.166666666666668</v>
      </c>
    </row>
    <row r="459" spans="1:11" x14ac:dyDescent="0.2">
      <c r="A459">
        <v>1700025</v>
      </c>
      <c r="B459">
        <v>14071987</v>
      </c>
      <c r="C459">
        <v>6</v>
      </c>
      <c r="D459">
        <v>3</v>
      </c>
      <c r="E459">
        <v>3</v>
      </c>
      <c r="F459">
        <v>8</v>
      </c>
      <c r="G459">
        <v>8</v>
      </c>
      <c r="H459" t="str">
        <f>IF(Demographics[[#This Row],[DOB]]&gt;10000000, TEXT(Demographics[[#This Row],[DOB]],0),CONCATENATE("0",TEXT(Demographics[[#This Row],[DOB]],0)))</f>
        <v>14071987</v>
      </c>
      <c r="I459" s="4">
        <f ca="1">IFERROR((VALUE(TODAY()-DATE(RIGHT(Demographics[[#This Row],[DOB - Fixed]],4),MID(Demographics[[#This Row],[DOB - Fixed]],3,2),LEFT(Demographics[[#This Row],[DOB - Fixed]],2))))/365,0)</f>
        <v>36.178082191780824</v>
      </c>
      <c r="J459">
        <f>VLOOKUP(Demographics[[#This Row],[INCOME LEVEL]],Income[],4,FALSE)</f>
        <v>1397.5</v>
      </c>
      <c r="K459">
        <f>IFERROR(Demographics[[#This Row],[Total monthly income]]/Demographics[[#This Row],[FAMILY SIZE]], 0)</f>
        <v>232.91666666666666</v>
      </c>
    </row>
    <row r="460" spans="1:11" x14ac:dyDescent="0.2">
      <c r="A460">
        <v>9177839</v>
      </c>
      <c r="B460">
        <v>24041987</v>
      </c>
      <c r="C460">
        <v>5</v>
      </c>
      <c r="D460">
        <v>0</v>
      </c>
      <c r="E460">
        <v>1</v>
      </c>
      <c r="F460">
        <v>2</v>
      </c>
      <c r="G460">
        <v>3</v>
      </c>
      <c r="H460" t="str">
        <f>IF(Demographics[[#This Row],[DOB]]&gt;10000000, TEXT(Demographics[[#This Row],[DOB]],0),CONCATENATE("0",TEXT(Demographics[[#This Row],[DOB]],0)))</f>
        <v>24041987</v>
      </c>
      <c r="I460" s="4">
        <f ca="1">IFERROR((VALUE(TODAY()-DATE(RIGHT(Demographics[[#This Row],[DOB - Fixed]],4),MID(Demographics[[#This Row],[DOB - Fixed]],3,2),LEFT(Demographics[[#This Row],[DOB - Fixed]],2))))/365,0)</f>
        <v>36.4</v>
      </c>
      <c r="J460">
        <f>VLOOKUP(Demographics[[#This Row],[INCOME LEVEL]],Income[],4,FALSE)</f>
        <v>175</v>
      </c>
      <c r="K460">
        <f>IFERROR(Demographics[[#This Row],[Total monthly income]]/Demographics[[#This Row],[FAMILY SIZE]], 0)</f>
        <v>35</v>
      </c>
    </row>
    <row r="461" spans="1:11" x14ac:dyDescent="0.2">
      <c r="A461">
        <v>24563328</v>
      </c>
      <c r="B461">
        <v>12071987</v>
      </c>
      <c r="C461">
        <v>4</v>
      </c>
      <c r="D461">
        <v>1</v>
      </c>
      <c r="E461">
        <v>1</v>
      </c>
      <c r="F461">
        <v>5</v>
      </c>
      <c r="G461">
        <v>3</v>
      </c>
      <c r="H461" t="str">
        <f>IF(Demographics[[#This Row],[DOB]]&gt;10000000, TEXT(Demographics[[#This Row],[DOB]],0),CONCATENATE("0",TEXT(Demographics[[#This Row],[DOB]],0)))</f>
        <v>12071987</v>
      </c>
      <c r="I461" s="4">
        <f ca="1">IFERROR((VALUE(TODAY()-DATE(RIGHT(Demographics[[#This Row],[DOB - Fixed]],4),MID(Demographics[[#This Row],[DOB - Fixed]],3,2),LEFT(Demographics[[#This Row],[DOB - Fixed]],2))))/365,0)</f>
        <v>36.183561643835617</v>
      </c>
      <c r="J461">
        <f>VLOOKUP(Demographics[[#This Row],[INCOME LEVEL]],Income[],4,FALSE)</f>
        <v>175</v>
      </c>
      <c r="K461">
        <f>IFERROR(Demographics[[#This Row],[Total monthly income]]/Demographics[[#This Row],[FAMILY SIZE]], 0)</f>
        <v>43.75</v>
      </c>
    </row>
    <row r="462" spans="1:11" x14ac:dyDescent="0.2">
      <c r="A462">
        <v>20291421</v>
      </c>
      <c r="B462">
        <v>10071987</v>
      </c>
      <c r="C462">
        <v>5</v>
      </c>
      <c r="D462">
        <v>1</v>
      </c>
      <c r="E462">
        <v>1</v>
      </c>
      <c r="F462">
        <v>3</v>
      </c>
      <c r="G462">
        <v>3</v>
      </c>
      <c r="H462" t="str">
        <f>IF(Demographics[[#This Row],[DOB]]&gt;10000000, TEXT(Demographics[[#This Row],[DOB]],0),CONCATENATE("0",TEXT(Demographics[[#This Row],[DOB]],0)))</f>
        <v>10071987</v>
      </c>
      <c r="I462" s="4">
        <f ca="1">IFERROR((VALUE(TODAY()-DATE(RIGHT(Demographics[[#This Row],[DOB - Fixed]],4),MID(Demographics[[#This Row],[DOB - Fixed]],3,2),LEFT(Demographics[[#This Row],[DOB - Fixed]],2))))/365,0)</f>
        <v>36.18904109589041</v>
      </c>
      <c r="J462">
        <f>VLOOKUP(Demographics[[#This Row],[INCOME LEVEL]],Income[],4,FALSE)</f>
        <v>175</v>
      </c>
      <c r="K462">
        <f>IFERROR(Demographics[[#This Row],[Total monthly income]]/Demographics[[#This Row],[FAMILY SIZE]], 0)</f>
        <v>35</v>
      </c>
    </row>
    <row r="463" spans="1:11" x14ac:dyDescent="0.2">
      <c r="A463">
        <v>733576</v>
      </c>
      <c r="B463">
        <v>16071987</v>
      </c>
      <c r="C463">
        <v>6</v>
      </c>
      <c r="D463">
        <v>1</v>
      </c>
      <c r="E463">
        <v>2</v>
      </c>
      <c r="F463">
        <v>9</v>
      </c>
      <c r="G463">
        <v>4</v>
      </c>
      <c r="H463" t="str">
        <f>IF(Demographics[[#This Row],[DOB]]&gt;10000000, TEXT(Demographics[[#This Row],[DOB]],0),CONCATENATE("0",TEXT(Demographics[[#This Row],[DOB]],0)))</f>
        <v>16071987</v>
      </c>
      <c r="I463" s="4">
        <f ca="1">IFERROR((VALUE(TODAY()-DATE(RIGHT(Demographics[[#This Row],[DOB - Fixed]],4),MID(Demographics[[#This Row],[DOB - Fixed]],3,2),LEFT(Demographics[[#This Row],[DOB - Fixed]],2))))/365,0)</f>
        <v>36.172602739726024</v>
      </c>
      <c r="J463">
        <f>VLOOKUP(Demographics[[#This Row],[INCOME LEVEL]],Income[],4,FALSE)</f>
        <v>697.5</v>
      </c>
      <c r="K463">
        <f>IFERROR(Demographics[[#This Row],[Total monthly income]]/Demographics[[#This Row],[FAMILY SIZE]], 0)</f>
        <v>116.25</v>
      </c>
    </row>
    <row r="464" spans="1:11" x14ac:dyDescent="0.2">
      <c r="A464">
        <v>15687081</v>
      </c>
      <c r="B464">
        <v>17071987</v>
      </c>
      <c r="C464">
        <v>5</v>
      </c>
      <c r="D464">
        <v>2</v>
      </c>
      <c r="E464">
        <v>1</v>
      </c>
      <c r="F464">
        <v>2</v>
      </c>
      <c r="G464">
        <v>3</v>
      </c>
      <c r="H464" t="str">
        <f>IF(Demographics[[#This Row],[DOB]]&gt;10000000, TEXT(Demographics[[#This Row],[DOB]],0),CONCATENATE("0",TEXT(Demographics[[#This Row],[DOB]],0)))</f>
        <v>17071987</v>
      </c>
      <c r="I464" s="4">
        <f ca="1">IFERROR((VALUE(TODAY()-DATE(RIGHT(Demographics[[#This Row],[DOB - Fixed]],4),MID(Demographics[[#This Row],[DOB - Fixed]],3,2),LEFT(Demographics[[#This Row],[DOB - Fixed]],2))))/365,0)</f>
        <v>36.169863013698631</v>
      </c>
      <c r="J464">
        <f>VLOOKUP(Demographics[[#This Row],[INCOME LEVEL]],Income[],4,FALSE)</f>
        <v>175</v>
      </c>
      <c r="K464">
        <f>IFERROR(Demographics[[#This Row],[Total monthly income]]/Demographics[[#This Row],[FAMILY SIZE]], 0)</f>
        <v>35</v>
      </c>
    </row>
    <row r="465" spans="1:11" x14ac:dyDescent="0.2">
      <c r="A465">
        <v>24131058</v>
      </c>
      <c r="B465">
        <v>20071987</v>
      </c>
      <c r="C465">
        <v>2</v>
      </c>
      <c r="D465">
        <v>2</v>
      </c>
      <c r="E465">
        <v>1</v>
      </c>
      <c r="F465">
        <v>10</v>
      </c>
      <c r="G465">
        <v>2</v>
      </c>
      <c r="H465" t="str">
        <f>IF(Demographics[[#This Row],[DOB]]&gt;10000000, TEXT(Demographics[[#This Row],[DOB]],0),CONCATENATE("0",TEXT(Demographics[[#This Row],[DOB]],0)))</f>
        <v>20071987</v>
      </c>
      <c r="I465" s="4">
        <f ca="1">IFERROR((VALUE(TODAY()-DATE(RIGHT(Demographics[[#This Row],[DOB - Fixed]],4),MID(Demographics[[#This Row],[DOB - Fixed]],3,2),LEFT(Demographics[[#This Row],[DOB - Fixed]],2))))/365,0)</f>
        <v>36.161643835616438</v>
      </c>
      <c r="J465">
        <f>VLOOKUP(Demographics[[#This Row],[INCOME LEVEL]],Income[],4,FALSE)</f>
        <v>175</v>
      </c>
      <c r="K465">
        <f>IFERROR(Demographics[[#This Row],[Total monthly income]]/Demographics[[#This Row],[FAMILY SIZE]], 0)</f>
        <v>87.5</v>
      </c>
    </row>
    <row r="466" spans="1:11" x14ac:dyDescent="0.2">
      <c r="A466">
        <v>23698352</v>
      </c>
      <c r="B466">
        <v>24071987</v>
      </c>
      <c r="C466">
        <v>4</v>
      </c>
      <c r="D466">
        <v>2</v>
      </c>
      <c r="E466">
        <v>1</v>
      </c>
      <c r="F466">
        <v>5</v>
      </c>
      <c r="G466">
        <v>7</v>
      </c>
      <c r="H466" t="str">
        <f>IF(Demographics[[#This Row],[DOB]]&gt;10000000, TEXT(Demographics[[#This Row],[DOB]],0),CONCATENATE("0",TEXT(Demographics[[#This Row],[DOB]],0)))</f>
        <v>24071987</v>
      </c>
      <c r="I466" s="4">
        <f ca="1">IFERROR((VALUE(TODAY()-DATE(RIGHT(Demographics[[#This Row],[DOB - Fixed]],4),MID(Demographics[[#This Row],[DOB - Fixed]],3,2),LEFT(Demographics[[#This Row],[DOB - Fixed]],2))))/365,0)</f>
        <v>36.150684931506852</v>
      </c>
      <c r="J466">
        <f>VLOOKUP(Demographics[[#This Row],[INCOME LEVEL]],Income[],4,FALSE)</f>
        <v>175</v>
      </c>
      <c r="K466">
        <f>IFERROR(Demographics[[#This Row],[Total monthly income]]/Demographics[[#This Row],[FAMILY SIZE]], 0)</f>
        <v>43.75</v>
      </c>
    </row>
    <row r="467" spans="1:11" x14ac:dyDescent="0.2">
      <c r="A467">
        <v>13017198</v>
      </c>
      <c r="B467">
        <v>25071987</v>
      </c>
      <c r="C467">
        <v>6</v>
      </c>
      <c r="D467">
        <v>2</v>
      </c>
      <c r="E467">
        <v>2</v>
      </c>
      <c r="F467">
        <v>6</v>
      </c>
      <c r="G467">
        <v>9</v>
      </c>
      <c r="H467" t="str">
        <f>IF(Demographics[[#This Row],[DOB]]&gt;10000000, TEXT(Demographics[[#This Row],[DOB]],0),CONCATENATE("0",TEXT(Demographics[[#This Row],[DOB]],0)))</f>
        <v>25071987</v>
      </c>
      <c r="I467" s="4">
        <f ca="1">IFERROR((VALUE(TODAY()-DATE(RIGHT(Demographics[[#This Row],[DOB - Fixed]],4),MID(Demographics[[#This Row],[DOB - Fixed]],3,2),LEFT(Demographics[[#This Row],[DOB - Fixed]],2))))/365,0)</f>
        <v>36.147945205479452</v>
      </c>
      <c r="J467">
        <f>VLOOKUP(Demographics[[#This Row],[INCOME LEVEL]],Income[],4,FALSE)</f>
        <v>697.5</v>
      </c>
      <c r="K467">
        <f>IFERROR(Demographics[[#This Row],[Total monthly income]]/Demographics[[#This Row],[FAMILY SIZE]], 0)</f>
        <v>116.25</v>
      </c>
    </row>
    <row r="468" spans="1:11" x14ac:dyDescent="0.2">
      <c r="A468">
        <v>2768843</v>
      </c>
      <c r="B468">
        <v>4081987</v>
      </c>
      <c r="C468">
        <v>4</v>
      </c>
      <c r="D468">
        <v>1</v>
      </c>
      <c r="E468">
        <v>2</v>
      </c>
      <c r="F468">
        <v>5</v>
      </c>
      <c r="G468">
        <v>6</v>
      </c>
      <c r="H468" t="str">
        <f>IF(Demographics[[#This Row],[DOB]]&gt;10000000, TEXT(Demographics[[#This Row],[DOB]],0),CONCATENATE("0",TEXT(Demographics[[#This Row],[DOB]],0)))</f>
        <v>04081987</v>
      </c>
      <c r="I468" s="4">
        <f ca="1">IFERROR((VALUE(TODAY()-DATE(RIGHT(Demographics[[#This Row],[DOB - Fixed]],4),MID(Demographics[[#This Row],[DOB - Fixed]],3,2),LEFT(Demographics[[#This Row],[DOB - Fixed]],2))))/365,0)</f>
        <v>36.12054794520548</v>
      </c>
      <c r="J468">
        <f>VLOOKUP(Demographics[[#This Row],[INCOME LEVEL]],Income[],4,FALSE)</f>
        <v>697.5</v>
      </c>
      <c r="K468">
        <f>IFERROR(Demographics[[#This Row],[Total monthly income]]/Demographics[[#This Row],[FAMILY SIZE]], 0)</f>
        <v>174.375</v>
      </c>
    </row>
    <row r="469" spans="1:11" x14ac:dyDescent="0.2">
      <c r="A469">
        <v>6507548</v>
      </c>
      <c r="B469">
        <v>13071987</v>
      </c>
      <c r="C469">
        <v>5</v>
      </c>
      <c r="D469">
        <v>1</v>
      </c>
      <c r="E469">
        <v>1</v>
      </c>
      <c r="F469">
        <v>0</v>
      </c>
      <c r="G469">
        <v>5</v>
      </c>
      <c r="H469" t="str">
        <f>IF(Demographics[[#This Row],[DOB]]&gt;10000000, TEXT(Demographics[[#This Row],[DOB]],0),CONCATENATE("0",TEXT(Demographics[[#This Row],[DOB]],0)))</f>
        <v>13071987</v>
      </c>
      <c r="I469" s="4">
        <f ca="1">IFERROR((VALUE(TODAY()-DATE(RIGHT(Demographics[[#This Row],[DOB - Fixed]],4),MID(Demographics[[#This Row],[DOB - Fixed]],3,2),LEFT(Demographics[[#This Row],[DOB - Fixed]],2))))/365,0)</f>
        <v>36.180821917808217</v>
      </c>
      <c r="J469">
        <f>VLOOKUP(Demographics[[#This Row],[INCOME LEVEL]],Income[],4,FALSE)</f>
        <v>175</v>
      </c>
      <c r="K469">
        <f>IFERROR(Demographics[[#This Row],[Total monthly income]]/Demographics[[#This Row],[FAMILY SIZE]], 0)</f>
        <v>35</v>
      </c>
    </row>
    <row r="470" spans="1:11" x14ac:dyDescent="0.2">
      <c r="A470">
        <v>12483560</v>
      </c>
      <c r="B470">
        <v>16051987</v>
      </c>
      <c r="C470">
        <v>5</v>
      </c>
      <c r="D470">
        <v>2</v>
      </c>
      <c r="E470">
        <v>1</v>
      </c>
      <c r="F470">
        <v>0</v>
      </c>
      <c r="G470">
        <v>0</v>
      </c>
      <c r="H470" t="str">
        <f>IF(Demographics[[#This Row],[DOB]]&gt;10000000, TEXT(Demographics[[#This Row],[DOB]],0),CONCATENATE("0",TEXT(Demographics[[#This Row],[DOB]],0)))</f>
        <v>16051987</v>
      </c>
      <c r="I470" s="4">
        <f ca="1">IFERROR((VALUE(TODAY()-DATE(RIGHT(Demographics[[#This Row],[DOB - Fixed]],4),MID(Demographics[[#This Row],[DOB - Fixed]],3,2),LEFT(Demographics[[#This Row],[DOB - Fixed]],2))))/365,0)</f>
        <v>36.339726027397262</v>
      </c>
      <c r="J470">
        <f>VLOOKUP(Demographics[[#This Row],[INCOME LEVEL]],Income[],4,FALSE)</f>
        <v>175</v>
      </c>
      <c r="K470">
        <f>IFERROR(Demographics[[#This Row],[Total monthly income]]/Demographics[[#This Row],[FAMILY SIZE]], 0)</f>
        <v>35</v>
      </c>
    </row>
    <row r="471" spans="1:11" x14ac:dyDescent="0.2">
      <c r="A471">
        <v>21995492</v>
      </c>
      <c r="B471">
        <v>11081987</v>
      </c>
      <c r="C471">
        <v>4</v>
      </c>
      <c r="D471">
        <v>3</v>
      </c>
      <c r="E471">
        <v>3</v>
      </c>
      <c r="F471">
        <v>5</v>
      </c>
      <c r="G471">
        <v>9</v>
      </c>
      <c r="H471" t="str">
        <f>IF(Demographics[[#This Row],[DOB]]&gt;10000000, TEXT(Demographics[[#This Row],[DOB]],0),CONCATENATE("0",TEXT(Demographics[[#This Row],[DOB]],0)))</f>
        <v>11081987</v>
      </c>
      <c r="I471" s="4">
        <f ca="1">IFERROR((VALUE(TODAY()-DATE(RIGHT(Demographics[[#This Row],[DOB - Fixed]],4),MID(Demographics[[#This Row],[DOB - Fixed]],3,2),LEFT(Demographics[[#This Row],[DOB - Fixed]],2))))/365,0)</f>
        <v>36.101369863013701</v>
      </c>
      <c r="J471">
        <f>VLOOKUP(Demographics[[#This Row],[INCOME LEVEL]],Income[],4,FALSE)</f>
        <v>1397.5</v>
      </c>
      <c r="K471">
        <f>IFERROR(Demographics[[#This Row],[Total monthly income]]/Demographics[[#This Row],[FAMILY SIZE]], 0)</f>
        <v>349.375</v>
      </c>
    </row>
    <row r="472" spans="1:11" x14ac:dyDescent="0.2">
      <c r="A472">
        <v>2870353</v>
      </c>
      <c r="B472">
        <v>21071987</v>
      </c>
      <c r="C472">
        <v>4</v>
      </c>
      <c r="D472">
        <v>1</v>
      </c>
      <c r="E472">
        <v>1</v>
      </c>
      <c r="F472">
        <v>6</v>
      </c>
      <c r="G472">
        <v>2</v>
      </c>
      <c r="H472" t="str">
        <f>IF(Demographics[[#This Row],[DOB]]&gt;10000000, TEXT(Demographics[[#This Row],[DOB]],0),CONCATENATE("0",TEXT(Demographics[[#This Row],[DOB]],0)))</f>
        <v>21071987</v>
      </c>
      <c r="I472" s="4">
        <f ca="1">IFERROR((VALUE(TODAY()-DATE(RIGHT(Demographics[[#This Row],[DOB - Fixed]],4),MID(Demographics[[#This Row],[DOB - Fixed]],3,2),LEFT(Demographics[[#This Row],[DOB - Fixed]],2))))/365,0)</f>
        <v>36.158904109589038</v>
      </c>
      <c r="J472">
        <f>VLOOKUP(Demographics[[#This Row],[INCOME LEVEL]],Income[],4,FALSE)</f>
        <v>175</v>
      </c>
      <c r="K472">
        <f>IFERROR(Demographics[[#This Row],[Total monthly income]]/Demographics[[#This Row],[FAMILY SIZE]], 0)</f>
        <v>43.75</v>
      </c>
    </row>
    <row r="473" spans="1:11" x14ac:dyDescent="0.2">
      <c r="A473">
        <v>20393286</v>
      </c>
      <c r="B473">
        <v>8081987</v>
      </c>
      <c r="C473">
        <v>4</v>
      </c>
      <c r="D473">
        <v>2</v>
      </c>
      <c r="E473">
        <v>2</v>
      </c>
      <c r="F473">
        <v>10</v>
      </c>
      <c r="G473">
        <v>5</v>
      </c>
      <c r="H473" t="str">
        <f>IF(Demographics[[#This Row],[DOB]]&gt;10000000, TEXT(Demographics[[#This Row],[DOB]],0),CONCATENATE("0",TEXT(Demographics[[#This Row],[DOB]],0)))</f>
        <v>08081987</v>
      </c>
      <c r="I473" s="4">
        <f ca="1">IFERROR((VALUE(TODAY()-DATE(RIGHT(Demographics[[#This Row],[DOB - Fixed]],4),MID(Demographics[[#This Row],[DOB - Fixed]],3,2),LEFT(Demographics[[#This Row],[DOB - Fixed]],2))))/365,0)</f>
        <v>36.109589041095887</v>
      </c>
      <c r="J473">
        <f>VLOOKUP(Demographics[[#This Row],[INCOME LEVEL]],Income[],4,FALSE)</f>
        <v>697.5</v>
      </c>
      <c r="K473">
        <f>IFERROR(Demographics[[#This Row],[Total monthly income]]/Demographics[[#This Row],[FAMILY SIZE]], 0)</f>
        <v>174.375</v>
      </c>
    </row>
    <row r="474" spans="1:11" x14ac:dyDescent="0.2">
      <c r="A474">
        <v>1165986</v>
      </c>
      <c r="B474">
        <v>8081987</v>
      </c>
      <c r="C474">
        <v>3</v>
      </c>
      <c r="D474">
        <v>1</v>
      </c>
      <c r="E474">
        <v>1</v>
      </c>
      <c r="F474">
        <v>4</v>
      </c>
      <c r="G474">
        <v>5</v>
      </c>
      <c r="H474" t="str">
        <f>IF(Demographics[[#This Row],[DOB]]&gt;10000000, TEXT(Demographics[[#This Row],[DOB]],0),CONCATENATE("0",TEXT(Demographics[[#This Row],[DOB]],0)))</f>
        <v>08081987</v>
      </c>
      <c r="I474" s="4">
        <f ca="1">IFERROR((VALUE(TODAY()-DATE(RIGHT(Demographics[[#This Row],[DOB - Fixed]],4),MID(Demographics[[#This Row],[DOB - Fixed]],3,2),LEFT(Demographics[[#This Row],[DOB - Fixed]],2))))/365,0)</f>
        <v>36.109589041095887</v>
      </c>
      <c r="J474">
        <f>VLOOKUP(Demographics[[#This Row],[INCOME LEVEL]],Income[],4,FALSE)</f>
        <v>175</v>
      </c>
      <c r="K474">
        <f>IFERROR(Demographics[[#This Row],[Total monthly income]]/Demographics[[#This Row],[FAMILY SIZE]], 0)</f>
        <v>58.333333333333336</v>
      </c>
    </row>
    <row r="475" spans="1:11" x14ac:dyDescent="0.2">
      <c r="A475">
        <v>9278998</v>
      </c>
      <c r="B475">
        <v>2081987</v>
      </c>
      <c r="C475">
        <v>6</v>
      </c>
      <c r="D475">
        <v>2</v>
      </c>
      <c r="E475">
        <v>2</v>
      </c>
      <c r="F475">
        <v>9</v>
      </c>
      <c r="G475">
        <v>9</v>
      </c>
      <c r="H475" t="str">
        <f>IF(Demographics[[#This Row],[DOB]]&gt;10000000, TEXT(Demographics[[#This Row],[DOB]],0),CONCATENATE("0",TEXT(Demographics[[#This Row],[DOB]],0)))</f>
        <v>02081987</v>
      </c>
      <c r="I475" s="4">
        <f ca="1">IFERROR((VALUE(TODAY()-DATE(RIGHT(Demographics[[#This Row],[DOB - Fixed]],4),MID(Demographics[[#This Row],[DOB - Fixed]],3,2),LEFT(Demographics[[#This Row],[DOB - Fixed]],2))))/365,0)</f>
        <v>36.126027397260273</v>
      </c>
      <c r="J475">
        <f>VLOOKUP(Demographics[[#This Row],[INCOME LEVEL]],Income[],4,FALSE)</f>
        <v>697.5</v>
      </c>
      <c r="K475">
        <f>IFERROR(Demographics[[#This Row],[Total monthly income]]/Demographics[[#This Row],[FAMILY SIZE]], 0)</f>
        <v>116.25</v>
      </c>
    </row>
    <row r="476" spans="1:11" x14ac:dyDescent="0.2">
      <c r="A476">
        <v>10779793</v>
      </c>
      <c r="B476">
        <v>29071987</v>
      </c>
      <c r="C476">
        <v>3</v>
      </c>
      <c r="D476">
        <v>0</v>
      </c>
      <c r="E476">
        <v>2</v>
      </c>
      <c r="F476">
        <v>0</v>
      </c>
      <c r="G476">
        <v>7</v>
      </c>
      <c r="H476" t="str">
        <f>IF(Demographics[[#This Row],[DOB]]&gt;10000000, TEXT(Demographics[[#This Row],[DOB]],0),CONCATENATE("0",TEXT(Demographics[[#This Row],[DOB]],0)))</f>
        <v>29071987</v>
      </c>
      <c r="I476" s="4">
        <f ca="1">IFERROR((VALUE(TODAY()-DATE(RIGHT(Demographics[[#This Row],[DOB - Fixed]],4),MID(Demographics[[#This Row],[DOB - Fixed]],3,2),LEFT(Demographics[[#This Row],[DOB - Fixed]],2))))/365,0)</f>
        <v>36.136986301369866</v>
      </c>
      <c r="J476">
        <f>VLOOKUP(Demographics[[#This Row],[INCOME LEVEL]],Income[],4,FALSE)</f>
        <v>697.5</v>
      </c>
      <c r="K476">
        <f>IFERROR(Demographics[[#This Row],[Total monthly income]]/Demographics[[#This Row],[FAMILY SIZE]], 0)</f>
        <v>232.5</v>
      </c>
    </row>
    <row r="477" spans="1:11" x14ac:dyDescent="0.2">
      <c r="A477">
        <v>9379818</v>
      </c>
      <c r="B477">
        <v>7041987</v>
      </c>
      <c r="C477">
        <v>5</v>
      </c>
      <c r="D477">
        <v>1</v>
      </c>
      <c r="E477">
        <v>3</v>
      </c>
      <c r="F477">
        <v>6</v>
      </c>
      <c r="G477">
        <v>5</v>
      </c>
      <c r="H477" t="str">
        <f>IF(Demographics[[#This Row],[DOB]]&gt;10000000, TEXT(Demographics[[#This Row],[DOB]],0),CONCATENATE("0",TEXT(Demographics[[#This Row],[DOB]],0)))</f>
        <v>07041987</v>
      </c>
      <c r="I477" s="4">
        <f ca="1">IFERROR((VALUE(TODAY()-DATE(RIGHT(Demographics[[#This Row],[DOB - Fixed]],4),MID(Demographics[[#This Row],[DOB - Fixed]],3,2),LEFT(Demographics[[#This Row],[DOB - Fixed]],2))))/365,0)</f>
        <v>36.446575342465756</v>
      </c>
      <c r="J477">
        <f>VLOOKUP(Demographics[[#This Row],[INCOME LEVEL]],Income[],4,FALSE)</f>
        <v>1397.5</v>
      </c>
      <c r="K477">
        <f>IFERROR(Demographics[[#This Row],[Total monthly income]]/Demographics[[#This Row],[FAMILY SIZE]], 0)</f>
        <v>279.5</v>
      </c>
    </row>
    <row r="478" spans="1:11" x14ac:dyDescent="0.2">
      <c r="A478">
        <v>8210724</v>
      </c>
      <c r="B478">
        <v>14081987</v>
      </c>
      <c r="C478">
        <v>4</v>
      </c>
      <c r="D478">
        <v>1</v>
      </c>
      <c r="E478">
        <v>2</v>
      </c>
      <c r="F478">
        <v>7</v>
      </c>
      <c r="G478">
        <v>5</v>
      </c>
      <c r="H478" t="str">
        <f>IF(Demographics[[#This Row],[DOB]]&gt;10000000, TEXT(Demographics[[#This Row],[DOB]],0),CONCATENATE("0",TEXT(Demographics[[#This Row],[DOB]],0)))</f>
        <v>14081987</v>
      </c>
      <c r="I478" s="4">
        <f ca="1">IFERROR((VALUE(TODAY()-DATE(RIGHT(Demographics[[#This Row],[DOB - Fixed]],4),MID(Demographics[[#This Row],[DOB - Fixed]],3,2),LEFT(Demographics[[#This Row],[DOB - Fixed]],2))))/365,0)</f>
        <v>36.093150684931508</v>
      </c>
      <c r="J478">
        <f>VLOOKUP(Demographics[[#This Row],[INCOME LEVEL]],Income[],4,FALSE)</f>
        <v>697.5</v>
      </c>
      <c r="K478">
        <f>IFERROR(Demographics[[#This Row],[Total monthly income]]/Demographics[[#This Row],[FAMILY SIZE]], 0)</f>
        <v>174.375</v>
      </c>
    </row>
    <row r="479" spans="1:11" x14ac:dyDescent="0.2">
      <c r="A479">
        <v>8643546</v>
      </c>
      <c r="B479">
        <v>25071987</v>
      </c>
      <c r="C479">
        <v>5</v>
      </c>
      <c r="D479">
        <v>2</v>
      </c>
      <c r="E479">
        <v>1</v>
      </c>
      <c r="F479">
        <v>5</v>
      </c>
      <c r="G479">
        <v>3</v>
      </c>
      <c r="H479" t="str">
        <f>IF(Demographics[[#This Row],[DOB]]&gt;10000000, TEXT(Demographics[[#This Row],[DOB]],0),CONCATENATE("0",TEXT(Demographics[[#This Row],[DOB]],0)))</f>
        <v>25071987</v>
      </c>
      <c r="I479" s="4">
        <f ca="1">IFERROR((VALUE(TODAY()-DATE(RIGHT(Demographics[[#This Row],[DOB - Fixed]],4),MID(Demographics[[#This Row],[DOB - Fixed]],3,2),LEFT(Demographics[[#This Row],[DOB - Fixed]],2))))/365,0)</f>
        <v>36.147945205479452</v>
      </c>
      <c r="J479">
        <f>VLOOKUP(Demographics[[#This Row],[INCOME LEVEL]],Income[],4,FALSE)</f>
        <v>175</v>
      </c>
      <c r="K479">
        <f>IFERROR(Demographics[[#This Row],[Total monthly income]]/Demographics[[#This Row],[FAMILY SIZE]], 0)</f>
        <v>35</v>
      </c>
    </row>
    <row r="480" spans="1:11" x14ac:dyDescent="0.2">
      <c r="A480">
        <v>10346838</v>
      </c>
      <c r="B480">
        <v>24081987</v>
      </c>
      <c r="C480">
        <v>8</v>
      </c>
      <c r="D480">
        <v>2</v>
      </c>
      <c r="E480">
        <v>3</v>
      </c>
      <c r="F480">
        <v>9</v>
      </c>
      <c r="G480">
        <v>9</v>
      </c>
      <c r="H480" t="str">
        <f>IF(Demographics[[#This Row],[DOB]]&gt;10000000, TEXT(Demographics[[#This Row],[DOB]],0),CONCATENATE("0",TEXT(Demographics[[#This Row],[DOB]],0)))</f>
        <v>24081987</v>
      </c>
      <c r="I480" s="4">
        <f ca="1">IFERROR((VALUE(TODAY()-DATE(RIGHT(Demographics[[#This Row],[DOB - Fixed]],4),MID(Demographics[[#This Row],[DOB - Fixed]],3,2),LEFT(Demographics[[#This Row],[DOB - Fixed]],2))))/365,0)</f>
        <v>36.065753424657537</v>
      </c>
      <c r="J480">
        <f>VLOOKUP(Demographics[[#This Row],[INCOME LEVEL]],Income[],4,FALSE)</f>
        <v>1397.5</v>
      </c>
      <c r="K480">
        <f>IFERROR(Demographics[[#This Row],[Total monthly income]]/Demographics[[#This Row],[FAMILY SIZE]], 0)</f>
        <v>174.6875</v>
      </c>
    </row>
    <row r="481" spans="1:11" x14ac:dyDescent="0.2">
      <c r="A481">
        <v>18256147</v>
      </c>
      <c r="B481">
        <v>30071987</v>
      </c>
      <c r="C481">
        <v>3</v>
      </c>
      <c r="D481">
        <v>1</v>
      </c>
      <c r="E481">
        <v>1</v>
      </c>
      <c r="F481">
        <v>4</v>
      </c>
      <c r="G481">
        <v>3</v>
      </c>
      <c r="H481" t="str">
        <f>IF(Demographics[[#This Row],[DOB]]&gt;10000000, TEXT(Demographics[[#This Row],[DOB]],0),CONCATENATE("0",TEXT(Demographics[[#This Row],[DOB]],0)))</f>
        <v>30071987</v>
      </c>
      <c r="I481" s="4">
        <f ca="1">IFERROR((VALUE(TODAY()-DATE(RIGHT(Demographics[[#This Row],[DOB - Fixed]],4),MID(Demographics[[#This Row],[DOB - Fixed]],3,2),LEFT(Demographics[[#This Row],[DOB - Fixed]],2))))/365,0)</f>
        <v>36.134246575342466</v>
      </c>
      <c r="J481">
        <f>VLOOKUP(Demographics[[#This Row],[INCOME LEVEL]],Income[],4,FALSE)</f>
        <v>175</v>
      </c>
      <c r="K481">
        <f>IFERROR(Demographics[[#This Row],[Total monthly income]]/Demographics[[#This Row],[FAMILY SIZE]], 0)</f>
        <v>58.333333333333336</v>
      </c>
    </row>
    <row r="482" spans="1:11" x14ac:dyDescent="0.2">
      <c r="A482">
        <v>19222784</v>
      </c>
      <c r="B482">
        <v>30081987</v>
      </c>
      <c r="C482">
        <v>5</v>
      </c>
      <c r="D482">
        <v>1</v>
      </c>
      <c r="E482">
        <v>3</v>
      </c>
      <c r="F482">
        <v>8</v>
      </c>
      <c r="G482">
        <v>9</v>
      </c>
      <c r="H482" t="str">
        <f>IF(Demographics[[#This Row],[DOB]]&gt;10000000, TEXT(Demographics[[#This Row],[DOB]],0),CONCATENATE("0",TEXT(Demographics[[#This Row],[DOB]],0)))</f>
        <v>30081987</v>
      </c>
      <c r="I482" s="4">
        <f ca="1">IFERROR((VALUE(TODAY()-DATE(RIGHT(Demographics[[#This Row],[DOB - Fixed]],4),MID(Demographics[[#This Row],[DOB - Fixed]],3,2),LEFT(Demographics[[#This Row],[DOB - Fixed]],2))))/365,0)</f>
        <v>36.049315068493151</v>
      </c>
      <c r="J482">
        <f>VLOOKUP(Demographics[[#This Row],[INCOME LEVEL]],Income[],4,FALSE)</f>
        <v>1397.5</v>
      </c>
      <c r="K482">
        <f>IFERROR(Demographics[[#This Row],[Total monthly income]]/Demographics[[#This Row],[FAMILY SIZE]], 0)</f>
        <v>279.5</v>
      </c>
    </row>
    <row r="483" spans="1:11" x14ac:dyDescent="0.2">
      <c r="A483">
        <v>1267611</v>
      </c>
      <c r="B483">
        <v>30081987</v>
      </c>
      <c r="C483">
        <v>6</v>
      </c>
      <c r="D483">
        <v>1</v>
      </c>
      <c r="E483">
        <v>2</v>
      </c>
      <c r="F483">
        <v>5</v>
      </c>
      <c r="G483">
        <v>5</v>
      </c>
      <c r="H483" t="str">
        <f>IF(Demographics[[#This Row],[DOB]]&gt;10000000, TEXT(Demographics[[#This Row],[DOB]],0),CONCATENATE("0",TEXT(Demographics[[#This Row],[DOB]],0)))</f>
        <v>30081987</v>
      </c>
      <c r="I483" s="4">
        <f ca="1">IFERROR((VALUE(TODAY()-DATE(RIGHT(Demographics[[#This Row],[DOB - Fixed]],4),MID(Demographics[[#This Row],[DOB - Fixed]],3,2),LEFT(Demographics[[#This Row],[DOB - Fixed]],2))))/365,0)</f>
        <v>36.049315068493151</v>
      </c>
      <c r="J483">
        <f>VLOOKUP(Demographics[[#This Row],[INCOME LEVEL]],Income[],4,FALSE)</f>
        <v>697.5</v>
      </c>
      <c r="K483">
        <f>IFERROR(Demographics[[#This Row],[Total monthly income]]/Demographics[[#This Row],[FAMILY SIZE]], 0)</f>
        <v>116.25</v>
      </c>
    </row>
    <row r="484" spans="1:11" x14ac:dyDescent="0.2">
      <c r="A484">
        <v>16654238</v>
      </c>
      <c r="B484">
        <v>29081987</v>
      </c>
      <c r="C484">
        <v>5</v>
      </c>
      <c r="D484">
        <v>1</v>
      </c>
      <c r="E484">
        <v>2</v>
      </c>
      <c r="F484">
        <v>9</v>
      </c>
      <c r="G484">
        <v>7</v>
      </c>
      <c r="H484" t="str">
        <f>IF(Demographics[[#This Row],[DOB]]&gt;10000000, TEXT(Demographics[[#This Row],[DOB]],0),CONCATENATE("0",TEXT(Demographics[[#This Row],[DOB]],0)))</f>
        <v>29081987</v>
      </c>
      <c r="I484" s="4">
        <f ca="1">IFERROR((VALUE(TODAY()-DATE(RIGHT(Demographics[[#This Row],[DOB - Fixed]],4),MID(Demographics[[#This Row],[DOB - Fixed]],3,2),LEFT(Demographics[[#This Row],[DOB - Fixed]],2))))/365,0)</f>
        <v>36.052054794520551</v>
      </c>
      <c r="J484">
        <f>VLOOKUP(Demographics[[#This Row],[INCOME LEVEL]],Income[],4,FALSE)</f>
        <v>697.5</v>
      </c>
      <c r="K484">
        <f>IFERROR(Demographics[[#This Row],[Total monthly income]]/Demographics[[#This Row],[FAMILY SIZE]], 0)</f>
        <v>139.5</v>
      </c>
    </row>
    <row r="485" spans="1:11" x14ac:dyDescent="0.2">
      <c r="A485">
        <v>8845583</v>
      </c>
      <c r="B485">
        <v>1091987</v>
      </c>
      <c r="C485">
        <v>4</v>
      </c>
      <c r="D485">
        <v>1</v>
      </c>
      <c r="E485">
        <v>3</v>
      </c>
      <c r="F485">
        <v>10</v>
      </c>
      <c r="G485">
        <v>10</v>
      </c>
      <c r="H485" t="str">
        <f>IF(Demographics[[#This Row],[DOB]]&gt;10000000, TEXT(Demographics[[#This Row],[DOB]],0),CONCATENATE("0",TEXT(Demographics[[#This Row],[DOB]],0)))</f>
        <v>01091987</v>
      </c>
      <c r="I485" s="4">
        <f ca="1">IFERROR((VALUE(TODAY()-DATE(RIGHT(Demographics[[#This Row],[DOB - Fixed]],4),MID(Demographics[[#This Row],[DOB - Fixed]],3,2),LEFT(Demographics[[#This Row],[DOB - Fixed]],2))))/365,0)</f>
        <v>36.043835616438358</v>
      </c>
      <c r="J485">
        <f>VLOOKUP(Demographics[[#This Row],[INCOME LEVEL]],Income[],4,FALSE)</f>
        <v>1397.5</v>
      </c>
      <c r="K485">
        <f>IFERROR(Demographics[[#This Row],[Total monthly income]]/Demographics[[#This Row],[FAMILY SIZE]], 0)</f>
        <v>349.375</v>
      </c>
    </row>
    <row r="486" spans="1:11" x14ac:dyDescent="0.2">
      <c r="A486">
        <v>8109435</v>
      </c>
      <c r="B486">
        <v>3091987</v>
      </c>
      <c r="C486">
        <v>4</v>
      </c>
      <c r="D486">
        <v>1</v>
      </c>
      <c r="E486">
        <v>1</v>
      </c>
      <c r="F486">
        <v>4</v>
      </c>
      <c r="G486">
        <v>4</v>
      </c>
      <c r="H486" t="str">
        <f>IF(Demographics[[#This Row],[DOB]]&gt;10000000, TEXT(Demographics[[#This Row],[DOB]],0),CONCATENATE("0",TEXT(Demographics[[#This Row],[DOB]],0)))</f>
        <v>03091987</v>
      </c>
      <c r="I486" s="4">
        <f ca="1">IFERROR((VALUE(TODAY()-DATE(RIGHT(Demographics[[#This Row],[DOB - Fixed]],4),MID(Demographics[[#This Row],[DOB - Fixed]],3,2),LEFT(Demographics[[#This Row],[DOB - Fixed]],2))))/365,0)</f>
        <v>36.038356164383565</v>
      </c>
      <c r="J486">
        <f>VLOOKUP(Demographics[[#This Row],[INCOME LEVEL]],Income[],4,FALSE)</f>
        <v>175</v>
      </c>
      <c r="K486">
        <f>IFERROR(Demographics[[#This Row],[Total monthly income]]/Demographics[[#This Row],[FAMILY SIZE]], 0)</f>
        <v>43.75</v>
      </c>
    </row>
    <row r="487" spans="1:11" x14ac:dyDescent="0.2">
      <c r="A487">
        <v>3319062</v>
      </c>
      <c r="B487">
        <v>5091987</v>
      </c>
      <c r="C487">
        <v>5</v>
      </c>
      <c r="D487">
        <v>2</v>
      </c>
      <c r="E487">
        <v>1</v>
      </c>
      <c r="F487">
        <v>5</v>
      </c>
      <c r="G487">
        <v>4</v>
      </c>
      <c r="H487" t="str">
        <f>IF(Demographics[[#This Row],[DOB]]&gt;10000000, TEXT(Demographics[[#This Row],[DOB]],0),CONCATENATE("0",TEXT(Demographics[[#This Row],[DOB]],0)))</f>
        <v>05091987</v>
      </c>
      <c r="I487" s="4">
        <f ca="1">IFERROR((VALUE(TODAY()-DATE(RIGHT(Demographics[[#This Row],[DOB - Fixed]],4),MID(Demographics[[#This Row],[DOB - Fixed]],3,2),LEFT(Demographics[[#This Row],[DOB - Fixed]],2))))/365,0)</f>
        <v>36.032876712328765</v>
      </c>
      <c r="J487">
        <f>VLOOKUP(Demographics[[#This Row],[INCOME LEVEL]],Income[],4,FALSE)</f>
        <v>175</v>
      </c>
      <c r="K487">
        <f>IFERROR(Demographics[[#This Row],[Total monthly income]]/Demographics[[#This Row],[FAMILY SIZE]], 0)</f>
        <v>35</v>
      </c>
    </row>
    <row r="488" spans="1:11" x14ac:dyDescent="0.2">
      <c r="A488">
        <v>15269494</v>
      </c>
      <c r="B488">
        <v>8091987</v>
      </c>
      <c r="C488">
        <v>6</v>
      </c>
      <c r="D488">
        <v>1</v>
      </c>
      <c r="E488">
        <v>2</v>
      </c>
      <c r="F488">
        <v>5</v>
      </c>
      <c r="G488">
        <v>5</v>
      </c>
      <c r="H488" t="str">
        <f>IF(Demographics[[#This Row],[DOB]]&gt;10000000, TEXT(Demographics[[#This Row],[DOB]],0),CONCATENATE("0",TEXT(Demographics[[#This Row],[DOB]],0)))</f>
        <v>08091987</v>
      </c>
      <c r="I488" s="4">
        <f ca="1">IFERROR((VALUE(TODAY()-DATE(RIGHT(Demographics[[#This Row],[DOB - Fixed]],4),MID(Demographics[[#This Row],[DOB - Fixed]],3,2),LEFT(Demographics[[#This Row],[DOB - Fixed]],2))))/365,0)</f>
        <v>36.024657534246572</v>
      </c>
      <c r="J488">
        <f>VLOOKUP(Demographics[[#This Row],[INCOME LEVEL]],Income[],4,FALSE)</f>
        <v>697.5</v>
      </c>
      <c r="K488">
        <f>IFERROR(Demographics[[#This Row],[Total monthly income]]/Demographics[[#This Row],[FAMILY SIZE]], 0)</f>
        <v>116.25</v>
      </c>
    </row>
    <row r="489" spans="1:11" x14ac:dyDescent="0.2">
      <c r="A489">
        <v>16337601</v>
      </c>
      <c r="B489">
        <v>8091987</v>
      </c>
      <c r="C489">
        <v>3</v>
      </c>
      <c r="D489">
        <v>1</v>
      </c>
      <c r="E489">
        <v>2</v>
      </c>
      <c r="F489">
        <v>5</v>
      </c>
      <c r="G489">
        <v>9</v>
      </c>
      <c r="H489" t="str">
        <f>IF(Demographics[[#This Row],[DOB]]&gt;10000000, TEXT(Demographics[[#This Row],[DOB]],0),CONCATENATE("0",TEXT(Demographics[[#This Row],[DOB]],0)))</f>
        <v>08091987</v>
      </c>
      <c r="I489" s="4">
        <f ca="1">IFERROR((VALUE(TODAY()-DATE(RIGHT(Demographics[[#This Row],[DOB - Fixed]],4),MID(Demographics[[#This Row],[DOB - Fixed]],3,2),LEFT(Demographics[[#This Row],[DOB - Fixed]],2))))/365,0)</f>
        <v>36.024657534246572</v>
      </c>
      <c r="J489">
        <f>VLOOKUP(Demographics[[#This Row],[INCOME LEVEL]],Income[],4,FALSE)</f>
        <v>697.5</v>
      </c>
      <c r="K489">
        <f>IFERROR(Demographics[[#This Row],[Total monthly income]]/Demographics[[#This Row],[FAMILY SIZE]], 0)</f>
        <v>232.5</v>
      </c>
    </row>
    <row r="490" spans="1:11" x14ac:dyDescent="0.2">
      <c r="A490">
        <v>749447</v>
      </c>
      <c r="B490">
        <v>8091987</v>
      </c>
      <c r="C490">
        <v>4</v>
      </c>
      <c r="D490">
        <v>2</v>
      </c>
      <c r="E490">
        <v>5</v>
      </c>
      <c r="F490">
        <v>8</v>
      </c>
      <c r="G490">
        <v>7</v>
      </c>
      <c r="H490" t="str">
        <f>IF(Demographics[[#This Row],[DOB]]&gt;10000000, TEXT(Demographics[[#This Row],[DOB]],0),CONCATENATE("0",TEXT(Demographics[[#This Row],[DOB]],0)))</f>
        <v>08091987</v>
      </c>
      <c r="I490" s="4">
        <f ca="1">IFERROR((VALUE(TODAY()-DATE(RIGHT(Demographics[[#This Row],[DOB - Fixed]],4),MID(Demographics[[#This Row],[DOB - Fixed]],3,2),LEFT(Demographics[[#This Row],[DOB - Fixed]],2))))/365,0)</f>
        <v>36.024657534246572</v>
      </c>
      <c r="J490">
        <f>VLOOKUP(Demographics[[#This Row],[INCOME LEVEL]],Income[],4,FALSE)</f>
        <v>2787.5</v>
      </c>
      <c r="K490">
        <f>IFERROR(Demographics[[#This Row],[Total monthly income]]/Demographics[[#This Row],[FAMILY SIZE]], 0)</f>
        <v>696.875</v>
      </c>
    </row>
    <row r="491" spans="1:11" x14ac:dyDescent="0.2">
      <c r="A491">
        <v>23180259</v>
      </c>
      <c r="B491">
        <v>9091987</v>
      </c>
      <c r="C491">
        <v>4</v>
      </c>
      <c r="D491">
        <v>1</v>
      </c>
      <c r="E491">
        <v>2</v>
      </c>
      <c r="F491">
        <v>0</v>
      </c>
      <c r="G491">
        <v>5</v>
      </c>
      <c r="H491" t="str">
        <f>IF(Demographics[[#This Row],[DOB]]&gt;10000000, TEXT(Demographics[[#This Row],[DOB]],0),CONCATENATE("0",TEXT(Demographics[[#This Row],[DOB]],0)))</f>
        <v>09091987</v>
      </c>
      <c r="I491" s="4">
        <f ca="1">IFERROR((VALUE(TODAY()-DATE(RIGHT(Demographics[[#This Row],[DOB - Fixed]],4),MID(Demographics[[#This Row],[DOB - Fixed]],3,2),LEFT(Demographics[[#This Row],[DOB - Fixed]],2))))/365,0)</f>
        <v>36.021917808219179</v>
      </c>
      <c r="J491">
        <f>VLOOKUP(Demographics[[#This Row],[INCOME LEVEL]],Income[],4,FALSE)</f>
        <v>697.5</v>
      </c>
      <c r="K491">
        <f>IFERROR(Demographics[[#This Row],[Total monthly income]]/Demographics[[#This Row],[FAMILY SIZE]], 0)</f>
        <v>174.375</v>
      </c>
    </row>
    <row r="492" spans="1:11" x14ac:dyDescent="0.2">
      <c r="A492">
        <v>20510293</v>
      </c>
      <c r="B492">
        <v>3091987</v>
      </c>
      <c r="C492">
        <v>5</v>
      </c>
      <c r="D492">
        <v>1</v>
      </c>
      <c r="E492">
        <v>2</v>
      </c>
      <c r="F492">
        <v>8</v>
      </c>
      <c r="G492">
        <v>4</v>
      </c>
      <c r="H492" t="str">
        <f>IF(Demographics[[#This Row],[DOB]]&gt;10000000, TEXT(Demographics[[#This Row],[DOB]],0),CONCATENATE("0",TEXT(Demographics[[#This Row],[DOB]],0)))</f>
        <v>03091987</v>
      </c>
      <c r="I492" s="4">
        <f ca="1">IFERROR((VALUE(TODAY()-DATE(RIGHT(Demographics[[#This Row],[DOB - Fixed]],4),MID(Demographics[[#This Row],[DOB - Fixed]],3,2),LEFT(Demographics[[#This Row],[DOB - Fixed]],2))))/365,0)</f>
        <v>36.038356164383565</v>
      </c>
      <c r="J492">
        <f>VLOOKUP(Demographics[[#This Row],[INCOME LEVEL]],Income[],4,FALSE)</f>
        <v>697.5</v>
      </c>
      <c r="K492">
        <f>IFERROR(Demographics[[#This Row],[Total monthly income]]/Demographics[[#This Row],[FAMILY SIZE]], 0)</f>
        <v>139.5</v>
      </c>
    </row>
    <row r="493" spans="1:11" x14ac:dyDescent="0.2">
      <c r="A493">
        <v>12499342</v>
      </c>
      <c r="B493">
        <v>17081987</v>
      </c>
      <c r="C493">
        <v>6</v>
      </c>
      <c r="D493">
        <v>1</v>
      </c>
      <c r="E493">
        <v>1</v>
      </c>
      <c r="F493">
        <v>4</v>
      </c>
      <c r="G493">
        <v>5</v>
      </c>
      <c r="H493" t="str">
        <f>IF(Demographics[[#This Row],[DOB]]&gt;10000000, TEXT(Demographics[[#This Row],[DOB]],0),CONCATENATE("0",TEXT(Demographics[[#This Row],[DOB]],0)))</f>
        <v>17081987</v>
      </c>
      <c r="I493" s="4">
        <f ca="1">IFERROR((VALUE(TODAY()-DATE(RIGHT(Demographics[[#This Row],[DOB - Fixed]],4),MID(Demographics[[#This Row],[DOB - Fixed]],3,2),LEFT(Demographics[[#This Row],[DOB - Fixed]],2))))/365,0)</f>
        <v>36.084931506849315</v>
      </c>
      <c r="J493">
        <f>VLOOKUP(Demographics[[#This Row],[INCOME LEVEL]],Income[],4,FALSE)</f>
        <v>175</v>
      </c>
      <c r="K493">
        <f>IFERROR(Demographics[[#This Row],[Total monthly income]]/Demographics[[#This Row],[FAMILY SIZE]], 0)</f>
        <v>29.166666666666668</v>
      </c>
    </row>
    <row r="494" spans="1:11" x14ac:dyDescent="0.2">
      <c r="A494">
        <v>1817513</v>
      </c>
      <c r="B494">
        <v>17091987</v>
      </c>
      <c r="C494">
        <v>4</v>
      </c>
      <c r="D494">
        <v>1</v>
      </c>
      <c r="E494">
        <v>2</v>
      </c>
      <c r="F494">
        <v>9</v>
      </c>
      <c r="G494">
        <v>4</v>
      </c>
      <c r="H494" t="str">
        <f>IF(Demographics[[#This Row],[DOB]]&gt;10000000, TEXT(Demographics[[#This Row],[DOB]],0),CONCATENATE("0",TEXT(Demographics[[#This Row],[DOB]],0)))</f>
        <v>17091987</v>
      </c>
      <c r="I494" s="4">
        <f ca="1">IFERROR((VALUE(TODAY()-DATE(RIGHT(Demographics[[#This Row],[DOB - Fixed]],4),MID(Demographics[[#This Row],[DOB - Fixed]],3,2),LEFT(Demographics[[#This Row],[DOB - Fixed]],2))))/365,0)</f>
        <v>36</v>
      </c>
      <c r="J494">
        <f>VLOOKUP(Demographics[[#This Row],[INCOME LEVEL]],Income[],4,FALSE)</f>
        <v>697.5</v>
      </c>
      <c r="K494">
        <f>IFERROR(Demographics[[#This Row],[Total monthly income]]/Demographics[[#This Row],[FAMILY SIZE]], 0)</f>
        <v>174.375</v>
      </c>
    </row>
    <row r="495" spans="1:11" x14ac:dyDescent="0.2">
      <c r="A495">
        <v>23079148</v>
      </c>
      <c r="B495">
        <v>16091987</v>
      </c>
      <c r="C495">
        <v>5</v>
      </c>
      <c r="D495">
        <v>2</v>
      </c>
      <c r="E495">
        <v>3</v>
      </c>
      <c r="F495">
        <v>9</v>
      </c>
      <c r="G495">
        <v>9</v>
      </c>
      <c r="H495" t="str">
        <f>IF(Demographics[[#This Row],[DOB]]&gt;10000000, TEXT(Demographics[[#This Row],[DOB]],0),CONCATENATE("0",TEXT(Demographics[[#This Row],[DOB]],0)))</f>
        <v>16091987</v>
      </c>
      <c r="I495" s="4">
        <f ca="1">IFERROR((VALUE(TODAY()-DATE(RIGHT(Demographics[[#This Row],[DOB - Fixed]],4),MID(Demographics[[#This Row],[DOB - Fixed]],3,2),LEFT(Demographics[[#This Row],[DOB - Fixed]],2))))/365,0)</f>
        <v>36.0027397260274</v>
      </c>
      <c r="J495">
        <f>VLOOKUP(Demographics[[#This Row],[INCOME LEVEL]],Income[],4,FALSE)</f>
        <v>1397.5</v>
      </c>
      <c r="K495">
        <f>IFERROR(Demographics[[#This Row],[Total monthly income]]/Demographics[[#This Row],[FAMILY SIZE]], 0)</f>
        <v>279.5</v>
      </c>
    </row>
    <row r="496" spans="1:11" x14ac:dyDescent="0.2">
      <c r="A496">
        <v>18272016</v>
      </c>
      <c r="B496">
        <v>14091987</v>
      </c>
      <c r="C496">
        <v>3</v>
      </c>
      <c r="D496">
        <v>1</v>
      </c>
      <c r="E496">
        <v>2</v>
      </c>
      <c r="F496">
        <v>7</v>
      </c>
      <c r="G496">
        <v>9</v>
      </c>
      <c r="H496" t="str">
        <f>IF(Demographics[[#This Row],[DOB]]&gt;10000000, TEXT(Demographics[[#This Row],[DOB]],0),CONCATENATE("0",TEXT(Demographics[[#This Row],[DOB]],0)))</f>
        <v>14091987</v>
      </c>
      <c r="I496" s="4">
        <f ca="1">IFERROR((VALUE(TODAY()-DATE(RIGHT(Demographics[[#This Row],[DOB - Fixed]],4),MID(Demographics[[#This Row],[DOB - Fixed]],3,2),LEFT(Demographics[[#This Row],[DOB - Fixed]],2))))/365,0)</f>
        <v>36.008219178082193</v>
      </c>
      <c r="J496">
        <f>VLOOKUP(Demographics[[#This Row],[INCOME LEVEL]],Income[],4,FALSE)</f>
        <v>697.5</v>
      </c>
      <c r="K496">
        <f>IFERROR(Demographics[[#This Row],[Total monthly income]]/Demographics[[#This Row],[FAMILY SIZE]], 0)</f>
        <v>232.5</v>
      </c>
    </row>
    <row r="497" spans="1:11" x14ac:dyDescent="0.2">
      <c r="A497">
        <v>19340520</v>
      </c>
      <c r="B497">
        <v>20091987</v>
      </c>
      <c r="C497">
        <v>4</v>
      </c>
      <c r="D497">
        <v>1</v>
      </c>
      <c r="E497">
        <v>1</v>
      </c>
      <c r="F497">
        <v>0</v>
      </c>
      <c r="G497">
        <v>0</v>
      </c>
      <c r="H497" t="str">
        <f>IF(Demographics[[#This Row],[DOB]]&gt;10000000, TEXT(Demographics[[#This Row],[DOB]],0),CONCATENATE("0",TEXT(Demographics[[#This Row],[DOB]],0)))</f>
        <v>20091987</v>
      </c>
      <c r="I497" s="4">
        <f ca="1">IFERROR((VALUE(TODAY()-DATE(RIGHT(Demographics[[#This Row],[DOB - Fixed]],4),MID(Demographics[[#This Row],[DOB - Fixed]],3,2),LEFT(Demographics[[#This Row],[DOB - Fixed]],2))))/365,0)</f>
        <v>35.991780821917807</v>
      </c>
      <c r="J497">
        <f>VLOOKUP(Demographics[[#This Row],[INCOME LEVEL]],Income[],4,FALSE)</f>
        <v>175</v>
      </c>
      <c r="K497">
        <f>IFERROR(Demographics[[#This Row],[Total monthly income]]/Demographics[[#This Row],[FAMILY SIZE]], 0)</f>
        <v>43.75</v>
      </c>
    </row>
    <row r="498" spans="1:11" x14ac:dyDescent="0.2">
      <c r="A498">
        <v>16236963</v>
      </c>
      <c r="B498">
        <v>25051987</v>
      </c>
      <c r="C498">
        <v>3</v>
      </c>
      <c r="D498">
        <v>1</v>
      </c>
      <c r="E498">
        <v>1</v>
      </c>
      <c r="F498">
        <v>5</v>
      </c>
      <c r="G498">
        <v>2</v>
      </c>
      <c r="H498" t="str">
        <f>IF(Demographics[[#This Row],[DOB]]&gt;10000000, TEXT(Demographics[[#This Row],[DOB]],0),CONCATENATE("0",TEXT(Demographics[[#This Row],[DOB]],0)))</f>
        <v>25051987</v>
      </c>
      <c r="I498" s="4">
        <f ca="1">IFERROR((VALUE(TODAY()-DATE(RIGHT(Demographics[[#This Row],[DOB - Fixed]],4),MID(Demographics[[#This Row],[DOB - Fixed]],3,2),LEFT(Demographics[[#This Row],[DOB - Fixed]],2))))/365,0)</f>
        <v>36.315068493150683</v>
      </c>
      <c r="J498">
        <f>VLOOKUP(Demographics[[#This Row],[INCOME LEVEL]],Income[],4,FALSE)</f>
        <v>175</v>
      </c>
      <c r="K498">
        <f>IFERROR(Demographics[[#This Row],[Total monthly income]]/Demographics[[#This Row],[FAMILY SIZE]], 0)</f>
        <v>58.333333333333336</v>
      </c>
    </row>
    <row r="499" spans="1:11" x14ac:dyDescent="0.2">
      <c r="A499">
        <v>20943070</v>
      </c>
      <c r="B499">
        <v>27091987</v>
      </c>
      <c r="C499">
        <v>6</v>
      </c>
      <c r="D499">
        <v>1</v>
      </c>
      <c r="E499">
        <v>5</v>
      </c>
      <c r="F499">
        <v>9</v>
      </c>
      <c r="G499">
        <v>7</v>
      </c>
      <c r="H499" t="str">
        <f>IF(Demographics[[#This Row],[DOB]]&gt;10000000, TEXT(Demographics[[#This Row],[DOB]],0),CONCATENATE("0",TEXT(Demographics[[#This Row],[DOB]],0)))</f>
        <v>27091987</v>
      </c>
      <c r="I499" s="4">
        <f ca="1">IFERROR((VALUE(TODAY()-DATE(RIGHT(Demographics[[#This Row],[DOB - Fixed]],4),MID(Demographics[[#This Row],[DOB - Fixed]],3,2),LEFT(Demographics[[#This Row],[DOB - Fixed]],2))))/365,0)</f>
        <v>35.972602739726028</v>
      </c>
      <c r="J499">
        <f>VLOOKUP(Demographics[[#This Row],[INCOME LEVEL]],Income[],4,FALSE)</f>
        <v>2787.5</v>
      </c>
      <c r="K499">
        <f>IFERROR(Demographics[[#This Row],[Total monthly income]]/Demographics[[#This Row],[FAMILY SIZE]], 0)</f>
        <v>464.58333333333331</v>
      </c>
    </row>
    <row r="500" spans="1:11" x14ac:dyDescent="0.2">
      <c r="A500">
        <v>5455224</v>
      </c>
      <c r="B500">
        <v>26091987</v>
      </c>
      <c r="C500">
        <v>6</v>
      </c>
      <c r="D500">
        <v>2</v>
      </c>
      <c r="E500">
        <v>4</v>
      </c>
      <c r="F500">
        <v>8</v>
      </c>
      <c r="G500">
        <v>9</v>
      </c>
      <c r="H500" t="str">
        <f>IF(Demographics[[#This Row],[DOB]]&gt;10000000, TEXT(Demographics[[#This Row],[DOB]],0),CONCATENATE("0",TEXT(Demographics[[#This Row],[DOB]],0)))</f>
        <v>26091987</v>
      </c>
      <c r="I500" s="4">
        <f ca="1">IFERROR((VALUE(TODAY()-DATE(RIGHT(Demographics[[#This Row],[DOB - Fixed]],4),MID(Demographics[[#This Row],[DOB - Fixed]],3,2),LEFT(Demographics[[#This Row],[DOB - Fixed]],2))))/365,0)</f>
        <v>35.975342465753428</v>
      </c>
      <c r="J500">
        <f>VLOOKUP(Demographics[[#This Row],[INCOME LEVEL]],Income[],4,FALSE)</f>
        <v>2100</v>
      </c>
      <c r="K500">
        <f>IFERROR(Demographics[[#This Row],[Total monthly income]]/Demographics[[#This Row],[FAMILY SIZE]], 0)</f>
        <v>350</v>
      </c>
    </row>
    <row r="501" spans="1:11" x14ac:dyDescent="0.2">
      <c r="A501">
        <v>2784775</v>
      </c>
      <c r="B501">
        <v>2091987</v>
      </c>
      <c r="C501">
        <v>4</v>
      </c>
      <c r="D501">
        <v>1</v>
      </c>
      <c r="E501">
        <v>1</v>
      </c>
      <c r="F501">
        <v>3</v>
      </c>
      <c r="G501">
        <v>2</v>
      </c>
      <c r="H501" t="str">
        <f>IF(Demographics[[#This Row],[DOB]]&gt;10000000, TEXT(Demographics[[#This Row],[DOB]],0),CONCATENATE("0",TEXT(Demographics[[#This Row],[DOB]],0)))</f>
        <v>02091987</v>
      </c>
      <c r="I501" s="4">
        <f ca="1">IFERROR((VALUE(TODAY()-DATE(RIGHT(Demographics[[#This Row],[DOB - Fixed]],4),MID(Demographics[[#This Row],[DOB - Fixed]],3,2),LEFT(Demographics[[#This Row],[DOB - Fixed]],2))))/365,0)</f>
        <v>36.041095890410958</v>
      </c>
      <c r="J501">
        <f>VLOOKUP(Demographics[[#This Row],[INCOME LEVEL]],Income[],4,FALSE)</f>
        <v>175</v>
      </c>
      <c r="K501">
        <f>IFERROR(Demographics[[#This Row],[Total monthly income]]/Demographics[[#This Row],[FAMILY SIZE]], 0)</f>
        <v>43.75</v>
      </c>
    </row>
    <row r="502" spans="1:11" x14ac:dyDescent="0.2">
      <c r="A502">
        <v>16337600</v>
      </c>
      <c r="B502">
        <v>22091987</v>
      </c>
      <c r="C502">
        <v>5</v>
      </c>
      <c r="D502">
        <v>2</v>
      </c>
      <c r="E502">
        <v>1</v>
      </c>
      <c r="F502">
        <v>5</v>
      </c>
      <c r="G502">
        <v>3</v>
      </c>
      <c r="H502" t="str">
        <f>IF(Demographics[[#This Row],[DOB]]&gt;10000000, TEXT(Demographics[[#This Row],[DOB]],0),CONCATENATE("0",TEXT(Demographics[[#This Row],[DOB]],0)))</f>
        <v>22091987</v>
      </c>
      <c r="I502" s="4">
        <f ca="1">IFERROR((VALUE(TODAY()-DATE(RIGHT(Demographics[[#This Row],[DOB - Fixed]],4),MID(Demographics[[#This Row],[DOB - Fixed]],3,2),LEFT(Demographics[[#This Row],[DOB - Fixed]],2))))/365,0)</f>
        <v>35.986301369863014</v>
      </c>
      <c r="J502">
        <f>VLOOKUP(Demographics[[#This Row],[INCOME LEVEL]],Income[],4,FALSE)</f>
        <v>175</v>
      </c>
      <c r="K502">
        <f>IFERROR(Demographics[[#This Row],[Total monthly income]]/Demographics[[#This Row],[FAMILY SIZE]], 0)</f>
        <v>35</v>
      </c>
    </row>
    <row r="503" spans="1:11" x14ac:dyDescent="0.2">
      <c r="A503">
        <v>5022106</v>
      </c>
      <c r="B503">
        <v>28091987</v>
      </c>
      <c r="C503">
        <v>5</v>
      </c>
      <c r="D503">
        <v>2</v>
      </c>
      <c r="E503">
        <v>3</v>
      </c>
      <c r="F503">
        <v>4</v>
      </c>
      <c r="G503">
        <v>9</v>
      </c>
      <c r="H503" t="str">
        <f>IF(Demographics[[#This Row],[DOB]]&gt;10000000, TEXT(Demographics[[#This Row],[DOB]],0),CONCATENATE("0",TEXT(Demographics[[#This Row],[DOB]],0)))</f>
        <v>28091987</v>
      </c>
      <c r="I503" s="4">
        <f ca="1">IFERROR((VALUE(TODAY()-DATE(RIGHT(Demographics[[#This Row],[DOB - Fixed]],4),MID(Demographics[[#This Row],[DOB - Fixed]],3,2),LEFT(Demographics[[#This Row],[DOB - Fixed]],2))))/365,0)</f>
        <v>35.969863013698628</v>
      </c>
      <c r="J503">
        <f>VLOOKUP(Demographics[[#This Row],[INCOME LEVEL]],Income[],4,FALSE)</f>
        <v>1397.5</v>
      </c>
      <c r="K503">
        <f>IFERROR(Demographics[[#This Row],[Total monthly income]]/Demographics[[#This Row],[FAMILY SIZE]], 0)</f>
        <v>279.5</v>
      </c>
    </row>
    <row r="504" spans="1:11" x14ac:dyDescent="0.2">
      <c r="A504">
        <v>9828646</v>
      </c>
      <c r="B504">
        <v>6091987</v>
      </c>
      <c r="C504">
        <v>4</v>
      </c>
      <c r="D504">
        <v>1</v>
      </c>
      <c r="E504">
        <v>4</v>
      </c>
      <c r="F504">
        <v>9</v>
      </c>
      <c r="G504">
        <v>5</v>
      </c>
      <c r="H504" t="str">
        <f>IF(Demographics[[#This Row],[DOB]]&gt;10000000, TEXT(Demographics[[#This Row],[DOB]],0),CONCATENATE("0",TEXT(Demographics[[#This Row],[DOB]],0)))</f>
        <v>06091987</v>
      </c>
      <c r="I504" s="4">
        <f ca="1">IFERROR((VALUE(TODAY()-DATE(RIGHT(Demographics[[#This Row],[DOB - Fixed]],4),MID(Demographics[[#This Row],[DOB - Fixed]],3,2),LEFT(Demographics[[#This Row],[DOB - Fixed]],2))))/365,0)</f>
        <v>36.030136986301372</v>
      </c>
      <c r="J504">
        <f>VLOOKUP(Demographics[[#This Row],[INCOME LEVEL]],Income[],4,FALSE)</f>
        <v>2100</v>
      </c>
      <c r="K504">
        <f>IFERROR(Demographics[[#This Row],[Total monthly income]]/Demographics[[#This Row],[FAMILY SIZE]], 0)</f>
        <v>525</v>
      </c>
    </row>
    <row r="505" spans="1:11" x14ac:dyDescent="0.2">
      <c r="A505">
        <v>7793186</v>
      </c>
      <c r="B505">
        <v>1101987</v>
      </c>
      <c r="C505">
        <v>4</v>
      </c>
      <c r="D505">
        <v>2</v>
      </c>
      <c r="E505">
        <v>2</v>
      </c>
      <c r="F505">
        <v>9</v>
      </c>
      <c r="G505">
        <v>7</v>
      </c>
      <c r="H505" t="str">
        <f>IF(Demographics[[#This Row],[DOB]]&gt;10000000, TEXT(Demographics[[#This Row],[DOB]],0),CONCATENATE("0",TEXT(Demographics[[#This Row],[DOB]],0)))</f>
        <v>01101987</v>
      </c>
      <c r="I505" s="4">
        <f ca="1">IFERROR((VALUE(TODAY()-DATE(RIGHT(Demographics[[#This Row],[DOB - Fixed]],4),MID(Demographics[[#This Row],[DOB - Fixed]],3,2),LEFT(Demographics[[#This Row],[DOB - Fixed]],2))))/365,0)</f>
        <v>35.961643835616435</v>
      </c>
      <c r="J505">
        <f>VLOOKUP(Demographics[[#This Row],[INCOME LEVEL]],Income[],4,FALSE)</f>
        <v>697.5</v>
      </c>
      <c r="K505">
        <f>IFERROR(Demographics[[#This Row],[Total monthly income]]/Demographics[[#This Row],[FAMILY SIZE]], 0)</f>
        <v>174.375</v>
      </c>
    </row>
    <row r="506" spans="1:11" x14ac:dyDescent="0.2">
      <c r="A506">
        <v>16771283</v>
      </c>
      <c r="B506">
        <v>14091987</v>
      </c>
      <c r="C506">
        <v>6</v>
      </c>
      <c r="D506">
        <v>1</v>
      </c>
      <c r="E506">
        <v>2</v>
      </c>
      <c r="F506">
        <v>5</v>
      </c>
      <c r="G506">
        <v>5</v>
      </c>
      <c r="H506" t="str">
        <f>IF(Demographics[[#This Row],[DOB]]&gt;10000000, TEXT(Demographics[[#This Row],[DOB]],0),CONCATENATE("0",TEXT(Demographics[[#This Row],[DOB]],0)))</f>
        <v>14091987</v>
      </c>
      <c r="I506" s="4">
        <f ca="1">IFERROR((VALUE(TODAY()-DATE(RIGHT(Demographics[[#This Row],[DOB - Fixed]],4),MID(Demographics[[#This Row],[DOB - Fixed]],3,2),LEFT(Demographics[[#This Row],[DOB - Fixed]],2))))/365,0)</f>
        <v>36.008219178082193</v>
      </c>
      <c r="J506">
        <f>VLOOKUP(Demographics[[#This Row],[INCOME LEVEL]],Income[],4,FALSE)</f>
        <v>697.5</v>
      </c>
      <c r="K506">
        <f>IFERROR(Demographics[[#This Row],[Total monthly income]]/Demographics[[#This Row],[FAMILY SIZE]], 0)</f>
        <v>116.25</v>
      </c>
    </row>
    <row r="507" spans="1:11" x14ac:dyDescent="0.2">
      <c r="A507">
        <v>19976205</v>
      </c>
      <c r="B507">
        <v>5101987</v>
      </c>
      <c r="C507">
        <v>4</v>
      </c>
      <c r="D507">
        <v>1</v>
      </c>
      <c r="E507">
        <v>1</v>
      </c>
      <c r="F507">
        <v>8</v>
      </c>
      <c r="G507">
        <v>9</v>
      </c>
      <c r="H507" t="str">
        <f>IF(Demographics[[#This Row],[DOB]]&gt;10000000, TEXT(Demographics[[#This Row],[DOB]],0),CONCATENATE("0",TEXT(Demographics[[#This Row],[DOB]],0)))</f>
        <v>05101987</v>
      </c>
      <c r="I507" s="4">
        <f ca="1">IFERROR((VALUE(TODAY()-DATE(RIGHT(Demographics[[#This Row],[DOB - Fixed]],4),MID(Demographics[[#This Row],[DOB - Fixed]],3,2),LEFT(Demographics[[#This Row],[DOB - Fixed]],2))))/365,0)</f>
        <v>35.950684931506849</v>
      </c>
      <c r="J507">
        <f>VLOOKUP(Demographics[[#This Row],[INCOME LEVEL]],Income[],4,FALSE)</f>
        <v>175</v>
      </c>
      <c r="K507">
        <f>IFERROR(Demographics[[#This Row],[Total monthly income]]/Demographics[[#This Row],[FAMILY SIZE]], 0)</f>
        <v>43.75</v>
      </c>
    </row>
    <row r="508" spans="1:11" x14ac:dyDescent="0.2">
      <c r="A508">
        <v>8226577</v>
      </c>
      <c r="B508">
        <v>3081987</v>
      </c>
      <c r="C508">
        <v>0</v>
      </c>
      <c r="D508">
        <v>0</v>
      </c>
      <c r="E508">
        <v>6</v>
      </c>
      <c r="F508">
        <v>0</v>
      </c>
      <c r="G508">
        <v>0</v>
      </c>
      <c r="H508" t="str">
        <f>IF(Demographics[[#This Row],[DOB]]&gt;10000000, TEXT(Demographics[[#This Row],[DOB]],0),CONCATENATE("0",TEXT(Demographics[[#This Row],[DOB]],0)))</f>
        <v>03081987</v>
      </c>
      <c r="I508" s="4">
        <f ca="1">IFERROR((VALUE(TODAY()-DATE(RIGHT(Demographics[[#This Row],[DOB - Fixed]],4),MID(Demographics[[#This Row],[DOB - Fixed]],3,2),LEFT(Demographics[[#This Row],[DOB - Fixed]],2))))/365,0)</f>
        <v>36.123287671232873</v>
      </c>
      <c r="J508">
        <f>VLOOKUP(Demographics[[#This Row],[INCOME LEVEL]],Income[],4,FALSE)</f>
        <v>4000</v>
      </c>
      <c r="K508">
        <f>IFERROR(Demographics[[#This Row],[Total monthly income]]/Demographics[[#This Row],[FAMILY SIZE]], 0)</f>
        <v>0</v>
      </c>
    </row>
    <row r="509" spans="1:11" x14ac:dyDescent="0.2">
      <c r="A509">
        <v>4386656</v>
      </c>
      <c r="B509">
        <v>2101987</v>
      </c>
      <c r="C509">
        <v>5</v>
      </c>
      <c r="D509">
        <v>2</v>
      </c>
      <c r="E509">
        <v>1</v>
      </c>
      <c r="F509">
        <v>5</v>
      </c>
      <c r="G509">
        <v>5</v>
      </c>
      <c r="H509" t="str">
        <f>IF(Demographics[[#This Row],[DOB]]&gt;10000000, TEXT(Demographics[[#This Row],[DOB]],0),CONCATENATE("0",TEXT(Demographics[[#This Row],[DOB]],0)))</f>
        <v>02101987</v>
      </c>
      <c r="I509" s="4">
        <f ca="1">IFERROR((VALUE(TODAY()-DATE(RIGHT(Demographics[[#This Row],[DOB - Fixed]],4),MID(Demographics[[#This Row],[DOB - Fixed]],3,2),LEFT(Demographics[[#This Row],[DOB - Fixed]],2))))/365,0)</f>
        <v>35.958904109589042</v>
      </c>
      <c r="J509">
        <f>VLOOKUP(Demographics[[#This Row],[INCOME LEVEL]],Income[],4,FALSE)</f>
        <v>175</v>
      </c>
      <c r="K509">
        <f>IFERROR(Demographics[[#This Row],[Total monthly income]]/Demographics[[#This Row],[FAMILY SIZE]], 0)</f>
        <v>35</v>
      </c>
    </row>
    <row r="510" spans="1:11" x14ac:dyDescent="0.2">
      <c r="A510">
        <v>7158261</v>
      </c>
      <c r="B510">
        <v>22071987</v>
      </c>
      <c r="C510">
        <v>8</v>
      </c>
      <c r="D510">
        <v>0</v>
      </c>
      <c r="E510">
        <v>2</v>
      </c>
      <c r="F510">
        <v>0</v>
      </c>
      <c r="G510">
        <v>0</v>
      </c>
      <c r="H510" t="str">
        <f>IF(Demographics[[#This Row],[DOB]]&gt;10000000, TEXT(Demographics[[#This Row],[DOB]],0),CONCATENATE("0",TEXT(Demographics[[#This Row],[DOB]],0)))</f>
        <v>22071987</v>
      </c>
      <c r="I510" s="4">
        <f ca="1">IFERROR((VALUE(TODAY()-DATE(RIGHT(Demographics[[#This Row],[DOB - Fixed]],4),MID(Demographics[[#This Row],[DOB - Fixed]],3,2),LEFT(Demographics[[#This Row],[DOB - Fixed]],2))))/365,0)</f>
        <v>36.156164383561645</v>
      </c>
      <c r="J510">
        <f>VLOOKUP(Demographics[[#This Row],[INCOME LEVEL]],Income[],4,FALSE)</f>
        <v>697.5</v>
      </c>
      <c r="K510">
        <f>IFERROR(Demographics[[#This Row],[Total monthly income]]/Demographics[[#This Row],[FAMILY SIZE]], 0)</f>
        <v>87.1875</v>
      </c>
    </row>
    <row r="511" spans="1:11" x14ac:dyDescent="0.2">
      <c r="A511">
        <v>18272017</v>
      </c>
      <c r="B511">
        <v>8101987</v>
      </c>
      <c r="C511">
        <v>5</v>
      </c>
      <c r="D511">
        <v>2</v>
      </c>
      <c r="E511">
        <v>1</v>
      </c>
      <c r="F511">
        <v>5</v>
      </c>
      <c r="G511">
        <v>4</v>
      </c>
      <c r="H511" t="str">
        <f>IF(Demographics[[#This Row],[DOB]]&gt;10000000, TEXT(Demographics[[#This Row],[DOB]],0),CONCATENATE("0",TEXT(Demographics[[#This Row],[DOB]],0)))</f>
        <v>08101987</v>
      </c>
      <c r="I511" s="4">
        <f ca="1">IFERROR((VALUE(TODAY()-DATE(RIGHT(Demographics[[#This Row],[DOB - Fixed]],4),MID(Demographics[[#This Row],[DOB - Fixed]],3,2),LEFT(Demographics[[#This Row],[DOB - Fixed]],2))))/365,0)</f>
        <v>35.942465753424656</v>
      </c>
      <c r="J511">
        <f>VLOOKUP(Demographics[[#This Row],[INCOME LEVEL]],Income[],4,FALSE)</f>
        <v>175</v>
      </c>
      <c r="K511">
        <f>IFERROR(Demographics[[#This Row],[Total monthly income]]/Demographics[[#This Row],[FAMILY SIZE]], 0)</f>
        <v>35</v>
      </c>
    </row>
    <row r="512" spans="1:11" x14ac:dyDescent="0.2">
      <c r="A512">
        <v>1731941</v>
      </c>
      <c r="B512">
        <v>7101987</v>
      </c>
      <c r="C512">
        <v>4</v>
      </c>
      <c r="D512">
        <v>1</v>
      </c>
      <c r="E512">
        <v>4</v>
      </c>
      <c r="F512">
        <v>5</v>
      </c>
      <c r="G512">
        <v>3</v>
      </c>
      <c r="H512" t="str">
        <f>IF(Demographics[[#This Row],[DOB]]&gt;10000000, TEXT(Demographics[[#This Row],[DOB]],0),CONCATENATE("0",TEXT(Demographics[[#This Row],[DOB]],0)))</f>
        <v>07101987</v>
      </c>
      <c r="I512" s="4">
        <f ca="1">IFERROR((VALUE(TODAY()-DATE(RIGHT(Demographics[[#This Row],[DOB - Fixed]],4),MID(Demographics[[#This Row],[DOB - Fixed]],3,2),LEFT(Demographics[[#This Row],[DOB - Fixed]],2))))/365,0)</f>
        <v>35.945205479452056</v>
      </c>
      <c r="J512">
        <f>VLOOKUP(Demographics[[#This Row],[INCOME LEVEL]],Income[],4,FALSE)</f>
        <v>2100</v>
      </c>
      <c r="K512">
        <f>IFERROR(Demographics[[#This Row],[Total monthly income]]/Demographics[[#This Row],[FAMILY SIZE]], 0)</f>
        <v>525</v>
      </c>
    </row>
    <row r="513" spans="1:11" x14ac:dyDescent="0.2">
      <c r="A513">
        <v>2266328</v>
      </c>
      <c r="B513">
        <v>30091987</v>
      </c>
      <c r="C513">
        <v>3</v>
      </c>
      <c r="D513">
        <v>3</v>
      </c>
      <c r="E513">
        <v>2</v>
      </c>
      <c r="F513">
        <v>5</v>
      </c>
      <c r="G513">
        <v>3</v>
      </c>
      <c r="H513" t="str">
        <f>IF(Demographics[[#This Row],[DOB]]&gt;10000000, TEXT(Demographics[[#This Row],[DOB]],0),CONCATENATE("0",TEXT(Demographics[[#This Row],[DOB]],0)))</f>
        <v>30091987</v>
      </c>
      <c r="I513" s="4">
        <f ca="1">IFERROR((VALUE(TODAY()-DATE(RIGHT(Demographics[[#This Row],[DOB - Fixed]],4),MID(Demographics[[#This Row],[DOB - Fixed]],3,2),LEFT(Demographics[[#This Row],[DOB - Fixed]],2))))/365,0)</f>
        <v>35.964383561643835</v>
      </c>
      <c r="J513">
        <f>VLOOKUP(Demographics[[#This Row],[INCOME LEVEL]],Income[],4,FALSE)</f>
        <v>697.5</v>
      </c>
      <c r="K513">
        <f>IFERROR(Demographics[[#This Row],[Total monthly income]]/Demographics[[#This Row],[FAMILY SIZE]], 0)</f>
        <v>232.5</v>
      </c>
    </row>
    <row r="514" spans="1:11" x14ac:dyDescent="0.2">
      <c r="A514">
        <v>1197931</v>
      </c>
      <c r="B514">
        <v>14101987</v>
      </c>
      <c r="C514">
        <v>4</v>
      </c>
      <c r="D514">
        <v>1</v>
      </c>
      <c r="E514">
        <v>3</v>
      </c>
      <c r="F514">
        <v>10</v>
      </c>
      <c r="G514">
        <v>8</v>
      </c>
      <c r="H514" t="str">
        <f>IF(Demographics[[#This Row],[DOB]]&gt;10000000, TEXT(Demographics[[#This Row],[DOB]],0),CONCATENATE("0",TEXT(Demographics[[#This Row],[DOB]],0)))</f>
        <v>14101987</v>
      </c>
      <c r="I514" s="4">
        <f ca="1">IFERROR((VALUE(TODAY()-DATE(RIGHT(Demographics[[#This Row],[DOB - Fixed]],4),MID(Demographics[[#This Row],[DOB - Fixed]],3,2),LEFT(Demographics[[#This Row],[DOB - Fixed]],2))))/365,0)</f>
        <v>35.926027397260277</v>
      </c>
      <c r="J514">
        <f>VLOOKUP(Demographics[[#This Row],[INCOME LEVEL]],Income[],4,FALSE)</f>
        <v>1397.5</v>
      </c>
      <c r="K514">
        <f>IFERROR(Demographics[[#This Row],[Total monthly income]]/Demographics[[#This Row],[FAMILY SIZE]], 0)</f>
        <v>349.375</v>
      </c>
    </row>
    <row r="515" spans="1:11" x14ac:dyDescent="0.2">
      <c r="A515">
        <v>20120829</v>
      </c>
      <c r="B515">
        <v>17101987</v>
      </c>
      <c r="C515">
        <v>5</v>
      </c>
      <c r="D515">
        <v>2</v>
      </c>
      <c r="E515">
        <v>2</v>
      </c>
      <c r="F515">
        <v>9</v>
      </c>
      <c r="G515">
        <v>7</v>
      </c>
      <c r="H515" t="str">
        <f>IF(Demographics[[#This Row],[DOB]]&gt;10000000, TEXT(Demographics[[#This Row],[DOB]],0),CONCATENATE("0",TEXT(Demographics[[#This Row],[DOB]],0)))</f>
        <v>17101987</v>
      </c>
      <c r="I515" s="4">
        <f ca="1">IFERROR((VALUE(TODAY()-DATE(RIGHT(Demographics[[#This Row],[DOB - Fixed]],4),MID(Demographics[[#This Row],[DOB - Fixed]],3,2),LEFT(Demographics[[#This Row],[DOB - Fixed]],2))))/365,0)</f>
        <v>35.917808219178085</v>
      </c>
      <c r="J515">
        <f>VLOOKUP(Demographics[[#This Row],[INCOME LEVEL]],Income[],4,FALSE)</f>
        <v>697.5</v>
      </c>
      <c r="K515">
        <f>IFERROR(Demographics[[#This Row],[Total monthly income]]/Demographics[[#This Row],[FAMILY SIZE]], 0)</f>
        <v>139.5</v>
      </c>
    </row>
    <row r="516" spans="1:11" x14ac:dyDescent="0.2">
      <c r="A516">
        <v>2598038</v>
      </c>
      <c r="B516">
        <v>21091987</v>
      </c>
      <c r="C516">
        <v>3</v>
      </c>
      <c r="D516">
        <v>1</v>
      </c>
      <c r="E516">
        <v>2</v>
      </c>
      <c r="F516">
        <v>5</v>
      </c>
      <c r="G516">
        <v>9</v>
      </c>
      <c r="H516" t="str">
        <f>IF(Demographics[[#This Row],[DOB]]&gt;10000000, TEXT(Demographics[[#This Row],[DOB]],0),CONCATENATE("0",TEXT(Demographics[[#This Row],[DOB]],0)))</f>
        <v>21091987</v>
      </c>
      <c r="I516" s="4">
        <f ca="1">IFERROR((VALUE(TODAY()-DATE(RIGHT(Demographics[[#This Row],[DOB - Fixed]],4),MID(Demographics[[#This Row],[DOB - Fixed]],3,2),LEFT(Demographics[[#This Row],[DOB - Fixed]],2))))/365,0)</f>
        <v>35.989041095890414</v>
      </c>
      <c r="J516">
        <f>VLOOKUP(Demographics[[#This Row],[INCOME LEVEL]],Income[],4,FALSE)</f>
        <v>697.5</v>
      </c>
      <c r="K516">
        <f>IFERROR(Demographics[[#This Row],[Total monthly income]]/Demographics[[#This Row],[FAMILY SIZE]], 0)</f>
        <v>232.5</v>
      </c>
    </row>
    <row r="517" spans="1:11" x14ac:dyDescent="0.2">
      <c r="A517">
        <v>23324817</v>
      </c>
      <c r="B517">
        <v>23091987</v>
      </c>
      <c r="C517">
        <v>5</v>
      </c>
      <c r="D517">
        <v>1</v>
      </c>
      <c r="E517">
        <v>2</v>
      </c>
      <c r="F517">
        <v>4</v>
      </c>
      <c r="G517">
        <v>6</v>
      </c>
      <c r="H517" t="str">
        <f>IF(Demographics[[#This Row],[DOB]]&gt;10000000, TEXT(Demographics[[#This Row],[DOB]],0),CONCATENATE("0",TEXT(Demographics[[#This Row],[DOB]],0)))</f>
        <v>23091987</v>
      </c>
      <c r="I517" s="4">
        <f ca="1">IFERROR((VALUE(TODAY()-DATE(RIGHT(Demographics[[#This Row],[DOB - Fixed]],4),MID(Demographics[[#This Row],[DOB - Fixed]],3,2),LEFT(Demographics[[#This Row],[DOB - Fixed]],2))))/365,0)</f>
        <v>35.983561643835614</v>
      </c>
      <c r="J517">
        <f>VLOOKUP(Demographics[[#This Row],[INCOME LEVEL]],Income[],4,FALSE)</f>
        <v>697.5</v>
      </c>
      <c r="K517">
        <f>IFERROR(Demographics[[#This Row],[Total monthly income]]/Demographics[[#This Row],[FAMILY SIZE]], 0)</f>
        <v>139.5</v>
      </c>
    </row>
    <row r="518" spans="1:11" x14ac:dyDescent="0.2">
      <c r="A518">
        <v>7073039</v>
      </c>
      <c r="B518">
        <v>15101987</v>
      </c>
      <c r="C518">
        <v>4</v>
      </c>
      <c r="D518">
        <v>1</v>
      </c>
      <c r="E518">
        <v>3</v>
      </c>
      <c r="F518">
        <v>5</v>
      </c>
      <c r="G518">
        <v>5</v>
      </c>
      <c r="H518" t="str">
        <f>IF(Demographics[[#This Row],[DOB]]&gt;10000000, TEXT(Demographics[[#This Row],[DOB]],0),CONCATENATE("0",TEXT(Demographics[[#This Row],[DOB]],0)))</f>
        <v>15101987</v>
      </c>
      <c r="I518" s="4">
        <f ca="1">IFERROR((VALUE(TODAY()-DATE(RIGHT(Demographics[[#This Row],[DOB - Fixed]],4),MID(Demographics[[#This Row],[DOB - Fixed]],3,2),LEFT(Demographics[[#This Row],[DOB - Fixed]],2))))/365,0)</f>
        <v>35.923287671232877</v>
      </c>
      <c r="J518">
        <f>VLOOKUP(Demographics[[#This Row],[INCOME LEVEL]],Income[],4,FALSE)</f>
        <v>1397.5</v>
      </c>
      <c r="K518">
        <f>IFERROR(Demographics[[#This Row],[Total monthly income]]/Demographics[[#This Row],[FAMILY SIZE]], 0)</f>
        <v>349.375</v>
      </c>
    </row>
    <row r="519" spans="1:11" x14ac:dyDescent="0.2">
      <c r="A519">
        <v>10175920</v>
      </c>
      <c r="B519">
        <v>13101987</v>
      </c>
      <c r="C519">
        <v>7</v>
      </c>
      <c r="D519">
        <v>1</v>
      </c>
      <c r="E519">
        <v>5</v>
      </c>
      <c r="F519">
        <v>9</v>
      </c>
      <c r="G519">
        <v>7</v>
      </c>
      <c r="H519" t="str">
        <f>IF(Demographics[[#This Row],[DOB]]&gt;10000000, TEXT(Demographics[[#This Row],[DOB]],0),CONCATENATE("0",TEXT(Demographics[[#This Row],[DOB]],0)))</f>
        <v>13101987</v>
      </c>
      <c r="I519" s="4">
        <f ca="1">IFERROR((VALUE(TODAY()-DATE(RIGHT(Demographics[[#This Row],[DOB - Fixed]],4),MID(Demographics[[#This Row],[DOB - Fixed]],3,2),LEFT(Demographics[[#This Row],[DOB - Fixed]],2))))/365,0)</f>
        <v>35.92876712328767</v>
      </c>
      <c r="J519">
        <f>VLOOKUP(Demographics[[#This Row],[INCOME LEVEL]],Income[],4,FALSE)</f>
        <v>2787.5</v>
      </c>
      <c r="K519">
        <f>IFERROR(Demographics[[#This Row],[Total monthly income]]/Demographics[[#This Row],[FAMILY SIZE]], 0)</f>
        <v>398.21428571428572</v>
      </c>
    </row>
    <row r="520" spans="1:11" x14ac:dyDescent="0.2">
      <c r="A520">
        <v>3767574</v>
      </c>
      <c r="B520">
        <v>16101987</v>
      </c>
      <c r="C520">
        <v>4</v>
      </c>
      <c r="D520">
        <v>2</v>
      </c>
      <c r="E520">
        <v>1</v>
      </c>
      <c r="F520">
        <v>5</v>
      </c>
      <c r="G520">
        <v>5</v>
      </c>
      <c r="H520" t="str">
        <f>IF(Demographics[[#This Row],[DOB]]&gt;10000000, TEXT(Demographics[[#This Row],[DOB]],0),CONCATENATE("0",TEXT(Demographics[[#This Row],[DOB]],0)))</f>
        <v>16101987</v>
      </c>
      <c r="I520" s="4">
        <f ca="1">IFERROR((VALUE(TODAY()-DATE(RIGHT(Demographics[[#This Row],[DOB - Fixed]],4),MID(Demographics[[#This Row],[DOB - Fixed]],3,2),LEFT(Demographics[[#This Row],[DOB - Fixed]],2))))/365,0)</f>
        <v>35.920547945205477</v>
      </c>
      <c r="J520">
        <f>VLOOKUP(Demographics[[#This Row],[INCOME LEVEL]],Income[],4,FALSE)</f>
        <v>175</v>
      </c>
      <c r="K520">
        <f>IFERROR(Demographics[[#This Row],[Total monthly income]]/Demographics[[#This Row],[FAMILY SIZE]], 0)</f>
        <v>43.75</v>
      </c>
    </row>
    <row r="521" spans="1:11" x14ac:dyDescent="0.2">
      <c r="A521">
        <v>7060411</v>
      </c>
      <c r="B521">
        <v>3041987</v>
      </c>
      <c r="C521">
        <v>5</v>
      </c>
      <c r="D521">
        <v>2</v>
      </c>
      <c r="E521">
        <v>3</v>
      </c>
      <c r="F521">
        <v>9</v>
      </c>
      <c r="G521">
        <v>5</v>
      </c>
      <c r="H521" t="str">
        <f>IF(Demographics[[#This Row],[DOB]]&gt;10000000, TEXT(Demographics[[#This Row],[DOB]],0),CONCATENATE("0",TEXT(Demographics[[#This Row],[DOB]],0)))</f>
        <v>03041987</v>
      </c>
      <c r="I521" s="4">
        <f ca="1">IFERROR((VALUE(TODAY()-DATE(RIGHT(Demographics[[#This Row],[DOB - Fixed]],4),MID(Demographics[[#This Row],[DOB - Fixed]],3,2),LEFT(Demographics[[#This Row],[DOB - Fixed]],2))))/365,0)</f>
        <v>36.457534246575342</v>
      </c>
      <c r="J521">
        <f>VLOOKUP(Demographics[[#This Row],[INCOME LEVEL]],Income[],4,FALSE)</f>
        <v>1397.5</v>
      </c>
      <c r="K521">
        <f>IFERROR(Demographics[[#This Row],[Total monthly income]]/Demographics[[#This Row],[FAMILY SIZE]], 0)</f>
        <v>279.5</v>
      </c>
    </row>
    <row r="522" spans="1:11" x14ac:dyDescent="0.2">
      <c r="A522">
        <v>5227390</v>
      </c>
      <c r="B522">
        <v>5061987</v>
      </c>
      <c r="C522">
        <v>3</v>
      </c>
      <c r="D522">
        <v>2</v>
      </c>
      <c r="E522">
        <v>2</v>
      </c>
      <c r="F522">
        <v>5</v>
      </c>
      <c r="G522">
        <v>4</v>
      </c>
      <c r="H522" t="str">
        <f>IF(Demographics[[#This Row],[DOB]]&gt;10000000, TEXT(Demographics[[#This Row],[DOB]],0),CONCATENATE("0",TEXT(Demographics[[#This Row],[DOB]],0)))</f>
        <v>05061987</v>
      </c>
      <c r="I522" s="4">
        <f ca="1">IFERROR((VALUE(TODAY()-DATE(RIGHT(Demographics[[#This Row],[DOB - Fixed]],4),MID(Demographics[[#This Row],[DOB - Fixed]],3,2),LEFT(Demographics[[#This Row],[DOB - Fixed]],2))))/365,0)</f>
        <v>36.284931506849318</v>
      </c>
      <c r="J522">
        <f>VLOOKUP(Demographics[[#This Row],[INCOME LEVEL]],Income[],4,FALSE)</f>
        <v>697.5</v>
      </c>
      <c r="K522">
        <f>IFERROR(Demographics[[#This Row],[Total monthly income]]/Demographics[[#This Row],[FAMILY SIZE]], 0)</f>
        <v>232.5</v>
      </c>
    </row>
    <row r="523" spans="1:11" x14ac:dyDescent="0.2">
      <c r="A523">
        <v>15001562</v>
      </c>
      <c r="B523">
        <v>8081988</v>
      </c>
      <c r="C523">
        <v>4</v>
      </c>
      <c r="D523">
        <v>1</v>
      </c>
      <c r="E523">
        <v>2</v>
      </c>
      <c r="F523">
        <v>6</v>
      </c>
      <c r="G523">
        <v>4</v>
      </c>
      <c r="H523" t="str">
        <f>IF(Demographics[[#This Row],[DOB]]&gt;10000000, TEXT(Demographics[[#This Row],[DOB]],0),CONCATENATE("0",TEXT(Demographics[[#This Row],[DOB]],0)))</f>
        <v>08081988</v>
      </c>
      <c r="I523" s="4">
        <f ca="1">IFERROR((VALUE(TODAY()-DATE(RIGHT(Demographics[[#This Row],[DOB - Fixed]],4),MID(Demographics[[#This Row],[DOB - Fixed]],3,2),LEFT(Demographics[[#This Row],[DOB - Fixed]],2))))/365,0)</f>
        <v>35.106849315068494</v>
      </c>
      <c r="J523">
        <f>VLOOKUP(Demographics[[#This Row],[INCOME LEVEL]],Income[],4,FALSE)</f>
        <v>697.5</v>
      </c>
      <c r="K523">
        <f>IFERROR(Demographics[[#This Row],[Total monthly income]]/Demographics[[#This Row],[FAMILY SIZE]], 0)</f>
        <v>174.375</v>
      </c>
    </row>
    <row r="524" spans="1:11" x14ac:dyDescent="0.2">
      <c r="A524">
        <v>12534149</v>
      </c>
      <c r="B524">
        <v>18081988</v>
      </c>
      <c r="C524">
        <v>0</v>
      </c>
      <c r="D524">
        <v>0</v>
      </c>
      <c r="E524">
        <v>3</v>
      </c>
      <c r="F524">
        <v>0</v>
      </c>
      <c r="G524">
        <v>0</v>
      </c>
      <c r="H524" t="str">
        <f>IF(Demographics[[#This Row],[DOB]]&gt;10000000, TEXT(Demographics[[#This Row],[DOB]],0),CONCATENATE("0",TEXT(Demographics[[#This Row],[DOB]],0)))</f>
        <v>18081988</v>
      </c>
      <c r="I524" s="4">
        <f ca="1">IFERROR((VALUE(TODAY()-DATE(RIGHT(Demographics[[#This Row],[DOB - Fixed]],4),MID(Demographics[[#This Row],[DOB - Fixed]],3,2),LEFT(Demographics[[#This Row],[DOB - Fixed]],2))))/365,0)</f>
        <v>35.079452054794523</v>
      </c>
      <c r="J524">
        <f>VLOOKUP(Demographics[[#This Row],[INCOME LEVEL]],Income[],4,FALSE)</f>
        <v>1397.5</v>
      </c>
      <c r="K524">
        <f>IFERROR(Demographics[[#This Row],[Total monthly income]]/Demographics[[#This Row],[FAMILY SIZE]], 0)</f>
        <v>0</v>
      </c>
    </row>
    <row r="525" spans="1:11" x14ac:dyDescent="0.2">
      <c r="A525">
        <v>3455649</v>
      </c>
      <c r="B525">
        <v>9081988</v>
      </c>
      <c r="C525">
        <v>5</v>
      </c>
      <c r="D525">
        <v>1</v>
      </c>
      <c r="E525">
        <v>2</v>
      </c>
      <c r="F525">
        <v>9</v>
      </c>
      <c r="G525">
        <v>7</v>
      </c>
      <c r="H525" t="str">
        <f>IF(Demographics[[#This Row],[DOB]]&gt;10000000, TEXT(Demographics[[#This Row],[DOB]],0),CONCATENATE("0",TEXT(Demographics[[#This Row],[DOB]],0)))</f>
        <v>09081988</v>
      </c>
      <c r="I525" s="4">
        <f ca="1">IFERROR((VALUE(TODAY()-DATE(RIGHT(Demographics[[#This Row],[DOB - Fixed]],4),MID(Demographics[[#This Row],[DOB - Fixed]],3,2),LEFT(Demographics[[#This Row],[DOB - Fixed]],2))))/365,0)</f>
        <v>35.104109589041094</v>
      </c>
      <c r="J525">
        <f>VLOOKUP(Demographics[[#This Row],[INCOME LEVEL]],Income[],4,FALSE)</f>
        <v>697.5</v>
      </c>
      <c r="K525">
        <f>IFERROR(Demographics[[#This Row],[Total monthly income]]/Demographics[[#This Row],[FAMILY SIZE]], 0)</f>
        <v>139.5</v>
      </c>
    </row>
    <row r="526" spans="1:11" x14ac:dyDescent="0.2">
      <c r="A526">
        <v>250308</v>
      </c>
      <c r="B526">
        <v>24081988</v>
      </c>
      <c r="C526">
        <v>4</v>
      </c>
      <c r="D526">
        <v>2</v>
      </c>
      <c r="E526">
        <v>1</v>
      </c>
      <c r="F526">
        <v>7</v>
      </c>
      <c r="G526">
        <v>7</v>
      </c>
      <c r="H526" t="str">
        <f>IF(Demographics[[#This Row],[DOB]]&gt;10000000, TEXT(Demographics[[#This Row],[DOB]],0),CONCATENATE("0",TEXT(Demographics[[#This Row],[DOB]],0)))</f>
        <v>24081988</v>
      </c>
      <c r="I526" s="4">
        <f ca="1">IFERROR((VALUE(TODAY()-DATE(RIGHT(Demographics[[#This Row],[DOB - Fixed]],4),MID(Demographics[[#This Row],[DOB - Fixed]],3,2),LEFT(Demographics[[#This Row],[DOB - Fixed]],2))))/365,0)</f>
        <v>35.063013698630137</v>
      </c>
      <c r="J526">
        <f>VLOOKUP(Demographics[[#This Row],[INCOME LEVEL]],Income[],4,FALSE)</f>
        <v>175</v>
      </c>
      <c r="K526">
        <f>IFERROR(Demographics[[#This Row],[Total monthly income]]/Demographics[[#This Row],[FAMILY SIZE]], 0)</f>
        <v>43.75</v>
      </c>
    </row>
    <row r="527" spans="1:11" x14ac:dyDescent="0.2">
      <c r="A527">
        <v>21612966</v>
      </c>
      <c r="B527">
        <v>8081988</v>
      </c>
      <c r="C527">
        <v>5</v>
      </c>
      <c r="D527">
        <v>0</v>
      </c>
      <c r="E527">
        <v>1</v>
      </c>
      <c r="F527">
        <v>6</v>
      </c>
      <c r="G527">
        <v>4</v>
      </c>
      <c r="H527" t="str">
        <f>IF(Demographics[[#This Row],[DOB]]&gt;10000000, TEXT(Demographics[[#This Row],[DOB]],0),CONCATENATE("0",TEXT(Demographics[[#This Row],[DOB]],0)))</f>
        <v>08081988</v>
      </c>
      <c r="I527" s="4">
        <f ca="1">IFERROR((VALUE(TODAY()-DATE(RIGHT(Demographics[[#This Row],[DOB - Fixed]],4),MID(Demographics[[#This Row],[DOB - Fixed]],3,2),LEFT(Demographics[[#This Row],[DOB - Fixed]],2))))/365,0)</f>
        <v>35.106849315068494</v>
      </c>
      <c r="J527">
        <f>VLOOKUP(Demographics[[#This Row],[INCOME LEVEL]],Income[],4,FALSE)</f>
        <v>175</v>
      </c>
      <c r="K527">
        <f>IFERROR(Demographics[[#This Row],[Total monthly income]]/Demographics[[#This Row],[FAMILY SIZE]], 0)</f>
        <v>35</v>
      </c>
    </row>
    <row r="528" spans="1:11" x14ac:dyDescent="0.2">
      <c r="A528">
        <v>7523946</v>
      </c>
      <c r="B528">
        <v>28031986</v>
      </c>
      <c r="C528">
        <v>6</v>
      </c>
      <c r="D528">
        <v>2</v>
      </c>
      <c r="E528">
        <v>1</v>
      </c>
      <c r="F528">
        <v>4</v>
      </c>
      <c r="G528">
        <v>2</v>
      </c>
      <c r="H528" t="str">
        <f>IF(Demographics[[#This Row],[DOB]]&gt;10000000, TEXT(Demographics[[#This Row],[DOB]],0),CONCATENATE("0",TEXT(Demographics[[#This Row],[DOB]],0)))</f>
        <v>28031986</v>
      </c>
      <c r="I528" s="4">
        <f ca="1">IFERROR((VALUE(TODAY()-DATE(RIGHT(Demographics[[#This Row],[DOB - Fixed]],4),MID(Demographics[[#This Row],[DOB - Fixed]],3,2),LEFT(Demographics[[#This Row],[DOB - Fixed]],2))))/365,0)</f>
        <v>37.473972602739728</v>
      </c>
      <c r="J528">
        <f>VLOOKUP(Demographics[[#This Row],[INCOME LEVEL]],Income[],4,FALSE)</f>
        <v>175</v>
      </c>
      <c r="K528">
        <f>IFERROR(Demographics[[#This Row],[Total monthly income]]/Demographics[[#This Row],[FAMILY SIZE]], 0)</f>
        <v>29.166666666666668</v>
      </c>
    </row>
    <row r="529" spans="1:11" x14ac:dyDescent="0.2">
      <c r="A529">
        <v>11465521</v>
      </c>
      <c r="B529">
        <v>16121986</v>
      </c>
      <c r="C529">
        <v>10</v>
      </c>
      <c r="D529">
        <v>1</v>
      </c>
      <c r="E529">
        <v>1</v>
      </c>
      <c r="F529">
        <v>5</v>
      </c>
      <c r="G529">
        <v>7</v>
      </c>
      <c r="H529" t="str">
        <f>IF(Demographics[[#This Row],[DOB]]&gt;10000000, TEXT(Demographics[[#This Row],[DOB]],0),CONCATENATE("0",TEXT(Demographics[[#This Row],[DOB]],0)))</f>
        <v>16121986</v>
      </c>
      <c r="I529" s="4">
        <f ca="1">IFERROR((VALUE(TODAY()-DATE(RIGHT(Demographics[[#This Row],[DOB - Fixed]],4),MID(Demographics[[#This Row],[DOB - Fixed]],3,2),LEFT(Demographics[[#This Row],[DOB - Fixed]],2))))/365,0)</f>
        <v>36.753424657534246</v>
      </c>
      <c r="J529">
        <f>VLOOKUP(Demographics[[#This Row],[INCOME LEVEL]],Income[],4,FALSE)</f>
        <v>175</v>
      </c>
      <c r="K529">
        <f>IFERROR(Demographics[[#This Row],[Total monthly income]]/Demographics[[#This Row],[FAMILY SIZE]], 0)</f>
        <v>17.5</v>
      </c>
    </row>
    <row r="530" spans="1:11" x14ac:dyDescent="0.2">
      <c r="A530">
        <v>9126719</v>
      </c>
      <c r="B530">
        <v>3031987</v>
      </c>
      <c r="C530">
        <v>5</v>
      </c>
      <c r="D530">
        <v>2</v>
      </c>
      <c r="E530">
        <v>2</v>
      </c>
      <c r="F530">
        <v>9</v>
      </c>
      <c r="G530">
        <v>5</v>
      </c>
      <c r="H530" t="str">
        <f>IF(Demographics[[#This Row],[DOB]]&gt;10000000, TEXT(Demographics[[#This Row],[DOB]],0),CONCATENATE("0",TEXT(Demographics[[#This Row],[DOB]],0)))</f>
        <v>03031987</v>
      </c>
      <c r="I530" s="4">
        <f ca="1">IFERROR((VALUE(TODAY()-DATE(RIGHT(Demographics[[#This Row],[DOB - Fixed]],4),MID(Demographics[[#This Row],[DOB - Fixed]],3,2),LEFT(Demographics[[#This Row],[DOB - Fixed]],2))))/365,0)</f>
        <v>36.542465753424658</v>
      </c>
      <c r="J530">
        <f>VLOOKUP(Demographics[[#This Row],[INCOME LEVEL]],Income[],4,FALSE)</f>
        <v>697.5</v>
      </c>
      <c r="K530">
        <f>IFERROR(Demographics[[#This Row],[Total monthly income]]/Demographics[[#This Row],[FAMILY SIZE]], 0)</f>
        <v>139.5</v>
      </c>
    </row>
    <row r="531" spans="1:11" x14ac:dyDescent="0.2">
      <c r="A531">
        <v>24731336</v>
      </c>
      <c r="B531">
        <v>18051987</v>
      </c>
      <c r="C531">
        <v>3</v>
      </c>
      <c r="D531">
        <v>1</v>
      </c>
      <c r="E531">
        <v>1</v>
      </c>
      <c r="F531">
        <v>3</v>
      </c>
      <c r="G531">
        <v>3</v>
      </c>
      <c r="H531" t="str">
        <f>IF(Demographics[[#This Row],[DOB]]&gt;10000000, TEXT(Demographics[[#This Row],[DOB]],0),CONCATENATE("0",TEXT(Demographics[[#This Row],[DOB]],0)))</f>
        <v>18051987</v>
      </c>
      <c r="I531" s="4">
        <f ca="1">IFERROR((VALUE(TODAY()-DATE(RIGHT(Demographics[[#This Row],[DOB - Fixed]],4),MID(Demographics[[#This Row],[DOB - Fixed]],3,2),LEFT(Demographics[[#This Row],[DOB - Fixed]],2))))/365,0)</f>
        <v>36.334246575342469</v>
      </c>
      <c r="J531">
        <f>VLOOKUP(Demographics[[#This Row],[INCOME LEVEL]],Income[],4,FALSE)</f>
        <v>175</v>
      </c>
      <c r="K531">
        <f>IFERROR(Demographics[[#This Row],[Total monthly income]]/Demographics[[#This Row],[FAMILY SIZE]], 0)</f>
        <v>58.333333333333336</v>
      </c>
    </row>
    <row r="532" spans="1:11" x14ac:dyDescent="0.2">
      <c r="A532">
        <v>8333367</v>
      </c>
      <c r="B532">
        <v>17081987</v>
      </c>
      <c r="C532">
        <v>6</v>
      </c>
      <c r="D532">
        <v>2</v>
      </c>
      <c r="E532">
        <v>4</v>
      </c>
      <c r="F532">
        <v>8</v>
      </c>
      <c r="G532">
        <v>8</v>
      </c>
      <c r="H532" t="str">
        <f>IF(Demographics[[#This Row],[DOB]]&gt;10000000, TEXT(Demographics[[#This Row],[DOB]],0),CONCATENATE("0",TEXT(Demographics[[#This Row],[DOB]],0)))</f>
        <v>17081987</v>
      </c>
      <c r="I532" s="4">
        <f ca="1">IFERROR((VALUE(TODAY()-DATE(RIGHT(Demographics[[#This Row],[DOB - Fixed]],4),MID(Demographics[[#This Row],[DOB - Fixed]],3,2),LEFT(Demographics[[#This Row],[DOB - Fixed]],2))))/365,0)</f>
        <v>36.084931506849315</v>
      </c>
      <c r="J532">
        <f>VLOOKUP(Demographics[[#This Row],[INCOME LEVEL]],Income[],4,FALSE)</f>
        <v>2100</v>
      </c>
      <c r="K532">
        <f>IFERROR(Demographics[[#This Row],[Total monthly income]]/Demographics[[#This Row],[FAMILY SIZE]], 0)</f>
        <v>350</v>
      </c>
    </row>
    <row r="533" spans="1:11" x14ac:dyDescent="0.2">
      <c r="A533">
        <v>14207749</v>
      </c>
      <c r="B533">
        <v>2081987</v>
      </c>
      <c r="C533">
        <v>4</v>
      </c>
      <c r="D533">
        <v>2</v>
      </c>
      <c r="E533">
        <v>2</v>
      </c>
      <c r="F533">
        <v>9</v>
      </c>
      <c r="G533">
        <v>9</v>
      </c>
      <c r="H533" t="str">
        <f>IF(Demographics[[#This Row],[DOB]]&gt;10000000, TEXT(Demographics[[#This Row],[DOB]],0),CONCATENATE("0",TEXT(Demographics[[#This Row],[DOB]],0)))</f>
        <v>02081987</v>
      </c>
      <c r="I533" s="4">
        <f ca="1">IFERROR((VALUE(TODAY()-DATE(RIGHT(Demographics[[#This Row],[DOB - Fixed]],4),MID(Demographics[[#This Row],[DOB - Fixed]],3,2),LEFT(Demographics[[#This Row],[DOB - Fixed]],2))))/365,0)</f>
        <v>36.126027397260273</v>
      </c>
      <c r="J533">
        <f>VLOOKUP(Demographics[[#This Row],[INCOME LEVEL]],Income[],4,FALSE)</f>
        <v>697.5</v>
      </c>
      <c r="K533">
        <f>IFERROR(Demographics[[#This Row],[Total monthly income]]/Demographics[[#This Row],[FAMILY SIZE]], 0)</f>
        <v>174.375</v>
      </c>
    </row>
    <row r="534" spans="1:11" x14ac:dyDescent="0.2">
      <c r="A534">
        <v>4932811</v>
      </c>
      <c r="B534">
        <v>3011988</v>
      </c>
      <c r="C534">
        <v>6</v>
      </c>
      <c r="D534">
        <v>1</v>
      </c>
      <c r="E534">
        <v>1</v>
      </c>
      <c r="F534">
        <v>5</v>
      </c>
      <c r="G534">
        <v>5</v>
      </c>
      <c r="H534" t="str">
        <f>IF(Demographics[[#This Row],[DOB]]&gt;10000000, TEXT(Demographics[[#This Row],[DOB]],0),CONCATENATE("0",TEXT(Demographics[[#This Row],[DOB]],0)))</f>
        <v>03011988</v>
      </c>
      <c r="I534" s="4">
        <f ca="1">IFERROR((VALUE(TODAY()-DATE(RIGHT(Demographics[[#This Row],[DOB - Fixed]],4),MID(Demographics[[#This Row],[DOB - Fixed]],3,2),LEFT(Demographics[[#This Row],[DOB - Fixed]],2))))/365,0)</f>
        <v>35.704109589041096</v>
      </c>
      <c r="J534">
        <f>VLOOKUP(Demographics[[#This Row],[INCOME LEVEL]],Income[],4,FALSE)</f>
        <v>175</v>
      </c>
      <c r="K534">
        <f>IFERROR(Demographics[[#This Row],[Total monthly income]]/Demographics[[#This Row],[FAMILY SIZE]], 0)</f>
        <v>29.166666666666668</v>
      </c>
    </row>
    <row r="535" spans="1:11" x14ac:dyDescent="0.2">
      <c r="A535">
        <v>2176575</v>
      </c>
      <c r="B535">
        <v>16061988</v>
      </c>
      <c r="C535">
        <v>5</v>
      </c>
      <c r="D535">
        <v>2</v>
      </c>
      <c r="E535">
        <v>1</v>
      </c>
      <c r="F535">
        <v>3</v>
      </c>
      <c r="G535">
        <v>5</v>
      </c>
      <c r="H535" t="str">
        <f>IF(Demographics[[#This Row],[DOB]]&gt;10000000, TEXT(Demographics[[#This Row],[DOB]],0),CONCATENATE("0",TEXT(Demographics[[#This Row],[DOB]],0)))</f>
        <v>16061988</v>
      </c>
      <c r="I535" s="4">
        <f ca="1">IFERROR((VALUE(TODAY()-DATE(RIGHT(Demographics[[#This Row],[DOB - Fixed]],4),MID(Demographics[[#This Row],[DOB - Fixed]],3,2),LEFT(Demographics[[#This Row],[DOB - Fixed]],2))))/365,0)</f>
        <v>35.252054794520546</v>
      </c>
      <c r="J535">
        <f>VLOOKUP(Demographics[[#This Row],[INCOME LEVEL]],Income[],4,FALSE)</f>
        <v>175</v>
      </c>
      <c r="K535">
        <f>IFERROR(Demographics[[#This Row],[Total monthly income]]/Demographics[[#This Row],[FAMILY SIZE]], 0)</f>
        <v>35</v>
      </c>
    </row>
    <row r="536" spans="1:11" x14ac:dyDescent="0.2">
      <c r="A536">
        <v>23539344</v>
      </c>
      <c r="B536">
        <v>3081988</v>
      </c>
      <c r="C536">
        <v>4</v>
      </c>
      <c r="D536">
        <v>1</v>
      </c>
      <c r="E536">
        <v>1</v>
      </c>
      <c r="F536">
        <v>2</v>
      </c>
      <c r="G536">
        <v>2</v>
      </c>
      <c r="H536" t="str">
        <f>IF(Demographics[[#This Row],[DOB]]&gt;10000000, TEXT(Demographics[[#This Row],[DOB]],0),CONCATENATE("0",TEXT(Demographics[[#This Row],[DOB]],0)))</f>
        <v>03081988</v>
      </c>
      <c r="I536" s="4">
        <f ca="1">IFERROR((VALUE(TODAY()-DATE(RIGHT(Demographics[[#This Row],[DOB - Fixed]],4),MID(Demographics[[#This Row],[DOB - Fixed]],3,2),LEFT(Demographics[[#This Row],[DOB - Fixed]],2))))/365,0)</f>
        <v>35.12054794520548</v>
      </c>
      <c r="J536">
        <f>VLOOKUP(Demographics[[#This Row],[INCOME LEVEL]],Income[],4,FALSE)</f>
        <v>175</v>
      </c>
      <c r="K536">
        <f>IFERROR(Demographics[[#This Row],[Total monthly income]]/Demographics[[#This Row],[FAMILY SIZE]], 0)</f>
        <v>43.75</v>
      </c>
    </row>
    <row r="537" spans="1:11" x14ac:dyDescent="0.2">
      <c r="A537">
        <v>18834158</v>
      </c>
      <c r="B537">
        <v>7011989</v>
      </c>
      <c r="C537">
        <v>4</v>
      </c>
      <c r="D537">
        <v>1</v>
      </c>
      <c r="E537">
        <v>1</v>
      </c>
      <c r="F537">
        <v>2</v>
      </c>
      <c r="G537">
        <v>2</v>
      </c>
      <c r="H537" t="str">
        <f>IF(Demographics[[#This Row],[DOB]]&gt;10000000, TEXT(Demographics[[#This Row],[DOB]],0),CONCATENATE("0",TEXT(Demographics[[#This Row],[DOB]],0)))</f>
        <v>07011989</v>
      </c>
      <c r="I537" s="4">
        <f ca="1">IFERROR((VALUE(TODAY()-DATE(RIGHT(Demographics[[#This Row],[DOB - Fixed]],4),MID(Demographics[[#This Row],[DOB - Fixed]],3,2),LEFT(Demographics[[#This Row],[DOB - Fixed]],2))))/365,0)</f>
        <v>34.69041095890411</v>
      </c>
      <c r="J537">
        <f>VLOOKUP(Demographics[[#This Row],[INCOME LEVEL]],Income[],4,FALSE)</f>
        <v>175</v>
      </c>
      <c r="K537">
        <f>IFERROR(Demographics[[#This Row],[Total monthly income]]/Demographics[[#This Row],[FAMILY SIZE]], 0)</f>
        <v>43.75</v>
      </c>
    </row>
    <row r="538" spans="1:11" x14ac:dyDescent="0.2">
      <c r="A538">
        <v>20004027</v>
      </c>
      <c r="B538">
        <v>28121988</v>
      </c>
      <c r="C538">
        <v>4</v>
      </c>
      <c r="D538">
        <v>1</v>
      </c>
      <c r="E538">
        <v>1</v>
      </c>
      <c r="F538">
        <v>2</v>
      </c>
      <c r="G538">
        <v>2</v>
      </c>
      <c r="H538" t="str">
        <f>IF(Demographics[[#This Row],[DOB]]&gt;10000000, TEXT(Demographics[[#This Row],[DOB]],0),CONCATENATE("0",TEXT(Demographics[[#This Row],[DOB]],0)))</f>
        <v>28121988</v>
      </c>
      <c r="I538" s="4">
        <f ca="1">IFERROR((VALUE(TODAY()-DATE(RIGHT(Demographics[[#This Row],[DOB - Fixed]],4),MID(Demographics[[#This Row],[DOB - Fixed]],3,2),LEFT(Demographics[[#This Row],[DOB - Fixed]],2))))/365,0)</f>
        <v>34.717808219178082</v>
      </c>
      <c r="J538">
        <f>VLOOKUP(Demographics[[#This Row],[INCOME LEVEL]],Income[],4,FALSE)</f>
        <v>175</v>
      </c>
      <c r="K538">
        <f>IFERROR(Demographics[[#This Row],[Total monthly income]]/Demographics[[#This Row],[FAMILY SIZE]], 0)</f>
        <v>43.75</v>
      </c>
    </row>
    <row r="539" spans="1:11" x14ac:dyDescent="0.2">
      <c r="A539">
        <v>17525049</v>
      </c>
      <c r="B539">
        <v>14101987</v>
      </c>
      <c r="C539">
        <v>5</v>
      </c>
      <c r="D539">
        <v>1</v>
      </c>
      <c r="E539">
        <v>2</v>
      </c>
      <c r="F539">
        <v>9</v>
      </c>
      <c r="G539">
        <v>8</v>
      </c>
      <c r="H539" t="str">
        <f>IF(Demographics[[#This Row],[DOB]]&gt;10000000, TEXT(Demographics[[#This Row],[DOB]],0),CONCATENATE("0",TEXT(Demographics[[#This Row],[DOB]],0)))</f>
        <v>14101987</v>
      </c>
      <c r="I539" s="4">
        <f ca="1">IFERROR((VALUE(TODAY()-DATE(RIGHT(Demographics[[#This Row],[DOB - Fixed]],4),MID(Demographics[[#This Row],[DOB - Fixed]],3,2),LEFT(Demographics[[#This Row],[DOB - Fixed]],2))))/365,0)</f>
        <v>35.926027397260277</v>
      </c>
      <c r="J539">
        <f>VLOOKUP(Demographics[[#This Row],[INCOME LEVEL]],Income[],4,FALSE)</f>
        <v>697.5</v>
      </c>
      <c r="K539">
        <f>IFERROR(Demographics[[#This Row],[Total monthly income]]/Demographics[[#This Row],[FAMILY SIZE]], 0)</f>
        <v>139.5</v>
      </c>
    </row>
    <row r="540" spans="1:11" x14ac:dyDescent="0.2">
      <c r="A540">
        <v>511371</v>
      </c>
      <c r="B540">
        <v>10021987</v>
      </c>
      <c r="C540">
        <v>5</v>
      </c>
      <c r="D540">
        <v>1</v>
      </c>
      <c r="E540">
        <v>1</v>
      </c>
      <c r="F540">
        <v>4</v>
      </c>
      <c r="G540">
        <v>4</v>
      </c>
      <c r="H540" t="str">
        <f>IF(Demographics[[#This Row],[DOB]]&gt;10000000, TEXT(Demographics[[#This Row],[DOB]],0),CONCATENATE("0",TEXT(Demographics[[#This Row],[DOB]],0)))</f>
        <v>10021987</v>
      </c>
      <c r="I540" s="4">
        <f ca="1">IFERROR((VALUE(TODAY()-DATE(RIGHT(Demographics[[#This Row],[DOB - Fixed]],4),MID(Demographics[[#This Row],[DOB - Fixed]],3,2),LEFT(Demographics[[#This Row],[DOB - Fixed]],2))))/365,0)</f>
        <v>36.6</v>
      </c>
      <c r="J540">
        <f>VLOOKUP(Demographics[[#This Row],[INCOME LEVEL]],Income[],4,FALSE)</f>
        <v>175</v>
      </c>
      <c r="K540">
        <f>IFERROR(Demographics[[#This Row],[Total monthly income]]/Demographics[[#This Row],[FAMILY SIZE]], 0)</f>
        <v>35</v>
      </c>
    </row>
    <row r="541" spans="1:11" x14ac:dyDescent="0.2">
      <c r="A541">
        <v>5217612</v>
      </c>
      <c r="B541">
        <v>29121986</v>
      </c>
      <c r="C541">
        <v>5</v>
      </c>
      <c r="D541">
        <v>1</v>
      </c>
      <c r="E541">
        <v>1</v>
      </c>
      <c r="F541">
        <v>5</v>
      </c>
      <c r="G541">
        <v>3</v>
      </c>
      <c r="H541" t="str">
        <f>IF(Demographics[[#This Row],[DOB]]&gt;10000000, TEXT(Demographics[[#This Row],[DOB]],0),CONCATENATE("0",TEXT(Demographics[[#This Row],[DOB]],0)))</f>
        <v>29121986</v>
      </c>
      <c r="I541" s="4">
        <f ca="1">IFERROR((VALUE(TODAY()-DATE(RIGHT(Demographics[[#This Row],[DOB - Fixed]],4),MID(Demographics[[#This Row],[DOB - Fixed]],3,2),LEFT(Demographics[[#This Row],[DOB - Fixed]],2))))/365,0)</f>
        <v>36.717808219178082</v>
      </c>
      <c r="J541">
        <f>VLOOKUP(Demographics[[#This Row],[INCOME LEVEL]],Income[],4,FALSE)</f>
        <v>175</v>
      </c>
      <c r="K541">
        <f>IFERROR(Demographics[[#This Row],[Total monthly income]]/Demographics[[#This Row],[FAMILY SIZE]], 0)</f>
        <v>35</v>
      </c>
    </row>
    <row r="542" spans="1:11" x14ac:dyDescent="0.2">
      <c r="A542">
        <v>12059356</v>
      </c>
      <c r="B542">
        <v>23061987</v>
      </c>
      <c r="C542">
        <v>4</v>
      </c>
      <c r="D542">
        <v>1</v>
      </c>
      <c r="E542">
        <v>1</v>
      </c>
      <c r="F542">
        <v>5</v>
      </c>
      <c r="G542">
        <v>5</v>
      </c>
      <c r="H542" t="str">
        <f>IF(Demographics[[#This Row],[DOB]]&gt;10000000, TEXT(Demographics[[#This Row],[DOB]],0),CONCATENATE("0",TEXT(Demographics[[#This Row],[DOB]],0)))</f>
        <v>23061987</v>
      </c>
      <c r="I542" s="4">
        <f ca="1">IFERROR((VALUE(TODAY()-DATE(RIGHT(Demographics[[#This Row],[DOB - Fixed]],4),MID(Demographics[[#This Row],[DOB - Fixed]],3,2),LEFT(Demographics[[#This Row],[DOB - Fixed]],2))))/365,0)</f>
        <v>36.235616438356168</v>
      </c>
      <c r="J542">
        <f>VLOOKUP(Demographics[[#This Row],[INCOME LEVEL]],Income[],4,FALSE)</f>
        <v>175</v>
      </c>
      <c r="K542">
        <f>IFERROR(Demographics[[#This Row],[Total monthly income]]/Demographics[[#This Row],[FAMILY SIZE]], 0)</f>
        <v>43.75</v>
      </c>
    </row>
    <row r="543" spans="1:11" x14ac:dyDescent="0.2">
      <c r="A543">
        <v>21138170</v>
      </c>
      <c r="B543">
        <v>27081987</v>
      </c>
      <c r="C543">
        <v>6</v>
      </c>
      <c r="D543">
        <v>3</v>
      </c>
      <c r="E543">
        <v>1</v>
      </c>
      <c r="F543">
        <v>5</v>
      </c>
      <c r="G543">
        <v>3</v>
      </c>
      <c r="H543" t="str">
        <f>IF(Demographics[[#This Row],[DOB]]&gt;10000000, TEXT(Demographics[[#This Row],[DOB]],0),CONCATENATE("0",TEXT(Demographics[[#This Row],[DOB]],0)))</f>
        <v>27081987</v>
      </c>
      <c r="I543" s="4">
        <f ca="1">IFERROR((VALUE(TODAY()-DATE(RIGHT(Demographics[[#This Row],[DOB - Fixed]],4),MID(Demographics[[#This Row],[DOB - Fixed]],3,2),LEFT(Demographics[[#This Row],[DOB - Fixed]],2))))/365,0)</f>
        <v>36.057534246575344</v>
      </c>
      <c r="J543">
        <f>VLOOKUP(Demographics[[#This Row],[INCOME LEVEL]],Income[],4,FALSE)</f>
        <v>175</v>
      </c>
      <c r="K543">
        <f>IFERROR(Demographics[[#This Row],[Total monthly income]]/Demographics[[#This Row],[FAMILY SIZE]], 0)</f>
        <v>29.166666666666668</v>
      </c>
    </row>
    <row r="544" spans="1:11" x14ac:dyDescent="0.2">
      <c r="A544">
        <v>15263016</v>
      </c>
      <c r="B544">
        <v>4101987</v>
      </c>
      <c r="C544">
        <v>5</v>
      </c>
      <c r="D544">
        <v>1</v>
      </c>
      <c r="E544">
        <v>1</v>
      </c>
      <c r="F544">
        <v>5</v>
      </c>
      <c r="G544">
        <v>4</v>
      </c>
      <c r="H544" t="str">
        <f>IF(Demographics[[#This Row],[DOB]]&gt;10000000, TEXT(Demographics[[#This Row],[DOB]],0),CONCATENATE("0",TEXT(Demographics[[#This Row],[DOB]],0)))</f>
        <v>04101987</v>
      </c>
      <c r="I544" s="4">
        <f ca="1">IFERROR((VALUE(TODAY()-DATE(RIGHT(Demographics[[#This Row],[DOB - Fixed]],4),MID(Demographics[[#This Row],[DOB - Fixed]],3,2),LEFT(Demographics[[#This Row],[DOB - Fixed]],2))))/365,0)</f>
        <v>35.953424657534249</v>
      </c>
      <c r="J544">
        <f>VLOOKUP(Demographics[[#This Row],[INCOME LEVEL]],Income[],4,FALSE)</f>
        <v>175</v>
      </c>
      <c r="K544">
        <f>IFERROR(Demographics[[#This Row],[Total monthly income]]/Demographics[[#This Row],[FAMILY SIZE]], 0)</f>
        <v>35</v>
      </c>
    </row>
    <row r="545" spans="1:11" x14ac:dyDescent="0.2">
      <c r="A545">
        <v>21339985</v>
      </c>
      <c r="B545">
        <v>27111987</v>
      </c>
      <c r="C545">
        <v>5</v>
      </c>
      <c r="D545">
        <v>1</v>
      </c>
      <c r="E545">
        <v>2</v>
      </c>
      <c r="F545">
        <v>0</v>
      </c>
      <c r="G545">
        <v>2</v>
      </c>
      <c r="H545" t="str">
        <f>IF(Demographics[[#This Row],[DOB]]&gt;10000000, TEXT(Demographics[[#This Row],[DOB]],0),CONCATENATE("0",TEXT(Demographics[[#This Row],[DOB]],0)))</f>
        <v>27111987</v>
      </c>
      <c r="I545" s="4">
        <f ca="1">IFERROR((VALUE(TODAY()-DATE(RIGHT(Demographics[[#This Row],[DOB - Fixed]],4),MID(Demographics[[#This Row],[DOB - Fixed]],3,2),LEFT(Demographics[[#This Row],[DOB - Fixed]],2))))/365,0)</f>
        <v>35.805479452054797</v>
      </c>
      <c r="J545">
        <f>VLOOKUP(Demographics[[#This Row],[INCOME LEVEL]],Income[],4,FALSE)</f>
        <v>697.5</v>
      </c>
      <c r="K545">
        <f>IFERROR(Demographics[[#This Row],[Total monthly income]]/Demographics[[#This Row],[FAMILY SIZE]], 0)</f>
        <v>139.5</v>
      </c>
    </row>
    <row r="546" spans="1:11" x14ac:dyDescent="0.2">
      <c r="A546">
        <v>18567681</v>
      </c>
      <c r="B546">
        <v>18061987</v>
      </c>
      <c r="C546">
        <v>0</v>
      </c>
      <c r="D546">
        <v>0</v>
      </c>
      <c r="E546">
        <v>1</v>
      </c>
      <c r="F546">
        <v>0</v>
      </c>
      <c r="G546">
        <v>0</v>
      </c>
      <c r="H546" t="str">
        <f>IF(Demographics[[#This Row],[DOB]]&gt;10000000, TEXT(Demographics[[#This Row],[DOB]],0),CONCATENATE("0",TEXT(Demographics[[#This Row],[DOB]],0)))</f>
        <v>18061987</v>
      </c>
      <c r="I546" s="4">
        <f ca="1">IFERROR((VALUE(TODAY()-DATE(RIGHT(Demographics[[#This Row],[DOB - Fixed]],4),MID(Demographics[[#This Row],[DOB - Fixed]],3,2),LEFT(Demographics[[#This Row],[DOB - Fixed]],2))))/365,0)</f>
        <v>36.249315068493154</v>
      </c>
      <c r="J546">
        <f>VLOOKUP(Demographics[[#This Row],[INCOME LEVEL]],Income[],4,FALSE)</f>
        <v>175</v>
      </c>
      <c r="K546">
        <f>IFERROR(Demographics[[#This Row],[Total monthly income]]/Demographics[[#This Row],[FAMILY SIZE]], 0)</f>
        <v>0</v>
      </c>
    </row>
    <row r="547" spans="1:11" x14ac:dyDescent="0.2">
      <c r="A547">
        <v>5031459</v>
      </c>
      <c r="B547">
        <v>21011988</v>
      </c>
      <c r="C547">
        <v>4</v>
      </c>
      <c r="D547">
        <v>0</v>
      </c>
      <c r="E547">
        <v>1</v>
      </c>
      <c r="F547">
        <v>5</v>
      </c>
      <c r="G547">
        <v>5</v>
      </c>
      <c r="H547" t="str">
        <f>IF(Demographics[[#This Row],[DOB]]&gt;10000000, TEXT(Demographics[[#This Row],[DOB]],0),CONCATENATE("0",TEXT(Demographics[[#This Row],[DOB]],0)))</f>
        <v>21011988</v>
      </c>
      <c r="I547" s="4">
        <f ca="1">IFERROR((VALUE(TODAY()-DATE(RIGHT(Demographics[[#This Row],[DOB - Fixed]],4),MID(Demographics[[#This Row],[DOB - Fixed]],3,2),LEFT(Demographics[[#This Row],[DOB - Fixed]],2))))/365,0)</f>
        <v>35.654794520547945</v>
      </c>
      <c r="J547">
        <f>VLOOKUP(Demographics[[#This Row],[INCOME LEVEL]],Income[],4,FALSE)</f>
        <v>175</v>
      </c>
      <c r="K547">
        <f>IFERROR(Demographics[[#This Row],[Total monthly income]]/Demographics[[#This Row],[FAMILY SIZE]], 0)</f>
        <v>43.75</v>
      </c>
    </row>
    <row r="548" spans="1:11" x14ac:dyDescent="0.2">
      <c r="A548">
        <v>3963624</v>
      </c>
      <c r="B548">
        <v>11091987</v>
      </c>
      <c r="C548">
        <v>7</v>
      </c>
      <c r="D548">
        <v>1</v>
      </c>
      <c r="E548">
        <v>1</v>
      </c>
      <c r="F548">
        <v>3</v>
      </c>
      <c r="G548">
        <v>2</v>
      </c>
      <c r="H548" t="str">
        <f>IF(Demographics[[#This Row],[DOB]]&gt;10000000, TEXT(Demographics[[#This Row],[DOB]],0),CONCATENATE("0",TEXT(Demographics[[#This Row],[DOB]],0)))</f>
        <v>11091987</v>
      </c>
      <c r="I548" s="4">
        <f ca="1">IFERROR((VALUE(TODAY()-DATE(RIGHT(Demographics[[#This Row],[DOB - Fixed]],4),MID(Demographics[[#This Row],[DOB - Fixed]],3,2),LEFT(Demographics[[#This Row],[DOB - Fixed]],2))))/365,0)</f>
        <v>36.016438356164386</v>
      </c>
      <c r="J548">
        <f>VLOOKUP(Demographics[[#This Row],[INCOME LEVEL]],Income[],4,FALSE)</f>
        <v>175</v>
      </c>
      <c r="K548">
        <f>IFERROR(Demographics[[#This Row],[Total monthly income]]/Demographics[[#This Row],[FAMILY SIZE]], 0)</f>
        <v>25</v>
      </c>
    </row>
    <row r="549" spans="1:11" x14ac:dyDescent="0.2">
      <c r="A549">
        <v>20418494</v>
      </c>
      <c r="B549">
        <v>1041988</v>
      </c>
      <c r="C549">
        <v>6</v>
      </c>
      <c r="D549">
        <v>1</v>
      </c>
      <c r="E549">
        <v>1</v>
      </c>
      <c r="F549">
        <v>3</v>
      </c>
      <c r="G549">
        <v>5</v>
      </c>
      <c r="H549" t="str">
        <f>IF(Demographics[[#This Row],[DOB]]&gt;10000000, TEXT(Demographics[[#This Row],[DOB]],0),CONCATENATE("0",TEXT(Demographics[[#This Row],[DOB]],0)))</f>
        <v>01041988</v>
      </c>
      <c r="I549" s="4">
        <f ca="1">IFERROR((VALUE(TODAY()-DATE(RIGHT(Demographics[[#This Row],[DOB - Fixed]],4),MID(Demographics[[#This Row],[DOB - Fixed]],3,2),LEFT(Demographics[[#This Row],[DOB - Fixed]],2))))/365,0)</f>
        <v>35.460273972602742</v>
      </c>
      <c r="J549">
        <f>VLOOKUP(Demographics[[#This Row],[INCOME LEVEL]],Income[],4,FALSE)</f>
        <v>175</v>
      </c>
      <c r="K549">
        <f>IFERROR(Demographics[[#This Row],[Total monthly income]]/Demographics[[#This Row],[FAMILY SIZE]], 0)</f>
        <v>29.166666666666668</v>
      </c>
    </row>
    <row r="550" spans="1:11" x14ac:dyDescent="0.2">
      <c r="A550">
        <v>23622229</v>
      </c>
      <c r="B550">
        <v>3101986</v>
      </c>
      <c r="C550">
        <v>5</v>
      </c>
      <c r="D550">
        <v>1</v>
      </c>
      <c r="E550">
        <v>1</v>
      </c>
      <c r="F550">
        <v>2</v>
      </c>
      <c r="G550">
        <v>7</v>
      </c>
      <c r="H550" t="str">
        <f>IF(Demographics[[#This Row],[DOB]]&gt;10000000, TEXT(Demographics[[#This Row],[DOB]],0),CONCATENATE("0",TEXT(Demographics[[#This Row],[DOB]],0)))</f>
        <v>03101986</v>
      </c>
      <c r="I550" s="4">
        <f ca="1">IFERROR((VALUE(TODAY()-DATE(RIGHT(Demographics[[#This Row],[DOB - Fixed]],4),MID(Demographics[[#This Row],[DOB - Fixed]],3,2),LEFT(Demographics[[#This Row],[DOB - Fixed]],2))))/365,0)</f>
        <v>36.956164383561642</v>
      </c>
      <c r="J550">
        <f>VLOOKUP(Demographics[[#This Row],[INCOME LEVEL]],Income[],4,FALSE)</f>
        <v>175</v>
      </c>
      <c r="K550">
        <f>IFERROR(Demographics[[#This Row],[Total monthly income]]/Demographics[[#This Row],[FAMILY SIZE]], 0)</f>
        <v>35</v>
      </c>
    </row>
    <row r="551" spans="1:11" x14ac:dyDescent="0.2">
      <c r="A551">
        <v>878415</v>
      </c>
      <c r="B551">
        <v>23111987</v>
      </c>
      <c r="C551">
        <v>4</v>
      </c>
      <c r="D551">
        <v>2</v>
      </c>
      <c r="E551">
        <v>3</v>
      </c>
      <c r="F551">
        <v>9</v>
      </c>
      <c r="G551">
        <v>8</v>
      </c>
      <c r="H551" t="str">
        <f>IF(Demographics[[#This Row],[DOB]]&gt;10000000, TEXT(Demographics[[#This Row],[DOB]],0),CONCATENATE("0",TEXT(Demographics[[#This Row],[DOB]],0)))</f>
        <v>23111987</v>
      </c>
      <c r="I551" s="4">
        <f ca="1">IFERROR((VALUE(TODAY()-DATE(RIGHT(Demographics[[#This Row],[DOB - Fixed]],4),MID(Demographics[[#This Row],[DOB - Fixed]],3,2),LEFT(Demographics[[#This Row],[DOB - Fixed]],2))))/365,0)</f>
        <v>35.816438356164383</v>
      </c>
      <c r="J551">
        <f>VLOOKUP(Demographics[[#This Row],[INCOME LEVEL]],Income[],4,FALSE)</f>
        <v>1397.5</v>
      </c>
      <c r="K551">
        <f>IFERROR(Demographics[[#This Row],[Total monthly income]]/Demographics[[#This Row],[FAMILY SIZE]], 0)</f>
        <v>349.375</v>
      </c>
    </row>
    <row r="552" spans="1:11" x14ac:dyDescent="0.2">
      <c r="A552">
        <v>10399630</v>
      </c>
      <c r="B552">
        <v>10061988</v>
      </c>
      <c r="C552">
        <v>6</v>
      </c>
      <c r="D552">
        <v>3</v>
      </c>
      <c r="E552">
        <v>4</v>
      </c>
      <c r="F552">
        <v>9</v>
      </c>
      <c r="G552">
        <v>9</v>
      </c>
      <c r="H552" t="str">
        <f>IF(Demographics[[#This Row],[DOB]]&gt;10000000, TEXT(Demographics[[#This Row],[DOB]],0),CONCATENATE("0",TEXT(Demographics[[#This Row],[DOB]],0)))</f>
        <v>10061988</v>
      </c>
      <c r="I552" s="4">
        <f ca="1">IFERROR((VALUE(TODAY()-DATE(RIGHT(Demographics[[#This Row],[DOB - Fixed]],4),MID(Demographics[[#This Row],[DOB - Fixed]],3,2),LEFT(Demographics[[#This Row],[DOB - Fixed]],2))))/365,0)</f>
        <v>35.268493150684932</v>
      </c>
      <c r="J552">
        <f>VLOOKUP(Demographics[[#This Row],[INCOME LEVEL]],Income[],4,FALSE)</f>
        <v>2100</v>
      </c>
      <c r="K552">
        <f>IFERROR(Demographics[[#This Row],[Total monthly income]]/Demographics[[#This Row],[FAMILY SIZE]], 0)</f>
        <v>350</v>
      </c>
    </row>
    <row r="553" spans="1:11" x14ac:dyDescent="0.2">
      <c r="A553">
        <v>4167382</v>
      </c>
      <c r="B553">
        <v>10091988</v>
      </c>
      <c r="C553">
        <v>0</v>
      </c>
      <c r="D553">
        <v>0</v>
      </c>
      <c r="E553">
        <v>4</v>
      </c>
      <c r="F553">
        <v>0</v>
      </c>
      <c r="G553">
        <v>0</v>
      </c>
      <c r="H553" t="str">
        <f>IF(Demographics[[#This Row],[DOB]]&gt;10000000, TEXT(Demographics[[#This Row],[DOB]],0),CONCATENATE("0",TEXT(Demographics[[#This Row],[DOB]],0)))</f>
        <v>10091988</v>
      </c>
      <c r="I553" s="4">
        <f ca="1">IFERROR((VALUE(TODAY()-DATE(RIGHT(Demographics[[#This Row],[DOB - Fixed]],4),MID(Demographics[[#This Row],[DOB - Fixed]],3,2),LEFT(Demographics[[#This Row],[DOB - Fixed]],2))))/365,0)</f>
        <v>35.016438356164386</v>
      </c>
      <c r="J553">
        <f>VLOOKUP(Demographics[[#This Row],[INCOME LEVEL]],Income[],4,FALSE)</f>
        <v>2100</v>
      </c>
      <c r="K553">
        <f>IFERROR(Demographics[[#This Row],[Total monthly income]]/Demographics[[#This Row],[FAMILY SIZE]], 0)</f>
        <v>0</v>
      </c>
    </row>
    <row r="554" spans="1:11" x14ac:dyDescent="0.2">
      <c r="A554">
        <v>8862940</v>
      </c>
      <c r="B554">
        <v>3071986</v>
      </c>
      <c r="C554">
        <v>4</v>
      </c>
      <c r="D554">
        <v>1</v>
      </c>
      <c r="E554">
        <v>1</v>
      </c>
      <c r="F554">
        <v>2</v>
      </c>
      <c r="G554">
        <v>2</v>
      </c>
      <c r="H554" t="str">
        <f>IF(Demographics[[#This Row],[DOB]]&gt;10000000, TEXT(Demographics[[#This Row],[DOB]],0),CONCATENATE("0",TEXT(Demographics[[#This Row],[DOB]],0)))</f>
        <v>03071986</v>
      </c>
      <c r="I554" s="4">
        <f ca="1">IFERROR((VALUE(TODAY()-DATE(RIGHT(Demographics[[#This Row],[DOB - Fixed]],4),MID(Demographics[[#This Row],[DOB - Fixed]],3,2),LEFT(Demographics[[#This Row],[DOB - Fixed]],2))))/365,0)</f>
        <v>37.208219178082189</v>
      </c>
      <c r="J554">
        <f>VLOOKUP(Demographics[[#This Row],[INCOME LEVEL]],Income[],4,FALSE)</f>
        <v>175</v>
      </c>
      <c r="K554">
        <f>IFERROR(Demographics[[#This Row],[Total monthly income]]/Demographics[[#This Row],[FAMILY SIZE]], 0)</f>
        <v>43.75</v>
      </c>
    </row>
    <row r="555" spans="1:11" x14ac:dyDescent="0.2">
      <c r="A555">
        <v>16254368</v>
      </c>
      <c r="B555">
        <v>29101988</v>
      </c>
      <c r="C555">
        <v>5</v>
      </c>
      <c r="D555">
        <v>1</v>
      </c>
      <c r="E555">
        <v>1</v>
      </c>
      <c r="F555">
        <v>2</v>
      </c>
      <c r="G555">
        <v>2</v>
      </c>
      <c r="H555" t="str">
        <f>IF(Demographics[[#This Row],[DOB]]&gt;10000000, TEXT(Demographics[[#This Row],[DOB]],0),CONCATENATE("0",TEXT(Demographics[[#This Row],[DOB]],0)))</f>
        <v>29101988</v>
      </c>
      <c r="I555" s="4">
        <f ca="1">IFERROR((VALUE(TODAY()-DATE(RIGHT(Demographics[[#This Row],[DOB - Fixed]],4),MID(Demographics[[#This Row],[DOB - Fixed]],3,2),LEFT(Demographics[[#This Row],[DOB - Fixed]],2))))/365,0)</f>
        <v>34.88219178082192</v>
      </c>
      <c r="J555">
        <f>VLOOKUP(Demographics[[#This Row],[INCOME LEVEL]],Income[],4,FALSE)</f>
        <v>175</v>
      </c>
      <c r="K555">
        <f>IFERROR(Demographics[[#This Row],[Total monthly income]]/Demographics[[#This Row],[FAMILY SIZE]], 0)</f>
        <v>35</v>
      </c>
    </row>
    <row r="556" spans="1:11" x14ac:dyDescent="0.2">
      <c r="A556">
        <v>7109619</v>
      </c>
      <c r="B556">
        <v>7031987</v>
      </c>
      <c r="C556">
        <v>4</v>
      </c>
      <c r="D556">
        <v>1</v>
      </c>
      <c r="E556">
        <v>1</v>
      </c>
      <c r="F556">
        <v>5</v>
      </c>
      <c r="G556">
        <v>3</v>
      </c>
      <c r="H556" t="str">
        <f>IF(Demographics[[#This Row],[DOB]]&gt;10000000, TEXT(Demographics[[#This Row],[DOB]],0),CONCATENATE("0",TEXT(Demographics[[#This Row],[DOB]],0)))</f>
        <v>07031987</v>
      </c>
      <c r="I556" s="4">
        <f ca="1">IFERROR((VALUE(TODAY()-DATE(RIGHT(Demographics[[#This Row],[DOB - Fixed]],4),MID(Demographics[[#This Row],[DOB - Fixed]],3,2),LEFT(Demographics[[#This Row],[DOB - Fixed]],2))))/365,0)</f>
        <v>36.531506849315072</v>
      </c>
      <c r="J556">
        <f>VLOOKUP(Demographics[[#This Row],[INCOME LEVEL]],Income[],4,FALSE)</f>
        <v>175</v>
      </c>
      <c r="K556">
        <f>IFERROR(Demographics[[#This Row],[Total monthly income]]/Demographics[[#This Row],[FAMILY SIZE]], 0)</f>
        <v>43.75</v>
      </c>
    </row>
    <row r="557" spans="1:11" x14ac:dyDescent="0.2">
      <c r="A557">
        <v>22129413</v>
      </c>
      <c r="B557">
        <v>1091987</v>
      </c>
      <c r="C557">
        <v>4</v>
      </c>
      <c r="D557">
        <v>1</v>
      </c>
      <c r="E557">
        <v>2</v>
      </c>
      <c r="F557">
        <v>7</v>
      </c>
      <c r="G557">
        <v>5</v>
      </c>
      <c r="H557" t="str">
        <f>IF(Demographics[[#This Row],[DOB]]&gt;10000000, TEXT(Demographics[[#This Row],[DOB]],0),CONCATENATE("0",TEXT(Demographics[[#This Row],[DOB]],0)))</f>
        <v>01091987</v>
      </c>
      <c r="I557" s="4">
        <f ca="1">IFERROR((VALUE(TODAY()-DATE(RIGHT(Demographics[[#This Row],[DOB - Fixed]],4),MID(Demographics[[#This Row],[DOB - Fixed]],3,2),LEFT(Demographics[[#This Row],[DOB - Fixed]],2))))/365,0)</f>
        <v>36.043835616438358</v>
      </c>
      <c r="J557">
        <f>VLOOKUP(Demographics[[#This Row],[INCOME LEVEL]],Income[],4,FALSE)</f>
        <v>697.5</v>
      </c>
      <c r="K557">
        <f>IFERROR(Demographics[[#This Row],[Total monthly income]]/Demographics[[#This Row],[FAMILY SIZE]], 0)</f>
        <v>174.375</v>
      </c>
    </row>
    <row r="558" spans="1:11" x14ac:dyDescent="0.2">
      <c r="A558">
        <v>18987693</v>
      </c>
      <c r="B558">
        <v>9091987</v>
      </c>
      <c r="C558">
        <v>3</v>
      </c>
      <c r="D558">
        <v>1</v>
      </c>
      <c r="E558">
        <v>1</v>
      </c>
      <c r="F558">
        <v>7</v>
      </c>
      <c r="G558">
        <v>7</v>
      </c>
      <c r="H558" t="str">
        <f>IF(Demographics[[#This Row],[DOB]]&gt;10000000, TEXT(Demographics[[#This Row],[DOB]],0),CONCATENATE("0",TEXT(Demographics[[#This Row],[DOB]],0)))</f>
        <v>09091987</v>
      </c>
      <c r="I558" s="4">
        <f ca="1">IFERROR((VALUE(TODAY()-DATE(RIGHT(Demographics[[#This Row],[DOB - Fixed]],4),MID(Demographics[[#This Row],[DOB - Fixed]],3,2),LEFT(Demographics[[#This Row],[DOB - Fixed]],2))))/365,0)</f>
        <v>36.021917808219179</v>
      </c>
      <c r="J558">
        <f>VLOOKUP(Demographics[[#This Row],[INCOME LEVEL]],Income[],4,FALSE)</f>
        <v>175</v>
      </c>
      <c r="K558">
        <f>IFERROR(Demographics[[#This Row],[Total monthly income]]/Demographics[[#This Row],[FAMILY SIZE]], 0)</f>
        <v>58.333333333333336</v>
      </c>
    </row>
    <row r="559" spans="1:11" x14ac:dyDescent="0.2">
      <c r="A559">
        <v>11081520</v>
      </c>
      <c r="B559">
        <v>23101987</v>
      </c>
      <c r="C559">
        <v>7</v>
      </c>
      <c r="D559">
        <v>1</v>
      </c>
      <c r="E559">
        <v>1</v>
      </c>
      <c r="F559">
        <v>5</v>
      </c>
      <c r="G559">
        <v>5</v>
      </c>
      <c r="H559" t="str">
        <f>IF(Demographics[[#This Row],[DOB]]&gt;10000000, TEXT(Demographics[[#This Row],[DOB]],0),CONCATENATE("0",TEXT(Demographics[[#This Row],[DOB]],0)))</f>
        <v>23101987</v>
      </c>
      <c r="I559" s="4">
        <f ca="1">IFERROR((VALUE(TODAY()-DATE(RIGHT(Demographics[[#This Row],[DOB - Fixed]],4),MID(Demographics[[#This Row],[DOB - Fixed]],3,2),LEFT(Demographics[[#This Row],[DOB - Fixed]],2))))/365,0)</f>
        <v>35.901369863013699</v>
      </c>
      <c r="J559">
        <f>VLOOKUP(Demographics[[#This Row],[INCOME LEVEL]],Income[],4,FALSE)</f>
        <v>175</v>
      </c>
      <c r="K559">
        <f>IFERROR(Demographics[[#This Row],[Total monthly income]]/Demographics[[#This Row],[FAMILY SIZE]], 0)</f>
        <v>25</v>
      </c>
    </row>
    <row r="560" spans="1:11" x14ac:dyDescent="0.2">
      <c r="A560">
        <v>17145855</v>
      </c>
      <c r="B560">
        <v>19111987</v>
      </c>
      <c r="C560">
        <v>4</v>
      </c>
      <c r="D560">
        <v>2</v>
      </c>
      <c r="E560">
        <v>2</v>
      </c>
      <c r="F560">
        <v>5</v>
      </c>
      <c r="G560">
        <v>7</v>
      </c>
      <c r="H560" t="str">
        <f>IF(Demographics[[#This Row],[DOB]]&gt;10000000, TEXT(Demographics[[#This Row],[DOB]],0),CONCATENATE("0",TEXT(Demographics[[#This Row],[DOB]],0)))</f>
        <v>19111987</v>
      </c>
      <c r="I560" s="4">
        <f ca="1">IFERROR((VALUE(TODAY()-DATE(RIGHT(Demographics[[#This Row],[DOB - Fixed]],4),MID(Demographics[[#This Row],[DOB - Fixed]],3,2),LEFT(Demographics[[#This Row],[DOB - Fixed]],2))))/365,0)</f>
        <v>35.827397260273976</v>
      </c>
      <c r="J560">
        <f>VLOOKUP(Demographics[[#This Row],[INCOME LEVEL]],Income[],4,FALSE)</f>
        <v>697.5</v>
      </c>
      <c r="K560">
        <f>IFERROR(Demographics[[#This Row],[Total monthly income]]/Demographics[[#This Row],[FAMILY SIZE]], 0)</f>
        <v>174.375</v>
      </c>
    </row>
    <row r="561" spans="1:11" x14ac:dyDescent="0.2">
      <c r="A561">
        <v>21961882</v>
      </c>
      <c r="B561">
        <v>4091986</v>
      </c>
      <c r="C561">
        <v>5</v>
      </c>
      <c r="D561">
        <v>1</v>
      </c>
      <c r="E561">
        <v>1</v>
      </c>
      <c r="F561">
        <v>9</v>
      </c>
      <c r="G561">
        <v>9</v>
      </c>
      <c r="H561" t="str">
        <f>IF(Demographics[[#This Row],[DOB]]&gt;10000000, TEXT(Demographics[[#This Row],[DOB]],0),CONCATENATE("0",TEXT(Demographics[[#This Row],[DOB]],0)))</f>
        <v>04091986</v>
      </c>
      <c r="I561" s="4">
        <f ca="1">IFERROR((VALUE(TODAY()-DATE(RIGHT(Demographics[[#This Row],[DOB - Fixed]],4),MID(Demographics[[#This Row],[DOB - Fixed]],3,2),LEFT(Demographics[[#This Row],[DOB - Fixed]],2))))/365,0)</f>
        <v>37.035616438356165</v>
      </c>
      <c r="J561">
        <f>VLOOKUP(Demographics[[#This Row],[INCOME LEVEL]],Income[],4,FALSE)</f>
        <v>175</v>
      </c>
      <c r="K561">
        <f>IFERROR(Demographics[[#This Row],[Total monthly income]]/Demographics[[#This Row],[FAMILY SIZE]], 0)</f>
        <v>35</v>
      </c>
    </row>
    <row r="562" spans="1:11" x14ac:dyDescent="0.2">
      <c r="A562">
        <v>9119038</v>
      </c>
      <c r="B562">
        <v>16081987</v>
      </c>
      <c r="C562">
        <v>5</v>
      </c>
      <c r="D562">
        <v>1</v>
      </c>
      <c r="E562">
        <v>1</v>
      </c>
      <c r="F562">
        <v>5</v>
      </c>
      <c r="G562">
        <v>5</v>
      </c>
      <c r="H562" t="str">
        <f>IF(Demographics[[#This Row],[DOB]]&gt;10000000, TEXT(Demographics[[#This Row],[DOB]],0),CONCATENATE("0",TEXT(Demographics[[#This Row],[DOB]],0)))</f>
        <v>16081987</v>
      </c>
      <c r="I562" s="4">
        <f ca="1">IFERROR((VALUE(TODAY()-DATE(RIGHT(Demographics[[#This Row],[DOB - Fixed]],4),MID(Demographics[[#This Row],[DOB - Fixed]],3,2),LEFT(Demographics[[#This Row],[DOB - Fixed]],2))))/365,0)</f>
        <v>36.087671232876716</v>
      </c>
      <c r="J562">
        <f>VLOOKUP(Demographics[[#This Row],[INCOME LEVEL]],Income[],4,FALSE)</f>
        <v>175</v>
      </c>
      <c r="K562">
        <f>IFERROR(Demographics[[#This Row],[Total monthly income]]/Demographics[[#This Row],[FAMILY SIZE]], 0)</f>
        <v>35</v>
      </c>
    </row>
    <row r="563" spans="1:11" x14ac:dyDescent="0.2">
      <c r="A563">
        <v>23787431</v>
      </c>
      <c r="B563">
        <v>6121987</v>
      </c>
      <c r="C563">
        <v>4</v>
      </c>
      <c r="D563">
        <v>1</v>
      </c>
      <c r="E563">
        <v>1</v>
      </c>
      <c r="F563">
        <v>7</v>
      </c>
      <c r="G563">
        <v>7</v>
      </c>
      <c r="H563" t="str">
        <f>IF(Demographics[[#This Row],[DOB]]&gt;10000000, TEXT(Demographics[[#This Row],[DOB]],0),CONCATENATE("0",TEXT(Demographics[[#This Row],[DOB]],0)))</f>
        <v>06121987</v>
      </c>
      <c r="I563" s="4">
        <f ca="1">IFERROR((VALUE(TODAY()-DATE(RIGHT(Demographics[[#This Row],[DOB - Fixed]],4),MID(Demographics[[#This Row],[DOB - Fixed]],3,2),LEFT(Demographics[[#This Row],[DOB - Fixed]],2))))/365,0)</f>
        <v>35.780821917808218</v>
      </c>
      <c r="J563">
        <f>VLOOKUP(Demographics[[#This Row],[INCOME LEVEL]],Income[],4,FALSE)</f>
        <v>175</v>
      </c>
      <c r="K563">
        <f>IFERROR(Demographics[[#This Row],[Total monthly income]]/Demographics[[#This Row],[FAMILY SIZE]], 0)</f>
        <v>43.75</v>
      </c>
    </row>
    <row r="564" spans="1:11" x14ac:dyDescent="0.2">
      <c r="A564">
        <v>18651451</v>
      </c>
      <c r="B564">
        <v>1121987</v>
      </c>
      <c r="C564">
        <v>3</v>
      </c>
      <c r="D564">
        <v>2</v>
      </c>
      <c r="E564">
        <v>3</v>
      </c>
      <c r="F564">
        <v>10</v>
      </c>
      <c r="G564">
        <v>9</v>
      </c>
      <c r="H564" t="str">
        <f>IF(Demographics[[#This Row],[DOB]]&gt;10000000, TEXT(Demographics[[#This Row],[DOB]],0),CONCATENATE("0",TEXT(Demographics[[#This Row],[DOB]],0)))</f>
        <v>01121987</v>
      </c>
      <c r="I564" s="4">
        <f ca="1">IFERROR((VALUE(TODAY()-DATE(RIGHT(Demographics[[#This Row],[DOB - Fixed]],4),MID(Demographics[[#This Row],[DOB - Fixed]],3,2),LEFT(Demographics[[#This Row],[DOB - Fixed]],2))))/365,0)</f>
        <v>35.794520547945204</v>
      </c>
      <c r="J564">
        <f>VLOOKUP(Demographics[[#This Row],[INCOME LEVEL]],Income[],4,FALSE)</f>
        <v>1397.5</v>
      </c>
      <c r="K564">
        <f>IFERROR(Demographics[[#This Row],[Total monthly income]]/Demographics[[#This Row],[FAMILY SIZE]], 0)</f>
        <v>465.83333333333331</v>
      </c>
    </row>
    <row r="565" spans="1:11" x14ac:dyDescent="0.2">
      <c r="A565">
        <v>17656279</v>
      </c>
      <c r="B565">
        <v>19061987</v>
      </c>
      <c r="C565">
        <v>3</v>
      </c>
      <c r="D565">
        <v>1</v>
      </c>
      <c r="E565">
        <v>1</v>
      </c>
      <c r="F565">
        <v>4</v>
      </c>
      <c r="G565">
        <v>3</v>
      </c>
      <c r="H565" t="str">
        <f>IF(Demographics[[#This Row],[DOB]]&gt;10000000, TEXT(Demographics[[#This Row],[DOB]],0),CONCATENATE("0",TEXT(Demographics[[#This Row],[DOB]],0)))</f>
        <v>19061987</v>
      </c>
      <c r="I565" s="4">
        <f ca="1">IFERROR((VALUE(TODAY()-DATE(RIGHT(Demographics[[#This Row],[DOB - Fixed]],4),MID(Demographics[[#This Row],[DOB - Fixed]],3,2),LEFT(Demographics[[#This Row],[DOB - Fixed]],2))))/365,0)</f>
        <v>36.246575342465754</v>
      </c>
      <c r="J565">
        <f>VLOOKUP(Demographics[[#This Row],[INCOME LEVEL]],Income[],4,FALSE)</f>
        <v>175</v>
      </c>
      <c r="K565">
        <f>IFERROR(Demographics[[#This Row],[Total monthly income]]/Demographics[[#This Row],[FAMILY SIZE]], 0)</f>
        <v>58.333333333333336</v>
      </c>
    </row>
    <row r="566" spans="1:11" x14ac:dyDescent="0.2">
      <c r="A566">
        <v>7824638</v>
      </c>
      <c r="B566">
        <v>8121987</v>
      </c>
      <c r="C566">
        <v>5</v>
      </c>
      <c r="D566">
        <v>1</v>
      </c>
      <c r="E566">
        <v>2</v>
      </c>
      <c r="F566">
        <v>5</v>
      </c>
      <c r="G566">
        <v>2</v>
      </c>
      <c r="H566" t="str">
        <f>IF(Demographics[[#This Row],[DOB]]&gt;10000000, TEXT(Demographics[[#This Row],[DOB]],0),CONCATENATE("0",TEXT(Demographics[[#This Row],[DOB]],0)))</f>
        <v>08121987</v>
      </c>
      <c r="I566" s="4">
        <f ca="1">IFERROR((VALUE(TODAY()-DATE(RIGHT(Demographics[[#This Row],[DOB - Fixed]],4),MID(Demographics[[#This Row],[DOB - Fixed]],3,2),LEFT(Demographics[[#This Row],[DOB - Fixed]],2))))/365,0)</f>
        <v>35.775342465753425</v>
      </c>
      <c r="J566">
        <f>VLOOKUP(Demographics[[#This Row],[INCOME LEVEL]],Income[],4,FALSE)</f>
        <v>697.5</v>
      </c>
      <c r="K566">
        <f>IFERROR(Demographics[[#This Row],[Total monthly income]]/Demographics[[#This Row],[FAMILY SIZE]], 0)</f>
        <v>139.5</v>
      </c>
    </row>
    <row r="567" spans="1:11" x14ac:dyDescent="0.2">
      <c r="A567">
        <v>20314408</v>
      </c>
      <c r="B567">
        <v>11121987</v>
      </c>
      <c r="C567">
        <v>4</v>
      </c>
      <c r="D567">
        <v>1</v>
      </c>
      <c r="E567">
        <v>2</v>
      </c>
      <c r="F567">
        <v>5</v>
      </c>
      <c r="G567">
        <v>5</v>
      </c>
      <c r="H567" t="str">
        <f>IF(Demographics[[#This Row],[DOB]]&gt;10000000, TEXT(Demographics[[#This Row],[DOB]],0),CONCATENATE("0",TEXT(Demographics[[#This Row],[DOB]],0)))</f>
        <v>11121987</v>
      </c>
      <c r="I567" s="4">
        <f ca="1">IFERROR((VALUE(TODAY()-DATE(RIGHT(Demographics[[#This Row],[DOB - Fixed]],4),MID(Demographics[[#This Row],[DOB - Fixed]],3,2),LEFT(Demographics[[#This Row],[DOB - Fixed]],2))))/365,0)</f>
        <v>35.767123287671232</v>
      </c>
      <c r="J567">
        <f>VLOOKUP(Demographics[[#This Row],[INCOME LEVEL]],Income[],4,FALSE)</f>
        <v>697.5</v>
      </c>
      <c r="K567">
        <f>IFERROR(Demographics[[#This Row],[Total monthly income]]/Demographics[[#This Row],[FAMILY SIZE]], 0)</f>
        <v>174.375</v>
      </c>
    </row>
    <row r="568" spans="1:11" x14ac:dyDescent="0.2">
      <c r="A568">
        <v>23724430</v>
      </c>
      <c r="B568">
        <v>7111987</v>
      </c>
      <c r="C568">
        <v>5</v>
      </c>
      <c r="D568">
        <v>1</v>
      </c>
      <c r="E568">
        <v>3</v>
      </c>
      <c r="F568">
        <v>9</v>
      </c>
      <c r="G568">
        <v>9</v>
      </c>
      <c r="H568" t="str">
        <f>IF(Demographics[[#This Row],[DOB]]&gt;10000000, TEXT(Demographics[[#This Row],[DOB]],0),CONCATENATE("0",TEXT(Demographics[[#This Row],[DOB]],0)))</f>
        <v>07111987</v>
      </c>
      <c r="I568" s="4">
        <f ca="1">IFERROR((VALUE(TODAY()-DATE(RIGHT(Demographics[[#This Row],[DOB - Fixed]],4),MID(Demographics[[#This Row],[DOB - Fixed]],3,2),LEFT(Demographics[[#This Row],[DOB - Fixed]],2))))/365,0)</f>
        <v>35.860273972602741</v>
      </c>
      <c r="J568">
        <f>VLOOKUP(Demographics[[#This Row],[INCOME LEVEL]],Income[],4,FALSE)</f>
        <v>1397.5</v>
      </c>
      <c r="K568">
        <f>IFERROR(Demographics[[#This Row],[Total monthly income]]/Demographics[[#This Row],[FAMILY SIZE]], 0)</f>
        <v>279.5</v>
      </c>
    </row>
    <row r="569" spans="1:11" x14ac:dyDescent="0.2">
      <c r="A569">
        <v>3329433</v>
      </c>
      <c r="B569">
        <v>9011988</v>
      </c>
      <c r="C569">
        <v>3</v>
      </c>
      <c r="D569">
        <v>1</v>
      </c>
      <c r="E569">
        <v>2</v>
      </c>
      <c r="F569">
        <v>5</v>
      </c>
      <c r="G569">
        <v>9</v>
      </c>
      <c r="H569" t="str">
        <f>IF(Demographics[[#This Row],[DOB]]&gt;10000000, TEXT(Demographics[[#This Row],[DOB]],0),CONCATENATE("0",TEXT(Demographics[[#This Row],[DOB]],0)))</f>
        <v>09011988</v>
      </c>
      <c r="I569" s="4">
        <f ca="1">IFERROR((VALUE(TODAY()-DATE(RIGHT(Demographics[[#This Row],[DOB - Fixed]],4),MID(Demographics[[#This Row],[DOB - Fixed]],3,2),LEFT(Demographics[[#This Row],[DOB - Fixed]],2))))/365,0)</f>
        <v>35.68767123287671</v>
      </c>
      <c r="J569">
        <f>VLOOKUP(Demographics[[#This Row],[INCOME LEVEL]],Income[],4,FALSE)</f>
        <v>697.5</v>
      </c>
      <c r="K569">
        <f>IFERROR(Demographics[[#This Row],[Total monthly income]]/Demographics[[#This Row],[FAMILY SIZE]], 0)</f>
        <v>232.5</v>
      </c>
    </row>
    <row r="570" spans="1:11" x14ac:dyDescent="0.2">
      <c r="A570">
        <v>9582165</v>
      </c>
      <c r="B570">
        <v>29081986</v>
      </c>
      <c r="C570">
        <v>5</v>
      </c>
      <c r="D570">
        <v>1</v>
      </c>
      <c r="E570">
        <v>1</v>
      </c>
      <c r="F570">
        <v>5</v>
      </c>
      <c r="G570">
        <v>4</v>
      </c>
      <c r="H570" t="str">
        <f>IF(Demographics[[#This Row],[DOB]]&gt;10000000, TEXT(Demographics[[#This Row],[DOB]],0),CONCATENATE("0",TEXT(Demographics[[#This Row],[DOB]],0)))</f>
        <v>29081986</v>
      </c>
      <c r="I570" s="4">
        <f ca="1">IFERROR((VALUE(TODAY()-DATE(RIGHT(Demographics[[#This Row],[DOB - Fixed]],4),MID(Demographics[[#This Row],[DOB - Fixed]],3,2),LEFT(Demographics[[#This Row],[DOB - Fixed]],2))))/365,0)</f>
        <v>37.052054794520551</v>
      </c>
      <c r="J570">
        <f>VLOOKUP(Demographics[[#This Row],[INCOME LEVEL]],Income[],4,FALSE)</f>
        <v>175</v>
      </c>
      <c r="K570">
        <f>IFERROR(Demographics[[#This Row],[Total monthly income]]/Demographics[[#This Row],[FAMILY SIZE]], 0)</f>
        <v>35</v>
      </c>
    </row>
    <row r="571" spans="1:11" x14ac:dyDescent="0.2">
      <c r="A571">
        <v>7000538</v>
      </c>
      <c r="B571">
        <v>4021987</v>
      </c>
      <c r="C571">
        <v>6</v>
      </c>
      <c r="D571">
        <v>2</v>
      </c>
      <c r="E571">
        <v>2</v>
      </c>
      <c r="F571">
        <v>8</v>
      </c>
      <c r="G571">
        <v>9</v>
      </c>
      <c r="H571" t="str">
        <f>IF(Demographics[[#This Row],[DOB]]&gt;10000000, TEXT(Demographics[[#This Row],[DOB]],0),CONCATENATE("0",TEXT(Demographics[[#This Row],[DOB]],0)))</f>
        <v>04021987</v>
      </c>
      <c r="I571" s="4">
        <f ca="1">IFERROR((VALUE(TODAY()-DATE(RIGHT(Demographics[[#This Row],[DOB - Fixed]],4),MID(Demographics[[#This Row],[DOB - Fixed]],3,2),LEFT(Demographics[[#This Row],[DOB - Fixed]],2))))/365,0)</f>
        <v>36.61643835616438</v>
      </c>
      <c r="J571">
        <f>VLOOKUP(Demographics[[#This Row],[INCOME LEVEL]],Income[],4,FALSE)</f>
        <v>697.5</v>
      </c>
      <c r="K571">
        <f>IFERROR(Demographics[[#This Row],[Total monthly income]]/Demographics[[#This Row],[FAMILY SIZE]], 0)</f>
        <v>116.25</v>
      </c>
    </row>
    <row r="572" spans="1:11" x14ac:dyDescent="0.2">
      <c r="A572">
        <v>1501418</v>
      </c>
      <c r="B572">
        <v>5031987</v>
      </c>
      <c r="C572">
        <v>5</v>
      </c>
      <c r="D572">
        <v>1</v>
      </c>
      <c r="E572">
        <v>3</v>
      </c>
      <c r="F572">
        <v>9</v>
      </c>
      <c r="G572">
        <v>7</v>
      </c>
      <c r="H572" t="str">
        <f>IF(Demographics[[#This Row],[DOB]]&gt;10000000, TEXT(Demographics[[#This Row],[DOB]],0),CONCATENATE("0",TEXT(Demographics[[#This Row],[DOB]],0)))</f>
        <v>05031987</v>
      </c>
      <c r="I572" s="4">
        <f ca="1">IFERROR((VALUE(TODAY()-DATE(RIGHT(Demographics[[#This Row],[DOB - Fixed]],4),MID(Demographics[[#This Row],[DOB - Fixed]],3,2),LEFT(Demographics[[#This Row],[DOB - Fixed]],2))))/365,0)</f>
        <v>36.536986301369865</v>
      </c>
      <c r="J572">
        <f>VLOOKUP(Demographics[[#This Row],[INCOME LEVEL]],Income[],4,FALSE)</f>
        <v>1397.5</v>
      </c>
      <c r="K572">
        <f>IFERROR(Demographics[[#This Row],[Total monthly income]]/Demographics[[#This Row],[FAMILY SIZE]], 0)</f>
        <v>279.5</v>
      </c>
    </row>
    <row r="573" spans="1:11" x14ac:dyDescent="0.2">
      <c r="A573">
        <v>24842556</v>
      </c>
      <c r="B573">
        <v>20031987</v>
      </c>
      <c r="C573">
        <v>7</v>
      </c>
      <c r="D573">
        <v>3</v>
      </c>
      <c r="E573">
        <v>4</v>
      </c>
      <c r="F573">
        <v>9</v>
      </c>
      <c r="G573">
        <v>9</v>
      </c>
      <c r="H573" t="str">
        <f>IF(Demographics[[#This Row],[DOB]]&gt;10000000, TEXT(Demographics[[#This Row],[DOB]],0),CONCATENATE("0",TEXT(Demographics[[#This Row],[DOB]],0)))</f>
        <v>20031987</v>
      </c>
      <c r="I573" s="4">
        <f ca="1">IFERROR((VALUE(TODAY()-DATE(RIGHT(Demographics[[#This Row],[DOB - Fixed]],4),MID(Demographics[[#This Row],[DOB - Fixed]],3,2),LEFT(Demographics[[#This Row],[DOB - Fixed]],2))))/365,0)</f>
        <v>36.495890410958907</v>
      </c>
      <c r="J573">
        <f>VLOOKUP(Demographics[[#This Row],[INCOME LEVEL]],Income[],4,FALSE)</f>
        <v>2100</v>
      </c>
      <c r="K573">
        <f>IFERROR(Demographics[[#This Row],[Total monthly income]]/Demographics[[#This Row],[FAMILY SIZE]], 0)</f>
        <v>300</v>
      </c>
    </row>
    <row r="574" spans="1:11" x14ac:dyDescent="0.2">
      <c r="A574">
        <v>10818080</v>
      </c>
      <c r="B574">
        <v>23061987</v>
      </c>
      <c r="C574">
        <v>4</v>
      </c>
      <c r="D574">
        <v>1</v>
      </c>
      <c r="E574">
        <v>2</v>
      </c>
      <c r="F574">
        <v>9</v>
      </c>
      <c r="G574">
        <v>5</v>
      </c>
      <c r="H574" t="str">
        <f>IF(Demographics[[#This Row],[DOB]]&gt;10000000, TEXT(Demographics[[#This Row],[DOB]],0),CONCATENATE("0",TEXT(Demographics[[#This Row],[DOB]],0)))</f>
        <v>23061987</v>
      </c>
      <c r="I574" s="4">
        <f ca="1">IFERROR((VALUE(TODAY()-DATE(RIGHT(Demographics[[#This Row],[DOB - Fixed]],4),MID(Demographics[[#This Row],[DOB - Fixed]],3,2),LEFT(Demographics[[#This Row],[DOB - Fixed]],2))))/365,0)</f>
        <v>36.235616438356168</v>
      </c>
      <c r="J574">
        <f>VLOOKUP(Demographics[[#This Row],[INCOME LEVEL]],Income[],4,FALSE)</f>
        <v>697.5</v>
      </c>
      <c r="K574">
        <f>IFERROR(Demographics[[#This Row],[Total monthly income]]/Demographics[[#This Row],[FAMILY SIZE]], 0)</f>
        <v>174.375</v>
      </c>
    </row>
    <row r="575" spans="1:11" x14ac:dyDescent="0.2">
      <c r="A575">
        <v>916889</v>
      </c>
      <c r="B575">
        <v>11071987</v>
      </c>
      <c r="C575">
        <v>0</v>
      </c>
      <c r="D575">
        <v>0</v>
      </c>
      <c r="E575">
        <v>3</v>
      </c>
      <c r="F575">
        <v>0</v>
      </c>
      <c r="G575">
        <v>0</v>
      </c>
      <c r="H575" t="str">
        <f>IF(Demographics[[#This Row],[DOB]]&gt;10000000, TEXT(Demographics[[#This Row],[DOB]],0),CONCATENATE("0",TEXT(Demographics[[#This Row],[DOB]],0)))</f>
        <v>11071987</v>
      </c>
      <c r="I575" s="4">
        <f ca="1">IFERROR((VALUE(TODAY()-DATE(RIGHT(Demographics[[#This Row],[DOB - Fixed]],4),MID(Demographics[[#This Row],[DOB - Fixed]],3,2),LEFT(Demographics[[#This Row],[DOB - Fixed]],2))))/365,0)</f>
        <v>36.186301369863017</v>
      </c>
      <c r="J575">
        <f>VLOOKUP(Demographics[[#This Row],[INCOME LEVEL]],Income[],4,FALSE)</f>
        <v>1397.5</v>
      </c>
      <c r="K575">
        <f>IFERROR(Demographics[[#This Row],[Total monthly income]]/Demographics[[#This Row],[FAMILY SIZE]], 0)</f>
        <v>0</v>
      </c>
    </row>
    <row r="576" spans="1:11" x14ac:dyDescent="0.2">
      <c r="A576">
        <v>23943663</v>
      </c>
      <c r="B576">
        <v>29121987</v>
      </c>
      <c r="C576">
        <v>5</v>
      </c>
      <c r="D576">
        <v>2</v>
      </c>
      <c r="E576">
        <v>2</v>
      </c>
      <c r="F576">
        <v>9</v>
      </c>
      <c r="G576">
        <v>8</v>
      </c>
      <c r="H576" t="str">
        <f>IF(Demographics[[#This Row],[DOB]]&gt;10000000, TEXT(Demographics[[#This Row],[DOB]],0),CONCATENATE("0",TEXT(Demographics[[#This Row],[DOB]],0)))</f>
        <v>29121987</v>
      </c>
      <c r="I576" s="4">
        <f ca="1">IFERROR((VALUE(TODAY()-DATE(RIGHT(Demographics[[#This Row],[DOB - Fixed]],4),MID(Demographics[[#This Row],[DOB - Fixed]],3,2),LEFT(Demographics[[#This Row],[DOB - Fixed]],2))))/365,0)</f>
        <v>35.717808219178082</v>
      </c>
      <c r="J576">
        <f>VLOOKUP(Demographics[[#This Row],[INCOME LEVEL]],Income[],4,FALSE)</f>
        <v>697.5</v>
      </c>
      <c r="K576">
        <f>IFERROR(Demographics[[#This Row],[Total monthly income]]/Demographics[[#This Row],[FAMILY SIZE]], 0)</f>
        <v>139.5</v>
      </c>
    </row>
    <row r="577" spans="1:11" x14ac:dyDescent="0.2">
      <c r="A577">
        <v>546257</v>
      </c>
      <c r="B577">
        <v>29121987</v>
      </c>
      <c r="C577">
        <v>5</v>
      </c>
      <c r="D577">
        <v>2</v>
      </c>
      <c r="E577">
        <v>2</v>
      </c>
      <c r="F577">
        <v>9</v>
      </c>
      <c r="G577">
        <v>8</v>
      </c>
      <c r="H577" t="str">
        <f>IF(Demographics[[#This Row],[DOB]]&gt;10000000, TEXT(Demographics[[#This Row],[DOB]],0),CONCATENATE("0",TEXT(Demographics[[#This Row],[DOB]],0)))</f>
        <v>29121987</v>
      </c>
      <c r="I577" s="4">
        <f ca="1">IFERROR((VALUE(TODAY()-DATE(RIGHT(Demographics[[#This Row],[DOB - Fixed]],4),MID(Demographics[[#This Row],[DOB - Fixed]],3,2),LEFT(Demographics[[#This Row],[DOB - Fixed]],2))))/365,0)</f>
        <v>35.717808219178082</v>
      </c>
      <c r="J577">
        <f>VLOOKUP(Demographics[[#This Row],[INCOME LEVEL]],Income[],4,FALSE)</f>
        <v>697.5</v>
      </c>
      <c r="K577">
        <f>IFERROR(Demographics[[#This Row],[Total monthly income]]/Demographics[[#This Row],[FAMILY SIZE]], 0)</f>
        <v>139.5</v>
      </c>
    </row>
    <row r="578" spans="1:11" x14ac:dyDescent="0.2">
      <c r="A578">
        <v>14311837</v>
      </c>
      <c r="B578">
        <v>11111987</v>
      </c>
      <c r="C578">
        <v>10</v>
      </c>
      <c r="D578">
        <v>1</v>
      </c>
      <c r="E578">
        <v>1</v>
      </c>
      <c r="F578">
        <v>2</v>
      </c>
      <c r="G578">
        <v>2</v>
      </c>
      <c r="H578" t="str">
        <f>IF(Demographics[[#This Row],[DOB]]&gt;10000000, TEXT(Demographics[[#This Row],[DOB]],0),CONCATENATE("0",TEXT(Demographics[[#This Row],[DOB]],0)))</f>
        <v>11111987</v>
      </c>
      <c r="I578" s="4">
        <f ca="1">IFERROR((VALUE(TODAY()-DATE(RIGHT(Demographics[[#This Row],[DOB - Fixed]],4),MID(Demographics[[#This Row],[DOB - Fixed]],3,2),LEFT(Demographics[[#This Row],[DOB - Fixed]],2))))/365,0)</f>
        <v>35.849315068493148</v>
      </c>
      <c r="J578">
        <f>VLOOKUP(Demographics[[#This Row],[INCOME LEVEL]],Income[],4,FALSE)</f>
        <v>175</v>
      </c>
      <c r="K578">
        <f>IFERROR(Demographics[[#This Row],[Total monthly income]]/Demographics[[#This Row],[FAMILY SIZE]], 0)</f>
        <v>17.5</v>
      </c>
    </row>
    <row r="579" spans="1:11" x14ac:dyDescent="0.2">
      <c r="A579">
        <v>13101366</v>
      </c>
      <c r="B579">
        <v>31121987</v>
      </c>
      <c r="C579">
        <v>2</v>
      </c>
      <c r="D579">
        <v>1</v>
      </c>
      <c r="E579">
        <v>1</v>
      </c>
      <c r="F579">
        <v>2</v>
      </c>
      <c r="G579">
        <v>5</v>
      </c>
      <c r="H579" t="str">
        <f>IF(Demographics[[#This Row],[DOB]]&gt;10000000, TEXT(Demographics[[#This Row],[DOB]],0),CONCATENATE("0",TEXT(Demographics[[#This Row],[DOB]],0)))</f>
        <v>31121987</v>
      </c>
      <c r="I579" s="4">
        <f ca="1">IFERROR((VALUE(TODAY()-DATE(RIGHT(Demographics[[#This Row],[DOB - Fixed]],4),MID(Demographics[[#This Row],[DOB - Fixed]],3,2),LEFT(Demographics[[#This Row],[DOB - Fixed]],2))))/365,0)</f>
        <v>35.712328767123289</v>
      </c>
      <c r="J579">
        <f>VLOOKUP(Demographics[[#This Row],[INCOME LEVEL]],Income[],4,FALSE)</f>
        <v>175</v>
      </c>
      <c r="K579">
        <f>IFERROR(Demographics[[#This Row],[Total monthly income]]/Demographics[[#This Row],[FAMILY SIZE]], 0)</f>
        <v>87.5</v>
      </c>
    </row>
    <row r="580" spans="1:11" x14ac:dyDescent="0.2">
      <c r="A580">
        <v>18084157</v>
      </c>
      <c r="B580">
        <v>2111987</v>
      </c>
      <c r="C580">
        <v>3</v>
      </c>
      <c r="D580">
        <v>1</v>
      </c>
      <c r="E580">
        <v>1</v>
      </c>
      <c r="F580">
        <v>5</v>
      </c>
      <c r="G580">
        <v>5</v>
      </c>
      <c r="H580" t="str">
        <f>IF(Demographics[[#This Row],[DOB]]&gt;10000000, TEXT(Demographics[[#This Row],[DOB]],0),CONCATENATE("0",TEXT(Demographics[[#This Row],[DOB]],0)))</f>
        <v>02111987</v>
      </c>
      <c r="I580" s="4">
        <f ca="1">IFERROR((VALUE(TODAY()-DATE(RIGHT(Demographics[[#This Row],[DOB - Fixed]],4),MID(Demographics[[#This Row],[DOB - Fixed]],3,2),LEFT(Demographics[[#This Row],[DOB - Fixed]],2))))/365,0)</f>
        <v>35.873972602739727</v>
      </c>
      <c r="J580">
        <f>VLOOKUP(Demographics[[#This Row],[INCOME LEVEL]],Income[],4,FALSE)</f>
        <v>175</v>
      </c>
      <c r="K580">
        <f>IFERROR(Demographics[[#This Row],[Total monthly income]]/Demographics[[#This Row],[FAMILY SIZE]], 0)</f>
        <v>58.333333333333336</v>
      </c>
    </row>
    <row r="581" spans="1:11" x14ac:dyDescent="0.2">
      <c r="A581">
        <v>10522603</v>
      </c>
      <c r="B581">
        <v>15011988</v>
      </c>
      <c r="C581">
        <v>4</v>
      </c>
      <c r="D581">
        <v>1</v>
      </c>
      <c r="E581">
        <v>1</v>
      </c>
      <c r="F581">
        <v>5</v>
      </c>
      <c r="G581">
        <v>4</v>
      </c>
      <c r="H581" t="str">
        <f>IF(Demographics[[#This Row],[DOB]]&gt;10000000, TEXT(Demographics[[#This Row],[DOB]],0),CONCATENATE("0",TEXT(Demographics[[#This Row],[DOB]],0)))</f>
        <v>15011988</v>
      </c>
      <c r="I581" s="4">
        <f ca="1">IFERROR((VALUE(TODAY()-DATE(RIGHT(Demographics[[#This Row],[DOB - Fixed]],4),MID(Demographics[[#This Row],[DOB - Fixed]],3,2),LEFT(Demographics[[#This Row],[DOB - Fixed]],2))))/365,0)</f>
        <v>35.671232876712331</v>
      </c>
      <c r="J581">
        <f>VLOOKUP(Demographics[[#This Row],[INCOME LEVEL]],Income[],4,FALSE)</f>
        <v>175</v>
      </c>
      <c r="K581">
        <f>IFERROR(Demographics[[#This Row],[Total monthly income]]/Demographics[[#This Row],[FAMILY SIZE]], 0)</f>
        <v>43.75</v>
      </c>
    </row>
    <row r="582" spans="1:11" x14ac:dyDescent="0.2">
      <c r="A582">
        <v>9224217</v>
      </c>
      <c r="B582">
        <v>3061987</v>
      </c>
      <c r="C582">
        <v>4</v>
      </c>
      <c r="D582">
        <v>1</v>
      </c>
      <c r="E582">
        <v>1</v>
      </c>
      <c r="F582">
        <v>4</v>
      </c>
      <c r="G582">
        <v>4</v>
      </c>
      <c r="H582" t="str">
        <f>IF(Demographics[[#This Row],[DOB]]&gt;10000000, TEXT(Demographics[[#This Row],[DOB]],0),CONCATENATE("0",TEXT(Demographics[[#This Row],[DOB]],0)))</f>
        <v>03061987</v>
      </c>
      <c r="I582" s="4">
        <f ca="1">IFERROR((VALUE(TODAY()-DATE(RIGHT(Demographics[[#This Row],[DOB - Fixed]],4),MID(Demographics[[#This Row],[DOB - Fixed]],3,2),LEFT(Demographics[[#This Row],[DOB - Fixed]],2))))/365,0)</f>
        <v>36.290410958904111</v>
      </c>
      <c r="J582">
        <f>VLOOKUP(Demographics[[#This Row],[INCOME LEVEL]],Income[],4,FALSE)</f>
        <v>175</v>
      </c>
      <c r="K582">
        <f>IFERROR(Demographics[[#This Row],[Total monthly income]]/Demographics[[#This Row],[FAMILY SIZE]], 0)</f>
        <v>43.75</v>
      </c>
    </row>
    <row r="583" spans="1:11" x14ac:dyDescent="0.2">
      <c r="A583">
        <v>9021191</v>
      </c>
      <c r="B583">
        <v>27061987</v>
      </c>
      <c r="C583">
        <v>8</v>
      </c>
      <c r="D583">
        <v>2</v>
      </c>
      <c r="E583">
        <v>1</v>
      </c>
      <c r="F583">
        <v>4</v>
      </c>
      <c r="G583">
        <v>5</v>
      </c>
      <c r="H583" t="str">
        <f>IF(Demographics[[#This Row],[DOB]]&gt;10000000, TEXT(Demographics[[#This Row],[DOB]],0),CONCATENATE("0",TEXT(Demographics[[#This Row],[DOB]],0)))</f>
        <v>27061987</v>
      </c>
      <c r="I583" s="4">
        <f ca="1">IFERROR((VALUE(TODAY()-DATE(RIGHT(Demographics[[#This Row],[DOB - Fixed]],4),MID(Demographics[[#This Row],[DOB - Fixed]],3,2),LEFT(Demographics[[#This Row],[DOB - Fixed]],2))))/365,0)</f>
        <v>36.224657534246575</v>
      </c>
      <c r="J583">
        <f>VLOOKUP(Demographics[[#This Row],[INCOME LEVEL]],Income[],4,FALSE)</f>
        <v>175</v>
      </c>
      <c r="K583">
        <f>IFERROR(Demographics[[#This Row],[Total monthly income]]/Demographics[[#This Row],[FAMILY SIZE]], 0)</f>
        <v>21.875</v>
      </c>
    </row>
    <row r="584" spans="1:11" x14ac:dyDescent="0.2">
      <c r="A584">
        <v>3899609</v>
      </c>
      <c r="B584">
        <v>18081987</v>
      </c>
      <c r="C584">
        <v>0</v>
      </c>
      <c r="D584">
        <v>0</v>
      </c>
      <c r="E584">
        <v>1</v>
      </c>
      <c r="F584">
        <v>0</v>
      </c>
      <c r="G584">
        <v>0</v>
      </c>
      <c r="H584" t="str">
        <f>IF(Demographics[[#This Row],[DOB]]&gt;10000000, TEXT(Demographics[[#This Row],[DOB]],0),CONCATENATE("0",TEXT(Demographics[[#This Row],[DOB]],0)))</f>
        <v>18081987</v>
      </c>
      <c r="I584" s="4">
        <f ca="1">IFERROR((VALUE(TODAY()-DATE(RIGHT(Demographics[[#This Row],[DOB - Fixed]],4),MID(Demographics[[#This Row],[DOB - Fixed]],3,2),LEFT(Demographics[[#This Row],[DOB - Fixed]],2))))/365,0)</f>
        <v>36.082191780821915</v>
      </c>
      <c r="J584">
        <f>VLOOKUP(Demographics[[#This Row],[INCOME LEVEL]],Income[],4,FALSE)</f>
        <v>175</v>
      </c>
      <c r="K584">
        <f>IFERROR(Demographics[[#This Row],[Total monthly income]]/Demographics[[#This Row],[FAMILY SIZE]], 0)</f>
        <v>0</v>
      </c>
    </row>
    <row r="585" spans="1:11" x14ac:dyDescent="0.2">
      <c r="A585">
        <v>9240104</v>
      </c>
      <c r="B585">
        <v>6091987</v>
      </c>
      <c r="C585">
        <v>5</v>
      </c>
      <c r="D585">
        <v>0</v>
      </c>
      <c r="E585">
        <v>1</v>
      </c>
      <c r="F585">
        <v>1</v>
      </c>
      <c r="G585">
        <v>0</v>
      </c>
      <c r="H585" t="str">
        <f>IF(Demographics[[#This Row],[DOB]]&gt;10000000, TEXT(Demographics[[#This Row],[DOB]],0),CONCATENATE("0",TEXT(Demographics[[#This Row],[DOB]],0)))</f>
        <v>06091987</v>
      </c>
      <c r="I585" s="4">
        <f ca="1">IFERROR((VALUE(TODAY()-DATE(RIGHT(Demographics[[#This Row],[DOB - Fixed]],4),MID(Demographics[[#This Row],[DOB - Fixed]],3,2),LEFT(Demographics[[#This Row],[DOB - Fixed]],2))))/365,0)</f>
        <v>36.030136986301372</v>
      </c>
      <c r="J585">
        <f>VLOOKUP(Demographics[[#This Row],[INCOME LEVEL]],Income[],4,FALSE)</f>
        <v>175</v>
      </c>
      <c r="K585">
        <f>IFERROR(Demographics[[#This Row],[Total monthly income]]/Demographics[[#This Row],[FAMILY SIZE]], 0)</f>
        <v>35</v>
      </c>
    </row>
    <row r="586" spans="1:11" x14ac:dyDescent="0.2">
      <c r="A586">
        <v>24872461</v>
      </c>
      <c r="B586">
        <v>22011988</v>
      </c>
      <c r="C586">
        <v>4</v>
      </c>
      <c r="D586">
        <v>0</v>
      </c>
      <c r="E586">
        <v>1</v>
      </c>
      <c r="F586">
        <v>5</v>
      </c>
      <c r="G586">
        <v>2</v>
      </c>
      <c r="H586" t="str">
        <f>IF(Demographics[[#This Row],[DOB]]&gt;10000000, TEXT(Demographics[[#This Row],[DOB]],0),CONCATENATE("0",TEXT(Demographics[[#This Row],[DOB]],0)))</f>
        <v>22011988</v>
      </c>
      <c r="I586" s="4">
        <f ca="1">IFERROR((VALUE(TODAY()-DATE(RIGHT(Demographics[[#This Row],[DOB - Fixed]],4),MID(Demographics[[#This Row],[DOB - Fixed]],3,2),LEFT(Demographics[[#This Row],[DOB - Fixed]],2))))/365,0)</f>
        <v>35.652054794520545</v>
      </c>
      <c r="J586">
        <f>VLOOKUP(Demographics[[#This Row],[INCOME LEVEL]],Income[],4,FALSE)</f>
        <v>175</v>
      </c>
      <c r="K586">
        <f>IFERROR(Demographics[[#This Row],[Total monthly income]]/Demographics[[#This Row],[FAMILY SIZE]], 0)</f>
        <v>43.75</v>
      </c>
    </row>
    <row r="587" spans="1:11" x14ac:dyDescent="0.2">
      <c r="A587">
        <v>8957662</v>
      </c>
      <c r="B587">
        <v>12051987</v>
      </c>
      <c r="C587">
        <v>3</v>
      </c>
      <c r="D587">
        <v>1</v>
      </c>
      <c r="E587">
        <v>1</v>
      </c>
      <c r="F587">
        <v>5</v>
      </c>
      <c r="G587">
        <v>3</v>
      </c>
      <c r="H587" t="str">
        <f>IF(Demographics[[#This Row],[DOB]]&gt;10000000, TEXT(Demographics[[#This Row],[DOB]],0),CONCATENATE("0",TEXT(Demographics[[#This Row],[DOB]],0)))</f>
        <v>12051987</v>
      </c>
      <c r="I587" s="4">
        <f ca="1">IFERROR((VALUE(TODAY()-DATE(RIGHT(Demographics[[#This Row],[DOB - Fixed]],4),MID(Demographics[[#This Row],[DOB - Fixed]],3,2),LEFT(Demographics[[#This Row],[DOB - Fixed]],2))))/365,0)</f>
        <v>36.350684931506848</v>
      </c>
      <c r="J587">
        <f>VLOOKUP(Demographics[[#This Row],[INCOME LEVEL]],Income[],4,FALSE)</f>
        <v>175</v>
      </c>
      <c r="K587">
        <f>IFERROR(Demographics[[#This Row],[Total monthly income]]/Demographics[[#This Row],[FAMILY SIZE]], 0)</f>
        <v>58.333333333333336</v>
      </c>
    </row>
    <row r="588" spans="1:11" x14ac:dyDescent="0.2">
      <c r="A588">
        <v>15558793</v>
      </c>
      <c r="B588">
        <v>2021988</v>
      </c>
      <c r="C588">
        <v>4</v>
      </c>
      <c r="D588">
        <v>1</v>
      </c>
      <c r="E588">
        <v>1</v>
      </c>
      <c r="F588">
        <v>5</v>
      </c>
      <c r="G588">
        <v>5</v>
      </c>
      <c r="H588" t="str">
        <f>IF(Demographics[[#This Row],[DOB]]&gt;10000000, TEXT(Demographics[[#This Row],[DOB]],0),CONCATENATE("0",TEXT(Demographics[[#This Row],[DOB]],0)))</f>
        <v>02021988</v>
      </c>
      <c r="I588" s="4">
        <f ca="1">IFERROR((VALUE(TODAY()-DATE(RIGHT(Demographics[[#This Row],[DOB - Fixed]],4),MID(Demographics[[#This Row],[DOB - Fixed]],3,2),LEFT(Demographics[[#This Row],[DOB - Fixed]],2))))/365,0)</f>
        <v>35.62191780821918</v>
      </c>
      <c r="J588">
        <f>VLOOKUP(Demographics[[#This Row],[INCOME LEVEL]],Income[],4,FALSE)</f>
        <v>175</v>
      </c>
      <c r="K588">
        <f>IFERROR(Demographics[[#This Row],[Total monthly income]]/Demographics[[#This Row],[FAMILY SIZE]], 0)</f>
        <v>43.75</v>
      </c>
    </row>
    <row r="589" spans="1:11" x14ac:dyDescent="0.2">
      <c r="A589">
        <v>4668757</v>
      </c>
      <c r="B589">
        <v>27111987</v>
      </c>
      <c r="C589">
        <v>3</v>
      </c>
      <c r="D589">
        <v>1</v>
      </c>
      <c r="E589">
        <v>1</v>
      </c>
      <c r="F589">
        <v>0</v>
      </c>
      <c r="G589">
        <v>4</v>
      </c>
      <c r="H589" t="str">
        <f>IF(Demographics[[#This Row],[DOB]]&gt;10000000, TEXT(Demographics[[#This Row],[DOB]],0),CONCATENATE("0",TEXT(Demographics[[#This Row],[DOB]],0)))</f>
        <v>27111987</v>
      </c>
      <c r="I589" s="4">
        <f ca="1">IFERROR((VALUE(TODAY()-DATE(RIGHT(Demographics[[#This Row],[DOB - Fixed]],4),MID(Demographics[[#This Row],[DOB - Fixed]],3,2),LEFT(Demographics[[#This Row],[DOB - Fixed]],2))))/365,0)</f>
        <v>35.805479452054797</v>
      </c>
      <c r="J589">
        <f>VLOOKUP(Demographics[[#This Row],[INCOME LEVEL]],Income[],4,FALSE)</f>
        <v>175</v>
      </c>
      <c r="K589">
        <f>IFERROR(Demographics[[#This Row],[Total monthly income]]/Demographics[[#This Row],[FAMILY SIZE]], 0)</f>
        <v>58.333333333333336</v>
      </c>
    </row>
    <row r="590" spans="1:11" x14ac:dyDescent="0.2">
      <c r="A590">
        <v>21641541</v>
      </c>
      <c r="B590">
        <v>18041988</v>
      </c>
      <c r="C590">
        <v>7</v>
      </c>
      <c r="D590">
        <v>2</v>
      </c>
      <c r="E590">
        <v>1</v>
      </c>
      <c r="F590">
        <v>3</v>
      </c>
      <c r="G590">
        <v>5</v>
      </c>
      <c r="H590" t="str">
        <f>IF(Demographics[[#This Row],[DOB]]&gt;10000000, TEXT(Demographics[[#This Row],[DOB]],0),CONCATENATE("0",TEXT(Demographics[[#This Row],[DOB]],0)))</f>
        <v>18041988</v>
      </c>
      <c r="I590" s="4">
        <f ca="1">IFERROR((VALUE(TODAY()-DATE(RIGHT(Demographics[[#This Row],[DOB - Fixed]],4),MID(Demographics[[#This Row],[DOB - Fixed]],3,2),LEFT(Demographics[[#This Row],[DOB - Fixed]],2))))/365,0)</f>
        <v>35.413698630136984</v>
      </c>
      <c r="J590">
        <f>VLOOKUP(Demographics[[#This Row],[INCOME LEVEL]],Income[],4,FALSE)</f>
        <v>175</v>
      </c>
      <c r="K590">
        <f>IFERROR(Demographics[[#This Row],[Total monthly income]]/Demographics[[#This Row],[FAMILY SIZE]], 0)</f>
        <v>25</v>
      </c>
    </row>
    <row r="591" spans="1:11" x14ac:dyDescent="0.2">
      <c r="A591">
        <v>5871701</v>
      </c>
      <c r="B591">
        <v>26101987</v>
      </c>
      <c r="C591">
        <v>4</v>
      </c>
      <c r="D591">
        <v>1</v>
      </c>
      <c r="E591">
        <v>3</v>
      </c>
      <c r="F591">
        <v>9</v>
      </c>
      <c r="G591">
        <v>9</v>
      </c>
      <c r="H591" t="str">
        <f>IF(Demographics[[#This Row],[DOB]]&gt;10000000, TEXT(Demographics[[#This Row],[DOB]],0),CONCATENATE("0",TEXT(Demographics[[#This Row],[DOB]],0)))</f>
        <v>26101987</v>
      </c>
      <c r="I591" s="4">
        <f ca="1">IFERROR((VALUE(TODAY()-DATE(RIGHT(Demographics[[#This Row],[DOB - Fixed]],4),MID(Demographics[[#This Row],[DOB - Fixed]],3,2),LEFT(Demographics[[#This Row],[DOB - Fixed]],2))))/365,0)</f>
        <v>35.893150684931506</v>
      </c>
      <c r="J591">
        <f>VLOOKUP(Demographics[[#This Row],[INCOME LEVEL]],Income[],4,FALSE)</f>
        <v>1397.5</v>
      </c>
      <c r="K591">
        <f>IFERROR(Demographics[[#This Row],[Total monthly income]]/Demographics[[#This Row],[FAMILY SIZE]], 0)</f>
        <v>349.375</v>
      </c>
    </row>
    <row r="592" spans="1:11" x14ac:dyDescent="0.2">
      <c r="A592">
        <v>3126076</v>
      </c>
      <c r="B592">
        <v>7111987</v>
      </c>
      <c r="C592">
        <v>5</v>
      </c>
      <c r="D592">
        <v>1</v>
      </c>
      <c r="E592">
        <v>2</v>
      </c>
      <c r="F592">
        <v>8</v>
      </c>
      <c r="G592">
        <v>7</v>
      </c>
      <c r="H592" t="str">
        <f>IF(Demographics[[#This Row],[DOB]]&gt;10000000, TEXT(Demographics[[#This Row],[DOB]],0),CONCATENATE("0",TEXT(Demographics[[#This Row],[DOB]],0)))</f>
        <v>07111987</v>
      </c>
      <c r="I592" s="4">
        <f ca="1">IFERROR((VALUE(TODAY()-DATE(RIGHT(Demographics[[#This Row],[DOB - Fixed]],4),MID(Demographics[[#This Row],[DOB - Fixed]],3,2),LEFT(Demographics[[#This Row],[DOB - Fixed]],2))))/365,0)</f>
        <v>35.860273972602741</v>
      </c>
      <c r="J592">
        <f>VLOOKUP(Demographics[[#This Row],[INCOME LEVEL]],Income[],4,FALSE)</f>
        <v>697.5</v>
      </c>
      <c r="K592">
        <f>IFERROR(Demographics[[#This Row],[Total monthly income]]/Demographics[[#This Row],[FAMILY SIZE]], 0)</f>
        <v>139.5</v>
      </c>
    </row>
    <row r="593" spans="1:11" x14ac:dyDescent="0.2">
      <c r="A593">
        <v>22150271</v>
      </c>
      <c r="B593">
        <v>18091987</v>
      </c>
      <c r="C593">
        <v>4</v>
      </c>
      <c r="D593">
        <v>1</v>
      </c>
      <c r="E593">
        <v>2</v>
      </c>
      <c r="F593">
        <v>5</v>
      </c>
      <c r="G593">
        <v>4</v>
      </c>
      <c r="H593" t="str">
        <f>IF(Demographics[[#This Row],[DOB]]&gt;10000000, TEXT(Demographics[[#This Row],[DOB]],0),CONCATENATE("0",TEXT(Demographics[[#This Row],[DOB]],0)))</f>
        <v>18091987</v>
      </c>
      <c r="I593" s="4">
        <f ca="1">IFERROR((VALUE(TODAY()-DATE(RIGHT(Demographics[[#This Row],[DOB - Fixed]],4),MID(Demographics[[#This Row],[DOB - Fixed]],3,2),LEFT(Demographics[[#This Row],[DOB - Fixed]],2))))/365,0)</f>
        <v>35.9972602739726</v>
      </c>
      <c r="J593">
        <f>VLOOKUP(Demographics[[#This Row],[INCOME LEVEL]],Income[],4,FALSE)</f>
        <v>697.5</v>
      </c>
      <c r="K593">
        <f>IFERROR(Demographics[[#This Row],[Total monthly income]]/Demographics[[#This Row],[FAMILY SIZE]], 0)</f>
        <v>174.375</v>
      </c>
    </row>
    <row r="594" spans="1:11" x14ac:dyDescent="0.2">
      <c r="A594">
        <v>5502662</v>
      </c>
      <c r="B594">
        <v>7041988</v>
      </c>
      <c r="C594">
        <v>5</v>
      </c>
      <c r="D594">
        <v>0</v>
      </c>
      <c r="E594">
        <v>1</v>
      </c>
      <c r="F594">
        <v>9</v>
      </c>
      <c r="G594">
        <v>7</v>
      </c>
      <c r="H594" t="str">
        <f>IF(Demographics[[#This Row],[DOB]]&gt;10000000, TEXT(Demographics[[#This Row],[DOB]],0),CONCATENATE("0",TEXT(Demographics[[#This Row],[DOB]],0)))</f>
        <v>07041988</v>
      </c>
      <c r="I594" s="4">
        <f ca="1">IFERROR((VALUE(TODAY()-DATE(RIGHT(Demographics[[#This Row],[DOB - Fixed]],4),MID(Demographics[[#This Row],[DOB - Fixed]],3,2),LEFT(Demographics[[#This Row],[DOB - Fixed]],2))))/365,0)</f>
        <v>35.443835616438356</v>
      </c>
      <c r="J594">
        <f>VLOOKUP(Demographics[[#This Row],[INCOME LEVEL]],Income[],4,FALSE)</f>
        <v>175</v>
      </c>
      <c r="K594">
        <f>IFERROR(Demographics[[#This Row],[Total monthly income]]/Demographics[[#This Row],[FAMILY SIZE]], 0)</f>
        <v>35</v>
      </c>
    </row>
    <row r="595" spans="1:11" x14ac:dyDescent="0.2">
      <c r="A595">
        <v>12590396</v>
      </c>
      <c r="B595">
        <v>17121987</v>
      </c>
      <c r="C595">
        <v>5</v>
      </c>
      <c r="D595">
        <v>1</v>
      </c>
      <c r="E595">
        <v>3</v>
      </c>
      <c r="F595">
        <v>8</v>
      </c>
      <c r="G595">
        <v>8</v>
      </c>
      <c r="H595" t="str">
        <f>IF(Demographics[[#This Row],[DOB]]&gt;10000000, TEXT(Demographics[[#This Row],[DOB]],0),CONCATENATE("0",TEXT(Demographics[[#This Row],[DOB]],0)))</f>
        <v>17121987</v>
      </c>
      <c r="I595" s="4">
        <f ca="1">IFERROR((VALUE(TODAY()-DATE(RIGHT(Demographics[[#This Row],[DOB - Fixed]],4),MID(Demographics[[#This Row],[DOB - Fixed]],3,2),LEFT(Demographics[[#This Row],[DOB - Fixed]],2))))/365,0)</f>
        <v>35.750684931506846</v>
      </c>
      <c r="J595">
        <f>VLOOKUP(Demographics[[#This Row],[INCOME LEVEL]],Income[],4,FALSE)</f>
        <v>1397.5</v>
      </c>
      <c r="K595">
        <f>IFERROR(Demographics[[#This Row],[Total monthly income]]/Demographics[[#This Row],[FAMILY SIZE]], 0)</f>
        <v>279.5</v>
      </c>
    </row>
    <row r="596" spans="1:11" x14ac:dyDescent="0.2">
      <c r="A596">
        <v>309028</v>
      </c>
      <c r="B596">
        <v>19101987</v>
      </c>
      <c r="C596">
        <v>6</v>
      </c>
      <c r="D596">
        <v>1</v>
      </c>
      <c r="E596">
        <v>2</v>
      </c>
      <c r="F596">
        <v>9</v>
      </c>
      <c r="G596">
        <v>8</v>
      </c>
      <c r="H596" t="str">
        <f>IF(Demographics[[#This Row],[DOB]]&gt;10000000, TEXT(Demographics[[#This Row],[DOB]],0),CONCATENATE("0",TEXT(Demographics[[#This Row],[DOB]],0)))</f>
        <v>19101987</v>
      </c>
      <c r="I596" s="4">
        <f ca="1">IFERROR((VALUE(TODAY()-DATE(RIGHT(Demographics[[#This Row],[DOB - Fixed]],4),MID(Demographics[[#This Row],[DOB - Fixed]],3,2),LEFT(Demographics[[#This Row],[DOB - Fixed]],2))))/365,0)</f>
        <v>35.912328767123284</v>
      </c>
      <c r="J596">
        <f>VLOOKUP(Demographics[[#This Row],[INCOME LEVEL]],Income[],4,FALSE)</f>
        <v>697.5</v>
      </c>
      <c r="K596">
        <f>IFERROR(Demographics[[#This Row],[Total monthly income]]/Demographics[[#This Row],[FAMILY SIZE]], 0)</f>
        <v>116.25</v>
      </c>
    </row>
    <row r="597" spans="1:11" x14ac:dyDescent="0.2">
      <c r="A597">
        <v>13976836</v>
      </c>
      <c r="B597">
        <v>8031988</v>
      </c>
      <c r="C597">
        <v>7</v>
      </c>
      <c r="D597">
        <v>0</v>
      </c>
      <c r="E597">
        <v>2</v>
      </c>
      <c r="F597">
        <v>0</v>
      </c>
      <c r="G597">
        <v>0</v>
      </c>
      <c r="H597" t="str">
        <f>IF(Demographics[[#This Row],[DOB]]&gt;10000000, TEXT(Demographics[[#This Row],[DOB]],0),CONCATENATE("0",TEXT(Demographics[[#This Row],[DOB]],0)))</f>
        <v>08031988</v>
      </c>
      <c r="I597" s="4">
        <f ca="1">IFERROR((VALUE(TODAY()-DATE(RIGHT(Demographics[[#This Row],[DOB - Fixed]],4),MID(Demographics[[#This Row],[DOB - Fixed]],3,2),LEFT(Demographics[[#This Row],[DOB - Fixed]],2))))/365,0)</f>
        <v>35.526027397260272</v>
      </c>
      <c r="J597">
        <f>VLOOKUP(Demographics[[#This Row],[INCOME LEVEL]],Income[],4,FALSE)</f>
        <v>697.5</v>
      </c>
      <c r="K597">
        <f>IFERROR(Demographics[[#This Row],[Total monthly income]]/Demographics[[#This Row],[FAMILY SIZE]], 0)</f>
        <v>99.642857142857139</v>
      </c>
    </row>
    <row r="598" spans="1:11" x14ac:dyDescent="0.2">
      <c r="A598">
        <v>24369440</v>
      </c>
      <c r="B598">
        <v>5041988</v>
      </c>
      <c r="C598">
        <v>3</v>
      </c>
      <c r="D598">
        <v>1</v>
      </c>
      <c r="E598">
        <v>2</v>
      </c>
      <c r="F598">
        <v>5</v>
      </c>
      <c r="G598">
        <v>4</v>
      </c>
      <c r="H598" t="str">
        <f>IF(Demographics[[#This Row],[DOB]]&gt;10000000, TEXT(Demographics[[#This Row],[DOB]],0),CONCATENATE("0",TEXT(Demographics[[#This Row],[DOB]],0)))</f>
        <v>05041988</v>
      </c>
      <c r="I598" s="4">
        <f ca="1">IFERROR((VALUE(TODAY()-DATE(RIGHT(Demographics[[#This Row],[DOB - Fixed]],4),MID(Demographics[[#This Row],[DOB - Fixed]],3,2),LEFT(Demographics[[#This Row],[DOB - Fixed]],2))))/365,0)</f>
        <v>35.449315068493149</v>
      </c>
      <c r="J598">
        <f>VLOOKUP(Demographics[[#This Row],[INCOME LEVEL]],Income[],4,FALSE)</f>
        <v>697.5</v>
      </c>
      <c r="K598">
        <f>IFERROR(Demographics[[#This Row],[Total monthly income]]/Demographics[[#This Row],[FAMILY SIZE]], 0)</f>
        <v>232.5</v>
      </c>
    </row>
    <row r="599" spans="1:11" x14ac:dyDescent="0.2">
      <c r="A599">
        <v>8060721</v>
      </c>
      <c r="B599">
        <v>20031988</v>
      </c>
      <c r="C599">
        <v>4</v>
      </c>
      <c r="D599">
        <v>0</v>
      </c>
      <c r="E599">
        <v>1</v>
      </c>
      <c r="F599">
        <v>4</v>
      </c>
      <c r="G599">
        <v>7</v>
      </c>
      <c r="H599" t="str">
        <f>IF(Demographics[[#This Row],[DOB]]&gt;10000000, TEXT(Demographics[[#This Row],[DOB]],0),CONCATENATE("0",TEXT(Demographics[[#This Row],[DOB]],0)))</f>
        <v>20031988</v>
      </c>
      <c r="I599" s="4">
        <f ca="1">IFERROR((VALUE(TODAY()-DATE(RIGHT(Demographics[[#This Row],[DOB - Fixed]],4),MID(Demographics[[#This Row],[DOB - Fixed]],3,2),LEFT(Demographics[[#This Row],[DOB - Fixed]],2))))/365,0)</f>
        <v>35.493150684931507</v>
      </c>
      <c r="J599">
        <f>VLOOKUP(Demographics[[#This Row],[INCOME LEVEL]],Income[],4,FALSE)</f>
        <v>175</v>
      </c>
      <c r="K599">
        <f>IFERROR(Demographics[[#This Row],[Total monthly income]]/Demographics[[#This Row],[FAMILY SIZE]], 0)</f>
        <v>43.75</v>
      </c>
    </row>
    <row r="600" spans="1:11" x14ac:dyDescent="0.2">
      <c r="A600">
        <v>15997992</v>
      </c>
      <c r="B600">
        <v>14041988</v>
      </c>
      <c r="C600">
        <v>4</v>
      </c>
      <c r="D600">
        <v>2</v>
      </c>
      <c r="E600">
        <v>4</v>
      </c>
      <c r="F600">
        <v>9</v>
      </c>
      <c r="G600">
        <v>9</v>
      </c>
      <c r="H600" t="str">
        <f>IF(Demographics[[#This Row],[DOB]]&gt;10000000, TEXT(Demographics[[#This Row],[DOB]],0),CONCATENATE("0",TEXT(Demographics[[#This Row],[DOB]],0)))</f>
        <v>14041988</v>
      </c>
      <c r="I600" s="4">
        <f ca="1">IFERROR((VALUE(TODAY()-DATE(RIGHT(Demographics[[#This Row],[DOB - Fixed]],4),MID(Demographics[[#This Row],[DOB - Fixed]],3,2),LEFT(Demographics[[#This Row],[DOB - Fixed]],2))))/365,0)</f>
        <v>35.424657534246577</v>
      </c>
      <c r="J600">
        <f>VLOOKUP(Demographics[[#This Row],[INCOME LEVEL]],Income[],4,FALSE)</f>
        <v>2100</v>
      </c>
      <c r="K600">
        <f>IFERROR(Demographics[[#This Row],[Total monthly income]]/Demographics[[#This Row],[FAMILY SIZE]], 0)</f>
        <v>525</v>
      </c>
    </row>
    <row r="601" spans="1:11" x14ac:dyDescent="0.2">
      <c r="A601">
        <v>19450167</v>
      </c>
      <c r="B601">
        <v>30031988</v>
      </c>
      <c r="C601">
        <v>4</v>
      </c>
      <c r="D601">
        <v>1</v>
      </c>
      <c r="E601">
        <v>1</v>
      </c>
      <c r="F601">
        <v>9</v>
      </c>
      <c r="G601">
        <v>9</v>
      </c>
      <c r="H601" t="str">
        <f>IF(Demographics[[#This Row],[DOB]]&gt;10000000, TEXT(Demographics[[#This Row],[DOB]],0),CONCATENATE("0",TEXT(Demographics[[#This Row],[DOB]],0)))</f>
        <v>30031988</v>
      </c>
      <c r="I601" s="4">
        <f ca="1">IFERROR((VALUE(TODAY()-DATE(RIGHT(Demographics[[#This Row],[DOB - Fixed]],4),MID(Demographics[[#This Row],[DOB - Fixed]],3,2),LEFT(Demographics[[#This Row],[DOB - Fixed]],2))))/365,0)</f>
        <v>35.465753424657535</v>
      </c>
      <c r="J601">
        <f>VLOOKUP(Demographics[[#This Row],[INCOME LEVEL]],Income[],4,FALSE)</f>
        <v>175</v>
      </c>
      <c r="K601">
        <f>IFERROR(Demographics[[#This Row],[Total monthly income]]/Demographics[[#This Row],[FAMILY SIZE]], 0)</f>
        <v>43.75</v>
      </c>
    </row>
    <row r="602" spans="1:11" x14ac:dyDescent="0.2">
      <c r="A602">
        <v>7760164</v>
      </c>
      <c r="B602">
        <v>30011988</v>
      </c>
      <c r="C602">
        <v>3</v>
      </c>
      <c r="D602">
        <v>2</v>
      </c>
      <c r="E602">
        <v>2</v>
      </c>
      <c r="F602">
        <v>8</v>
      </c>
      <c r="G602">
        <v>8</v>
      </c>
      <c r="H602" t="str">
        <f>IF(Demographics[[#This Row],[DOB]]&gt;10000000, TEXT(Demographics[[#This Row],[DOB]],0),CONCATENATE("0",TEXT(Demographics[[#This Row],[DOB]],0)))</f>
        <v>30011988</v>
      </c>
      <c r="I602" s="4">
        <f ca="1">IFERROR((VALUE(TODAY()-DATE(RIGHT(Demographics[[#This Row],[DOB - Fixed]],4),MID(Demographics[[#This Row],[DOB - Fixed]],3,2),LEFT(Demographics[[#This Row],[DOB - Fixed]],2))))/365,0)</f>
        <v>35.630136986301373</v>
      </c>
      <c r="J602">
        <f>VLOOKUP(Demographics[[#This Row],[INCOME LEVEL]],Income[],4,FALSE)</f>
        <v>697.5</v>
      </c>
      <c r="K602">
        <f>IFERROR(Demographics[[#This Row],[Total monthly income]]/Demographics[[#This Row],[FAMILY SIZE]], 0)</f>
        <v>232.5</v>
      </c>
    </row>
    <row r="603" spans="1:11" x14ac:dyDescent="0.2">
      <c r="A603">
        <v>12152305</v>
      </c>
      <c r="B603">
        <v>18071988</v>
      </c>
      <c r="C603">
        <v>4</v>
      </c>
      <c r="D603">
        <v>1</v>
      </c>
      <c r="E603">
        <v>2</v>
      </c>
      <c r="F603">
        <v>5</v>
      </c>
      <c r="G603">
        <v>4</v>
      </c>
      <c r="H603" t="str">
        <f>IF(Demographics[[#This Row],[DOB]]&gt;10000000, TEXT(Demographics[[#This Row],[DOB]],0),CONCATENATE("0",TEXT(Demographics[[#This Row],[DOB]],0)))</f>
        <v>18071988</v>
      </c>
      <c r="I603" s="4">
        <f ca="1">IFERROR((VALUE(TODAY()-DATE(RIGHT(Demographics[[#This Row],[DOB - Fixed]],4),MID(Demographics[[#This Row],[DOB - Fixed]],3,2),LEFT(Demographics[[#This Row],[DOB - Fixed]],2))))/365,0)</f>
        <v>35.164383561643838</v>
      </c>
      <c r="J603">
        <f>VLOOKUP(Demographics[[#This Row],[INCOME LEVEL]],Income[],4,FALSE)</f>
        <v>697.5</v>
      </c>
      <c r="K603">
        <f>IFERROR(Demographics[[#This Row],[Total monthly income]]/Demographics[[#This Row],[FAMILY SIZE]], 0)</f>
        <v>174.375</v>
      </c>
    </row>
    <row r="604" spans="1:11" x14ac:dyDescent="0.2">
      <c r="A604">
        <v>13816743</v>
      </c>
      <c r="B604">
        <v>9091987</v>
      </c>
      <c r="C604">
        <v>2</v>
      </c>
      <c r="D604">
        <v>0</v>
      </c>
      <c r="E604">
        <v>1</v>
      </c>
      <c r="F604">
        <v>1</v>
      </c>
      <c r="G604">
        <v>2</v>
      </c>
      <c r="H604" t="str">
        <f>IF(Demographics[[#This Row],[DOB]]&gt;10000000, TEXT(Demographics[[#This Row],[DOB]],0),CONCATENATE("0",TEXT(Demographics[[#This Row],[DOB]],0)))</f>
        <v>09091987</v>
      </c>
      <c r="I604" s="4">
        <f ca="1">IFERROR((VALUE(TODAY()-DATE(RIGHT(Demographics[[#This Row],[DOB - Fixed]],4),MID(Demographics[[#This Row],[DOB - Fixed]],3,2),LEFT(Demographics[[#This Row],[DOB - Fixed]],2))))/365,0)</f>
        <v>36.021917808219179</v>
      </c>
      <c r="J604">
        <f>VLOOKUP(Demographics[[#This Row],[INCOME LEVEL]],Income[],4,FALSE)</f>
        <v>175</v>
      </c>
      <c r="K604">
        <f>IFERROR(Demographics[[#This Row],[Total monthly income]]/Demographics[[#This Row],[FAMILY SIZE]], 0)</f>
        <v>87.5</v>
      </c>
    </row>
    <row r="605" spans="1:11" x14ac:dyDescent="0.2">
      <c r="A605">
        <v>10675668</v>
      </c>
      <c r="B605">
        <v>17121987</v>
      </c>
      <c r="C605">
        <v>3</v>
      </c>
      <c r="D605">
        <v>1</v>
      </c>
      <c r="E605">
        <v>2</v>
      </c>
      <c r="F605">
        <v>0</v>
      </c>
      <c r="G605">
        <v>9</v>
      </c>
      <c r="H605" t="str">
        <f>IF(Demographics[[#This Row],[DOB]]&gt;10000000, TEXT(Demographics[[#This Row],[DOB]],0),CONCATENATE("0",TEXT(Demographics[[#This Row],[DOB]],0)))</f>
        <v>17121987</v>
      </c>
      <c r="I605" s="4">
        <f ca="1">IFERROR((VALUE(TODAY()-DATE(RIGHT(Demographics[[#This Row],[DOB - Fixed]],4),MID(Demographics[[#This Row],[DOB - Fixed]],3,2),LEFT(Demographics[[#This Row],[DOB - Fixed]],2))))/365,0)</f>
        <v>35.750684931506846</v>
      </c>
      <c r="J605">
        <f>VLOOKUP(Demographics[[#This Row],[INCOME LEVEL]],Income[],4,FALSE)</f>
        <v>697.5</v>
      </c>
      <c r="K605">
        <f>IFERROR(Demographics[[#This Row],[Total monthly income]]/Demographics[[#This Row],[FAMILY SIZE]], 0)</f>
        <v>232.5</v>
      </c>
    </row>
    <row r="606" spans="1:11" x14ac:dyDescent="0.2">
      <c r="A606">
        <v>9898566</v>
      </c>
      <c r="B606">
        <v>21091987</v>
      </c>
      <c r="C606">
        <v>6</v>
      </c>
      <c r="D606">
        <v>1</v>
      </c>
      <c r="E606">
        <v>1</v>
      </c>
      <c r="F606">
        <v>4</v>
      </c>
      <c r="G606">
        <v>5</v>
      </c>
      <c r="H606" t="str">
        <f>IF(Demographics[[#This Row],[DOB]]&gt;10000000, TEXT(Demographics[[#This Row],[DOB]],0),CONCATENATE("0",TEXT(Demographics[[#This Row],[DOB]],0)))</f>
        <v>21091987</v>
      </c>
      <c r="I606" s="4">
        <f ca="1">IFERROR((VALUE(TODAY()-DATE(RIGHT(Demographics[[#This Row],[DOB - Fixed]],4),MID(Demographics[[#This Row],[DOB - Fixed]],3,2),LEFT(Demographics[[#This Row],[DOB - Fixed]],2))))/365,0)</f>
        <v>35.989041095890414</v>
      </c>
      <c r="J606">
        <f>VLOOKUP(Demographics[[#This Row],[INCOME LEVEL]],Income[],4,FALSE)</f>
        <v>175</v>
      </c>
      <c r="K606">
        <f>IFERROR(Demographics[[#This Row],[Total monthly income]]/Demographics[[#This Row],[FAMILY SIZE]], 0)</f>
        <v>29.166666666666668</v>
      </c>
    </row>
    <row r="607" spans="1:11" x14ac:dyDescent="0.2">
      <c r="A607">
        <v>16756345</v>
      </c>
      <c r="B607">
        <v>29091987</v>
      </c>
      <c r="C607">
        <v>4</v>
      </c>
      <c r="D607">
        <v>1</v>
      </c>
      <c r="E607">
        <v>2</v>
      </c>
      <c r="F607">
        <v>5</v>
      </c>
      <c r="G607">
        <v>5</v>
      </c>
      <c r="H607" t="str">
        <f>IF(Demographics[[#This Row],[DOB]]&gt;10000000, TEXT(Demographics[[#This Row],[DOB]],0),CONCATENATE("0",TEXT(Demographics[[#This Row],[DOB]],0)))</f>
        <v>29091987</v>
      </c>
      <c r="I607" s="4">
        <f ca="1">IFERROR((VALUE(TODAY()-DATE(RIGHT(Demographics[[#This Row],[DOB - Fixed]],4),MID(Demographics[[#This Row],[DOB - Fixed]],3,2),LEFT(Demographics[[#This Row],[DOB - Fixed]],2))))/365,0)</f>
        <v>35.967123287671235</v>
      </c>
      <c r="J607">
        <f>VLOOKUP(Demographics[[#This Row],[INCOME LEVEL]],Income[],4,FALSE)</f>
        <v>697.5</v>
      </c>
      <c r="K607">
        <f>IFERROR(Demographics[[#This Row],[Total monthly income]]/Demographics[[#This Row],[FAMILY SIZE]], 0)</f>
        <v>174.375</v>
      </c>
    </row>
    <row r="608" spans="1:11" x14ac:dyDescent="0.2">
      <c r="A608">
        <v>20292229</v>
      </c>
      <c r="B608">
        <v>29091987</v>
      </c>
      <c r="C608">
        <v>2</v>
      </c>
      <c r="D608">
        <v>1</v>
      </c>
      <c r="E608">
        <v>1</v>
      </c>
      <c r="F608">
        <v>2</v>
      </c>
      <c r="G608">
        <v>3</v>
      </c>
      <c r="H608" t="str">
        <f>IF(Demographics[[#This Row],[DOB]]&gt;10000000, TEXT(Demographics[[#This Row],[DOB]],0),CONCATENATE("0",TEXT(Demographics[[#This Row],[DOB]],0)))</f>
        <v>29091987</v>
      </c>
      <c r="I608" s="4">
        <f ca="1">IFERROR((VALUE(TODAY()-DATE(RIGHT(Demographics[[#This Row],[DOB - Fixed]],4),MID(Demographics[[#This Row],[DOB - Fixed]],3,2),LEFT(Demographics[[#This Row],[DOB - Fixed]],2))))/365,0)</f>
        <v>35.967123287671235</v>
      </c>
      <c r="J608">
        <f>VLOOKUP(Demographics[[#This Row],[INCOME LEVEL]],Income[],4,FALSE)</f>
        <v>175</v>
      </c>
      <c r="K608">
        <f>IFERROR(Demographics[[#This Row],[Total monthly income]]/Demographics[[#This Row],[FAMILY SIZE]], 0)</f>
        <v>87.5</v>
      </c>
    </row>
    <row r="609" spans="1:11" x14ac:dyDescent="0.2">
      <c r="A609">
        <v>5007103</v>
      </c>
      <c r="B609">
        <v>28091987</v>
      </c>
      <c r="C609">
        <v>4</v>
      </c>
      <c r="D609">
        <v>1</v>
      </c>
      <c r="E609">
        <v>1</v>
      </c>
      <c r="F609">
        <v>5</v>
      </c>
      <c r="G609">
        <v>4</v>
      </c>
      <c r="H609" t="str">
        <f>IF(Demographics[[#This Row],[DOB]]&gt;10000000, TEXT(Demographics[[#This Row],[DOB]],0),CONCATENATE("0",TEXT(Demographics[[#This Row],[DOB]],0)))</f>
        <v>28091987</v>
      </c>
      <c r="I609" s="4">
        <f ca="1">IFERROR((VALUE(TODAY()-DATE(RIGHT(Demographics[[#This Row],[DOB - Fixed]],4),MID(Demographics[[#This Row],[DOB - Fixed]],3,2),LEFT(Demographics[[#This Row],[DOB - Fixed]],2))))/365,0)</f>
        <v>35.969863013698628</v>
      </c>
      <c r="J609">
        <f>VLOOKUP(Demographics[[#This Row],[INCOME LEVEL]],Income[],4,FALSE)</f>
        <v>175</v>
      </c>
      <c r="K609">
        <f>IFERROR(Demographics[[#This Row],[Total monthly income]]/Demographics[[#This Row],[FAMILY SIZE]], 0)</f>
        <v>43.75</v>
      </c>
    </row>
    <row r="610" spans="1:11" x14ac:dyDescent="0.2">
      <c r="A610">
        <v>21894375</v>
      </c>
      <c r="B610">
        <v>28091987</v>
      </c>
      <c r="C610">
        <v>4</v>
      </c>
      <c r="D610">
        <v>1</v>
      </c>
      <c r="E610">
        <v>1</v>
      </c>
      <c r="F610">
        <v>5</v>
      </c>
      <c r="G610">
        <v>5</v>
      </c>
      <c r="H610" t="str">
        <f>IF(Demographics[[#This Row],[DOB]]&gt;10000000, TEXT(Demographics[[#This Row],[DOB]],0),CONCATENATE("0",TEXT(Demographics[[#This Row],[DOB]],0)))</f>
        <v>28091987</v>
      </c>
      <c r="I610" s="4">
        <f ca="1">IFERROR((VALUE(TODAY()-DATE(RIGHT(Demographics[[#This Row],[DOB - Fixed]],4),MID(Demographics[[#This Row],[DOB - Fixed]],3,2),LEFT(Demographics[[#This Row],[DOB - Fixed]],2))))/365,0)</f>
        <v>35.969863013698628</v>
      </c>
      <c r="J610">
        <f>VLOOKUP(Demographics[[#This Row],[INCOME LEVEL]],Income[],4,FALSE)</f>
        <v>175</v>
      </c>
      <c r="K610">
        <f>IFERROR(Demographics[[#This Row],[Total monthly income]]/Demographics[[#This Row],[FAMILY SIZE]], 0)</f>
        <v>43.75</v>
      </c>
    </row>
    <row r="611" spans="1:11" x14ac:dyDescent="0.2">
      <c r="A611">
        <v>24665890</v>
      </c>
      <c r="B611">
        <v>10101987</v>
      </c>
      <c r="C611">
        <v>6</v>
      </c>
      <c r="D611">
        <v>1</v>
      </c>
      <c r="E611">
        <v>1</v>
      </c>
      <c r="F611">
        <v>2</v>
      </c>
      <c r="G611">
        <v>4</v>
      </c>
      <c r="H611" t="str">
        <f>IF(Demographics[[#This Row],[DOB]]&gt;10000000, TEXT(Demographics[[#This Row],[DOB]],0),CONCATENATE("0",TEXT(Demographics[[#This Row],[DOB]],0)))</f>
        <v>10101987</v>
      </c>
      <c r="I611" s="4">
        <f ca="1">IFERROR((VALUE(TODAY()-DATE(RIGHT(Demographics[[#This Row],[DOB - Fixed]],4),MID(Demographics[[#This Row],[DOB - Fixed]],3,2),LEFT(Demographics[[#This Row],[DOB - Fixed]],2))))/365,0)</f>
        <v>35.936986301369863</v>
      </c>
      <c r="J611">
        <f>VLOOKUP(Demographics[[#This Row],[INCOME LEVEL]],Income[],4,FALSE)</f>
        <v>175</v>
      </c>
      <c r="K611">
        <f>IFERROR(Demographics[[#This Row],[Total monthly income]]/Demographics[[#This Row],[FAMILY SIZE]], 0)</f>
        <v>29.166666666666668</v>
      </c>
    </row>
    <row r="612" spans="1:11" x14ac:dyDescent="0.2">
      <c r="A612">
        <v>1268386</v>
      </c>
      <c r="B612">
        <v>11101987</v>
      </c>
      <c r="C612">
        <v>3</v>
      </c>
      <c r="D612">
        <v>1</v>
      </c>
      <c r="E612">
        <v>1</v>
      </c>
      <c r="F612">
        <v>2</v>
      </c>
      <c r="G612">
        <v>3</v>
      </c>
      <c r="H612" t="str">
        <f>IF(Demographics[[#This Row],[DOB]]&gt;10000000, TEXT(Demographics[[#This Row],[DOB]],0),CONCATENATE("0",TEXT(Demographics[[#This Row],[DOB]],0)))</f>
        <v>11101987</v>
      </c>
      <c r="I612" s="4">
        <f ca="1">IFERROR((VALUE(TODAY()-DATE(RIGHT(Demographics[[#This Row],[DOB - Fixed]],4),MID(Demographics[[#This Row],[DOB - Fixed]],3,2),LEFT(Demographics[[#This Row],[DOB - Fixed]],2))))/365,0)</f>
        <v>35.934246575342463</v>
      </c>
      <c r="J612">
        <f>VLOOKUP(Demographics[[#This Row],[INCOME LEVEL]],Income[],4,FALSE)</f>
        <v>175</v>
      </c>
      <c r="K612">
        <f>IFERROR(Demographics[[#This Row],[Total monthly income]]/Demographics[[#This Row],[FAMILY SIZE]], 0)</f>
        <v>58.333333333333336</v>
      </c>
    </row>
    <row r="613" spans="1:11" x14ac:dyDescent="0.2">
      <c r="A613">
        <v>23165283</v>
      </c>
      <c r="B613">
        <v>18111987</v>
      </c>
      <c r="C613">
        <v>4</v>
      </c>
      <c r="D613">
        <v>1</v>
      </c>
      <c r="E613">
        <v>1</v>
      </c>
      <c r="F613">
        <v>3</v>
      </c>
      <c r="G613">
        <v>5</v>
      </c>
      <c r="H613" t="str">
        <f>IF(Demographics[[#This Row],[DOB]]&gt;10000000, TEXT(Demographics[[#This Row],[DOB]],0),CONCATENATE("0",TEXT(Demographics[[#This Row],[DOB]],0)))</f>
        <v>18111987</v>
      </c>
      <c r="I613" s="4">
        <f ca="1">IFERROR((VALUE(TODAY()-DATE(RIGHT(Demographics[[#This Row],[DOB - Fixed]],4),MID(Demographics[[#This Row],[DOB - Fixed]],3,2),LEFT(Demographics[[#This Row],[DOB - Fixed]],2))))/365,0)</f>
        <v>35.830136986301369</v>
      </c>
      <c r="J613">
        <f>VLOOKUP(Demographics[[#This Row],[INCOME LEVEL]],Income[],4,FALSE)</f>
        <v>175</v>
      </c>
      <c r="K613">
        <f>IFERROR(Demographics[[#This Row],[Total monthly income]]/Demographics[[#This Row],[FAMILY SIZE]], 0)</f>
        <v>43.75</v>
      </c>
    </row>
    <row r="614" spans="1:11" x14ac:dyDescent="0.2">
      <c r="A614">
        <v>19223586</v>
      </c>
      <c r="B614">
        <v>28101987</v>
      </c>
      <c r="C614">
        <v>6</v>
      </c>
      <c r="D614">
        <v>1</v>
      </c>
      <c r="E614">
        <v>1</v>
      </c>
      <c r="F614">
        <v>4</v>
      </c>
      <c r="G614">
        <v>5</v>
      </c>
      <c r="H614" t="str">
        <f>IF(Demographics[[#This Row],[DOB]]&gt;10000000, TEXT(Demographics[[#This Row],[DOB]],0),CONCATENATE("0",TEXT(Demographics[[#This Row],[DOB]],0)))</f>
        <v>28101987</v>
      </c>
      <c r="I614" s="4">
        <f ca="1">IFERROR((VALUE(TODAY()-DATE(RIGHT(Demographics[[#This Row],[DOB - Fixed]],4),MID(Demographics[[#This Row],[DOB - Fixed]],3,2),LEFT(Demographics[[#This Row],[DOB - Fixed]],2))))/365,0)</f>
        <v>35.887671232876713</v>
      </c>
      <c r="J614">
        <f>VLOOKUP(Demographics[[#This Row],[INCOME LEVEL]],Income[],4,FALSE)</f>
        <v>175</v>
      </c>
      <c r="K614">
        <f>IFERROR(Demographics[[#This Row],[Total monthly income]]/Demographics[[#This Row],[FAMILY SIZE]], 0)</f>
        <v>29.166666666666668</v>
      </c>
    </row>
    <row r="615" spans="1:11" x14ac:dyDescent="0.2">
      <c r="A615">
        <v>18689156</v>
      </c>
      <c r="B615">
        <v>23111987</v>
      </c>
      <c r="C615">
        <v>7</v>
      </c>
      <c r="D615">
        <v>1</v>
      </c>
      <c r="E615">
        <v>1</v>
      </c>
      <c r="F615">
        <v>4</v>
      </c>
      <c r="G615">
        <v>5</v>
      </c>
      <c r="H615" t="str">
        <f>IF(Demographics[[#This Row],[DOB]]&gt;10000000, TEXT(Demographics[[#This Row],[DOB]],0),CONCATENATE("0",TEXT(Demographics[[#This Row],[DOB]],0)))</f>
        <v>23111987</v>
      </c>
      <c r="I615" s="4">
        <f ca="1">IFERROR((VALUE(TODAY()-DATE(RIGHT(Demographics[[#This Row],[DOB - Fixed]],4),MID(Demographics[[#This Row],[DOB - Fixed]],3,2),LEFT(Demographics[[#This Row],[DOB - Fixed]],2))))/365,0)</f>
        <v>35.816438356164383</v>
      </c>
      <c r="J615">
        <f>VLOOKUP(Demographics[[#This Row],[INCOME LEVEL]],Income[],4,FALSE)</f>
        <v>175</v>
      </c>
      <c r="K615">
        <f>IFERROR(Demographics[[#This Row],[Total monthly income]]/Demographics[[#This Row],[FAMILY SIZE]], 0)</f>
        <v>25</v>
      </c>
    </row>
    <row r="616" spans="1:11" x14ac:dyDescent="0.2">
      <c r="A616">
        <v>16018912</v>
      </c>
      <c r="B616">
        <v>16101987</v>
      </c>
      <c r="C616">
        <v>4</v>
      </c>
      <c r="D616">
        <v>1</v>
      </c>
      <c r="E616">
        <v>1</v>
      </c>
      <c r="F616">
        <v>5</v>
      </c>
      <c r="G616">
        <v>4</v>
      </c>
      <c r="H616" t="str">
        <f>IF(Demographics[[#This Row],[DOB]]&gt;10000000, TEXT(Demographics[[#This Row],[DOB]],0),CONCATENATE("0",TEXT(Demographics[[#This Row],[DOB]],0)))</f>
        <v>16101987</v>
      </c>
      <c r="I616" s="4">
        <f ca="1">IFERROR((VALUE(TODAY()-DATE(RIGHT(Demographics[[#This Row],[DOB - Fixed]],4),MID(Demographics[[#This Row],[DOB - Fixed]],3,2),LEFT(Demographics[[#This Row],[DOB - Fixed]],2))))/365,0)</f>
        <v>35.920547945205477</v>
      </c>
      <c r="J616">
        <f>VLOOKUP(Demographics[[#This Row],[INCOME LEVEL]],Income[],4,FALSE)</f>
        <v>175</v>
      </c>
      <c r="K616">
        <f>IFERROR(Demographics[[#This Row],[Total monthly income]]/Demographics[[#This Row],[FAMILY SIZE]], 0)</f>
        <v>43.75</v>
      </c>
    </row>
    <row r="617" spans="1:11" x14ac:dyDescent="0.2">
      <c r="A617">
        <v>10347634</v>
      </c>
      <c r="B617">
        <v>18081987</v>
      </c>
      <c r="C617">
        <v>6</v>
      </c>
      <c r="D617">
        <v>1</v>
      </c>
      <c r="E617">
        <v>1</v>
      </c>
      <c r="F617">
        <v>2</v>
      </c>
      <c r="G617">
        <v>5</v>
      </c>
      <c r="H617" t="str">
        <f>IF(Demographics[[#This Row],[DOB]]&gt;10000000, TEXT(Demographics[[#This Row],[DOB]],0),CONCATENATE("0",TEXT(Demographics[[#This Row],[DOB]],0)))</f>
        <v>18081987</v>
      </c>
      <c r="I617" s="4">
        <f ca="1">IFERROR((VALUE(TODAY()-DATE(RIGHT(Demographics[[#This Row],[DOB - Fixed]],4),MID(Demographics[[#This Row],[DOB - Fixed]],3,2),LEFT(Demographics[[#This Row],[DOB - Fixed]],2))))/365,0)</f>
        <v>36.082191780821915</v>
      </c>
      <c r="J617">
        <f>VLOOKUP(Demographics[[#This Row],[INCOME LEVEL]],Income[],4,FALSE)</f>
        <v>175</v>
      </c>
      <c r="K617">
        <f>IFERROR(Demographics[[#This Row],[Total monthly income]]/Demographics[[#This Row],[FAMILY SIZE]], 0)</f>
        <v>29.166666666666668</v>
      </c>
    </row>
    <row r="618" spans="1:11" x14ac:dyDescent="0.2">
      <c r="A618">
        <v>20927973</v>
      </c>
      <c r="B618">
        <v>16111987</v>
      </c>
      <c r="C618">
        <v>4</v>
      </c>
      <c r="D618">
        <v>1</v>
      </c>
      <c r="E618">
        <v>1</v>
      </c>
      <c r="F618">
        <v>0</v>
      </c>
      <c r="G618">
        <v>2</v>
      </c>
      <c r="H618" t="str">
        <f>IF(Demographics[[#This Row],[DOB]]&gt;10000000, TEXT(Demographics[[#This Row],[DOB]],0),CONCATENATE("0",TEXT(Demographics[[#This Row],[DOB]],0)))</f>
        <v>16111987</v>
      </c>
      <c r="I618" s="4">
        <f ca="1">IFERROR((VALUE(TODAY()-DATE(RIGHT(Demographics[[#This Row],[DOB - Fixed]],4),MID(Demographics[[#This Row],[DOB - Fixed]],3,2),LEFT(Demographics[[#This Row],[DOB - Fixed]],2))))/365,0)</f>
        <v>35.835616438356162</v>
      </c>
      <c r="J618">
        <f>VLOOKUP(Demographics[[#This Row],[INCOME LEVEL]],Income[],4,FALSE)</f>
        <v>175</v>
      </c>
      <c r="K618">
        <f>IFERROR(Demographics[[#This Row],[Total monthly income]]/Demographics[[#This Row],[FAMILY SIZE]], 0)</f>
        <v>43.75</v>
      </c>
    </row>
    <row r="619" spans="1:11" x14ac:dyDescent="0.2">
      <c r="A619">
        <v>1700820</v>
      </c>
      <c r="B619">
        <v>25111987</v>
      </c>
      <c r="C619">
        <v>3</v>
      </c>
      <c r="D619">
        <v>1</v>
      </c>
      <c r="E619">
        <v>2</v>
      </c>
      <c r="F619">
        <v>8</v>
      </c>
      <c r="G619">
        <v>5</v>
      </c>
      <c r="H619" t="str">
        <f>IF(Demographics[[#This Row],[DOB]]&gt;10000000, TEXT(Demographics[[#This Row],[DOB]],0),CONCATENATE("0",TEXT(Demographics[[#This Row],[DOB]],0)))</f>
        <v>25111987</v>
      </c>
      <c r="I619" s="4">
        <f ca="1">IFERROR((VALUE(TODAY()-DATE(RIGHT(Demographics[[#This Row],[DOB - Fixed]],4),MID(Demographics[[#This Row],[DOB - Fixed]],3,2),LEFT(Demographics[[#This Row],[DOB - Fixed]],2))))/365,0)</f>
        <v>35.81095890410959</v>
      </c>
      <c r="J619">
        <f>VLOOKUP(Demographics[[#This Row],[INCOME LEVEL]],Income[],4,FALSE)</f>
        <v>697.5</v>
      </c>
      <c r="K619">
        <f>IFERROR(Demographics[[#This Row],[Total monthly income]]/Demographics[[#This Row],[FAMILY SIZE]], 0)</f>
        <v>232.5</v>
      </c>
    </row>
    <row r="620" spans="1:11" x14ac:dyDescent="0.2">
      <c r="A620">
        <v>1369636</v>
      </c>
      <c r="B620">
        <v>17111987</v>
      </c>
      <c r="C620">
        <v>2</v>
      </c>
      <c r="D620">
        <v>0</v>
      </c>
      <c r="E620">
        <v>1</v>
      </c>
      <c r="F620">
        <v>5</v>
      </c>
      <c r="G620">
        <v>4</v>
      </c>
      <c r="H620" t="str">
        <f>IF(Demographics[[#This Row],[DOB]]&gt;10000000, TEXT(Demographics[[#This Row],[DOB]],0),CONCATENATE("0",TEXT(Demographics[[#This Row],[DOB]],0)))</f>
        <v>17111987</v>
      </c>
      <c r="I620" s="4">
        <f ca="1">IFERROR((VALUE(TODAY()-DATE(RIGHT(Demographics[[#This Row],[DOB - Fixed]],4),MID(Demographics[[#This Row],[DOB - Fixed]],3,2),LEFT(Demographics[[#This Row],[DOB - Fixed]],2))))/365,0)</f>
        <v>35.832876712328769</v>
      </c>
      <c r="J620">
        <f>VLOOKUP(Demographics[[#This Row],[INCOME LEVEL]],Income[],4,FALSE)</f>
        <v>175</v>
      </c>
      <c r="K620">
        <f>IFERROR(Demographics[[#This Row],[Total monthly income]]/Demographics[[#This Row],[FAMILY SIZE]], 0)</f>
        <v>87.5</v>
      </c>
    </row>
    <row r="621" spans="1:11" x14ac:dyDescent="0.2">
      <c r="A621">
        <v>17087370</v>
      </c>
      <c r="B621">
        <v>21111987</v>
      </c>
      <c r="C621">
        <v>4</v>
      </c>
      <c r="D621">
        <v>2</v>
      </c>
      <c r="E621">
        <v>1</v>
      </c>
      <c r="F621">
        <v>4</v>
      </c>
      <c r="G621">
        <v>2</v>
      </c>
      <c r="H621" t="str">
        <f>IF(Demographics[[#This Row],[DOB]]&gt;10000000, TEXT(Demographics[[#This Row],[DOB]],0),CONCATENATE("0",TEXT(Demographics[[#This Row],[DOB]],0)))</f>
        <v>21111987</v>
      </c>
      <c r="I621" s="4">
        <f ca="1">IFERROR((VALUE(TODAY()-DATE(RIGHT(Demographics[[#This Row],[DOB - Fixed]],4),MID(Demographics[[#This Row],[DOB - Fixed]],3,2),LEFT(Demographics[[#This Row],[DOB - Fixed]],2))))/365,0)</f>
        <v>35.821917808219176</v>
      </c>
      <c r="J621">
        <f>VLOOKUP(Demographics[[#This Row],[INCOME LEVEL]],Income[],4,FALSE)</f>
        <v>175</v>
      </c>
      <c r="K621">
        <f>IFERROR(Demographics[[#This Row],[Total monthly income]]/Demographics[[#This Row],[FAMILY SIZE]], 0)</f>
        <v>43.75</v>
      </c>
    </row>
    <row r="622" spans="1:11" x14ac:dyDescent="0.2">
      <c r="A622">
        <v>21029111</v>
      </c>
      <c r="B622">
        <v>11081986</v>
      </c>
      <c r="C622">
        <v>0</v>
      </c>
      <c r="D622">
        <v>0</v>
      </c>
      <c r="E622">
        <v>1</v>
      </c>
      <c r="F622">
        <v>0</v>
      </c>
      <c r="G622">
        <v>0</v>
      </c>
      <c r="H622" t="str">
        <f>IF(Demographics[[#This Row],[DOB]]&gt;10000000, TEXT(Demographics[[#This Row],[DOB]],0),CONCATENATE("0",TEXT(Demographics[[#This Row],[DOB]],0)))</f>
        <v>11081986</v>
      </c>
      <c r="I622" s="4">
        <f ca="1">IFERROR((VALUE(TODAY()-DATE(RIGHT(Demographics[[#This Row],[DOB - Fixed]],4),MID(Demographics[[#This Row],[DOB - Fixed]],3,2),LEFT(Demographics[[#This Row],[DOB - Fixed]],2))))/365,0)</f>
        <v>37.101369863013701</v>
      </c>
      <c r="J622">
        <f>VLOOKUP(Demographics[[#This Row],[INCOME LEVEL]],Income[],4,FALSE)</f>
        <v>175</v>
      </c>
      <c r="K622">
        <f>IFERROR(Demographics[[#This Row],[Total monthly income]]/Demographics[[#This Row],[FAMILY SIZE]], 0)</f>
        <v>0</v>
      </c>
    </row>
    <row r="623" spans="1:11" x14ac:dyDescent="0.2">
      <c r="A623">
        <v>3405488</v>
      </c>
      <c r="B623">
        <v>11121987</v>
      </c>
      <c r="C623">
        <v>6</v>
      </c>
      <c r="D623">
        <v>1</v>
      </c>
      <c r="E623">
        <v>1</v>
      </c>
      <c r="F623">
        <v>5</v>
      </c>
      <c r="G623">
        <v>4</v>
      </c>
      <c r="H623" t="str">
        <f>IF(Demographics[[#This Row],[DOB]]&gt;10000000, TEXT(Demographics[[#This Row],[DOB]],0),CONCATENATE("0",TEXT(Demographics[[#This Row],[DOB]],0)))</f>
        <v>11121987</v>
      </c>
      <c r="I623" s="4">
        <f ca="1">IFERROR((VALUE(TODAY()-DATE(RIGHT(Demographics[[#This Row],[DOB - Fixed]],4),MID(Demographics[[#This Row],[DOB - Fixed]],3,2),LEFT(Demographics[[#This Row],[DOB - Fixed]],2))))/365,0)</f>
        <v>35.767123287671232</v>
      </c>
      <c r="J623">
        <f>VLOOKUP(Demographics[[#This Row],[INCOME LEVEL]],Income[],4,FALSE)</f>
        <v>175</v>
      </c>
      <c r="K623">
        <f>IFERROR(Demographics[[#This Row],[Total monthly income]]/Demographics[[#This Row],[FAMILY SIZE]], 0)</f>
        <v>29.166666666666668</v>
      </c>
    </row>
    <row r="624" spans="1:11" x14ac:dyDescent="0.2">
      <c r="A624">
        <v>10881934</v>
      </c>
      <c r="B624">
        <v>11101987</v>
      </c>
      <c r="C624">
        <v>6</v>
      </c>
      <c r="D624">
        <v>1</v>
      </c>
      <c r="E624">
        <v>1</v>
      </c>
      <c r="F624">
        <v>5</v>
      </c>
      <c r="G624">
        <v>5</v>
      </c>
      <c r="H624" t="str">
        <f>IF(Demographics[[#This Row],[DOB]]&gt;10000000, TEXT(Demographics[[#This Row],[DOB]],0),CONCATENATE("0",TEXT(Demographics[[#This Row],[DOB]],0)))</f>
        <v>11101987</v>
      </c>
      <c r="I624" s="4">
        <f ca="1">IFERROR((VALUE(TODAY()-DATE(RIGHT(Demographics[[#This Row],[DOB - Fixed]],4),MID(Demographics[[#This Row],[DOB - Fixed]],3,2),LEFT(Demographics[[#This Row],[DOB - Fixed]],2))))/365,0)</f>
        <v>35.934246575342463</v>
      </c>
      <c r="J624">
        <f>VLOOKUP(Demographics[[#This Row],[INCOME LEVEL]],Income[],4,FALSE)</f>
        <v>175</v>
      </c>
      <c r="K624">
        <f>IFERROR(Demographics[[#This Row],[Total monthly income]]/Demographics[[#This Row],[FAMILY SIZE]], 0)</f>
        <v>29.166666666666668</v>
      </c>
    </row>
    <row r="625" spans="1:11" x14ac:dyDescent="0.2">
      <c r="A625">
        <v>15052997</v>
      </c>
      <c r="B625">
        <v>14121987</v>
      </c>
      <c r="C625">
        <v>4</v>
      </c>
      <c r="D625">
        <v>1</v>
      </c>
      <c r="E625">
        <v>2</v>
      </c>
      <c r="F625">
        <v>10</v>
      </c>
      <c r="G625">
        <v>7</v>
      </c>
      <c r="H625" t="str">
        <f>IF(Demographics[[#This Row],[DOB]]&gt;10000000, TEXT(Demographics[[#This Row],[DOB]],0),CONCATENATE("0",TEXT(Demographics[[#This Row],[DOB]],0)))</f>
        <v>14121987</v>
      </c>
      <c r="I625" s="4">
        <f ca="1">IFERROR((VALUE(TODAY()-DATE(RIGHT(Demographics[[#This Row],[DOB - Fixed]],4),MID(Demographics[[#This Row],[DOB - Fixed]],3,2),LEFT(Demographics[[#This Row],[DOB - Fixed]],2))))/365,0)</f>
        <v>35.758904109589039</v>
      </c>
      <c r="J625">
        <f>VLOOKUP(Demographics[[#This Row],[INCOME LEVEL]],Income[],4,FALSE)</f>
        <v>697.5</v>
      </c>
      <c r="K625">
        <f>IFERROR(Demographics[[#This Row],[Total monthly income]]/Demographics[[#This Row],[FAMILY SIZE]], 0)</f>
        <v>174.375</v>
      </c>
    </row>
    <row r="626" spans="1:11" x14ac:dyDescent="0.2">
      <c r="A626">
        <v>11315092</v>
      </c>
      <c r="B626">
        <v>29111987</v>
      </c>
      <c r="C626">
        <v>4</v>
      </c>
      <c r="D626">
        <v>1</v>
      </c>
      <c r="E626">
        <v>1</v>
      </c>
      <c r="F626">
        <v>4</v>
      </c>
      <c r="G626">
        <v>4</v>
      </c>
      <c r="H626" t="str">
        <f>IF(Demographics[[#This Row],[DOB]]&gt;10000000, TEXT(Demographics[[#This Row],[DOB]],0),CONCATENATE("0",TEXT(Demographics[[#This Row],[DOB]],0)))</f>
        <v>29111987</v>
      </c>
      <c r="I626" s="4">
        <f ca="1">IFERROR((VALUE(TODAY()-DATE(RIGHT(Demographics[[#This Row],[DOB - Fixed]],4),MID(Demographics[[#This Row],[DOB - Fixed]],3,2),LEFT(Demographics[[#This Row],[DOB - Fixed]],2))))/365,0)</f>
        <v>35.799999999999997</v>
      </c>
      <c r="J626">
        <f>VLOOKUP(Demographics[[#This Row],[INCOME LEVEL]],Income[],4,FALSE)</f>
        <v>175</v>
      </c>
      <c r="K626">
        <f>IFERROR(Demographics[[#This Row],[Total monthly income]]/Demographics[[#This Row],[FAMILY SIZE]], 0)</f>
        <v>43.75</v>
      </c>
    </row>
    <row r="627" spans="1:11" x14ac:dyDescent="0.2">
      <c r="A627">
        <v>2336791</v>
      </c>
      <c r="B627">
        <v>27111987</v>
      </c>
      <c r="C627">
        <v>3</v>
      </c>
      <c r="D627">
        <v>1</v>
      </c>
      <c r="E627">
        <v>1</v>
      </c>
      <c r="F627">
        <v>0</v>
      </c>
      <c r="G627">
        <v>4</v>
      </c>
      <c r="H627" t="str">
        <f>IF(Demographics[[#This Row],[DOB]]&gt;10000000, TEXT(Demographics[[#This Row],[DOB]],0),CONCATENATE("0",TEXT(Demographics[[#This Row],[DOB]],0)))</f>
        <v>27111987</v>
      </c>
      <c r="I627" s="4">
        <f ca="1">IFERROR((VALUE(TODAY()-DATE(RIGHT(Demographics[[#This Row],[DOB - Fixed]],4),MID(Demographics[[#This Row],[DOB - Fixed]],3,2),LEFT(Demographics[[#This Row],[DOB - Fixed]],2))))/365,0)</f>
        <v>35.805479452054797</v>
      </c>
      <c r="J627">
        <f>VLOOKUP(Demographics[[#This Row],[INCOME LEVEL]],Income[],4,FALSE)</f>
        <v>175</v>
      </c>
      <c r="K627">
        <f>IFERROR(Demographics[[#This Row],[Total monthly income]]/Demographics[[#This Row],[FAMILY SIZE]], 0)</f>
        <v>58.333333333333336</v>
      </c>
    </row>
    <row r="628" spans="1:11" x14ac:dyDescent="0.2">
      <c r="A628">
        <v>2438113</v>
      </c>
      <c r="B628">
        <v>14121987</v>
      </c>
      <c r="C628">
        <v>4</v>
      </c>
      <c r="D628">
        <v>1</v>
      </c>
      <c r="E628">
        <v>1</v>
      </c>
      <c r="F628">
        <v>3</v>
      </c>
      <c r="G628">
        <v>3</v>
      </c>
      <c r="H628" t="str">
        <f>IF(Demographics[[#This Row],[DOB]]&gt;10000000, TEXT(Demographics[[#This Row],[DOB]],0),CONCATENATE("0",TEXT(Demographics[[#This Row],[DOB]],0)))</f>
        <v>14121987</v>
      </c>
      <c r="I628" s="4">
        <f ca="1">IFERROR((VALUE(TODAY()-DATE(RIGHT(Demographics[[#This Row],[DOB - Fixed]],4),MID(Demographics[[#This Row],[DOB - Fixed]],3,2),LEFT(Demographics[[#This Row],[DOB - Fixed]],2))))/365,0)</f>
        <v>35.758904109589039</v>
      </c>
      <c r="J628">
        <f>VLOOKUP(Demographics[[#This Row],[INCOME LEVEL]],Income[],4,FALSE)</f>
        <v>175</v>
      </c>
      <c r="K628">
        <f>IFERROR(Demographics[[#This Row],[Total monthly income]]/Demographics[[#This Row],[FAMILY SIZE]], 0)</f>
        <v>43.75</v>
      </c>
    </row>
    <row r="629" spans="1:11" x14ac:dyDescent="0.2">
      <c r="A629">
        <v>18892216</v>
      </c>
      <c r="B629">
        <v>19091987</v>
      </c>
      <c r="C629">
        <v>4</v>
      </c>
      <c r="D629">
        <v>1</v>
      </c>
      <c r="E629">
        <v>1</v>
      </c>
      <c r="F629">
        <v>2</v>
      </c>
      <c r="G629">
        <v>4</v>
      </c>
      <c r="H629" t="str">
        <f>IF(Demographics[[#This Row],[DOB]]&gt;10000000, TEXT(Demographics[[#This Row],[DOB]],0),CONCATENATE("0",TEXT(Demographics[[#This Row],[DOB]],0)))</f>
        <v>19091987</v>
      </c>
      <c r="I629" s="4">
        <f ca="1">IFERROR((VALUE(TODAY()-DATE(RIGHT(Demographics[[#This Row],[DOB - Fixed]],4),MID(Demographics[[#This Row],[DOB - Fixed]],3,2),LEFT(Demographics[[#This Row],[DOB - Fixed]],2))))/365,0)</f>
        <v>35.994520547945207</v>
      </c>
      <c r="J629">
        <f>VLOOKUP(Demographics[[#This Row],[INCOME LEVEL]],Income[],4,FALSE)</f>
        <v>175</v>
      </c>
      <c r="K629">
        <f>IFERROR(Demographics[[#This Row],[Total monthly income]]/Demographics[[#This Row],[FAMILY SIZE]], 0)</f>
        <v>43.75</v>
      </c>
    </row>
    <row r="630" spans="1:11" x14ac:dyDescent="0.2">
      <c r="A630">
        <v>7677181</v>
      </c>
      <c r="B630">
        <v>12121987</v>
      </c>
      <c r="C630">
        <v>2</v>
      </c>
      <c r="D630">
        <v>0</v>
      </c>
      <c r="E630">
        <v>1</v>
      </c>
      <c r="F630">
        <v>2</v>
      </c>
      <c r="G630">
        <v>2</v>
      </c>
      <c r="H630" t="str">
        <f>IF(Demographics[[#This Row],[DOB]]&gt;10000000, TEXT(Demographics[[#This Row],[DOB]],0),CONCATENATE("0",TEXT(Demographics[[#This Row],[DOB]],0)))</f>
        <v>12121987</v>
      </c>
      <c r="I630" s="4">
        <f ca="1">IFERROR((VALUE(TODAY()-DATE(RIGHT(Demographics[[#This Row],[DOB - Fixed]],4),MID(Demographics[[#This Row],[DOB - Fixed]],3,2),LEFT(Demographics[[#This Row],[DOB - Fixed]],2))))/365,0)</f>
        <v>35.764383561643832</v>
      </c>
      <c r="J630">
        <f>VLOOKUP(Demographics[[#This Row],[INCOME LEVEL]],Income[],4,FALSE)</f>
        <v>175</v>
      </c>
      <c r="K630">
        <f>IFERROR(Demographics[[#This Row],[Total monthly income]]/Demographics[[#This Row],[FAMILY SIZE]], 0)</f>
        <v>87.5</v>
      </c>
    </row>
    <row r="631" spans="1:11" x14ac:dyDescent="0.2">
      <c r="A631">
        <v>16018913</v>
      </c>
      <c r="B631">
        <v>30121987</v>
      </c>
      <c r="C631">
        <v>0</v>
      </c>
      <c r="D631">
        <v>0</v>
      </c>
      <c r="E631">
        <v>1</v>
      </c>
      <c r="F631">
        <v>0</v>
      </c>
      <c r="G631">
        <v>0</v>
      </c>
      <c r="H631" t="str">
        <f>IF(Demographics[[#This Row],[DOB]]&gt;10000000, TEXT(Demographics[[#This Row],[DOB]],0),CONCATENATE("0",TEXT(Demographics[[#This Row],[DOB]],0)))</f>
        <v>30121987</v>
      </c>
      <c r="I631" s="4">
        <f ca="1">IFERROR((VALUE(TODAY()-DATE(RIGHT(Demographics[[#This Row],[DOB - Fixed]],4),MID(Demographics[[#This Row],[DOB - Fixed]],3,2),LEFT(Demographics[[#This Row],[DOB - Fixed]],2))))/365,0)</f>
        <v>35.715068493150682</v>
      </c>
      <c r="J631">
        <f>VLOOKUP(Demographics[[#This Row],[INCOME LEVEL]],Income[],4,FALSE)</f>
        <v>175</v>
      </c>
      <c r="K631">
        <f>IFERROR(Demographics[[#This Row],[Total monthly income]]/Demographics[[#This Row],[FAMILY SIZE]], 0)</f>
        <v>0</v>
      </c>
    </row>
    <row r="632" spans="1:11" x14ac:dyDescent="0.2">
      <c r="A632">
        <v>14086301</v>
      </c>
      <c r="B632">
        <v>21121987</v>
      </c>
      <c r="C632">
        <v>2</v>
      </c>
      <c r="D632">
        <v>1</v>
      </c>
      <c r="E632">
        <v>1</v>
      </c>
      <c r="F632">
        <v>10</v>
      </c>
      <c r="G632">
        <v>5</v>
      </c>
      <c r="H632" t="str">
        <f>IF(Demographics[[#This Row],[DOB]]&gt;10000000, TEXT(Demographics[[#This Row],[DOB]],0),CONCATENATE("0",TEXT(Demographics[[#This Row],[DOB]],0)))</f>
        <v>21121987</v>
      </c>
      <c r="I632" s="4">
        <f ca="1">IFERROR((VALUE(TODAY()-DATE(RIGHT(Demographics[[#This Row],[DOB - Fixed]],4),MID(Demographics[[#This Row],[DOB - Fixed]],3,2),LEFT(Demographics[[#This Row],[DOB - Fixed]],2))))/365,0)</f>
        <v>35.739726027397261</v>
      </c>
      <c r="J632">
        <f>VLOOKUP(Demographics[[#This Row],[INCOME LEVEL]],Income[],4,FALSE)</f>
        <v>175</v>
      </c>
      <c r="K632">
        <f>IFERROR(Demographics[[#This Row],[Total monthly income]]/Demographics[[#This Row],[FAMILY SIZE]], 0)</f>
        <v>87.5</v>
      </c>
    </row>
    <row r="633" spans="1:11" x14ac:dyDescent="0.2">
      <c r="A633">
        <v>4040346</v>
      </c>
      <c r="B633">
        <v>5121987</v>
      </c>
      <c r="C633">
        <v>5</v>
      </c>
      <c r="D633">
        <v>1</v>
      </c>
      <c r="E633">
        <v>2</v>
      </c>
      <c r="F633">
        <v>5</v>
      </c>
      <c r="G633">
        <v>3</v>
      </c>
      <c r="H633" t="str">
        <f>IF(Demographics[[#This Row],[DOB]]&gt;10000000, TEXT(Demographics[[#This Row],[DOB]],0),CONCATENATE("0",TEXT(Demographics[[#This Row],[DOB]],0)))</f>
        <v>05121987</v>
      </c>
      <c r="I633" s="4">
        <f ca="1">IFERROR((VALUE(TODAY()-DATE(RIGHT(Demographics[[#This Row],[DOB - Fixed]],4),MID(Demographics[[#This Row],[DOB - Fixed]],3,2),LEFT(Demographics[[#This Row],[DOB - Fixed]],2))))/365,0)</f>
        <v>35.783561643835618</v>
      </c>
      <c r="J633">
        <f>VLOOKUP(Demographics[[#This Row],[INCOME LEVEL]],Income[],4,FALSE)</f>
        <v>697.5</v>
      </c>
      <c r="K633">
        <f>IFERROR(Demographics[[#This Row],[Total monthly income]]/Demographics[[#This Row],[FAMILY SIZE]], 0)</f>
        <v>139.5</v>
      </c>
    </row>
    <row r="634" spans="1:11" x14ac:dyDescent="0.2">
      <c r="A634">
        <v>835598</v>
      </c>
      <c r="B634">
        <v>30121987</v>
      </c>
      <c r="C634">
        <v>5</v>
      </c>
      <c r="D634">
        <v>1</v>
      </c>
      <c r="E634">
        <v>1</v>
      </c>
      <c r="F634">
        <v>3</v>
      </c>
      <c r="G634">
        <v>2</v>
      </c>
      <c r="H634" t="str">
        <f>IF(Demographics[[#This Row],[DOB]]&gt;10000000, TEXT(Demographics[[#This Row],[DOB]],0),CONCATENATE("0",TEXT(Demographics[[#This Row],[DOB]],0)))</f>
        <v>30121987</v>
      </c>
      <c r="I634" s="4">
        <f ca="1">IFERROR((VALUE(TODAY()-DATE(RIGHT(Demographics[[#This Row],[DOB - Fixed]],4),MID(Demographics[[#This Row],[DOB - Fixed]],3,2),LEFT(Demographics[[#This Row],[DOB - Fixed]],2))))/365,0)</f>
        <v>35.715068493150682</v>
      </c>
      <c r="J634">
        <f>VLOOKUP(Demographics[[#This Row],[INCOME LEVEL]],Income[],4,FALSE)</f>
        <v>175</v>
      </c>
      <c r="K634">
        <f>IFERROR(Demographics[[#This Row],[Total monthly income]]/Demographics[[#This Row],[FAMILY SIZE]], 0)</f>
        <v>35</v>
      </c>
    </row>
    <row r="635" spans="1:11" x14ac:dyDescent="0.2">
      <c r="A635">
        <v>6536800</v>
      </c>
      <c r="B635">
        <v>20111987</v>
      </c>
      <c r="C635">
        <v>10</v>
      </c>
      <c r="D635">
        <v>6</v>
      </c>
      <c r="E635">
        <v>2</v>
      </c>
      <c r="F635">
        <v>5</v>
      </c>
      <c r="G635">
        <v>9</v>
      </c>
      <c r="H635" t="str">
        <f>IF(Demographics[[#This Row],[DOB]]&gt;10000000, TEXT(Demographics[[#This Row],[DOB]],0),CONCATENATE("0",TEXT(Demographics[[#This Row],[DOB]],0)))</f>
        <v>20111987</v>
      </c>
      <c r="I635" s="4">
        <f ca="1">IFERROR((VALUE(TODAY()-DATE(RIGHT(Demographics[[#This Row],[DOB - Fixed]],4),MID(Demographics[[#This Row],[DOB - Fixed]],3,2),LEFT(Demographics[[#This Row],[DOB - Fixed]],2))))/365,0)</f>
        <v>35.824657534246576</v>
      </c>
      <c r="J635">
        <f>VLOOKUP(Demographics[[#This Row],[INCOME LEVEL]],Income[],4,FALSE)</f>
        <v>697.5</v>
      </c>
      <c r="K635">
        <f>IFERROR(Demographics[[#This Row],[Total monthly income]]/Demographics[[#This Row],[FAMILY SIZE]], 0)</f>
        <v>69.75</v>
      </c>
    </row>
    <row r="636" spans="1:11" x14ac:dyDescent="0.2">
      <c r="A636">
        <v>22024746</v>
      </c>
      <c r="B636">
        <v>15121987</v>
      </c>
      <c r="C636">
        <v>5</v>
      </c>
      <c r="D636">
        <v>1</v>
      </c>
      <c r="E636">
        <v>2</v>
      </c>
      <c r="F636">
        <v>8</v>
      </c>
      <c r="G636">
        <v>7</v>
      </c>
      <c r="H636" t="str">
        <f>IF(Demographics[[#This Row],[DOB]]&gt;10000000, TEXT(Demographics[[#This Row],[DOB]],0),CONCATENATE("0",TEXT(Demographics[[#This Row],[DOB]],0)))</f>
        <v>15121987</v>
      </c>
      <c r="I636" s="4">
        <f ca="1">IFERROR((VALUE(TODAY()-DATE(RIGHT(Demographics[[#This Row],[DOB - Fixed]],4),MID(Demographics[[#This Row],[DOB - Fixed]],3,2),LEFT(Demographics[[#This Row],[DOB - Fixed]],2))))/365,0)</f>
        <v>35.756164383561647</v>
      </c>
      <c r="J636">
        <f>VLOOKUP(Demographics[[#This Row],[INCOME LEVEL]],Income[],4,FALSE)</f>
        <v>697.5</v>
      </c>
      <c r="K636">
        <f>IFERROR(Demographics[[#This Row],[Total monthly income]]/Demographics[[#This Row],[FAMILY SIZE]], 0)</f>
        <v>139.5</v>
      </c>
    </row>
    <row r="637" spans="1:11" x14ac:dyDescent="0.2">
      <c r="A637">
        <v>2798180</v>
      </c>
      <c r="B637">
        <v>5011988</v>
      </c>
      <c r="C637">
        <v>0</v>
      </c>
      <c r="D637">
        <v>0</v>
      </c>
      <c r="E637">
        <v>1</v>
      </c>
      <c r="F637">
        <v>3</v>
      </c>
      <c r="G637">
        <v>2</v>
      </c>
      <c r="H637" t="str">
        <f>IF(Demographics[[#This Row],[DOB]]&gt;10000000, TEXT(Demographics[[#This Row],[DOB]],0),CONCATENATE("0",TEXT(Demographics[[#This Row],[DOB]],0)))</f>
        <v>05011988</v>
      </c>
      <c r="I637" s="4">
        <f ca="1">IFERROR((VALUE(TODAY()-DATE(RIGHT(Demographics[[#This Row],[DOB - Fixed]],4),MID(Demographics[[#This Row],[DOB - Fixed]],3,2),LEFT(Demographics[[#This Row],[DOB - Fixed]],2))))/365,0)</f>
        <v>35.698630136986303</v>
      </c>
      <c r="J637">
        <f>VLOOKUP(Demographics[[#This Row],[INCOME LEVEL]],Income[],4,FALSE)</f>
        <v>175</v>
      </c>
      <c r="K637">
        <f>IFERROR(Demographics[[#This Row],[Total monthly income]]/Demographics[[#This Row],[FAMILY SIZE]], 0)</f>
        <v>0</v>
      </c>
    </row>
    <row r="638" spans="1:11" x14ac:dyDescent="0.2">
      <c r="A638">
        <v>7705599</v>
      </c>
      <c r="B638">
        <v>29121987</v>
      </c>
      <c r="C638">
        <v>3</v>
      </c>
      <c r="D638">
        <v>1</v>
      </c>
      <c r="E638">
        <v>1</v>
      </c>
      <c r="F638">
        <v>3</v>
      </c>
      <c r="G638">
        <v>5</v>
      </c>
      <c r="H638" t="str">
        <f>IF(Demographics[[#This Row],[DOB]]&gt;10000000, TEXT(Demographics[[#This Row],[DOB]],0),CONCATENATE("0",TEXT(Demographics[[#This Row],[DOB]],0)))</f>
        <v>29121987</v>
      </c>
      <c r="I638" s="4">
        <f ca="1">IFERROR((VALUE(TODAY()-DATE(RIGHT(Demographics[[#This Row],[DOB - Fixed]],4),MID(Demographics[[#This Row],[DOB - Fixed]],3,2),LEFT(Demographics[[#This Row],[DOB - Fixed]],2))))/365,0)</f>
        <v>35.717808219178082</v>
      </c>
      <c r="J638">
        <f>VLOOKUP(Demographics[[#This Row],[INCOME LEVEL]],Income[],4,FALSE)</f>
        <v>175</v>
      </c>
      <c r="K638">
        <f>IFERROR(Demographics[[#This Row],[Total monthly income]]/Demographics[[#This Row],[FAMILY SIZE]], 0)</f>
        <v>58.333333333333336</v>
      </c>
    </row>
    <row r="639" spans="1:11" x14ac:dyDescent="0.2">
      <c r="A639">
        <v>5901236</v>
      </c>
      <c r="B639">
        <v>6011988</v>
      </c>
      <c r="C639">
        <v>6</v>
      </c>
      <c r="D639">
        <v>2</v>
      </c>
      <c r="E639">
        <v>2</v>
      </c>
      <c r="F639">
        <v>9</v>
      </c>
      <c r="G639">
        <v>9</v>
      </c>
      <c r="H639" t="str">
        <f>IF(Demographics[[#This Row],[DOB]]&gt;10000000, TEXT(Demographics[[#This Row],[DOB]],0),CONCATENATE("0",TEXT(Demographics[[#This Row],[DOB]],0)))</f>
        <v>06011988</v>
      </c>
      <c r="I639" s="4">
        <f ca="1">IFERROR((VALUE(TODAY()-DATE(RIGHT(Demographics[[#This Row],[DOB - Fixed]],4),MID(Demographics[[#This Row],[DOB - Fixed]],3,2),LEFT(Demographics[[#This Row],[DOB - Fixed]],2))))/365,0)</f>
        <v>35.695890410958903</v>
      </c>
      <c r="J639">
        <f>VLOOKUP(Demographics[[#This Row],[INCOME LEVEL]],Income[],4,FALSE)</f>
        <v>697.5</v>
      </c>
      <c r="K639">
        <f>IFERROR(Demographics[[#This Row],[Total monthly income]]/Demographics[[#This Row],[FAMILY SIZE]], 0)</f>
        <v>116.25</v>
      </c>
    </row>
    <row r="640" spans="1:11" x14ac:dyDescent="0.2">
      <c r="A640">
        <v>19989573</v>
      </c>
      <c r="B640">
        <v>10011988</v>
      </c>
      <c r="C640">
        <v>4</v>
      </c>
      <c r="D640">
        <v>1</v>
      </c>
      <c r="E640">
        <v>1</v>
      </c>
      <c r="F640">
        <v>5</v>
      </c>
      <c r="G640">
        <v>3</v>
      </c>
      <c r="H640" t="str">
        <f>IF(Demographics[[#This Row],[DOB]]&gt;10000000, TEXT(Demographics[[#This Row],[DOB]],0),CONCATENATE("0",TEXT(Demographics[[#This Row],[DOB]],0)))</f>
        <v>10011988</v>
      </c>
      <c r="I640" s="4">
        <f ca="1">IFERROR((VALUE(TODAY()-DATE(RIGHT(Demographics[[#This Row],[DOB - Fixed]],4),MID(Demographics[[#This Row],[DOB - Fixed]],3,2),LEFT(Demographics[[#This Row],[DOB - Fixed]],2))))/365,0)</f>
        <v>35.684931506849317</v>
      </c>
      <c r="J640">
        <f>VLOOKUP(Demographics[[#This Row],[INCOME LEVEL]],Income[],4,FALSE)</f>
        <v>175</v>
      </c>
      <c r="K640">
        <f>IFERROR(Demographics[[#This Row],[Total monthly income]]/Demographics[[#This Row],[FAMILY SIZE]], 0)</f>
        <v>43.75</v>
      </c>
    </row>
    <row r="641" spans="1:11" x14ac:dyDescent="0.2">
      <c r="A641">
        <v>4501454</v>
      </c>
      <c r="B641">
        <v>8011988</v>
      </c>
      <c r="C641">
        <v>4</v>
      </c>
      <c r="D641">
        <v>1</v>
      </c>
      <c r="E641">
        <v>1</v>
      </c>
      <c r="F641">
        <v>2</v>
      </c>
      <c r="G641">
        <v>2</v>
      </c>
      <c r="H641" t="str">
        <f>IF(Demographics[[#This Row],[DOB]]&gt;10000000, TEXT(Demographics[[#This Row],[DOB]],0),CONCATENATE("0",TEXT(Demographics[[#This Row],[DOB]],0)))</f>
        <v>08011988</v>
      </c>
      <c r="I641" s="4">
        <f ca="1">IFERROR((VALUE(TODAY()-DATE(RIGHT(Demographics[[#This Row],[DOB - Fixed]],4),MID(Demographics[[#This Row],[DOB - Fixed]],3,2),LEFT(Demographics[[#This Row],[DOB - Fixed]],2))))/365,0)</f>
        <v>35.69041095890411</v>
      </c>
      <c r="J641">
        <f>VLOOKUP(Demographics[[#This Row],[INCOME LEVEL]],Income[],4,FALSE)</f>
        <v>175</v>
      </c>
      <c r="K641">
        <f>IFERROR(Demographics[[#This Row],[Total monthly income]]/Demographics[[#This Row],[FAMILY SIZE]], 0)</f>
        <v>43.75</v>
      </c>
    </row>
    <row r="642" spans="1:11" x14ac:dyDescent="0.2">
      <c r="A642">
        <v>21922953</v>
      </c>
      <c r="B642">
        <v>13011988</v>
      </c>
      <c r="C642">
        <v>6</v>
      </c>
      <c r="D642">
        <v>5</v>
      </c>
      <c r="E642">
        <v>2</v>
      </c>
      <c r="F642">
        <v>2</v>
      </c>
      <c r="G642">
        <v>2</v>
      </c>
      <c r="H642" t="str">
        <f>IF(Demographics[[#This Row],[DOB]]&gt;10000000, TEXT(Demographics[[#This Row],[DOB]],0),CONCATENATE("0",TEXT(Demographics[[#This Row],[DOB]],0)))</f>
        <v>13011988</v>
      </c>
      <c r="I642" s="4">
        <f ca="1">IFERROR((VALUE(TODAY()-DATE(RIGHT(Demographics[[#This Row],[DOB - Fixed]],4),MID(Demographics[[#This Row],[DOB - Fixed]],3,2),LEFT(Demographics[[#This Row],[DOB - Fixed]],2))))/365,0)</f>
        <v>35.676712328767124</v>
      </c>
      <c r="J642">
        <f>VLOOKUP(Demographics[[#This Row],[INCOME LEVEL]],Income[],4,FALSE)</f>
        <v>697.5</v>
      </c>
      <c r="K642">
        <f>IFERROR(Demographics[[#This Row],[Total monthly income]]/Demographics[[#This Row],[FAMILY SIZE]], 0)</f>
        <v>116.25</v>
      </c>
    </row>
    <row r="643" spans="1:11" x14ac:dyDescent="0.2">
      <c r="A643">
        <v>22457028</v>
      </c>
      <c r="B643">
        <v>13011988</v>
      </c>
      <c r="C643">
        <v>5</v>
      </c>
      <c r="D643">
        <v>1</v>
      </c>
      <c r="E643">
        <v>1</v>
      </c>
      <c r="F643">
        <v>5</v>
      </c>
      <c r="G643">
        <v>3</v>
      </c>
      <c r="H643" t="str">
        <f>IF(Demographics[[#This Row],[DOB]]&gt;10000000, TEXT(Demographics[[#This Row],[DOB]],0),CONCATENATE("0",TEXT(Demographics[[#This Row],[DOB]],0)))</f>
        <v>13011988</v>
      </c>
      <c r="I643" s="4">
        <f ca="1">IFERROR((VALUE(TODAY()-DATE(RIGHT(Demographics[[#This Row],[DOB - Fixed]],4),MID(Demographics[[#This Row],[DOB - Fixed]],3,2),LEFT(Demographics[[#This Row],[DOB - Fixed]],2))))/365,0)</f>
        <v>35.676712328767124</v>
      </c>
      <c r="J643">
        <f>VLOOKUP(Demographics[[#This Row],[INCOME LEVEL]],Income[],4,FALSE)</f>
        <v>175</v>
      </c>
      <c r="K643">
        <f>IFERROR(Demographics[[#This Row],[Total monthly income]]/Demographics[[#This Row],[FAMILY SIZE]], 0)</f>
        <v>35</v>
      </c>
    </row>
    <row r="644" spans="1:11" x14ac:dyDescent="0.2">
      <c r="A644">
        <v>4832546</v>
      </c>
      <c r="B644">
        <v>19011988</v>
      </c>
      <c r="C644">
        <v>8</v>
      </c>
      <c r="D644">
        <v>1</v>
      </c>
      <c r="E644">
        <v>2</v>
      </c>
      <c r="F644">
        <v>4</v>
      </c>
      <c r="G644">
        <v>5</v>
      </c>
      <c r="H644" t="str">
        <f>IF(Demographics[[#This Row],[DOB]]&gt;10000000, TEXT(Demographics[[#This Row],[DOB]],0),CONCATENATE("0",TEXT(Demographics[[#This Row],[DOB]],0)))</f>
        <v>19011988</v>
      </c>
      <c r="I644" s="4">
        <f ca="1">IFERROR((VALUE(TODAY()-DATE(RIGHT(Demographics[[#This Row],[DOB - Fixed]],4),MID(Demographics[[#This Row],[DOB - Fixed]],3,2),LEFT(Demographics[[#This Row],[DOB - Fixed]],2))))/365,0)</f>
        <v>35.660273972602738</v>
      </c>
      <c r="J644">
        <f>VLOOKUP(Demographics[[#This Row],[INCOME LEVEL]],Income[],4,FALSE)</f>
        <v>697.5</v>
      </c>
      <c r="K644">
        <f>IFERROR(Demographics[[#This Row],[Total monthly income]]/Demographics[[#This Row],[FAMILY SIZE]], 0)</f>
        <v>87.1875</v>
      </c>
    </row>
    <row r="645" spans="1:11" x14ac:dyDescent="0.2">
      <c r="A645">
        <v>14114604</v>
      </c>
      <c r="B645">
        <v>14011988</v>
      </c>
      <c r="C645">
        <v>5</v>
      </c>
      <c r="D645">
        <v>1</v>
      </c>
      <c r="E645">
        <v>2</v>
      </c>
      <c r="F645">
        <v>5</v>
      </c>
      <c r="G645">
        <v>5</v>
      </c>
      <c r="H645" t="str">
        <f>IF(Demographics[[#This Row],[DOB]]&gt;10000000, TEXT(Demographics[[#This Row],[DOB]],0),CONCATENATE("0",TEXT(Demographics[[#This Row],[DOB]],0)))</f>
        <v>14011988</v>
      </c>
      <c r="I645" s="4">
        <f ca="1">IFERROR((VALUE(TODAY()-DATE(RIGHT(Demographics[[#This Row],[DOB - Fixed]],4),MID(Demographics[[#This Row],[DOB - Fixed]],3,2),LEFT(Demographics[[#This Row],[DOB - Fixed]],2))))/365,0)</f>
        <v>35.673972602739724</v>
      </c>
      <c r="J645">
        <f>VLOOKUP(Demographics[[#This Row],[INCOME LEVEL]],Income[],4,FALSE)</f>
        <v>697.5</v>
      </c>
      <c r="K645">
        <f>IFERROR(Demographics[[#This Row],[Total monthly income]]/Demographics[[#This Row],[FAMILY SIZE]], 0)</f>
        <v>139.5</v>
      </c>
    </row>
    <row r="646" spans="1:11" x14ac:dyDescent="0.2">
      <c r="A646">
        <v>15081516</v>
      </c>
      <c r="B646">
        <v>10011988</v>
      </c>
      <c r="C646">
        <v>0</v>
      </c>
      <c r="D646">
        <v>0</v>
      </c>
      <c r="E646">
        <v>2</v>
      </c>
      <c r="F646">
        <v>0</v>
      </c>
      <c r="G646">
        <v>0</v>
      </c>
      <c r="H646" t="str">
        <f>IF(Demographics[[#This Row],[DOB]]&gt;10000000, TEXT(Demographics[[#This Row],[DOB]],0),CONCATENATE("0",TEXT(Demographics[[#This Row],[DOB]],0)))</f>
        <v>10011988</v>
      </c>
      <c r="I646" s="4">
        <f ca="1">IFERROR((VALUE(TODAY()-DATE(RIGHT(Demographics[[#This Row],[DOB - Fixed]],4),MID(Demographics[[#This Row],[DOB - Fixed]],3,2),LEFT(Demographics[[#This Row],[DOB - Fixed]],2))))/365,0)</f>
        <v>35.684931506849317</v>
      </c>
      <c r="J646">
        <f>VLOOKUP(Demographics[[#This Row],[INCOME LEVEL]],Income[],4,FALSE)</f>
        <v>697.5</v>
      </c>
      <c r="K646">
        <f>IFERROR(Demographics[[#This Row],[Total monthly income]]/Demographics[[#This Row],[FAMILY SIZE]], 0)</f>
        <v>0</v>
      </c>
    </row>
    <row r="647" spans="1:11" x14ac:dyDescent="0.2">
      <c r="A647">
        <v>6104097</v>
      </c>
      <c r="B647">
        <v>21111987</v>
      </c>
      <c r="C647">
        <v>5</v>
      </c>
      <c r="D647">
        <v>3</v>
      </c>
      <c r="E647">
        <v>2</v>
      </c>
      <c r="F647">
        <v>3</v>
      </c>
      <c r="G647">
        <v>4</v>
      </c>
      <c r="H647" t="str">
        <f>IF(Demographics[[#This Row],[DOB]]&gt;10000000, TEXT(Demographics[[#This Row],[DOB]],0),CONCATENATE("0",TEXT(Demographics[[#This Row],[DOB]],0)))</f>
        <v>21111987</v>
      </c>
      <c r="I647" s="4">
        <f ca="1">IFERROR((VALUE(TODAY()-DATE(RIGHT(Demographics[[#This Row],[DOB - Fixed]],4),MID(Demographics[[#This Row],[DOB - Fixed]],3,2),LEFT(Demographics[[#This Row],[DOB - Fixed]],2))))/365,0)</f>
        <v>35.821917808219176</v>
      </c>
      <c r="J647">
        <f>VLOOKUP(Demographics[[#This Row],[INCOME LEVEL]],Income[],4,FALSE)</f>
        <v>697.5</v>
      </c>
      <c r="K647">
        <f>IFERROR(Demographics[[#This Row],[Total monthly income]]/Demographics[[#This Row],[FAMILY SIZE]], 0)</f>
        <v>139.5</v>
      </c>
    </row>
    <row r="648" spans="1:11" x14ac:dyDescent="0.2">
      <c r="A648">
        <v>12945241</v>
      </c>
      <c r="B648">
        <v>1021988</v>
      </c>
      <c r="C648">
        <v>0</v>
      </c>
      <c r="D648">
        <v>0</v>
      </c>
      <c r="E648">
        <v>1</v>
      </c>
      <c r="F648">
        <v>0</v>
      </c>
      <c r="G648">
        <v>0</v>
      </c>
      <c r="H648" t="str">
        <f>IF(Demographics[[#This Row],[DOB]]&gt;10000000, TEXT(Demographics[[#This Row],[DOB]],0),CONCATENATE("0",TEXT(Demographics[[#This Row],[DOB]],0)))</f>
        <v>01021988</v>
      </c>
      <c r="I648" s="4">
        <f ca="1">IFERROR((VALUE(TODAY()-DATE(RIGHT(Demographics[[#This Row],[DOB - Fixed]],4),MID(Demographics[[#This Row],[DOB - Fixed]],3,2),LEFT(Demographics[[#This Row],[DOB - Fixed]],2))))/365,0)</f>
        <v>35.624657534246573</v>
      </c>
      <c r="J648">
        <f>VLOOKUP(Demographics[[#This Row],[INCOME LEVEL]],Income[],4,FALSE)</f>
        <v>175</v>
      </c>
      <c r="K648">
        <f>IFERROR(Demographics[[#This Row],[Total monthly income]]/Demographics[[#This Row],[FAMILY SIZE]], 0)</f>
        <v>0</v>
      </c>
    </row>
    <row r="649" spans="1:11" x14ac:dyDescent="0.2">
      <c r="A649">
        <v>4501453</v>
      </c>
      <c r="B649">
        <v>5021988</v>
      </c>
      <c r="C649">
        <v>4</v>
      </c>
      <c r="D649">
        <v>1</v>
      </c>
      <c r="E649">
        <v>1</v>
      </c>
      <c r="F649">
        <v>5</v>
      </c>
      <c r="G649">
        <v>4</v>
      </c>
      <c r="H649" t="str">
        <f>IF(Demographics[[#This Row],[DOB]]&gt;10000000, TEXT(Demographics[[#This Row],[DOB]],0),CONCATENATE("0",TEXT(Demographics[[#This Row],[DOB]],0)))</f>
        <v>05021988</v>
      </c>
      <c r="I649" s="4">
        <f ca="1">IFERROR((VALUE(TODAY()-DATE(RIGHT(Demographics[[#This Row],[DOB - Fixed]],4),MID(Demographics[[#This Row],[DOB - Fixed]],3,2),LEFT(Demographics[[#This Row],[DOB - Fixed]],2))))/365,0)</f>
        <v>35.613698630136987</v>
      </c>
      <c r="J649">
        <f>VLOOKUP(Demographics[[#This Row],[INCOME LEVEL]],Income[],4,FALSE)</f>
        <v>175</v>
      </c>
      <c r="K649">
        <f>IFERROR(Demographics[[#This Row],[Total monthly income]]/Demographics[[#This Row],[FAMILY SIZE]], 0)</f>
        <v>43.75</v>
      </c>
    </row>
    <row r="650" spans="1:11" x14ac:dyDescent="0.2">
      <c r="A650">
        <v>4400045</v>
      </c>
      <c r="B650">
        <v>1021988</v>
      </c>
      <c r="C650">
        <v>4</v>
      </c>
      <c r="D650">
        <v>2</v>
      </c>
      <c r="E650">
        <v>2</v>
      </c>
      <c r="F650">
        <v>5</v>
      </c>
      <c r="G650">
        <v>5</v>
      </c>
      <c r="H650" t="str">
        <f>IF(Demographics[[#This Row],[DOB]]&gt;10000000, TEXT(Demographics[[#This Row],[DOB]],0),CONCATENATE("0",TEXT(Demographics[[#This Row],[DOB]],0)))</f>
        <v>01021988</v>
      </c>
      <c r="I650" s="4">
        <f ca="1">IFERROR((VALUE(TODAY()-DATE(RIGHT(Demographics[[#This Row],[DOB - Fixed]],4),MID(Demographics[[#This Row],[DOB - Fixed]],3,2),LEFT(Demographics[[#This Row],[DOB - Fixed]],2))))/365,0)</f>
        <v>35.624657534246573</v>
      </c>
      <c r="J650">
        <f>VLOOKUP(Demographics[[#This Row],[INCOME LEVEL]],Income[],4,FALSE)</f>
        <v>697.5</v>
      </c>
      <c r="K650">
        <f>IFERROR(Demographics[[#This Row],[Total monthly income]]/Demographics[[#This Row],[FAMILY SIZE]], 0)</f>
        <v>174.375</v>
      </c>
    </row>
    <row r="651" spans="1:11" x14ac:dyDescent="0.2">
      <c r="A651">
        <v>20854690</v>
      </c>
      <c r="B651">
        <v>22011988</v>
      </c>
      <c r="C651">
        <v>4</v>
      </c>
      <c r="D651">
        <v>2</v>
      </c>
      <c r="E651">
        <v>1</v>
      </c>
      <c r="F651">
        <v>2</v>
      </c>
      <c r="G651">
        <v>4</v>
      </c>
      <c r="H651" t="str">
        <f>IF(Demographics[[#This Row],[DOB]]&gt;10000000, TEXT(Demographics[[#This Row],[DOB]],0),CONCATENATE("0",TEXT(Demographics[[#This Row],[DOB]],0)))</f>
        <v>22011988</v>
      </c>
      <c r="I651" s="4">
        <f ca="1">IFERROR((VALUE(TODAY()-DATE(RIGHT(Demographics[[#This Row],[DOB - Fixed]],4),MID(Demographics[[#This Row],[DOB - Fixed]],3,2),LEFT(Demographics[[#This Row],[DOB - Fixed]],2))))/365,0)</f>
        <v>35.652054794520545</v>
      </c>
      <c r="J651">
        <f>VLOOKUP(Demographics[[#This Row],[INCOME LEVEL]],Income[],4,FALSE)</f>
        <v>175</v>
      </c>
      <c r="K651">
        <f>IFERROR(Demographics[[#This Row],[Total monthly income]]/Demographics[[#This Row],[FAMILY SIZE]], 0)</f>
        <v>43.75</v>
      </c>
    </row>
    <row r="652" spans="1:11" x14ac:dyDescent="0.2">
      <c r="A652">
        <v>2365334</v>
      </c>
      <c r="B652">
        <v>12021988</v>
      </c>
      <c r="C652">
        <v>5</v>
      </c>
      <c r="D652">
        <v>2</v>
      </c>
      <c r="E652">
        <v>1</v>
      </c>
      <c r="F652">
        <v>4</v>
      </c>
      <c r="G652">
        <v>5</v>
      </c>
      <c r="H652" t="str">
        <f>IF(Demographics[[#This Row],[DOB]]&gt;10000000, TEXT(Demographics[[#This Row],[DOB]],0),CONCATENATE("0",TEXT(Demographics[[#This Row],[DOB]],0)))</f>
        <v>12021988</v>
      </c>
      <c r="I652" s="4">
        <f ca="1">IFERROR((VALUE(TODAY()-DATE(RIGHT(Demographics[[#This Row],[DOB - Fixed]],4),MID(Demographics[[#This Row],[DOB - Fixed]],3,2),LEFT(Demographics[[#This Row],[DOB - Fixed]],2))))/365,0)</f>
        <v>35.594520547945208</v>
      </c>
      <c r="J652">
        <f>VLOOKUP(Demographics[[#This Row],[INCOME LEVEL]],Income[],4,FALSE)</f>
        <v>175</v>
      </c>
      <c r="K652">
        <f>IFERROR(Demographics[[#This Row],[Total monthly income]]/Demographics[[#This Row],[FAMILY SIZE]], 0)</f>
        <v>35</v>
      </c>
    </row>
    <row r="653" spans="1:11" x14ac:dyDescent="0.2">
      <c r="A653">
        <v>21057431</v>
      </c>
      <c r="B653">
        <v>15021988</v>
      </c>
      <c r="C653">
        <v>0</v>
      </c>
      <c r="D653">
        <v>0</v>
      </c>
      <c r="E653">
        <v>1</v>
      </c>
      <c r="F653">
        <v>10</v>
      </c>
      <c r="G653">
        <v>0</v>
      </c>
      <c r="H653" t="str">
        <f>IF(Demographics[[#This Row],[DOB]]&gt;10000000, TEXT(Demographics[[#This Row],[DOB]],0),CONCATENATE("0",TEXT(Demographics[[#This Row],[DOB]],0)))</f>
        <v>15021988</v>
      </c>
      <c r="I653" s="4">
        <f ca="1">IFERROR((VALUE(TODAY()-DATE(RIGHT(Demographics[[#This Row],[DOB - Fixed]],4),MID(Demographics[[#This Row],[DOB - Fixed]],3,2),LEFT(Demographics[[#This Row],[DOB - Fixed]],2))))/365,0)</f>
        <v>35.586301369863016</v>
      </c>
      <c r="J653">
        <f>VLOOKUP(Demographics[[#This Row],[INCOME LEVEL]],Income[],4,FALSE)</f>
        <v>175</v>
      </c>
      <c r="K653">
        <f>IFERROR(Demographics[[#This Row],[Total monthly income]]/Demographics[[#This Row],[FAMILY SIZE]], 0)</f>
        <v>0</v>
      </c>
    </row>
    <row r="654" spans="1:11" x14ac:dyDescent="0.2">
      <c r="A654">
        <v>8037141</v>
      </c>
      <c r="B654">
        <v>5021988</v>
      </c>
      <c r="C654">
        <v>2</v>
      </c>
      <c r="D654">
        <v>1</v>
      </c>
      <c r="E654">
        <v>1</v>
      </c>
      <c r="F654">
        <v>5</v>
      </c>
      <c r="G654">
        <v>9</v>
      </c>
      <c r="H654" t="str">
        <f>IF(Demographics[[#This Row],[DOB]]&gt;10000000, TEXT(Demographics[[#This Row],[DOB]],0),CONCATENATE("0",TEXT(Demographics[[#This Row],[DOB]],0)))</f>
        <v>05021988</v>
      </c>
      <c r="I654" s="4">
        <f ca="1">IFERROR((VALUE(TODAY()-DATE(RIGHT(Demographics[[#This Row],[DOB - Fixed]],4),MID(Demographics[[#This Row],[DOB - Fixed]],3,2),LEFT(Demographics[[#This Row],[DOB - Fixed]],2))))/365,0)</f>
        <v>35.613698630136987</v>
      </c>
      <c r="J654">
        <f>VLOOKUP(Demographics[[#This Row],[INCOME LEVEL]],Income[],4,FALSE)</f>
        <v>175</v>
      </c>
      <c r="K654">
        <f>IFERROR(Demographics[[#This Row],[Total monthly income]]/Demographics[[#This Row],[FAMILY SIZE]], 0)</f>
        <v>87.5</v>
      </c>
    </row>
    <row r="655" spans="1:11" x14ac:dyDescent="0.2">
      <c r="A655">
        <v>13911838</v>
      </c>
      <c r="B655">
        <v>15021988</v>
      </c>
      <c r="C655">
        <v>3</v>
      </c>
      <c r="D655">
        <v>1</v>
      </c>
      <c r="E655">
        <v>2</v>
      </c>
      <c r="F655">
        <v>0</v>
      </c>
      <c r="G655">
        <v>9</v>
      </c>
      <c r="H655" t="str">
        <f>IF(Demographics[[#This Row],[DOB]]&gt;10000000, TEXT(Demographics[[#This Row],[DOB]],0),CONCATENATE("0",TEXT(Demographics[[#This Row],[DOB]],0)))</f>
        <v>15021988</v>
      </c>
      <c r="I655" s="4">
        <f ca="1">IFERROR((VALUE(TODAY()-DATE(RIGHT(Demographics[[#This Row],[DOB - Fixed]],4),MID(Demographics[[#This Row],[DOB - Fixed]],3,2),LEFT(Demographics[[#This Row],[DOB - Fixed]],2))))/365,0)</f>
        <v>35.586301369863016</v>
      </c>
      <c r="J655">
        <f>VLOOKUP(Demographics[[#This Row],[INCOME LEVEL]],Income[],4,FALSE)</f>
        <v>697.5</v>
      </c>
      <c r="K655">
        <f>IFERROR(Demographics[[#This Row],[Total monthly income]]/Demographics[[#This Row],[FAMILY SIZE]], 0)</f>
        <v>232.5</v>
      </c>
    </row>
    <row r="656" spans="1:11" x14ac:dyDescent="0.2">
      <c r="A656">
        <v>6810717</v>
      </c>
      <c r="B656">
        <v>9021988</v>
      </c>
      <c r="C656">
        <v>0</v>
      </c>
      <c r="D656">
        <v>0</v>
      </c>
      <c r="E656">
        <v>1</v>
      </c>
      <c r="F656">
        <v>0</v>
      </c>
      <c r="G656">
        <v>0</v>
      </c>
      <c r="H656" t="str">
        <f>IF(Demographics[[#This Row],[DOB]]&gt;10000000, TEXT(Demographics[[#This Row],[DOB]],0),CONCATENATE("0",TEXT(Demographics[[#This Row],[DOB]],0)))</f>
        <v>09021988</v>
      </c>
      <c r="I656" s="4">
        <f ca="1">IFERROR((VALUE(TODAY()-DATE(RIGHT(Demographics[[#This Row],[DOB - Fixed]],4),MID(Demographics[[#This Row],[DOB - Fixed]],3,2),LEFT(Demographics[[#This Row],[DOB - Fixed]],2))))/365,0)</f>
        <v>35.602739726027394</v>
      </c>
      <c r="J656">
        <f>VLOOKUP(Demographics[[#This Row],[INCOME LEVEL]],Income[],4,FALSE)</f>
        <v>175</v>
      </c>
      <c r="K656">
        <f>IFERROR(Demographics[[#This Row],[Total monthly income]]/Demographics[[#This Row],[FAMILY SIZE]], 0)</f>
        <v>0</v>
      </c>
    </row>
    <row r="657" spans="1:11" x14ac:dyDescent="0.2">
      <c r="A657">
        <v>20695830</v>
      </c>
      <c r="B657">
        <v>21021988</v>
      </c>
      <c r="C657">
        <v>3</v>
      </c>
      <c r="D657">
        <v>1</v>
      </c>
      <c r="E657">
        <v>1</v>
      </c>
      <c r="F657">
        <v>2</v>
      </c>
      <c r="G657">
        <v>2</v>
      </c>
      <c r="H657" t="str">
        <f>IF(Demographics[[#This Row],[DOB]]&gt;10000000, TEXT(Demographics[[#This Row],[DOB]],0),CONCATENATE("0",TEXT(Demographics[[#This Row],[DOB]],0)))</f>
        <v>21021988</v>
      </c>
      <c r="I657" s="4">
        <f ca="1">IFERROR((VALUE(TODAY()-DATE(RIGHT(Demographics[[#This Row],[DOB - Fixed]],4),MID(Demographics[[#This Row],[DOB - Fixed]],3,2),LEFT(Demographics[[#This Row],[DOB - Fixed]],2))))/365,0)</f>
        <v>35.56986301369863</v>
      </c>
      <c r="J657">
        <f>VLOOKUP(Demographics[[#This Row],[INCOME LEVEL]],Income[],4,FALSE)</f>
        <v>175</v>
      </c>
      <c r="K657">
        <f>IFERROR(Demographics[[#This Row],[Total monthly income]]/Demographics[[#This Row],[FAMILY SIZE]], 0)</f>
        <v>58.333333333333336</v>
      </c>
    </row>
    <row r="658" spans="1:11" x14ac:dyDescent="0.2">
      <c r="A658">
        <v>21763880</v>
      </c>
      <c r="B658">
        <v>24021988</v>
      </c>
      <c r="C658">
        <v>4</v>
      </c>
      <c r="D658">
        <v>2</v>
      </c>
      <c r="E658">
        <v>2</v>
      </c>
      <c r="F658">
        <v>5</v>
      </c>
      <c r="G658">
        <v>5</v>
      </c>
      <c r="H658" t="str">
        <f>IF(Demographics[[#This Row],[DOB]]&gt;10000000, TEXT(Demographics[[#This Row],[DOB]],0),CONCATENATE("0",TEXT(Demographics[[#This Row],[DOB]],0)))</f>
        <v>24021988</v>
      </c>
      <c r="I658" s="4">
        <f ca="1">IFERROR((VALUE(TODAY()-DATE(RIGHT(Demographics[[#This Row],[DOB - Fixed]],4),MID(Demographics[[#This Row],[DOB - Fixed]],3,2),LEFT(Demographics[[#This Row],[DOB - Fixed]],2))))/365,0)</f>
        <v>35.561643835616437</v>
      </c>
      <c r="J658">
        <f>VLOOKUP(Demographics[[#This Row],[INCOME LEVEL]],Income[],4,FALSE)</f>
        <v>697.5</v>
      </c>
      <c r="K658">
        <f>IFERROR(Demographics[[#This Row],[Total monthly income]]/Demographics[[#This Row],[FAMILY SIZE]], 0)</f>
        <v>174.375</v>
      </c>
    </row>
    <row r="659" spans="1:11" x14ac:dyDescent="0.2">
      <c r="A659">
        <v>18458053</v>
      </c>
      <c r="B659">
        <v>3041987</v>
      </c>
      <c r="C659">
        <v>3</v>
      </c>
      <c r="D659">
        <v>1</v>
      </c>
      <c r="E659">
        <v>1</v>
      </c>
      <c r="F659">
        <v>5</v>
      </c>
      <c r="G659">
        <v>5</v>
      </c>
      <c r="H659" t="str">
        <f>IF(Demographics[[#This Row],[DOB]]&gt;10000000, TEXT(Demographics[[#This Row],[DOB]],0),CONCATENATE("0",TEXT(Demographics[[#This Row],[DOB]],0)))</f>
        <v>03041987</v>
      </c>
      <c r="I659" s="4">
        <f ca="1">IFERROR((VALUE(TODAY()-DATE(RIGHT(Demographics[[#This Row],[DOB - Fixed]],4),MID(Demographics[[#This Row],[DOB - Fixed]],3,2),LEFT(Demographics[[#This Row],[DOB - Fixed]],2))))/365,0)</f>
        <v>36.457534246575342</v>
      </c>
      <c r="J659">
        <f>VLOOKUP(Demographics[[#This Row],[INCOME LEVEL]],Income[],4,FALSE)</f>
        <v>175</v>
      </c>
      <c r="K659">
        <f>IFERROR(Demographics[[#This Row],[Total monthly income]]/Demographics[[#This Row],[FAMILY SIZE]], 0)</f>
        <v>58.333333333333336</v>
      </c>
    </row>
    <row r="660" spans="1:11" x14ac:dyDescent="0.2">
      <c r="A660">
        <v>5208587</v>
      </c>
      <c r="B660">
        <v>24021988</v>
      </c>
      <c r="C660">
        <v>4</v>
      </c>
      <c r="D660">
        <v>1</v>
      </c>
      <c r="E660">
        <v>1</v>
      </c>
      <c r="F660">
        <v>4</v>
      </c>
      <c r="G660">
        <v>5</v>
      </c>
      <c r="H660" t="str">
        <f>IF(Demographics[[#This Row],[DOB]]&gt;10000000, TEXT(Demographics[[#This Row],[DOB]],0),CONCATENATE("0",TEXT(Demographics[[#This Row],[DOB]],0)))</f>
        <v>24021988</v>
      </c>
      <c r="I660" s="4">
        <f ca="1">IFERROR((VALUE(TODAY()-DATE(RIGHT(Demographics[[#This Row],[DOB - Fixed]],4),MID(Demographics[[#This Row],[DOB - Fixed]],3,2),LEFT(Demographics[[#This Row],[DOB - Fixed]],2))))/365,0)</f>
        <v>35.561643835616437</v>
      </c>
      <c r="J660">
        <f>VLOOKUP(Demographics[[#This Row],[INCOME LEVEL]],Income[],4,FALSE)</f>
        <v>175</v>
      </c>
      <c r="K660">
        <f>IFERROR(Demographics[[#This Row],[Total monthly income]]/Demographics[[#This Row],[FAMILY SIZE]], 0)</f>
        <v>43.75</v>
      </c>
    </row>
    <row r="661" spans="1:11" x14ac:dyDescent="0.2">
      <c r="A661">
        <v>10115646</v>
      </c>
      <c r="B661">
        <v>27021988</v>
      </c>
      <c r="C661">
        <v>4</v>
      </c>
      <c r="D661">
        <v>1</v>
      </c>
      <c r="E661">
        <v>1</v>
      </c>
      <c r="F661">
        <v>5</v>
      </c>
      <c r="G661">
        <v>3</v>
      </c>
      <c r="H661" t="str">
        <f>IF(Demographics[[#This Row],[DOB]]&gt;10000000, TEXT(Demographics[[#This Row],[DOB]],0),CONCATENATE("0",TEXT(Demographics[[#This Row],[DOB]],0)))</f>
        <v>27021988</v>
      </c>
      <c r="I661" s="4">
        <f ca="1">IFERROR((VALUE(TODAY()-DATE(RIGHT(Demographics[[#This Row],[DOB - Fixed]],4),MID(Demographics[[#This Row],[DOB - Fixed]],3,2),LEFT(Demographics[[#This Row],[DOB - Fixed]],2))))/365,0)</f>
        <v>35.553424657534244</v>
      </c>
      <c r="J661">
        <f>VLOOKUP(Demographics[[#This Row],[INCOME LEVEL]],Income[],4,FALSE)</f>
        <v>175</v>
      </c>
      <c r="K661">
        <f>IFERROR(Demographics[[#This Row],[Total monthly income]]/Demographics[[#This Row],[FAMILY SIZE]], 0)</f>
        <v>43.75</v>
      </c>
    </row>
    <row r="662" spans="1:11" x14ac:dyDescent="0.2">
      <c r="A662">
        <v>15787833</v>
      </c>
      <c r="B662">
        <v>6031988</v>
      </c>
      <c r="C662">
        <v>5</v>
      </c>
      <c r="D662">
        <v>1</v>
      </c>
      <c r="E662">
        <v>1</v>
      </c>
      <c r="F662">
        <v>5</v>
      </c>
      <c r="G662">
        <v>2</v>
      </c>
      <c r="H662" t="str">
        <f>IF(Demographics[[#This Row],[DOB]]&gt;10000000, TEXT(Demographics[[#This Row],[DOB]],0),CONCATENATE("0",TEXT(Demographics[[#This Row],[DOB]],0)))</f>
        <v>06031988</v>
      </c>
      <c r="I662" s="4">
        <f ca="1">IFERROR((VALUE(TODAY()-DATE(RIGHT(Demographics[[#This Row],[DOB - Fixed]],4),MID(Demographics[[#This Row],[DOB - Fixed]],3,2),LEFT(Demographics[[#This Row],[DOB - Fixed]],2))))/365,0)</f>
        <v>35.531506849315072</v>
      </c>
      <c r="J662">
        <f>VLOOKUP(Demographics[[#This Row],[INCOME LEVEL]],Income[],4,FALSE)</f>
        <v>175</v>
      </c>
      <c r="K662">
        <f>IFERROR(Demographics[[#This Row],[Total monthly income]]/Demographics[[#This Row],[FAMILY SIZE]], 0)</f>
        <v>35</v>
      </c>
    </row>
    <row r="663" spans="1:11" x14ac:dyDescent="0.2">
      <c r="A663">
        <v>11516392</v>
      </c>
      <c r="B663">
        <v>12011988</v>
      </c>
      <c r="C663">
        <v>0</v>
      </c>
      <c r="D663">
        <v>0</v>
      </c>
      <c r="E663">
        <v>1</v>
      </c>
      <c r="F663">
        <v>0</v>
      </c>
      <c r="G663">
        <v>0</v>
      </c>
      <c r="H663" t="str">
        <f>IF(Demographics[[#This Row],[DOB]]&gt;10000000, TEXT(Demographics[[#This Row],[DOB]],0),CONCATENATE("0",TEXT(Demographics[[#This Row],[DOB]],0)))</f>
        <v>12011988</v>
      </c>
      <c r="I663" s="4">
        <f ca="1">IFERROR((VALUE(TODAY()-DATE(RIGHT(Demographics[[#This Row],[DOB - Fixed]],4),MID(Demographics[[#This Row],[DOB - Fixed]],3,2),LEFT(Demographics[[#This Row],[DOB - Fixed]],2))))/365,0)</f>
        <v>35.679452054794524</v>
      </c>
      <c r="J663">
        <f>VLOOKUP(Demographics[[#This Row],[INCOME LEVEL]],Income[],4,FALSE)</f>
        <v>175</v>
      </c>
      <c r="K663">
        <f>IFERROR(Demographics[[#This Row],[Total monthly income]]/Demographics[[#This Row],[FAMILY SIZE]], 0)</f>
        <v>0</v>
      </c>
    </row>
    <row r="664" spans="1:11" x14ac:dyDescent="0.2">
      <c r="A664">
        <v>22731662</v>
      </c>
      <c r="B664">
        <v>3031988</v>
      </c>
      <c r="C664">
        <v>5</v>
      </c>
      <c r="D664">
        <v>0</v>
      </c>
      <c r="E664">
        <v>1</v>
      </c>
      <c r="F664">
        <v>5</v>
      </c>
      <c r="G664">
        <v>5</v>
      </c>
      <c r="H664" t="str">
        <f>IF(Demographics[[#This Row],[DOB]]&gt;10000000, TEXT(Demographics[[#This Row],[DOB]],0),CONCATENATE("0",TEXT(Demographics[[#This Row],[DOB]],0)))</f>
        <v>03031988</v>
      </c>
      <c r="I664" s="4">
        <f ca="1">IFERROR((VALUE(TODAY()-DATE(RIGHT(Demographics[[#This Row],[DOB - Fixed]],4),MID(Demographics[[#This Row],[DOB - Fixed]],3,2),LEFT(Demographics[[#This Row],[DOB - Fixed]],2))))/365,0)</f>
        <v>35.539726027397258</v>
      </c>
      <c r="J664">
        <f>VLOOKUP(Demographics[[#This Row],[INCOME LEVEL]],Income[],4,FALSE)</f>
        <v>175</v>
      </c>
      <c r="K664">
        <f>IFERROR(Demographics[[#This Row],[Total monthly income]]/Demographics[[#This Row],[FAMILY SIZE]], 0)</f>
        <v>35</v>
      </c>
    </row>
    <row r="665" spans="1:11" x14ac:dyDescent="0.2">
      <c r="A665">
        <v>23899868</v>
      </c>
      <c r="B665">
        <v>20121987</v>
      </c>
      <c r="C665">
        <v>7</v>
      </c>
      <c r="D665">
        <v>2</v>
      </c>
      <c r="E665">
        <v>1</v>
      </c>
      <c r="F665">
        <v>2</v>
      </c>
      <c r="G665">
        <v>0</v>
      </c>
      <c r="H665" t="str">
        <f>IF(Demographics[[#This Row],[DOB]]&gt;10000000, TEXT(Demographics[[#This Row],[DOB]],0),CONCATENATE("0",TEXT(Demographics[[#This Row],[DOB]],0)))</f>
        <v>20121987</v>
      </c>
      <c r="I665" s="4">
        <f ca="1">IFERROR((VALUE(TODAY()-DATE(RIGHT(Demographics[[#This Row],[DOB - Fixed]],4),MID(Demographics[[#This Row],[DOB - Fixed]],3,2),LEFT(Demographics[[#This Row],[DOB - Fixed]],2))))/365,0)</f>
        <v>35.742465753424661</v>
      </c>
      <c r="J665">
        <f>VLOOKUP(Demographics[[#This Row],[INCOME LEVEL]],Income[],4,FALSE)</f>
        <v>175</v>
      </c>
      <c r="K665">
        <f>IFERROR(Demographics[[#This Row],[Total monthly income]]/Demographics[[#This Row],[FAMILY SIZE]], 0)</f>
        <v>25</v>
      </c>
    </row>
    <row r="666" spans="1:11" x14ac:dyDescent="0.2">
      <c r="A666">
        <v>24766603</v>
      </c>
      <c r="B666">
        <v>27021988</v>
      </c>
      <c r="C666">
        <v>4</v>
      </c>
      <c r="D666">
        <v>1</v>
      </c>
      <c r="E666">
        <v>1</v>
      </c>
      <c r="F666">
        <v>8</v>
      </c>
      <c r="G666">
        <v>5</v>
      </c>
      <c r="H666" t="str">
        <f>IF(Demographics[[#This Row],[DOB]]&gt;10000000, TEXT(Demographics[[#This Row],[DOB]],0),CONCATENATE("0",TEXT(Demographics[[#This Row],[DOB]],0)))</f>
        <v>27021988</v>
      </c>
      <c r="I666" s="4">
        <f ca="1">IFERROR((VALUE(TODAY()-DATE(RIGHT(Demographics[[#This Row],[DOB - Fixed]],4),MID(Demographics[[#This Row],[DOB - Fixed]],3,2),LEFT(Demographics[[#This Row],[DOB - Fixed]],2))))/365,0)</f>
        <v>35.553424657534244</v>
      </c>
      <c r="J666">
        <f>VLOOKUP(Demographics[[#This Row],[INCOME LEVEL]],Income[],4,FALSE)</f>
        <v>175</v>
      </c>
      <c r="K666">
        <f>IFERROR(Demographics[[#This Row],[Total monthly income]]/Demographics[[#This Row],[FAMILY SIZE]], 0)</f>
        <v>43.75</v>
      </c>
    </row>
    <row r="667" spans="1:11" x14ac:dyDescent="0.2">
      <c r="A667">
        <v>17390334</v>
      </c>
      <c r="B667">
        <v>3031988</v>
      </c>
      <c r="C667">
        <v>4</v>
      </c>
      <c r="D667">
        <v>3</v>
      </c>
      <c r="E667">
        <v>1</v>
      </c>
      <c r="F667">
        <v>2</v>
      </c>
      <c r="G667">
        <v>3</v>
      </c>
      <c r="H667" t="str">
        <f>IF(Demographics[[#This Row],[DOB]]&gt;10000000, TEXT(Demographics[[#This Row],[DOB]],0),CONCATENATE("0",TEXT(Demographics[[#This Row],[DOB]],0)))</f>
        <v>03031988</v>
      </c>
      <c r="I667" s="4">
        <f ca="1">IFERROR((VALUE(TODAY()-DATE(RIGHT(Demographics[[#This Row],[DOB - Fixed]],4),MID(Demographics[[#This Row],[DOB - Fixed]],3,2),LEFT(Demographics[[#This Row],[DOB - Fixed]],2))))/365,0)</f>
        <v>35.539726027397258</v>
      </c>
      <c r="J667">
        <f>VLOOKUP(Demographics[[#This Row],[INCOME LEVEL]],Income[],4,FALSE)</f>
        <v>175</v>
      </c>
      <c r="K667">
        <f>IFERROR(Demographics[[#This Row],[Total monthly income]]/Demographics[[#This Row],[FAMILY SIZE]], 0)</f>
        <v>43.75</v>
      </c>
    </row>
    <row r="668" spans="1:11" x14ac:dyDescent="0.2">
      <c r="A668">
        <v>2538233</v>
      </c>
      <c r="B668">
        <v>21021988</v>
      </c>
      <c r="C668">
        <v>0</v>
      </c>
      <c r="D668">
        <v>0</v>
      </c>
      <c r="E668">
        <v>1</v>
      </c>
      <c r="F668">
        <v>0</v>
      </c>
      <c r="G668">
        <v>0</v>
      </c>
      <c r="H668" t="str">
        <f>IF(Demographics[[#This Row],[DOB]]&gt;10000000, TEXT(Demographics[[#This Row],[DOB]],0),CONCATENATE("0",TEXT(Demographics[[#This Row],[DOB]],0)))</f>
        <v>21021988</v>
      </c>
      <c r="I668" s="4">
        <f ca="1">IFERROR((VALUE(TODAY()-DATE(RIGHT(Demographics[[#This Row],[DOB - Fixed]],4),MID(Demographics[[#This Row],[DOB - Fixed]],3,2),LEFT(Demographics[[#This Row],[DOB - Fixed]],2))))/365,0)</f>
        <v>35.56986301369863</v>
      </c>
      <c r="J668">
        <f>VLOOKUP(Demographics[[#This Row],[INCOME LEVEL]],Income[],4,FALSE)</f>
        <v>175</v>
      </c>
      <c r="K668">
        <f>IFERROR(Demographics[[#This Row],[Total monthly income]]/Demographics[[#This Row],[FAMILY SIZE]], 0)</f>
        <v>0</v>
      </c>
    </row>
    <row r="669" spans="1:11" x14ac:dyDescent="0.2">
      <c r="A669">
        <v>2104689</v>
      </c>
      <c r="B669">
        <v>14031988</v>
      </c>
      <c r="C669">
        <v>6</v>
      </c>
      <c r="D669">
        <v>1</v>
      </c>
      <c r="E669">
        <v>1</v>
      </c>
      <c r="F669">
        <v>0</v>
      </c>
      <c r="G669">
        <v>5</v>
      </c>
      <c r="H669" t="str">
        <f>IF(Demographics[[#This Row],[DOB]]&gt;10000000, TEXT(Demographics[[#This Row],[DOB]],0),CONCATENATE("0",TEXT(Demographics[[#This Row],[DOB]],0)))</f>
        <v>14031988</v>
      </c>
      <c r="I669" s="4">
        <f ca="1">IFERROR((VALUE(TODAY()-DATE(RIGHT(Demographics[[#This Row],[DOB - Fixed]],4),MID(Demographics[[#This Row],[DOB - Fixed]],3,2),LEFT(Demographics[[#This Row],[DOB - Fixed]],2))))/365,0)</f>
        <v>35.509589041095893</v>
      </c>
      <c r="J669">
        <f>VLOOKUP(Demographics[[#This Row],[INCOME LEVEL]],Income[],4,FALSE)</f>
        <v>175</v>
      </c>
      <c r="K669">
        <f>IFERROR(Demographics[[#This Row],[Total monthly income]]/Demographics[[#This Row],[FAMILY SIZE]], 0)</f>
        <v>29.166666666666668</v>
      </c>
    </row>
    <row r="670" spans="1:11" x14ac:dyDescent="0.2">
      <c r="A670">
        <v>300815</v>
      </c>
      <c r="B670">
        <v>10121987</v>
      </c>
      <c r="C670">
        <v>4</v>
      </c>
      <c r="D670">
        <v>1</v>
      </c>
      <c r="E670">
        <v>1</v>
      </c>
      <c r="F670">
        <v>3</v>
      </c>
      <c r="G670">
        <v>5</v>
      </c>
      <c r="H670" t="str">
        <f>IF(Demographics[[#This Row],[DOB]]&gt;10000000, TEXT(Demographics[[#This Row],[DOB]],0),CONCATENATE("0",TEXT(Demographics[[#This Row],[DOB]],0)))</f>
        <v>10121987</v>
      </c>
      <c r="I670" s="4">
        <f ca="1">IFERROR((VALUE(TODAY()-DATE(RIGHT(Demographics[[#This Row],[DOB - Fixed]],4),MID(Demographics[[#This Row],[DOB - Fixed]],3,2),LEFT(Demographics[[#This Row],[DOB - Fixed]],2))))/365,0)</f>
        <v>35.769863013698632</v>
      </c>
      <c r="J670">
        <f>VLOOKUP(Demographics[[#This Row],[INCOME LEVEL]],Income[],4,FALSE)</f>
        <v>175</v>
      </c>
      <c r="K670">
        <f>IFERROR(Demographics[[#This Row],[Total monthly income]]/Demographics[[#This Row],[FAMILY SIZE]], 0)</f>
        <v>43.75</v>
      </c>
    </row>
    <row r="671" spans="1:11" x14ac:dyDescent="0.2">
      <c r="A671">
        <v>14820966</v>
      </c>
      <c r="B671">
        <v>28021988</v>
      </c>
      <c r="C671">
        <v>3</v>
      </c>
      <c r="D671">
        <v>0</v>
      </c>
      <c r="E671">
        <v>1</v>
      </c>
      <c r="F671">
        <v>3</v>
      </c>
      <c r="G671">
        <v>2</v>
      </c>
      <c r="H671" t="str">
        <f>IF(Demographics[[#This Row],[DOB]]&gt;10000000, TEXT(Demographics[[#This Row],[DOB]],0),CONCATENATE("0",TEXT(Demographics[[#This Row],[DOB]],0)))</f>
        <v>28021988</v>
      </c>
      <c r="I671" s="4">
        <f ca="1">IFERROR((VALUE(TODAY()-DATE(RIGHT(Demographics[[#This Row],[DOB - Fixed]],4),MID(Demographics[[#This Row],[DOB - Fixed]],3,2),LEFT(Demographics[[#This Row],[DOB - Fixed]],2))))/365,0)</f>
        <v>35.550684931506851</v>
      </c>
      <c r="J671">
        <f>VLOOKUP(Demographics[[#This Row],[INCOME LEVEL]],Income[],4,FALSE)</f>
        <v>175</v>
      </c>
      <c r="K671">
        <f>IFERROR(Demographics[[#This Row],[Total monthly income]]/Demographics[[#This Row],[FAMILY SIZE]], 0)</f>
        <v>58.333333333333336</v>
      </c>
    </row>
    <row r="672" spans="1:11" x14ac:dyDescent="0.2">
      <c r="A672">
        <v>22197505</v>
      </c>
      <c r="B672">
        <v>14031988</v>
      </c>
      <c r="C672">
        <v>4</v>
      </c>
      <c r="D672">
        <v>1</v>
      </c>
      <c r="E672">
        <v>2</v>
      </c>
      <c r="F672">
        <v>5</v>
      </c>
      <c r="G672">
        <v>3</v>
      </c>
      <c r="H672" t="str">
        <f>IF(Demographics[[#This Row],[DOB]]&gt;10000000, TEXT(Demographics[[#This Row],[DOB]],0),CONCATENATE("0",TEXT(Demographics[[#This Row],[DOB]],0)))</f>
        <v>14031988</v>
      </c>
      <c r="I672" s="4">
        <f ca="1">IFERROR((VALUE(TODAY()-DATE(RIGHT(Demographics[[#This Row],[DOB - Fixed]],4),MID(Demographics[[#This Row],[DOB - Fixed]],3,2),LEFT(Demographics[[#This Row],[DOB - Fixed]],2))))/365,0)</f>
        <v>35.509589041095893</v>
      </c>
      <c r="J672">
        <f>VLOOKUP(Demographics[[#This Row],[INCOME LEVEL]],Income[],4,FALSE)</f>
        <v>697.5</v>
      </c>
      <c r="K672">
        <f>IFERROR(Demographics[[#This Row],[Total monthly income]]/Demographics[[#This Row],[FAMILY SIZE]], 0)</f>
        <v>174.375</v>
      </c>
    </row>
    <row r="673" spans="1:11" x14ac:dyDescent="0.2">
      <c r="A673">
        <v>1369103</v>
      </c>
      <c r="B673">
        <v>20031988</v>
      </c>
      <c r="C673">
        <v>5</v>
      </c>
      <c r="D673">
        <v>2</v>
      </c>
      <c r="E673">
        <v>3</v>
      </c>
      <c r="F673">
        <v>9</v>
      </c>
      <c r="G673">
        <v>9</v>
      </c>
      <c r="H673" t="str">
        <f>IF(Demographics[[#This Row],[DOB]]&gt;10000000, TEXT(Demographics[[#This Row],[DOB]],0),CONCATENATE("0",TEXT(Demographics[[#This Row],[DOB]],0)))</f>
        <v>20031988</v>
      </c>
      <c r="I673" s="4">
        <f ca="1">IFERROR((VALUE(TODAY()-DATE(RIGHT(Demographics[[#This Row],[DOB - Fixed]],4),MID(Demographics[[#This Row],[DOB - Fixed]],3,2),LEFT(Demographics[[#This Row],[DOB - Fixed]],2))))/365,0)</f>
        <v>35.493150684931507</v>
      </c>
      <c r="J673">
        <f>VLOOKUP(Demographics[[#This Row],[INCOME LEVEL]],Income[],4,FALSE)</f>
        <v>1397.5</v>
      </c>
      <c r="K673">
        <f>IFERROR(Demographics[[#This Row],[Total monthly income]]/Demographics[[#This Row],[FAMILY SIZE]], 0)</f>
        <v>279.5</v>
      </c>
    </row>
    <row r="674" spans="1:11" x14ac:dyDescent="0.2">
      <c r="A674">
        <v>6276977</v>
      </c>
      <c r="B674">
        <v>23031988</v>
      </c>
      <c r="C674">
        <v>5</v>
      </c>
      <c r="D674">
        <v>2</v>
      </c>
      <c r="E674">
        <v>2</v>
      </c>
      <c r="F674">
        <v>5</v>
      </c>
      <c r="G674">
        <v>4</v>
      </c>
      <c r="H674" t="str">
        <f>IF(Demographics[[#This Row],[DOB]]&gt;10000000, TEXT(Demographics[[#This Row],[DOB]],0),CONCATENATE("0",TEXT(Demographics[[#This Row],[DOB]],0)))</f>
        <v>23031988</v>
      </c>
      <c r="I674" s="4">
        <f ca="1">IFERROR((VALUE(TODAY()-DATE(RIGHT(Demographics[[#This Row],[DOB - Fixed]],4),MID(Demographics[[#This Row],[DOB - Fixed]],3,2),LEFT(Demographics[[#This Row],[DOB - Fixed]],2))))/365,0)</f>
        <v>35.484931506849314</v>
      </c>
      <c r="J674">
        <f>VLOOKUP(Demographics[[#This Row],[INCOME LEVEL]],Income[],4,FALSE)</f>
        <v>697.5</v>
      </c>
      <c r="K674">
        <f>IFERROR(Demographics[[#This Row],[Total monthly income]]/Demographics[[#This Row],[FAMILY SIZE]], 0)</f>
        <v>139.5</v>
      </c>
    </row>
    <row r="675" spans="1:11" x14ac:dyDescent="0.2">
      <c r="A675">
        <v>21129190</v>
      </c>
      <c r="B675">
        <v>4031988</v>
      </c>
      <c r="C675">
        <v>7</v>
      </c>
      <c r="D675">
        <v>2</v>
      </c>
      <c r="E675">
        <v>1</v>
      </c>
      <c r="F675">
        <v>2</v>
      </c>
      <c r="G675">
        <v>3</v>
      </c>
      <c r="H675" t="str">
        <f>IF(Demographics[[#This Row],[DOB]]&gt;10000000, TEXT(Demographics[[#This Row],[DOB]],0),CONCATENATE("0",TEXT(Demographics[[#This Row],[DOB]],0)))</f>
        <v>04031988</v>
      </c>
      <c r="I675" s="4">
        <f ca="1">IFERROR((VALUE(TODAY()-DATE(RIGHT(Demographics[[#This Row],[DOB - Fixed]],4),MID(Demographics[[#This Row],[DOB - Fixed]],3,2),LEFT(Demographics[[#This Row],[DOB - Fixed]],2))))/365,0)</f>
        <v>35.536986301369865</v>
      </c>
      <c r="J675">
        <f>VLOOKUP(Demographics[[#This Row],[INCOME LEVEL]],Income[],4,FALSE)</f>
        <v>175</v>
      </c>
      <c r="K675">
        <f>IFERROR(Demographics[[#This Row],[Total monthly income]]/Demographics[[#This Row],[FAMILY SIZE]], 0)</f>
        <v>25</v>
      </c>
    </row>
    <row r="676" spans="1:11" x14ac:dyDescent="0.2">
      <c r="A676">
        <v>23899867</v>
      </c>
      <c r="B676">
        <v>4041988</v>
      </c>
      <c r="C676">
        <v>4</v>
      </c>
      <c r="D676">
        <v>1</v>
      </c>
      <c r="E676">
        <v>1</v>
      </c>
      <c r="F676">
        <v>7</v>
      </c>
      <c r="G676">
        <v>5</v>
      </c>
      <c r="H676" t="str">
        <f>IF(Demographics[[#This Row],[DOB]]&gt;10000000, TEXT(Demographics[[#This Row],[DOB]],0),CONCATENATE("0",TEXT(Demographics[[#This Row],[DOB]],0)))</f>
        <v>04041988</v>
      </c>
      <c r="I676" s="4">
        <f ca="1">IFERROR((VALUE(TODAY()-DATE(RIGHT(Demographics[[#This Row],[DOB - Fixed]],4),MID(Demographics[[#This Row],[DOB - Fixed]],3,2),LEFT(Demographics[[#This Row],[DOB - Fixed]],2))))/365,0)</f>
        <v>35.452054794520549</v>
      </c>
      <c r="J676">
        <f>VLOOKUP(Demographics[[#This Row],[INCOME LEVEL]],Income[],4,FALSE)</f>
        <v>175</v>
      </c>
      <c r="K676">
        <f>IFERROR(Demographics[[#This Row],[Total monthly income]]/Demographics[[#This Row],[FAMILY SIZE]], 0)</f>
        <v>43.75</v>
      </c>
    </row>
    <row r="677" spans="1:11" x14ac:dyDescent="0.2">
      <c r="A677">
        <v>8311872</v>
      </c>
      <c r="B677">
        <v>6041988</v>
      </c>
      <c r="C677">
        <v>4</v>
      </c>
      <c r="D677">
        <v>1</v>
      </c>
      <c r="E677">
        <v>1</v>
      </c>
      <c r="F677">
        <v>2</v>
      </c>
      <c r="G677">
        <v>2</v>
      </c>
      <c r="H677" t="str">
        <f>IF(Demographics[[#This Row],[DOB]]&gt;10000000, TEXT(Demographics[[#This Row],[DOB]],0),CONCATENATE("0",TEXT(Demographics[[#This Row],[DOB]],0)))</f>
        <v>06041988</v>
      </c>
      <c r="I677" s="4">
        <f ca="1">IFERROR((VALUE(TODAY()-DATE(RIGHT(Demographics[[#This Row],[DOB - Fixed]],4),MID(Demographics[[#This Row],[DOB - Fixed]],3,2),LEFT(Demographics[[#This Row],[DOB - Fixed]],2))))/365,0)</f>
        <v>35.446575342465756</v>
      </c>
      <c r="J677">
        <f>VLOOKUP(Demographics[[#This Row],[INCOME LEVEL]],Income[],4,FALSE)</f>
        <v>175</v>
      </c>
      <c r="K677">
        <f>IFERROR(Demographics[[#This Row],[Total monthly income]]/Demographics[[#This Row],[FAMILY SIZE]], 0)</f>
        <v>43.75</v>
      </c>
    </row>
    <row r="678" spans="1:11" x14ac:dyDescent="0.2">
      <c r="A678">
        <v>21562583</v>
      </c>
      <c r="B678">
        <v>3041988</v>
      </c>
      <c r="C678">
        <v>3</v>
      </c>
      <c r="D678">
        <v>2</v>
      </c>
      <c r="E678">
        <v>2</v>
      </c>
      <c r="F678">
        <v>5</v>
      </c>
      <c r="G678">
        <v>9</v>
      </c>
      <c r="H678" t="str">
        <f>IF(Demographics[[#This Row],[DOB]]&gt;10000000, TEXT(Demographics[[#This Row],[DOB]],0),CONCATENATE("0",TEXT(Demographics[[#This Row],[DOB]],0)))</f>
        <v>03041988</v>
      </c>
      <c r="I678" s="4">
        <f ca="1">IFERROR((VALUE(TODAY()-DATE(RIGHT(Demographics[[#This Row],[DOB - Fixed]],4),MID(Demographics[[#This Row],[DOB - Fixed]],3,2),LEFT(Demographics[[#This Row],[DOB - Fixed]],2))))/365,0)</f>
        <v>35.454794520547942</v>
      </c>
      <c r="J678">
        <f>VLOOKUP(Demographics[[#This Row],[INCOME LEVEL]],Income[],4,FALSE)</f>
        <v>697.5</v>
      </c>
      <c r="K678">
        <f>IFERROR(Demographics[[#This Row],[Total monthly income]]/Demographics[[#This Row],[FAMILY SIZE]], 0)</f>
        <v>232.5</v>
      </c>
    </row>
    <row r="679" spans="1:11" x14ac:dyDescent="0.2">
      <c r="A679">
        <v>12296938</v>
      </c>
      <c r="B679">
        <v>25031988</v>
      </c>
      <c r="C679">
        <v>6</v>
      </c>
      <c r="D679">
        <v>1</v>
      </c>
      <c r="E679">
        <v>1</v>
      </c>
      <c r="F679">
        <v>2</v>
      </c>
      <c r="G679">
        <v>4</v>
      </c>
      <c r="H679" t="str">
        <f>IF(Demographics[[#This Row],[DOB]]&gt;10000000, TEXT(Demographics[[#This Row],[DOB]],0),CONCATENATE("0",TEXT(Demographics[[#This Row],[DOB]],0)))</f>
        <v>25031988</v>
      </c>
      <c r="I679" s="4">
        <f ca="1">IFERROR((VALUE(TODAY()-DATE(RIGHT(Demographics[[#This Row],[DOB - Fixed]],4),MID(Demographics[[#This Row],[DOB - Fixed]],3,2),LEFT(Demographics[[#This Row],[DOB - Fixed]],2))))/365,0)</f>
        <v>35.479452054794521</v>
      </c>
      <c r="J679">
        <f>VLOOKUP(Demographics[[#This Row],[INCOME LEVEL]],Income[],4,FALSE)</f>
        <v>175</v>
      </c>
      <c r="K679">
        <f>IFERROR(Demographics[[#This Row],[Total monthly income]]/Demographics[[#This Row],[FAMILY SIZE]], 0)</f>
        <v>29.166666666666668</v>
      </c>
    </row>
    <row r="680" spans="1:11" x14ac:dyDescent="0.2">
      <c r="A680">
        <v>9193888</v>
      </c>
      <c r="B680">
        <v>6041988</v>
      </c>
      <c r="C680">
        <v>3</v>
      </c>
      <c r="D680">
        <v>0</v>
      </c>
      <c r="E680">
        <v>1</v>
      </c>
      <c r="F680">
        <v>2</v>
      </c>
      <c r="G680">
        <v>2</v>
      </c>
      <c r="H680" t="str">
        <f>IF(Demographics[[#This Row],[DOB]]&gt;10000000, TEXT(Demographics[[#This Row],[DOB]],0),CONCATENATE("0",TEXT(Demographics[[#This Row],[DOB]],0)))</f>
        <v>06041988</v>
      </c>
      <c r="I680" s="4">
        <f ca="1">IFERROR((VALUE(TODAY()-DATE(RIGHT(Demographics[[#This Row],[DOB - Fixed]],4),MID(Demographics[[#This Row],[DOB - Fixed]],3,2),LEFT(Demographics[[#This Row],[DOB - Fixed]],2))))/365,0)</f>
        <v>35.446575342465756</v>
      </c>
      <c r="J680">
        <f>VLOOKUP(Demographics[[#This Row],[INCOME LEVEL]],Income[],4,FALSE)</f>
        <v>175</v>
      </c>
      <c r="K680">
        <f>IFERROR(Demographics[[#This Row],[Total monthly income]]/Demographics[[#This Row],[FAMILY SIZE]], 0)</f>
        <v>58.333333333333336</v>
      </c>
    </row>
    <row r="681" spans="1:11" x14ac:dyDescent="0.2">
      <c r="A681">
        <v>14966675</v>
      </c>
      <c r="B681">
        <v>4041988</v>
      </c>
      <c r="C681">
        <v>5</v>
      </c>
      <c r="D681">
        <v>2</v>
      </c>
      <c r="E681">
        <v>1</v>
      </c>
      <c r="F681">
        <v>2</v>
      </c>
      <c r="G681">
        <v>3</v>
      </c>
      <c r="H681" t="str">
        <f>IF(Demographics[[#This Row],[DOB]]&gt;10000000, TEXT(Demographics[[#This Row],[DOB]],0),CONCATENATE("0",TEXT(Demographics[[#This Row],[DOB]],0)))</f>
        <v>04041988</v>
      </c>
      <c r="I681" s="4">
        <f ca="1">IFERROR((VALUE(TODAY()-DATE(RIGHT(Demographics[[#This Row],[DOB - Fixed]],4),MID(Demographics[[#This Row],[DOB - Fixed]],3,2),LEFT(Demographics[[#This Row],[DOB - Fixed]],2))))/365,0)</f>
        <v>35.452054794520549</v>
      </c>
      <c r="J681">
        <f>VLOOKUP(Demographics[[#This Row],[INCOME LEVEL]],Income[],4,FALSE)</f>
        <v>175</v>
      </c>
      <c r="K681">
        <f>IFERROR(Demographics[[#This Row],[Total monthly income]]/Demographics[[#This Row],[FAMILY SIZE]], 0)</f>
        <v>35</v>
      </c>
    </row>
    <row r="682" spans="1:11" x14ac:dyDescent="0.2">
      <c r="A682">
        <v>19875380</v>
      </c>
      <c r="B682">
        <v>13041988</v>
      </c>
      <c r="C682">
        <v>4</v>
      </c>
      <c r="D682">
        <v>2</v>
      </c>
      <c r="E682">
        <v>1</v>
      </c>
      <c r="F682">
        <v>4</v>
      </c>
      <c r="G682">
        <v>3</v>
      </c>
      <c r="H682" t="str">
        <f>IF(Demographics[[#This Row],[DOB]]&gt;10000000, TEXT(Demographics[[#This Row],[DOB]],0),CONCATENATE("0",TEXT(Demographics[[#This Row],[DOB]],0)))</f>
        <v>13041988</v>
      </c>
      <c r="I682" s="4">
        <f ca="1">IFERROR((VALUE(TODAY()-DATE(RIGHT(Demographics[[#This Row],[DOB - Fixed]],4),MID(Demographics[[#This Row],[DOB - Fixed]],3,2),LEFT(Demographics[[#This Row],[DOB - Fixed]],2))))/365,0)</f>
        <v>35.42739726027397</v>
      </c>
      <c r="J682">
        <f>VLOOKUP(Demographics[[#This Row],[INCOME LEVEL]],Income[],4,FALSE)</f>
        <v>175</v>
      </c>
      <c r="K682">
        <f>IFERROR(Demographics[[#This Row],[Total monthly income]]/Demographics[[#This Row],[FAMILY SIZE]], 0)</f>
        <v>43.75</v>
      </c>
    </row>
    <row r="683" spans="1:11" x14ac:dyDescent="0.2">
      <c r="A683">
        <v>10362918</v>
      </c>
      <c r="B683">
        <v>12041988</v>
      </c>
      <c r="C683">
        <v>3</v>
      </c>
      <c r="D683">
        <v>2</v>
      </c>
      <c r="E683">
        <v>2</v>
      </c>
      <c r="F683">
        <v>9</v>
      </c>
      <c r="G683">
        <v>9</v>
      </c>
      <c r="H683" t="str">
        <f>IF(Demographics[[#This Row],[DOB]]&gt;10000000, TEXT(Demographics[[#This Row],[DOB]],0),CONCATENATE("0",TEXT(Demographics[[#This Row],[DOB]],0)))</f>
        <v>12041988</v>
      </c>
      <c r="I683" s="4">
        <f ca="1">IFERROR((VALUE(TODAY()-DATE(RIGHT(Demographics[[#This Row],[DOB - Fixed]],4),MID(Demographics[[#This Row],[DOB - Fixed]],3,2),LEFT(Demographics[[#This Row],[DOB - Fixed]],2))))/365,0)</f>
        <v>35.43013698630137</v>
      </c>
      <c r="J683">
        <f>VLOOKUP(Demographics[[#This Row],[INCOME LEVEL]],Income[],4,FALSE)</f>
        <v>697.5</v>
      </c>
      <c r="K683">
        <f>IFERROR(Demographics[[#This Row],[Total monthly income]]/Demographics[[#This Row],[FAMILY SIZE]], 0)</f>
        <v>232.5</v>
      </c>
    </row>
    <row r="684" spans="1:11" x14ac:dyDescent="0.2">
      <c r="A684">
        <v>1817765</v>
      </c>
      <c r="B684">
        <v>16041988</v>
      </c>
      <c r="C684">
        <v>5</v>
      </c>
      <c r="D684">
        <v>0</v>
      </c>
      <c r="E684">
        <v>1</v>
      </c>
      <c r="F684">
        <v>5</v>
      </c>
      <c r="G684">
        <v>5</v>
      </c>
      <c r="H684" t="str">
        <f>IF(Demographics[[#This Row],[DOB]]&gt;10000000, TEXT(Demographics[[#This Row],[DOB]],0),CONCATENATE("0",TEXT(Demographics[[#This Row],[DOB]],0)))</f>
        <v>16041988</v>
      </c>
      <c r="I684" s="4">
        <f ca="1">IFERROR((VALUE(TODAY()-DATE(RIGHT(Demographics[[#This Row],[DOB - Fixed]],4),MID(Demographics[[#This Row],[DOB - Fixed]],3,2),LEFT(Demographics[[#This Row],[DOB - Fixed]],2))))/365,0)</f>
        <v>35.419178082191777</v>
      </c>
      <c r="J684">
        <f>VLOOKUP(Demographics[[#This Row],[INCOME LEVEL]],Income[],4,FALSE)</f>
        <v>175</v>
      </c>
      <c r="K684">
        <f>IFERROR(Demographics[[#This Row],[Total monthly income]]/Demographics[[#This Row],[FAMILY SIZE]], 0)</f>
        <v>35</v>
      </c>
    </row>
    <row r="685" spans="1:11" x14ac:dyDescent="0.2">
      <c r="A685">
        <v>22545624</v>
      </c>
      <c r="B685">
        <v>23031988</v>
      </c>
      <c r="C685">
        <v>2</v>
      </c>
      <c r="D685">
        <v>1</v>
      </c>
      <c r="E685">
        <v>1</v>
      </c>
      <c r="F685">
        <v>5</v>
      </c>
      <c r="G685">
        <v>7</v>
      </c>
      <c r="H685" t="str">
        <f>IF(Demographics[[#This Row],[DOB]]&gt;10000000, TEXT(Demographics[[#This Row],[DOB]],0),CONCATENATE("0",TEXT(Demographics[[#This Row],[DOB]],0)))</f>
        <v>23031988</v>
      </c>
      <c r="I685" s="4">
        <f ca="1">IFERROR((VALUE(TODAY()-DATE(RIGHT(Demographics[[#This Row],[DOB - Fixed]],4),MID(Demographics[[#This Row],[DOB - Fixed]],3,2),LEFT(Demographics[[#This Row],[DOB - Fixed]],2))))/365,0)</f>
        <v>35.484931506849314</v>
      </c>
      <c r="J685">
        <f>VLOOKUP(Demographics[[#This Row],[INCOME LEVEL]],Income[],4,FALSE)</f>
        <v>175</v>
      </c>
      <c r="K685">
        <f>IFERROR(Demographics[[#This Row],[Total monthly income]]/Demographics[[#This Row],[FAMILY SIZE]], 0)</f>
        <v>87.5</v>
      </c>
    </row>
    <row r="686" spans="1:11" x14ac:dyDescent="0.2">
      <c r="A686">
        <v>16136082</v>
      </c>
      <c r="B686">
        <v>7041988</v>
      </c>
      <c r="C686">
        <v>6</v>
      </c>
      <c r="D686">
        <v>2</v>
      </c>
      <c r="E686">
        <v>1</v>
      </c>
      <c r="F686">
        <v>2</v>
      </c>
      <c r="G686">
        <v>2</v>
      </c>
      <c r="H686" t="str">
        <f>IF(Demographics[[#This Row],[DOB]]&gt;10000000, TEXT(Demographics[[#This Row],[DOB]],0),CONCATENATE("0",TEXT(Demographics[[#This Row],[DOB]],0)))</f>
        <v>07041988</v>
      </c>
      <c r="I686" s="4">
        <f ca="1">IFERROR((VALUE(TODAY()-DATE(RIGHT(Demographics[[#This Row],[DOB - Fixed]],4),MID(Demographics[[#This Row],[DOB - Fixed]],3,2),LEFT(Demographics[[#This Row],[DOB - Fixed]],2))))/365,0)</f>
        <v>35.443835616438356</v>
      </c>
      <c r="J686">
        <f>VLOOKUP(Demographics[[#This Row],[INCOME LEVEL]],Income[],4,FALSE)</f>
        <v>175</v>
      </c>
      <c r="K686">
        <f>IFERROR(Demographics[[#This Row],[Total monthly income]]/Demographics[[#This Row],[FAMILY SIZE]], 0)</f>
        <v>29.166666666666668</v>
      </c>
    </row>
    <row r="687" spans="1:11" x14ac:dyDescent="0.2">
      <c r="A687">
        <v>3521901</v>
      </c>
      <c r="B687">
        <v>4041988</v>
      </c>
      <c r="C687">
        <v>8</v>
      </c>
      <c r="D687">
        <v>2</v>
      </c>
      <c r="E687">
        <v>1</v>
      </c>
      <c r="F687">
        <v>2</v>
      </c>
      <c r="G687">
        <v>2</v>
      </c>
      <c r="H687" t="str">
        <f>IF(Demographics[[#This Row],[DOB]]&gt;10000000, TEXT(Demographics[[#This Row],[DOB]],0),CONCATENATE("0",TEXT(Demographics[[#This Row],[DOB]],0)))</f>
        <v>04041988</v>
      </c>
      <c r="I687" s="4">
        <f ca="1">IFERROR((VALUE(TODAY()-DATE(RIGHT(Demographics[[#This Row],[DOB - Fixed]],4),MID(Demographics[[#This Row],[DOB - Fixed]],3,2),LEFT(Demographics[[#This Row],[DOB - Fixed]],2))))/365,0)</f>
        <v>35.452054794520549</v>
      </c>
      <c r="J687">
        <f>VLOOKUP(Demographics[[#This Row],[INCOME LEVEL]],Income[],4,FALSE)</f>
        <v>175</v>
      </c>
      <c r="K687">
        <f>IFERROR(Demographics[[#This Row],[Total monthly income]]/Demographics[[#This Row],[FAMILY SIZE]], 0)</f>
        <v>21.875</v>
      </c>
    </row>
    <row r="688" spans="1:11" x14ac:dyDescent="0.2">
      <c r="A688">
        <v>19976460</v>
      </c>
      <c r="B688">
        <v>23071987</v>
      </c>
      <c r="C688">
        <v>4</v>
      </c>
      <c r="D688">
        <v>1</v>
      </c>
      <c r="E688">
        <v>1</v>
      </c>
      <c r="F688">
        <v>4</v>
      </c>
      <c r="G688">
        <v>2</v>
      </c>
      <c r="H688" t="str">
        <f>IF(Demographics[[#This Row],[DOB]]&gt;10000000, TEXT(Demographics[[#This Row],[DOB]],0),CONCATENATE("0",TEXT(Demographics[[#This Row],[DOB]],0)))</f>
        <v>23071987</v>
      </c>
      <c r="I688" s="4">
        <f ca="1">IFERROR((VALUE(TODAY()-DATE(RIGHT(Demographics[[#This Row],[DOB - Fixed]],4),MID(Demographics[[#This Row],[DOB - Fixed]],3,2),LEFT(Demographics[[#This Row],[DOB - Fixed]],2))))/365,0)</f>
        <v>36.153424657534245</v>
      </c>
      <c r="J688">
        <f>VLOOKUP(Demographics[[#This Row],[INCOME LEVEL]],Income[],4,FALSE)</f>
        <v>175</v>
      </c>
      <c r="K688">
        <f>IFERROR(Demographics[[#This Row],[Total monthly income]]/Demographics[[#This Row],[FAMILY SIZE]], 0)</f>
        <v>43.75</v>
      </c>
    </row>
    <row r="689" spans="1:11" x14ac:dyDescent="0.2">
      <c r="A689">
        <v>21375379</v>
      </c>
      <c r="B689">
        <v>25041988</v>
      </c>
      <c r="C689">
        <v>4</v>
      </c>
      <c r="D689">
        <v>2</v>
      </c>
      <c r="E689">
        <v>2</v>
      </c>
      <c r="F689">
        <v>3</v>
      </c>
      <c r="G689">
        <v>3</v>
      </c>
      <c r="H689" t="str">
        <f>IF(Demographics[[#This Row],[DOB]]&gt;10000000, TEXT(Demographics[[#This Row],[DOB]],0),CONCATENATE("0",TEXT(Demographics[[#This Row],[DOB]],0)))</f>
        <v>25041988</v>
      </c>
      <c r="I689" s="4">
        <f ca="1">IFERROR((VALUE(TODAY()-DATE(RIGHT(Demographics[[#This Row],[DOB - Fixed]],4),MID(Demographics[[#This Row],[DOB - Fixed]],3,2),LEFT(Demographics[[#This Row],[DOB - Fixed]],2))))/365,0)</f>
        <v>35.394520547945206</v>
      </c>
      <c r="J689">
        <f>VLOOKUP(Demographics[[#This Row],[INCOME LEVEL]],Income[],4,FALSE)</f>
        <v>697.5</v>
      </c>
      <c r="K689">
        <f>IFERROR(Demographics[[#This Row],[Total monthly income]]/Demographics[[#This Row],[FAMILY SIZE]], 0)</f>
        <v>174.375</v>
      </c>
    </row>
    <row r="690" spans="1:11" x14ac:dyDescent="0.2">
      <c r="A690">
        <v>19442006</v>
      </c>
      <c r="B690">
        <v>25041988</v>
      </c>
      <c r="C690">
        <v>6</v>
      </c>
      <c r="D690">
        <v>1</v>
      </c>
      <c r="E690">
        <v>1</v>
      </c>
      <c r="F690">
        <v>3</v>
      </c>
      <c r="G690">
        <v>4</v>
      </c>
      <c r="H690" t="str">
        <f>IF(Demographics[[#This Row],[DOB]]&gt;10000000, TEXT(Demographics[[#This Row],[DOB]],0),CONCATENATE("0",TEXT(Demographics[[#This Row],[DOB]],0)))</f>
        <v>25041988</v>
      </c>
      <c r="I690" s="4">
        <f ca="1">IFERROR((VALUE(TODAY()-DATE(RIGHT(Demographics[[#This Row],[DOB - Fixed]],4),MID(Demographics[[#This Row],[DOB - Fixed]],3,2),LEFT(Demographics[[#This Row],[DOB - Fixed]],2))))/365,0)</f>
        <v>35.394520547945206</v>
      </c>
      <c r="J690">
        <f>VLOOKUP(Demographics[[#This Row],[INCOME LEVEL]],Income[],4,FALSE)</f>
        <v>175</v>
      </c>
      <c r="K690">
        <f>IFERROR(Demographics[[#This Row],[Total monthly income]]/Demographics[[#This Row],[FAMILY SIZE]], 0)</f>
        <v>29.166666666666668</v>
      </c>
    </row>
    <row r="691" spans="1:11" x14ac:dyDescent="0.2">
      <c r="A691">
        <v>23613152</v>
      </c>
      <c r="B691">
        <v>4051988</v>
      </c>
      <c r="C691">
        <v>6</v>
      </c>
      <c r="D691">
        <v>1</v>
      </c>
      <c r="E691">
        <v>1</v>
      </c>
      <c r="F691">
        <v>3</v>
      </c>
      <c r="G691">
        <v>5</v>
      </c>
      <c r="H691" t="str">
        <f>IF(Demographics[[#This Row],[DOB]]&gt;10000000, TEXT(Demographics[[#This Row],[DOB]],0),CONCATENATE("0",TEXT(Demographics[[#This Row],[DOB]],0)))</f>
        <v>04051988</v>
      </c>
      <c r="I691" s="4">
        <f ca="1">IFERROR((VALUE(TODAY()-DATE(RIGHT(Demographics[[#This Row],[DOB - Fixed]],4),MID(Demographics[[#This Row],[DOB - Fixed]],3,2),LEFT(Demographics[[#This Row],[DOB - Fixed]],2))))/365,0)</f>
        <v>35.369863013698627</v>
      </c>
      <c r="J691">
        <f>VLOOKUP(Demographics[[#This Row],[INCOME LEVEL]],Income[],4,FALSE)</f>
        <v>175</v>
      </c>
      <c r="K691">
        <f>IFERROR(Demographics[[#This Row],[Total monthly income]]/Demographics[[#This Row],[FAMILY SIZE]], 0)</f>
        <v>29.166666666666668</v>
      </c>
    </row>
    <row r="692" spans="1:11" x14ac:dyDescent="0.2">
      <c r="A692">
        <v>14966674</v>
      </c>
      <c r="B692">
        <v>25031988</v>
      </c>
      <c r="C692">
        <v>3</v>
      </c>
      <c r="D692">
        <v>0</v>
      </c>
      <c r="E692">
        <v>1</v>
      </c>
      <c r="F692">
        <v>5</v>
      </c>
      <c r="G692">
        <v>9</v>
      </c>
      <c r="H692" t="str">
        <f>IF(Demographics[[#This Row],[DOB]]&gt;10000000, TEXT(Demographics[[#This Row],[DOB]],0),CONCATENATE("0",TEXT(Demographics[[#This Row],[DOB]],0)))</f>
        <v>25031988</v>
      </c>
      <c r="I692" s="4">
        <f ca="1">IFERROR((VALUE(TODAY()-DATE(RIGHT(Demographics[[#This Row],[DOB - Fixed]],4),MID(Demographics[[#This Row],[DOB - Fixed]],3,2),LEFT(Demographics[[#This Row],[DOB - Fixed]],2))))/365,0)</f>
        <v>35.479452054794521</v>
      </c>
      <c r="J692">
        <f>VLOOKUP(Demographics[[#This Row],[INCOME LEVEL]],Income[],4,FALSE)</f>
        <v>175</v>
      </c>
      <c r="K692">
        <f>IFERROR(Demographics[[#This Row],[Total monthly income]]/Demographics[[#This Row],[FAMILY SIZE]], 0)</f>
        <v>58.333333333333336</v>
      </c>
    </row>
    <row r="693" spans="1:11" x14ac:dyDescent="0.2">
      <c r="A693">
        <v>13567305</v>
      </c>
      <c r="B693">
        <v>4051988</v>
      </c>
      <c r="C693">
        <v>6</v>
      </c>
      <c r="D693">
        <v>1</v>
      </c>
      <c r="E693">
        <v>1</v>
      </c>
      <c r="F693">
        <v>3</v>
      </c>
      <c r="G693">
        <v>2</v>
      </c>
      <c r="H693" t="str">
        <f>IF(Demographics[[#This Row],[DOB]]&gt;10000000, TEXT(Demographics[[#This Row],[DOB]],0),CONCATENATE("0",TEXT(Demographics[[#This Row],[DOB]],0)))</f>
        <v>04051988</v>
      </c>
      <c r="I693" s="4">
        <f ca="1">IFERROR((VALUE(TODAY()-DATE(RIGHT(Demographics[[#This Row],[DOB - Fixed]],4),MID(Demographics[[#This Row],[DOB - Fixed]],3,2),LEFT(Demographics[[#This Row],[DOB - Fixed]],2))))/365,0)</f>
        <v>35.369863013698627</v>
      </c>
      <c r="J693">
        <f>VLOOKUP(Demographics[[#This Row],[INCOME LEVEL]],Income[],4,FALSE)</f>
        <v>175</v>
      </c>
      <c r="K693">
        <f>IFERROR(Demographics[[#This Row],[Total monthly income]]/Demographics[[#This Row],[FAMILY SIZE]], 0)</f>
        <v>29.166666666666668</v>
      </c>
    </row>
    <row r="694" spans="1:11" x14ac:dyDescent="0.2">
      <c r="A694">
        <v>16136083</v>
      </c>
      <c r="B694">
        <v>14051988</v>
      </c>
      <c r="C694">
        <v>4</v>
      </c>
      <c r="D694">
        <v>1</v>
      </c>
      <c r="E694">
        <v>2</v>
      </c>
      <c r="F694">
        <v>2</v>
      </c>
      <c r="G694">
        <v>5</v>
      </c>
      <c r="H694" t="str">
        <f>IF(Demographics[[#This Row],[DOB]]&gt;10000000, TEXT(Demographics[[#This Row],[DOB]],0),CONCATENATE("0",TEXT(Demographics[[#This Row],[DOB]],0)))</f>
        <v>14051988</v>
      </c>
      <c r="I694" s="4">
        <f ca="1">IFERROR((VALUE(TODAY()-DATE(RIGHT(Demographics[[#This Row],[DOB - Fixed]],4),MID(Demographics[[#This Row],[DOB - Fixed]],3,2),LEFT(Demographics[[#This Row],[DOB - Fixed]],2))))/365,0)</f>
        <v>35.342465753424655</v>
      </c>
      <c r="J694">
        <f>VLOOKUP(Demographics[[#This Row],[INCOME LEVEL]],Income[],4,FALSE)</f>
        <v>697.5</v>
      </c>
      <c r="K694">
        <f>IFERROR(Demographics[[#This Row],[Total monthly income]]/Demographics[[#This Row],[FAMILY SIZE]], 0)</f>
        <v>174.375</v>
      </c>
    </row>
    <row r="695" spans="1:11" x14ac:dyDescent="0.2">
      <c r="A695">
        <v>13466110</v>
      </c>
      <c r="B695">
        <v>13051988</v>
      </c>
      <c r="C695">
        <v>6</v>
      </c>
      <c r="D695">
        <v>2</v>
      </c>
      <c r="E695">
        <v>2</v>
      </c>
      <c r="F695">
        <v>9</v>
      </c>
      <c r="G695">
        <v>9</v>
      </c>
      <c r="H695" t="str">
        <f>IF(Demographics[[#This Row],[DOB]]&gt;10000000, TEXT(Demographics[[#This Row],[DOB]],0),CONCATENATE("0",TEXT(Demographics[[#This Row],[DOB]],0)))</f>
        <v>13051988</v>
      </c>
      <c r="I695" s="4">
        <f ca="1">IFERROR((VALUE(TODAY()-DATE(RIGHT(Demographics[[#This Row],[DOB - Fixed]],4),MID(Demographics[[#This Row],[DOB - Fixed]],3,2),LEFT(Demographics[[#This Row],[DOB - Fixed]],2))))/365,0)</f>
        <v>35.345205479452055</v>
      </c>
      <c r="J695">
        <f>VLOOKUP(Demographics[[#This Row],[INCOME LEVEL]],Income[],4,FALSE)</f>
        <v>697.5</v>
      </c>
      <c r="K695">
        <f>IFERROR(Demographics[[#This Row],[Total monthly income]]/Demographics[[#This Row],[FAMILY SIZE]], 0)</f>
        <v>116.25</v>
      </c>
    </row>
    <row r="696" spans="1:11" x14ac:dyDescent="0.2">
      <c r="A696">
        <v>14432861</v>
      </c>
      <c r="B696">
        <v>13051988</v>
      </c>
      <c r="C696">
        <v>3</v>
      </c>
      <c r="D696">
        <v>0</v>
      </c>
      <c r="E696">
        <v>1</v>
      </c>
      <c r="F696">
        <v>4</v>
      </c>
      <c r="G696">
        <v>4</v>
      </c>
      <c r="H696" t="str">
        <f>IF(Demographics[[#This Row],[DOB]]&gt;10000000, TEXT(Demographics[[#This Row],[DOB]],0),CONCATENATE("0",TEXT(Demographics[[#This Row],[DOB]],0)))</f>
        <v>13051988</v>
      </c>
      <c r="I696" s="4">
        <f ca="1">IFERROR((VALUE(TODAY()-DATE(RIGHT(Demographics[[#This Row],[DOB - Fixed]],4),MID(Demographics[[#This Row],[DOB - Fixed]],3,2),LEFT(Demographics[[#This Row],[DOB - Fixed]],2))))/365,0)</f>
        <v>35.345205479452055</v>
      </c>
      <c r="J696">
        <f>VLOOKUP(Demographics[[#This Row],[INCOME LEVEL]],Income[],4,FALSE)</f>
        <v>175</v>
      </c>
      <c r="K696">
        <f>IFERROR(Demographics[[#This Row],[Total monthly income]]/Demographics[[#This Row],[FAMILY SIZE]], 0)</f>
        <v>58.333333333333336</v>
      </c>
    </row>
    <row r="697" spans="1:11" x14ac:dyDescent="0.2">
      <c r="A697">
        <v>18373262</v>
      </c>
      <c r="B697">
        <v>12051988</v>
      </c>
      <c r="C697">
        <v>7</v>
      </c>
      <c r="D697">
        <v>0</v>
      </c>
      <c r="E697">
        <v>1</v>
      </c>
      <c r="F697">
        <v>3</v>
      </c>
      <c r="G697">
        <v>4</v>
      </c>
      <c r="H697" t="str">
        <f>IF(Demographics[[#This Row],[DOB]]&gt;10000000, TEXT(Demographics[[#This Row],[DOB]],0),CONCATENATE("0",TEXT(Demographics[[#This Row],[DOB]],0)))</f>
        <v>12051988</v>
      </c>
      <c r="I697" s="4">
        <f ca="1">IFERROR((VALUE(TODAY()-DATE(RIGHT(Demographics[[#This Row],[DOB - Fixed]],4),MID(Demographics[[#This Row],[DOB - Fixed]],3,2),LEFT(Demographics[[#This Row],[DOB - Fixed]],2))))/365,0)</f>
        <v>35.347945205479455</v>
      </c>
      <c r="J697">
        <f>VLOOKUP(Demographics[[#This Row],[INCOME LEVEL]],Income[],4,FALSE)</f>
        <v>175</v>
      </c>
      <c r="K697">
        <f>IFERROR(Demographics[[#This Row],[Total monthly income]]/Demographics[[#This Row],[FAMILY SIZE]], 0)</f>
        <v>25</v>
      </c>
    </row>
    <row r="698" spans="1:11" x14ac:dyDescent="0.2">
      <c r="A698">
        <v>17636767</v>
      </c>
      <c r="B698">
        <v>18051988</v>
      </c>
      <c r="C698">
        <v>2</v>
      </c>
      <c r="D698">
        <v>1</v>
      </c>
      <c r="E698">
        <v>1</v>
      </c>
      <c r="F698">
        <v>1</v>
      </c>
      <c r="G698">
        <v>2</v>
      </c>
      <c r="H698" t="str">
        <f>IF(Demographics[[#This Row],[DOB]]&gt;10000000, TEXT(Demographics[[#This Row],[DOB]],0),CONCATENATE("0",TEXT(Demographics[[#This Row],[DOB]],0)))</f>
        <v>18051988</v>
      </c>
      <c r="I698" s="4">
        <f ca="1">IFERROR((VALUE(TODAY()-DATE(RIGHT(Demographics[[#This Row],[DOB - Fixed]],4),MID(Demographics[[#This Row],[DOB - Fixed]],3,2),LEFT(Demographics[[#This Row],[DOB - Fixed]],2))))/365,0)</f>
        <v>35.331506849315069</v>
      </c>
      <c r="J698">
        <f>VLOOKUP(Demographics[[#This Row],[INCOME LEVEL]],Income[],4,FALSE)</f>
        <v>175</v>
      </c>
      <c r="K698">
        <f>IFERROR(Demographics[[#This Row],[Total monthly income]]/Demographics[[#This Row],[FAMILY SIZE]], 0)</f>
        <v>87.5</v>
      </c>
    </row>
    <row r="699" spans="1:11" x14ac:dyDescent="0.2">
      <c r="A699">
        <v>7057347</v>
      </c>
      <c r="B699">
        <v>16031988</v>
      </c>
      <c r="C699">
        <v>3</v>
      </c>
      <c r="D699">
        <v>1</v>
      </c>
      <c r="E699">
        <v>1</v>
      </c>
      <c r="F699">
        <v>4</v>
      </c>
      <c r="G699">
        <v>2</v>
      </c>
      <c r="H699" t="str">
        <f>IF(Demographics[[#This Row],[DOB]]&gt;10000000, TEXT(Demographics[[#This Row],[DOB]],0),CONCATENATE("0",TEXT(Demographics[[#This Row],[DOB]],0)))</f>
        <v>16031988</v>
      </c>
      <c r="I699" s="4">
        <f ca="1">IFERROR((VALUE(TODAY()-DATE(RIGHT(Demographics[[#This Row],[DOB - Fixed]],4),MID(Demographics[[#This Row],[DOB - Fixed]],3,2),LEFT(Demographics[[#This Row],[DOB - Fixed]],2))))/365,0)</f>
        <v>35.504109589041093</v>
      </c>
      <c r="J699">
        <f>VLOOKUP(Demographics[[#This Row],[INCOME LEVEL]],Income[],4,FALSE)</f>
        <v>175</v>
      </c>
      <c r="K699">
        <f>IFERROR(Demographics[[#This Row],[Total monthly income]]/Demographics[[#This Row],[FAMILY SIZE]], 0)</f>
        <v>58.333333333333336</v>
      </c>
    </row>
    <row r="700" spans="1:11" x14ac:dyDescent="0.2">
      <c r="A700">
        <v>7186958</v>
      </c>
      <c r="B700">
        <v>27051988</v>
      </c>
      <c r="C700">
        <v>2</v>
      </c>
      <c r="D700">
        <v>1</v>
      </c>
      <c r="E700">
        <v>1</v>
      </c>
      <c r="F700">
        <v>4</v>
      </c>
      <c r="G700">
        <v>5</v>
      </c>
      <c r="H700" t="str">
        <f>IF(Demographics[[#This Row],[DOB]]&gt;10000000, TEXT(Demographics[[#This Row],[DOB]],0),CONCATENATE("0",TEXT(Demographics[[#This Row],[DOB]],0)))</f>
        <v>27051988</v>
      </c>
      <c r="I700" s="4">
        <f ca="1">IFERROR((VALUE(TODAY()-DATE(RIGHT(Demographics[[#This Row],[DOB - Fixed]],4),MID(Demographics[[#This Row],[DOB - Fixed]],3,2),LEFT(Demographics[[#This Row],[DOB - Fixed]],2))))/365,0)</f>
        <v>35.30684931506849</v>
      </c>
      <c r="J700">
        <f>VLOOKUP(Demographics[[#This Row],[INCOME LEVEL]],Income[],4,FALSE)</f>
        <v>175</v>
      </c>
      <c r="K700">
        <f>IFERROR(Demographics[[#This Row],[Total monthly income]]/Demographics[[#This Row],[FAMILY SIZE]], 0)</f>
        <v>87.5</v>
      </c>
    </row>
    <row r="701" spans="1:11" x14ac:dyDescent="0.2">
      <c r="A701">
        <v>17131247</v>
      </c>
      <c r="B701">
        <v>3061988</v>
      </c>
      <c r="C701">
        <v>4</v>
      </c>
      <c r="D701">
        <v>0</v>
      </c>
      <c r="E701">
        <v>1</v>
      </c>
      <c r="F701">
        <v>2</v>
      </c>
      <c r="G701">
        <v>4</v>
      </c>
      <c r="H701" t="str">
        <f>IF(Demographics[[#This Row],[DOB]]&gt;10000000, TEXT(Demographics[[#This Row],[DOB]],0),CONCATENATE("0",TEXT(Demographics[[#This Row],[DOB]],0)))</f>
        <v>03061988</v>
      </c>
      <c r="I701" s="4">
        <f ca="1">IFERROR((VALUE(TODAY()-DATE(RIGHT(Demographics[[#This Row],[DOB - Fixed]],4),MID(Demographics[[#This Row],[DOB - Fixed]],3,2),LEFT(Demographics[[#This Row],[DOB - Fixed]],2))))/365,0)</f>
        <v>35.287671232876711</v>
      </c>
      <c r="J701">
        <f>VLOOKUP(Demographics[[#This Row],[INCOME LEVEL]],Income[],4,FALSE)</f>
        <v>175</v>
      </c>
      <c r="K701">
        <f>IFERROR(Demographics[[#This Row],[Total monthly income]]/Demographics[[#This Row],[FAMILY SIZE]], 0)</f>
        <v>43.75</v>
      </c>
    </row>
    <row r="702" spans="1:11" x14ac:dyDescent="0.2">
      <c r="A702">
        <v>6119420</v>
      </c>
      <c r="B702">
        <v>3061988</v>
      </c>
      <c r="C702">
        <v>8</v>
      </c>
      <c r="D702">
        <v>1</v>
      </c>
      <c r="E702">
        <v>1</v>
      </c>
      <c r="F702">
        <v>5</v>
      </c>
      <c r="G702">
        <v>3</v>
      </c>
      <c r="H702" t="str">
        <f>IF(Demographics[[#This Row],[DOB]]&gt;10000000, TEXT(Demographics[[#This Row],[DOB]],0),CONCATENATE("0",TEXT(Demographics[[#This Row],[DOB]],0)))</f>
        <v>03061988</v>
      </c>
      <c r="I702" s="4">
        <f ca="1">IFERROR((VALUE(TODAY()-DATE(RIGHT(Demographics[[#This Row],[DOB - Fixed]],4),MID(Demographics[[#This Row],[DOB - Fixed]],3,2),LEFT(Demographics[[#This Row],[DOB - Fixed]],2))))/365,0)</f>
        <v>35.287671232876711</v>
      </c>
      <c r="J702">
        <f>VLOOKUP(Demographics[[#This Row],[INCOME LEVEL]],Income[],4,FALSE)</f>
        <v>175</v>
      </c>
      <c r="K702">
        <f>IFERROR(Demographics[[#This Row],[Total monthly income]]/Demographics[[#This Row],[FAMILY SIZE]], 0)</f>
        <v>21.875</v>
      </c>
    </row>
    <row r="703" spans="1:11" x14ac:dyDescent="0.2">
      <c r="A703">
        <v>21505786</v>
      </c>
      <c r="B703">
        <v>7061988</v>
      </c>
      <c r="C703">
        <v>4</v>
      </c>
      <c r="D703">
        <v>1</v>
      </c>
      <c r="E703">
        <v>1</v>
      </c>
      <c r="F703">
        <v>7</v>
      </c>
      <c r="G703">
        <v>6</v>
      </c>
      <c r="H703" t="str">
        <f>IF(Demographics[[#This Row],[DOB]]&gt;10000000, TEXT(Demographics[[#This Row],[DOB]],0),CONCATENATE("0",TEXT(Demographics[[#This Row],[DOB]],0)))</f>
        <v>07061988</v>
      </c>
      <c r="I703" s="4">
        <f ca="1">IFERROR((VALUE(TODAY()-DATE(RIGHT(Demographics[[#This Row],[DOB - Fixed]],4),MID(Demographics[[#This Row],[DOB - Fixed]],3,2),LEFT(Demographics[[#This Row],[DOB - Fixed]],2))))/365,0)</f>
        <v>35.276712328767125</v>
      </c>
      <c r="J703">
        <f>VLOOKUP(Demographics[[#This Row],[INCOME LEVEL]],Income[],4,FALSE)</f>
        <v>175</v>
      </c>
      <c r="K703">
        <f>IFERROR(Demographics[[#This Row],[Total monthly income]]/Demographics[[#This Row],[FAMILY SIZE]], 0)</f>
        <v>43.75</v>
      </c>
    </row>
    <row r="704" spans="1:11" x14ac:dyDescent="0.2">
      <c r="A704">
        <v>22574197</v>
      </c>
      <c r="B704">
        <v>2121987</v>
      </c>
      <c r="C704">
        <v>4</v>
      </c>
      <c r="D704">
        <v>0</v>
      </c>
      <c r="E704">
        <v>1</v>
      </c>
      <c r="F704">
        <v>5</v>
      </c>
      <c r="G704">
        <v>3</v>
      </c>
      <c r="H704" t="str">
        <f>IF(Demographics[[#This Row],[DOB]]&gt;10000000, TEXT(Demographics[[#This Row],[DOB]],0),CONCATENATE("0",TEXT(Demographics[[#This Row],[DOB]],0)))</f>
        <v>02121987</v>
      </c>
      <c r="I704" s="4">
        <f ca="1">IFERROR((VALUE(TODAY()-DATE(RIGHT(Demographics[[#This Row],[DOB - Fixed]],4),MID(Demographics[[#This Row],[DOB - Fixed]],3,2),LEFT(Demographics[[#This Row],[DOB - Fixed]],2))))/365,0)</f>
        <v>35.791780821917811</v>
      </c>
      <c r="J704">
        <f>VLOOKUP(Demographics[[#This Row],[INCOME LEVEL]],Income[],4,FALSE)</f>
        <v>175</v>
      </c>
      <c r="K704">
        <f>IFERROR(Demographics[[#This Row],[Total monthly income]]/Demographics[[#This Row],[FAMILY SIZE]], 0)</f>
        <v>43.75</v>
      </c>
    </row>
    <row r="705" spans="1:11" x14ac:dyDescent="0.2">
      <c r="A705">
        <v>14995258</v>
      </c>
      <c r="B705">
        <v>16051988</v>
      </c>
      <c r="C705">
        <v>6</v>
      </c>
      <c r="D705">
        <v>0</v>
      </c>
      <c r="E705">
        <v>1</v>
      </c>
      <c r="F705">
        <v>5</v>
      </c>
      <c r="G705">
        <v>5</v>
      </c>
      <c r="H705" t="str">
        <f>IF(Demographics[[#This Row],[DOB]]&gt;10000000, TEXT(Demographics[[#This Row],[DOB]],0),CONCATENATE("0",TEXT(Demographics[[#This Row],[DOB]],0)))</f>
        <v>16051988</v>
      </c>
      <c r="I705" s="4">
        <f ca="1">IFERROR((VALUE(TODAY()-DATE(RIGHT(Demographics[[#This Row],[DOB - Fixed]],4),MID(Demographics[[#This Row],[DOB - Fixed]],3,2),LEFT(Demographics[[#This Row],[DOB - Fixed]],2))))/365,0)</f>
        <v>35.336986301369862</v>
      </c>
      <c r="J705">
        <f>VLOOKUP(Demographics[[#This Row],[INCOME LEVEL]],Income[],4,FALSE)</f>
        <v>175</v>
      </c>
      <c r="K705">
        <f>IFERROR(Demographics[[#This Row],[Total monthly income]]/Demographics[[#This Row],[FAMILY SIZE]], 0)</f>
        <v>29.166666666666668</v>
      </c>
    </row>
    <row r="706" spans="1:11" x14ac:dyDescent="0.2">
      <c r="A706">
        <v>1744785</v>
      </c>
      <c r="B706">
        <v>16061988</v>
      </c>
      <c r="C706">
        <v>5</v>
      </c>
      <c r="D706">
        <v>1</v>
      </c>
      <c r="E706">
        <v>1</v>
      </c>
      <c r="F706">
        <v>2</v>
      </c>
      <c r="G706">
        <v>2</v>
      </c>
      <c r="H706" t="str">
        <f>IF(Demographics[[#This Row],[DOB]]&gt;10000000, TEXT(Demographics[[#This Row],[DOB]],0),CONCATENATE("0",TEXT(Demographics[[#This Row],[DOB]],0)))</f>
        <v>16061988</v>
      </c>
      <c r="I706" s="4">
        <f ca="1">IFERROR((VALUE(TODAY()-DATE(RIGHT(Demographics[[#This Row],[DOB - Fixed]],4),MID(Demographics[[#This Row],[DOB - Fixed]],3,2),LEFT(Demographics[[#This Row],[DOB - Fixed]],2))))/365,0)</f>
        <v>35.252054794520546</v>
      </c>
      <c r="J706">
        <f>VLOOKUP(Demographics[[#This Row],[INCOME LEVEL]],Income[],4,FALSE)</f>
        <v>175</v>
      </c>
      <c r="K706">
        <f>IFERROR(Demographics[[#This Row],[Total monthly income]]/Demographics[[#This Row],[FAMILY SIZE]], 0)</f>
        <v>35</v>
      </c>
    </row>
    <row r="707" spans="1:11" x14ac:dyDescent="0.2">
      <c r="A707">
        <v>6450773</v>
      </c>
      <c r="B707">
        <v>21021988</v>
      </c>
      <c r="C707">
        <v>0</v>
      </c>
      <c r="D707">
        <v>0</v>
      </c>
      <c r="E707">
        <v>1</v>
      </c>
      <c r="F707">
        <v>0</v>
      </c>
      <c r="G707">
        <v>0</v>
      </c>
      <c r="H707" t="str">
        <f>IF(Demographics[[#This Row],[DOB]]&gt;10000000, TEXT(Demographics[[#This Row],[DOB]],0),CONCATENATE("0",TEXT(Demographics[[#This Row],[DOB]],0)))</f>
        <v>21021988</v>
      </c>
      <c r="I707" s="4">
        <f ca="1">IFERROR((VALUE(TODAY()-DATE(RIGHT(Demographics[[#This Row],[DOB - Fixed]],4),MID(Demographics[[#This Row],[DOB - Fixed]],3,2),LEFT(Demographics[[#This Row],[DOB - Fixed]],2))))/365,0)</f>
        <v>35.56986301369863</v>
      </c>
      <c r="J707">
        <f>VLOOKUP(Demographics[[#This Row],[INCOME LEVEL]],Income[],4,FALSE)</f>
        <v>175</v>
      </c>
      <c r="K707">
        <f>IFERROR(Demographics[[#This Row],[Total monthly income]]/Demographics[[#This Row],[FAMILY SIZE]], 0)</f>
        <v>0</v>
      </c>
    </row>
    <row r="708" spans="1:11" x14ac:dyDescent="0.2">
      <c r="A708">
        <v>142513</v>
      </c>
      <c r="B708">
        <v>22051988</v>
      </c>
      <c r="C708">
        <v>0</v>
      </c>
      <c r="D708">
        <v>0</v>
      </c>
      <c r="E708">
        <v>1</v>
      </c>
      <c r="F708">
        <v>4</v>
      </c>
      <c r="G708">
        <v>2</v>
      </c>
      <c r="H708" t="str">
        <f>IF(Demographics[[#This Row],[DOB]]&gt;10000000, TEXT(Demographics[[#This Row],[DOB]],0),CONCATENATE("0",TEXT(Demographics[[#This Row],[DOB]],0)))</f>
        <v>22051988</v>
      </c>
      <c r="I708" s="4">
        <f ca="1">IFERROR((VALUE(TODAY()-DATE(RIGHT(Demographics[[#This Row],[DOB - Fixed]],4),MID(Demographics[[#This Row],[DOB - Fixed]],3,2),LEFT(Demographics[[#This Row],[DOB - Fixed]],2))))/365,0)</f>
        <v>35.320547945205476</v>
      </c>
      <c r="J708">
        <f>VLOOKUP(Demographics[[#This Row],[INCOME LEVEL]],Income[],4,FALSE)</f>
        <v>175</v>
      </c>
      <c r="K708">
        <f>IFERROR(Demographics[[#This Row],[Total monthly income]]/Demographics[[#This Row],[FAMILY SIZE]], 0)</f>
        <v>0</v>
      </c>
    </row>
    <row r="709" spans="1:11" x14ac:dyDescent="0.2">
      <c r="A709">
        <v>6653389</v>
      </c>
      <c r="B709">
        <v>25051988</v>
      </c>
      <c r="C709">
        <v>5</v>
      </c>
      <c r="D709">
        <v>2</v>
      </c>
      <c r="E709">
        <v>1</v>
      </c>
      <c r="F709">
        <v>5</v>
      </c>
      <c r="G709">
        <v>3</v>
      </c>
      <c r="H709" t="str">
        <f>IF(Demographics[[#This Row],[DOB]]&gt;10000000, TEXT(Demographics[[#This Row],[DOB]],0),CONCATENATE("0",TEXT(Demographics[[#This Row],[DOB]],0)))</f>
        <v>25051988</v>
      </c>
      <c r="I709" s="4">
        <f ca="1">IFERROR((VALUE(TODAY()-DATE(RIGHT(Demographics[[#This Row],[DOB - Fixed]],4),MID(Demographics[[#This Row],[DOB - Fixed]],3,2),LEFT(Demographics[[#This Row],[DOB - Fixed]],2))))/365,0)</f>
        <v>35.31232876712329</v>
      </c>
      <c r="J709">
        <f>VLOOKUP(Demographics[[#This Row],[INCOME LEVEL]],Income[],4,FALSE)</f>
        <v>175</v>
      </c>
      <c r="K709">
        <f>IFERROR(Demographics[[#This Row],[Total monthly income]]/Demographics[[#This Row],[FAMILY SIZE]], 0)</f>
        <v>35</v>
      </c>
    </row>
    <row r="710" spans="1:11" x14ac:dyDescent="0.2">
      <c r="A710">
        <v>21404000</v>
      </c>
      <c r="B710">
        <v>18061988</v>
      </c>
      <c r="C710">
        <v>5</v>
      </c>
      <c r="D710">
        <v>1</v>
      </c>
      <c r="E710">
        <v>1</v>
      </c>
      <c r="F710">
        <v>2</v>
      </c>
      <c r="G710">
        <v>3</v>
      </c>
      <c r="H710" t="str">
        <f>IF(Demographics[[#This Row],[DOB]]&gt;10000000, TEXT(Demographics[[#This Row],[DOB]],0),CONCATENATE("0",TEXT(Demographics[[#This Row],[DOB]],0)))</f>
        <v>18061988</v>
      </c>
      <c r="I710" s="4">
        <f ca="1">IFERROR((VALUE(TODAY()-DATE(RIGHT(Demographics[[#This Row],[DOB - Fixed]],4),MID(Demographics[[#This Row],[DOB - Fixed]],3,2),LEFT(Demographics[[#This Row],[DOB - Fixed]],2))))/365,0)</f>
        <v>35.246575342465754</v>
      </c>
      <c r="J710">
        <f>VLOOKUP(Demographics[[#This Row],[INCOME LEVEL]],Income[],4,FALSE)</f>
        <v>175</v>
      </c>
      <c r="K710">
        <f>IFERROR(Demographics[[#This Row],[Total monthly income]]/Demographics[[#This Row],[FAMILY SIZE]], 0)</f>
        <v>35</v>
      </c>
    </row>
    <row r="711" spans="1:11" x14ac:dyDescent="0.2">
      <c r="A711">
        <v>23006367</v>
      </c>
      <c r="B711">
        <v>7061988</v>
      </c>
      <c r="C711">
        <v>4</v>
      </c>
      <c r="D711">
        <v>1</v>
      </c>
      <c r="E711">
        <v>1</v>
      </c>
      <c r="F711">
        <v>0</v>
      </c>
      <c r="G711">
        <v>9</v>
      </c>
      <c r="H711" t="str">
        <f>IF(Demographics[[#This Row],[DOB]]&gt;10000000, TEXT(Demographics[[#This Row],[DOB]],0),CONCATENATE("0",TEXT(Demographics[[#This Row],[DOB]],0)))</f>
        <v>07061988</v>
      </c>
      <c r="I711" s="4">
        <f ca="1">IFERROR((VALUE(TODAY()-DATE(RIGHT(Demographics[[#This Row],[DOB - Fixed]],4),MID(Demographics[[#This Row],[DOB - Fixed]],3,2),LEFT(Demographics[[#This Row],[DOB - Fixed]],2))))/365,0)</f>
        <v>35.276712328767125</v>
      </c>
      <c r="J711">
        <f>VLOOKUP(Demographics[[#This Row],[INCOME LEVEL]],Income[],4,FALSE)</f>
        <v>175</v>
      </c>
      <c r="K711">
        <f>IFERROR(Demographics[[#This Row],[Total monthly income]]/Demographics[[#This Row],[FAMILY SIZE]], 0)</f>
        <v>43.75</v>
      </c>
    </row>
    <row r="712" spans="1:11" x14ac:dyDescent="0.2">
      <c r="A712">
        <v>11358810</v>
      </c>
      <c r="B712">
        <v>17061988</v>
      </c>
      <c r="C712">
        <v>8</v>
      </c>
      <c r="D712">
        <v>0</v>
      </c>
      <c r="E712">
        <v>1</v>
      </c>
      <c r="F712">
        <v>3</v>
      </c>
      <c r="G712">
        <v>3</v>
      </c>
      <c r="H712" t="str">
        <f>IF(Demographics[[#This Row],[DOB]]&gt;10000000, TEXT(Demographics[[#This Row],[DOB]],0),CONCATENATE("0",TEXT(Demographics[[#This Row],[DOB]],0)))</f>
        <v>17061988</v>
      </c>
      <c r="I712" s="4">
        <f ca="1">IFERROR((VALUE(TODAY()-DATE(RIGHT(Demographics[[#This Row],[DOB - Fixed]],4),MID(Demographics[[#This Row],[DOB - Fixed]],3,2),LEFT(Demographics[[#This Row],[DOB - Fixed]],2))))/365,0)</f>
        <v>35.249315068493154</v>
      </c>
      <c r="J712">
        <f>VLOOKUP(Demographics[[#This Row],[INCOME LEVEL]],Income[],4,FALSE)</f>
        <v>175</v>
      </c>
      <c r="K712">
        <f>IFERROR(Demographics[[#This Row],[Total monthly income]]/Demographics[[#This Row],[FAMILY SIZE]], 0)</f>
        <v>21.875</v>
      </c>
    </row>
    <row r="713" spans="1:11" x14ac:dyDescent="0.2">
      <c r="A713">
        <v>17767171</v>
      </c>
      <c r="B713">
        <v>11061988</v>
      </c>
      <c r="C713">
        <v>4</v>
      </c>
      <c r="D713">
        <v>1</v>
      </c>
      <c r="E713">
        <v>1</v>
      </c>
      <c r="F713">
        <v>2</v>
      </c>
      <c r="G713">
        <v>4</v>
      </c>
      <c r="H713" t="str">
        <f>IF(Demographics[[#This Row],[DOB]]&gt;10000000, TEXT(Demographics[[#This Row],[DOB]],0),CONCATENATE("0",TEXT(Demographics[[#This Row],[DOB]],0)))</f>
        <v>11061988</v>
      </c>
      <c r="I713" s="4">
        <f ca="1">IFERROR((VALUE(TODAY()-DATE(RIGHT(Demographics[[#This Row],[DOB - Fixed]],4),MID(Demographics[[#This Row],[DOB - Fixed]],3,2),LEFT(Demographics[[#This Row],[DOB - Fixed]],2))))/365,0)</f>
        <v>35.265753424657532</v>
      </c>
      <c r="J713">
        <f>VLOOKUP(Demographics[[#This Row],[INCOME LEVEL]],Income[],4,FALSE)</f>
        <v>175</v>
      </c>
      <c r="K713">
        <f>IFERROR(Demographics[[#This Row],[Total monthly income]]/Demographics[[#This Row],[FAMILY SIZE]], 0)</f>
        <v>43.75</v>
      </c>
    </row>
    <row r="714" spans="1:11" x14ac:dyDescent="0.2">
      <c r="A714">
        <v>17665344</v>
      </c>
      <c r="B714">
        <v>11061988</v>
      </c>
      <c r="C714">
        <v>3</v>
      </c>
      <c r="D714">
        <v>1</v>
      </c>
      <c r="E714">
        <v>2</v>
      </c>
      <c r="F714">
        <v>5</v>
      </c>
      <c r="G714">
        <v>5</v>
      </c>
      <c r="H714" t="str">
        <f>IF(Demographics[[#This Row],[DOB]]&gt;10000000, TEXT(Demographics[[#This Row],[DOB]],0),CONCATENATE("0",TEXT(Demographics[[#This Row],[DOB]],0)))</f>
        <v>11061988</v>
      </c>
      <c r="I714" s="4">
        <f ca="1">IFERROR((VALUE(TODAY()-DATE(RIGHT(Demographics[[#This Row],[DOB - Fixed]],4),MID(Demographics[[#This Row],[DOB - Fixed]],3,2),LEFT(Demographics[[#This Row],[DOB - Fixed]],2))))/365,0)</f>
        <v>35.265753424657532</v>
      </c>
      <c r="J714">
        <f>VLOOKUP(Demographics[[#This Row],[INCOME LEVEL]],Income[],4,FALSE)</f>
        <v>697.5</v>
      </c>
      <c r="K714">
        <f>IFERROR(Demographics[[#This Row],[Total monthly income]]/Demographics[[#This Row],[FAMILY SIZE]], 0)</f>
        <v>232.5</v>
      </c>
    </row>
    <row r="715" spans="1:11" x14ac:dyDescent="0.2">
      <c r="A715">
        <v>5916596</v>
      </c>
      <c r="B715">
        <v>7061988</v>
      </c>
      <c r="C715">
        <v>6</v>
      </c>
      <c r="D715">
        <v>1</v>
      </c>
      <c r="E715">
        <v>1</v>
      </c>
      <c r="F715">
        <v>8</v>
      </c>
      <c r="G715">
        <v>5</v>
      </c>
      <c r="H715" t="str">
        <f>IF(Demographics[[#This Row],[DOB]]&gt;10000000, TEXT(Demographics[[#This Row],[DOB]],0),CONCATENATE("0",TEXT(Demographics[[#This Row],[DOB]],0)))</f>
        <v>07061988</v>
      </c>
      <c r="I715" s="4">
        <f ca="1">IFERROR((VALUE(TODAY()-DATE(RIGHT(Demographics[[#This Row],[DOB - Fixed]],4),MID(Demographics[[#This Row],[DOB - Fixed]],3,2),LEFT(Demographics[[#This Row],[DOB - Fixed]],2))))/365,0)</f>
        <v>35.276712328767125</v>
      </c>
      <c r="J715">
        <f>VLOOKUP(Demographics[[#This Row],[INCOME LEVEL]],Income[],4,FALSE)</f>
        <v>175</v>
      </c>
      <c r="K715">
        <f>IFERROR(Demographics[[#This Row],[Total monthly income]]/Demographics[[#This Row],[FAMILY SIZE]], 0)</f>
        <v>29.166666666666668</v>
      </c>
    </row>
    <row r="716" spans="1:11" x14ac:dyDescent="0.2">
      <c r="A716">
        <v>14129791</v>
      </c>
      <c r="B716">
        <v>26061988</v>
      </c>
      <c r="C716">
        <v>4</v>
      </c>
      <c r="D716">
        <v>1</v>
      </c>
      <c r="E716">
        <v>1</v>
      </c>
      <c r="F716">
        <v>4</v>
      </c>
      <c r="G716">
        <v>5</v>
      </c>
      <c r="H716" t="str">
        <f>IF(Demographics[[#This Row],[DOB]]&gt;10000000, TEXT(Demographics[[#This Row],[DOB]],0),CONCATENATE("0",TEXT(Demographics[[#This Row],[DOB]],0)))</f>
        <v>26061988</v>
      </c>
      <c r="I716" s="4">
        <f ca="1">IFERROR((VALUE(TODAY()-DATE(RIGHT(Demographics[[#This Row],[DOB - Fixed]],4),MID(Demographics[[#This Row],[DOB - Fixed]],3,2),LEFT(Demographics[[#This Row],[DOB - Fixed]],2))))/365,0)</f>
        <v>35.224657534246575</v>
      </c>
      <c r="J716">
        <f>VLOOKUP(Demographics[[#This Row],[INCOME LEVEL]],Income[],4,FALSE)</f>
        <v>175</v>
      </c>
      <c r="K716">
        <f>IFERROR(Demographics[[#This Row],[Total monthly income]]/Demographics[[#This Row],[FAMILY SIZE]], 0)</f>
        <v>43.75</v>
      </c>
    </row>
    <row r="717" spans="1:11" x14ac:dyDescent="0.2">
      <c r="A717">
        <v>9323502</v>
      </c>
      <c r="B717">
        <v>29061988</v>
      </c>
      <c r="C717">
        <v>5</v>
      </c>
      <c r="D717">
        <v>1</v>
      </c>
      <c r="E717">
        <v>2</v>
      </c>
      <c r="F717">
        <v>10</v>
      </c>
      <c r="G717">
        <v>4</v>
      </c>
      <c r="H717" t="str">
        <f>IF(Demographics[[#This Row],[DOB]]&gt;10000000, TEXT(Demographics[[#This Row],[DOB]],0),CONCATENATE("0",TEXT(Demographics[[#This Row],[DOB]],0)))</f>
        <v>29061988</v>
      </c>
      <c r="I717" s="4">
        <f ca="1">IFERROR((VALUE(TODAY()-DATE(RIGHT(Demographics[[#This Row],[DOB - Fixed]],4),MID(Demographics[[#This Row],[DOB - Fixed]],3,2),LEFT(Demographics[[#This Row],[DOB - Fixed]],2))))/365,0)</f>
        <v>35.216438356164382</v>
      </c>
      <c r="J717">
        <f>VLOOKUP(Demographics[[#This Row],[INCOME LEVEL]],Income[],4,FALSE)</f>
        <v>697.5</v>
      </c>
      <c r="K717">
        <f>IFERROR(Demographics[[#This Row],[Total monthly income]]/Demographics[[#This Row],[FAMILY SIZE]], 0)</f>
        <v>139.5</v>
      </c>
    </row>
    <row r="718" spans="1:11" x14ac:dyDescent="0.2">
      <c r="A718">
        <v>3246330</v>
      </c>
      <c r="B718">
        <v>29061988</v>
      </c>
      <c r="C718">
        <v>0</v>
      </c>
      <c r="D718">
        <v>0</v>
      </c>
      <c r="E718">
        <v>1</v>
      </c>
      <c r="F718">
        <v>0</v>
      </c>
      <c r="G718">
        <v>3</v>
      </c>
      <c r="H718" t="str">
        <f>IF(Demographics[[#This Row],[DOB]]&gt;10000000, TEXT(Demographics[[#This Row],[DOB]],0),CONCATENATE("0",TEXT(Demographics[[#This Row],[DOB]],0)))</f>
        <v>29061988</v>
      </c>
      <c r="I718" s="4">
        <f ca="1">IFERROR((VALUE(TODAY()-DATE(RIGHT(Demographics[[#This Row],[DOB - Fixed]],4),MID(Demographics[[#This Row],[DOB - Fixed]],3,2),LEFT(Demographics[[#This Row],[DOB - Fixed]],2))))/365,0)</f>
        <v>35.216438356164382</v>
      </c>
      <c r="J718">
        <f>VLOOKUP(Demographics[[#This Row],[INCOME LEVEL]],Income[],4,FALSE)</f>
        <v>175</v>
      </c>
      <c r="K718">
        <f>IFERROR(Demographics[[#This Row],[Total monthly income]]/Demographics[[#This Row],[FAMILY SIZE]], 0)</f>
        <v>0</v>
      </c>
    </row>
    <row r="719" spans="1:11" x14ac:dyDescent="0.2">
      <c r="A719">
        <v>778202</v>
      </c>
      <c r="B719">
        <v>1071988</v>
      </c>
      <c r="C719">
        <v>4</v>
      </c>
      <c r="D719">
        <v>1</v>
      </c>
      <c r="E719">
        <v>1</v>
      </c>
      <c r="F719">
        <v>4</v>
      </c>
      <c r="G719">
        <v>4</v>
      </c>
      <c r="H719" t="str">
        <f>IF(Demographics[[#This Row],[DOB]]&gt;10000000, TEXT(Demographics[[#This Row],[DOB]],0),CONCATENATE("0",TEXT(Demographics[[#This Row],[DOB]],0)))</f>
        <v>01071988</v>
      </c>
      <c r="I719" s="4">
        <f ca="1">IFERROR((VALUE(TODAY()-DATE(RIGHT(Demographics[[#This Row],[DOB - Fixed]],4),MID(Demographics[[#This Row],[DOB - Fixed]],3,2),LEFT(Demographics[[#This Row],[DOB - Fixed]],2))))/365,0)</f>
        <v>35.210958904109589</v>
      </c>
      <c r="J719">
        <f>VLOOKUP(Demographics[[#This Row],[INCOME LEVEL]],Income[],4,FALSE)</f>
        <v>175</v>
      </c>
      <c r="K719">
        <f>IFERROR(Demographics[[#This Row],[Total monthly income]]/Demographics[[#This Row],[FAMILY SIZE]], 0)</f>
        <v>43.75</v>
      </c>
    </row>
    <row r="720" spans="1:11" x14ac:dyDescent="0.2">
      <c r="A720">
        <v>11993799</v>
      </c>
      <c r="B720">
        <v>6071988</v>
      </c>
      <c r="C720">
        <v>5</v>
      </c>
      <c r="D720">
        <v>2</v>
      </c>
      <c r="E720">
        <v>2</v>
      </c>
      <c r="F720">
        <v>5</v>
      </c>
      <c r="G720">
        <v>5</v>
      </c>
      <c r="H720" t="str">
        <f>IF(Demographics[[#This Row],[DOB]]&gt;10000000, TEXT(Demographics[[#This Row],[DOB]],0),CONCATENATE("0",TEXT(Demographics[[#This Row],[DOB]],0)))</f>
        <v>06071988</v>
      </c>
      <c r="I720" s="4">
        <f ca="1">IFERROR((VALUE(TODAY()-DATE(RIGHT(Demographics[[#This Row],[DOB - Fixed]],4),MID(Demographics[[#This Row],[DOB - Fixed]],3,2),LEFT(Demographics[[#This Row],[DOB - Fixed]],2))))/365,0)</f>
        <v>35.197260273972603</v>
      </c>
      <c r="J720">
        <f>VLOOKUP(Demographics[[#This Row],[INCOME LEVEL]],Income[],4,FALSE)</f>
        <v>697.5</v>
      </c>
      <c r="K720">
        <f>IFERROR(Demographics[[#This Row],[Total monthly income]]/Demographics[[#This Row],[FAMILY SIZE]], 0)</f>
        <v>139.5</v>
      </c>
    </row>
    <row r="721" spans="1:11" x14ac:dyDescent="0.2">
      <c r="A721">
        <v>4516735</v>
      </c>
      <c r="B721">
        <v>12051988</v>
      </c>
      <c r="C721">
        <v>5</v>
      </c>
      <c r="D721">
        <v>1</v>
      </c>
      <c r="E721">
        <v>1</v>
      </c>
      <c r="F721">
        <v>4</v>
      </c>
      <c r="G721">
        <v>5</v>
      </c>
      <c r="H721" t="str">
        <f>IF(Demographics[[#This Row],[DOB]]&gt;10000000, TEXT(Demographics[[#This Row],[DOB]],0),CONCATENATE("0",TEXT(Demographics[[#This Row],[DOB]],0)))</f>
        <v>12051988</v>
      </c>
      <c r="I721" s="4">
        <f ca="1">IFERROR((VALUE(TODAY()-DATE(RIGHT(Demographics[[#This Row],[DOB - Fixed]],4),MID(Demographics[[#This Row],[DOB - Fixed]],3,2),LEFT(Demographics[[#This Row],[DOB - Fixed]],2))))/365,0)</f>
        <v>35.347945205479455</v>
      </c>
      <c r="J721">
        <f>VLOOKUP(Demographics[[#This Row],[INCOME LEVEL]],Income[],4,FALSE)</f>
        <v>175</v>
      </c>
      <c r="K721">
        <f>IFERROR(Demographics[[#This Row],[Total monthly income]]/Demographics[[#This Row],[FAMILY SIZE]], 0)</f>
        <v>35</v>
      </c>
    </row>
    <row r="722" spans="1:11" x14ac:dyDescent="0.2">
      <c r="A722">
        <v>11257333</v>
      </c>
      <c r="B722">
        <v>10061988</v>
      </c>
      <c r="C722">
        <v>4</v>
      </c>
      <c r="D722">
        <v>1</v>
      </c>
      <c r="E722">
        <v>1</v>
      </c>
      <c r="F722">
        <v>4</v>
      </c>
      <c r="G722">
        <v>7</v>
      </c>
      <c r="H722" t="str">
        <f>IF(Demographics[[#This Row],[DOB]]&gt;10000000, TEXT(Demographics[[#This Row],[DOB]],0),CONCATENATE("0",TEXT(Demographics[[#This Row],[DOB]],0)))</f>
        <v>10061988</v>
      </c>
      <c r="I722" s="4">
        <f ca="1">IFERROR((VALUE(TODAY()-DATE(RIGHT(Demographics[[#This Row],[DOB - Fixed]],4),MID(Demographics[[#This Row],[DOB - Fixed]],3,2),LEFT(Demographics[[#This Row],[DOB - Fixed]],2))))/365,0)</f>
        <v>35.268493150684932</v>
      </c>
      <c r="J722">
        <f>VLOOKUP(Demographics[[#This Row],[INCOME LEVEL]],Income[],4,FALSE)</f>
        <v>175</v>
      </c>
      <c r="K722">
        <f>IFERROR(Demographics[[#This Row],[Total monthly income]]/Demographics[[#This Row],[FAMILY SIZE]], 0)</f>
        <v>43.75</v>
      </c>
    </row>
    <row r="723" spans="1:11" x14ac:dyDescent="0.2">
      <c r="A723">
        <v>18300819</v>
      </c>
      <c r="B723">
        <v>8071988</v>
      </c>
      <c r="C723">
        <v>2</v>
      </c>
      <c r="D723">
        <v>1</v>
      </c>
      <c r="E723">
        <v>1</v>
      </c>
      <c r="F723">
        <v>1</v>
      </c>
      <c r="G723">
        <v>4</v>
      </c>
      <c r="H723" t="str">
        <f>IF(Demographics[[#This Row],[DOB]]&gt;10000000, TEXT(Demographics[[#This Row],[DOB]],0),CONCATENATE("0",TEXT(Demographics[[#This Row],[DOB]],0)))</f>
        <v>08071988</v>
      </c>
      <c r="I723" s="4">
        <f ca="1">IFERROR((VALUE(TODAY()-DATE(RIGHT(Demographics[[#This Row],[DOB - Fixed]],4),MID(Demographics[[#This Row],[DOB - Fixed]],3,2),LEFT(Demographics[[#This Row],[DOB - Fixed]],2))))/365,0)</f>
        <v>35.19178082191781</v>
      </c>
      <c r="J723">
        <f>VLOOKUP(Demographics[[#This Row],[INCOME LEVEL]],Income[],4,FALSE)</f>
        <v>175</v>
      </c>
      <c r="K723">
        <f>IFERROR(Demographics[[#This Row],[Total monthly income]]/Demographics[[#This Row],[FAMILY SIZE]], 0)</f>
        <v>87.5</v>
      </c>
    </row>
    <row r="724" spans="1:11" x14ac:dyDescent="0.2">
      <c r="A724">
        <v>8688144</v>
      </c>
      <c r="B724">
        <v>7071988</v>
      </c>
      <c r="C724">
        <v>3</v>
      </c>
      <c r="D724">
        <v>1</v>
      </c>
      <c r="E724">
        <v>1</v>
      </c>
      <c r="F724">
        <v>5</v>
      </c>
      <c r="G724">
        <v>4</v>
      </c>
      <c r="H724" t="str">
        <f>IF(Demographics[[#This Row],[DOB]]&gt;10000000, TEXT(Demographics[[#This Row],[DOB]],0),CONCATENATE("0",TEXT(Demographics[[#This Row],[DOB]],0)))</f>
        <v>07071988</v>
      </c>
      <c r="I724" s="4">
        <f ca="1">IFERROR((VALUE(TODAY()-DATE(RIGHT(Demographics[[#This Row],[DOB - Fixed]],4),MID(Demographics[[#This Row],[DOB - Fixed]],3,2),LEFT(Demographics[[#This Row],[DOB - Fixed]],2))))/365,0)</f>
        <v>35.194520547945203</v>
      </c>
      <c r="J724">
        <f>VLOOKUP(Demographics[[#This Row],[INCOME LEVEL]],Income[],4,FALSE)</f>
        <v>175</v>
      </c>
      <c r="K724">
        <f>IFERROR(Demographics[[#This Row],[Total monthly income]]/Demographics[[#This Row],[FAMILY SIZE]], 0)</f>
        <v>58.333333333333336</v>
      </c>
    </row>
    <row r="725" spans="1:11" x14ac:dyDescent="0.2">
      <c r="A725">
        <v>20971850</v>
      </c>
      <c r="B725">
        <v>1071988</v>
      </c>
      <c r="C725">
        <v>0</v>
      </c>
      <c r="D725">
        <v>0</v>
      </c>
      <c r="E725">
        <v>1</v>
      </c>
      <c r="F725">
        <v>0</v>
      </c>
      <c r="G725">
        <v>0</v>
      </c>
      <c r="H725" t="str">
        <f>IF(Demographics[[#This Row],[DOB]]&gt;10000000, TEXT(Demographics[[#This Row],[DOB]],0),CONCATENATE("0",TEXT(Demographics[[#This Row],[DOB]],0)))</f>
        <v>01071988</v>
      </c>
      <c r="I725" s="4">
        <f ca="1">IFERROR((VALUE(TODAY()-DATE(RIGHT(Demographics[[#This Row],[DOB - Fixed]],4),MID(Demographics[[#This Row],[DOB - Fixed]],3,2),LEFT(Demographics[[#This Row],[DOB - Fixed]],2))))/365,0)</f>
        <v>35.210958904109589</v>
      </c>
      <c r="J725">
        <f>VLOOKUP(Demographics[[#This Row],[INCOME LEVEL]],Income[],4,FALSE)</f>
        <v>175</v>
      </c>
      <c r="K725">
        <f>IFERROR(Demographics[[#This Row],[Total monthly income]]/Demographics[[#This Row],[FAMILY SIZE]], 0)</f>
        <v>0</v>
      </c>
    </row>
    <row r="726" spans="1:11" x14ac:dyDescent="0.2">
      <c r="A726">
        <v>7518187</v>
      </c>
      <c r="B726">
        <v>10081987</v>
      </c>
      <c r="C726">
        <v>2</v>
      </c>
      <c r="D726">
        <v>0</v>
      </c>
      <c r="E726">
        <v>1</v>
      </c>
      <c r="F726">
        <v>2</v>
      </c>
      <c r="G726">
        <v>4</v>
      </c>
      <c r="H726" t="str">
        <f>IF(Demographics[[#This Row],[DOB]]&gt;10000000, TEXT(Demographics[[#This Row],[DOB]],0),CONCATENATE("0",TEXT(Demographics[[#This Row],[DOB]],0)))</f>
        <v>10081987</v>
      </c>
      <c r="I726" s="4">
        <f ca="1">IFERROR((VALUE(TODAY()-DATE(RIGHT(Demographics[[#This Row],[DOB - Fixed]],4),MID(Demographics[[#This Row],[DOB - Fixed]],3,2),LEFT(Demographics[[#This Row],[DOB - Fixed]],2))))/365,0)</f>
        <v>36.104109589041094</v>
      </c>
      <c r="J726">
        <f>VLOOKUP(Demographics[[#This Row],[INCOME LEVEL]],Income[],4,FALSE)</f>
        <v>175</v>
      </c>
      <c r="K726">
        <f>IFERROR(Demographics[[#This Row],[Total monthly income]]/Demographics[[#This Row],[FAMILY SIZE]], 0)</f>
        <v>87.5</v>
      </c>
    </row>
    <row r="727" spans="1:11" x14ac:dyDescent="0.2">
      <c r="A727">
        <v>6653390</v>
      </c>
      <c r="B727">
        <v>14071988</v>
      </c>
      <c r="C727">
        <v>5</v>
      </c>
      <c r="D727">
        <v>1</v>
      </c>
      <c r="E727">
        <v>1</v>
      </c>
      <c r="F727">
        <v>5</v>
      </c>
      <c r="G727">
        <v>5</v>
      </c>
      <c r="H727" t="str">
        <f>IF(Demographics[[#This Row],[DOB]]&gt;10000000, TEXT(Demographics[[#This Row],[DOB]],0),CONCATENATE("0",TEXT(Demographics[[#This Row],[DOB]],0)))</f>
        <v>14071988</v>
      </c>
      <c r="I727" s="4">
        <f ca="1">IFERROR((VALUE(TODAY()-DATE(RIGHT(Demographics[[#This Row],[DOB - Fixed]],4),MID(Demographics[[#This Row],[DOB - Fixed]],3,2),LEFT(Demographics[[#This Row],[DOB - Fixed]],2))))/365,0)</f>
        <v>35.175342465753424</v>
      </c>
      <c r="J727">
        <f>VLOOKUP(Demographics[[#This Row],[INCOME LEVEL]],Income[],4,FALSE)</f>
        <v>175</v>
      </c>
      <c r="K727">
        <f>IFERROR(Demographics[[#This Row],[Total monthly income]]/Demographics[[#This Row],[FAMILY SIZE]], 0)</f>
        <v>35</v>
      </c>
    </row>
    <row r="728" spans="1:11" x14ac:dyDescent="0.2">
      <c r="A728">
        <v>8789260</v>
      </c>
      <c r="B728">
        <v>18071988</v>
      </c>
      <c r="C728">
        <v>3</v>
      </c>
      <c r="D728">
        <v>1</v>
      </c>
      <c r="E728">
        <v>1</v>
      </c>
      <c r="F728">
        <v>3</v>
      </c>
      <c r="G728">
        <v>5</v>
      </c>
      <c r="H728" t="str">
        <f>IF(Demographics[[#This Row],[DOB]]&gt;10000000, TEXT(Demographics[[#This Row],[DOB]],0),CONCATENATE("0",TEXT(Demographics[[#This Row],[DOB]],0)))</f>
        <v>18071988</v>
      </c>
      <c r="I728" s="4">
        <f ca="1">IFERROR((VALUE(TODAY()-DATE(RIGHT(Demographics[[#This Row],[DOB - Fixed]],4),MID(Demographics[[#This Row],[DOB - Fixed]],3,2),LEFT(Demographics[[#This Row],[DOB - Fixed]],2))))/365,0)</f>
        <v>35.164383561643838</v>
      </c>
      <c r="J728">
        <f>VLOOKUP(Demographics[[#This Row],[INCOME LEVEL]],Income[],4,FALSE)</f>
        <v>175</v>
      </c>
      <c r="K728">
        <f>IFERROR(Demographics[[#This Row],[Total monthly income]]/Demographics[[#This Row],[FAMILY SIZE]], 0)</f>
        <v>58.333333333333336</v>
      </c>
    </row>
    <row r="729" spans="1:11" x14ac:dyDescent="0.2">
      <c r="A729">
        <v>17665345</v>
      </c>
      <c r="B729">
        <v>20071988</v>
      </c>
      <c r="C729">
        <v>7</v>
      </c>
      <c r="D729">
        <v>2</v>
      </c>
      <c r="E729">
        <v>1</v>
      </c>
      <c r="F729">
        <v>2</v>
      </c>
      <c r="G729">
        <v>2</v>
      </c>
      <c r="H729" t="str">
        <f>IF(Demographics[[#This Row],[DOB]]&gt;10000000, TEXT(Demographics[[#This Row],[DOB]],0),CONCATENATE("0",TEXT(Demographics[[#This Row],[DOB]],0)))</f>
        <v>20071988</v>
      </c>
      <c r="I729" s="4">
        <f ca="1">IFERROR((VALUE(TODAY()-DATE(RIGHT(Demographics[[#This Row],[DOB - Fixed]],4),MID(Demographics[[#This Row],[DOB - Fixed]],3,2),LEFT(Demographics[[#This Row],[DOB - Fixed]],2))))/365,0)</f>
        <v>35.158904109589038</v>
      </c>
      <c r="J729">
        <f>VLOOKUP(Demographics[[#This Row],[INCOME LEVEL]],Income[],4,FALSE)</f>
        <v>175</v>
      </c>
      <c r="K729">
        <f>IFERROR(Demographics[[#This Row],[Total monthly income]]/Demographics[[#This Row],[FAMILY SIZE]], 0)</f>
        <v>25</v>
      </c>
    </row>
    <row r="730" spans="1:11" x14ac:dyDescent="0.2">
      <c r="A730">
        <v>7720929</v>
      </c>
      <c r="B730">
        <v>20071988</v>
      </c>
      <c r="C730">
        <v>4</v>
      </c>
      <c r="D730">
        <v>1</v>
      </c>
      <c r="E730">
        <v>1</v>
      </c>
      <c r="F730">
        <v>3</v>
      </c>
      <c r="G730">
        <v>4</v>
      </c>
      <c r="H730" t="str">
        <f>IF(Demographics[[#This Row],[DOB]]&gt;10000000, TEXT(Demographics[[#This Row],[DOB]],0),CONCATENATE("0",TEXT(Demographics[[#This Row],[DOB]],0)))</f>
        <v>20071988</v>
      </c>
      <c r="I730" s="4">
        <f ca="1">IFERROR((VALUE(TODAY()-DATE(RIGHT(Demographics[[#This Row],[DOB - Fixed]],4),MID(Demographics[[#This Row],[DOB - Fixed]],3,2),LEFT(Demographics[[#This Row],[DOB - Fixed]],2))))/365,0)</f>
        <v>35.158904109589038</v>
      </c>
      <c r="J730">
        <f>VLOOKUP(Demographics[[#This Row],[INCOME LEVEL]],Income[],4,FALSE)</f>
        <v>175</v>
      </c>
      <c r="K730">
        <f>IFERROR(Demographics[[#This Row],[Total monthly income]]/Demographics[[#This Row],[FAMILY SIZE]], 0)</f>
        <v>43.75</v>
      </c>
    </row>
    <row r="731" spans="1:11" x14ac:dyDescent="0.2">
      <c r="A731">
        <v>14562958</v>
      </c>
      <c r="B731">
        <v>13071988</v>
      </c>
      <c r="C731">
        <v>5</v>
      </c>
      <c r="D731">
        <v>2</v>
      </c>
      <c r="E731">
        <v>2</v>
      </c>
      <c r="F731">
        <v>4</v>
      </c>
      <c r="G731">
        <v>9</v>
      </c>
      <c r="H731" t="str">
        <f>IF(Demographics[[#This Row],[DOB]]&gt;10000000, TEXT(Demographics[[#This Row],[DOB]],0),CONCATENATE("0",TEXT(Demographics[[#This Row],[DOB]],0)))</f>
        <v>13071988</v>
      </c>
      <c r="I731" s="4">
        <f ca="1">IFERROR((VALUE(TODAY()-DATE(RIGHT(Demographics[[#This Row],[DOB - Fixed]],4),MID(Demographics[[#This Row],[DOB - Fixed]],3,2),LEFT(Demographics[[#This Row],[DOB - Fixed]],2))))/365,0)</f>
        <v>35.178082191780824</v>
      </c>
      <c r="J731">
        <f>VLOOKUP(Demographics[[#This Row],[INCOME LEVEL]],Income[],4,FALSE)</f>
        <v>697.5</v>
      </c>
      <c r="K731">
        <f>IFERROR(Demographics[[#This Row],[Total monthly income]]/Demographics[[#This Row],[FAMILY SIZE]], 0)</f>
        <v>139.5</v>
      </c>
    </row>
    <row r="732" spans="1:11" x14ac:dyDescent="0.2">
      <c r="A732">
        <v>20336193</v>
      </c>
      <c r="B732">
        <v>23071988</v>
      </c>
      <c r="C732">
        <v>7</v>
      </c>
      <c r="D732">
        <v>1</v>
      </c>
      <c r="E732">
        <v>1</v>
      </c>
      <c r="F732">
        <v>9</v>
      </c>
      <c r="G732">
        <v>5</v>
      </c>
      <c r="H732" t="str">
        <f>IF(Demographics[[#This Row],[DOB]]&gt;10000000, TEXT(Demographics[[#This Row],[DOB]],0),CONCATENATE("0",TEXT(Demographics[[#This Row],[DOB]],0)))</f>
        <v>23071988</v>
      </c>
      <c r="I732" s="4">
        <f ca="1">IFERROR((VALUE(TODAY()-DATE(RIGHT(Demographics[[#This Row],[DOB - Fixed]],4),MID(Demographics[[#This Row],[DOB - Fixed]],3,2),LEFT(Demographics[[#This Row],[DOB - Fixed]],2))))/365,0)</f>
        <v>35.150684931506852</v>
      </c>
      <c r="J732">
        <f>VLOOKUP(Demographics[[#This Row],[INCOME LEVEL]],Income[],4,FALSE)</f>
        <v>175</v>
      </c>
      <c r="K732">
        <f>IFERROR(Demographics[[#This Row],[Total monthly income]]/Demographics[[#This Row],[FAMILY SIZE]], 0)</f>
        <v>25</v>
      </c>
    </row>
    <row r="733" spans="1:11" x14ac:dyDescent="0.2">
      <c r="A733">
        <v>20437955</v>
      </c>
      <c r="B733">
        <v>25071988</v>
      </c>
      <c r="C733">
        <v>4</v>
      </c>
      <c r="D733">
        <v>2</v>
      </c>
      <c r="E733">
        <v>3</v>
      </c>
      <c r="F733">
        <v>8</v>
      </c>
      <c r="G733">
        <v>9</v>
      </c>
      <c r="H733" t="str">
        <f>IF(Demographics[[#This Row],[DOB]]&gt;10000000, TEXT(Demographics[[#This Row],[DOB]],0),CONCATENATE("0",TEXT(Demographics[[#This Row],[DOB]],0)))</f>
        <v>25071988</v>
      </c>
      <c r="I733" s="4">
        <f ca="1">IFERROR((VALUE(TODAY()-DATE(RIGHT(Demographics[[#This Row],[DOB - Fixed]],4),MID(Demographics[[#This Row],[DOB - Fixed]],3,2),LEFT(Demographics[[#This Row],[DOB - Fixed]],2))))/365,0)</f>
        <v>35.145205479452052</v>
      </c>
      <c r="J733">
        <f>VLOOKUP(Demographics[[#This Row],[INCOME LEVEL]],Income[],4,FALSE)</f>
        <v>1397.5</v>
      </c>
      <c r="K733">
        <f>IFERROR(Demographics[[#This Row],[Total monthly income]]/Demographics[[#This Row],[FAMILY SIZE]], 0)</f>
        <v>349.375</v>
      </c>
    </row>
    <row r="734" spans="1:11" x14ac:dyDescent="0.2">
      <c r="A734">
        <v>3262197</v>
      </c>
      <c r="B734">
        <v>1081988</v>
      </c>
      <c r="C734">
        <v>6</v>
      </c>
      <c r="D734">
        <v>1</v>
      </c>
      <c r="E734">
        <v>1</v>
      </c>
      <c r="F734">
        <v>4</v>
      </c>
      <c r="G734">
        <v>4</v>
      </c>
      <c r="H734" t="str">
        <f>IF(Demographics[[#This Row],[DOB]]&gt;10000000, TEXT(Demographics[[#This Row],[DOB]],0),CONCATENATE("0",TEXT(Demographics[[#This Row],[DOB]],0)))</f>
        <v>01081988</v>
      </c>
      <c r="I734" s="4">
        <f ca="1">IFERROR((VALUE(TODAY()-DATE(RIGHT(Demographics[[#This Row],[DOB - Fixed]],4),MID(Demographics[[#This Row],[DOB - Fixed]],3,2),LEFT(Demographics[[#This Row],[DOB - Fixed]],2))))/365,0)</f>
        <v>35.126027397260273</v>
      </c>
      <c r="J734">
        <f>VLOOKUP(Demographics[[#This Row],[INCOME LEVEL]],Income[],4,FALSE)</f>
        <v>175</v>
      </c>
      <c r="K734">
        <f>IFERROR(Demographics[[#This Row],[Total monthly income]]/Demographics[[#This Row],[FAMILY SIZE]], 0)</f>
        <v>29.166666666666668</v>
      </c>
    </row>
    <row r="735" spans="1:11" x14ac:dyDescent="0.2">
      <c r="A735">
        <v>21852588</v>
      </c>
      <c r="B735">
        <v>2081988</v>
      </c>
      <c r="C735">
        <v>5</v>
      </c>
      <c r="D735">
        <v>1</v>
      </c>
      <c r="E735">
        <v>1</v>
      </c>
      <c r="F735">
        <v>5</v>
      </c>
      <c r="G735">
        <v>4</v>
      </c>
      <c r="H735" t="str">
        <f>IF(Demographics[[#This Row],[DOB]]&gt;10000000, TEXT(Demographics[[#This Row],[DOB]],0),CONCATENATE("0",TEXT(Demographics[[#This Row],[DOB]],0)))</f>
        <v>02081988</v>
      </c>
      <c r="I735" s="4">
        <f ca="1">IFERROR((VALUE(TODAY()-DATE(RIGHT(Demographics[[#This Row],[DOB - Fixed]],4),MID(Demographics[[#This Row],[DOB - Fixed]],3,2),LEFT(Demographics[[#This Row],[DOB - Fixed]],2))))/365,0)</f>
        <v>35.123287671232873</v>
      </c>
      <c r="J735">
        <f>VLOOKUP(Demographics[[#This Row],[INCOME LEVEL]],Income[],4,FALSE)</f>
        <v>175</v>
      </c>
      <c r="K735">
        <f>IFERROR(Demographics[[#This Row],[Total monthly income]]/Demographics[[#This Row],[FAMILY SIZE]], 0)</f>
        <v>35</v>
      </c>
    </row>
    <row r="736" spans="1:11" x14ac:dyDescent="0.2">
      <c r="A736">
        <v>19716297</v>
      </c>
      <c r="B736">
        <v>3081988</v>
      </c>
      <c r="C736">
        <v>8</v>
      </c>
      <c r="D736">
        <v>1</v>
      </c>
      <c r="E736">
        <v>1</v>
      </c>
      <c r="F736">
        <v>2</v>
      </c>
      <c r="G736">
        <v>3</v>
      </c>
      <c r="H736" t="str">
        <f>IF(Demographics[[#This Row],[DOB]]&gt;10000000, TEXT(Demographics[[#This Row],[DOB]],0),CONCATENATE("0",TEXT(Demographics[[#This Row],[DOB]],0)))</f>
        <v>03081988</v>
      </c>
      <c r="I736" s="4">
        <f ca="1">IFERROR((VALUE(TODAY()-DATE(RIGHT(Demographics[[#This Row],[DOB - Fixed]],4),MID(Demographics[[#This Row],[DOB - Fixed]],3,2),LEFT(Demographics[[#This Row],[DOB - Fixed]],2))))/365,0)</f>
        <v>35.12054794520548</v>
      </c>
      <c r="J736">
        <f>VLOOKUP(Demographics[[#This Row],[INCOME LEVEL]],Income[],4,FALSE)</f>
        <v>175</v>
      </c>
      <c r="K736">
        <f>IFERROR(Demographics[[#This Row],[Total monthly income]]/Demographics[[#This Row],[FAMILY SIZE]], 0)</f>
        <v>21.875</v>
      </c>
    </row>
    <row r="737" spans="1:11" x14ac:dyDescent="0.2">
      <c r="A737">
        <v>24955482</v>
      </c>
      <c r="B737">
        <v>22071988</v>
      </c>
      <c r="C737">
        <v>0</v>
      </c>
      <c r="D737">
        <v>0</v>
      </c>
      <c r="E737">
        <v>1</v>
      </c>
      <c r="F737">
        <v>0</v>
      </c>
      <c r="G737">
        <v>0</v>
      </c>
      <c r="H737" t="str">
        <f>IF(Demographics[[#This Row],[DOB]]&gt;10000000, TEXT(Demographics[[#This Row],[DOB]],0),CONCATENATE("0",TEXT(Demographics[[#This Row],[DOB]],0)))</f>
        <v>22071988</v>
      </c>
      <c r="I737" s="4">
        <f ca="1">IFERROR((VALUE(TODAY()-DATE(RIGHT(Demographics[[#This Row],[DOB - Fixed]],4),MID(Demographics[[#This Row],[DOB - Fixed]],3,2),LEFT(Demographics[[#This Row],[DOB - Fixed]],2))))/365,0)</f>
        <v>35.153424657534245</v>
      </c>
      <c r="J737">
        <f>VLOOKUP(Demographics[[#This Row],[INCOME LEVEL]],Income[],4,FALSE)</f>
        <v>175</v>
      </c>
      <c r="K737">
        <f>IFERROR(Demographics[[#This Row],[Total monthly income]]/Demographics[[#This Row],[FAMILY SIZE]], 0)</f>
        <v>0</v>
      </c>
    </row>
    <row r="738" spans="1:11" x14ac:dyDescent="0.2">
      <c r="A738">
        <v>15875787</v>
      </c>
      <c r="B738">
        <v>1081988</v>
      </c>
      <c r="C738">
        <v>4</v>
      </c>
      <c r="D738">
        <v>1</v>
      </c>
      <c r="E738">
        <v>1</v>
      </c>
      <c r="F738">
        <v>5</v>
      </c>
      <c r="G738">
        <v>7</v>
      </c>
      <c r="H738" t="str">
        <f>IF(Demographics[[#This Row],[DOB]]&gt;10000000, TEXT(Demographics[[#This Row],[DOB]],0),CONCATENATE("0",TEXT(Demographics[[#This Row],[DOB]],0)))</f>
        <v>01081988</v>
      </c>
      <c r="I738" s="4">
        <f ca="1">IFERROR((VALUE(TODAY()-DATE(RIGHT(Demographics[[#This Row],[DOB - Fixed]],4),MID(Demographics[[#This Row],[DOB - Fixed]],3,2),LEFT(Demographics[[#This Row],[DOB - Fixed]],2))))/365,0)</f>
        <v>35.126027397260273</v>
      </c>
      <c r="J738">
        <f>VLOOKUP(Demographics[[#This Row],[INCOME LEVEL]],Income[],4,FALSE)</f>
        <v>175</v>
      </c>
      <c r="K738">
        <f>IFERROR(Demographics[[#This Row],[Total monthly income]]/Demographics[[#This Row],[FAMILY SIZE]], 0)</f>
        <v>43.75</v>
      </c>
    </row>
    <row r="739" spans="1:11" x14ac:dyDescent="0.2">
      <c r="A739">
        <v>4863844</v>
      </c>
      <c r="B739">
        <v>27071988</v>
      </c>
      <c r="C739">
        <v>3</v>
      </c>
      <c r="D739">
        <v>1</v>
      </c>
      <c r="E739">
        <v>1</v>
      </c>
      <c r="F739">
        <v>2</v>
      </c>
      <c r="G739">
        <v>2</v>
      </c>
      <c r="H739" t="str">
        <f>IF(Demographics[[#This Row],[DOB]]&gt;10000000, TEXT(Demographics[[#This Row],[DOB]],0),CONCATENATE("0",TEXT(Demographics[[#This Row],[DOB]],0)))</f>
        <v>27071988</v>
      </c>
      <c r="I739" s="4">
        <f ca="1">IFERROR((VALUE(TODAY()-DATE(RIGHT(Demographics[[#This Row],[DOB - Fixed]],4),MID(Demographics[[#This Row],[DOB - Fixed]],3,2),LEFT(Demographics[[#This Row],[DOB - Fixed]],2))))/365,0)</f>
        <v>35.139726027397259</v>
      </c>
      <c r="J739">
        <f>VLOOKUP(Demographics[[#This Row],[INCOME LEVEL]],Income[],4,FALSE)</f>
        <v>175</v>
      </c>
      <c r="K739">
        <f>IFERROR(Demographics[[#This Row],[Total monthly income]]/Demographics[[#This Row],[FAMILY SIZE]], 0)</f>
        <v>58.333333333333336</v>
      </c>
    </row>
    <row r="740" spans="1:11" x14ac:dyDescent="0.2">
      <c r="A740">
        <v>10637109</v>
      </c>
      <c r="B740">
        <v>7081988</v>
      </c>
      <c r="C740">
        <v>5</v>
      </c>
      <c r="D740">
        <v>2</v>
      </c>
      <c r="E740">
        <v>2</v>
      </c>
      <c r="F740">
        <v>5</v>
      </c>
      <c r="G740">
        <v>5</v>
      </c>
      <c r="H740" t="str">
        <f>IF(Demographics[[#This Row],[DOB]]&gt;10000000, TEXT(Demographics[[#This Row],[DOB]],0),CONCATENATE("0",TEXT(Demographics[[#This Row],[DOB]],0)))</f>
        <v>07081988</v>
      </c>
      <c r="I740" s="4">
        <f ca="1">IFERROR((VALUE(TODAY()-DATE(RIGHT(Demographics[[#This Row],[DOB - Fixed]],4),MID(Demographics[[#This Row],[DOB - Fixed]],3,2),LEFT(Demographics[[#This Row],[DOB - Fixed]],2))))/365,0)</f>
        <v>35.109589041095887</v>
      </c>
      <c r="J740">
        <f>VLOOKUP(Demographics[[#This Row],[INCOME LEVEL]],Income[],4,FALSE)</f>
        <v>697.5</v>
      </c>
      <c r="K740">
        <f>IFERROR(Demographics[[#This Row],[Total monthly income]]/Demographics[[#This Row],[FAMILY SIZE]], 0)</f>
        <v>139.5</v>
      </c>
    </row>
    <row r="741" spans="1:11" x14ac:dyDescent="0.2">
      <c r="A741">
        <v>16410076</v>
      </c>
      <c r="B741">
        <v>2081988</v>
      </c>
      <c r="C741">
        <v>2</v>
      </c>
      <c r="D741">
        <v>1</v>
      </c>
      <c r="E741">
        <v>1</v>
      </c>
      <c r="F741">
        <v>0</v>
      </c>
      <c r="G741">
        <v>5</v>
      </c>
      <c r="H741" t="str">
        <f>IF(Demographics[[#This Row],[DOB]]&gt;10000000, TEXT(Demographics[[#This Row],[DOB]],0),CONCATENATE("0",TEXT(Demographics[[#This Row],[DOB]],0)))</f>
        <v>02081988</v>
      </c>
      <c r="I741" s="4">
        <f ca="1">IFERROR((VALUE(TODAY()-DATE(RIGHT(Demographics[[#This Row],[DOB - Fixed]],4),MID(Demographics[[#This Row],[DOB - Fixed]],3,2),LEFT(Demographics[[#This Row],[DOB - Fixed]],2))))/365,0)</f>
        <v>35.123287671232873</v>
      </c>
      <c r="J741">
        <f>VLOOKUP(Demographics[[#This Row],[INCOME LEVEL]],Income[],4,FALSE)</f>
        <v>175</v>
      </c>
      <c r="K741">
        <f>IFERROR(Demographics[[#This Row],[Total monthly income]]/Demographics[[#This Row],[FAMILY SIZE]], 0)</f>
        <v>87.5</v>
      </c>
    </row>
    <row r="742" spans="1:11" x14ac:dyDescent="0.2">
      <c r="A742">
        <v>21318280</v>
      </c>
      <c r="B742">
        <v>9081988</v>
      </c>
      <c r="C742">
        <v>4</v>
      </c>
      <c r="D742">
        <v>1</v>
      </c>
      <c r="E742">
        <v>1</v>
      </c>
      <c r="F742">
        <v>5</v>
      </c>
      <c r="G742">
        <v>2</v>
      </c>
      <c r="H742" t="str">
        <f>IF(Demographics[[#This Row],[DOB]]&gt;10000000, TEXT(Demographics[[#This Row],[DOB]],0),CONCATENATE("0",TEXT(Demographics[[#This Row],[DOB]],0)))</f>
        <v>09081988</v>
      </c>
      <c r="I742" s="4">
        <f ca="1">IFERROR((VALUE(TODAY()-DATE(RIGHT(Demographics[[#This Row],[DOB - Fixed]],4),MID(Demographics[[#This Row],[DOB - Fixed]],3,2),LEFT(Demographics[[#This Row],[DOB - Fixed]],2))))/365,0)</f>
        <v>35.104109589041094</v>
      </c>
      <c r="J742">
        <f>VLOOKUP(Demographics[[#This Row],[INCOME LEVEL]],Income[],4,FALSE)</f>
        <v>175</v>
      </c>
      <c r="K742">
        <f>IFERROR(Demographics[[#This Row],[Total monthly income]]/Demographics[[#This Row],[FAMILY SIZE]], 0)</f>
        <v>43.75</v>
      </c>
    </row>
    <row r="743" spans="1:11" x14ac:dyDescent="0.2">
      <c r="A743">
        <v>2092089</v>
      </c>
      <c r="B743">
        <v>10081988</v>
      </c>
      <c r="C743">
        <v>6</v>
      </c>
      <c r="D743">
        <v>2</v>
      </c>
      <c r="E743">
        <v>1</v>
      </c>
      <c r="F743">
        <v>5</v>
      </c>
      <c r="G743">
        <v>4</v>
      </c>
      <c r="H743" t="str">
        <f>IF(Demographics[[#This Row],[DOB]]&gt;10000000, TEXT(Demographics[[#This Row],[DOB]],0),CONCATENATE("0",TEXT(Demographics[[#This Row],[DOB]],0)))</f>
        <v>10081988</v>
      </c>
      <c r="I743" s="4">
        <f ca="1">IFERROR((VALUE(TODAY()-DATE(RIGHT(Demographics[[#This Row],[DOB - Fixed]],4),MID(Demographics[[#This Row],[DOB - Fixed]],3,2),LEFT(Demographics[[#This Row],[DOB - Fixed]],2))))/365,0)</f>
        <v>35.101369863013701</v>
      </c>
      <c r="J743">
        <f>VLOOKUP(Demographics[[#This Row],[INCOME LEVEL]],Income[],4,FALSE)</f>
        <v>175</v>
      </c>
      <c r="K743">
        <f>IFERROR(Demographics[[#This Row],[Total monthly income]]/Demographics[[#This Row],[FAMILY SIZE]], 0)</f>
        <v>29.166666666666668</v>
      </c>
    </row>
    <row r="744" spans="1:11" x14ac:dyDescent="0.2">
      <c r="A744">
        <v>10102967</v>
      </c>
      <c r="B744">
        <v>7071988</v>
      </c>
      <c r="C744">
        <v>5</v>
      </c>
      <c r="D744">
        <v>1</v>
      </c>
      <c r="E744">
        <v>1</v>
      </c>
      <c r="F744">
        <v>4</v>
      </c>
      <c r="G744">
        <v>3</v>
      </c>
      <c r="H744" t="str">
        <f>IF(Demographics[[#This Row],[DOB]]&gt;10000000, TEXT(Demographics[[#This Row],[DOB]],0),CONCATENATE("0",TEXT(Demographics[[#This Row],[DOB]],0)))</f>
        <v>07071988</v>
      </c>
      <c r="I744" s="4">
        <f ca="1">IFERROR((VALUE(TODAY()-DATE(RIGHT(Demographics[[#This Row],[DOB - Fixed]],4),MID(Demographics[[#This Row],[DOB - Fixed]],3,2),LEFT(Demographics[[#This Row],[DOB - Fixed]],2))))/365,0)</f>
        <v>35.194520547945203</v>
      </c>
      <c r="J744">
        <f>VLOOKUP(Demographics[[#This Row],[INCOME LEVEL]],Income[],4,FALSE)</f>
        <v>175</v>
      </c>
      <c r="K744">
        <f>IFERROR(Demographics[[#This Row],[Total monthly income]]/Demographics[[#This Row],[FAMILY SIZE]], 0)</f>
        <v>35</v>
      </c>
    </row>
    <row r="745" spans="1:11" x14ac:dyDescent="0.2">
      <c r="A745">
        <v>23353380</v>
      </c>
      <c r="B745">
        <v>5081988</v>
      </c>
      <c r="C745">
        <v>4</v>
      </c>
      <c r="D745">
        <v>1</v>
      </c>
      <c r="E745">
        <v>1</v>
      </c>
      <c r="F745">
        <v>5</v>
      </c>
      <c r="G745">
        <v>5</v>
      </c>
      <c r="H745" t="str">
        <f>IF(Demographics[[#This Row],[DOB]]&gt;10000000, TEXT(Demographics[[#This Row],[DOB]],0),CONCATENATE("0",TEXT(Demographics[[#This Row],[DOB]],0)))</f>
        <v>05081988</v>
      </c>
      <c r="I745" s="4">
        <f ca="1">IFERROR((VALUE(TODAY()-DATE(RIGHT(Demographics[[#This Row],[DOB - Fixed]],4),MID(Demographics[[#This Row],[DOB - Fixed]],3,2),LEFT(Demographics[[#This Row],[DOB - Fixed]],2))))/365,0)</f>
        <v>35.115068493150687</v>
      </c>
      <c r="J745">
        <f>VLOOKUP(Demographics[[#This Row],[INCOME LEVEL]],Income[],4,FALSE)</f>
        <v>175</v>
      </c>
      <c r="K745">
        <f>IFERROR(Demographics[[#This Row],[Total monthly income]]/Demographics[[#This Row],[FAMILY SIZE]], 0)</f>
        <v>43.75</v>
      </c>
    </row>
    <row r="746" spans="1:11" x14ac:dyDescent="0.2">
      <c r="A746">
        <v>18546016</v>
      </c>
      <c r="B746">
        <v>14081988</v>
      </c>
      <c r="C746">
        <v>4</v>
      </c>
      <c r="D746">
        <v>1</v>
      </c>
      <c r="E746">
        <v>1</v>
      </c>
      <c r="F746">
        <v>4</v>
      </c>
      <c r="G746">
        <v>4</v>
      </c>
      <c r="H746" t="str">
        <f>IF(Demographics[[#This Row],[DOB]]&gt;10000000, TEXT(Demographics[[#This Row],[DOB]],0),CONCATENATE("0",TEXT(Demographics[[#This Row],[DOB]],0)))</f>
        <v>14081988</v>
      </c>
      <c r="I746" s="4">
        <f ca="1">IFERROR((VALUE(TODAY()-DATE(RIGHT(Demographics[[#This Row],[DOB - Fixed]],4),MID(Demographics[[#This Row],[DOB - Fixed]],3,2),LEFT(Demographics[[#This Row],[DOB - Fixed]],2))))/365,0)</f>
        <v>35.090410958904108</v>
      </c>
      <c r="J746">
        <f>VLOOKUP(Demographics[[#This Row],[INCOME LEVEL]],Income[],4,FALSE)</f>
        <v>175</v>
      </c>
      <c r="K746">
        <f>IFERROR(Demographics[[#This Row],[Total monthly income]]/Demographics[[#This Row],[FAMILY SIZE]], 0)</f>
        <v>43.75</v>
      </c>
    </row>
    <row r="747" spans="1:11" x14ac:dyDescent="0.2">
      <c r="A747">
        <v>1557926</v>
      </c>
      <c r="B747">
        <v>14081988</v>
      </c>
      <c r="C747">
        <v>2</v>
      </c>
      <c r="D747">
        <v>1</v>
      </c>
      <c r="E747">
        <v>1</v>
      </c>
      <c r="F747">
        <v>2</v>
      </c>
      <c r="G747">
        <v>4</v>
      </c>
      <c r="H747" t="str">
        <f>IF(Demographics[[#This Row],[DOB]]&gt;10000000, TEXT(Demographics[[#This Row],[DOB]],0),CONCATENATE("0",TEXT(Demographics[[#This Row],[DOB]],0)))</f>
        <v>14081988</v>
      </c>
      <c r="I747" s="4">
        <f ca="1">IFERROR((VALUE(TODAY()-DATE(RIGHT(Demographics[[#This Row],[DOB - Fixed]],4),MID(Demographics[[#This Row],[DOB - Fixed]],3,2),LEFT(Demographics[[#This Row],[DOB - Fixed]],2))))/365,0)</f>
        <v>35.090410958904108</v>
      </c>
      <c r="J747">
        <f>VLOOKUP(Demographics[[#This Row],[INCOME LEVEL]],Income[],4,FALSE)</f>
        <v>175</v>
      </c>
      <c r="K747">
        <f>IFERROR(Demographics[[#This Row],[Total monthly income]]/Demographics[[#This Row],[FAMILY SIZE]], 0)</f>
        <v>87.5</v>
      </c>
    </row>
    <row r="748" spans="1:11" x14ac:dyDescent="0.2">
      <c r="A748">
        <v>16944233</v>
      </c>
      <c r="B748">
        <v>1081988</v>
      </c>
      <c r="C748">
        <v>3</v>
      </c>
      <c r="D748">
        <v>0</v>
      </c>
      <c r="E748">
        <v>1</v>
      </c>
      <c r="F748">
        <v>0</v>
      </c>
      <c r="G748">
        <v>4</v>
      </c>
      <c r="H748" t="str">
        <f>IF(Demographics[[#This Row],[DOB]]&gt;10000000, TEXT(Demographics[[#This Row],[DOB]],0),CONCATENATE("0",TEXT(Demographics[[#This Row],[DOB]],0)))</f>
        <v>01081988</v>
      </c>
      <c r="I748" s="4">
        <f ca="1">IFERROR((VALUE(TODAY()-DATE(RIGHT(Demographics[[#This Row],[DOB - Fixed]],4),MID(Demographics[[#This Row],[DOB - Fixed]],3,2),LEFT(Demographics[[#This Row],[DOB - Fixed]],2))))/365,0)</f>
        <v>35.126027397260273</v>
      </c>
      <c r="J748">
        <f>VLOOKUP(Demographics[[#This Row],[INCOME LEVEL]],Income[],4,FALSE)</f>
        <v>175</v>
      </c>
      <c r="K748">
        <f>IFERROR(Demographics[[#This Row],[Total monthly income]]/Demographics[[#This Row],[FAMILY SIZE]], 0)</f>
        <v>58.333333333333336</v>
      </c>
    </row>
    <row r="749" spans="1:11" x14ac:dyDescent="0.2">
      <c r="A749">
        <v>9468302</v>
      </c>
      <c r="B749">
        <v>25081988</v>
      </c>
      <c r="C749">
        <v>0</v>
      </c>
      <c r="D749">
        <v>0</v>
      </c>
      <c r="E749">
        <v>1</v>
      </c>
      <c r="F749">
        <v>0</v>
      </c>
      <c r="G749">
        <v>0</v>
      </c>
      <c r="H749" t="str">
        <f>IF(Demographics[[#This Row],[DOB]]&gt;10000000, TEXT(Demographics[[#This Row],[DOB]],0),CONCATENATE("0",TEXT(Demographics[[#This Row],[DOB]],0)))</f>
        <v>25081988</v>
      </c>
      <c r="I749" s="4">
        <f ca="1">IFERROR((VALUE(TODAY()-DATE(RIGHT(Demographics[[#This Row],[DOB - Fixed]],4),MID(Demographics[[#This Row],[DOB - Fixed]],3,2),LEFT(Demographics[[#This Row],[DOB - Fixed]],2))))/365,0)</f>
        <v>35.060273972602737</v>
      </c>
      <c r="J749">
        <f>VLOOKUP(Demographics[[#This Row],[INCOME LEVEL]],Income[],4,FALSE)</f>
        <v>175</v>
      </c>
      <c r="K749">
        <f>IFERROR(Demographics[[#This Row],[Total monthly income]]/Demographics[[#This Row],[FAMILY SIZE]], 0)</f>
        <v>0</v>
      </c>
    </row>
    <row r="750" spans="1:11" x14ac:dyDescent="0.2">
      <c r="A750">
        <v>17911859</v>
      </c>
      <c r="B750">
        <v>7091988</v>
      </c>
      <c r="C750">
        <v>4</v>
      </c>
      <c r="D750">
        <v>1</v>
      </c>
      <c r="E750">
        <v>1</v>
      </c>
      <c r="F750">
        <v>1</v>
      </c>
      <c r="G750">
        <v>3</v>
      </c>
      <c r="H750" t="str">
        <f>IF(Demographics[[#This Row],[DOB]]&gt;10000000, TEXT(Demographics[[#This Row],[DOB]],0),CONCATENATE("0",TEXT(Demographics[[#This Row],[DOB]],0)))</f>
        <v>07091988</v>
      </c>
      <c r="I750" s="4">
        <f ca="1">IFERROR((VALUE(TODAY()-DATE(RIGHT(Demographics[[#This Row],[DOB - Fixed]],4),MID(Demographics[[#This Row],[DOB - Fixed]],3,2),LEFT(Demographics[[#This Row],[DOB - Fixed]],2))))/365,0)</f>
        <v>35.024657534246572</v>
      </c>
      <c r="J750">
        <f>VLOOKUP(Demographics[[#This Row],[INCOME LEVEL]],Income[],4,FALSE)</f>
        <v>175</v>
      </c>
      <c r="K750">
        <f>IFERROR(Demographics[[#This Row],[Total monthly income]]/Demographics[[#This Row],[FAMILY SIZE]], 0)</f>
        <v>43.75</v>
      </c>
    </row>
    <row r="751" spans="1:11" x14ac:dyDescent="0.2">
      <c r="A751">
        <v>15977046</v>
      </c>
      <c r="B751">
        <v>6091988</v>
      </c>
      <c r="C751">
        <v>4</v>
      </c>
      <c r="D751">
        <v>1</v>
      </c>
      <c r="E751">
        <v>1</v>
      </c>
      <c r="F751">
        <v>3</v>
      </c>
      <c r="G751">
        <v>2</v>
      </c>
      <c r="H751" t="str">
        <f>IF(Demographics[[#This Row],[DOB]]&gt;10000000, TEXT(Demographics[[#This Row],[DOB]],0),CONCATENATE("0",TEXT(Demographics[[#This Row],[DOB]],0)))</f>
        <v>06091988</v>
      </c>
      <c r="I751" s="4">
        <f ca="1">IFERROR((VALUE(TODAY()-DATE(RIGHT(Demographics[[#This Row],[DOB - Fixed]],4),MID(Demographics[[#This Row],[DOB - Fixed]],3,2),LEFT(Demographics[[#This Row],[DOB - Fixed]],2))))/365,0)</f>
        <v>35.027397260273972</v>
      </c>
      <c r="J751">
        <f>VLOOKUP(Demographics[[#This Row],[INCOME LEVEL]],Income[],4,FALSE)</f>
        <v>175</v>
      </c>
      <c r="K751">
        <f>IFERROR(Demographics[[#This Row],[Total monthly income]]/Demographics[[#This Row],[FAMILY SIZE]], 0)</f>
        <v>43.75</v>
      </c>
    </row>
    <row r="752" spans="1:11" x14ac:dyDescent="0.2">
      <c r="A752">
        <v>2727858</v>
      </c>
      <c r="B752">
        <v>28081988</v>
      </c>
      <c r="C752">
        <v>5</v>
      </c>
      <c r="D752">
        <v>1</v>
      </c>
      <c r="E752">
        <v>1</v>
      </c>
      <c r="F752">
        <v>0</v>
      </c>
      <c r="G752">
        <v>5</v>
      </c>
      <c r="H752" t="str">
        <f>IF(Demographics[[#This Row],[DOB]]&gt;10000000, TEXT(Demographics[[#This Row],[DOB]],0),CONCATENATE("0",TEXT(Demographics[[#This Row],[DOB]],0)))</f>
        <v>28081988</v>
      </c>
      <c r="I752" s="4">
        <f ca="1">IFERROR((VALUE(TODAY()-DATE(RIGHT(Demographics[[#This Row],[DOB - Fixed]],4),MID(Demographics[[#This Row],[DOB - Fixed]],3,2),LEFT(Demographics[[#This Row],[DOB - Fixed]],2))))/365,0)</f>
        <v>35.052054794520551</v>
      </c>
      <c r="J752">
        <f>VLOOKUP(Demographics[[#This Row],[INCOME LEVEL]],Income[],4,FALSE)</f>
        <v>175</v>
      </c>
      <c r="K752">
        <f>IFERROR(Demographics[[#This Row],[Total monthly income]]/Demographics[[#This Row],[FAMILY SIZE]], 0)</f>
        <v>35</v>
      </c>
    </row>
    <row r="753" spans="1:11" x14ac:dyDescent="0.2">
      <c r="A753">
        <v>3262196</v>
      </c>
      <c r="B753">
        <v>8091988</v>
      </c>
      <c r="C753">
        <v>4</v>
      </c>
      <c r="D753">
        <v>1</v>
      </c>
      <c r="E753">
        <v>2</v>
      </c>
      <c r="F753">
        <v>8</v>
      </c>
      <c r="G753">
        <v>9</v>
      </c>
      <c r="H753" t="str">
        <f>IF(Demographics[[#This Row],[DOB]]&gt;10000000, TEXT(Demographics[[#This Row],[DOB]],0),CONCATENATE("0",TEXT(Demographics[[#This Row],[DOB]],0)))</f>
        <v>08091988</v>
      </c>
      <c r="I753" s="4">
        <f ca="1">IFERROR((VALUE(TODAY()-DATE(RIGHT(Demographics[[#This Row],[DOB - Fixed]],4),MID(Demographics[[#This Row],[DOB - Fixed]],3,2),LEFT(Demographics[[#This Row],[DOB - Fixed]],2))))/365,0)</f>
        <v>35.021917808219179</v>
      </c>
      <c r="J753">
        <f>VLOOKUP(Demographics[[#This Row],[INCOME LEVEL]],Income[],4,FALSE)</f>
        <v>697.5</v>
      </c>
      <c r="K753">
        <f>IFERROR(Demographics[[#This Row],[Total monthly income]]/Demographics[[#This Row],[FAMILY SIZE]], 0)</f>
        <v>174.375</v>
      </c>
    </row>
    <row r="754" spans="1:11" x14ac:dyDescent="0.2">
      <c r="A754">
        <v>1125017</v>
      </c>
      <c r="B754">
        <v>4091988</v>
      </c>
      <c r="C754">
        <v>4</v>
      </c>
      <c r="D754">
        <v>2</v>
      </c>
      <c r="E754">
        <v>2</v>
      </c>
      <c r="F754">
        <v>5</v>
      </c>
      <c r="G754">
        <v>8</v>
      </c>
      <c r="H754" t="str">
        <f>IF(Demographics[[#This Row],[DOB]]&gt;10000000, TEXT(Demographics[[#This Row],[DOB]],0),CONCATENATE("0",TEXT(Demographics[[#This Row],[DOB]],0)))</f>
        <v>04091988</v>
      </c>
      <c r="I754" s="4">
        <f ca="1">IFERROR((VALUE(TODAY()-DATE(RIGHT(Demographics[[#This Row],[DOB - Fixed]],4),MID(Demographics[[#This Row],[DOB - Fixed]],3,2),LEFT(Demographics[[#This Row],[DOB - Fixed]],2))))/365,0)</f>
        <v>35.032876712328765</v>
      </c>
      <c r="J754">
        <f>VLOOKUP(Demographics[[#This Row],[INCOME LEVEL]],Income[],4,FALSE)</f>
        <v>697.5</v>
      </c>
      <c r="K754">
        <f>IFERROR(Demographics[[#This Row],[Total monthly income]]/Demographics[[#This Row],[FAMILY SIZE]], 0)</f>
        <v>174.375</v>
      </c>
    </row>
    <row r="755" spans="1:11" x14ac:dyDescent="0.2">
      <c r="A755">
        <v>21852589</v>
      </c>
      <c r="B755">
        <v>31031988</v>
      </c>
      <c r="C755">
        <v>2</v>
      </c>
      <c r="D755">
        <v>1</v>
      </c>
      <c r="E755">
        <v>1</v>
      </c>
      <c r="F755">
        <v>4</v>
      </c>
      <c r="G755">
        <v>7</v>
      </c>
      <c r="H755" t="str">
        <f>IF(Demographics[[#This Row],[DOB]]&gt;10000000, TEXT(Demographics[[#This Row],[DOB]],0),CONCATENATE("0",TEXT(Demographics[[#This Row],[DOB]],0)))</f>
        <v>31031988</v>
      </c>
      <c r="I755" s="4">
        <f ca="1">IFERROR((VALUE(TODAY()-DATE(RIGHT(Demographics[[#This Row],[DOB - Fixed]],4),MID(Demographics[[#This Row],[DOB - Fixed]],3,2),LEFT(Demographics[[#This Row],[DOB - Fixed]],2))))/365,0)</f>
        <v>35.463013698630135</v>
      </c>
      <c r="J755">
        <f>VLOOKUP(Demographics[[#This Row],[INCOME LEVEL]],Income[],4,FALSE)</f>
        <v>175</v>
      </c>
      <c r="K755">
        <f>IFERROR(Demographics[[#This Row],[Total monthly income]]/Demographics[[#This Row],[FAMILY SIZE]], 0)</f>
        <v>87.5</v>
      </c>
    </row>
    <row r="756" spans="1:11" x14ac:dyDescent="0.2">
      <c r="A756">
        <v>8934102</v>
      </c>
      <c r="B756">
        <v>27081988</v>
      </c>
      <c r="C756">
        <v>4</v>
      </c>
      <c r="D756">
        <v>1</v>
      </c>
      <c r="E756">
        <v>1</v>
      </c>
      <c r="F756">
        <v>0</v>
      </c>
      <c r="G756">
        <v>0</v>
      </c>
      <c r="H756" t="str">
        <f>IF(Demographics[[#This Row],[DOB]]&gt;10000000, TEXT(Demographics[[#This Row],[DOB]],0),CONCATENATE("0",TEXT(Demographics[[#This Row],[DOB]],0)))</f>
        <v>27081988</v>
      </c>
      <c r="I756" s="4">
        <f ca="1">IFERROR((VALUE(TODAY()-DATE(RIGHT(Demographics[[#This Row],[DOB - Fixed]],4),MID(Demographics[[#This Row],[DOB - Fixed]],3,2),LEFT(Demographics[[#This Row],[DOB - Fixed]],2))))/365,0)</f>
        <v>35.054794520547944</v>
      </c>
      <c r="J756">
        <f>VLOOKUP(Demographics[[#This Row],[INCOME LEVEL]],Income[],4,FALSE)</f>
        <v>175</v>
      </c>
      <c r="K756">
        <f>IFERROR(Demographics[[#This Row],[Total monthly income]]/Demographics[[#This Row],[FAMILY SIZE]], 0)</f>
        <v>43.75</v>
      </c>
    </row>
    <row r="757" spans="1:11" x14ac:dyDescent="0.2">
      <c r="A757">
        <v>23887247</v>
      </c>
      <c r="B757">
        <v>7091988</v>
      </c>
      <c r="C757">
        <v>5</v>
      </c>
      <c r="D757">
        <v>1</v>
      </c>
      <c r="E757">
        <v>1</v>
      </c>
      <c r="F757">
        <v>5</v>
      </c>
      <c r="G757">
        <v>4</v>
      </c>
      <c r="H757" t="str">
        <f>IF(Demographics[[#This Row],[DOB]]&gt;10000000, TEXT(Demographics[[#This Row],[DOB]],0),CONCATENATE("0",TEXT(Demographics[[#This Row],[DOB]],0)))</f>
        <v>07091988</v>
      </c>
      <c r="I757" s="4">
        <f ca="1">IFERROR((VALUE(TODAY()-DATE(RIGHT(Demographics[[#This Row],[DOB - Fixed]],4),MID(Demographics[[#This Row],[DOB - Fixed]],3,2),LEFT(Demographics[[#This Row],[DOB - Fixed]],2))))/365,0)</f>
        <v>35.024657534246572</v>
      </c>
      <c r="J757">
        <f>VLOOKUP(Demographics[[#This Row],[INCOME LEVEL]],Income[],4,FALSE)</f>
        <v>175</v>
      </c>
      <c r="K757">
        <f>IFERROR(Demographics[[#This Row],[Total monthly income]]/Demographics[[#This Row],[FAMILY SIZE]], 0)</f>
        <v>35</v>
      </c>
    </row>
    <row r="758" spans="1:11" x14ac:dyDescent="0.2">
      <c r="A758">
        <v>11604494</v>
      </c>
      <c r="B758">
        <v>1091988</v>
      </c>
      <c r="C758">
        <v>5</v>
      </c>
      <c r="D758">
        <v>1</v>
      </c>
      <c r="E758">
        <v>1</v>
      </c>
      <c r="F758">
        <v>7</v>
      </c>
      <c r="G758">
        <v>5</v>
      </c>
      <c r="H758" t="str">
        <f>IF(Demographics[[#This Row],[DOB]]&gt;10000000, TEXT(Demographics[[#This Row],[DOB]],0),CONCATENATE("0",TEXT(Demographics[[#This Row],[DOB]],0)))</f>
        <v>01091988</v>
      </c>
      <c r="I758" s="4">
        <f ca="1">IFERROR((VALUE(TODAY()-DATE(RIGHT(Demographics[[#This Row],[DOB - Fixed]],4),MID(Demographics[[#This Row],[DOB - Fixed]],3,2),LEFT(Demographics[[#This Row],[DOB - Fixed]],2))))/365,0)</f>
        <v>35.041095890410958</v>
      </c>
      <c r="J758">
        <f>VLOOKUP(Demographics[[#This Row],[INCOME LEVEL]],Income[],4,FALSE)</f>
        <v>175</v>
      </c>
      <c r="K758">
        <f>IFERROR(Demographics[[#This Row],[Total monthly income]]/Demographics[[#This Row],[FAMILY SIZE]], 0)</f>
        <v>35</v>
      </c>
    </row>
    <row r="759" spans="1:11" x14ac:dyDescent="0.2">
      <c r="A759">
        <v>9035183</v>
      </c>
      <c r="B759">
        <v>9091988</v>
      </c>
      <c r="C759">
        <v>5</v>
      </c>
      <c r="D759">
        <v>1</v>
      </c>
      <c r="E759">
        <v>1</v>
      </c>
      <c r="F759">
        <v>5</v>
      </c>
      <c r="G759">
        <v>5</v>
      </c>
      <c r="H759" t="str">
        <f>IF(Demographics[[#This Row],[DOB]]&gt;10000000, TEXT(Demographics[[#This Row],[DOB]],0),CONCATENATE("0",TEXT(Demographics[[#This Row],[DOB]],0)))</f>
        <v>09091988</v>
      </c>
      <c r="I759" s="4">
        <f ca="1">IFERROR((VALUE(TODAY()-DATE(RIGHT(Demographics[[#This Row],[DOB - Fixed]],4),MID(Demographics[[#This Row],[DOB - Fixed]],3,2),LEFT(Demographics[[#This Row],[DOB - Fixed]],2))))/365,0)</f>
        <v>35.019178082191779</v>
      </c>
      <c r="J759">
        <f>VLOOKUP(Demographics[[#This Row],[INCOME LEVEL]],Income[],4,FALSE)</f>
        <v>175</v>
      </c>
      <c r="K759">
        <f>IFERROR(Demographics[[#This Row],[Total monthly income]]/Demographics[[#This Row],[FAMILY SIZE]], 0)</f>
        <v>35</v>
      </c>
    </row>
    <row r="760" spans="1:11" x14ac:dyDescent="0.2">
      <c r="A760">
        <v>5296953</v>
      </c>
      <c r="B760">
        <v>16091988</v>
      </c>
      <c r="C760">
        <v>4</v>
      </c>
      <c r="D760">
        <v>2</v>
      </c>
      <c r="E760">
        <v>2</v>
      </c>
      <c r="F760">
        <v>5</v>
      </c>
      <c r="G760">
        <v>7</v>
      </c>
      <c r="H760" t="str">
        <f>IF(Demographics[[#This Row],[DOB]]&gt;10000000, TEXT(Demographics[[#This Row],[DOB]],0),CONCATENATE("0",TEXT(Demographics[[#This Row],[DOB]],0)))</f>
        <v>16091988</v>
      </c>
      <c r="I760" s="4">
        <f ca="1">IFERROR((VALUE(TODAY()-DATE(RIGHT(Demographics[[#This Row],[DOB - Fixed]],4),MID(Demographics[[#This Row],[DOB - Fixed]],3,2),LEFT(Demographics[[#This Row],[DOB - Fixed]],2))))/365,0)</f>
        <v>35</v>
      </c>
      <c r="J760">
        <f>VLOOKUP(Demographics[[#This Row],[INCOME LEVEL]],Income[],4,FALSE)</f>
        <v>697.5</v>
      </c>
      <c r="K760">
        <f>IFERROR(Demographics[[#This Row],[Total monthly income]]/Demographics[[#This Row],[FAMILY SIZE]], 0)</f>
        <v>174.375</v>
      </c>
    </row>
    <row r="761" spans="1:11" x14ac:dyDescent="0.2">
      <c r="A761">
        <v>4762432</v>
      </c>
      <c r="B761">
        <v>13091988</v>
      </c>
      <c r="C761">
        <v>3</v>
      </c>
      <c r="D761">
        <v>1</v>
      </c>
      <c r="E761">
        <v>1</v>
      </c>
      <c r="F761">
        <v>4</v>
      </c>
      <c r="G761">
        <v>4</v>
      </c>
      <c r="H761" t="str">
        <f>IF(Demographics[[#This Row],[DOB]]&gt;10000000, TEXT(Demographics[[#This Row],[DOB]],0),CONCATENATE("0",TEXT(Demographics[[#This Row],[DOB]],0)))</f>
        <v>13091988</v>
      </c>
      <c r="I761" s="4">
        <f ca="1">IFERROR((VALUE(TODAY()-DATE(RIGHT(Demographics[[#This Row],[DOB - Fixed]],4),MID(Demographics[[#This Row],[DOB - Fixed]],3,2),LEFT(Demographics[[#This Row],[DOB - Fixed]],2))))/365,0)</f>
        <v>35.008219178082193</v>
      </c>
      <c r="J761">
        <f>VLOOKUP(Demographics[[#This Row],[INCOME LEVEL]],Income[],4,FALSE)</f>
        <v>175</v>
      </c>
      <c r="K761">
        <f>IFERROR(Demographics[[#This Row],[Total monthly income]]/Demographics[[#This Row],[FAMILY SIZE]], 0)</f>
        <v>58.333333333333336</v>
      </c>
    </row>
    <row r="762" spans="1:11" x14ac:dyDescent="0.2">
      <c r="A762">
        <v>2092090</v>
      </c>
      <c r="B762">
        <v>15091988</v>
      </c>
      <c r="C762">
        <v>4</v>
      </c>
      <c r="D762">
        <v>1</v>
      </c>
      <c r="E762">
        <v>1</v>
      </c>
      <c r="F762">
        <v>5</v>
      </c>
      <c r="G762">
        <v>5</v>
      </c>
      <c r="H762" t="str">
        <f>IF(Demographics[[#This Row],[DOB]]&gt;10000000, TEXT(Demographics[[#This Row],[DOB]],0),CONCATENATE("0",TEXT(Demographics[[#This Row],[DOB]],0)))</f>
        <v>15091988</v>
      </c>
      <c r="I762" s="4">
        <f ca="1">IFERROR((VALUE(TODAY()-DATE(RIGHT(Demographics[[#This Row],[DOB - Fixed]],4),MID(Demographics[[#This Row],[DOB - Fixed]],3,2),LEFT(Demographics[[#This Row],[DOB - Fixed]],2))))/365,0)</f>
        <v>35.0027397260274</v>
      </c>
      <c r="J762">
        <f>VLOOKUP(Demographics[[#This Row],[INCOME LEVEL]],Income[],4,FALSE)</f>
        <v>175</v>
      </c>
      <c r="K762">
        <f>IFERROR(Demographics[[#This Row],[Total monthly income]]/Demographics[[#This Row],[FAMILY SIZE]], 0)</f>
        <v>43.75</v>
      </c>
    </row>
    <row r="763" spans="1:11" x14ac:dyDescent="0.2">
      <c r="A763">
        <v>7865847</v>
      </c>
      <c r="B763">
        <v>29081988</v>
      </c>
      <c r="C763">
        <v>3</v>
      </c>
      <c r="D763">
        <v>1</v>
      </c>
      <c r="E763">
        <v>1</v>
      </c>
      <c r="F763">
        <v>5</v>
      </c>
      <c r="G763">
        <v>2</v>
      </c>
      <c r="H763" t="str">
        <f>IF(Demographics[[#This Row],[DOB]]&gt;10000000, TEXT(Demographics[[#This Row],[DOB]],0),CONCATENATE("0",TEXT(Demographics[[#This Row],[DOB]],0)))</f>
        <v>29081988</v>
      </c>
      <c r="I763" s="4">
        <f ca="1">IFERROR((VALUE(TODAY()-DATE(RIGHT(Demographics[[#This Row],[DOB - Fixed]],4),MID(Demographics[[#This Row],[DOB - Fixed]],3,2),LEFT(Demographics[[#This Row],[DOB - Fixed]],2))))/365,0)</f>
        <v>35.049315068493151</v>
      </c>
      <c r="J763">
        <f>VLOOKUP(Demographics[[#This Row],[INCOME LEVEL]],Income[],4,FALSE)</f>
        <v>175</v>
      </c>
      <c r="K763">
        <f>IFERROR(Demographics[[#This Row],[Total monthly income]]/Demographics[[#This Row],[FAMILY SIZE]], 0)</f>
        <v>58.333333333333336</v>
      </c>
    </row>
    <row r="764" spans="1:11" x14ac:dyDescent="0.2">
      <c r="A764">
        <v>19514290</v>
      </c>
      <c r="B764">
        <v>9091988</v>
      </c>
      <c r="C764">
        <v>3</v>
      </c>
      <c r="D764">
        <v>0</v>
      </c>
      <c r="E764">
        <v>1</v>
      </c>
      <c r="F764">
        <v>2</v>
      </c>
      <c r="G764">
        <v>2</v>
      </c>
      <c r="H764" t="str">
        <f>IF(Demographics[[#This Row],[DOB]]&gt;10000000, TEXT(Demographics[[#This Row],[DOB]],0),CONCATENATE("0",TEXT(Demographics[[#This Row],[DOB]],0)))</f>
        <v>09091988</v>
      </c>
      <c r="I764" s="4">
        <f ca="1">IFERROR((VALUE(TODAY()-DATE(RIGHT(Demographics[[#This Row],[DOB - Fixed]],4),MID(Demographics[[#This Row],[DOB - Fixed]],3,2),LEFT(Demographics[[#This Row],[DOB - Fixed]],2))))/365,0)</f>
        <v>35.019178082191779</v>
      </c>
      <c r="J764">
        <f>VLOOKUP(Demographics[[#This Row],[INCOME LEVEL]],Income[],4,FALSE)</f>
        <v>175</v>
      </c>
      <c r="K764">
        <f>IFERROR(Demographics[[#This Row],[Total monthly income]]/Demographics[[#This Row],[FAMILY SIZE]], 0)</f>
        <v>58.333333333333336</v>
      </c>
    </row>
    <row r="765" spans="1:11" x14ac:dyDescent="0.2">
      <c r="A765">
        <v>24320525</v>
      </c>
      <c r="B765">
        <v>30081988</v>
      </c>
      <c r="C765">
        <v>6</v>
      </c>
      <c r="D765">
        <v>1</v>
      </c>
      <c r="E765">
        <v>1</v>
      </c>
      <c r="F765">
        <v>2</v>
      </c>
      <c r="G765">
        <v>2</v>
      </c>
      <c r="H765" t="str">
        <f>IF(Demographics[[#This Row],[DOB]]&gt;10000000, TEXT(Demographics[[#This Row],[DOB]],0),CONCATENATE("0",TEXT(Demographics[[#This Row],[DOB]],0)))</f>
        <v>30081988</v>
      </c>
      <c r="I765" s="4">
        <f ca="1">IFERROR((VALUE(TODAY()-DATE(RIGHT(Demographics[[#This Row],[DOB - Fixed]],4),MID(Demographics[[#This Row],[DOB - Fixed]],3,2),LEFT(Demographics[[#This Row],[DOB - Fixed]],2))))/365,0)</f>
        <v>35.046575342465751</v>
      </c>
      <c r="J765">
        <f>VLOOKUP(Demographics[[#This Row],[INCOME LEVEL]],Income[],4,FALSE)</f>
        <v>175</v>
      </c>
      <c r="K765">
        <f>IFERROR(Demographics[[#This Row],[Total monthly income]]/Demographics[[#This Row],[FAMILY SIZE]], 0)</f>
        <v>29.166666666666668</v>
      </c>
    </row>
    <row r="766" spans="1:11" x14ac:dyDescent="0.2">
      <c r="A766">
        <v>1557927</v>
      </c>
      <c r="B766">
        <v>21091988</v>
      </c>
      <c r="C766">
        <v>5</v>
      </c>
      <c r="D766">
        <v>1</v>
      </c>
      <c r="E766">
        <v>2</v>
      </c>
      <c r="F766">
        <v>5</v>
      </c>
      <c r="G766">
        <v>5</v>
      </c>
      <c r="H766" t="str">
        <f>IF(Demographics[[#This Row],[DOB]]&gt;10000000, TEXT(Demographics[[#This Row],[DOB]],0),CONCATENATE("0",TEXT(Demographics[[#This Row],[DOB]],0)))</f>
        <v>21091988</v>
      </c>
      <c r="I766" s="4">
        <f ca="1">IFERROR((VALUE(TODAY()-DATE(RIGHT(Demographics[[#This Row],[DOB - Fixed]],4),MID(Demographics[[#This Row],[DOB - Fixed]],3,2),LEFT(Demographics[[#This Row],[DOB - Fixed]],2))))/365,0)</f>
        <v>34.986301369863014</v>
      </c>
      <c r="J766">
        <f>VLOOKUP(Demographics[[#This Row],[INCOME LEVEL]],Income[],4,FALSE)</f>
        <v>697.5</v>
      </c>
      <c r="K766">
        <f>IFERROR(Demographics[[#This Row],[Total monthly income]]/Demographics[[#This Row],[FAMILY SIZE]], 0)</f>
        <v>139.5</v>
      </c>
    </row>
    <row r="767" spans="1:11" x14ac:dyDescent="0.2">
      <c r="A767">
        <v>23252721</v>
      </c>
      <c r="B767">
        <v>10091988</v>
      </c>
      <c r="C767">
        <v>3</v>
      </c>
      <c r="D767">
        <v>1</v>
      </c>
      <c r="E767">
        <v>1</v>
      </c>
      <c r="F767">
        <v>4</v>
      </c>
      <c r="G767">
        <v>2</v>
      </c>
      <c r="H767" t="str">
        <f>IF(Demographics[[#This Row],[DOB]]&gt;10000000, TEXT(Demographics[[#This Row],[DOB]],0),CONCATENATE("0",TEXT(Demographics[[#This Row],[DOB]],0)))</f>
        <v>10091988</v>
      </c>
      <c r="I767" s="4">
        <f ca="1">IFERROR((VALUE(TODAY()-DATE(RIGHT(Demographics[[#This Row],[DOB - Fixed]],4),MID(Demographics[[#This Row],[DOB - Fixed]],3,2),LEFT(Demographics[[#This Row],[DOB - Fixed]],2))))/365,0)</f>
        <v>35.016438356164386</v>
      </c>
      <c r="J767">
        <f>VLOOKUP(Demographics[[#This Row],[INCOME LEVEL]],Income[],4,FALSE)</f>
        <v>175</v>
      </c>
      <c r="K767">
        <f>IFERROR(Demographics[[#This Row],[Total monthly income]]/Demographics[[#This Row],[FAMILY SIZE]], 0)</f>
        <v>58.333333333333336</v>
      </c>
    </row>
    <row r="768" spans="1:11" x14ac:dyDescent="0.2">
      <c r="A768">
        <v>13206066</v>
      </c>
      <c r="B768">
        <v>8091988</v>
      </c>
      <c r="C768">
        <v>5</v>
      </c>
      <c r="D768">
        <v>2</v>
      </c>
      <c r="E768">
        <v>1</v>
      </c>
      <c r="F768">
        <v>4</v>
      </c>
      <c r="G768">
        <v>2</v>
      </c>
      <c r="H768" t="str">
        <f>IF(Demographics[[#This Row],[DOB]]&gt;10000000, TEXT(Demographics[[#This Row],[DOB]],0),CONCATENATE("0",TEXT(Demographics[[#This Row],[DOB]],0)))</f>
        <v>08091988</v>
      </c>
      <c r="I768" s="4">
        <f ca="1">IFERROR((VALUE(TODAY()-DATE(RIGHT(Demographics[[#This Row],[DOB - Fixed]],4),MID(Demographics[[#This Row],[DOB - Fixed]],3,2),LEFT(Demographics[[#This Row],[DOB - Fixed]],2))))/365,0)</f>
        <v>35.021917808219179</v>
      </c>
      <c r="J768">
        <f>VLOOKUP(Demographics[[#This Row],[INCOME LEVEL]],Income[],4,FALSE)</f>
        <v>175</v>
      </c>
      <c r="K768">
        <f>IFERROR(Demographics[[#This Row],[Total monthly income]]/Demographics[[#This Row],[FAMILY SIZE]], 0)</f>
        <v>35</v>
      </c>
    </row>
    <row r="769" spans="1:11" x14ac:dyDescent="0.2">
      <c r="A769">
        <v>3160919</v>
      </c>
      <c r="B769">
        <v>22091988</v>
      </c>
      <c r="C769">
        <v>5</v>
      </c>
      <c r="D769">
        <v>1</v>
      </c>
      <c r="E769">
        <v>1</v>
      </c>
      <c r="F769">
        <v>3</v>
      </c>
      <c r="G769">
        <v>3</v>
      </c>
      <c r="H769" t="str">
        <f>IF(Demographics[[#This Row],[DOB]]&gt;10000000, TEXT(Demographics[[#This Row],[DOB]],0),CONCATENATE("0",TEXT(Demographics[[#This Row],[DOB]],0)))</f>
        <v>22091988</v>
      </c>
      <c r="I769" s="4">
        <f ca="1">IFERROR((VALUE(TODAY()-DATE(RIGHT(Demographics[[#This Row],[DOB - Fixed]],4),MID(Demographics[[#This Row],[DOB - Fixed]],3,2),LEFT(Demographics[[#This Row],[DOB - Fixed]],2))))/365,0)</f>
        <v>34.983561643835614</v>
      </c>
      <c r="J769">
        <f>VLOOKUP(Demographics[[#This Row],[INCOME LEVEL]],Income[],4,FALSE)</f>
        <v>175</v>
      </c>
      <c r="K769">
        <f>IFERROR(Demographics[[#This Row],[Total monthly income]]/Demographics[[#This Row],[FAMILY SIZE]], 0)</f>
        <v>35</v>
      </c>
    </row>
    <row r="770" spans="1:11" x14ac:dyDescent="0.2">
      <c r="A770">
        <v>10001898</v>
      </c>
      <c r="B770">
        <v>19091988</v>
      </c>
      <c r="C770">
        <v>5</v>
      </c>
      <c r="D770">
        <v>1</v>
      </c>
      <c r="E770">
        <v>1</v>
      </c>
      <c r="F770">
        <v>8</v>
      </c>
      <c r="G770">
        <v>5</v>
      </c>
      <c r="H770" t="str">
        <f>IF(Demographics[[#This Row],[DOB]]&gt;10000000, TEXT(Demographics[[#This Row],[DOB]],0),CONCATENATE("0",TEXT(Demographics[[#This Row],[DOB]],0)))</f>
        <v>19091988</v>
      </c>
      <c r="I770" s="4">
        <f ca="1">IFERROR((VALUE(TODAY()-DATE(RIGHT(Demographics[[#This Row],[DOB - Fixed]],4),MID(Demographics[[#This Row],[DOB - Fixed]],3,2),LEFT(Demographics[[#This Row],[DOB - Fixed]],2))))/365,0)</f>
        <v>34.991780821917807</v>
      </c>
      <c r="J770">
        <f>VLOOKUP(Demographics[[#This Row],[INCOME LEVEL]],Income[],4,FALSE)</f>
        <v>175</v>
      </c>
      <c r="K770">
        <f>IFERROR(Demographics[[#This Row],[Total monthly income]]/Demographics[[#This Row],[FAMILY SIZE]], 0)</f>
        <v>35</v>
      </c>
    </row>
    <row r="771" spans="1:11" x14ac:dyDescent="0.2">
      <c r="A771">
        <v>10535958</v>
      </c>
      <c r="B771">
        <v>29081988</v>
      </c>
      <c r="C771">
        <v>5</v>
      </c>
      <c r="D771">
        <v>1</v>
      </c>
      <c r="E771">
        <v>1</v>
      </c>
      <c r="F771">
        <v>5</v>
      </c>
      <c r="G771">
        <v>4</v>
      </c>
      <c r="H771" t="str">
        <f>IF(Demographics[[#This Row],[DOB]]&gt;10000000, TEXT(Demographics[[#This Row],[DOB]],0),CONCATENATE("0",TEXT(Demographics[[#This Row],[DOB]],0)))</f>
        <v>29081988</v>
      </c>
      <c r="I771" s="4">
        <f ca="1">IFERROR((VALUE(TODAY()-DATE(RIGHT(Demographics[[#This Row],[DOB - Fixed]],4),MID(Demographics[[#This Row],[DOB - Fixed]],3,2),LEFT(Demographics[[#This Row],[DOB - Fixed]],2))))/365,0)</f>
        <v>35.049315068493151</v>
      </c>
      <c r="J771">
        <f>VLOOKUP(Demographics[[#This Row],[INCOME LEVEL]],Income[],4,FALSE)</f>
        <v>175</v>
      </c>
      <c r="K771">
        <f>IFERROR(Demographics[[#This Row],[Total monthly income]]/Demographics[[#This Row],[FAMILY SIZE]], 0)</f>
        <v>35</v>
      </c>
    </row>
    <row r="772" spans="1:11" x14ac:dyDescent="0.2">
      <c r="A772">
        <v>13740222</v>
      </c>
      <c r="B772">
        <v>14091988</v>
      </c>
      <c r="C772">
        <v>5</v>
      </c>
      <c r="D772">
        <v>1</v>
      </c>
      <c r="E772">
        <v>1</v>
      </c>
      <c r="F772">
        <v>5</v>
      </c>
      <c r="G772">
        <v>5</v>
      </c>
      <c r="H772" t="str">
        <f>IF(Demographics[[#This Row],[DOB]]&gt;10000000, TEXT(Demographics[[#This Row],[DOB]],0),CONCATENATE("0",TEXT(Demographics[[#This Row],[DOB]],0)))</f>
        <v>14091988</v>
      </c>
      <c r="I772" s="4">
        <f ca="1">IFERROR((VALUE(TODAY()-DATE(RIGHT(Demographics[[#This Row],[DOB - Fixed]],4),MID(Demographics[[#This Row],[DOB - Fixed]],3,2),LEFT(Demographics[[#This Row],[DOB - Fixed]],2))))/365,0)</f>
        <v>35.005479452054793</v>
      </c>
      <c r="J772">
        <f>VLOOKUP(Demographics[[#This Row],[INCOME LEVEL]],Income[],4,FALSE)</f>
        <v>175</v>
      </c>
      <c r="K772">
        <f>IFERROR(Demographics[[#This Row],[Total monthly income]]/Demographics[[#This Row],[FAMILY SIZE]], 0)</f>
        <v>35</v>
      </c>
    </row>
    <row r="773" spans="1:11" x14ac:dyDescent="0.2">
      <c r="A773">
        <v>590990</v>
      </c>
      <c r="B773">
        <v>26091988</v>
      </c>
      <c r="C773">
        <v>3</v>
      </c>
      <c r="D773">
        <v>1</v>
      </c>
      <c r="E773">
        <v>1</v>
      </c>
      <c r="F773">
        <v>4</v>
      </c>
      <c r="G773">
        <v>3</v>
      </c>
      <c r="H773" t="str">
        <f>IF(Demographics[[#This Row],[DOB]]&gt;10000000, TEXT(Demographics[[#This Row],[DOB]],0),CONCATENATE("0",TEXT(Demographics[[#This Row],[DOB]],0)))</f>
        <v>26091988</v>
      </c>
      <c r="I773" s="4">
        <f ca="1">IFERROR((VALUE(TODAY()-DATE(RIGHT(Demographics[[#This Row],[DOB - Fixed]],4),MID(Demographics[[#This Row],[DOB - Fixed]],3,2),LEFT(Demographics[[#This Row],[DOB - Fixed]],2))))/365,0)</f>
        <v>34.972602739726028</v>
      </c>
      <c r="J773">
        <f>VLOOKUP(Demographics[[#This Row],[INCOME LEVEL]],Income[],4,FALSE)</f>
        <v>175</v>
      </c>
      <c r="K773">
        <f>IFERROR(Demographics[[#This Row],[Total monthly income]]/Demographics[[#This Row],[FAMILY SIZE]], 0)</f>
        <v>58.333333333333336</v>
      </c>
    </row>
    <row r="774" spans="1:11" x14ac:dyDescent="0.2">
      <c r="A774">
        <v>24522325</v>
      </c>
      <c r="B774">
        <v>27091988</v>
      </c>
      <c r="C774">
        <v>4</v>
      </c>
      <c r="D774">
        <v>1</v>
      </c>
      <c r="E774">
        <v>2</v>
      </c>
      <c r="F774">
        <v>9</v>
      </c>
      <c r="G774">
        <v>4</v>
      </c>
      <c r="H774" t="str">
        <f>IF(Demographics[[#This Row],[DOB]]&gt;10000000, TEXT(Demographics[[#This Row],[DOB]],0),CONCATENATE("0",TEXT(Demographics[[#This Row],[DOB]],0)))</f>
        <v>27091988</v>
      </c>
      <c r="I774" s="4">
        <f ca="1">IFERROR((VALUE(TODAY()-DATE(RIGHT(Demographics[[#This Row],[DOB - Fixed]],4),MID(Demographics[[#This Row],[DOB - Fixed]],3,2),LEFT(Demographics[[#This Row],[DOB - Fixed]],2))))/365,0)</f>
        <v>34.969863013698628</v>
      </c>
      <c r="J774">
        <f>VLOOKUP(Demographics[[#This Row],[INCOME LEVEL]],Income[],4,FALSE)</f>
        <v>697.5</v>
      </c>
      <c r="K774">
        <f>IFERROR(Demographics[[#This Row],[Total monthly income]]/Demographics[[#This Row],[FAMILY SIZE]], 0)</f>
        <v>174.375</v>
      </c>
    </row>
    <row r="775" spans="1:11" x14ac:dyDescent="0.2">
      <c r="A775">
        <v>16511436</v>
      </c>
      <c r="B775">
        <v>7091988</v>
      </c>
      <c r="C775">
        <v>6</v>
      </c>
      <c r="D775">
        <v>1</v>
      </c>
      <c r="E775">
        <v>1</v>
      </c>
      <c r="F775">
        <v>3</v>
      </c>
      <c r="G775">
        <v>7</v>
      </c>
      <c r="H775" t="str">
        <f>IF(Demographics[[#This Row],[DOB]]&gt;10000000, TEXT(Demographics[[#This Row],[DOB]],0),CONCATENATE("0",TEXT(Demographics[[#This Row],[DOB]],0)))</f>
        <v>07091988</v>
      </c>
      <c r="I775" s="4">
        <f ca="1">IFERROR((VALUE(TODAY()-DATE(RIGHT(Demographics[[#This Row],[DOB - Fixed]],4),MID(Demographics[[#This Row],[DOB - Fixed]],3,2),LEFT(Demographics[[#This Row],[DOB - Fixed]],2))))/365,0)</f>
        <v>35.024657534246572</v>
      </c>
      <c r="J775">
        <f>VLOOKUP(Demographics[[#This Row],[INCOME LEVEL]],Income[],4,FALSE)</f>
        <v>175</v>
      </c>
      <c r="K775">
        <f>IFERROR(Demographics[[#This Row],[Total monthly income]]/Demographics[[#This Row],[FAMILY SIZE]], 0)</f>
        <v>29.166666666666668</v>
      </c>
    </row>
    <row r="776" spans="1:11" x14ac:dyDescent="0.2">
      <c r="A776">
        <v>5195961</v>
      </c>
      <c r="B776">
        <v>29091988</v>
      </c>
      <c r="C776">
        <v>4</v>
      </c>
      <c r="D776">
        <v>1</v>
      </c>
      <c r="E776">
        <v>1</v>
      </c>
      <c r="F776">
        <v>3</v>
      </c>
      <c r="G776">
        <v>2</v>
      </c>
      <c r="H776" t="str">
        <f>IF(Demographics[[#This Row],[DOB]]&gt;10000000, TEXT(Demographics[[#This Row],[DOB]],0),CONCATENATE("0",TEXT(Demographics[[#This Row],[DOB]],0)))</f>
        <v>29091988</v>
      </c>
      <c r="I776" s="4">
        <f ca="1">IFERROR((VALUE(TODAY()-DATE(RIGHT(Demographics[[#This Row],[DOB - Fixed]],4),MID(Demographics[[#This Row],[DOB - Fixed]],3,2),LEFT(Demographics[[#This Row],[DOB - Fixed]],2))))/365,0)</f>
        <v>34.964383561643835</v>
      </c>
      <c r="J776">
        <f>VLOOKUP(Demographics[[#This Row],[INCOME LEVEL]],Income[],4,FALSE)</f>
        <v>175</v>
      </c>
      <c r="K776">
        <f>IFERROR(Demographics[[#This Row],[Total monthly income]]/Demographics[[#This Row],[FAMILY SIZE]], 0)</f>
        <v>43.75</v>
      </c>
    </row>
    <row r="777" spans="1:11" x14ac:dyDescent="0.2">
      <c r="A777">
        <v>11070305</v>
      </c>
      <c r="B777">
        <v>28091988</v>
      </c>
      <c r="C777">
        <v>4</v>
      </c>
      <c r="D777">
        <v>1</v>
      </c>
      <c r="E777">
        <v>1</v>
      </c>
      <c r="F777">
        <v>5</v>
      </c>
      <c r="G777">
        <v>5</v>
      </c>
      <c r="H777" t="str">
        <f>IF(Demographics[[#This Row],[DOB]]&gt;10000000, TEXT(Demographics[[#This Row],[DOB]],0),CONCATENATE("0",TEXT(Demographics[[#This Row],[DOB]],0)))</f>
        <v>28091988</v>
      </c>
      <c r="I777" s="4">
        <f ca="1">IFERROR((VALUE(TODAY()-DATE(RIGHT(Demographics[[#This Row],[DOB - Fixed]],4),MID(Demographics[[#This Row],[DOB - Fixed]],3,2),LEFT(Demographics[[#This Row],[DOB - Fixed]],2))))/365,0)</f>
        <v>34.967123287671235</v>
      </c>
      <c r="J777">
        <f>VLOOKUP(Demographics[[#This Row],[INCOME LEVEL]],Income[],4,FALSE)</f>
        <v>175</v>
      </c>
      <c r="K777">
        <f>IFERROR(Demographics[[#This Row],[Total monthly income]]/Demographics[[#This Row],[FAMILY SIZE]], 0)</f>
        <v>43.75</v>
      </c>
    </row>
    <row r="778" spans="1:11" x14ac:dyDescent="0.2">
      <c r="A778">
        <v>2642440</v>
      </c>
      <c r="B778">
        <v>6091988</v>
      </c>
      <c r="C778">
        <v>4</v>
      </c>
      <c r="D778">
        <v>1</v>
      </c>
      <c r="E778">
        <v>1</v>
      </c>
      <c r="F778">
        <v>3</v>
      </c>
      <c r="G778">
        <v>5</v>
      </c>
      <c r="H778" t="str">
        <f>IF(Demographics[[#This Row],[DOB]]&gt;10000000, TEXT(Demographics[[#This Row],[DOB]],0),CONCATENATE("0",TEXT(Demographics[[#This Row],[DOB]],0)))</f>
        <v>06091988</v>
      </c>
      <c r="I778" s="4">
        <f ca="1">IFERROR((VALUE(TODAY()-DATE(RIGHT(Demographics[[#This Row],[DOB - Fixed]],4),MID(Demographics[[#This Row],[DOB - Fixed]],3,2),LEFT(Demographics[[#This Row],[DOB - Fixed]],2))))/365,0)</f>
        <v>35.027397260273972</v>
      </c>
      <c r="J778">
        <f>VLOOKUP(Demographics[[#This Row],[INCOME LEVEL]],Income[],4,FALSE)</f>
        <v>175</v>
      </c>
      <c r="K778">
        <f>IFERROR(Demographics[[#This Row],[Total monthly income]]/Demographics[[#This Row],[FAMILY SIZE]], 0)</f>
        <v>43.75</v>
      </c>
    </row>
    <row r="779" spans="1:11" x14ac:dyDescent="0.2">
      <c r="A779">
        <v>5211856</v>
      </c>
      <c r="B779">
        <v>4101988</v>
      </c>
      <c r="C779">
        <v>3</v>
      </c>
      <c r="D779">
        <v>0</v>
      </c>
      <c r="E779">
        <v>1</v>
      </c>
      <c r="F779">
        <v>2</v>
      </c>
      <c r="G779">
        <v>2</v>
      </c>
      <c r="H779" t="str">
        <f>IF(Demographics[[#This Row],[DOB]]&gt;10000000, TEXT(Demographics[[#This Row],[DOB]],0),CONCATENATE("0",TEXT(Demographics[[#This Row],[DOB]],0)))</f>
        <v>04101988</v>
      </c>
      <c r="I779" s="4">
        <f ca="1">IFERROR((VALUE(TODAY()-DATE(RIGHT(Demographics[[#This Row],[DOB - Fixed]],4),MID(Demographics[[#This Row],[DOB - Fixed]],3,2),LEFT(Demographics[[#This Row],[DOB - Fixed]],2))))/365,0)</f>
        <v>34.950684931506849</v>
      </c>
      <c r="J779">
        <f>VLOOKUP(Demographics[[#This Row],[INCOME LEVEL]],Income[],4,FALSE)</f>
        <v>175</v>
      </c>
      <c r="K779">
        <f>IFERROR(Demographics[[#This Row],[Total monthly income]]/Demographics[[#This Row],[FAMILY SIZE]], 0)</f>
        <v>58.333333333333336</v>
      </c>
    </row>
    <row r="780" spans="1:11" x14ac:dyDescent="0.2">
      <c r="A780">
        <v>16629102</v>
      </c>
      <c r="B780">
        <v>2101988</v>
      </c>
      <c r="C780">
        <v>3</v>
      </c>
      <c r="D780">
        <v>1</v>
      </c>
      <c r="E780">
        <v>1</v>
      </c>
      <c r="F780">
        <v>5</v>
      </c>
      <c r="G780">
        <v>4</v>
      </c>
      <c r="H780" t="str">
        <f>IF(Demographics[[#This Row],[DOB]]&gt;10000000, TEXT(Demographics[[#This Row],[DOB]],0),CONCATENATE("0",TEXT(Demographics[[#This Row],[DOB]],0)))</f>
        <v>02101988</v>
      </c>
      <c r="I780" s="4">
        <f ca="1">IFERROR((VALUE(TODAY()-DATE(RIGHT(Demographics[[#This Row],[DOB - Fixed]],4),MID(Demographics[[#This Row],[DOB - Fixed]],3,2),LEFT(Demographics[[#This Row],[DOB - Fixed]],2))))/365,0)</f>
        <v>34.956164383561642</v>
      </c>
      <c r="J780">
        <f>VLOOKUP(Demographics[[#This Row],[INCOME LEVEL]],Income[],4,FALSE)</f>
        <v>175</v>
      </c>
      <c r="K780">
        <f>IFERROR(Demographics[[#This Row],[Total monthly income]]/Demographics[[#This Row],[FAMILY SIZE]], 0)</f>
        <v>58.333333333333336</v>
      </c>
    </row>
    <row r="781" spans="1:11" x14ac:dyDescent="0.2">
      <c r="A781">
        <v>7016231</v>
      </c>
      <c r="B781">
        <v>2101988</v>
      </c>
      <c r="C781">
        <v>5</v>
      </c>
      <c r="D781">
        <v>2</v>
      </c>
      <c r="E781">
        <v>1</v>
      </c>
      <c r="F781">
        <v>5</v>
      </c>
      <c r="G781">
        <v>5</v>
      </c>
      <c r="H781" t="str">
        <f>IF(Demographics[[#This Row],[DOB]]&gt;10000000, TEXT(Demographics[[#This Row],[DOB]],0),CONCATENATE("0",TEXT(Demographics[[#This Row],[DOB]],0)))</f>
        <v>02101988</v>
      </c>
      <c r="I781" s="4">
        <f ca="1">IFERROR((VALUE(TODAY()-DATE(RIGHT(Demographics[[#This Row],[DOB - Fixed]],4),MID(Demographics[[#This Row],[DOB - Fixed]],3,2),LEFT(Demographics[[#This Row],[DOB - Fixed]],2))))/365,0)</f>
        <v>34.956164383561642</v>
      </c>
      <c r="J781">
        <f>VLOOKUP(Demographics[[#This Row],[INCOME LEVEL]],Income[],4,FALSE)</f>
        <v>175</v>
      </c>
      <c r="K781">
        <f>IFERROR(Demographics[[#This Row],[Total monthly income]]/Demographics[[#This Row],[FAMILY SIZE]], 0)</f>
        <v>35</v>
      </c>
    </row>
    <row r="782" spans="1:11" x14ac:dyDescent="0.2">
      <c r="A782">
        <v>5312856</v>
      </c>
      <c r="B782">
        <v>27091988</v>
      </c>
      <c r="C782">
        <v>6</v>
      </c>
      <c r="D782">
        <v>2</v>
      </c>
      <c r="E782">
        <v>2</v>
      </c>
      <c r="F782">
        <v>9</v>
      </c>
      <c r="G782">
        <v>9</v>
      </c>
      <c r="H782" t="str">
        <f>IF(Demographics[[#This Row],[DOB]]&gt;10000000, TEXT(Demographics[[#This Row],[DOB]],0),CONCATENATE("0",TEXT(Demographics[[#This Row],[DOB]],0)))</f>
        <v>27091988</v>
      </c>
      <c r="I782" s="4">
        <f ca="1">IFERROR((VALUE(TODAY()-DATE(RIGHT(Demographics[[#This Row],[DOB - Fixed]],4),MID(Demographics[[#This Row],[DOB - Fixed]],3,2),LEFT(Demographics[[#This Row],[DOB - Fixed]],2))))/365,0)</f>
        <v>34.969863013698628</v>
      </c>
      <c r="J782">
        <f>VLOOKUP(Demographics[[#This Row],[INCOME LEVEL]],Income[],4,FALSE)</f>
        <v>697.5</v>
      </c>
      <c r="K782">
        <f>IFERROR(Demographics[[#This Row],[Total monthly income]]/Demographics[[#This Row],[FAMILY SIZE]], 0)</f>
        <v>116.25</v>
      </c>
    </row>
    <row r="783" spans="1:11" x14ac:dyDescent="0.2">
      <c r="A783">
        <v>4879759</v>
      </c>
      <c r="B783">
        <v>1101988</v>
      </c>
      <c r="C783">
        <v>0</v>
      </c>
      <c r="D783">
        <v>0</v>
      </c>
      <c r="E783">
        <v>1</v>
      </c>
      <c r="F783">
        <v>0</v>
      </c>
      <c r="G783">
        <v>0</v>
      </c>
      <c r="H783" t="str">
        <f>IF(Demographics[[#This Row],[DOB]]&gt;10000000, TEXT(Demographics[[#This Row],[DOB]],0),CONCATENATE("0",TEXT(Demographics[[#This Row],[DOB]],0)))</f>
        <v>01101988</v>
      </c>
      <c r="I783" s="4">
        <f ca="1">IFERROR((VALUE(TODAY()-DATE(RIGHT(Demographics[[#This Row],[DOB - Fixed]],4),MID(Demographics[[#This Row],[DOB - Fixed]],3,2),LEFT(Demographics[[#This Row],[DOB - Fixed]],2))))/365,0)</f>
        <v>34.958904109589042</v>
      </c>
      <c r="J783">
        <f>VLOOKUP(Demographics[[#This Row],[INCOME LEVEL]],Income[],4,FALSE)</f>
        <v>175</v>
      </c>
      <c r="K783">
        <f>IFERROR(Demographics[[#This Row],[Total monthly income]]/Demographics[[#This Row],[FAMILY SIZE]], 0)</f>
        <v>0</v>
      </c>
    </row>
    <row r="784" spans="1:11" x14ac:dyDescent="0.2">
      <c r="A784">
        <v>9051192</v>
      </c>
      <c r="B784">
        <v>23091988</v>
      </c>
      <c r="C784">
        <v>3</v>
      </c>
      <c r="D784">
        <v>1</v>
      </c>
      <c r="E784">
        <v>1</v>
      </c>
      <c r="F784">
        <v>5</v>
      </c>
      <c r="G784">
        <v>2</v>
      </c>
      <c r="H784" t="str">
        <f>IF(Demographics[[#This Row],[DOB]]&gt;10000000, TEXT(Demographics[[#This Row],[DOB]],0),CONCATENATE("0",TEXT(Demographics[[#This Row],[DOB]],0)))</f>
        <v>23091988</v>
      </c>
      <c r="I784" s="4">
        <f ca="1">IFERROR((VALUE(TODAY()-DATE(RIGHT(Demographics[[#This Row],[DOB - Fixed]],4),MID(Demographics[[#This Row],[DOB - Fixed]],3,2),LEFT(Demographics[[#This Row],[DOB - Fixed]],2))))/365,0)</f>
        <v>34.980821917808221</v>
      </c>
      <c r="J784">
        <f>VLOOKUP(Demographics[[#This Row],[INCOME LEVEL]],Income[],4,FALSE)</f>
        <v>175</v>
      </c>
      <c r="K784">
        <f>IFERROR(Demographics[[#This Row],[Total monthly income]]/Demographics[[#This Row],[FAMILY SIZE]], 0)</f>
        <v>58.333333333333336</v>
      </c>
    </row>
    <row r="785" spans="1:11" x14ac:dyDescent="0.2">
      <c r="A785">
        <v>1039737</v>
      </c>
      <c r="B785">
        <v>1101988</v>
      </c>
      <c r="C785">
        <v>4</v>
      </c>
      <c r="D785">
        <v>1</v>
      </c>
      <c r="E785">
        <v>1</v>
      </c>
      <c r="F785">
        <v>5</v>
      </c>
      <c r="G785">
        <v>5</v>
      </c>
      <c r="H785" t="str">
        <f>IF(Demographics[[#This Row],[DOB]]&gt;10000000, TEXT(Demographics[[#This Row],[DOB]],0),CONCATENATE("0",TEXT(Demographics[[#This Row],[DOB]],0)))</f>
        <v>01101988</v>
      </c>
      <c r="I785" s="4">
        <f ca="1">IFERROR((VALUE(TODAY()-DATE(RIGHT(Demographics[[#This Row],[DOB - Fixed]],4),MID(Demographics[[#This Row],[DOB - Fixed]],3,2),LEFT(Demographics[[#This Row],[DOB - Fixed]],2))))/365,0)</f>
        <v>34.958904109589042</v>
      </c>
      <c r="J785">
        <f>VLOOKUP(Demographics[[#This Row],[INCOME LEVEL]],Income[],4,FALSE)</f>
        <v>175</v>
      </c>
      <c r="K785">
        <f>IFERROR(Demographics[[#This Row],[Total monthly income]]/Demographics[[#This Row],[FAMILY SIZE]], 0)</f>
        <v>43.75</v>
      </c>
    </row>
    <row r="786" spans="1:11" x14ac:dyDescent="0.2">
      <c r="A786">
        <v>21767122</v>
      </c>
      <c r="B786">
        <v>17091988</v>
      </c>
      <c r="C786">
        <v>4</v>
      </c>
      <c r="D786">
        <v>1</v>
      </c>
      <c r="E786">
        <v>1</v>
      </c>
      <c r="F786">
        <v>5</v>
      </c>
      <c r="G786">
        <v>3</v>
      </c>
      <c r="H786" t="str">
        <f>IF(Demographics[[#This Row],[DOB]]&gt;10000000, TEXT(Demographics[[#This Row],[DOB]],0),CONCATENATE("0",TEXT(Demographics[[#This Row],[DOB]],0)))</f>
        <v>17091988</v>
      </c>
      <c r="I786" s="4">
        <f ca="1">IFERROR((VALUE(TODAY()-DATE(RIGHT(Demographics[[#This Row],[DOB - Fixed]],4),MID(Demographics[[#This Row],[DOB - Fixed]],3,2),LEFT(Demographics[[#This Row],[DOB - Fixed]],2))))/365,0)</f>
        <v>34.9972602739726</v>
      </c>
      <c r="J786">
        <f>VLOOKUP(Demographics[[#This Row],[INCOME LEVEL]],Income[],4,FALSE)</f>
        <v>175</v>
      </c>
      <c r="K786">
        <f>IFERROR(Demographics[[#This Row],[Total monthly income]]/Demographics[[#This Row],[FAMILY SIZE]], 0)</f>
        <v>43.75</v>
      </c>
    </row>
    <row r="787" spans="1:11" x14ac:dyDescent="0.2">
      <c r="A787">
        <v>6482536</v>
      </c>
      <c r="B787">
        <v>10081988</v>
      </c>
      <c r="C787">
        <v>4</v>
      </c>
      <c r="D787">
        <v>1</v>
      </c>
      <c r="E787">
        <v>1</v>
      </c>
      <c r="F787">
        <v>4</v>
      </c>
      <c r="G787">
        <v>4</v>
      </c>
      <c r="H787" t="str">
        <f>IF(Demographics[[#This Row],[DOB]]&gt;10000000, TEXT(Demographics[[#This Row],[DOB]],0),CONCATENATE("0",TEXT(Demographics[[#This Row],[DOB]],0)))</f>
        <v>10081988</v>
      </c>
      <c r="I787" s="4">
        <f ca="1">IFERROR((VALUE(TODAY()-DATE(RIGHT(Demographics[[#This Row],[DOB - Fixed]],4),MID(Demographics[[#This Row],[DOB - Fixed]],3,2),LEFT(Demographics[[#This Row],[DOB - Fixed]],2))))/365,0)</f>
        <v>35.101369863013701</v>
      </c>
      <c r="J787">
        <f>VLOOKUP(Demographics[[#This Row],[INCOME LEVEL]],Income[],4,FALSE)</f>
        <v>175</v>
      </c>
      <c r="K787">
        <f>IFERROR(Demographics[[#This Row],[Total monthly income]]/Demographics[[#This Row],[FAMILY SIZE]], 0)</f>
        <v>43.75</v>
      </c>
    </row>
    <row r="788" spans="1:11" x14ac:dyDescent="0.2">
      <c r="A788">
        <v>24538190</v>
      </c>
      <c r="B788">
        <v>8101988</v>
      </c>
      <c r="C788">
        <v>10</v>
      </c>
      <c r="D788">
        <v>1</v>
      </c>
      <c r="E788">
        <v>1</v>
      </c>
      <c r="F788">
        <v>5</v>
      </c>
      <c r="G788">
        <v>5</v>
      </c>
      <c r="H788" t="str">
        <f>IF(Demographics[[#This Row],[DOB]]&gt;10000000, TEXT(Demographics[[#This Row],[DOB]],0),CONCATENATE("0",TEXT(Demographics[[#This Row],[DOB]],0)))</f>
        <v>08101988</v>
      </c>
      <c r="I788" s="4">
        <f ca="1">IFERROR((VALUE(TODAY()-DATE(RIGHT(Demographics[[#This Row],[DOB - Fixed]],4),MID(Demographics[[#This Row],[DOB - Fixed]],3,2),LEFT(Demographics[[#This Row],[DOB - Fixed]],2))))/365,0)</f>
        <v>34.939726027397263</v>
      </c>
      <c r="J788">
        <f>VLOOKUP(Demographics[[#This Row],[INCOME LEVEL]],Income[],4,FALSE)</f>
        <v>175</v>
      </c>
      <c r="K788">
        <f>IFERROR(Demographics[[#This Row],[Total monthly income]]/Demographics[[#This Row],[FAMILY SIZE]], 0)</f>
        <v>17.5</v>
      </c>
    </row>
    <row r="789" spans="1:11" x14ac:dyDescent="0.2">
      <c r="A789">
        <v>5414355</v>
      </c>
      <c r="B789">
        <v>7101988</v>
      </c>
      <c r="C789">
        <v>3</v>
      </c>
      <c r="D789">
        <v>1</v>
      </c>
      <c r="E789">
        <v>1</v>
      </c>
      <c r="F789">
        <v>2</v>
      </c>
      <c r="G789">
        <v>2</v>
      </c>
      <c r="H789" t="str">
        <f>IF(Demographics[[#This Row],[DOB]]&gt;10000000, TEXT(Demographics[[#This Row],[DOB]],0),CONCATENATE("0",TEXT(Demographics[[#This Row],[DOB]],0)))</f>
        <v>07101988</v>
      </c>
      <c r="I789" s="4">
        <f ca="1">IFERROR((VALUE(TODAY()-DATE(RIGHT(Demographics[[#This Row],[DOB - Fixed]],4),MID(Demographics[[#This Row],[DOB - Fixed]],3,2),LEFT(Demographics[[#This Row],[DOB - Fixed]],2))))/365,0)</f>
        <v>34.942465753424656</v>
      </c>
      <c r="J789">
        <f>VLOOKUP(Demographics[[#This Row],[INCOME LEVEL]],Income[],4,FALSE)</f>
        <v>175</v>
      </c>
      <c r="K789">
        <f>IFERROR(Demographics[[#This Row],[Total monthly income]]/Demographics[[#This Row],[FAMILY SIZE]], 0)</f>
        <v>58.333333333333336</v>
      </c>
    </row>
    <row r="790" spans="1:11" x14ac:dyDescent="0.2">
      <c r="A790">
        <v>12255666</v>
      </c>
      <c r="B790">
        <v>6101988</v>
      </c>
      <c r="C790">
        <v>4</v>
      </c>
      <c r="D790">
        <v>2</v>
      </c>
      <c r="E790">
        <v>1</v>
      </c>
      <c r="F790">
        <v>4</v>
      </c>
      <c r="G790">
        <v>5</v>
      </c>
      <c r="H790" t="str">
        <f>IF(Demographics[[#This Row],[DOB]]&gt;10000000, TEXT(Demographics[[#This Row],[DOB]],0),CONCATENATE("0",TEXT(Demographics[[#This Row],[DOB]],0)))</f>
        <v>06101988</v>
      </c>
      <c r="I790" s="4">
        <f ca="1">IFERROR((VALUE(TODAY()-DATE(RIGHT(Demographics[[#This Row],[DOB - Fixed]],4),MID(Demographics[[#This Row],[DOB - Fixed]],3,2),LEFT(Demographics[[#This Row],[DOB - Fixed]],2))))/365,0)</f>
        <v>34.945205479452056</v>
      </c>
      <c r="J790">
        <f>VLOOKUP(Demographics[[#This Row],[INCOME LEVEL]],Income[],4,FALSE)</f>
        <v>175</v>
      </c>
      <c r="K790">
        <f>IFERROR(Demographics[[#This Row],[Total monthly income]]/Demographics[[#This Row],[FAMILY SIZE]], 0)</f>
        <v>43.75</v>
      </c>
    </row>
    <row r="791" spans="1:11" x14ac:dyDescent="0.2">
      <c r="A791">
        <v>13221916</v>
      </c>
      <c r="B791">
        <v>13101988</v>
      </c>
      <c r="C791">
        <v>2</v>
      </c>
      <c r="D791">
        <v>1</v>
      </c>
      <c r="E791">
        <v>1</v>
      </c>
      <c r="F791">
        <v>5</v>
      </c>
      <c r="G791">
        <v>5</v>
      </c>
      <c r="H791" t="str">
        <f>IF(Demographics[[#This Row],[DOB]]&gt;10000000, TEXT(Demographics[[#This Row],[DOB]],0),CONCATENATE("0",TEXT(Demographics[[#This Row],[DOB]],0)))</f>
        <v>13101988</v>
      </c>
      <c r="I791" s="4">
        <f ca="1">IFERROR((VALUE(TODAY()-DATE(RIGHT(Demographics[[#This Row],[DOB - Fixed]],4),MID(Demographics[[#This Row],[DOB - Fixed]],3,2),LEFT(Demographics[[#This Row],[DOB - Fixed]],2))))/365,0)</f>
        <v>34.926027397260277</v>
      </c>
      <c r="J791">
        <f>VLOOKUP(Demographics[[#This Row],[INCOME LEVEL]],Income[],4,FALSE)</f>
        <v>175</v>
      </c>
      <c r="K791">
        <f>IFERROR(Demographics[[#This Row],[Total monthly income]]/Demographics[[#This Row],[FAMILY SIZE]], 0)</f>
        <v>87.5</v>
      </c>
    </row>
    <row r="792" spans="1:11" x14ac:dyDescent="0.2">
      <c r="A792">
        <v>3710914</v>
      </c>
      <c r="B792">
        <v>3101988</v>
      </c>
      <c r="C792">
        <v>2</v>
      </c>
      <c r="D792">
        <v>0</v>
      </c>
      <c r="E792">
        <v>1</v>
      </c>
      <c r="F792">
        <v>0</v>
      </c>
      <c r="G792">
        <v>5</v>
      </c>
      <c r="H792" t="str">
        <f>IF(Demographics[[#This Row],[DOB]]&gt;10000000, TEXT(Demographics[[#This Row],[DOB]],0),CONCATENATE("0",TEXT(Demographics[[#This Row],[DOB]],0)))</f>
        <v>03101988</v>
      </c>
      <c r="I792" s="4">
        <f ca="1">IFERROR((VALUE(TODAY()-DATE(RIGHT(Demographics[[#This Row],[DOB - Fixed]],4),MID(Demographics[[#This Row],[DOB - Fixed]],3,2),LEFT(Demographics[[#This Row],[DOB - Fixed]],2))))/365,0)</f>
        <v>34.953424657534249</v>
      </c>
      <c r="J792">
        <f>VLOOKUP(Demographics[[#This Row],[INCOME LEVEL]],Income[],4,FALSE)</f>
        <v>175</v>
      </c>
      <c r="K792">
        <f>IFERROR(Demographics[[#This Row],[Total monthly income]]/Demographics[[#This Row],[FAMILY SIZE]], 0)</f>
        <v>87.5</v>
      </c>
    </row>
    <row r="793" spans="1:11" x14ac:dyDescent="0.2">
      <c r="A793">
        <v>7448552</v>
      </c>
      <c r="B793">
        <v>7101988</v>
      </c>
      <c r="C793">
        <v>5</v>
      </c>
      <c r="D793">
        <v>1</v>
      </c>
      <c r="E793">
        <v>2</v>
      </c>
      <c r="F793">
        <v>5</v>
      </c>
      <c r="G793">
        <v>4</v>
      </c>
      <c r="H793" t="str">
        <f>IF(Demographics[[#This Row],[DOB]]&gt;10000000, TEXT(Demographics[[#This Row],[DOB]],0),CONCATENATE("0",TEXT(Demographics[[#This Row],[DOB]],0)))</f>
        <v>07101988</v>
      </c>
      <c r="I793" s="4">
        <f ca="1">IFERROR((VALUE(TODAY()-DATE(RIGHT(Demographics[[#This Row],[DOB - Fixed]],4),MID(Demographics[[#This Row],[DOB - Fixed]],3,2),LEFT(Demographics[[#This Row],[DOB - Fixed]],2))))/365,0)</f>
        <v>34.942465753424656</v>
      </c>
      <c r="J793">
        <f>VLOOKUP(Demographics[[#This Row],[INCOME LEVEL]],Income[],4,FALSE)</f>
        <v>697.5</v>
      </c>
      <c r="K793">
        <f>IFERROR(Demographics[[#This Row],[Total monthly income]]/Demographics[[#This Row],[FAMILY SIZE]], 0)</f>
        <v>139.5</v>
      </c>
    </row>
    <row r="794" spans="1:11" x14ac:dyDescent="0.2">
      <c r="A794">
        <v>20165197</v>
      </c>
      <c r="B794">
        <v>6101988</v>
      </c>
      <c r="C794">
        <v>4</v>
      </c>
      <c r="D794">
        <v>1</v>
      </c>
      <c r="E794">
        <v>2</v>
      </c>
      <c r="F794">
        <v>9</v>
      </c>
      <c r="G794">
        <v>9</v>
      </c>
      <c r="H794" t="str">
        <f>IF(Demographics[[#This Row],[DOB]]&gt;10000000, TEXT(Demographics[[#This Row],[DOB]],0),CONCATENATE("0",TEXT(Demographics[[#This Row],[DOB]],0)))</f>
        <v>06101988</v>
      </c>
      <c r="I794" s="4">
        <f ca="1">IFERROR((VALUE(TODAY()-DATE(RIGHT(Demographics[[#This Row],[DOB - Fixed]],4),MID(Demographics[[#This Row],[DOB - Fixed]],3,2),LEFT(Demographics[[#This Row],[DOB - Fixed]],2))))/365,0)</f>
        <v>34.945205479452056</v>
      </c>
      <c r="J794">
        <f>VLOOKUP(Demographics[[#This Row],[INCOME LEVEL]],Income[],4,FALSE)</f>
        <v>697.5</v>
      </c>
      <c r="K794">
        <f>IFERROR(Demographics[[#This Row],[Total monthly income]]/Demographics[[#This Row],[FAMILY SIZE]], 0)</f>
        <v>174.375</v>
      </c>
    </row>
    <row r="795" spans="1:11" x14ac:dyDescent="0.2">
      <c r="A795">
        <v>5948444</v>
      </c>
      <c r="B795">
        <v>23061988</v>
      </c>
      <c r="C795">
        <v>4</v>
      </c>
      <c r="D795">
        <v>1</v>
      </c>
      <c r="E795">
        <v>1</v>
      </c>
      <c r="F795">
        <v>5</v>
      </c>
      <c r="G795">
        <v>4</v>
      </c>
      <c r="H795" t="str">
        <f>IF(Demographics[[#This Row],[DOB]]&gt;10000000, TEXT(Demographics[[#This Row],[DOB]],0),CONCATENATE("0",TEXT(Demographics[[#This Row],[DOB]],0)))</f>
        <v>23061988</v>
      </c>
      <c r="I795" s="4">
        <f ca="1">IFERROR((VALUE(TODAY()-DATE(RIGHT(Demographics[[#This Row],[DOB - Fixed]],4),MID(Demographics[[#This Row],[DOB - Fixed]],3,2),LEFT(Demographics[[#This Row],[DOB - Fixed]],2))))/365,0)</f>
        <v>35.232876712328768</v>
      </c>
      <c r="J795">
        <f>VLOOKUP(Demographics[[#This Row],[INCOME LEVEL]],Income[],4,FALSE)</f>
        <v>175</v>
      </c>
      <c r="K795">
        <f>IFERROR(Demographics[[#This Row],[Total monthly income]]/Demographics[[#This Row],[FAMILY SIZE]], 0)</f>
        <v>43.75</v>
      </c>
    </row>
    <row r="796" spans="1:11" x14ac:dyDescent="0.2">
      <c r="A796">
        <v>19630849</v>
      </c>
      <c r="B796">
        <v>30091988</v>
      </c>
      <c r="C796">
        <v>13</v>
      </c>
      <c r="D796">
        <v>3</v>
      </c>
      <c r="E796">
        <v>1</v>
      </c>
      <c r="F796">
        <v>5</v>
      </c>
      <c r="G796">
        <v>5</v>
      </c>
      <c r="H796" t="str">
        <f>IF(Demographics[[#This Row],[DOB]]&gt;10000000, TEXT(Demographics[[#This Row],[DOB]],0),CONCATENATE("0",TEXT(Demographics[[#This Row],[DOB]],0)))</f>
        <v>30091988</v>
      </c>
      <c r="I796" s="4">
        <f ca="1">IFERROR((VALUE(TODAY()-DATE(RIGHT(Demographics[[#This Row],[DOB - Fixed]],4),MID(Demographics[[#This Row],[DOB - Fixed]],3,2),LEFT(Demographics[[#This Row],[DOB - Fixed]],2))))/365,0)</f>
        <v>34.961643835616435</v>
      </c>
      <c r="J796">
        <f>VLOOKUP(Demographics[[#This Row],[INCOME LEVEL]],Income[],4,FALSE)</f>
        <v>175</v>
      </c>
      <c r="K796">
        <f>IFERROR(Demographics[[#This Row],[Total monthly income]]/Demographics[[#This Row],[FAMILY SIZE]], 0)</f>
        <v>13.461538461538462</v>
      </c>
    </row>
    <row r="797" spans="1:11" x14ac:dyDescent="0.2">
      <c r="A797">
        <v>22301438</v>
      </c>
      <c r="B797">
        <v>21101988</v>
      </c>
      <c r="C797">
        <v>5</v>
      </c>
      <c r="D797">
        <v>1</v>
      </c>
      <c r="E797">
        <v>2</v>
      </c>
      <c r="F797">
        <v>5</v>
      </c>
      <c r="G797">
        <v>5</v>
      </c>
      <c r="H797" t="str">
        <f>IF(Demographics[[#This Row],[DOB]]&gt;10000000, TEXT(Demographics[[#This Row],[DOB]],0),CONCATENATE("0",TEXT(Demographics[[#This Row],[DOB]],0)))</f>
        <v>21101988</v>
      </c>
      <c r="I797" s="4">
        <f ca="1">IFERROR((VALUE(TODAY()-DATE(RIGHT(Demographics[[#This Row],[DOB - Fixed]],4),MID(Demographics[[#This Row],[DOB - Fixed]],3,2),LEFT(Demographics[[#This Row],[DOB - Fixed]],2))))/365,0)</f>
        <v>34.904109589041099</v>
      </c>
      <c r="J797">
        <f>VLOOKUP(Demographics[[#This Row],[INCOME LEVEL]],Income[],4,FALSE)</f>
        <v>697.5</v>
      </c>
      <c r="K797">
        <f>IFERROR(Demographics[[#This Row],[Total monthly income]]/Demographics[[#This Row],[FAMILY SIZE]], 0)</f>
        <v>139.5</v>
      </c>
    </row>
    <row r="798" spans="1:11" x14ac:dyDescent="0.2">
      <c r="A798">
        <v>3610138</v>
      </c>
      <c r="B798">
        <v>26091988</v>
      </c>
      <c r="C798">
        <v>2</v>
      </c>
      <c r="D798">
        <v>1</v>
      </c>
      <c r="E798">
        <v>1</v>
      </c>
      <c r="F798">
        <v>5</v>
      </c>
      <c r="G798">
        <v>5</v>
      </c>
      <c r="H798" t="str">
        <f>IF(Demographics[[#This Row],[DOB]]&gt;10000000, TEXT(Demographics[[#This Row],[DOB]],0),CONCATENATE("0",TEXT(Demographics[[#This Row],[DOB]],0)))</f>
        <v>26091988</v>
      </c>
      <c r="I798" s="4">
        <f ca="1">IFERROR((VALUE(TODAY()-DATE(RIGHT(Demographics[[#This Row],[DOB - Fixed]],4),MID(Demographics[[#This Row],[DOB - Fixed]],3,2),LEFT(Demographics[[#This Row],[DOB - Fixed]],2))))/365,0)</f>
        <v>34.972602739726028</v>
      </c>
      <c r="J798">
        <f>VLOOKUP(Demographics[[#This Row],[INCOME LEVEL]],Income[],4,FALSE)</f>
        <v>175</v>
      </c>
      <c r="K798">
        <f>IFERROR(Demographics[[#This Row],[Total monthly income]]/Demographics[[#This Row],[FAMILY SIZE]], 0)</f>
        <v>87.5</v>
      </c>
    </row>
    <row r="799" spans="1:11" x14ac:dyDescent="0.2">
      <c r="A799">
        <v>19834077</v>
      </c>
      <c r="B799">
        <v>13101988</v>
      </c>
      <c r="C799">
        <v>4</v>
      </c>
      <c r="D799">
        <v>1</v>
      </c>
      <c r="E799">
        <v>1</v>
      </c>
      <c r="F799">
        <v>3</v>
      </c>
      <c r="G799">
        <v>2</v>
      </c>
      <c r="H799" t="str">
        <f>IF(Demographics[[#This Row],[DOB]]&gt;10000000, TEXT(Demographics[[#This Row],[DOB]],0),CONCATENATE("0",TEXT(Demographics[[#This Row],[DOB]],0)))</f>
        <v>13101988</v>
      </c>
      <c r="I799" s="4">
        <f ca="1">IFERROR((VALUE(TODAY()-DATE(RIGHT(Demographics[[#This Row],[DOB - Fixed]],4),MID(Demographics[[#This Row],[DOB - Fixed]],3,2),LEFT(Demographics[[#This Row],[DOB - Fixed]],2))))/365,0)</f>
        <v>34.926027397260277</v>
      </c>
      <c r="J799">
        <f>VLOOKUP(Demographics[[#This Row],[INCOME LEVEL]],Income[],4,FALSE)</f>
        <v>175</v>
      </c>
      <c r="K799">
        <f>IFERROR(Demographics[[#This Row],[Total monthly income]]/Demographics[[#This Row],[FAMILY SIZE]], 0)</f>
        <v>43.75</v>
      </c>
    </row>
    <row r="800" spans="1:11" x14ac:dyDescent="0.2">
      <c r="A800">
        <v>7982794</v>
      </c>
      <c r="B800">
        <v>28091988</v>
      </c>
      <c r="C800">
        <v>3</v>
      </c>
      <c r="D800">
        <v>1</v>
      </c>
      <c r="E800">
        <v>1</v>
      </c>
      <c r="F800">
        <v>3</v>
      </c>
      <c r="G800">
        <v>3</v>
      </c>
      <c r="H800" t="str">
        <f>IF(Demographics[[#This Row],[DOB]]&gt;10000000, TEXT(Demographics[[#This Row],[DOB]],0),CONCATENATE("0",TEXT(Demographics[[#This Row],[DOB]],0)))</f>
        <v>28091988</v>
      </c>
      <c r="I800" s="4">
        <f ca="1">IFERROR((VALUE(TODAY()-DATE(RIGHT(Demographics[[#This Row],[DOB - Fixed]],4),MID(Demographics[[#This Row],[DOB - Fixed]],3,2),LEFT(Demographics[[#This Row],[DOB - Fixed]],2))))/365,0)</f>
        <v>34.967123287671235</v>
      </c>
      <c r="J800">
        <f>VLOOKUP(Demographics[[#This Row],[INCOME LEVEL]],Income[],4,FALSE)</f>
        <v>175</v>
      </c>
      <c r="K800">
        <f>IFERROR(Demographics[[#This Row],[Total monthly income]]/Demographics[[#This Row],[FAMILY SIZE]], 0)</f>
        <v>58.333333333333336</v>
      </c>
    </row>
    <row r="801" spans="1:11" x14ac:dyDescent="0.2">
      <c r="A801">
        <v>6813961</v>
      </c>
      <c r="B801">
        <v>26101988</v>
      </c>
      <c r="C801">
        <v>4</v>
      </c>
      <c r="D801">
        <v>1</v>
      </c>
      <c r="E801">
        <v>1</v>
      </c>
      <c r="F801">
        <v>4</v>
      </c>
      <c r="G801">
        <v>5</v>
      </c>
      <c r="H801" t="str">
        <f>IF(Demographics[[#This Row],[DOB]]&gt;10000000, TEXT(Demographics[[#This Row],[DOB]],0),CONCATENATE("0",TEXT(Demographics[[#This Row],[DOB]],0)))</f>
        <v>26101988</v>
      </c>
      <c r="I801" s="4">
        <f ca="1">IFERROR((VALUE(TODAY()-DATE(RIGHT(Demographics[[#This Row],[DOB - Fixed]],4),MID(Demographics[[#This Row],[DOB - Fixed]],3,2),LEFT(Demographics[[#This Row],[DOB - Fixed]],2))))/365,0)</f>
        <v>34.890410958904113</v>
      </c>
      <c r="J801">
        <f>VLOOKUP(Demographics[[#This Row],[INCOME LEVEL]],Income[],4,FALSE)</f>
        <v>175</v>
      </c>
      <c r="K801">
        <f>IFERROR(Demographics[[#This Row],[Total monthly income]]/Demographics[[#This Row],[FAMILY SIZE]], 0)</f>
        <v>43.75</v>
      </c>
    </row>
    <row r="802" spans="1:11" x14ac:dyDescent="0.2">
      <c r="A802">
        <v>12688174</v>
      </c>
      <c r="B802">
        <v>26101988</v>
      </c>
      <c r="C802">
        <v>5</v>
      </c>
      <c r="D802">
        <v>1</v>
      </c>
      <c r="E802">
        <v>1</v>
      </c>
      <c r="F802">
        <v>5</v>
      </c>
      <c r="G802">
        <v>5</v>
      </c>
      <c r="H802" t="str">
        <f>IF(Demographics[[#This Row],[DOB]]&gt;10000000, TEXT(Demographics[[#This Row],[DOB]],0),CONCATENATE("0",TEXT(Demographics[[#This Row],[DOB]],0)))</f>
        <v>26101988</v>
      </c>
      <c r="I802" s="4">
        <f ca="1">IFERROR((VALUE(TODAY()-DATE(RIGHT(Demographics[[#This Row],[DOB - Fixed]],4),MID(Demographics[[#This Row],[DOB - Fixed]],3,2),LEFT(Demographics[[#This Row],[DOB - Fixed]],2))))/365,0)</f>
        <v>34.890410958904113</v>
      </c>
      <c r="J802">
        <f>VLOOKUP(Demographics[[#This Row],[INCOME LEVEL]],Income[],4,FALSE)</f>
        <v>175</v>
      </c>
      <c r="K802">
        <f>IFERROR(Demographics[[#This Row],[Total monthly income]]/Demographics[[#This Row],[FAMILY SIZE]], 0)</f>
        <v>35</v>
      </c>
    </row>
    <row r="803" spans="1:11" x14ac:dyDescent="0.2">
      <c r="A803">
        <v>15560793</v>
      </c>
      <c r="B803">
        <v>24101988</v>
      </c>
      <c r="C803">
        <v>6</v>
      </c>
      <c r="D803">
        <v>1</v>
      </c>
      <c r="E803">
        <v>1</v>
      </c>
      <c r="F803">
        <v>5</v>
      </c>
      <c r="G803">
        <v>7</v>
      </c>
      <c r="H803" t="str">
        <f>IF(Demographics[[#This Row],[DOB]]&gt;10000000, TEXT(Demographics[[#This Row],[DOB]],0),CONCATENATE("0",TEXT(Demographics[[#This Row],[DOB]],0)))</f>
        <v>24101988</v>
      </c>
      <c r="I803" s="4">
        <f ca="1">IFERROR((VALUE(TODAY()-DATE(RIGHT(Demographics[[#This Row],[DOB - Fixed]],4),MID(Demographics[[#This Row],[DOB - Fixed]],3,2),LEFT(Demographics[[#This Row],[DOB - Fixed]],2))))/365,0)</f>
        <v>34.895890410958906</v>
      </c>
      <c r="J803">
        <f>VLOOKUP(Demographics[[#This Row],[INCOME LEVEL]],Income[],4,FALSE)</f>
        <v>175</v>
      </c>
      <c r="K803">
        <f>IFERROR(Demographics[[#This Row],[Total monthly income]]/Demographics[[#This Row],[FAMILY SIZE]], 0)</f>
        <v>29.166666666666668</v>
      </c>
    </row>
    <row r="804" spans="1:11" x14ac:dyDescent="0.2">
      <c r="A804">
        <v>2541492</v>
      </c>
      <c r="B804">
        <v>6071988</v>
      </c>
      <c r="C804">
        <v>5</v>
      </c>
      <c r="D804">
        <v>1</v>
      </c>
      <c r="E804">
        <v>1</v>
      </c>
      <c r="F804">
        <v>4</v>
      </c>
      <c r="G804">
        <v>2</v>
      </c>
      <c r="H804" t="str">
        <f>IF(Demographics[[#This Row],[DOB]]&gt;10000000, TEXT(Demographics[[#This Row],[DOB]],0),CONCATENATE("0",TEXT(Demographics[[#This Row],[DOB]],0)))</f>
        <v>06071988</v>
      </c>
      <c r="I804" s="4">
        <f ca="1">IFERROR((VALUE(TODAY()-DATE(RIGHT(Demographics[[#This Row],[DOB - Fixed]],4),MID(Demographics[[#This Row],[DOB - Fixed]],3,2),LEFT(Demographics[[#This Row],[DOB - Fixed]],2))))/365,0)</f>
        <v>35.197260273972603</v>
      </c>
      <c r="J804">
        <f>VLOOKUP(Demographics[[#This Row],[INCOME LEVEL]],Income[],4,FALSE)</f>
        <v>175</v>
      </c>
      <c r="K804">
        <f>IFERROR(Demographics[[#This Row],[Total monthly income]]/Demographics[[#This Row],[FAMILY SIZE]], 0)</f>
        <v>35</v>
      </c>
    </row>
    <row r="805" spans="1:11" x14ac:dyDescent="0.2">
      <c r="A805">
        <v>24437007</v>
      </c>
      <c r="B805">
        <v>16101988</v>
      </c>
      <c r="C805">
        <v>5</v>
      </c>
      <c r="D805">
        <v>1</v>
      </c>
      <c r="E805">
        <v>1</v>
      </c>
      <c r="F805">
        <v>3</v>
      </c>
      <c r="G805">
        <v>2</v>
      </c>
      <c r="H805" t="str">
        <f>IF(Demographics[[#This Row],[DOB]]&gt;10000000, TEXT(Demographics[[#This Row],[DOB]],0),CONCATENATE("0",TEXT(Demographics[[#This Row],[DOB]],0)))</f>
        <v>16101988</v>
      </c>
      <c r="I805" s="4">
        <f ca="1">IFERROR((VALUE(TODAY()-DATE(RIGHT(Demographics[[#This Row],[DOB - Fixed]],4),MID(Demographics[[#This Row],[DOB - Fixed]],3,2),LEFT(Demographics[[#This Row],[DOB - Fixed]],2))))/365,0)</f>
        <v>34.917808219178085</v>
      </c>
      <c r="J805">
        <f>VLOOKUP(Demographics[[#This Row],[INCOME LEVEL]],Income[],4,FALSE)</f>
        <v>175</v>
      </c>
      <c r="K805">
        <f>IFERROR(Demographics[[#This Row],[Total monthly income]]/Demographics[[#This Row],[FAMILY SIZE]], 0)</f>
        <v>35</v>
      </c>
    </row>
    <row r="806" spans="1:11" x14ac:dyDescent="0.2">
      <c r="A806">
        <v>19096300</v>
      </c>
      <c r="B806">
        <v>10101988</v>
      </c>
      <c r="C806">
        <v>8</v>
      </c>
      <c r="D806">
        <v>2</v>
      </c>
      <c r="E806">
        <v>1</v>
      </c>
      <c r="F806">
        <v>2</v>
      </c>
      <c r="G806">
        <v>5</v>
      </c>
      <c r="H806" t="str">
        <f>IF(Demographics[[#This Row],[DOB]]&gt;10000000, TEXT(Demographics[[#This Row],[DOB]],0),CONCATENATE("0",TEXT(Demographics[[#This Row],[DOB]],0)))</f>
        <v>10101988</v>
      </c>
      <c r="I806" s="4">
        <f ca="1">IFERROR((VALUE(TODAY()-DATE(RIGHT(Demographics[[#This Row],[DOB - Fixed]],4),MID(Demographics[[#This Row],[DOB - Fixed]],3,2),LEFT(Demographics[[#This Row],[DOB - Fixed]],2))))/365,0)</f>
        <v>34.934246575342463</v>
      </c>
      <c r="J806">
        <f>VLOOKUP(Demographics[[#This Row],[INCOME LEVEL]],Income[],4,FALSE)</f>
        <v>175</v>
      </c>
      <c r="K806">
        <f>IFERROR(Demographics[[#This Row],[Total monthly income]]/Demographics[[#This Row],[FAMILY SIZE]], 0)</f>
        <v>21.875</v>
      </c>
    </row>
    <row r="807" spans="1:11" x14ac:dyDescent="0.2">
      <c r="A807">
        <v>4879760</v>
      </c>
      <c r="B807">
        <v>13101988</v>
      </c>
      <c r="C807">
        <v>2</v>
      </c>
      <c r="D807">
        <v>1</v>
      </c>
      <c r="E807">
        <v>1</v>
      </c>
      <c r="F807">
        <v>2</v>
      </c>
      <c r="G807">
        <v>4</v>
      </c>
      <c r="H807" t="str">
        <f>IF(Demographics[[#This Row],[DOB]]&gt;10000000, TEXT(Demographics[[#This Row],[DOB]],0),CONCATENATE("0",TEXT(Demographics[[#This Row],[DOB]],0)))</f>
        <v>13101988</v>
      </c>
      <c r="I807" s="4">
        <f ca="1">IFERROR((VALUE(TODAY()-DATE(RIGHT(Demographics[[#This Row],[DOB - Fixed]],4),MID(Demographics[[#This Row],[DOB - Fixed]],3,2),LEFT(Demographics[[#This Row],[DOB - Fixed]],2))))/365,0)</f>
        <v>34.926027397260277</v>
      </c>
      <c r="J807">
        <f>VLOOKUP(Demographics[[#This Row],[INCOME LEVEL]],Income[],4,FALSE)</f>
        <v>175</v>
      </c>
      <c r="K807">
        <f>IFERROR(Demographics[[#This Row],[Total monthly income]]/Demographics[[#This Row],[FAMILY SIZE]], 0)</f>
        <v>87.5</v>
      </c>
    </row>
    <row r="808" spans="1:11" x14ac:dyDescent="0.2">
      <c r="A808">
        <v>606862</v>
      </c>
      <c r="B808">
        <v>31101988</v>
      </c>
      <c r="C808">
        <v>3</v>
      </c>
      <c r="D808">
        <v>1</v>
      </c>
      <c r="E808">
        <v>1</v>
      </c>
      <c r="F808">
        <v>0</v>
      </c>
      <c r="G808">
        <v>5</v>
      </c>
      <c r="H808" t="str">
        <f>IF(Demographics[[#This Row],[DOB]]&gt;10000000, TEXT(Demographics[[#This Row],[DOB]],0),CONCATENATE("0",TEXT(Demographics[[#This Row],[DOB]],0)))</f>
        <v>31101988</v>
      </c>
      <c r="I808" s="4">
        <f ca="1">IFERROR((VALUE(TODAY()-DATE(RIGHT(Demographics[[#This Row],[DOB - Fixed]],4),MID(Demographics[[#This Row],[DOB - Fixed]],3,2),LEFT(Demographics[[#This Row],[DOB - Fixed]],2))))/365,0)</f>
        <v>34.876712328767127</v>
      </c>
      <c r="J808">
        <f>VLOOKUP(Demographics[[#This Row],[INCOME LEVEL]],Income[],4,FALSE)</f>
        <v>175</v>
      </c>
      <c r="K808">
        <f>IFERROR(Demographics[[#This Row],[Total monthly income]]/Demographics[[#This Row],[FAMILY SIZE]], 0)</f>
        <v>58.333333333333336</v>
      </c>
    </row>
    <row r="809" spans="1:11" x14ac:dyDescent="0.2">
      <c r="A809">
        <v>21334175</v>
      </c>
      <c r="B809">
        <v>2111988</v>
      </c>
      <c r="C809">
        <v>7</v>
      </c>
      <c r="D809">
        <v>1</v>
      </c>
      <c r="E809">
        <v>6</v>
      </c>
      <c r="F809">
        <v>9</v>
      </c>
      <c r="G809">
        <v>9</v>
      </c>
      <c r="H809" t="str">
        <f>IF(Demographics[[#This Row],[DOB]]&gt;10000000, TEXT(Demographics[[#This Row],[DOB]],0),CONCATENATE("0",TEXT(Demographics[[#This Row],[DOB]],0)))</f>
        <v>02111988</v>
      </c>
      <c r="I809" s="4">
        <f ca="1">IFERROR((VALUE(TODAY()-DATE(RIGHT(Demographics[[#This Row],[DOB - Fixed]],4),MID(Demographics[[#This Row],[DOB - Fixed]],3,2),LEFT(Demographics[[#This Row],[DOB - Fixed]],2))))/365,0)</f>
        <v>34.871232876712327</v>
      </c>
      <c r="J809">
        <f>VLOOKUP(Demographics[[#This Row],[INCOME LEVEL]],Income[],4,FALSE)</f>
        <v>4000</v>
      </c>
      <c r="K809">
        <f>IFERROR(Demographics[[#This Row],[Total monthly income]]/Demographics[[#This Row],[FAMILY SIZE]], 0)</f>
        <v>571.42857142857144</v>
      </c>
    </row>
    <row r="810" spans="1:11" x14ac:dyDescent="0.2">
      <c r="A810">
        <v>6482535</v>
      </c>
      <c r="B810">
        <v>24091988</v>
      </c>
      <c r="C810">
        <v>4</v>
      </c>
      <c r="D810">
        <v>1</v>
      </c>
      <c r="E810">
        <v>1</v>
      </c>
      <c r="F810">
        <v>4</v>
      </c>
      <c r="G810">
        <v>3</v>
      </c>
      <c r="H810" t="str">
        <f>IF(Demographics[[#This Row],[DOB]]&gt;10000000, TEXT(Demographics[[#This Row],[DOB]],0),CONCATENATE("0",TEXT(Demographics[[#This Row],[DOB]],0)))</f>
        <v>24091988</v>
      </c>
      <c r="I810" s="4">
        <f ca="1">IFERROR((VALUE(TODAY()-DATE(RIGHT(Demographics[[#This Row],[DOB - Fixed]],4),MID(Demographics[[#This Row],[DOB - Fixed]],3,2),LEFT(Demographics[[#This Row],[DOB - Fixed]],2))))/365,0)</f>
        <v>34.978082191780821</v>
      </c>
      <c r="J810">
        <f>VLOOKUP(Demographics[[#This Row],[INCOME LEVEL]],Income[],4,FALSE)</f>
        <v>175</v>
      </c>
      <c r="K810">
        <f>IFERROR(Demographics[[#This Row],[Total monthly income]]/Demographics[[#This Row],[FAMILY SIZE]], 0)</f>
        <v>43.75</v>
      </c>
    </row>
    <row r="811" spans="1:11" x14ac:dyDescent="0.2">
      <c r="A811">
        <v>5414354</v>
      </c>
      <c r="B811">
        <v>21101988</v>
      </c>
      <c r="C811">
        <v>5</v>
      </c>
      <c r="D811">
        <v>1</v>
      </c>
      <c r="E811">
        <v>1</v>
      </c>
      <c r="F811">
        <v>2</v>
      </c>
      <c r="G811">
        <v>2</v>
      </c>
      <c r="H811" t="str">
        <f>IF(Demographics[[#This Row],[DOB]]&gt;10000000, TEXT(Demographics[[#This Row],[DOB]],0),CONCATENATE("0",TEXT(Demographics[[#This Row],[DOB]],0)))</f>
        <v>21101988</v>
      </c>
      <c r="I811" s="4">
        <f ca="1">IFERROR((VALUE(TODAY()-DATE(RIGHT(Demographics[[#This Row],[DOB - Fixed]],4),MID(Demographics[[#This Row],[DOB - Fixed]],3,2),LEFT(Demographics[[#This Row],[DOB - Fixed]],2))))/365,0)</f>
        <v>34.904109589041099</v>
      </c>
      <c r="J811">
        <f>VLOOKUP(Demographics[[#This Row],[INCOME LEVEL]],Income[],4,FALSE)</f>
        <v>175</v>
      </c>
      <c r="K811">
        <f>IFERROR(Demographics[[#This Row],[Total monthly income]]/Demographics[[#This Row],[FAMILY SIZE]], 0)</f>
        <v>35</v>
      </c>
    </row>
    <row r="812" spans="1:11" x14ac:dyDescent="0.2">
      <c r="A812">
        <v>18028184</v>
      </c>
      <c r="B812">
        <v>13111988</v>
      </c>
      <c r="C812">
        <v>4</v>
      </c>
      <c r="D812">
        <v>1</v>
      </c>
      <c r="E812">
        <v>1</v>
      </c>
      <c r="F812">
        <v>7</v>
      </c>
      <c r="G812">
        <v>4</v>
      </c>
      <c r="H812" t="str">
        <f>IF(Demographics[[#This Row],[DOB]]&gt;10000000, TEXT(Demographics[[#This Row],[DOB]],0),CONCATENATE("0",TEXT(Demographics[[#This Row],[DOB]],0)))</f>
        <v>13111988</v>
      </c>
      <c r="I812" s="4">
        <f ca="1">IFERROR((VALUE(TODAY()-DATE(RIGHT(Demographics[[#This Row],[DOB - Fixed]],4),MID(Demographics[[#This Row],[DOB - Fixed]],3,2),LEFT(Demographics[[#This Row],[DOB - Fixed]],2))))/365,0)</f>
        <v>34.841095890410962</v>
      </c>
      <c r="J812">
        <f>VLOOKUP(Demographics[[#This Row],[INCOME LEVEL]],Income[],4,FALSE)</f>
        <v>175</v>
      </c>
      <c r="K812">
        <f>IFERROR(Demographics[[#This Row],[Total monthly income]]/Demographics[[#This Row],[FAMILY SIZE]], 0)</f>
        <v>43.75</v>
      </c>
    </row>
    <row r="813" spans="1:11" x14ac:dyDescent="0.2">
      <c r="A813">
        <v>20266389</v>
      </c>
      <c r="B813">
        <v>10091988</v>
      </c>
      <c r="C813">
        <v>4</v>
      </c>
      <c r="D813">
        <v>2</v>
      </c>
      <c r="E813">
        <v>2</v>
      </c>
      <c r="F813">
        <v>2</v>
      </c>
      <c r="G813">
        <v>9</v>
      </c>
      <c r="H813" t="str">
        <f>IF(Demographics[[#This Row],[DOB]]&gt;10000000, TEXT(Demographics[[#This Row],[DOB]],0),CONCATENATE("0",TEXT(Demographics[[#This Row],[DOB]],0)))</f>
        <v>10091988</v>
      </c>
      <c r="I813" s="4">
        <f ca="1">IFERROR((VALUE(TODAY()-DATE(RIGHT(Demographics[[#This Row],[DOB - Fixed]],4),MID(Demographics[[#This Row],[DOB - Fixed]],3,2),LEFT(Demographics[[#This Row],[DOB - Fixed]],2))))/365,0)</f>
        <v>35.016438356164386</v>
      </c>
      <c r="J813">
        <f>VLOOKUP(Demographics[[#This Row],[INCOME LEVEL]],Income[],4,FALSE)</f>
        <v>697.5</v>
      </c>
      <c r="K813">
        <f>IFERROR(Demographics[[#This Row],[Total monthly income]]/Demographics[[#This Row],[FAMILY SIZE]], 0)</f>
        <v>174.375</v>
      </c>
    </row>
    <row r="814" spans="1:11" x14ac:dyDescent="0.2">
      <c r="A814">
        <v>16960107</v>
      </c>
      <c r="B814">
        <v>30101988</v>
      </c>
      <c r="C814">
        <v>4</v>
      </c>
      <c r="D814">
        <v>1</v>
      </c>
      <c r="E814">
        <v>2</v>
      </c>
      <c r="F814">
        <v>9</v>
      </c>
      <c r="G814">
        <v>7</v>
      </c>
      <c r="H814" t="str">
        <f>IF(Demographics[[#This Row],[DOB]]&gt;10000000, TEXT(Demographics[[#This Row],[DOB]],0),CONCATENATE("0",TEXT(Demographics[[#This Row],[DOB]],0)))</f>
        <v>30101988</v>
      </c>
      <c r="I814" s="4">
        <f ca="1">IFERROR((VALUE(TODAY()-DATE(RIGHT(Demographics[[#This Row],[DOB - Fixed]],4),MID(Demographics[[#This Row],[DOB - Fixed]],3,2),LEFT(Demographics[[#This Row],[DOB - Fixed]],2))))/365,0)</f>
        <v>34.87945205479452</v>
      </c>
      <c r="J814">
        <f>VLOOKUP(Demographics[[#This Row],[INCOME LEVEL]],Income[],4,FALSE)</f>
        <v>697.5</v>
      </c>
      <c r="K814">
        <f>IFERROR(Demographics[[#This Row],[Total monthly income]]/Demographics[[#This Row],[FAMILY SIZE]], 0)</f>
        <v>174.375</v>
      </c>
    </row>
    <row r="815" spans="1:11" x14ac:dyDescent="0.2">
      <c r="A815">
        <v>8949938</v>
      </c>
      <c r="B815">
        <v>8111988</v>
      </c>
      <c r="C815">
        <v>3</v>
      </c>
      <c r="D815">
        <v>2</v>
      </c>
      <c r="E815">
        <v>1</v>
      </c>
      <c r="F815">
        <v>4</v>
      </c>
      <c r="G815">
        <v>5</v>
      </c>
      <c r="H815" t="str">
        <f>IF(Demographics[[#This Row],[DOB]]&gt;10000000, TEXT(Demographics[[#This Row],[DOB]],0),CONCATENATE("0",TEXT(Demographics[[#This Row],[DOB]],0)))</f>
        <v>08111988</v>
      </c>
      <c r="I815" s="4">
        <f ca="1">IFERROR((VALUE(TODAY()-DATE(RIGHT(Demographics[[#This Row],[DOB - Fixed]],4),MID(Demographics[[#This Row],[DOB - Fixed]],3,2),LEFT(Demographics[[#This Row],[DOB - Fixed]],2))))/365,0)</f>
        <v>34.854794520547948</v>
      </c>
      <c r="J815">
        <f>VLOOKUP(Demographics[[#This Row],[INCOME LEVEL]],Income[],4,FALSE)</f>
        <v>175</v>
      </c>
      <c r="K815">
        <f>IFERROR(Demographics[[#This Row],[Total monthly income]]/Demographics[[#This Row],[FAMILY SIZE]], 0)</f>
        <v>58.333333333333336</v>
      </c>
    </row>
    <row r="816" spans="1:11" x14ac:dyDescent="0.2">
      <c r="A816">
        <v>9484158</v>
      </c>
      <c r="B816">
        <v>1111988</v>
      </c>
      <c r="C816">
        <v>8</v>
      </c>
      <c r="D816">
        <v>2</v>
      </c>
      <c r="E816">
        <v>1</v>
      </c>
      <c r="F816">
        <v>4</v>
      </c>
      <c r="G816">
        <v>2</v>
      </c>
      <c r="H816" t="str">
        <f>IF(Demographics[[#This Row],[DOB]]&gt;10000000, TEXT(Demographics[[#This Row],[DOB]],0),CONCATENATE("0",TEXT(Demographics[[#This Row],[DOB]],0)))</f>
        <v>01111988</v>
      </c>
      <c r="I816" s="4">
        <f ca="1">IFERROR((VALUE(TODAY()-DATE(RIGHT(Demographics[[#This Row],[DOB - Fixed]],4),MID(Demographics[[#This Row],[DOB - Fixed]],3,2),LEFT(Demographics[[#This Row],[DOB - Fixed]],2))))/365,0)</f>
        <v>34.873972602739727</v>
      </c>
      <c r="J816">
        <f>VLOOKUP(Demographics[[#This Row],[INCOME LEVEL]],Income[],4,FALSE)</f>
        <v>175</v>
      </c>
      <c r="K816">
        <f>IFERROR(Demographics[[#This Row],[Total monthly income]]/Demographics[[#This Row],[FAMILY SIZE]], 0)</f>
        <v>21.875</v>
      </c>
    </row>
    <row r="817" spans="1:11" x14ac:dyDescent="0.2">
      <c r="A817">
        <v>8618529</v>
      </c>
      <c r="B817">
        <v>6111988</v>
      </c>
      <c r="C817">
        <v>4</v>
      </c>
      <c r="D817">
        <v>2</v>
      </c>
      <c r="E817">
        <v>2</v>
      </c>
      <c r="F817">
        <v>8</v>
      </c>
      <c r="G817">
        <v>5</v>
      </c>
      <c r="H817" t="str">
        <f>IF(Demographics[[#This Row],[DOB]]&gt;10000000, TEXT(Demographics[[#This Row],[DOB]],0),CONCATENATE("0",TEXT(Demographics[[#This Row],[DOB]],0)))</f>
        <v>06111988</v>
      </c>
      <c r="I817" s="4">
        <f ca="1">IFERROR((VALUE(TODAY()-DATE(RIGHT(Demographics[[#This Row],[DOB - Fixed]],4),MID(Demographics[[#This Row],[DOB - Fixed]],3,2),LEFT(Demographics[[#This Row],[DOB - Fixed]],2))))/365,0)</f>
        <v>34.860273972602741</v>
      </c>
      <c r="J817">
        <f>VLOOKUP(Demographics[[#This Row],[INCOME LEVEL]],Income[],4,FALSE)</f>
        <v>697.5</v>
      </c>
      <c r="K817">
        <f>IFERROR(Demographics[[#This Row],[Total monthly income]]/Demographics[[#This Row],[FAMILY SIZE]], 0)</f>
        <v>174.375</v>
      </c>
    </row>
    <row r="818" spans="1:11" x14ac:dyDescent="0.2">
      <c r="A818">
        <v>20699062</v>
      </c>
      <c r="B818">
        <v>10111988</v>
      </c>
      <c r="C818">
        <v>5</v>
      </c>
      <c r="D818">
        <v>2</v>
      </c>
      <c r="E818">
        <v>1</v>
      </c>
      <c r="F818">
        <v>4</v>
      </c>
      <c r="G818">
        <v>4</v>
      </c>
      <c r="H818" t="str">
        <f>IF(Demographics[[#This Row],[DOB]]&gt;10000000, TEXT(Demographics[[#This Row],[DOB]],0),CONCATENATE("0",TEXT(Demographics[[#This Row],[DOB]],0)))</f>
        <v>10111988</v>
      </c>
      <c r="I818" s="4">
        <f ca="1">IFERROR((VALUE(TODAY()-DATE(RIGHT(Demographics[[#This Row],[DOB - Fixed]],4),MID(Demographics[[#This Row],[DOB - Fixed]],3,2),LEFT(Demographics[[#This Row],[DOB - Fixed]],2))))/365,0)</f>
        <v>34.849315068493148</v>
      </c>
      <c r="J818">
        <f>VLOOKUP(Demographics[[#This Row],[INCOME LEVEL]],Income[],4,FALSE)</f>
        <v>175</v>
      </c>
      <c r="K818">
        <f>IFERROR(Demographics[[#This Row],[Total monthly income]]/Demographics[[#This Row],[FAMILY SIZE]], 0)</f>
        <v>35</v>
      </c>
    </row>
    <row r="819" spans="1:11" x14ac:dyDescent="0.2">
      <c r="A819">
        <v>18231041</v>
      </c>
      <c r="B819">
        <v>4111988</v>
      </c>
      <c r="C819">
        <v>4</v>
      </c>
      <c r="D819">
        <v>1</v>
      </c>
      <c r="E819">
        <v>1</v>
      </c>
      <c r="F819">
        <v>5</v>
      </c>
      <c r="G819">
        <v>3</v>
      </c>
      <c r="H819" t="str">
        <f>IF(Demographics[[#This Row],[DOB]]&gt;10000000, TEXT(Demographics[[#This Row],[DOB]],0),CONCATENATE("0",TEXT(Demographics[[#This Row],[DOB]],0)))</f>
        <v>04111988</v>
      </c>
      <c r="I819" s="4">
        <f ca="1">IFERROR((VALUE(TODAY()-DATE(RIGHT(Demographics[[#This Row],[DOB - Fixed]],4),MID(Demographics[[#This Row],[DOB - Fixed]],3,2),LEFT(Demographics[[#This Row],[DOB - Fixed]],2))))/365,0)</f>
        <v>34.865753424657534</v>
      </c>
      <c r="J819">
        <f>VLOOKUP(Demographics[[#This Row],[INCOME LEVEL]],Income[],4,FALSE)</f>
        <v>175</v>
      </c>
      <c r="K819">
        <f>IFERROR(Demographics[[#This Row],[Total monthly income]]/Demographics[[#This Row],[FAMILY SIZE]], 0)</f>
        <v>43.75</v>
      </c>
    </row>
    <row r="820" spans="1:11" x14ac:dyDescent="0.2">
      <c r="A820">
        <v>18561930</v>
      </c>
      <c r="B820">
        <v>4111988</v>
      </c>
      <c r="C820">
        <v>7</v>
      </c>
      <c r="D820">
        <v>4</v>
      </c>
      <c r="E820">
        <v>1</v>
      </c>
      <c r="F820">
        <v>5</v>
      </c>
      <c r="G820">
        <v>2</v>
      </c>
      <c r="H820" t="str">
        <f>IF(Demographics[[#This Row],[DOB]]&gt;10000000, TEXT(Demographics[[#This Row],[DOB]],0),CONCATENATE("0",TEXT(Demographics[[#This Row],[DOB]],0)))</f>
        <v>04111988</v>
      </c>
      <c r="I820" s="4">
        <f ca="1">IFERROR((VALUE(TODAY()-DATE(RIGHT(Demographics[[#This Row],[DOB - Fixed]],4),MID(Demographics[[#This Row],[DOB - Fixed]],3,2),LEFT(Demographics[[#This Row],[DOB - Fixed]],2))))/365,0)</f>
        <v>34.865753424657534</v>
      </c>
      <c r="J820">
        <f>VLOOKUP(Demographics[[#This Row],[INCOME LEVEL]],Income[],4,FALSE)</f>
        <v>175</v>
      </c>
      <c r="K820">
        <f>IFERROR(Demographics[[#This Row],[Total monthly income]]/Demographics[[#This Row],[FAMILY SIZE]], 0)</f>
        <v>25</v>
      </c>
    </row>
    <row r="821" spans="1:11" x14ac:dyDescent="0.2">
      <c r="A821">
        <v>10220593</v>
      </c>
      <c r="B821">
        <v>7111988</v>
      </c>
      <c r="C821">
        <v>4</v>
      </c>
      <c r="D821">
        <v>2</v>
      </c>
      <c r="E821">
        <v>1</v>
      </c>
      <c r="F821">
        <v>5</v>
      </c>
      <c r="G821">
        <v>2</v>
      </c>
      <c r="H821" t="str">
        <f>IF(Demographics[[#This Row],[DOB]]&gt;10000000, TEXT(Demographics[[#This Row],[DOB]],0),CONCATENATE("0",TEXT(Demographics[[#This Row],[DOB]],0)))</f>
        <v>07111988</v>
      </c>
      <c r="I821" s="4">
        <f ca="1">IFERROR((VALUE(TODAY()-DATE(RIGHT(Demographics[[#This Row],[DOB - Fixed]],4),MID(Demographics[[#This Row],[DOB - Fixed]],3,2),LEFT(Demographics[[#This Row],[DOB - Fixed]],2))))/365,0)</f>
        <v>34.857534246575341</v>
      </c>
      <c r="J821">
        <f>VLOOKUP(Demographics[[#This Row],[INCOME LEVEL]],Income[],4,FALSE)</f>
        <v>175</v>
      </c>
      <c r="K821">
        <f>IFERROR(Demographics[[#This Row],[Total monthly income]]/Demographics[[#This Row],[FAMILY SIZE]], 0)</f>
        <v>43.75</v>
      </c>
    </row>
    <row r="822" spans="1:11" x14ac:dyDescent="0.2">
      <c r="A822">
        <v>16425967</v>
      </c>
      <c r="B822">
        <v>4111988</v>
      </c>
      <c r="C822">
        <v>5</v>
      </c>
      <c r="D822">
        <v>1</v>
      </c>
      <c r="E822">
        <v>2</v>
      </c>
      <c r="F822">
        <v>5</v>
      </c>
      <c r="G822">
        <v>5</v>
      </c>
      <c r="H822" t="str">
        <f>IF(Demographics[[#This Row],[DOB]]&gt;10000000, TEXT(Demographics[[#This Row],[DOB]],0),CONCATENATE("0",TEXT(Demographics[[#This Row],[DOB]],0)))</f>
        <v>04111988</v>
      </c>
      <c r="I822" s="4">
        <f ca="1">IFERROR((VALUE(TODAY()-DATE(RIGHT(Demographics[[#This Row],[DOB - Fixed]],4),MID(Demographics[[#This Row],[DOB - Fixed]],3,2),LEFT(Demographics[[#This Row],[DOB - Fixed]],2))))/365,0)</f>
        <v>34.865753424657534</v>
      </c>
      <c r="J822">
        <f>VLOOKUP(Demographics[[#This Row],[INCOME LEVEL]],Income[],4,FALSE)</f>
        <v>697.5</v>
      </c>
      <c r="K822">
        <f>IFERROR(Demographics[[#This Row],[Total monthly income]]/Demographics[[#This Row],[FAMILY SIZE]], 0)</f>
        <v>139.5</v>
      </c>
    </row>
    <row r="823" spans="1:11" x14ac:dyDescent="0.2">
      <c r="A823">
        <v>5847010</v>
      </c>
      <c r="B823">
        <v>4111988</v>
      </c>
      <c r="C823">
        <v>5</v>
      </c>
      <c r="D823">
        <v>2</v>
      </c>
      <c r="E823">
        <v>2</v>
      </c>
      <c r="F823">
        <v>5</v>
      </c>
      <c r="G823">
        <v>5</v>
      </c>
      <c r="H823" t="str">
        <f>IF(Demographics[[#This Row],[DOB]]&gt;10000000, TEXT(Demographics[[#This Row],[DOB]],0),CONCATENATE("0",TEXT(Demographics[[#This Row],[DOB]],0)))</f>
        <v>04111988</v>
      </c>
      <c r="I823" s="4">
        <f ca="1">IFERROR((VALUE(TODAY()-DATE(RIGHT(Demographics[[#This Row],[DOB - Fixed]],4),MID(Demographics[[#This Row],[DOB - Fixed]],3,2),LEFT(Demographics[[#This Row],[DOB - Fixed]],2))))/365,0)</f>
        <v>34.865753424657534</v>
      </c>
      <c r="J823">
        <f>VLOOKUP(Demographics[[#This Row],[INCOME LEVEL]],Income[],4,FALSE)</f>
        <v>697.5</v>
      </c>
      <c r="K823">
        <f>IFERROR(Demographics[[#This Row],[Total monthly income]]/Demographics[[#This Row],[FAMILY SIZE]], 0)</f>
        <v>139.5</v>
      </c>
    </row>
    <row r="824" spans="1:11" x14ac:dyDescent="0.2">
      <c r="A824">
        <v>4778313</v>
      </c>
      <c r="B824">
        <v>13111988</v>
      </c>
      <c r="C824">
        <v>5</v>
      </c>
      <c r="D824">
        <v>1</v>
      </c>
      <c r="E824">
        <v>1</v>
      </c>
      <c r="F824">
        <v>4</v>
      </c>
      <c r="G824">
        <v>5</v>
      </c>
      <c r="H824" t="str">
        <f>IF(Demographics[[#This Row],[DOB]]&gt;10000000, TEXT(Demographics[[#This Row],[DOB]],0),CONCATENATE("0",TEXT(Demographics[[#This Row],[DOB]],0)))</f>
        <v>13111988</v>
      </c>
      <c r="I824" s="4">
        <f ca="1">IFERROR((VALUE(TODAY()-DATE(RIGHT(Demographics[[#This Row],[DOB - Fixed]],4),MID(Demographics[[#This Row],[DOB - Fixed]],3,2),LEFT(Demographics[[#This Row],[DOB - Fixed]],2))))/365,0)</f>
        <v>34.841095890410962</v>
      </c>
      <c r="J824">
        <f>VLOOKUP(Demographics[[#This Row],[INCOME LEVEL]],Income[],4,FALSE)</f>
        <v>175</v>
      </c>
      <c r="K824">
        <f>IFERROR(Demographics[[#This Row],[Total monthly income]]/Demographics[[#This Row],[FAMILY SIZE]], 0)</f>
        <v>35</v>
      </c>
    </row>
    <row r="825" spans="1:11" x14ac:dyDescent="0.2">
      <c r="A825">
        <v>19732221</v>
      </c>
      <c r="B825">
        <v>29091988</v>
      </c>
      <c r="C825">
        <v>2</v>
      </c>
      <c r="D825">
        <v>0</v>
      </c>
      <c r="E825">
        <v>1</v>
      </c>
      <c r="F825">
        <v>6</v>
      </c>
      <c r="G825">
        <v>9</v>
      </c>
      <c r="H825" t="str">
        <f>IF(Demographics[[#This Row],[DOB]]&gt;10000000, TEXT(Demographics[[#This Row],[DOB]],0),CONCATENATE("0",TEXT(Demographics[[#This Row],[DOB]],0)))</f>
        <v>29091988</v>
      </c>
      <c r="I825" s="4">
        <f ca="1">IFERROR((VALUE(TODAY()-DATE(RIGHT(Demographics[[#This Row],[DOB - Fixed]],4),MID(Demographics[[#This Row],[DOB - Fixed]],3,2),LEFT(Demographics[[#This Row],[DOB - Fixed]],2))))/365,0)</f>
        <v>34.964383561643835</v>
      </c>
      <c r="J825">
        <f>VLOOKUP(Demographics[[#This Row],[INCOME LEVEL]],Income[],4,FALSE)</f>
        <v>175</v>
      </c>
      <c r="K825">
        <f>IFERROR(Demographics[[#This Row],[Total monthly income]]/Demographics[[#This Row],[FAMILY SIZE]], 0)</f>
        <v>87.5</v>
      </c>
    </row>
    <row r="826" spans="1:11" x14ac:dyDescent="0.2">
      <c r="A826">
        <v>10754756</v>
      </c>
      <c r="B826">
        <v>11111988</v>
      </c>
      <c r="C826">
        <v>3</v>
      </c>
      <c r="D826">
        <v>2</v>
      </c>
      <c r="E826">
        <v>2</v>
      </c>
      <c r="F826">
        <v>5</v>
      </c>
      <c r="G826">
        <v>5</v>
      </c>
      <c r="H826" t="str">
        <f>IF(Demographics[[#This Row],[DOB]]&gt;10000000, TEXT(Demographics[[#This Row],[DOB]],0),CONCATENATE("0",TEXT(Demographics[[#This Row],[DOB]],0)))</f>
        <v>11111988</v>
      </c>
      <c r="I826" s="4">
        <f ca="1">IFERROR((VALUE(TODAY()-DATE(RIGHT(Demographics[[#This Row],[DOB - Fixed]],4),MID(Demographics[[#This Row],[DOB - Fixed]],3,2),LEFT(Demographics[[#This Row],[DOB - Fixed]],2))))/365,0)</f>
        <v>34.846575342465755</v>
      </c>
      <c r="J826">
        <f>VLOOKUP(Demographics[[#This Row],[INCOME LEVEL]],Income[],4,FALSE)</f>
        <v>697.5</v>
      </c>
      <c r="K826">
        <f>IFERROR(Demographics[[#This Row],[Total monthly income]]/Demographics[[#This Row],[FAMILY SIZE]], 0)</f>
        <v>232.5</v>
      </c>
    </row>
    <row r="827" spans="1:11" x14ac:dyDescent="0.2">
      <c r="A827">
        <v>10017777</v>
      </c>
      <c r="B827">
        <v>27101988</v>
      </c>
      <c r="C827">
        <v>5</v>
      </c>
      <c r="D827">
        <v>1</v>
      </c>
      <c r="E827">
        <v>1</v>
      </c>
      <c r="F827">
        <v>4</v>
      </c>
      <c r="G827">
        <v>3</v>
      </c>
      <c r="H827" t="str">
        <f>IF(Demographics[[#This Row],[DOB]]&gt;10000000, TEXT(Demographics[[#This Row],[DOB]],0),CONCATENATE("0",TEXT(Demographics[[#This Row],[DOB]],0)))</f>
        <v>27101988</v>
      </c>
      <c r="I827" s="4">
        <f ca="1">IFERROR((VALUE(TODAY()-DATE(RIGHT(Demographics[[#This Row],[DOB - Fixed]],4),MID(Demographics[[#This Row],[DOB - Fixed]],3,2),LEFT(Demographics[[#This Row],[DOB - Fixed]],2))))/365,0)</f>
        <v>34.887671232876713</v>
      </c>
      <c r="J827">
        <f>VLOOKUP(Demographics[[#This Row],[INCOME LEVEL]],Income[],4,FALSE)</f>
        <v>175</v>
      </c>
      <c r="K827">
        <f>IFERROR(Demographics[[#This Row],[Total monthly income]]/Demographics[[#This Row],[FAMILY SIZE]], 0)</f>
        <v>35</v>
      </c>
    </row>
    <row r="828" spans="1:11" x14ac:dyDescent="0.2">
      <c r="A828">
        <v>16527339</v>
      </c>
      <c r="B828">
        <v>8111988</v>
      </c>
      <c r="C828">
        <v>0</v>
      </c>
      <c r="D828">
        <v>0</v>
      </c>
      <c r="E828">
        <v>1</v>
      </c>
      <c r="F828">
        <v>0</v>
      </c>
      <c r="G828">
        <v>0</v>
      </c>
      <c r="H828" t="str">
        <f>IF(Demographics[[#This Row],[DOB]]&gt;10000000, TEXT(Demographics[[#This Row],[DOB]],0),CONCATENATE("0",TEXT(Demographics[[#This Row],[DOB]],0)))</f>
        <v>08111988</v>
      </c>
      <c r="I828" s="4">
        <f ca="1">IFERROR((VALUE(TODAY()-DATE(RIGHT(Demographics[[#This Row],[DOB - Fixed]],4),MID(Demographics[[#This Row],[DOB - Fixed]],3,2),LEFT(Demographics[[#This Row],[DOB - Fixed]],2))))/365,0)</f>
        <v>34.854794520547948</v>
      </c>
      <c r="J828">
        <f>VLOOKUP(Demographics[[#This Row],[INCOME LEVEL]],Income[],4,FALSE)</f>
        <v>175</v>
      </c>
      <c r="K828">
        <f>IFERROR(Demographics[[#This Row],[Total monthly income]]/Demographics[[#This Row],[FAMILY SIZE]], 0)</f>
        <v>0</v>
      </c>
    </row>
    <row r="829" spans="1:11" x14ac:dyDescent="0.2">
      <c r="A829">
        <v>22402619</v>
      </c>
      <c r="B829">
        <v>13111988</v>
      </c>
      <c r="C829">
        <v>4</v>
      </c>
      <c r="D829">
        <v>1</v>
      </c>
      <c r="E829">
        <v>1</v>
      </c>
      <c r="F829">
        <v>4</v>
      </c>
      <c r="G829">
        <v>5</v>
      </c>
      <c r="H829" t="str">
        <f>IF(Demographics[[#This Row],[DOB]]&gt;10000000, TEXT(Demographics[[#This Row],[DOB]],0),CONCATENATE("0",TEXT(Demographics[[#This Row],[DOB]],0)))</f>
        <v>13111988</v>
      </c>
      <c r="I829" s="4">
        <f ca="1">IFERROR((VALUE(TODAY()-DATE(RIGHT(Demographics[[#This Row],[DOB - Fixed]],4),MID(Demographics[[#This Row],[DOB - Fixed]],3,2),LEFT(Demographics[[#This Row],[DOB - Fixed]],2))))/365,0)</f>
        <v>34.841095890410962</v>
      </c>
      <c r="J829">
        <f>VLOOKUP(Demographics[[#This Row],[INCOME LEVEL]],Income[],4,FALSE)</f>
        <v>175</v>
      </c>
      <c r="K829">
        <f>IFERROR(Demographics[[#This Row],[Total monthly income]]/Demographics[[#This Row],[FAMILY SIZE]], 0)</f>
        <v>43.75</v>
      </c>
    </row>
    <row r="830" spans="1:11" x14ac:dyDescent="0.2">
      <c r="A830">
        <v>3610139</v>
      </c>
      <c r="B830">
        <v>3111988</v>
      </c>
      <c r="C830">
        <v>5</v>
      </c>
      <c r="D830">
        <v>1</v>
      </c>
      <c r="E830">
        <v>1</v>
      </c>
      <c r="F830">
        <v>3</v>
      </c>
      <c r="G830">
        <v>3</v>
      </c>
      <c r="H830" t="str">
        <f>IF(Demographics[[#This Row],[DOB]]&gt;10000000, TEXT(Demographics[[#This Row],[DOB]],0),CONCATENATE("0",TEXT(Demographics[[#This Row],[DOB]],0)))</f>
        <v>03111988</v>
      </c>
      <c r="I830" s="4">
        <f ca="1">IFERROR((VALUE(TODAY()-DATE(RIGHT(Demographics[[#This Row],[DOB - Fixed]],4),MID(Demographics[[#This Row],[DOB - Fixed]],3,2),LEFT(Demographics[[#This Row],[DOB - Fixed]],2))))/365,0)</f>
        <v>34.868493150684934</v>
      </c>
      <c r="J830">
        <f>VLOOKUP(Demographics[[#This Row],[INCOME LEVEL]],Income[],4,FALSE)</f>
        <v>175</v>
      </c>
      <c r="K830">
        <f>IFERROR(Demographics[[#This Row],[Total monthly income]]/Demographics[[#This Row],[FAMILY SIZE]], 0)</f>
        <v>35</v>
      </c>
    </row>
    <row r="831" spans="1:11" x14ac:dyDescent="0.2">
      <c r="A831">
        <v>11086196</v>
      </c>
      <c r="B831">
        <v>11111988</v>
      </c>
      <c r="C831">
        <v>3</v>
      </c>
      <c r="D831">
        <v>1</v>
      </c>
      <c r="E831">
        <v>1</v>
      </c>
      <c r="F831">
        <v>5</v>
      </c>
      <c r="G831">
        <v>5</v>
      </c>
      <c r="H831" t="str">
        <f>IF(Demographics[[#This Row],[DOB]]&gt;10000000, TEXT(Demographics[[#This Row],[DOB]],0),CONCATENATE("0",TEXT(Demographics[[#This Row],[DOB]],0)))</f>
        <v>11111988</v>
      </c>
      <c r="I831" s="4">
        <f ca="1">IFERROR((VALUE(TODAY()-DATE(RIGHT(Demographics[[#This Row],[DOB - Fixed]],4),MID(Demographics[[#This Row],[DOB - Fixed]],3,2),LEFT(Demographics[[#This Row],[DOB - Fixed]],2))))/365,0)</f>
        <v>34.846575342465755</v>
      </c>
      <c r="J831">
        <f>VLOOKUP(Demographics[[#This Row],[INCOME LEVEL]],Income[],4,FALSE)</f>
        <v>175</v>
      </c>
      <c r="K831">
        <f>IFERROR(Demographics[[#This Row],[Total monthly income]]/Demographics[[#This Row],[FAMILY SIZE]], 0)</f>
        <v>58.333333333333336</v>
      </c>
    </row>
    <row r="832" spans="1:11" x14ac:dyDescent="0.2">
      <c r="A832">
        <v>6813962</v>
      </c>
      <c r="B832">
        <v>20111988</v>
      </c>
      <c r="C832">
        <v>0</v>
      </c>
      <c r="D832">
        <v>0</v>
      </c>
      <c r="E832">
        <v>3</v>
      </c>
      <c r="F832">
        <v>0</v>
      </c>
      <c r="G832">
        <v>0</v>
      </c>
      <c r="H832" t="str">
        <f>IF(Demographics[[#This Row],[DOB]]&gt;10000000, TEXT(Demographics[[#This Row],[DOB]],0),CONCATENATE("0",TEXT(Demographics[[#This Row],[DOB]],0)))</f>
        <v>20111988</v>
      </c>
      <c r="I832" s="4">
        <f ca="1">IFERROR((VALUE(TODAY()-DATE(RIGHT(Demographics[[#This Row],[DOB - Fixed]],4),MID(Demographics[[#This Row],[DOB - Fixed]],3,2),LEFT(Demographics[[#This Row],[DOB - Fixed]],2))))/365,0)</f>
        <v>34.821917808219176</v>
      </c>
      <c r="J832">
        <f>VLOOKUP(Demographics[[#This Row],[INCOME LEVEL]],Income[],4,FALSE)</f>
        <v>1397.5</v>
      </c>
      <c r="K832">
        <f>IFERROR(Demographics[[#This Row],[Total monthly income]]/Demographics[[#This Row],[FAMILY SIZE]], 0)</f>
        <v>0</v>
      </c>
    </row>
    <row r="833" spans="1:11" x14ac:dyDescent="0.2">
      <c r="A833">
        <v>12688175</v>
      </c>
      <c r="B833">
        <v>20111988</v>
      </c>
      <c r="C833">
        <v>5</v>
      </c>
      <c r="D833">
        <v>1</v>
      </c>
      <c r="E833">
        <v>1</v>
      </c>
      <c r="F833">
        <v>4</v>
      </c>
      <c r="G833">
        <v>4</v>
      </c>
      <c r="H833" t="str">
        <f>IF(Demographics[[#This Row],[DOB]]&gt;10000000, TEXT(Demographics[[#This Row],[DOB]],0),CONCATENATE("0",TEXT(Demographics[[#This Row],[DOB]],0)))</f>
        <v>20111988</v>
      </c>
      <c r="I833" s="4">
        <f ca="1">IFERROR((VALUE(TODAY()-DATE(RIGHT(Demographics[[#This Row],[DOB - Fixed]],4),MID(Demographics[[#This Row],[DOB - Fixed]],3,2),LEFT(Demographics[[#This Row],[DOB - Fixed]],2))))/365,0)</f>
        <v>34.821917808219176</v>
      </c>
      <c r="J833">
        <f>VLOOKUP(Demographics[[#This Row],[INCOME LEVEL]],Income[],4,FALSE)</f>
        <v>175</v>
      </c>
      <c r="K833">
        <f>IFERROR(Demographics[[#This Row],[Total monthly income]]/Demographics[[#This Row],[FAMILY SIZE]], 0)</f>
        <v>35</v>
      </c>
    </row>
    <row r="834" spans="1:11" x14ac:dyDescent="0.2">
      <c r="A834">
        <v>12890932</v>
      </c>
      <c r="B834">
        <v>3111988</v>
      </c>
      <c r="C834">
        <v>4</v>
      </c>
      <c r="D834">
        <v>1</v>
      </c>
      <c r="E834">
        <v>1</v>
      </c>
      <c r="F834">
        <v>3</v>
      </c>
      <c r="G834">
        <v>5</v>
      </c>
      <c r="H834" t="str">
        <f>IF(Demographics[[#This Row],[DOB]]&gt;10000000, TEXT(Demographics[[#This Row],[DOB]],0),CONCATENATE("0",TEXT(Demographics[[#This Row],[DOB]],0)))</f>
        <v>03111988</v>
      </c>
      <c r="I834" s="4">
        <f ca="1">IFERROR((VALUE(TODAY()-DATE(RIGHT(Demographics[[#This Row],[DOB - Fixed]],4),MID(Demographics[[#This Row],[DOB - Fixed]],3,2),LEFT(Demographics[[#This Row],[DOB - Fixed]],2))))/365,0)</f>
        <v>34.868493150684934</v>
      </c>
      <c r="J834">
        <f>VLOOKUP(Demographics[[#This Row],[INCOME LEVEL]],Income[],4,FALSE)</f>
        <v>175</v>
      </c>
      <c r="K834">
        <f>IFERROR(Demographics[[#This Row],[Total monthly income]]/Demographics[[#This Row],[FAMILY SIZE]], 0)</f>
        <v>43.75</v>
      </c>
    </row>
    <row r="835" spans="1:11" x14ac:dyDescent="0.2">
      <c r="A835">
        <v>8343410</v>
      </c>
      <c r="B835">
        <v>19111988</v>
      </c>
      <c r="C835">
        <v>9</v>
      </c>
      <c r="D835">
        <v>3</v>
      </c>
      <c r="E835">
        <v>2</v>
      </c>
      <c r="F835">
        <v>5</v>
      </c>
      <c r="G835">
        <v>8</v>
      </c>
      <c r="H835" t="str">
        <f>IF(Demographics[[#This Row],[DOB]]&gt;10000000, TEXT(Demographics[[#This Row],[DOB]],0),CONCATENATE("0",TEXT(Demographics[[#This Row],[DOB]],0)))</f>
        <v>19111988</v>
      </c>
      <c r="I835" s="4">
        <f ca="1">IFERROR((VALUE(TODAY()-DATE(RIGHT(Demographics[[#This Row],[DOB - Fixed]],4),MID(Demographics[[#This Row],[DOB - Fixed]],3,2),LEFT(Demographics[[#This Row],[DOB - Fixed]],2))))/365,0)</f>
        <v>34.824657534246576</v>
      </c>
      <c r="J835">
        <f>VLOOKUP(Demographics[[#This Row],[INCOME LEVEL]],Income[],4,FALSE)</f>
        <v>697.5</v>
      </c>
      <c r="K835">
        <f>IFERROR(Demographics[[#This Row],[Total monthly income]]/Demographics[[#This Row],[FAMILY SIZE]], 0)</f>
        <v>77.5</v>
      </c>
    </row>
    <row r="836" spans="1:11" x14ac:dyDescent="0.2">
      <c r="A836">
        <v>4071425</v>
      </c>
      <c r="B836">
        <v>9111988</v>
      </c>
      <c r="C836">
        <v>6</v>
      </c>
      <c r="D836">
        <v>1</v>
      </c>
      <c r="E836">
        <v>1</v>
      </c>
      <c r="F836">
        <v>4</v>
      </c>
      <c r="G836">
        <v>1</v>
      </c>
      <c r="H836" t="str">
        <f>IF(Demographics[[#This Row],[DOB]]&gt;10000000, TEXT(Demographics[[#This Row],[DOB]],0),CONCATENATE("0",TEXT(Demographics[[#This Row],[DOB]],0)))</f>
        <v>09111988</v>
      </c>
      <c r="I836" s="4">
        <f ca="1">IFERROR((VALUE(TODAY()-DATE(RIGHT(Demographics[[#This Row],[DOB - Fixed]],4),MID(Demographics[[#This Row],[DOB - Fixed]],3,2),LEFT(Demographics[[#This Row],[DOB - Fixed]],2))))/365,0)</f>
        <v>34.852054794520548</v>
      </c>
      <c r="J836">
        <f>VLOOKUP(Demographics[[#This Row],[INCOME LEVEL]],Income[],4,FALSE)</f>
        <v>175</v>
      </c>
      <c r="K836">
        <f>IFERROR(Demographics[[#This Row],[Total monthly income]]/Demographics[[#This Row],[FAMILY SIZE]], 0)</f>
        <v>29.166666666666668</v>
      </c>
    </row>
    <row r="837" spans="1:11" x14ac:dyDescent="0.2">
      <c r="A837">
        <v>1934706</v>
      </c>
      <c r="B837">
        <v>23111988</v>
      </c>
      <c r="C837">
        <v>3</v>
      </c>
      <c r="D837">
        <v>1</v>
      </c>
      <c r="E837">
        <v>1</v>
      </c>
      <c r="F837">
        <v>4</v>
      </c>
      <c r="G837">
        <v>3</v>
      </c>
      <c r="H837" t="str">
        <f>IF(Demographics[[#This Row],[DOB]]&gt;10000000, TEXT(Demographics[[#This Row],[DOB]],0),CONCATENATE("0",TEXT(Demographics[[#This Row],[DOB]],0)))</f>
        <v>23111988</v>
      </c>
      <c r="I837" s="4">
        <f ca="1">IFERROR((VALUE(TODAY()-DATE(RIGHT(Demographics[[#This Row],[DOB - Fixed]],4),MID(Demographics[[#This Row],[DOB - Fixed]],3,2),LEFT(Demographics[[#This Row],[DOB - Fixed]],2))))/365,0)</f>
        <v>34.813698630136983</v>
      </c>
      <c r="J837">
        <f>VLOOKUP(Demographics[[#This Row],[INCOME LEVEL]],Income[],4,FALSE)</f>
        <v>175</v>
      </c>
      <c r="K837">
        <f>IFERROR(Demographics[[#This Row],[Total monthly income]]/Demographics[[#This Row],[FAMILY SIZE]], 0)</f>
        <v>58.333333333333336</v>
      </c>
    </row>
    <row r="838" spans="1:11" x14ac:dyDescent="0.2">
      <c r="A838">
        <v>24798265</v>
      </c>
      <c r="B838">
        <v>18111988</v>
      </c>
      <c r="C838">
        <v>4</v>
      </c>
      <c r="D838">
        <v>1</v>
      </c>
      <c r="E838">
        <v>1</v>
      </c>
      <c r="F838">
        <v>4</v>
      </c>
      <c r="G838">
        <v>4</v>
      </c>
      <c r="H838" t="str">
        <f>IF(Demographics[[#This Row],[DOB]]&gt;10000000, TEXT(Demographics[[#This Row],[DOB]],0),CONCATENATE("0",TEXT(Demographics[[#This Row],[DOB]],0)))</f>
        <v>18111988</v>
      </c>
      <c r="I838" s="4">
        <f ca="1">IFERROR((VALUE(TODAY()-DATE(RIGHT(Demographics[[#This Row],[DOB - Fixed]],4),MID(Demographics[[#This Row],[DOB - Fixed]],3,2),LEFT(Demographics[[#This Row],[DOB - Fixed]],2))))/365,0)</f>
        <v>34.827397260273976</v>
      </c>
      <c r="J838">
        <f>VLOOKUP(Demographics[[#This Row],[INCOME LEVEL]],Income[],4,FALSE)</f>
        <v>175</v>
      </c>
      <c r="K838">
        <f>IFERROR(Demographics[[#This Row],[Total monthly income]]/Demographics[[#This Row],[FAMILY SIZE]], 0)</f>
        <v>43.75</v>
      </c>
    </row>
    <row r="839" spans="1:11" x14ac:dyDescent="0.2">
      <c r="A839">
        <v>7275189</v>
      </c>
      <c r="B839">
        <v>13111988</v>
      </c>
      <c r="C839">
        <v>7</v>
      </c>
      <c r="D839">
        <v>2</v>
      </c>
      <c r="E839">
        <v>1</v>
      </c>
      <c r="F839">
        <v>5</v>
      </c>
      <c r="G839">
        <v>5</v>
      </c>
      <c r="H839" t="str">
        <f>IF(Demographics[[#This Row],[DOB]]&gt;10000000, TEXT(Demographics[[#This Row],[DOB]],0),CONCATENATE("0",TEXT(Demographics[[#This Row],[DOB]],0)))</f>
        <v>13111988</v>
      </c>
      <c r="I839" s="4">
        <f ca="1">IFERROR((VALUE(TODAY()-DATE(RIGHT(Demographics[[#This Row],[DOB - Fixed]],4),MID(Demographics[[#This Row],[DOB - Fixed]],3,2),LEFT(Demographics[[#This Row],[DOB - Fixed]],2))))/365,0)</f>
        <v>34.841095890410962</v>
      </c>
      <c r="J839">
        <f>VLOOKUP(Demographics[[#This Row],[INCOME LEVEL]],Income[],4,FALSE)</f>
        <v>175</v>
      </c>
      <c r="K839">
        <f>IFERROR(Demographics[[#This Row],[Total monthly income]]/Demographics[[#This Row],[FAMILY SIZE]], 0)</f>
        <v>25</v>
      </c>
    </row>
    <row r="840" spans="1:11" x14ac:dyDescent="0.2">
      <c r="A840">
        <v>20959286</v>
      </c>
      <c r="B840">
        <v>23111988</v>
      </c>
      <c r="C840">
        <v>4</v>
      </c>
      <c r="D840">
        <v>1</v>
      </c>
      <c r="E840">
        <v>1</v>
      </c>
      <c r="F840">
        <v>3</v>
      </c>
      <c r="G840">
        <v>5</v>
      </c>
      <c r="H840" t="str">
        <f>IF(Demographics[[#This Row],[DOB]]&gt;10000000, TEXT(Demographics[[#This Row],[DOB]],0),CONCATENATE("0",TEXT(Demographics[[#This Row],[DOB]],0)))</f>
        <v>23111988</v>
      </c>
      <c r="I840" s="4">
        <f ca="1">IFERROR((VALUE(TODAY()-DATE(RIGHT(Demographics[[#This Row],[DOB - Fixed]],4),MID(Demographics[[#This Row],[DOB - Fixed]],3,2),LEFT(Demographics[[#This Row],[DOB - Fixed]],2))))/365,0)</f>
        <v>34.813698630136983</v>
      </c>
      <c r="J840">
        <f>VLOOKUP(Demographics[[#This Row],[INCOME LEVEL]],Income[],4,FALSE)</f>
        <v>175</v>
      </c>
      <c r="K840">
        <f>IFERROR(Demographics[[#This Row],[Total monthly income]]/Demographics[[#This Row],[FAMILY SIZE]], 0)</f>
        <v>43.75</v>
      </c>
    </row>
    <row r="841" spans="1:11" x14ac:dyDescent="0.2">
      <c r="A841">
        <v>9844777</v>
      </c>
      <c r="B841">
        <v>26111988</v>
      </c>
      <c r="C841">
        <v>4</v>
      </c>
      <c r="D841">
        <v>1</v>
      </c>
      <c r="E841">
        <v>1</v>
      </c>
      <c r="F841">
        <v>5</v>
      </c>
      <c r="G841">
        <v>5</v>
      </c>
      <c r="H841" t="str">
        <f>IF(Demographics[[#This Row],[DOB]]&gt;10000000, TEXT(Demographics[[#This Row],[DOB]],0),CONCATENATE("0",TEXT(Demographics[[#This Row],[DOB]],0)))</f>
        <v>26111988</v>
      </c>
      <c r="I841" s="4">
        <f ca="1">IFERROR((VALUE(TODAY()-DATE(RIGHT(Demographics[[#This Row],[DOB - Fixed]],4),MID(Demographics[[#This Row],[DOB - Fixed]],3,2),LEFT(Demographics[[#This Row],[DOB - Fixed]],2))))/365,0)</f>
        <v>34.805479452054797</v>
      </c>
      <c r="J841">
        <f>VLOOKUP(Demographics[[#This Row],[INCOME LEVEL]],Income[],4,FALSE)</f>
        <v>175</v>
      </c>
      <c r="K841">
        <f>IFERROR(Demographics[[#This Row],[Total monthly income]]/Demographics[[#This Row],[FAMILY SIZE]], 0)</f>
        <v>43.75</v>
      </c>
    </row>
    <row r="842" spans="1:11" x14ac:dyDescent="0.2">
      <c r="A842">
        <v>12948005</v>
      </c>
      <c r="B842">
        <v>26111988</v>
      </c>
      <c r="C842">
        <v>5</v>
      </c>
      <c r="D842">
        <v>1</v>
      </c>
      <c r="E842">
        <v>1</v>
      </c>
      <c r="F842">
        <v>2</v>
      </c>
      <c r="G842">
        <v>5</v>
      </c>
      <c r="H842" t="str">
        <f>IF(Demographics[[#This Row],[DOB]]&gt;10000000, TEXT(Demographics[[#This Row],[DOB]],0),CONCATENATE("0",TEXT(Demographics[[#This Row],[DOB]],0)))</f>
        <v>26111988</v>
      </c>
      <c r="I842" s="4">
        <f ca="1">IFERROR((VALUE(TODAY()-DATE(RIGHT(Demographics[[#This Row],[DOB - Fixed]],4),MID(Demographics[[#This Row],[DOB - Fixed]],3,2),LEFT(Demographics[[#This Row],[DOB - Fixed]],2))))/365,0)</f>
        <v>34.805479452054797</v>
      </c>
      <c r="J842">
        <f>VLOOKUP(Demographics[[#This Row],[INCOME LEVEL]],Income[],4,FALSE)</f>
        <v>175</v>
      </c>
      <c r="K842">
        <f>IFERROR(Demographics[[#This Row],[Total monthly income]]/Demographics[[#This Row],[FAMILY SIZE]], 0)</f>
        <v>35</v>
      </c>
    </row>
    <row r="843" spans="1:11" x14ac:dyDescent="0.2">
      <c r="A843">
        <v>23629126</v>
      </c>
      <c r="B843">
        <v>2111988</v>
      </c>
      <c r="C843">
        <v>4</v>
      </c>
      <c r="D843">
        <v>0</v>
      </c>
      <c r="E843">
        <v>1</v>
      </c>
      <c r="F843">
        <v>5</v>
      </c>
      <c r="G843">
        <v>4</v>
      </c>
      <c r="H843" t="str">
        <f>IF(Demographics[[#This Row],[DOB]]&gt;10000000, TEXT(Demographics[[#This Row],[DOB]],0),CONCATENATE("0",TEXT(Demographics[[#This Row],[DOB]],0)))</f>
        <v>02111988</v>
      </c>
      <c r="I843" s="4">
        <f ca="1">IFERROR((VALUE(TODAY()-DATE(RIGHT(Demographics[[#This Row],[DOB - Fixed]],4),MID(Demographics[[#This Row],[DOB - Fixed]],3,2),LEFT(Demographics[[#This Row],[DOB - Fixed]],2))))/365,0)</f>
        <v>34.871232876712327</v>
      </c>
      <c r="J843">
        <f>VLOOKUP(Demographics[[#This Row],[INCOME LEVEL]],Income[],4,FALSE)</f>
        <v>175</v>
      </c>
      <c r="K843">
        <f>IFERROR(Demographics[[#This Row],[Total monthly income]]/Demographics[[#This Row],[FAMILY SIZE]], 0)</f>
        <v>43.75</v>
      </c>
    </row>
    <row r="844" spans="1:11" x14ac:dyDescent="0.2">
      <c r="A844">
        <v>22027512</v>
      </c>
      <c r="B844">
        <v>27111988</v>
      </c>
      <c r="C844">
        <v>0</v>
      </c>
      <c r="D844">
        <v>0</v>
      </c>
      <c r="E844">
        <v>1</v>
      </c>
      <c r="F844">
        <v>0</v>
      </c>
      <c r="G844">
        <v>0</v>
      </c>
      <c r="H844" t="str">
        <f>IF(Demographics[[#This Row],[DOB]]&gt;10000000, TEXT(Demographics[[#This Row],[DOB]],0),CONCATENATE("0",TEXT(Demographics[[#This Row],[DOB]],0)))</f>
        <v>27111988</v>
      </c>
      <c r="I844" s="4">
        <f ca="1">IFERROR((VALUE(TODAY()-DATE(RIGHT(Demographics[[#This Row],[DOB - Fixed]],4),MID(Demographics[[#This Row],[DOB - Fixed]],3,2),LEFT(Demographics[[#This Row],[DOB - Fixed]],2))))/365,0)</f>
        <v>34.802739726027397</v>
      </c>
      <c r="J844">
        <f>VLOOKUP(Demographics[[#This Row],[INCOME LEVEL]],Income[],4,FALSE)</f>
        <v>175</v>
      </c>
      <c r="K844">
        <f>IFERROR(Demographics[[#This Row],[Total monthly income]]/Demographics[[#This Row],[FAMILY SIZE]], 0)</f>
        <v>0</v>
      </c>
    </row>
    <row r="845" spans="1:11" x14ac:dyDescent="0.2">
      <c r="A845">
        <v>14217833</v>
      </c>
      <c r="B845">
        <v>30111988</v>
      </c>
      <c r="C845">
        <v>4</v>
      </c>
      <c r="D845">
        <v>1</v>
      </c>
      <c r="E845">
        <v>1</v>
      </c>
      <c r="F845">
        <v>4</v>
      </c>
      <c r="G845">
        <v>5</v>
      </c>
      <c r="H845" t="str">
        <f>IF(Demographics[[#This Row],[DOB]]&gt;10000000, TEXT(Demographics[[#This Row],[DOB]],0),CONCATENATE("0",TEXT(Demographics[[#This Row],[DOB]],0)))</f>
        <v>30111988</v>
      </c>
      <c r="I845" s="4">
        <f ca="1">IFERROR((VALUE(TODAY()-DATE(RIGHT(Demographics[[#This Row],[DOB - Fixed]],4),MID(Demographics[[#This Row],[DOB - Fixed]],3,2),LEFT(Demographics[[#This Row],[DOB - Fixed]],2))))/365,0)</f>
        <v>34.794520547945204</v>
      </c>
      <c r="J845">
        <f>VLOOKUP(Demographics[[#This Row],[INCOME LEVEL]],Income[],4,FALSE)</f>
        <v>175</v>
      </c>
      <c r="K845">
        <f>IFERROR(Demographics[[#This Row],[Total monthly income]]/Demographics[[#This Row],[FAMILY SIZE]], 0)</f>
        <v>43.75</v>
      </c>
    </row>
    <row r="846" spans="1:11" x14ac:dyDescent="0.2">
      <c r="A846">
        <v>5139343</v>
      </c>
      <c r="B846">
        <v>1121988</v>
      </c>
      <c r="C846">
        <v>6</v>
      </c>
      <c r="D846">
        <v>1</v>
      </c>
      <c r="E846">
        <v>1</v>
      </c>
      <c r="F846">
        <v>5</v>
      </c>
      <c r="G846">
        <v>5</v>
      </c>
      <c r="H846" t="str">
        <f>IF(Demographics[[#This Row],[DOB]]&gt;10000000, TEXT(Demographics[[#This Row],[DOB]],0),CONCATENATE("0",TEXT(Demographics[[#This Row],[DOB]],0)))</f>
        <v>01121988</v>
      </c>
      <c r="I846" s="4">
        <f ca="1">IFERROR((VALUE(TODAY()-DATE(RIGHT(Demographics[[#This Row],[DOB - Fixed]],4),MID(Demographics[[#This Row],[DOB - Fixed]],3,2),LEFT(Demographics[[#This Row],[DOB - Fixed]],2))))/365,0)</f>
        <v>34.791780821917811</v>
      </c>
      <c r="J846">
        <f>VLOOKUP(Demographics[[#This Row],[INCOME LEVEL]],Income[],4,FALSE)</f>
        <v>175</v>
      </c>
      <c r="K846">
        <f>IFERROR(Demographics[[#This Row],[Total monthly income]]/Demographics[[#This Row],[FAMILY SIZE]], 0)</f>
        <v>29.166666666666668</v>
      </c>
    </row>
    <row r="847" spans="1:11" x14ac:dyDescent="0.2">
      <c r="A847">
        <v>14651360</v>
      </c>
      <c r="B847">
        <v>2121988</v>
      </c>
      <c r="C847">
        <v>4</v>
      </c>
      <c r="D847">
        <v>1</v>
      </c>
      <c r="E847">
        <v>1</v>
      </c>
      <c r="F847">
        <v>4</v>
      </c>
      <c r="G847">
        <v>3</v>
      </c>
      <c r="H847" t="str">
        <f>IF(Demographics[[#This Row],[DOB]]&gt;10000000, TEXT(Demographics[[#This Row],[DOB]],0),CONCATENATE("0",TEXT(Demographics[[#This Row],[DOB]],0)))</f>
        <v>02121988</v>
      </c>
      <c r="I847" s="4">
        <f ca="1">IFERROR((VALUE(TODAY()-DATE(RIGHT(Demographics[[#This Row],[DOB - Fixed]],4),MID(Demographics[[#This Row],[DOB - Fixed]],3,2),LEFT(Demographics[[#This Row],[DOB - Fixed]],2))))/365,0)</f>
        <v>34.789041095890411</v>
      </c>
      <c r="J847">
        <f>VLOOKUP(Demographics[[#This Row],[INCOME LEVEL]],Income[],4,FALSE)</f>
        <v>175</v>
      </c>
      <c r="K847">
        <f>IFERROR(Demographics[[#This Row],[Total monthly income]]/Demographics[[#This Row],[FAMILY SIZE]], 0)</f>
        <v>43.75</v>
      </c>
    </row>
    <row r="848" spans="1:11" x14ac:dyDescent="0.2">
      <c r="A848">
        <v>14550429</v>
      </c>
      <c r="B848">
        <v>3121988</v>
      </c>
      <c r="C848">
        <v>4</v>
      </c>
      <c r="D848">
        <v>1</v>
      </c>
      <c r="E848">
        <v>1</v>
      </c>
      <c r="F848">
        <v>5</v>
      </c>
      <c r="G848">
        <v>5</v>
      </c>
      <c r="H848" t="str">
        <f>IF(Demographics[[#This Row],[DOB]]&gt;10000000, TEXT(Demographics[[#This Row],[DOB]],0),CONCATENATE("0",TEXT(Demographics[[#This Row],[DOB]],0)))</f>
        <v>03121988</v>
      </c>
      <c r="I848" s="4">
        <f ca="1">IFERROR((VALUE(TODAY()-DATE(RIGHT(Demographics[[#This Row],[DOB - Fixed]],4),MID(Demographics[[#This Row],[DOB - Fixed]],3,2),LEFT(Demographics[[#This Row],[DOB - Fixed]],2))))/365,0)</f>
        <v>34.786301369863011</v>
      </c>
      <c r="J848">
        <f>VLOOKUP(Demographics[[#This Row],[INCOME LEVEL]],Income[],4,FALSE)</f>
        <v>175</v>
      </c>
      <c r="K848">
        <f>IFERROR(Demographics[[#This Row],[Total monthly income]]/Demographics[[#This Row],[FAMILY SIZE]], 0)</f>
        <v>43.75</v>
      </c>
    </row>
    <row r="849" spans="1:11" x14ac:dyDescent="0.2">
      <c r="A849">
        <v>1198161</v>
      </c>
      <c r="B849">
        <v>3121988</v>
      </c>
      <c r="C849">
        <v>5</v>
      </c>
      <c r="D849">
        <v>2</v>
      </c>
      <c r="E849">
        <v>1</v>
      </c>
      <c r="F849">
        <v>4</v>
      </c>
      <c r="G849">
        <v>3</v>
      </c>
      <c r="H849" t="str">
        <f>IF(Demographics[[#This Row],[DOB]]&gt;10000000, TEXT(Demographics[[#This Row],[DOB]],0),CONCATENATE("0",TEXT(Demographics[[#This Row],[DOB]],0)))</f>
        <v>03121988</v>
      </c>
      <c r="I849" s="4">
        <f ca="1">IFERROR((VALUE(TODAY()-DATE(RIGHT(Demographics[[#This Row],[DOB - Fixed]],4),MID(Demographics[[#This Row],[DOB - Fixed]],3,2),LEFT(Demographics[[#This Row],[DOB - Fixed]],2))))/365,0)</f>
        <v>34.786301369863011</v>
      </c>
      <c r="J849">
        <f>VLOOKUP(Demographics[[#This Row],[INCOME LEVEL]],Income[],4,FALSE)</f>
        <v>175</v>
      </c>
      <c r="K849">
        <f>IFERROR(Demographics[[#This Row],[Total monthly income]]/Demographics[[#This Row],[FAMILY SIZE]], 0)</f>
        <v>35</v>
      </c>
    </row>
    <row r="850" spans="1:11" x14ac:dyDescent="0.2">
      <c r="A850">
        <v>2800967</v>
      </c>
      <c r="B850">
        <v>21111988</v>
      </c>
      <c r="C850">
        <v>3</v>
      </c>
      <c r="D850">
        <v>2</v>
      </c>
      <c r="E850">
        <v>1</v>
      </c>
      <c r="F850">
        <v>0</v>
      </c>
      <c r="G850">
        <v>9</v>
      </c>
      <c r="H850" t="str">
        <f>IF(Demographics[[#This Row],[DOB]]&gt;10000000, TEXT(Demographics[[#This Row],[DOB]],0),CONCATENATE("0",TEXT(Demographics[[#This Row],[DOB]],0)))</f>
        <v>21111988</v>
      </c>
      <c r="I850" s="4">
        <f ca="1">IFERROR((VALUE(TODAY()-DATE(RIGHT(Demographics[[#This Row],[DOB - Fixed]],4),MID(Demographics[[#This Row],[DOB - Fixed]],3,2),LEFT(Demographics[[#This Row],[DOB - Fixed]],2))))/365,0)</f>
        <v>34.819178082191783</v>
      </c>
      <c r="J850">
        <f>VLOOKUP(Demographics[[#This Row],[INCOME LEVEL]],Income[],4,FALSE)</f>
        <v>175</v>
      </c>
      <c r="K850">
        <f>IFERROR(Demographics[[#This Row],[Total monthly income]]/Demographics[[#This Row],[FAMILY SIZE]], 0)</f>
        <v>58.333333333333336</v>
      </c>
    </row>
    <row r="851" spans="1:11" x14ac:dyDescent="0.2">
      <c r="A851">
        <v>23527554</v>
      </c>
      <c r="B851">
        <v>5121988</v>
      </c>
      <c r="C851">
        <v>3</v>
      </c>
      <c r="D851">
        <v>1</v>
      </c>
      <c r="E851">
        <v>1</v>
      </c>
      <c r="F851">
        <v>5</v>
      </c>
      <c r="G851">
        <v>5</v>
      </c>
      <c r="H851" t="str">
        <f>IF(Demographics[[#This Row],[DOB]]&gt;10000000, TEXT(Demographics[[#This Row],[DOB]],0),CONCATENATE("0",TEXT(Demographics[[#This Row],[DOB]],0)))</f>
        <v>05121988</v>
      </c>
      <c r="I851" s="4">
        <f ca="1">IFERROR((VALUE(TODAY()-DATE(RIGHT(Demographics[[#This Row],[DOB - Fixed]],4),MID(Demographics[[#This Row],[DOB - Fixed]],3,2),LEFT(Demographics[[#This Row],[DOB - Fixed]],2))))/365,0)</f>
        <v>34.780821917808218</v>
      </c>
      <c r="J851">
        <f>VLOOKUP(Demographics[[#This Row],[INCOME LEVEL]],Income[],4,FALSE)</f>
        <v>175</v>
      </c>
      <c r="K851">
        <f>IFERROR(Demographics[[#This Row],[Total monthly income]]/Demographics[[#This Row],[FAMILY SIZE]], 0)</f>
        <v>58.333333333333336</v>
      </c>
    </row>
    <row r="852" spans="1:11" x14ac:dyDescent="0.2">
      <c r="A852">
        <v>14751867</v>
      </c>
      <c r="B852">
        <v>5121988</v>
      </c>
      <c r="C852">
        <v>4</v>
      </c>
      <c r="D852">
        <v>1</v>
      </c>
      <c r="E852">
        <v>1</v>
      </c>
      <c r="F852">
        <v>2</v>
      </c>
      <c r="G852">
        <v>2</v>
      </c>
      <c r="H852" t="str">
        <f>IF(Demographics[[#This Row],[DOB]]&gt;10000000, TEXT(Demographics[[#This Row],[DOB]],0),CONCATENATE("0",TEXT(Demographics[[#This Row],[DOB]],0)))</f>
        <v>05121988</v>
      </c>
      <c r="I852" s="4">
        <f ca="1">IFERROR((VALUE(TODAY()-DATE(RIGHT(Demographics[[#This Row],[DOB - Fixed]],4),MID(Demographics[[#This Row],[DOB - Fixed]],3,2),LEFT(Demographics[[#This Row],[DOB - Fixed]],2))))/365,0)</f>
        <v>34.780821917808218</v>
      </c>
      <c r="J852">
        <f>VLOOKUP(Demographics[[#This Row],[INCOME LEVEL]],Income[],4,FALSE)</f>
        <v>175</v>
      </c>
      <c r="K852">
        <f>IFERROR(Demographics[[#This Row],[Total monthly income]]/Demographics[[#This Row],[FAMILY SIZE]], 0)</f>
        <v>43.75</v>
      </c>
    </row>
    <row r="853" spans="1:11" x14ac:dyDescent="0.2">
      <c r="A853">
        <v>12615919</v>
      </c>
      <c r="B853">
        <v>13121988</v>
      </c>
      <c r="C853">
        <v>5</v>
      </c>
      <c r="D853">
        <v>1</v>
      </c>
      <c r="E853">
        <v>1</v>
      </c>
      <c r="F853">
        <v>3</v>
      </c>
      <c r="G853">
        <v>3</v>
      </c>
      <c r="H853" t="str">
        <f>IF(Demographics[[#This Row],[DOB]]&gt;10000000, TEXT(Demographics[[#This Row],[DOB]],0),CONCATENATE("0",TEXT(Demographics[[#This Row],[DOB]],0)))</f>
        <v>13121988</v>
      </c>
      <c r="I853" s="4">
        <f ca="1">IFERROR((VALUE(TODAY()-DATE(RIGHT(Demographics[[#This Row],[DOB - Fixed]],4),MID(Demographics[[#This Row],[DOB - Fixed]],3,2),LEFT(Demographics[[#This Row],[DOB - Fixed]],2))))/365,0)</f>
        <v>34.758904109589039</v>
      </c>
      <c r="J853">
        <f>VLOOKUP(Demographics[[#This Row],[INCOME LEVEL]],Income[],4,FALSE)</f>
        <v>175</v>
      </c>
      <c r="K853">
        <f>IFERROR(Demographics[[#This Row],[Total monthly income]]/Demographics[[#This Row],[FAMILY SIZE]], 0)</f>
        <v>35</v>
      </c>
    </row>
    <row r="854" spans="1:11" x14ac:dyDescent="0.2">
      <c r="A854">
        <v>8776775</v>
      </c>
      <c r="B854">
        <v>26121988</v>
      </c>
      <c r="C854">
        <v>6</v>
      </c>
      <c r="D854">
        <v>2</v>
      </c>
      <c r="E854">
        <v>2</v>
      </c>
      <c r="F854">
        <v>5</v>
      </c>
      <c r="G854">
        <v>5</v>
      </c>
      <c r="H854" t="str">
        <f>IF(Demographics[[#This Row],[DOB]]&gt;10000000, TEXT(Demographics[[#This Row],[DOB]],0),CONCATENATE("0",TEXT(Demographics[[#This Row],[DOB]],0)))</f>
        <v>26121988</v>
      </c>
      <c r="I854" s="4">
        <f ca="1">IFERROR((VALUE(TODAY()-DATE(RIGHT(Demographics[[#This Row],[DOB - Fixed]],4),MID(Demographics[[#This Row],[DOB - Fixed]],3,2),LEFT(Demographics[[#This Row],[DOB - Fixed]],2))))/365,0)</f>
        <v>34.723287671232875</v>
      </c>
      <c r="J854">
        <f>VLOOKUP(Demographics[[#This Row],[INCOME LEVEL]],Income[],4,FALSE)</f>
        <v>697.5</v>
      </c>
      <c r="K854">
        <f>IFERROR(Demographics[[#This Row],[Total monthly income]]/Demographics[[#This Row],[FAMILY SIZE]], 0)</f>
        <v>116.25</v>
      </c>
    </row>
    <row r="855" spans="1:11" x14ac:dyDescent="0.2">
      <c r="A855">
        <v>13583136</v>
      </c>
      <c r="B855">
        <v>26121988</v>
      </c>
      <c r="C855">
        <v>3</v>
      </c>
      <c r="D855">
        <v>1</v>
      </c>
      <c r="E855">
        <v>1</v>
      </c>
      <c r="F855">
        <v>2</v>
      </c>
      <c r="G855">
        <v>5</v>
      </c>
      <c r="H855" t="str">
        <f>IF(Demographics[[#This Row],[DOB]]&gt;10000000, TEXT(Demographics[[#This Row],[DOB]],0),CONCATENATE("0",TEXT(Demographics[[#This Row],[DOB]],0)))</f>
        <v>26121988</v>
      </c>
      <c r="I855" s="4">
        <f ca="1">IFERROR((VALUE(TODAY()-DATE(RIGHT(Demographics[[#This Row],[DOB - Fixed]],4),MID(Demographics[[#This Row],[DOB - Fixed]],3,2),LEFT(Demographics[[#This Row],[DOB - Fixed]],2))))/365,0)</f>
        <v>34.723287671232875</v>
      </c>
      <c r="J855">
        <f>VLOOKUP(Demographics[[#This Row],[INCOME LEVEL]],Income[],4,FALSE)</f>
        <v>175</v>
      </c>
      <c r="K855">
        <f>IFERROR(Demographics[[#This Row],[Total monthly income]]/Demographics[[#This Row],[FAMILY SIZE]], 0)</f>
        <v>58.333333333333336</v>
      </c>
    </row>
    <row r="856" spans="1:11" x14ac:dyDescent="0.2">
      <c r="A856">
        <v>6207812</v>
      </c>
      <c r="B856">
        <v>28121988</v>
      </c>
      <c r="C856">
        <v>3</v>
      </c>
      <c r="D856">
        <v>2</v>
      </c>
      <c r="E856">
        <v>2</v>
      </c>
      <c r="F856">
        <v>4</v>
      </c>
      <c r="G856">
        <v>9</v>
      </c>
      <c r="H856" t="str">
        <f>IF(Demographics[[#This Row],[DOB]]&gt;10000000, TEXT(Demographics[[#This Row],[DOB]],0),CONCATENATE("0",TEXT(Demographics[[#This Row],[DOB]],0)))</f>
        <v>28121988</v>
      </c>
      <c r="I856" s="4">
        <f ca="1">IFERROR((VALUE(TODAY()-DATE(RIGHT(Demographics[[#This Row],[DOB - Fixed]],4),MID(Demographics[[#This Row],[DOB - Fixed]],3,2),LEFT(Demographics[[#This Row],[DOB - Fixed]],2))))/365,0)</f>
        <v>34.717808219178082</v>
      </c>
      <c r="J856">
        <f>VLOOKUP(Demographics[[#This Row],[INCOME LEVEL]],Income[],4,FALSE)</f>
        <v>697.5</v>
      </c>
      <c r="K856">
        <f>IFERROR(Demographics[[#This Row],[Total monthly income]]/Demographics[[#This Row],[FAMILY SIZE]], 0)</f>
        <v>232.5</v>
      </c>
    </row>
    <row r="857" spans="1:11" x14ac:dyDescent="0.2">
      <c r="A857">
        <v>4071424</v>
      </c>
      <c r="B857">
        <v>30121988</v>
      </c>
      <c r="C857">
        <v>5</v>
      </c>
      <c r="D857">
        <v>1</v>
      </c>
      <c r="E857">
        <v>1</v>
      </c>
      <c r="F857">
        <v>4</v>
      </c>
      <c r="G857">
        <v>2</v>
      </c>
      <c r="H857" t="str">
        <f>IF(Demographics[[#This Row],[DOB]]&gt;10000000, TEXT(Demographics[[#This Row],[DOB]],0),CONCATENATE("0",TEXT(Demographics[[#This Row],[DOB]],0)))</f>
        <v>30121988</v>
      </c>
      <c r="I857" s="4">
        <f ca="1">IFERROR((VALUE(TODAY()-DATE(RIGHT(Demographics[[#This Row],[DOB - Fixed]],4),MID(Demographics[[#This Row],[DOB - Fixed]],3,2),LEFT(Demographics[[#This Row],[DOB - Fixed]],2))))/365,0)</f>
        <v>34.712328767123289</v>
      </c>
      <c r="J857">
        <f>VLOOKUP(Demographics[[#This Row],[INCOME LEVEL]],Income[],4,FALSE)</f>
        <v>175</v>
      </c>
      <c r="K857">
        <f>IFERROR(Demographics[[#This Row],[Total monthly income]]/Demographics[[#This Row],[FAMILY SIZE]], 0)</f>
        <v>35</v>
      </c>
    </row>
    <row r="858" spans="1:11" x14ac:dyDescent="0.2">
      <c r="A858">
        <v>24061501</v>
      </c>
      <c r="B858">
        <v>2011989</v>
      </c>
      <c r="C858">
        <v>0</v>
      </c>
      <c r="D858">
        <v>0</v>
      </c>
      <c r="E858">
        <v>1</v>
      </c>
      <c r="F858">
        <v>5</v>
      </c>
      <c r="G858">
        <v>5</v>
      </c>
      <c r="H858" t="str">
        <f>IF(Demographics[[#This Row],[DOB]]&gt;10000000, TEXT(Demographics[[#This Row],[DOB]],0),CONCATENATE("0",TEXT(Demographics[[#This Row],[DOB]],0)))</f>
        <v>02011989</v>
      </c>
      <c r="I858" s="4">
        <f ca="1">IFERROR((VALUE(TODAY()-DATE(RIGHT(Demographics[[#This Row],[DOB - Fixed]],4),MID(Demographics[[#This Row],[DOB - Fixed]],3,2),LEFT(Demographics[[#This Row],[DOB - Fixed]],2))))/365,0)</f>
        <v>34.704109589041096</v>
      </c>
      <c r="J858">
        <f>VLOOKUP(Demographics[[#This Row],[INCOME LEVEL]],Income[],4,FALSE)</f>
        <v>175</v>
      </c>
      <c r="K858">
        <f>IFERROR(Demographics[[#This Row],[Total monthly income]]/Demographics[[#This Row],[FAMILY SIZE]], 0)</f>
        <v>0</v>
      </c>
    </row>
    <row r="859" spans="1:11" x14ac:dyDescent="0.2">
      <c r="A859">
        <v>7275188</v>
      </c>
      <c r="B859">
        <v>3011989</v>
      </c>
      <c r="C859">
        <v>2</v>
      </c>
      <c r="D859">
        <v>1</v>
      </c>
      <c r="E859">
        <v>1</v>
      </c>
      <c r="F859">
        <v>0</v>
      </c>
      <c r="G859">
        <v>2</v>
      </c>
      <c r="H859" t="str">
        <f>IF(Demographics[[#This Row],[DOB]]&gt;10000000, TEXT(Demographics[[#This Row],[DOB]],0),CONCATENATE("0",TEXT(Demographics[[#This Row],[DOB]],0)))</f>
        <v>03011989</v>
      </c>
      <c r="I859" s="4">
        <f ca="1">IFERROR((VALUE(TODAY()-DATE(RIGHT(Demographics[[#This Row],[DOB - Fixed]],4),MID(Demographics[[#This Row],[DOB - Fixed]],3,2),LEFT(Demographics[[#This Row],[DOB - Fixed]],2))))/365,0)</f>
        <v>34.701369863013696</v>
      </c>
      <c r="J859">
        <f>VLOOKUP(Demographics[[#This Row],[INCOME LEVEL]],Income[],4,FALSE)</f>
        <v>175</v>
      </c>
      <c r="K859">
        <f>IFERROR(Demographics[[#This Row],[Total monthly income]]/Demographics[[#This Row],[FAMILY SIZE]], 0)</f>
        <v>87.5</v>
      </c>
    </row>
    <row r="860" spans="1:11" x14ac:dyDescent="0.2">
      <c r="A860">
        <v>3970506</v>
      </c>
      <c r="B860">
        <v>3011989</v>
      </c>
      <c r="C860">
        <v>4</v>
      </c>
      <c r="D860">
        <v>1</v>
      </c>
      <c r="E860">
        <v>2</v>
      </c>
      <c r="F860">
        <v>5</v>
      </c>
      <c r="G860">
        <v>5</v>
      </c>
      <c r="H860" t="str">
        <f>IF(Demographics[[#This Row],[DOB]]&gt;10000000, TEXT(Demographics[[#This Row],[DOB]],0),CONCATENATE("0",TEXT(Demographics[[#This Row],[DOB]],0)))</f>
        <v>03011989</v>
      </c>
      <c r="I860" s="4">
        <f ca="1">IFERROR((VALUE(TODAY()-DATE(RIGHT(Demographics[[#This Row],[DOB - Fixed]],4),MID(Demographics[[#This Row],[DOB - Fixed]],3,2),LEFT(Demographics[[#This Row],[DOB - Fixed]],2))))/365,0)</f>
        <v>34.701369863013696</v>
      </c>
      <c r="J860">
        <f>VLOOKUP(Demographics[[#This Row],[INCOME LEVEL]],Income[],4,FALSE)</f>
        <v>697.5</v>
      </c>
      <c r="K860">
        <f>IFERROR(Demographics[[#This Row],[Total monthly income]]/Demographics[[#This Row],[FAMILY SIZE]], 0)</f>
        <v>174.375</v>
      </c>
    </row>
    <row r="861" spans="1:11" x14ac:dyDescent="0.2">
      <c r="A861">
        <v>20959285</v>
      </c>
      <c r="B861">
        <v>25121988</v>
      </c>
      <c r="C861">
        <v>5</v>
      </c>
      <c r="D861">
        <v>1</v>
      </c>
      <c r="E861">
        <v>1</v>
      </c>
      <c r="F861">
        <v>2</v>
      </c>
      <c r="G861">
        <v>5</v>
      </c>
      <c r="H861" t="str">
        <f>IF(Demographics[[#This Row],[DOB]]&gt;10000000, TEXT(Demographics[[#This Row],[DOB]],0),CONCATENATE("0",TEXT(Demographics[[#This Row],[DOB]],0)))</f>
        <v>25121988</v>
      </c>
      <c r="I861" s="4">
        <f ca="1">IFERROR((VALUE(TODAY()-DATE(RIGHT(Demographics[[#This Row],[DOB - Fixed]],4),MID(Demographics[[#This Row],[DOB - Fixed]],3,2),LEFT(Demographics[[#This Row],[DOB - Fixed]],2))))/365,0)</f>
        <v>34.726027397260275</v>
      </c>
      <c r="J861">
        <f>VLOOKUP(Demographics[[#This Row],[INCOME LEVEL]],Income[],4,FALSE)</f>
        <v>175</v>
      </c>
      <c r="K861">
        <f>IFERROR(Demographics[[#This Row],[Total monthly income]]/Demographics[[#This Row],[FAMILY SIZE]], 0)</f>
        <v>35</v>
      </c>
    </row>
    <row r="862" spans="1:11" x14ac:dyDescent="0.2">
      <c r="A862">
        <v>3003510</v>
      </c>
      <c r="B862">
        <v>25081987</v>
      </c>
      <c r="C862">
        <v>5</v>
      </c>
      <c r="D862">
        <v>1</v>
      </c>
      <c r="E862">
        <v>1</v>
      </c>
      <c r="F862">
        <v>4</v>
      </c>
      <c r="G862">
        <v>0</v>
      </c>
      <c r="H862" t="str">
        <f>IF(Demographics[[#This Row],[DOB]]&gt;10000000, TEXT(Demographics[[#This Row],[DOB]],0),CONCATENATE("0",TEXT(Demographics[[#This Row],[DOB]],0)))</f>
        <v>25081987</v>
      </c>
      <c r="I862" s="4">
        <f ca="1">IFERROR((VALUE(TODAY()-DATE(RIGHT(Demographics[[#This Row],[DOB - Fixed]],4),MID(Demographics[[#This Row],[DOB - Fixed]],3,2),LEFT(Demographics[[#This Row],[DOB - Fixed]],2))))/365,0)</f>
        <v>36.063013698630137</v>
      </c>
      <c r="J862">
        <f>VLOOKUP(Demographics[[#This Row],[INCOME LEVEL]],Income[],4,FALSE)</f>
        <v>175</v>
      </c>
      <c r="K862">
        <f>IFERROR(Demographics[[#This Row],[Total monthly income]]/Demographics[[#This Row],[FAMILY SIZE]], 0)</f>
        <v>35</v>
      </c>
    </row>
    <row r="863" spans="1:11" x14ac:dyDescent="0.2">
      <c r="A863">
        <v>8877352</v>
      </c>
      <c r="B863">
        <v>25061988</v>
      </c>
      <c r="C863">
        <v>3</v>
      </c>
      <c r="D863">
        <v>0</v>
      </c>
      <c r="E863">
        <v>1</v>
      </c>
      <c r="F863">
        <v>0</v>
      </c>
      <c r="G863">
        <v>7</v>
      </c>
      <c r="H863" t="str">
        <f>IF(Demographics[[#This Row],[DOB]]&gt;10000000, TEXT(Demographics[[#This Row],[DOB]],0),CONCATENATE("0",TEXT(Demographics[[#This Row],[DOB]],0)))</f>
        <v>25061988</v>
      </c>
      <c r="I863" s="4">
        <f ca="1">IFERROR((VALUE(TODAY()-DATE(RIGHT(Demographics[[#This Row],[DOB - Fixed]],4),MID(Demographics[[#This Row],[DOB - Fixed]],3,2),LEFT(Demographics[[#This Row],[DOB - Fixed]],2))))/365,0)</f>
        <v>35.227397260273975</v>
      </c>
      <c r="J863">
        <f>VLOOKUP(Demographics[[#This Row],[INCOME LEVEL]],Income[],4,FALSE)</f>
        <v>175</v>
      </c>
      <c r="K863">
        <f>IFERROR(Demographics[[#This Row],[Total monthly income]]/Demographics[[#This Row],[FAMILY SIZE]], 0)</f>
        <v>58.333333333333336</v>
      </c>
    </row>
    <row r="864" spans="1:11" x14ac:dyDescent="0.2">
      <c r="A864">
        <v>15718862</v>
      </c>
      <c r="B864">
        <v>13121988</v>
      </c>
      <c r="C864">
        <v>6</v>
      </c>
      <c r="D864">
        <v>1</v>
      </c>
      <c r="E864">
        <v>2</v>
      </c>
      <c r="F864">
        <v>9</v>
      </c>
      <c r="G864">
        <v>5</v>
      </c>
      <c r="H864" t="str">
        <f>IF(Demographics[[#This Row],[DOB]]&gt;10000000, TEXT(Demographics[[#This Row],[DOB]],0),CONCATENATE("0",TEXT(Demographics[[#This Row],[DOB]],0)))</f>
        <v>13121988</v>
      </c>
      <c r="I864" s="4">
        <f ca="1">IFERROR((VALUE(TODAY()-DATE(RIGHT(Demographics[[#This Row],[DOB - Fixed]],4),MID(Demographics[[#This Row],[DOB - Fixed]],3,2),LEFT(Demographics[[#This Row],[DOB - Fixed]],2))))/365,0)</f>
        <v>34.758904109589039</v>
      </c>
      <c r="J864">
        <f>VLOOKUP(Demographics[[#This Row],[INCOME LEVEL]],Income[],4,FALSE)</f>
        <v>697.5</v>
      </c>
      <c r="K864">
        <f>IFERROR(Demographics[[#This Row],[Total monthly income]]/Demographics[[#This Row],[FAMILY SIZE]], 0)</f>
        <v>116.25</v>
      </c>
    </row>
    <row r="865" spans="1:11" x14ac:dyDescent="0.2">
      <c r="A865">
        <v>10378755</v>
      </c>
      <c r="B865">
        <v>3011989</v>
      </c>
      <c r="C865">
        <v>2</v>
      </c>
      <c r="D865">
        <v>1</v>
      </c>
      <c r="E865">
        <v>1</v>
      </c>
      <c r="F865">
        <v>3</v>
      </c>
      <c r="G865">
        <v>0</v>
      </c>
      <c r="H865" t="str">
        <f>IF(Demographics[[#This Row],[DOB]]&gt;10000000, TEXT(Demographics[[#This Row],[DOB]],0),CONCATENATE("0",TEXT(Demographics[[#This Row],[DOB]],0)))</f>
        <v>03011989</v>
      </c>
      <c r="I865" s="4">
        <f ca="1">IFERROR((VALUE(TODAY()-DATE(RIGHT(Demographics[[#This Row],[DOB - Fixed]],4),MID(Demographics[[#This Row],[DOB - Fixed]],3,2),LEFT(Demographics[[#This Row],[DOB - Fixed]],2))))/365,0)</f>
        <v>34.701369863013696</v>
      </c>
      <c r="J865">
        <f>VLOOKUP(Demographics[[#This Row],[INCOME LEVEL]],Income[],4,FALSE)</f>
        <v>175</v>
      </c>
      <c r="K865">
        <f>IFERROR(Demographics[[#This Row],[Total monthly income]]/Demographics[[#This Row],[FAMILY SIZE]], 0)</f>
        <v>87.5</v>
      </c>
    </row>
    <row r="866" spans="1:11" x14ac:dyDescent="0.2">
      <c r="A866">
        <v>8141441</v>
      </c>
      <c r="B866">
        <v>5011989</v>
      </c>
      <c r="C866">
        <v>5</v>
      </c>
      <c r="D866">
        <v>2</v>
      </c>
      <c r="E866">
        <v>2</v>
      </c>
      <c r="F866">
        <v>5</v>
      </c>
      <c r="G866">
        <v>5</v>
      </c>
      <c r="H866" t="str">
        <f>IF(Demographics[[#This Row],[DOB]]&gt;10000000, TEXT(Demographics[[#This Row],[DOB]],0),CONCATENATE("0",TEXT(Demographics[[#This Row],[DOB]],0)))</f>
        <v>05011989</v>
      </c>
      <c r="I866" s="4">
        <f ca="1">IFERROR((VALUE(TODAY()-DATE(RIGHT(Demographics[[#This Row],[DOB - Fixed]],4),MID(Demographics[[#This Row],[DOB - Fixed]],3,2),LEFT(Demographics[[#This Row],[DOB - Fixed]],2))))/365,0)</f>
        <v>34.695890410958903</v>
      </c>
      <c r="J866">
        <f>VLOOKUP(Demographics[[#This Row],[INCOME LEVEL]],Income[],4,FALSE)</f>
        <v>697.5</v>
      </c>
      <c r="K866">
        <f>IFERROR(Demographics[[#This Row],[Total monthly income]]/Demographics[[#This Row],[FAMILY SIZE]], 0)</f>
        <v>139.5</v>
      </c>
    </row>
    <row r="867" spans="1:11" x14ac:dyDescent="0.2">
      <c r="A867">
        <v>12948006</v>
      </c>
      <c r="B867">
        <v>9011989</v>
      </c>
      <c r="C867">
        <v>4</v>
      </c>
      <c r="D867">
        <v>1</v>
      </c>
      <c r="E867">
        <v>1</v>
      </c>
      <c r="F867">
        <v>3</v>
      </c>
      <c r="G867">
        <v>2</v>
      </c>
      <c r="H867" t="str">
        <f>IF(Demographics[[#This Row],[DOB]]&gt;10000000, TEXT(Demographics[[#This Row],[DOB]],0),CONCATENATE("0",TEXT(Demographics[[#This Row],[DOB]],0)))</f>
        <v>09011989</v>
      </c>
      <c r="I867" s="4">
        <f ca="1">IFERROR((VALUE(TODAY()-DATE(RIGHT(Demographics[[#This Row],[DOB - Fixed]],4),MID(Demographics[[#This Row],[DOB - Fixed]],3,2),LEFT(Demographics[[#This Row],[DOB - Fixed]],2))))/365,0)</f>
        <v>34.684931506849317</v>
      </c>
      <c r="J867">
        <f>VLOOKUP(Demographics[[#This Row],[INCOME LEVEL]],Income[],4,FALSE)</f>
        <v>175</v>
      </c>
      <c r="K867">
        <f>IFERROR(Demographics[[#This Row],[Total monthly income]]/Demographics[[#This Row],[FAMILY SIZE]], 0)</f>
        <v>43.75</v>
      </c>
    </row>
    <row r="868" spans="1:11" x14ac:dyDescent="0.2">
      <c r="A868">
        <v>3869206</v>
      </c>
      <c r="B868">
        <v>5011989</v>
      </c>
      <c r="C868">
        <v>5</v>
      </c>
      <c r="D868">
        <v>0</v>
      </c>
      <c r="E868">
        <v>1</v>
      </c>
      <c r="F868">
        <v>3</v>
      </c>
      <c r="G868">
        <v>5</v>
      </c>
      <c r="H868" t="str">
        <f>IF(Demographics[[#This Row],[DOB]]&gt;10000000, TEXT(Demographics[[#This Row],[DOB]],0),CONCATENATE("0",TEXT(Demographics[[#This Row],[DOB]],0)))</f>
        <v>05011989</v>
      </c>
      <c r="I868" s="4">
        <f ca="1">IFERROR((VALUE(TODAY()-DATE(RIGHT(Demographics[[#This Row],[DOB - Fixed]],4),MID(Demographics[[#This Row],[DOB - Fixed]],3,2),LEFT(Demographics[[#This Row],[DOB - Fixed]],2))))/365,0)</f>
        <v>34.695890410958903</v>
      </c>
      <c r="J868">
        <f>VLOOKUP(Demographics[[#This Row],[INCOME LEVEL]],Income[],4,FALSE)</f>
        <v>175</v>
      </c>
      <c r="K868">
        <f>IFERROR(Demographics[[#This Row],[Total monthly income]]/Demographics[[#This Row],[FAMILY SIZE]], 0)</f>
        <v>35</v>
      </c>
    </row>
    <row r="869" spans="1:11" x14ac:dyDescent="0.2">
      <c r="A869">
        <v>1833741</v>
      </c>
      <c r="B869">
        <v>19041988</v>
      </c>
      <c r="C869">
        <v>4</v>
      </c>
      <c r="D869">
        <v>1</v>
      </c>
      <c r="E869">
        <v>1</v>
      </c>
      <c r="F869">
        <v>0</v>
      </c>
      <c r="G869">
        <v>2</v>
      </c>
      <c r="H869" t="str">
        <f>IF(Demographics[[#This Row],[DOB]]&gt;10000000, TEXT(Demographics[[#This Row],[DOB]],0),CONCATENATE("0",TEXT(Demographics[[#This Row],[DOB]],0)))</f>
        <v>19041988</v>
      </c>
      <c r="I869" s="4">
        <f ca="1">IFERROR((VALUE(TODAY()-DATE(RIGHT(Demographics[[#This Row],[DOB - Fixed]],4),MID(Demographics[[#This Row],[DOB - Fixed]],3,2),LEFT(Demographics[[#This Row],[DOB - Fixed]],2))))/365,0)</f>
        <v>35.410958904109592</v>
      </c>
      <c r="J869">
        <f>VLOOKUP(Demographics[[#This Row],[INCOME LEVEL]],Income[],4,FALSE)</f>
        <v>175</v>
      </c>
      <c r="K869">
        <f>IFERROR(Demographics[[#This Row],[Total monthly income]]/Demographics[[#This Row],[FAMILY SIZE]], 0)</f>
        <v>43.75</v>
      </c>
    </row>
    <row r="870" spans="1:11" x14ac:dyDescent="0.2">
      <c r="A870">
        <v>17855433</v>
      </c>
      <c r="B870">
        <v>10011989</v>
      </c>
      <c r="C870">
        <v>3</v>
      </c>
      <c r="D870">
        <v>0</v>
      </c>
      <c r="E870">
        <v>1</v>
      </c>
      <c r="F870">
        <v>0</v>
      </c>
      <c r="G870">
        <v>5</v>
      </c>
      <c r="H870" t="str">
        <f>IF(Demographics[[#This Row],[DOB]]&gt;10000000, TEXT(Demographics[[#This Row],[DOB]],0),CONCATENATE("0",TEXT(Demographics[[#This Row],[DOB]],0)))</f>
        <v>10011989</v>
      </c>
      <c r="I870" s="4">
        <f ca="1">IFERROR((VALUE(TODAY()-DATE(RIGHT(Demographics[[#This Row],[DOB - Fixed]],4),MID(Demographics[[#This Row],[DOB - Fixed]],3,2),LEFT(Demographics[[#This Row],[DOB - Fixed]],2))))/365,0)</f>
        <v>34.682191780821917</v>
      </c>
      <c r="J870">
        <f>VLOOKUP(Demographics[[#This Row],[INCOME LEVEL]],Income[],4,FALSE)</f>
        <v>175</v>
      </c>
      <c r="K870">
        <f>IFERROR(Demographics[[#This Row],[Total monthly income]]/Demographics[[#This Row],[FAMILY SIZE]], 0)</f>
        <v>58.333333333333336</v>
      </c>
    </row>
    <row r="871" spans="1:11" x14ac:dyDescent="0.2">
      <c r="A871">
        <v>23629127</v>
      </c>
      <c r="B871">
        <v>2011989</v>
      </c>
      <c r="C871">
        <v>4</v>
      </c>
      <c r="D871">
        <v>0</v>
      </c>
      <c r="E871">
        <v>1</v>
      </c>
      <c r="F871">
        <v>2</v>
      </c>
      <c r="G871">
        <v>2</v>
      </c>
      <c r="H871" t="str">
        <f>IF(Demographics[[#This Row],[DOB]]&gt;10000000, TEXT(Demographics[[#This Row],[DOB]],0),CONCATENATE("0",TEXT(Demographics[[#This Row],[DOB]],0)))</f>
        <v>02011989</v>
      </c>
      <c r="I871" s="4">
        <f ca="1">IFERROR((VALUE(TODAY()-DATE(RIGHT(Demographics[[#This Row],[DOB - Fixed]],4),MID(Demographics[[#This Row],[DOB - Fixed]],3,2),LEFT(Demographics[[#This Row],[DOB - Fixed]],2))))/365,0)</f>
        <v>34.704109589041096</v>
      </c>
      <c r="J871">
        <f>VLOOKUP(Demographics[[#This Row],[INCOME LEVEL]],Income[],4,FALSE)</f>
        <v>175</v>
      </c>
      <c r="K871">
        <f>IFERROR(Demographics[[#This Row],[Total monthly income]]/Demographics[[#This Row],[FAMILY SIZE]], 0)</f>
        <v>43.75</v>
      </c>
    </row>
    <row r="872" spans="1:11" x14ac:dyDescent="0.2">
      <c r="A872">
        <v>3537779</v>
      </c>
      <c r="B872">
        <v>11011989</v>
      </c>
      <c r="C872">
        <v>3</v>
      </c>
      <c r="D872">
        <v>1</v>
      </c>
      <c r="E872">
        <v>2</v>
      </c>
      <c r="F872">
        <v>5</v>
      </c>
      <c r="G872">
        <v>5</v>
      </c>
      <c r="H872" t="str">
        <f>IF(Demographics[[#This Row],[DOB]]&gt;10000000, TEXT(Demographics[[#This Row],[DOB]],0),CONCATENATE("0",TEXT(Demographics[[#This Row],[DOB]],0)))</f>
        <v>11011989</v>
      </c>
      <c r="I872" s="4">
        <f ca="1">IFERROR((VALUE(TODAY()-DATE(RIGHT(Demographics[[#This Row],[DOB - Fixed]],4),MID(Demographics[[#This Row],[DOB - Fixed]],3,2),LEFT(Demographics[[#This Row],[DOB - Fixed]],2))))/365,0)</f>
        <v>34.679452054794524</v>
      </c>
      <c r="J872">
        <f>VLOOKUP(Demographics[[#This Row],[INCOME LEVEL]],Income[],4,FALSE)</f>
        <v>697.5</v>
      </c>
      <c r="K872">
        <f>IFERROR(Demographics[[#This Row],[Total monthly income]]/Demographics[[#This Row],[FAMILY SIZE]], 0)</f>
        <v>232.5</v>
      </c>
    </row>
    <row r="873" spans="1:11" x14ac:dyDescent="0.2">
      <c r="A873">
        <v>3989596</v>
      </c>
      <c r="B873">
        <v>4011988</v>
      </c>
      <c r="C873">
        <v>0</v>
      </c>
      <c r="D873">
        <v>0</v>
      </c>
      <c r="E873">
        <v>2</v>
      </c>
      <c r="F873">
        <v>0</v>
      </c>
      <c r="G873">
        <v>0</v>
      </c>
      <c r="H873" t="str">
        <f>IF(Demographics[[#This Row],[DOB]]&gt;10000000, TEXT(Demographics[[#This Row],[DOB]],0),CONCATENATE("0",TEXT(Demographics[[#This Row],[DOB]],0)))</f>
        <v>04011988</v>
      </c>
      <c r="I873" s="4">
        <f ca="1">IFERROR((VALUE(TODAY()-DATE(RIGHT(Demographics[[#This Row],[DOB - Fixed]],4),MID(Demographics[[#This Row],[DOB - Fixed]],3,2),LEFT(Demographics[[#This Row],[DOB - Fixed]],2))))/365,0)</f>
        <v>35.701369863013696</v>
      </c>
      <c r="J873">
        <f>VLOOKUP(Demographics[[#This Row],[INCOME LEVEL]],Income[],4,FALSE)</f>
        <v>697.5</v>
      </c>
      <c r="K873">
        <f>IFERROR(Demographics[[#This Row],[Total monthly income]]/Demographics[[#This Row],[FAMILY SIZE]], 0)</f>
        <v>0</v>
      </c>
    </row>
    <row r="874" spans="1:11" x14ac:dyDescent="0.2">
      <c r="A874">
        <v>14218310</v>
      </c>
      <c r="B874">
        <v>6071988</v>
      </c>
      <c r="C874">
        <v>5</v>
      </c>
      <c r="D874">
        <v>1</v>
      </c>
      <c r="E874">
        <v>1</v>
      </c>
      <c r="F874">
        <v>4</v>
      </c>
      <c r="G874">
        <v>2</v>
      </c>
      <c r="H874" t="str">
        <f>IF(Demographics[[#This Row],[DOB]]&gt;10000000, TEXT(Demographics[[#This Row],[DOB]],0),CONCATENATE("0",TEXT(Demographics[[#This Row],[DOB]],0)))</f>
        <v>06071988</v>
      </c>
      <c r="I874" s="4">
        <f ca="1">IFERROR((VALUE(TODAY()-DATE(RIGHT(Demographics[[#This Row],[DOB - Fixed]],4),MID(Demographics[[#This Row],[DOB - Fixed]],3,2),LEFT(Demographics[[#This Row],[DOB - Fixed]],2))))/365,0)</f>
        <v>35.197260273972603</v>
      </c>
      <c r="J874">
        <f>VLOOKUP(Demographics[[#This Row],[INCOME LEVEL]],Income[],4,FALSE)</f>
        <v>175</v>
      </c>
      <c r="K874">
        <f>IFERROR(Demographics[[#This Row],[Total monthly income]]/Demographics[[#This Row],[FAMILY SIZE]], 0)</f>
        <v>35</v>
      </c>
    </row>
    <row r="875" spans="1:11" x14ac:dyDescent="0.2">
      <c r="A875">
        <v>3158145</v>
      </c>
      <c r="B875">
        <v>29111987</v>
      </c>
      <c r="C875">
        <v>4</v>
      </c>
      <c r="D875">
        <v>2</v>
      </c>
      <c r="E875">
        <v>4</v>
      </c>
      <c r="F875">
        <v>9</v>
      </c>
      <c r="G875">
        <v>9</v>
      </c>
      <c r="H875" t="str">
        <f>IF(Demographics[[#This Row],[DOB]]&gt;10000000, TEXT(Demographics[[#This Row],[DOB]],0),CONCATENATE("0",TEXT(Demographics[[#This Row],[DOB]],0)))</f>
        <v>29111987</v>
      </c>
      <c r="I875" s="4">
        <f ca="1">IFERROR((VALUE(TODAY()-DATE(RIGHT(Demographics[[#This Row],[DOB - Fixed]],4),MID(Demographics[[#This Row],[DOB - Fixed]],3,2),LEFT(Demographics[[#This Row],[DOB - Fixed]],2))))/365,0)</f>
        <v>35.799999999999997</v>
      </c>
      <c r="J875">
        <f>VLOOKUP(Demographics[[#This Row],[INCOME LEVEL]],Income[],4,FALSE)</f>
        <v>2100</v>
      </c>
      <c r="K875">
        <f>IFERROR(Demographics[[#This Row],[Total monthly income]]/Demographics[[#This Row],[FAMILY SIZE]], 0)</f>
        <v>525</v>
      </c>
    </row>
    <row r="876" spans="1:11" x14ac:dyDescent="0.2">
      <c r="A876">
        <v>24238446</v>
      </c>
      <c r="B876">
        <v>18121987</v>
      </c>
      <c r="C876">
        <v>3</v>
      </c>
      <c r="D876">
        <v>0</v>
      </c>
      <c r="E876">
        <v>1</v>
      </c>
      <c r="F876">
        <v>3</v>
      </c>
      <c r="G876">
        <v>3</v>
      </c>
      <c r="H876" t="str">
        <f>IF(Demographics[[#This Row],[DOB]]&gt;10000000, TEXT(Demographics[[#This Row],[DOB]],0),CONCATENATE("0",TEXT(Demographics[[#This Row],[DOB]],0)))</f>
        <v>18121987</v>
      </c>
      <c r="I876" s="4">
        <f ca="1">IFERROR((VALUE(TODAY()-DATE(RIGHT(Demographics[[#This Row],[DOB - Fixed]],4),MID(Demographics[[#This Row],[DOB - Fixed]],3,2),LEFT(Demographics[[#This Row],[DOB - Fixed]],2))))/365,0)</f>
        <v>35.747945205479454</v>
      </c>
      <c r="J876">
        <f>VLOOKUP(Demographics[[#This Row],[INCOME LEVEL]],Income[],4,FALSE)</f>
        <v>175</v>
      </c>
      <c r="K876">
        <f>IFERROR(Demographics[[#This Row],[Total monthly income]]/Demographics[[#This Row],[FAMILY SIZE]], 0)</f>
        <v>58.333333333333336</v>
      </c>
    </row>
    <row r="877" spans="1:11" x14ac:dyDescent="0.2">
      <c r="A877">
        <v>18828347</v>
      </c>
      <c r="B877">
        <v>26021988</v>
      </c>
      <c r="C877">
        <v>6</v>
      </c>
      <c r="D877">
        <v>1</v>
      </c>
      <c r="E877">
        <v>1</v>
      </c>
      <c r="F877">
        <v>4</v>
      </c>
      <c r="G877">
        <v>2</v>
      </c>
      <c r="H877" t="str">
        <f>IF(Demographics[[#This Row],[DOB]]&gt;10000000, TEXT(Demographics[[#This Row],[DOB]],0),CONCATENATE("0",TEXT(Demographics[[#This Row],[DOB]],0)))</f>
        <v>26021988</v>
      </c>
      <c r="I877" s="4">
        <f ca="1">IFERROR((VALUE(TODAY()-DATE(RIGHT(Demographics[[#This Row],[DOB - Fixed]],4),MID(Demographics[[#This Row],[DOB - Fixed]],3,2),LEFT(Demographics[[#This Row],[DOB - Fixed]],2))))/365,0)</f>
        <v>35.556164383561644</v>
      </c>
      <c r="J877">
        <f>VLOOKUP(Demographics[[#This Row],[INCOME LEVEL]],Income[],4,FALSE)</f>
        <v>175</v>
      </c>
      <c r="K877">
        <f>IFERROR(Demographics[[#This Row],[Total monthly income]]/Demographics[[#This Row],[FAMILY SIZE]], 0)</f>
        <v>29.166666666666668</v>
      </c>
    </row>
    <row r="878" spans="1:11" x14ac:dyDescent="0.2">
      <c r="A878">
        <v>4594711</v>
      </c>
      <c r="B878">
        <v>30071987</v>
      </c>
      <c r="C878">
        <v>6</v>
      </c>
      <c r="D878">
        <v>1</v>
      </c>
      <c r="E878">
        <v>2</v>
      </c>
      <c r="F878">
        <v>5</v>
      </c>
      <c r="G878">
        <v>5</v>
      </c>
      <c r="H878" t="str">
        <f>IF(Demographics[[#This Row],[DOB]]&gt;10000000, TEXT(Demographics[[#This Row],[DOB]],0),CONCATENATE("0",TEXT(Demographics[[#This Row],[DOB]],0)))</f>
        <v>30071987</v>
      </c>
      <c r="I878" s="4">
        <f ca="1">IFERROR((VALUE(TODAY()-DATE(RIGHT(Demographics[[#This Row],[DOB - Fixed]],4),MID(Demographics[[#This Row],[DOB - Fixed]],3,2),LEFT(Demographics[[#This Row],[DOB - Fixed]],2))))/365,0)</f>
        <v>36.134246575342466</v>
      </c>
      <c r="J878">
        <f>VLOOKUP(Demographics[[#This Row],[INCOME LEVEL]],Income[],4,FALSE)</f>
        <v>697.5</v>
      </c>
      <c r="K878">
        <f>IFERROR(Demographics[[#This Row],[Total monthly income]]/Demographics[[#This Row],[FAMILY SIZE]], 0)</f>
        <v>116.25</v>
      </c>
    </row>
    <row r="879" spans="1:11" x14ac:dyDescent="0.2">
      <c r="A879">
        <v>10801449</v>
      </c>
      <c r="B879">
        <v>2071987</v>
      </c>
      <c r="C879">
        <v>5</v>
      </c>
      <c r="D879">
        <v>1</v>
      </c>
      <c r="E879">
        <v>1</v>
      </c>
      <c r="F879">
        <v>5</v>
      </c>
      <c r="G879">
        <v>5</v>
      </c>
      <c r="H879" t="str">
        <f>IF(Demographics[[#This Row],[DOB]]&gt;10000000, TEXT(Demographics[[#This Row],[DOB]],0),CONCATENATE("0",TEXT(Demographics[[#This Row],[DOB]],0)))</f>
        <v>02071987</v>
      </c>
      <c r="I879" s="4">
        <f ca="1">IFERROR((VALUE(TODAY()-DATE(RIGHT(Demographics[[#This Row],[DOB - Fixed]],4),MID(Demographics[[#This Row],[DOB - Fixed]],3,2),LEFT(Demographics[[#This Row],[DOB - Fixed]],2))))/365,0)</f>
        <v>36.210958904109589</v>
      </c>
      <c r="J879">
        <f>VLOOKUP(Demographics[[#This Row],[INCOME LEVEL]],Income[],4,FALSE)</f>
        <v>175</v>
      </c>
      <c r="K879">
        <f>IFERROR(Demographics[[#This Row],[Total monthly income]]/Demographics[[#This Row],[FAMILY SIZE]], 0)</f>
        <v>35</v>
      </c>
    </row>
    <row r="880" spans="1:11" x14ac:dyDescent="0.2">
      <c r="A880">
        <v>21583751</v>
      </c>
      <c r="B880">
        <v>12081987</v>
      </c>
      <c r="C880">
        <v>6</v>
      </c>
      <c r="D880">
        <v>1</v>
      </c>
      <c r="E880">
        <v>1</v>
      </c>
      <c r="F880">
        <v>4</v>
      </c>
      <c r="G880">
        <v>5</v>
      </c>
      <c r="H880" t="str">
        <f>IF(Demographics[[#This Row],[DOB]]&gt;10000000, TEXT(Demographics[[#This Row],[DOB]],0),CONCATENATE("0",TEXT(Demographics[[#This Row],[DOB]],0)))</f>
        <v>12081987</v>
      </c>
      <c r="I880" s="4">
        <f ca="1">IFERROR((VALUE(TODAY()-DATE(RIGHT(Demographics[[#This Row],[DOB - Fixed]],4),MID(Demographics[[#This Row],[DOB - Fixed]],3,2),LEFT(Demographics[[#This Row],[DOB - Fixed]],2))))/365,0)</f>
        <v>36.098630136986301</v>
      </c>
      <c r="J880">
        <f>VLOOKUP(Demographics[[#This Row],[INCOME LEVEL]],Income[],4,FALSE)</f>
        <v>175</v>
      </c>
      <c r="K880">
        <f>IFERROR(Demographics[[#This Row],[Total monthly income]]/Demographics[[#This Row],[FAMILY SIZE]], 0)</f>
        <v>29.166666666666668</v>
      </c>
    </row>
    <row r="881" spans="1:11" x14ac:dyDescent="0.2">
      <c r="A881">
        <v>1393624</v>
      </c>
      <c r="B881">
        <v>24061988</v>
      </c>
      <c r="C881">
        <v>5</v>
      </c>
      <c r="D881">
        <v>1</v>
      </c>
      <c r="E881">
        <v>2</v>
      </c>
      <c r="F881">
        <v>6</v>
      </c>
      <c r="G881">
        <v>5</v>
      </c>
      <c r="H881" t="str">
        <f>IF(Demographics[[#This Row],[DOB]]&gt;10000000, TEXT(Demographics[[#This Row],[DOB]],0),CONCATENATE("0",TEXT(Demographics[[#This Row],[DOB]],0)))</f>
        <v>24061988</v>
      </c>
      <c r="I881" s="4">
        <f ca="1">IFERROR((VALUE(TODAY()-DATE(RIGHT(Demographics[[#This Row],[DOB - Fixed]],4),MID(Demographics[[#This Row],[DOB - Fixed]],3,2),LEFT(Demographics[[#This Row],[DOB - Fixed]],2))))/365,0)</f>
        <v>35.230136986301368</v>
      </c>
      <c r="J881">
        <f>VLOOKUP(Demographics[[#This Row],[INCOME LEVEL]],Income[],4,FALSE)</f>
        <v>697.5</v>
      </c>
      <c r="K881">
        <f>IFERROR(Demographics[[#This Row],[Total monthly income]]/Demographics[[#This Row],[FAMILY SIZE]], 0)</f>
        <v>139.5</v>
      </c>
    </row>
    <row r="882" spans="1:11" x14ac:dyDescent="0.2">
      <c r="A882">
        <v>21184548</v>
      </c>
      <c r="B882">
        <v>1081988</v>
      </c>
      <c r="C882">
        <v>3</v>
      </c>
      <c r="D882">
        <v>1</v>
      </c>
      <c r="E882">
        <v>1</v>
      </c>
      <c r="F882">
        <v>9</v>
      </c>
      <c r="G882">
        <v>5</v>
      </c>
      <c r="H882" t="str">
        <f>IF(Demographics[[#This Row],[DOB]]&gt;10000000, TEXT(Demographics[[#This Row],[DOB]],0),CONCATENATE("0",TEXT(Demographics[[#This Row],[DOB]],0)))</f>
        <v>01081988</v>
      </c>
      <c r="I882" s="4">
        <f ca="1">IFERROR((VALUE(TODAY()-DATE(RIGHT(Demographics[[#This Row],[DOB - Fixed]],4),MID(Demographics[[#This Row],[DOB - Fixed]],3,2),LEFT(Demographics[[#This Row],[DOB - Fixed]],2))))/365,0)</f>
        <v>35.126027397260273</v>
      </c>
      <c r="J882">
        <f>VLOOKUP(Demographics[[#This Row],[INCOME LEVEL]],Income[],4,FALSE)</f>
        <v>175</v>
      </c>
      <c r="K882">
        <f>IFERROR(Demographics[[#This Row],[Total monthly income]]/Demographics[[#This Row],[FAMILY SIZE]], 0)</f>
        <v>58.333333333333336</v>
      </c>
    </row>
    <row r="883" spans="1:11" x14ac:dyDescent="0.2">
      <c r="A883">
        <v>18570568</v>
      </c>
      <c r="B883">
        <v>16081988</v>
      </c>
      <c r="C883">
        <v>4</v>
      </c>
      <c r="D883">
        <v>1</v>
      </c>
      <c r="E883">
        <v>1</v>
      </c>
      <c r="F883">
        <v>4</v>
      </c>
      <c r="G883">
        <v>2</v>
      </c>
      <c r="H883" t="str">
        <f>IF(Demographics[[#This Row],[DOB]]&gt;10000000, TEXT(Demographics[[#This Row],[DOB]],0),CONCATENATE("0",TEXT(Demographics[[#This Row],[DOB]],0)))</f>
        <v>16081988</v>
      </c>
      <c r="I883" s="4">
        <f ca="1">IFERROR((VALUE(TODAY()-DATE(RIGHT(Demographics[[#This Row],[DOB - Fixed]],4),MID(Demographics[[#This Row],[DOB - Fixed]],3,2),LEFT(Demographics[[#This Row],[DOB - Fixed]],2))))/365,0)</f>
        <v>35.084931506849315</v>
      </c>
      <c r="J883">
        <f>VLOOKUP(Demographics[[#This Row],[INCOME LEVEL]],Income[],4,FALSE)</f>
        <v>175</v>
      </c>
      <c r="K883">
        <f>IFERROR(Demographics[[#This Row],[Total monthly income]]/Demographics[[#This Row],[FAMILY SIZE]], 0)</f>
        <v>43.75</v>
      </c>
    </row>
    <row r="884" spans="1:11" x14ac:dyDescent="0.2">
      <c r="A884">
        <v>8854492</v>
      </c>
      <c r="B884">
        <v>9091988</v>
      </c>
      <c r="C884">
        <v>5</v>
      </c>
      <c r="D884">
        <v>2</v>
      </c>
      <c r="E884">
        <v>1</v>
      </c>
      <c r="F884">
        <v>5</v>
      </c>
      <c r="G884">
        <v>5</v>
      </c>
      <c r="H884" t="str">
        <f>IF(Demographics[[#This Row],[DOB]]&gt;10000000, TEXT(Demographics[[#This Row],[DOB]],0),CONCATENATE("0",TEXT(Demographics[[#This Row],[DOB]],0)))</f>
        <v>09091988</v>
      </c>
      <c r="I884" s="4">
        <f ca="1">IFERROR((VALUE(TODAY()-DATE(RIGHT(Demographics[[#This Row],[DOB - Fixed]],4),MID(Demographics[[#This Row],[DOB - Fixed]],3,2),LEFT(Demographics[[#This Row],[DOB - Fixed]],2))))/365,0)</f>
        <v>35.019178082191779</v>
      </c>
      <c r="J884">
        <f>VLOOKUP(Demographics[[#This Row],[INCOME LEVEL]],Income[],4,FALSE)</f>
        <v>175</v>
      </c>
      <c r="K884">
        <f>IFERROR(Demographics[[#This Row],[Total monthly income]]/Demographics[[#This Row],[FAMILY SIZE]], 0)</f>
        <v>35</v>
      </c>
    </row>
    <row r="885" spans="1:11" x14ac:dyDescent="0.2">
      <c r="A885">
        <v>20983200</v>
      </c>
      <c r="B885">
        <v>13041987</v>
      </c>
      <c r="C885">
        <v>0</v>
      </c>
      <c r="D885">
        <v>0</v>
      </c>
      <c r="E885">
        <v>1</v>
      </c>
      <c r="F885">
        <v>8</v>
      </c>
      <c r="G885">
        <v>5</v>
      </c>
      <c r="H885" t="str">
        <f>IF(Demographics[[#This Row],[DOB]]&gt;10000000, TEXT(Demographics[[#This Row],[DOB]],0),CONCATENATE("0",TEXT(Demographics[[#This Row],[DOB]],0)))</f>
        <v>13041987</v>
      </c>
      <c r="I885" s="4">
        <f ca="1">IFERROR((VALUE(TODAY()-DATE(RIGHT(Demographics[[#This Row],[DOB - Fixed]],4),MID(Demographics[[#This Row],[DOB - Fixed]],3,2),LEFT(Demographics[[#This Row],[DOB - Fixed]],2))))/365,0)</f>
        <v>36.43013698630137</v>
      </c>
      <c r="J885">
        <f>VLOOKUP(Demographics[[#This Row],[INCOME LEVEL]],Income[],4,FALSE)</f>
        <v>175</v>
      </c>
      <c r="K885">
        <f>IFERROR(Demographics[[#This Row],[Total monthly income]]/Demographics[[#This Row],[FAMILY SIZE]], 0)</f>
        <v>0</v>
      </c>
    </row>
    <row r="886" spans="1:11" x14ac:dyDescent="0.2">
      <c r="A886">
        <v>2306610</v>
      </c>
      <c r="B886">
        <v>1111987</v>
      </c>
      <c r="C886">
        <v>4</v>
      </c>
      <c r="D886">
        <v>1</v>
      </c>
      <c r="E886">
        <v>1</v>
      </c>
      <c r="F886">
        <v>4</v>
      </c>
      <c r="G886">
        <v>2</v>
      </c>
      <c r="H886" t="str">
        <f>IF(Demographics[[#This Row],[DOB]]&gt;10000000, TEXT(Demographics[[#This Row],[DOB]],0),CONCATENATE("0",TEXT(Demographics[[#This Row],[DOB]],0)))</f>
        <v>01111987</v>
      </c>
      <c r="I886" s="4">
        <f ca="1">IFERROR((VALUE(TODAY()-DATE(RIGHT(Demographics[[#This Row],[DOB - Fixed]],4),MID(Demographics[[#This Row],[DOB - Fixed]],3,2),LEFT(Demographics[[#This Row],[DOB - Fixed]],2))))/365,0)</f>
        <v>35.876712328767127</v>
      </c>
      <c r="J886">
        <f>VLOOKUP(Demographics[[#This Row],[INCOME LEVEL]],Income[],4,FALSE)</f>
        <v>175</v>
      </c>
      <c r="K886">
        <f>IFERROR(Demographics[[#This Row],[Total monthly income]]/Demographics[[#This Row],[FAMILY SIZE]], 0)</f>
        <v>43.75</v>
      </c>
    </row>
    <row r="887" spans="1:11" x14ac:dyDescent="0.2">
      <c r="A887">
        <v>12092859</v>
      </c>
      <c r="B887">
        <v>22101988</v>
      </c>
      <c r="C887">
        <v>5</v>
      </c>
      <c r="D887">
        <v>1</v>
      </c>
      <c r="E887">
        <v>2</v>
      </c>
      <c r="F887">
        <v>8</v>
      </c>
      <c r="G887">
        <v>5</v>
      </c>
      <c r="H887" t="str">
        <f>IF(Demographics[[#This Row],[DOB]]&gt;10000000, TEXT(Demographics[[#This Row],[DOB]],0),CONCATENATE("0",TEXT(Demographics[[#This Row],[DOB]],0)))</f>
        <v>22101988</v>
      </c>
      <c r="I887" s="4">
        <f ca="1">IFERROR((VALUE(TODAY()-DATE(RIGHT(Demographics[[#This Row],[DOB - Fixed]],4),MID(Demographics[[#This Row],[DOB - Fixed]],3,2),LEFT(Demographics[[#This Row],[DOB - Fixed]],2))))/365,0)</f>
        <v>34.901369863013699</v>
      </c>
      <c r="J887">
        <f>VLOOKUP(Demographics[[#This Row],[INCOME LEVEL]],Income[],4,FALSE)</f>
        <v>697.5</v>
      </c>
      <c r="K887">
        <f>IFERROR(Demographics[[#This Row],[Total monthly income]]/Demographics[[#This Row],[FAMILY SIZE]], 0)</f>
        <v>139.5</v>
      </c>
    </row>
    <row r="888" spans="1:11" x14ac:dyDescent="0.2">
      <c r="A888">
        <v>3390702</v>
      </c>
      <c r="B888">
        <v>9101987</v>
      </c>
      <c r="C888">
        <v>9</v>
      </c>
      <c r="D888">
        <v>2</v>
      </c>
      <c r="E888">
        <v>3</v>
      </c>
      <c r="F888">
        <v>7</v>
      </c>
      <c r="G888">
        <v>5</v>
      </c>
      <c r="H888" t="str">
        <f>IF(Demographics[[#This Row],[DOB]]&gt;10000000, TEXT(Demographics[[#This Row],[DOB]],0),CONCATENATE("0",TEXT(Demographics[[#This Row],[DOB]],0)))</f>
        <v>09101987</v>
      </c>
      <c r="I888" s="4">
        <f ca="1">IFERROR((VALUE(TODAY()-DATE(RIGHT(Demographics[[#This Row],[DOB - Fixed]],4),MID(Demographics[[#This Row],[DOB - Fixed]],3,2),LEFT(Demographics[[#This Row],[DOB - Fixed]],2))))/365,0)</f>
        <v>35.939726027397263</v>
      </c>
      <c r="J888">
        <f>VLOOKUP(Demographics[[#This Row],[INCOME LEVEL]],Income[],4,FALSE)</f>
        <v>1397.5</v>
      </c>
      <c r="K888">
        <f>IFERROR(Demographics[[#This Row],[Total monthly income]]/Demographics[[#This Row],[FAMILY SIZE]], 0)</f>
        <v>155.27777777777777</v>
      </c>
    </row>
    <row r="889" spans="1:11" x14ac:dyDescent="0.2">
      <c r="A889">
        <v>1253583</v>
      </c>
      <c r="B889">
        <v>28081987</v>
      </c>
      <c r="C889">
        <v>4</v>
      </c>
      <c r="D889">
        <v>1</v>
      </c>
      <c r="E889">
        <v>1</v>
      </c>
      <c r="F889">
        <v>5</v>
      </c>
      <c r="G889">
        <v>5</v>
      </c>
      <c r="H889" t="str">
        <f>IF(Demographics[[#This Row],[DOB]]&gt;10000000, TEXT(Demographics[[#This Row],[DOB]],0),CONCATENATE("0",TEXT(Demographics[[#This Row],[DOB]],0)))</f>
        <v>28081987</v>
      </c>
      <c r="I889" s="4">
        <f ca="1">IFERROR((VALUE(TODAY()-DATE(RIGHT(Demographics[[#This Row],[DOB - Fixed]],4),MID(Demographics[[#This Row],[DOB - Fixed]],3,2),LEFT(Demographics[[#This Row],[DOB - Fixed]],2))))/365,0)</f>
        <v>36.054794520547944</v>
      </c>
      <c r="J889">
        <f>VLOOKUP(Demographics[[#This Row],[INCOME LEVEL]],Income[],4,FALSE)</f>
        <v>175</v>
      </c>
      <c r="K889">
        <f>IFERROR(Demographics[[#This Row],[Total monthly income]]/Demographics[[#This Row],[FAMILY SIZE]], 0)</f>
        <v>43.75</v>
      </c>
    </row>
    <row r="890" spans="1:11" x14ac:dyDescent="0.2">
      <c r="A890">
        <v>8730710</v>
      </c>
      <c r="B890">
        <v>13081987</v>
      </c>
      <c r="C890">
        <v>5</v>
      </c>
      <c r="D890">
        <v>2</v>
      </c>
      <c r="E890">
        <v>1</v>
      </c>
      <c r="F890">
        <v>4</v>
      </c>
      <c r="G890">
        <v>3</v>
      </c>
      <c r="H890" t="str">
        <f>IF(Demographics[[#This Row],[DOB]]&gt;10000000, TEXT(Demographics[[#This Row],[DOB]],0),CONCATENATE("0",TEXT(Demographics[[#This Row],[DOB]],0)))</f>
        <v>13081987</v>
      </c>
      <c r="I890" s="4">
        <f ca="1">IFERROR((VALUE(TODAY()-DATE(RIGHT(Demographics[[#This Row],[DOB - Fixed]],4),MID(Demographics[[#This Row],[DOB - Fixed]],3,2),LEFT(Demographics[[#This Row],[DOB - Fixed]],2))))/365,0)</f>
        <v>36.095890410958901</v>
      </c>
      <c r="J890">
        <f>VLOOKUP(Demographics[[#This Row],[INCOME LEVEL]],Income[],4,FALSE)</f>
        <v>175</v>
      </c>
      <c r="K890">
        <f>IFERROR(Demographics[[#This Row],[Total monthly income]]/Demographics[[#This Row],[FAMILY SIZE]], 0)</f>
        <v>35</v>
      </c>
    </row>
    <row r="891" spans="1:11" x14ac:dyDescent="0.2">
      <c r="A891">
        <v>21446986</v>
      </c>
      <c r="B891">
        <v>10101987</v>
      </c>
      <c r="C891">
        <v>4</v>
      </c>
      <c r="D891">
        <v>2</v>
      </c>
      <c r="E891">
        <v>2</v>
      </c>
      <c r="F891">
        <v>10</v>
      </c>
      <c r="G891">
        <v>7</v>
      </c>
      <c r="H891" t="str">
        <f>IF(Demographics[[#This Row],[DOB]]&gt;10000000, TEXT(Demographics[[#This Row],[DOB]],0),CONCATENATE("0",TEXT(Demographics[[#This Row],[DOB]],0)))</f>
        <v>10101987</v>
      </c>
      <c r="I891" s="4">
        <f ca="1">IFERROR((VALUE(TODAY()-DATE(RIGHT(Demographics[[#This Row],[DOB - Fixed]],4),MID(Demographics[[#This Row],[DOB - Fixed]],3,2),LEFT(Demographics[[#This Row],[DOB - Fixed]],2))))/365,0)</f>
        <v>35.936986301369863</v>
      </c>
      <c r="J891">
        <f>VLOOKUP(Demographics[[#This Row],[INCOME LEVEL]],Income[],4,FALSE)</f>
        <v>697.5</v>
      </c>
      <c r="K891">
        <f>IFERROR(Demographics[[#This Row],[Total monthly income]]/Demographics[[#This Row],[FAMILY SIZE]], 0)</f>
        <v>174.375</v>
      </c>
    </row>
    <row r="892" spans="1:11" x14ac:dyDescent="0.2">
      <c r="A892">
        <v>4559222</v>
      </c>
      <c r="B892">
        <v>21101987</v>
      </c>
      <c r="C892">
        <v>4</v>
      </c>
      <c r="D892">
        <v>1</v>
      </c>
      <c r="E892">
        <v>1</v>
      </c>
      <c r="F892">
        <v>7</v>
      </c>
      <c r="G892">
        <v>5</v>
      </c>
      <c r="H892" t="str">
        <f>IF(Demographics[[#This Row],[DOB]]&gt;10000000, TEXT(Demographics[[#This Row],[DOB]],0),CONCATENATE("0",TEXT(Demographics[[#This Row],[DOB]],0)))</f>
        <v>21101987</v>
      </c>
      <c r="I892" s="4">
        <f ca="1">IFERROR((VALUE(TODAY()-DATE(RIGHT(Demographics[[#This Row],[DOB - Fixed]],4),MID(Demographics[[#This Row],[DOB - Fixed]],3,2),LEFT(Demographics[[#This Row],[DOB - Fixed]],2))))/365,0)</f>
        <v>35.906849315068492</v>
      </c>
      <c r="J892">
        <f>VLOOKUP(Demographics[[#This Row],[INCOME LEVEL]],Income[],4,FALSE)</f>
        <v>175</v>
      </c>
      <c r="K892">
        <f>IFERROR(Demographics[[#This Row],[Total monthly income]]/Demographics[[#This Row],[FAMILY SIZE]], 0)</f>
        <v>43.75</v>
      </c>
    </row>
    <row r="893" spans="1:11" x14ac:dyDescent="0.2">
      <c r="A893">
        <v>17606455</v>
      </c>
      <c r="B893">
        <v>11101987</v>
      </c>
      <c r="C893">
        <v>6</v>
      </c>
      <c r="D893">
        <v>1</v>
      </c>
      <c r="E893">
        <v>1</v>
      </c>
      <c r="F893">
        <v>5</v>
      </c>
      <c r="G893">
        <v>5</v>
      </c>
      <c r="H893" t="str">
        <f>IF(Demographics[[#This Row],[DOB]]&gt;10000000, TEXT(Demographics[[#This Row],[DOB]],0),CONCATENATE("0",TEXT(Demographics[[#This Row],[DOB]],0)))</f>
        <v>11101987</v>
      </c>
      <c r="I893" s="4">
        <f ca="1">IFERROR((VALUE(TODAY()-DATE(RIGHT(Demographics[[#This Row],[DOB - Fixed]],4),MID(Demographics[[#This Row],[DOB - Fixed]],3,2),LEFT(Demographics[[#This Row],[DOB - Fixed]],2))))/365,0)</f>
        <v>35.934246575342463</v>
      </c>
      <c r="J893">
        <f>VLOOKUP(Demographics[[#This Row],[INCOME LEVEL]],Income[],4,FALSE)</f>
        <v>175</v>
      </c>
      <c r="K893">
        <f>IFERROR(Demographics[[#This Row],[Total monthly income]]/Demographics[[#This Row],[FAMILY SIZE]], 0)</f>
        <v>29.166666666666668</v>
      </c>
    </row>
    <row r="894" spans="1:11" x14ac:dyDescent="0.2">
      <c r="A894">
        <v>2957586</v>
      </c>
      <c r="B894">
        <v>19091987</v>
      </c>
      <c r="C894">
        <v>4</v>
      </c>
      <c r="D894">
        <v>1</v>
      </c>
      <c r="E894">
        <v>1</v>
      </c>
      <c r="F894">
        <v>5</v>
      </c>
      <c r="G894">
        <v>4</v>
      </c>
      <c r="H894" t="str">
        <f>IF(Demographics[[#This Row],[DOB]]&gt;10000000, TEXT(Demographics[[#This Row],[DOB]],0),CONCATENATE("0",TEXT(Demographics[[#This Row],[DOB]],0)))</f>
        <v>19091987</v>
      </c>
      <c r="I894" s="4">
        <f ca="1">IFERROR((VALUE(TODAY()-DATE(RIGHT(Demographics[[#This Row],[DOB - Fixed]],4),MID(Demographics[[#This Row],[DOB - Fixed]],3,2),LEFT(Demographics[[#This Row],[DOB - Fixed]],2))))/365,0)</f>
        <v>35.994520547945207</v>
      </c>
      <c r="J894">
        <f>VLOOKUP(Demographics[[#This Row],[INCOME LEVEL]],Income[],4,FALSE)</f>
        <v>175</v>
      </c>
      <c r="K894">
        <f>IFERROR(Demographics[[#This Row],[Total monthly income]]/Demographics[[#This Row],[FAMILY SIZE]], 0)</f>
        <v>43.75</v>
      </c>
    </row>
    <row r="895" spans="1:11" x14ac:dyDescent="0.2">
      <c r="A895">
        <v>20811313</v>
      </c>
      <c r="B895">
        <v>16101987</v>
      </c>
      <c r="C895">
        <v>0</v>
      </c>
      <c r="D895">
        <v>0</v>
      </c>
      <c r="E895">
        <v>1</v>
      </c>
      <c r="F895">
        <v>0</v>
      </c>
      <c r="G895">
        <v>0</v>
      </c>
      <c r="H895" t="str">
        <f>IF(Demographics[[#This Row],[DOB]]&gt;10000000, TEXT(Demographics[[#This Row],[DOB]],0),CONCATENATE("0",TEXT(Demographics[[#This Row],[DOB]],0)))</f>
        <v>16101987</v>
      </c>
      <c r="I895" s="4">
        <f ca="1">IFERROR((VALUE(TODAY()-DATE(RIGHT(Demographics[[#This Row],[DOB - Fixed]],4),MID(Demographics[[#This Row],[DOB - Fixed]],3,2),LEFT(Demographics[[#This Row],[DOB - Fixed]],2))))/365,0)</f>
        <v>35.920547945205477</v>
      </c>
      <c r="J895">
        <f>VLOOKUP(Demographics[[#This Row],[INCOME LEVEL]],Income[],4,FALSE)</f>
        <v>175</v>
      </c>
      <c r="K895">
        <f>IFERROR(Demographics[[#This Row],[Total monthly income]]/Demographics[[#This Row],[FAMILY SIZE]], 0)</f>
        <v>0</v>
      </c>
    </row>
    <row r="896" spans="1:11" x14ac:dyDescent="0.2">
      <c r="A896">
        <v>719532</v>
      </c>
      <c r="B896">
        <v>27101987</v>
      </c>
      <c r="C896">
        <v>4</v>
      </c>
      <c r="D896">
        <v>2</v>
      </c>
      <c r="E896">
        <v>1</v>
      </c>
      <c r="F896">
        <v>5</v>
      </c>
      <c r="G896">
        <v>5</v>
      </c>
      <c r="H896" t="str">
        <f>IF(Demographics[[#This Row],[DOB]]&gt;10000000, TEXT(Demographics[[#This Row],[DOB]],0),CONCATENATE("0",TEXT(Demographics[[#This Row],[DOB]],0)))</f>
        <v>27101987</v>
      </c>
      <c r="I896" s="4">
        <f ca="1">IFERROR((VALUE(TODAY()-DATE(RIGHT(Demographics[[#This Row],[DOB - Fixed]],4),MID(Demographics[[#This Row],[DOB - Fixed]],3,2),LEFT(Demographics[[#This Row],[DOB - Fixed]],2))))/365,0)</f>
        <v>35.890410958904113</v>
      </c>
      <c r="J896">
        <f>VLOOKUP(Demographics[[#This Row],[INCOME LEVEL]],Income[],4,FALSE)</f>
        <v>175</v>
      </c>
      <c r="K896">
        <f>IFERROR(Demographics[[#This Row],[Total monthly income]]/Demographics[[#This Row],[FAMILY SIZE]], 0)</f>
        <v>43.75</v>
      </c>
    </row>
    <row r="897" spans="1:11" x14ac:dyDescent="0.2">
      <c r="A897">
        <v>5425361</v>
      </c>
      <c r="B897">
        <v>30101987</v>
      </c>
      <c r="C897">
        <v>4</v>
      </c>
      <c r="D897">
        <v>0</v>
      </c>
      <c r="E897">
        <v>1</v>
      </c>
      <c r="F897">
        <v>4</v>
      </c>
      <c r="G897">
        <v>5</v>
      </c>
      <c r="H897" t="str">
        <f>IF(Demographics[[#This Row],[DOB]]&gt;10000000, TEXT(Demographics[[#This Row],[DOB]],0),CONCATENATE("0",TEXT(Demographics[[#This Row],[DOB]],0)))</f>
        <v>30101987</v>
      </c>
      <c r="I897" s="4">
        <f ca="1">IFERROR((VALUE(TODAY()-DATE(RIGHT(Demographics[[#This Row],[DOB - Fixed]],4),MID(Demographics[[#This Row],[DOB - Fixed]],3,2),LEFT(Demographics[[#This Row],[DOB - Fixed]],2))))/365,0)</f>
        <v>35.88219178082192</v>
      </c>
      <c r="J897">
        <f>VLOOKUP(Demographics[[#This Row],[INCOME LEVEL]],Income[],4,FALSE)</f>
        <v>175</v>
      </c>
      <c r="K897">
        <f>IFERROR(Demographics[[#This Row],[Total monthly income]]/Demographics[[#This Row],[FAMILY SIZE]], 0)</f>
        <v>43.75</v>
      </c>
    </row>
    <row r="898" spans="1:11" x14ac:dyDescent="0.2">
      <c r="A898">
        <v>14936466</v>
      </c>
      <c r="B898">
        <v>28101987</v>
      </c>
      <c r="C898">
        <v>6</v>
      </c>
      <c r="D898">
        <v>1</v>
      </c>
      <c r="E898">
        <v>2</v>
      </c>
      <c r="F898">
        <v>9</v>
      </c>
      <c r="G898">
        <v>5</v>
      </c>
      <c r="H898" t="str">
        <f>IF(Demographics[[#This Row],[DOB]]&gt;10000000, TEXT(Demographics[[#This Row],[DOB]],0),CONCATENATE("0",TEXT(Demographics[[#This Row],[DOB]],0)))</f>
        <v>28101987</v>
      </c>
      <c r="I898" s="4">
        <f ca="1">IFERROR((VALUE(TODAY()-DATE(RIGHT(Demographics[[#This Row],[DOB - Fixed]],4),MID(Demographics[[#This Row],[DOB - Fixed]],3,2),LEFT(Demographics[[#This Row],[DOB - Fixed]],2))))/365,0)</f>
        <v>35.887671232876713</v>
      </c>
      <c r="J898">
        <f>VLOOKUP(Demographics[[#This Row],[INCOME LEVEL]],Income[],4,FALSE)</f>
        <v>697.5</v>
      </c>
      <c r="K898">
        <f>IFERROR(Demographics[[#This Row],[Total monthly income]]/Demographics[[#This Row],[FAMILY SIZE]], 0)</f>
        <v>116.25</v>
      </c>
    </row>
    <row r="899" spans="1:11" x14ac:dyDescent="0.2">
      <c r="A899">
        <v>4025506</v>
      </c>
      <c r="B899">
        <v>28101987</v>
      </c>
      <c r="C899">
        <v>3</v>
      </c>
      <c r="D899">
        <v>2</v>
      </c>
      <c r="E899">
        <v>1</v>
      </c>
      <c r="F899">
        <v>2</v>
      </c>
      <c r="G899">
        <v>2</v>
      </c>
      <c r="H899" t="str">
        <f>IF(Demographics[[#This Row],[DOB]]&gt;10000000, TEXT(Demographics[[#This Row],[DOB]],0),CONCATENATE("0",TEXT(Demographics[[#This Row],[DOB]],0)))</f>
        <v>28101987</v>
      </c>
      <c r="I899" s="4">
        <f ca="1">IFERROR((VALUE(TODAY()-DATE(RIGHT(Demographics[[#This Row],[DOB - Fixed]],4),MID(Demographics[[#This Row],[DOB - Fixed]],3,2),LEFT(Demographics[[#This Row],[DOB - Fixed]],2))))/365,0)</f>
        <v>35.887671232876713</v>
      </c>
      <c r="J899">
        <f>VLOOKUP(Demographics[[#This Row],[INCOME LEVEL]],Income[],4,FALSE)</f>
        <v>175</v>
      </c>
      <c r="K899">
        <f>IFERROR(Demographics[[#This Row],[Total monthly income]]/Demographics[[#This Row],[FAMILY SIZE]], 0)</f>
        <v>58.333333333333336</v>
      </c>
    </row>
    <row r="900" spans="1:11" x14ac:dyDescent="0.2">
      <c r="A900">
        <v>286547</v>
      </c>
      <c r="B900">
        <v>24101987</v>
      </c>
      <c r="C900">
        <v>4</v>
      </c>
      <c r="D900">
        <v>1</v>
      </c>
      <c r="E900">
        <v>1</v>
      </c>
      <c r="F900">
        <v>5</v>
      </c>
      <c r="G900">
        <v>4</v>
      </c>
      <c r="H900" t="str">
        <f>IF(Demographics[[#This Row],[DOB]]&gt;10000000, TEXT(Demographics[[#This Row],[DOB]],0),CONCATENATE("0",TEXT(Demographics[[#This Row],[DOB]],0)))</f>
        <v>24101987</v>
      </c>
      <c r="I900" s="4">
        <f ca="1">IFERROR((VALUE(TODAY()-DATE(RIGHT(Demographics[[#This Row],[DOB - Fixed]],4),MID(Demographics[[#This Row],[DOB - Fixed]],3,2),LEFT(Demographics[[#This Row],[DOB - Fixed]],2))))/365,0)</f>
        <v>35.898630136986299</v>
      </c>
      <c r="J900">
        <f>VLOOKUP(Demographics[[#This Row],[INCOME LEVEL]],Income[],4,FALSE)</f>
        <v>175</v>
      </c>
      <c r="K900">
        <f>IFERROR(Demographics[[#This Row],[Total monthly income]]/Demographics[[#This Row],[FAMILY SIZE]], 0)</f>
        <v>43.75</v>
      </c>
    </row>
    <row r="901" spans="1:11" x14ac:dyDescent="0.2">
      <c r="A901">
        <v>14402547</v>
      </c>
      <c r="B901">
        <v>4101987</v>
      </c>
      <c r="C901">
        <v>3</v>
      </c>
      <c r="D901">
        <v>2</v>
      </c>
      <c r="E901">
        <v>1</v>
      </c>
      <c r="F901">
        <v>5</v>
      </c>
      <c r="G901">
        <v>5</v>
      </c>
      <c r="H901" t="str">
        <f>IF(Demographics[[#This Row],[DOB]]&gt;10000000, TEXT(Demographics[[#This Row],[DOB]],0),CONCATENATE("0",TEXT(Demographics[[#This Row],[DOB]],0)))</f>
        <v>04101987</v>
      </c>
      <c r="I901" s="4">
        <f ca="1">IFERROR((VALUE(TODAY()-DATE(RIGHT(Demographics[[#This Row],[DOB - Fixed]],4),MID(Demographics[[#This Row],[DOB - Fixed]],3,2),LEFT(Demographics[[#This Row],[DOB - Fixed]],2))))/365,0)</f>
        <v>35.953424657534249</v>
      </c>
      <c r="J901">
        <f>VLOOKUP(Demographics[[#This Row],[INCOME LEVEL]],Income[],4,FALSE)</f>
        <v>175</v>
      </c>
      <c r="K901">
        <f>IFERROR(Demographics[[#This Row],[Total monthly income]]/Demographics[[#This Row],[FAMILY SIZE]], 0)</f>
        <v>58.333333333333336</v>
      </c>
    </row>
    <row r="902" spans="1:11" x14ac:dyDescent="0.2">
      <c r="A902">
        <v>820771</v>
      </c>
      <c r="B902">
        <v>29101987</v>
      </c>
      <c r="C902">
        <v>4</v>
      </c>
      <c r="D902">
        <v>2</v>
      </c>
      <c r="E902">
        <v>2</v>
      </c>
      <c r="F902">
        <v>5</v>
      </c>
      <c r="G902">
        <v>5</v>
      </c>
      <c r="H902" t="str">
        <f>IF(Demographics[[#This Row],[DOB]]&gt;10000000, TEXT(Demographics[[#This Row],[DOB]],0),CONCATENATE("0",TEXT(Demographics[[#This Row],[DOB]],0)))</f>
        <v>29101987</v>
      </c>
      <c r="I902" s="4">
        <f ca="1">IFERROR((VALUE(TODAY()-DATE(RIGHT(Demographics[[#This Row],[DOB - Fixed]],4),MID(Demographics[[#This Row],[DOB - Fixed]],3,2),LEFT(Demographics[[#This Row],[DOB - Fixed]],2))))/365,0)</f>
        <v>35.884931506849313</v>
      </c>
      <c r="J902">
        <f>VLOOKUP(Demographics[[#This Row],[INCOME LEVEL]],Income[],4,FALSE)</f>
        <v>697.5</v>
      </c>
      <c r="K902">
        <f>IFERROR(Demographics[[#This Row],[Total monthly income]]/Demographics[[#This Row],[FAMILY SIZE]], 0)</f>
        <v>174.375</v>
      </c>
    </row>
    <row r="903" spans="1:11" x14ac:dyDescent="0.2">
      <c r="A903">
        <v>4992314</v>
      </c>
      <c r="B903">
        <v>26101987</v>
      </c>
      <c r="C903">
        <v>5</v>
      </c>
      <c r="D903">
        <v>1</v>
      </c>
      <c r="E903">
        <v>1</v>
      </c>
      <c r="F903">
        <v>5</v>
      </c>
      <c r="G903">
        <v>5</v>
      </c>
      <c r="H903" t="str">
        <f>IF(Demographics[[#This Row],[DOB]]&gt;10000000, TEXT(Demographics[[#This Row],[DOB]],0),CONCATENATE("0",TEXT(Demographics[[#This Row],[DOB]],0)))</f>
        <v>26101987</v>
      </c>
      <c r="I903" s="4">
        <f ca="1">IFERROR((VALUE(TODAY()-DATE(RIGHT(Demographics[[#This Row],[DOB - Fixed]],4),MID(Demographics[[#This Row],[DOB - Fixed]],3,2),LEFT(Demographics[[#This Row],[DOB - Fixed]],2))))/365,0)</f>
        <v>35.893150684931506</v>
      </c>
      <c r="J903">
        <f>VLOOKUP(Demographics[[#This Row],[INCOME LEVEL]],Income[],4,FALSE)</f>
        <v>175</v>
      </c>
      <c r="K903">
        <f>IFERROR(Demographics[[#This Row],[Total monthly income]]/Demographics[[#This Row],[FAMILY SIZE]], 0)</f>
        <v>35</v>
      </c>
    </row>
    <row r="904" spans="1:11" x14ac:dyDescent="0.2">
      <c r="A904">
        <v>5959429</v>
      </c>
      <c r="B904">
        <v>30101987</v>
      </c>
      <c r="C904">
        <v>5</v>
      </c>
      <c r="D904">
        <v>3</v>
      </c>
      <c r="E904">
        <v>2</v>
      </c>
      <c r="F904">
        <v>3</v>
      </c>
      <c r="G904">
        <v>5</v>
      </c>
      <c r="H904" t="str">
        <f>IF(Demographics[[#This Row],[DOB]]&gt;10000000, TEXT(Demographics[[#This Row],[DOB]],0),CONCATENATE("0",TEXT(Demographics[[#This Row],[DOB]],0)))</f>
        <v>30101987</v>
      </c>
      <c r="I904" s="4">
        <f ca="1">IFERROR((VALUE(TODAY()-DATE(RIGHT(Demographics[[#This Row],[DOB - Fixed]],4),MID(Demographics[[#This Row],[DOB - Fixed]],3,2),LEFT(Demographics[[#This Row],[DOB - Fixed]],2))))/365,0)</f>
        <v>35.88219178082192</v>
      </c>
      <c r="J904">
        <f>VLOOKUP(Demographics[[#This Row],[INCOME LEVEL]],Income[],4,FALSE)</f>
        <v>697.5</v>
      </c>
      <c r="K904">
        <f>IFERROR(Demographics[[#This Row],[Total monthly income]]/Demographics[[#This Row],[FAMILY SIZE]], 0)</f>
        <v>139.5</v>
      </c>
    </row>
    <row r="905" spans="1:11" x14ac:dyDescent="0.2">
      <c r="A905">
        <v>21446987</v>
      </c>
      <c r="B905">
        <v>29101987</v>
      </c>
      <c r="C905">
        <v>9</v>
      </c>
      <c r="D905">
        <v>2</v>
      </c>
      <c r="E905">
        <v>2</v>
      </c>
      <c r="F905">
        <v>4</v>
      </c>
      <c r="G905">
        <v>4</v>
      </c>
      <c r="H905" t="str">
        <f>IF(Demographics[[#This Row],[DOB]]&gt;10000000, TEXT(Demographics[[#This Row],[DOB]],0),CONCATENATE("0",TEXT(Demographics[[#This Row],[DOB]],0)))</f>
        <v>29101987</v>
      </c>
      <c r="I905" s="4">
        <f ca="1">IFERROR((VALUE(TODAY()-DATE(RIGHT(Demographics[[#This Row],[DOB - Fixed]],4),MID(Demographics[[#This Row],[DOB - Fixed]],3,2),LEFT(Demographics[[#This Row],[DOB - Fixed]],2))))/365,0)</f>
        <v>35.884931506849313</v>
      </c>
      <c r="J905">
        <f>VLOOKUP(Demographics[[#This Row],[INCOME LEVEL]],Income[],4,FALSE)</f>
        <v>697.5</v>
      </c>
      <c r="K905">
        <f>IFERROR(Demographics[[#This Row],[Total monthly income]]/Demographics[[#This Row],[FAMILY SIZE]], 0)</f>
        <v>77.5</v>
      </c>
    </row>
    <row r="906" spans="1:11" x14ac:dyDescent="0.2">
      <c r="A906">
        <v>2220207</v>
      </c>
      <c r="B906">
        <v>21101987</v>
      </c>
      <c r="C906">
        <v>4</v>
      </c>
      <c r="D906">
        <v>2</v>
      </c>
      <c r="E906">
        <v>2</v>
      </c>
      <c r="F906">
        <v>9</v>
      </c>
      <c r="G906">
        <v>5</v>
      </c>
      <c r="H906" t="str">
        <f>IF(Demographics[[#This Row],[DOB]]&gt;10000000, TEXT(Demographics[[#This Row],[DOB]],0),CONCATENATE("0",TEXT(Demographics[[#This Row],[DOB]],0)))</f>
        <v>21101987</v>
      </c>
      <c r="I906" s="4">
        <f ca="1">IFERROR((VALUE(TODAY()-DATE(RIGHT(Demographics[[#This Row],[DOB - Fixed]],4),MID(Demographics[[#This Row],[DOB - Fixed]],3,2),LEFT(Demographics[[#This Row],[DOB - Fixed]],2))))/365,0)</f>
        <v>35.906849315068492</v>
      </c>
      <c r="J906">
        <f>VLOOKUP(Demographics[[#This Row],[INCOME LEVEL]],Income[],4,FALSE)</f>
        <v>697.5</v>
      </c>
      <c r="K906">
        <f>IFERROR(Demographics[[#This Row],[Total monthly income]]/Demographics[[#This Row],[FAMILY SIZE]], 0)</f>
        <v>174.375</v>
      </c>
    </row>
    <row r="907" spans="1:11" x14ac:dyDescent="0.2">
      <c r="A907">
        <v>2957587</v>
      </c>
      <c r="B907">
        <v>15101987</v>
      </c>
      <c r="C907">
        <v>5</v>
      </c>
      <c r="D907">
        <v>1</v>
      </c>
      <c r="E907">
        <v>1</v>
      </c>
      <c r="F907">
        <v>3</v>
      </c>
      <c r="G907">
        <v>3</v>
      </c>
      <c r="H907" t="str">
        <f>IF(Demographics[[#This Row],[DOB]]&gt;10000000, TEXT(Demographics[[#This Row],[DOB]],0),CONCATENATE("0",TEXT(Demographics[[#This Row],[DOB]],0)))</f>
        <v>15101987</v>
      </c>
      <c r="I907" s="4">
        <f ca="1">IFERROR((VALUE(TODAY()-DATE(RIGHT(Demographics[[#This Row],[DOB - Fixed]],4),MID(Demographics[[#This Row],[DOB - Fixed]],3,2),LEFT(Demographics[[#This Row],[DOB - Fixed]],2))))/365,0)</f>
        <v>35.923287671232877</v>
      </c>
      <c r="J907">
        <f>VLOOKUP(Demographics[[#This Row],[INCOME LEVEL]],Income[],4,FALSE)</f>
        <v>175</v>
      </c>
      <c r="K907">
        <f>IFERROR(Demographics[[#This Row],[Total monthly income]]/Demographics[[#This Row],[FAMILY SIZE]], 0)</f>
        <v>35</v>
      </c>
    </row>
    <row r="908" spans="1:11" x14ac:dyDescent="0.2">
      <c r="A908">
        <v>15139350</v>
      </c>
      <c r="B908">
        <v>12081987</v>
      </c>
      <c r="C908">
        <v>4</v>
      </c>
      <c r="D908">
        <v>2</v>
      </c>
      <c r="E908">
        <v>4</v>
      </c>
      <c r="F908">
        <v>9</v>
      </c>
      <c r="G908">
        <v>8</v>
      </c>
      <c r="H908" t="str">
        <f>IF(Demographics[[#This Row],[DOB]]&gt;10000000, TEXT(Demographics[[#This Row],[DOB]],0),CONCATENATE("0",TEXT(Demographics[[#This Row],[DOB]],0)))</f>
        <v>12081987</v>
      </c>
      <c r="I908" s="4">
        <f ca="1">IFERROR((VALUE(TODAY()-DATE(RIGHT(Demographics[[#This Row],[DOB - Fixed]],4),MID(Demographics[[#This Row],[DOB - Fixed]],3,2),LEFT(Demographics[[#This Row],[DOB - Fixed]],2))))/365,0)</f>
        <v>36.098630136986301</v>
      </c>
      <c r="J908">
        <f>VLOOKUP(Demographics[[#This Row],[INCOME LEVEL]],Income[],4,FALSE)</f>
        <v>2100</v>
      </c>
      <c r="K908">
        <f>IFERROR(Demographics[[#This Row],[Total monthly income]]/Demographics[[#This Row],[FAMILY SIZE]], 0)</f>
        <v>525</v>
      </c>
    </row>
    <row r="909" spans="1:11" x14ac:dyDescent="0.2">
      <c r="A909">
        <v>21345115</v>
      </c>
      <c r="B909">
        <v>12101987</v>
      </c>
      <c r="C909">
        <v>3</v>
      </c>
      <c r="D909">
        <v>1</v>
      </c>
      <c r="E909">
        <v>1</v>
      </c>
      <c r="F909">
        <v>4</v>
      </c>
      <c r="G909">
        <v>4</v>
      </c>
      <c r="H909" t="str">
        <f>IF(Demographics[[#This Row],[DOB]]&gt;10000000, TEXT(Demographics[[#This Row],[DOB]],0),CONCATENATE("0",TEXT(Demographics[[#This Row],[DOB]],0)))</f>
        <v>12101987</v>
      </c>
      <c r="I909" s="4">
        <f ca="1">IFERROR((VALUE(TODAY()-DATE(RIGHT(Demographics[[#This Row],[DOB - Fixed]],4),MID(Demographics[[#This Row],[DOB - Fixed]],3,2),LEFT(Demographics[[#This Row],[DOB - Fixed]],2))))/365,0)</f>
        <v>35.93150684931507</v>
      </c>
      <c r="J909">
        <f>VLOOKUP(Demographics[[#This Row],[INCOME LEVEL]],Income[],4,FALSE)</f>
        <v>175</v>
      </c>
      <c r="K909">
        <f>IFERROR(Demographics[[#This Row],[Total monthly income]]/Demographics[[#This Row],[FAMILY SIZE]], 0)</f>
        <v>58.333333333333336</v>
      </c>
    </row>
    <row r="910" spans="1:11" x14ac:dyDescent="0.2">
      <c r="A910">
        <v>22963451</v>
      </c>
      <c r="B910">
        <v>28101987</v>
      </c>
      <c r="C910">
        <v>4</v>
      </c>
      <c r="D910">
        <v>1</v>
      </c>
      <c r="E910">
        <v>1</v>
      </c>
      <c r="F910">
        <v>2</v>
      </c>
      <c r="G910">
        <v>7</v>
      </c>
      <c r="H910" t="str">
        <f>IF(Demographics[[#This Row],[DOB]]&gt;10000000, TEXT(Demographics[[#This Row],[DOB]],0),CONCATENATE("0",TEXT(Demographics[[#This Row],[DOB]],0)))</f>
        <v>28101987</v>
      </c>
      <c r="I910" s="4">
        <f ca="1">IFERROR((VALUE(TODAY()-DATE(RIGHT(Demographics[[#This Row],[DOB - Fixed]],4),MID(Demographics[[#This Row],[DOB - Fixed]],3,2),LEFT(Demographics[[#This Row],[DOB - Fixed]],2))))/365,0)</f>
        <v>35.887671232876713</v>
      </c>
      <c r="J910">
        <f>VLOOKUP(Demographics[[#This Row],[INCOME LEVEL]],Income[],4,FALSE)</f>
        <v>175</v>
      </c>
      <c r="K910">
        <f>IFERROR(Demographics[[#This Row],[Total monthly income]]/Demographics[[#This Row],[FAMILY SIZE]], 0)</f>
        <v>43.75</v>
      </c>
    </row>
    <row r="911" spans="1:11" x14ac:dyDescent="0.2">
      <c r="A911">
        <v>5441175</v>
      </c>
      <c r="B911">
        <v>28091987</v>
      </c>
      <c r="C911">
        <v>5</v>
      </c>
      <c r="D911">
        <v>1</v>
      </c>
      <c r="E911">
        <v>2</v>
      </c>
      <c r="F911">
        <v>10</v>
      </c>
      <c r="G911">
        <v>5</v>
      </c>
      <c r="H911" t="str">
        <f>IF(Demographics[[#This Row],[DOB]]&gt;10000000, TEXT(Demographics[[#This Row],[DOB]],0),CONCATENATE("0",TEXT(Demographics[[#This Row],[DOB]],0)))</f>
        <v>28091987</v>
      </c>
      <c r="I911" s="4">
        <f ca="1">IFERROR((VALUE(TODAY()-DATE(RIGHT(Demographics[[#This Row],[DOB - Fixed]],4),MID(Demographics[[#This Row],[DOB - Fixed]],3,2),LEFT(Demographics[[#This Row],[DOB - Fixed]],2))))/365,0)</f>
        <v>35.969863013698628</v>
      </c>
      <c r="J911">
        <f>VLOOKUP(Demographics[[#This Row],[INCOME LEVEL]],Income[],4,FALSE)</f>
        <v>697.5</v>
      </c>
      <c r="K911">
        <f>IFERROR(Demographics[[#This Row],[Total monthly income]]/Demographics[[#This Row],[FAMILY SIZE]], 0)</f>
        <v>139.5</v>
      </c>
    </row>
    <row r="912" spans="1:11" x14ac:dyDescent="0.2">
      <c r="A912">
        <v>20496344</v>
      </c>
      <c r="B912">
        <v>6041986</v>
      </c>
      <c r="C912">
        <v>2</v>
      </c>
      <c r="D912">
        <v>1</v>
      </c>
      <c r="E912">
        <v>1</v>
      </c>
      <c r="F912">
        <v>5</v>
      </c>
      <c r="G912">
        <v>3</v>
      </c>
      <c r="H912" t="str">
        <f>IF(Demographics[[#This Row],[DOB]]&gt;10000000, TEXT(Demographics[[#This Row],[DOB]],0),CONCATENATE("0",TEXT(Demographics[[#This Row],[DOB]],0)))</f>
        <v>06041986</v>
      </c>
      <c r="I912" s="4">
        <f ca="1">IFERROR((VALUE(TODAY()-DATE(RIGHT(Demographics[[#This Row],[DOB - Fixed]],4),MID(Demographics[[#This Row],[DOB - Fixed]],3,2),LEFT(Demographics[[#This Row],[DOB - Fixed]],2))))/365,0)</f>
        <v>37.449315068493149</v>
      </c>
      <c r="J912">
        <f>VLOOKUP(Demographics[[#This Row],[INCOME LEVEL]],Income[],4,FALSE)</f>
        <v>175</v>
      </c>
      <c r="K912">
        <f>IFERROR(Demographics[[#This Row],[Total monthly income]]/Demographics[[#This Row],[FAMILY SIZE]], 0)</f>
        <v>87.5</v>
      </c>
    </row>
    <row r="913" spans="1:11" x14ac:dyDescent="0.2">
      <c r="A913">
        <v>18792062</v>
      </c>
      <c r="B913">
        <v>14111987</v>
      </c>
      <c r="C913">
        <v>5</v>
      </c>
      <c r="D913">
        <v>1</v>
      </c>
      <c r="E913">
        <v>1</v>
      </c>
      <c r="F913">
        <v>9</v>
      </c>
      <c r="G913">
        <v>9</v>
      </c>
      <c r="H913" t="str">
        <f>IF(Demographics[[#This Row],[DOB]]&gt;10000000, TEXT(Demographics[[#This Row],[DOB]],0),CONCATENATE("0",TEXT(Demographics[[#This Row],[DOB]],0)))</f>
        <v>14111987</v>
      </c>
      <c r="I913" s="4">
        <f ca="1">IFERROR((VALUE(TODAY()-DATE(RIGHT(Demographics[[#This Row],[DOB - Fixed]],4),MID(Demographics[[#This Row],[DOB - Fixed]],3,2),LEFT(Demographics[[#This Row],[DOB - Fixed]],2))))/365,0)</f>
        <v>35.841095890410962</v>
      </c>
      <c r="J913">
        <f>VLOOKUP(Demographics[[#This Row],[INCOME LEVEL]],Income[],4,FALSE)</f>
        <v>175</v>
      </c>
      <c r="K913">
        <f>IFERROR(Demographics[[#This Row],[Total monthly income]]/Demographics[[#This Row],[FAMILY SIZE]], 0)</f>
        <v>35</v>
      </c>
    </row>
    <row r="914" spans="1:11" x14ac:dyDescent="0.2">
      <c r="A914">
        <v>24565150</v>
      </c>
      <c r="B914">
        <v>9111987</v>
      </c>
      <c r="C914">
        <v>5</v>
      </c>
      <c r="D914">
        <v>2</v>
      </c>
      <c r="E914">
        <v>4</v>
      </c>
      <c r="F914">
        <v>9</v>
      </c>
      <c r="G914">
        <v>9</v>
      </c>
      <c r="H914" t="str">
        <f>IF(Demographics[[#This Row],[DOB]]&gt;10000000, TEXT(Demographics[[#This Row],[DOB]],0),CONCATENATE("0",TEXT(Demographics[[#This Row],[DOB]],0)))</f>
        <v>09111987</v>
      </c>
      <c r="I914" s="4">
        <f ca="1">IFERROR((VALUE(TODAY()-DATE(RIGHT(Demographics[[#This Row],[DOB - Fixed]],4),MID(Demographics[[#This Row],[DOB - Fixed]],3,2),LEFT(Demographics[[#This Row],[DOB - Fixed]],2))))/365,0)</f>
        <v>35.854794520547948</v>
      </c>
      <c r="J914">
        <f>VLOOKUP(Demographics[[#This Row],[INCOME LEVEL]],Income[],4,FALSE)</f>
        <v>2100</v>
      </c>
      <c r="K914">
        <f>IFERROR(Demographics[[#This Row],[Total monthly income]]/Demographics[[#This Row],[FAMILY SIZE]], 0)</f>
        <v>420</v>
      </c>
    </row>
    <row r="915" spans="1:11" x14ac:dyDescent="0.2">
      <c r="A915">
        <v>20395081</v>
      </c>
      <c r="B915">
        <v>1111987</v>
      </c>
      <c r="C915">
        <v>4</v>
      </c>
      <c r="D915">
        <v>2</v>
      </c>
      <c r="E915">
        <v>1</v>
      </c>
      <c r="F915">
        <v>2</v>
      </c>
      <c r="G915">
        <v>2</v>
      </c>
      <c r="H915" t="str">
        <f>IF(Demographics[[#This Row],[DOB]]&gt;10000000, TEXT(Demographics[[#This Row],[DOB]],0),CONCATENATE("0",TEXT(Demographics[[#This Row],[DOB]],0)))</f>
        <v>01111987</v>
      </c>
      <c r="I915" s="4">
        <f ca="1">IFERROR((VALUE(TODAY()-DATE(RIGHT(Demographics[[#This Row],[DOB - Fixed]],4),MID(Demographics[[#This Row],[DOB - Fixed]],3,2),LEFT(Demographics[[#This Row],[DOB - Fixed]],2))))/365,0)</f>
        <v>35.876712328767127</v>
      </c>
      <c r="J915">
        <f>VLOOKUP(Demographics[[#This Row],[INCOME LEVEL]],Income[],4,FALSE)</f>
        <v>175</v>
      </c>
      <c r="K915">
        <f>IFERROR(Demographics[[#This Row],[Total monthly income]]/Demographics[[#This Row],[FAMILY SIZE]], 0)</f>
        <v>43.75</v>
      </c>
    </row>
    <row r="916" spans="1:11" x14ac:dyDescent="0.2">
      <c r="A916">
        <v>16121769</v>
      </c>
      <c r="B916">
        <v>15111987</v>
      </c>
      <c r="C916">
        <v>2</v>
      </c>
      <c r="D916">
        <v>1</v>
      </c>
      <c r="E916">
        <v>1</v>
      </c>
      <c r="F916">
        <v>5</v>
      </c>
      <c r="G916">
        <v>5</v>
      </c>
      <c r="H916" t="str">
        <f>IF(Demographics[[#This Row],[DOB]]&gt;10000000, TEXT(Demographics[[#This Row],[DOB]],0),CONCATENATE("0",TEXT(Demographics[[#This Row],[DOB]],0)))</f>
        <v>15111987</v>
      </c>
      <c r="I916" s="4">
        <f ca="1">IFERROR((VALUE(TODAY()-DATE(RIGHT(Demographics[[#This Row],[DOB - Fixed]],4),MID(Demographics[[#This Row],[DOB - Fixed]],3,2),LEFT(Demographics[[#This Row],[DOB - Fixed]],2))))/365,0)</f>
        <v>35.838356164383562</v>
      </c>
      <c r="J916">
        <f>VLOOKUP(Demographics[[#This Row],[INCOME LEVEL]],Income[],4,FALSE)</f>
        <v>175</v>
      </c>
      <c r="K916">
        <f>IFERROR(Demographics[[#This Row],[Total monthly income]]/Demographics[[#This Row],[FAMILY SIZE]], 0)</f>
        <v>87.5</v>
      </c>
    </row>
    <row r="917" spans="1:11" x14ac:dyDescent="0.2">
      <c r="A917">
        <v>7144307</v>
      </c>
      <c r="B917">
        <v>14111987</v>
      </c>
      <c r="C917">
        <v>4</v>
      </c>
      <c r="D917">
        <v>1</v>
      </c>
      <c r="E917">
        <v>2</v>
      </c>
      <c r="F917">
        <v>5</v>
      </c>
      <c r="G917">
        <v>3</v>
      </c>
      <c r="H917" t="str">
        <f>IF(Demographics[[#This Row],[DOB]]&gt;10000000, TEXT(Demographics[[#This Row],[DOB]],0),CONCATENATE("0",TEXT(Demographics[[#This Row],[DOB]],0)))</f>
        <v>14111987</v>
      </c>
      <c r="I917" s="4">
        <f ca="1">IFERROR((VALUE(TODAY()-DATE(RIGHT(Demographics[[#This Row],[DOB - Fixed]],4),MID(Demographics[[#This Row],[DOB - Fixed]],3,2),LEFT(Demographics[[#This Row],[DOB - Fixed]],2))))/365,0)</f>
        <v>35.841095890410962</v>
      </c>
      <c r="J917">
        <f>VLOOKUP(Demographics[[#This Row],[INCOME LEVEL]],Income[],4,FALSE)</f>
        <v>697.5</v>
      </c>
      <c r="K917">
        <f>IFERROR(Demographics[[#This Row],[Total monthly income]]/Demographics[[#This Row],[FAMILY SIZE]], 0)</f>
        <v>174.375</v>
      </c>
    </row>
    <row r="918" spans="1:11" x14ac:dyDescent="0.2">
      <c r="A918">
        <v>3838991</v>
      </c>
      <c r="B918">
        <v>20091987</v>
      </c>
      <c r="C918">
        <v>0</v>
      </c>
      <c r="D918">
        <v>0</v>
      </c>
      <c r="E918">
        <v>1</v>
      </c>
      <c r="F918">
        <v>0</v>
      </c>
      <c r="G918">
        <v>0</v>
      </c>
      <c r="H918" t="str">
        <f>IF(Demographics[[#This Row],[DOB]]&gt;10000000, TEXT(Demographics[[#This Row],[DOB]],0),CONCATENATE("0",TEXT(Demographics[[#This Row],[DOB]],0)))</f>
        <v>20091987</v>
      </c>
      <c r="I918" s="4">
        <f ca="1">IFERROR((VALUE(TODAY()-DATE(RIGHT(Demographics[[#This Row],[DOB - Fixed]],4),MID(Demographics[[#This Row],[DOB - Fixed]],3,2),LEFT(Demographics[[#This Row],[DOB - Fixed]],2))))/365,0)</f>
        <v>35.991780821917807</v>
      </c>
      <c r="J918">
        <f>VLOOKUP(Demographics[[#This Row],[INCOME LEVEL]],Income[],4,FALSE)</f>
        <v>175</v>
      </c>
      <c r="K918">
        <f>IFERROR(Demographics[[#This Row],[Total monthly income]]/Demographics[[#This Row],[FAMILY SIZE]], 0)</f>
        <v>0</v>
      </c>
    </row>
    <row r="919" spans="1:11" x14ac:dyDescent="0.2">
      <c r="A919">
        <v>1803436</v>
      </c>
      <c r="B919">
        <v>11111987</v>
      </c>
      <c r="C919">
        <v>5</v>
      </c>
      <c r="D919">
        <v>1</v>
      </c>
      <c r="E919">
        <v>1</v>
      </c>
      <c r="F919">
        <v>3</v>
      </c>
      <c r="G919">
        <v>4</v>
      </c>
      <c r="H919" t="str">
        <f>IF(Demographics[[#This Row],[DOB]]&gt;10000000, TEXT(Demographics[[#This Row],[DOB]],0),CONCATENATE("0",TEXT(Demographics[[#This Row],[DOB]],0)))</f>
        <v>11111987</v>
      </c>
      <c r="I919" s="4">
        <f ca="1">IFERROR((VALUE(TODAY()-DATE(RIGHT(Demographics[[#This Row],[DOB - Fixed]],4),MID(Demographics[[#This Row],[DOB - Fixed]],3,2),LEFT(Demographics[[#This Row],[DOB - Fixed]],2))))/365,0)</f>
        <v>35.849315068493148</v>
      </c>
      <c r="J919">
        <f>VLOOKUP(Demographics[[#This Row],[INCOME LEVEL]],Income[],4,FALSE)</f>
        <v>175</v>
      </c>
      <c r="K919">
        <f>IFERROR(Demographics[[#This Row],[Total monthly income]]/Demographics[[#This Row],[FAMILY SIZE]], 0)</f>
        <v>35</v>
      </c>
    </row>
    <row r="920" spans="1:11" x14ac:dyDescent="0.2">
      <c r="A920">
        <v>19427793</v>
      </c>
      <c r="B920">
        <v>19111987</v>
      </c>
      <c r="C920">
        <v>4</v>
      </c>
      <c r="D920">
        <v>1</v>
      </c>
      <c r="E920">
        <v>1</v>
      </c>
      <c r="F920">
        <v>5</v>
      </c>
      <c r="G920">
        <v>5</v>
      </c>
      <c r="H920" t="str">
        <f>IF(Demographics[[#This Row],[DOB]]&gt;10000000, TEXT(Demographics[[#This Row],[DOB]],0),CONCATENATE("0",TEXT(Demographics[[#This Row],[DOB]],0)))</f>
        <v>19111987</v>
      </c>
      <c r="I920" s="4">
        <f ca="1">IFERROR((VALUE(TODAY()-DATE(RIGHT(Demographics[[#This Row],[DOB - Fixed]],4),MID(Demographics[[#This Row],[DOB - Fixed]],3,2),LEFT(Demographics[[#This Row],[DOB - Fixed]],2))))/365,0)</f>
        <v>35.827397260273976</v>
      </c>
      <c r="J920">
        <f>VLOOKUP(Demographics[[#This Row],[INCOME LEVEL]],Income[],4,FALSE)</f>
        <v>175</v>
      </c>
      <c r="K920">
        <f>IFERROR(Demographics[[#This Row],[Total monthly income]]/Demographics[[#This Row],[FAMILY SIZE]], 0)</f>
        <v>43.75</v>
      </c>
    </row>
    <row r="921" spans="1:11" x14ac:dyDescent="0.2">
      <c r="A921">
        <v>13985999</v>
      </c>
      <c r="B921">
        <v>19111987</v>
      </c>
      <c r="C921">
        <v>4</v>
      </c>
      <c r="D921">
        <v>1</v>
      </c>
      <c r="E921">
        <v>1</v>
      </c>
      <c r="F921">
        <v>5</v>
      </c>
      <c r="G921">
        <v>4</v>
      </c>
      <c r="H921" t="str">
        <f>IF(Demographics[[#This Row],[DOB]]&gt;10000000, TEXT(Demographics[[#This Row],[DOB]],0),CONCATENATE("0",TEXT(Demographics[[#This Row],[DOB]],0)))</f>
        <v>19111987</v>
      </c>
      <c r="I921" s="4">
        <f ca="1">IFERROR((VALUE(TODAY()-DATE(RIGHT(Demographics[[#This Row],[DOB - Fixed]],4),MID(Demographics[[#This Row],[DOB - Fixed]],3,2),LEFT(Demographics[[#This Row],[DOB - Fixed]],2))))/365,0)</f>
        <v>35.827397260273976</v>
      </c>
      <c r="J921">
        <f>VLOOKUP(Demographics[[#This Row],[INCOME LEVEL]],Income[],4,FALSE)</f>
        <v>175</v>
      </c>
      <c r="K921">
        <f>IFERROR(Demographics[[#This Row],[Total monthly income]]/Demographics[[#This Row],[FAMILY SIZE]], 0)</f>
        <v>43.75</v>
      </c>
    </row>
    <row r="922" spans="1:11" x14ac:dyDescent="0.2">
      <c r="A922">
        <v>9713445</v>
      </c>
      <c r="B922">
        <v>16111987</v>
      </c>
      <c r="C922">
        <v>4</v>
      </c>
      <c r="D922">
        <v>1</v>
      </c>
      <c r="E922">
        <v>1</v>
      </c>
      <c r="F922">
        <v>5</v>
      </c>
      <c r="G922">
        <v>5</v>
      </c>
      <c r="H922" t="str">
        <f>IF(Demographics[[#This Row],[DOB]]&gt;10000000, TEXT(Demographics[[#This Row],[DOB]],0),CONCATENATE("0",TEXT(Demographics[[#This Row],[DOB]],0)))</f>
        <v>16111987</v>
      </c>
      <c r="I922" s="4">
        <f ca="1">IFERROR((VALUE(TODAY()-DATE(RIGHT(Demographics[[#This Row],[DOB - Fixed]],4),MID(Demographics[[#This Row],[DOB - Fixed]],3,2),LEFT(Demographics[[#This Row],[DOB - Fixed]],2))))/365,0)</f>
        <v>35.835616438356162</v>
      </c>
      <c r="J922">
        <f>VLOOKUP(Demographics[[#This Row],[INCOME LEVEL]],Income[],4,FALSE)</f>
        <v>175</v>
      </c>
      <c r="K922">
        <f>IFERROR(Demographics[[#This Row],[Total monthly income]]/Demographics[[#This Row],[FAMILY SIZE]], 0)</f>
        <v>43.75</v>
      </c>
    </row>
    <row r="923" spans="1:11" x14ac:dyDescent="0.2">
      <c r="A923">
        <v>1167797</v>
      </c>
      <c r="B923">
        <v>8111987</v>
      </c>
      <c r="C923">
        <v>3</v>
      </c>
      <c r="D923">
        <v>1</v>
      </c>
      <c r="E923">
        <v>1</v>
      </c>
      <c r="F923">
        <v>5</v>
      </c>
      <c r="G923">
        <v>2</v>
      </c>
      <c r="H923" t="str">
        <f>IF(Demographics[[#This Row],[DOB]]&gt;10000000, TEXT(Demographics[[#This Row],[DOB]],0),CONCATENATE("0",TEXT(Demographics[[#This Row],[DOB]],0)))</f>
        <v>08111987</v>
      </c>
      <c r="I923" s="4">
        <f ca="1">IFERROR((VALUE(TODAY()-DATE(RIGHT(Demographics[[#This Row],[DOB - Fixed]],4),MID(Demographics[[#This Row],[DOB - Fixed]],3,2),LEFT(Demographics[[#This Row],[DOB - Fixed]],2))))/365,0)</f>
        <v>35.857534246575341</v>
      </c>
      <c r="J923">
        <f>VLOOKUP(Demographics[[#This Row],[INCOME LEVEL]],Income[],4,FALSE)</f>
        <v>175</v>
      </c>
      <c r="K923">
        <f>IFERROR(Demographics[[#This Row],[Total monthly income]]/Demographics[[#This Row],[FAMILY SIZE]], 0)</f>
        <v>58.333333333333336</v>
      </c>
    </row>
    <row r="924" spans="1:11" x14ac:dyDescent="0.2">
      <c r="A924">
        <v>8212542</v>
      </c>
      <c r="B924">
        <v>10091987</v>
      </c>
      <c r="C924">
        <v>7</v>
      </c>
      <c r="D924">
        <v>1</v>
      </c>
      <c r="E924">
        <v>1</v>
      </c>
      <c r="F924">
        <v>5</v>
      </c>
      <c r="G924">
        <v>4</v>
      </c>
      <c r="H924" t="str">
        <f>IF(Demographics[[#This Row],[DOB]]&gt;10000000, TEXT(Demographics[[#This Row],[DOB]],0),CONCATENATE("0",TEXT(Demographics[[#This Row],[DOB]],0)))</f>
        <v>10091987</v>
      </c>
      <c r="I924" s="4">
        <f ca="1">IFERROR((VALUE(TODAY()-DATE(RIGHT(Demographics[[#This Row],[DOB - Fixed]],4),MID(Demographics[[#This Row],[DOB - Fixed]],3,2),LEFT(Demographics[[#This Row],[DOB - Fixed]],2))))/365,0)</f>
        <v>36.019178082191779</v>
      </c>
      <c r="J924">
        <f>VLOOKUP(Demographics[[#This Row],[INCOME LEVEL]],Income[],4,FALSE)</f>
        <v>175</v>
      </c>
      <c r="K924">
        <f>IFERROR(Demographics[[#This Row],[Total monthly income]]/Demographics[[#This Row],[FAMILY SIZE]], 0)</f>
        <v>25</v>
      </c>
    </row>
    <row r="925" spans="1:11" x14ac:dyDescent="0.2">
      <c r="A925">
        <v>18792063</v>
      </c>
      <c r="B925">
        <v>6111987</v>
      </c>
      <c r="C925">
        <v>6</v>
      </c>
      <c r="D925">
        <v>1</v>
      </c>
      <c r="E925">
        <v>1</v>
      </c>
      <c r="F925">
        <v>3</v>
      </c>
      <c r="G925">
        <v>5</v>
      </c>
      <c r="H925" t="str">
        <f>IF(Demographics[[#This Row],[DOB]]&gt;10000000, TEXT(Demographics[[#This Row],[DOB]],0),CONCATENATE("0",TEXT(Demographics[[#This Row],[DOB]],0)))</f>
        <v>06111987</v>
      </c>
      <c r="I925" s="4">
        <f ca="1">IFERROR((VALUE(TODAY()-DATE(RIGHT(Demographics[[#This Row],[DOB - Fixed]],4),MID(Demographics[[#This Row],[DOB - Fixed]],3,2),LEFT(Demographics[[#This Row],[DOB - Fixed]],2))))/365,0)</f>
        <v>35.863013698630134</v>
      </c>
      <c r="J925">
        <f>VLOOKUP(Demographics[[#This Row],[INCOME LEVEL]],Income[],4,FALSE)</f>
        <v>175</v>
      </c>
      <c r="K925">
        <f>IFERROR(Demographics[[#This Row],[Total monthly income]]/Demographics[[#This Row],[FAMILY SIZE]], 0)</f>
        <v>29.166666666666668</v>
      </c>
    </row>
    <row r="926" spans="1:11" x14ac:dyDescent="0.2">
      <c r="A926">
        <v>18359104</v>
      </c>
      <c r="B926">
        <v>26111987</v>
      </c>
      <c r="C926">
        <v>5</v>
      </c>
      <c r="D926">
        <v>1</v>
      </c>
      <c r="E926">
        <v>4</v>
      </c>
      <c r="F926">
        <v>8</v>
      </c>
      <c r="G926">
        <v>7</v>
      </c>
      <c r="H926" t="str">
        <f>IF(Demographics[[#This Row],[DOB]]&gt;10000000, TEXT(Demographics[[#This Row],[DOB]],0),CONCATENATE("0",TEXT(Demographics[[#This Row],[DOB]],0)))</f>
        <v>26111987</v>
      </c>
      <c r="I926" s="4">
        <f ca="1">IFERROR((VALUE(TODAY()-DATE(RIGHT(Demographics[[#This Row],[DOB - Fixed]],4),MID(Demographics[[#This Row],[DOB - Fixed]],3,2),LEFT(Demographics[[#This Row],[DOB - Fixed]],2))))/365,0)</f>
        <v>35.80821917808219</v>
      </c>
      <c r="J926">
        <f>VLOOKUP(Demographics[[#This Row],[INCOME LEVEL]],Income[],4,FALSE)</f>
        <v>2100</v>
      </c>
      <c r="K926">
        <f>IFERROR(Demographics[[#This Row],[Total monthly income]]/Demographics[[#This Row],[FAMILY SIZE]], 0)</f>
        <v>420</v>
      </c>
    </row>
    <row r="927" spans="1:11" x14ac:dyDescent="0.2">
      <c r="A927">
        <v>15155103</v>
      </c>
      <c r="B927">
        <v>21101987</v>
      </c>
      <c r="C927">
        <v>5</v>
      </c>
      <c r="D927">
        <v>2</v>
      </c>
      <c r="E927">
        <v>1</v>
      </c>
      <c r="F927">
        <v>7</v>
      </c>
      <c r="G927">
        <v>4</v>
      </c>
      <c r="H927" t="str">
        <f>IF(Demographics[[#This Row],[DOB]]&gt;10000000, TEXT(Demographics[[#This Row],[DOB]],0),CONCATENATE("0",TEXT(Demographics[[#This Row],[DOB]],0)))</f>
        <v>21101987</v>
      </c>
      <c r="I927" s="4">
        <f ca="1">IFERROR((VALUE(TODAY()-DATE(RIGHT(Demographics[[#This Row],[DOB - Fixed]],4),MID(Demographics[[#This Row],[DOB - Fixed]],3,2),LEFT(Demographics[[#This Row],[DOB - Fixed]],2))))/365,0)</f>
        <v>35.906849315068492</v>
      </c>
      <c r="J927">
        <f>VLOOKUP(Demographics[[#This Row],[INCOME LEVEL]],Income[],4,FALSE)</f>
        <v>175</v>
      </c>
      <c r="K927">
        <f>IFERROR(Demographics[[#This Row],[Total monthly income]]/Demographics[[#This Row],[FAMILY SIZE]], 0)</f>
        <v>35</v>
      </c>
    </row>
    <row r="928" spans="1:11" x14ac:dyDescent="0.2">
      <c r="A928">
        <v>4906616</v>
      </c>
      <c r="B928">
        <v>4111987</v>
      </c>
      <c r="C928">
        <v>6</v>
      </c>
      <c r="D928">
        <v>1</v>
      </c>
      <c r="E928">
        <v>1</v>
      </c>
      <c r="F928">
        <v>3</v>
      </c>
      <c r="G928">
        <v>2</v>
      </c>
      <c r="H928" t="str">
        <f>IF(Demographics[[#This Row],[DOB]]&gt;10000000, TEXT(Demographics[[#This Row],[DOB]],0),CONCATENATE("0",TEXT(Demographics[[#This Row],[DOB]],0)))</f>
        <v>04111987</v>
      </c>
      <c r="I928" s="4">
        <f ca="1">IFERROR((VALUE(TODAY()-DATE(RIGHT(Demographics[[#This Row],[DOB - Fixed]],4),MID(Demographics[[#This Row],[DOB - Fixed]],3,2),LEFT(Demographics[[#This Row],[DOB - Fixed]],2))))/365,0)</f>
        <v>35.868493150684934</v>
      </c>
      <c r="J928">
        <f>VLOOKUP(Demographics[[#This Row],[INCOME LEVEL]],Income[],4,FALSE)</f>
        <v>175</v>
      </c>
      <c r="K928">
        <f>IFERROR(Demographics[[#This Row],[Total monthly income]]/Demographics[[#This Row],[FAMILY SIZE]], 0)</f>
        <v>29.166666666666668</v>
      </c>
    </row>
    <row r="929" spans="1:11" x14ac:dyDescent="0.2">
      <c r="A929">
        <v>20929005</v>
      </c>
      <c r="B929">
        <v>26101987</v>
      </c>
      <c r="C929">
        <v>0</v>
      </c>
      <c r="D929">
        <v>0</v>
      </c>
      <c r="E929">
        <v>1</v>
      </c>
      <c r="F929">
        <v>0</v>
      </c>
      <c r="G929">
        <v>0</v>
      </c>
      <c r="H929" t="str">
        <f>IF(Demographics[[#This Row],[DOB]]&gt;10000000, TEXT(Demographics[[#This Row],[DOB]],0),CONCATENATE("0",TEXT(Demographics[[#This Row],[DOB]],0)))</f>
        <v>26101987</v>
      </c>
      <c r="I929" s="4">
        <f ca="1">IFERROR((VALUE(TODAY()-DATE(RIGHT(Demographics[[#This Row],[DOB - Fixed]],4),MID(Demographics[[#This Row],[DOB - Fixed]],3,2),LEFT(Demographics[[#This Row],[DOB - Fixed]],2))))/365,0)</f>
        <v>35.893150684931506</v>
      </c>
      <c r="J929">
        <f>VLOOKUP(Demographics[[#This Row],[INCOME LEVEL]],Income[],4,FALSE)</f>
        <v>175</v>
      </c>
      <c r="K929">
        <f>IFERROR(Demographics[[#This Row],[Total monthly income]]/Demographics[[#This Row],[FAMILY SIZE]], 0)</f>
        <v>0</v>
      </c>
    </row>
    <row r="930" spans="1:11" x14ac:dyDescent="0.2">
      <c r="A930">
        <v>19861037</v>
      </c>
      <c r="B930">
        <v>31101987</v>
      </c>
      <c r="C930">
        <v>5</v>
      </c>
      <c r="D930">
        <v>1</v>
      </c>
      <c r="E930">
        <v>1</v>
      </c>
      <c r="F930">
        <v>4</v>
      </c>
      <c r="G930">
        <v>2</v>
      </c>
      <c r="H930" t="str">
        <f>IF(Demographics[[#This Row],[DOB]]&gt;10000000, TEXT(Demographics[[#This Row],[DOB]],0),CONCATENATE("0",TEXT(Demographics[[#This Row],[DOB]],0)))</f>
        <v>31101987</v>
      </c>
      <c r="I930" s="4">
        <f ca="1">IFERROR((VALUE(TODAY()-DATE(RIGHT(Demographics[[#This Row],[DOB - Fixed]],4),MID(Demographics[[#This Row],[DOB - Fixed]],3,2),LEFT(Demographics[[#This Row],[DOB - Fixed]],2))))/365,0)</f>
        <v>35.87945205479452</v>
      </c>
      <c r="J930">
        <f>VLOOKUP(Demographics[[#This Row],[INCOME LEVEL]],Income[],4,FALSE)</f>
        <v>175</v>
      </c>
      <c r="K930">
        <f>IFERROR(Demographics[[#This Row],[Total monthly income]]/Demographics[[#This Row],[FAMILY SIZE]], 0)</f>
        <v>35</v>
      </c>
    </row>
    <row r="931" spans="1:11" x14ac:dyDescent="0.2">
      <c r="A931">
        <v>18893252</v>
      </c>
      <c r="B931">
        <v>19111987</v>
      </c>
      <c r="C931">
        <v>3</v>
      </c>
      <c r="D931">
        <v>2</v>
      </c>
      <c r="E931">
        <v>3</v>
      </c>
      <c r="F931">
        <v>7</v>
      </c>
      <c r="G931">
        <v>7</v>
      </c>
      <c r="H931" t="str">
        <f>IF(Demographics[[#This Row],[DOB]]&gt;10000000, TEXT(Demographics[[#This Row],[DOB]],0),CONCATENATE("0",TEXT(Demographics[[#This Row],[DOB]],0)))</f>
        <v>19111987</v>
      </c>
      <c r="I931" s="4">
        <f ca="1">IFERROR((VALUE(TODAY()-DATE(RIGHT(Demographics[[#This Row],[DOB - Fixed]],4),MID(Demographics[[#This Row],[DOB - Fixed]],3,2),LEFT(Demographics[[#This Row],[DOB - Fixed]],2))))/365,0)</f>
        <v>35.827397260273976</v>
      </c>
      <c r="J931">
        <f>VLOOKUP(Demographics[[#This Row],[INCOME LEVEL]],Income[],4,FALSE)</f>
        <v>1397.5</v>
      </c>
      <c r="K931">
        <f>IFERROR(Demographics[[#This Row],[Total monthly income]]/Demographics[[#This Row],[FAMILY SIZE]], 0)</f>
        <v>465.83333333333331</v>
      </c>
    </row>
    <row r="932" spans="1:11" x14ac:dyDescent="0.2">
      <c r="A932">
        <v>10348661</v>
      </c>
      <c r="B932">
        <v>9101987</v>
      </c>
      <c r="C932">
        <v>5</v>
      </c>
      <c r="D932">
        <v>2</v>
      </c>
      <c r="E932">
        <v>2</v>
      </c>
      <c r="F932">
        <v>9</v>
      </c>
      <c r="G932">
        <v>9</v>
      </c>
      <c r="H932" t="str">
        <f>IF(Demographics[[#This Row],[DOB]]&gt;10000000, TEXT(Demographics[[#This Row],[DOB]],0),CONCATENATE("0",TEXT(Demographics[[#This Row],[DOB]],0)))</f>
        <v>09101987</v>
      </c>
      <c r="I932" s="4">
        <f ca="1">IFERROR((VALUE(TODAY()-DATE(RIGHT(Demographics[[#This Row],[DOB - Fixed]],4),MID(Demographics[[#This Row],[DOB - Fixed]],3,2),LEFT(Demographics[[#This Row],[DOB - Fixed]],2))))/365,0)</f>
        <v>35.939726027397263</v>
      </c>
      <c r="J932">
        <f>VLOOKUP(Demographics[[#This Row],[INCOME LEVEL]],Income[],4,FALSE)</f>
        <v>697.5</v>
      </c>
      <c r="K932">
        <f>IFERROR(Demographics[[#This Row],[Total monthly income]]/Demographics[[#This Row],[FAMILY SIZE]], 0)</f>
        <v>139.5</v>
      </c>
    </row>
    <row r="933" spans="1:11" x14ac:dyDescent="0.2">
      <c r="A933">
        <v>3838990</v>
      </c>
      <c r="B933">
        <v>2121987</v>
      </c>
      <c r="C933">
        <v>4</v>
      </c>
      <c r="D933">
        <v>2</v>
      </c>
      <c r="E933">
        <v>2</v>
      </c>
      <c r="F933">
        <v>7</v>
      </c>
      <c r="G933">
        <v>5</v>
      </c>
      <c r="H933" t="str">
        <f>IF(Demographics[[#This Row],[DOB]]&gt;10000000, TEXT(Demographics[[#This Row],[DOB]],0),CONCATENATE("0",TEXT(Demographics[[#This Row],[DOB]],0)))</f>
        <v>02121987</v>
      </c>
      <c r="I933" s="4">
        <f ca="1">IFERROR((VALUE(TODAY()-DATE(RIGHT(Demographics[[#This Row],[DOB - Fixed]],4),MID(Demographics[[#This Row],[DOB - Fixed]],3,2),LEFT(Demographics[[#This Row],[DOB - Fixed]],2))))/365,0)</f>
        <v>35.791780821917811</v>
      </c>
      <c r="J933">
        <f>VLOOKUP(Demographics[[#This Row],[INCOME LEVEL]],Income[],4,FALSE)</f>
        <v>697.5</v>
      </c>
      <c r="K933">
        <f>IFERROR(Demographics[[#This Row],[Total monthly income]]/Demographics[[#This Row],[FAMILY SIZE]], 0)</f>
        <v>174.375</v>
      </c>
    </row>
    <row r="934" spans="1:11" x14ac:dyDescent="0.2">
      <c r="A934">
        <v>1803435</v>
      </c>
      <c r="B934">
        <v>28111987</v>
      </c>
      <c r="C934">
        <v>6</v>
      </c>
      <c r="D934">
        <v>1</v>
      </c>
      <c r="E934">
        <v>2</v>
      </c>
      <c r="F934">
        <v>5</v>
      </c>
      <c r="G934">
        <v>4</v>
      </c>
      <c r="H934" t="str">
        <f>IF(Demographics[[#This Row],[DOB]]&gt;10000000, TEXT(Demographics[[#This Row],[DOB]],0),CONCATENATE("0",TEXT(Demographics[[#This Row],[DOB]],0)))</f>
        <v>28111987</v>
      </c>
      <c r="I934" s="4">
        <f ca="1">IFERROR((VALUE(TODAY()-DATE(RIGHT(Demographics[[#This Row],[DOB - Fixed]],4),MID(Demographics[[#This Row],[DOB - Fixed]],3,2),LEFT(Demographics[[#This Row],[DOB - Fixed]],2))))/365,0)</f>
        <v>35.802739726027397</v>
      </c>
      <c r="J934">
        <f>VLOOKUP(Demographics[[#This Row],[INCOME LEVEL]],Income[],4,FALSE)</f>
        <v>697.5</v>
      </c>
      <c r="K934">
        <f>IFERROR(Demographics[[#This Row],[Total monthly income]]/Demographics[[#This Row],[FAMILY SIZE]], 0)</f>
        <v>116.25</v>
      </c>
    </row>
    <row r="935" spans="1:11" x14ac:dyDescent="0.2">
      <c r="A935">
        <v>8645355</v>
      </c>
      <c r="B935">
        <v>14071987</v>
      </c>
      <c r="C935">
        <v>5</v>
      </c>
      <c r="D935">
        <v>2</v>
      </c>
      <c r="E935">
        <v>2</v>
      </c>
      <c r="F935">
        <v>9</v>
      </c>
      <c r="G935">
        <v>9</v>
      </c>
      <c r="H935" t="str">
        <f>IF(Demographics[[#This Row],[DOB]]&gt;10000000, TEXT(Demographics[[#This Row],[DOB]],0),CONCATENATE("0",TEXT(Demographics[[#This Row],[DOB]],0)))</f>
        <v>14071987</v>
      </c>
      <c r="I935" s="4">
        <f ca="1">IFERROR((VALUE(TODAY()-DATE(RIGHT(Demographics[[#This Row],[DOB - Fixed]],4),MID(Demographics[[#This Row],[DOB - Fixed]],3,2),LEFT(Demographics[[#This Row],[DOB - Fixed]],2))))/365,0)</f>
        <v>36.178082191780824</v>
      </c>
      <c r="J935">
        <f>VLOOKUP(Demographics[[#This Row],[INCOME LEVEL]],Income[],4,FALSE)</f>
        <v>697.5</v>
      </c>
      <c r="K935">
        <f>IFERROR(Demographics[[#This Row],[Total monthly income]]/Demographics[[#This Row],[FAMILY SIZE]], 0)</f>
        <v>139.5</v>
      </c>
    </row>
    <row r="936" spans="1:11" x14ac:dyDescent="0.2">
      <c r="A936">
        <v>5109324</v>
      </c>
      <c r="B936">
        <v>23101987</v>
      </c>
      <c r="C936">
        <v>8</v>
      </c>
      <c r="D936">
        <v>1</v>
      </c>
      <c r="E936">
        <v>1</v>
      </c>
      <c r="F936">
        <v>4</v>
      </c>
      <c r="G936">
        <v>8</v>
      </c>
      <c r="H936" t="str">
        <f>IF(Demographics[[#This Row],[DOB]]&gt;10000000, TEXT(Demographics[[#This Row],[DOB]],0),CONCATENATE("0",TEXT(Demographics[[#This Row],[DOB]],0)))</f>
        <v>23101987</v>
      </c>
      <c r="I936" s="4">
        <f ca="1">IFERROR((VALUE(TODAY()-DATE(RIGHT(Demographics[[#This Row],[DOB - Fixed]],4),MID(Demographics[[#This Row],[DOB - Fixed]],3,2),LEFT(Demographics[[#This Row],[DOB - Fixed]],2))))/365,0)</f>
        <v>35.901369863013699</v>
      </c>
      <c r="J936">
        <f>VLOOKUP(Demographics[[#This Row],[INCOME LEVEL]],Income[],4,FALSE)</f>
        <v>175</v>
      </c>
      <c r="K936">
        <f>IFERROR(Demographics[[#This Row],[Total monthly income]]/Demographics[[#This Row],[FAMILY SIZE]], 0)</f>
        <v>21.875</v>
      </c>
    </row>
    <row r="937" spans="1:11" x14ac:dyDescent="0.2">
      <c r="A937">
        <v>13710296</v>
      </c>
      <c r="B937">
        <v>14121987</v>
      </c>
      <c r="C937">
        <v>10</v>
      </c>
      <c r="D937">
        <v>3</v>
      </c>
      <c r="E937">
        <v>6</v>
      </c>
      <c r="F937">
        <v>9</v>
      </c>
      <c r="G937">
        <v>9</v>
      </c>
      <c r="H937" t="str">
        <f>IF(Demographics[[#This Row],[DOB]]&gt;10000000, TEXT(Demographics[[#This Row],[DOB]],0),CONCATENATE("0",TEXT(Demographics[[#This Row],[DOB]],0)))</f>
        <v>14121987</v>
      </c>
      <c r="I937" s="4">
        <f ca="1">IFERROR((VALUE(TODAY()-DATE(RIGHT(Demographics[[#This Row],[DOB - Fixed]],4),MID(Demographics[[#This Row],[DOB - Fixed]],3,2),LEFT(Demographics[[#This Row],[DOB - Fixed]],2))))/365,0)</f>
        <v>35.758904109589039</v>
      </c>
      <c r="J937">
        <f>VLOOKUP(Demographics[[#This Row],[INCOME LEVEL]],Income[],4,FALSE)</f>
        <v>4000</v>
      </c>
      <c r="K937">
        <f>IFERROR(Demographics[[#This Row],[Total monthly income]]/Demographics[[#This Row],[FAMILY SIZE]], 0)</f>
        <v>400</v>
      </c>
    </row>
    <row r="938" spans="1:11" x14ac:dyDescent="0.2">
      <c r="A938">
        <v>23857285</v>
      </c>
      <c r="B938">
        <v>9121987</v>
      </c>
      <c r="C938">
        <v>4</v>
      </c>
      <c r="D938">
        <v>0</v>
      </c>
      <c r="E938">
        <v>1</v>
      </c>
      <c r="F938">
        <v>4</v>
      </c>
      <c r="G938">
        <v>5</v>
      </c>
      <c r="H938" t="str">
        <f>IF(Demographics[[#This Row],[DOB]]&gt;10000000, TEXT(Demographics[[#This Row],[DOB]],0),CONCATENATE("0",TEXT(Demographics[[#This Row],[DOB]],0)))</f>
        <v>09121987</v>
      </c>
      <c r="I938" s="4">
        <f ca="1">IFERROR((VALUE(TODAY()-DATE(RIGHT(Demographics[[#This Row],[DOB - Fixed]],4),MID(Demographics[[#This Row],[DOB - Fixed]],3,2),LEFT(Demographics[[#This Row],[DOB - Fixed]],2))))/365,0)</f>
        <v>35.772602739726025</v>
      </c>
      <c r="J938">
        <f>VLOOKUP(Demographics[[#This Row],[INCOME LEVEL]],Income[],4,FALSE)</f>
        <v>175</v>
      </c>
      <c r="K938">
        <f>IFERROR(Demographics[[#This Row],[Total monthly income]]/Demographics[[#This Row],[FAMILY SIZE]], 0)</f>
        <v>43.75</v>
      </c>
    </row>
    <row r="939" spans="1:11" x14ac:dyDescent="0.2">
      <c r="A939">
        <v>21822391</v>
      </c>
      <c r="B939">
        <v>16121987</v>
      </c>
      <c r="C939">
        <v>6</v>
      </c>
      <c r="D939">
        <v>2</v>
      </c>
      <c r="E939">
        <v>5</v>
      </c>
      <c r="F939">
        <v>9</v>
      </c>
      <c r="G939">
        <v>9</v>
      </c>
      <c r="H939" t="str">
        <f>IF(Demographics[[#This Row],[DOB]]&gt;10000000, TEXT(Demographics[[#This Row],[DOB]],0),CONCATENATE("0",TEXT(Demographics[[#This Row],[DOB]],0)))</f>
        <v>16121987</v>
      </c>
      <c r="I939" s="4">
        <f ca="1">IFERROR((VALUE(TODAY()-DATE(RIGHT(Demographics[[#This Row],[DOB - Fixed]],4),MID(Demographics[[#This Row],[DOB - Fixed]],3,2),LEFT(Demographics[[#This Row],[DOB - Fixed]],2))))/365,0)</f>
        <v>35.753424657534246</v>
      </c>
      <c r="J939">
        <f>VLOOKUP(Demographics[[#This Row],[INCOME LEVEL]],Income[],4,FALSE)</f>
        <v>2787.5</v>
      </c>
      <c r="K939">
        <f>IFERROR(Demographics[[#This Row],[Total monthly income]]/Demographics[[#This Row],[FAMILY SIZE]], 0)</f>
        <v>464.58333333333331</v>
      </c>
    </row>
    <row r="940" spans="1:11" x14ac:dyDescent="0.2">
      <c r="A940">
        <v>19484426</v>
      </c>
      <c r="B940">
        <v>8121987</v>
      </c>
      <c r="C940">
        <v>5</v>
      </c>
      <c r="D940">
        <v>1</v>
      </c>
      <c r="E940">
        <v>1</v>
      </c>
      <c r="F940">
        <v>3</v>
      </c>
      <c r="G940">
        <v>3</v>
      </c>
      <c r="H940" t="str">
        <f>IF(Demographics[[#This Row],[DOB]]&gt;10000000, TEXT(Demographics[[#This Row],[DOB]],0),CONCATENATE("0",TEXT(Demographics[[#This Row],[DOB]],0)))</f>
        <v>08121987</v>
      </c>
      <c r="I940" s="4">
        <f ca="1">IFERROR((VALUE(TODAY()-DATE(RIGHT(Demographics[[#This Row],[DOB - Fixed]],4),MID(Demographics[[#This Row],[DOB - Fixed]],3,2),LEFT(Demographics[[#This Row],[DOB - Fixed]],2))))/365,0)</f>
        <v>35.775342465753425</v>
      </c>
      <c r="J940">
        <f>VLOOKUP(Demographics[[#This Row],[INCOME LEVEL]],Income[],4,FALSE)</f>
        <v>175</v>
      </c>
      <c r="K940">
        <f>IFERROR(Demographics[[#This Row],[Total monthly income]]/Demographics[[#This Row],[FAMILY SIZE]], 0)</f>
        <v>35</v>
      </c>
    </row>
    <row r="941" spans="1:11" x14ac:dyDescent="0.2">
      <c r="A941">
        <v>18617230</v>
      </c>
      <c r="B941">
        <v>21061987</v>
      </c>
      <c r="C941">
        <v>4</v>
      </c>
      <c r="D941">
        <v>2</v>
      </c>
      <c r="E941">
        <v>2</v>
      </c>
      <c r="F941">
        <v>9</v>
      </c>
      <c r="G941">
        <v>9</v>
      </c>
      <c r="H941" t="str">
        <f>IF(Demographics[[#This Row],[DOB]]&gt;10000000, TEXT(Demographics[[#This Row],[DOB]],0),CONCATENATE("0",TEXT(Demographics[[#This Row],[DOB]],0)))</f>
        <v>21061987</v>
      </c>
      <c r="I941" s="4">
        <f ca="1">IFERROR((VALUE(TODAY()-DATE(RIGHT(Demographics[[#This Row],[DOB - Fixed]],4),MID(Demographics[[#This Row],[DOB - Fixed]],3,2),LEFT(Demographics[[#This Row],[DOB - Fixed]],2))))/365,0)</f>
        <v>36.241095890410961</v>
      </c>
      <c r="J941">
        <f>VLOOKUP(Demographics[[#This Row],[INCOME LEVEL]],Income[],4,FALSE)</f>
        <v>697.5</v>
      </c>
      <c r="K941">
        <f>IFERROR(Demographics[[#This Row],[Total monthly income]]/Demographics[[#This Row],[FAMILY SIZE]], 0)</f>
        <v>174.375</v>
      </c>
    </row>
    <row r="942" spans="1:11" x14ac:dyDescent="0.2">
      <c r="A942">
        <v>4299753</v>
      </c>
      <c r="B942">
        <v>14121987</v>
      </c>
      <c r="C942">
        <v>5</v>
      </c>
      <c r="D942">
        <v>2</v>
      </c>
      <c r="E942">
        <v>3</v>
      </c>
      <c r="F942">
        <v>8</v>
      </c>
      <c r="G942">
        <v>7</v>
      </c>
      <c r="H942" t="str">
        <f>IF(Demographics[[#This Row],[DOB]]&gt;10000000, TEXT(Demographics[[#This Row],[DOB]],0),CONCATENATE("0",TEXT(Demographics[[#This Row],[DOB]],0)))</f>
        <v>14121987</v>
      </c>
      <c r="I942" s="4">
        <f ca="1">IFERROR((VALUE(TODAY()-DATE(RIGHT(Demographics[[#This Row],[DOB - Fixed]],4),MID(Demographics[[#This Row],[DOB - Fixed]],3,2),LEFT(Demographics[[#This Row],[DOB - Fixed]],2))))/365,0)</f>
        <v>35.758904109589039</v>
      </c>
      <c r="J942">
        <f>VLOOKUP(Demographics[[#This Row],[INCOME LEVEL]],Income[],4,FALSE)</f>
        <v>1397.5</v>
      </c>
      <c r="K942">
        <f>IFERROR(Demographics[[#This Row],[Total monthly income]]/Demographics[[#This Row],[FAMILY SIZE]], 0)</f>
        <v>279.5</v>
      </c>
    </row>
    <row r="943" spans="1:11" x14ac:dyDescent="0.2">
      <c r="A943">
        <v>6768217</v>
      </c>
      <c r="B943">
        <v>16121987</v>
      </c>
      <c r="C943">
        <v>4</v>
      </c>
      <c r="D943">
        <v>1</v>
      </c>
      <c r="E943">
        <v>1</v>
      </c>
      <c r="F943">
        <v>3</v>
      </c>
      <c r="G943">
        <v>3</v>
      </c>
      <c r="H943" t="str">
        <f>IF(Demographics[[#This Row],[DOB]]&gt;10000000, TEXT(Demographics[[#This Row],[DOB]],0),CONCATENATE("0",TEXT(Demographics[[#This Row],[DOB]],0)))</f>
        <v>16121987</v>
      </c>
      <c r="I943" s="4">
        <f ca="1">IFERROR((VALUE(TODAY()-DATE(RIGHT(Demographics[[#This Row],[DOB - Fixed]],4),MID(Demographics[[#This Row],[DOB - Fixed]],3,2),LEFT(Demographics[[#This Row],[DOB - Fixed]],2))))/365,0)</f>
        <v>35.753424657534246</v>
      </c>
      <c r="J943">
        <f>VLOOKUP(Demographics[[#This Row],[INCOME LEVEL]],Income[],4,FALSE)</f>
        <v>175</v>
      </c>
      <c r="K943">
        <f>IFERROR(Demographics[[#This Row],[Total monthly income]]/Demographics[[#This Row],[FAMILY SIZE]], 0)</f>
        <v>43.75</v>
      </c>
    </row>
    <row r="944" spans="1:11" x14ac:dyDescent="0.2">
      <c r="A944">
        <v>19686130</v>
      </c>
      <c r="B944">
        <v>21121987</v>
      </c>
      <c r="C944">
        <v>4</v>
      </c>
      <c r="D944">
        <v>2</v>
      </c>
      <c r="E944">
        <v>3</v>
      </c>
      <c r="F944">
        <v>9</v>
      </c>
      <c r="G944">
        <v>9</v>
      </c>
      <c r="H944" t="str">
        <f>IF(Demographics[[#This Row],[DOB]]&gt;10000000, TEXT(Demographics[[#This Row],[DOB]],0),CONCATENATE("0",TEXT(Demographics[[#This Row],[DOB]],0)))</f>
        <v>21121987</v>
      </c>
      <c r="I944" s="4">
        <f ca="1">IFERROR((VALUE(TODAY()-DATE(RIGHT(Demographics[[#This Row],[DOB - Fixed]],4),MID(Demographics[[#This Row],[DOB - Fixed]],3,2),LEFT(Demographics[[#This Row],[DOB - Fixed]],2))))/365,0)</f>
        <v>35.739726027397261</v>
      </c>
      <c r="J944">
        <f>VLOOKUP(Demographics[[#This Row],[INCOME LEVEL]],Income[],4,FALSE)</f>
        <v>1397.5</v>
      </c>
      <c r="K944">
        <f>IFERROR(Demographics[[#This Row],[Total monthly income]]/Demographics[[#This Row],[FAMILY SIZE]], 0)</f>
        <v>349.375</v>
      </c>
    </row>
    <row r="945" spans="1:11" x14ac:dyDescent="0.2">
      <c r="A945">
        <v>9640647</v>
      </c>
      <c r="B945">
        <v>24121987</v>
      </c>
      <c r="C945">
        <v>4</v>
      </c>
      <c r="D945">
        <v>2</v>
      </c>
      <c r="E945">
        <v>2</v>
      </c>
      <c r="F945">
        <v>5</v>
      </c>
      <c r="G945">
        <v>5</v>
      </c>
      <c r="H945" t="str">
        <f>IF(Demographics[[#This Row],[DOB]]&gt;10000000, TEXT(Demographics[[#This Row],[DOB]],0),CONCATENATE("0",TEXT(Demographics[[#This Row],[DOB]],0)))</f>
        <v>24121987</v>
      </c>
      <c r="I945" s="4">
        <f ca="1">IFERROR((VALUE(TODAY()-DATE(RIGHT(Demographics[[#This Row],[DOB - Fixed]],4),MID(Demographics[[#This Row],[DOB - Fixed]],3,2),LEFT(Demographics[[#This Row],[DOB - Fixed]],2))))/365,0)</f>
        <v>35.731506849315068</v>
      </c>
      <c r="J945">
        <f>VLOOKUP(Demographics[[#This Row],[INCOME LEVEL]],Income[],4,FALSE)</f>
        <v>697.5</v>
      </c>
      <c r="K945">
        <f>IFERROR(Demographics[[#This Row],[Total monthly income]]/Demographics[[#This Row],[FAMILY SIZE]], 0)</f>
        <v>174.375</v>
      </c>
    </row>
    <row r="946" spans="1:11" x14ac:dyDescent="0.2">
      <c r="A946">
        <v>7301763</v>
      </c>
      <c r="B946">
        <v>23121987</v>
      </c>
      <c r="C946">
        <v>6</v>
      </c>
      <c r="D946">
        <v>2</v>
      </c>
      <c r="E946">
        <v>1</v>
      </c>
      <c r="F946">
        <v>5</v>
      </c>
      <c r="G946">
        <v>5</v>
      </c>
      <c r="H946" t="str">
        <f>IF(Demographics[[#This Row],[DOB]]&gt;10000000, TEXT(Demographics[[#This Row],[DOB]],0),CONCATENATE("0",TEXT(Demographics[[#This Row],[DOB]],0)))</f>
        <v>23121987</v>
      </c>
      <c r="I946" s="4">
        <f ca="1">IFERROR((VALUE(TODAY()-DATE(RIGHT(Demographics[[#This Row],[DOB - Fixed]],4),MID(Demographics[[#This Row],[DOB - Fixed]],3,2),LEFT(Demographics[[#This Row],[DOB - Fixed]],2))))/365,0)</f>
        <v>35.734246575342468</v>
      </c>
      <c r="J946">
        <f>VLOOKUP(Demographics[[#This Row],[INCOME LEVEL]],Income[],4,FALSE)</f>
        <v>175</v>
      </c>
      <c r="K946">
        <f>IFERROR(Demographics[[#This Row],[Total monthly income]]/Demographics[[#This Row],[FAMILY SIZE]], 0)</f>
        <v>29.166666666666668</v>
      </c>
    </row>
    <row r="947" spans="1:11" x14ac:dyDescent="0.2">
      <c r="A947">
        <v>9539256</v>
      </c>
      <c r="B947">
        <v>30121986</v>
      </c>
      <c r="C947">
        <v>5</v>
      </c>
      <c r="D947">
        <v>2</v>
      </c>
      <c r="E947">
        <v>1</v>
      </c>
      <c r="F947">
        <v>4</v>
      </c>
      <c r="G947">
        <v>0</v>
      </c>
      <c r="H947" t="str">
        <f>IF(Demographics[[#This Row],[DOB]]&gt;10000000, TEXT(Demographics[[#This Row],[DOB]],0),CONCATENATE("0",TEXT(Demographics[[#This Row],[DOB]],0)))</f>
        <v>30121986</v>
      </c>
      <c r="I947" s="4">
        <f ca="1">IFERROR((VALUE(TODAY()-DATE(RIGHT(Demographics[[#This Row],[DOB - Fixed]],4),MID(Demographics[[#This Row],[DOB - Fixed]],3,2),LEFT(Demographics[[#This Row],[DOB - Fixed]],2))))/365,0)</f>
        <v>36.715068493150682</v>
      </c>
      <c r="J947">
        <f>VLOOKUP(Demographics[[#This Row],[INCOME LEVEL]],Income[],4,FALSE)</f>
        <v>175</v>
      </c>
      <c r="K947">
        <f>IFERROR(Demographics[[#This Row],[Total monthly income]]/Demographics[[#This Row],[FAMILY SIZE]], 0)</f>
        <v>35</v>
      </c>
    </row>
    <row r="948" spans="1:11" x14ac:dyDescent="0.2">
      <c r="A948">
        <v>5266917</v>
      </c>
      <c r="B948">
        <v>21121987</v>
      </c>
      <c r="C948">
        <v>0</v>
      </c>
      <c r="D948">
        <v>0</v>
      </c>
      <c r="E948">
        <v>1</v>
      </c>
      <c r="F948">
        <v>3</v>
      </c>
      <c r="G948">
        <v>5</v>
      </c>
      <c r="H948" t="str">
        <f>IF(Demographics[[#This Row],[DOB]]&gt;10000000, TEXT(Demographics[[#This Row],[DOB]],0),CONCATENATE("0",TEXT(Demographics[[#This Row],[DOB]],0)))</f>
        <v>21121987</v>
      </c>
      <c r="I948" s="4">
        <f ca="1">IFERROR((VALUE(TODAY()-DATE(RIGHT(Demographics[[#This Row],[DOB - Fixed]],4),MID(Demographics[[#This Row],[DOB - Fixed]],3,2),LEFT(Demographics[[#This Row],[DOB - Fixed]],2))))/365,0)</f>
        <v>35.739726027397261</v>
      </c>
      <c r="J948">
        <f>VLOOKUP(Demographics[[#This Row],[INCOME LEVEL]],Income[],4,FALSE)</f>
        <v>175</v>
      </c>
      <c r="K948">
        <f>IFERROR(Demographics[[#This Row],[Total monthly income]]/Demographics[[#This Row],[FAMILY SIZE]], 0)</f>
        <v>0</v>
      </c>
    </row>
    <row r="949" spans="1:11" x14ac:dyDescent="0.2">
      <c r="A949">
        <v>18949937</v>
      </c>
      <c r="B949">
        <v>22121987</v>
      </c>
      <c r="C949">
        <v>4</v>
      </c>
      <c r="D949">
        <v>1</v>
      </c>
      <c r="E949">
        <v>1</v>
      </c>
      <c r="F949">
        <v>8</v>
      </c>
      <c r="G949">
        <v>2</v>
      </c>
      <c r="H949" t="str">
        <f>IF(Demographics[[#This Row],[DOB]]&gt;10000000, TEXT(Demographics[[#This Row],[DOB]],0),CONCATENATE("0",TEXT(Demographics[[#This Row],[DOB]],0)))</f>
        <v>22121987</v>
      </c>
      <c r="I949" s="4">
        <f ca="1">IFERROR((VALUE(TODAY()-DATE(RIGHT(Demographics[[#This Row],[DOB - Fixed]],4),MID(Demographics[[#This Row],[DOB - Fixed]],3,2),LEFT(Demographics[[#This Row],[DOB - Fixed]],2))))/365,0)</f>
        <v>35.736986301369861</v>
      </c>
      <c r="J949">
        <f>VLOOKUP(Demographics[[#This Row],[INCOME LEVEL]],Income[],4,FALSE)</f>
        <v>175</v>
      </c>
      <c r="K949">
        <f>IFERROR(Demographics[[#This Row],[Total monthly income]]/Demographics[[#This Row],[FAMILY SIZE]], 0)</f>
        <v>43.75</v>
      </c>
    </row>
    <row r="950" spans="1:11" x14ac:dyDescent="0.2">
      <c r="A950">
        <v>23756804</v>
      </c>
      <c r="B950">
        <v>30111987</v>
      </c>
      <c r="C950">
        <v>5</v>
      </c>
      <c r="D950">
        <v>1</v>
      </c>
      <c r="E950">
        <v>1</v>
      </c>
      <c r="F950">
        <v>5</v>
      </c>
      <c r="G950">
        <v>3</v>
      </c>
      <c r="H950" t="str">
        <f>IF(Demographics[[#This Row],[DOB]]&gt;10000000, TEXT(Demographics[[#This Row],[DOB]],0),CONCATENATE("0",TEXT(Demographics[[#This Row],[DOB]],0)))</f>
        <v>30111987</v>
      </c>
      <c r="I950" s="4">
        <f ca="1">IFERROR((VALUE(TODAY()-DATE(RIGHT(Demographics[[#This Row],[DOB - Fixed]],4),MID(Demographics[[#This Row],[DOB - Fixed]],3,2),LEFT(Demographics[[#This Row],[DOB - Fixed]],2))))/365,0)</f>
        <v>35.797260273972604</v>
      </c>
      <c r="J950">
        <f>VLOOKUP(Demographics[[#This Row],[INCOME LEVEL]],Income[],4,FALSE)</f>
        <v>175</v>
      </c>
      <c r="K950">
        <f>IFERROR(Demographics[[#This Row],[Total monthly income]]/Demographics[[#This Row],[FAMILY SIZE]], 0)</f>
        <v>35</v>
      </c>
    </row>
    <row r="951" spans="1:11" x14ac:dyDescent="0.2">
      <c r="A951">
        <v>3766110</v>
      </c>
      <c r="B951">
        <v>29121987</v>
      </c>
      <c r="C951">
        <v>3</v>
      </c>
      <c r="D951">
        <v>2</v>
      </c>
      <c r="E951">
        <v>3</v>
      </c>
      <c r="F951">
        <v>8</v>
      </c>
      <c r="G951">
        <v>8</v>
      </c>
      <c r="H951" t="str">
        <f>IF(Demographics[[#This Row],[DOB]]&gt;10000000, TEXT(Demographics[[#This Row],[DOB]],0),CONCATENATE("0",TEXT(Demographics[[#This Row],[DOB]],0)))</f>
        <v>29121987</v>
      </c>
      <c r="I951" s="4">
        <f ca="1">IFERROR((VALUE(TODAY()-DATE(RIGHT(Demographics[[#This Row],[DOB - Fixed]],4),MID(Demographics[[#This Row],[DOB - Fixed]],3,2),LEFT(Demographics[[#This Row],[DOB - Fixed]],2))))/365,0)</f>
        <v>35.717808219178082</v>
      </c>
      <c r="J951">
        <f>VLOOKUP(Demographics[[#This Row],[INCOME LEVEL]],Income[],4,FALSE)</f>
        <v>1397.5</v>
      </c>
      <c r="K951">
        <f>IFERROR(Demographics[[#This Row],[Total monthly income]]/Demographics[[#This Row],[FAMILY SIZE]], 0)</f>
        <v>465.83333333333331</v>
      </c>
    </row>
    <row r="952" spans="1:11" x14ac:dyDescent="0.2">
      <c r="A952">
        <v>7835892</v>
      </c>
      <c r="B952">
        <v>2121987</v>
      </c>
      <c r="C952">
        <v>3</v>
      </c>
      <c r="D952">
        <v>1</v>
      </c>
      <c r="E952">
        <v>1</v>
      </c>
      <c r="F952">
        <v>3</v>
      </c>
      <c r="G952">
        <v>3</v>
      </c>
      <c r="H952" t="str">
        <f>IF(Demographics[[#This Row],[DOB]]&gt;10000000, TEXT(Demographics[[#This Row],[DOB]],0),CONCATENATE("0",TEXT(Demographics[[#This Row],[DOB]],0)))</f>
        <v>02121987</v>
      </c>
      <c r="I952" s="4">
        <f ca="1">IFERROR((VALUE(TODAY()-DATE(RIGHT(Demographics[[#This Row],[DOB - Fixed]],4),MID(Demographics[[#This Row],[DOB - Fixed]],3,2),LEFT(Demographics[[#This Row],[DOB - Fixed]],2))))/365,0)</f>
        <v>35.791780821917811</v>
      </c>
      <c r="J952">
        <f>VLOOKUP(Demographics[[#This Row],[INCOME LEVEL]],Income[],4,FALSE)</f>
        <v>175</v>
      </c>
      <c r="K952">
        <f>IFERROR(Demographics[[#This Row],[Total monthly income]]/Demographics[[#This Row],[FAMILY SIZE]], 0)</f>
        <v>58.333333333333336</v>
      </c>
    </row>
    <row r="953" spans="1:11" x14ac:dyDescent="0.2">
      <c r="A953">
        <v>13176187</v>
      </c>
      <c r="B953">
        <v>26121987</v>
      </c>
      <c r="C953">
        <v>4</v>
      </c>
      <c r="D953">
        <v>1</v>
      </c>
      <c r="E953">
        <v>1</v>
      </c>
      <c r="F953">
        <v>8</v>
      </c>
      <c r="G953">
        <v>5</v>
      </c>
      <c r="H953" t="str">
        <f>IF(Demographics[[#This Row],[DOB]]&gt;10000000, TEXT(Demographics[[#This Row],[DOB]],0),CONCATENATE("0",TEXT(Demographics[[#This Row],[DOB]],0)))</f>
        <v>26121987</v>
      </c>
      <c r="I953" s="4">
        <f ca="1">IFERROR((VALUE(TODAY()-DATE(RIGHT(Demographics[[#This Row],[DOB - Fixed]],4),MID(Demographics[[#This Row],[DOB - Fixed]],3,2),LEFT(Demographics[[#This Row],[DOB - Fixed]],2))))/365,0)</f>
        <v>35.726027397260275</v>
      </c>
      <c r="J953">
        <f>VLOOKUP(Demographics[[#This Row],[INCOME LEVEL]],Income[],4,FALSE)</f>
        <v>175</v>
      </c>
      <c r="K953">
        <f>IFERROR(Demographics[[#This Row],[Total monthly income]]/Demographics[[#This Row],[FAMILY SIZE]], 0)</f>
        <v>43.75</v>
      </c>
    </row>
    <row r="954" spans="1:11" x14ac:dyDescent="0.2">
      <c r="A954">
        <v>26573</v>
      </c>
      <c r="B954">
        <v>31121987</v>
      </c>
      <c r="C954">
        <v>3</v>
      </c>
      <c r="D954">
        <v>2</v>
      </c>
      <c r="E954">
        <v>2</v>
      </c>
      <c r="F954">
        <v>9</v>
      </c>
      <c r="G954">
        <v>9</v>
      </c>
      <c r="H954" t="str">
        <f>IF(Demographics[[#This Row],[DOB]]&gt;10000000, TEXT(Demographics[[#This Row],[DOB]],0),CONCATENATE("0",TEXT(Demographics[[#This Row],[DOB]],0)))</f>
        <v>31121987</v>
      </c>
      <c r="I954" s="4">
        <f ca="1">IFERROR((VALUE(TODAY()-DATE(RIGHT(Demographics[[#This Row],[DOB - Fixed]],4),MID(Demographics[[#This Row],[DOB - Fixed]],3,2),LEFT(Demographics[[#This Row],[DOB - Fixed]],2))))/365,0)</f>
        <v>35.712328767123289</v>
      </c>
      <c r="J954">
        <f>VLOOKUP(Demographics[[#This Row],[INCOME LEVEL]],Income[],4,FALSE)</f>
        <v>697.5</v>
      </c>
      <c r="K954">
        <f>IFERROR(Demographics[[#This Row],[Total monthly income]]/Demographics[[#This Row],[FAMILY SIZE]], 0)</f>
        <v>232.5</v>
      </c>
    </row>
    <row r="955" spans="1:11" x14ac:dyDescent="0.2">
      <c r="A955">
        <v>24290677</v>
      </c>
      <c r="B955">
        <v>18121987</v>
      </c>
      <c r="C955">
        <v>4</v>
      </c>
      <c r="D955">
        <v>2</v>
      </c>
      <c r="E955">
        <v>2</v>
      </c>
      <c r="F955">
        <v>7</v>
      </c>
      <c r="G955">
        <v>7</v>
      </c>
      <c r="H955" t="str">
        <f>IF(Demographics[[#This Row],[DOB]]&gt;10000000, TEXT(Demographics[[#This Row],[DOB]],0),CONCATENATE("0",TEXT(Demographics[[#This Row],[DOB]],0)))</f>
        <v>18121987</v>
      </c>
      <c r="I955" s="4">
        <f ca="1">IFERROR((VALUE(TODAY()-DATE(RIGHT(Demographics[[#This Row],[DOB - Fixed]],4),MID(Demographics[[#This Row],[DOB - Fixed]],3,2),LEFT(Demographics[[#This Row],[DOB - Fixed]],2))))/365,0)</f>
        <v>35.747945205479454</v>
      </c>
      <c r="J955">
        <f>VLOOKUP(Demographics[[#This Row],[INCOME LEVEL]],Income[],4,FALSE)</f>
        <v>697.5</v>
      </c>
      <c r="K955">
        <f>IFERROR(Demographics[[#This Row],[Total monthly income]]/Demographics[[#This Row],[FAMILY SIZE]], 0)</f>
        <v>174.375</v>
      </c>
    </row>
    <row r="956" spans="1:11" x14ac:dyDescent="0.2">
      <c r="A956">
        <v>20552918</v>
      </c>
      <c r="B956">
        <v>20121987</v>
      </c>
      <c r="C956">
        <v>5</v>
      </c>
      <c r="D956">
        <v>1</v>
      </c>
      <c r="E956">
        <v>2</v>
      </c>
      <c r="F956">
        <v>7</v>
      </c>
      <c r="G956">
        <v>7</v>
      </c>
      <c r="H956" t="str">
        <f>IF(Demographics[[#This Row],[DOB]]&gt;10000000, TEXT(Demographics[[#This Row],[DOB]],0),CONCATENATE("0",TEXT(Demographics[[#This Row],[DOB]],0)))</f>
        <v>20121987</v>
      </c>
      <c r="I956" s="4">
        <f ca="1">IFERROR((VALUE(TODAY()-DATE(RIGHT(Demographics[[#This Row],[DOB - Fixed]],4),MID(Demographics[[#This Row],[DOB - Fixed]],3,2),LEFT(Demographics[[#This Row],[DOB - Fixed]],2))))/365,0)</f>
        <v>35.742465753424661</v>
      </c>
      <c r="J956">
        <f>VLOOKUP(Demographics[[#This Row],[INCOME LEVEL]],Income[],4,FALSE)</f>
        <v>697.5</v>
      </c>
      <c r="K956">
        <f>IFERROR(Demographics[[#This Row],[Total monthly income]]/Demographics[[#This Row],[FAMILY SIZE]], 0)</f>
        <v>139.5</v>
      </c>
    </row>
    <row r="957" spans="1:11" x14ac:dyDescent="0.2">
      <c r="A957">
        <v>13710295</v>
      </c>
      <c r="B957">
        <v>8121987</v>
      </c>
      <c r="C957">
        <v>3</v>
      </c>
      <c r="D957">
        <v>1</v>
      </c>
      <c r="E957">
        <v>1</v>
      </c>
      <c r="F957">
        <v>5</v>
      </c>
      <c r="G957">
        <v>7</v>
      </c>
      <c r="H957" t="str">
        <f>IF(Demographics[[#This Row],[DOB]]&gt;10000000, TEXT(Demographics[[#This Row],[DOB]],0),CONCATENATE("0",TEXT(Demographics[[#This Row],[DOB]],0)))</f>
        <v>08121987</v>
      </c>
      <c r="I957" s="4">
        <f ca="1">IFERROR((VALUE(TODAY()-DATE(RIGHT(Demographics[[#This Row],[DOB - Fixed]],4),MID(Demographics[[#This Row],[DOB - Fixed]],3,2),LEFT(Demographics[[#This Row],[DOB - Fixed]],2))))/365,0)</f>
        <v>35.775342465753425</v>
      </c>
      <c r="J957">
        <f>VLOOKUP(Demographics[[#This Row],[INCOME LEVEL]],Income[],4,FALSE)</f>
        <v>175</v>
      </c>
      <c r="K957">
        <f>IFERROR(Demographics[[#This Row],[Total monthly income]]/Demographics[[#This Row],[FAMILY SIZE]], 0)</f>
        <v>58.333333333333336</v>
      </c>
    </row>
    <row r="958" spans="1:11" x14ac:dyDescent="0.2">
      <c r="A958">
        <v>19484425</v>
      </c>
      <c r="B958">
        <v>5011988</v>
      </c>
      <c r="C958">
        <v>6</v>
      </c>
      <c r="D958">
        <v>1</v>
      </c>
      <c r="E958">
        <v>5</v>
      </c>
      <c r="F958">
        <v>9</v>
      </c>
      <c r="G958">
        <v>9</v>
      </c>
      <c r="H958" t="str">
        <f>IF(Demographics[[#This Row],[DOB]]&gt;10000000, TEXT(Demographics[[#This Row],[DOB]],0),CONCATENATE("0",TEXT(Demographics[[#This Row],[DOB]],0)))</f>
        <v>05011988</v>
      </c>
      <c r="I958" s="4">
        <f ca="1">IFERROR((VALUE(TODAY()-DATE(RIGHT(Demographics[[#This Row],[DOB - Fixed]],4),MID(Demographics[[#This Row],[DOB - Fixed]],3,2),LEFT(Demographics[[#This Row],[DOB - Fixed]],2))))/365,0)</f>
        <v>35.698630136986303</v>
      </c>
      <c r="J958">
        <f>VLOOKUP(Demographics[[#This Row],[INCOME LEVEL]],Income[],4,FALSE)</f>
        <v>2787.5</v>
      </c>
      <c r="K958">
        <f>IFERROR(Demographics[[#This Row],[Total monthly income]]/Demographics[[#This Row],[FAMILY SIZE]], 0)</f>
        <v>464.58333333333331</v>
      </c>
    </row>
    <row r="959" spans="1:11" x14ac:dyDescent="0.2">
      <c r="A959">
        <v>5902287</v>
      </c>
      <c r="B959">
        <v>8011988</v>
      </c>
      <c r="C959">
        <v>3</v>
      </c>
      <c r="D959">
        <v>1</v>
      </c>
      <c r="E959">
        <v>1</v>
      </c>
      <c r="F959">
        <v>5</v>
      </c>
      <c r="G959">
        <v>4</v>
      </c>
      <c r="H959" t="str">
        <f>IF(Demographics[[#This Row],[DOB]]&gt;10000000, TEXT(Demographics[[#This Row],[DOB]],0),CONCATENATE("0",TEXT(Demographics[[#This Row],[DOB]],0)))</f>
        <v>08011988</v>
      </c>
      <c r="I959" s="4">
        <f ca="1">IFERROR((VALUE(TODAY()-DATE(RIGHT(Demographics[[#This Row],[DOB - Fixed]],4),MID(Demographics[[#This Row],[DOB - Fixed]],3,2),LEFT(Demographics[[#This Row],[DOB - Fixed]],2))))/365,0)</f>
        <v>35.69041095890411</v>
      </c>
      <c r="J959">
        <f>VLOOKUP(Demographics[[#This Row],[INCOME LEVEL]],Income[],4,FALSE)</f>
        <v>175</v>
      </c>
      <c r="K959">
        <f>IFERROR(Demographics[[#This Row],[Total monthly income]]/Demographics[[#This Row],[FAMILY SIZE]], 0)</f>
        <v>58.333333333333336</v>
      </c>
    </row>
    <row r="960" spans="1:11" x14ac:dyDescent="0.2">
      <c r="A960">
        <v>19151606</v>
      </c>
      <c r="B960">
        <v>18121987</v>
      </c>
      <c r="C960">
        <v>4</v>
      </c>
      <c r="D960">
        <v>1</v>
      </c>
      <c r="E960">
        <v>1</v>
      </c>
      <c r="F960">
        <v>8</v>
      </c>
      <c r="G960">
        <v>5</v>
      </c>
      <c r="H960" t="str">
        <f>IF(Demographics[[#This Row],[DOB]]&gt;10000000, TEXT(Demographics[[#This Row],[DOB]],0),CONCATENATE("0",TEXT(Demographics[[#This Row],[DOB]],0)))</f>
        <v>18121987</v>
      </c>
      <c r="I960" s="4">
        <f ca="1">IFERROR((VALUE(TODAY()-DATE(RIGHT(Demographics[[#This Row],[DOB - Fixed]],4),MID(Demographics[[#This Row],[DOB - Fixed]],3,2),LEFT(Demographics[[#This Row],[DOB - Fixed]],2))))/365,0)</f>
        <v>35.747945205479454</v>
      </c>
      <c r="J960">
        <f>VLOOKUP(Demographics[[#This Row],[INCOME LEVEL]],Income[],4,FALSE)</f>
        <v>175</v>
      </c>
      <c r="K960">
        <f>IFERROR(Demographics[[#This Row],[Total monthly income]]/Demographics[[#This Row],[FAMILY SIZE]], 0)</f>
        <v>43.75</v>
      </c>
    </row>
    <row r="961" spans="1:11" x14ac:dyDescent="0.2">
      <c r="A961">
        <v>22356601</v>
      </c>
      <c r="B961">
        <v>7121987</v>
      </c>
      <c r="C961">
        <v>4</v>
      </c>
      <c r="D961">
        <v>0</v>
      </c>
      <c r="E961">
        <v>1</v>
      </c>
      <c r="F961">
        <v>0</v>
      </c>
      <c r="G961">
        <v>3</v>
      </c>
      <c r="H961" t="str">
        <f>IF(Demographics[[#This Row],[DOB]]&gt;10000000, TEXT(Demographics[[#This Row],[DOB]],0),CONCATENATE("0",TEXT(Demographics[[#This Row],[DOB]],0)))</f>
        <v>07121987</v>
      </c>
      <c r="I961" s="4">
        <f ca="1">IFERROR((VALUE(TODAY()-DATE(RIGHT(Demographics[[#This Row],[DOB - Fixed]],4),MID(Demographics[[#This Row],[DOB - Fixed]],3,2),LEFT(Demographics[[#This Row],[DOB - Fixed]],2))))/365,0)</f>
        <v>35.778082191780825</v>
      </c>
      <c r="J961">
        <f>VLOOKUP(Demographics[[#This Row],[INCOME LEVEL]],Income[],4,FALSE)</f>
        <v>175</v>
      </c>
      <c r="K961">
        <f>IFERROR(Demographics[[#This Row],[Total monthly income]]/Demographics[[#This Row],[FAMILY SIZE]], 0)</f>
        <v>43.75</v>
      </c>
    </row>
    <row r="962" spans="1:11" x14ac:dyDescent="0.2">
      <c r="A962">
        <v>12743278</v>
      </c>
      <c r="B962">
        <v>10011988</v>
      </c>
      <c r="C962">
        <v>3</v>
      </c>
      <c r="D962">
        <v>1</v>
      </c>
      <c r="E962">
        <v>1</v>
      </c>
      <c r="F962">
        <v>5</v>
      </c>
      <c r="G962">
        <v>10</v>
      </c>
      <c r="H962" t="str">
        <f>IF(Demographics[[#This Row],[DOB]]&gt;10000000, TEXT(Demographics[[#This Row],[DOB]],0),CONCATENATE("0",TEXT(Demographics[[#This Row],[DOB]],0)))</f>
        <v>10011988</v>
      </c>
      <c r="I962" s="4">
        <f ca="1">IFERROR((VALUE(TODAY()-DATE(RIGHT(Demographics[[#This Row],[DOB - Fixed]],4),MID(Demographics[[#This Row],[DOB - Fixed]],3,2),LEFT(Demographics[[#This Row],[DOB - Fixed]],2))))/365,0)</f>
        <v>35.684931506849317</v>
      </c>
      <c r="J962">
        <f>VLOOKUP(Demographics[[#This Row],[INCOME LEVEL]],Income[],4,FALSE)</f>
        <v>175</v>
      </c>
      <c r="K962">
        <f>IFERROR(Demographics[[#This Row],[Total monthly income]]/Demographics[[#This Row],[FAMILY SIZE]], 0)</f>
        <v>58.333333333333336</v>
      </c>
    </row>
    <row r="963" spans="1:11" x14ac:dyDescent="0.2">
      <c r="A963">
        <v>15845857</v>
      </c>
      <c r="B963">
        <v>14011988</v>
      </c>
      <c r="C963">
        <v>4</v>
      </c>
      <c r="D963">
        <v>1</v>
      </c>
      <c r="E963">
        <v>1</v>
      </c>
      <c r="F963">
        <v>7</v>
      </c>
      <c r="G963">
        <v>5</v>
      </c>
      <c r="H963" t="str">
        <f>IF(Demographics[[#This Row],[DOB]]&gt;10000000, TEXT(Demographics[[#This Row],[DOB]],0),CONCATENATE("0",TEXT(Demographics[[#This Row],[DOB]],0)))</f>
        <v>14011988</v>
      </c>
      <c r="I963" s="4">
        <f ca="1">IFERROR((VALUE(TODAY()-DATE(RIGHT(Demographics[[#This Row],[DOB - Fixed]],4),MID(Demographics[[#This Row],[DOB - Fixed]],3,2),LEFT(Demographics[[#This Row],[DOB - Fixed]],2))))/365,0)</f>
        <v>35.673972602739724</v>
      </c>
      <c r="J963">
        <f>VLOOKUP(Demographics[[#This Row],[INCOME LEVEL]],Income[],4,FALSE)</f>
        <v>175</v>
      </c>
      <c r="K963">
        <f>IFERROR(Demographics[[#This Row],[Total monthly income]]/Demographics[[#This Row],[FAMILY SIZE]], 0)</f>
        <v>43.75</v>
      </c>
    </row>
    <row r="964" spans="1:11" x14ac:dyDescent="0.2">
      <c r="A964">
        <v>13811192</v>
      </c>
      <c r="B964">
        <v>14011988</v>
      </c>
      <c r="C964">
        <v>4</v>
      </c>
      <c r="D964">
        <v>0</v>
      </c>
      <c r="E964">
        <v>1</v>
      </c>
      <c r="F964">
        <v>5</v>
      </c>
      <c r="G964">
        <v>5</v>
      </c>
      <c r="H964" t="str">
        <f>IF(Demographics[[#This Row],[DOB]]&gt;10000000, TEXT(Demographics[[#This Row],[DOB]],0),CONCATENATE("0",TEXT(Demographics[[#This Row],[DOB]],0)))</f>
        <v>14011988</v>
      </c>
      <c r="I964" s="4">
        <f ca="1">IFERROR((VALUE(TODAY()-DATE(RIGHT(Demographics[[#This Row],[DOB - Fixed]],4),MID(Demographics[[#This Row],[DOB - Fixed]],3,2),LEFT(Demographics[[#This Row],[DOB - Fixed]],2))))/365,0)</f>
        <v>35.673972602739724</v>
      </c>
      <c r="J964">
        <f>VLOOKUP(Demographics[[#This Row],[INCOME LEVEL]],Income[],4,FALSE)</f>
        <v>175</v>
      </c>
      <c r="K964">
        <f>IFERROR(Demographics[[#This Row],[Total monthly income]]/Demographics[[#This Row],[FAMILY SIZE]], 0)</f>
        <v>43.75</v>
      </c>
    </row>
    <row r="965" spans="1:11" x14ac:dyDescent="0.2">
      <c r="A965">
        <v>23222919</v>
      </c>
      <c r="B965">
        <v>17011988</v>
      </c>
      <c r="C965">
        <v>3</v>
      </c>
      <c r="D965">
        <v>1</v>
      </c>
      <c r="E965">
        <v>1</v>
      </c>
      <c r="F965">
        <v>0</v>
      </c>
      <c r="G965">
        <v>9</v>
      </c>
      <c r="H965" t="str">
        <f>IF(Demographics[[#This Row],[DOB]]&gt;10000000, TEXT(Demographics[[#This Row],[DOB]],0),CONCATENATE("0",TEXT(Demographics[[#This Row],[DOB]],0)))</f>
        <v>17011988</v>
      </c>
      <c r="I965" s="4">
        <f ca="1">IFERROR((VALUE(TODAY()-DATE(RIGHT(Demographics[[#This Row],[DOB - Fixed]],4),MID(Demographics[[#This Row],[DOB - Fixed]],3,2),LEFT(Demographics[[#This Row],[DOB - Fixed]],2))))/365,0)</f>
        <v>35.665753424657531</v>
      </c>
      <c r="J965">
        <f>VLOOKUP(Demographics[[#This Row],[INCOME LEVEL]],Income[],4,FALSE)</f>
        <v>175</v>
      </c>
      <c r="K965">
        <f>IFERROR(Demographics[[#This Row],[Total monthly income]]/Demographics[[#This Row],[FAMILY SIZE]], 0)</f>
        <v>58.333333333333336</v>
      </c>
    </row>
    <row r="966" spans="1:11" x14ac:dyDescent="0.2">
      <c r="A966">
        <v>3665136</v>
      </c>
      <c r="B966">
        <v>16011988</v>
      </c>
      <c r="C966">
        <v>6</v>
      </c>
      <c r="D966">
        <v>2</v>
      </c>
      <c r="E966">
        <v>1</v>
      </c>
      <c r="F966">
        <v>4</v>
      </c>
      <c r="G966">
        <v>8</v>
      </c>
      <c r="H966" t="str">
        <f>IF(Demographics[[#This Row],[DOB]]&gt;10000000, TEXT(Demographics[[#This Row],[DOB]],0),CONCATENATE("0",TEXT(Demographics[[#This Row],[DOB]],0)))</f>
        <v>16011988</v>
      </c>
      <c r="I966" s="4">
        <f ca="1">IFERROR((VALUE(TODAY()-DATE(RIGHT(Demographics[[#This Row],[DOB - Fixed]],4),MID(Demographics[[#This Row],[DOB - Fixed]],3,2),LEFT(Demographics[[#This Row],[DOB - Fixed]],2))))/365,0)</f>
        <v>35.668493150684931</v>
      </c>
      <c r="J966">
        <f>VLOOKUP(Demographics[[#This Row],[INCOME LEVEL]],Income[],4,FALSE)</f>
        <v>175</v>
      </c>
      <c r="K966">
        <f>IFERROR(Demographics[[#This Row],[Total monthly income]]/Demographics[[#This Row],[FAMILY SIZE]], 0)</f>
        <v>29.166666666666668</v>
      </c>
    </row>
    <row r="967" spans="1:11" x14ac:dyDescent="0.2">
      <c r="A967">
        <v>2596577</v>
      </c>
      <c r="B967">
        <v>24111987</v>
      </c>
      <c r="C967">
        <v>6</v>
      </c>
      <c r="D967">
        <v>1</v>
      </c>
      <c r="E967">
        <v>1</v>
      </c>
      <c r="F967">
        <v>5</v>
      </c>
      <c r="G967">
        <v>3</v>
      </c>
      <c r="H967" t="str">
        <f>IF(Demographics[[#This Row],[DOB]]&gt;10000000, TEXT(Demographics[[#This Row],[DOB]],0),CONCATENATE("0",TEXT(Demographics[[#This Row],[DOB]],0)))</f>
        <v>24111987</v>
      </c>
      <c r="I967" s="4">
        <f ca="1">IFERROR((VALUE(TODAY()-DATE(RIGHT(Demographics[[#This Row],[DOB - Fixed]],4),MID(Demographics[[#This Row],[DOB - Fixed]],3,2),LEFT(Demographics[[#This Row],[DOB - Fixed]],2))))/365,0)</f>
        <v>35.813698630136983</v>
      </c>
      <c r="J967">
        <f>VLOOKUP(Demographics[[#This Row],[INCOME LEVEL]],Income[],4,FALSE)</f>
        <v>175</v>
      </c>
      <c r="K967">
        <f>IFERROR(Demographics[[#This Row],[Total monthly income]]/Demographics[[#This Row],[FAMILY SIZE]], 0)</f>
        <v>29.166666666666668</v>
      </c>
    </row>
    <row r="968" spans="1:11" x14ac:dyDescent="0.2">
      <c r="A968">
        <v>14345451</v>
      </c>
      <c r="B968">
        <v>21011988</v>
      </c>
      <c r="C968">
        <v>4</v>
      </c>
      <c r="D968">
        <v>2</v>
      </c>
      <c r="E968">
        <v>2</v>
      </c>
      <c r="F968">
        <v>9</v>
      </c>
      <c r="G968">
        <v>8</v>
      </c>
      <c r="H968" t="str">
        <f>IF(Demographics[[#This Row],[DOB]]&gt;10000000, TEXT(Demographics[[#This Row],[DOB]],0),CONCATENATE("0",TEXT(Demographics[[#This Row],[DOB]],0)))</f>
        <v>21011988</v>
      </c>
      <c r="I968" s="4">
        <f ca="1">IFERROR((VALUE(TODAY()-DATE(RIGHT(Demographics[[#This Row],[DOB - Fixed]],4),MID(Demographics[[#This Row],[DOB - Fixed]],3,2),LEFT(Demographics[[#This Row],[DOB - Fixed]],2))))/365,0)</f>
        <v>35.654794520547945</v>
      </c>
      <c r="J968">
        <f>VLOOKUP(Demographics[[#This Row],[INCOME LEVEL]],Income[],4,FALSE)</f>
        <v>697.5</v>
      </c>
      <c r="K968">
        <f>IFERROR(Demographics[[#This Row],[Total monthly income]]/Demographics[[#This Row],[FAMILY SIZE]], 0)</f>
        <v>174.375</v>
      </c>
    </row>
    <row r="969" spans="1:11" x14ac:dyDescent="0.2">
      <c r="A969">
        <v>13176186</v>
      </c>
      <c r="B969">
        <v>21011988</v>
      </c>
      <c r="C969">
        <v>4</v>
      </c>
      <c r="D969">
        <v>1</v>
      </c>
      <c r="E969">
        <v>2</v>
      </c>
      <c r="F969">
        <v>2</v>
      </c>
      <c r="G969">
        <v>4</v>
      </c>
      <c r="H969" t="str">
        <f>IF(Demographics[[#This Row],[DOB]]&gt;10000000, TEXT(Demographics[[#This Row],[DOB]],0),CONCATENATE("0",TEXT(Demographics[[#This Row],[DOB]],0)))</f>
        <v>21011988</v>
      </c>
      <c r="I969" s="4">
        <f ca="1">IFERROR((VALUE(TODAY()-DATE(RIGHT(Demographics[[#This Row],[DOB - Fixed]],4),MID(Demographics[[#This Row],[DOB - Fixed]],3,2),LEFT(Demographics[[#This Row],[DOB - Fixed]],2))))/365,0)</f>
        <v>35.654794520547945</v>
      </c>
      <c r="J969">
        <f>VLOOKUP(Demographics[[#This Row],[INCOME LEVEL]],Income[],4,FALSE)</f>
        <v>697.5</v>
      </c>
      <c r="K969">
        <f>IFERROR(Demographics[[#This Row],[Total monthly income]]/Demographics[[#This Row],[FAMILY SIZE]], 0)</f>
        <v>174.375</v>
      </c>
    </row>
    <row r="970" spans="1:11" x14ac:dyDescent="0.2">
      <c r="A970">
        <v>24132317</v>
      </c>
      <c r="B970">
        <v>27011988</v>
      </c>
      <c r="C970">
        <v>3</v>
      </c>
      <c r="D970">
        <v>1</v>
      </c>
      <c r="E970">
        <v>1</v>
      </c>
      <c r="F970">
        <v>0</v>
      </c>
      <c r="G970">
        <v>5</v>
      </c>
      <c r="H970" t="str">
        <f>IF(Demographics[[#This Row],[DOB]]&gt;10000000, TEXT(Demographics[[#This Row],[DOB]],0),CONCATENATE("0",TEXT(Demographics[[#This Row],[DOB]],0)))</f>
        <v>27011988</v>
      </c>
      <c r="I970" s="4">
        <f ca="1">IFERROR((VALUE(TODAY()-DATE(RIGHT(Demographics[[#This Row],[DOB - Fixed]],4),MID(Demographics[[#This Row],[DOB - Fixed]],3,2),LEFT(Demographics[[#This Row],[DOB - Fixed]],2))))/365,0)</f>
        <v>35.638356164383559</v>
      </c>
      <c r="J970">
        <f>VLOOKUP(Demographics[[#This Row],[INCOME LEVEL]],Income[],4,FALSE)</f>
        <v>175</v>
      </c>
      <c r="K970">
        <f>IFERROR(Demographics[[#This Row],[Total monthly income]]/Demographics[[#This Row],[FAMILY SIZE]], 0)</f>
        <v>58.333333333333336</v>
      </c>
    </row>
    <row r="971" spans="1:11" x14ac:dyDescent="0.2">
      <c r="A971">
        <v>23064547</v>
      </c>
      <c r="B971">
        <v>13011988</v>
      </c>
      <c r="C971">
        <v>0</v>
      </c>
      <c r="D971">
        <v>0</v>
      </c>
      <c r="E971">
        <v>3</v>
      </c>
      <c r="F971">
        <v>3</v>
      </c>
      <c r="G971">
        <v>5</v>
      </c>
      <c r="H971" t="str">
        <f>IF(Demographics[[#This Row],[DOB]]&gt;10000000, TEXT(Demographics[[#This Row],[DOB]],0),CONCATENATE("0",TEXT(Demographics[[#This Row],[DOB]],0)))</f>
        <v>13011988</v>
      </c>
      <c r="I971" s="4">
        <f ca="1">IFERROR((VALUE(TODAY()-DATE(RIGHT(Demographics[[#This Row],[DOB - Fixed]],4),MID(Demographics[[#This Row],[DOB - Fixed]],3,2),LEFT(Demographics[[#This Row],[DOB - Fixed]],2))))/365,0)</f>
        <v>35.676712328767124</v>
      </c>
      <c r="J971">
        <f>VLOOKUP(Demographics[[#This Row],[INCOME LEVEL]],Income[],4,FALSE)</f>
        <v>1397.5</v>
      </c>
      <c r="K971">
        <f>IFERROR(Demographics[[#This Row],[Total monthly income]]/Demographics[[#This Row],[FAMILY SIZE]], 0)</f>
        <v>0</v>
      </c>
    </row>
    <row r="972" spans="1:11" x14ac:dyDescent="0.2">
      <c r="A972">
        <v>11416733</v>
      </c>
      <c r="B972">
        <v>1021988</v>
      </c>
      <c r="C972">
        <v>5</v>
      </c>
      <c r="D972">
        <v>1</v>
      </c>
      <c r="E972">
        <v>1</v>
      </c>
      <c r="F972">
        <v>0</v>
      </c>
      <c r="G972">
        <v>0</v>
      </c>
      <c r="H972" t="str">
        <f>IF(Demographics[[#This Row],[DOB]]&gt;10000000, TEXT(Demographics[[#This Row],[DOB]],0),CONCATENATE("0",TEXT(Demographics[[#This Row],[DOB]],0)))</f>
        <v>01021988</v>
      </c>
      <c r="I972" s="4">
        <f ca="1">IFERROR((VALUE(TODAY()-DATE(RIGHT(Demographics[[#This Row],[DOB - Fixed]],4),MID(Demographics[[#This Row],[DOB - Fixed]],3,2),LEFT(Demographics[[#This Row],[DOB - Fixed]],2))))/365,0)</f>
        <v>35.624657534246573</v>
      </c>
      <c r="J972">
        <f>VLOOKUP(Demographics[[#This Row],[INCOME LEVEL]],Income[],4,FALSE)</f>
        <v>175</v>
      </c>
      <c r="K972">
        <f>IFERROR(Demographics[[#This Row],[Total monthly income]]/Demographics[[#This Row],[FAMILY SIZE]], 0)</f>
        <v>35</v>
      </c>
    </row>
    <row r="973" spans="1:11" x14ac:dyDescent="0.2">
      <c r="A973">
        <v>20928469</v>
      </c>
      <c r="B973">
        <v>8021988</v>
      </c>
      <c r="C973">
        <v>4</v>
      </c>
      <c r="D973">
        <v>1</v>
      </c>
      <c r="E973">
        <v>2</v>
      </c>
      <c r="F973">
        <v>5</v>
      </c>
      <c r="G973">
        <v>5</v>
      </c>
      <c r="H973" t="str">
        <f>IF(Demographics[[#This Row],[DOB]]&gt;10000000, TEXT(Demographics[[#This Row],[DOB]],0),CONCATENATE("0",TEXT(Demographics[[#This Row],[DOB]],0)))</f>
        <v>08021988</v>
      </c>
      <c r="I973" s="4">
        <f ca="1">IFERROR((VALUE(TODAY()-DATE(RIGHT(Demographics[[#This Row],[DOB - Fixed]],4),MID(Demographics[[#This Row],[DOB - Fixed]],3,2),LEFT(Demographics[[#This Row],[DOB - Fixed]],2))))/365,0)</f>
        <v>35.605479452054794</v>
      </c>
      <c r="J973">
        <f>VLOOKUP(Demographics[[#This Row],[INCOME LEVEL]],Income[],4,FALSE)</f>
        <v>697.5</v>
      </c>
      <c r="K973">
        <f>IFERROR(Demographics[[#This Row],[Total monthly income]]/Demographics[[#This Row],[FAMILY SIZE]], 0)</f>
        <v>174.375</v>
      </c>
    </row>
    <row r="974" spans="1:11" x14ac:dyDescent="0.2">
      <c r="A974">
        <v>18257420</v>
      </c>
      <c r="B974">
        <v>25011988</v>
      </c>
      <c r="C974">
        <v>5</v>
      </c>
      <c r="D974">
        <v>3</v>
      </c>
      <c r="E974">
        <v>2</v>
      </c>
      <c r="F974">
        <v>10</v>
      </c>
      <c r="G974">
        <v>5</v>
      </c>
      <c r="H974" t="str">
        <f>IF(Demographics[[#This Row],[DOB]]&gt;10000000, TEXT(Demographics[[#This Row],[DOB]],0),CONCATENATE("0",TEXT(Demographics[[#This Row],[DOB]],0)))</f>
        <v>25011988</v>
      </c>
      <c r="I974" s="4">
        <f ca="1">IFERROR((VALUE(TODAY()-DATE(RIGHT(Demographics[[#This Row],[DOB - Fixed]],4),MID(Demographics[[#This Row],[DOB - Fixed]],3,2),LEFT(Demographics[[#This Row],[DOB - Fixed]],2))))/365,0)</f>
        <v>35.643835616438359</v>
      </c>
      <c r="J974">
        <f>VLOOKUP(Demographics[[#This Row],[INCOME LEVEL]],Income[],4,FALSE)</f>
        <v>697.5</v>
      </c>
      <c r="K974">
        <f>IFERROR(Demographics[[#This Row],[Total monthly income]]/Demographics[[#This Row],[FAMILY SIZE]], 0)</f>
        <v>139.5</v>
      </c>
    </row>
    <row r="975" spans="1:11" x14ac:dyDescent="0.2">
      <c r="A975">
        <v>20394547</v>
      </c>
      <c r="B975">
        <v>12021988</v>
      </c>
      <c r="C975">
        <v>0</v>
      </c>
      <c r="D975">
        <v>0</v>
      </c>
      <c r="E975">
        <v>3</v>
      </c>
      <c r="F975">
        <v>0</v>
      </c>
      <c r="G975">
        <v>0</v>
      </c>
      <c r="H975" t="str">
        <f>IF(Demographics[[#This Row],[DOB]]&gt;10000000, TEXT(Demographics[[#This Row],[DOB]],0),CONCATENATE("0",TEXT(Demographics[[#This Row],[DOB]],0)))</f>
        <v>12021988</v>
      </c>
      <c r="I975" s="4">
        <f ca="1">IFERROR((VALUE(TODAY()-DATE(RIGHT(Demographics[[#This Row],[DOB - Fixed]],4),MID(Demographics[[#This Row],[DOB - Fixed]],3,2),LEFT(Demographics[[#This Row],[DOB - Fixed]],2))))/365,0)</f>
        <v>35.594520547945208</v>
      </c>
      <c r="J975">
        <f>VLOOKUP(Demographics[[#This Row],[INCOME LEVEL]],Income[],4,FALSE)</f>
        <v>1397.5</v>
      </c>
      <c r="K975">
        <f>IFERROR(Demographics[[#This Row],[Total monthly income]]/Demographics[[#This Row],[FAMILY SIZE]], 0)</f>
        <v>0</v>
      </c>
    </row>
    <row r="976" spans="1:11" x14ac:dyDescent="0.2">
      <c r="A976">
        <v>6076152</v>
      </c>
      <c r="B976">
        <v>17021988</v>
      </c>
      <c r="C976">
        <v>5</v>
      </c>
      <c r="D976">
        <v>1</v>
      </c>
      <c r="E976">
        <v>2</v>
      </c>
      <c r="F976">
        <v>7</v>
      </c>
      <c r="G976">
        <v>8</v>
      </c>
      <c r="H976" t="str">
        <f>IF(Demographics[[#This Row],[DOB]]&gt;10000000, TEXT(Demographics[[#This Row],[DOB]],0),CONCATENATE("0",TEXT(Demographics[[#This Row],[DOB]],0)))</f>
        <v>17021988</v>
      </c>
      <c r="I976" s="4">
        <f ca="1">IFERROR((VALUE(TODAY()-DATE(RIGHT(Demographics[[#This Row],[DOB - Fixed]],4),MID(Demographics[[#This Row],[DOB - Fixed]],3,2),LEFT(Demographics[[#This Row],[DOB - Fixed]],2))))/365,0)</f>
        <v>35.580821917808223</v>
      </c>
      <c r="J976">
        <f>VLOOKUP(Demographics[[#This Row],[INCOME LEVEL]],Income[],4,FALSE)</f>
        <v>697.5</v>
      </c>
      <c r="K976">
        <f>IFERROR(Demographics[[#This Row],[Total monthly income]]/Demographics[[#This Row],[FAMILY SIZE]], 0)</f>
        <v>139.5</v>
      </c>
    </row>
    <row r="977" spans="1:11" x14ac:dyDescent="0.2">
      <c r="A977">
        <v>11950747</v>
      </c>
      <c r="B977">
        <v>19021988</v>
      </c>
      <c r="C977">
        <v>4</v>
      </c>
      <c r="D977">
        <v>1</v>
      </c>
      <c r="E977">
        <v>1</v>
      </c>
      <c r="F977">
        <v>7</v>
      </c>
      <c r="G977">
        <v>0</v>
      </c>
      <c r="H977" t="str">
        <f>IF(Demographics[[#This Row],[DOB]]&gt;10000000, TEXT(Demographics[[#This Row],[DOB]],0),CONCATENATE("0",TEXT(Demographics[[#This Row],[DOB]],0)))</f>
        <v>19021988</v>
      </c>
      <c r="I977" s="4">
        <f ca="1">IFERROR((VALUE(TODAY()-DATE(RIGHT(Demographics[[#This Row],[DOB - Fixed]],4),MID(Demographics[[#This Row],[DOB - Fixed]],3,2),LEFT(Demographics[[#This Row],[DOB - Fixed]],2))))/365,0)</f>
        <v>35.575342465753423</v>
      </c>
      <c r="J977">
        <f>VLOOKUP(Demographics[[#This Row],[INCOME LEVEL]],Income[],4,FALSE)</f>
        <v>175</v>
      </c>
      <c r="K977">
        <f>IFERROR(Demographics[[#This Row],[Total monthly income]]/Demographics[[#This Row],[FAMILY SIZE]], 0)</f>
        <v>43.75</v>
      </c>
    </row>
    <row r="978" spans="1:11" x14ac:dyDescent="0.2">
      <c r="A978">
        <v>18155721</v>
      </c>
      <c r="B978">
        <v>4021988</v>
      </c>
      <c r="C978">
        <v>3</v>
      </c>
      <c r="D978">
        <v>1</v>
      </c>
      <c r="E978">
        <v>0</v>
      </c>
      <c r="F978">
        <v>5</v>
      </c>
      <c r="G978">
        <v>4</v>
      </c>
      <c r="H978" t="str">
        <f>IF(Demographics[[#This Row],[DOB]]&gt;10000000, TEXT(Demographics[[#This Row],[DOB]],0),CONCATENATE("0",TEXT(Demographics[[#This Row],[DOB]],0)))</f>
        <v>04021988</v>
      </c>
      <c r="I978" s="4">
        <f ca="1">IFERROR((VALUE(TODAY()-DATE(RIGHT(Demographics[[#This Row],[DOB - Fixed]],4),MID(Demographics[[#This Row],[DOB - Fixed]],3,2),LEFT(Demographics[[#This Row],[DOB - Fixed]],2))))/365,0)</f>
        <v>35.61643835616438</v>
      </c>
      <c r="J978" t="e">
        <f>VLOOKUP(Demographics[[#This Row],[INCOME LEVEL]],Income[],4,FALSE)</f>
        <v>#N/A</v>
      </c>
      <c r="K978">
        <f>IFERROR(Demographics[[#This Row],[Total monthly income]]/Demographics[[#This Row],[FAMILY SIZE]], 0)</f>
        <v>0</v>
      </c>
    </row>
    <row r="979" spans="1:11" x14ac:dyDescent="0.2">
      <c r="A979">
        <v>16019397</v>
      </c>
      <c r="B979">
        <v>17021988</v>
      </c>
      <c r="C979">
        <v>7</v>
      </c>
      <c r="D979">
        <v>2</v>
      </c>
      <c r="E979">
        <v>1</v>
      </c>
      <c r="F979">
        <v>5</v>
      </c>
      <c r="G979">
        <v>5</v>
      </c>
      <c r="H979" t="str">
        <f>IF(Demographics[[#This Row],[DOB]]&gt;10000000, TEXT(Demographics[[#This Row],[DOB]],0),CONCATENATE("0",TEXT(Demographics[[#This Row],[DOB]],0)))</f>
        <v>17021988</v>
      </c>
      <c r="I979" s="4">
        <f ca="1">IFERROR((VALUE(TODAY()-DATE(RIGHT(Demographics[[#This Row],[DOB - Fixed]],4),MID(Demographics[[#This Row],[DOB - Fixed]],3,2),LEFT(Demographics[[#This Row],[DOB - Fixed]],2))))/365,0)</f>
        <v>35.580821917808223</v>
      </c>
      <c r="J979">
        <f>VLOOKUP(Demographics[[#This Row],[INCOME LEVEL]],Income[],4,FALSE)</f>
        <v>175</v>
      </c>
      <c r="K979">
        <f>IFERROR(Demographics[[#This Row],[Total monthly income]]/Demographics[[#This Row],[FAMILY SIZE]], 0)</f>
        <v>25</v>
      </c>
    </row>
    <row r="980" spans="1:11" x14ac:dyDescent="0.2">
      <c r="A980">
        <v>3304447</v>
      </c>
      <c r="B980">
        <v>20021988</v>
      </c>
      <c r="C980">
        <v>7</v>
      </c>
      <c r="D980">
        <v>1</v>
      </c>
      <c r="E980">
        <v>2</v>
      </c>
      <c r="F980">
        <v>5</v>
      </c>
      <c r="G980">
        <v>5</v>
      </c>
      <c r="H980" t="str">
        <f>IF(Demographics[[#This Row],[DOB]]&gt;10000000, TEXT(Demographics[[#This Row],[DOB]],0),CONCATENATE("0",TEXT(Demographics[[#This Row],[DOB]],0)))</f>
        <v>20021988</v>
      </c>
      <c r="I980" s="4">
        <f ca="1">IFERROR((VALUE(TODAY()-DATE(RIGHT(Demographics[[#This Row],[DOB - Fixed]],4),MID(Demographics[[#This Row],[DOB - Fixed]],3,2),LEFT(Demographics[[#This Row],[DOB - Fixed]],2))))/365,0)</f>
        <v>35.57260273972603</v>
      </c>
      <c r="J980">
        <f>VLOOKUP(Demographics[[#This Row],[INCOME LEVEL]],Income[],4,FALSE)</f>
        <v>697.5</v>
      </c>
      <c r="K980">
        <f>IFERROR(Demographics[[#This Row],[Total monthly income]]/Demographics[[#This Row],[FAMILY SIZE]], 0)</f>
        <v>99.642857142857139</v>
      </c>
    </row>
    <row r="981" spans="1:11" x14ac:dyDescent="0.2">
      <c r="A981">
        <v>21360455</v>
      </c>
      <c r="B981">
        <v>19021988</v>
      </c>
      <c r="C981">
        <v>4</v>
      </c>
      <c r="D981">
        <v>3</v>
      </c>
      <c r="E981">
        <v>2</v>
      </c>
      <c r="F981">
        <v>10</v>
      </c>
      <c r="G981">
        <v>9</v>
      </c>
      <c r="H981" t="str">
        <f>IF(Demographics[[#This Row],[DOB]]&gt;10000000, TEXT(Demographics[[#This Row],[DOB]],0),CONCATENATE("0",TEXT(Demographics[[#This Row],[DOB]],0)))</f>
        <v>19021988</v>
      </c>
      <c r="I981" s="4">
        <f ca="1">IFERROR((VALUE(TODAY()-DATE(RIGHT(Demographics[[#This Row],[DOB - Fixed]],4),MID(Demographics[[#This Row],[DOB - Fixed]],3,2),LEFT(Demographics[[#This Row],[DOB - Fixed]],2))))/365,0)</f>
        <v>35.575342465753423</v>
      </c>
      <c r="J981">
        <f>VLOOKUP(Demographics[[#This Row],[INCOME LEVEL]],Income[],4,FALSE)</f>
        <v>697.5</v>
      </c>
      <c r="K981">
        <f>IFERROR(Demographics[[#This Row],[Total monthly income]]/Demographics[[#This Row],[FAMILY SIZE]], 0)</f>
        <v>174.375</v>
      </c>
    </row>
    <row r="982" spans="1:11" x14ac:dyDescent="0.2">
      <c r="A982">
        <v>2235698</v>
      </c>
      <c r="B982">
        <v>9021988</v>
      </c>
      <c r="C982">
        <v>3</v>
      </c>
      <c r="D982">
        <v>1</v>
      </c>
      <c r="E982">
        <v>1</v>
      </c>
      <c r="F982">
        <v>5</v>
      </c>
      <c r="G982">
        <v>10</v>
      </c>
      <c r="H982" t="str">
        <f>IF(Demographics[[#This Row],[DOB]]&gt;10000000, TEXT(Demographics[[#This Row],[DOB]],0),CONCATENATE("0",TEXT(Demographics[[#This Row],[DOB]],0)))</f>
        <v>09021988</v>
      </c>
      <c r="I982" s="4">
        <f ca="1">IFERROR((VALUE(TODAY()-DATE(RIGHT(Demographics[[#This Row],[DOB - Fixed]],4),MID(Demographics[[#This Row],[DOB - Fixed]],3,2),LEFT(Demographics[[#This Row],[DOB - Fixed]],2))))/365,0)</f>
        <v>35.602739726027394</v>
      </c>
      <c r="J982">
        <f>VLOOKUP(Demographics[[#This Row],[INCOME LEVEL]],Income[],4,FALSE)</f>
        <v>175</v>
      </c>
      <c r="K982">
        <f>IFERROR(Demographics[[#This Row],[Total monthly income]]/Demographics[[#This Row],[FAMILY SIZE]], 0)</f>
        <v>58.333333333333336</v>
      </c>
    </row>
    <row r="983" spans="1:11" x14ac:dyDescent="0.2">
      <c r="A983">
        <v>8212013</v>
      </c>
      <c r="B983">
        <v>1021988</v>
      </c>
      <c r="C983">
        <v>5</v>
      </c>
      <c r="D983">
        <v>1</v>
      </c>
      <c r="E983">
        <v>1</v>
      </c>
      <c r="F983">
        <v>2</v>
      </c>
      <c r="G983">
        <v>9</v>
      </c>
      <c r="H983" t="str">
        <f>IF(Demographics[[#This Row],[DOB]]&gt;10000000, TEXT(Demographics[[#This Row],[DOB]],0),CONCATENATE("0",TEXT(Demographics[[#This Row],[DOB]],0)))</f>
        <v>01021988</v>
      </c>
      <c r="I983" s="4">
        <f ca="1">IFERROR((VALUE(TODAY()-DATE(RIGHT(Demographics[[#This Row],[DOB - Fixed]],4),MID(Demographics[[#This Row],[DOB - Fixed]],3,2),LEFT(Demographics[[#This Row],[DOB - Fixed]],2))))/365,0)</f>
        <v>35.624657534246573</v>
      </c>
      <c r="J983">
        <f>VLOOKUP(Demographics[[#This Row],[INCOME LEVEL]],Income[],4,FALSE)</f>
        <v>175</v>
      </c>
      <c r="K983">
        <f>IFERROR(Demographics[[#This Row],[Total monthly income]]/Demographics[[#This Row],[FAMILY SIZE]], 0)</f>
        <v>35</v>
      </c>
    </row>
    <row r="984" spans="1:11" x14ac:dyDescent="0.2">
      <c r="A984">
        <v>8644821</v>
      </c>
      <c r="B984">
        <v>30101987</v>
      </c>
      <c r="C984">
        <v>4</v>
      </c>
      <c r="D984">
        <v>2</v>
      </c>
      <c r="E984">
        <v>1</v>
      </c>
      <c r="F984">
        <v>4</v>
      </c>
      <c r="G984">
        <v>8</v>
      </c>
      <c r="H984" t="str">
        <f>IF(Demographics[[#This Row],[DOB]]&gt;10000000, TEXT(Demographics[[#This Row],[DOB]],0),CONCATENATE("0",TEXT(Demographics[[#This Row],[DOB]],0)))</f>
        <v>30101987</v>
      </c>
      <c r="I984" s="4">
        <f ca="1">IFERROR((VALUE(TODAY()-DATE(RIGHT(Demographics[[#This Row],[DOB - Fixed]],4),MID(Demographics[[#This Row],[DOB - Fixed]],3,2),LEFT(Demographics[[#This Row],[DOB - Fixed]],2))))/365,0)</f>
        <v>35.88219178082192</v>
      </c>
      <c r="J984">
        <f>VLOOKUP(Demographics[[#This Row],[INCOME LEVEL]],Income[],4,FALSE)</f>
        <v>175</v>
      </c>
      <c r="K984">
        <f>IFERROR(Demographics[[#This Row],[Total monthly income]]/Demographics[[#This Row],[FAMILY SIZE]], 0)</f>
        <v>43.75</v>
      </c>
    </row>
    <row r="985" spans="1:11" x14ac:dyDescent="0.2">
      <c r="A985">
        <v>10145298</v>
      </c>
      <c r="B985">
        <v>18021988</v>
      </c>
      <c r="C985">
        <v>5</v>
      </c>
      <c r="D985">
        <v>1</v>
      </c>
      <c r="E985">
        <v>1</v>
      </c>
      <c r="F985">
        <v>2</v>
      </c>
      <c r="G985">
        <v>2</v>
      </c>
      <c r="H985" t="str">
        <f>IF(Demographics[[#This Row],[DOB]]&gt;10000000, TEXT(Demographics[[#This Row],[DOB]],0),CONCATENATE("0",TEXT(Demographics[[#This Row],[DOB]],0)))</f>
        <v>18021988</v>
      </c>
      <c r="I985" s="4">
        <f ca="1">IFERROR((VALUE(TODAY()-DATE(RIGHT(Demographics[[#This Row],[DOB - Fixed]],4),MID(Demographics[[#This Row],[DOB - Fixed]],3,2),LEFT(Demographics[[#This Row],[DOB - Fixed]],2))))/365,0)</f>
        <v>35.578082191780823</v>
      </c>
      <c r="J985">
        <f>VLOOKUP(Demographics[[#This Row],[INCOME LEVEL]],Income[],4,FALSE)</f>
        <v>175</v>
      </c>
      <c r="K985">
        <f>IFERROR(Demographics[[#This Row],[Total monthly income]]/Demographics[[#This Row],[FAMILY SIZE]], 0)</f>
        <v>35</v>
      </c>
    </row>
    <row r="986" spans="1:11" x14ac:dyDescent="0.2">
      <c r="A986">
        <v>7042515</v>
      </c>
      <c r="B986">
        <v>28021988</v>
      </c>
      <c r="C986">
        <v>6</v>
      </c>
      <c r="D986">
        <v>2</v>
      </c>
      <c r="E986">
        <v>5</v>
      </c>
      <c r="F986">
        <v>9</v>
      </c>
      <c r="G986">
        <v>9</v>
      </c>
      <c r="H986" t="str">
        <f>IF(Demographics[[#This Row],[DOB]]&gt;10000000, TEXT(Demographics[[#This Row],[DOB]],0),CONCATENATE("0",TEXT(Demographics[[#This Row],[DOB]],0)))</f>
        <v>28021988</v>
      </c>
      <c r="I986" s="4">
        <f ca="1">IFERROR((VALUE(TODAY()-DATE(RIGHT(Demographics[[#This Row],[DOB - Fixed]],4),MID(Demographics[[#This Row],[DOB - Fixed]],3,2),LEFT(Demographics[[#This Row],[DOB - Fixed]],2))))/365,0)</f>
        <v>35.550684931506851</v>
      </c>
      <c r="J986">
        <f>VLOOKUP(Demographics[[#This Row],[INCOME LEVEL]],Income[],4,FALSE)</f>
        <v>2787.5</v>
      </c>
      <c r="K986">
        <f>IFERROR(Demographics[[#This Row],[Total monthly income]]/Demographics[[#This Row],[FAMILY SIZE]], 0)</f>
        <v>464.58333333333331</v>
      </c>
    </row>
    <row r="987" spans="1:11" x14ac:dyDescent="0.2">
      <c r="A987">
        <v>16553738</v>
      </c>
      <c r="B987">
        <v>29021988</v>
      </c>
      <c r="C987">
        <v>5</v>
      </c>
      <c r="D987">
        <v>1</v>
      </c>
      <c r="E987">
        <v>3</v>
      </c>
      <c r="F987">
        <v>9</v>
      </c>
      <c r="G987">
        <v>8</v>
      </c>
      <c r="H987" t="str">
        <f>IF(Demographics[[#This Row],[DOB]]&gt;10000000, TEXT(Demographics[[#This Row],[DOB]],0),CONCATENATE("0",TEXT(Demographics[[#This Row],[DOB]],0)))</f>
        <v>29021988</v>
      </c>
      <c r="I987" s="4">
        <f ca="1">IFERROR((VALUE(TODAY()-DATE(RIGHT(Demographics[[#This Row],[DOB - Fixed]],4),MID(Demographics[[#This Row],[DOB - Fixed]],3,2),LEFT(Demographics[[#This Row],[DOB - Fixed]],2))))/365,0)</f>
        <v>35.547945205479451</v>
      </c>
      <c r="J987">
        <f>VLOOKUP(Demographics[[#This Row],[INCOME LEVEL]],Income[],4,FALSE)</f>
        <v>1397.5</v>
      </c>
      <c r="K987">
        <f>IFERROR(Demographics[[#This Row],[Total monthly income]]/Demographics[[#This Row],[FAMILY SIZE]], 0)</f>
        <v>279.5</v>
      </c>
    </row>
    <row r="988" spans="1:11" x14ac:dyDescent="0.2">
      <c r="A988">
        <v>7576304</v>
      </c>
      <c r="B988">
        <v>2031988</v>
      </c>
      <c r="C988">
        <v>5</v>
      </c>
      <c r="D988">
        <v>0</v>
      </c>
      <c r="E988">
        <v>2</v>
      </c>
      <c r="F988">
        <v>7</v>
      </c>
      <c r="G988">
        <v>5</v>
      </c>
      <c r="H988" t="str">
        <f>IF(Demographics[[#This Row],[DOB]]&gt;10000000, TEXT(Demographics[[#This Row],[DOB]],0),CONCATENATE("0",TEXT(Demographics[[#This Row],[DOB]],0)))</f>
        <v>02031988</v>
      </c>
      <c r="I988" s="4">
        <f ca="1">IFERROR((VALUE(TODAY()-DATE(RIGHT(Demographics[[#This Row],[DOB - Fixed]],4),MID(Demographics[[#This Row],[DOB - Fixed]],3,2),LEFT(Demographics[[#This Row],[DOB - Fixed]],2))))/365,0)</f>
        <v>35.542465753424658</v>
      </c>
      <c r="J988">
        <f>VLOOKUP(Demographics[[#This Row],[INCOME LEVEL]],Income[],4,FALSE)</f>
        <v>697.5</v>
      </c>
      <c r="K988">
        <f>IFERROR(Demographics[[#This Row],[Total monthly income]]/Demographics[[#This Row],[FAMILY SIZE]], 0)</f>
        <v>139.5</v>
      </c>
    </row>
    <row r="989" spans="1:11" x14ac:dyDescent="0.2">
      <c r="A989">
        <v>23496643</v>
      </c>
      <c r="B989">
        <v>20021988</v>
      </c>
      <c r="C989">
        <v>4</v>
      </c>
      <c r="D989">
        <v>1</v>
      </c>
      <c r="E989">
        <v>1</v>
      </c>
      <c r="F989">
        <v>5</v>
      </c>
      <c r="G989">
        <v>5</v>
      </c>
      <c r="H989" t="str">
        <f>IF(Demographics[[#This Row],[DOB]]&gt;10000000, TEXT(Demographics[[#This Row],[DOB]],0),CONCATENATE("0",TEXT(Demographics[[#This Row],[DOB]],0)))</f>
        <v>20021988</v>
      </c>
      <c r="I989" s="4">
        <f ca="1">IFERROR((VALUE(TODAY()-DATE(RIGHT(Demographics[[#This Row],[DOB - Fixed]],4),MID(Demographics[[#This Row],[DOB - Fixed]],3,2),LEFT(Demographics[[#This Row],[DOB - Fixed]],2))))/365,0)</f>
        <v>35.57260273972603</v>
      </c>
      <c r="J989">
        <f>VLOOKUP(Demographics[[#This Row],[INCOME LEVEL]],Income[],4,FALSE)</f>
        <v>175</v>
      </c>
      <c r="K989">
        <f>IFERROR(Demographics[[#This Row],[Total monthly income]]/Demographics[[#This Row],[FAMILY SIZE]], 0)</f>
        <v>43.75</v>
      </c>
    </row>
    <row r="990" spans="1:11" x14ac:dyDescent="0.2">
      <c r="A990">
        <v>16655495</v>
      </c>
      <c r="B990">
        <v>7031988</v>
      </c>
      <c r="C990">
        <v>5</v>
      </c>
      <c r="D990">
        <v>2</v>
      </c>
      <c r="E990">
        <v>1</v>
      </c>
      <c r="F990">
        <v>4</v>
      </c>
      <c r="G990">
        <v>5</v>
      </c>
      <c r="H990" t="str">
        <f>IF(Demographics[[#This Row],[DOB]]&gt;10000000, TEXT(Demographics[[#This Row],[DOB]],0),CONCATENATE("0",TEXT(Demographics[[#This Row],[DOB]],0)))</f>
        <v>07031988</v>
      </c>
      <c r="I990" s="4">
        <f ca="1">IFERROR((VALUE(TODAY()-DATE(RIGHT(Demographics[[#This Row],[DOB - Fixed]],4),MID(Demographics[[#This Row],[DOB - Fixed]],3,2),LEFT(Demographics[[#This Row],[DOB - Fixed]],2))))/365,0)</f>
        <v>35.528767123287672</v>
      </c>
      <c r="J990">
        <f>VLOOKUP(Demographics[[#This Row],[INCOME LEVEL]],Income[],4,FALSE)</f>
        <v>175</v>
      </c>
      <c r="K990">
        <f>IFERROR(Demographics[[#This Row],[Total monthly income]]/Demographics[[#This Row],[FAMILY SIZE]], 0)</f>
        <v>35</v>
      </c>
    </row>
    <row r="991" spans="1:11" x14ac:dyDescent="0.2">
      <c r="A991">
        <v>10679406</v>
      </c>
      <c r="B991">
        <v>14021988</v>
      </c>
      <c r="C991">
        <v>0</v>
      </c>
      <c r="D991">
        <v>0</v>
      </c>
      <c r="E991">
        <v>1</v>
      </c>
      <c r="F991">
        <v>0</v>
      </c>
      <c r="G991">
        <v>0</v>
      </c>
      <c r="H991" t="str">
        <f>IF(Demographics[[#This Row],[DOB]]&gt;10000000, TEXT(Demographics[[#This Row],[DOB]],0),CONCATENATE("0",TEXT(Demographics[[#This Row],[DOB]],0)))</f>
        <v>14021988</v>
      </c>
      <c r="I991" s="4">
        <f ca="1">IFERROR((VALUE(TODAY()-DATE(RIGHT(Demographics[[#This Row],[DOB - Fixed]],4),MID(Demographics[[#This Row],[DOB - Fixed]],3,2),LEFT(Demographics[[#This Row],[DOB - Fixed]],2))))/365,0)</f>
        <v>35.589041095890408</v>
      </c>
      <c r="J991">
        <f>VLOOKUP(Demographics[[#This Row],[INCOME LEVEL]],Income[],4,FALSE)</f>
        <v>175</v>
      </c>
      <c r="K991">
        <f>IFERROR(Demographics[[#This Row],[Total monthly income]]/Demographics[[#This Row],[FAMILY SIZE]], 0)</f>
        <v>0</v>
      </c>
    </row>
    <row r="992" spans="1:11" x14ac:dyDescent="0.2">
      <c r="A992">
        <v>14620808</v>
      </c>
      <c r="B992">
        <v>28021988</v>
      </c>
      <c r="C992">
        <v>6</v>
      </c>
      <c r="D992">
        <v>1</v>
      </c>
      <c r="E992">
        <v>1</v>
      </c>
      <c r="F992">
        <v>0</v>
      </c>
      <c r="G992">
        <v>0</v>
      </c>
      <c r="H992" t="str">
        <f>IF(Demographics[[#This Row],[DOB]]&gt;10000000, TEXT(Demographics[[#This Row],[DOB]],0),CONCATENATE("0",TEXT(Demographics[[#This Row],[DOB]],0)))</f>
        <v>28021988</v>
      </c>
      <c r="I992" s="4">
        <f ca="1">IFERROR((VALUE(TODAY()-DATE(RIGHT(Demographics[[#This Row],[DOB - Fixed]],4),MID(Demographics[[#This Row],[DOB - Fixed]],3,2),LEFT(Demographics[[#This Row],[DOB - Fixed]],2))))/365,0)</f>
        <v>35.550684931506851</v>
      </c>
      <c r="J992">
        <f>VLOOKUP(Demographics[[#This Row],[INCOME LEVEL]],Income[],4,FALSE)</f>
        <v>175</v>
      </c>
      <c r="K992">
        <f>IFERROR(Demographics[[#This Row],[Total monthly income]]/Demographics[[#This Row],[FAMILY SIZE]], 0)</f>
        <v>29.166666666666668</v>
      </c>
    </row>
    <row r="993" spans="1:11" x14ac:dyDescent="0.2">
      <c r="A993">
        <v>4372037</v>
      </c>
      <c r="B993">
        <v>12121987</v>
      </c>
      <c r="C993">
        <v>6</v>
      </c>
      <c r="D993">
        <v>2</v>
      </c>
      <c r="E993">
        <v>2</v>
      </c>
      <c r="F993">
        <v>5</v>
      </c>
      <c r="G993">
        <v>5</v>
      </c>
      <c r="H993" t="str">
        <f>IF(Demographics[[#This Row],[DOB]]&gt;10000000, TEXT(Demographics[[#This Row],[DOB]],0),CONCATENATE("0",TEXT(Demographics[[#This Row],[DOB]],0)))</f>
        <v>12121987</v>
      </c>
      <c r="I993" s="4">
        <f ca="1">IFERROR((VALUE(TODAY()-DATE(RIGHT(Demographics[[#This Row],[DOB - Fixed]],4),MID(Demographics[[#This Row],[DOB - Fixed]],3,2),LEFT(Demographics[[#This Row],[DOB - Fixed]],2))))/365,0)</f>
        <v>35.764383561643832</v>
      </c>
      <c r="J993">
        <f>VLOOKUP(Demographics[[#This Row],[INCOME LEVEL]],Income[],4,FALSE)</f>
        <v>697.5</v>
      </c>
      <c r="K993">
        <f>IFERROR(Demographics[[#This Row],[Total monthly income]]/Demographics[[#This Row],[FAMILY SIZE]], 0)</f>
        <v>116.25</v>
      </c>
    </row>
    <row r="994" spans="1:11" x14ac:dyDescent="0.2">
      <c r="A994">
        <v>24233541</v>
      </c>
      <c r="B994">
        <v>4031988</v>
      </c>
      <c r="C994">
        <v>4</v>
      </c>
      <c r="D994">
        <v>1</v>
      </c>
      <c r="E994">
        <v>1</v>
      </c>
      <c r="F994">
        <v>5</v>
      </c>
      <c r="G994">
        <v>5</v>
      </c>
      <c r="H994" t="str">
        <f>IF(Demographics[[#This Row],[DOB]]&gt;10000000, TEXT(Demographics[[#This Row],[DOB]],0),CONCATENATE("0",TEXT(Demographics[[#This Row],[DOB]],0)))</f>
        <v>04031988</v>
      </c>
      <c r="I994" s="4">
        <f ca="1">IFERROR((VALUE(TODAY()-DATE(RIGHT(Demographics[[#This Row],[DOB - Fixed]],4),MID(Demographics[[#This Row],[DOB - Fixed]],3,2),LEFT(Demographics[[#This Row],[DOB - Fixed]],2))))/365,0)</f>
        <v>35.536986301369865</v>
      </c>
      <c r="J994">
        <f>VLOOKUP(Demographics[[#This Row],[INCOME LEVEL]],Income[],4,FALSE)</f>
        <v>175</v>
      </c>
      <c r="K994">
        <f>IFERROR(Demographics[[#This Row],[Total monthly income]]/Demographics[[#This Row],[FAMILY SIZE]], 0)</f>
        <v>43.75</v>
      </c>
    </row>
    <row r="995" spans="1:11" x14ac:dyDescent="0.2">
      <c r="A995">
        <v>4906080</v>
      </c>
      <c r="B995">
        <v>9031988</v>
      </c>
      <c r="C995">
        <v>4</v>
      </c>
      <c r="D995">
        <v>1</v>
      </c>
      <c r="E995">
        <v>1</v>
      </c>
      <c r="F995">
        <v>3</v>
      </c>
      <c r="G995">
        <v>4</v>
      </c>
      <c r="H995" t="str">
        <f>IF(Demographics[[#This Row],[DOB]]&gt;10000000, TEXT(Demographics[[#This Row],[DOB]],0),CONCATENATE("0",TEXT(Demographics[[#This Row],[DOB]],0)))</f>
        <v>09031988</v>
      </c>
      <c r="I995" s="4">
        <f ca="1">IFERROR((VALUE(TODAY()-DATE(RIGHT(Demographics[[#This Row],[DOB - Fixed]],4),MID(Demographics[[#This Row],[DOB - Fixed]],3,2),LEFT(Demographics[[#This Row],[DOB - Fixed]],2))))/365,0)</f>
        <v>35.523287671232879</v>
      </c>
      <c r="J995">
        <f>VLOOKUP(Demographics[[#This Row],[INCOME LEVEL]],Income[],4,FALSE)</f>
        <v>175</v>
      </c>
      <c r="K995">
        <f>IFERROR(Demographics[[#This Row],[Total monthly income]]/Demographics[[#This Row],[FAMILY SIZE]], 0)</f>
        <v>43.75</v>
      </c>
    </row>
    <row r="996" spans="1:11" x14ac:dyDescent="0.2">
      <c r="A996">
        <v>11950748</v>
      </c>
      <c r="B996">
        <v>1031988</v>
      </c>
      <c r="C996">
        <v>6</v>
      </c>
      <c r="D996">
        <v>2</v>
      </c>
      <c r="E996">
        <v>4</v>
      </c>
      <c r="F996">
        <v>9</v>
      </c>
      <c r="G996">
        <v>9</v>
      </c>
      <c r="H996" t="str">
        <f>IF(Demographics[[#This Row],[DOB]]&gt;10000000, TEXT(Demographics[[#This Row],[DOB]],0),CONCATENATE("0",TEXT(Demographics[[#This Row],[DOB]],0)))</f>
        <v>01031988</v>
      </c>
      <c r="I996" s="4">
        <f ca="1">IFERROR((VALUE(TODAY()-DATE(RIGHT(Demographics[[#This Row],[DOB - Fixed]],4),MID(Demographics[[#This Row],[DOB - Fixed]],3,2),LEFT(Demographics[[#This Row],[DOB - Fixed]],2))))/365,0)</f>
        <v>35.545205479452058</v>
      </c>
      <c r="J996">
        <f>VLOOKUP(Demographics[[#This Row],[INCOME LEVEL]],Income[],4,FALSE)</f>
        <v>2100</v>
      </c>
      <c r="K996">
        <f>IFERROR(Demographics[[#This Row],[Total monthly income]]/Demographics[[#This Row],[FAMILY SIZE]], 0)</f>
        <v>350</v>
      </c>
    </row>
    <row r="997" spans="1:11" x14ac:dyDescent="0.2">
      <c r="A997">
        <v>16756852</v>
      </c>
      <c r="B997">
        <v>13031988</v>
      </c>
      <c r="C997">
        <v>5</v>
      </c>
      <c r="D997">
        <v>2</v>
      </c>
      <c r="E997">
        <v>2</v>
      </c>
      <c r="F997">
        <v>5</v>
      </c>
      <c r="G997">
        <v>5</v>
      </c>
      <c r="H997" t="str">
        <f>IF(Demographics[[#This Row],[DOB]]&gt;10000000, TEXT(Demographics[[#This Row],[DOB]],0),CONCATENATE("0",TEXT(Demographics[[#This Row],[DOB]],0)))</f>
        <v>13031988</v>
      </c>
      <c r="I997" s="4">
        <f ca="1">IFERROR((VALUE(TODAY()-DATE(RIGHT(Demographics[[#This Row],[DOB - Fixed]],4),MID(Demographics[[#This Row],[DOB - Fixed]],3,2),LEFT(Demographics[[#This Row],[DOB - Fixed]],2))))/365,0)</f>
        <v>35.512328767123286</v>
      </c>
      <c r="J997">
        <f>VLOOKUP(Demographics[[#This Row],[INCOME LEVEL]],Income[],4,FALSE)</f>
        <v>697.5</v>
      </c>
      <c r="K997">
        <f>IFERROR(Demographics[[#This Row],[Total monthly income]]/Demographics[[#This Row],[FAMILY SIZE]], 0)</f>
        <v>139.5</v>
      </c>
    </row>
    <row r="998" spans="1:11" x14ac:dyDescent="0.2">
      <c r="A998">
        <v>16019398</v>
      </c>
      <c r="B998">
        <v>5031988</v>
      </c>
      <c r="C998">
        <v>5</v>
      </c>
      <c r="D998">
        <v>1</v>
      </c>
      <c r="E998">
        <v>1</v>
      </c>
      <c r="F998">
        <v>4</v>
      </c>
      <c r="G998">
        <v>4</v>
      </c>
      <c r="H998" t="str">
        <f>IF(Demographics[[#This Row],[DOB]]&gt;10000000, TEXT(Demographics[[#This Row],[DOB]],0),CONCATENATE("0",TEXT(Demographics[[#This Row],[DOB]],0)))</f>
        <v>05031988</v>
      </c>
      <c r="I998" s="4">
        <f ca="1">IFERROR((VALUE(TODAY()-DATE(RIGHT(Demographics[[#This Row],[DOB - Fixed]],4),MID(Demographics[[#This Row],[DOB - Fixed]],3,2),LEFT(Demographics[[#This Row],[DOB - Fixed]],2))))/365,0)</f>
        <v>35.534246575342465</v>
      </c>
      <c r="J998">
        <f>VLOOKUP(Demographics[[#This Row],[INCOME LEVEL]],Income[],4,FALSE)</f>
        <v>175</v>
      </c>
      <c r="K998">
        <f>IFERROR(Demographics[[#This Row],[Total monthly income]]/Demographics[[#This Row],[FAMILY SIZE]], 0)</f>
        <v>35</v>
      </c>
    </row>
    <row r="999" spans="1:11" x14ac:dyDescent="0.2">
      <c r="A999">
        <v>24148221</v>
      </c>
      <c r="B999">
        <v>17031988</v>
      </c>
      <c r="C999">
        <v>5</v>
      </c>
      <c r="D999">
        <v>1</v>
      </c>
      <c r="E999">
        <v>3</v>
      </c>
      <c r="F999">
        <v>8</v>
      </c>
      <c r="G999">
        <v>9</v>
      </c>
      <c r="H999" t="str">
        <f>IF(Demographics[[#This Row],[DOB]]&gt;10000000, TEXT(Demographics[[#This Row],[DOB]],0),CONCATENATE("0",TEXT(Demographics[[#This Row],[DOB]],0)))</f>
        <v>17031988</v>
      </c>
      <c r="I999" s="4">
        <f ca="1">IFERROR((VALUE(TODAY()-DATE(RIGHT(Demographics[[#This Row],[DOB - Fixed]],4),MID(Demographics[[#This Row],[DOB - Fixed]],3,2),LEFT(Demographics[[#This Row],[DOB - Fixed]],2))))/365,0)</f>
        <v>35.5013698630137</v>
      </c>
      <c r="J999">
        <f>VLOOKUP(Demographics[[#This Row],[INCOME LEVEL]],Income[],4,FALSE)</f>
        <v>1397.5</v>
      </c>
      <c r="K999">
        <f>IFERROR(Demographics[[#This Row],[Total monthly income]]/Demographics[[#This Row],[FAMILY SIZE]], 0)</f>
        <v>279.5</v>
      </c>
    </row>
    <row r="1000" spans="1:11" x14ac:dyDescent="0.2">
      <c r="A1000">
        <v>7058380</v>
      </c>
      <c r="B1000">
        <v>14031988</v>
      </c>
      <c r="C1000">
        <v>4</v>
      </c>
      <c r="D1000">
        <v>1</v>
      </c>
      <c r="E1000">
        <v>1</v>
      </c>
      <c r="F1000">
        <v>5</v>
      </c>
      <c r="G1000">
        <v>5</v>
      </c>
      <c r="H1000" t="str">
        <f>IF(Demographics[[#This Row],[DOB]]&gt;10000000, TEXT(Demographics[[#This Row],[DOB]],0),CONCATENATE("0",TEXT(Demographics[[#This Row],[DOB]],0)))</f>
        <v>14031988</v>
      </c>
      <c r="I1000" s="4">
        <f ca="1">IFERROR((VALUE(TODAY()-DATE(RIGHT(Demographics[[#This Row],[DOB - Fixed]],4),MID(Demographics[[#This Row],[DOB - Fixed]],3,2),LEFT(Demographics[[#This Row],[DOB - Fixed]],2))))/365,0)</f>
        <v>35.509589041095893</v>
      </c>
      <c r="J1000">
        <f>VLOOKUP(Demographics[[#This Row],[INCOME LEVEL]],Income[],4,FALSE)</f>
        <v>175</v>
      </c>
      <c r="K1000">
        <f>IFERROR(Demographics[[#This Row],[Total monthly income]]/Demographics[[#This Row],[FAMILY SIZE]], 0)</f>
        <v>43.75</v>
      </c>
    </row>
    <row r="1001" spans="1:11" x14ac:dyDescent="0.2">
      <c r="A1001">
        <v>11966579</v>
      </c>
      <c r="B1001">
        <v>19031988</v>
      </c>
      <c r="C1001">
        <v>0</v>
      </c>
      <c r="D1001">
        <v>0</v>
      </c>
      <c r="E1001">
        <v>1</v>
      </c>
      <c r="F1001">
        <v>4</v>
      </c>
      <c r="G1001">
        <v>4</v>
      </c>
      <c r="H1001" t="str">
        <f>IF(Demographics[[#This Row],[DOB]]&gt;10000000, TEXT(Demographics[[#This Row],[DOB]],0),CONCATENATE("0",TEXT(Demographics[[#This Row],[DOB]],0)))</f>
        <v>19031988</v>
      </c>
      <c r="I1001" s="4">
        <f ca="1">IFERROR((VALUE(TODAY()-DATE(RIGHT(Demographics[[#This Row],[DOB - Fixed]],4),MID(Demographics[[#This Row],[DOB - Fixed]],3,2),LEFT(Demographics[[#This Row],[DOB - Fixed]],2))))/365,0)</f>
        <v>35.495890410958907</v>
      </c>
      <c r="J1001">
        <f>VLOOKUP(Demographics[[#This Row],[INCOME LEVEL]],Income[],4,FALSE)</f>
        <v>175</v>
      </c>
      <c r="K1001">
        <f>IFERROR(Demographics[[#This Row],[Total monthly income]]/Demographics[[#This Row],[FAMILY SIZE]], 0)</f>
        <v>0</v>
      </c>
    </row>
    <row r="1002" spans="1:11" x14ac:dyDescent="0.2">
      <c r="A1002">
        <v>23080464</v>
      </c>
      <c r="B1002">
        <v>21031988</v>
      </c>
      <c r="C1002">
        <v>4</v>
      </c>
      <c r="D1002">
        <v>1</v>
      </c>
      <c r="E1002">
        <v>1</v>
      </c>
      <c r="F1002">
        <v>6</v>
      </c>
      <c r="G1002">
        <v>3</v>
      </c>
      <c r="H1002" t="str">
        <f>IF(Demographics[[#This Row],[DOB]]&gt;10000000, TEXT(Demographics[[#This Row],[DOB]],0),CONCATENATE("0",TEXT(Demographics[[#This Row],[DOB]],0)))</f>
        <v>21031988</v>
      </c>
      <c r="I1002" s="4">
        <f ca="1">IFERROR((VALUE(TODAY()-DATE(RIGHT(Demographics[[#This Row],[DOB - Fixed]],4),MID(Demographics[[#This Row],[DOB - Fixed]],3,2),LEFT(Demographics[[#This Row],[DOB - Fixed]],2))))/365,0)</f>
        <v>35.490410958904107</v>
      </c>
      <c r="J1002">
        <f>VLOOKUP(Demographics[[#This Row],[INCOME LEVEL]],Income[],4,FALSE)</f>
        <v>175</v>
      </c>
      <c r="K1002">
        <f>IFERROR(Demographics[[#This Row],[Total monthly income]]/Demographics[[#This Row],[FAMILY SIZE]], 0)</f>
        <v>43.75</v>
      </c>
    </row>
    <row r="1003" spans="1:11" x14ac:dyDescent="0.2">
      <c r="A1003">
        <v>14102580</v>
      </c>
      <c r="B1003">
        <v>12061986</v>
      </c>
      <c r="C1003">
        <v>10</v>
      </c>
      <c r="D1003">
        <v>1</v>
      </c>
      <c r="E1003">
        <v>1</v>
      </c>
      <c r="F1003">
        <v>1</v>
      </c>
      <c r="G1003">
        <v>2</v>
      </c>
      <c r="H1003" t="str">
        <f>IF(Demographics[[#This Row],[DOB]]&gt;10000000, TEXT(Demographics[[#This Row],[DOB]],0),CONCATENATE("0",TEXT(Demographics[[#This Row],[DOB]],0)))</f>
        <v>12061986</v>
      </c>
      <c r="I1003" s="4">
        <f ca="1">IFERROR((VALUE(TODAY()-DATE(RIGHT(Demographics[[#This Row],[DOB - Fixed]],4),MID(Demographics[[#This Row],[DOB - Fixed]],3,2),LEFT(Demographics[[#This Row],[DOB - Fixed]],2))))/365,0)</f>
        <v>37.265753424657532</v>
      </c>
      <c r="J1003">
        <f>VLOOKUP(Demographics[[#This Row],[INCOME LEVEL]],Income[],4,FALSE)</f>
        <v>175</v>
      </c>
      <c r="K1003">
        <f>IFERROR(Demographics[[#This Row],[Total monthly income]]/Demographics[[#This Row],[FAMILY SIZE]], 0)</f>
        <v>17.5</v>
      </c>
    </row>
    <row r="1004" spans="1:11" x14ac:dyDescent="0.2">
      <c r="A1004">
        <v>22546680</v>
      </c>
      <c r="B1004">
        <v>23031988</v>
      </c>
      <c r="C1004">
        <v>6</v>
      </c>
      <c r="D1004">
        <v>0</v>
      </c>
      <c r="E1004">
        <v>1</v>
      </c>
      <c r="F1004">
        <v>4</v>
      </c>
      <c r="G1004">
        <v>4</v>
      </c>
      <c r="H1004" t="str">
        <f>IF(Demographics[[#This Row],[DOB]]&gt;10000000, TEXT(Demographics[[#This Row],[DOB]],0),CONCATENATE("0",TEXT(Demographics[[#This Row],[DOB]],0)))</f>
        <v>23031988</v>
      </c>
      <c r="I1004" s="4">
        <f ca="1">IFERROR((VALUE(TODAY()-DATE(RIGHT(Demographics[[#This Row],[DOB - Fixed]],4),MID(Demographics[[#This Row],[DOB - Fixed]],3,2),LEFT(Demographics[[#This Row],[DOB - Fixed]],2))))/365,0)</f>
        <v>35.484931506849314</v>
      </c>
      <c r="J1004">
        <f>VLOOKUP(Demographics[[#This Row],[INCOME LEVEL]],Income[],4,FALSE)</f>
        <v>175</v>
      </c>
      <c r="K1004">
        <f>IFERROR(Demographics[[#This Row],[Total monthly income]]/Demographics[[#This Row],[FAMILY SIZE]], 0)</f>
        <v>29.166666666666668</v>
      </c>
    </row>
    <row r="1005" spans="1:11" x14ac:dyDescent="0.2">
      <c r="A1005">
        <v>20842532</v>
      </c>
      <c r="B1005">
        <v>4031988</v>
      </c>
      <c r="C1005">
        <v>3</v>
      </c>
      <c r="D1005">
        <v>1</v>
      </c>
      <c r="E1005">
        <v>1</v>
      </c>
      <c r="F1005">
        <v>3</v>
      </c>
      <c r="G1005">
        <v>6</v>
      </c>
      <c r="H1005" t="str">
        <f>IF(Demographics[[#This Row],[DOB]]&gt;10000000, TEXT(Demographics[[#This Row],[DOB]],0),CONCATENATE("0",TEXT(Demographics[[#This Row],[DOB]],0)))</f>
        <v>04031988</v>
      </c>
      <c r="I1005" s="4">
        <f ca="1">IFERROR((VALUE(TODAY()-DATE(RIGHT(Demographics[[#This Row],[DOB - Fixed]],4),MID(Demographics[[#This Row],[DOB - Fixed]],3,2),LEFT(Demographics[[#This Row],[DOB - Fixed]],2))))/365,0)</f>
        <v>35.536986301369865</v>
      </c>
      <c r="J1005">
        <f>VLOOKUP(Demographics[[#This Row],[INCOME LEVEL]],Income[],4,FALSE)</f>
        <v>175</v>
      </c>
      <c r="K1005">
        <f>IFERROR(Demographics[[#This Row],[Total monthly income]]/Demographics[[#This Row],[FAMILY SIZE]], 0)</f>
        <v>58.333333333333336</v>
      </c>
    </row>
    <row r="1006" spans="1:11" x14ac:dyDescent="0.2">
      <c r="A1006">
        <v>2988722</v>
      </c>
      <c r="B1006">
        <v>28031988</v>
      </c>
      <c r="C1006">
        <v>5</v>
      </c>
      <c r="D1006">
        <v>1</v>
      </c>
      <c r="E1006">
        <v>2</v>
      </c>
      <c r="F1006">
        <v>9</v>
      </c>
      <c r="G1006">
        <v>5</v>
      </c>
      <c r="H1006" t="str">
        <f>IF(Demographics[[#This Row],[DOB]]&gt;10000000, TEXT(Demographics[[#This Row],[DOB]],0),CONCATENATE("0",TEXT(Demographics[[#This Row],[DOB]],0)))</f>
        <v>28031988</v>
      </c>
      <c r="I1006" s="4">
        <f ca="1">IFERROR((VALUE(TODAY()-DATE(RIGHT(Demographics[[#This Row],[DOB - Fixed]],4),MID(Demographics[[#This Row],[DOB - Fixed]],3,2),LEFT(Demographics[[#This Row],[DOB - Fixed]],2))))/365,0)</f>
        <v>35.471232876712328</v>
      </c>
      <c r="J1006">
        <f>VLOOKUP(Demographics[[#This Row],[INCOME LEVEL]],Income[],4,FALSE)</f>
        <v>697.5</v>
      </c>
      <c r="K1006">
        <f>IFERROR(Demographics[[#This Row],[Total monthly income]]/Demographics[[#This Row],[FAMILY SIZE]], 0)</f>
        <v>139.5</v>
      </c>
    </row>
    <row r="1007" spans="1:11" x14ac:dyDescent="0.2">
      <c r="A1007">
        <v>9930593</v>
      </c>
      <c r="B1007">
        <v>15091987</v>
      </c>
      <c r="C1007">
        <v>4</v>
      </c>
      <c r="D1007">
        <v>1</v>
      </c>
      <c r="E1007">
        <v>1</v>
      </c>
      <c r="F1007">
        <v>2</v>
      </c>
      <c r="G1007">
        <v>2</v>
      </c>
      <c r="H1007" t="str">
        <f>IF(Demographics[[#This Row],[DOB]]&gt;10000000, TEXT(Demographics[[#This Row],[DOB]],0),CONCATENATE("0",TEXT(Demographics[[#This Row],[DOB]],0)))</f>
        <v>15091987</v>
      </c>
      <c r="I1007" s="4">
        <f ca="1">IFERROR((VALUE(TODAY()-DATE(RIGHT(Demographics[[#This Row],[DOB - Fixed]],4),MID(Demographics[[#This Row],[DOB - Fixed]],3,2),LEFT(Demographics[[#This Row],[DOB - Fixed]],2))))/365,0)</f>
        <v>36.005479452054793</v>
      </c>
      <c r="J1007">
        <f>VLOOKUP(Demographics[[#This Row],[INCOME LEVEL]],Income[],4,FALSE)</f>
        <v>175</v>
      </c>
      <c r="K1007">
        <f>IFERROR(Demographics[[#This Row],[Total monthly income]]/Demographics[[#This Row],[FAMILY SIZE]], 0)</f>
        <v>43.75</v>
      </c>
    </row>
    <row r="1008" spans="1:11" x14ac:dyDescent="0.2">
      <c r="A1008">
        <v>23614204</v>
      </c>
      <c r="B1008">
        <v>28031988</v>
      </c>
      <c r="C1008">
        <v>4</v>
      </c>
      <c r="D1008">
        <v>1</v>
      </c>
      <c r="E1008">
        <v>1</v>
      </c>
      <c r="F1008">
        <v>3</v>
      </c>
      <c r="G1008">
        <v>3</v>
      </c>
      <c r="H1008" t="str">
        <f>IF(Demographics[[#This Row],[DOB]]&gt;10000000, TEXT(Demographics[[#This Row],[DOB]],0),CONCATENATE("0",TEXT(Demographics[[#This Row],[DOB]],0)))</f>
        <v>28031988</v>
      </c>
      <c r="I1008" s="4">
        <f ca="1">IFERROR((VALUE(TODAY()-DATE(RIGHT(Demographics[[#This Row],[DOB - Fixed]],4),MID(Demographics[[#This Row],[DOB - Fixed]],3,2),LEFT(Demographics[[#This Row],[DOB - Fixed]],2))))/365,0)</f>
        <v>35.471232876712328</v>
      </c>
      <c r="J1008">
        <f>VLOOKUP(Demographics[[#This Row],[INCOME LEVEL]],Income[],4,FALSE)</f>
        <v>175</v>
      </c>
      <c r="K1008">
        <f>IFERROR(Demographics[[#This Row],[Total monthly income]]/Demographics[[#This Row],[FAMILY SIZE]], 0)</f>
        <v>43.75</v>
      </c>
    </row>
    <row r="1009" spans="1:11" x14ac:dyDescent="0.2">
      <c r="A1009">
        <v>14001378</v>
      </c>
      <c r="B1009">
        <v>9031988</v>
      </c>
      <c r="C1009">
        <v>3</v>
      </c>
      <c r="D1009">
        <v>1</v>
      </c>
      <c r="E1009">
        <v>1</v>
      </c>
      <c r="F1009">
        <v>2</v>
      </c>
      <c r="G1009">
        <v>2</v>
      </c>
      <c r="H1009" t="str">
        <f>IF(Demographics[[#This Row],[DOB]]&gt;10000000, TEXT(Demographics[[#This Row],[DOB]],0),CONCATENATE("0",TEXT(Demographics[[#This Row],[DOB]],0)))</f>
        <v>09031988</v>
      </c>
      <c r="I1009" s="4">
        <f ca="1">IFERROR((VALUE(TODAY()-DATE(RIGHT(Demographics[[#This Row],[DOB - Fixed]],4),MID(Demographics[[#This Row],[DOB - Fixed]],3,2),LEFT(Demographics[[#This Row],[DOB - Fixed]],2))))/365,0)</f>
        <v>35.523287671232879</v>
      </c>
      <c r="J1009">
        <f>VLOOKUP(Demographics[[#This Row],[INCOME LEVEL]],Income[],4,FALSE)</f>
        <v>175</v>
      </c>
      <c r="K1009">
        <f>IFERROR(Demographics[[#This Row],[Total monthly income]]/Demographics[[#This Row],[FAMILY SIZE]], 0)</f>
        <v>58.333333333333336</v>
      </c>
    </row>
    <row r="1010" spans="1:11" x14ac:dyDescent="0.2">
      <c r="A1010">
        <v>9728752</v>
      </c>
      <c r="B1010">
        <v>25031988</v>
      </c>
      <c r="C1010">
        <v>4</v>
      </c>
      <c r="D1010">
        <v>2</v>
      </c>
      <c r="E1010">
        <v>3</v>
      </c>
      <c r="F1010">
        <v>9</v>
      </c>
      <c r="G1010">
        <v>5</v>
      </c>
      <c r="H1010" t="str">
        <f>IF(Demographics[[#This Row],[DOB]]&gt;10000000, TEXT(Demographics[[#This Row],[DOB]],0),CONCATENATE("0",TEXT(Demographics[[#This Row],[DOB]],0)))</f>
        <v>25031988</v>
      </c>
      <c r="I1010" s="4">
        <f ca="1">IFERROR((VALUE(TODAY()-DATE(RIGHT(Demographics[[#This Row],[DOB - Fixed]],4),MID(Demographics[[#This Row],[DOB - Fixed]],3,2),LEFT(Demographics[[#This Row],[DOB - Fixed]],2))))/365,0)</f>
        <v>35.479452054794521</v>
      </c>
      <c r="J1010">
        <f>VLOOKUP(Demographics[[#This Row],[INCOME LEVEL]],Income[],4,FALSE)</f>
        <v>1397.5</v>
      </c>
      <c r="K1010">
        <f>IFERROR(Demographics[[#This Row],[Total monthly income]]/Demographics[[#This Row],[FAMILY SIZE]], 0)</f>
        <v>349.375</v>
      </c>
    </row>
    <row r="1011" spans="1:11" x14ac:dyDescent="0.2">
      <c r="A1011">
        <v>7592209</v>
      </c>
      <c r="B1011">
        <v>31031988</v>
      </c>
      <c r="C1011">
        <v>5</v>
      </c>
      <c r="D1011">
        <v>2</v>
      </c>
      <c r="E1011">
        <v>3</v>
      </c>
      <c r="F1011">
        <v>9</v>
      </c>
      <c r="G1011">
        <v>9</v>
      </c>
      <c r="H1011" t="str">
        <f>IF(Demographics[[#This Row],[DOB]]&gt;10000000, TEXT(Demographics[[#This Row],[DOB]],0),CONCATENATE("0",TEXT(Demographics[[#This Row],[DOB]],0)))</f>
        <v>31031988</v>
      </c>
      <c r="I1011" s="4">
        <f ca="1">IFERROR((VALUE(TODAY()-DATE(RIGHT(Demographics[[#This Row],[DOB - Fixed]],4),MID(Demographics[[#This Row],[DOB - Fixed]],3,2),LEFT(Demographics[[#This Row],[DOB - Fixed]],2))))/365,0)</f>
        <v>35.463013698630135</v>
      </c>
      <c r="J1011">
        <f>VLOOKUP(Demographics[[#This Row],[INCOME LEVEL]],Income[],4,FALSE)</f>
        <v>1397.5</v>
      </c>
      <c r="K1011">
        <f>IFERROR(Demographics[[#This Row],[Total monthly income]]/Demographics[[#This Row],[FAMILY SIZE]], 0)</f>
        <v>279.5</v>
      </c>
    </row>
    <row r="1012" spans="1:11" x14ac:dyDescent="0.2">
      <c r="A1012">
        <v>5456538</v>
      </c>
      <c r="B1012">
        <v>4111987</v>
      </c>
      <c r="C1012">
        <v>4</v>
      </c>
      <c r="D1012">
        <v>1</v>
      </c>
      <c r="E1012">
        <v>1</v>
      </c>
      <c r="F1012">
        <v>5</v>
      </c>
      <c r="G1012">
        <v>4</v>
      </c>
      <c r="H1012" t="str">
        <f>IF(Demographics[[#This Row],[DOB]]&gt;10000000, TEXT(Demographics[[#This Row],[DOB]],0),CONCATENATE("0",TEXT(Demographics[[#This Row],[DOB]],0)))</f>
        <v>04111987</v>
      </c>
      <c r="I1012" s="4">
        <f ca="1">IFERROR((VALUE(TODAY()-DATE(RIGHT(Demographics[[#This Row],[DOB - Fixed]],4),MID(Demographics[[#This Row],[DOB - Fixed]],3,2),LEFT(Demographics[[#This Row],[DOB - Fixed]],2))))/365,0)</f>
        <v>35.868493150684934</v>
      </c>
      <c r="J1012">
        <f>VLOOKUP(Demographics[[#This Row],[INCOME LEVEL]],Income[],4,FALSE)</f>
        <v>175</v>
      </c>
      <c r="K1012">
        <f>IFERROR(Demographics[[#This Row],[Total monthly income]]/Demographics[[#This Row],[FAMILY SIZE]], 0)</f>
        <v>43.75</v>
      </c>
    </row>
    <row r="1013" spans="1:11" x14ac:dyDescent="0.2">
      <c r="A1013">
        <v>10898261</v>
      </c>
      <c r="B1013">
        <v>18031988</v>
      </c>
      <c r="C1013">
        <v>3</v>
      </c>
      <c r="D1013">
        <v>1</v>
      </c>
      <c r="E1013">
        <v>2</v>
      </c>
      <c r="F1013">
        <v>4</v>
      </c>
      <c r="G1013">
        <v>5</v>
      </c>
      <c r="H1013" t="str">
        <f>IF(Demographics[[#This Row],[DOB]]&gt;10000000, TEXT(Demographics[[#This Row],[DOB]],0),CONCATENATE("0",TEXT(Demographics[[#This Row],[DOB]],0)))</f>
        <v>18031988</v>
      </c>
      <c r="I1013" s="4">
        <f ca="1">IFERROR((VALUE(TODAY()-DATE(RIGHT(Demographics[[#This Row],[DOB - Fixed]],4),MID(Demographics[[#This Row],[DOB - Fixed]],3,2),LEFT(Demographics[[#This Row],[DOB - Fixed]],2))))/365,0)</f>
        <v>35.4986301369863</v>
      </c>
      <c r="J1013">
        <f>VLOOKUP(Demographics[[#This Row],[INCOME LEVEL]],Income[],4,FALSE)</f>
        <v>697.5</v>
      </c>
      <c r="K1013">
        <f>IFERROR(Demographics[[#This Row],[Total monthly income]]/Demographics[[#This Row],[FAMILY SIZE]], 0)</f>
        <v>232.5</v>
      </c>
    </row>
    <row r="1014" spans="1:11" x14ac:dyDescent="0.2">
      <c r="A1014">
        <v>24046545</v>
      </c>
      <c r="B1014">
        <v>2041988</v>
      </c>
      <c r="C1014">
        <v>4</v>
      </c>
      <c r="D1014">
        <v>2</v>
      </c>
      <c r="E1014">
        <v>1</v>
      </c>
      <c r="F1014">
        <v>5</v>
      </c>
      <c r="G1014">
        <v>4</v>
      </c>
      <c r="H1014" t="str">
        <f>IF(Demographics[[#This Row],[DOB]]&gt;10000000, TEXT(Demographics[[#This Row],[DOB]],0),CONCATENATE("0",TEXT(Demographics[[#This Row],[DOB]],0)))</f>
        <v>02041988</v>
      </c>
      <c r="I1014" s="4">
        <f ca="1">IFERROR((VALUE(TODAY()-DATE(RIGHT(Demographics[[#This Row],[DOB - Fixed]],4),MID(Demographics[[#This Row],[DOB - Fixed]],3,2),LEFT(Demographics[[#This Row],[DOB - Fixed]],2))))/365,0)</f>
        <v>35.457534246575342</v>
      </c>
      <c r="J1014">
        <f>VLOOKUP(Demographics[[#This Row],[INCOME LEVEL]],Income[],4,FALSE)</f>
        <v>175</v>
      </c>
      <c r="K1014">
        <f>IFERROR(Demographics[[#This Row],[Total monthly income]]/Demographics[[#This Row],[FAMILY SIZE]], 0)</f>
        <v>43.75</v>
      </c>
    </row>
    <row r="1015" spans="1:11" x14ac:dyDescent="0.2">
      <c r="A1015">
        <v>21910782</v>
      </c>
      <c r="B1015">
        <v>31031988</v>
      </c>
      <c r="C1015">
        <v>5</v>
      </c>
      <c r="D1015">
        <v>2</v>
      </c>
      <c r="E1015">
        <v>3</v>
      </c>
      <c r="F1015">
        <v>7</v>
      </c>
      <c r="G1015">
        <v>9</v>
      </c>
      <c r="H1015" t="str">
        <f>IF(Demographics[[#This Row],[DOB]]&gt;10000000, TEXT(Demographics[[#This Row],[DOB]],0),CONCATENATE("0",TEXT(Demographics[[#This Row],[DOB]],0)))</f>
        <v>31031988</v>
      </c>
      <c r="I1015" s="4">
        <f ca="1">IFERROR((VALUE(TODAY()-DATE(RIGHT(Demographics[[#This Row],[DOB - Fixed]],4),MID(Demographics[[#This Row],[DOB - Fixed]],3,2),LEFT(Demographics[[#This Row],[DOB - Fixed]],2))))/365,0)</f>
        <v>35.463013698630135</v>
      </c>
      <c r="J1015">
        <f>VLOOKUP(Demographics[[#This Row],[INCOME LEVEL]],Income[],4,FALSE)</f>
        <v>1397.5</v>
      </c>
      <c r="K1015">
        <f>IFERROR(Demographics[[#This Row],[Total monthly income]]/Demographics[[#This Row],[FAMILY SIZE]], 0)</f>
        <v>279.5</v>
      </c>
    </row>
    <row r="1016" spans="1:11" x14ac:dyDescent="0.2">
      <c r="A1016">
        <v>23181542</v>
      </c>
      <c r="B1016">
        <v>7041988</v>
      </c>
      <c r="C1016">
        <v>4</v>
      </c>
      <c r="D1016">
        <v>2</v>
      </c>
      <c r="E1016">
        <v>2</v>
      </c>
      <c r="F1016">
        <v>9</v>
      </c>
      <c r="G1016">
        <v>9</v>
      </c>
      <c r="H1016" t="str">
        <f>IF(Demographics[[#This Row],[DOB]]&gt;10000000, TEXT(Demographics[[#This Row],[DOB]],0),CONCATENATE("0",TEXT(Demographics[[#This Row],[DOB]],0)))</f>
        <v>07041988</v>
      </c>
      <c r="I1016" s="4">
        <f ca="1">IFERROR((VALUE(TODAY()-DATE(RIGHT(Demographics[[#This Row],[DOB - Fixed]],4),MID(Demographics[[#This Row],[DOB - Fixed]],3,2),LEFT(Demographics[[#This Row],[DOB - Fixed]],2))))/365,0)</f>
        <v>35.443835616438356</v>
      </c>
      <c r="J1016">
        <f>VLOOKUP(Demographics[[#This Row],[INCOME LEVEL]],Income[],4,FALSE)</f>
        <v>697.5</v>
      </c>
      <c r="K1016">
        <f>IFERROR(Demographics[[#This Row],[Total monthly income]]/Demographics[[#This Row],[FAMILY SIZE]], 0)</f>
        <v>174.375</v>
      </c>
    </row>
    <row r="1017" spans="1:11" x14ac:dyDescent="0.2">
      <c r="A1017">
        <v>21478238</v>
      </c>
      <c r="B1017">
        <v>7041988</v>
      </c>
      <c r="C1017">
        <v>5</v>
      </c>
      <c r="D1017">
        <v>1</v>
      </c>
      <c r="E1017">
        <v>4</v>
      </c>
      <c r="F1017">
        <v>5</v>
      </c>
      <c r="G1017">
        <v>5</v>
      </c>
      <c r="H1017" t="str">
        <f>IF(Demographics[[#This Row],[DOB]]&gt;10000000, TEXT(Demographics[[#This Row],[DOB]],0),CONCATENATE("0",TEXT(Demographics[[#This Row],[DOB]],0)))</f>
        <v>07041988</v>
      </c>
      <c r="I1017" s="4">
        <f ca="1">IFERROR((VALUE(TODAY()-DATE(RIGHT(Demographics[[#This Row],[DOB - Fixed]],4),MID(Demographics[[#This Row],[DOB - Fixed]],3,2),LEFT(Demographics[[#This Row],[DOB - Fixed]],2))))/365,0)</f>
        <v>35.443835616438356</v>
      </c>
      <c r="J1017">
        <f>VLOOKUP(Demographics[[#This Row],[INCOME LEVEL]],Income[],4,FALSE)</f>
        <v>2100</v>
      </c>
      <c r="K1017">
        <f>IFERROR(Demographics[[#This Row],[Total monthly income]]/Demographics[[#This Row],[FAMILY SIZE]], 0)</f>
        <v>420</v>
      </c>
    </row>
    <row r="1018" spans="1:11" x14ac:dyDescent="0.2">
      <c r="A1018">
        <v>10262723</v>
      </c>
      <c r="B1018">
        <v>8041988</v>
      </c>
      <c r="C1018">
        <v>4</v>
      </c>
      <c r="D1018">
        <v>2</v>
      </c>
      <c r="E1018">
        <v>2</v>
      </c>
      <c r="F1018">
        <v>10</v>
      </c>
      <c r="G1018">
        <v>9</v>
      </c>
      <c r="H1018" t="str">
        <f>IF(Demographics[[#This Row],[DOB]]&gt;10000000, TEXT(Demographics[[#This Row],[DOB]],0),CONCATENATE("0",TEXT(Demographics[[#This Row],[DOB]],0)))</f>
        <v>08041988</v>
      </c>
      <c r="I1018" s="4">
        <f ca="1">IFERROR((VALUE(TODAY()-DATE(RIGHT(Demographics[[#This Row],[DOB - Fixed]],4),MID(Demographics[[#This Row],[DOB - Fixed]],3,2),LEFT(Demographics[[#This Row],[DOB - Fixed]],2))))/365,0)</f>
        <v>35.441095890410956</v>
      </c>
      <c r="J1018">
        <f>VLOOKUP(Demographics[[#This Row],[INCOME LEVEL]],Income[],4,FALSE)</f>
        <v>697.5</v>
      </c>
      <c r="K1018">
        <f>IFERROR(Demographics[[#This Row],[Total monthly income]]/Demographics[[#This Row],[FAMILY SIZE]], 0)</f>
        <v>174.375</v>
      </c>
    </row>
    <row r="1019" spans="1:11" x14ac:dyDescent="0.2">
      <c r="A1019">
        <v>216508</v>
      </c>
      <c r="B1019">
        <v>10041988</v>
      </c>
      <c r="C1019">
        <v>5</v>
      </c>
      <c r="D1019">
        <v>1</v>
      </c>
      <c r="E1019">
        <v>1</v>
      </c>
      <c r="F1019">
        <v>7</v>
      </c>
      <c r="G1019">
        <v>5</v>
      </c>
      <c r="H1019" t="str">
        <f>IF(Demographics[[#This Row],[DOB]]&gt;10000000, TEXT(Demographics[[#This Row],[DOB]],0),CONCATENATE("0",TEXT(Demographics[[#This Row],[DOB]],0)))</f>
        <v>10041988</v>
      </c>
      <c r="I1019" s="4">
        <f ca="1">IFERROR((VALUE(TODAY()-DATE(RIGHT(Demographics[[#This Row],[DOB - Fixed]],4),MID(Demographics[[#This Row],[DOB - Fixed]],3,2),LEFT(Demographics[[#This Row],[DOB - Fixed]],2))))/365,0)</f>
        <v>35.435616438356163</v>
      </c>
      <c r="J1019">
        <f>VLOOKUP(Demographics[[#This Row],[INCOME LEVEL]],Income[],4,FALSE)</f>
        <v>175</v>
      </c>
      <c r="K1019">
        <f>IFERROR(Demographics[[#This Row],[Total monthly income]]/Demographics[[#This Row],[FAMILY SIZE]], 0)</f>
        <v>35</v>
      </c>
    </row>
    <row r="1020" spans="1:11" x14ac:dyDescent="0.2">
      <c r="A1020">
        <v>11966578</v>
      </c>
      <c r="B1020">
        <v>11041988</v>
      </c>
      <c r="C1020">
        <v>4</v>
      </c>
      <c r="D1020">
        <v>1</v>
      </c>
      <c r="E1020">
        <v>2</v>
      </c>
      <c r="F1020">
        <v>8</v>
      </c>
      <c r="G1020">
        <v>10</v>
      </c>
      <c r="H1020" t="str">
        <f>IF(Demographics[[#This Row],[DOB]]&gt;10000000, TEXT(Demographics[[#This Row],[DOB]],0),CONCATENATE("0",TEXT(Demographics[[#This Row],[DOB]],0)))</f>
        <v>11041988</v>
      </c>
      <c r="I1020" s="4">
        <f ca="1">IFERROR((VALUE(TODAY()-DATE(RIGHT(Demographics[[#This Row],[DOB - Fixed]],4),MID(Demographics[[#This Row],[DOB - Fixed]],3,2),LEFT(Demographics[[#This Row],[DOB - Fixed]],2))))/365,0)</f>
        <v>35.43287671232877</v>
      </c>
      <c r="J1020">
        <f>VLOOKUP(Demographics[[#This Row],[INCOME LEVEL]],Income[],4,FALSE)</f>
        <v>697.5</v>
      </c>
      <c r="K1020">
        <f>IFERROR(Demographics[[#This Row],[Total monthly income]]/Demographics[[#This Row],[FAMILY SIZE]], 0)</f>
        <v>174.375</v>
      </c>
    </row>
    <row r="1021" spans="1:11" x14ac:dyDescent="0.2">
      <c r="A1021">
        <v>12933060</v>
      </c>
      <c r="B1021">
        <v>9041988</v>
      </c>
      <c r="C1021">
        <v>5</v>
      </c>
      <c r="D1021">
        <v>2</v>
      </c>
      <c r="E1021">
        <v>4</v>
      </c>
      <c r="F1021">
        <v>9</v>
      </c>
      <c r="G1021">
        <v>9</v>
      </c>
      <c r="H1021" t="str">
        <f>IF(Demographics[[#This Row],[DOB]]&gt;10000000, TEXT(Demographics[[#This Row],[DOB]],0),CONCATENATE("0",TEXT(Demographics[[#This Row],[DOB]],0)))</f>
        <v>09041988</v>
      </c>
      <c r="I1021" s="4">
        <f ca="1">IFERROR((VALUE(TODAY()-DATE(RIGHT(Demographics[[#This Row],[DOB - Fixed]],4),MID(Demographics[[#This Row],[DOB - Fixed]],3,2),LEFT(Demographics[[#This Row],[DOB - Fixed]],2))))/365,0)</f>
        <v>35.438356164383563</v>
      </c>
      <c r="J1021">
        <f>VLOOKUP(Demographics[[#This Row],[INCOME LEVEL]],Income[],4,FALSE)</f>
        <v>2100</v>
      </c>
      <c r="K1021">
        <f>IFERROR(Demographics[[#This Row],[Total monthly income]]/Demographics[[#This Row],[FAMILY SIZE]], 0)</f>
        <v>420</v>
      </c>
    </row>
    <row r="1022" spans="1:11" x14ac:dyDescent="0.2">
      <c r="A1022">
        <v>19977517</v>
      </c>
      <c r="B1022">
        <v>8041988</v>
      </c>
      <c r="C1022">
        <v>3</v>
      </c>
      <c r="D1022">
        <v>1</v>
      </c>
      <c r="E1022">
        <v>2</v>
      </c>
      <c r="F1022">
        <v>9</v>
      </c>
      <c r="G1022">
        <v>9</v>
      </c>
      <c r="H1022" t="str">
        <f>IF(Demographics[[#This Row],[DOB]]&gt;10000000, TEXT(Demographics[[#This Row],[DOB]],0),CONCATENATE("0",TEXT(Demographics[[#This Row],[DOB]],0)))</f>
        <v>08041988</v>
      </c>
      <c r="I1022" s="4">
        <f ca="1">IFERROR((VALUE(TODAY()-DATE(RIGHT(Demographics[[#This Row],[DOB - Fixed]],4),MID(Demographics[[#This Row],[DOB - Fixed]],3,2),LEFT(Demographics[[#This Row],[DOB - Fixed]],2))))/365,0)</f>
        <v>35.441095890410956</v>
      </c>
      <c r="J1022">
        <f>VLOOKUP(Demographics[[#This Row],[INCOME LEVEL]],Income[],4,FALSE)</f>
        <v>697.5</v>
      </c>
      <c r="K1022">
        <f>IFERROR(Demographics[[#This Row],[Total monthly income]]/Demographics[[#This Row],[FAMILY SIZE]], 0)</f>
        <v>232.5</v>
      </c>
    </row>
    <row r="1023" spans="1:11" x14ac:dyDescent="0.2">
      <c r="A1023">
        <v>22647846</v>
      </c>
      <c r="B1023">
        <v>23031988</v>
      </c>
      <c r="C1023">
        <v>3</v>
      </c>
      <c r="D1023">
        <v>1</v>
      </c>
      <c r="E1023">
        <v>2</v>
      </c>
      <c r="F1023">
        <v>4</v>
      </c>
      <c r="G1023">
        <v>4</v>
      </c>
      <c r="H1023" t="str">
        <f>IF(Demographics[[#This Row],[DOB]]&gt;10000000, TEXT(Demographics[[#This Row],[DOB]],0),CONCATENATE("0",TEXT(Demographics[[#This Row],[DOB]],0)))</f>
        <v>23031988</v>
      </c>
      <c r="I1023" s="4">
        <f ca="1">IFERROR((VALUE(TODAY()-DATE(RIGHT(Demographics[[#This Row],[DOB - Fixed]],4),MID(Demographics[[#This Row],[DOB - Fixed]],3,2),LEFT(Demographics[[#This Row],[DOB - Fixed]],2))))/365,0)</f>
        <v>35.484931506849314</v>
      </c>
      <c r="J1023">
        <f>VLOOKUP(Demographics[[#This Row],[INCOME LEVEL]],Income[],4,FALSE)</f>
        <v>697.5</v>
      </c>
      <c r="K1023">
        <f>IFERROR(Demographics[[#This Row],[Total monthly income]]/Demographics[[#This Row],[FAMILY SIZE]], 0)</f>
        <v>232.5</v>
      </c>
    </row>
    <row r="1024" spans="1:11" x14ac:dyDescent="0.2">
      <c r="A1024">
        <v>7159574</v>
      </c>
      <c r="B1024">
        <v>4021988</v>
      </c>
      <c r="C1024">
        <v>5</v>
      </c>
      <c r="D1024">
        <v>1</v>
      </c>
      <c r="E1024">
        <v>1</v>
      </c>
      <c r="F1024">
        <v>0</v>
      </c>
      <c r="G1024">
        <v>0</v>
      </c>
      <c r="H1024" t="str">
        <f>IF(Demographics[[#This Row],[DOB]]&gt;10000000, TEXT(Demographics[[#This Row],[DOB]],0),CONCATENATE("0",TEXT(Demographics[[#This Row],[DOB]],0)))</f>
        <v>04021988</v>
      </c>
      <c r="I1024" s="4">
        <f ca="1">IFERROR((VALUE(TODAY()-DATE(RIGHT(Demographics[[#This Row],[DOB - Fixed]],4),MID(Demographics[[#This Row],[DOB - Fixed]],3,2),LEFT(Demographics[[#This Row],[DOB - Fixed]],2))))/365,0)</f>
        <v>35.61643835616438</v>
      </c>
      <c r="J1024">
        <f>VLOOKUP(Demographics[[#This Row],[INCOME LEVEL]],Income[],4,FALSE)</f>
        <v>175</v>
      </c>
      <c r="K1024">
        <f>IFERROR(Demographics[[#This Row],[Total monthly income]]/Demographics[[#This Row],[FAMILY SIZE]], 0)</f>
        <v>35</v>
      </c>
    </row>
    <row r="1025" spans="1:11" x14ac:dyDescent="0.2">
      <c r="A1025">
        <v>2887505</v>
      </c>
      <c r="B1025">
        <v>11041988</v>
      </c>
      <c r="C1025">
        <v>0</v>
      </c>
      <c r="D1025">
        <v>0</v>
      </c>
      <c r="E1025">
        <v>1</v>
      </c>
      <c r="F1025">
        <v>0</v>
      </c>
      <c r="G1025">
        <v>0</v>
      </c>
      <c r="H1025" t="str">
        <f>IF(Demographics[[#This Row],[DOB]]&gt;10000000, TEXT(Demographics[[#This Row],[DOB]],0),CONCATENATE("0",TEXT(Demographics[[#This Row],[DOB]],0)))</f>
        <v>11041988</v>
      </c>
      <c r="I1025" s="4">
        <f ca="1">IFERROR((VALUE(TODAY()-DATE(RIGHT(Demographics[[#This Row],[DOB - Fixed]],4),MID(Demographics[[#This Row],[DOB - Fixed]],3,2),LEFT(Demographics[[#This Row],[DOB - Fixed]],2))))/365,0)</f>
        <v>35.43287671232877</v>
      </c>
      <c r="J1025">
        <f>VLOOKUP(Demographics[[#This Row],[INCOME LEVEL]],Income[],4,FALSE)</f>
        <v>175</v>
      </c>
      <c r="K1025">
        <f>IFERROR(Demographics[[#This Row],[Total monthly income]]/Demographics[[#This Row],[FAMILY SIZE]], 0)</f>
        <v>0</v>
      </c>
    </row>
    <row r="1026" spans="1:11" x14ac:dyDescent="0.2">
      <c r="A1026">
        <v>9728751</v>
      </c>
      <c r="B1026">
        <v>20041988</v>
      </c>
      <c r="C1026">
        <v>6</v>
      </c>
      <c r="D1026">
        <v>2</v>
      </c>
      <c r="E1026">
        <v>2</v>
      </c>
      <c r="F1026">
        <v>9</v>
      </c>
      <c r="G1026">
        <v>9</v>
      </c>
      <c r="H1026" t="str">
        <f>IF(Demographics[[#This Row],[DOB]]&gt;10000000, TEXT(Demographics[[#This Row],[DOB]],0),CONCATENATE("0",TEXT(Demographics[[#This Row],[DOB]],0)))</f>
        <v>20041988</v>
      </c>
      <c r="I1026" s="4">
        <f ca="1">IFERROR((VALUE(TODAY()-DATE(RIGHT(Demographics[[#This Row],[DOB - Fixed]],4),MID(Demographics[[#This Row],[DOB - Fixed]],3,2),LEFT(Demographics[[#This Row],[DOB - Fixed]],2))))/365,0)</f>
        <v>35.408219178082192</v>
      </c>
      <c r="J1026">
        <f>VLOOKUP(Demographics[[#This Row],[INCOME LEVEL]],Income[],4,FALSE)</f>
        <v>697.5</v>
      </c>
      <c r="K1026">
        <f>IFERROR(Demographics[[#This Row],[Total monthly income]]/Demographics[[#This Row],[FAMILY SIZE]], 0)</f>
        <v>116.25</v>
      </c>
    </row>
    <row r="1027" spans="1:11" x14ac:dyDescent="0.2">
      <c r="A1027">
        <v>10796953</v>
      </c>
      <c r="B1027">
        <v>18041988</v>
      </c>
      <c r="C1027">
        <v>4</v>
      </c>
      <c r="D1027">
        <v>2</v>
      </c>
      <c r="E1027">
        <v>2</v>
      </c>
      <c r="F1027">
        <v>7</v>
      </c>
      <c r="G1027">
        <v>9</v>
      </c>
      <c r="H1027" t="str">
        <f>IF(Demographics[[#This Row],[DOB]]&gt;10000000, TEXT(Demographics[[#This Row],[DOB]],0),CONCATENATE("0",TEXT(Demographics[[#This Row],[DOB]],0)))</f>
        <v>18041988</v>
      </c>
      <c r="I1027" s="4">
        <f ca="1">IFERROR((VALUE(TODAY()-DATE(RIGHT(Demographics[[#This Row],[DOB - Fixed]],4),MID(Demographics[[#This Row],[DOB - Fixed]],3,2),LEFT(Demographics[[#This Row],[DOB - Fixed]],2))))/365,0)</f>
        <v>35.413698630136984</v>
      </c>
      <c r="J1027">
        <f>VLOOKUP(Demographics[[#This Row],[INCOME LEVEL]],Income[],4,FALSE)</f>
        <v>697.5</v>
      </c>
      <c r="K1027">
        <f>IFERROR(Demographics[[#This Row],[Total monthly income]]/Demographics[[#This Row],[FAMILY SIZE]], 0)</f>
        <v>174.375</v>
      </c>
    </row>
    <row r="1028" spans="1:11" x14ac:dyDescent="0.2">
      <c r="A1028">
        <v>7693522</v>
      </c>
      <c r="B1028">
        <v>22041988</v>
      </c>
      <c r="C1028">
        <v>4</v>
      </c>
      <c r="D1028">
        <v>2</v>
      </c>
      <c r="E1028">
        <v>4</v>
      </c>
      <c r="F1028">
        <v>9</v>
      </c>
      <c r="G1028">
        <v>5</v>
      </c>
      <c r="H1028" t="str">
        <f>IF(Demographics[[#This Row],[DOB]]&gt;10000000, TEXT(Demographics[[#This Row],[DOB]],0),CONCATENATE("0",TEXT(Demographics[[#This Row],[DOB]],0)))</f>
        <v>22041988</v>
      </c>
      <c r="I1028" s="4">
        <f ca="1">IFERROR((VALUE(TODAY()-DATE(RIGHT(Demographics[[#This Row],[DOB - Fixed]],4),MID(Demographics[[#This Row],[DOB - Fixed]],3,2),LEFT(Demographics[[#This Row],[DOB - Fixed]],2))))/365,0)</f>
        <v>35.402739726027399</v>
      </c>
      <c r="J1028">
        <f>VLOOKUP(Demographics[[#This Row],[INCOME LEVEL]],Income[],4,FALSE)</f>
        <v>2100</v>
      </c>
      <c r="K1028">
        <f>IFERROR(Demographics[[#This Row],[Total monthly income]]/Demographics[[#This Row],[FAMILY SIZE]], 0)</f>
        <v>525</v>
      </c>
    </row>
    <row r="1029" spans="1:11" x14ac:dyDescent="0.2">
      <c r="A1029">
        <v>17840695</v>
      </c>
      <c r="B1029">
        <v>20041988</v>
      </c>
      <c r="C1029">
        <v>6</v>
      </c>
      <c r="D1029">
        <v>1</v>
      </c>
      <c r="E1029">
        <v>3</v>
      </c>
      <c r="F1029">
        <v>9</v>
      </c>
      <c r="G1029">
        <v>9</v>
      </c>
      <c r="H1029" t="str">
        <f>IF(Demographics[[#This Row],[DOB]]&gt;10000000, TEXT(Demographics[[#This Row],[DOB]],0),CONCATENATE("0",TEXT(Demographics[[#This Row],[DOB]],0)))</f>
        <v>20041988</v>
      </c>
      <c r="I1029" s="4">
        <f ca="1">IFERROR((VALUE(TODAY()-DATE(RIGHT(Demographics[[#This Row],[DOB - Fixed]],4),MID(Demographics[[#This Row],[DOB - Fixed]],3,2),LEFT(Demographics[[#This Row],[DOB - Fixed]],2))))/365,0)</f>
        <v>35.408219178082192</v>
      </c>
      <c r="J1029">
        <f>VLOOKUP(Demographics[[#This Row],[INCOME LEVEL]],Income[],4,FALSE)</f>
        <v>1397.5</v>
      </c>
      <c r="K1029">
        <f>IFERROR(Demographics[[#This Row],[Total monthly income]]/Demographics[[#This Row],[FAMILY SIZE]], 0)</f>
        <v>232.91666666666666</v>
      </c>
    </row>
    <row r="1030" spans="1:11" x14ac:dyDescent="0.2">
      <c r="A1030">
        <v>19065660</v>
      </c>
      <c r="B1030">
        <v>18041988</v>
      </c>
      <c r="C1030">
        <v>2</v>
      </c>
      <c r="D1030">
        <v>1</v>
      </c>
      <c r="E1030">
        <v>3</v>
      </c>
      <c r="F1030">
        <v>9</v>
      </c>
      <c r="G1030">
        <v>9</v>
      </c>
      <c r="H1030" t="str">
        <f>IF(Demographics[[#This Row],[DOB]]&gt;10000000, TEXT(Demographics[[#This Row],[DOB]],0),CONCATENATE("0",TEXT(Demographics[[#This Row],[DOB]],0)))</f>
        <v>18041988</v>
      </c>
      <c r="I1030" s="4">
        <f ca="1">IFERROR((VALUE(TODAY()-DATE(RIGHT(Demographics[[#This Row],[DOB - Fixed]],4),MID(Demographics[[#This Row],[DOB - Fixed]],3,2),LEFT(Demographics[[#This Row],[DOB - Fixed]],2))))/365,0)</f>
        <v>35.413698630136984</v>
      </c>
      <c r="J1030">
        <f>VLOOKUP(Demographics[[#This Row],[INCOME LEVEL]],Income[],4,FALSE)</f>
        <v>1397.5</v>
      </c>
      <c r="K1030">
        <f>IFERROR(Demographics[[#This Row],[Total monthly income]]/Demographics[[#This Row],[FAMILY SIZE]], 0)</f>
        <v>698.75</v>
      </c>
    </row>
    <row r="1031" spans="1:11" x14ac:dyDescent="0.2">
      <c r="A1031">
        <v>24940761</v>
      </c>
      <c r="B1031">
        <v>28041988</v>
      </c>
      <c r="C1031">
        <v>0</v>
      </c>
      <c r="D1031">
        <v>0</v>
      </c>
      <c r="E1031">
        <v>5</v>
      </c>
      <c r="F1031">
        <v>9</v>
      </c>
      <c r="G1031">
        <v>10</v>
      </c>
      <c r="H1031" t="str">
        <f>IF(Demographics[[#This Row],[DOB]]&gt;10000000, TEXT(Demographics[[#This Row],[DOB]],0),CONCATENATE("0",TEXT(Demographics[[#This Row],[DOB]],0)))</f>
        <v>28041988</v>
      </c>
      <c r="I1031" s="4">
        <f ca="1">IFERROR((VALUE(TODAY()-DATE(RIGHT(Demographics[[#This Row],[DOB - Fixed]],4),MID(Demographics[[#This Row],[DOB - Fixed]],3,2),LEFT(Demographics[[#This Row],[DOB - Fixed]],2))))/365,0)</f>
        <v>35.386301369863013</v>
      </c>
      <c r="J1031">
        <f>VLOOKUP(Demographics[[#This Row],[INCOME LEVEL]],Income[],4,FALSE)</f>
        <v>2787.5</v>
      </c>
      <c r="K1031">
        <f>IFERROR(Demographics[[#This Row],[Total monthly income]]/Demographics[[#This Row],[FAMILY SIZE]], 0)</f>
        <v>0</v>
      </c>
    </row>
    <row r="1032" spans="1:11" x14ac:dyDescent="0.2">
      <c r="A1032">
        <v>23439621</v>
      </c>
      <c r="B1032">
        <v>27041988</v>
      </c>
      <c r="C1032">
        <v>3</v>
      </c>
      <c r="D1032">
        <v>1</v>
      </c>
      <c r="E1032">
        <v>1</v>
      </c>
      <c r="F1032">
        <v>4</v>
      </c>
      <c r="G1032">
        <v>4</v>
      </c>
      <c r="H1032" t="str">
        <f>IF(Demographics[[#This Row],[DOB]]&gt;10000000, TEXT(Demographics[[#This Row],[DOB]],0),CONCATENATE("0",TEXT(Demographics[[#This Row],[DOB]],0)))</f>
        <v>27041988</v>
      </c>
      <c r="I1032" s="4">
        <f ca="1">IFERROR((VALUE(TODAY()-DATE(RIGHT(Demographics[[#This Row],[DOB - Fixed]],4),MID(Demographics[[#This Row],[DOB - Fixed]],3,2),LEFT(Demographics[[#This Row],[DOB - Fixed]],2))))/365,0)</f>
        <v>35.389041095890413</v>
      </c>
      <c r="J1032">
        <f>VLOOKUP(Demographics[[#This Row],[INCOME LEVEL]],Income[],4,FALSE)</f>
        <v>175</v>
      </c>
      <c r="K1032">
        <f>IFERROR(Demographics[[#This Row],[Total monthly income]]/Demographics[[#This Row],[FAMILY SIZE]], 0)</f>
        <v>58.333333333333336</v>
      </c>
    </row>
    <row r="1033" spans="1:11" x14ac:dyDescent="0.2">
      <c r="A1033">
        <v>1976549</v>
      </c>
      <c r="B1033">
        <v>14011988</v>
      </c>
      <c r="C1033">
        <v>3</v>
      </c>
      <c r="D1033">
        <v>1</v>
      </c>
      <c r="E1033">
        <v>1</v>
      </c>
      <c r="F1033">
        <v>4</v>
      </c>
      <c r="G1033">
        <v>4</v>
      </c>
      <c r="H1033" t="str">
        <f>IF(Demographics[[#This Row],[DOB]]&gt;10000000, TEXT(Demographics[[#This Row],[DOB]],0),CONCATENATE("0",TEXT(Demographics[[#This Row],[DOB]],0)))</f>
        <v>14011988</v>
      </c>
      <c r="I1033" s="4">
        <f ca="1">IFERROR((VALUE(TODAY()-DATE(RIGHT(Demographics[[#This Row],[DOB - Fixed]],4),MID(Demographics[[#This Row],[DOB - Fixed]],3,2),LEFT(Demographics[[#This Row],[DOB - Fixed]],2))))/365,0)</f>
        <v>35.673972602739724</v>
      </c>
      <c r="J1033">
        <f>VLOOKUP(Demographics[[#This Row],[INCOME LEVEL]],Income[],4,FALSE)</f>
        <v>175</v>
      </c>
      <c r="K1033">
        <f>IFERROR(Demographics[[#This Row],[Total monthly income]]/Demographics[[#This Row],[FAMILY SIZE]], 0)</f>
        <v>58.333333333333336</v>
      </c>
    </row>
    <row r="1034" spans="1:11" x14ac:dyDescent="0.2">
      <c r="A1034">
        <v>4113205</v>
      </c>
      <c r="B1034">
        <v>3051988</v>
      </c>
      <c r="C1034">
        <v>7</v>
      </c>
      <c r="D1034">
        <v>1</v>
      </c>
      <c r="E1034">
        <v>1</v>
      </c>
      <c r="F1034">
        <v>2</v>
      </c>
      <c r="G1034">
        <v>4</v>
      </c>
      <c r="H1034" t="str">
        <f>IF(Demographics[[#This Row],[DOB]]&gt;10000000, TEXT(Demographics[[#This Row],[DOB]],0),CONCATENATE("0",TEXT(Demographics[[#This Row],[DOB]],0)))</f>
        <v>03051988</v>
      </c>
      <c r="I1034" s="4">
        <f ca="1">IFERROR((VALUE(TODAY()-DATE(RIGHT(Demographics[[#This Row],[DOB - Fixed]],4),MID(Demographics[[#This Row],[DOB - Fixed]],3,2),LEFT(Demographics[[#This Row],[DOB - Fixed]],2))))/365,0)</f>
        <v>35.372602739726027</v>
      </c>
      <c r="J1034">
        <f>VLOOKUP(Demographics[[#This Row],[INCOME LEVEL]],Income[],4,FALSE)</f>
        <v>175</v>
      </c>
      <c r="K1034">
        <f>IFERROR(Demographics[[#This Row],[Total monthly income]]/Demographics[[#This Row],[FAMILY SIZE]], 0)</f>
        <v>25</v>
      </c>
    </row>
    <row r="1035" spans="1:11" x14ac:dyDescent="0.2">
      <c r="A1035">
        <v>13191405</v>
      </c>
      <c r="B1035">
        <v>28041988</v>
      </c>
      <c r="C1035">
        <v>6</v>
      </c>
      <c r="D1035">
        <v>1</v>
      </c>
      <c r="E1035">
        <v>4</v>
      </c>
      <c r="F1035">
        <v>9</v>
      </c>
      <c r="G1035">
        <v>9</v>
      </c>
      <c r="H1035" t="str">
        <f>IF(Demographics[[#This Row],[DOB]]&gt;10000000, TEXT(Demographics[[#This Row],[DOB]],0),CONCATENATE("0",TEXT(Demographics[[#This Row],[DOB]],0)))</f>
        <v>28041988</v>
      </c>
      <c r="I1035" s="4">
        <f ca="1">IFERROR((VALUE(TODAY()-DATE(RIGHT(Demographics[[#This Row],[DOB - Fixed]],4),MID(Demographics[[#This Row],[DOB - Fixed]],3,2),LEFT(Demographics[[#This Row],[DOB - Fixed]],2))))/365,0)</f>
        <v>35.386301369863013</v>
      </c>
      <c r="J1035">
        <f>VLOOKUP(Demographics[[#This Row],[INCOME LEVEL]],Income[],4,FALSE)</f>
        <v>2100</v>
      </c>
      <c r="K1035">
        <f>IFERROR(Demographics[[#This Row],[Total monthly income]]/Demographics[[#This Row],[FAMILY SIZE]], 0)</f>
        <v>350</v>
      </c>
    </row>
    <row r="1036" spans="1:11" x14ac:dyDescent="0.2">
      <c r="A1036">
        <v>4848901</v>
      </c>
      <c r="B1036">
        <v>9051988</v>
      </c>
      <c r="C1036">
        <v>4</v>
      </c>
      <c r="D1036">
        <v>1</v>
      </c>
      <c r="E1036">
        <v>1</v>
      </c>
      <c r="F1036">
        <v>6</v>
      </c>
      <c r="G1036">
        <v>5</v>
      </c>
      <c r="H1036" t="str">
        <f>IF(Demographics[[#This Row],[DOB]]&gt;10000000, TEXT(Demographics[[#This Row],[DOB]],0),CONCATENATE("0",TEXT(Demographics[[#This Row],[DOB]],0)))</f>
        <v>09051988</v>
      </c>
      <c r="I1036" s="4">
        <f ca="1">IFERROR((VALUE(TODAY()-DATE(RIGHT(Demographics[[#This Row],[DOB - Fixed]],4),MID(Demographics[[#This Row],[DOB - Fixed]],3,2),LEFT(Demographics[[#This Row],[DOB - Fixed]],2))))/365,0)</f>
        <v>35.356164383561641</v>
      </c>
      <c r="J1036">
        <f>VLOOKUP(Demographics[[#This Row],[INCOME LEVEL]],Income[],4,FALSE)</f>
        <v>175</v>
      </c>
      <c r="K1036">
        <f>IFERROR(Demographics[[#This Row],[Total monthly income]]/Demographics[[#This Row],[FAMILY SIZE]], 0)</f>
        <v>43.75</v>
      </c>
    </row>
    <row r="1037" spans="1:11" x14ac:dyDescent="0.2">
      <c r="A1037">
        <v>22704488</v>
      </c>
      <c r="B1037">
        <v>3051988</v>
      </c>
      <c r="C1037">
        <v>6</v>
      </c>
      <c r="D1037">
        <v>2</v>
      </c>
      <c r="E1037">
        <v>3</v>
      </c>
      <c r="F1037">
        <v>5</v>
      </c>
      <c r="G1037">
        <v>5</v>
      </c>
      <c r="H1037" t="str">
        <f>IF(Demographics[[#This Row],[DOB]]&gt;10000000, TEXT(Demographics[[#This Row],[DOB]],0),CONCATENATE("0",TEXT(Demographics[[#This Row],[DOB]],0)))</f>
        <v>03051988</v>
      </c>
      <c r="I1037" s="4">
        <f ca="1">IFERROR((VALUE(TODAY()-DATE(RIGHT(Demographics[[#This Row],[DOB - Fixed]],4),MID(Demographics[[#This Row],[DOB - Fixed]],3,2),LEFT(Demographics[[#This Row],[DOB - Fixed]],2))))/365,0)</f>
        <v>35.372602739726027</v>
      </c>
      <c r="J1037">
        <f>VLOOKUP(Demographics[[#This Row],[INCOME LEVEL]],Income[],4,FALSE)</f>
        <v>1397.5</v>
      </c>
      <c r="K1037">
        <f>IFERROR(Demographics[[#This Row],[Total monthly income]]/Demographics[[#This Row],[FAMILY SIZE]], 0)</f>
        <v>232.91666666666666</v>
      </c>
    </row>
    <row r="1038" spans="1:11" x14ac:dyDescent="0.2">
      <c r="A1038">
        <v>3781438</v>
      </c>
      <c r="B1038">
        <v>21051988</v>
      </c>
      <c r="C1038">
        <v>4</v>
      </c>
      <c r="D1038">
        <v>1</v>
      </c>
      <c r="E1038">
        <v>2</v>
      </c>
      <c r="F1038">
        <v>9</v>
      </c>
      <c r="G1038">
        <v>9</v>
      </c>
      <c r="H1038" t="str">
        <f>IF(Demographics[[#This Row],[DOB]]&gt;10000000, TEXT(Demographics[[#This Row],[DOB]],0),CONCATENATE("0",TEXT(Demographics[[#This Row],[DOB]],0)))</f>
        <v>21051988</v>
      </c>
      <c r="I1038" s="4">
        <f ca="1">IFERROR((VALUE(TODAY()-DATE(RIGHT(Demographics[[#This Row],[DOB - Fixed]],4),MID(Demographics[[#This Row],[DOB - Fixed]],3,2),LEFT(Demographics[[#This Row],[DOB - Fixed]],2))))/365,0)</f>
        <v>35.323287671232876</v>
      </c>
      <c r="J1038">
        <f>VLOOKUP(Demographics[[#This Row],[INCOME LEVEL]],Income[],4,FALSE)</f>
        <v>697.5</v>
      </c>
      <c r="K1038">
        <f>IFERROR(Demographics[[#This Row],[Total monthly income]]/Demographics[[#This Row],[FAMILY SIZE]], 0)</f>
        <v>174.375</v>
      </c>
    </row>
    <row r="1039" spans="1:11" x14ac:dyDescent="0.2">
      <c r="A1039">
        <v>17897202</v>
      </c>
      <c r="B1039">
        <v>13051988</v>
      </c>
      <c r="C1039">
        <v>7</v>
      </c>
      <c r="D1039">
        <v>0</v>
      </c>
      <c r="E1039">
        <v>1</v>
      </c>
      <c r="F1039">
        <v>5</v>
      </c>
      <c r="G1039">
        <v>2</v>
      </c>
      <c r="H1039" t="str">
        <f>IF(Demographics[[#This Row],[DOB]]&gt;10000000, TEXT(Demographics[[#This Row],[DOB]],0),CONCATENATE("0",TEXT(Demographics[[#This Row],[DOB]],0)))</f>
        <v>13051988</v>
      </c>
      <c r="I1039" s="4">
        <f ca="1">IFERROR((VALUE(TODAY()-DATE(RIGHT(Demographics[[#This Row],[DOB - Fixed]],4),MID(Demographics[[#This Row],[DOB - Fixed]],3,2),LEFT(Demographics[[#This Row],[DOB - Fixed]],2))))/365,0)</f>
        <v>35.345205479452055</v>
      </c>
      <c r="J1039">
        <f>VLOOKUP(Demographics[[#This Row],[INCOME LEVEL]],Income[],4,FALSE)</f>
        <v>175</v>
      </c>
      <c r="K1039">
        <f>IFERROR(Demographics[[#This Row],[Total monthly income]]/Demographics[[#This Row],[FAMILY SIZE]], 0)</f>
        <v>25</v>
      </c>
    </row>
    <row r="1040" spans="1:11" x14ac:dyDescent="0.2">
      <c r="A1040">
        <v>1644275</v>
      </c>
      <c r="B1040">
        <v>15051988</v>
      </c>
      <c r="C1040">
        <v>3</v>
      </c>
      <c r="D1040">
        <v>2</v>
      </c>
      <c r="E1040">
        <v>2</v>
      </c>
      <c r="F1040">
        <v>7</v>
      </c>
      <c r="G1040">
        <v>9</v>
      </c>
      <c r="H1040" t="str">
        <f>IF(Demographics[[#This Row],[DOB]]&gt;10000000, TEXT(Demographics[[#This Row],[DOB]],0),CONCATENATE("0",TEXT(Demographics[[#This Row],[DOB]],0)))</f>
        <v>15051988</v>
      </c>
      <c r="I1040" s="4">
        <f ca="1">IFERROR((VALUE(TODAY()-DATE(RIGHT(Demographics[[#This Row],[DOB - Fixed]],4),MID(Demographics[[#This Row],[DOB - Fixed]],3,2),LEFT(Demographics[[#This Row],[DOB - Fixed]],2))))/365,0)</f>
        <v>35.339726027397262</v>
      </c>
      <c r="J1040">
        <f>VLOOKUP(Demographics[[#This Row],[INCOME LEVEL]],Income[],4,FALSE)</f>
        <v>697.5</v>
      </c>
      <c r="K1040">
        <f>IFERROR(Demographics[[#This Row],[Total monthly income]]/Demographics[[#This Row],[FAMILY SIZE]], 0)</f>
        <v>232.5</v>
      </c>
    </row>
    <row r="1041" spans="1:11" x14ac:dyDescent="0.2">
      <c r="A1041">
        <v>22371916</v>
      </c>
      <c r="B1041">
        <v>23051988</v>
      </c>
      <c r="C1041">
        <v>0</v>
      </c>
      <c r="D1041">
        <v>0</v>
      </c>
      <c r="E1041">
        <v>4</v>
      </c>
      <c r="F1041">
        <v>9</v>
      </c>
      <c r="G1041">
        <v>9</v>
      </c>
      <c r="H1041" t="str">
        <f>IF(Demographics[[#This Row],[DOB]]&gt;10000000, TEXT(Demographics[[#This Row],[DOB]],0),CONCATENATE("0",TEXT(Demographics[[#This Row],[DOB]],0)))</f>
        <v>23051988</v>
      </c>
      <c r="I1041" s="4">
        <f ca="1">IFERROR((VALUE(TODAY()-DATE(RIGHT(Demographics[[#This Row],[DOB - Fixed]],4),MID(Demographics[[#This Row],[DOB - Fixed]],3,2),LEFT(Demographics[[#This Row],[DOB - Fixed]],2))))/365,0)</f>
        <v>35.317808219178083</v>
      </c>
      <c r="J1041">
        <f>VLOOKUP(Demographics[[#This Row],[INCOME LEVEL]],Income[],4,FALSE)</f>
        <v>2100</v>
      </c>
      <c r="K1041">
        <f>IFERROR(Demographics[[#This Row],[Total monthly income]]/Demographics[[#This Row],[FAMILY SIZE]], 0)</f>
        <v>0</v>
      </c>
    </row>
    <row r="1042" spans="1:11" x14ac:dyDescent="0.2">
      <c r="A1042">
        <v>20235705</v>
      </c>
      <c r="B1042">
        <v>25051988</v>
      </c>
      <c r="C1042">
        <v>0</v>
      </c>
      <c r="D1042">
        <v>0</v>
      </c>
      <c r="E1042">
        <v>2</v>
      </c>
      <c r="F1042">
        <v>0</v>
      </c>
      <c r="G1042">
        <v>0</v>
      </c>
      <c r="H1042" t="str">
        <f>IF(Demographics[[#This Row],[DOB]]&gt;10000000, TEXT(Demographics[[#This Row],[DOB]],0),CONCATENATE("0",TEXT(Demographics[[#This Row],[DOB]],0)))</f>
        <v>25051988</v>
      </c>
      <c r="I1042" s="4">
        <f ca="1">IFERROR((VALUE(TODAY()-DATE(RIGHT(Demographics[[#This Row],[DOB - Fixed]],4),MID(Demographics[[#This Row],[DOB - Fixed]],3,2),LEFT(Demographics[[#This Row],[DOB - Fixed]],2))))/365,0)</f>
        <v>35.31232876712329</v>
      </c>
      <c r="J1042">
        <f>VLOOKUP(Demographics[[#This Row],[INCOME LEVEL]],Income[],4,FALSE)</f>
        <v>697.5</v>
      </c>
      <c r="K1042">
        <f>IFERROR(Demographics[[#This Row],[Total monthly income]]/Demographics[[#This Row],[FAMILY SIZE]], 0)</f>
        <v>0</v>
      </c>
    </row>
    <row r="1043" spans="1:11" x14ac:dyDescent="0.2">
      <c r="A1043">
        <v>5181273</v>
      </c>
      <c r="B1043">
        <v>22041988</v>
      </c>
      <c r="C1043">
        <v>0</v>
      </c>
      <c r="D1043">
        <v>0</v>
      </c>
      <c r="E1043">
        <v>6</v>
      </c>
      <c r="F1043">
        <v>0</v>
      </c>
      <c r="G1043">
        <v>0</v>
      </c>
      <c r="H1043" t="str">
        <f>IF(Demographics[[#This Row],[DOB]]&gt;10000000, TEXT(Demographics[[#This Row],[DOB]],0),CONCATENATE("0",TEXT(Demographics[[#This Row],[DOB]],0)))</f>
        <v>22041988</v>
      </c>
      <c r="I1043" s="4">
        <f ca="1">IFERROR((VALUE(TODAY()-DATE(RIGHT(Demographics[[#This Row],[DOB - Fixed]],4),MID(Demographics[[#This Row],[DOB - Fixed]],3,2),LEFT(Demographics[[#This Row],[DOB - Fixed]],2))))/365,0)</f>
        <v>35.402739726027399</v>
      </c>
      <c r="J1043">
        <f>VLOOKUP(Demographics[[#This Row],[INCOME LEVEL]],Income[],4,FALSE)</f>
        <v>4000</v>
      </c>
      <c r="K1043">
        <f>IFERROR(Demographics[[#This Row],[Total monthly income]]/Demographics[[#This Row],[FAMILY SIZE]], 0)</f>
        <v>0</v>
      </c>
    </row>
    <row r="1044" spans="1:11" x14ac:dyDescent="0.2">
      <c r="A1044">
        <v>21202412</v>
      </c>
      <c r="B1044">
        <v>14071987</v>
      </c>
      <c r="C1044">
        <v>2</v>
      </c>
      <c r="D1044">
        <v>0</v>
      </c>
      <c r="E1044">
        <v>1</v>
      </c>
      <c r="F1044">
        <v>0</v>
      </c>
      <c r="G1044">
        <v>5</v>
      </c>
      <c r="H1044" t="str">
        <f>IF(Demographics[[#This Row],[DOB]]&gt;10000000, TEXT(Demographics[[#This Row],[DOB]],0),CONCATENATE("0",TEXT(Demographics[[#This Row],[DOB]],0)))</f>
        <v>14071987</v>
      </c>
      <c r="I1044" s="4">
        <f ca="1">IFERROR((VALUE(TODAY()-DATE(RIGHT(Demographics[[#This Row],[DOB - Fixed]],4),MID(Demographics[[#This Row],[DOB - Fixed]],3,2),LEFT(Demographics[[#This Row],[DOB - Fixed]],2))))/365,0)</f>
        <v>36.178082191780824</v>
      </c>
      <c r="J1044">
        <f>VLOOKUP(Demographics[[#This Row],[INCOME LEVEL]],Income[],4,FALSE)</f>
        <v>175</v>
      </c>
      <c r="K1044">
        <f>IFERROR(Demographics[[#This Row],[Total monthly income]]/Demographics[[#This Row],[FAMILY SIZE]], 0)</f>
        <v>87.5</v>
      </c>
    </row>
    <row r="1045" spans="1:11" x14ac:dyDescent="0.2">
      <c r="A1045">
        <v>10088194</v>
      </c>
      <c r="B1045">
        <v>27051988</v>
      </c>
      <c r="C1045">
        <v>4</v>
      </c>
      <c r="D1045">
        <v>2</v>
      </c>
      <c r="E1045">
        <v>4</v>
      </c>
      <c r="F1045">
        <v>9</v>
      </c>
      <c r="G1045">
        <v>9</v>
      </c>
      <c r="H1045" t="str">
        <f>IF(Demographics[[#This Row],[DOB]]&gt;10000000, TEXT(Demographics[[#This Row],[DOB]],0),CONCATENATE("0",TEXT(Demographics[[#This Row],[DOB]],0)))</f>
        <v>27051988</v>
      </c>
      <c r="I1045" s="4">
        <f ca="1">IFERROR((VALUE(TODAY()-DATE(RIGHT(Demographics[[#This Row],[DOB - Fixed]],4),MID(Demographics[[#This Row],[DOB - Fixed]],3,2),LEFT(Demographics[[#This Row],[DOB - Fixed]],2))))/365,0)</f>
        <v>35.30684931506849</v>
      </c>
      <c r="J1045">
        <f>VLOOKUP(Demographics[[#This Row],[INCOME LEVEL]],Income[],4,FALSE)</f>
        <v>2100</v>
      </c>
      <c r="K1045">
        <f>IFERROR(Demographics[[#This Row],[Total monthly income]]/Demographics[[#This Row],[FAMILY SIZE]], 0)</f>
        <v>525</v>
      </c>
    </row>
    <row r="1046" spans="1:11" x14ac:dyDescent="0.2">
      <c r="A1046">
        <v>18430812</v>
      </c>
      <c r="B1046">
        <v>27051988</v>
      </c>
      <c r="C1046">
        <v>5</v>
      </c>
      <c r="D1046">
        <v>1</v>
      </c>
      <c r="E1046">
        <v>1</v>
      </c>
      <c r="F1046">
        <v>5</v>
      </c>
      <c r="G1046">
        <v>10</v>
      </c>
      <c r="H1046" t="str">
        <f>IF(Demographics[[#This Row],[DOB]]&gt;10000000, TEXT(Demographics[[#This Row],[DOB]],0),CONCATENATE("0",TEXT(Demographics[[#This Row],[DOB]],0)))</f>
        <v>27051988</v>
      </c>
      <c r="I1046" s="4">
        <f ca="1">IFERROR((VALUE(TODAY()-DATE(RIGHT(Demographics[[#This Row],[DOB - Fixed]],4),MID(Demographics[[#This Row],[DOB - Fixed]],3,2),LEFT(Demographics[[#This Row],[DOB - Fixed]],2))))/365,0)</f>
        <v>35.30684931506849</v>
      </c>
      <c r="J1046">
        <f>VLOOKUP(Demographics[[#This Row],[INCOME LEVEL]],Income[],4,FALSE)</f>
        <v>175</v>
      </c>
      <c r="K1046">
        <f>IFERROR(Demographics[[#This Row],[Total monthly income]]/Demographics[[#This Row],[FAMILY SIZE]], 0)</f>
        <v>35</v>
      </c>
    </row>
    <row r="1047" spans="1:11" x14ac:dyDescent="0.2">
      <c r="A1047">
        <v>1543168</v>
      </c>
      <c r="B1047">
        <v>8051988</v>
      </c>
      <c r="C1047">
        <v>3</v>
      </c>
      <c r="D1047">
        <v>1</v>
      </c>
      <c r="E1047">
        <v>1</v>
      </c>
      <c r="F1047">
        <v>4</v>
      </c>
      <c r="G1047">
        <v>3</v>
      </c>
      <c r="H1047" t="str">
        <f>IF(Demographics[[#This Row],[DOB]]&gt;10000000, TEXT(Demographics[[#This Row],[DOB]],0),CONCATENATE("0",TEXT(Demographics[[#This Row],[DOB]],0)))</f>
        <v>08051988</v>
      </c>
      <c r="I1047" s="4">
        <f ca="1">IFERROR((VALUE(TODAY()-DATE(RIGHT(Demographics[[#This Row],[DOB - Fixed]],4),MID(Demographics[[#This Row],[DOB - Fixed]],3,2),LEFT(Demographics[[#This Row],[DOB - Fixed]],2))))/365,0)</f>
        <v>35.358904109589041</v>
      </c>
      <c r="J1047">
        <f>VLOOKUP(Demographics[[#This Row],[INCOME LEVEL]],Income[],4,FALSE)</f>
        <v>175</v>
      </c>
      <c r="K1047">
        <f>IFERROR(Demographics[[#This Row],[Total monthly income]]/Demographics[[#This Row],[FAMILY SIZE]], 0)</f>
        <v>58.333333333333336</v>
      </c>
    </row>
    <row r="1048" spans="1:11" x14ac:dyDescent="0.2">
      <c r="A1048">
        <v>3146201</v>
      </c>
      <c r="B1048">
        <v>26051988</v>
      </c>
      <c r="C1048">
        <v>4</v>
      </c>
      <c r="D1048">
        <v>1</v>
      </c>
      <c r="E1048">
        <v>1</v>
      </c>
      <c r="F1048">
        <v>0</v>
      </c>
      <c r="G1048">
        <v>0</v>
      </c>
      <c r="H1048" t="str">
        <f>IF(Demographics[[#This Row],[DOB]]&gt;10000000, TEXT(Demographics[[#This Row],[DOB]],0),CONCATENATE("0",TEXT(Demographics[[#This Row],[DOB]],0)))</f>
        <v>26051988</v>
      </c>
      <c r="I1048" s="4">
        <f ca="1">IFERROR((VALUE(TODAY()-DATE(RIGHT(Demographics[[#This Row],[DOB - Fixed]],4),MID(Demographics[[#This Row],[DOB - Fixed]],3,2),LEFT(Demographics[[#This Row],[DOB - Fixed]],2))))/365,0)</f>
        <v>35.30958904109589</v>
      </c>
      <c r="J1048">
        <f>VLOOKUP(Demographics[[#This Row],[INCOME LEVEL]],Income[],4,FALSE)</f>
        <v>175</v>
      </c>
      <c r="K1048">
        <f>IFERROR(Demographics[[#This Row],[Total monthly income]]/Demographics[[#This Row],[FAMILY SIZE]], 0)</f>
        <v>43.75</v>
      </c>
    </row>
    <row r="1049" spans="1:11" x14ac:dyDescent="0.2">
      <c r="A1049">
        <v>24305861</v>
      </c>
      <c r="B1049">
        <v>8031988</v>
      </c>
      <c r="C1049">
        <v>3</v>
      </c>
      <c r="D1049">
        <v>1</v>
      </c>
      <c r="E1049">
        <v>1</v>
      </c>
      <c r="F1049">
        <v>4</v>
      </c>
      <c r="G1049">
        <v>4</v>
      </c>
      <c r="H1049" t="str">
        <f>IF(Demographics[[#This Row],[DOB]]&gt;10000000, TEXT(Demographics[[#This Row],[DOB]],0),CONCATENATE("0",TEXT(Demographics[[#This Row],[DOB]],0)))</f>
        <v>08031988</v>
      </c>
      <c r="I1049" s="4">
        <f ca="1">IFERROR((VALUE(TODAY()-DATE(RIGHT(Demographics[[#This Row],[DOB - Fixed]],4),MID(Demographics[[#This Row],[DOB - Fixed]],3,2),LEFT(Demographics[[#This Row],[DOB - Fixed]],2))))/365,0)</f>
        <v>35.526027397260272</v>
      </c>
      <c r="J1049">
        <f>VLOOKUP(Demographics[[#This Row],[INCOME LEVEL]],Income[],4,FALSE)</f>
        <v>175</v>
      </c>
      <c r="K1049">
        <f>IFERROR(Demographics[[#This Row],[Total monthly income]]/Demographics[[#This Row],[FAMILY SIZE]], 0)</f>
        <v>58.333333333333336</v>
      </c>
    </row>
    <row r="1050" spans="1:11" x14ac:dyDescent="0.2">
      <c r="A1050">
        <v>2077342</v>
      </c>
      <c r="B1050">
        <v>1061988</v>
      </c>
      <c r="C1050">
        <v>4</v>
      </c>
      <c r="D1050">
        <v>1</v>
      </c>
      <c r="E1050">
        <v>1</v>
      </c>
      <c r="F1050">
        <v>5</v>
      </c>
      <c r="G1050">
        <v>4</v>
      </c>
      <c r="H1050" t="str">
        <f>IF(Demographics[[#This Row],[DOB]]&gt;10000000, TEXT(Demographics[[#This Row],[DOB]],0),CONCATENATE("0",TEXT(Demographics[[#This Row],[DOB]],0)))</f>
        <v>01061988</v>
      </c>
      <c r="I1050" s="4">
        <f ca="1">IFERROR((VALUE(TODAY()-DATE(RIGHT(Demographics[[#This Row],[DOB - Fixed]],4),MID(Demographics[[#This Row],[DOB - Fixed]],3,2),LEFT(Demographics[[#This Row],[DOB - Fixed]],2))))/365,0)</f>
        <v>35.293150684931504</v>
      </c>
      <c r="J1050">
        <f>VLOOKUP(Demographics[[#This Row],[INCOME LEVEL]],Income[],4,FALSE)</f>
        <v>175</v>
      </c>
      <c r="K1050">
        <f>IFERROR(Demographics[[#This Row],[Total monthly income]]/Demographics[[#This Row],[FAMILY SIZE]], 0)</f>
        <v>43.75</v>
      </c>
    </row>
    <row r="1051" spans="1:11" x14ac:dyDescent="0.2">
      <c r="A1051">
        <v>22804940</v>
      </c>
      <c r="B1051">
        <v>8061988</v>
      </c>
      <c r="C1051">
        <v>7</v>
      </c>
      <c r="D1051">
        <v>5</v>
      </c>
      <c r="E1051">
        <v>4</v>
      </c>
      <c r="F1051">
        <v>9</v>
      </c>
      <c r="G1051">
        <v>9</v>
      </c>
      <c r="H1051" t="str">
        <f>IF(Demographics[[#This Row],[DOB]]&gt;10000000, TEXT(Demographics[[#This Row],[DOB]],0),CONCATENATE("0",TEXT(Demographics[[#This Row],[DOB]],0)))</f>
        <v>08061988</v>
      </c>
      <c r="I1051" s="4">
        <f ca="1">IFERROR((VALUE(TODAY()-DATE(RIGHT(Demographics[[#This Row],[DOB - Fixed]],4),MID(Demographics[[#This Row],[DOB - Fixed]],3,2),LEFT(Demographics[[#This Row],[DOB - Fixed]],2))))/365,0)</f>
        <v>35.273972602739725</v>
      </c>
      <c r="J1051">
        <f>VLOOKUP(Demographics[[#This Row],[INCOME LEVEL]],Income[],4,FALSE)</f>
        <v>2100</v>
      </c>
      <c r="K1051">
        <f>IFERROR(Demographics[[#This Row],[Total monthly income]]/Demographics[[#This Row],[FAMILY SIZE]], 0)</f>
        <v>300</v>
      </c>
    </row>
    <row r="1052" spans="1:11" x14ac:dyDescent="0.2">
      <c r="A1052">
        <v>4646930</v>
      </c>
      <c r="B1052">
        <v>31051988</v>
      </c>
      <c r="C1052">
        <v>5</v>
      </c>
      <c r="D1052">
        <v>2</v>
      </c>
      <c r="E1052">
        <v>5</v>
      </c>
      <c r="F1052">
        <v>9</v>
      </c>
      <c r="G1052">
        <v>9</v>
      </c>
      <c r="H1052" t="str">
        <f>IF(Demographics[[#This Row],[DOB]]&gt;10000000, TEXT(Demographics[[#This Row],[DOB]],0),CONCATENATE("0",TEXT(Demographics[[#This Row],[DOB]],0)))</f>
        <v>31051988</v>
      </c>
      <c r="I1052" s="4">
        <f ca="1">IFERROR((VALUE(TODAY()-DATE(RIGHT(Demographics[[#This Row],[DOB - Fixed]],4),MID(Demographics[[#This Row],[DOB - Fixed]],3,2),LEFT(Demographics[[#This Row],[DOB - Fixed]],2))))/365,0)</f>
        <v>35.295890410958904</v>
      </c>
      <c r="J1052">
        <f>VLOOKUP(Demographics[[#This Row],[INCOME LEVEL]],Income[],4,FALSE)</f>
        <v>2787.5</v>
      </c>
      <c r="K1052">
        <f>IFERROR(Demographics[[#This Row],[Total monthly income]]/Demographics[[#This Row],[FAMILY SIZE]], 0)</f>
        <v>557.5</v>
      </c>
    </row>
    <row r="1053" spans="1:11" x14ac:dyDescent="0.2">
      <c r="A1053">
        <v>9987182</v>
      </c>
      <c r="B1053">
        <v>30051988</v>
      </c>
      <c r="C1053">
        <v>2</v>
      </c>
      <c r="D1053">
        <v>1</v>
      </c>
      <c r="E1053">
        <v>2</v>
      </c>
      <c r="F1053">
        <v>9</v>
      </c>
      <c r="G1053">
        <v>9</v>
      </c>
      <c r="H1053" t="str">
        <f>IF(Demographics[[#This Row],[DOB]]&gt;10000000, TEXT(Demographics[[#This Row],[DOB]],0),CONCATENATE("0",TEXT(Demographics[[#This Row],[DOB]],0)))</f>
        <v>30051988</v>
      </c>
      <c r="I1053" s="4">
        <f ca="1">IFERROR((VALUE(TODAY()-DATE(RIGHT(Demographics[[#This Row],[DOB - Fixed]],4),MID(Demographics[[#This Row],[DOB - Fixed]],3,2),LEFT(Demographics[[#This Row],[DOB - Fixed]],2))))/365,0)</f>
        <v>35.298630136986304</v>
      </c>
      <c r="J1053">
        <f>VLOOKUP(Demographics[[#This Row],[INCOME LEVEL]],Income[],4,FALSE)</f>
        <v>697.5</v>
      </c>
      <c r="K1053">
        <f>IFERROR(Demographics[[#This Row],[Total monthly income]]/Demographics[[#This Row],[FAMILY SIZE]], 0)</f>
        <v>348.75</v>
      </c>
    </row>
    <row r="1054" spans="1:11" x14ac:dyDescent="0.2">
      <c r="A1054">
        <v>18648452</v>
      </c>
      <c r="B1054">
        <v>17061988</v>
      </c>
      <c r="C1054">
        <v>4</v>
      </c>
      <c r="D1054">
        <v>2</v>
      </c>
      <c r="E1054">
        <v>2</v>
      </c>
      <c r="F1054">
        <v>9</v>
      </c>
      <c r="G1054">
        <v>8</v>
      </c>
      <c r="H1054" t="str">
        <f>IF(Demographics[[#This Row],[DOB]]&gt;10000000, TEXT(Demographics[[#This Row],[DOB]],0),CONCATENATE("0",TEXT(Demographics[[#This Row],[DOB]],0)))</f>
        <v>17061988</v>
      </c>
      <c r="I1054" s="4">
        <f ca="1">IFERROR((VALUE(TODAY()-DATE(RIGHT(Demographics[[#This Row],[DOB - Fixed]],4),MID(Demographics[[#This Row],[DOB - Fixed]],3,2),LEFT(Demographics[[#This Row],[DOB - Fixed]],2))))/365,0)</f>
        <v>35.249315068493154</v>
      </c>
      <c r="J1054">
        <f>VLOOKUP(Demographics[[#This Row],[INCOME LEVEL]],Income[],4,FALSE)</f>
        <v>697.5</v>
      </c>
      <c r="K1054">
        <f>IFERROR(Demographics[[#This Row],[Total monthly income]]/Demographics[[#This Row],[FAMILY SIZE]], 0)</f>
        <v>174.375</v>
      </c>
    </row>
    <row r="1055" spans="1:11" x14ac:dyDescent="0.2">
      <c r="A1055">
        <v>16079940</v>
      </c>
      <c r="B1055">
        <v>17061988</v>
      </c>
      <c r="C1055">
        <v>4</v>
      </c>
      <c r="D1055">
        <v>1</v>
      </c>
      <c r="E1055">
        <v>1</v>
      </c>
      <c r="F1055">
        <v>5</v>
      </c>
      <c r="G1055">
        <v>2</v>
      </c>
      <c r="H1055" t="str">
        <f>IF(Demographics[[#This Row],[DOB]]&gt;10000000, TEXT(Demographics[[#This Row],[DOB]],0),CONCATENATE("0",TEXT(Demographics[[#This Row],[DOB]],0)))</f>
        <v>17061988</v>
      </c>
      <c r="I1055" s="4">
        <f ca="1">IFERROR((VALUE(TODAY()-DATE(RIGHT(Demographics[[#This Row],[DOB - Fixed]],4),MID(Demographics[[#This Row],[DOB - Fixed]],3,2),LEFT(Demographics[[#This Row],[DOB - Fixed]],2))))/365,0)</f>
        <v>35.249315068493154</v>
      </c>
      <c r="J1055">
        <f>VLOOKUP(Demographics[[#This Row],[INCOME LEVEL]],Income[],4,FALSE)</f>
        <v>175</v>
      </c>
      <c r="K1055">
        <f>IFERROR(Demographics[[#This Row],[Total monthly income]]/Demographics[[#This Row],[FAMILY SIZE]], 0)</f>
        <v>43.75</v>
      </c>
    </row>
    <row r="1056" spans="1:11" x14ac:dyDescent="0.2">
      <c r="A1056">
        <v>12342505</v>
      </c>
      <c r="B1056">
        <v>14061988</v>
      </c>
      <c r="C1056">
        <v>3</v>
      </c>
      <c r="D1056">
        <v>1</v>
      </c>
      <c r="E1056">
        <v>5</v>
      </c>
      <c r="F1056">
        <v>9</v>
      </c>
      <c r="G1056">
        <v>7</v>
      </c>
      <c r="H1056" t="str">
        <f>IF(Demographics[[#This Row],[DOB]]&gt;10000000, TEXT(Demographics[[#This Row],[DOB]],0),CONCATENATE("0",TEXT(Demographics[[#This Row],[DOB]],0)))</f>
        <v>14061988</v>
      </c>
      <c r="I1056" s="4">
        <f ca="1">IFERROR((VALUE(TODAY()-DATE(RIGHT(Demographics[[#This Row],[DOB - Fixed]],4),MID(Demographics[[#This Row],[DOB - Fixed]],3,2),LEFT(Demographics[[#This Row],[DOB - Fixed]],2))))/365,0)</f>
        <v>35.257534246575339</v>
      </c>
      <c r="J1056">
        <f>VLOOKUP(Demographics[[#This Row],[INCOME LEVEL]],Income[],4,FALSE)</f>
        <v>2787.5</v>
      </c>
      <c r="K1056">
        <f>IFERROR(Demographics[[#This Row],[Total monthly income]]/Demographics[[#This Row],[FAMILY SIZE]], 0)</f>
        <v>929.16666666666663</v>
      </c>
    </row>
    <row r="1057" spans="1:11" x14ac:dyDescent="0.2">
      <c r="A1057">
        <v>13944281</v>
      </c>
      <c r="B1057">
        <v>6051988</v>
      </c>
      <c r="C1057">
        <v>6</v>
      </c>
      <c r="D1057">
        <v>1</v>
      </c>
      <c r="E1057">
        <v>2</v>
      </c>
      <c r="F1057">
        <v>5</v>
      </c>
      <c r="G1057">
        <v>4</v>
      </c>
      <c r="H1057" t="str">
        <f>IF(Demographics[[#This Row],[DOB]]&gt;10000000, TEXT(Demographics[[#This Row],[DOB]],0),CONCATENATE("0",TEXT(Demographics[[#This Row],[DOB]],0)))</f>
        <v>06051988</v>
      </c>
      <c r="I1057" s="4">
        <f ca="1">IFERROR((VALUE(TODAY()-DATE(RIGHT(Demographics[[#This Row],[DOB - Fixed]],4),MID(Demographics[[#This Row],[DOB - Fixed]],3,2),LEFT(Demographics[[#This Row],[DOB - Fixed]],2))))/365,0)</f>
        <v>35.364383561643834</v>
      </c>
      <c r="J1057">
        <f>VLOOKUP(Demographics[[#This Row],[INCOME LEVEL]],Income[],4,FALSE)</f>
        <v>697.5</v>
      </c>
      <c r="K1057">
        <f>IFERROR(Demographics[[#This Row],[Total monthly income]]/Demographics[[#This Row],[FAMILY SIZE]], 0)</f>
        <v>116.25</v>
      </c>
    </row>
    <row r="1058" spans="1:11" x14ac:dyDescent="0.2">
      <c r="A1058">
        <v>10002950</v>
      </c>
      <c r="B1058">
        <v>16061988</v>
      </c>
      <c r="C1058">
        <v>5</v>
      </c>
      <c r="D1058">
        <v>3</v>
      </c>
      <c r="E1058">
        <v>4</v>
      </c>
      <c r="F1058">
        <v>9</v>
      </c>
      <c r="G1058">
        <v>8</v>
      </c>
      <c r="H1058" t="str">
        <f>IF(Demographics[[#This Row],[DOB]]&gt;10000000, TEXT(Demographics[[#This Row],[DOB]],0),CONCATENATE("0",TEXT(Demographics[[#This Row],[DOB]],0)))</f>
        <v>16061988</v>
      </c>
      <c r="I1058" s="4">
        <f ca="1">IFERROR((VALUE(TODAY()-DATE(RIGHT(Demographics[[#This Row],[DOB - Fixed]],4),MID(Demographics[[#This Row],[DOB - Fixed]],3,2),LEFT(Demographics[[#This Row],[DOB - Fixed]],2))))/365,0)</f>
        <v>35.252054794520546</v>
      </c>
      <c r="J1058">
        <f>VLOOKUP(Demographics[[#This Row],[INCOME LEVEL]],Income[],4,FALSE)</f>
        <v>2100</v>
      </c>
      <c r="K1058">
        <f>IFERROR(Demographics[[#This Row],[Total monthly income]]/Demographics[[#This Row],[FAMILY SIZE]], 0)</f>
        <v>420</v>
      </c>
    </row>
    <row r="1059" spans="1:11" x14ac:dyDescent="0.2">
      <c r="A1059">
        <v>23787677</v>
      </c>
      <c r="B1059">
        <v>15061988</v>
      </c>
      <c r="C1059">
        <v>5</v>
      </c>
      <c r="D1059">
        <v>2</v>
      </c>
      <c r="E1059">
        <v>1</v>
      </c>
      <c r="F1059">
        <v>5</v>
      </c>
      <c r="G1059">
        <v>4</v>
      </c>
      <c r="H1059" t="str">
        <f>IF(Demographics[[#This Row],[DOB]]&gt;10000000, TEXT(Demographics[[#This Row],[DOB]],0),CONCATENATE("0",TEXT(Demographics[[#This Row],[DOB]],0)))</f>
        <v>15061988</v>
      </c>
      <c r="I1059" s="4">
        <f ca="1">IFERROR((VALUE(TODAY()-DATE(RIGHT(Demographics[[#This Row],[DOB - Fixed]],4),MID(Demographics[[#This Row],[DOB - Fixed]],3,2),LEFT(Demographics[[#This Row],[DOB - Fixed]],2))))/365,0)</f>
        <v>35.254794520547946</v>
      </c>
      <c r="J1059">
        <f>VLOOKUP(Demographics[[#This Row],[INCOME LEVEL]],Income[],4,FALSE)</f>
        <v>175</v>
      </c>
      <c r="K1059">
        <f>IFERROR(Demographics[[#This Row],[Total monthly income]]/Demographics[[#This Row],[FAMILY SIZE]], 0)</f>
        <v>35</v>
      </c>
    </row>
    <row r="1060" spans="1:11" x14ac:dyDescent="0.2">
      <c r="A1060">
        <v>7535175</v>
      </c>
      <c r="B1060">
        <v>20061988</v>
      </c>
      <c r="C1060">
        <v>6</v>
      </c>
      <c r="D1060">
        <v>2</v>
      </c>
      <c r="E1060">
        <v>3</v>
      </c>
      <c r="F1060">
        <v>9</v>
      </c>
      <c r="G1060">
        <v>9</v>
      </c>
      <c r="H1060" t="str">
        <f>IF(Demographics[[#This Row],[DOB]]&gt;10000000, TEXT(Demographics[[#This Row],[DOB]],0),CONCATENATE("0",TEXT(Demographics[[#This Row],[DOB]],0)))</f>
        <v>20061988</v>
      </c>
      <c r="I1060" s="4">
        <f ca="1">IFERROR((VALUE(TODAY()-DATE(RIGHT(Demographics[[#This Row],[DOB - Fixed]],4),MID(Demographics[[#This Row],[DOB - Fixed]],3,2),LEFT(Demographics[[#This Row],[DOB - Fixed]],2))))/365,0)</f>
        <v>35.241095890410961</v>
      </c>
      <c r="J1060">
        <f>VLOOKUP(Demographics[[#This Row],[INCOME LEVEL]],Income[],4,FALSE)</f>
        <v>1397.5</v>
      </c>
      <c r="K1060">
        <f>IFERROR(Demographics[[#This Row],[Total monthly income]]/Demographics[[#This Row],[FAMILY SIZE]], 0)</f>
        <v>232.91666666666666</v>
      </c>
    </row>
    <row r="1061" spans="1:11" x14ac:dyDescent="0.2">
      <c r="A1061">
        <v>5832164</v>
      </c>
      <c r="B1061">
        <v>22061988</v>
      </c>
      <c r="C1061">
        <v>5</v>
      </c>
      <c r="D1061">
        <v>2</v>
      </c>
      <c r="E1061">
        <v>3</v>
      </c>
      <c r="F1061">
        <v>9</v>
      </c>
      <c r="G1061">
        <v>5</v>
      </c>
      <c r="H1061" t="str">
        <f>IF(Demographics[[#This Row],[DOB]]&gt;10000000, TEXT(Demographics[[#This Row],[DOB]],0),CONCATENATE("0",TEXT(Demographics[[#This Row],[DOB]],0)))</f>
        <v>22061988</v>
      </c>
      <c r="I1061" s="4">
        <f ca="1">IFERROR((VALUE(TODAY()-DATE(RIGHT(Demographics[[#This Row],[DOB - Fixed]],4),MID(Demographics[[#This Row],[DOB - Fixed]],3,2),LEFT(Demographics[[#This Row],[DOB - Fixed]],2))))/365,0)</f>
        <v>35.235616438356168</v>
      </c>
      <c r="J1061">
        <f>VLOOKUP(Demographics[[#This Row],[INCOME LEVEL]],Income[],4,FALSE)</f>
        <v>1397.5</v>
      </c>
      <c r="K1061">
        <f>IFERROR(Demographics[[#This Row],[Total monthly income]]/Demographics[[#This Row],[FAMILY SIZE]], 0)</f>
        <v>279.5</v>
      </c>
    </row>
    <row r="1062" spans="1:11" x14ac:dyDescent="0.2">
      <c r="A1062">
        <v>3797339</v>
      </c>
      <c r="B1062">
        <v>20061988</v>
      </c>
      <c r="C1062">
        <v>4</v>
      </c>
      <c r="D1062">
        <v>1</v>
      </c>
      <c r="E1062">
        <v>1</v>
      </c>
      <c r="F1062">
        <v>3</v>
      </c>
      <c r="G1062">
        <v>5</v>
      </c>
      <c r="H1062" t="str">
        <f>IF(Demographics[[#This Row],[DOB]]&gt;10000000, TEXT(Demographics[[#This Row],[DOB]],0),CONCATENATE("0",TEXT(Demographics[[#This Row],[DOB]],0)))</f>
        <v>20061988</v>
      </c>
      <c r="I1062" s="4">
        <f ca="1">IFERROR((VALUE(TODAY()-DATE(RIGHT(Demographics[[#This Row],[DOB - Fixed]],4),MID(Demographics[[#This Row],[DOB - Fixed]],3,2),LEFT(Demographics[[#This Row],[DOB - Fixed]],2))))/365,0)</f>
        <v>35.241095890410961</v>
      </c>
      <c r="J1062">
        <f>VLOOKUP(Demographics[[#This Row],[INCOME LEVEL]],Income[],4,FALSE)</f>
        <v>175</v>
      </c>
      <c r="K1062">
        <f>IFERROR(Demographics[[#This Row],[Total monthly income]]/Demographics[[#This Row],[FAMILY SIZE]], 0)</f>
        <v>43.75</v>
      </c>
    </row>
    <row r="1063" spans="1:11" x14ac:dyDescent="0.2">
      <c r="A1063">
        <v>11274375</v>
      </c>
      <c r="B1063">
        <v>24061988</v>
      </c>
      <c r="C1063">
        <v>2</v>
      </c>
      <c r="D1063">
        <v>1</v>
      </c>
      <c r="E1063">
        <v>2</v>
      </c>
      <c r="F1063">
        <v>9</v>
      </c>
      <c r="G1063">
        <v>9</v>
      </c>
      <c r="H1063" t="str">
        <f>IF(Demographics[[#This Row],[DOB]]&gt;10000000, TEXT(Demographics[[#This Row],[DOB]],0),CONCATENATE("0",TEXT(Demographics[[#This Row],[DOB]],0)))</f>
        <v>24061988</v>
      </c>
      <c r="I1063" s="4">
        <f ca="1">IFERROR((VALUE(TODAY()-DATE(RIGHT(Demographics[[#This Row],[DOB - Fixed]],4),MID(Demographics[[#This Row],[DOB - Fixed]],3,2),LEFT(Demographics[[#This Row],[DOB - Fixed]],2))))/365,0)</f>
        <v>35.230136986301368</v>
      </c>
      <c r="J1063">
        <f>VLOOKUP(Demographics[[#This Row],[INCOME LEVEL]],Income[],4,FALSE)</f>
        <v>697.5</v>
      </c>
      <c r="K1063">
        <f>IFERROR(Demographics[[#This Row],[Total monthly income]]/Demographics[[#This Row],[FAMILY SIZE]], 0)</f>
        <v>348.75</v>
      </c>
    </row>
    <row r="1064" spans="1:11" x14ac:dyDescent="0.2">
      <c r="A1064">
        <v>10205779</v>
      </c>
      <c r="B1064">
        <v>23061988</v>
      </c>
      <c r="C1064">
        <v>6</v>
      </c>
      <c r="D1064">
        <v>1</v>
      </c>
      <c r="E1064">
        <v>5</v>
      </c>
      <c r="F1064">
        <v>10</v>
      </c>
      <c r="G1064">
        <v>5</v>
      </c>
      <c r="H1064" t="str">
        <f>IF(Demographics[[#This Row],[DOB]]&gt;10000000, TEXT(Demographics[[#This Row],[DOB]],0),CONCATENATE("0",TEXT(Demographics[[#This Row],[DOB]],0)))</f>
        <v>23061988</v>
      </c>
      <c r="I1064" s="4">
        <f ca="1">IFERROR((VALUE(TODAY()-DATE(RIGHT(Demographics[[#This Row],[DOB - Fixed]],4),MID(Demographics[[#This Row],[DOB - Fixed]],3,2),LEFT(Demographics[[#This Row],[DOB - Fixed]],2))))/365,0)</f>
        <v>35.232876712328768</v>
      </c>
      <c r="J1064">
        <f>VLOOKUP(Demographics[[#This Row],[INCOME LEVEL]],Income[],4,FALSE)</f>
        <v>2787.5</v>
      </c>
      <c r="K1064">
        <f>IFERROR(Demographics[[#This Row],[Total monthly income]]/Demographics[[#This Row],[FAMILY SIZE]], 0)</f>
        <v>464.58333333333331</v>
      </c>
    </row>
    <row r="1065" spans="1:11" x14ac:dyDescent="0.2">
      <c r="A1065">
        <v>19717376</v>
      </c>
      <c r="B1065">
        <v>23061988</v>
      </c>
      <c r="C1065">
        <v>5</v>
      </c>
      <c r="D1065">
        <v>1</v>
      </c>
      <c r="E1065">
        <v>1</v>
      </c>
      <c r="F1065">
        <v>5</v>
      </c>
      <c r="G1065">
        <v>4</v>
      </c>
      <c r="H1065" t="str">
        <f>IF(Demographics[[#This Row],[DOB]]&gt;10000000, TEXT(Demographics[[#This Row],[DOB]],0),CONCATENATE("0",TEXT(Demographics[[#This Row],[DOB]],0)))</f>
        <v>23061988</v>
      </c>
      <c r="I1065" s="4">
        <f ca="1">IFERROR((VALUE(TODAY()-DATE(RIGHT(Demographics[[#This Row],[DOB - Fixed]],4),MID(Demographics[[#This Row],[DOB - Fixed]],3,2),LEFT(Demographics[[#This Row],[DOB - Fixed]],2))))/365,0)</f>
        <v>35.232876712328768</v>
      </c>
      <c r="J1065">
        <f>VLOOKUP(Demographics[[#This Row],[INCOME LEVEL]],Income[],4,FALSE)</f>
        <v>175</v>
      </c>
      <c r="K1065">
        <f>IFERROR(Demographics[[#This Row],[Total monthly income]]/Demographics[[#This Row],[FAMILY SIZE]], 0)</f>
        <v>35</v>
      </c>
    </row>
    <row r="1066" spans="1:11" x14ac:dyDescent="0.2">
      <c r="A1066">
        <v>17046625</v>
      </c>
      <c r="B1066">
        <v>28061988</v>
      </c>
      <c r="C1066">
        <v>5</v>
      </c>
      <c r="D1066">
        <v>1</v>
      </c>
      <c r="E1066">
        <v>3</v>
      </c>
      <c r="F1066">
        <v>7</v>
      </c>
      <c r="G1066">
        <v>7</v>
      </c>
      <c r="H1066" t="str">
        <f>IF(Demographics[[#This Row],[DOB]]&gt;10000000, TEXT(Demographics[[#This Row],[DOB]],0),CONCATENATE("0",TEXT(Demographics[[#This Row],[DOB]],0)))</f>
        <v>28061988</v>
      </c>
      <c r="I1066" s="4">
        <f ca="1">IFERROR((VALUE(TODAY()-DATE(RIGHT(Demographics[[#This Row],[DOB - Fixed]],4),MID(Demographics[[#This Row],[DOB - Fixed]],3,2),LEFT(Demographics[[#This Row],[DOB - Fixed]],2))))/365,0)</f>
        <v>35.219178082191782</v>
      </c>
      <c r="J1066">
        <f>VLOOKUP(Demographics[[#This Row],[INCOME LEVEL]],Income[],4,FALSE)</f>
        <v>1397.5</v>
      </c>
      <c r="K1066">
        <f>IFERROR(Demographics[[#This Row],[Total monthly income]]/Demographics[[#This Row],[FAMILY SIZE]], 0)</f>
        <v>279.5</v>
      </c>
    </row>
    <row r="1067" spans="1:11" x14ac:dyDescent="0.2">
      <c r="A1067">
        <v>18013353</v>
      </c>
      <c r="B1067">
        <v>17061988</v>
      </c>
      <c r="C1067">
        <v>6</v>
      </c>
      <c r="D1067">
        <v>1</v>
      </c>
      <c r="E1067">
        <v>2</v>
      </c>
      <c r="F1067">
        <v>9</v>
      </c>
      <c r="G1067">
        <v>9</v>
      </c>
      <c r="H1067" t="str">
        <f>IF(Demographics[[#This Row],[DOB]]&gt;10000000, TEXT(Demographics[[#This Row],[DOB]],0),CONCATENATE("0",TEXT(Demographics[[#This Row],[DOB]],0)))</f>
        <v>17061988</v>
      </c>
      <c r="I1067" s="4">
        <f ca="1">IFERROR((VALUE(TODAY()-DATE(RIGHT(Demographics[[#This Row],[DOB - Fixed]],4),MID(Demographics[[#This Row],[DOB - Fixed]],3,2),LEFT(Demographics[[#This Row],[DOB - Fixed]],2))))/365,0)</f>
        <v>35.249315068493154</v>
      </c>
      <c r="J1067">
        <f>VLOOKUP(Demographics[[#This Row],[INCOME LEVEL]],Income[],4,FALSE)</f>
        <v>697.5</v>
      </c>
      <c r="K1067">
        <f>IFERROR(Demographics[[#This Row],[Total monthly income]]/Demographics[[#This Row],[FAMILY SIZE]], 0)</f>
        <v>116.25</v>
      </c>
    </row>
    <row r="1068" spans="1:11" x14ac:dyDescent="0.2">
      <c r="A1068">
        <v>17580654</v>
      </c>
      <c r="B1068">
        <v>6051988</v>
      </c>
      <c r="C1068">
        <v>4</v>
      </c>
      <c r="D1068">
        <v>1</v>
      </c>
      <c r="E1068">
        <v>1</v>
      </c>
      <c r="F1068">
        <v>3</v>
      </c>
      <c r="G1068">
        <v>3</v>
      </c>
      <c r="H1068" t="str">
        <f>IF(Demographics[[#This Row],[DOB]]&gt;10000000, TEXT(Demographics[[#This Row],[DOB]],0),CONCATENATE("0",TEXT(Demographics[[#This Row],[DOB]],0)))</f>
        <v>06051988</v>
      </c>
      <c r="I1068" s="4">
        <f ca="1">IFERROR((VALUE(TODAY()-DATE(RIGHT(Demographics[[#This Row],[DOB - Fixed]],4),MID(Demographics[[#This Row],[DOB - Fixed]],3,2),LEFT(Demographics[[#This Row],[DOB - Fixed]],2))))/365,0)</f>
        <v>35.364383561643834</v>
      </c>
      <c r="J1068">
        <f>VLOOKUP(Demographics[[#This Row],[INCOME LEVEL]],Income[],4,FALSE)</f>
        <v>175</v>
      </c>
      <c r="K1068">
        <f>IFERROR(Demographics[[#This Row],[Total monthly income]]/Demographics[[#This Row],[FAMILY SIZE]], 0)</f>
        <v>43.75</v>
      </c>
    </row>
    <row r="1069" spans="1:11" x14ac:dyDescent="0.2">
      <c r="A1069">
        <v>57779</v>
      </c>
      <c r="B1069">
        <v>26061988</v>
      </c>
      <c r="C1069">
        <v>4</v>
      </c>
      <c r="D1069">
        <v>1</v>
      </c>
      <c r="E1069">
        <v>1</v>
      </c>
      <c r="F1069">
        <v>5</v>
      </c>
      <c r="G1069">
        <v>5</v>
      </c>
      <c r="H1069" t="str">
        <f>IF(Demographics[[#This Row],[DOB]]&gt;10000000, TEXT(Demographics[[#This Row],[DOB]],0),CONCATENATE("0",TEXT(Demographics[[#This Row],[DOB]],0)))</f>
        <v>26061988</v>
      </c>
      <c r="I1069" s="4">
        <f ca="1">IFERROR((VALUE(TODAY()-DATE(RIGHT(Demographics[[#This Row],[DOB - Fixed]],4),MID(Demographics[[#This Row],[DOB - Fixed]],3,2),LEFT(Demographics[[#This Row],[DOB - Fixed]],2))))/365,0)</f>
        <v>35.224657534246575</v>
      </c>
      <c r="J1069">
        <f>VLOOKUP(Demographics[[#This Row],[INCOME LEVEL]],Income[],4,FALSE)</f>
        <v>175</v>
      </c>
      <c r="K1069">
        <f>IFERROR(Demographics[[#This Row],[Total monthly income]]/Demographics[[#This Row],[FAMILY SIZE]], 0)</f>
        <v>43.75</v>
      </c>
    </row>
    <row r="1070" spans="1:11" x14ac:dyDescent="0.2">
      <c r="A1070">
        <v>13207120</v>
      </c>
      <c r="B1070">
        <v>24061988</v>
      </c>
      <c r="C1070">
        <v>4</v>
      </c>
      <c r="D1070">
        <v>0</v>
      </c>
      <c r="E1070">
        <v>1</v>
      </c>
      <c r="F1070">
        <v>4</v>
      </c>
      <c r="G1070">
        <v>3</v>
      </c>
      <c r="H1070" t="str">
        <f>IF(Demographics[[#This Row],[DOB]]&gt;10000000, TEXT(Demographics[[#This Row],[DOB]],0),CONCATENATE("0",TEXT(Demographics[[#This Row],[DOB]],0)))</f>
        <v>24061988</v>
      </c>
      <c r="I1070" s="4">
        <f ca="1">IFERROR((VALUE(TODAY()-DATE(RIGHT(Demographics[[#This Row],[DOB - Fixed]],4),MID(Demographics[[#This Row],[DOB - Fixed]],3,2),LEFT(Demographics[[#This Row],[DOB - Fixed]],2))))/365,0)</f>
        <v>35.230136986301368</v>
      </c>
      <c r="J1070">
        <f>VLOOKUP(Demographics[[#This Row],[INCOME LEVEL]],Income[],4,FALSE)</f>
        <v>175</v>
      </c>
      <c r="K1070">
        <f>IFERROR(Demographics[[#This Row],[Total monthly income]]/Demographics[[#This Row],[FAMILY SIZE]], 0)</f>
        <v>43.75</v>
      </c>
    </row>
    <row r="1071" spans="1:11" x14ac:dyDescent="0.2">
      <c r="A1071">
        <v>3162002</v>
      </c>
      <c r="B1071">
        <v>24061988</v>
      </c>
      <c r="C1071">
        <v>5</v>
      </c>
      <c r="D1071">
        <v>2</v>
      </c>
      <c r="E1071">
        <v>1</v>
      </c>
      <c r="F1071">
        <v>7</v>
      </c>
      <c r="G1071">
        <v>7</v>
      </c>
      <c r="H1071" t="str">
        <f>IF(Demographics[[#This Row],[DOB]]&gt;10000000, TEXT(Demographics[[#This Row],[DOB]],0),CONCATENATE("0",TEXT(Demographics[[#This Row],[DOB]],0)))</f>
        <v>24061988</v>
      </c>
      <c r="I1071" s="4">
        <f ca="1">IFERROR((VALUE(TODAY()-DATE(RIGHT(Demographics[[#This Row],[DOB - Fixed]],4),MID(Demographics[[#This Row],[DOB - Fixed]],3,2),LEFT(Demographics[[#This Row],[DOB - Fixed]],2))))/365,0)</f>
        <v>35.230136986301368</v>
      </c>
      <c r="J1071">
        <f>VLOOKUP(Demographics[[#This Row],[INCOME LEVEL]],Income[],4,FALSE)</f>
        <v>175</v>
      </c>
      <c r="K1071">
        <f>IFERROR(Demographics[[#This Row],[Total monthly income]]/Demographics[[#This Row],[FAMILY SIZE]], 0)</f>
        <v>35</v>
      </c>
    </row>
    <row r="1072" spans="1:11" x14ac:dyDescent="0.2">
      <c r="A1072">
        <v>4763519</v>
      </c>
      <c r="B1072">
        <v>26061988</v>
      </c>
      <c r="C1072">
        <v>3</v>
      </c>
      <c r="D1072">
        <v>2</v>
      </c>
      <c r="E1072">
        <v>2</v>
      </c>
      <c r="F1072">
        <v>8</v>
      </c>
      <c r="G1072">
        <v>4</v>
      </c>
      <c r="H1072" t="str">
        <f>IF(Demographics[[#This Row],[DOB]]&gt;10000000, TEXT(Demographics[[#This Row],[DOB]],0),CONCATENATE("0",TEXT(Demographics[[#This Row],[DOB]],0)))</f>
        <v>26061988</v>
      </c>
      <c r="I1072" s="4">
        <f ca="1">IFERROR((VALUE(TODAY()-DATE(RIGHT(Demographics[[#This Row],[DOB - Fixed]],4),MID(Demographics[[#This Row],[DOB - Fixed]],3,2),LEFT(Demographics[[#This Row],[DOB - Fixed]],2))))/365,0)</f>
        <v>35.224657534246575</v>
      </c>
      <c r="J1072">
        <f>VLOOKUP(Demographics[[#This Row],[INCOME LEVEL]],Income[],4,FALSE)</f>
        <v>697.5</v>
      </c>
      <c r="K1072">
        <f>IFERROR(Demographics[[#This Row],[Total monthly income]]/Demographics[[#This Row],[FAMILY SIZE]], 0)</f>
        <v>232.5</v>
      </c>
    </row>
    <row r="1073" spans="1:11" x14ac:dyDescent="0.2">
      <c r="A1073">
        <v>12240785</v>
      </c>
      <c r="B1073">
        <v>26061988</v>
      </c>
      <c r="C1073">
        <v>2</v>
      </c>
      <c r="D1073">
        <v>1</v>
      </c>
      <c r="E1073">
        <v>2</v>
      </c>
      <c r="F1073">
        <v>4</v>
      </c>
      <c r="G1073">
        <v>9</v>
      </c>
      <c r="H1073" t="str">
        <f>IF(Demographics[[#This Row],[DOB]]&gt;10000000, TEXT(Demographics[[#This Row],[DOB]],0),CONCATENATE("0",TEXT(Demographics[[#This Row],[DOB]],0)))</f>
        <v>26061988</v>
      </c>
      <c r="I1073" s="4">
        <f ca="1">IFERROR((VALUE(TODAY()-DATE(RIGHT(Demographics[[#This Row],[DOB - Fixed]],4),MID(Demographics[[#This Row],[DOB - Fixed]],3,2),LEFT(Demographics[[#This Row],[DOB - Fixed]],2))))/365,0)</f>
        <v>35.224657534246575</v>
      </c>
      <c r="J1073">
        <f>VLOOKUP(Demographics[[#This Row],[INCOME LEVEL]],Income[],4,FALSE)</f>
        <v>697.5</v>
      </c>
      <c r="K1073">
        <f>IFERROR(Demographics[[#This Row],[Total monthly income]]/Demographics[[#This Row],[FAMILY SIZE]], 0)</f>
        <v>348.75</v>
      </c>
    </row>
    <row r="1074" spans="1:11" x14ac:dyDescent="0.2">
      <c r="A1074">
        <v>8069513</v>
      </c>
      <c r="B1074">
        <v>2071988</v>
      </c>
      <c r="C1074">
        <v>6</v>
      </c>
      <c r="D1074">
        <v>2</v>
      </c>
      <c r="E1074">
        <v>4</v>
      </c>
      <c r="F1074">
        <v>9</v>
      </c>
      <c r="G1074">
        <v>9</v>
      </c>
      <c r="H1074" t="str">
        <f>IF(Demographics[[#This Row],[DOB]]&gt;10000000, TEXT(Demographics[[#This Row],[DOB]],0),CONCATENATE("0",TEXT(Demographics[[#This Row],[DOB]],0)))</f>
        <v>02071988</v>
      </c>
      <c r="I1074" s="4">
        <f ca="1">IFERROR((VALUE(TODAY()-DATE(RIGHT(Demographics[[#This Row],[DOB - Fixed]],4),MID(Demographics[[#This Row],[DOB - Fixed]],3,2),LEFT(Demographics[[#This Row],[DOB - Fixed]],2))))/365,0)</f>
        <v>35.208219178082189</v>
      </c>
      <c r="J1074">
        <f>VLOOKUP(Demographics[[#This Row],[INCOME LEVEL]],Income[],4,FALSE)</f>
        <v>2100</v>
      </c>
      <c r="K1074">
        <f>IFERROR(Demographics[[#This Row],[Total monthly income]]/Demographics[[#This Row],[FAMILY SIZE]], 0)</f>
        <v>350</v>
      </c>
    </row>
    <row r="1075" spans="1:11" x14ac:dyDescent="0.2">
      <c r="A1075">
        <v>490773</v>
      </c>
      <c r="B1075">
        <v>1071988</v>
      </c>
      <c r="C1075">
        <v>5</v>
      </c>
      <c r="D1075">
        <v>0</v>
      </c>
      <c r="E1075">
        <v>1</v>
      </c>
      <c r="F1075">
        <v>4</v>
      </c>
      <c r="G1075">
        <v>4</v>
      </c>
      <c r="H1075" t="str">
        <f>IF(Demographics[[#This Row],[DOB]]&gt;10000000, TEXT(Demographics[[#This Row],[DOB]],0),CONCATENATE("0",TEXT(Demographics[[#This Row],[DOB]],0)))</f>
        <v>01071988</v>
      </c>
      <c r="I1075" s="4">
        <f ca="1">IFERROR((VALUE(TODAY()-DATE(RIGHT(Demographics[[#This Row],[DOB - Fixed]],4),MID(Demographics[[#This Row],[DOB - Fixed]],3,2),LEFT(Demographics[[#This Row],[DOB - Fixed]],2))))/365,0)</f>
        <v>35.210958904109589</v>
      </c>
      <c r="J1075">
        <f>VLOOKUP(Demographics[[#This Row],[INCOME LEVEL]],Income[],4,FALSE)</f>
        <v>175</v>
      </c>
      <c r="K1075">
        <f>IFERROR(Demographics[[#This Row],[Total monthly income]]/Demographics[[#This Row],[FAMILY SIZE]], 0)</f>
        <v>35</v>
      </c>
    </row>
    <row r="1076" spans="1:11" x14ac:dyDescent="0.2">
      <c r="A1076">
        <v>7967901</v>
      </c>
      <c r="B1076">
        <v>2071988</v>
      </c>
      <c r="C1076">
        <v>4</v>
      </c>
      <c r="D1076">
        <v>1</v>
      </c>
      <c r="E1076">
        <v>2</v>
      </c>
      <c r="F1076">
        <v>5</v>
      </c>
      <c r="G1076">
        <v>5</v>
      </c>
      <c r="H1076" t="str">
        <f>IF(Demographics[[#This Row],[DOB]]&gt;10000000, TEXT(Demographics[[#This Row],[DOB]],0),CONCATENATE("0",TEXT(Demographics[[#This Row],[DOB]],0)))</f>
        <v>02071988</v>
      </c>
      <c r="I1076" s="4">
        <f ca="1">IFERROR((VALUE(TODAY()-DATE(RIGHT(Demographics[[#This Row],[DOB - Fixed]],4),MID(Demographics[[#This Row],[DOB - Fixed]],3,2),LEFT(Demographics[[#This Row],[DOB - Fixed]],2))))/365,0)</f>
        <v>35.208219178082189</v>
      </c>
      <c r="J1076">
        <f>VLOOKUP(Demographics[[#This Row],[INCOME LEVEL]],Income[],4,FALSE)</f>
        <v>697.5</v>
      </c>
      <c r="K1076">
        <f>IFERROR(Demographics[[#This Row],[Total monthly income]]/Demographics[[#This Row],[FAMILY SIZE]], 0)</f>
        <v>174.375</v>
      </c>
    </row>
    <row r="1077" spans="1:11" x14ac:dyDescent="0.2">
      <c r="A1077">
        <v>21218206</v>
      </c>
      <c r="B1077">
        <v>5071988</v>
      </c>
      <c r="C1077">
        <v>5</v>
      </c>
      <c r="D1077">
        <v>2</v>
      </c>
      <c r="E1077">
        <v>2</v>
      </c>
      <c r="F1077">
        <v>5</v>
      </c>
      <c r="G1077">
        <v>2</v>
      </c>
      <c r="H1077" t="str">
        <f>IF(Demographics[[#This Row],[DOB]]&gt;10000000, TEXT(Demographics[[#This Row],[DOB]],0),CONCATENATE("0",TEXT(Demographics[[#This Row],[DOB]],0)))</f>
        <v>05071988</v>
      </c>
      <c r="I1077" s="4">
        <f ca="1">IFERROR((VALUE(TODAY()-DATE(RIGHT(Demographics[[#This Row],[DOB - Fixed]],4),MID(Demographics[[#This Row],[DOB - Fixed]],3,2),LEFT(Demographics[[#This Row],[DOB - Fixed]],2))))/365,0)</f>
        <v>35.200000000000003</v>
      </c>
      <c r="J1077">
        <f>VLOOKUP(Demographics[[#This Row],[INCOME LEVEL]],Income[],4,FALSE)</f>
        <v>697.5</v>
      </c>
      <c r="K1077">
        <f>IFERROR(Demographics[[#This Row],[Total monthly income]]/Demographics[[#This Row],[FAMILY SIZE]], 0)</f>
        <v>139.5</v>
      </c>
    </row>
    <row r="1078" spans="1:11" x14ac:dyDescent="0.2">
      <c r="A1078">
        <v>3696120</v>
      </c>
      <c r="B1078">
        <v>27041988</v>
      </c>
      <c r="C1078">
        <v>4</v>
      </c>
      <c r="D1078">
        <v>2</v>
      </c>
      <c r="E1078">
        <v>1</v>
      </c>
      <c r="F1078">
        <v>3</v>
      </c>
      <c r="G1078">
        <v>3</v>
      </c>
      <c r="H1078" t="str">
        <f>IF(Demographics[[#This Row],[DOB]]&gt;10000000, TEXT(Demographics[[#This Row],[DOB]],0),CONCATENATE("0",TEXT(Demographics[[#This Row],[DOB]],0)))</f>
        <v>27041988</v>
      </c>
      <c r="I1078" s="4">
        <f ca="1">IFERROR((VALUE(TODAY()-DATE(RIGHT(Demographics[[#This Row],[DOB - Fixed]],4),MID(Demographics[[#This Row],[DOB - Fixed]],3,2),LEFT(Demographics[[#This Row],[DOB - Fixed]],2))))/365,0)</f>
        <v>35.389041095890413</v>
      </c>
      <c r="J1078">
        <f>VLOOKUP(Demographics[[#This Row],[INCOME LEVEL]],Income[],4,FALSE)</f>
        <v>175</v>
      </c>
      <c r="K1078">
        <f>IFERROR(Demographics[[#This Row],[Total monthly income]]/Demographics[[#This Row],[FAMILY SIZE]], 0)</f>
        <v>43.75</v>
      </c>
    </row>
    <row r="1079" spans="1:11" x14ac:dyDescent="0.2">
      <c r="A1079">
        <v>19081461</v>
      </c>
      <c r="B1079">
        <v>4071988</v>
      </c>
      <c r="C1079">
        <v>0</v>
      </c>
      <c r="D1079">
        <v>0</v>
      </c>
      <c r="E1079">
        <v>2</v>
      </c>
      <c r="F1079">
        <v>0</v>
      </c>
      <c r="G1079">
        <v>0</v>
      </c>
      <c r="H1079" t="str">
        <f>IF(Demographics[[#This Row],[DOB]]&gt;10000000, TEXT(Demographics[[#This Row],[DOB]],0),CONCATENATE("0",TEXT(Demographics[[#This Row],[DOB]],0)))</f>
        <v>04071988</v>
      </c>
      <c r="I1079" s="4">
        <f ca="1">IFERROR((VALUE(TODAY()-DATE(RIGHT(Demographics[[#This Row],[DOB - Fixed]],4),MID(Demographics[[#This Row],[DOB - Fixed]],3,2),LEFT(Demographics[[#This Row],[DOB - Fixed]],2))))/365,0)</f>
        <v>35.202739726027396</v>
      </c>
      <c r="J1079">
        <f>VLOOKUP(Demographics[[#This Row],[INCOME LEVEL]],Income[],4,FALSE)</f>
        <v>697.5</v>
      </c>
      <c r="K1079">
        <f>IFERROR(Demographics[[#This Row],[Total monthly income]]/Demographics[[#This Row],[FAMILY SIZE]], 0)</f>
        <v>0</v>
      </c>
    </row>
    <row r="1080" spans="1:11" x14ac:dyDescent="0.2">
      <c r="A1080">
        <v>6467706</v>
      </c>
      <c r="B1080">
        <v>23061988</v>
      </c>
      <c r="C1080">
        <v>3</v>
      </c>
      <c r="D1080">
        <v>1</v>
      </c>
      <c r="E1080">
        <v>1</v>
      </c>
      <c r="F1080">
        <v>2</v>
      </c>
      <c r="G1080">
        <v>5</v>
      </c>
      <c r="H1080" t="str">
        <f>IF(Demographics[[#This Row],[DOB]]&gt;10000000, TEXT(Demographics[[#This Row],[DOB]],0),CONCATENATE("0",TEXT(Demographics[[#This Row],[DOB]],0)))</f>
        <v>23061988</v>
      </c>
      <c r="I1080" s="4">
        <f ca="1">IFERROR((VALUE(TODAY()-DATE(RIGHT(Demographics[[#This Row],[DOB - Fixed]],4),MID(Demographics[[#This Row],[DOB - Fixed]],3,2),LEFT(Demographics[[#This Row],[DOB - Fixed]],2))))/365,0)</f>
        <v>35.232876712328768</v>
      </c>
      <c r="J1080">
        <f>VLOOKUP(Demographics[[#This Row],[INCOME LEVEL]],Income[],4,FALSE)</f>
        <v>175</v>
      </c>
      <c r="K1080">
        <f>IFERROR(Demographics[[#This Row],[Total monthly income]]/Demographics[[#This Row],[FAMILY SIZE]], 0)</f>
        <v>58.333333333333336</v>
      </c>
    </row>
    <row r="1081" spans="1:11" x14ac:dyDescent="0.2">
      <c r="A1081">
        <v>12673412</v>
      </c>
      <c r="B1081">
        <v>7071988</v>
      </c>
      <c r="C1081">
        <v>4</v>
      </c>
      <c r="D1081">
        <v>1</v>
      </c>
      <c r="E1081">
        <v>1</v>
      </c>
      <c r="F1081">
        <v>9</v>
      </c>
      <c r="G1081">
        <v>10</v>
      </c>
      <c r="H1081" t="str">
        <f>IF(Demographics[[#This Row],[DOB]]&gt;10000000, TEXT(Demographics[[#This Row],[DOB]],0),CONCATENATE("0",TEXT(Demographics[[#This Row],[DOB]],0)))</f>
        <v>07071988</v>
      </c>
      <c r="I1081" s="4">
        <f ca="1">IFERROR((VALUE(TODAY()-DATE(RIGHT(Demographics[[#This Row],[DOB - Fixed]],4),MID(Demographics[[#This Row],[DOB - Fixed]],3,2),LEFT(Demographics[[#This Row],[DOB - Fixed]],2))))/365,0)</f>
        <v>35.194520547945203</v>
      </c>
      <c r="J1081">
        <f>VLOOKUP(Demographics[[#This Row],[INCOME LEVEL]],Income[],4,FALSE)</f>
        <v>175</v>
      </c>
      <c r="K1081">
        <f>IFERROR(Demographics[[#This Row],[Total monthly income]]/Demographics[[#This Row],[FAMILY SIZE]], 0)</f>
        <v>43.75</v>
      </c>
    </row>
    <row r="1082" spans="1:11" x14ac:dyDescent="0.2">
      <c r="A1082">
        <v>20150373</v>
      </c>
      <c r="B1082">
        <v>7071988</v>
      </c>
      <c r="C1082">
        <v>5</v>
      </c>
      <c r="D1082">
        <v>2</v>
      </c>
      <c r="E1082">
        <v>4</v>
      </c>
      <c r="F1082">
        <v>9</v>
      </c>
      <c r="G1082">
        <v>5</v>
      </c>
      <c r="H1082" t="str">
        <f>IF(Demographics[[#This Row],[DOB]]&gt;10000000, TEXT(Demographics[[#This Row],[DOB]],0),CONCATENATE("0",TEXT(Demographics[[#This Row],[DOB]],0)))</f>
        <v>07071988</v>
      </c>
      <c r="I1082" s="4">
        <f ca="1">IFERROR((VALUE(TODAY()-DATE(RIGHT(Demographics[[#This Row],[DOB - Fixed]],4),MID(Demographics[[#This Row],[DOB - Fixed]],3,2),LEFT(Demographics[[#This Row],[DOB - Fixed]],2))))/365,0)</f>
        <v>35.194520547945203</v>
      </c>
      <c r="J1082">
        <f>VLOOKUP(Demographics[[#This Row],[INCOME LEVEL]],Income[],4,FALSE)</f>
        <v>2100</v>
      </c>
      <c r="K1082">
        <f>IFERROR(Demographics[[#This Row],[Total monthly income]]/Demographics[[#This Row],[FAMILY SIZE]], 0)</f>
        <v>420</v>
      </c>
    </row>
    <row r="1083" spans="1:11" x14ac:dyDescent="0.2">
      <c r="A1083">
        <v>1024957</v>
      </c>
      <c r="B1083">
        <v>4071988</v>
      </c>
      <c r="C1083">
        <v>5</v>
      </c>
      <c r="D1083">
        <v>1</v>
      </c>
      <c r="E1083">
        <v>3</v>
      </c>
      <c r="F1083">
        <v>8</v>
      </c>
      <c r="G1083">
        <v>9</v>
      </c>
      <c r="H1083" t="str">
        <f>IF(Demographics[[#This Row],[DOB]]&gt;10000000, TEXT(Demographics[[#This Row],[DOB]],0),CONCATENATE("0",TEXT(Demographics[[#This Row],[DOB]],0)))</f>
        <v>04071988</v>
      </c>
      <c r="I1083" s="4">
        <f ca="1">IFERROR((VALUE(TODAY()-DATE(RIGHT(Demographics[[#This Row],[DOB - Fixed]],4),MID(Demographics[[#This Row],[DOB - Fixed]],3,2),LEFT(Demographics[[#This Row],[DOB - Fixed]],2))))/365,0)</f>
        <v>35.202739726027396</v>
      </c>
      <c r="J1083">
        <f>VLOOKUP(Demographics[[#This Row],[INCOME LEVEL]],Income[],4,FALSE)</f>
        <v>1397.5</v>
      </c>
      <c r="K1083">
        <f>IFERROR(Demographics[[#This Row],[Total monthly income]]/Demographics[[#This Row],[FAMILY SIZE]], 0)</f>
        <v>279.5</v>
      </c>
    </row>
    <row r="1084" spans="1:11" x14ac:dyDescent="0.2">
      <c r="A1084">
        <v>12774489</v>
      </c>
      <c r="B1084">
        <v>7071988</v>
      </c>
      <c r="C1084">
        <v>5</v>
      </c>
      <c r="D1084">
        <v>1</v>
      </c>
      <c r="E1084">
        <v>1</v>
      </c>
      <c r="F1084">
        <v>5</v>
      </c>
      <c r="G1084">
        <v>9</v>
      </c>
      <c r="H1084" t="str">
        <f>IF(Demographics[[#This Row],[DOB]]&gt;10000000, TEXT(Demographics[[#This Row],[DOB]],0),CONCATENATE("0",TEXT(Demographics[[#This Row],[DOB]],0)))</f>
        <v>07071988</v>
      </c>
      <c r="I1084" s="4">
        <f ca="1">IFERROR((VALUE(TODAY()-DATE(RIGHT(Demographics[[#This Row],[DOB - Fixed]],4),MID(Demographics[[#This Row],[DOB - Fixed]],3,2),LEFT(Demographics[[#This Row],[DOB - Fixed]],2))))/365,0)</f>
        <v>35.194520547945203</v>
      </c>
      <c r="J1084">
        <f>VLOOKUP(Demographics[[#This Row],[INCOME LEVEL]],Income[],4,FALSE)</f>
        <v>175</v>
      </c>
      <c r="K1084">
        <f>IFERROR(Demographics[[#This Row],[Total monthly income]]/Demographics[[#This Row],[FAMILY SIZE]], 0)</f>
        <v>35</v>
      </c>
    </row>
    <row r="1085" spans="1:11" x14ac:dyDescent="0.2">
      <c r="A1085">
        <v>22921833</v>
      </c>
      <c r="B1085">
        <v>4071988</v>
      </c>
      <c r="C1085">
        <v>5</v>
      </c>
      <c r="D1085">
        <v>1</v>
      </c>
      <c r="E1085">
        <v>1</v>
      </c>
      <c r="F1085">
        <v>5</v>
      </c>
      <c r="G1085">
        <v>5</v>
      </c>
      <c r="H1085" t="str">
        <f>IF(Demographics[[#This Row],[DOB]]&gt;10000000, TEXT(Demographics[[#This Row],[DOB]],0),CONCATENATE("0",TEXT(Demographics[[#This Row],[DOB]],0)))</f>
        <v>04071988</v>
      </c>
      <c r="I1085" s="4">
        <f ca="1">IFERROR((VALUE(TODAY()-DATE(RIGHT(Demographics[[#This Row],[DOB - Fixed]],4),MID(Demographics[[#This Row],[DOB - Fixed]],3,2),LEFT(Demographics[[#This Row],[DOB - Fixed]],2))))/365,0)</f>
        <v>35.202739726027396</v>
      </c>
      <c r="J1085">
        <f>VLOOKUP(Demographics[[#This Row],[INCOME LEVEL]],Income[],4,FALSE)</f>
        <v>175</v>
      </c>
      <c r="K1085">
        <f>IFERROR(Demographics[[#This Row],[Total monthly income]]/Demographics[[#This Row],[FAMILY SIZE]], 0)</f>
        <v>35</v>
      </c>
    </row>
    <row r="1086" spans="1:11" x14ac:dyDescent="0.2">
      <c r="A1086">
        <v>2526723</v>
      </c>
      <c r="B1086">
        <v>10061988</v>
      </c>
      <c r="C1086">
        <v>4</v>
      </c>
      <c r="D1086">
        <v>0</v>
      </c>
      <c r="E1086">
        <v>1</v>
      </c>
      <c r="F1086">
        <v>0</v>
      </c>
      <c r="G1086">
        <v>2</v>
      </c>
      <c r="H1086" t="str">
        <f>IF(Demographics[[#This Row],[DOB]]&gt;10000000, TEXT(Demographics[[#This Row],[DOB]],0),CONCATENATE("0",TEXT(Demographics[[#This Row],[DOB]],0)))</f>
        <v>10061988</v>
      </c>
      <c r="I1086" s="4">
        <f ca="1">IFERROR((VALUE(TODAY()-DATE(RIGHT(Demographics[[#This Row],[DOB - Fixed]],4),MID(Demographics[[#This Row],[DOB - Fixed]],3,2),LEFT(Demographics[[#This Row],[DOB - Fixed]],2))))/365,0)</f>
        <v>35.268493150684932</v>
      </c>
      <c r="J1086">
        <f>VLOOKUP(Demographics[[#This Row],[INCOME LEVEL]],Income[],4,FALSE)</f>
        <v>175</v>
      </c>
      <c r="K1086">
        <f>IFERROR(Demographics[[#This Row],[Total monthly income]]/Demographics[[#This Row],[FAMILY SIZE]], 0)</f>
        <v>43.75</v>
      </c>
    </row>
    <row r="1087" spans="1:11" x14ac:dyDescent="0.2">
      <c r="A1087">
        <v>11605555</v>
      </c>
      <c r="B1087">
        <v>6071988</v>
      </c>
      <c r="C1087">
        <v>2</v>
      </c>
      <c r="D1087">
        <v>1</v>
      </c>
      <c r="E1087">
        <v>1</v>
      </c>
      <c r="F1087">
        <v>4</v>
      </c>
      <c r="G1087">
        <v>5</v>
      </c>
      <c r="H1087" t="str">
        <f>IF(Demographics[[#This Row],[DOB]]&gt;10000000, TEXT(Demographics[[#This Row],[DOB]],0),CONCATENATE("0",TEXT(Demographics[[#This Row],[DOB]],0)))</f>
        <v>06071988</v>
      </c>
      <c r="I1087" s="4">
        <f ca="1">IFERROR((VALUE(TODAY()-DATE(RIGHT(Demographics[[#This Row],[DOB - Fixed]],4),MID(Demographics[[#This Row],[DOB - Fixed]],3,2),LEFT(Demographics[[#This Row],[DOB - Fixed]],2))))/365,0)</f>
        <v>35.197260273972603</v>
      </c>
      <c r="J1087">
        <f>VLOOKUP(Demographics[[#This Row],[INCOME LEVEL]],Income[],4,FALSE)</f>
        <v>175</v>
      </c>
      <c r="K1087">
        <f>IFERROR(Demographics[[#This Row],[Total monthly income]]/Demographics[[#This Row],[FAMILY SIZE]], 0)</f>
        <v>87.5</v>
      </c>
    </row>
    <row r="1088" spans="1:11" x14ac:dyDescent="0.2">
      <c r="A1088">
        <v>24855794</v>
      </c>
      <c r="B1088">
        <v>8071988</v>
      </c>
      <c r="C1088">
        <v>4</v>
      </c>
      <c r="D1088">
        <v>2</v>
      </c>
      <c r="E1088">
        <v>2</v>
      </c>
      <c r="F1088">
        <v>9</v>
      </c>
      <c r="G1088">
        <v>9</v>
      </c>
      <c r="H1088" t="str">
        <f>IF(Demographics[[#This Row],[DOB]]&gt;10000000, TEXT(Demographics[[#This Row],[DOB]],0),CONCATENATE("0",TEXT(Demographics[[#This Row],[DOB]],0)))</f>
        <v>08071988</v>
      </c>
      <c r="I1088" s="4">
        <f ca="1">IFERROR((VALUE(TODAY()-DATE(RIGHT(Demographics[[#This Row],[DOB - Fixed]],4),MID(Demographics[[#This Row],[DOB - Fixed]],3,2),LEFT(Demographics[[#This Row],[DOB - Fixed]],2))))/365,0)</f>
        <v>35.19178082191781</v>
      </c>
      <c r="J1088">
        <f>VLOOKUP(Demographics[[#This Row],[INCOME LEVEL]],Income[],4,FALSE)</f>
        <v>697.5</v>
      </c>
      <c r="K1088">
        <f>IFERROR(Demographics[[#This Row],[Total monthly income]]/Demographics[[#This Row],[FAMILY SIZE]], 0)</f>
        <v>174.375</v>
      </c>
    </row>
    <row r="1089" spans="1:11" x14ac:dyDescent="0.2">
      <c r="A1089">
        <v>13944280</v>
      </c>
      <c r="B1089">
        <v>15071988</v>
      </c>
      <c r="C1089">
        <v>4</v>
      </c>
      <c r="D1089">
        <v>2</v>
      </c>
      <c r="E1089">
        <v>2</v>
      </c>
      <c r="F1089">
        <v>5</v>
      </c>
      <c r="G1089">
        <v>7</v>
      </c>
      <c r="H1089" t="str">
        <f>IF(Demographics[[#This Row],[DOB]]&gt;10000000, TEXT(Demographics[[#This Row],[DOB]],0),CONCATENATE("0",TEXT(Demographics[[#This Row],[DOB]],0)))</f>
        <v>15071988</v>
      </c>
      <c r="I1089" s="4">
        <f ca="1">IFERROR((VALUE(TODAY()-DATE(RIGHT(Demographics[[#This Row],[DOB - Fixed]],4),MID(Demographics[[#This Row],[DOB - Fixed]],3,2),LEFT(Demographics[[#This Row],[DOB - Fixed]],2))))/365,0)</f>
        <v>35.172602739726024</v>
      </c>
      <c r="J1089">
        <f>VLOOKUP(Demographics[[#This Row],[INCOME LEVEL]],Income[],4,FALSE)</f>
        <v>697.5</v>
      </c>
      <c r="K1089">
        <f>IFERROR(Demographics[[#This Row],[Total monthly income]]/Demographics[[#This Row],[FAMILY SIZE]], 0)</f>
        <v>174.375</v>
      </c>
    </row>
    <row r="1090" spans="1:11" x14ac:dyDescent="0.2">
      <c r="A1090">
        <v>3061086</v>
      </c>
      <c r="B1090">
        <v>30061988</v>
      </c>
      <c r="C1090">
        <v>4</v>
      </c>
      <c r="D1090">
        <v>1</v>
      </c>
      <c r="E1090">
        <v>1</v>
      </c>
      <c r="F1090">
        <v>5</v>
      </c>
      <c r="G1090">
        <v>5</v>
      </c>
      <c r="H1090" t="str">
        <f>IF(Demographics[[#This Row],[DOB]]&gt;10000000, TEXT(Demographics[[#This Row],[DOB]],0),CONCATENATE("0",TEXT(Demographics[[#This Row],[DOB]],0)))</f>
        <v>30061988</v>
      </c>
      <c r="I1090" s="4">
        <f ca="1">IFERROR((VALUE(TODAY()-DATE(RIGHT(Demographics[[#This Row],[DOB - Fixed]],4),MID(Demographics[[#This Row],[DOB - Fixed]],3,2),LEFT(Demographics[[#This Row],[DOB - Fixed]],2))))/365,0)</f>
        <v>35.213698630136989</v>
      </c>
      <c r="J1090">
        <f>VLOOKUP(Demographics[[#This Row],[INCOME LEVEL]],Income[],4,FALSE)</f>
        <v>175</v>
      </c>
      <c r="K1090">
        <f>IFERROR(Demographics[[#This Row],[Total monthly income]]/Demographics[[#This Row],[FAMILY SIZE]], 0)</f>
        <v>43.75</v>
      </c>
    </row>
    <row r="1091" spans="1:11" x14ac:dyDescent="0.2">
      <c r="A1091">
        <v>8935147</v>
      </c>
      <c r="B1091">
        <v>14071988</v>
      </c>
      <c r="C1091">
        <v>5</v>
      </c>
      <c r="D1091">
        <v>2</v>
      </c>
      <c r="E1091">
        <v>4</v>
      </c>
      <c r="F1091">
        <v>9</v>
      </c>
      <c r="G1091">
        <v>9</v>
      </c>
      <c r="H1091" t="str">
        <f>IF(Demographics[[#This Row],[DOB]]&gt;10000000, TEXT(Demographics[[#This Row],[DOB]],0),CONCATENATE("0",TEXT(Demographics[[#This Row],[DOB]],0)))</f>
        <v>14071988</v>
      </c>
      <c r="I1091" s="4">
        <f ca="1">IFERROR((VALUE(TODAY()-DATE(RIGHT(Demographics[[#This Row],[DOB - Fixed]],4),MID(Demographics[[#This Row],[DOB - Fixed]],3,2),LEFT(Demographics[[#This Row],[DOB - Fixed]],2))))/365,0)</f>
        <v>35.175342465753424</v>
      </c>
      <c r="J1091">
        <f>VLOOKUP(Demographics[[#This Row],[INCOME LEVEL]],Income[],4,FALSE)</f>
        <v>2100</v>
      </c>
      <c r="K1091">
        <f>IFERROR(Demographics[[#This Row],[Total monthly income]]/Demographics[[#This Row],[FAMILY SIZE]], 0)</f>
        <v>420</v>
      </c>
    </row>
    <row r="1092" spans="1:11" x14ac:dyDescent="0.2">
      <c r="A1092">
        <v>9137965</v>
      </c>
      <c r="B1092">
        <v>13071988</v>
      </c>
      <c r="C1092">
        <v>2</v>
      </c>
      <c r="D1092">
        <v>1</v>
      </c>
      <c r="E1092">
        <v>2</v>
      </c>
      <c r="F1092">
        <v>9</v>
      </c>
      <c r="G1092">
        <v>6</v>
      </c>
      <c r="H1092" t="str">
        <f>IF(Demographics[[#This Row],[DOB]]&gt;10000000, TEXT(Demographics[[#This Row],[DOB]],0),CONCATENATE("0",TEXT(Demographics[[#This Row],[DOB]],0)))</f>
        <v>13071988</v>
      </c>
      <c r="I1092" s="4">
        <f ca="1">IFERROR((VALUE(TODAY()-DATE(RIGHT(Demographics[[#This Row],[DOB - Fixed]],4),MID(Demographics[[#This Row],[DOB - Fixed]],3,2),LEFT(Demographics[[#This Row],[DOB - Fixed]],2))))/365,0)</f>
        <v>35.178082191780824</v>
      </c>
      <c r="J1092">
        <f>VLOOKUP(Demographics[[#This Row],[INCOME LEVEL]],Income[],4,FALSE)</f>
        <v>697.5</v>
      </c>
      <c r="K1092">
        <f>IFERROR(Demographics[[#This Row],[Total monthly income]]/Demographics[[#This Row],[FAMILY SIZE]], 0)</f>
        <v>348.75</v>
      </c>
    </row>
    <row r="1093" spans="1:11" x14ac:dyDescent="0.2">
      <c r="A1093">
        <v>14910615</v>
      </c>
      <c r="B1093">
        <v>13071988</v>
      </c>
      <c r="C1093">
        <v>4</v>
      </c>
      <c r="D1093">
        <v>1</v>
      </c>
      <c r="E1093">
        <v>1</v>
      </c>
      <c r="F1093">
        <v>5</v>
      </c>
      <c r="G1093">
        <v>5</v>
      </c>
      <c r="H1093" t="str">
        <f>IF(Demographics[[#This Row],[DOB]]&gt;10000000, TEXT(Demographics[[#This Row],[DOB]],0),CONCATENATE("0",TEXT(Demographics[[#This Row],[DOB]],0)))</f>
        <v>13071988</v>
      </c>
      <c r="I1093" s="4">
        <f ca="1">IFERROR((VALUE(TODAY()-DATE(RIGHT(Demographics[[#This Row],[DOB - Fixed]],4),MID(Demographics[[#This Row],[DOB - Fixed]],3,2),LEFT(Demographics[[#This Row],[DOB - Fixed]],2))))/365,0)</f>
        <v>35.178082191780824</v>
      </c>
      <c r="J1093">
        <f>VLOOKUP(Demographics[[#This Row],[INCOME LEVEL]],Income[],4,FALSE)</f>
        <v>175</v>
      </c>
      <c r="K1093">
        <f>IFERROR(Demographics[[#This Row],[Total monthly income]]/Demographics[[#This Row],[FAMILY SIZE]], 0)</f>
        <v>43.75</v>
      </c>
    </row>
    <row r="1094" spans="1:11" x14ac:dyDescent="0.2">
      <c r="A1094">
        <v>23787678</v>
      </c>
      <c r="B1094">
        <v>16071988</v>
      </c>
      <c r="C1094">
        <v>0</v>
      </c>
      <c r="D1094">
        <v>0</v>
      </c>
      <c r="E1094">
        <v>2</v>
      </c>
      <c r="F1094">
        <v>0</v>
      </c>
      <c r="G1094">
        <v>0</v>
      </c>
      <c r="H1094" t="str">
        <f>IF(Demographics[[#This Row],[DOB]]&gt;10000000, TEXT(Demographics[[#This Row],[DOB]],0),CONCATENATE("0",TEXT(Demographics[[#This Row],[DOB]],0)))</f>
        <v>16071988</v>
      </c>
      <c r="I1094" s="4">
        <f ca="1">IFERROR((VALUE(TODAY()-DATE(RIGHT(Demographics[[#This Row],[DOB - Fixed]],4),MID(Demographics[[#This Row],[DOB - Fixed]],3,2),LEFT(Demographics[[#This Row],[DOB - Fixed]],2))))/365,0)</f>
        <v>35.169863013698631</v>
      </c>
      <c r="J1094">
        <f>VLOOKUP(Demographics[[#This Row],[INCOME LEVEL]],Income[],4,FALSE)</f>
        <v>697.5</v>
      </c>
      <c r="K1094">
        <f>IFERROR(Demographics[[#This Row],[Total monthly income]]/Demographics[[#This Row],[FAMILY SIZE]], 0)</f>
        <v>0</v>
      </c>
    </row>
    <row r="1095" spans="1:11" x14ac:dyDescent="0.2">
      <c r="A1095">
        <v>5832163</v>
      </c>
      <c r="B1095">
        <v>12071988</v>
      </c>
      <c r="C1095">
        <v>5</v>
      </c>
      <c r="D1095">
        <v>0</v>
      </c>
      <c r="E1095">
        <v>2</v>
      </c>
      <c r="F1095">
        <v>9</v>
      </c>
      <c r="G1095">
        <v>7</v>
      </c>
      <c r="H1095" t="str">
        <f>IF(Demographics[[#This Row],[DOB]]&gt;10000000, TEXT(Demographics[[#This Row],[DOB]],0),CONCATENATE("0",TEXT(Demographics[[#This Row],[DOB]],0)))</f>
        <v>12071988</v>
      </c>
      <c r="I1095" s="4">
        <f ca="1">IFERROR((VALUE(TODAY()-DATE(RIGHT(Demographics[[#This Row],[DOB - Fixed]],4),MID(Demographics[[#This Row],[DOB - Fixed]],3,2),LEFT(Demographics[[#This Row],[DOB - Fixed]],2))))/365,0)</f>
        <v>35.180821917808217</v>
      </c>
      <c r="J1095">
        <f>VLOOKUP(Demographics[[#This Row],[INCOME LEVEL]],Income[],4,FALSE)</f>
        <v>697.5</v>
      </c>
      <c r="K1095">
        <f>IFERROR(Demographics[[#This Row],[Total monthly income]]/Demographics[[#This Row],[FAMILY SIZE]], 0)</f>
        <v>139.5</v>
      </c>
    </row>
    <row r="1096" spans="1:11" x14ac:dyDescent="0.2">
      <c r="A1096">
        <v>12876124</v>
      </c>
      <c r="B1096">
        <v>12071988</v>
      </c>
      <c r="C1096">
        <v>3</v>
      </c>
      <c r="D1096">
        <v>0</v>
      </c>
      <c r="E1096">
        <v>1</v>
      </c>
      <c r="F1096">
        <v>0</v>
      </c>
      <c r="G1096">
        <v>5</v>
      </c>
      <c r="H1096" t="str">
        <f>IF(Demographics[[#This Row],[DOB]]&gt;10000000, TEXT(Demographics[[#This Row],[DOB]],0),CONCATENATE("0",TEXT(Demographics[[#This Row],[DOB]],0)))</f>
        <v>12071988</v>
      </c>
      <c r="I1096" s="4">
        <f ca="1">IFERROR((VALUE(TODAY()-DATE(RIGHT(Demographics[[#This Row],[DOB - Fixed]],4),MID(Demographics[[#This Row],[DOB - Fixed]],3,2),LEFT(Demographics[[#This Row],[DOB - Fixed]],2))))/365,0)</f>
        <v>35.180821917808217</v>
      </c>
      <c r="J1096">
        <f>VLOOKUP(Demographics[[#This Row],[INCOME LEVEL]],Income[],4,FALSE)</f>
        <v>175</v>
      </c>
      <c r="K1096">
        <f>IFERROR(Demographics[[#This Row],[Total monthly income]]/Demographics[[#This Row],[FAMILY SIZE]], 0)</f>
        <v>58.333333333333336</v>
      </c>
    </row>
    <row r="1097" spans="1:11" x14ac:dyDescent="0.2">
      <c r="A1097">
        <v>11274374</v>
      </c>
      <c r="B1097">
        <v>19071988</v>
      </c>
      <c r="C1097">
        <v>7</v>
      </c>
      <c r="D1097">
        <v>2</v>
      </c>
      <c r="E1097">
        <v>2</v>
      </c>
      <c r="F1097">
        <v>8</v>
      </c>
      <c r="G1097">
        <v>9</v>
      </c>
      <c r="H1097" t="str">
        <f>IF(Demographics[[#This Row],[DOB]]&gt;10000000, TEXT(Demographics[[#This Row],[DOB]],0),CONCATENATE("0",TEXT(Demographics[[#This Row],[DOB]],0)))</f>
        <v>19071988</v>
      </c>
      <c r="I1097" s="4">
        <f ca="1">IFERROR((VALUE(TODAY()-DATE(RIGHT(Demographics[[#This Row],[DOB - Fixed]],4),MID(Demographics[[#This Row],[DOB - Fixed]],3,2),LEFT(Demographics[[#This Row],[DOB - Fixed]],2))))/365,0)</f>
        <v>35.161643835616438</v>
      </c>
      <c r="J1097">
        <f>VLOOKUP(Demographics[[#This Row],[INCOME LEVEL]],Income[],4,FALSE)</f>
        <v>697.5</v>
      </c>
      <c r="K1097">
        <f>IFERROR(Demographics[[#This Row],[Total monthly income]]/Demographics[[#This Row],[FAMILY SIZE]], 0)</f>
        <v>99.642857142857139</v>
      </c>
    </row>
    <row r="1098" spans="1:11" x14ac:dyDescent="0.2">
      <c r="A1098">
        <v>57780</v>
      </c>
      <c r="B1098">
        <v>18061988</v>
      </c>
      <c r="C1098">
        <v>4</v>
      </c>
      <c r="D1098">
        <v>2</v>
      </c>
      <c r="E1098">
        <v>2</v>
      </c>
      <c r="F1098">
        <v>5</v>
      </c>
      <c r="G1098">
        <v>7</v>
      </c>
      <c r="H1098" t="str">
        <f>IF(Demographics[[#This Row],[DOB]]&gt;10000000, TEXT(Demographics[[#This Row],[DOB]],0),CONCATENATE("0",TEXT(Demographics[[#This Row],[DOB]],0)))</f>
        <v>18061988</v>
      </c>
      <c r="I1098" s="4">
        <f ca="1">IFERROR((VALUE(TODAY()-DATE(RIGHT(Demographics[[#This Row],[DOB - Fixed]],4),MID(Demographics[[#This Row],[DOB - Fixed]],3,2),LEFT(Demographics[[#This Row],[DOB - Fixed]],2))))/365,0)</f>
        <v>35.246575342465754</v>
      </c>
      <c r="J1098">
        <f>VLOOKUP(Demographics[[#This Row],[INCOME LEVEL]],Income[],4,FALSE)</f>
        <v>697.5</v>
      </c>
      <c r="K1098">
        <f>IFERROR(Demographics[[#This Row],[Total monthly income]]/Demographics[[#This Row],[FAMILY SIZE]], 0)</f>
        <v>174.375</v>
      </c>
    </row>
    <row r="1099" spans="1:11" x14ac:dyDescent="0.2">
      <c r="A1099">
        <v>3595296</v>
      </c>
      <c r="B1099">
        <v>20071988</v>
      </c>
      <c r="C1099">
        <v>3</v>
      </c>
      <c r="D1099">
        <v>0</v>
      </c>
      <c r="E1099">
        <v>1</v>
      </c>
      <c r="F1099">
        <v>6</v>
      </c>
      <c r="G1099">
        <v>4</v>
      </c>
      <c r="H1099" t="str">
        <f>IF(Demographics[[#This Row],[DOB]]&gt;10000000, TEXT(Demographics[[#This Row],[DOB]],0),CONCATENATE("0",TEXT(Demographics[[#This Row],[DOB]],0)))</f>
        <v>20071988</v>
      </c>
      <c r="I1099" s="4">
        <f ca="1">IFERROR((VALUE(TODAY()-DATE(RIGHT(Demographics[[#This Row],[DOB - Fixed]],4),MID(Demographics[[#This Row],[DOB - Fixed]],3,2),LEFT(Demographics[[#This Row],[DOB - Fixed]],2))))/365,0)</f>
        <v>35.158904109589038</v>
      </c>
      <c r="J1099">
        <f>VLOOKUP(Demographics[[#This Row],[INCOME LEVEL]],Income[],4,FALSE)</f>
        <v>175</v>
      </c>
      <c r="K1099">
        <f>IFERROR(Demographics[[#This Row],[Total monthly income]]/Demographics[[#This Row],[FAMILY SIZE]], 0)</f>
        <v>58.333333333333336</v>
      </c>
    </row>
    <row r="1100" spans="1:11" x14ac:dyDescent="0.2">
      <c r="A1100">
        <v>8502123</v>
      </c>
      <c r="B1100">
        <v>4071988</v>
      </c>
      <c r="C1100">
        <v>5</v>
      </c>
      <c r="D1100">
        <v>1</v>
      </c>
      <c r="E1100">
        <v>1</v>
      </c>
      <c r="F1100">
        <v>7</v>
      </c>
      <c r="G1100">
        <v>5</v>
      </c>
      <c r="H1100" t="str">
        <f>IF(Demographics[[#This Row],[DOB]]&gt;10000000, TEXT(Demographics[[#This Row],[DOB]],0),CONCATENATE("0",TEXT(Demographics[[#This Row],[DOB]],0)))</f>
        <v>04071988</v>
      </c>
      <c r="I1100" s="4">
        <f ca="1">IFERROR((VALUE(TODAY()-DATE(RIGHT(Demographics[[#This Row],[DOB - Fixed]],4),MID(Demographics[[#This Row],[DOB - Fixed]],3,2),LEFT(Demographics[[#This Row],[DOB - Fixed]],2))))/365,0)</f>
        <v>35.202739726027396</v>
      </c>
      <c r="J1100">
        <f>VLOOKUP(Demographics[[#This Row],[INCOME LEVEL]],Income[],4,FALSE)</f>
        <v>175</v>
      </c>
      <c r="K1100">
        <f>IFERROR(Demographics[[#This Row],[Total monthly income]]/Demographics[[#This Row],[FAMILY SIZE]], 0)</f>
        <v>35</v>
      </c>
    </row>
    <row r="1101" spans="1:11" x14ac:dyDescent="0.2">
      <c r="A1101">
        <v>9469344</v>
      </c>
      <c r="B1101">
        <v>21071988</v>
      </c>
      <c r="C1101">
        <v>3</v>
      </c>
      <c r="D1101">
        <v>1</v>
      </c>
      <c r="E1101">
        <v>2</v>
      </c>
      <c r="F1101">
        <v>9</v>
      </c>
      <c r="G1101">
        <v>9</v>
      </c>
      <c r="H1101" t="str">
        <f>IF(Demographics[[#This Row],[DOB]]&gt;10000000, TEXT(Demographics[[#This Row],[DOB]],0),CONCATENATE("0",TEXT(Demographics[[#This Row],[DOB]],0)))</f>
        <v>21071988</v>
      </c>
      <c r="I1101" s="4">
        <f ca="1">IFERROR((VALUE(TODAY()-DATE(RIGHT(Demographics[[#This Row],[DOB - Fixed]],4),MID(Demographics[[#This Row],[DOB - Fixed]],3,2),LEFT(Demographics[[#This Row],[DOB - Fixed]],2))))/365,0)</f>
        <v>35.156164383561645</v>
      </c>
      <c r="J1101">
        <f>VLOOKUP(Demographics[[#This Row],[INCOME LEVEL]],Income[],4,FALSE)</f>
        <v>697.5</v>
      </c>
      <c r="K1101">
        <f>IFERROR(Demographics[[#This Row],[Total monthly income]]/Demographics[[#This Row],[FAMILY SIZE]], 0)</f>
        <v>232.5</v>
      </c>
    </row>
    <row r="1102" spans="1:11" x14ac:dyDescent="0.2">
      <c r="A1102">
        <v>24956551</v>
      </c>
      <c r="B1102">
        <v>12051988</v>
      </c>
      <c r="C1102">
        <v>6</v>
      </c>
      <c r="D1102">
        <v>1</v>
      </c>
      <c r="E1102">
        <v>1</v>
      </c>
      <c r="F1102">
        <v>3</v>
      </c>
      <c r="G1102">
        <v>5</v>
      </c>
      <c r="H1102" t="str">
        <f>IF(Demographics[[#This Row],[DOB]]&gt;10000000, TEXT(Demographics[[#This Row],[DOB]],0),CONCATENATE("0",TEXT(Demographics[[#This Row],[DOB]],0)))</f>
        <v>12051988</v>
      </c>
      <c r="I1102" s="4">
        <f ca="1">IFERROR((VALUE(TODAY()-DATE(RIGHT(Demographics[[#This Row],[DOB - Fixed]],4),MID(Demographics[[#This Row],[DOB - Fixed]],3,2),LEFT(Demographics[[#This Row],[DOB - Fixed]],2))))/365,0)</f>
        <v>35.347945205479455</v>
      </c>
      <c r="J1102">
        <f>VLOOKUP(Demographics[[#This Row],[INCOME LEVEL]],Income[],4,FALSE)</f>
        <v>175</v>
      </c>
      <c r="K1102">
        <f>IFERROR(Demographics[[#This Row],[Total monthly income]]/Demographics[[#This Row],[FAMILY SIZE]], 0)</f>
        <v>29.166666666666668</v>
      </c>
    </row>
    <row r="1103" spans="1:11" x14ac:dyDescent="0.2">
      <c r="A1103">
        <v>924241</v>
      </c>
      <c r="B1103">
        <v>25071988</v>
      </c>
      <c r="C1103">
        <v>5</v>
      </c>
      <c r="D1103">
        <v>2</v>
      </c>
      <c r="E1103">
        <v>2</v>
      </c>
      <c r="F1103">
        <v>6</v>
      </c>
      <c r="G1103">
        <v>7</v>
      </c>
      <c r="H1103" t="str">
        <f>IF(Demographics[[#This Row],[DOB]]&gt;10000000, TEXT(Demographics[[#This Row],[DOB]],0),CONCATENATE("0",TEXT(Demographics[[#This Row],[DOB]],0)))</f>
        <v>25071988</v>
      </c>
      <c r="I1103" s="4">
        <f ca="1">IFERROR((VALUE(TODAY()-DATE(RIGHT(Demographics[[#This Row],[DOB - Fixed]],4),MID(Demographics[[#This Row],[DOB - Fixed]],3,2),LEFT(Demographics[[#This Row],[DOB - Fixed]],2))))/365,0)</f>
        <v>35.145205479452052</v>
      </c>
      <c r="J1103">
        <f>VLOOKUP(Demographics[[#This Row],[INCOME LEVEL]],Income[],4,FALSE)</f>
        <v>697.5</v>
      </c>
      <c r="K1103">
        <f>IFERROR(Demographics[[#This Row],[Total monthly income]]/Demographics[[#This Row],[FAMILY SIZE]], 0)</f>
        <v>139.5</v>
      </c>
    </row>
    <row r="1104" spans="1:11" x14ac:dyDescent="0.2">
      <c r="A1104">
        <v>8069512</v>
      </c>
      <c r="B1104">
        <v>22061988</v>
      </c>
      <c r="C1104">
        <v>4</v>
      </c>
      <c r="D1104">
        <v>1</v>
      </c>
      <c r="E1104">
        <v>1</v>
      </c>
      <c r="F1104">
        <v>5</v>
      </c>
      <c r="G1104">
        <v>5</v>
      </c>
      <c r="H1104" t="str">
        <f>IF(Demographics[[#This Row],[DOB]]&gt;10000000, TEXT(Demographics[[#This Row],[DOB]],0),CONCATENATE("0",TEXT(Demographics[[#This Row],[DOB]],0)))</f>
        <v>22061988</v>
      </c>
      <c r="I1104" s="4">
        <f ca="1">IFERROR((VALUE(TODAY()-DATE(RIGHT(Demographics[[#This Row],[DOB - Fixed]],4),MID(Demographics[[#This Row],[DOB - Fixed]],3,2),LEFT(Demographics[[#This Row],[DOB - Fixed]],2))))/365,0)</f>
        <v>35.235616438356168</v>
      </c>
      <c r="J1104">
        <f>VLOOKUP(Demographics[[#This Row],[INCOME LEVEL]],Income[],4,FALSE)</f>
        <v>175</v>
      </c>
      <c r="K1104">
        <f>IFERROR(Demographics[[#This Row],[Total monthly income]]/Demographics[[#This Row],[FAMILY SIZE]], 0)</f>
        <v>43.75</v>
      </c>
    </row>
    <row r="1105" spans="1:11" x14ac:dyDescent="0.2">
      <c r="A1105">
        <v>21218207</v>
      </c>
      <c r="B1105">
        <v>22071988</v>
      </c>
      <c r="C1105">
        <v>5</v>
      </c>
      <c r="D1105">
        <v>1</v>
      </c>
      <c r="E1105">
        <v>1</v>
      </c>
      <c r="F1105">
        <v>5</v>
      </c>
      <c r="G1105">
        <v>5</v>
      </c>
      <c r="H1105" t="str">
        <f>IF(Demographics[[#This Row],[DOB]]&gt;10000000, TEXT(Demographics[[#This Row],[DOB]],0),CONCATENATE("0",TEXT(Demographics[[#This Row],[DOB]],0)))</f>
        <v>22071988</v>
      </c>
      <c r="I1105" s="4">
        <f ca="1">IFERROR((VALUE(TODAY()-DATE(RIGHT(Demographics[[#This Row],[DOB - Fixed]],4),MID(Demographics[[#This Row],[DOB - Fixed]],3,2),LEFT(Demographics[[#This Row],[DOB - Fixed]],2))))/365,0)</f>
        <v>35.153424657534245</v>
      </c>
      <c r="J1105">
        <f>VLOOKUP(Demographics[[#This Row],[INCOME LEVEL]],Income[],4,FALSE)</f>
        <v>175</v>
      </c>
      <c r="K1105">
        <f>IFERROR(Demographics[[#This Row],[Total monthly income]]/Demographics[[#This Row],[FAMILY SIZE]], 0)</f>
        <v>35</v>
      </c>
    </row>
    <row r="1106" spans="1:11" x14ac:dyDescent="0.2">
      <c r="A1106">
        <v>10739894</v>
      </c>
      <c r="B1106">
        <v>20071988</v>
      </c>
      <c r="C1106">
        <v>4</v>
      </c>
      <c r="D1106">
        <v>1</v>
      </c>
      <c r="E1106">
        <v>1</v>
      </c>
      <c r="F1106">
        <v>4</v>
      </c>
      <c r="G1106">
        <v>3</v>
      </c>
      <c r="H1106" t="str">
        <f>IF(Demographics[[#This Row],[DOB]]&gt;10000000, TEXT(Demographics[[#This Row],[DOB]],0),CONCATENATE("0",TEXT(Demographics[[#This Row],[DOB]],0)))</f>
        <v>20071988</v>
      </c>
      <c r="I1106" s="4">
        <f ca="1">IFERROR((VALUE(TODAY()-DATE(RIGHT(Demographics[[#This Row],[DOB - Fixed]],4),MID(Demographics[[#This Row],[DOB - Fixed]],3,2),LEFT(Demographics[[#This Row],[DOB - Fixed]],2))))/365,0)</f>
        <v>35.158904109589038</v>
      </c>
      <c r="J1106">
        <f>VLOOKUP(Demographics[[#This Row],[INCOME LEVEL]],Income[],4,FALSE)</f>
        <v>175</v>
      </c>
      <c r="K1106">
        <f>IFERROR(Demographics[[#This Row],[Total monthly income]]/Demographics[[#This Row],[FAMILY SIZE]], 0)</f>
        <v>43.75</v>
      </c>
    </row>
    <row r="1107" spans="1:11" x14ac:dyDescent="0.2">
      <c r="A1107">
        <v>16945282</v>
      </c>
      <c r="B1107">
        <v>21071988</v>
      </c>
      <c r="C1107">
        <v>6</v>
      </c>
      <c r="D1107">
        <v>3</v>
      </c>
      <c r="E1107">
        <v>2</v>
      </c>
      <c r="F1107">
        <v>5</v>
      </c>
      <c r="G1107">
        <v>7</v>
      </c>
      <c r="H1107" t="str">
        <f>IF(Demographics[[#This Row],[DOB]]&gt;10000000, TEXT(Demographics[[#This Row],[DOB]],0),CONCATENATE("0",TEXT(Demographics[[#This Row],[DOB]],0)))</f>
        <v>21071988</v>
      </c>
      <c r="I1107" s="4">
        <f ca="1">IFERROR((VALUE(TODAY()-DATE(RIGHT(Demographics[[#This Row],[DOB - Fixed]],4),MID(Demographics[[#This Row],[DOB - Fixed]],3,2),LEFT(Demographics[[#This Row],[DOB - Fixed]],2))))/365,0)</f>
        <v>35.156164383561645</v>
      </c>
      <c r="J1107">
        <f>VLOOKUP(Demographics[[#This Row],[INCOME LEVEL]],Income[],4,FALSE)</f>
        <v>697.5</v>
      </c>
      <c r="K1107">
        <f>IFERROR(Demographics[[#This Row],[Total monthly income]]/Demographics[[#This Row],[FAMILY SIZE]], 0)</f>
        <v>116.25</v>
      </c>
    </row>
    <row r="1108" spans="1:11" x14ac:dyDescent="0.2">
      <c r="A1108">
        <v>2194347</v>
      </c>
      <c r="B1108">
        <v>18071988</v>
      </c>
      <c r="C1108">
        <v>5</v>
      </c>
      <c r="D1108">
        <v>1</v>
      </c>
      <c r="E1108">
        <v>1</v>
      </c>
      <c r="F1108">
        <v>9</v>
      </c>
      <c r="G1108">
        <v>3</v>
      </c>
      <c r="H1108" t="str">
        <f>IF(Demographics[[#This Row],[DOB]]&gt;10000000, TEXT(Demographics[[#This Row],[DOB]],0),CONCATENATE("0",TEXT(Demographics[[#This Row],[DOB]],0)))</f>
        <v>18071988</v>
      </c>
      <c r="I1108" s="4">
        <f ca="1">IFERROR((VALUE(TODAY()-DATE(RIGHT(Demographics[[#This Row],[DOB - Fixed]],4),MID(Demographics[[#This Row],[DOB - Fixed]],3,2),LEFT(Demographics[[#This Row],[DOB - Fixed]],2))))/365,0)</f>
        <v>35.164383561643838</v>
      </c>
      <c r="J1108">
        <f>VLOOKUP(Demographics[[#This Row],[INCOME LEVEL]],Income[],4,FALSE)</f>
        <v>175</v>
      </c>
      <c r="K1108">
        <f>IFERROR(Demographics[[#This Row],[Total monthly income]]/Demographics[[#This Row],[FAMILY SIZE]], 0)</f>
        <v>35</v>
      </c>
    </row>
    <row r="1109" spans="1:11" x14ac:dyDescent="0.2">
      <c r="A1109">
        <v>15876835</v>
      </c>
      <c r="B1109">
        <v>14071988</v>
      </c>
      <c r="C1109">
        <v>3</v>
      </c>
      <c r="D1109">
        <v>1</v>
      </c>
      <c r="E1109">
        <v>1</v>
      </c>
      <c r="F1109">
        <v>2</v>
      </c>
      <c r="G1109">
        <v>5</v>
      </c>
      <c r="H1109" t="str">
        <f>IF(Demographics[[#This Row],[DOB]]&gt;10000000, TEXT(Demographics[[#This Row],[DOB]],0),CONCATENATE("0",TEXT(Demographics[[#This Row],[DOB]],0)))</f>
        <v>14071988</v>
      </c>
      <c r="I1109" s="4">
        <f ca="1">IFERROR((VALUE(TODAY()-DATE(RIGHT(Demographics[[#This Row],[DOB - Fixed]],4),MID(Demographics[[#This Row],[DOB - Fixed]],3,2),LEFT(Demographics[[#This Row],[DOB - Fixed]],2))))/365,0)</f>
        <v>35.175342465753424</v>
      </c>
      <c r="J1109">
        <f>VLOOKUP(Demographics[[#This Row],[INCOME LEVEL]],Income[],4,FALSE)</f>
        <v>175</v>
      </c>
      <c r="K1109">
        <f>IFERROR(Demographics[[#This Row],[Total monthly income]]/Demographics[[#This Row],[FAMILY SIZE]], 0)</f>
        <v>58.333333333333336</v>
      </c>
    </row>
    <row r="1110" spans="1:11" x14ac:dyDescent="0.2">
      <c r="A1110">
        <v>5933567</v>
      </c>
      <c r="B1110">
        <v>28071988</v>
      </c>
      <c r="C1110">
        <v>6</v>
      </c>
      <c r="D1110">
        <v>1</v>
      </c>
      <c r="E1110">
        <v>1</v>
      </c>
      <c r="F1110">
        <v>0</v>
      </c>
      <c r="G1110">
        <v>10</v>
      </c>
      <c r="H1110" t="str">
        <f>IF(Demographics[[#This Row],[DOB]]&gt;10000000, TEXT(Demographics[[#This Row],[DOB]],0),CONCATENATE("0",TEXT(Demographics[[#This Row],[DOB]],0)))</f>
        <v>28071988</v>
      </c>
      <c r="I1110" s="4">
        <f ca="1">IFERROR((VALUE(TODAY()-DATE(RIGHT(Demographics[[#This Row],[DOB - Fixed]],4),MID(Demographics[[#This Row],[DOB - Fixed]],3,2),LEFT(Demographics[[#This Row],[DOB - Fixed]],2))))/365,0)</f>
        <v>35.136986301369866</v>
      </c>
      <c r="J1110">
        <f>VLOOKUP(Demographics[[#This Row],[INCOME LEVEL]],Income[],4,FALSE)</f>
        <v>175</v>
      </c>
      <c r="K1110">
        <f>IFERROR(Demographics[[#This Row],[Total monthly income]]/Demographics[[#This Row],[FAMILY SIZE]], 0)</f>
        <v>29.166666666666668</v>
      </c>
    </row>
    <row r="1111" spans="1:11" x14ac:dyDescent="0.2">
      <c r="A1111">
        <v>18547067</v>
      </c>
      <c r="B1111">
        <v>26071988</v>
      </c>
      <c r="C1111">
        <v>6</v>
      </c>
      <c r="D1111">
        <v>1</v>
      </c>
      <c r="E1111">
        <v>2</v>
      </c>
      <c r="F1111">
        <v>5</v>
      </c>
      <c r="G1111">
        <v>4</v>
      </c>
      <c r="H1111" t="str">
        <f>IF(Demographics[[#This Row],[DOB]]&gt;10000000, TEXT(Demographics[[#This Row],[DOB]],0),CONCATENATE("0",TEXT(Demographics[[#This Row],[DOB]],0)))</f>
        <v>26071988</v>
      </c>
      <c r="I1111" s="4">
        <f ca="1">IFERROR((VALUE(TODAY()-DATE(RIGHT(Demographics[[#This Row],[DOB - Fixed]],4),MID(Demographics[[#This Row],[DOB - Fixed]],3,2),LEFT(Demographics[[#This Row],[DOB - Fixed]],2))))/365,0)</f>
        <v>35.142465753424659</v>
      </c>
      <c r="J1111">
        <f>VLOOKUP(Demographics[[#This Row],[INCOME LEVEL]],Income[],4,FALSE)</f>
        <v>697.5</v>
      </c>
      <c r="K1111">
        <f>IFERROR(Demographics[[#This Row],[Total monthly income]]/Demographics[[#This Row],[FAMILY SIZE]], 0)</f>
        <v>116.25</v>
      </c>
    </row>
    <row r="1112" spans="1:11" x14ac:dyDescent="0.2">
      <c r="A1112">
        <v>24236811</v>
      </c>
      <c r="B1112">
        <v>29071988</v>
      </c>
      <c r="C1112">
        <v>3</v>
      </c>
      <c r="D1112">
        <v>1</v>
      </c>
      <c r="E1112">
        <v>1</v>
      </c>
      <c r="F1112">
        <v>2</v>
      </c>
      <c r="G1112">
        <v>2</v>
      </c>
      <c r="H1112" t="str">
        <f>IF(Demographics[[#This Row],[DOB]]&gt;10000000, TEXT(Demographics[[#This Row],[DOB]],0),CONCATENATE("0",TEXT(Demographics[[#This Row],[DOB]],0)))</f>
        <v>29071988</v>
      </c>
      <c r="I1112" s="4">
        <f ca="1">IFERROR((VALUE(TODAY()-DATE(RIGHT(Demographics[[#This Row],[DOB - Fixed]],4),MID(Demographics[[#This Row],[DOB - Fixed]],3,2),LEFT(Demographics[[#This Row],[DOB - Fixed]],2))))/365,0)</f>
        <v>35.134246575342466</v>
      </c>
      <c r="J1112">
        <f>VLOOKUP(Demographics[[#This Row],[INCOME LEVEL]],Income[],4,FALSE)</f>
        <v>175</v>
      </c>
      <c r="K1112">
        <f>IFERROR(Demographics[[#This Row],[Total monthly income]]/Demographics[[#This Row],[FAMILY SIZE]], 0)</f>
        <v>58.333333333333336</v>
      </c>
    </row>
    <row r="1113" spans="1:11" x14ac:dyDescent="0.2">
      <c r="A1113">
        <v>24135630</v>
      </c>
      <c r="B1113">
        <v>20071988</v>
      </c>
      <c r="C1113">
        <v>5</v>
      </c>
      <c r="D1113">
        <v>1</v>
      </c>
      <c r="E1113">
        <v>1</v>
      </c>
      <c r="F1113">
        <v>4</v>
      </c>
      <c r="G1113">
        <v>2</v>
      </c>
      <c r="H1113" t="str">
        <f>IF(Demographics[[#This Row],[DOB]]&gt;10000000, TEXT(Demographics[[#This Row],[DOB]],0),CONCATENATE("0",TEXT(Demographics[[#This Row],[DOB]],0)))</f>
        <v>20071988</v>
      </c>
      <c r="I1113" s="4">
        <f ca="1">IFERROR((VALUE(TODAY()-DATE(RIGHT(Demographics[[#This Row],[DOB - Fixed]],4),MID(Demographics[[#This Row],[DOB - Fixed]],3,2),LEFT(Demographics[[#This Row],[DOB - Fixed]],2))))/365,0)</f>
        <v>35.158904109589038</v>
      </c>
      <c r="J1113">
        <f>VLOOKUP(Demographics[[#This Row],[INCOME LEVEL]],Income[],4,FALSE)</f>
        <v>175</v>
      </c>
      <c r="K1113">
        <f>IFERROR(Demographics[[#This Row],[Total monthly income]]/Demographics[[#This Row],[FAMILY SIZE]], 0)</f>
        <v>35</v>
      </c>
    </row>
    <row r="1114" spans="1:11" x14ac:dyDescent="0.2">
      <c r="A1114">
        <v>1806217</v>
      </c>
      <c r="B1114">
        <v>29071988</v>
      </c>
      <c r="C1114">
        <v>4</v>
      </c>
      <c r="D1114">
        <v>1</v>
      </c>
      <c r="E1114">
        <v>2</v>
      </c>
      <c r="F1114">
        <v>8</v>
      </c>
      <c r="G1114">
        <v>5</v>
      </c>
      <c r="H1114" t="str">
        <f>IF(Demographics[[#This Row],[DOB]]&gt;10000000, TEXT(Demographics[[#This Row],[DOB]],0),CONCATENATE("0",TEXT(Demographics[[#This Row],[DOB]],0)))</f>
        <v>29071988</v>
      </c>
      <c r="I1114" s="4">
        <f ca="1">IFERROR((VALUE(TODAY()-DATE(RIGHT(Demographics[[#This Row],[DOB - Fixed]],4),MID(Demographics[[#This Row],[DOB - Fixed]],3,2),LEFT(Demographics[[#This Row],[DOB - Fixed]],2))))/365,0)</f>
        <v>35.134246575342466</v>
      </c>
      <c r="J1114">
        <f>VLOOKUP(Demographics[[#This Row],[INCOME LEVEL]],Income[],4,FALSE)</f>
        <v>697.5</v>
      </c>
      <c r="K1114">
        <f>IFERROR(Demographics[[#This Row],[Total monthly income]]/Demographics[[#This Row],[FAMILY SIZE]], 0)</f>
        <v>174.375</v>
      </c>
    </row>
    <row r="1115" spans="1:11" x14ac:dyDescent="0.2">
      <c r="A1115">
        <v>3611203</v>
      </c>
      <c r="B1115">
        <v>24071988</v>
      </c>
      <c r="C1115">
        <v>5</v>
      </c>
      <c r="D1115">
        <v>1</v>
      </c>
      <c r="E1115">
        <v>1</v>
      </c>
      <c r="F1115">
        <v>5</v>
      </c>
      <c r="G1115">
        <v>4</v>
      </c>
      <c r="H1115" t="str">
        <f>IF(Demographics[[#This Row],[DOB]]&gt;10000000, TEXT(Demographics[[#This Row],[DOB]],0),CONCATENATE("0",TEXT(Demographics[[#This Row],[DOB]],0)))</f>
        <v>24071988</v>
      </c>
      <c r="I1115" s="4">
        <f ca="1">IFERROR((VALUE(TODAY()-DATE(RIGHT(Demographics[[#This Row],[DOB - Fixed]],4),MID(Demographics[[#This Row],[DOB - Fixed]],3,2),LEFT(Demographics[[#This Row],[DOB - Fixed]],2))))/365,0)</f>
        <v>35.147945205479452</v>
      </c>
      <c r="J1115">
        <f>VLOOKUP(Demographics[[#This Row],[INCOME LEVEL]],Income[],4,FALSE)</f>
        <v>175</v>
      </c>
      <c r="K1115">
        <f>IFERROR(Demographics[[#This Row],[Total monthly income]]/Demographics[[#This Row],[FAMILY SIZE]], 0)</f>
        <v>35</v>
      </c>
    </row>
    <row r="1116" spans="1:11" x14ac:dyDescent="0.2">
      <c r="A1116">
        <v>940023</v>
      </c>
      <c r="B1116">
        <v>20071988</v>
      </c>
      <c r="C1116">
        <v>4</v>
      </c>
      <c r="D1116">
        <v>1</v>
      </c>
      <c r="E1116">
        <v>1</v>
      </c>
      <c r="F1116">
        <v>4</v>
      </c>
      <c r="G1116">
        <v>5</v>
      </c>
      <c r="H1116" t="str">
        <f>IF(Demographics[[#This Row],[DOB]]&gt;10000000, TEXT(Demographics[[#This Row],[DOB]],0),CONCATENATE("0",TEXT(Demographics[[#This Row],[DOB]],0)))</f>
        <v>20071988</v>
      </c>
      <c r="I1116" s="4">
        <f ca="1">IFERROR((VALUE(TODAY()-DATE(RIGHT(Demographics[[#This Row],[DOB - Fixed]],4),MID(Demographics[[#This Row],[DOB - Fixed]],3,2),LEFT(Demographics[[#This Row],[DOB - Fixed]],2))))/365,0)</f>
        <v>35.158904109589038</v>
      </c>
      <c r="J1116">
        <f>VLOOKUP(Demographics[[#This Row],[INCOME LEVEL]],Income[],4,FALSE)</f>
        <v>175</v>
      </c>
      <c r="K1116">
        <f>IFERROR(Demographics[[#This Row],[Total monthly income]]/Demographics[[#This Row],[FAMILY SIZE]], 0)</f>
        <v>43.75</v>
      </c>
    </row>
    <row r="1117" spans="1:11" x14ac:dyDescent="0.2">
      <c r="A1117">
        <v>15691656</v>
      </c>
      <c r="B1117">
        <v>28071988</v>
      </c>
      <c r="C1117">
        <v>0</v>
      </c>
      <c r="D1117">
        <v>0</v>
      </c>
      <c r="E1117">
        <v>1</v>
      </c>
      <c r="F1117">
        <v>0</v>
      </c>
      <c r="G1117">
        <v>0</v>
      </c>
      <c r="H1117" t="str">
        <f>IF(Demographics[[#This Row],[DOB]]&gt;10000000, TEXT(Demographics[[#This Row],[DOB]],0),CONCATENATE("0",TEXT(Demographics[[#This Row],[DOB]],0)))</f>
        <v>28071988</v>
      </c>
      <c r="I1117" s="4">
        <f ca="1">IFERROR((VALUE(TODAY()-DATE(RIGHT(Demographics[[#This Row],[DOB - Fixed]],4),MID(Demographics[[#This Row],[DOB - Fixed]],3,2),LEFT(Demographics[[#This Row],[DOB - Fixed]],2))))/365,0)</f>
        <v>35.136986301369866</v>
      </c>
      <c r="J1117">
        <f>VLOOKUP(Demographics[[#This Row],[INCOME LEVEL]],Income[],4,FALSE)</f>
        <v>175</v>
      </c>
      <c r="K1117">
        <f>IFERROR(Demographics[[#This Row],[Total monthly income]]/Demographics[[#This Row],[FAMILY SIZE]], 0)</f>
        <v>0</v>
      </c>
    </row>
    <row r="1118" spans="1:11" x14ac:dyDescent="0.2">
      <c r="A1118">
        <v>1474049</v>
      </c>
      <c r="B1118">
        <v>4081988</v>
      </c>
      <c r="C1118">
        <v>2</v>
      </c>
      <c r="D1118">
        <v>1</v>
      </c>
      <c r="E1118">
        <v>2</v>
      </c>
      <c r="F1118">
        <v>9</v>
      </c>
      <c r="G1118">
        <v>9</v>
      </c>
      <c r="H1118" t="str">
        <f>IF(Demographics[[#This Row],[DOB]]&gt;10000000, TEXT(Demographics[[#This Row],[DOB]],0),CONCATENATE("0",TEXT(Demographics[[#This Row],[DOB]],0)))</f>
        <v>04081988</v>
      </c>
      <c r="I1118" s="4">
        <f ca="1">IFERROR((VALUE(TODAY()-DATE(RIGHT(Demographics[[#This Row],[DOB - Fixed]],4),MID(Demographics[[#This Row],[DOB - Fixed]],3,2),LEFT(Demographics[[#This Row],[DOB - Fixed]],2))))/365,0)</f>
        <v>35.11780821917808</v>
      </c>
      <c r="J1118">
        <f>VLOOKUP(Demographics[[#This Row],[INCOME LEVEL]],Income[],4,FALSE)</f>
        <v>697.5</v>
      </c>
      <c r="K1118">
        <f>IFERROR(Demographics[[#This Row],[Total monthly income]]/Demographics[[#This Row],[FAMILY SIZE]], 0)</f>
        <v>348.75</v>
      </c>
    </row>
    <row r="1119" spans="1:11" x14ac:dyDescent="0.2">
      <c r="A1119">
        <v>22101242</v>
      </c>
      <c r="B1119">
        <v>25011988</v>
      </c>
      <c r="C1119">
        <v>7</v>
      </c>
      <c r="D1119">
        <v>1</v>
      </c>
      <c r="E1119">
        <v>2</v>
      </c>
      <c r="F1119">
        <v>9</v>
      </c>
      <c r="G1119">
        <v>8</v>
      </c>
      <c r="H1119" t="str">
        <f>IF(Demographics[[#This Row],[DOB]]&gt;10000000, TEXT(Demographics[[#This Row],[DOB]],0),CONCATENATE("0",TEXT(Demographics[[#This Row],[DOB]],0)))</f>
        <v>25011988</v>
      </c>
      <c r="I1119" s="4">
        <f ca="1">IFERROR((VALUE(TODAY()-DATE(RIGHT(Demographics[[#This Row],[DOB - Fixed]],4),MID(Demographics[[#This Row],[DOB - Fixed]],3,2),LEFT(Demographics[[#This Row],[DOB - Fixed]],2))))/365,0)</f>
        <v>35.643835616438359</v>
      </c>
      <c r="J1119">
        <f>VLOOKUP(Demographics[[#This Row],[INCOME LEVEL]],Income[],4,FALSE)</f>
        <v>697.5</v>
      </c>
      <c r="K1119">
        <f>IFERROR(Demographics[[#This Row],[Total monthly income]]/Demographics[[#This Row],[FAMILY SIZE]], 0)</f>
        <v>99.642857142857139</v>
      </c>
    </row>
    <row r="1120" spans="1:11" x14ac:dyDescent="0.2">
      <c r="A1120">
        <v>12054675</v>
      </c>
      <c r="B1120">
        <v>31071988</v>
      </c>
      <c r="C1120">
        <v>8</v>
      </c>
      <c r="D1120">
        <v>2</v>
      </c>
      <c r="E1120">
        <v>1</v>
      </c>
      <c r="F1120">
        <v>4</v>
      </c>
      <c r="G1120">
        <v>5</v>
      </c>
      <c r="H1120" t="str">
        <f>IF(Demographics[[#This Row],[DOB]]&gt;10000000, TEXT(Demographics[[#This Row],[DOB]],0),CONCATENATE("0",TEXT(Demographics[[#This Row],[DOB]],0)))</f>
        <v>31071988</v>
      </c>
      <c r="I1120" s="4">
        <f ca="1">IFERROR((VALUE(TODAY()-DATE(RIGHT(Demographics[[#This Row],[DOB - Fixed]],4),MID(Demographics[[#This Row],[DOB - Fixed]],3,2),LEFT(Demographics[[#This Row],[DOB - Fixed]],2))))/365,0)</f>
        <v>35.128767123287673</v>
      </c>
      <c r="J1120">
        <f>VLOOKUP(Demographics[[#This Row],[INCOME LEVEL]],Income[],4,FALSE)</f>
        <v>175</v>
      </c>
      <c r="K1120">
        <f>IFERROR(Demographics[[#This Row],[Total monthly income]]/Demographics[[#This Row],[FAMILY SIZE]], 0)</f>
        <v>21.875</v>
      </c>
    </row>
    <row r="1121" spans="1:11" x14ac:dyDescent="0.2">
      <c r="A1121">
        <v>3076954</v>
      </c>
      <c r="B1121">
        <v>3081988</v>
      </c>
      <c r="C1121">
        <v>4</v>
      </c>
      <c r="D1121">
        <v>1</v>
      </c>
      <c r="E1121">
        <v>1</v>
      </c>
      <c r="F1121">
        <v>5</v>
      </c>
      <c r="G1121">
        <v>5</v>
      </c>
      <c r="H1121" t="str">
        <f>IF(Demographics[[#This Row],[DOB]]&gt;10000000, TEXT(Demographics[[#This Row],[DOB]],0),CONCATENATE("0",TEXT(Demographics[[#This Row],[DOB]],0)))</f>
        <v>03081988</v>
      </c>
      <c r="I1121" s="4">
        <f ca="1">IFERROR((VALUE(TODAY()-DATE(RIGHT(Demographics[[#This Row],[DOB - Fixed]],4),MID(Demographics[[#This Row],[DOB - Fixed]],3,2),LEFT(Demographics[[#This Row],[DOB - Fixed]],2))))/365,0)</f>
        <v>35.12054794520548</v>
      </c>
      <c r="J1121">
        <f>VLOOKUP(Demographics[[#This Row],[INCOME LEVEL]],Income[],4,FALSE)</f>
        <v>175</v>
      </c>
      <c r="K1121">
        <f>IFERROR(Demographics[[#This Row],[Total monthly income]]/Demographics[[#This Row],[FAMILY SIZE]], 0)</f>
        <v>43.75</v>
      </c>
    </row>
    <row r="1122" spans="1:11" x14ac:dyDescent="0.2">
      <c r="A1122">
        <v>21133518</v>
      </c>
      <c r="B1122">
        <v>23071988</v>
      </c>
      <c r="C1122">
        <v>4</v>
      </c>
      <c r="D1122">
        <v>1</v>
      </c>
      <c r="E1122">
        <v>1</v>
      </c>
      <c r="F1122">
        <v>4</v>
      </c>
      <c r="G1122">
        <v>2</v>
      </c>
      <c r="H1122" t="str">
        <f>IF(Demographics[[#This Row],[DOB]]&gt;10000000, TEXT(Demographics[[#This Row],[DOB]],0),CONCATENATE("0",TEXT(Demographics[[#This Row],[DOB]],0)))</f>
        <v>23071988</v>
      </c>
      <c r="I1122" s="4">
        <f ca="1">IFERROR((VALUE(TODAY()-DATE(RIGHT(Demographics[[#This Row],[DOB - Fixed]],4),MID(Demographics[[#This Row],[DOB - Fixed]],3,2),LEFT(Demographics[[#This Row],[DOB - Fixed]],2))))/365,0)</f>
        <v>35.150684931506852</v>
      </c>
      <c r="J1122">
        <f>VLOOKUP(Demographics[[#This Row],[INCOME LEVEL]],Income[],4,FALSE)</f>
        <v>175</v>
      </c>
      <c r="K1122">
        <f>IFERROR(Demographics[[#This Row],[Total monthly income]]/Demographics[[#This Row],[FAMILY SIZE]], 0)</f>
        <v>43.75</v>
      </c>
    </row>
    <row r="1123" spans="1:11" x14ac:dyDescent="0.2">
      <c r="A1123">
        <v>9817387</v>
      </c>
      <c r="B1123">
        <v>25071988</v>
      </c>
      <c r="C1123">
        <v>4</v>
      </c>
      <c r="D1123">
        <v>2</v>
      </c>
      <c r="E1123">
        <v>2</v>
      </c>
      <c r="F1123">
        <v>7</v>
      </c>
      <c r="G1123">
        <v>7</v>
      </c>
      <c r="H1123" t="str">
        <f>IF(Demographics[[#This Row],[DOB]]&gt;10000000, TEXT(Demographics[[#This Row],[DOB]],0),CONCATENATE("0",TEXT(Demographics[[#This Row],[DOB]],0)))</f>
        <v>25071988</v>
      </c>
      <c r="I1123" s="4">
        <f ca="1">IFERROR((VALUE(TODAY()-DATE(RIGHT(Demographics[[#This Row],[DOB - Fixed]],4),MID(Demographics[[#This Row],[DOB - Fixed]],3,2),LEFT(Demographics[[#This Row],[DOB - Fixed]],2))))/365,0)</f>
        <v>35.145205479452052</v>
      </c>
      <c r="J1123">
        <f>VLOOKUP(Demographics[[#This Row],[INCOME LEVEL]],Income[],4,FALSE)</f>
        <v>697.5</v>
      </c>
      <c r="K1123">
        <f>IFERROR(Demographics[[#This Row],[Total monthly income]]/Demographics[[#This Row],[FAMILY SIZE]], 0)</f>
        <v>174.375</v>
      </c>
    </row>
    <row r="1124" spans="1:11" x14ac:dyDescent="0.2">
      <c r="A1124">
        <v>16860551</v>
      </c>
      <c r="B1124">
        <v>4071988</v>
      </c>
      <c r="C1124">
        <v>3</v>
      </c>
      <c r="D1124">
        <v>1</v>
      </c>
      <c r="E1124">
        <v>1</v>
      </c>
      <c r="F1124">
        <v>10</v>
      </c>
      <c r="G1124">
        <v>5</v>
      </c>
      <c r="H1124" t="str">
        <f>IF(Demographics[[#This Row],[DOB]]&gt;10000000, TEXT(Demographics[[#This Row],[DOB]],0),CONCATENATE("0",TEXT(Demographics[[#This Row],[DOB]],0)))</f>
        <v>04071988</v>
      </c>
      <c r="I1124" s="4">
        <f ca="1">IFERROR((VALUE(TODAY()-DATE(RIGHT(Demographics[[#This Row],[DOB - Fixed]],4),MID(Demographics[[#This Row],[DOB - Fixed]],3,2),LEFT(Demographics[[#This Row],[DOB - Fixed]],2))))/365,0)</f>
        <v>35.202739726027396</v>
      </c>
      <c r="J1124">
        <f>VLOOKUP(Demographics[[#This Row],[INCOME LEVEL]],Income[],4,FALSE)</f>
        <v>175</v>
      </c>
      <c r="K1124">
        <f>IFERROR(Demographics[[#This Row],[Total monthly income]]/Demographics[[#This Row],[FAMILY SIZE]], 0)</f>
        <v>58.333333333333336</v>
      </c>
    </row>
    <row r="1125" spans="1:11" x14ac:dyDescent="0.2">
      <c r="A1125">
        <v>2976188</v>
      </c>
      <c r="B1125">
        <v>5081988</v>
      </c>
      <c r="C1125">
        <v>4</v>
      </c>
      <c r="D1125">
        <v>1</v>
      </c>
      <c r="E1125">
        <v>1</v>
      </c>
      <c r="F1125">
        <v>5</v>
      </c>
      <c r="G1125">
        <v>4</v>
      </c>
      <c r="H1125" t="str">
        <f>IF(Demographics[[#This Row],[DOB]]&gt;10000000, TEXT(Demographics[[#This Row],[DOB]],0),CONCATENATE("0",TEXT(Demographics[[#This Row],[DOB]],0)))</f>
        <v>05081988</v>
      </c>
      <c r="I1125" s="4">
        <f ca="1">IFERROR((VALUE(TODAY()-DATE(RIGHT(Demographics[[#This Row],[DOB - Fixed]],4),MID(Demographics[[#This Row],[DOB - Fixed]],3,2),LEFT(Demographics[[#This Row],[DOB - Fixed]],2))))/365,0)</f>
        <v>35.115068493150687</v>
      </c>
      <c r="J1125">
        <f>VLOOKUP(Demographics[[#This Row],[INCOME LEVEL]],Income[],4,FALSE)</f>
        <v>175</v>
      </c>
      <c r="K1125">
        <f>IFERROR(Demographics[[#This Row],[Total monthly income]]/Demographics[[#This Row],[FAMILY SIZE]], 0)</f>
        <v>43.75</v>
      </c>
    </row>
    <row r="1126" spans="1:11" x14ac:dyDescent="0.2">
      <c r="A1126">
        <v>305114</v>
      </c>
      <c r="B1126">
        <v>10081988</v>
      </c>
      <c r="C1126">
        <v>7</v>
      </c>
      <c r="D1126">
        <v>2</v>
      </c>
      <c r="E1126">
        <v>1</v>
      </c>
      <c r="F1126">
        <v>5</v>
      </c>
      <c r="G1126">
        <v>9</v>
      </c>
      <c r="H1126" t="str">
        <f>IF(Demographics[[#This Row],[DOB]]&gt;10000000, TEXT(Demographics[[#This Row],[DOB]],0),CONCATENATE("0",TEXT(Demographics[[#This Row],[DOB]],0)))</f>
        <v>10081988</v>
      </c>
      <c r="I1126" s="4">
        <f ca="1">IFERROR((VALUE(TODAY()-DATE(RIGHT(Demographics[[#This Row],[DOB - Fixed]],4),MID(Demographics[[#This Row],[DOB - Fixed]],3,2),LEFT(Demographics[[#This Row],[DOB - Fixed]],2))))/365,0)</f>
        <v>35.101369863013701</v>
      </c>
      <c r="J1126">
        <f>VLOOKUP(Demographics[[#This Row],[INCOME LEVEL]],Income[],4,FALSE)</f>
        <v>175</v>
      </c>
      <c r="K1126">
        <f>IFERROR(Demographics[[#This Row],[Total monthly income]]/Demographics[[#This Row],[FAMILY SIZE]], 0)</f>
        <v>25</v>
      </c>
    </row>
    <row r="1127" spans="1:11" x14ac:dyDescent="0.2">
      <c r="A1127">
        <v>8416929</v>
      </c>
      <c r="B1127">
        <v>12081988</v>
      </c>
      <c r="C1127">
        <v>4</v>
      </c>
      <c r="D1127">
        <v>1</v>
      </c>
      <c r="E1127">
        <v>3</v>
      </c>
      <c r="F1127">
        <v>9</v>
      </c>
      <c r="G1127">
        <v>5</v>
      </c>
      <c r="H1127" t="str">
        <f>IF(Demographics[[#This Row],[DOB]]&gt;10000000, TEXT(Demographics[[#This Row],[DOB]],0),CONCATENATE("0",TEXT(Demographics[[#This Row],[DOB]],0)))</f>
        <v>12081988</v>
      </c>
      <c r="I1127" s="4">
        <f ca="1">IFERROR((VALUE(TODAY()-DATE(RIGHT(Demographics[[#This Row],[DOB - Fixed]],4),MID(Demographics[[#This Row],[DOB - Fixed]],3,2),LEFT(Demographics[[#This Row],[DOB - Fixed]],2))))/365,0)</f>
        <v>35.095890410958901</v>
      </c>
      <c r="J1127">
        <f>VLOOKUP(Demographics[[#This Row],[INCOME LEVEL]],Income[],4,FALSE)</f>
        <v>1397.5</v>
      </c>
      <c r="K1127">
        <f>IFERROR(Demographics[[#This Row],[Total monthly income]]/Demographics[[#This Row],[FAMILY SIZE]], 0)</f>
        <v>349.375</v>
      </c>
    </row>
    <row r="1128" spans="1:11" x14ac:dyDescent="0.2">
      <c r="A1128">
        <v>19964991</v>
      </c>
      <c r="B1128">
        <v>27081987</v>
      </c>
      <c r="C1128">
        <v>2</v>
      </c>
      <c r="D1128">
        <v>1</v>
      </c>
      <c r="E1128">
        <v>1</v>
      </c>
      <c r="F1128">
        <v>5</v>
      </c>
      <c r="G1128">
        <v>4</v>
      </c>
      <c r="H1128" t="str">
        <f>IF(Demographics[[#This Row],[DOB]]&gt;10000000, TEXT(Demographics[[#This Row],[DOB]],0),CONCATENATE("0",TEXT(Demographics[[#This Row],[DOB]],0)))</f>
        <v>27081987</v>
      </c>
      <c r="I1128" s="4">
        <f ca="1">IFERROR((VALUE(TODAY()-DATE(RIGHT(Demographics[[#This Row],[DOB - Fixed]],4),MID(Demographics[[#This Row],[DOB - Fixed]],3,2),LEFT(Demographics[[#This Row],[DOB - Fixed]],2))))/365,0)</f>
        <v>36.057534246575344</v>
      </c>
      <c r="J1128">
        <f>VLOOKUP(Demographics[[#This Row],[INCOME LEVEL]],Income[],4,FALSE)</f>
        <v>175</v>
      </c>
      <c r="K1128">
        <f>IFERROR(Demographics[[#This Row],[Total monthly income]]/Demographics[[#This Row],[FAMILY SIZE]], 0)</f>
        <v>87.5</v>
      </c>
    </row>
    <row r="1129" spans="1:11" x14ac:dyDescent="0.2">
      <c r="A1129">
        <v>21566881</v>
      </c>
      <c r="B1129">
        <v>5081988</v>
      </c>
      <c r="C1129">
        <v>4</v>
      </c>
      <c r="D1129">
        <v>1</v>
      </c>
      <c r="E1129">
        <v>1</v>
      </c>
      <c r="F1129">
        <v>4</v>
      </c>
      <c r="G1129">
        <v>5</v>
      </c>
      <c r="H1129" t="str">
        <f>IF(Demographics[[#This Row],[DOB]]&gt;10000000, TEXT(Demographics[[#This Row],[DOB]],0),CONCATENATE("0",TEXT(Demographics[[#This Row],[DOB]],0)))</f>
        <v>05081988</v>
      </c>
      <c r="I1129" s="4">
        <f ca="1">IFERROR((VALUE(TODAY()-DATE(RIGHT(Demographics[[#This Row],[DOB - Fixed]],4),MID(Demographics[[#This Row],[DOB - Fixed]],3,2),LEFT(Demographics[[#This Row],[DOB - Fixed]],2))))/365,0)</f>
        <v>35.115068493150687</v>
      </c>
      <c r="J1129">
        <f>VLOOKUP(Demographics[[#This Row],[INCOME LEVEL]],Income[],4,FALSE)</f>
        <v>175</v>
      </c>
      <c r="K1129">
        <f>IFERROR(Demographics[[#This Row],[Total monthly income]]/Demographics[[#This Row],[FAMILY SIZE]], 0)</f>
        <v>43.75</v>
      </c>
    </row>
    <row r="1130" spans="1:11" x14ac:dyDescent="0.2">
      <c r="A1130">
        <v>10986389</v>
      </c>
      <c r="B1130">
        <v>10081988</v>
      </c>
      <c r="C1130">
        <v>4</v>
      </c>
      <c r="D1130">
        <v>0</v>
      </c>
      <c r="E1130">
        <v>1</v>
      </c>
      <c r="F1130">
        <v>5</v>
      </c>
      <c r="G1130">
        <v>5</v>
      </c>
      <c r="H1130" t="str">
        <f>IF(Demographics[[#This Row],[DOB]]&gt;10000000, TEXT(Demographics[[#This Row],[DOB]],0),CONCATENATE("0",TEXT(Demographics[[#This Row],[DOB]],0)))</f>
        <v>10081988</v>
      </c>
      <c r="I1130" s="4">
        <f ca="1">IFERROR((VALUE(TODAY()-DATE(RIGHT(Demographics[[#This Row],[DOB - Fixed]],4),MID(Demographics[[#This Row],[DOB - Fixed]],3,2),LEFT(Demographics[[#This Row],[DOB - Fixed]],2))))/365,0)</f>
        <v>35.101369863013701</v>
      </c>
      <c r="J1130">
        <f>VLOOKUP(Demographics[[#This Row],[INCOME LEVEL]],Income[],4,FALSE)</f>
        <v>175</v>
      </c>
      <c r="K1130">
        <f>IFERROR(Demographics[[#This Row],[Total monthly income]]/Demographics[[#This Row],[FAMILY SIZE]], 0)</f>
        <v>43.75</v>
      </c>
    </row>
    <row r="1131" spans="1:11" x14ac:dyDescent="0.2">
      <c r="A1131">
        <v>11420011</v>
      </c>
      <c r="B1131">
        <v>12081988</v>
      </c>
      <c r="C1131">
        <v>5</v>
      </c>
      <c r="D1131">
        <v>2</v>
      </c>
      <c r="E1131">
        <v>2</v>
      </c>
      <c r="F1131">
        <v>5</v>
      </c>
      <c r="G1131">
        <v>5</v>
      </c>
      <c r="H1131" t="str">
        <f>IF(Demographics[[#This Row],[DOB]]&gt;10000000, TEXT(Demographics[[#This Row],[DOB]],0),CONCATENATE("0",TEXT(Demographics[[#This Row],[DOB]],0)))</f>
        <v>12081988</v>
      </c>
      <c r="I1131" s="4">
        <f ca="1">IFERROR((VALUE(TODAY()-DATE(RIGHT(Demographics[[#This Row],[DOB - Fixed]],4),MID(Demographics[[#This Row],[DOB - Fixed]],3,2),LEFT(Demographics[[#This Row],[DOB - Fixed]],2))))/365,0)</f>
        <v>35.095890410958901</v>
      </c>
      <c r="J1131">
        <f>VLOOKUP(Demographics[[#This Row],[INCOME LEVEL]],Income[],4,FALSE)</f>
        <v>697.5</v>
      </c>
      <c r="K1131">
        <f>IFERROR(Demographics[[#This Row],[Total monthly income]]/Demographics[[#This Row],[FAMILY SIZE]], 0)</f>
        <v>139.5</v>
      </c>
    </row>
    <row r="1132" spans="1:11" x14ac:dyDescent="0.2">
      <c r="A1132">
        <v>2441888</v>
      </c>
      <c r="B1132">
        <v>16081988</v>
      </c>
      <c r="C1132">
        <v>6</v>
      </c>
      <c r="D1132">
        <v>2</v>
      </c>
      <c r="E1132">
        <v>6</v>
      </c>
      <c r="F1132">
        <v>8</v>
      </c>
      <c r="G1132">
        <v>8</v>
      </c>
      <c r="H1132" t="str">
        <f>IF(Demographics[[#This Row],[DOB]]&gt;10000000, TEXT(Demographics[[#This Row],[DOB]],0),CONCATENATE("0",TEXT(Demographics[[#This Row],[DOB]],0)))</f>
        <v>16081988</v>
      </c>
      <c r="I1132" s="4">
        <f ca="1">IFERROR((VALUE(TODAY()-DATE(RIGHT(Demographics[[#This Row],[DOB - Fixed]],4),MID(Demographics[[#This Row],[DOB - Fixed]],3,2),LEFT(Demographics[[#This Row],[DOB - Fixed]],2))))/365,0)</f>
        <v>35.084931506849315</v>
      </c>
      <c r="J1132">
        <f>VLOOKUP(Demographics[[#This Row],[INCOME LEVEL]],Income[],4,FALSE)</f>
        <v>4000</v>
      </c>
      <c r="K1132">
        <f>IFERROR(Demographics[[#This Row],[Total monthly income]]/Demographics[[#This Row],[FAMILY SIZE]], 0)</f>
        <v>666.66666666666663</v>
      </c>
    </row>
    <row r="1133" spans="1:11" x14ac:dyDescent="0.2">
      <c r="A1133">
        <v>10885710</v>
      </c>
      <c r="B1133">
        <v>16071988</v>
      </c>
      <c r="C1133">
        <v>2</v>
      </c>
      <c r="D1133">
        <v>0</v>
      </c>
      <c r="E1133">
        <v>1</v>
      </c>
      <c r="F1133">
        <v>0</v>
      </c>
      <c r="G1133">
        <v>4</v>
      </c>
      <c r="H1133" t="str">
        <f>IF(Demographics[[#This Row],[DOB]]&gt;10000000, TEXT(Demographics[[#This Row],[DOB]],0),CONCATENATE("0",TEXT(Demographics[[#This Row],[DOB]],0)))</f>
        <v>16071988</v>
      </c>
      <c r="I1133" s="4">
        <f ca="1">IFERROR((VALUE(TODAY()-DATE(RIGHT(Demographics[[#This Row],[DOB - Fixed]],4),MID(Demographics[[#This Row],[DOB - Fixed]],3,2),LEFT(Demographics[[#This Row],[DOB - Fixed]],2))))/365,0)</f>
        <v>35.169863013698631</v>
      </c>
      <c r="J1133">
        <f>VLOOKUP(Demographics[[#This Row],[INCOME LEVEL]],Income[],4,FALSE)</f>
        <v>175</v>
      </c>
      <c r="K1133">
        <f>IFERROR(Demographics[[#This Row],[Total monthly income]]/Demographics[[#This Row],[FAMILY SIZE]], 0)</f>
        <v>87.5</v>
      </c>
    </row>
    <row r="1134" spans="1:11" x14ac:dyDescent="0.2">
      <c r="A1134">
        <v>18996670</v>
      </c>
      <c r="B1134">
        <v>13081988</v>
      </c>
      <c r="C1134">
        <v>2</v>
      </c>
      <c r="D1134">
        <v>1</v>
      </c>
      <c r="E1134">
        <v>1</v>
      </c>
      <c r="F1134">
        <v>5</v>
      </c>
      <c r="G1134">
        <v>5</v>
      </c>
      <c r="H1134" t="str">
        <f>IF(Demographics[[#This Row],[DOB]]&gt;10000000, TEXT(Demographics[[#This Row],[DOB]],0),CONCATENATE("0",TEXT(Demographics[[#This Row],[DOB]],0)))</f>
        <v>13081988</v>
      </c>
      <c r="I1134" s="4">
        <f ca="1">IFERROR((VALUE(TODAY()-DATE(RIGHT(Demographics[[#This Row],[DOB - Fixed]],4),MID(Demographics[[#This Row],[DOB - Fixed]],3,2),LEFT(Demographics[[#This Row],[DOB - Fixed]],2))))/365,0)</f>
        <v>35.093150684931508</v>
      </c>
      <c r="J1134">
        <f>VLOOKUP(Demographics[[#This Row],[INCOME LEVEL]],Income[],4,FALSE)</f>
        <v>175</v>
      </c>
      <c r="K1134">
        <f>IFERROR(Demographics[[#This Row],[Total monthly income]]/Demographics[[#This Row],[FAMILY SIZE]], 0)</f>
        <v>87.5</v>
      </c>
    </row>
    <row r="1135" spans="1:11" x14ac:dyDescent="0.2">
      <c r="A1135">
        <v>23803475</v>
      </c>
      <c r="B1135">
        <v>25071988</v>
      </c>
      <c r="C1135">
        <v>4</v>
      </c>
      <c r="D1135">
        <v>1</v>
      </c>
      <c r="E1135">
        <v>1</v>
      </c>
      <c r="F1135">
        <v>2</v>
      </c>
      <c r="G1135">
        <v>4</v>
      </c>
      <c r="H1135" t="str">
        <f>IF(Demographics[[#This Row],[DOB]]&gt;10000000, TEXT(Demographics[[#This Row],[DOB]],0),CONCATENATE("0",TEXT(Demographics[[#This Row],[DOB]],0)))</f>
        <v>25071988</v>
      </c>
      <c r="I1135" s="4">
        <f ca="1">IFERROR((VALUE(TODAY()-DATE(RIGHT(Demographics[[#This Row],[DOB - Fixed]],4),MID(Demographics[[#This Row],[DOB - Fixed]],3,2),LEFT(Demographics[[#This Row],[DOB - Fixed]],2))))/365,0)</f>
        <v>35.145205479452052</v>
      </c>
      <c r="J1135">
        <f>VLOOKUP(Demographics[[#This Row],[INCOME LEVEL]],Income[],4,FALSE)</f>
        <v>175</v>
      </c>
      <c r="K1135">
        <f>IFERROR(Demographics[[#This Row],[Total monthly income]]/Demographics[[#This Row],[FAMILY SIZE]], 0)</f>
        <v>43.75</v>
      </c>
    </row>
    <row r="1136" spans="1:11" x14ac:dyDescent="0.2">
      <c r="A1136">
        <v>22735980</v>
      </c>
      <c r="B1136">
        <v>8081988</v>
      </c>
      <c r="C1136">
        <v>6</v>
      </c>
      <c r="D1136">
        <v>2</v>
      </c>
      <c r="E1136">
        <v>1</v>
      </c>
      <c r="F1136">
        <v>4</v>
      </c>
      <c r="G1136">
        <v>7</v>
      </c>
      <c r="H1136" t="str">
        <f>IF(Demographics[[#This Row],[DOB]]&gt;10000000, TEXT(Demographics[[#This Row],[DOB]],0),CONCATENATE("0",TEXT(Demographics[[#This Row],[DOB]],0)))</f>
        <v>08081988</v>
      </c>
      <c r="I1136" s="4">
        <f ca="1">IFERROR((VALUE(TODAY()-DATE(RIGHT(Demographics[[#This Row],[DOB - Fixed]],4),MID(Demographics[[#This Row],[DOB - Fixed]],3,2),LEFT(Demographics[[#This Row],[DOB - Fixed]],2))))/365,0)</f>
        <v>35.106849315068494</v>
      </c>
      <c r="J1136">
        <f>VLOOKUP(Demographics[[#This Row],[INCOME LEVEL]],Income[],4,FALSE)</f>
        <v>175</v>
      </c>
      <c r="K1136">
        <f>IFERROR(Demographics[[#This Row],[Total monthly income]]/Demographics[[#This Row],[FAMILY SIZE]], 0)</f>
        <v>29.166666666666668</v>
      </c>
    </row>
    <row r="1137" spans="1:11" x14ac:dyDescent="0.2">
      <c r="A1137">
        <v>23067872</v>
      </c>
      <c r="B1137">
        <v>2081988</v>
      </c>
      <c r="C1137">
        <v>4</v>
      </c>
      <c r="D1137">
        <v>1</v>
      </c>
      <c r="E1137">
        <v>1</v>
      </c>
      <c r="F1137">
        <v>5</v>
      </c>
      <c r="G1137">
        <v>5</v>
      </c>
      <c r="H1137" t="str">
        <f>IF(Demographics[[#This Row],[DOB]]&gt;10000000, TEXT(Demographics[[#This Row],[DOB]],0),CONCATENATE("0",TEXT(Demographics[[#This Row],[DOB]],0)))</f>
        <v>02081988</v>
      </c>
      <c r="I1137" s="4">
        <f ca="1">IFERROR((VALUE(TODAY()-DATE(RIGHT(Demographics[[#This Row],[DOB - Fixed]],4),MID(Demographics[[#This Row],[DOB - Fixed]],3,2),LEFT(Demographics[[#This Row],[DOB - Fixed]],2))))/365,0)</f>
        <v>35.123287671232873</v>
      </c>
      <c r="J1137">
        <f>VLOOKUP(Demographics[[#This Row],[INCOME LEVEL]],Income[],4,FALSE)</f>
        <v>175</v>
      </c>
      <c r="K1137">
        <f>IFERROR(Demographics[[#This Row],[Total monthly income]]/Demographics[[#This Row],[FAMILY SIZE]], 0)</f>
        <v>43.75</v>
      </c>
    </row>
    <row r="1138" spans="1:11" x14ac:dyDescent="0.2">
      <c r="A1138">
        <v>4577889</v>
      </c>
      <c r="B1138">
        <v>16081988</v>
      </c>
      <c r="C1138">
        <v>3</v>
      </c>
      <c r="D1138">
        <v>1</v>
      </c>
      <c r="E1138">
        <v>1</v>
      </c>
      <c r="F1138">
        <v>5</v>
      </c>
      <c r="G1138">
        <v>5</v>
      </c>
      <c r="H1138" t="str">
        <f>IF(Demographics[[#This Row],[DOB]]&gt;10000000, TEXT(Demographics[[#This Row],[DOB]],0),CONCATENATE("0",TEXT(Demographics[[#This Row],[DOB]],0)))</f>
        <v>16081988</v>
      </c>
      <c r="I1138" s="4">
        <f ca="1">IFERROR((VALUE(TODAY()-DATE(RIGHT(Demographics[[#This Row],[DOB - Fixed]],4),MID(Demographics[[#This Row],[DOB - Fixed]],3,2),LEFT(Demographics[[#This Row],[DOB - Fixed]],2))))/365,0)</f>
        <v>35.084931506849315</v>
      </c>
      <c r="J1138">
        <f>VLOOKUP(Demographics[[#This Row],[INCOME LEVEL]],Income[],4,FALSE)</f>
        <v>175</v>
      </c>
      <c r="K1138">
        <f>IFERROR(Demographics[[#This Row],[Total monthly income]]/Demographics[[#This Row],[FAMILY SIZE]], 0)</f>
        <v>58.333333333333336</v>
      </c>
    </row>
    <row r="1139" spans="1:11" x14ac:dyDescent="0.2">
      <c r="A1139">
        <v>19329212</v>
      </c>
      <c r="B1139">
        <v>17081988</v>
      </c>
      <c r="C1139">
        <v>3</v>
      </c>
      <c r="D1139">
        <v>2</v>
      </c>
      <c r="E1139">
        <v>1</v>
      </c>
      <c r="F1139">
        <v>5</v>
      </c>
      <c r="G1139">
        <v>5</v>
      </c>
      <c r="H1139" t="str">
        <f>IF(Demographics[[#This Row],[DOB]]&gt;10000000, TEXT(Demographics[[#This Row],[DOB]],0),CONCATENATE("0",TEXT(Demographics[[#This Row],[DOB]],0)))</f>
        <v>17081988</v>
      </c>
      <c r="I1139" s="4">
        <f ca="1">IFERROR((VALUE(TODAY()-DATE(RIGHT(Demographics[[#This Row],[DOB - Fixed]],4),MID(Demographics[[#This Row],[DOB - Fixed]],3,2),LEFT(Demographics[[#This Row],[DOB - Fixed]],2))))/365,0)</f>
        <v>35.082191780821915</v>
      </c>
      <c r="J1139">
        <f>VLOOKUP(Demographics[[#This Row],[INCOME LEVEL]],Income[],4,FALSE)</f>
        <v>175</v>
      </c>
      <c r="K1139">
        <f>IFERROR(Demographics[[#This Row],[Total monthly income]]/Demographics[[#This Row],[FAMILY SIZE]], 0)</f>
        <v>58.333333333333336</v>
      </c>
    </row>
    <row r="1140" spans="1:11" x14ac:dyDescent="0.2">
      <c r="A1140">
        <v>10351418</v>
      </c>
      <c r="B1140">
        <v>11081988</v>
      </c>
      <c r="C1140">
        <v>2</v>
      </c>
      <c r="D1140">
        <v>1</v>
      </c>
      <c r="E1140">
        <v>2</v>
      </c>
      <c r="F1140">
        <v>5</v>
      </c>
      <c r="G1140">
        <v>9</v>
      </c>
      <c r="H1140" t="str">
        <f>IF(Demographics[[#This Row],[DOB]]&gt;10000000, TEXT(Demographics[[#This Row],[DOB]],0),CONCATENATE("0",TEXT(Demographics[[#This Row],[DOB]],0)))</f>
        <v>11081988</v>
      </c>
      <c r="I1140" s="4">
        <f ca="1">IFERROR((VALUE(TODAY()-DATE(RIGHT(Demographics[[#This Row],[DOB - Fixed]],4),MID(Demographics[[#This Row],[DOB - Fixed]],3,2),LEFT(Demographics[[#This Row],[DOB - Fixed]],2))))/365,0)</f>
        <v>35.098630136986301</v>
      </c>
      <c r="J1140">
        <f>VLOOKUP(Demographics[[#This Row],[INCOME LEVEL]],Income[],4,FALSE)</f>
        <v>697.5</v>
      </c>
      <c r="K1140">
        <f>IFERROR(Demographics[[#This Row],[Total monthly income]]/Demographics[[#This Row],[FAMILY SIZE]], 0)</f>
        <v>348.75</v>
      </c>
    </row>
    <row r="1141" spans="1:11" x14ac:dyDescent="0.2">
      <c r="A1141">
        <v>18794864</v>
      </c>
      <c r="B1141">
        <v>7081988</v>
      </c>
      <c r="C1141">
        <v>5</v>
      </c>
      <c r="D1141">
        <v>1</v>
      </c>
      <c r="E1141">
        <v>1</v>
      </c>
      <c r="F1141">
        <v>4</v>
      </c>
      <c r="G1141">
        <v>2</v>
      </c>
      <c r="H1141" t="str">
        <f>IF(Demographics[[#This Row],[DOB]]&gt;10000000, TEXT(Demographics[[#This Row],[DOB]],0),CONCATENATE("0",TEXT(Demographics[[#This Row],[DOB]],0)))</f>
        <v>07081988</v>
      </c>
      <c r="I1141" s="4">
        <f ca="1">IFERROR((VALUE(TODAY()-DATE(RIGHT(Demographics[[#This Row],[DOB - Fixed]],4),MID(Demographics[[#This Row],[DOB - Fixed]],3,2),LEFT(Demographics[[#This Row],[DOB - Fixed]],2))))/365,0)</f>
        <v>35.109589041095887</v>
      </c>
      <c r="J1141">
        <f>VLOOKUP(Demographics[[#This Row],[INCOME LEVEL]],Income[],4,FALSE)</f>
        <v>175</v>
      </c>
      <c r="K1141">
        <f>IFERROR(Demographics[[#This Row],[Total monthly income]]/Demographics[[#This Row],[FAMILY SIZE]], 0)</f>
        <v>35</v>
      </c>
    </row>
    <row r="1142" spans="1:11" x14ac:dyDescent="0.2">
      <c r="A1142">
        <v>16124549</v>
      </c>
      <c r="B1142">
        <v>29071988</v>
      </c>
      <c r="C1142">
        <v>5</v>
      </c>
      <c r="D1142">
        <v>1</v>
      </c>
      <c r="E1142">
        <v>2</v>
      </c>
      <c r="F1142">
        <v>9</v>
      </c>
      <c r="G1142">
        <v>9</v>
      </c>
      <c r="H1142" t="str">
        <f>IF(Demographics[[#This Row],[DOB]]&gt;10000000, TEXT(Demographics[[#This Row],[DOB]],0),CONCATENATE("0",TEXT(Demographics[[#This Row],[DOB]],0)))</f>
        <v>29071988</v>
      </c>
      <c r="I1142" s="4">
        <f ca="1">IFERROR((VALUE(TODAY()-DATE(RIGHT(Demographics[[#This Row],[DOB - Fixed]],4),MID(Demographics[[#This Row],[DOB - Fixed]],3,2),LEFT(Demographics[[#This Row],[DOB - Fixed]],2))))/365,0)</f>
        <v>35.134246575342466</v>
      </c>
      <c r="J1142">
        <f>VLOOKUP(Demographics[[#This Row],[INCOME LEVEL]],Income[],4,FALSE)</f>
        <v>697.5</v>
      </c>
      <c r="K1142">
        <f>IFERROR(Demographics[[#This Row],[Total monthly income]]/Demographics[[#This Row],[FAMILY SIZE]], 0)</f>
        <v>139.5</v>
      </c>
    </row>
    <row r="1143" spans="1:11" x14ac:dyDescent="0.2">
      <c r="A1143">
        <v>10452055</v>
      </c>
      <c r="B1143">
        <v>4071988</v>
      </c>
      <c r="C1143">
        <v>5</v>
      </c>
      <c r="D1143">
        <v>1</v>
      </c>
      <c r="E1143">
        <v>2</v>
      </c>
      <c r="F1143">
        <v>5</v>
      </c>
      <c r="G1143">
        <v>8</v>
      </c>
      <c r="H1143" t="str">
        <f>IF(Demographics[[#This Row],[DOB]]&gt;10000000, TEXT(Demographics[[#This Row],[DOB]],0),CONCATENATE("0",TEXT(Demographics[[#This Row],[DOB]],0)))</f>
        <v>04071988</v>
      </c>
      <c r="I1143" s="4">
        <f ca="1">IFERROR((VALUE(TODAY()-DATE(RIGHT(Demographics[[#This Row],[DOB - Fixed]],4),MID(Demographics[[#This Row],[DOB - Fixed]],3,2),LEFT(Demographics[[#This Row],[DOB - Fixed]],2))))/365,0)</f>
        <v>35.202739726027396</v>
      </c>
      <c r="J1143">
        <f>VLOOKUP(Demographics[[#This Row],[INCOME LEVEL]],Income[],4,FALSE)</f>
        <v>697.5</v>
      </c>
      <c r="K1143">
        <f>IFERROR(Demographics[[#This Row],[Total monthly income]]/Demographics[[#This Row],[FAMILY SIZE]], 0)</f>
        <v>139.5</v>
      </c>
    </row>
    <row r="1144" spans="1:11" x14ac:dyDescent="0.2">
      <c r="A1144">
        <v>15258331</v>
      </c>
      <c r="B1144">
        <v>20081988</v>
      </c>
      <c r="C1144">
        <v>4</v>
      </c>
      <c r="D1144">
        <v>1</v>
      </c>
      <c r="E1144">
        <v>2</v>
      </c>
      <c r="F1144">
        <v>7</v>
      </c>
      <c r="G1144">
        <v>7</v>
      </c>
      <c r="H1144" t="str">
        <f>IF(Demographics[[#This Row],[DOB]]&gt;10000000, TEXT(Demographics[[#This Row],[DOB]],0),CONCATENATE("0",TEXT(Demographics[[#This Row],[DOB]],0)))</f>
        <v>20081988</v>
      </c>
      <c r="I1144" s="4">
        <f ca="1">IFERROR((VALUE(TODAY()-DATE(RIGHT(Demographics[[#This Row],[DOB - Fixed]],4),MID(Demographics[[#This Row],[DOB - Fixed]],3,2),LEFT(Demographics[[#This Row],[DOB - Fixed]],2))))/365,0)</f>
        <v>35.073972602739723</v>
      </c>
      <c r="J1144">
        <f>VLOOKUP(Demographics[[#This Row],[INCOME LEVEL]],Income[],4,FALSE)</f>
        <v>697.5</v>
      </c>
      <c r="K1144">
        <f>IFERROR(Demographics[[#This Row],[Total monthly income]]/Demographics[[#This Row],[FAMILY SIZE]], 0)</f>
        <v>174.375</v>
      </c>
    </row>
    <row r="1145" spans="1:11" x14ac:dyDescent="0.2">
      <c r="A1145">
        <v>14190580</v>
      </c>
      <c r="B1145">
        <v>9081988</v>
      </c>
      <c r="C1145">
        <v>4</v>
      </c>
      <c r="D1145">
        <v>1</v>
      </c>
      <c r="E1145">
        <v>1</v>
      </c>
      <c r="F1145">
        <v>4</v>
      </c>
      <c r="G1145">
        <v>4</v>
      </c>
      <c r="H1145" t="str">
        <f>IF(Demographics[[#This Row],[DOB]]&gt;10000000, TEXT(Demographics[[#This Row],[DOB]],0),CONCATENATE("0",TEXT(Demographics[[#This Row],[DOB]],0)))</f>
        <v>09081988</v>
      </c>
      <c r="I1145" s="4">
        <f ca="1">IFERROR((VALUE(TODAY()-DATE(RIGHT(Demographics[[#This Row],[DOB - Fixed]],4),MID(Demographics[[#This Row],[DOB - Fixed]],3,2),LEFT(Demographics[[#This Row],[DOB - Fixed]],2))))/365,0)</f>
        <v>35.104109589041094</v>
      </c>
      <c r="J1145">
        <f>VLOOKUP(Demographics[[#This Row],[INCOME LEVEL]],Income[],4,FALSE)</f>
        <v>175</v>
      </c>
      <c r="K1145">
        <f>IFERROR(Demographics[[#This Row],[Total monthly income]]/Demographics[[#This Row],[FAMILY SIZE]], 0)</f>
        <v>43.75</v>
      </c>
    </row>
    <row r="1146" spans="1:11" x14ac:dyDescent="0.2">
      <c r="A1146">
        <v>7882740</v>
      </c>
      <c r="B1146">
        <v>15081988</v>
      </c>
      <c r="C1146">
        <v>4</v>
      </c>
      <c r="D1146">
        <v>2</v>
      </c>
      <c r="E1146">
        <v>1</v>
      </c>
      <c r="F1146">
        <v>0</v>
      </c>
      <c r="G1146">
        <v>5</v>
      </c>
      <c r="H1146" t="str">
        <f>IF(Demographics[[#This Row],[DOB]]&gt;10000000, TEXT(Demographics[[#This Row],[DOB]],0),CONCATENATE("0",TEXT(Demographics[[#This Row],[DOB]],0)))</f>
        <v>15081988</v>
      </c>
      <c r="I1146" s="4">
        <f ca="1">IFERROR((VALUE(TODAY()-DATE(RIGHT(Demographics[[#This Row],[DOB - Fixed]],4),MID(Demographics[[#This Row],[DOB - Fixed]],3,2),LEFT(Demographics[[#This Row],[DOB - Fixed]],2))))/365,0)</f>
        <v>35.087671232876716</v>
      </c>
      <c r="J1146">
        <f>VLOOKUP(Demographics[[#This Row],[INCOME LEVEL]],Income[],4,FALSE)</f>
        <v>175</v>
      </c>
      <c r="K1146">
        <f>IFERROR(Demographics[[#This Row],[Total monthly income]]/Demographics[[#This Row],[FAMILY SIZE]], 0)</f>
        <v>43.75</v>
      </c>
    </row>
    <row r="1147" spans="1:11" x14ac:dyDescent="0.2">
      <c r="A1147">
        <v>4144800</v>
      </c>
      <c r="B1147">
        <v>18081988</v>
      </c>
      <c r="C1147">
        <v>5</v>
      </c>
      <c r="D1147">
        <v>0</v>
      </c>
      <c r="E1147">
        <v>2</v>
      </c>
      <c r="F1147">
        <v>0</v>
      </c>
      <c r="G1147">
        <v>0</v>
      </c>
      <c r="H1147" t="str">
        <f>IF(Demographics[[#This Row],[DOB]]&gt;10000000, TEXT(Demographics[[#This Row],[DOB]],0),CONCATENATE("0",TEXT(Demographics[[#This Row],[DOB]],0)))</f>
        <v>18081988</v>
      </c>
      <c r="I1147" s="4">
        <f ca="1">IFERROR((VALUE(TODAY()-DATE(RIGHT(Demographics[[#This Row],[DOB - Fixed]],4),MID(Demographics[[#This Row],[DOB - Fixed]],3,2),LEFT(Demographics[[#This Row],[DOB - Fixed]],2))))/365,0)</f>
        <v>35.079452054794523</v>
      </c>
      <c r="J1147">
        <f>VLOOKUP(Demographics[[#This Row],[INCOME LEVEL]],Income[],4,FALSE)</f>
        <v>697.5</v>
      </c>
      <c r="K1147">
        <f>IFERROR(Demographics[[#This Row],[Total monthly income]]/Demographics[[#This Row],[FAMILY SIZE]], 0)</f>
        <v>139.5</v>
      </c>
    </row>
    <row r="1148" spans="1:11" x14ac:dyDescent="0.2">
      <c r="A1148">
        <v>738180</v>
      </c>
      <c r="B1148">
        <v>18081988</v>
      </c>
      <c r="C1148">
        <v>8</v>
      </c>
      <c r="D1148">
        <v>1</v>
      </c>
      <c r="E1148">
        <v>1</v>
      </c>
      <c r="F1148">
        <v>5</v>
      </c>
      <c r="G1148">
        <v>3</v>
      </c>
      <c r="H1148" t="str">
        <f>IF(Demographics[[#This Row],[DOB]]&gt;10000000, TEXT(Demographics[[#This Row],[DOB]],0),CONCATENATE("0",TEXT(Demographics[[#This Row],[DOB]],0)))</f>
        <v>18081988</v>
      </c>
      <c r="I1148" s="4">
        <f ca="1">IFERROR((VALUE(TODAY()-DATE(RIGHT(Demographics[[#This Row],[DOB - Fixed]],4),MID(Demographics[[#This Row],[DOB - Fixed]],3,2),LEFT(Demographics[[#This Row],[DOB - Fixed]],2))))/365,0)</f>
        <v>35.079452054794523</v>
      </c>
      <c r="J1148">
        <f>VLOOKUP(Demographics[[#This Row],[INCOME LEVEL]],Income[],4,FALSE)</f>
        <v>175</v>
      </c>
      <c r="K1148">
        <f>IFERROR(Demographics[[#This Row],[Total monthly income]]/Demographics[[#This Row],[FAMILY SIZE]], 0)</f>
        <v>21.875</v>
      </c>
    </row>
    <row r="1149" spans="1:11" x14ac:dyDescent="0.2">
      <c r="A1149">
        <v>3611204</v>
      </c>
      <c r="B1149">
        <v>22071988</v>
      </c>
      <c r="C1149">
        <v>3</v>
      </c>
      <c r="D1149">
        <v>1</v>
      </c>
      <c r="E1149">
        <v>1</v>
      </c>
      <c r="F1149">
        <v>2</v>
      </c>
      <c r="G1149">
        <v>5</v>
      </c>
      <c r="H1149" t="str">
        <f>IF(Demographics[[#This Row],[DOB]]&gt;10000000, TEXT(Demographics[[#This Row],[DOB]],0),CONCATENATE("0",TEXT(Demographics[[#This Row],[DOB]],0)))</f>
        <v>22071988</v>
      </c>
      <c r="I1149" s="4">
        <f ca="1">IFERROR((VALUE(TODAY()-DATE(RIGHT(Demographics[[#This Row],[DOB - Fixed]],4),MID(Demographics[[#This Row],[DOB - Fixed]],3,2),LEFT(Demographics[[#This Row],[DOB - Fixed]],2))))/365,0)</f>
        <v>35.153424657534245</v>
      </c>
      <c r="J1149">
        <f>VLOOKUP(Demographics[[#This Row],[INCOME LEVEL]],Income[],4,FALSE)</f>
        <v>175</v>
      </c>
      <c r="K1149">
        <f>IFERROR(Demographics[[#This Row],[Total monthly income]]/Demographics[[#This Row],[FAMILY SIZE]], 0)</f>
        <v>58.333333333333336</v>
      </c>
    </row>
    <row r="1150" spans="1:11" x14ac:dyDescent="0.2">
      <c r="A1150">
        <v>6714352</v>
      </c>
      <c r="B1150">
        <v>14081988</v>
      </c>
      <c r="C1150">
        <v>5</v>
      </c>
      <c r="D1150">
        <v>2</v>
      </c>
      <c r="E1150">
        <v>2</v>
      </c>
      <c r="F1150">
        <v>0</v>
      </c>
      <c r="G1150">
        <v>0</v>
      </c>
      <c r="H1150" t="str">
        <f>IF(Demographics[[#This Row],[DOB]]&gt;10000000, TEXT(Demographics[[#This Row],[DOB]],0),CONCATENATE("0",TEXT(Demographics[[#This Row],[DOB]],0)))</f>
        <v>14081988</v>
      </c>
      <c r="I1150" s="4">
        <f ca="1">IFERROR((VALUE(TODAY()-DATE(RIGHT(Demographics[[#This Row],[DOB - Fixed]],4),MID(Demographics[[#This Row],[DOB - Fixed]],3,2),LEFT(Demographics[[#This Row],[DOB - Fixed]],2))))/365,0)</f>
        <v>35.090410958904108</v>
      </c>
      <c r="J1150">
        <f>VLOOKUP(Demographics[[#This Row],[INCOME LEVEL]],Income[],4,FALSE)</f>
        <v>697.5</v>
      </c>
      <c r="K1150">
        <f>IFERROR(Demographics[[#This Row],[Total monthly income]]/Demographics[[#This Row],[FAMILY SIZE]], 0)</f>
        <v>139.5</v>
      </c>
    </row>
    <row r="1151" spans="1:11" x14ac:dyDescent="0.2">
      <c r="A1151">
        <v>12488127</v>
      </c>
      <c r="B1151">
        <v>19081988</v>
      </c>
      <c r="C1151">
        <v>3</v>
      </c>
      <c r="D1151">
        <v>0</v>
      </c>
      <c r="E1151">
        <v>1</v>
      </c>
      <c r="F1151">
        <v>7</v>
      </c>
      <c r="G1151">
        <v>5</v>
      </c>
      <c r="H1151" t="str">
        <f>IF(Demographics[[#This Row],[DOB]]&gt;10000000, TEXT(Demographics[[#This Row],[DOB]],0),CONCATENATE("0",TEXT(Demographics[[#This Row],[DOB]],0)))</f>
        <v>19081988</v>
      </c>
      <c r="I1151" s="4">
        <f ca="1">IFERROR((VALUE(TODAY()-DATE(RIGHT(Demographics[[#This Row],[DOB - Fixed]],4),MID(Demographics[[#This Row],[DOB - Fixed]],3,2),LEFT(Demographics[[#This Row],[DOB - Fixed]],2))))/365,0)</f>
        <v>35.076712328767123</v>
      </c>
      <c r="J1151">
        <f>VLOOKUP(Demographics[[#This Row],[INCOME LEVEL]],Income[],4,FALSE)</f>
        <v>175</v>
      </c>
      <c r="K1151">
        <f>IFERROR(Demographics[[#This Row],[Total monthly income]]/Demographics[[#This Row],[FAMILY SIZE]], 0)</f>
        <v>58.333333333333336</v>
      </c>
    </row>
    <row r="1152" spans="1:11" x14ac:dyDescent="0.2">
      <c r="A1152">
        <v>22101241</v>
      </c>
      <c r="B1152">
        <v>24081988</v>
      </c>
      <c r="C1152">
        <v>5</v>
      </c>
      <c r="D1152">
        <v>2</v>
      </c>
      <c r="E1152">
        <v>2</v>
      </c>
      <c r="F1152">
        <v>5</v>
      </c>
      <c r="G1152">
        <v>9</v>
      </c>
      <c r="H1152" t="str">
        <f>IF(Demographics[[#This Row],[DOB]]&gt;10000000, TEXT(Demographics[[#This Row],[DOB]],0),CONCATENATE("0",TEXT(Demographics[[#This Row],[DOB]],0)))</f>
        <v>24081988</v>
      </c>
      <c r="I1152" s="4">
        <f ca="1">IFERROR((VALUE(TODAY()-DATE(RIGHT(Demographics[[#This Row],[DOB - Fixed]],4),MID(Demographics[[#This Row],[DOB - Fixed]],3,2),LEFT(Demographics[[#This Row],[DOB - Fixed]],2))))/365,0)</f>
        <v>35.063013698630137</v>
      </c>
      <c r="J1152">
        <f>VLOOKUP(Demographics[[#This Row],[INCOME LEVEL]],Income[],4,FALSE)</f>
        <v>697.5</v>
      </c>
      <c r="K1152">
        <f>IFERROR(Demographics[[#This Row],[Total monthly income]]/Demographics[[#This Row],[FAMILY SIZE]], 0)</f>
        <v>139.5</v>
      </c>
    </row>
    <row r="1153" spans="1:11" x14ac:dyDescent="0.2">
      <c r="A1153">
        <v>14624064</v>
      </c>
      <c r="B1153">
        <v>1081988</v>
      </c>
      <c r="C1153">
        <v>5</v>
      </c>
      <c r="D1153">
        <v>0</v>
      </c>
      <c r="E1153">
        <v>1</v>
      </c>
      <c r="F1153">
        <v>3</v>
      </c>
      <c r="G1153">
        <v>5</v>
      </c>
      <c r="H1153" t="str">
        <f>IF(Demographics[[#This Row],[DOB]]&gt;10000000, TEXT(Demographics[[#This Row],[DOB]],0),CONCATENATE("0",TEXT(Demographics[[#This Row],[DOB]],0)))</f>
        <v>01081988</v>
      </c>
      <c r="I1153" s="4">
        <f ca="1">IFERROR((VALUE(TODAY()-DATE(RIGHT(Demographics[[#This Row],[DOB - Fixed]],4),MID(Demographics[[#This Row],[DOB - Fixed]],3,2),LEFT(Demographics[[#This Row],[DOB - Fixed]],2))))/365,0)</f>
        <v>35.126027397260273</v>
      </c>
      <c r="J1153">
        <f>VLOOKUP(Demographics[[#This Row],[INCOME LEVEL]],Income[],4,FALSE)</f>
        <v>175</v>
      </c>
      <c r="K1153">
        <f>IFERROR(Demographics[[#This Row],[Total monthly income]]/Demographics[[#This Row],[FAMILY SIZE]], 0)</f>
        <v>35</v>
      </c>
    </row>
    <row r="1154" spans="1:11" x14ac:dyDescent="0.2">
      <c r="A1154">
        <v>16860552</v>
      </c>
      <c r="B1154">
        <v>17081988</v>
      </c>
      <c r="C1154">
        <v>4</v>
      </c>
      <c r="D1154">
        <v>2</v>
      </c>
      <c r="E1154">
        <v>2</v>
      </c>
      <c r="F1154">
        <v>5</v>
      </c>
      <c r="G1154">
        <v>5</v>
      </c>
      <c r="H1154" t="str">
        <f>IF(Demographics[[#This Row],[DOB]]&gt;10000000, TEXT(Demographics[[#This Row],[DOB]],0),CONCATENATE("0",TEXT(Demographics[[#This Row],[DOB]],0)))</f>
        <v>17081988</v>
      </c>
      <c r="I1154" s="4">
        <f ca="1">IFERROR((VALUE(TODAY()-DATE(RIGHT(Demographics[[#This Row],[DOB - Fixed]],4),MID(Demographics[[#This Row],[DOB - Fixed]],3,2),LEFT(Demographics[[#This Row],[DOB - Fixed]],2))))/365,0)</f>
        <v>35.082191780821915</v>
      </c>
      <c r="J1154">
        <f>VLOOKUP(Demographics[[#This Row],[INCOME LEVEL]],Income[],4,FALSE)</f>
        <v>697.5</v>
      </c>
      <c r="K1154">
        <f>IFERROR(Demographics[[#This Row],[Total monthly income]]/Demographics[[#This Row],[FAMILY SIZE]], 0)</f>
        <v>174.375</v>
      </c>
    </row>
    <row r="1155" spans="1:11" x14ac:dyDescent="0.2">
      <c r="A1155">
        <v>13555855</v>
      </c>
      <c r="B1155">
        <v>6081988</v>
      </c>
      <c r="C1155">
        <v>7</v>
      </c>
      <c r="D1155">
        <v>1</v>
      </c>
      <c r="E1155">
        <v>5</v>
      </c>
      <c r="F1155">
        <v>9</v>
      </c>
      <c r="G1155">
        <v>8</v>
      </c>
      <c r="H1155" t="str">
        <f>IF(Demographics[[#This Row],[DOB]]&gt;10000000, TEXT(Demographics[[#This Row],[DOB]],0),CONCATENATE("0",TEXT(Demographics[[#This Row],[DOB]],0)))</f>
        <v>06081988</v>
      </c>
      <c r="I1155" s="4">
        <f ca="1">IFERROR((VALUE(TODAY()-DATE(RIGHT(Demographics[[#This Row],[DOB - Fixed]],4),MID(Demographics[[#This Row],[DOB - Fixed]],3,2),LEFT(Demographics[[#This Row],[DOB - Fixed]],2))))/365,0)</f>
        <v>35.112328767123287</v>
      </c>
      <c r="J1155">
        <f>VLOOKUP(Demographics[[#This Row],[INCOME LEVEL]],Income[],4,FALSE)</f>
        <v>2787.5</v>
      </c>
      <c r="K1155">
        <f>IFERROR(Demographics[[#This Row],[Total monthly income]]/Demographics[[#This Row],[FAMILY SIZE]], 0)</f>
        <v>398.21428571428572</v>
      </c>
    </row>
    <row r="1156" spans="1:11" x14ac:dyDescent="0.2">
      <c r="A1156">
        <v>2976187</v>
      </c>
      <c r="B1156">
        <v>5081988</v>
      </c>
      <c r="C1156">
        <v>6</v>
      </c>
      <c r="D1156">
        <v>0</v>
      </c>
      <c r="E1156">
        <v>1</v>
      </c>
      <c r="F1156">
        <v>4</v>
      </c>
      <c r="G1156">
        <v>2</v>
      </c>
      <c r="H1156" t="str">
        <f>IF(Demographics[[#This Row],[DOB]]&gt;10000000, TEXT(Demographics[[#This Row],[DOB]],0),CONCATENATE("0",TEXT(Demographics[[#This Row],[DOB]],0)))</f>
        <v>05081988</v>
      </c>
      <c r="I1156" s="4">
        <f ca="1">IFERROR((VALUE(TODAY()-DATE(RIGHT(Demographics[[#This Row],[DOB - Fixed]],4),MID(Demographics[[#This Row],[DOB - Fixed]],3,2),LEFT(Demographics[[#This Row],[DOB - Fixed]],2))))/365,0)</f>
        <v>35.115068493150687</v>
      </c>
      <c r="J1156">
        <f>VLOOKUP(Demographics[[#This Row],[INCOME LEVEL]],Income[],4,FALSE)</f>
        <v>175</v>
      </c>
      <c r="K1156">
        <f>IFERROR(Demographics[[#This Row],[Total monthly income]]/Demographics[[#This Row],[FAMILY SIZE]], 0)</f>
        <v>29.166666666666668</v>
      </c>
    </row>
    <row r="1157" spans="1:11" x14ac:dyDescent="0.2">
      <c r="A1157">
        <v>6079426</v>
      </c>
      <c r="B1157">
        <v>13081988</v>
      </c>
      <c r="C1157">
        <v>3</v>
      </c>
      <c r="D1157">
        <v>1</v>
      </c>
      <c r="E1157">
        <v>1</v>
      </c>
      <c r="F1157">
        <v>5</v>
      </c>
      <c r="G1157">
        <v>3</v>
      </c>
      <c r="H1157" t="str">
        <f>IF(Demographics[[#This Row],[DOB]]&gt;10000000, TEXT(Demographics[[#This Row],[DOB]],0),CONCATENATE("0",TEXT(Demographics[[#This Row],[DOB]],0)))</f>
        <v>13081988</v>
      </c>
      <c r="I1157" s="4">
        <f ca="1">IFERROR((VALUE(TODAY()-DATE(RIGHT(Demographics[[#This Row],[DOB - Fixed]],4),MID(Demographics[[#This Row],[DOB - Fixed]],3,2),LEFT(Demographics[[#This Row],[DOB - Fixed]],2))))/365,0)</f>
        <v>35.093150684931508</v>
      </c>
      <c r="J1157">
        <f>VLOOKUP(Demographics[[#This Row],[INCOME LEVEL]],Income[],4,FALSE)</f>
        <v>175</v>
      </c>
      <c r="K1157">
        <f>IFERROR(Demographics[[#This Row],[Total monthly income]]/Demographics[[#This Row],[FAMILY SIZE]], 0)</f>
        <v>58.333333333333336</v>
      </c>
    </row>
    <row r="1158" spans="1:11" x14ac:dyDescent="0.2">
      <c r="A1158">
        <v>5212915</v>
      </c>
      <c r="B1158">
        <v>3081988</v>
      </c>
      <c r="C1158">
        <v>5</v>
      </c>
      <c r="D1158">
        <v>3</v>
      </c>
      <c r="E1158">
        <v>1</v>
      </c>
      <c r="F1158">
        <v>3</v>
      </c>
      <c r="G1158">
        <v>3</v>
      </c>
      <c r="H1158" t="str">
        <f>IF(Demographics[[#This Row],[DOB]]&gt;10000000, TEXT(Demographics[[#This Row],[DOB]],0),CONCATENATE("0",TEXT(Demographics[[#This Row],[DOB]],0)))</f>
        <v>03081988</v>
      </c>
      <c r="I1158" s="4">
        <f ca="1">IFERROR((VALUE(TODAY()-DATE(RIGHT(Demographics[[#This Row],[DOB - Fixed]],4),MID(Demographics[[#This Row],[DOB - Fixed]],3,2),LEFT(Demographics[[#This Row],[DOB - Fixed]],2))))/365,0)</f>
        <v>35.12054794520548</v>
      </c>
      <c r="J1158">
        <f>VLOOKUP(Demographics[[#This Row],[INCOME LEVEL]],Income[],4,FALSE)</f>
        <v>175</v>
      </c>
      <c r="K1158">
        <f>IFERROR(Demographics[[#This Row],[Total monthly income]]/Demographics[[#This Row],[FAMILY SIZE]], 0)</f>
        <v>35</v>
      </c>
    </row>
    <row r="1159" spans="1:11" x14ac:dyDescent="0.2">
      <c r="A1159">
        <v>21566880</v>
      </c>
      <c r="B1159">
        <v>26081988</v>
      </c>
      <c r="C1159">
        <v>5</v>
      </c>
      <c r="D1159">
        <v>2</v>
      </c>
      <c r="E1159">
        <v>2</v>
      </c>
      <c r="F1159">
        <v>5</v>
      </c>
      <c r="G1159">
        <v>9</v>
      </c>
      <c r="H1159" t="str">
        <f>IF(Demographics[[#This Row],[DOB]]&gt;10000000, TEXT(Demographics[[#This Row],[DOB]],0),CONCATENATE("0",TEXT(Demographics[[#This Row],[DOB]],0)))</f>
        <v>26081988</v>
      </c>
      <c r="I1159" s="4">
        <f ca="1">IFERROR((VALUE(TODAY()-DATE(RIGHT(Demographics[[#This Row],[DOB - Fixed]],4),MID(Demographics[[#This Row],[DOB - Fixed]],3,2),LEFT(Demographics[[#This Row],[DOB - Fixed]],2))))/365,0)</f>
        <v>35.057534246575344</v>
      </c>
      <c r="J1159">
        <f>VLOOKUP(Demographics[[#This Row],[INCOME LEVEL]],Income[],4,FALSE)</f>
        <v>697.5</v>
      </c>
      <c r="K1159">
        <f>IFERROR(Demographics[[#This Row],[Total monthly income]]/Demographics[[#This Row],[FAMILY SIZE]], 0)</f>
        <v>139.5</v>
      </c>
    </row>
    <row r="1160" spans="1:11" x14ac:dyDescent="0.2">
      <c r="A1160">
        <v>17727003</v>
      </c>
      <c r="B1160">
        <v>25081988</v>
      </c>
      <c r="C1160">
        <v>3</v>
      </c>
      <c r="D1160">
        <v>2</v>
      </c>
      <c r="E1160">
        <v>2</v>
      </c>
      <c r="F1160">
        <v>5</v>
      </c>
      <c r="G1160">
        <v>7</v>
      </c>
      <c r="H1160" t="str">
        <f>IF(Demographics[[#This Row],[DOB]]&gt;10000000, TEXT(Demographics[[#This Row],[DOB]],0),CONCATENATE("0",TEXT(Demographics[[#This Row],[DOB]],0)))</f>
        <v>25081988</v>
      </c>
      <c r="I1160" s="4">
        <f ca="1">IFERROR((VALUE(TODAY()-DATE(RIGHT(Demographics[[#This Row],[DOB - Fixed]],4),MID(Demographics[[#This Row],[DOB - Fixed]],3,2),LEFT(Demographics[[#This Row],[DOB - Fixed]],2))))/365,0)</f>
        <v>35.060273972602737</v>
      </c>
      <c r="J1160">
        <f>VLOOKUP(Demographics[[#This Row],[INCOME LEVEL]],Income[],4,FALSE)</f>
        <v>697.5</v>
      </c>
      <c r="K1160">
        <f>IFERROR(Demographics[[#This Row],[Total monthly income]]/Demographics[[#This Row],[FAMILY SIZE]], 0)</f>
        <v>232.5</v>
      </c>
    </row>
    <row r="1161" spans="1:11" x14ac:dyDescent="0.2">
      <c r="A1161">
        <v>15157873</v>
      </c>
      <c r="B1161">
        <v>28081988</v>
      </c>
      <c r="C1161">
        <v>3</v>
      </c>
      <c r="D1161">
        <v>1</v>
      </c>
      <c r="E1161">
        <v>1</v>
      </c>
      <c r="F1161">
        <v>5</v>
      </c>
      <c r="G1161">
        <v>5</v>
      </c>
      <c r="H1161" t="str">
        <f>IF(Demographics[[#This Row],[DOB]]&gt;10000000, TEXT(Demographics[[#This Row],[DOB]],0),CONCATENATE("0",TEXT(Demographics[[#This Row],[DOB]],0)))</f>
        <v>28081988</v>
      </c>
      <c r="I1161" s="4">
        <f ca="1">IFERROR((VALUE(TODAY()-DATE(RIGHT(Demographics[[#This Row],[DOB - Fixed]],4),MID(Demographics[[#This Row],[DOB - Fixed]],3,2),LEFT(Demographics[[#This Row],[DOB - Fixed]],2))))/365,0)</f>
        <v>35.052054794520551</v>
      </c>
      <c r="J1161">
        <f>VLOOKUP(Demographics[[#This Row],[INCOME LEVEL]],Income[],4,FALSE)</f>
        <v>175</v>
      </c>
      <c r="K1161">
        <f>IFERROR(Demographics[[#This Row],[Total monthly income]]/Demographics[[#This Row],[FAMILY SIZE]], 0)</f>
        <v>58.333333333333336</v>
      </c>
    </row>
    <row r="1162" spans="1:11" x14ac:dyDescent="0.2">
      <c r="A1162">
        <v>1373419</v>
      </c>
      <c r="B1162">
        <v>22081988</v>
      </c>
      <c r="C1162">
        <v>5</v>
      </c>
      <c r="D1162">
        <v>2</v>
      </c>
      <c r="E1162">
        <v>2</v>
      </c>
      <c r="F1162">
        <v>8</v>
      </c>
      <c r="G1162">
        <v>9</v>
      </c>
      <c r="H1162" t="str">
        <f>IF(Demographics[[#This Row],[DOB]]&gt;10000000, TEXT(Demographics[[#This Row],[DOB]],0),CONCATENATE("0",TEXT(Demographics[[#This Row],[DOB]],0)))</f>
        <v>22081988</v>
      </c>
      <c r="I1162" s="4">
        <f ca="1">IFERROR((VALUE(TODAY()-DATE(RIGHT(Demographics[[#This Row],[DOB - Fixed]],4),MID(Demographics[[#This Row],[DOB - Fixed]],3,2),LEFT(Demographics[[#This Row],[DOB - Fixed]],2))))/365,0)</f>
        <v>35.06849315068493</v>
      </c>
      <c r="J1162">
        <f>VLOOKUP(Demographics[[#This Row],[INCOME LEVEL]],Income[],4,FALSE)</f>
        <v>697.5</v>
      </c>
      <c r="K1162">
        <f>IFERROR(Demographics[[#This Row],[Total monthly income]]/Demographics[[#This Row],[FAMILY SIZE]], 0)</f>
        <v>139.5</v>
      </c>
    </row>
    <row r="1163" spans="1:11" x14ac:dyDescent="0.2">
      <c r="A1163">
        <v>10885709</v>
      </c>
      <c r="B1163">
        <v>29081988</v>
      </c>
      <c r="C1163">
        <v>3</v>
      </c>
      <c r="D1163">
        <v>2</v>
      </c>
      <c r="E1163">
        <v>1</v>
      </c>
      <c r="F1163">
        <v>5</v>
      </c>
      <c r="G1163">
        <v>3</v>
      </c>
      <c r="H1163" t="str">
        <f>IF(Demographics[[#This Row],[DOB]]&gt;10000000, TEXT(Demographics[[#This Row],[DOB]],0),CONCATENATE("0",TEXT(Demographics[[#This Row],[DOB]],0)))</f>
        <v>29081988</v>
      </c>
      <c r="I1163" s="4">
        <f ca="1">IFERROR((VALUE(TODAY()-DATE(RIGHT(Demographics[[#This Row],[DOB - Fixed]],4),MID(Demographics[[#This Row],[DOB - Fixed]],3,2),LEFT(Demographics[[#This Row],[DOB - Fixed]],2))))/365,0)</f>
        <v>35.049315068493151</v>
      </c>
      <c r="J1163">
        <f>VLOOKUP(Demographics[[#This Row],[INCOME LEVEL]],Income[],4,FALSE)</f>
        <v>175</v>
      </c>
      <c r="K1163">
        <f>IFERROR(Demographics[[#This Row],[Total monthly income]]/Demographics[[#This Row],[FAMILY SIZE]], 0)</f>
        <v>58.333333333333336</v>
      </c>
    </row>
    <row r="1164" spans="1:11" x14ac:dyDescent="0.2">
      <c r="A1164">
        <v>2542544</v>
      </c>
      <c r="B1164">
        <v>24081988</v>
      </c>
      <c r="C1164">
        <v>5</v>
      </c>
      <c r="D1164">
        <v>1</v>
      </c>
      <c r="E1164">
        <v>3</v>
      </c>
      <c r="F1164">
        <v>9</v>
      </c>
      <c r="G1164">
        <v>5</v>
      </c>
      <c r="H1164" t="str">
        <f>IF(Demographics[[#This Row],[DOB]]&gt;10000000, TEXT(Demographics[[#This Row],[DOB]],0),CONCATENATE("0",TEXT(Demographics[[#This Row],[DOB]],0)))</f>
        <v>24081988</v>
      </c>
      <c r="I1164" s="4">
        <f ca="1">IFERROR((VALUE(TODAY()-DATE(RIGHT(Demographics[[#This Row],[DOB - Fixed]],4),MID(Demographics[[#This Row],[DOB - Fixed]],3,2),LEFT(Demographics[[#This Row],[DOB - Fixed]],2))))/365,0)</f>
        <v>35.063013698630137</v>
      </c>
      <c r="J1164">
        <f>VLOOKUP(Demographics[[#This Row],[INCOME LEVEL]],Income[],4,FALSE)</f>
        <v>1397.5</v>
      </c>
      <c r="K1164">
        <f>IFERROR(Demographics[[#This Row],[Total monthly income]]/Demographics[[#This Row],[FAMILY SIZE]], 0)</f>
        <v>279.5</v>
      </c>
    </row>
    <row r="1165" spans="1:11" x14ac:dyDescent="0.2">
      <c r="A1165">
        <v>2874937</v>
      </c>
      <c r="B1165">
        <v>29081988</v>
      </c>
      <c r="C1165">
        <v>5</v>
      </c>
      <c r="D1165">
        <v>1</v>
      </c>
      <c r="E1165">
        <v>3</v>
      </c>
      <c r="F1165">
        <v>9</v>
      </c>
      <c r="G1165">
        <v>7</v>
      </c>
      <c r="H1165" t="str">
        <f>IF(Demographics[[#This Row],[DOB]]&gt;10000000, TEXT(Demographics[[#This Row],[DOB]],0),CONCATENATE("0",TEXT(Demographics[[#This Row],[DOB]],0)))</f>
        <v>29081988</v>
      </c>
      <c r="I1165" s="4">
        <f ca="1">IFERROR((VALUE(TODAY()-DATE(RIGHT(Demographics[[#This Row],[DOB - Fixed]],4),MID(Demographics[[#This Row],[DOB - Fixed]],3,2),LEFT(Demographics[[#This Row],[DOB - Fixed]],2))))/365,0)</f>
        <v>35.049315068493151</v>
      </c>
      <c r="J1165">
        <f>VLOOKUP(Demographics[[#This Row],[INCOME LEVEL]],Income[],4,FALSE)</f>
        <v>1397.5</v>
      </c>
      <c r="K1165">
        <f>IFERROR(Demographics[[#This Row],[Total monthly income]]/Demographics[[#This Row],[FAMILY SIZE]], 0)</f>
        <v>279.5</v>
      </c>
    </row>
    <row r="1166" spans="1:11" x14ac:dyDescent="0.2">
      <c r="A1166">
        <v>4476709</v>
      </c>
      <c r="B1166">
        <v>24081988</v>
      </c>
      <c r="C1166">
        <v>5</v>
      </c>
      <c r="D1166">
        <v>1</v>
      </c>
      <c r="E1166">
        <v>1</v>
      </c>
      <c r="F1166">
        <v>7</v>
      </c>
      <c r="G1166">
        <v>7</v>
      </c>
      <c r="H1166" t="str">
        <f>IF(Demographics[[#This Row],[DOB]]&gt;10000000, TEXT(Demographics[[#This Row],[DOB]],0),CONCATENATE("0",TEXT(Demographics[[#This Row],[DOB]],0)))</f>
        <v>24081988</v>
      </c>
      <c r="I1166" s="4">
        <f ca="1">IFERROR((VALUE(TODAY()-DATE(RIGHT(Demographics[[#This Row],[DOB - Fixed]],4),MID(Demographics[[#This Row],[DOB - Fixed]],3,2),LEFT(Demographics[[#This Row],[DOB - Fixed]],2))))/365,0)</f>
        <v>35.063013698630137</v>
      </c>
      <c r="J1166">
        <f>VLOOKUP(Demographics[[#This Row],[INCOME LEVEL]],Income[],4,FALSE)</f>
        <v>175</v>
      </c>
      <c r="K1166">
        <f>IFERROR(Demographics[[#This Row],[Total monthly income]]/Demographics[[#This Row],[FAMILY SIZE]], 0)</f>
        <v>35</v>
      </c>
    </row>
    <row r="1167" spans="1:11" x14ac:dyDescent="0.2">
      <c r="A1167">
        <v>2340594</v>
      </c>
      <c r="B1167">
        <v>30081988</v>
      </c>
      <c r="C1167">
        <v>0</v>
      </c>
      <c r="D1167">
        <v>0</v>
      </c>
      <c r="E1167">
        <v>5</v>
      </c>
      <c r="F1167">
        <v>9</v>
      </c>
      <c r="G1167">
        <v>9</v>
      </c>
      <c r="H1167" t="str">
        <f>IF(Demographics[[#This Row],[DOB]]&gt;10000000, TEXT(Demographics[[#This Row],[DOB]],0),CONCATENATE("0",TEXT(Demographics[[#This Row],[DOB]],0)))</f>
        <v>30081988</v>
      </c>
      <c r="I1167" s="4">
        <f ca="1">IFERROR((VALUE(TODAY()-DATE(RIGHT(Demographics[[#This Row],[DOB - Fixed]],4),MID(Demographics[[#This Row],[DOB - Fixed]],3,2),LEFT(Demographics[[#This Row],[DOB - Fixed]],2))))/365,0)</f>
        <v>35.046575342465751</v>
      </c>
      <c r="J1167">
        <f>VLOOKUP(Demographics[[#This Row],[INCOME LEVEL]],Income[],4,FALSE)</f>
        <v>2787.5</v>
      </c>
      <c r="K1167">
        <f>IFERROR(Demographics[[#This Row],[Total monthly income]]/Demographics[[#This Row],[FAMILY SIZE]], 0)</f>
        <v>0</v>
      </c>
    </row>
    <row r="1168" spans="1:11" x14ac:dyDescent="0.2">
      <c r="A1168">
        <v>18996671</v>
      </c>
      <c r="B1168">
        <v>14081988</v>
      </c>
      <c r="C1168">
        <v>4</v>
      </c>
      <c r="D1168">
        <v>2</v>
      </c>
      <c r="E1168">
        <v>2</v>
      </c>
      <c r="F1168">
        <v>8</v>
      </c>
      <c r="G1168">
        <v>8</v>
      </c>
      <c r="H1168" t="str">
        <f>IF(Demographics[[#This Row],[DOB]]&gt;10000000, TEXT(Demographics[[#This Row],[DOB]],0),CONCATENATE("0",TEXT(Demographics[[#This Row],[DOB]],0)))</f>
        <v>14081988</v>
      </c>
      <c r="I1168" s="4">
        <f ca="1">IFERROR((VALUE(TODAY()-DATE(RIGHT(Demographics[[#This Row],[DOB - Fixed]],4),MID(Demographics[[#This Row],[DOB - Fixed]],3,2),LEFT(Demographics[[#This Row],[DOB - Fixed]],2))))/365,0)</f>
        <v>35.090410958904108</v>
      </c>
      <c r="J1168">
        <f>VLOOKUP(Demographics[[#This Row],[INCOME LEVEL]],Income[],4,FALSE)</f>
        <v>697.5</v>
      </c>
      <c r="K1168">
        <f>IFERROR(Demographics[[#This Row],[Total monthly income]]/Demographics[[#This Row],[FAMILY SIZE]], 0)</f>
        <v>174.375</v>
      </c>
    </row>
    <row r="1169" spans="1:11" x14ac:dyDescent="0.2">
      <c r="A1169">
        <v>7781918</v>
      </c>
      <c r="B1169">
        <v>19081988</v>
      </c>
      <c r="C1169">
        <v>6</v>
      </c>
      <c r="D1169">
        <v>1</v>
      </c>
      <c r="E1169">
        <v>2</v>
      </c>
      <c r="F1169">
        <v>7</v>
      </c>
      <c r="G1169">
        <v>5</v>
      </c>
      <c r="H1169" t="str">
        <f>IF(Demographics[[#This Row],[DOB]]&gt;10000000, TEXT(Demographics[[#This Row],[DOB]],0),CONCATENATE("0",TEXT(Demographics[[#This Row],[DOB]],0)))</f>
        <v>19081988</v>
      </c>
      <c r="I1169" s="4">
        <f ca="1">IFERROR((VALUE(TODAY()-DATE(RIGHT(Demographics[[#This Row],[DOB - Fixed]],4),MID(Demographics[[#This Row],[DOB - Fixed]],3,2),LEFT(Demographics[[#This Row],[DOB - Fixed]],2))))/365,0)</f>
        <v>35.076712328767123</v>
      </c>
      <c r="J1169">
        <f>VLOOKUP(Demographics[[#This Row],[INCOME LEVEL]],Income[],4,FALSE)</f>
        <v>697.5</v>
      </c>
      <c r="K1169">
        <f>IFERROR(Demographics[[#This Row],[Total monthly income]]/Demographics[[#This Row],[FAMILY SIZE]], 0)</f>
        <v>116.25</v>
      </c>
    </row>
    <row r="1170" spans="1:11" x14ac:dyDescent="0.2">
      <c r="A1170">
        <v>7074302</v>
      </c>
      <c r="B1170">
        <v>15081988</v>
      </c>
      <c r="C1170">
        <v>3</v>
      </c>
      <c r="D1170">
        <v>2</v>
      </c>
      <c r="E1170">
        <v>1</v>
      </c>
      <c r="F1170">
        <v>4</v>
      </c>
      <c r="G1170">
        <v>3</v>
      </c>
      <c r="H1170" t="str">
        <f>IF(Demographics[[#This Row],[DOB]]&gt;10000000, TEXT(Demographics[[#This Row],[DOB]],0),CONCATENATE("0",TEXT(Demographics[[#This Row],[DOB]],0)))</f>
        <v>15081988</v>
      </c>
      <c r="I1170" s="4">
        <f ca="1">IFERROR((VALUE(TODAY()-DATE(RIGHT(Demographics[[#This Row],[DOB - Fixed]],4),MID(Demographics[[#This Row],[DOB - Fixed]],3,2),LEFT(Demographics[[#This Row],[DOB - Fixed]],2))))/365,0)</f>
        <v>35.087671232876716</v>
      </c>
      <c r="J1170">
        <f>VLOOKUP(Demographics[[#This Row],[INCOME LEVEL]],Income[],4,FALSE)</f>
        <v>175</v>
      </c>
      <c r="K1170">
        <f>IFERROR(Demographics[[#This Row],[Total monthly income]]/Demographics[[#This Row],[FAMILY SIZE]], 0)</f>
        <v>58.333333333333336</v>
      </c>
    </row>
    <row r="1171" spans="1:11" x14ac:dyDescent="0.2">
      <c r="A1171">
        <v>21161670</v>
      </c>
      <c r="B1171">
        <v>11081988</v>
      </c>
      <c r="C1171">
        <v>5</v>
      </c>
      <c r="D1171">
        <v>1</v>
      </c>
      <c r="E1171">
        <v>2</v>
      </c>
      <c r="F1171">
        <v>3</v>
      </c>
      <c r="G1171">
        <v>3</v>
      </c>
      <c r="H1171" t="str">
        <f>IF(Demographics[[#This Row],[DOB]]&gt;10000000, TEXT(Demographics[[#This Row],[DOB]],0),CONCATENATE("0",TEXT(Demographics[[#This Row],[DOB]],0)))</f>
        <v>11081988</v>
      </c>
      <c r="I1171" s="4">
        <f ca="1">IFERROR((VALUE(TODAY()-DATE(RIGHT(Demographics[[#This Row],[DOB - Fixed]],4),MID(Demographics[[#This Row],[DOB - Fixed]],3,2),LEFT(Demographics[[#This Row],[DOB - Fixed]],2))))/365,0)</f>
        <v>35.098630136986301</v>
      </c>
      <c r="J1171">
        <f>VLOOKUP(Demographics[[#This Row],[INCOME LEVEL]],Income[],4,FALSE)</f>
        <v>697.5</v>
      </c>
      <c r="K1171">
        <f>IFERROR(Demographics[[#This Row],[Total monthly income]]/Demographics[[#This Row],[FAMILY SIZE]], 0)</f>
        <v>139.5</v>
      </c>
    </row>
    <row r="1172" spans="1:11" x14ac:dyDescent="0.2">
      <c r="A1172">
        <v>16888761</v>
      </c>
      <c r="B1172">
        <v>28081988</v>
      </c>
      <c r="C1172">
        <v>5</v>
      </c>
      <c r="D1172">
        <v>2</v>
      </c>
      <c r="E1172">
        <v>2</v>
      </c>
      <c r="F1172">
        <v>5</v>
      </c>
      <c r="G1172">
        <v>5</v>
      </c>
      <c r="H1172" t="str">
        <f>IF(Demographics[[#This Row],[DOB]]&gt;10000000, TEXT(Demographics[[#This Row],[DOB]],0),CONCATENATE("0",TEXT(Demographics[[#This Row],[DOB]],0)))</f>
        <v>28081988</v>
      </c>
      <c r="I1172" s="4">
        <f ca="1">IFERROR((VALUE(TODAY()-DATE(RIGHT(Demographics[[#This Row],[DOB - Fixed]],4),MID(Demographics[[#This Row],[DOB - Fixed]],3,2),LEFT(Demographics[[#This Row],[DOB - Fixed]],2))))/365,0)</f>
        <v>35.052054794520551</v>
      </c>
      <c r="J1172">
        <f>VLOOKUP(Demographics[[#This Row],[INCOME LEVEL]],Income[],4,FALSE)</f>
        <v>697.5</v>
      </c>
      <c r="K1172">
        <f>IFERROR(Demographics[[#This Row],[Total monthly income]]/Demographics[[#This Row],[FAMILY SIZE]], 0)</f>
        <v>139.5</v>
      </c>
    </row>
    <row r="1173" spans="1:11" x14ac:dyDescent="0.2">
      <c r="A1173">
        <v>15186165</v>
      </c>
      <c r="B1173">
        <v>29081988</v>
      </c>
      <c r="C1173">
        <v>4</v>
      </c>
      <c r="D1173">
        <v>1</v>
      </c>
      <c r="E1173">
        <v>2</v>
      </c>
      <c r="F1173">
        <v>4</v>
      </c>
      <c r="G1173">
        <v>5</v>
      </c>
      <c r="H1173" t="str">
        <f>IF(Demographics[[#This Row],[DOB]]&gt;10000000, TEXT(Demographics[[#This Row],[DOB]],0),CONCATENATE("0",TEXT(Demographics[[#This Row],[DOB]],0)))</f>
        <v>29081988</v>
      </c>
      <c r="I1173" s="4">
        <f ca="1">IFERROR((VALUE(TODAY()-DATE(RIGHT(Demographics[[#This Row],[DOB - Fixed]],4),MID(Demographics[[#This Row],[DOB - Fixed]],3,2),LEFT(Demographics[[#This Row],[DOB - Fixed]],2))))/365,0)</f>
        <v>35.049315068493151</v>
      </c>
      <c r="J1173">
        <f>VLOOKUP(Demographics[[#This Row],[INCOME LEVEL]],Income[],4,FALSE)</f>
        <v>697.5</v>
      </c>
      <c r="K1173">
        <f>IFERROR(Demographics[[#This Row],[Total monthly income]]/Demographics[[#This Row],[FAMILY SIZE]], 0)</f>
        <v>174.375</v>
      </c>
    </row>
    <row r="1174" spans="1:11" x14ac:dyDescent="0.2">
      <c r="A1174">
        <v>3870236</v>
      </c>
      <c r="B1174">
        <v>9081988</v>
      </c>
      <c r="C1174">
        <v>4</v>
      </c>
      <c r="D1174">
        <v>1</v>
      </c>
      <c r="E1174">
        <v>1</v>
      </c>
      <c r="F1174">
        <v>2</v>
      </c>
      <c r="G1174">
        <v>2</v>
      </c>
      <c r="H1174" t="str">
        <f>IF(Demographics[[#This Row],[DOB]]&gt;10000000, TEXT(Demographics[[#This Row],[DOB]],0),CONCATENATE("0",TEXT(Demographics[[#This Row],[DOB]],0)))</f>
        <v>09081988</v>
      </c>
      <c r="I1174" s="4">
        <f ca="1">IFERROR((VALUE(TODAY()-DATE(RIGHT(Demographics[[#This Row],[DOB - Fixed]],4),MID(Demographics[[#This Row],[DOB - Fixed]],3,2),LEFT(Demographics[[#This Row],[DOB - Fixed]],2))))/365,0)</f>
        <v>35.104109589041094</v>
      </c>
      <c r="J1174">
        <f>VLOOKUP(Demographics[[#This Row],[INCOME LEVEL]],Income[],4,FALSE)</f>
        <v>175</v>
      </c>
      <c r="K1174">
        <f>IFERROR(Demographics[[#This Row],[Total monthly income]]/Demographics[[#This Row],[FAMILY SIZE]], 0)</f>
        <v>43.75</v>
      </c>
    </row>
    <row r="1175" spans="1:11" x14ac:dyDescent="0.2">
      <c r="A1175">
        <v>766666</v>
      </c>
      <c r="B1175">
        <v>1091988</v>
      </c>
      <c r="C1175">
        <v>4</v>
      </c>
      <c r="D1175">
        <v>2</v>
      </c>
      <c r="E1175">
        <v>2</v>
      </c>
      <c r="F1175">
        <v>4</v>
      </c>
      <c r="G1175">
        <v>9</v>
      </c>
      <c r="H1175" t="str">
        <f>IF(Demographics[[#This Row],[DOB]]&gt;10000000, TEXT(Demographics[[#This Row],[DOB]],0),CONCATENATE("0",TEXT(Demographics[[#This Row],[DOB]],0)))</f>
        <v>01091988</v>
      </c>
      <c r="I1175" s="4">
        <f ca="1">IFERROR((VALUE(TODAY()-DATE(RIGHT(Demographics[[#This Row],[DOB - Fixed]],4),MID(Demographics[[#This Row],[DOB - Fixed]],3,2),LEFT(Demographics[[#This Row],[DOB - Fixed]],2))))/365,0)</f>
        <v>35.041095890410958</v>
      </c>
      <c r="J1175">
        <f>VLOOKUP(Demographics[[#This Row],[INCOME LEVEL]],Income[],4,FALSE)</f>
        <v>697.5</v>
      </c>
      <c r="K1175">
        <f>IFERROR(Demographics[[#This Row],[Total monthly income]]/Demographics[[#This Row],[FAMILY SIZE]], 0)</f>
        <v>174.375</v>
      </c>
    </row>
    <row r="1176" spans="1:11" x14ac:dyDescent="0.2">
      <c r="A1176">
        <v>8878399</v>
      </c>
      <c r="B1176">
        <v>26081988</v>
      </c>
      <c r="C1176">
        <v>4</v>
      </c>
      <c r="D1176">
        <v>1</v>
      </c>
      <c r="E1176">
        <v>1</v>
      </c>
      <c r="F1176">
        <v>2</v>
      </c>
      <c r="G1176">
        <v>5</v>
      </c>
      <c r="H1176" t="str">
        <f>IF(Demographics[[#This Row],[DOB]]&gt;10000000, TEXT(Demographics[[#This Row],[DOB]],0),CONCATENATE("0",TEXT(Demographics[[#This Row],[DOB]],0)))</f>
        <v>26081988</v>
      </c>
      <c r="I1176" s="4">
        <f ca="1">IFERROR((VALUE(TODAY()-DATE(RIGHT(Demographics[[#This Row],[DOB - Fixed]],4),MID(Demographics[[#This Row],[DOB - Fixed]],3,2),LEFT(Demographics[[#This Row],[DOB - Fixed]],2))))/365,0)</f>
        <v>35.057534246575344</v>
      </c>
      <c r="J1176">
        <f>VLOOKUP(Demographics[[#This Row],[INCOME LEVEL]],Income[],4,FALSE)</f>
        <v>175</v>
      </c>
      <c r="K1176">
        <f>IFERROR(Demographics[[#This Row],[Total monthly income]]/Demographics[[#This Row],[FAMILY SIZE]], 0)</f>
        <v>43.75</v>
      </c>
    </row>
    <row r="1177" spans="1:11" x14ac:dyDescent="0.2">
      <c r="A1177">
        <v>5674630</v>
      </c>
      <c r="B1177">
        <v>31071988</v>
      </c>
      <c r="C1177">
        <v>5</v>
      </c>
      <c r="D1177">
        <v>2</v>
      </c>
      <c r="E1177">
        <v>1</v>
      </c>
      <c r="F1177">
        <v>5</v>
      </c>
      <c r="G1177">
        <v>4</v>
      </c>
      <c r="H1177" t="str">
        <f>IF(Demographics[[#This Row],[DOB]]&gt;10000000, TEXT(Demographics[[#This Row],[DOB]],0),CONCATENATE("0",TEXT(Demographics[[#This Row],[DOB]],0)))</f>
        <v>31071988</v>
      </c>
      <c r="I1177" s="4">
        <f ca="1">IFERROR((VALUE(TODAY()-DATE(RIGHT(Demographics[[#This Row],[DOB - Fixed]],4),MID(Demographics[[#This Row],[DOB - Fixed]],3,2),LEFT(Demographics[[#This Row],[DOB - Fixed]],2))))/365,0)</f>
        <v>35.128767123287673</v>
      </c>
      <c r="J1177">
        <f>VLOOKUP(Demographics[[#This Row],[INCOME LEVEL]],Income[],4,FALSE)</f>
        <v>175</v>
      </c>
      <c r="K1177">
        <f>IFERROR(Demographics[[#This Row],[Total monthly income]]/Demographics[[#This Row],[FAMILY SIZE]], 0)</f>
        <v>35</v>
      </c>
    </row>
    <row r="1178" spans="1:11" x14ac:dyDescent="0.2">
      <c r="A1178">
        <v>6641904</v>
      </c>
      <c r="B1178">
        <v>26081988</v>
      </c>
      <c r="C1178">
        <v>5</v>
      </c>
      <c r="D1178">
        <v>1</v>
      </c>
      <c r="E1178">
        <v>3</v>
      </c>
      <c r="F1178">
        <v>9</v>
      </c>
      <c r="G1178">
        <v>9</v>
      </c>
      <c r="H1178" t="str">
        <f>IF(Demographics[[#This Row],[DOB]]&gt;10000000, TEXT(Demographics[[#This Row],[DOB]],0),CONCATENATE("0",TEXT(Demographics[[#This Row],[DOB]],0)))</f>
        <v>26081988</v>
      </c>
      <c r="I1178" s="4">
        <f ca="1">IFERROR((VALUE(TODAY()-DATE(RIGHT(Demographics[[#This Row],[DOB - Fixed]],4),MID(Demographics[[#This Row],[DOB - Fixed]],3,2),LEFT(Demographics[[#This Row],[DOB - Fixed]],2))))/365,0)</f>
        <v>35.057534246575344</v>
      </c>
      <c r="J1178">
        <f>VLOOKUP(Demographics[[#This Row],[INCOME LEVEL]],Income[],4,FALSE)</f>
        <v>1397.5</v>
      </c>
      <c r="K1178">
        <f>IFERROR(Demographics[[#This Row],[Total monthly income]]/Demographics[[#This Row],[FAMILY SIZE]], 0)</f>
        <v>279.5</v>
      </c>
    </row>
    <row r="1179" spans="1:11" x14ac:dyDescent="0.2">
      <c r="A1179">
        <v>6208870</v>
      </c>
      <c r="B1179">
        <v>3071988</v>
      </c>
      <c r="C1179">
        <v>5</v>
      </c>
      <c r="D1179">
        <v>1</v>
      </c>
      <c r="E1179">
        <v>1</v>
      </c>
      <c r="F1179">
        <v>5</v>
      </c>
      <c r="G1179">
        <v>4</v>
      </c>
      <c r="H1179" t="str">
        <f>IF(Demographics[[#This Row],[DOB]]&gt;10000000, TEXT(Demographics[[#This Row],[DOB]],0),CONCATENATE("0",TEXT(Demographics[[#This Row],[DOB]],0)))</f>
        <v>03071988</v>
      </c>
      <c r="I1179" s="4">
        <f ca="1">IFERROR((VALUE(TODAY()-DATE(RIGHT(Demographics[[#This Row],[DOB - Fixed]],4),MID(Demographics[[#This Row],[DOB - Fixed]],3,2),LEFT(Demographics[[#This Row],[DOB - Fixed]],2))))/365,0)</f>
        <v>35.205479452054796</v>
      </c>
      <c r="J1179">
        <f>VLOOKUP(Demographics[[#This Row],[INCOME LEVEL]],Income[],4,FALSE)</f>
        <v>175</v>
      </c>
      <c r="K1179">
        <f>IFERROR(Demographics[[#This Row],[Total monthly income]]/Demographics[[#This Row],[FAMILY SIZE]], 0)</f>
        <v>35</v>
      </c>
    </row>
    <row r="1180" spans="1:11" x14ac:dyDescent="0.2">
      <c r="A1180">
        <v>17221481</v>
      </c>
      <c r="B1180">
        <v>21081988</v>
      </c>
      <c r="C1180">
        <v>6</v>
      </c>
      <c r="D1180">
        <v>1</v>
      </c>
      <c r="E1180">
        <v>4</v>
      </c>
      <c r="F1180">
        <v>9</v>
      </c>
      <c r="G1180">
        <v>9</v>
      </c>
      <c r="H1180" t="str">
        <f>IF(Demographics[[#This Row],[DOB]]&gt;10000000, TEXT(Demographics[[#This Row],[DOB]],0),CONCATENATE("0",TEXT(Demographics[[#This Row],[DOB]],0)))</f>
        <v>21081988</v>
      </c>
      <c r="I1180" s="4">
        <f ca="1">IFERROR((VALUE(TODAY()-DATE(RIGHT(Demographics[[#This Row],[DOB - Fixed]],4),MID(Demographics[[#This Row],[DOB - Fixed]],3,2),LEFT(Demographics[[#This Row],[DOB - Fixed]],2))))/365,0)</f>
        <v>35.07123287671233</v>
      </c>
      <c r="J1180">
        <f>VLOOKUP(Demographics[[#This Row],[INCOME LEVEL]],Income[],4,FALSE)</f>
        <v>2100</v>
      </c>
      <c r="K1180">
        <f>IFERROR(Demographics[[#This Row],[Total monthly income]]/Demographics[[#This Row],[FAMILY SIZE]], 0)</f>
        <v>350</v>
      </c>
    </row>
    <row r="1181" spans="1:11" x14ac:dyDescent="0.2">
      <c r="A1181">
        <v>1935753</v>
      </c>
      <c r="B1181">
        <v>6091988</v>
      </c>
      <c r="C1181">
        <v>5</v>
      </c>
      <c r="D1181">
        <v>1</v>
      </c>
      <c r="E1181">
        <v>2</v>
      </c>
      <c r="F1181">
        <v>5</v>
      </c>
      <c r="G1181">
        <v>5</v>
      </c>
      <c r="H1181" t="str">
        <f>IF(Demographics[[#This Row],[DOB]]&gt;10000000, TEXT(Demographics[[#This Row],[DOB]],0),CONCATENATE("0",TEXT(Demographics[[#This Row],[DOB]],0)))</f>
        <v>06091988</v>
      </c>
      <c r="I1181" s="4">
        <f ca="1">IFERROR((VALUE(TODAY()-DATE(RIGHT(Demographics[[#This Row],[DOB - Fixed]],4),MID(Demographics[[#This Row],[DOB - Fixed]],3,2),LEFT(Demographics[[#This Row],[DOB - Fixed]],2))))/365,0)</f>
        <v>35.027397260273972</v>
      </c>
      <c r="J1181">
        <f>VLOOKUP(Demographics[[#This Row],[INCOME LEVEL]],Income[],4,FALSE)</f>
        <v>697.5</v>
      </c>
      <c r="K1181">
        <f>IFERROR(Demographics[[#This Row],[Total monthly income]]/Demographics[[#This Row],[FAMILY SIZE]], 0)</f>
        <v>139.5</v>
      </c>
    </row>
    <row r="1182" spans="1:11" x14ac:dyDescent="0.2">
      <c r="A1182">
        <v>9412633</v>
      </c>
      <c r="B1182">
        <v>17051988</v>
      </c>
      <c r="C1182">
        <v>4</v>
      </c>
      <c r="D1182">
        <v>1</v>
      </c>
      <c r="E1182">
        <v>3</v>
      </c>
      <c r="F1182">
        <v>9</v>
      </c>
      <c r="G1182">
        <v>5</v>
      </c>
      <c r="H1182" t="str">
        <f>IF(Demographics[[#This Row],[DOB]]&gt;10000000, TEXT(Demographics[[#This Row],[DOB]],0),CONCATENATE("0",TEXT(Demographics[[#This Row],[DOB]],0)))</f>
        <v>17051988</v>
      </c>
      <c r="I1182" s="4">
        <f ca="1">IFERROR((VALUE(TODAY()-DATE(RIGHT(Demographics[[#This Row],[DOB - Fixed]],4),MID(Demographics[[#This Row],[DOB - Fixed]],3,2),LEFT(Demographics[[#This Row],[DOB - Fixed]],2))))/365,0)</f>
        <v>35.334246575342469</v>
      </c>
      <c r="J1182">
        <f>VLOOKUP(Demographics[[#This Row],[INCOME LEVEL]],Income[],4,FALSE)</f>
        <v>1397.5</v>
      </c>
      <c r="K1182">
        <f>IFERROR(Demographics[[#This Row],[Total monthly income]]/Demographics[[#This Row],[FAMILY SIZE]], 0)</f>
        <v>349.375</v>
      </c>
    </row>
    <row r="1183" spans="1:11" x14ac:dyDescent="0.2">
      <c r="A1183">
        <v>5140399</v>
      </c>
      <c r="B1183">
        <v>22081988</v>
      </c>
      <c r="C1183">
        <v>5</v>
      </c>
      <c r="D1183">
        <v>1</v>
      </c>
      <c r="E1183">
        <v>1</v>
      </c>
      <c r="F1183">
        <v>3</v>
      </c>
      <c r="G1183">
        <v>3</v>
      </c>
      <c r="H1183" t="str">
        <f>IF(Demographics[[#This Row],[DOB]]&gt;10000000, TEXT(Demographics[[#This Row],[DOB]],0),CONCATENATE("0",TEXT(Demographics[[#This Row],[DOB]],0)))</f>
        <v>22081988</v>
      </c>
      <c r="I1183" s="4">
        <f ca="1">IFERROR((VALUE(TODAY()-DATE(RIGHT(Demographics[[#This Row],[DOB - Fixed]],4),MID(Demographics[[#This Row],[DOB - Fixed]],3,2),LEFT(Demographics[[#This Row],[DOB - Fixed]],2))))/365,0)</f>
        <v>35.06849315068493</v>
      </c>
      <c r="J1183">
        <f>VLOOKUP(Demographics[[#This Row],[INCOME LEVEL]],Income[],4,FALSE)</f>
        <v>175</v>
      </c>
      <c r="K1183">
        <f>IFERROR(Demographics[[#This Row],[Total monthly income]]/Demographics[[#This Row],[FAMILY SIZE]], 0)</f>
        <v>35</v>
      </c>
    </row>
    <row r="1184" spans="1:11" x14ac:dyDescent="0.2">
      <c r="A1184">
        <v>18823397</v>
      </c>
      <c r="B1184">
        <v>10091988</v>
      </c>
      <c r="C1184">
        <v>5</v>
      </c>
      <c r="D1184">
        <v>2</v>
      </c>
      <c r="E1184">
        <v>2</v>
      </c>
      <c r="F1184">
        <v>9</v>
      </c>
      <c r="G1184">
        <v>5</v>
      </c>
      <c r="H1184" t="str">
        <f>IF(Demographics[[#This Row],[DOB]]&gt;10000000, TEXT(Demographics[[#This Row],[DOB]],0),CONCATENATE("0",TEXT(Demographics[[#This Row],[DOB]],0)))</f>
        <v>10091988</v>
      </c>
      <c r="I1184" s="4">
        <f ca="1">IFERROR((VALUE(TODAY()-DATE(RIGHT(Demographics[[#This Row],[DOB - Fixed]],4),MID(Demographics[[#This Row],[DOB - Fixed]],3,2),LEFT(Demographics[[#This Row],[DOB - Fixed]],2))))/365,0)</f>
        <v>35.016438356164386</v>
      </c>
      <c r="J1184">
        <f>VLOOKUP(Demographics[[#This Row],[INCOME LEVEL]],Income[],4,FALSE)</f>
        <v>697.5</v>
      </c>
      <c r="K1184">
        <f>IFERROR(Demographics[[#This Row],[Total monthly income]]/Demographics[[#This Row],[FAMILY SIZE]], 0)</f>
        <v>139.5</v>
      </c>
    </row>
    <row r="1185" spans="1:11" x14ac:dyDescent="0.2">
      <c r="A1185">
        <v>21695706</v>
      </c>
      <c r="B1185">
        <v>30081988</v>
      </c>
      <c r="C1185">
        <v>3</v>
      </c>
      <c r="D1185">
        <v>1</v>
      </c>
      <c r="E1185">
        <v>1</v>
      </c>
      <c r="F1185">
        <v>3</v>
      </c>
      <c r="G1185">
        <v>4</v>
      </c>
      <c r="H1185" t="str">
        <f>IF(Demographics[[#This Row],[DOB]]&gt;10000000, TEXT(Demographics[[#This Row],[DOB]],0),CONCATENATE("0",TEXT(Demographics[[#This Row],[DOB]],0)))</f>
        <v>30081988</v>
      </c>
      <c r="I1185" s="4">
        <f ca="1">IFERROR((VALUE(TODAY()-DATE(RIGHT(Demographics[[#This Row],[DOB - Fixed]],4),MID(Demographics[[#This Row],[DOB - Fixed]],3,2),LEFT(Demographics[[#This Row],[DOB - Fixed]],2))))/365,0)</f>
        <v>35.046575342465751</v>
      </c>
      <c r="J1185">
        <f>VLOOKUP(Demographics[[#This Row],[INCOME LEVEL]],Income[],4,FALSE)</f>
        <v>175</v>
      </c>
      <c r="K1185">
        <f>IFERROR(Demographics[[#This Row],[Total monthly income]]/Demographics[[#This Row],[FAMILY SIZE]], 0)</f>
        <v>58.333333333333336</v>
      </c>
    </row>
    <row r="1186" spans="1:11" x14ac:dyDescent="0.2">
      <c r="A1186">
        <v>10278664</v>
      </c>
      <c r="B1186">
        <v>29081988</v>
      </c>
      <c r="C1186">
        <v>3</v>
      </c>
      <c r="D1186">
        <v>2</v>
      </c>
      <c r="E1186">
        <v>2</v>
      </c>
      <c r="F1186">
        <v>5</v>
      </c>
      <c r="G1186">
        <v>2</v>
      </c>
      <c r="H1186" t="str">
        <f>IF(Demographics[[#This Row],[DOB]]&gt;10000000, TEXT(Demographics[[#This Row],[DOB]],0),CONCATENATE("0",TEXT(Demographics[[#This Row],[DOB]],0)))</f>
        <v>29081988</v>
      </c>
      <c r="I1186" s="4">
        <f ca="1">IFERROR((VALUE(TODAY()-DATE(RIGHT(Demographics[[#This Row],[DOB - Fixed]],4),MID(Demographics[[#This Row],[DOB - Fixed]],3,2),LEFT(Demographics[[#This Row],[DOB - Fixed]],2))))/365,0)</f>
        <v>35.049315068493151</v>
      </c>
      <c r="J1186">
        <f>VLOOKUP(Demographics[[#This Row],[INCOME LEVEL]],Income[],4,FALSE)</f>
        <v>697.5</v>
      </c>
      <c r="K1186">
        <f>IFERROR(Demographics[[#This Row],[Total monthly income]]/Demographics[[#This Row],[FAMILY SIZE]], 0)</f>
        <v>232.5</v>
      </c>
    </row>
    <row r="1187" spans="1:11" x14ac:dyDescent="0.2">
      <c r="A1187">
        <v>24265169</v>
      </c>
      <c r="B1187">
        <v>7091988</v>
      </c>
      <c r="C1187">
        <v>6</v>
      </c>
      <c r="D1187">
        <v>1</v>
      </c>
      <c r="E1187">
        <v>1</v>
      </c>
      <c r="F1187">
        <v>8</v>
      </c>
      <c r="G1187">
        <v>5</v>
      </c>
      <c r="H1187" t="str">
        <f>IF(Demographics[[#This Row],[DOB]]&gt;10000000, TEXT(Demographics[[#This Row],[DOB]],0),CONCATENATE("0",TEXT(Demographics[[#This Row],[DOB]],0)))</f>
        <v>07091988</v>
      </c>
      <c r="I1187" s="4">
        <f ca="1">IFERROR((VALUE(TODAY()-DATE(RIGHT(Demographics[[#This Row],[DOB - Fixed]],4),MID(Demographics[[#This Row],[DOB - Fixed]],3,2),LEFT(Demographics[[#This Row],[DOB - Fixed]],2))))/365,0)</f>
        <v>35.024657534246572</v>
      </c>
      <c r="J1187">
        <f>VLOOKUP(Demographics[[#This Row],[INCOME LEVEL]],Income[],4,FALSE)</f>
        <v>175</v>
      </c>
      <c r="K1187">
        <f>IFERROR(Demographics[[#This Row],[Total monthly income]]/Demographics[[#This Row],[FAMILY SIZE]], 0)</f>
        <v>29.166666666666668</v>
      </c>
    </row>
    <row r="1188" spans="1:11" x14ac:dyDescent="0.2">
      <c r="A1188">
        <v>13150647</v>
      </c>
      <c r="B1188">
        <v>7091988</v>
      </c>
      <c r="C1188">
        <v>5</v>
      </c>
      <c r="D1188">
        <v>3</v>
      </c>
      <c r="E1188">
        <v>2</v>
      </c>
      <c r="F1188">
        <v>5</v>
      </c>
      <c r="G1188">
        <v>10</v>
      </c>
      <c r="H1188" t="str">
        <f>IF(Demographics[[#This Row],[DOB]]&gt;10000000, TEXT(Demographics[[#This Row],[DOB]],0),CONCATENATE("0",TEXT(Demographics[[#This Row],[DOB]],0)))</f>
        <v>07091988</v>
      </c>
      <c r="I1188" s="4">
        <f ca="1">IFERROR((VALUE(TODAY()-DATE(RIGHT(Demographics[[#This Row],[DOB - Fixed]],4),MID(Demographics[[#This Row],[DOB - Fixed]],3,2),LEFT(Demographics[[#This Row],[DOB - Fixed]],2))))/365,0)</f>
        <v>35.024657534246572</v>
      </c>
      <c r="J1188">
        <f>VLOOKUP(Demographics[[#This Row],[INCOME LEVEL]],Income[],4,FALSE)</f>
        <v>697.5</v>
      </c>
      <c r="K1188">
        <f>IFERROR(Demographics[[#This Row],[Total monthly income]]/Demographics[[#This Row],[FAMILY SIZE]], 0)</f>
        <v>139.5</v>
      </c>
    </row>
    <row r="1189" spans="1:11" x14ac:dyDescent="0.2">
      <c r="A1189">
        <v>5573791</v>
      </c>
      <c r="B1189">
        <v>8091988</v>
      </c>
      <c r="C1189">
        <v>4</v>
      </c>
      <c r="D1189">
        <v>2</v>
      </c>
      <c r="E1189">
        <v>2</v>
      </c>
      <c r="F1189">
        <v>5</v>
      </c>
      <c r="G1189">
        <v>4</v>
      </c>
      <c r="H1189" t="str">
        <f>IF(Demographics[[#This Row],[DOB]]&gt;10000000, TEXT(Demographics[[#This Row],[DOB]],0),CONCATENATE("0",TEXT(Demographics[[#This Row],[DOB]],0)))</f>
        <v>08091988</v>
      </c>
      <c r="I1189" s="4">
        <f ca="1">IFERROR((VALUE(TODAY()-DATE(RIGHT(Demographics[[#This Row],[DOB - Fixed]],4),MID(Demographics[[#This Row],[DOB - Fixed]],3,2),LEFT(Demographics[[#This Row],[DOB - Fixed]],2))))/365,0)</f>
        <v>35.021917808219179</v>
      </c>
      <c r="J1189">
        <f>VLOOKUP(Demographics[[#This Row],[INCOME LEVEL]],Income[],4,FALSE)</f>
        <v>697.5</v>
      </c>
      <c r="K1189">
        <f>IFERROR(Demographics[[#This Row],[Total monthly income]]/Demographics[[#This Row],[FAMILY SIZE]], 0)</f>
        <v>174.375</v>
      </c>
    </row>
    <row r="1190" spans="1:11" x14ac:dyDescent="0.2">
      <c r="A1190">
        <v>10812923</v>
      </c>
      <c r="B1190">
        <v>16031988</v>
      </c>
      <c r="C1190">
        <v>7</v>
      </c>
      <c r="D1190">
        <v>1</v>
      </c>
      <c r="E1190">
        <v>1</v>
      </c>
      <c r="F1190">
        <v>3</v>
      </c>
      <c r="G1190">
        <v>3</v>
      </c>
      <c r="H1190" t="str">
        <f>IF(Demographics[[#This Row],[DOB]]&gt;10000000, TEXT(Demographics[[#This Row],[DOB]],0),CONCATENATE("0",TEXT(Demographics[[#This Row],[DOB]],0)))</f>
        <v>16031988</v>
      </c>
      <c r="I1190" s="4">
        <f ca="1">IFERROR((VALUE(TODAY()-DATE(RIGHT(Demographics[[#This Row],[DOB - Fixed]],4),MID(Demographics[[#This Row],[DOB - Fixed]],3,2),LEFT(Demographics[[#This Row],[DOB - Fixed]],2))))/365,0)</f>
        <v>35.504109589041093</v>
      </c>
      <c r="J1190">
        <f>VLOOKUP(Demographics[[#This Row],[INCOME LEVEL]],Income[],4,FALSE)</f>
        <v>175</v>
      </c>
      <c r="K1190">
        <f>IFERROR(Demographics[[#This Row],[Total monthly income]]/Demographics[[#This Row],[FAMILY SIZE]], 0)</f>
        <v>25</v>
      </c>
    </row>
    <row r="1191" spans="1:11" x14ac:dyDescent="0.2">
      <c r="A1191">
        <v>9744693</v>
      </c>
      <c r="B1191">
        <v>5091988</v>
      </c>
      <c r="C1191">
        <v>0</v>
      </c>
      <c r="D1191">
        <v>0</v>
      </c>
      <c r="E1191">
        <v>1</v>
      </c>
      <c r="F1191">
        <v>0</v>
      </c>
      <c r="G1191">
        <v>0</v>
      </c>
      <c r="H1191" t="str">
        <f>IF(Demographics[[#This Row],[DOB]]&gt;10000000, TEXT(Demographics[[#This Row],[DOB]],0),CONCATENATE("0",TEXT(Demographics[[#This Row],[DOB]],0)))</f>
        <v>05091988</v>
      </c>
      <c r="I1191" s="4">
        <f ca="1">IFERROR((VALUE(TODAY()-DATE(RIGHT(Demographics[[#This Row],[DOB - Fixed]],4),MID(Demographics[[#This Row],[DOB - Fixed]],3,2),LEFT(Demographics[[#This Row],[DOB - Fixed]],2))))/365,0)</f>
        <v>35.030136986301372</v>
      </c>
      <c r="J1191">
        <f>VLOOKUP(Demographics[[#This Row],[INCOME LEVEL]],Income[],4,FALSE)</f>
        <v>175</v>
      </c>
      <c r="K1191">
        <f>IFERROR(Demographics[[#This Row],[Total monthly income]]/Demographics[[#This Row],[FAMILY SIZE]], 0)</f>
        <v>0</v>
      </c>
    </row>
    <row r="1192" spans="1:11" x14ac:dyDescent="0.2">
      <c r="A1192">
        <v>9946404</v>
      </c>
      <c r="B1192">
        <v>9091988</v>
      </c>
      <c r="C1192">
        <v>7</v>
      </c>
      <c r="D1192">
        <v>1</v>
      </c>
      <c r="E1192">
        <v>1</v>
      </c>
      <c r="F1192">
        <v>5</v>
      </c>
      <c r="G1192">
        <v>3</v>
      </c>
      <c r="H1192" t="str">
        <f>IF(Demographics[[#This Row],[DOB]]&gt;10000000, TEXT(Demographics[[#This Row],[DOB]],0),CONCATENATE("0",TEXT(Demographics[[#This Row],[DOB]],0)))</f>
        <v>09091988</v>
      </c>
      <c r="I1192" s="4">
        <f ca="1">IFERROR((VALUE(TODAY()-DATE(RIGHT(Demographics[[#This Row],[DOB - Fixed]],4),MID(Demographics[[#This Row],[DOB - Fixed]],3,2),LEFT(Demographics[[#This Row],[DOB - Fixed]],2))))/365,0)</f>
        <v>35.019178082191779</v>
      </c>
      <c r="J1192">
        <f>VLOOKUP(Demographics[[#This Row],[INCOME LEVEL]],Income[],4,FALSE)</f>
        <v>175</v>
      </c>
      <c r="K1192">
        <f>IFERROR(Demographics[[#This Row],[Total monthly income]]/Demographics[[#This Row],[FAMILY SIZE]], 0)</f>
        <v>25</v>
      </c>
    </row>
    <row r="1193" spans="1:11" x14ac:dyDescent="0.2">
      <c r="A1193">
        <v>24698186</v>
      </c>
      <c r="B1193">
        <v>28081988</v>
      </c>
      <c r="C1193">
        <v>4</v>
      </c>
      <c r="D1193">
        <v>2</v>
      </c>
      <c r="E1193">
        <v>1</v>
      </c>
      <c r="F1193">
        <v>5</v>
      </c>
      <c r="G1193">
        <v>4</v>
      </c>
      <c r="H1193" t="str">
        <f>IF(Demographics[[#This Row],[DOB]]&gt;10000000, TEXT(Demographics[[#This Row],[DOB]],0),CONCATENATE("0",TEXT(Demographics[[#This Row],[DOB]],0)))</f>
        <v>28081988</v>
      </c>
      <c r="I1193" s="4">
        <f ca="1">IFERROR((VALUE(TODAY()-DATE(RIGHT(Demographics[[#This Row],[DOB - Fixed]],4),MID(Demographics[[#This Row],[DOB - Fixed]],3,2),LEFT(Demographics[[#This Row],[DOB - Fixed]],2))))/365,0)</f>
        <v>35.052054794520551</v>
      </c>
      <c r="J1193">
        <f>VLOOKUP(Demographics[[#This Row],[INCOME LEVEL]],Income[],4,FALSE)</f>
        <v>175</v>
      </c>
      <c r="K1193">
        <f>IFERROR(Demographics[[#This Row],[Total monthly income]]/Demographics[[#This Row],[FAMILY SIZE]], 0)</f>
        <v>43.75</v>
      </c>
    </row>
    <row r="1194" spans="1:11" x14ac:dyDescent="0.2">
      <c r="A1194">
        <v>8777812</v>
      </c>
      <c r="B1194">
        <v>23081988</v>
      </c>
      <c r="C1194">
        <v>5</v>
      </c>
      <c r="D1194">
        <v>1</v>
      </c>
      <c r="E1194">
        <v>1</v>
      </c>
      <c r="F1194">
        <v>3</v>
      </c>
      <c r="G1194">
        <v>3</v>
      </c>
      <c r="H1194" t="str">
        <f>IF(Demographics[[#This Row],[DOB]]&gt;10000000, TEXT(Demographics[[#This Row],[DOB]],0),CONCATENATE("0",TEXT(Demographics[[#This Row],[DOB]],0)))</f>
        <v>23081988</v>
      </c>
      <c r="I1194" s="4">
        <f ca="1">IFERROR((VALUE(TODAY()-DATE(RIGHT(Demographics[[#This Row],[DOB - Fixed]],4),MID(Demographics[[#This Row],[DOB - Fixed]],3,2),LEFT(Demographics[[#This Row],[DOB - Fixed]],2))))/365,0)</f>
        <v>35.065753424657537</v>
      </c>
      <c r="J1194">
        <f>VLOOKUP(Demographics[[#This Row],[INCOME LEVEL]],Income[],4,FALSE)</f>
        <v>175</v>
      </c>
      <c r="K1194">
        <f>IFERROR(Demographics[[#This Row],[Total monthly income]]/Demographics[[#This Row],[FAMILY SIZE]], 0)</f>
        <v>35</v>
      </c>
    </row>
    <row r="1195" spans="1:11" x14ac:dyDescent="0.2">
      <c r="A1195">
        <v>14652412</v>
      </c>
      <c r="B1195">
        <v>30081988</v>
      </c>
      <c r="C1195">
        <v>5</v>
      </c>
      <c r="D1195">
        <v>1</v>
      </c>
      <c r="E1195">
        <v>2</v>
      </c>
      <c r="F1195">
        <v>9</v>
      </c>
      <c r="G1195">
        <v>5</v>
      </c>
      <c r="H1195" t="str">
        <f>IF(Demographics[[#This Row],[DOB]]&gt;10000000, TEXT(Demographics[[#This Row],[DOB]],0),CONCATENATE("0",TEXT(Demographics[[#This Row],[DOB]],0)))</f>
        <v>30081988</v>
      </c>
      <c r="I1195" s="4">
        <f ca="1">IFERROR((VALUE(TODAY()-DATE(RIGHT(Demographics[[#This Row],[DOB - Fixed]],4),MID(Demographics[[#This Row],[DOB - Fixed]],3,2),LEFT(Demographics[[#This Row],[DOB - Fixed]],2))))/365,0)</f>
        <v>35.046575342465751</v>
      </c>
      <c r="J1195">
        <f>VLOOKUP(Demographics[[#This Row],[INCOME LEVEL]],Income[],4,FALSE)</f>
        <v>697.5</v>
      </c>
      <c r="K1195">
        <f>IFERROR(Demographics[[#This Row],[Total monthly income]]/Demographics[[#This Row],[FAMILY SIZE]], 0)</f>
        <v>139.5</v>
      </c>
    </row>
    <row r="1196" spans="1:11" x14ac:dyDescent="0.2">
      <c r="A1196">
        <v>11548972</v>
      </c>
      <c r="B1196">
        <v>12091988</v>
      </c>
      <c r="C1196">
        <v>4</v>
      </c>
      <c r="D1196">
        <v>2</v>
      </c>
      <c r="E1196">
        <v>2</v>
      </c>
      <c r="F1196">
        <v>5</v>
      </c>
      <c r="G1196">
        <v>5</v>
      </c>
      <c r="H1196" t="str">
        <f>IF(Demographics[[#This Row],[DOB]]&gt;10000000, TEXT(Demographics[[#This Row],[DOB]],0),CONCATENATE("0",TEXT(Demographics[[#This Row],[DOB]],0)))</f>
        <v>12091988</v>
      </c>
      <c r="I1196" s="4">
        <f ca="1">IFERROR((VALUE(TODAY()-DATE(RIGHT(Demographics[[#This Row],[DOB - Fixed]],4),MID(Demographics[[#This Row],[DOB - Fixed]],3,2),LEFT(Demographics[[#This Row],[DOB - Fixed]],2))))/365,0)</f>
        <v>35.010958904109586</v>
      </c>
      <c r="J1196">
        <f>VLOOKUP(Demographics[[#This Row],[INCOME LEVEL]],Income[],4,FALSE)</f>
        <v>697.5</v>
      </c>
      <c r="K1196">
        <f>IFERROR(Demographics[[#This Row],[Total monthly income]]/Demographics[[#This Row],[FAMILY SIZE]], 0)</f>
        <v>174.375</v>
      </c>
    </row>
    <row r="1197" spans="1:11" x14ac:dyDescent="0.2">
      <c r="A1197">
        <v>7175492</v>
      </c>
      <c r="B1197">
        <v>9091988</v>
      </c>
      <c r="C1197">
        <v>5</v>
      </c>
      <c r="D1197">
        <v>2</v>
      </c>
      <c r="E1197">
        <v>3</v>
      </c>
      <c r="F1197">
        <v>5</v>
      </c>
      <c r="G1197">
        <v>9</v>
      </c>
      <c r="H1197" t="str">
        <f>IF(Demographics[[#This Row],[DOB]]&gt;10000000, TEXT(Demographics[[#This Row],[DOB]],0),CONCATENATE("0",TEXT(Demographics[[#This Row],[DOB]],0)))</f>
        <v>09091988</v>
      </c>
      <c r="I1197" s="4">
        <f ca="1">IFERROR((VALUE(TODAY()-DATE(RIGHT(Demographics[[#This Row],[DOB - Fixed]],4),MID(Demographics[[#This Row],[DOB - Fixed]],3,2),LEFT(Demographics[[#This Row],[DOB - Fixed]],2))))/365,0)</f>
        <v>35.019178082191779</v>
      </c>
      <c r="J1197">
        <f>VLOOKUP(Demographics[[#This Row],[INCOME LEVEL]],Income[],4,FALSE)</f>
        <v>1397.5</v>
      </c>
      <c r="K1197">
        <f>IFERROR(Demographics[[#This Row],[Total monthly income]]/Demographics[[#This Row],[FAMILY SIZE]], 0)</f>
        <v>279.5</v>
      </c>
    </row>
    <row r="1198" spans="1:11" x14ac:dyDescent="0.2">
      <c r="A1198">
        <v>20960329</v>
      </c>
      <c r="B1198">
        <v>5091988</v>
      </c>
      <c r="C1198">
        <v>4</v>
      </c>
      <c r="D1198">
        <v>1</v>
      </c>
      <c r="E1198">
        <v>1</v>
      </c>
      <c r="F1198">
        <v>5</v>
      </c>
      <c r="G1198">
        <v>5</v>
      </c>
      <c r="H1198" t="str">
        <f>IF(Demographics[[#This Row],[DOB]]&gt;10000000, TEXT(Demographics[[#This Row],[DOB]],0),CONCATENATE("0",TEXT(Demographics[[#This Row],[DOB]],0)))</f>
        <v>05091988</v>
      </c>
      <c r="I1198" s="4">
        <f ca="1">IFERROR((VALUE(TODAY()-DATE(RIGHT(Demographics[[#This Row],[DOB - Fixed]],4),MID(Demographics[[#This Row],[DOB - Fixed]],3,2),LEFT(Demographics[[#This Row],[DOB - Fixed]],2))))/365,0)</f>
        <v>35.030136986301372</v>
      </c>
      <c r="J1198">
        <f>VLOOKUP(Demographics[[#This Row],[INCOME LEVEL]],Income[],4,FALSE)</f>
        <v>175</v>
      </c>
      <c r="K1198">
        <f>IFERROR(Demographics[[#This Row],[Total monthly income]]/Demographics[[#This Row],[FAMILY SIZE]], 0)</f>
        <v>43.75</v>
      </c>
    </row>
    <row r="1199" spans="1:11" x14ac:dyDescent="0.2">
      <c r="A1199">
        <v>11347369</v>
      </c>
      <c r="B1199">
        <v>9091988</v>
      </c>
      <c r="C1199">
        <v>5</v>
      </c>
      <c r="D1199">
        <v>1</v>
      </c>
      <c r="E1199">
        <v>1</v>
      </c>
      <c r="F1199">
        <v>7</v>
      </c>
      <c r="G1199">
        <v>9</v>
      </c>
      <c r="H1199" t="str">
        <f>IF(Demographics[[#This Row],[DOB]]&gt;10000000, TEXT(Demographics[[#This Row],[DOB]],0),CONCATENATE("0",TEXT(Demographics[[#This Row],[DOB]],0)))</f>
        <v>09091988</v>
      </c>
      <c r="I1199" s="4">
        <f ca="1">IFERROR((VALUE(TODAY()-DATE(RIGHT(Demographics[[#This Row],[DOB - Fixed]],4),MID(Demographics[[#This Row],[DOB - Fixed]],3,2),LEFT(Demographics[[#This Row],[DOB - Fixed]],2))))/365,0)</f>
        <v>35.019178082191779</v>
      </c>
      <c r="J1199">
        <f>VLOOKUP(Demographics[[#This Row],[INCOME LEVEL]],Income[],4,FALSE)</f>
        <v>175</v>
      </c>
      <c r="K1199">
        <f>IFERROR(Demographics[[#This Row],[Total monthly income]]/Demographics[[#This Row],[FAMILY SIZE]], 0)</f>
        <v>35</v>
      </c>
    </row>
    <row r="1200" spans="1:11" x14ac:dyDescent="0.2">
      <c r="A1200">
        <v>9210868</v>
      </c>
      <c r="B1200">
        <v>15091988</v>
      </c>
      <c r="C1200">
        <v>2</v>
      </c>
      <c r="D1200">
        <v>1</v>
      </c>
      <c r="E1200">
        <v>2</v>
      </c>
      <c r="F1200">
        <v>0</v>
      </c>
      <c r="G1200">
        <v>9</v>
      </c>
      <c r="H1200" t="str">
        <f>IF(Demographics[[#This Row],[DOB]]&gt;10000000, TEXT(Demographics[[#This Row],[DOB]],0),CONCATENATE("0",TEXT(Demographics[[#This Row],[DOB]],0)))</f>
        <v>15091988</v>
      </c>
      <c r="I1200" s="4">
        <f ca="1">IFERROR((VALUE(TODAY()-DATE(RIGHT(Demographics[[#This Row],[DOB - Fixed]],4),MID(Demographics[[#This Row],[DOB - Fixed]],3,2),LEFT(Demographics[[#This Row],[DOB - Fixed]],2))))/365,0)</f>
        <v>35.0027397260274</v>
      </c>
      <c r="J1200">
        <f>VLOOKUP(Demographics[[#This Row],[INCOME LEVEL]],Income[],4,FALSE)</f>
        <v>697.5</v>
      </c>
      <c r="K1200">
        <f>IFERROR(Demographics[[#This Row],[Total monthly income]]/Demographics[[#This Row],[FAMILY SIZE]], 0)</f>
        <v>348.75</v>
      </c>
    </row>
    <row r="1201" spans="1:11" x14ac:dyDescent="0.2">
      <c r="A1201">
        <v>16687334</v>
      </c>
      <c r="B1201">
        <v>20071988</v>
      </c>
      <c r="C1201">
        <v>5</v>
      </c>
      <c r="D1201">
        <v>1</v>
      </c>
      <c r="E1201">
        <v>1</v>
      </c>
      <c r="F1201">
        <v>6</v>
      </c>
      <c r="G1201">
        <v>5</v>
      </c>
      <c r="H1201" t="str">
        <f>IF(Demographics[[#This Row],[DOB]]&gt;10000000, TEXT(Demographics[[#This Row],[DOB]],0),CONCATENATE("0",TEXT(Demographics[[#This Row],[DOB]],0)))</f>
        <v>20071988</v>
      </c>
      <c r="I1201" s="4">
        <f ca="1">IFERROR((VALUE(TODAY()-DATE(RIGHT(Demographics[[#This Row],[DOB - Fixed]],4),MID(Demographics[[#This Row],[DOB - Fixed]],3,2),LEFT(Demographics[[#This Row],[DOB - Fixed]],2))))/365,0)</f>
        <v>35.158904109589038</v>
      </c>
      <c r="J1201">
        <f>VLOOKUP(Demographics[[#This Row],[INCOME LEVEL]],Income[],4,FALSE)</f>
        <v>175</v>
      </c>
      <c r="K1201">
        <f>IFERROR(Demographics[[#This Row],[Total monthly income]]/Demographics[[#This Row],[FAMILY SIZE]], 0)</f>
        <v>35</v>
      </c>
    </row>
    <row r="1202" spans="1:11" x14ac:dyDescent="0.2">
      <c r="A1202">
        <v>22562651</v>
      </c>
      <c r="B1202">
        <v>9081988</v>
      </c>
      <c r="C1202">
        <v>3</v>
      </c>
      <c r="D1202">
        <v>0</v>
      </c>
      <c r="E1202">
        <v>1</v>
      </c>
      <c r="F1202">
        <v>2</v>
      </c>
      <c r="G1202">
        <v>2</v>
      </c>
      <c r="H1202" t="str">
        <f>IF(Demographics[[#This Row],[DOB]]&gt;10000000, TEXT(Demographics[[#This Row],[DOB]],0),CONCATENATE("0",TEXT(Demographics[[#This Row],[DOB]],0)))</f>
        <v>09081988</v>
      </c>
      <c r="I1202" s="4">
        <f ca="1">IFERROR((VALUE(TODAY()-DATE(RIGHT(Demographics[[#This Row],[DOB - Fixed]],4),MID(Demographics[[#This Row],[DOB - Fixed]],3,2),LEFT(Demographics[[#This Row],[DOB - Fixed]],2))))/365,0)</f>
        <v>35.104109589041094</v>
      </c>
      <c r="J1202">
        <f>VLOOKUP(Demographics[[#This Row],[INCOME LEVEL]],Income[],4,FALSE)</f>
        <v>175</v>
      </c>
      <c r="K1202">
        <f>IFERROR(Demographics[[#This Row],[Total monthly income]]/Demographics[[#This Row],[FAMILY SIZE]], 0)</f>
        <v>58.333333333333336</v>
      </c>
    </row>
    <row r="1203" spans="1:11" x14ac:dyDescent="0.2">
      <c r="A1203">
        <v>4403857</v>
      </c>
      <c r="B1203">
        <v>13091988</v>
      </c>
      <c r="C1203">
        <v>3</v>
      </c>
      <c r="D1203">
        <v>2</v>
      </c>
      <c r="E1203">
        <v>2</v>
      </c>
      <c r="F1203">
        <v>7</v>
      </c>
      <c r="G1203">
        <v>6</v>
      </c>
      <c r="H1203" t="str">
        <f>IF(Demographics[[#This Row],[DOB]]&gt;10000000, TEXT(Demographics[[#This Row],[DOB]],0),CONCATENATE("0",TEXT(Demographics[[#This Row],[DOB]],0)))</f>
        <v>13091988</v>
      </c>
      <c r="I1203" s="4">
        <f ca="1">IFERROR((VALUE(TODAY()-DATE(RIGHT(Demographics[[#This Row],[DOB - Fixed]],4),MID(Demographics[[#This Row],[DOB - Fixed]],3,2),LEFT(Demographics[[#This Row],[DOB - Fixed]],2))))/365,0)</f>
        <v>35.008219178082193</v>
      </c>
      <c r="J1203">
        <f>VLOOKUP(Demographics[[#This Row],[INCOME LEVEL]],Income[],4,FALSE)</f>
        <v>697.5</v>
      </c>
      <c r="K1203">
        <f>IFERROR(Demographics[[#This Row],[Total monthly income]]/Demographics[[#This Row],[FAMILY SIZE]], 0)</f>
        <v>232.5</v>
      </c>
    </row>
    <row r="1204" spans="1:11" x14ac:dyDescent="0.2">
      <c r="A1204">
        <v>4937934</v>
      </c>
      <c r="B1204">
        <v>19091988</v>
      </c>
      <c r="C1204">
        <v>4</v>
      </c>
      <c r="D1204">
        <v>1</v>
      </c>
      <c r="E1204">
        <v>2</v>
      </c>
      <c r="F1204">
        <v>4</v>
      </c>
      <c r="G1204">
        <v>2</v>
      </c>
      <c r="H1204" t="str">
        <f>IF(Demographics[[#This Row],[DOB]]&gt;10000000, TEXT(Demographics[[#This Row],[DOB]],0),CONCATENATE("0",TEXT(Demographics[[#This Row],[DOB]],0)))</f>
        <v>19091988</v>
      </c>
      <c r="I1204" s="4">
        <f ca="1">IFERROR((VALUE(TODAY()-DATE(RIGHT(Demographics[[#This Row],[DOB - Fixed]],4),MID(Demographics[[#This Row],[DOB - Fixed]],3,2),LEFT(Demographics[[#This Row],[DOB - Fixed]],2))))/365,0)</f>
        <v>34.991780821917807</v>
      </c>
      <c r="J1204">
        <f>VLOOKUP(Demographics[[#This Row],[INCOME LEVEL]],Income[],4,FALSE)</f>
        <v>697.5</v>
      </c>
      <c r="K1204">
        <f>IFERROR(Demographics[[#This Row],[Total monthly income]]/Demographics[[#This Row],[FAMILY SIZE]], 0)</f>
        <v>174.375</v>
      </c>
    </row>
    <row r="1205" spans="1:11" x14ac:dyDescent="0.2">
      <c r="A1205">
        <v>12415482</v>
      </c>
      <c r="B1205">
        <v>12091988</v>
      </c>
      <c r="C1205">
        <v>4</v>
      </c>
      <c r="D1205">
        <v>2</v>
      </c>
      <c r="E1205">
        <v>2</v>
      </c>
      <c r="F1205">
        <v>4</v>
      </c>
      <c r="G1205">
        <v>5</v>
      </c>
      <c r="H1205" t="str">
        <f>IF(Demographics[[#This Row],[DOB]]&gt;10000000, TEXT(Demographics[[#This Row],[DOB]],0),CONCATENATE("0",TEXT(Demographics[[#This Row],[DOB]],0)))</f>
        <v>12091988</v>
      </c>
      <c r="I1205" s="4">
        <f ca="1">IFERROR((VALUE(TODAY()-DATE(RIGHT(Demographics[[#This Row],[DOB - Fixed]],4),MID(Demographics[[#This Row],[DOB - Fixed]],3,2),LEFT(Demographics[[#This Row],[DOB - Fixed]],2))))/365,0)</f>
        <v>35.010958904109586</v>
      </c>
      <c r="J1205">
        <f>VLOOKUP(Demographics[[#This Row],[INCOME LEVEL]],Income[],4,FALSE)</f>
        <v>697.5</v>
      </c>
      <c r="K1205">
        <f>IFERROR(Demographics[[#This Row],[Total monthly income]]/Demographics[[#This Row],[FAMILY SIZE]], 0)</f>
        <v>174.375</v>
      </c>
    </row>
    <row r="1206" spans="1:11" x14ac:dyDescent="0.2">
      <c r="A1206">
        <v>9312065</v>
      </c>
      <c r="B1206">
        <v>5091988</v>
      </c>
      <c r="C1206">
        <v>4</v>
      </c>
      <c r="D1206">
        <v>1</v>
      </c>
      <c r="E1206">
        <v>3</v>
      </c>
      <c r="F1206">
        <v>8</v>
      </c>
      <c r="G1206">
        <v>5</v>
      </c>
      <c r="H1206" t="str">
        <f>IF(Demographics[[#This Row],[DOB]]&gt;10000000, TEXT(Demographics[[#This Row],[DOB]],0),CONCATENATE("0",TEXT(Demographics[[#This Row],[DOB]],0)))</f>
        <v>05091988</v>
      </c>
      <c r="I1206" s="4">
        <f ca="1">IFERROR((VALUE(TODAY()-DATE(RIGHT(Demographics[[#This Row],[DOB - Fixed]],4),MID(Demographics[[#This Row],[DOB - Fixed]],3,2),LEFT(Demographics[[#This Row],[DOB - Fixed]],2))))/365,0)</f>
        <v>35.030136986301372</v>
      </c>
      <c r="J1206">
        <f>VLOOKUP(Demographics[[#This Row],[INCOME LEVEL]],Income[],4,FALSE)</f>
        <v>1397.5</v>
      </c>
      <c r="K1206">
        <f>IFERROR(Demographics[[#This Row],[Total monthly income]]/Demographics[[#This Row],[FAMILY SIZE]], 0)</f>
        <v>349.375</v>
      </c>
    </row>
    <row r="1207" spans="1:11" x14ac:dyDescent="0.2">
      <c r="A1207">
        <v>15186166</v>
      </c>
      <c r="B1207">
        <v>19081988</v>
      </c>
      <c r="C1207">
        <v>5</v>
      </c>
      <c r="D1207">
        <v>2</v>
      </c>
      <c r="E1207">
        <v>2</v>
      </c>
      <c r="F1207">
        <v>2</v>
      </c>
      <c r="G1207">
        <v>5</v>
      </c>
      <c r="H1207" t="str">
        <f>IF(Demographics[[#This Row],[DOB]]&gt;10000000, TEXT(Demographics[[#This Row],[DOB]],0),CONCATENATE("0",TEXT(Demographics[[#This Row],[DOB]],0)))</f>
        <v>19081988</v>
      </c>
      <c r="I1207" s="4">
        <f ca="1">IFERROR((VALUE(TODAY()-DATE(RIGHT(Demographics[[#This Row],[DOB - Fixed]],4),MID(Demographics[[#This Row],[DOB - Fixed]],3,2),LEFT(Demographics[[#This Row],[DOB - Fixed]],2))))/365,0)</f>
        <v>35.076712328767123</v>
      </c>
      <c r="J1207">
        <f>VLOOKUP(Demographics[[#This Row],[INCOME LEVEL]],Income[],4,FALSE)</f>
        <v>697.5</v>
      </c>
      <c r="K1207">
        <f>IFERROR(Demographics[[#This Row],[Total monthly income]]/Demographics[[#This Row],[FAMILY SIZE]], 0)</f>
        <v>139.5</v>
      </c>
    </row>
    <row r="1208" spans="1:11" x14ac:dyDescent="0.2">
      <c r="A1208">
        <v>3971528</v>
      </c>
      <c r="B1208">
        <v>17091988</v>
      </c>
      <c r="C1208">
        <v>5</v>
      </c>
      <c r="D1208">
        <v>2</v>
      </c>
      <c r="E1208">
        <v>2</v>
      </c>
      <c r="F1208">
        <v>5</v>
      </c>
      <c r="G1208">
        <v>9</v>
      </c>
      <c r="H1208" t="str">
        <f>IF(Demographics[[#This Row],[DOB]]&gt;10000000, TEXT(Demographics[[#This Row],[DOB]],0),CONCATENATE("0",TEXT(Demographics[[#This Row],[DOB]],0)))</f>
        <v>17091988</v>
      </c>
      <c r="I1208" s="4">
        <f ca="1">IFERROR((VALUE(TODAY()-DATE(RIGHT(Demographics[[#This Row],[DOB - Fixed]],4),MID(Demographics[[#This Row],[DOB - Fixed]],3,2),LEFT(Demographics[[#This Row],[DOB - Fixed]],2))))/365,0)</f>
        <v>34.9972602739726</v>
      </c>
      <c r="J1208">
        <f>VLOOKUP(Demographics[[#This Row],[INCOME LEVEL]],Income[],4,FALSE)</f>
        <v>697.5</v>
      </c>
      <c r="K1208">
        <f>IFERROR(Demographics[[#This Row],[Total monthly income]]/Demographics[[#This Row],[FAMILY SIZE]], 0)</f>
        <v>139.5</v>
      </c>
    </row>
    <row r="1209" spans="1:11" x14ac:dyDescent="0.2">
      <c r="A1209">
        <v>14752906</v>
      </c>
      <c r="B1209">
        <v>9091988</v>
      </c>
      <c r="C1209">
        <v>5</v>
      </c>
      <c r="D1209">
        <v>1</v>
      </c>
      <c r="E1209">
        <v>2</v>
      </c>
      <c r="F1209">
        <v>7</v>
      </c>
      <c r="G1209">
        <v>7</v>
      </c>
      <c r="H1209" t="str">
        <f>IF(Demographics[[#This Row],[DOB]]&gt;10000000, TEXT(Demographics[[#This Row],[DOB]],0),CONCATENATE("0",TEXT(Demographics[[#This Row],[DOB]],0)))</f>
        <v>09091988</v>
      </c>
      <c r="I1209" s="4">
        <f ca="1">IFERROR((VALUE(TODAY()-DATE(RIGHT(Demographics[[#This Row],[DOB - Fixed]],4),MID(Demographics[[#This Row],[DOB - Fixed]],3,2),LEFT(Demographics[[#This Row],[DOB - Fixed]],2))))/365,0)</f>
        <v>35.019178082191779</v>
      </c>
      <c r="J1209">
        <f>VLOOKUP(Demographics[[#This Row],[INCOME LEVEL]],Income[],4,FALSE)</f>
        <v>697.5</v>
      </c>
      <c r="K1209">
        <f>IFERROR(Demographics[[#This Row],[Total monthly income]]/Demographics[[#This Row],[FAMILY SIZE]], 0)</f>
        <v>139.5</v>
      </c>
    </row>
    <row r="1210" spans="1:11" x14ac:dyDescent="0.2">
      <c r="A1210">
        <v>19993359</v>
      </c>
      <c r="B1210">
        <v>20091988</v>
      </c>
      <c r="C1210">
        <v>3</v>
      </c>
      <c r="D1210">
        <v>2</v>
      </c>
      <c r="E1210">
        <v>3</v>
      </c>
      <c r="F1210">
        <v>7</v>
      </c>
      <c r="G1210">
        <v>7</v>
      </c>
      <c r="H1210" t="str">
        <f>IF(Demographics[[#This Row],[DOB]]&gt;10000000, TEXT(Demographics[[#This Row],[DOB]],0),CONCATENATE("0",TEXT(Demographics[[#This Row],[DOB]],0)))</f>
        <v>20091988</v>
      </c>
      <c r="I1210" s="4">
        <f ca="1">IFERROR((VALUE(TODAY()-DATE(RIGHT(Demographics[[#This Row],[DOB - Fixed]],4),MID(Demographics[[#This Row],[DOB - Fixed]],3,2),LEFT(Demographics[[#This Row],[DOB - Fixed]],2))))/365,0)</f>
        <v>34.989041095890414</v>
      </c>
      <c r="J1210">
        <f>VLOOKUP(Demographics[[#This Row],[INCOME LEVEL]],Income[],4,FALSE)</f>
        <v>1397.5</v>
      </c>
      <c r="K1210">
        <f>IFERROR(Demographics[[#This Row],[Total monthly income]]/Demographics[[#This Row],[FAMILY SIZE]], 0)</f>
        <v>465.83333333333331</v>
      </c>
    </row>
    <row r="1211" spans="1:11" x14ac:dyDescent="0.2">
      <c r="A1211">
        <v>3870235</v>
      </c>
      <c r="B1211">
        <v>1091988</v>
      </c>
      <c r="C1211">
        <v>3</v>
      </c>
      <c r="D1211">
        <v>2</v>
      </c>
      <c r="E1211">
        <v>4</v>
      </c>
      <c r="F1211">
        <v>7</v>
      </c>
      <c r="G1211">
        <v>9</v>
      </c>
      <c r="H1211" t="str">
        <f>IF(Demographics[[#This Row],[DOB]]&gt;10000000, TEXT(Demographics[[#This Row],[DOB]],0),CONCATENATE("0",TEXT(Demographics[[#This Row],[DOB]],0)))</f>
        <v>01091988</v>
      </c>
      <c r="I1211" s="4">
        <f ca="1">IFERROR((VALUE(TODAY()-DATE(RIGHT(Demographics[[#This Row],[DOB - Fixed]],4),MID(Demographics[[#This Row],[DOB - Fixed]],3,2),LEFT(Demographics[[#This Row],[DOB - Fixed]],2))))/365,0)</f>
        <v>35.041095890410958</v>
      </c>
      <c r="J1211">
        <f>VLOOKUP(Demographics[[#This Row],[INCOME LEVEL]],Income[],4,FALSE)</f>
        <v>2100</v>
      </c>
      <c r="K1211">
        <f>IFERROR(Demographics[[#This Row],[Total monthly income]]/Demographics[[#This Row],[FAMILY SIZE]], 0)</f>
        <v>700</v>
      </c>
    </row>
    <row r="1212" spans="1:11" x14ac:dyDescent="0.2">
      <c r="A1212">
        <v>8878400</v>
      </c>
      <c r="B1212">
        <v>19091988</v>
      </c>
      <c r="C1212">
        <v>4</v>
      </c>
      <c r="D1212">
        <v>1</v>
      </c>
      <c r="E1212">
        <v>1</v>
      </c>
      <c r="F1212">
        <v>3</v>
      </c>
      <c r="G1212">
        <v>2</v>
      </c>
      <c r="H1212" t="str">
        <f>IF(Demographics[[#This Row],[DOB]]&gt;10000000, TEXT(Demographics[[#This Row],[DOB]],0),CONCATENATE("0",TEXT(Demographics[[#This Row],[DOB]],0)))</f>
        <v>19091988</v>
      </c>
      <c r="I1212" s="4">
        <f ca="1">IFERROR((VALUE(TODAY()-DATE(RIGHT(Demographics[[#This Row],[DOB - Fixed]],4),MID(Demographics[[#This Row],[DOB - Fixed]],3,2),LEFT(Demographics[[#This Row],[DOB - Fixed]],2))))/365,0)</f>
        <v>34.991780821917807</v>
      </c>
      <c r="J1212">
        <f>VLOOKUP(Demographics[[#This Row],[INCOME LEVEL]],Income[],4,FALSE)</f>
        <v>175</v>
      </c>
      <c r="K1212">
        <f>IFERROR(Demographics[[#This Row],[Total monthly income]]/Demographics[[#This Row],[FAMILY SIZE]], 0)</f>
        <v>43.75</v>
      </c>
    </row>
    <row r="1213" spans="1:11" x14ac:dyDescent="0.2">
      <c r="A1213">
        <v>17956806</v>
      </c>
      <c r="B1213">
        <v>18091988</v>
      </c>
      <c r="C1213">
        <v>5</v>
      </c>
      <c r="D1213">
        <v>1</v>
      </c>
      <c r="E1213">
        <v>1</v>
      </c>
      <c r="F1213">
        <v>9</v>
      </c>
      <c r="G1213">
        <v>5</v>
      </c>
      <c r="H1213" t="str">
        <f>IF(Demographics[[#This Row],[DOB]]&gt;10000000, TEXT(Demographics[[#This Row],[DOB]],0),CONCATENATE("0",TEXT(Demographics[[#This Row],[DOB]],0)))</f>
        <v>18091988</v>
      </c>
      <c r="I1213" s="4">
        <f ca="1">IFERROR((VALUE(TODAY()-DATE(RIGHT(Demographics[[#This Row],[DOB - Fixed]],4),MID(Demographics[[#This Row],[DOB - Fixed]],3,2),LEFT(Demographics[[#This Row],[DOB - Fixed]],2))))/365,0)</f>
        <v>34.994520547945207</v>
      </c>
      <c r="J1213">
        <f>VLOOKUP(Demographics[[#This Row],[INCOME LEVEL]],Income[],4,FALSE)</f>
        <v>175</v>
      </c>
      <c r="K1213">
        <f>IFERROR(Demographics[[#This Row],[Total monthly income]]/Demographics[[#This Row],[FAMILY SIZE]], 0)</f>
        <v>35</v>
      </c>
    </row>
    <row r="1214" spans="1:11" x14ac:dyDescent="0.2">
      <c r="A1214">
        <v>6641905</v>
      </c>
      <c r="B1214">
        <v>16091988</v>
      </c>
      <c r="C1214">
        <v>5</v>
      </c>
      <c r="D1214">
        <v>4</v>
      </c>
      <c r="E1214">
        <v>1</v>
      </c>
      <c r="F1214">
        <v>3</v>
      </c>
      <c r="G1214">
        <v>3</v>
      </c>
      <c r="H1214" t="str">
        <f>IF(Demographics[[#This Row],[DOB]]&gt;10000000, TEXT(Demographics[[#This Row],[DOB]],0),CONCATENATE("0",TEXT(Demographics[[#This Row],[DOB]],0)))</f>
        <v>16091988</v>
      </c>
      <c r="I1214" s="4">
        <f ca="1">IFERROR((VALUE(TODAY()-DATE(RIGHT(Demographics[[#This Row],[DOB - Fixed]],4),MID(Demographics[[#This Row],[DOB - Fixed]],3,2),LEFT(Demographics[[#This Row],[DOB - Fixed]],2))))/365,0)</f>
        <v>35</v>
      </c>
      <c r="J1214">
        <f>VLOOKUP(Demographics[[#This Row],[INCOME LEVEL]],Income[],4,FALSE)</f>
        <v>175</v>
      </c>
      <c r="K1214">
        <f>IFERROR(Demographics[[#This Row],[Total monthly income]]/Demographics[[#This Row],[FAMILY SIZE]], 0)</f>
        <v>35</v>
      </c>
    </row>
    <row r="1215" spans="1:11" x14ac:dyDescent="0.2">
      <c r="A1215">
        <v>11448363</v>
      </c>
      <c r="B1215">
        <v>21091988</v>
      </c>
      <c r="C1215">
        <v>5</v>
      </c>
      <c r="D1215">
        <v>2</v>
      </c>
      <c r="E1215">
        <v>2</v>
      </c>
      <c r="F1215">
        <v>8</v>
      </c>
      <c r="G1215">
        <v>9</v>
      </c>
      <c r="H1215" t="str">
        <f>IF(Demographics[[#This Row],[DOB]]&gt;10000000, TEXT(Demographics[[#This Row],[DOB]],0),CONCATENATE("0",TEXT(Demographics[[#This Row],[DOB]],0)))</f>
        <v>21091988</v>
      </c>
      <c r="I1215" s="4">
        <f ca="1">IFERROR((VALUE(TODAY()-DATE(RIGHT(Demographics[[#This Row],[DOB - Fixed]],4),MID(Demographics[[#This Row],[DOB - Fixed]],3,2),LEFT(Demographics[[#This Row],[DOB - Fixed]],2))))/365,0)</f>
        <v>34.986301369863014</v>
      </c>
      <c r="J1215">
        <f>VLOOKUP(Demographics[[#This Row],[INCOME LEVEL]],Income[],4,FALSE)</f>
        <v>697.5</v>
      </c>
      <c r="K1215">
        <f>IFERROR(Demographics[[#This Row],[Total monthly income]]/Demographics[[#This Row],[FAMILY SIZE]], 0)</f>
        <v>139.5</v>
      </c>
    </row>
    <row r="1216" spans="1:11" x14ac:dyDescent="0.2">
      <c r="A1216">
        <v>13684744</v>
      </c>
      <c r="B1216">
        <v>12091988</v>
      </c>
      <c r="C1216">
        <v>4</v>
      </c>
      <c r="D1216">
        <v>2</v>
      </c>
      <c r="E1216">
        <v>2</v>
      </c>
      <c r="F1216">
        <v>5</v>
      </c>
      <c r="G1216">
        <v>5</v>
      </c>
      <c r="H1216" t="str">
        <f>IF(Demographics[[#This Row],[DOB]]&gt;10000000, TEXT(Demographics[[#This Row],[DOB]],0),CONCATENATE("0",TEXT(Demographics[[#This Row],[DOB]],0)))</f>
        <v>12091988</v>
      </c>
      <c r="I1216" s="4">
        <f ca="1">IFERROR((VALUE(TODAY()-DATE(RIGHT(Demographics[[#This Row],[DOB - Fixed]],4),MID(Demographics[[#This Row],[DOB - Fixed]],3,2),LEFT(Demographics[[#This Row],[DOB - Fixed]],2))))/365,0)</f>
        <v>35.010958904109586</v>
      </c>
      <c r="J1216">
        <f>VLOOKUP(Demographics[[#This Row],[INCOME LEVEL]],Income[],4,FALSE)</f>
        <v>697.5</v>
      </c>
      <c r="K1216">
        <f>IFERROR(Demographics[[#This Row],[Total monthly income]]/Demographics[[#This Row],[FAMILY SIZE]], 0)</f>
        <v>174.375</v>
      </c>
    </row>
    <row r="1217" spans="1:11" x14ac:dyDescent="0.2">
      <c r="A1217">
        <v>2369132</v>
      </c>
      <c r="B1217">
        <v>21091988</v>
      </c>
      <c r="C1217">
        <v>5</v>
      </c>
      <c r="D1217">
        <v>1</v>
      </c>
      <c r="E1217">
        <v>1</v>
      </c>
      <c r="F1217">
        <v>5</v>
      </c>
      <c r="G1217">
        <v>5</v>
      </c>
      <c r="H1217" t="str">
        <f>IF(Demographics[[#This Row],[DOB]]&gt;10000000, TEXT(Demographics[[#This Row],[DOB]],0),CONCATENATE("0",TEXT(Demographics[[#This Row],[DOB]],0)))</f>
        <v>21091988</v>
      </c>
      <c r="I1217" s="4">
        <f ca="1">IFERROR((VALUE(TODAY()-DATE(RIGHT(Demographics[[#This Row],[DOB - Fixed]],4),MID(Demographics[[#This Row],[DOB - Fixed]],3,2),LEFT(Demographics[[#This Row],[DOB - Fixed]],2))))/365,0)</f>
        <v>34.986301369863014</v>
      </c>
      <c r="J1217">
        <f>VLOOKUP(Demographics[[#This Row],[INCOME LEVEL]],Income[],4,FALSE)</f>
        <v>175</v>
      </c>
      <c r="K1217">
        <f>IFERROR(Demographics[[#This Row],[Total monthly income]]/Demographics[[#This Row],[FAMILY SIZE]], 0)</f>
        <v>35</v>
      </c>
    </row>
    <row r="1218" spans="1:11" x14ac:dyDescent="0.2">
      <c r="A1218">
        <v>1935754</v>
      </c>
      <c r="B1218">
        <v>14091988</v>
      </c>
      <c r="C1218">
        <v>3</v>
      </c>
      <c r="D1218">
        <v>1</v>
      </c>
      <c r="E1218">
        <v>1</v>
      </c>
      <c r="F1218">
        <v>4</v>
      </c>
      <c r="G1218">
        <v>3</v>
      </c>
      <c r="H1218" t="str">
        <f>IF(Demographics[[#This Row],[DOB]]&gt;10000000, TEXT(Demographics[[#This Row],[DOB]],0),CONCATENATE("0",TEXT(Demographics[[#This Row],[DOB]],0)))</f>
        <v>14091988</v>
      </c>
      <c r="I1218" s="4">
        <f ca="1">IFERROR((VALUE(TODAY()-DATE(RIGHT(Demographics[[#This Row],[DOB - Fixed]],4),MID(Demographics[[#This Row],[DOB - Fixed]],3,2),LEFT(Demographics[[#This Row],[DOB - Fixed]],2))))/365,0)</f>
        <v>35.005479452054793</v>
      </c>
      <c r="J1218">
        <f>VLOOKUP(Demographics[[#This Row],[INCOME LEVEL]],Income[],4,FALSE)</f>
        <v>175</v>
      </c>
      <c r="K1218">
        <f>IFERROR(Demographics[[#This Row],[Total monthly income]]/Demographics[[#This Row],[FAMILY SIZE]], 0)</f>
        <v>58.333333333333336</v>
      </c>
    </row>
    <row r="1219" spans="1:11" x14ac:dyDescent="0.2">
      <c r="A1219">
        <v>16354614</v>
      </c>
      <c r="B1219">
        <v>13091988</v>
      </c>
      <c r="C1219">
        <v>4</v>
      </c>
      <c r="D1219">
        <v>1</v>
      </c>
      <c r="E1219">
        <v>2</v>
      </c>
      <c r="F1219">
        <v>9</v>
      </c>
      <c r="G1219">
        <v>5</v>
      </c>
      <c r="H1219" t="str">
        <f>IF(Demographics[[#This Row],[DOB]]&gt;10000000, TEXT(Demographics[[#This Row],[DOB]],0),CONCATENATE("0",TEXT(Demographics[[#This Row],[DOB]],0)))</f>
        <v>13091988</v>
      </c>
      <c r="I1219" s="4">
        <f ca="1">IFERROR((VALUE(TODAY()-DATE(RIGHT(Demographics[[#This Row],[DOB - Fixed]],4),MID(Demographics[[#This Row],[DOB - Fixed]],3,2),LEFT(Demographics[[#This Row],[DOB - Fixed]],2))))/365,0)</f>
        <v>35.008219178082193</v>
      </c>
      <c r="J1219">
        <f>VLOOKUP(Demographics[[#This Row],[INCOME LEVEL]],Income[],4,FALSE)</f>
        <v>697.5</v>
      </c>
      <c r="K1219">
        <f>IFERROR(Demographics[[#This Row],[Total monthly income]]/Demographics[[#This Row],[FAMILY SIZE]], 0)</f>
        <v>174.375</v>
      </c>
    </row>
    <row r="1220" spans="1:11" x14ac:dyDescent="0.2">
      <c r="A1220">
        <v>22663743</v>
      </c>
      <c r="B1220">
        <v>18091988</v>
      </c>
      <c r="C1220">
        <v>6</v>
      </c>
      <c r="D1220">
        <v>1</v>
      </c>
      <c r="E1220">
        <v>1</v>
      </c>
      <c r="F1220">
        <v>5</v>
      </c>
      <c r="G1220">
        <v>5</v>
      </c>
      <c r="H1220" t="str">
        <f>IF(Demographics[[#This Row],[DOB]]&gt;10000000, TEXT(Demographics[[#This Row],[DOB]],0),CONCATENATE("0",TEXT(Demographics[[#This Row],[DOB]],0)))</f>
        <v>18091988</v>
      </c>
      <c r="I1220" s="4">
        <f ca="1">IFERROR((VALUE(TODAY()-DATE(RIGHT(Demographics[[#This Row],[DOB - Fixed]],4),MID(Demographics[[#This Row],[DOB - Fixed]],3,2),LEFT(Demographics[[#This Row],[DOB - Fixed]],2))))/365,0)</f>
        <v>34.994520547945207</v>
      </c>
      <c r="J1220">
        <f>VLOOKUP(Demographics[[#This Row],[INCOME LEVEL]],Income[],4,FALSE)</f>
        <v>175</v>
      </c>
      <c r="K1220">
        <f>IFERROR(Demographics[[#This Row],[Total monthly income]]/Demographics[[#This Row],[FAMILY SIZE]], 0)</f>
        <v>29.166666666666668</v>
      </c>
    </row>
    <row r="1221" spans="1:11" x14ac:dyDescent="0.2">
      <c r="A1221">
        <v>2903436</v>
      </c>
      <c r="B1221">
        <v>23091988</v>
      </c>
      <c r="C1221">
        <v>4</v>
      </c>
      <c r="D1221">
        <v>1</v>
      </c>
      <c r="E1221">
        <v>2</v>
      </c>
      <c r="F1221">
        <v>8</v>
      </c>
      <c r="G1221">
        <v>8</v>
      </c>
      <c r="H1221" t="str">
        <f>IF(Demographics[[#This Row],[DOB]]&gt;10000000, TEXT(Demographics[[#This Row],[DOB]],0),CONCATENATE("0",TEXT(Demographics[[#This Row],[DOB]],0)))</f>
        <v>23091988</v>
      </c>
      <c r="I1221" s="4">
        <f ca="1">IFERROR((VALUE(TODAY()-DATE(RIGHT(Demographics[[#This Row],[DOB - Fixed]],4),MID(Demographics[[#This Row],[DOB - Fixed]],3,2),LEFT(Demographics[[#This Row],[DOB - Fixed]],2))))/365,0)</f>
        <v>34.980821917808221</v>
      </c>
      <c r="J1221">
        <f>VLOOKUP(Demographics[[#This Row],[INCOME LEVEL]],Income[],4,FALSE)</f>
        <v>697.5</v>
      </c>
      <c r="K1221">
        <f>IFERROR(Demographics[[#This Row],[Total monthly income]]/Demographics[[#This Row],[FAMILY SIZE]], 0)</f>
        <v>174.375</v>
      </c>
    </row>
    <row r="1222" spans="1:11" x14ac:dyDescent="0.2">
      <c r="A1222">
        <v>17322386</v>
      </c>
      <c r="B1222">
        <v>23061988</v>
      </c>
      <c r="C1222">
        <v>6</v>
      </c>
      <c r="D1222">
        <v>1</v>
      </c>
      <c r="E1222">
        <v>1</v>
      </c>
      <c r="F1222">
        <v>4</v>
      </c>
      <c r="G1222">
        <v>5</v>
      </c>
      <c r="H1222" t="str">
        <f>IF(Demographics[[#This Row],[DOB]]&gt;10000000, TEXT(Demographics[[#This Row],[DOB]],0),CONCATENATE("0",TEXT(Demographics[[#This Row],[DOB]],0)))</f>
        <v>23061988</v>
      </c>
      <c r="I1222" s="4">
        <f ca="1">IFERROR((VALUE(TODAY()-DATE(RIGHT(Demographics[[#This Row],[DOB - Fixed]],4),MID(Demographics[[#This Row],[DOB - Fixed]],3,2),LEFT(Demographics[[#This Row],[DOB - Fixed]],2))))/365,0)</f>
        <v>35.232876712328768</v>
      </c>
      <c r="J1222">
        <f>VLOOKUP(Demographics[[#This Row],[INCOME LEVEL]],Income[],4,FALSE)</f>
        <v>175</v>
      </c>
      <c r="K1222">
        <f>IFERROR(Demographics[[#This Row],[Total monthly income]]/Demographics[[#This Row],[FAMILY SIZE]], 0)</f>
        <v>29.166666666666668</v>
      </c>
    </row>
    <row r="1223" spans="1:11" x14ac:dyDescent="0.2">
      <c r="A1223">
        <v>6006608</v>
      </c>
      <c r="B1223">
        <v>20091988</v>
      </c>
      <c r="C1223">
        <v>4</v>
      </c>
      <c r="D1223">
        <v>1</v>
      </c>
      <c r="E1223">
        <v>1</v>
      </c>
      <c r="F1223">
        <v>5</v>
      </c>
      <c r="G1223">
        <v>5</v>
      </c>
      <c r="H1223" t="str">
        <f>IF(Demographics[[#This Row],[DOB]]&gt;10000000, TEXT(Demographics[[#This Row],[DOB]],0),CONCATENATE("0",TEXT(Demographics[[#This Row],[DOB]],0)))</f>
        <v>20091988</v>
      </c>
      <c r="I1223" s="4">
        <f ca="1">IFERROR((VALUE(TODAY()-DATE(RIGHT(Demographics[[#This Row],[DOB - Fixed]],4),MID(Demographics[[#This Row],[DOB - Fixed]],3,2),LEFT(Demographics[[#This Row],[DOB - Fixed]],2))))/365,0)</f>
        <v>34.989041095890414</v>
      </c>
      <c r="J1223">
        <f>VLOOKUP(Demographics[[#This Row],[INCOME LEVEL]],Income[],4,FALSE)</f>
        <v>175</v>
      </c>
      <c r="K1223">
        <f>IFERROR(Demographics[[#This Row],[Total monthly income]]/Demographics[[#This Row],[FAMILY SIZE]], 0)</f>
        <v>43.75</v>
      </c>
    </row>
    <row r="1224" spans="1:11" x14ac:dyDescent="0.2">
      <c r="A1224">
        <v>5573790</v>
      </c>
      <c r="B1224">
        <v>28071988</v>
      </c>
      <c r="C1224">
        <v>5</v>
      </c>
      <c r="D1224">
        <v>1</v>
      </c>
      <c r="E1224">
        <v>1</v>
      </c>
      <c r="F1224">
        <v>3</v>
      </c>
      <c r="G1224">
        <v>5</v>
      </c>
      <c r="H1224" t="str">
        <f>IF(Demographics[[#This Row],[DOB]]&gt;10000000, TEXT(Demographics[[#This Row],[DOB]],0),CONCATENATE("0",TEXT(Demographics[[#This Row],[DOB]],0)))</f>
        <v>28071988</v>
      </c>
      <c r="I1224" s="4">
        <f ca="1">IFERROR((VALUE(TODAY()-DATE(RIGHT(Demographics[[#This Row],[DOB - Fixed]],4),MID(Demographics[[#This Row],[DOB - Fixed]],3,2),LEFT(Demographics[[#This Row],[DOB - Fixed]],2))))/365,0)</f>
        <v>35.136986301369866</v>
      </c>
      <c r="J1224">
        <f>VLOOKUP(Demographics[[#This Row],[INCOME LEVEL]],Income[],4,FALSE)</f>
        <v>175</v>
      </c>
      <c r="K1224">
        <f>IFERROR(Demographics[[#This Row],[Total monthly income]]/Demographics[[#This Row],[FAMILY SIZE]], 0)</f>
        <v>35</v>
      </c>
    </row>
    <row r="1225" spans="1:11" x14ac:dyDescent="0.2">
      <c r="A1225">
        <v>10812924</v>
      </c>
      <c r="B1225">
        <v>20081988</v>
      </c>
      <c r="C1225">
        <v>6</v>
      </c>
      <c r="D1225">
        <v>1</v>
      </c>
      <c r="E1225">
        <v>2</v>
      </c>
      <c r="F1225">
        <v>5</v>
      </c>
      <c r="G1225">
        <v>9</v>
      </c>
      <c r="H1225" t="str">
        <f>IF(Demographics[[#This Row],[DOB]]&gt;10000000, TEXT(Demographics[[#This Row],[DOB]],0),CONCATENATE("0",TEXT(Demographics[[#This Row],[DOB]],0)))</f>
        <v>20081988</v>
      </c>
      <c r="I1225" s="4">
        <f ca="1">IFERROR((VALUE(TODAY()-DATE(RIGHT(Demographics[[#This Row],[DOB - Fixed]],4),MID(Demographics[[#This Row],[DOB - Fixed]],3,2),LEFT(Demographics[[#This Row],[DOB - Fixed]],2))))/365,0)</f>
        <v>35.073972602739723</v>
      </c>
      <c r="J1225">
        <f>VLOOKUP(Demographics[[#This Row],[INCOME LEVEL]],Income[],4,FALSE)</f>
        <v>697.5</v>
      </c>
      <c r="K1225">
        <f>IFERROR(Demographics[[#This Row],[Total monthly income]]/Demographics[[#This Row],[FAMILY SIZE]], 0)</f>
        <v>116.25</v>
      </c>
    </row>
    <row r="1226" spans="1:11" x14ac:dyDescent="0.2">
      <c r="A1226">
        <v>9744694</v>
      </c>
      <c r="B1226">
        <v>21091988</v>
      </c>
      <c r="C1226">
        <v>4</v>
      </c>
      <c r="D1226">
        <v>2</v>
      </c>
      <c r="E1226">
        <v>2</v>
      </c>
      <c r="F1226">
        <v>9</v>
      </c>
      <c r="G1226">
        <v>9</v>
      </c>
      <c r="H1226" t="str">
        <f>IF(Demographics[[#This Row],[DOB]]&gt;10000000, TEXT(Demographics[[#This Row],[DOB]],0),CONCATENATE("0",TEXT(Demographics[[#This Row],[DOB]],0)))</f>
        <v>21091988</v>
      </c>
      <c r="I1226" s="4">
        <f ca="1">IFERROR((VALUE(TODAY()-DATE(RIGHT(Demographics[[#This Row],[DOB - Fixed]],4),MID(Demographics[[#This Row],[DOB - Fixed]],3,2),LEFT(Demographics[[#This Row],[DOB - Fixed]],2))))/365,0)</f>
        <v>34.986301369863014</v>
      </c>
      <c r="J1226">
        <f>VLOOKUP(Demographics[[#This Row],[INCOME LEVEL]],Income[],4,FALSE)</f>
        <v>697.5</v>
      </c>
      <c r="K1226">
        <f>IFERROR(Demographics[[#This Row],[Total monthly income]]/Demographics[[#This Row],[FAMILY SIZE]], 0)</f>
        <v>174.375</v>
      </c>
    </row>
    <row r="1227" spans="1:11" x14ac:dyDescent="0.2">
      <c r="A1227">
        <v>24698185</v>
      </c>
      <c r="B1227">
        <v>5091988</v>
      </c>
      <c r="C1227">
        <v>0</v>
      </c>
      <c r="D1227">
        <v>0</v>
      </c>
      <c r="E1227">
        <v>4</v>
      </c>
      <c r="F1227">
        <v>0</v>
      </c>
      <c r="G1227">
        <v>0</v>
      </c>
      <c r="H1227" t="str">
        <f>IF(Demographics[[#This Row],[DOB]]&gt;10000000, TEXT(Demographics[[#This Row],[DOB]],0),CONCATENATE("0",TEXT(Demographics[[#This Row],[DOB]],0)))</f>
        <v>05091988</v>
      </c>
      <c r="I1227" s="4">
        <f ca="1">IFERROR((VALUE(TODAY()-DATE(RIGHT(Demographics[[#This Row],[DOB - Fixed]],4),MID(Demographics[[#This Row],[DOB - Fixed]],3,2),LEFT(Demographics[[#This Row],[DOB - Fixed]],2))))/365,0)</f>
        <v>35.030136986301372</v>
      </c>
      <c r="J1227">
        <f>VLOOKUP(Demographics[[#This Row],[INCOME LEVEL]],Income[],4,FALSE)</f>
        <v>2100</v>
      </c>
      <c r="K1227">
        <f>IFERROR(Demographics[[#This Row],[Total monthly income]]/Demographics[[#This Row],[FAMILY SIZE]], 0)</f>
        <v>0</v>
      </c>
    </row>
    <row r="1228" spans="1:11" x14ac:dyDescent="0.2">
      <c r="A1228">
        <v>15719917</v>
      </c>
      <c r="B1228">
        <v>1101988</v>
      </c>
      <c r="C1228">
        <v>4</v>
      </c>
      <c r="D1228">
        <v>1</v>
      </c>
      <c r="E1228">
        <v>2</v>
      </c>
      <c r="F1228">
        <v>8</v>
      </c>
      <c r="G1228">
        <v>6</v>
      </c>
      <c r="H1228" t="str">
        <f>IF(Demographics[[#This Row],[DOB]]&gt;10000000, TEXT(Demographics[[#This Row],[DOB]],0),CONCATENATE("0",TEXT(Demographics[[#This Row],[DOB]],0)))</f>
        <v>01101988</v>
      </c>
      <c r="I1228" s="4">
        <f ca="1">IFERROR((VALUE(TODAY()-DATE(RIGHT(Demographics[[#This Row],[DOB - Fixed]],4),MID(Demographics[[#This Row],[DOB - Fixed]],3,2),LEFT(Demographics[[#This Row],[DOB - Fixed]],2))))/365,0)</f>
        <v>34.958904109589042</v>
      </c>
      <c r="J1228">
        <f>VLOOKUP(Demographics[[#This Row],[INCOME LEVEL]],Income[],4,FALSE)</f>
        <v>697.5</v>
      </c>
      <c r="K1228">
        <f>IFERROR(Demographics[[#This Row],[Total monthly income]]/Demographics[[#This Row],[FAMILY SIZE]], 0)</f>
        <v>174.375</v>
      </c>
    </row>
    <row r="1229" spans="1:11" x14ac:dyDescent="0.2">
      <c r="A1229">
        <v>21494192</v>
      </c>
      <c r="B1229">
        <v>16091988</v>
      </c>
      <c r="C1229">
        <v>6</v>
      </c>
      <c r="D1229">
        <v>1</v>
      </c>
      <c r="E1229">
        <v>1</v>
      </c>
      <c r="F1229">
        <v>5</v>
      </c>
      <c r="G1229">
        <v>5</v>
      </c>
      <c r="H1229" t="str">
        <f>IF(Demographics[[#This Row],[DOB]]&gt;10000000, TEXT(Demographics[[#This Row],[DOB]],0),CONCATENATE("0",TEXT(Demographics[[#This Row],[DOB]],0)))</f>
        <v>16091988</v>
      </c>
      <c r="I1229" s="4">
        <f ca="1">IFERROR((VALUE(TODAY()-DATE(RIGHT(Demographics[[#This Row],[DOB - Fixed]],4),MID(Demographics[[#This Row],[DOB - Fixed]],3,2),LEFT(Demographics[[#This Row],[DOB - Fixed]],2))))/365,0)</f>
        <v>35</v>
      </c>
      <c r="J1229">
        <f>VLOOKUP(Demographics[[#This Row],[INCOME LEVEL]],Income[],4,FALSE)</f>
        <v>175</v>
      </c>
      <c r="K1229">
        <f>IFERROR(Demographics[[#This Row],[Total monthly income]]/Demographics[[#This Row],[FAMILY SIZE]], 0)</f>
        <v>29.166666666666668</v>
      </c>
    </row>
    <row r="1230" spans="1:11" x14ac:dyDescent="0.2">
      <c r="A1230">
        <v>15820390</v>
      </c>
      <c r="B1230">
        <v>23091988</v>
      </c>
      <c r="C1230">
        <v>3</v>
      </c>
      <c r="D1230">
        <v>0</v>
      </c>
      <c r="E1230">
        <v>1</v>
      </c>
      <c r="F1230">
        <v>5</v>
      </c>
      <c r="G1230">
        <v>5</v>
      </c>
      <c r="H1230" t="str">
        <f>IF(Demographics[[#This Row],[DOB]]&gt;10000000, TEXT(Demographics[[#This Row],[DOB]],0),CONCATENATE("0",TEXT(Demographics[[#This Row],[DOB]],0)))</f>
        <v>23091988</v>
      </c>
      <c r="I1230" s="4">
        <f ca="1">IFERROR((VALUE(TODAY()-DATE(RIGHT(Demographics[[#This Row],[DOB - Fixed]],4),MID(Demographics[[#This Row],[DOB - Fixed]],3,2),LEFT(Demographics[[#This Row],[DOB - Fixed]],2))))/365,0)</f>
        <v>34.980821917808221</v>
      </c>
      <c r="J1230">
        <f>VLOOKUP(Demographics[[#This Row],[INCOME LEVEL]],Income[],4,FALSE)</f>
        <v>175</v>
      </c>
      <c r="K1230">
        <f>IFERROR(Demographics[[#This Row],[Total monthly income]]/Demographics[[#This Row],[FAMILY SIZE]], 0)</f>
        <v>58.333333333333336</v>
      </c>
    </row>
    <row r="1231" spans="1:11" x14ac:dyDescent="0.2">
      <c r="A1231">
        <v>22028550</v>
      </c>
      <c r="B1231">
        <v>29091988</v>
      </c>
      <c r="C1231">
        <v>3</v>
      </c>
      <c r="D1231">
        <v>1</v>
      </c>
      <c r="E1231">
        <v>2</v>
      </c>
      <c r="F1231">
        <v>5</v>
      </c>
      <c r="G1231">
        <v>5</v>
      </c>
      <c r="H1231" t="str">
        <f>IF(Demographics[[#This Row],[DOB]]&gt;10000000, TEXT(Demographics[[#This Row],[DOB]],0),CONCATENATE("0",TEXT(Demographics[[#This Row],[DOB]],0)))</f>
        <v>29091988</v>
      </c>
      <c r="I1231" s="4">
        <f ca="1">IFERROR((VALUE(TODAY()-DATE(RIGHT(Demographics[[#This Row],[DOB - Fixed]],4),MID(Demographics[[#This Row],[DOB - Fixed]],3,2),LEFT(Demographics[[#This Row],[DOB - Fixed]],2))))/365,0)</f>
        <v>34.964383561643835</v>
      </c>
      <c r="J1231">
        <f>VLOOKUP(Demographics[[#This Row],[INCOME LEVEL]],Income[],4,FALSE)</f>
        <v>697.5</v>
      </c>
      <c r="K1231">
        <f>IFERROR(Demographics[[#This Row],[Total monthly income]]/Demographics[[#This Row],[FAMILY SIZE]], 0)</f>
        <v>232.5</v>
      </c>
    </row>
    <row r="1232" spans="1:11" x14ac:dyDescent="0.2">
      <c r="A1232">
        <v>19559382</v>
      </c>
      <c r="B1232">
        <v>15091988</v>
      </c>
      <c r="C1232">
        <v>3</v>
      </c>
      <c r="D1232">
        <v>1</v>
      </c>
      <c r="E1232">
        <v>1</v>
      </c>
      <c r="F1232">
        <v>7</v>
      </c>
      <c r="G1232">
        <v>7</v>
      </c>
      <c r="H1232" t="str">
        <f>IF(Demographics[[#This Row],[DOB]]&gt;10000000, TEXT(Demographics[[#This Row],[DOB]],0),CONCATENATE("0",TEXT(Demographics[[#This Row],[DOB]],0)))</f>
        <v>15091988</v>
      </c>
      <c r="I1232" s="4">
        <f ca="1">IFERROR((VALUE(TODAY()-DATE(RIGHT(Demographics[[#This Row],[DOB - Fixed]],4),MID(Demographics[[#This Row],[DOB - Fixed]],3,2),LEFT(Demographics[[#This Row],[DOB - Fixed]],2))))/365,0)</f>
        <v>35.0027397260274</v>
      </c>
      <c r="J1232">
        <f>VLOOKUP(Demographics[[#This Row],[INCOME LEVEL]],Income[],4,FALSE)</f>
        <v>175</v>
      </c>
      <c r="K1232">
        <f>IFERROR(Demographics[[#This Row],[Total monthly income]]/Demographics[[#This Row],[FAMILY SIZE]], 0)</f>
        <v>58.333333333333336</v>
      </c>
    </row>
    <row r="1233" spans="1:11" x14ac:dyDescent="0.2">
      <c r="A1233">
        <v>7175493</v>
      </c>
      <c r="B1233">
        <v>3101988</v>
      </c>
      <c r="C1233">
        <v>5</v>
      </c>
      <c r="D1233">
        <v>2</v>
      </c>
      <c r="E1233">
        <v>6</v>
      </c>
      <c r="F1233">
        <v>9</v>
      </c>
      <c r="G1233">
        <v>9</v>
      </c>
      <c r="H1233" t="str">
        <f>IF(Demographics[[#This Row],[DOB]]&gt;10000000, TEXT(Demographics[[#This Row],[DOB]],0),CONCATENATE("0",TEXT(Demographics[[#This Row],[DOB]],0)))</f>
        <v>03101988</v>
      </c>
      <c r="I1233" s="4">
        <f ca="1">IFERROR((VALUE(TODAY()-DATE(RIGHT(Demographics[[#This Row],[DOB - Fixed]],4),MID(Demographics[[#This Row],[DOB - Fixed]],3,2),LEFT(Demographics[[#This Row],[DOB - Fixed]],2))))/365,0)</f>
        <v>34.953424657534249</v>
      </c>
      <c r="J1233">
        <f>VLOOKUP(Demographics[[#This Row],[INCOME LEVEL]],Income[],4,FALSE)</f>
        <v>4000</v>
      </c>
      <c r="K1233">
        <f>IFERROR(Demographics[[#This Row],[Total monthly income]]/Demographics[[#This Row],[FAMILY SIZE]], 0)</f>
        <v>800</v>
      </c>
    </row>
    <row r="1234" spans="1:11" x14ac:dyDescent="0.2">
      <c r="A1234">
        <v>15619062</v>
      </c>
      <c r="B1234">
        <v>18091988</v>
      </c>
      <c r="C1234">
        <v>4</v>
      </c>
      <c r="D1234">
        <v>2</v>
      </c>
      <c r="E1234">
        <v>1</v>
      </c>
      <c r="F1234">
        <v>5</v>
      </c>
      <c r="G1234">
        <v>5</v>
      </c>
      <c r="H1234" t="str">
        <f>IF(Demographics[[#This Row],[DOB]]&gt;10000000, TEXT(Demographics[[#This Row],[DOB]],0),CONCATENATE("0",TEXT(Demographics[[#This Row],[DOB]],0)))</f>
        <v>18091988</v>
      </c>
      <c r="I1234" s="4">
        <f ca="1">IFERROR((VALUE(TODAY()-DATE(RIGHT(Demographics[[#This Row],[DOB - Fixed]],4),MID(Demographics[[#This Row],[DOB - Fixed]],3,2),LEFT(Demographics[[#This Row],[DOB - Fixed]],2))))/365,0)</f>
        <v>34.994520547945207</v>
      </c>
      <c r="J1234">
        <f>VLOOKUP(Demographics[[#This Row],[INCOME LEVEL]],Income[],4,FALSE)</f>
        <v>175</v>
      </c>
      <c r="K1234">
        <f>IFERROR(Demographics[[#This Row],[Total monthly income]]/Demographics[[#This Row],[FAMILY SIZE]], 0)</f>
        <v>43.75</v>
      </c>
    </row>
    <row r="1235" spans="1:11" x14ac:dyDescent="0.2">
      <c r="A1235">
        <v>21061240</v>
      </c>
      <c r="B1235">
        <v>22091988</v>
      </c>
      <c r="C1235">
        <v>3</v>
      </c>
      <c r="D1235">
        <v>0</v>
      </c>
      <c r="E1235">
        <v>1</v>
      </c>
      <c r="F1235">
        <v>9</v>
      </c>
      <c r="G1235">
        <v>7</v>
      </c>
      <c r="H1235" t="str">
        <f>IF(Demographics[[#This Row],[DOB]]&gt;10000000, TEXT(Demographics[[#This Row],[DOB]],0),CONCATENATE("0",TEXT(Demographics[[#This Row],[DOB]],0)))</f>
        <v>22091988</v>
      </c>
      <c r="I1235" s="4">
        <f ca="1">IFERROR((VALUE(TODAY()-DATE(RIGHT(Demographics[[#This Row],[DOB - Fixed]],4),MID(Demographics[[#This Row],[DOB - Fixed]],3,2),LEFT(Demographics[[#This Row],[DOB - Fixed]],2))))/365,0)</f>
        <v>34.983561643835614</v>
      </c>
      <c r="J1235">
        <f>VLOOKUP(Demographics[[#This Row],[INCOME LEVEL]],Income[],4,FALSE)</f>
        <v>175</v>
      </c>
      <c r="K1235">
        <f>IFERROR(Demographics[[#This Row],[Total monthly income]]/Demographics[[#This Row],[FAMILY SIZE]], 0)</f>
        <v>58.333333333333336</v>
      </c>
    </row>
    <row r="1236" spans="1:11" x14ac:dyDescent="0.2">
      <c r="A1236">
        <v>13483103</v>
      </c>
      <c r="B1236">
        <v>21091988</v>
      </c>
      <c r="C1236">
        <v>5</v>
      </c>
      <c r="D1236">
        <v>1</v>
      </c>
      <c r="E1236">
        <v>1</v>
      </c>
      <c r="F1236">
        <v>2</v>
      </c>
      <c r="G1236">
        <v>3</v>
      </c>
      <c r="H1236" t="str">
        <f>IF(Demographics[[#This Row],[DOB]]&gt;10000000, TEXT(Demographics[[#This Row],[DOB]],0),CONCATENATE("0",TEXT(Demographics[[#This Row],[DOB]],0)))</f>
        <v>21091988</v>
      </c>
      <c r="I1236" s="4">
        <f ca="1">IFERROR((VALUE(TODAY()-DATE(RIGHT(Demographics[[#This Row],[DOB - Fixed]],4),MID(Demographics[[#This Row],[DOB - Fixed]],3,2),LEFT(Demographics[[#This Row],[DOB - Fixed]],2))))/365,0)</f>
        <v>34.986301369863014</v>
      </c>
      <c r="J1236">
        <f>VLOOKUP(Demographics[[#This Row],[INCOME LEVEL]],Income[],4,FALSE)</f>
        <v>175</v>
      </c>
      <c r="K1236">
        <f>IFERROR(Demographics[[#This Row],[Total monthly income]]/Demographics[[#This Row],[FAMILY SIZE]], 0)</f>
        <v>35</v>
      </c>
    </row>
    <row r="1237" spans="1:11" x14ac:dyDescent="0.2">
      <c r="A1237">
        <v>15431611</v>
      </c>
      <c r="B1237">
        <v>4101988</v>
      </c>
      <c r="C1237">
        <v>5</v>
      </c>
      <c r="D1237">
        <v>2</v>
      </c>
      <c r="E1237">
        <v>2</v>
      </c>
      <c r="F1237">
        <v>4</v>
      </c>
      <c r="G1237">
        <v>9</v>
      </c>
      <c r="H1237" t="str">
        <f>IF(Demographics[[#This Row],[DOB]]&gt;10000000, TEXT(Demographics[[#This Row],[DOB]],0),CONCATENATE("0",TEXT(Demographics[[#This Row],[DOB]],0)))</f>
        <v>04101988</v>
      </c>
      <c r="I1237" s="4">
        <f ca="1">IFERROR((VALUE(TODAY()-DATE(RIGHT(Demographics[[#This Row],[DOB - Fixed]],4),MID(Demographics[[#This Row],[DOB - Fixed]],3,2),LEFT(Demographics[[#This Row],[DOB - Fixed]],2))))/365,0)</f>
        <v>34.950684931506849</v>
      </c>
      <c r="J1237">
        <f>VLOOKUP(Demographics[[#This Row],[INCOME LEVEL]],Income[],4,FALSE)</f>
        <v>697.5</v>
      </c>
      <c r="K1237">
        <f>IFERROR(Demographics[[#This Row],[Total monthly income]]/Demographics[[#This Row],[FAMILY SIZE]], 0)</f>
        <v>139.5</v>
      </c>
    </row>
    <row r="1238" spans="1:11" x14ac:dyDescent="0.2">
      <c r="A1238">
        <v>14364057</v>
      </c>
      <c r="B1238">
        <v>4101988</v>
      </c>
      <c r="C1238">
        <v>5</v>
      </c>
      <c r="D1238">
        <v>1</v>
      </c>
      <c r="E1238">
        <v>2</v>
      </c>
      <c r="F1238">
        <v>9</v>
      </c>
      <c r="G1238">
        <v>5</v>
      </c>
      <c r="H1238" t="str">
        <f>IF(Demographics[[#This Row],[DOB]]&gt;10000000, TEXT(Demographics[[#This Row],[DOB]],0),CONCATENATE("0",TEXT(Demographics[[#This Row],[DOB]],0)))</f>
        <v>04101988</v>
      </c>
      <c r="I1238" s="4">
        <f ca="1">IFERROR((VALUE(TODAY()-DATE(RIGHT(Demographics[[#This Row],[DOB - Fixed]],4),MID(Demographics[[#This Row],[DOB - Fixed]],3,2),LEFT(Demographics[[#This Row],[DOB - Fixed]],2))))/365,0)</f>
        <v>34.950684931506849</v>
      </c>
      <c r="J1238">
        <f>VLOOKUP(Demographics[[#This Row],[INCOME LEVEL]],Income[],4,FALSE)</f>
        <v>697.5</v>
      </c>
      <c r="K1238">
        <f>IFERROR(Demographics[[#This Row],[Total monthly income]]/Demographics[[#This Row],[FAMILY SIZE]], 0)</f>
        <v>139.5</v>
      </c>
    </row>
    <row r="1239" spans="1:11" x14ac:dyDescent="0.2">
      <c r="A1239">
        <v>21205706</v>
      </c>
      <c r="B1239">
        <v>6101988</v>
      </c>
      <c r="C1239">
        <v>5</v>
      </c>
      <c r="D1239">
        <v>2</v>
      </c>
      <c r="E1239">
        <v>2</v>
      </c>
      <c r="F1239">
        <v>5</v>
      </c>
      <c r="G1239">
        <v>9</v>
      </c>
      <c r="H1239" t="str">
        <f>IF(Demographics[[#This Row],[DOB]]&gt;10000000, TEXT(Demographics[[#This Row],[DOB]],0),CONCATENATE("0",TEXT(Demographics[[#This Row],[DOB]],0)))</f>
        <v>06101988</v>
      </c>
      <c r="I1239" s="4">
        <f ca="1">IFERROR((VALUE(TODAY()-DATE(RIGHT(Demographics[[#This Row],[DOB - Fixed]],4),MID(Demographics[[#This Row],[DOB - Fixed]],3,2),LEFT(Demographics[[#This Row],[DOB - Fixed]],2))))/365,0)</f>
        <v>34.945205479452056</v>
      </c>
      <c r="J1239">
        <f>VLOOKUP(Demographics[[#This Row],[INCOME LEVEL]],Income[],4,FALSE)</f>
        <v>697.5</v>
      </c>
      <c r="K1239">
        <f>IFERROR(Demographics[[#This Row],[Total monthly income]]/Demographics[[#This Row],[FAMILY SIZE]], 0)</f>
        <v>139.5</v>
      </c>
    </row>
    <row r="1240" spans="1:11" x14ac:dyDescent="0.2">
      <c r="A1240">
        <v>21739743</v>
      </c>
      <c r="B1240">
        <v>16091988</v>
      </c>
      <c r="C1240">
        <v>4</v>
      </c>
      <c r="D1240">
        <v>1</v>
      </c>
      <c r="E1240">
        <v>1</v>
      </c>
      <c r="F1240">
        <v>3</v>
      </c>
      <c r="G1240">
        <v>4</v>
      </c>
      <c r="H1240" t="str">
        <f>IF(Demographics[[#This Row],[DOB]]&gt;10000000, TEXT(Demographics[[#This Row],[DOB]],0),CONCATENATE("0",TEXT(Demographics[[#This Row],[DOB]],0)))</f>
        <v>16091988</v>
      </c>
      <c r="I1240" s="4">
        <f ca="1">IFERROR((VALUE(TODAY()-DATE(RIGHT(Demographics[[#This Row],[DOB - Fixed]],4),MID(Demographics[[#This Row],[DOB - Fixed]],3,2),LEFT(Demographics[[#This Row],[DOB - Fixed]],2))))/365,0)</f>
        <v>35</v>
      </c>
      <c r="J1240">
        <f>VLOOKUP(Demographics[[#This Row],[INCOME LEVEL]],Income[],4,FALSE)</f>
        <v>175</v>
      </c>
      <c r="K1240">
        <f>IFERROR(Demographics[[#This Row],[Total monthly income]]/Demographics[[#This Row],[FAMILY SIZE]], 0)</f>
        <v>43.75</v>
      </c>
    </row>
    <row r="1241" spans="1:11" x14ac:dyDescent="0.2">
      <c r="A1241">
        <v>19271842</v>
      </c>
      <c r="B1241">
        <v>8101988</v>
      </c>
      <c r="C1241">
        <v>6</v>
      </c>
      <c r="D1241">
        <v>0</v>
      </c>
      <c r="E1241">
        <v>1</v>
      </c>
      <c r="F1241">
        <v>5</v>
      </c>
      <c r="G1241">
        <v>5</v>
      </c>
      <c r="H1241" t="str">
        <f>IF(Demographics[[#This Row],[DOB]]&gt;10000000, TEXT(Demographics[[#This Row],[DOB]],0),CONCATENATE("0",TEXT(Demographics[[#This Row],[DOB]],0)))</f>
        <v>08101988</v>
      </c>
      <c r="I1241" s="4">
        <f ca="1">IFERROR((VALUE(TODAY()-DATE(RIGHT(Demographics[[#This Row],[DOB - Fixed]],4),MID(Demographics[[#This Row],[DOB - Fixed]],3,2),LEFT(Demographics[[#This Row],[DOB - Fixed]],2))))/365,0)</f>
        <v>34.939726027397263</v>
      </c>
      <c r="J1241">
        <f>VLOOKUP(Demographics[[#This Row],[INCOME LEVEL]],Income[],4,FALSE)</f>
        <v>175</v>
      </c>
      <c r="K1241">
        <f>IFERROR(Demographics[[#This Row],[Total monthly income]]/Demographics[[#This Row],[FAMILY SIZE]], 0)</f>
        <v>29.166666666666668</v>
      </c>
    </row>
    <row r="1242" spans="1:11" x14ac:dyDescent="0.2">
      <c r="A1242">
        <v>11261617</v>
      </c>
      <c r="B1242">
        <v>5101988</v>
      </c>
      <c r="C1242">
        <v>5</v>
      </c>
      <c r="D1242">
        <v>1</v>
      </c>
      <c r="E1242">
        <v>2</v>
      </c>
      <c r="F1242">
        <v>5</v>
      </c>
      <c r="G1242">
        <v>5</v>
      </c>
      <c r="H1242" t="str">
        <f>IF(Demographics[[#This Row],[DOB]]&gt;10000000, TEXT(Demographics[[#This Row],[DOB]],0),CONCATENATE("0",TEXT(Demographics[[#This Row],[DOB]],0)))</f>
        <v>05101988</v>
      </c>
      <c r="I1242" s="4">
        <f ca="1">IFERROR((VALUE(TODAY()-DATE(RIGHT(Demographics[[#This Row],[DOB - Fixed]],4),MID(Demographics[[#This Row],[DOB - Fixed]],3,2),LEFT(Demographics[[#This Row],[DOB - Fixed]],2))))/365,0)</f>
        <v>34.947945205479449</v>
      </c>
      <c r="J1242">
        <f>VLOOKUP(Demographics[[#This Row],[INCOME LEVEL]],Income[],4,FALSE)</f>
        <v>697.5</v>
      </c>
      <c r="K1242">
        <f>IFERROR(Demographics[[#This Row],[Total monthly income]]/Demographics[[#This Row],[FAMILY SIZE]], 0)</f>
        <v>139.5</v>
      </c>
    </row>
    <row r="1243" spans="1:11" x14ac:dyDescent="0.2">
      <c r="A1243">
        <v>9226591</v>
      </c>
      <c r="B1243">
        <v>21091988</v>
      </c>
      <c r="C1243">
        <v>4</v>
      </c>
      <c r="D1243">
        <v>1</v>
      </c>
      <c r="E1243">
        <v>2</v>
      </c>
      <c r="F1243">
        <v>5</v>
      </c>
      <c r="G1243">
        <v>5</v>
      </c>
      <c r="H1243" t="str">
        <f>IF(Demographics[[#This Row],[DOB]]&gt;10000000, TEXT(Demographics[[#This Row],[DOB]],0),CONCATENATE("0",TEXT(Demographics[[#This Row],[DOB]],0)))</f>
        <v>21091988</v>
      </c>
      <c r="I1243" s="4">
        <f ca="1">IFERROR((VALUE(TODAY()-DATE(RIGHT(Demographics[[#This Row],[DOB - Fixed]],4),MID(Demographics[[#This Row],[DOB - Fixed]],3,2),LEFT(Demographics[[#This Row],[DOB - Fixed]],2))))/365,0)</f>
        <v>34.986301369863014</v>
      </c>
      <c r="J1243">
        <f>VLOOKUP(Demographics[[#This Row],[INCOME LEVEL]],Income[],4,FALSE)</f>
        <v>697.5</v>
      </c>
      <c r="K1243">
        <f>IFERROR(Demographics[[#This Row],[Total monthly income]]/Demographics[[#This Row],[FAMILY SIZE]], 0)</f>
        <v>174.375</v>
      </c>
    </row>
    <row r="1244" spans="1:11" x14ac:dyDescent="0.2">
      <c r="A1244">
        <v>6887537</v>
      </c>
      <c r="B1244">
        <v>7101988</v>
      </c>
      <c r="C1244">
        <v>4</v>
      </c>
      <c r="D1244">
        <v>2</v>
      </c>
      <c r="E1244">
        <v>1</v>
      </c>
      <c r="F1244">
        <v>4</v>
      </c>
      <c r="G1244">
        <v>5</v>
      </c>
      <c r="H1244" t="str">
        <f>IF(Demographics[[#This Row],[DOB]]&gt;10000000, TEXT(Demographics[[#This Row],[DOB]],0),CONCATENATE("0",TEXT(Demographics[[#This Row],[DOB]],0)))</f>
        <v>07101988</v>
      </c>
      <c r="I1244" s="4">
        <f ca="1">IFERROR((VALUE(TODAY()-DATE(RIGHT(Demographics[[#This Row],[DOB - Fixed]],4),MID(Demographics[[#This Row],[DOB - Fixed]],3,2),LEFT(Demographics[[#This Row],[DOB - Fixed]],2))))/365,0)</f>
        <v>34.942465753424656</v>
      </c>
      <c r="J1244">
        <f>VLOOKUP(Demographics[[#This Row],[INCOME LEVEL]],Income[],4,FALSE)</f>
        <v>175</v>
      </c>
      <c r="K1244">
        <f>IFERROR(Demographics[[#This Row],[Total monthly income]]/Demographics[[#This Row],[FAMILY SIZE]], 0)</f>
        <v>43.75</v>
      </c>
    </row>
    <row r="1245" spans="1:11" x14ac:dyDescent="0.2">
      <c r="A1245">
        <v>24944056</v>
      </c>
      <c r="B1245">
        <v>6101988</v>
      </c>
      <c r="C1245">
        <v>4</v>
      </c>
      <c r="D1245">
        <v>2</v>
      </c>
      <c r="E1245">
        <v>2</v>
      </c>
      <c r="F1245">
        <v>5</v>
      </c>
      <c r="G1245">
        <v>5</v>
      </c>
      <c r="H1245" t="str">
        <f>IF(Demographics[[#This Row],[DOB]]&gt;10000000, TEXT(Demographics[[#This Row],[DOB]],0),CONCATENATE("0",TEXT(Demographics[[#This Row],[DOB]],0)))</f>
        <v>06101988</v>
      </c>
      <c r="I1245" s="4">
        <f ca="1">IFERROR((VALUE(TODAY()-DATE(RIGHT(Demographics[[#This Row],[DOB - Fixed]],4),MID(Demographics[[#This Row],[DOB - Fixed]],3,2),LEFT(Demographics[[#This Row],[DOB - Fixed]],2))))/365,0)</f>
        <v>34.945205479452056</v>
      </c>
      <c r="J1245">
        <f>VLOOKUP(Demographics[[#This Row],[INCOME LEVEL]],Income[],4,FALSE)</f>
        <v>697.5</v>
      </c>
      <c r="K1245">
        <f>IFERROR(Demographics[[#This Row],[Total monthly income]]/Demographics[[#This Row],[FAMILY SIZE]], 0)</f>
        <v>174.375</v>
      </c>
    </row>
    <row r="1246" spans="1:11" x14ac:dyDescent="0.2">
      <c r="A1246">
        <v>5819647</v>
      </c>
      <c r="B1246">
        <v>19091988</v>
      </c>
      <c r="C1246">
        <v>4</v>
      </c>
      <c r="D1246">
        <v>1</v>
      </c>
      <c r="E1246">
        <v>2</v>
      </c>
      <c r="F1246">
        <v>8</v>
      </c>
      <c r="G1246">
        <v>7</v>
      </c>
      <c r="H1246" t="str">
        <f>IF(Demographics[[#This Row],[DOB]]&gt;10000000, TEXT(Demographics[[#This Row],[DOB]],0),CONCATENATE("0",TEXT(Demographics[[#This Row],[DOB]],0)))</f>
        <v>19091988</v>
      </c>
      <c r="I1246" s="4">
        <f ca="1">IFERROR((VALUE(TODAY()-DATE(RIGHT(Demographics[[#This Row],[DOB - Fixed]],4),MID(Demographics[[#This Row],[DOB - Fixed]],3,2),LEFT(Demographics[[#This Row],[DOB - Fixed]],2))))/365,0)</f>
        <v>34.991780821917807</v>
      </c>
      <c r="J1246">
        <f>VLOOKUP(Demographics[[#This Row],[INCOME LEVEL]],Income[],4,FALSE)</f>
        <v>697.5</v>
      </c>
      <c r="K1246">
        <f>IFERROR(Demographics[[#This Row],[Total monthly income]]/Demographics[[#This Row],[FAMILY SIZE]], 0)</f>
        <v>174.375</v>
      </c>
    </row>
    <row r="1247" spans="1:11" x14ac:dyDescent="0.2">
      <c r="A1247">
        <v>11795547</v>
      </c>
      <c r="B1247">
        <v>9101988</v>
      </c>
      <c r="C1247">
        <v>4</v>
      </c>
      <c r="D1247">
        <v>1</v>
      </c>
      <c r="E1247">
        <v>2</v>
      </c>
      <c r="F1247">
        <v>5</v>
      </c>
      <c r="G1247">
        <v>5</v>
      </c>
      <c r="H1247" t="str">
        <f>IF(Demographics[[#This Row],[DOB]]&gt;10000000, TEXT(Demographics[[#This Row],[DOB]],0),CONCATENATE("0",TEXT(Demographics[[#This Row],[DOB]],0)))</f>
        <v>09101988</v>
      </c>
      <c r="I1247" s="4">
        <f ca="1">IFERROR((VALUE(TODAY()-DATE(RIGHT(Demographics[[#This Row],[DOB - Fixed]],4),MID(Demographics[[#This Row],[DOB - Fixed]],3,2),LEFT(Demographics[[#This Row],[DOB - Fixed]],2))))/365,0)</f>
        <v>34.936986301369863</v>
      </c>
      <c r="J1247">
        <f>VLOOKUP(Demographics[[#This Row],[INCOME LEVEL]],Income[],4,FALSE)</f>
        <v>697.5</v>
      </c>
      <c r="K1247">
        <f>IFERROR(Demographics[[#This Row],[Total monthly income]]/Demographics[[#This Row],[FAMILY SIZE]], 0)</f>
        <v>174.375</v>
      </c>
    </row>
    <row r="1248" spans="1:11" x14ac:dyDescent="0.2">
      <c r="A1248">
        <v>2283395</v>
      </c>
      <c r="B1248">
        <v>3101988</v>
      </c>
      <c r="C1248">
        <v>5</v>
      </c>
      <c r="D1248">
        <v>1</v>
      </c>
      <c r="E1248">
        <v>1</v>
      </c>
      <c r="F1248">
        <v>0</v>
      </c>
      <c r="G1248">
        <v>2</v>
      </c>
      <c r="H1248" t="str">
        <f>IF(Demographics[[#This Row],[DOB]]&gt;10000000, TEXT(Demographics[[#This Row],[DOB]],0),CONCATENATE("0",TEXT(Demographics[[#This Row],[DOB]],0)))</f>
        <v>03101988</v>
      </c>
      <c r="I1248" s="4">
        <f ca="1">IFERROR((VALUE(TODAY()-DATE(RIGHT(Demographics[[#This Row],[DOB - Fixed]],4),MID(Demographics[[#This Row],[DOB - Fixed]],3,2),LEFT(Demographics[[#This Row],[DOB - Fixed]],2))))/365,0)</f>
        <v>34.953424657534249</v>
      </c>
      <c r="J1248">
        <f>VLOOKUP(Demographics[[#This Row],[INCOME LEVEL]],Income[],4,FALSE)</f>
        <v>175</v>
      </c>
      <c r="K1248">
        <f>IFERROR(Demographics[[#This Row],[Total monthly income]]/Demographics[[#This Row],[FAMILY SIZE]], 0)</f>
        <v>35</v>
      </c>
    </row>
    <row r="1249" spans="1:11" x14ac:dyDescent="0.2">
      <c r="A1249">
        <v>23442882</v>
      </c>
      <c r="B1249">
        <v>9101988</v>
      </c>
      <c r="C1249">
        <v>2</v>
      </c>
      <c r="D1249">
        <v>1</v>
      </c>
      <c r="E1249">
        <v>1</v>
      </c>
      <c r="F1249">
        <v>5</v>
      </c>
      <c r="G1249">
        <v>5</v>
      </c>
      <c r="H1249" t="str">
        <f>IF(Demographics[[#This Row],[DOB]]&gt;10000000, TEXT(Demographics[[#This Row],[DOB]],0),CONCATENATE("0",TEXT(Demographics[[#This Row],[DOB]],0)))</f>
        <v>09101988</v>
      </c>
      <c r="I1249" s="4">
        <f ca="1">IFERROR((VALUE(TODAY()-DATE(RIGHT(Demographics[[#This Row],[DOB - Fixed]],4),MID(Demographics[[#This Row],[DOB - Fixed]],3,2),LEFT(Demographics[[#This Row],[DOB - Fixed]],2))))/365,0)</f>
        <v>34.936986301369863</v>
      </c>
      <c r="J1249">
        <f>VLOOKUP(Demographics[[#This Row],[INCOME LEVEL]],Income[],4,FALSE)</f>
        <v>175</v>
      </c>
      <c r="K1249">
        <f>IFERROR(Demographics[[#This Row],[Total monthly income]]/Demographics[[#This Row],[FAMILY SIZE]], 0)</f>
        <v>87.5</v>
      </c>
    </row>
    <row r="1250" spans="1:11" x14ac:dyDescent="0.2">
      <c r="A1250">
        <v>23010606</v>
      </c>
      <c r="B1250">
        <v>11101988</v>
      </c>
      <c r="C1250">
        <v>5</v>
      </c>
      <c r="D1250">
        <v>2</v>
      </c>
      <c r="E1250">
        <v>3</v>
      </c>
      <c r="F1250">
        <v>7</v>
      </c>
      <c r="G1250">
        <v>9</v>
      </c>
      <c r="H1250" t="str">
        <f>IF(Demographics[[#This Row],[DOB]]&gt;10000000, TEXT(Demographics[[#This Row],[DOB]],0),CONCATENATE("0",TEXT(Demographics[[#This Row],[DOB]],0)))</f>
        <v>11101988</v>
      </c>
      <c r="I1250" s="4">
        <f ca="1">IFERROR((VALUE(TODAY()-DATE(RIGHT(Demographics[[#This Row],[DOB - Fixed]],4),MID(Demographics[[#This Row],[DOB - Fixed]],3,2),LEFT(Demographics[[#This Row],[DOB - Fixed]],2))))/365,0)</f>
        <v>34.93150684931507</v>
      </c>
      <c r="J1250">
        <f>VLOOKUP(Demographics[[#This Row],[INCOME LEVEL]],Income[],4,FALSE)</f>
        <v>1397.5</v>
      </c>
      <c r="K1250">
        <f>IFERROR(Demographics[[#This Row],[Total monthly income]]/Demographics[[#This Row],[FAMILY SIZE]], 0)</f>
        <v>279.5</v>
      </c>
    </row>
    <row r="1251" spans="1:11" x14ac:dyDescent="0.2">
      <c r="A1251">
        <v>5488200</v>
      </c>
      <c r="B1251">
        <v>17081988</v>
      </c>
      <c r="C1251">
        <v>4</v>
      </c>
      <c r="D1251">
        <v>1</v>
      </c>
      <c r="E1251">
        <v>1</v>
      </c>
      <c r="F1251">
        <v>5</v>
      </c>
      <c r="G1251">
        <v>5</v>
      </c>
      <c r="H1251" t="str">
        <f>IF(Demographics[[#This Row],[DOB]]&gt;10000000, TEXT(Demographics[[#This Row],[DOB]],0),CONCATENATE("0",TEXT(Demographics[[#This Row],[DOB]],0)))</f>
        <v>17081988</v>
      </c>
      <c r="I1251" s="4">
        <f ca="1">IFERROR((VALUE(TODAY()-DATE(RIGHT(Demographics[[#This Row],[DOB - Fixed]],4),MID(Demographics[[#This Row],[DOB - Fixed]],3,2),LEFT(Demographics[[#This Row],[DOB - Fixed]],2))))/365,0)</f>
        <v>35.082191780821915</v>
      </c>
      <c r="J1251">
        <f>VLOOKUP(Demographics[[#This Row],[INCOME LEVEL]],Income[],4,FALSE)</f>
        <v>175</v>
      </c>
      <c r="K1251">
        <f>IFERROR(Demographics[[#This Row],[Total monthly income]]/Demographics[[#This Row],[FAMILY SIZE]], 0)</f>
        <v>43.75</v>
      </c>
    </row>
    <row r="1252" spans="1:11" x14ac:dyDescent="0.2">
      <c r="A1252">
        <v>20874333</v>
      </c>
      <c r="B1252">
        <v>11101988</v>
      </c>
      <c r="C1252">
        <v>5</v>
      </c>
      <c r="D1252">
        <v>1</v>
      </c>
      <c r="E1252">
        <v>2</v>
      </c>
      <c r="F1252">
        <v>7</v>
      </c>
      <c r="G1252">
        <v>7</v>
      </c>
      <c r="H1252" t="str">
        <f>IF(Demographics[[#This Row],[DOB]]&gt;10000000, TEXT(Demographics[[#This Row],[DOB]],0),CONCATENATE("0",TEXT(Demographics[[#This Row],[DOB]],0)))</f>
        <v>11101988</v>
      </c>
      <c r="I1252" s="4">
        <f ca="1">IFERROR((VALUE(TODAY()-DATE(RIGHT(Demographics[[#This Row],[DOB - Fixed]],4),MID(Demographics[[#This Row],[DOB - Fixed]],3,2),LEFT(Demographics[[#This Row],[DOB - Fixed]],2))))/365,0)</f>
        <v>34.93150684931507</v>
      </c>
      <c r="J1252">
        <f>VLOOKUP(Demographics[[#This Row],[INCOME LEVEL]],Income[],4,FALSE)</f>
        <v>697.5</v>
      </c>
      <c r="K1252">
        <f>IFERROR(Demographics[[#This Row],[Total monthly income]]/Demographics[[#This Row],[FAMILY SIZE]], 0)</f>
        <v>139.5</v>
      </c>
    </row>
    <row r="1253" spans="1:11" x14ac:dyDescent="0.2">
      <c r="A1253">
        <v>19253149</v>
      </c>
      <c r="B1253">
        <v>19091988</v>
      </c>
      <c r="C1253">
        <v>6</v>
      </c>
      <c r="D1253">
        <v>1</v>
      </c>
      <c r="E1253">
        <v>1</v>
      </c>
      <c r="F1253">
        <v>2</v>
      </c>
      <c r="G1253">
        <v>5</v>
      </c>
      <c r="H1253" t="str">
        <f>IF(Demographics[[#This Row],[DOB]]&gt;10000000, TEXT(Demographics[[#This Row],[DOB]],0),CONCATENATE("0",TEXT(Demographics[[#This Row],[DOB]],0)))</f>
        <v>19091988</v>
      </c>
      <c r="I1253" s="4">
        <f ca="1">IFERROR((VALUE(TODAY()-DATE(RIGHT(Demographics[[#This Row],[DOB - Fixed]],4),MID(Demographics[[#This Row],[DOB - Fixed]],3,2),LEFT(Demographics[[#This Row],[DOB - Fixed]],2))))/365,0)</f>
        <v>34.991780821917807</v>
      </c>
      <c r="J1253">
        <f>VLOOKUP(Demographics[[#This Row],[INCOME LEVEL]],Income[],4,FALSE)</f>
        <v>175</v>
      </c>
      <c r="K1253">
        <f>IFERROR(Demographics[[#This Row],[Total monthly income]]/Demographics[[#This Row],[FAMILY SIZE]], 0)</f>
        <v>29.166666666666668</v>
      </c>
    </row>
    <row r="1254" spans="1:11" x14ac:dyDescent="0.2">
      <c r="A1254">
        <v>2109483</v>
      </c>
      <c r="B1254">
        <v>19051988</v>
      </c>
      <c r="C1254">
        <v>5</v>
      </c>
      <c r="D1254">
        <v>2</v>
      </c>
      <c r="E1254">
        <v>2</v>
      </c>
      <c r="F1254">
        <v>9</v>
      </c>
      <c r="G1254">
        <v>8</v>
      </c>
      <c r="H1254" t="str">
        <f>IF(Demographics[[#This Row],[DOB]]&gt;10000000, TEXT(Demographics[[#This Row],[DOB]],0),CONCATENATE("0",TEXT(Demographics[[#This Row],[DOB]],0)))</f>
        <v>19051988</v>
      </c>
      <c r="I1254" s="4">
        <f ca="1">IFERROR((VALUE(TODAY()-DATE(RIGHT(Demographics[[#This Row],[DOB - Fixed]],4),MID(Demographics[[#This Row],[DOB - Fixed]],3,2),LEFT(Demographics[[#This Row],[DOB - Fixed]],2))))/365,0)</f>
        <v>35.328767123287669</v>
      </c>
      <c r="J1254">
        <f>VLOOKUP(Demographics[[#This Row],[INCOME LEVEL]],Income[],4,FALSE)</f>
        <v>697.5</v>
      </c>
      <c r="K1254">
        <f>IFERROR(Demographics[[#This Row],[Total monthly income]]/Demographics[[#This Row],[FAMILY SIZE]], 0)</f>
        <v>139.5</v>
      </c>
    </row>
    <row r="1255" spans="1:11" x14ac:dyDescent="0.2">
      <c r="A1255">
        <v>5342811</v>
      </c>
      <c r="B1255">
        <v>27061988</v>
      </c>
      <c r="C1255">
        <v>4</v>
      </c>
      <c r="D1255">
        <v>1</v>
      </c>
      <c r="E1255">
        <v>2</v>
      </c>
      <c r="F1255">
        <v>5</v>
      </c>
      <c r="G1255">
        <v>4</v>
      </c>
      <c r="H1255" t="str">
        <f>IF(Demographics[[#This Row],[DOB]]&gt;10000000, TEXT(Demographics[[#This Row],[DOB]],0),CONCATENATE("0",TEXT(Demographics[[#This Row],[DOB]],0)))</f>
        <v>27061988</v>
      </c>
      <c r="I1255" s="4">
        <f ca="1">IFERROR((VALUE(TODAY()-DATE(RIGHT(Demographics[[#This Row],[DOB - Fixed]],4),MID(Demographics[[#This Row],[DOB - Fixed]],3,2),LEFT(Demographics[[#This Row],[DOB - Fixed]],2))))/365,0)</f>
        <v>35.221917808219175</v>
      </c>
      <c r="J1255">
        <f>VLOOKUP(Demographics[[#This Row],[INCOME LEVEL]],Income[],4,FALSE)</f>
        <v>697.5</v>
      </c>
      <c r="K1255">
        <f>IFERROR(Demographics[[#This Row],[Total monthly income]]/Demographics[[#This Row],[FAMILY SIZE]], 0)</f>
        <v>174.375</v>
      </c>
    </row>
    <row r="1256" spans="1:11" x14ac:dyDescent="0.2">
      <c r="A1256">
        <v>6398589</v>
      </c>
      <c r="B1256">
        <v>15091988</v>
      </c>
      <c r="C1256">
        <v>4</v>
      </c>
      <c r="D1256">
        <v>2</v>
      </c>
      <c r="E1256">
        <v>2</v>
      </c>
      <c r="F1256">
        <v>10</v>
      </c>
      <c r="G1256">
        <v>9</v>
      </c>
      <c r="H1256" t="str">
        <f>IF(Demographics[[#This Row],[DOB]]&gt;10000000, TEXT(Demographics[[#This Row],[DOB]],0),CONCATENATE("0",TEXT(Demographics[[#This Row],[DOB]],0)))</f>
        <v>15091988</v>
      </c>
      <c r="I1256" s="4">
        <f ca="1">IFERROR((VALUE(TODAY()-DATE(RIGHT(Demographics[[#This Row],[DOB - Fixed]],4),MID(Demographics[[#This Row],[DOB - Fixed]],3,2),LEFT(Demographics[[#This Row],[DOB - Fixed]],2))))/365,0)</f>
        <v>35.0027397260274</v>
      </c>
      <c r="J1256">
        <f>VLOOKUP(Demographics[[#This Row],[INCOME LEVEL]],Income[],4,FALSE)</f>
        <v>697.5</v>
      </c>
      <c r="K1256">
        <f>IFERROR(Demographics[[#This Row],[Total monthly income]]/Demographics[[#This Row],[FAMILY SIZE]], 0)</f>
        <v>174.375</v>
      </c>
    </row>
    <row r="1257" spans="1:11" x14ac:dyDescent="0.2">
      <c r="A1257">
        <v>17803059</v>
      </c>
      <c r="B1257">
        <v>18081988</v>
      </c>
      <c r="C1257">
        <v>6</v>
      </c>
      <c r="D1257">
        <v>1</v>
      </c>
      <c r="E1257">
        <v>6</v>
      </c>
      <c r="F1257">
        <v>9</v>
      </c>
      <c r="G1257">
        <v>8</v>
      </c>
      <c r="H1257" t="str">
        <f>IF(Demographics[[#This Row],[DOB]]&gt;10000000, TEXT(Demographics[[#This Row],[DOB]],0),CONCATENATE("0",TEXT(Demographics[[#This Row],[DOB]],0)))</f>
        <v>18081988</v>
      </c>
      <c r="I1257" s="4">
        <f ca="1">IFERROR((VALUE(TODAY()-DATE(RIGHT(Demographics[[#This Row],[DOB - Fixed]],4),MID(Demographics[[#This Row],[DOB - Fixed]],3,2),LEFT(Demographics[[#This Row],[DOB - Fixed]],2))))/365,0)</f>
        <v>35.079452054794523</v>
      </c>
      <c r="J1257">
        <f>VLOOKUP(Demographics[[#This Row],[INCOME LEVEL]],Income[],4,FALSE)</f>
        <v>4000</v>
      </c>
      <c r="K1257">
        <f>IFERROR(Demographics[[#This Row],[Total monthly income]]/Demographics[[#This Row],[FAMILY SIZE]], 0)</f>
        <v>666.66666666666663</v>
      </c>
    </row>
    <row r="1258" spans="1:11" x14ac:dyDescent="0.2">
      <c r="A1258">
        <v>10736540</v>
      </c>
      <c r="B1258">
        <v>23111987</v>
      </c>
      <c r="C1258">
        <v>2</v>
      </c>
      <c r="D1258">
        <v>0</v>
      </c>
      <c r="E1258">
        <v>1</v>
      </c>
      <c r="F1258">
        <v>4</v>
      </c>
      <c r="G1258">
        <v>4</v>
      </c>
      <c r="H1258" t="str">
        <f>IF(Demographics[[#This Row],[DOB]]&gt;10000000, TEXT(Demographics[[#This Row],[DOB]],0),CONCATENATE("0",TEXT(Demographics[[#This Row],[DOB]],0)))</f>
        <v>23111987</v>
      </c>
      <c r="I1258" s="4">
        <f ca="1">IFERROR((VALUE(TODAY()-DATE(RIGHT(Demographics[[#This Row],[DOB - Fixed]],4),MID(Demographics[[#This Row],[DOB - Fixed]],3,2),LEFT(Demographics[[#This Row],[DOB - Fixed]],2))))/365,0)</f>
        <v>35.816438356164383</v>
      </c>
      <c r="J1258">
        <f>VLOOKUP(Demographics[[#This Row],[INCOME LEVEL]],Income[],4,FALSE)</f>
        <v>175</v>
      </c>
      <c r="K1258">
        <f>IFERROR(Demographics[[#This Row],[Total monthly income]]/Demographics[[#This Row],[FAMILY SIZE]], 0)</f>
        <v>87.5</v>
      </c>
    </row>
    <row r="1259" spans="1:11" x14ac:dyDescent="0.2">
      <c r="A1259">
        <v>19916921</v>
      </c>
      <c r="B1259">
        <v>18121987</v>
      </c>
      <c r="C1259">
        <v>3</v>
      </c>
      <c r="D1259">
        <v>0</v>
      </c>
      <c r="E1259">
        <v>1</v>
      </c>
      <c r="F1259">
        <v>0</v>
      </c>
      <c r="G1259">
        <v>8</v>
      </c>
      <c r="H1259" t="str">
        <f>IF(Demographics[[#This Row],[DOB]]&gt;10000000, TEXT(Demographics[[#This Row],[DOB]],0),CONCATENATE("0",TEXT(Demographics[[#This Row],[DOB]],0)))</f>
        <v>18121987</v>
      </c>
      <c r="I1259" s="4">
        <f ca="1">IFERROR((VALUE(TODAY()-DATE(RIGHT(Demographics[[#This Row],[DOB - Fixed]],4),MID(Demographics[[#This Row],[DOB - Fixed]],3,2),LEFT(Demographics[[#This Row],[DOB - Fixed]],2))))/365,0)</f>
        <v>35.747945205479454</v>
      </c>
      <c r="J1259">
        <f>VLOOKUP(Demographics[[#This Row],[INCOME LEVEL]],Income[],4,FALSE)</f>
        <v>175</v>
      </c>
      <c r="K1259">
        <f>IFERROR(Demographics[[#This Row],[Total monthly income]]/Demographics[[#This Row],[FAMILY SIZE]], 0)</f>
        <v>58.333333333333336</v>
      </c>
    </row>
    <row r="1260" spans="1:11" x14ac:dyDescent="0.2">
      <c r="A1260">
        <v>12749689</v>
      </c>
      <c r="B1260">
        <v>26091988</v>
      </c>
      <c r="C1260">
        <v>3</v>
      </c>
      <c r="D1260">
        <v>2</v>
      </c>
      <c r="E1260">
        <v>3</v>
      </c>
      <c r="F1260">
        <v>10</v>
      </c>
      <c r="G1260">
        <v>9</v>
      </c>
      <c r="H1260" t="str">
        <f>IF(Demographics[[#This Row],[DOB]]&gt;10000000, TEXT(Demographics[[#This Row],[DOB]],0),CONCATENATE("0",TEXT(Demographics[[#This Row],[DOB]],0)))</f>
        <v>26091988</v>
      </c>
      <c r="I1260" s="4">
        <f ca="1">IFERROR((VALUE(TODAY()-DATE(RIGHT(Demographics[[#This Row],[DOB - Fixed]],4),MID(Demographics[[#This Row],[DOB - Fixed]],3,2),LEFT(Demographics[[#This Row],[DOB - Fixed]],2))))/365,0)</f>
        <v>34.972602739726028</v>
      </c>
      <c r="J1260">
        <f>VLOOKUP(Demographics[[#This Row],[INCOME LEVEL]],Income[],4,FALSE)</f>
        <v>1397.5</v>
      </c>
      <c r="K1260">
        <f>IFERROR(Demographics[[#This Row],[Total monthly income]]/Demographics[[#This Row],[FAMILY SIZE]], 0)</f>
        <v>465.83333333333331</v>
      </c>
    </row>
    <row r="1261" spans="1:11" x14ac:dyDescent="0.2">
      <c r="A1261">
        <v>8022115</v>
      </c>
      <c r="B1261">
        <v>19071988</v>
      </c>
      <c r="C1261">
        <v>5</v>
      </c>
      <c r="D1261">
        <v>1</v>
      </c>
      <c r="E1261">
        <v>2</v>
      </c>
      <c r="F1261">
        <v>9</v>
      </c>
      <c r="G1261">
        <v>9</v>
      </c>
      <c r="H1261" t="str">
        <f>IF(Demographics[[#This Row],[DOB]]&gt;10000000, TEXT(Demographics[[#This Row],[DOB]],0),CONCATENATE("0",TEXT(Demographics[[#This Row],[DOB]],0)))</f>
        <v>19071988</v>
      </c>
      <c r="I1261" s="4">
        <f ca="1">IFERROR((VALUE(TODAY()-DATE(RIGHT(Demographics[[#This Row],[DOB - Fixed]],4),MID(Demographics[[#This Row],[DOB - Fixed]],3,2),LEFT(Demographics[[#This Row],[DOB - Fixed]],2))))/365,0)</f>
        <v>35.161643835616438</v>
      </c>
      <c r="J1261">
        <f>VLOOKUP(Demographics[[#This Row],[INCOME LEVEL]],Income[],4,FALSE)</f>
        <v>697.5</v>
      </c>
      <c r="K1261">
        <f>IFERROR(Demographics[[#This Row],[Total monthly income]]/Demographics[[#This Row],[FAMILY SIZE]], 0)</f>
        <v>139.5</v>
      </c>
    </row>
    <row r="1262" spans="1:11" x14ac:dyDescent="0.2">
      <c r="A1262">
        <v>7487801</v>
      </c>
      <c r="B1262">
        <v>21101988</v>
      </c>
      <c r="C1262">
        <v>6</v>
      </c>
      <c r="D1262">
        <v>1</v>
      </c>
      <c r="E1262">
        <v>5</v>
      </c>
      <c r="F1262">
        <v>9</v>
      </c>
      <c r="G1262">
        <v>9</v>
      </c>
      <c r="H1262" t="str">
        <f>IF(Demographics[[#This Row],[DOB]]&gt;10000000, TEXT(Demographics[[#This Row],[DOB]],0),CONCATENATE("0",TEXT(Demographics[[#This Row],[DOB]],0)))</f>
        <v>21101988</v>
      </c>
      <c r="I1262" s="4">
        <f ca="1">IFERROR((VALUE(TODAY()-DATE(RIGHT(Demographics[[#This Row],[DOB - Fixed]],4),MID(Demographics[[#This Row],[DOB - Fixed]],3,2),LEFT(Demographics[[#This Row],[DOB - Fixed]],2))))/365,0)</f>
        <v>34.904109589041099</v>
      </c>
      <c r="J1262">
        <f>VLOOKUP(Demographics[[#This Row],[INCOME LEVEL]],Income[],4,FALSE)</f>
        <v>2787.5</v>
      </c>
      <c r="K1262">
        <f>IFERROR(Demographics[[#This Row],[Total monthly income]]/Demographics[[#This Row],[FAMILY SIZE]], 0)</f>
        <v>464.58333333333331</v>
      </c>
    </row>
    <row r="1263" spans="1:11" x14ac:dyDescent="0.2">
      <c r="A1263">
        <v>9871183</v>
      </c>
      <c r="B1263">
        <v>18111988</v>
      </c>
      <c r="C1263">
        <v>4</v>
      </c>
      <c r="D1263">
        <v>1</v>
      </c>
      <c r="E1263">
        <v>2</v>
      </c>
      <c r="F1263">
        <v>7</v>
      </c>
      <c r="G1263">
        <v>7</v>
      </c>
      <c r="H1263" t="str">
        <f>IF(Demographics[[#This Row],[DOB]]&gt;10000000, TEXT(Demographics[[#This Row],[DOB]],0),CONCATENATE("0",TEXT(Demographics[[#This Row],[DOB]],0)))</f>
        <v>18111988</v>
      </c>
      <c r="I1263" s="4">
        <f ca="1">IFERROR((VALUE(TODAY()-DATE(RIGHT(Demographics[[#This Row],[DOB - Fixed]],4),MID(Demographics[[#This Row],[DOB - Fixed]],3,2),LEFT(Demographics[[#This Row],[DOB - Fixed]],2))))/365,0)</f>
        <v>34.827397260273976</v>
      </c>
      <c r="J1263">
        <f>VLOOKUP(Demographics[[#This Row],[INCOME LEVEL]],Income[],4,FALSE)</f>
        <v>697.5</v>
      </c>
      <c r="K1263">
        <f>IFERROR(Demographics[[#This Row],[Total monthly income]]/Demographics[[#This Row],[FAMILY SIZE]], 0)</f>
        <v>174.375</v>
      </c>
    </row>
    <row r="1264" spans="1:11" x14ac:dyDescent="0.2">
      <c r="A1264">
        <v>7131009</v>
      </c>
      <c r="B1264">
        <v>9071988</v>
      </c>
      <c r="C1264">
        <v>4</v>
      </c>
      <c r="D1264">
        <v>1</v>
      </c>
      <c r="E1264">
        <v>1</v>
      </c>
      <c r="F1264">
        <v>4</v>
      </c>
      <c r="G1264">
        <v>2</v>
      </c>
      <c r="H1264" t="str">
        <f>IF(Demographics[[#This Row],[DOB]]&gt;10000000, TEXT(Demographics[[#This Row],[DOB]],0),CONCATENATE("0",TEXT(Demographics[[#This Row],[DOB]],0)))</f>
        <v>09071988</v>
      </c>
      <c r="I1264" s="4">
        <f ca="1">IFERROR((VALUE(TODAY()-DATE(RIGHT(Demographics[[#This Row],[DOB - Fixed]],4),MID(Demographics[[#This Row],[DOB - Fixed]],3,2),LEFT(Demographics[[#This Row],[DOB - Fixed]],2))))/365,0)</f>
        <v>35.18904109589041</v>
      </c>
      <c r="J1264">
        <f>VLOOKUP(Demographics[[#This Row],[INCOME LEVEL]],Income[],4,FALSE)</f>
        <v>175</v>
      </c>
      <c r="K1264">
        <f>IFERROR(Demographics[[#This Row],[Total monthly income]]/Demographics[[#This Row],[FAMILY SIZE]], 0)</f>
        <v>43.75</v>
      </c>
    </row>
    <row r="1265" spans="1:11" x14ac:dyDescent="0.2">
      <c r="A1265">
        <v>23357585</v>
      </c>
      <c r="B1265">
        <v>23091988</v>
      </c>
      <c r="C1265">
        <v>6</v>
      </c>
      <c r="D1265">
        <v>1</v>
      </c>
      <c r="E1265">
        <v>3</v>
      </c>
      <c r="F1265">
        <v>9</v>
      </c>
      <c r="G1265">
        <v>0</v>
      </c>
      <c r="H1265" t="str">
        <f>IF(Demographics[[#This Row],[DOB]]&gt;10000000, TEXT(Demographics[[#This Row],[DOB]],0),CONCATENATE("0",TEXT(Demographics[[#This Row],[DOB]],0)))</f>
        <v>23091988</v>
      </c>
      <c r="I1265" s="4">
        <f ca="1">IFERROR((VALUE(TODAY()-DATE(RIGHT(Demographics[[#This Row],[DOB - Fixed]],4),MID(Demographics[[#This Row],[DOB - Fixed]],3,2),LEFT(Demographics[[#This Row],[DOB - Fixed]],2))))/365,0)</f>
        <v>34.980821917808221</v>
      </c>
      <c r="J1265">
        <f>VLOOKUP(Demographics[[#This Row],[INCOME LEVEL]],Income[],4,FALSE)</f>
        <v>1397.5</v>
      </c>
      <c r="K1265">
        <f>IFERROR(Demographics[[#This Row],[Total monthly income]]/Demographics[[#This Row],[FAMILY SIZE]], 0)</f>
        <v>232.91666666666666</v>
      </c>
    </row>
    <row r="1266" spans="1:11" x14ac:dyDescent="0.2">
      <c r="A1266">
        <v>15021457</v>
      </c>
      <c r="B1266">
        <v>6091988</v>
      </c>
      <c r="C1266">
        <v>4</v>
      </c>
      <c r="D1266">
        <v>1</v>
      </c>
      <c r="E1266">
        <v>2</v>
      </c>
      <c r="F1266">
        <v>7</v>
      </c>
      <c r="G1266">
        <v>8</v>
      </c>
      <c r="H1266" t="str">
        <f>IF(Demographics[[#This Row],[DOB]]&gt;10000000, TEXT(Demographics[[#This Row],[DOB]],0),CONCATENATE("0",TEXT(Demographics[[#This Row],[DOB]],0)))</f>
        <v>06091988</v>
      </c>
      <c r="I1266" s="4">
        <f ca="1">IFERROR((VALUE(TODAY()-DATE(RIGHT(Demographics[[#This Row],[DOB - Fixed]],4),MID(Demographics[[#This Row],[DOB - Fixed]],3,2),LEFT(Demographics[[#This Row],[DOB - Fixed]],2))))/365,0)</f>
        <v>35.027397260273972</v>
      </c>
      <c r="J1266">
        <f>VLOOKUP(Demographics[[#This Row],[INCOME LEVEL]],Income[],4,FALSE)</f>
        <v>697.5</v>
      </c>
      <c r="K1266">
        <f>IFERROR(Demographics[[#This Row],[Total monthly income]]/Demographics[[#This Row],[FAMILY SIZE]], 0)</f>
        <v>174.375</v>
      </c>
    </row>
    <row r="1267" spans="1:11" x14ac:dyDescent="0.2">
      <c r="A1267">
        <v>22239141</v>
      </c>
      <c r="B1267">
        <v>24111987</v>
      </c>
      <c r="C1267">
        <v>5</v>
      </c>
      <c r="D1267">
        <v>0</v>
      </c>
      <c r="E1267">
        <v>1</v>
      </c>
      <c r="F1267">
        <v>0</v>
      </c>
      <c r="G1267">
        <v>5</v>
      </c>
      <c r="H1267" t="str">
        <f>IF(Demographics[[#This Row],[DOB]]&gt;10000000, TEXT(Demographics[[#This Row],[DOB]],0),CONCATENATE("0",TEXT(Demographics[[#This Row],[DOB]],0)))</f>
        <v>24111987</v>
      </c>
      <c r="I1267" s="4">
        <f ca="1">IFERROR((VALUE(TODAY()-DATE(RIGHT(Demographics[[#This Row],[DOB - Fixed]],4),MID(Demographics[[#This Row],[DOB - Fixed]],3,2),LEFT(Demographics[[#This Row],[DOB - Fixed]],2))))/365,0)</f>
        <v>35.813698630136983</v>
      </c>
      <c r="J1267">
        <f>VLOOKUP(Demographics[[#This Row],[INCOME LEVEL]],Income[],4,FALSE)</f>
        <v>175</v>
      </c>
      <c r="K1267">
        <f>IFERROR(Demographics[[#This Row],[Total monthly income]]/Demographics[[#This Row],[FAMILY SIZE]], 0)</f>
        <v>35</v>
      </c>
    </row>
    <row r="1268" spans="1:11" x14ac:dyDescent="0.2">
      <c r="A1268">
        <v>1511425</v>
      </c>
      <c r="B1268">
        <v>5121987</v>
      </c>
      <c r="C1268">
        <v>3</v>
      </c>
      <c r="D1268">
        <v>1</v>
      </c>
      <c r="E1268">
        <v>1</v>
      </c>
      <c r="F1268">
        <v>10</v>
      </c>
      <c r="G1268">
        <v>2</v>
      </c>
      <c r="H1268" t="str">
        <f>IF(Demographics[[#This Row],[DOB]]&gt;10000000, TEXT(Demographics[[#This Row],[DOB]],0),CONCATENATE("0",TEXT(Demographics[[#This Row],[DOB]],0)))</f>
        <v>05121987</v>
      </c>
      <c r="I1268" s="4">
        <f ca="1">IFERROR((VALUE(TODAY()-DATE(RIGHT(Demographics[[#This Row],[DOB - Fixed]],4),MID(Demographics[[#This Row],[DOB - Fixed]],3,2),LEFT(Demographics[[#This Row],[DOB - Fixed]],2))))/365,0)</f>
        <v>35.783561643835618</v>
      </c>
      <c r="J1268">
        <f>VLOOKUP(Demographics[[#This Row],[INCOME LEVEL]],Income[],4,FALSE)</f>
        <v>175</v>
      </c>
      <c r="K1268">
        <f>IFERROR(Demographics[[#This Row],[Total monthly income]]/Demographics[[#This Row],[FAMILY SIZE]], 0)</f>
        <v>58.333333333333336</v>
      </c>
    </row>
    <row r="1269" spans="1:11" x14ac:dyDescent="0.2">
      <c r="A1269">
        <v>1527242</v>
      </c>
      <c r="B1269">
        <v>8011988</v>
      </c>
      <c r="C1269">
        <v>3</v>
      </c>
      <c r="D1269">
        <v>1</v>
      </c>
      <c r="E1269">
        <v>1</v>
      </c>
      <c r="F1269">
        <v>5</v>
      </c>
      <c r="G1269">
        <v>8</v>
      </c>
      <c r="H1269" t="str">
        <f>IF(Demographics[[#This Row],[DOB]]&gt;10000000, TEXT(Demographics[[#This Row],[DOB]],0),CONCATENATE("0",TEXT(Demographics[[#This Row],[DOB]],0)))</f>
        <v>08011988</v>
      </c>
      <c r="I1269" s="4">
        <f ca="1">IFERROR((VALUE(TODAY()-DATE(RIGHT(Demographics[[#This Row],[DOB - Fixed]],4),MID(Demographics[[#This Row],[DOB - Fixed]],3,2),LEFT(Demographics[[#This Row],[DOB - Fixed]],2))))/365,0)</f>
        <v>35.69041095890411</v>
      </c>
      <c r="J1269">
        <f>VLOOKUP(Demographics[[#This Row],[INCOME LEVEL]],Income[],4,FALSE)</f>
        <v>175</v>
      </c>
      <c r="K1269">
        <f>IFERROR(Demographics[[#This Row],[Total monthly income]]/Demographics[[#This Row],[FAMILY SIZE]], 0)</f>
        <v>58.333333333333336</v>
      </c>
    </row>
    <row r="1270" spans="1:11" x14ac:dyDescent="0.2">
      <c r="A1270">
        <v>16913638</v>
      </c>
      <c r="B1270">
        <v>18011988</v>
      </c>
      <c r="C1270">
        <v>8</v>
      </c>
      <c r="D1270">
        <v>4</v>
      </c>
      <c r="E1270">
        <v>6</v>
      </c>
      <c r="F1270">
        <v>9</v>
      </c>
      <c r="G1270">
        <v>10</v>
      </c>
      <c r="H1270" t="str">
        <f>IF(Demographics[[#This Row],[DOB]]&gt;10000000, TEXT(Demographics[[#This Row],[DOB]],0),CONCATENATE("0",TEXT(Demographics[[#This Row],[DOB]],0)))</f>
        <v>18011988</v>
      </c>
      <c r="I1270" s="4">
        <f ca="1">IFERROR((VALUE(TODAY()-DATE(RIGHT(Demographics[[#This Row],[DOB - Fixed]],4),MID(Demographics[[#This Row],[DOB - Fixed]],3,2),LEFT(Demographics[[#This Row],[DOB - Fixed]],2))))/365,0)</f>
        <v>35.663013698630138</v>
      </c>
      <c r="J1270">
        <f>VLOOKUP(Demographics[[#This Row],[INCOME LEVEL]],Income[],4,FALSE)</f>
        <v>4000</v>
      </c>
      <c r="K1270">
        <f>IFERROR(Demographics[[#This Row],[Total monthly income]]/Demographics[[#This Row],[FAMILY SIZE]], 0)</f>
        <v>500</v>
      </c>
    </row>
    <row r="1271" spans="1:11" x14ac:dyDescent="0.2">
      <c r="A1271">
        <v>4731769</v>
      </c>
      <c r="B1271">
        <v>26011988</v>
      </c>
      <c r="C1271">
        <v>0</v>
      </c>
      <c r="D1271">
        <v>0</v>
      </c>
      <c r="E1271">
        <v>6</v>
      </c>
      <c r="F1271">
        <v>0</v>
      </c>
      <c r="G1271">
        <v>0</v>
      </c>
      <c r="H1271" t="str">
        <f>IF(Demographics[[#This Row],[DOB]]&gt;10000000, TEXT(Demographics[[#This Row],[DOB]],0),CONCATENATE("0",TEXT(Demographics[[#This Row],[DOB]],0)))</f>
        <v>26011988</v>
      </c>
      <c r="I1271" s="4">
        <f ca="1">IFERROR((VALUE(TODAY()-DATE(RIGHT(Demographics[[#This Row],[DOB - Fixed]],4),MID(Demographics[[#This Row],[DOB - Fixed]],3,2),LEFT(Demographics[[#This Row],[DOB - Fixed]],2))))/365,0)</f>
        <v>35.641095890410959</v>
      </c>
      <c r="J1271">
        <f>VLOOKUP(Demographics[[#This Row],[INCOME LEVEL]],Income[],4,FALSE)</f>
        <v>4000</v>
      </c>
      <c r="K1271">
        <f>IFERROR(Demographics[[#This Row],[Total monthly income]]/Demographics[[#This Row],[FAMILY SIZE]], 0)</f>
        <v>0</v>
      </c>
    </row>
    <row r="1272" spans="1:11" x14ac:dyDescent="0.2">
      <c r="A1272">
        <v>5872526</v>
      </c>
      <c r="B1272">
        <v>4011988</v>
      </c>
      <c r="C1272">
        <v>7</v>
      </c>
      <c r="D1272">
        <v>1</v>
      </c>
      <c r="E1272">
        <v>1</v>
      </c>
      <c r="F1272">
        <v>4</v>
      </c>
      <c r="G1272">
        <v>2</v>
      </c>
      <c r="H1272" t="str">
        <f>IF(Demographics[[#This Row],[DOB]]&gt;10000000, TEXT(Demographics[[#This Row],[DOB]],0),CONCATENATE("0",TEXT(Demographics[[#This Row],[DOB]],0)))</f>
        <v>04011988</v>
      </c>
      <c r="I1272" s="4">
        <f ca="1">IFERROR((VALUE(TODAY()-DATE(RIGHT(Demographics[[#This Row],[DOB - Fixed]],4),MID(Demographics[[#This Row],[DOB - Fixed]],3,2),LEFT(Demographics[[#This Row],[DOB - Fixed]],2))))/365,0)</f>
        <v>35.701369863013696</v>
      </c>
      <c r="J1272">
        <f>VLOOKUP(Demographics[[#This Row],[INCOME LEVEL]],Income[],4,FALSE)</f>
        <v>175</v>
      </c>
      <c r="K1272">
        <f>IFERROR(Demographics[[#This Row],[Total monthly income]]/Demographics[[#This Row],[FAMILY SIZE]], 0)</f>
        <v>25</v>
      </c>
    </row>
    <row r="1273" spans="1:11" x14ac:dyDescent="0.2">
      <c r="A1273">
        <v>1166596</v>
      </c>
      <c r="B1273">
        <v>28011988</v>
      </c>
      <c r="C1273">
        <v>4</v>
      </c>
      <c r="D1273">
        <v>0</v>
      </c>
      <c r="E1273">
        <v>1</v>
      </c>
      <c r="F1273">
        <v>9</v>
      </c>
      <c r="G1273">
        <v>7</v>
      </c>
      <c r="H1273" t="str">
        <f>IF(Demographics[[#This Row],[DOB]]&gt;10000000, TEXT(Demographics[[#This Row],[DOB]],0),CONCATENATE("0",TEXT(Demographics[[#This Row],[DOB]],0)))</f>
        <v>28011988</v>
      </c>
      <c r="I1273" s="4">
        <f ca="1">IFERROR((VALUE(TODAY()-DATE(RIGHT(Demographics[[#This Row],[DOB - Fixed]],4),MID(Demographics[[#This Row],[DOB - Fixed]],3,2),LEFT(Demographics[[#This Row],[DOB - Fixed]],2))))/365,0)</f>
        <v>35.635616438356166</v>
      </c>
      <c r="J1273">
        <f>VLOOKUP(Demographics[[#This Row],[INCOME LEVEL]],Income[],4,FALSE)</f>
        <v>175</v>
      </c>
      <c r="K1273">
        <f>IFERROR(Demographics[[#This Row],[Total monthly income]]/Demographics[[#This Row],[FAMILY SIZE]], 0)</f>
        <v>43.75</v>
      </c>
    </row>
    <row r="1274" spans="1:11" x14ac:dyDescent="0.2">
      <c r="A1274">
        <v>11416059</v>
      </c>
      <c r="B1274">
        <v>13111986</v>
      </c>
      <c r="C1274">
        <v>4</v>
      </c>
      <c r="D1274">
        <v>1</v>
      </c>
      <c r="E1274">
        <v>1</v>
      </c>
      <c r="F1274">
        <v>4</v>
      </c>
      <c r="G1274">
        <v>7</v>
      </c>
      <c r="H1274" t="str">
        <f>IF(Demographics[[#This Row],[DOB]]&gt;10000000, TEXT(Demographics[[#This Row],[DOB]],0),CONCATENATE("0",TEXT(Demographics[[#This Row],[DOB]],0)))</f>
        <v>13111986</v>
      </c>
      <c r="I1274" s="4">
        <f ca="1">IFERROR((VALUE(TODAY()-DATE(RIGHT(Demographics[[#This Row],[DOB - Fixed]],4),MID(Demographics[[#This Row],[DOB - Fixed]],3,2),LEFT(Demographics[[#This Row],[DOB - Fixed]],2))))/365,0)</f>
        <v>36.843835616438355</v>
      </c>
      <c r="J1274">
        <f>VLOOKUP(Demographics[[#This Row],[INCOME LEVEL]],Income[],4,FALSE)</f>
        <v>175</v>
      </c>
      <c r="K1274">
        <f>IFERROR(Demographics[[#This Row],[Total monthly income]]/Demographics[[#This Row],[FAMILY SIZE]], 0)</f>
        <v>43.75</v>
      </c>
    </row>
    <row r="1275" spans="1:11" x14ac:dyDescent="0.2">
      <c r="A1275">
        <v>16018734</v>
      </c>
      <c r="B1275">
        <v>10031988</v>
      </c>
      <c r="C1275">
        <v>5</v>
      </c>
      <c r="D1275">
        <v>2</v>
      </c>
      <c r="E1275">
        <v>2</v>
      </c>
      <c r="F1275">
        <v>6</v>
      </c>
      <c r="G1275">
        <v>8</v>
      </c>
      <c r="H1275" t="str">
        <f>IF(Demographics[[#This Row],[DOB]]&gt;10000000, TEXT(Demographics[[#This Row],[DOB]],0),CONCATENATE("0",TEXT(Demographics[[#This Row],[DOB]],0)))</f>
        <v>10031988</v>
      </c>
      <c r="I1275" s="4">
        <f ca="1">IFERROR((VALUE(TODAY()-DATE(RIGHT(Demographics[[#This Row],[DOB - Fixed]],4),MID(Demographics[[#This Row],[DOB - Fixed]],3,2),LEFT(Demographics[[#This Row],[DOB - Fixed]],2))))/365,0)</f>
        <v>35.520547945205479</v>
      </c>
      <c r="J1275">
        <f>VLOOKUP(Demographics[[#This Row],[INCOME LEVEL]],Income[],4,FALSE)</f>
        <v>697.5</v>
      </c>
      <c r="K1275">
        <f>IFERROR(Demographics[[#This Row],[Total monthly income]]/Demographics[[#This Row],[FAMILY SIZE]], 0)</f>
        <v>139.5</v>
      </c>
    </row>
    <row r="1276" spans="1:11" x14ac:dyDescent="0.2">
      <c r="A1276">
        <v>3230820</v>
      </c>
      <c r="B1276">
        <v>10051988</v>
      </c>
      <c r="C1276">
        <v>3</v>
      </c>
      <c r="D1276">
        <v>1</v>
      </c>
      <c r="E1276">
        <v>2</v>
      </c>
      <c r="F1276">
        <v>5</v>
      </c>
      <c r="G1276">
        <v>5</v>
      </c>
      <c r="H1276" t="str">
        <f>IF(Demographics[[#This Row],[DOB]]&gt;10000000, TEXT(Demographics[[#This Row],[DOB]],0),CONCATENATE("0",TEXT(Demographics[[#This Row],[DOB]],0)))</f>
        <v>10051988</v>
      </c>
      <c r="I1276" s="4">
        <f ca="1">IFERROR((VALUE(TODAY()-DATE(RIGHT(Demographics[[#This Row],[DOB - Fixed]],4),MID(Demographics[[#This Row],[DOB - Fixed]],3,2),LEFT(Demographics[[#This Row],[DOB - Fixed]],2))))/365,0)</f>
        <v>35.353424657534248</v>
      </c>
      <c r="J1276">
        <f>VLOOKUP(Demographics[[#This Row],[INCOME LEVEL]],Income[],4,FALSE)</f>
        <v>697.5</v>
      </c>
      <c r="K1276">
        <f>IFERROR(Demographics[[#This Row],[Total monthly income]]/Demographics[[#This Row],[FAMILY SIZE]], 0)</f>
        <v>232.5</v>
      </c>
    </row>
    <row r="1277" spans="1:11" x14ac:dyDescent="0.2">
      <c r="A1277">
        <v>4399863</v>
      </c>
      <c r="B1277">
        <v>21041988</v>
      </c>
      <c r="C1277">
        <v>0</v>
      </c>
      <c r="D1277">
        <v>0</v>
      </c>
      <c r="E1277">
        <v>3</v>
      </c>
      <c r="F1277">
        <v>0</v>
      </c>
      <c r="G1277">
        <v>0</v>
      </c>
      <c r="H1277" t="str">
        <f>IF(Demographics[[#This Row],[DOB]]&gt;10000000, TEXT(Demographics[[#This Row],[DOB]],0),CONCATENATE("0",TEXT(Demographics[[#This Row],[DOB]],0)))</f>
        <v>21041988</v>
      </c>
      <c r="I1277" s="4">
        <f ca="1">IFERROR((VALUE(TODAY()-DATE(RIGHT(Demographics[[#This Row],[DOB - Fixed]],4),MID(Demographics[[#This Row],[DOB - Fixed]],3,2),LEFT(Demographics[[#This Row],[DOB - Fixed]],2))))/365,0)</f>
        <v>35.405479452054792</v>
      </c>
      <c r="J1277">
        <f>VLOOKUP(Demographics[[#This Row],[INCOME LEVEL]],Income[],4,FALSE)</f>
        <v>1397.5</v>
      </c>
      <c r="K1277">
        <f>IFERROR(Demographics[[#This Row],[Total monthly income]]/Demographics[[#This Row],[FAMILY SIZE]], 0)</f>
        <v>0</v>
      </c>
    </row>
    <row r="1278" spans="1:11" x14ac:dyDescent="0.2">
      <c r="A1278">
        <v>18964511</v>
      </c>
      <c r="B1278">
        <v>14071988</v>
      </c>
      <c r="C1278">
        <v>0</v>
      </c>
      <c r="D1278">
        <v>0</v>
      </c>
      <c r="E1278">
        <v>1</v>
      </c>
      <c r="F1278">
        <v>0</v>
      </c>
      <c r="G1278">
        <v>0</v>
      </c>
      <c r="H1278" t="str">
        <f>IF(Demographics[[#This Row],[DOB]]&gt;10000000, TEXT(Demographics[[#This Row],[DOB]],0),CONCATENATE("0",TEXT(Demographics[[#This Row],[DOB]],0)))</f>
        <v>14071988</v>
      </c>
      <c r="I1278" s="4">
        <f ca="1">IFERROR((VALUE(TODAY()-DATE(RIGHT(Demographics[[#This Row],[DOB - Fixed]],4),MID(Demographics[[#This Row],[DOB - Fixed]],3,2),LEFT(Demographics[[#This Row],[DOB - Fixed]],2))))/365,0)</f>
        <v>35.175342465753424</v>
      </c>
      <c r="J1278">
        <f>VLOOKUP(Demographics[[#This Row],[INCOME LEVEL]],Income[],4,FALSE)</f>
        <v>175</v>
      </c>
      <c r="K1278">
        <f>IFERROR(Demographics[[#This Row],[Total monthly income]]/Demographics[[#This Row],[FAMILY SIZE]], 0)</f>
        <v>0</v>
      </c>
    </row>
    <row r="1279" spans="1:11" x14ac:dyDescent="0.2">
      <c r="A1279">
        <v>9582327</v>
      </c>
      <c r="B1279">
        <v>4081988</v>
      </c>
      <c r="C1279">
        <v>0</v>
      </c>
      <c r="D1279">
        <v>0</v>
      </c>
      <c r="E1279">
        <v>4</v>
      </c>
      <c r="F1279">
        <v>0</v>
      </c>
      <c r="G1279">
        <v>0</v>
      </c>
      <c r="H1279" t="str">
        <f>IF(Demographics[[#This Row],[DOB]]&gt;10000000, TEXT(Demographics[[#This Row],[DOB]],0),CONCATENATE("0",TEXT(Demographics[[#This Row],[DOB]],0)))</f>
        <v>04081988</v>
      </c>
      <c r="I1279" s="4">
        <f ca="1">IFERROR((VALUE(TODAY()-DATE(RIGHT(Demographics[[#This Row],[DOB - Fixed]],4),MID(Demographics[[#This Row],[DOB - Fixed]],3,2),LEFT(Demographics[[#This Row],[DOB - Fixed]],2))))/365,0)</f>
        <v>35.11780821917808</v>
      </c>
      <c r="J1279">
        <f>VLOOKUP(Demographics[[#This Row],[INCOME LEVEL]],Income[],4,FALSE)</f>
        <v>2100</v>
      </c>
      <c r="K1279">
        <f>IFERROR(Demographics[[#This Row],[Total monthly income]]/Demographics[[#This Row],[FAMILY SIZE]], 0)</f>
        <v>0</v>
      </c>
    </row>
    <row r="1280" spans="1:11" x14ac:dyDescent="0.2">
      <c r="A1280">
        <v>401848</v>
      </c>
      <c r="B1280">
        <v>12091988</v>
      </c>
      <c r="C1280">
        <v>5</v>
      </c>
      <c r="D1280">
        <v>1</v>
      </c>
      <c r="E1280">
        <v>3</v>
      </c>
      <c r="F1280">
        <v>9</v>
      </c>
      <c r="G1280">
        <v>5</v>
      </c>
      <c r="H1280" t="str">
        <f>IF(Demographics[[#This Row],[DOB]]&gt;10000000, TEXT(Demographics[[#This Row],[DOB]],0),CONCATENATE("0",TEXT(Demographics[[#This Row],[DOB]],0)))</f>
        <v>12091988</v>
      </c>
      <c r="I1280" s="4">
        <f ca="1">IFERROR((VALUE(TODAY()-DATE(RIGHT(Demographics[[#This Row],[DOB - Fixed]],4),MID(Demographics[[#This Row],[DOB - Fixed]],3,2),LEFT(Demographics[[#This Row],[DOB - Fixed]],2))))/365,0)</f>
        <v>35.010958904109586</v>
      </c>
      <c r="J1280">
        <f>VLOOKUP(Demographics[[#This Row],[INCOME LEVEL]],Income[],4,FALSE)</f>
        <v>1397.5</v>
      </c>
      <c r="K1280">
        <f>IFERROR(Demographics[[#This Row],[Total monthly income]]/Demographics[[#This Row],[FAMILY SIZE]], 0)</f>
        <v>279.5</v>
      </c>
    </row>
    <row r="1281" spans="1:11" x14ac:dyDescent="0.2">
      <c r="A1281">
        <v>6726135</v>
      </c>
      <c r="B1281">
        <v>17091988</v>
      </c>
      <c r="C1281">
        <v>4</v>
      </c>
      <c r="D1281">
        <v>1</v>
      </c>
      <c r="E1281">
        <v>1</v>
      </c>
      <c r="F1281">
        <v>5</v>
      </c>
      <c r="G1281">
        <v>9</v>
      </c>
      <c r="H1281" t="str">
        <f>IF(Demographics[[#This Row],[DOB]]&gt;10000000, TEXT(Demographics[[#This Row],[DOB]],0),CONCATENATE("0",TEXT(Demographics[[#This Row],[DOB]],0)))</f>
        <v>17091988</v>
      </c>
      <c r="I1281" s="4">
        <f ca="1">IFERROR((VALUE(TODAY()-DATE(RIGHT(Demographics[[#This Row],[DOB - Fixed]],4),MID(Demographics[[#This Row],[DOB - Fixed]],3,2),LEFT(Demographics[[#This Row],[DOB - Fixed]],2))))/365,0)</f>
        <v>34.9972602739726</v>
      </c>
      <c r="J1281">
        <f>VLOOKUP(Demographics[[#This Row],[INCOME LEVEL]],Income[],4,FALSE)</f>
        <v>175</v>
      </c>
      <c r="K1281">
        <f>IFERROR(Demographics[[#This Row],[Total monthly income]]/Demographics[[#This Row],[FAMILY SIZE]], 0)</f>
        <v>43.75</v>
      </c>
    </row>
    <row r="1282" spans="1:11" x14ac:dyDescent="0.2">
      <c r="A1282">
        <v>9728085</v>
      </c>
      <c r="B1282">
        <v>11051988</v>
      </c>
      <c r="C1282">
        <v>3</v>
      </c>
      <c r="D1282">
        <v>1</v>
      </c>
      <c r="E1282">
        <v>1</v>
      </c>
      <c r="F1282">
        <v>2</v>
      </c>
      <c r="G1282">
        <v>3</v>
      </c>
      <c r="H1282" t="str">
        <f>IF(Demographics[[#This Row],[DOB]]&gt;10000000, TEXT(Demographics[[#This Row],[DOB]],0),CONCATENATE("0",TEXT(Demographics[[#This Row],[DOB]],0)))</f>
        <v>11051988</v>
      </c>
      <c r="I1282" s="4">
        <f ca="1">IFERROR((VALUE(TODAY()-DATE(RIGHT(Demographics[[#This Row],[DOB - Fixed]],4),MID(Demographics[[#This Row],[DOB - Fixed]],3,2),LEFT(Demographics[[#This Row],[DOB - Fixed]],2))))/365,0)</f>
        <v>35.350684931506848</v>
      </c>
      <c r="J1282">
        <f>VLOOKUP(Demographics[[#This Row],[INCOME LEVEL]],Income[],4,FALSE)</f>
        <v>175</v>
      </c>
      <c r="K1282">
        <f>IFERROR(Demographics[[#This Row],[Total monthly income]]/Demographics[[#This Row],[FAMILY SIZE]], 0)</f>
        <v>58.333333333333336</v>
      </c>
    </row>
    <row r="1283" spans="1:11" x14ac:dyDescent="0.2">
      <c r="A1283">
        <v>8040281</v>
      </c>
      <c r="B1283">
        <v>16091988</v>
      </c>
      <c r="C1283">
        <v>4</v>
      </c>
      <c r="D1283">
        <v>0</v>
      </c>
      <c r="E1283">
        <v>1</v>
      </c>
      <c r="F1283">
        <v>5</v>
      </c>
      <c r="G1283">
        <v>8</v>
      </c>
      <c r="H1283" t="str">
        <f>IF(Demographics[[#This Row],[DOB]]&gt;10000000, TEXT(Demographics[[#This Row],[DOB]],0),CONCATENATE("0",TEXT(Demographics[[#This Row],[DOB]],0)))</f>
        <v>16091988</v>
      </c>
      <c r="I1283" s="4">
        <f ca="1">IFERROR((VALUE(TODAY()-DATE(RIGHT(Demographics[[#This Row],[DOB - Fixed]],4),MID(Demographics[[#This Row],[DOB - Fixed]],3,2),LEFT(Demographics[[#This Row],[DOB - Fixed]],2))))/365,0)</f>
        <v>35</v>
      </c>
      <c r="J1283">
        <f>VLOOKUP(Demographics[[#This Row],[INCOME LEVEL]],Income[],4,FALSE)</f>
        <v>175</v>
      </c>
      <c r="K1283">
        <f>IFERROR(Demographics[[#This Row],[Total monthly income]]/Demographics[[#This Row],[FAMILY SIZE]], 0)</f>
        <v>43.75</v>
      </c>
    </row>
    <row r="1284" spans="1:11" x14ac:dyDescent="0.2">
      <c r="A1284">
        <v>3234118</v>
      </c>
      <c r="B1284">
        <v>9111988</v>
      </c>
      <c r="C1284">
        <v>4</v>
      </c>
      <c r="D1284">
        <v>0</v>
      </c>
      <c r="E1284">
        <v>1</v>
      </c>
      <c r="F1284">
        <v>8</v>
      </c>
      <c r="G1284">
        <v>4</v>
      </c>
      <c r="H1284" t="str">
        <f>IF(Demographics[[#This Row],[DOB]]&gt;10000000, TEXT(Demographics[[#This Row],[DOB]],0),CONCATENATE("0",TEXT(Demographics[[#This Row],[DOB]],0)))</f>
        <v>09111988</v>
      </c>
      <c r="I1284" s="4">
        <f ca="1">IFERROR((VALUE(TODAY()-DATE(RIGHT(Demographics[[#This Row],[DOB - Fixed]],4),MID(Demographics[[#This Row],[DOB - Fixed]],3,2),LEFT(Demographics[[#This Row],[DOB - Fixed]],2))))/365,0)</f>
        <v>34.852054794520548</v>
      </c>
      <c r="J1284">
        <f>VLOOKUP(Demographics[[#This Row],[INCOME LEVEL]],Income[],4,FALSE)</f>
        <v>175</v>
      </c>
      <c r="K1284">
        <f>IFERROR(Demographics[[#This Row],[Total monthly income]]/Demographics[[#This Row],[FAMILY SIZE]], 0)</f>
        <v>43.75</v>
      </c>
    </row>
    <row r="1285" spans="1:11" x14ac:dyDescent="0.2">
      <c r="A1285">
        <v>18720885</v>
      </c>
      <c r="B1285">
        <v>12011989</v>
      </c>
      <c r="C1285">
        <v>3</v>
      </c>
      <c r="D1285">
        <v>1</v>
      </c>
      <c r="E1285">
        <v>3</v>
      </c>
      <c r="F1285">
        <v>0</v>
      </c>
      <c r="G1285">
        <v>9</v>
      </c>
      <c r="H1285" t="str">
        <f>IF(Demographics[[#This Row],[DOB]]&gt;10000000, TEXT(Demographics[[#This Row],[DOB]],0),CONCATENATE("0",TEXT(Demographics[[#This Row],[DOB]],0)))</f>
        <v>12011989</v>
      </c>
      <c r="I1285" s="4">
        <f ca="1">IFERROR((VALUE(TODAY()-DATE(RIGHT(Demographics[[#This Row],[DOB - Fixed]],4),MID(Demographics[[#This Row],[DOB - Fixed]],3,2),LEFT(Demographics[[#This Row],[DOB - Fixed]],2))))/365,0)</f>
        <v>34.676712328767124</v>
      </c>
      <c r="J1285">
        <f>VLOOKUP(Demographics[[#This Row],[INCOME LEVEL]],Income[],4,FALSE)</f>
        <v>1397.5</v>
      </c>
      <c r="K1285">
        <f>IFERROR(Demographics[[#This Row],[Total monthly income]]/Demographics[[#This Row],[FAMILY SIZE]], 0)</f>
        <v>465.83333333333331</v>
      </c>
    </row>
    <row r="1286" spans="1:11" x14ac:dyDescent="0.2">
      <c r="A1286">
        <v>21852950</v>
      </c>
      <c r="B1286">
        <v>23111987</v>
      </c>
      <c r="C1286">
        <v>4</v>
      </c>
      <c r="D1286">
        <v>1</v>
      </c>
      <c r="E1286">
        <v>1</v>
      </c>
      <c r="F1286">
        <v>3</v>
      </c>
      <c r="G1286">
        <v>5</v>
      </c>
      <c r="H1286" t="str">
        <f>IF(Demographics[[#This Row],[DOB]]&gt;10000000, TEXT(Demographics[[#This Row],[DOB]],0),CONCATENATE("0",TEXT(Demographics[[#This Row],[DOB]],0)))</f>
        <v>23111987</v>
      </c>
      <c r="I1286" s="4">
        <f ca="1">IFERROR((VALUE(TODAY()-DATE(RIGHT(Demographics[[#This Row],[DOB - Fixed]],4),MID(Demographics[[#This Row],[DOB - Fixed]],3,2),LEFT(Demographics[[#This Row],[DOB - Fixed]],2))))/365,0)</f>
        <v>35.816438356164383</v>
      </c>
      <c r="J1286">
        <f>VLOOKUP(Demographics[[#This Row],[INCOME LEVEL]],Income[],4,FALSE)</f>
        <v>175</v>
      </c>
      <c r="K1286">
        <f>IFERROR(Demographics[[#This Row],[Total monthly income]]/Demographics[[#This Row],[FAMILY SIZE]], 0)</f>
        <v>43.75</v>
      </c>
    </row>
    <row r="1287" spans="1:11" x14ac:dyDescent="0.2">
      <c r="A1287">
        <v>12817701</v>
      </c>
      <c r="B1287">
        <v>10031988</v>
      </c>
      <c r="C1287">
        <v>3</v>
      </c>
      <c r="D1287">
        <v>1</v>
      </c>
      <c r="E1287">
        <v>2</v>
      </c>
      <c r="F1287">
        <v>9</v>
      </c>
      <c r="G1287">
        <v>9</v>
      </c>
      <c r="H1287" t="str">
        <f>IF(Demographics[[#This Row],[DOB]]&gt;10000000, TEXT(Demographics[[#This Row],[DOB]],0),CONCATENATE("0",TEXT(Demographics[[#This Row],[DOB]],0)))</f>
        <v>10031988</v>
      </c>
      <c r="I1287" s="4">
        <f ca="1">IFERROR((VALUE(TODAY()-DATE(RIGHT(Demographics[[#This Row],[DOB - Fixed]],4),MID(Demographics[[#This Row],[DOB - Fixed]],3,2),LEFT(Demographics[[#This Row],[DOB - Fixed]],2))))/365,0)</f>
        <v>35.520547945205479</v>
      </c>
      <c r="J1287">
        <f>VLOOKUP(Demographics[[#This Row],[INCOME LEVEL]],Income[],4,FALSE)</f>
        <v>697.5</v>
      </c>
      <c r="K1287">
        <f>IFERROR(Demographics[[#This Row],[Total monthly income]]/Demographics[[#This Row],[FAMILY SIZE]], 0)</f>
        <v>232.5</v>
      </c>
    </row>
    <row r="1288" spans="1:11" x14ac:dyDescent="0.2">
      <c r="A1288">
        <v>8402566</v>
      </c>
      <c r="B1288">
        <v>15011988</v>
      </c>
      <c r="C1288">
        <v>5</v>
      </c>
      <c r="D1288">
        <v>2</v>
      </c>
      <c r="E1288">
        <v>2</v>
      </c>
      <c r="F1288">
        <v>5</v>
      </c>
      <c r="G1288">
        <v>5</v>
      </c>
      <c r="H1288" t="str">
        <f>IF(Demographics[[#This Row],[DOB]]&gt;10000000, TEXT(Demographics[[#This Row],[DOB]],0),CONCATENATE("0",TEXT(Demographics[[#This Row],[DOB]],0)))</f>
        <v>15011988</v>
      </c>
      <c r="I1288" s="4">
        <f ca="1">IFERROR((VALUE(TODAY()-DATE(RIGHT(Demographics[[#This Row],[DOB - Fixed]],4),MID(Demographics[[#This Row],[DOB - Fixed]],3,2),LEFT(Demographics[[#This Row],[DOB - Fixed]],2))))/365,0)</f>
        <v>35.671232876712331</v>
      </c>
      <c r="J1288">
        <f>VLOOKUP(Demographics[[#This Row],[INCOME LEVEL]],Income[],4,FALSE)</f>
        <v>697.5</v>
      </c>
      <c r="K1288">
        <f>IFERROR(Demographics[[#This Row],[Total monthly income]]/Demographics[[#This Row],[FAMILY SIZE]], 0)</f>
        <v>139.5</v>
      </c>
    </row>
    <row r="1289" spans="1:11" x14ac:dyDescent="0.2">
      <c r="A1289">
        <v>1424916</v>
      </c>
      <c r="B1289">
        <v>28121988</v>
      </c>
      <c r="C1289">
        <v>4</v>
      </c>
      <c r="D1289">
        <v>1</v>
      </c>
      <c r="E1289">
        <v>2</v>
      </c>
      <c r="F1289">
        <v>7</v>
      </c>
      <c r="G1289">
        <v>5</v>
      </c>
      <c r="H1289" t="str">
        <f>IF(Demographics[[#This Row],[DOB]]&gt;10000000, TEXT(Demographics[[#This Row],[DOB]],0),CONCATENATE("0",TEXT(Demographics[[#This Row],[DOB]],0)))</f>
        <v>28121988</v>
      </c>
      <c r="I1289" s="4">
        <f ca="1">IFERROR((VALUE(TODAY()-DATE(RIGHT(Demographics[[#This Row],[DOB - Fixed]],4),MID(Demographics[[#This Row],[DOB - Fixed]],3,2),LEFT(Demographics[[#This Row],[DOB - Fixed]],2))))/365,0)</f>
        <v>34.717808219178082</v>
      </c>
      <c r="J1289">
        <f>VLOOKUP(Demographics[[#This Row],[INCOME LEVEL]],Income[],4,FALSE)</f>
        <v>697.5</v>
      </c>
      <c r="K1289">
        <f>IFERROR(Demographics[[#This Row],[Total monthly income]]/Demographics[[#This Row],[FAMILY SIZE]], 0)</f>
        <v>174.375</v>
      </c>
    </row>
    <row r="1290" spans="1:11" x14ac:dyDescent="0.2">
      <c r="A1290">
        <v>18856034</v>
      </c>
      <c r="B1290">
        <v>22111988</v>
      </c>
      <c r="C1290">
        <v>5</v>
      </c>
      <c r="D1290">
        <v>3</v>
      </c>
      <c r="E1290">
        <v>1</v>
      </c>
      <c r="F1290">
        <v>5</v>
      </c>
      <c r="G1290">
        <v>4</v>
      </c>
      <c r="H1290" t="str">
        <f>IF(Demographics[[#This Row],[DOB]]&gt;10000000, TEXT(Demographics[[#This Row],[DOB]],0),CONCATENATE("0",TEXT(Demographics[[#This Row],[DOB]],0)))</f>
        <v>22111988</v>
      </c>
      <c r="I1290" s="4">
        <f ca="1">IFERROR((VALUE(TODAY()-DATE(RIGHT(Demographics[[#This Row],[DOB - Fixed]],4),MID(Demographics[[#This Row],[DOB - Fixed]],3,2),LEFT(Demographics[[#This Row],[DOB - Fixed]],2))))/365,0)</f>
        <v>34.816438356164383</v>
      </c>
      <c r="J1290">
        <f>VLOOKUP(Demographics[[#This Row],[INCOME LEVEL]],Income[],4,FALSE)</f>
        <v>175</v>
      </c>
      <c r="K1290">
        <f>IFERROR(Demographics[[#This Row],[Total monthly income]]/Demographics[[#This Row],[FAMILY SIZE]], 0)</f>
        <v>35</v>
      </c>
    </row>
    <row r="1291" spans="1:11" x14ac:dyDescent="0.2">
      <c r="A1291">
        <v>5593794</v>
      </c>
      <c r="B1291">
        <v>30121988</v>
      </c>
      <c r="C1291">
        <v>4</v>
      </c>
      <c r="D1291">
        <v>1</v>
      </c>
      <c r="E1291">
        <v>2</v>
      </c>
      <c r="F1291">
        <v>5</v>
      </c>
      <c r="G1291">
        <v>5</v>
      </c>
      <c r="H1291" t="str">
        <f>IF(Demographics[[#This Row],[DOB]]&gt;10000000, TEXT(Demographics[[#This Row],[DOB]],0),CONCATENATE("0",TEXT(Demographics[[#This Row],[DOB]],0)))</f>
        <v>30121988</v>
      </c>
      <c r="I1291" s="4">
        <f ca="1">IFERROR((VALUE(TODAY()-DATE(RIGHT(Demographics[[#This Row],[DOB - Fixed]],4),MID(Demographics[[#This Row],[DOB - Fixed]],3,2),LEFT(Demographics[[#This Row],[DOB - Fixed]],2))))/365,0)</f>
        <v>34.712328767123289</v>
      </c>
      <c r="J1291">
        <f>VLOOKUP(Demographics[[#This Row],[INCOME LEVEL]],Income[],4,FALSE)</f>
        <v>697.5</v>
      </c>
      <c r="K1291">
        <f>IFERROR(Demographics[[#This Row],[Total monthly income]]/Demographics[[#This Row],[FAMILY SIZE]], 0)</f>
        <v>174.375</v>
      </c>
    </row>
    <row r="1292" spans="1:11" x14ac:dyDescent="0.2">
      <c r="A1292">
        <v>17215842</v>
      </c>
      <c r="B1292">
        <v>11121987</v>
      </c>
      <c r="C1292">
        <v>4</v>
      </c>
      <c r="D1292">
        <v>0</v>
      </c>
      <c r="E1292">
        <v>1</v>
      </c>
      <c r="F1292">
        <v>5</v>
      </c>
      <c r="G1292">
        <v>5</v>
      </c>
      <c r="H1292" t="str">
        <f>IF(Demographics[[#This Row],[DOB]]&gt;10000000, TEXT(Demographics[[#This Row],[DOB]],0),CONCATENATE("0",TEXT(Demographics[[#This Row],[DOB]],0)))</f>
        <v>11121987</v>
      </c>
      <c r="I1292" s="4">
        <f ca="1">IFERROR((VALUE(TODAY()-DATE(RIGHT(Demographics[[#This Row],[DOB - Fixed]],4),MID(Demographics[[#This Row],[DOB - Fixed]],3,2),LEFT(Demographics[[#This Row],[DOB - Fixed]],2))))/365,0)</f>
        <v>35.767123287671232</v>
      </c>
      <c r="J1292">
        <f>VLOOKUP(Demographics[[#This Row],[INCOME LEVEL]],Income[],4,FALSE)</f>
        <v>175</v>
      </c>
      <c r="K1292">
        <f>IFERROR(Demographics[[#This Row],[Total monthly income]]/Demographics[[#This Row],[FAMILY SIZE]], 0)</f>
        <v>43.75</v>
      </c>
    </row>
    <row r="1293" spans="1:11" x14ac:dyDescent="0.2">
      <c r="A1293">
        <v>8670982</v>
      </c>
      <c r="B1293">
        <v>28121987</v>
      </c>
      <c r="C1293">
        <v>5</v>
      </c>
      <c r="D1293">
        <v>2</v>
      </c>
      <c r="E1293">
        <v>1</v>
      </c>
      <c r="F1293">
        <v>5</v>
      </c>
      <c r="G1293">
        <v>7</v>
      </c>
      <c r="H1293" t="str">
        <f>IF(Demographics[[#This Row],[DOB]]&gt;10000000, TEXT(Demographics[[#This Row],[DOB]],0),CONCATENATE("0",TEXT(Demographics[[#This Row],[DOB]],0)))</f>
        <v>28121987</v>
      </c>
      <c r="I1293" s="4">
        <f ca="1">IFERROR((VALUE(TODAY()-DATE(RIGHT(Demographics[[#This Row],[DOB - Fixed]],4),MID(Demographics[[#This Row],[DOB - Fixed]],3,2),LEFT(Demographics[[#This Row],[DOB - Fixed]],2))))/365,0)</f>
        <v>35.720547945205482</v>
      </c>
      <c r="J1293">
        <f>VLOOKUP(Demographics[[#This Row],[INCOME LEVEL]],Income[],4,FALSE)</f>
        <v>175</v>
      </c>
      <c r="K1293">
        <f>IFERROR(Demographics[[#This Row],[Total monthly income]]/Demographics[[#This Row],[FAMILY SIZE]], 0)</f>
        <v>35</v>
      </c>
    </row>
    <row r="1294" spans="1:11" x14ac:dyDescent="0.2">
      <c r="A1294">
        <v>19699102</v>
      </c>
      <c r="B1294">
        <v>8011988</v>
      </c>
      <c r="C1294">
        <v>4</v>
      </c>
      <c r="D1294">
        <v>1</v>
      </c>
      <c r="E1294">
        <v>1</v>
      </c>
      <c r="F1294">
        <v>4</v>
      </c>
      <c r="G1294">
        <v>4</v>
      </c>
      <c r="H1294" t="str">
        <f>IF(Demographics[[#This Row],[DOB]]&gt;10000000, TEXT(Demographics[[#This Row],[DOB]],0),CONCATENATE("0",TEXT(Demographics[[#This Row],[DOB]],0)))</f>
        <v>08011988</v>
      </c>
      <c r="I1294" s="4">
        <f ca="1">IFERROR((VALUE(TODAY()-DATE(RIGHT(Demographics[[#This Row],[DOB - Fixed]],4),MID(Demographics[[#This Row],[DOB - Fixed]],3,2),LEFT(Demographics[[#This Row],[DOB - Fixed]],2))))/365,0)</f>
        <v>35.69041095890411</v>
      </c>
      <c r="J1294">
        <f>VLOOKUP(Demographics[[#This Row],[INCOME LEVEL]],Income[],4,FALSE)</f>
        <v>175</v>
      </c>
      <c r="K1294">
        <f>IFERROR(Demographics[[#This Row],[Total monthly income]]/Demographics[[#This Row],[FAMILY SIZE]], 0)</f>
        <v>43.75</v>
      </c>
    </row>
    <row r="1295" spans="1:11" x14ac:dyDescent="0.2">
      <c r="A1295">
        <v>11587512</v>
      </c>
      <c r="B1295">
        <v>29021988</v>
      </c>
      <c r="C1295">
        <v>6</v>
      </c>
      <c r="D1295">
        <v>2</v>
      </c>
      <c r="E1295">
        <v>2</v>
      </c>
      <c r="F1295">
        <v>5</v>
      </c>
      <c r="G1295">
        <v>5</v>
      </c>
      <c r="H1295" t="str">
        <f>IF(Demographics[[#This Row],[DOB]]&gt;10000000, TEXT(Demographics[[#This Row],[DOB]],0),CONCATENATE("0",TEXT(Demographics[[#This Row],[DOB]],0)))</f>
        <v>29021988</v>
      </c>
      <c r="I1295" s="4">
        <f ca="1">IFERROR((VALUE(TODAY()-DATE(RIGHT(Demographics[[#This Row],[DOB - Fixed]],4),MID(Demographics[[#This Row],[DOB - Fixed]],3,2),LEFT(Demographics[[#This Row],[DOB - Fixed]],2))))/365,0)</f>
        <v>35.547945205479451</v>
      </c>
      <c r="J1295">
        <f>VLOOKUP(Demographics[[#This Row],[INCOME LEVEL]],Income[],4,FALSE)</f>
        <v>697.5</v>
      </c>
      <c r="K1295">
        <f>IFERROR(Demographics[[#This Row],[Total monthly income]]/Demographics[[#This Row],[FAMILY SIZE]], 0)</f>
        <v>116.25</v>
      </c>
    </row>
    <row r="1296" spans="1:11" x14ac:dyDescent="0.2">
      <c r="A1296">
        <v>573763</v>
      </c>
      <c r="B1296">
        <v>28041988</v>
      </c>
      <c r="C1296">
        <v>4</v>
      </c>
      <c r="D1296">
        <v>1</v>
      </c>
      <c r="E1296">
        <v>2</v>
      </c>
      <c r="F1296">
        <v>5</v>
      </c>
      <c r="G1296">
        <v>5</v>
      </c>
      <c r="H1296" t="str">
        <f>IF(Demographics[[#This Row],[DOB]]&gt;10000000, TEXT(Demographics[[#This Row],[DOB]],0),CONCATENATE("0",TEXT(Demographics[[#This Row],[DOB]],0)))</f>
        <v>28041988</v>
      </c>
      <c r="I1296" s="4">
        <f ca="1">IFERROR((VALUE(TODAY()-DATE(RIGHT(Demographics[[#This Row],[DOB - Fixed]],4),MID(Demographics[[#This Row],[DOB - Fixed]],3,2),LEFT(Demographics[[#This Row],[DOB - Fixed]],2))))/365,0)</f>
        <v>35.386301369863013</v>
      </c>
      <c r="J1296">
        <f>VLOOKUP(Demographics[[#This Row],[INCOME LEVEL]],Income[],4,FALSE)</f>
        <v>697.5</v>
      </c>
      <c r="K1296">
        <f>IFERROR(Demographics[[#This Row],[Total monthly income]]/Demographics[[#This Row],[FAMILY SIZE]], 0)</f>
        <v>174.375</v>
      </c>
    </row>
    <row r="1297" spans="1:11" x14ac:dyDescent="0.2">
      <c r="A1297">
        <v>662802</v>
      </c>
      <c r="B1297">
        <v>1081988</v>
      </c>
      <c r="C1297">
        <v>4</v>
      </c>
      <c r="D1297">
        <v>1</v>
      </c>
      <c r="E1297">
        <v>1</v>
      </c>
      <c r="F1297">
        <v>9</v>
      </c>
      <c r="G1297">
        <v>9</v>
      </c>
      <c r="H1297" t="str">
        <f>IF(Demographics[[#This Row],[DOB]]&gt;10000000, TEXT(Demographics[[#This Row],[DOB]],0),CONCATENATE("0",TEXT(Demographics[[#This Row],[DOB]],0)))</f>
        <v>01081988</v>
      </c>
      <c r="I1297" s="4">
        <f ca="1">IFERROR((VALUE(TODAY()-DATE(RIGHT(Demographics[[#This Row],[DOB - Fixed]],4),MID(Demographics[[#This Row],[DOB - Fixed]],3,2),LEFT(Demographics[[#This Row],[DOB - Fixed]],2))))/365,0)</f>
        <v>35.126027397260273</v>
      </c>
      <c r="J1297">
        <f>VLOOKUP(Demographics[[#This Row],[INCOME LEVEL]],Income[],4,FALSE)</f>
        <v>175</v>
      </c>
      <c r="K1297">
        <f>IFERROR(Demographics[[#This Row],[Total monthly income]]/Demographics[[#This Row],[FAMILY SIZE]], 0)</f>
        <v>43.75</v>
      </c>
    </row>
    <row r="1298" spans="1:11" x14ac:dyDescent="0.2">
      <c r="A1298">
        <v>3608859</v>
      </c>
      <c r="B1298">
        <v>7101988</v>
      </c>
      <c r="C1298">
        <v>6</v>
      </c>
      <c r="D1298">
        <v>1</v>
      </c>
      <c r="E1298">
        <v>1</v>
      </c>
      <c r="F1298">
        <v>3</v>
      </c>
      <c r="G1298">
        <v>5</v>
      </c>
      <c r="H1298" t="str">
        <f>IF(Demographics[[#This Row],[DOB]]&gt;10000000, TEXT(Demographics[[#This Row],[DOB]],0),CONCATENATE("0",TEXT(Demographics[[#This Row],[DOB]],0)))</f>
        <v>07101988</v>
      </c>
      <c r="I1298" s="4">
        <f ca="1">IFERROR((VALUE(TODAY()-DATE(RIGHT(Demographics[[#This Row],[DOB - Fixed]],4),MID(Demographics[[#This Row],[DOB - Fixed]],3,2),LEFT(Demographics[[#This Row],[DOB - Fixed]],2))))/365,0)</f>
        <v>34.942465753424656</v>
      </c>
      <c r="J1298">
        <f>VLOOKUP(Demographics[[#This Row],[INCOME LEVEL]],Income[],4,FALSE)</f>
        <v>175</v>
      </c>
      <c r="K1298">
        <f>IFERROR(Demographics[[#This Row],[Total monthly income]]/Demographics[[#This Row],[FAMILY SIZE]], 0)</f>
        <v>29.166666666666668</v>
      </c>
    </row>
    <row r="1299" spans="1:11" x14ac:dyDescent="0.2">
      <c r="A1299">
        <v>22728113</v>
      </c>
      <c r="B1299">
        <v>28091988</v>
      </c>
      <c r="C1299">
        <v>3</v>
      </c>
      <c r="D1299">
        <v>1</v>
      </c>
      <c r="E1299">
        <v>1</v>
      </c>
      <c r="F1299">
        <v>5</v>
      </c>
      <c r="G1299">
        <v>2</v>
      </c>
      <c r="H1299" t="str">
        <f>IF(Demographics[[#This Row],[DOB]]&gt;10000000, TEXT(Demographics[[#This Row],[DOB]],0),CONCATENATE("0",TEXT(Demographics[[#This Row],[DOB]],0)))</f>
        <v>28091988</v>
      </c>
      <c r="I1299" s="4">
        <f ca="1">IFERROR((VALUE(TODAY()-DATE(RIGHT(Demographics[[#This Row],[DOB - Fixed]],4),MID(Demographics[[#This Row],[DOB - Fixed]],3,2),LEFT(Demographics[[#This Row],[DOB - Fixed]],2))))/365,0)</f>
        <v>34.967123287671235</v>
      </c>
      <c r="J1299">
        <f>VLOOKUP(Demographics[[#This Row],[INCOME LEVEL]],Income[],4,FALSE)</f>
        <v>175</v>
      </c>
      <c r="K1299">
        <f>IFERROR(Demographics[[#This Row],[Total monthly income]]/Demographics[[#This Row],[FAMILY SIZE]], 0)</f>
        <v>58.333333333333336</v>
      </c>
    </row>
    <row r="1300" spans="1:11" x14ac:dyDescent="0.2">
      <c r="A1300">
        <v>5537402</v>
      </c>
      <c r="B1300">
        <v>11111988</v>
      </c>
      <c r="C1300">
        <v>4</v>
      </c>
      <c r="D1300">
        <v>1</v>
      </c>
      <c r="E1300">
        <v>1</v>
      </c>
      <c r="F1300">
        <v>4</v>
      </c>
      <c r="G1300">
        <v>5</v>
      </c>
      <c r="H1300" t="str">
        <f>IF(Demographics[[#This Row],[DOB]]&gt;10000000, TEXT(Demographics[[#This Row],[DOB]],0),CONCATENATE("0",TEXT(Demographics[[#This Row],[DOB]],0)))</f>
        <v>11111988</v>
      </c>
      <c r="I1300" s="4">
        <f ca="1">IFERROR((VALUE(TODAY()-DATE(RIGHT(Demographics[[#This Row],[DOB - Fixed]],4),MID(Demographics[[#This Row],[DOB - Fixed]],3,2),LEFT(Demographics[[#This Row],[DOB - Fixed]],2))))/365,0)</f>
        <v>34.846575342465755</v>
      </c>
      <c r="J1300">
        <f>VLOOKUP(Demographics[[#This Row],[INCOME LEVEL]],Income[],4,FALSE)</f>
        <v>175</v>
      </c>
      <c r="K1300">
        <f>IFERROR(Demographics[[#This Row],[Total monthly income]]/Demographics[[#This Row],[FAMILY SIZE]], 0)</f>
        <v>43.75</v>
      </c>
    </row>
    <row r="1301" spans="1:11" x14ac:dyDescent="0.2">
      <c r="A1301">
        <v>10703406</v>
      </c>
      <c r="B1301">
        <v>15111988</v>
      </c>
      <c r="C1301">
        <v>3</v>
      </c>
      <c r="D1301">
        <v>2</v>
      </c>
      <c r="E1301">
        <v>2</v>
      </c>
      <c r="F1301">
        <v>0</v>
      </c>
      <c r="G1301">
        <v>5</v>
      </c>
      <c r="H1301" t="str">
        <f>IF(Demographics[[#This Row],[DOB]]&gt;10000000, TEXT(Demographics[[#This Row],[DOB]],0),CONCATENATE("0",TEXT(Demographics[[#This Row],[DOB]],0)))</f>
        <v>15111988</v>
      </c>
      <c r="I1301" s="4">
        <f ca="1">IFERROR((VALUE(TODAY()-DATE(RIGHT(Demographics[[#This Row],[DOB - Fixed]],4),MID(Demographics[[#This Row],[DOB - Fixed]],3,2),LEFT(Demographics[[#This Row],[DOB - Fixed]],2))))/365,0)</f>
        <v>34.835616438356162</v>
      </c>
      <c r="J1301">
        <f>VLOOKUP(Demographics[[#This Row],[INCOME LEVEL]],Income[],4,FALSE)</f>
        <v>697.5</v>
      </c>
      <c r="K1301">
        <f>IFERROR(Demographics[[#This Row],[Total monthly income]]/Demographics[[#This Row],[FAMILY SIZE]], 0)</f>
        <v>232.5</v>
      </c>
    </row>
    <row r="1302" spans="1:11" x14ac:dyDescent="0.2">
      <c r="A1302">
        <v>6431312</v>
      </c>
      <c r="B1302">
        <v>23111988</v>
      </c>
      <c r="C1302">
        <v>5</v>
      </c>
      <c r="D1302">
        <v>1</v>
      </c>
      <c r="E1302">
        <v>2</v>
      </c>
      <c r="F1302">
        <v>5</v>
      </c>
      <c r="G1302">
        <v>3</v>
      </c>
      <c r="H1302" t="str">
        <f>IF(Demographics[[#This Row],[DOB]]&gt;10000000, TEXT(Demographics[[#This Row],[DOB]],0),CONCATENATE("0",TEXT(Demographics[[#This Row],[DOB]],0)))</f>
        <v>23111988</v>
      </c>
      <c r="I1302" s="4">
        <f ca="1">IFERROR((VALUE(TODAY()-DATE(RIGHT(Demographics[[#This Row],[DOB - Fixed]],4),MID(Demographics[[#This Row],[DOB - Fixed]],3,2),LEFT(Demographics[[#This Row],[DOB - Fixed]],2))))/365,0)</f>
        <v>34.813698630136983</v>
      </c>
      <c r="J1302">
        <f>VLOOKUP(Demographics[[#This Row],[INCOME LEVEL]],Income[],4,FALSE)</f>
        <v>697.5</v>
      </c>
      <c r="K1302">
        <f>IFERROR(Demographics[[#This Row],[Total monthly income]]/Demographics[[#This Row],[FAMILY SIZE]], 0)</f>
        <v>139.5</v>
      </c>
    </row>
    <row r="1303" spans="1:11" x14ac:dyDescent="0.2">
      <c r="A1303">
        <v>17061222</v>
      </c>
      <c r="B1303">
        <v>16051988</v>
      </c>
      <c r="C1303">
        <v>5</v>
      </c>
      <c r="D1303">
        <v>3</v>
      </c>
      <c r="E1303">
        <v>4</v>
      </c>
      <c r="F1303">
        <v>5</v>
      </c>
      <c r="G1303">
        <v>9</v>
      </c>
      <c r="H1303" t="str">
        <f>IF(Demographics[[#This Row],[DOB]]&gt;10000000, TEXT(Demographics[[#This Row],[DOB]],0),CONCATENATE("0",TEXT(Demographics[[#This Row],[DOB]],0)))</f>
        <v>16051988</v>
      </c>
      <c r="I1303" s="4">
        <f ca="1">IFERROR((VALUE(TODAY()-DATE(RIGHT(Demographics[[#This Row],[DOB - Fixed]],4),MID(Demographics[[#This Row],[DOB - Fixed]],3,2),LEFT(Demographics[[#This Row],[DOB - Fixed]],2))))/365,0)</f>
        <v>35.336986301369862</v>
      </c>
      <c r="J1303">
        <f>VLOOKUP(Demographics[[#This Row],[INCOME LEVEL]],Income[],4,FALSE)</f>
        <v>2100</v>
      </c>
      <c r="K1303">
        <f>IFERROR(Demographics[[#This Row],[Total monthly income]]/Demographics[[#This Row],[FAMILY SIZE]], 0)</f>
        <v>420</v>
      </c>
    </row>
    <row r="1304" spans="1:11" x14ac:dyDescent="0.2">
      <c r="A1304">
        <v>10393585</v>
      </c>
      <c r="B1304">
        <v>11061988</v>
      </c>
      <c r="C1304">
        <v>3</v>
      </c>
      <c r="D1304">
        <v>0</v>
      </c>
      <c r="E1304">
        <v>1</v>
      </c>
      <c r="F1304">
        <v>2</v>
      </c>
      <c r="G1304">
        <v>2</v>
      </c>
      <c r="H1304" t="str">
        <f>IF(Demographics[[#This Row],[DOB]]&gt;10000000, TEXT(Demographics[[#This Row],[DOB]],0),CONCATENATE("0",TEXT(Demographics[[#This Row],[DOB]],0)))</f>
        <v>11061988</v>
      </c>
      <c r="I1304" s="4">
        <f ca="1">IFERROR((VALUE(TODAY()-DATE(RIGHT(Demographics[[#This Row],[DOB - Fixed]],4),MID(Demographics[[#This Row],[DOB - Fixed]],3,2),LEFT(Demographics[[#This Row],[DOB - Fixed]],2))))/365,0)</f>
        <v>35.265753424657532</v>
      </c>
      <c r="J1304">
        <f>VLOOKUP(Demographics[[#This Row],[INCOME LEVEL]],Income[],4,FALSE)</f>
        <v>175</v>
      </c>
      <c r="K1304">
        <f>IFERROR(Demographics[[#This Row],[Total monthly income]]/Demographics[[#This Row],[FAMILY SIZE]], 0)</f>
        <v>58.333333333333336</v>
      </c>
    </row>
    <row r="1305" spans="1:11" x14ac:dyDescent="0.2">
      <c r="A1305">
        <v>2812730</v>
      </c>
      <c r="B1305">
        <v>13121988</v>
      </c>
      <c r="C1305">
        <v>4</v>
      </c>
      <c r="D1305">
        <v>1</v>
      </c>
      <c r="E1305">
        <v>1</v>
      </c>
      <c r="F1305">
        <v>5</v>
      </c>
      <c r="G1305">
        <v>5</v>
      </c>
      <c r="H1305" t="str">
        <f>IF(Demographics[[#This Row],[DOB]]&gt;10000000, TEXT(Demographics[[#This Row],[DOB]],0),CONCATENATE("0",TEXT(Demographics[[#This Row],[DOB]],0)))</f>
        <v>13121988</v>
      </c>
      <c r="I1305" s="4">
        <f ca="1">IFERROR((VALUE(TODAY()-DATE(RIGHT(Demographics[[#This Row],[DOB - Fixed]],4),MID(Demographics[[#This Row],[DOB - Fixed]],3,2),LEFT(Demographics[[#This Row],[DOB - Fixed]],2))))/365,0)</f>
        <v>34.758904109589039</v>
      </c>
      <c r="J1305">
        <f>VLOOKUP(Demographics[[#This Row],[INCOME LEVEL]],Income[],4,FALSE)</f>
        <v>175</v>
      </c>
      <c r="K1305">
        <f>IFERROR(Demographics[[#This Row],[Total monthly income]]/Demographics[[#This Row],[FAMILY SIZE]], 0)</f>
        <v>43.75</v>
      </c>
    </row>
    <row r="1306" spans="1:11" x14ac:dyDescent="0.2">
      <c r="A1306">
        <v>24724766</v>
      </c>
      <c r="B1306">
        <v>25111988</v>
      </c>
      <c r="C1306">
        <v>2</v>
      </c>
      <c r="D1306">
        <v>1</v>
      </c>
      <c r="E1306">
        <v>1</v>
      </c>
      <c r="F1306">
        <v>0</v>
      </c>
      <c r="G1306">
        <v>0</v>
      </c>
      <c r="H1306" t="str">
        <f>IF(Demographics[[#This Row],[DOB]]&gt;10000000, TEXT(Demographics[[#This Row],[DOB]],0),CONCATENATE("0",TEXT(Demographics[[#This Row],[DOB]],0)))</f>
        <v>25111988</v>
      </c>
      <c r="I1306" s="4">
        <f ca="1">IFERROR((VALUE(TODAY()-DATE(RIGHT(Demographics[[#This Row],[DOB - Fixed]],4),MID(Demographics[[#This Row],[DOB - Fixed]],3,2),LEFT(Demographics[[#This Row],[DOB - Fixed]],2))))/365,0)</f>
        <v>34.80821917808219</v>
      </c>
      <c r="J1306">
        <f>VLOOKUP(Demographics[[#This Row],[INCOME LEVEL]],Income[],4,FALSE)</f>
        <v>175</v>
      </c>
      <c r="K1306">
        <f>IFERROR(Demographics[[#This Row],[Total monthly income]]/Demographics[[#This Row],[FAMILY SIZE]], 0)</f>
        <v>87.5</v>
      </c>
    </row>
    <row r="1307" spans="1:11" x14ac:dyDescent="0.2">
      <c r="A1307">
        <v>17524493</v>
      </c>
      <c r="B1307">
        <v>28011989</v>
      </c>
      <c r="C1307">
        <v>3</v>
      </c>
      <c r="D1307">
        <v>1</v>
      </c>
      <c r="E1307">
        <v>1</v>
      </c>
      <c r="F1307">
        <v>5</v>
      </c>
      <c r="G1307">
        <v>9</v>
      </c>
      <c r="H1307" t="str">
        <f>IF(Demographics[[#This Row],[DOB]]&gt;10000000, TEXT(Demographics[[#This Row],[DOB]],0),CONCATENATE("0",TEXT(Demographics[[#This Row],[DOB]],0)))</f>
        <v>28011989</v>
      </c>
      <c r="I1307" s="4">
        <f ca="1">IFERROR((VALUE(TODAY()-DATE(RIGHT(Demographics[[#This Row],[DOB - Fixed]],4),MID(Demographics[[#This Row],[DOB - Fixed]],3,2),LEFT(Demographics[[#This Row],[DOB - Fixed]],2))))/365,0)</f>
        <v>34.632876712328766</v>
      </c>
      <c r="J1307">
        <f>VLOOKUP(Demographics[[#This Row],[INCOME LEVEL]],Income[],4,FALSE)</f>
        <v>175</v>
      </c>
      <c r="K1307">
        <f>IFERROR(Demographics[[#This Row],[Total monthly income]]/Demographics[[#This Row],[FAMILY SIZE]], 0)</f>
        <v>58.333333333333336</v>
      </c>
    </row>
    <row r="1308" spans="1:11" x14ac:dyDescent="0.2">
      <c r="A1308">
        <v>6825096</v>
      </c>
      <c r="B1308">
        <v>17081987</v>
      </c>
      <c r="C1308">
        <v>4</v>
      </c>
      <c r="D1308">
        <v>1</v>
      </c>
      <c r="E1308">
        <v>1</v>
      </c>
      <c r="F1308">
        <v>0</v>
      </c>
      <c r="G1308">
        <v>3</v>
      </c>
      <c r="H1308" t="str">
        <f>IF(Demographics[[#This Row],[DOB]]&gt;10000000, TEXT(Demographics[[#This Row],[DOB]],0),CONCATENATE("0",TEXT(Demographics[[#This Row],[DOB]],0)))</f>
        <v>17081987</v>
      </c>
      <c r="I1308" s="4">
        <f ca="1">IFERROR((VALUE(TODAY()-DATE(RIGHT(Demographics[[#This Row],[DOB - Fixed]],4),MID(Demographics[[#This Row],[DOB - Fixed]],3,2),LEFT(Demographics[[#This Row],[DOB - Fixed]],2))))/365,0)</f>
        <v>36.084931506849315</v>
      </c>
      <c r="J1308">
        <f>VLOOKUP(Demographics[[#This Row],[INCOME LEVEL]],Income[],4,FALSE)</f>
        <v>175</v>
      </c>
      <c r="K1308">
        <f>IFERROR(Demographics[[#This Row],[Total monthly income]]/Demographics[[#This Row],[FAMILY SIZE]], 0)</f>
        <v>43.75</v>
      </c>
    </row>
    <row r="1309" spans="1:11" x14ac:dyDescent="0.2">
      <c r="A1309">
        <v>24787065</v>
      </c>
      <c r="B1309">
        <v>4071988</v>
      </c>
      <c r="C1309">
        <v>3</v>
      </c>
      <c r="D1309">
        <v>1</v>
      </c>
      <c r="E1309">
        <v>1</v>
      </c>
      <c r="F1309">
        <v>0</v>
      </c>
      <c r="G1309">
        <v>5</v>
      </c>
      <c r="H1309" t="str">
        <f>IF(Demographics[[#This Row],[DOB]]&gt;10000000, TEXT(Demographics[[#This Row],[DOB]],0),CONCATENATE("0",TEXT(Demographics[[#This Row],[DOB]],0)))</f>
        <v>04071988</v>
      </c>
      <c r="I1309" s="4">
        <f ca="1">IFERROR((VALUE(TODAY()-DATE(RIGHT(Demographics[[#This Row],[DOB - Fixed]],4),MID(Demographics[[#This Row],[DOB - Fixed]],3,2),LEFT(Demographics[[#This Row],[DOB - Fixed]],2))))/365,0)</f>
        <v>35.202739726027396</v>
      </c>
      <c r="J1309">
        <f>VLOOKUP(Demographics[[#This Row],[INCOME LEVEL]],Income[],4,FALSE)</f>
        <v>175</v>
      </c>
      <c r="K1309">
        <f>IFERROR(Demographics[[#This Row],[Total monthly income]]/Demographics[[#This Row],[FAMILY SIZE]], 0)</f>
        <v>58.333333333333336</v>
      </c>
    </row>
    <row r="1310" spans="1:11" x14ac:dyDescent="0.2">
      <c r="A1310">
        <v>16342448</v>
      </c>
      <c r="B1310">
        <v>20071988</v>
      </c>
      <c r="C1310">
        <v>4</v>
      </c>
      <c r="D1310">
        <v>1</v>
      </c>
      <c r="E1310">
        <v>1</v>
      </c>
      <c r="F1310">
        <v>2</v>
      </c>
      <c r="G1310">
        <v>4</v>
      </c>
      <c r="H1310" t="str">
        <f>IF(Demographics[[#This Row],[DOB]]&gt;10000000, TEXT(Demographics[[#This Row],[DOB]],0),CONCATENATE("0",TEXT(Demographics[[#This Row],[DOB]],0)))</f>
        <v>20071988</v>
      </c>
      <c r="I1310" s="4">
        <f ca="1">IFERROR((VALUE(TODAY()-DATE(RIGHT(Demographics[[#This Row],[DOB - Fixed]],4),MID(Demographics[[#This Row],[DOB - Fixed]],3,2),LEFT(Demographics[[#This Row],[DOB - Fixed]],2))))/365,0)</f>
        <v>35.158904109589038</v>
      </c>
      <c r="J1310">
        <f>VLOOKUP(Demographics[[#This Row],[INCOME LEVEL]],Income[],4,FALSE)</f>
        <v>175</v>
      </c>
      <c r="K1310">
        <f>IFERROR(Demographics[[#This Row],[Total monthly income]]/Demographics[[#This Row],[FAMILY SIZE]], 0)</f>
        <v>43.75</v>
      </c>
    </row>
    <row r="1311" spans="1:11" x14ac:dyDescent="0.2">
      <c r="A1311">
        <v>3095825</v>
      </c>
      <c r="B1311">
        <v>15091988</v>
      </c>
      <c r="C1311">
        <v>5</v>
      </c>
      <c r="D1311">
        <v>1</v>
      </c>
      <c r="E1311">
        <v>1</v>
      </c>
      <c r="F1311">
        <v>3</v>
      </c>
      <c r="G1311">
        <v>3</v>
      </c>
      <c r="H1311" t="str">
        <f>IF(Demographics[[#This Row],[DOB]]&gt;10000000, TEXT(Demographics[[#This Row],[DOB]],0),CONCATENATE("0",TEXT(Demographics[[#This Row],[DOB]],0)))</f>
        <v>15091988</v>
      </c>
      <c r="I1311" s="4">
        <f ca="1">IFERROR((VALUE(TODAY()-DATE(RIGHT(Demographics[[#This Row],[DOB - Fixed]],4),MID(Demographics[[#This Row],[DOB - Fixed]],3,2),LEFT(Demographics[[#This Row],[DOB - Fixed]],2))))/365,0)</f>
        <v>35.0027397260274</v>
      </c>
      <c r="J1311">
        <f>VLOOKUP(Demographics[[#This Row],[INCOME LEVEL]],Income[],4,FALSE)</f>
        <v>175</v>
      </c>
      <c r="K1311">
        <f>IFERROR(Demographics[[#This Row],[Total monthly income]]/Demographics[[#This Row],[FAMILY SIZE]], 0)</f>
        <v>35</v>
      </c>
    </row>
    <row r="1312" spans="1:11" x14ac:dyDescent="0.2">
      <c r="A1312">
        <v>1109934</v>
      </c>
      <c r="B1312">
        <v>24041988</v>
      </c>
      <c r="C1312">
        <v>5</v>
      </c>
      <c r="D1312">
        <v>2</v>
      </c>
      <c r="E1312">
        <v>1</v>
      </c>
      <c r="F1312">
        <v>4</v>
      </c>
      <c r="G1312">
        <v>7</v>
      </c>
      <c r="H1312" t="str">
        <f>IF(Demographics[[#This Row],[DOB]]&gt;10000000, TEXT(Demographics[[#This Row],[DOB]],0),CONCATENATE("0",TEXT(Demographics[[#This Row],[DOB]],0)))</f>
        <v>24041988</v>
      </c>
      <c r="I1312" s="4">
        <f ca="1">IFERROR((VALUE(TODAY()-DATE(RIGHT(Demographics[[#This Row],[DOB - Fixed]],4),MID(Demographics[[#This Row],[DOB - Fixed]],3,2),LEFT(Demographics[[#This Row],[DOB - Fixed]],2))))/365,0)</f>
        <v>35.397260273972606</v>
      </c>
      <c r="J1312">
        <f>VLOOKUP(Demographics[[#This Row],[INCOME LEVEL]],Income[],4,FALSE)</f>
        <v>175</v>
      </c>
      <c r="K1312">
        <f>IFERROR(Demographics[[#This Row],[Total monthly income]]/Demographics[[#This Row],[FAMILY SIZE]], 0)</f>
        <v>35</v>
      </c>
    </row>
    <row r="1313" spans="1:11" x14ac:dyDescent="0.2">
      <c r="A1313">
        <v>2915807</v>
      </c>
      <c r="B1313">
        <v>1111987</v>
      </c>
      <c r="C1313">
        <v>3</v>
      </c>
      <c r="D1313">
        <v>0</v>
      </c>
      <c r="E1313">
        <v>1</v>
      </c>
      <c r="F1313">
        <v>5</v>
      </c>
      <c r="G1313">
        <v>2</v>
      </c>
      <c r="H1313" t="str">
        <f>IF(Demographics[[#This Row],[DOB]]&gt;10000000, TEXT(Demographics[[#This Row],[DOB]],0),CONCATENATE("0",TEXT(Demographics[[#This Row],[DOB]],0)))</f>
        <v>01111987</v>
      </c>
      <c r="I1313" s="4">
        <f ca="1">IFERROR((VALUE(TODAY()-DATE(RIGHT(Demographics[[#This Row],[DOB - Fixed]],4),MID(Demographics[[#This Row],[DOB - Fixed]],3,2),LEFT(Demographics[[#This Row],[DOB - Fixed]],2))))/365,0)</f>
        <v>35.876712328767127</v>
      </c>
      <c r="J1313">
        <f>VLOOKUP(Demographics[[#This Row],[INCOME LEVEL]],Income[],4,FALSE)</f>
        <v>175</v>
      </c>
      <c r="K1313">
        <f>IFERROR(Demographics[[#This Row],[Total monthly income]]/Demographics[[#This Row],[FAMILY SIZE]], 0)</f>
        <v>58.333333333333336</v>
      </c>
    </row>
    <row r="1314" spans="1:11" x14ac:dyDescent="0.2">
      <c r="A1314">
        <v>2712788</v>
      </c>
      <c r="B1314">
        <v>30061988</v>
      </c>
      <c r="C1314">
        <v>4</v>
      </c>
      <c r="D1314">
        <v>1</v>
      </c>
      <c r="E1314">
        <v>1</v>
      </c>
      <c r="F1314">
        <v>2</v>
      </c>
      <c r="G1314">
        <v>2</v>
      </c>
      <c r="H1314" t="str">
        <f>IF(Demographics[[#This Row],[DOB]]&gt;10000000, TEXT(Demographics[[#This Row],[DOB]],0),CONCATENATE("0",TEXT(Demographics[[#This Row],[DOB]],0)))</f>
        <v>30061988</v>
      </c>
      <c r="I1314" s="4">
        <f ca="1">IFERROR((VALUE(TODAY()-DATE(RIGHT(Demographics[[#This Row],[DOB - Fixed]],4),MID(Demographics[[#This Row],[DOB - Fixed]],3,2),LEFT(Demographics[[#This Row],[DOB - Fixed]],2))))/365,0)</f>
        <v>35.213698630136989</v>
      </c>
      <c r="J1314">
        <f>VLOOKUP(Demographics[[#This Row],[INCOME LEVEL]],Income[],4,FALSE)</f>
        <v>175</v>
      </c>
      <c r="K1314">
        <f>IFERROR(Demographics[[#This Row],[Total monthly income]]/Demographics[[#This Row],[FAMILY SIZE]], 0)</f>
        <v>43.75</v>
      </c>
    </row>
    <row r="1315" spans="1:11" x14ac:dyDescent="0.2">
      <c r="A1315">
        <v>15097595</v>
      </c>
      <c r="B1315">
        <v>29071988</v>
      </c>
      <c r="C1315">
        <v>5</v>
      </c>
      <c r="D1315">
        <v>1</v>
      </c>
      <c r="E1315">
        <v>1</v>
      </c>
      <c r="F1315">
        <v>5</v>
      </c>
      <c r="G1315">
        <v>5</v>
      </c>
      <c r="H1315" t="str">
        <f>IF(Demographics[[#This Row],[DOB]]&gt;10000000, TEXT(Demographics[[#This Row],[DOB]],0),CONCATENATE("0",TEXT(Demographics[[#This Row],[DOB]],0)))</f>
        <v>29071988</v>
      </c>
      <c r="I1315" s="4">
        <f ca="1">IFERROR((VALUE(TODAY()-DATE(RIGHT(Demographics[[#This Row],[DOB - Fixed]],4),MID(Demographics[[#This Row],[DOB - Fixed]],3,2),LEFT(Demographics[[#This Row],[DOB - Fixed]],2))))/365,0)</f>
        <v>35.134246575342466</v>
      </c>
      <c r="J1315">
        <f>VLOOKUP(Demographics[[#This Row],[INCOME LEVEL]],Income[],4,FALSE)</f>
        <v>175</v>
      </c>
      <c r="K1315">
        <f>IFERROR(Demographics[[#This Row],[Total monthly income]]/Demographics[[#This Row],[FAMILY SIZE]], 0)</f>
        <v>35</v>
      </c>
    </row>
    <row r="1316" spans="1:11" x14ac:dyDescent="0.2">
      <c r="A1316">
        <v>20337065</v>
      </c>
      <c r="B1316">
        <v>2091988</v>
      </c>
      <c r="C1316">
        <v>5</v>
      </c>
      <c r="D1316">
        <v>1</v>
      </c>
      <c r="E1316">
        <v>1</v>
      </c>
      <c r="F1316">
        <v>3</v>
      </c>
      <c r="G1316">
        <v>2</v>
      </c>
      <c r="H1316" t="str">
        <f>IF(Demographics[[#This Row],[DOB]]&gt;10000000, TEXT(Demographics[[#This Row],[DOB]],0),CONCATENATE("0",TEXT(Demographics[[#This Row],[DOB]],0)))</f>
        <v>02091988</v>
      </c>
      <c r="I1316" s="4">
        <f ca="1">IFERROR((VALUE(TODAY()-DATE(RIGHT(Demographics[[#This Row],[DOB - Fixed]],4),MID(Demographics[[#This Row],[DOB - Fixed]],3,2),LEFT(Demographics[[#This Row],[DOB - Fixed]],2))))/365,0)</f>
        <v>35.038356164383565</v>
      </c>
      <c r="J1316">
        <f>VLOOKUP(Demographics[[#This Row],[INCOME LEVEL]],Income[],4,FALSE)</f>
        <v>175</v>
      </c>
      <c r="K1316">
        <f>IFERROR(Demographics[[#This Row],[Total monthly income]]/Demographics[[#This Row],[FAMILY SIZE]], 0)</f>
        <v>35</v>
      </c>
    </row>
    <row r="1317" spans="1:11" x14ac:dyDescent="0.2">
      <c r="A1317">
        <v>22905703</v>
      </c>
      <c r="B1317">
        <v>20091988</v>
      </c>
      <c r="C1317">
        <v>5</v>
      </c>
      <c r="D1317">
        <v>1</v>
      </c>
      <c r="E1317">
        <v>1</v>
      </c>
      <c r="F1317">
        <v>5</v>
      </c>
      <c r="G1317">
        <v>5</v>
      </c>
      <c r="H1317" t="str">
        <f>IF(Demographics[[#This Row],[DOB]]&gt;10000000, TEXT(Demographics[[#This Row],[DOB]],0),CONCATENATE("0",TEXT(Demographics[[#This Row],[DOB]],0)))</f>
        <v>20091988</v>
      </c>
      <c r="I1317" s="4">
        <f ca="1">IFERROR((VALUE(TODAY()-DATE(RIGHT(Demographics[[#This Row],[DOB - Fixed]],4),MID(Demographics[[#This Row],[DOB - Fixed]],3,2),LEFT(Demographics[[#This Row],[DOB - Fixed]],2))))/365,0)</f>
        <v>34.989041095890414</v>
      </c>
      <c r="J1317">
        <f>VLOOKUP(Demographics[[#This Row],[INCOME LEVEL]],Income[],4,FALSE)</f>
        <v>175</v>
      </c>
      <c r="K1317">
        <f>IFERROR(Demographics[[#This Row],[Total monthly income]]/Demographics[[#This Row],[FAMILY SIZE]], 0)</f>
        <v>35</v>
      </c>
    </row>
    <row r="1318" spans="1:11" x14ac:dyDescent="0.2">
      <c r="A1318">
        <v>18546887</v>
      </c>
      <c r="B1318">
        <v>2101988</v>
      </c>
      <c r="C1318">
        <v>5</v>
      </c>
      <c r="D1318">
        <v>2</v>
      </c>
      <c r="E1318">
        <v>1</v>
      </c>
      <c r="F1318">
        <v>4</v>
      </c>
      <c r="G1318">
        <v>4</v>
      </c>
      <c r="H1318" t="str">
        <f>IF(Demographics[[#This Row],[DOB]]&gt;10000000, TEXT(Demographics[[#This Row],[DOB]],0),CONCATENATE("0",TEXT(Demographics[[#This Row],[DOB]],0)))</f>
        <v>02101988</v>
      </c>
      <c r="I1318" s="4">
        <f ca="1">IFERROR((VALUE(TODAY()-DATE(RIGHT(Demographics[[#This Row],[DOB - Fixed]],4),MID(Demographics[[#This Row],[DOB - Fixed]],3,2),LEFT(Demographics[[#This Row],[DOB - Fixed]],2))))/365,0)</f>
        <v>34.956164383561642</v>
      </c>
      <c r="J1318">
        <f>VLOOKUP(Demographics[[#This Row],[INCOME LEVEL]],Income[],4,FALSE)</f>
        <v>175</v>
      </c>
      <c r="K1318">
        <f>IFERROR(Demographics[[#This Row],[Total monthly income]]/Demographics[[#This Row],[FAMILY SIZE]], 0)</f>
        <v>35</v>
      </c>
    </row>
    <row r="1319" spans="1:11" x14ac:dyDescent="0.2">
      <c r="A1319">
        <v>17580471</v>
      </c>
      <c r="B1319">
        <v>23081988</v>
      </c>
      <c r="C1319">
        <v>0</v>
      </c>
      <c r="D1319">
        <v>0</v>
      </c>
      <c r="E1319">
        <v>1</v>
      </c>
      <c r="F1319">
        <v>0</v>
      </c>
      <c r="G1319">
        <v>0</v>
      </c>
      <c r="H1319" t="str">
        <f>IF(Demographics[[#This Row],[DOB]]&gt;10000000, TEXT(Demographics[[#This Row],[DOB]],0),CONCATENATE("0",TEXT(Demographics[[#This Row],[DOB]],0)))</f>
        <v>23081988</v>
      </c>
      <c r="I1319" s="4">
        <f ca="1">IFERROR((VALUE(TODAY()-DATE(RIGHT(Demographics[[#This Row],[DOB - Fixed]],4),MID(Demographics[[#This Row],[DOB - Fixed]],3,2),LEFT(Demographics[[#This Row],[DOB - Fixed]],2))))/365,0)</f>
        <v>35.065753424657537</v>
      </c>
      <c r="J1319">
        <f>VLOOKUP(Demographics[[#This Row],[INCOME LEVEL]],Income[],4,FALSE)</f>
        <v>175</v>
      </c>
      <c r="K1319">
        <f>IFERROR(Demographics[[#This Row],[Total monthly income]]/Demographics[[#This Row],[FAMILY SIZE]], 0)</f>
        <v>0</v>
      </c>
    </row>
    <row r="1320" spans="1:11" x14ac:dyDescent="0.2">
      <c r="A1320">
        <v>11071179</v>
      </c>
      <c r="B1320">
        <v>29101988</v>
      </c>
      <c r="C1320">
        <v>5</v>
      </c>
      <c r="D1320">
        <v>1</v>
      </c>
      <c r="E1320">
        <v>1</v>
      </c>
      <c r="F1320">
        <v>5</v>
      </c>
      <c r="G1320">
        <v>4</v>
      </c>
      <c r="H1320" t="str">
        <f>IF(Demographics[[#This Row],[DOB]]&gt;10000000, TEXT(Demographics[[#This Row],[DOB]],0),CONCATENATE("0",TEXT(Demographics[[#This Row],[DOB]],0)))</f>
        <v>29101988</v>
      </c>
      <c r="I1320" s="4">
        <f ca="1">IFERROR((VALUE(TODAY()-DATE(RIGHT(Demographics[[#This Row],[DOB - Fixed]],4),MID(Demographics[[#This Row],[DOB - Fixed]],3,2),LEFT(Demographics[[#This Row],[DOB - Fixed]],2))))/365,0)</f>
        <v>34.88219178082192</v>
      </c>
      <c r="J1320">
        <f>VLOOKUP(Demographics[[#This Row],[INCOME LEVEL]],Income[],4,FALSE)</f>
        <v>175</v>
      </c>
      <c r="K1320">
        <f>IFERROR(Demographics[[#This Row],[Total monthly income]]/Demographics[[#This Row],[FAMILY SIZE]], 0)</f>
        <v>35</v>
      </c>
    </row>
    <row r="1321" spans="1:11" x14ac:dyDescent="0.2">
      <c r="A1321">
        <v>13308184</v>
      </c>
      <c r="B1321">
        <v>4101988</v>
      </c>
      <c r="C1321">
        <v>0</v>
      </c>
      <c r="D1321">
        <v>0</v>
      </c>
      <c r="E1321">
        <v>1</v>
      </c>
      <c r="F1321">
        <v>0</v>
      </c>
      <c r="G1321">
        <v>0</v>
      </c>
      <c r="H1321" t="str">
        <f>IF(Demographics[[#This Row],[DOB]]&gt;10000000, TEXT(Demographics[[#This Row],[DOB]],0),CONCATENATE("0",TEXT(Demographics[[#This Row],[DOB]],0)))</f>
        <v>04101988</v>
      </c>
      <c r="I1321" s="4">
        <f ca="1">IFERROR((VALUE(TODAY()-DATE(RIGHT(Demographics[[#This Row],[DOB - Fixed]],4),MID(Demographics[[#This Row],[DOB - Fixed]],3,2),LEFT(Demographics[[#This Row],[DOB - Fixed]],2))))/365,0)</f>
        <v>34.950684931506849</v>
      </c>
      <c r="J1321">
        <f>VLOOKUP(Demographics[[#This Row],[INCOME LEVEL]],Income[],4,FALSE)</f>
        <v>175</v>
      </c>
      <c r="K1321">
        <f>IFERROR(Demographics[[#This Row],[Total monthly income]]/Demographics[[#This Row],[FAMILY SIZE]], 0)</f>
        <v>0</v>
      </c>
    </row>
    <row r="1322" spans="1:11" x14ac:dyDescent="0.2">
      <c r="A1322">
        <v>21752105</v>
      </c>
      <c r="B1322">
        <v>12111988</v>
      </c>
      <c r="C1322">
        <v>2</v>
      </c>
      <c r="D1322">
        <v>1</v>
      </c>
      <c r="E1322">
        <v>1</v>
      </c>
      <c r="F1322">
        <v>0</v>
      </c>
      <c r="G1322">
        <v>5</v>
      </c>
      <c r="H1322" t="str">
        <f>IF(Demographics[[#This Row],[DOB]]&gt;10000000, TEXT(Demographics[[#This Row],[DOB]],0),CONCATENATE("0",TEXT(Demographics[[#This Row],[DOB]],0)))</f>
        <v>12111988</v>
      </c>
      <c r="I1322" s="4">
        <f ca="1">IFERROR((VALUE(TODAY()-DATE(RIGHT(Demographics[[#This Row],[DOB - Fixed]],4),MID(Demographics[[#This Row],[DOB - Fixed]],3,2),LEFT(Demographics[[#This Row],[DOB - Fixed]],2))))/365,0)</f>
        <v>34.843835616438355</v>
      </c>
      <c r="J1322">
        <f>VLOOKUP(Demographics[[#This Row],[INCOME LEVEL]],Income[],4,FALSE)</f>
        <v>175</v>
      </c>
      <c r="K1322">
        <f>IFERROR(Demographics[[#This Row],[Total monthly income]]/Demographics[[#This Row],[FAMILY SIZE]], 0)</f>
        <v>87.5</v>
      </c>
    </row>
    <row r="1323" spans="1:11" x14ac:dyDescent="0.2">
      <c r="A1323">
        <v>2526544</v>
      </c>
      <c r="B1323">
        <v>1121988</v>
      </c>
      <c r="C1323">
        <v>4</v>
      </c>
      <c r="D1323">
        <v>2</v>
      </c>
      <c r="E1323">
        <v>1</v>
      </c>
      <c r="F1323">
        <v>7</v>
      </c>
      <c r="G1323">
        <v>9</v>
      </c>
      <c r="H1323" t="str">
        <f>IF(Demographics[[#This Row],[DOB]]&gt;10000000, TEXT(Demographics[[#This Row],[DOB]],0),CONCATENATE("0",TEXT(Demographics[[#This Row],[DOB]],0)))</f>
        <v>01121988</v>
      </c>
      <c r="I1323" s="4">
        <f ca="1">IFERROR((VALUE(TODAY()-DATE(RIGHT(Demographics[[#This Row],[DOB - Fixed]],4),MID(Demographics[[#This Row],[DOB - Fixed]],3,2),LEFT(Demographics[[#This Row],[DOB - Fixed]],2))))/365,0)</f>
        <v>34.791780821917811</v>
      </c>
      <c r="J1323">
        <f>VLOOKUP(Demographics[[#This Row],[INCOME LEVEL]],Income[],4,FALSE)</f>
        <v>175</v>
      </c>
      <c r="K1323">
        <f>IFERROR(Demographics[[#This Row],[Total monthly income]]/Demographics[[#This Row],[FAMILY SIZE]], 0)</f>
        <v>43.75</v>
      </c>
    </row>
    <row r="1324" spans="1:11" x14ac:dyDescent="0.2">
      <c r="A1324">
        <v>7433517</v>
      </c>
      <c r="B1324">
        <v>10121988</v>
      </c>
      <c r="C1324">
        <v>5</v>
      </c>
      <c r="D1324">
        <v>1</v>
      </c>
      <c r="E1324">
        <v>1</v>
      </c>
      <c r="F1324">
        <v>2</v>
      </c>
      <c r="G1324">
        <v>3</v>
      </c>
      <c r="H1324" t="str">
        <f>IF(Demographics[[#This Row],[DOB]]&gt;10000000, TEXT(Demographics[[#This Row],[DOB]],0),CONCATENATE("0",TEXT(Demographics[[#This Row],[DOB]],0)))</f>
        <v>10121988</v>
      </c>
      <c r="I1324" s="4">
        <f ca="1">IFERROR((VALUE(TODAY()-DATE(RIGHT(Demographics[[#This Row],[DOB - Fixed]],4),MID(Demographics[[#This Row],[DOB - Fixed]],3,2),LEFT(Demographics[[#This Row],[DOB - Fixed]],2))))/365,0)</f>
        <v>34.767123287671232</v>
      </c>
      <c r="J1324">
        <f>VLOOKUP(Demographics[[#This Row],[INCOME LEVEL]],Income[],4,FALSE)</f>
        <v>175</v>
      </c>
      <c r="K1324">
        <f>IFERROR(Demographics[[#This Row],[Total monthly income]]/Demographics[[#This Row],[FAMILY SIZE]], 0)</f>
        <v>35</v>
      </c>
    </row>
    <row r="1325" spans="1:11" x14ac:dyDescent="0.2">
      <c r="A1325">
        <v>14174579</v>
      </c>
      <c r="B1325">
        <v>30111988</v>
      </c>
      <c r="C1325">
        <v>0</v>
      </c>
      <c r="D1325">
        <v>0</v>
      </c>
      <c r="E1325">
        <v>1</v>
      </c>
      <c r="F1325">
        <v>0</v>
      </c>
      <c r="G1325">
        <v>0</v>
      </c>
      <c r="H1325" t="str">
        <f>IF(Demographics[[#This Row],[DOB]]&gt;10000000, TEXT(Demographics[[#This Row],[DOB]],0),CONCATENATE("0",TEXT(Demographics[[#This Row],[DOB]],0)))</f>
        <v>30111988</v>
      </c>
      <c r="I1325" s="4">
        <f ca="1">IFERROR((VALUE(TODAY()-DATE(RIGHT(Demographics[[#This Row],[DOB - Fixed]],4),MID(Demographics[[#This Row],[DOB - Fixed]],3,2),LEFT(Demographics[[#This Row],[DOB - Fixed]],2))))/365,0)</f>
        <v>34.794520547945204</v>
      </c>
      <c r="J1325">
        <f>VLOOKUP(Demographics[[#This Row],[INCOME LEVEL]],Income[],4,FALSE)</f>
        <v>175</v>
      </c>
      <c r="K1325">
        <f>IFERROR(Demographics[[#This Row],[Total monthly income]]/Demographics[[#This Row],[FAMILY SIZE]], 0)</f>
        <v>0</v>
      </c>
    </row>
    <row r="1326" spans="1:11" x14ac:dyDescent="0.2">
      <c r="A1326">
        <v>22820531</v>
      </c>
      <c r="B1326">
        <v>10121988</v>
      </c>
      <c r="C1326">
        <v>4</v>
      </c>
      <c r="D1326">
        <v>1</v>
      </c>
      <c r="E1326">
        <v>1</v>
      </c>
      <c r="F1326">
        <v>3</v>
      </c>
      <c r="G1326">
        <v>5</v>
      </c>
      <c r="H1326" t="str">
        <f>IF(Demographics[[#This Row],[DOB]]&gt;10000000, TEXT(Demographics[[#This Row],[DOB]],0),CONCATENATE("0",TEXT(Demographics[[#This Row],[DOB]],0)))</f>
        <v>10121988</v>
      </c>
      <c r="I1326" s="4">
        <f ca="1">IFERROR((VALUE(TODAY()-DATE(RIGHT(Demographics[[#This Row],[DOB - Fixed]],4),MID(Demographics[[#This Row],[DOB - Fixed]],3,2),LEFT(Demographics[[#This Row],[DOB - Fixed]],2))))/365,0)</f>
        <v>34.767123287671232</v>
      </c>
      <c r="J1326">
        <f>VLOOKUP(Demographics[[#This Row],[INCOME LEVEL]],Income[],4,FALSE)</f>
        <v>175</v>
      </c>
      <c r="K1326">
        <f>IFERROR(Demographics[[#This Row],[Total monthly income]]/Demographics[[#This Row],[FAMILY SIZE]], 0)</f>
        <v>43.75</v>
      </c>
    </row>
    <row r="1327" spans="1:11" x14ac:dyDescent="0.2">
      <c r="A1327">
        <v>2092978</v>
      </c>
      <c r="B1327">
        <v>17121988</v>
      </c>
      <c r="C1327">
        <v>4</v>
      </c>
      <c r="D1327">
        <v>2</v>
      </c>
      <c r="E1327">
        <v>1</v>
      </c>
      <c r="F1327">
        <v>2</v>
      </c>
      <c r="G1327">
        <v>2</v>
      </c>
      <c r="H1327" t="str">
        <f>IF(Demographics[[#This Row],[DOB]]&gt;10000000, TEXT(Demographics[[#This Row],[DOB]],0),CONCATENATE("0",TEXT(Demographics[[#This Row],[DOB]],0)))</f>
        <v>17121988</v>
      </c>
      <c r="I1327" s="4">
        <f ca="1">IFERROR((VALUE(TODAY()-DATE(RIGHT(Demographics[[#This Row],[DOB - Fixed]],4),MID(Demographics[[#This Row],[DOB - Fixed]],3,2),LEFT(Demographics[[#This Row],[DOB - Fixed]],2))))/365,0)</f>
        <v>34.747945205479454</v>
      </c>
      <c r="J1327">
        <f>VLOOKUP(Demographics[[#This Row],[INCOME LEVEL]],Income[],4,FALSE)</f>
        <v>175</v>
      </c>
      <c r="K1327">
        <f>IFERROR(Demographics[[#This Row],[Total monthly income]]/Demographics[[#This Row],[FAMILY SIZE]], 0)</f>
        <v>43.75</v>
      </c>
    </row>
    <row r="1328" spans="1:11" x14ac:dyDescent="0.2">
      <c r="A1328">
        <v>17046442</v>
      </c>
      <c r="B1328">
        <v>20091988</v>
      </c>
      <c r="C1328">
        <v>0</v>
      </c>
      <c r="D1328">
        <v>0</v>
      </c>
      <c r="E1328">
        <v>1</v>
      </c>
      <c r="F1328">
        <v>10</v>
      </c>
      <c r="G1328">
        <v>5</v>
      </c>
      <c r="H1328" t="str">
        <f>IF(Demographics[[#This Row],[DOB]]&gt;10000000, TEXT(Demographics[[#This Row],[DOB]],0),CONCATENATE("0",TEXT(Demographics[[#This Row],[DOB]],0)))</f>
        <v>20091988</v>
      </c>
      <c r="I1328" s="4">
        <f ca="1">IFERROR((VALUE(TODAY()-DATE(RIGHT(Demographics[[#This Row],[DOB - Fixed]],4),MID(Demographics[[#This Row],[DOB - Fixed]],3,2),LEFT(Demographics[[#This Row],[DOB - Fixed]],2))))/365,0)</f>
        <v>34.989041095890414</v>
      </c>
      <c r="J1328">
        <f>VLOOKUP(Demographics[[#This Row],[INCOME LEVEL]],Income[],4,FALSE)</f>
        <v>175</v>
      </c>
      <c r="K1328">
        <f>IFERROR(Demographics[[#This Row],[Total monthly income]]/Demographics[[#This Row],[FAMILY SIZE]], 0)</f>
        <v>0</v>
      </c>
    </row>
    <row r="1329" spans="1:11" x14ac:dyDescent="0.2">
      <c r="A1329">
        <v>3595118</v>
      </c>
      <c r="B1329">
        <v>14041989</v>
      </c>
      <c r="C1329">
        <v>4</v>
      </c>
      <c r="D1329">
        <v>1</v>
      </c>
      <c r="E1329">
        <v>1</v>
      </c>
      <c r="F1329">
        <v>3</v>
      </c>
      <c r="G1329">
        <v>4</v>
      </c>
      <c r="H1329" t="str">
        <f>IF(Demographics[[#This Row],[DOB]]&gt;10000000, TEXT(Demographics[[#This Row],[DOB]],0),CONCATENATE("0",TEXT(Demographics[[#This Row],[DOB]],0)))</f>
        <v>14041989</v>
      </c>
      <c r="I1329" s="4">
        <f ca="1">IFERROR((VALUE(TODAY()-DATE(RIGHT(Demographics[[#This Row],[DOB - Fixed]],4),MID(Demographics[[#This Row],[DOB - Fixed]],3,2),LEFT(Demographics[[#This Row],[DOB - Fixed]],2))))/365,0)</f>
        <v>34.424657534246577</v>
      </c>
      <c r="J1329">
        <f>VLOOKUP(Demographics[[#This Row],[INCOME LEVEL]],Income[],4,FALSE)</f>
        <v>175</v>
      </c>
      <c r="K1329">
        <f>IFERROR(Demographics[[#This Row],[Total monthly income]]/Demographics[[#This Row],[FAMILY SIZE]], 0)</f>
        <v>43.75</v>
      </c>
    </row>
    <row r="1330" spans="1:11" x14ac:dyDescent="0.2">
      <c r="A1330">
        <v>23455343</v>
      </c>
      <c r="B1330">
        <v>4051989</v>
      </c>
      <c r="C1330">
        <v>0</v>
      </c>
      <c r="D1330">
        <v>0</v>
      </c>
      <c r="E1330">
        <v>2</v>
      </c>
      <c r="F1330">
        <v>0</v>
      </c>
      <c r="G1330">
        <v>0</v>
      </c>
      <c r="H1330" t="str">
        <f>IF(Demographics[[#This Row],[DOB]]&gt;10000000, TEXT(Demographics[[#This Row],[DOB]],0),CONCATENATE("0",TEXT(Demographics[[#This Row],[DOB]],0)))</f>
        <v>04051989</v>
      </c>
      <c r="I1330" s="4">
        <f ca="1">IFERROR((VALUE(TODAY()-DATE(RIGHT(Demographics[[#This Row],[DOB - Fixed]],4),MID(Demographics[[#This Row],[DOB - Fixed]],3,2),LEFT(Demographics[[#This Row],[DOB - Fixed]],2))))/365,0)</f>
        <v>34.369863013698627</v>
      </c>
      <c r="J1330">
        <f>VLOOKUP(Demographics[[#This Row],[INCOME LEVEL]],Income[],4,FALSE)</f>
        <v>697.5</v>
      </c>
      <c r="K1330">
        <f>IFERROR(Demographics[[#This Row],[Total monthly income]]/Demographics[[#This Row],[FAMILY SIZE]], 0)</f>
        <v>0</v>
      </c>
    </row>
    <row r="1331" spans="1:11" x14ac:dyDescent="0.2">
      <c r="A1331">
        <v>5297842</v>
      </c>
      <c r="B1331">
        <v>18051989</v>
      </c>
      <c r="C1331">
        <v>4</v>
      </c>
      <c r="D1331">
        <v>1</v>
      </c>
      <c r="E1331">
        <v>1</v>
      </c>
      <c r="F1331">
        <v>5</v>
      </c>
      <c r="G1331">
        <v>3</v>
      </c>
      <c r="H1331" t="str">
        <f>IF(Demographics[[#This Row],[DOB]]&gt;10000000, TEXT(Demographics[[#This Row],[DOB]],0),CONCATENATE("0",TEXT(Demographics[[#This Row],[DOB]],0)))</f>
        <v>18051989</v>
      </c>
      <c r="I1331" s="4">
        <f ca="1">IFERROR((VALUE(TODAY()-DATE(RIGHT(Demographics[[#This Row],[DOB - Fixed]],4),MID(Demographics[[#This Row],[DOB - Fixed]],3,2),LEFT(Demographics[[#This Row],[DOB - Fixed]],2))))/365,0)</f>
        <v>34.331506849315069</v>
      </c>
      <c r="J1331">
        <f>VLOOKUP(Demographics[[#This Row],[INCOME LEVEL]],Income[],4,FALSE)</f>
        <v>175</v>
      </c>
      <c r="K1331">
        <f>IFERROR(Demographics[[#This Row],[Total monthly income]]/Demographics[[#This Row],[FAMILY SIZE]], 0)</f>
        <v>43.75</v>
      </c>
    </row>
    <row r="1332" spans="1:11" x14ac:dyDescent="0.2">
      <c r="A1332">
        <v>1992082</v>
      </c>
      <c r="B1332">
        <v>20051989</v>
      </c>
      <c r="C1332">
        <v>6</v>
      </c>
      <c r="D1332">
        <v>1</v>
      </c>
      <c r="E1332">
        <v>1</v>
      </c>
      <c r="F1332">
        <v>5</v>
      </c>
      <c r="G1332">
        <v>5</v>
      </c>
      <c r="H1332" t="str">
        <f>IF(Demographics[[#This Row],[DOB]]&gt;10000000, TEXT(Demographics[[#This Row],[DOB]],0),CONCATENATE("0",TEXT(Demographics[[#This Row],[DOB]],0)))</f>
        <v>20051989</v>
      </c>
      <c r="I1332" s="4">
        <f ca="1">IFERROR((VALUE(TODAY()-DATE(RIGHT(Demographics[[#This Row],[DOB - Fixed]],4),MID(Demographics[[#This Row],[DOB - Fixed]],3,2),LEFT(Demographics[[#This Row],[DOB - Fixed]],2))))/365,0)</f>
        <v>34.326027397260276</v>
      </c>
      <c r="J1332">
        <f>VLOOKUP(Demographics[[#This Row],[INCOME LEVEL]],Income[],4,FALSE)</f>
        <v>175</v>
      </c>
      <c r="K1332">
        <f>IFERROR(Demographics[[#This Row],[Total monthly income]]/Demographics[[#This Row],[FAMILY SIZE]], 0)</f>
        <v>29.166666666666668</v>
      </c>
    </row>
    <row r="1333" spans="1:11" x14ac:dyDescent="0.2">
      <c r="A1333">
        <v>24956363</v>
      </c>
      <c r="B1333">
        <v>10051989</v>
      </c>
      <c r="C1333">
        <v>4</v>
      </c>
      <c r="D1333">
        <v>1</v>
      </c>
      <c r="E1333">
        <v>1</v>
      </c>
      <c r="F1333">
        <v>5</v>
      </c>
      <c r="G1333">
        <v>5</v>
      </c>
      <c r="H1333" t="str">
        <f>IF(Demographics[[#This Row],[DOB]]&gt;10000000, TEXT(Demographics[[#This Row],[DOB]],0),CONCATENATE("0",TEXT(Demographics[[#This Row],[DOB]],0)))</f>
        <v>10051989</v>
      </c>
      <c r="I1333" s="4">
        <f ca="1">IFERROR((VALUE(TODAY()-DATE(RIGHT(Demographics[[#This Row],[DOB - Fixed]],4),MID(Demographics[[#This Row],[DOB - Fixed]],3,2),LEFT(Demographics[[#This Row],[DOB - Fixed]],2))))/365,0)</f>
        <v>34.353424657534248</v>
      </c>
      <c r="J1333">
        <f>VLOOKUP(Demographics[[#This Row],[INCOME LEVEL]],Income[],4,FALSE)</f>
        <v>175</v>
      </c>
      <c r="K1333">
        <f>IFERROR(Demographics[[#This Row],[Total monthly income]]/Demographics[[#This Row],[FAMILY SIZE]], 0)</f>
        <v>43.75</v>
      </c>
    </row>
    <row r="1334" spans="1:11" x14ac:dyDescent="0.2">
      <c r="A1334">
        <v>13858235</v>
      </c>
      <c r="B1334">
        <v>6041986</v>
      </c>
      <c r="C1334">
        <v>5</v>
      </c>
      <c r="D1334">
        <v>2</v>
      </c>
      <c r="E1334">
        <v>2</v>
      </c>
      <c r="F1334">
        <v>4</v>
      </c>
      <c r="G1334">
        <v>2</v>
      </c>
      <c r="H1334" t="str">
        <f>IF(Demographics[[#This Row],[DOB]]&gt;10000000, TEXT(Demographics[[#This Row],[DOB]],0),CONCATENATE("0",TEXT(Demographics[[#This Row],[DOB]],0)))</f>
        <v>06041986</v>
      </c>
      <c r="I1334" s="4">
        <f ca="1">IFERROR((VALUE(TODAY()-DATE(RIGHT(Demographics[[#This Row],[DOB - Fixed]],4),MID(Demographics[[#This Row],[DOB - Fixed]],3,2),LEFT(Demographics[[#This Row],[DOB - Fixed]],2))))/365,0)</f>
        <v>37.449315068493149</v>
      </c>
      <c r="J1334">
        <f>VLOOKUP(Demographics[[#This Row],[INCOME LEVEL]],Income[],4,FALSE)</f>
        <v>697.5</v>
      </c>
      <c r="K1334">
        <f>IFERROR(Demographics[[#This Row],[Total monthly income]]/Demographics[[#This Row],[FAMILY SIZE]], 0)</f>
        <v>139.5</v>
      </c>
    </row>
    <row r="1335" spans="1:11" x14ac:dyDescent="0.2">
      <c r="A1335">
        <v>21576929</v>
      </c>
      <c r="B1335">
        <v>6011989</v>
      </c>
      <c r="C1335">
        <v>7</v>
      </c>
      <c r="D1335">
        <v>1</v>
      </c>
      <c r="E1335">
        <v>2</v>
      </c>
      <c r="F1335">
        <v>2</v>
      </c>
      <c r="G1335">
        <v>4</v>
      </c>
      <c r="H1335" t="str">
        <f>IF(Demographics[[#This Row],[DOB]]&gt;10000000, TEXT(Demographics[[#This Row],[DOB]],0),CONCATENATE("0",TEXT(Demographics[[#This Row],[DOB]],0)))</f>
        <v>06011989</v>
      </c>
      <c r="I1335" s="4">
        <f ca="1">IFERROR((VALUE(TODAY()-DATE(RIGHT(Demographics[[#This Row],[DOB - Fixed]],4),MID(Demographics[[#This Row],[DOB - Fixed]],3,2),LEFT(Demographics[[#This Row],[DOB - Fixed]],2))))/365,0)</f>
        <v>34.69315068493151</v>
      </c>
      <c r="J1335">
        <f>VLOOKUP(Demographics[[#This Row],[INCOME LEVEL]],Income[],4,FALSE)</f>
        <v>697.5</v>
      </c>
      <c r="K1335">
        <f>IFERROR(Demographics[[#This Row],[Total monthly income]]/Demographics[[#This Row],[FAMILY SIZE]], 0)</f>
        <v>99.642857142857139</v>
      </c>
    </row>
    <row r="1336" spans="1:11" x14ac:dyDescent="0.2">
      <c r="A1336">
        <v>2792987</v>
      </c>
      <c r="B1336">
        <v>4101988</v>
      </c>
      <c r="C1336">
        <v>5</v>
      </c>
      <c r="D1336">
        <v>0</v>
      </c>
      <c r="E1336">
        <v>1</v>
      </c>
      <c r="F1336">
        <v>3</v>
      </c>
      <c r="G1336">
        <v>3</v>
      </c>
      <c r="H1336" t="str">
        <f>IF(Demographics[[#This Row],[DOB]]&gt;10000000, TEXT(Demographics[[#This Row],[DOB]],0),CONCATENATE("0",TEXT(Demographics[[#This Row],[DOB]],0)))</f>
        <v>04101988</v>
      </c>
      <c r="I1336" s="4">
        <f ca="1">IFERROR((VALUE(TODAY()-DATE(RIGHT(Demographics[[#This Row],[DOB - Fixed]],4),MID(Demographics[[#This Row],[DOB - Fixed]],3,2),LEFT(Demographics[[#This Row],[DOB - Fixed]],2))))/365,0)</f>
        <v>34.950684931506849</v>
      </c>
      <c r="J1336">
        <f>VLOOKUP(Demographics[[#This Row],[INCOME LEVEL]],Income[],4,FALSE)</f>
        <v>175</v>
      </c>
      <c r="K1336">
        <f>IFERROR(Demographics[[#This Row],[Total monthly income]]/Demographics[[#This Row],[FAMILY SIZE]], 0)</f>
        <v>35</v>
      </c>
    </row>
    <row r="1337" spans="1:11" x14ac:dyDescent="0.2">
      <c r="A1337">
        <v>22799315</v>
      </c>
      <c r="B1337">
        <v>16111988</v>
      </c>
      <c r="C1337">
        <v>3</v>
      </c>
      <c r="D1337">
        <v>1</v>
      </c>
      <c r="E1337">
        <v>1</v>
      </c>
      <c r="F1337">
        <v>7</v>
      </c>
      <c r="G1337">
        <v>7</v>
      </c>
      <c r="H1337" t="str">
        <f>IF(Demographics[[#This Row],[DOB]]&gt;10000000, TEXT(Demographics[[#This Row],[DOB]],0),CONCATENATE("0",TEXT(Demographics[[#This Row],[DOB]],0)))</f>
        <v>16111988</v>
      </c>
      <c r="I1337" s="4">
        <f ca="1">IFERROR((VALUE(TODAY()-DATE(RIGHT(Demographics[[#This Row],[DOB - Fixed]],4),MID(Demographics[[#This Row],[DOB - Fixed]],3,2),LEFT(Demographics[[#This Row],[DOB - Fixed]],2))))/365,0)</f>
        <v>34.832876712328769</v>
      </c>
      <c r="J1337">
        <f>VLOOKUP(Demographics[[#This Row],[INCOME LEVEL]],Income[],4,FALSE)</f>
        <v>175</v>
      </c>
      <c r="K1337">
        <f>IFERROR(Demographics[[#This Row],[Total monthly income]]/Demographics[[#This Row],[FAMILY SIZE]], 0)</f>
        <v>58.333333333333336</v>
      </c>
    </row>
    <row r="1338" spans="1:11" x14ac:dyDescent="0.2">
      <c r="A1338">
        <v>6878597</v>
      </c>
      <c r="B1338">
        <v>5121988</v>
      </c>
      <c r="C1338">
        <v>6</v>
      </c>
      <c r="D1338">
        <v>2</v>
      </c>
      <c r="E1338">
        <v>2</v>
      </c>
      <c r="F1338">
        <v>4</v>
      </c>
      <c r="G1338">
        <v>4</v>
      </c>
      <c r="H1338" t="str">
        <f>IF(Demographics[[#This Row],[DOB]]&gt;10000000, TEXT(Demographics[[#This Row],[DOB]],0),CONCATENATE("0",TEXT(Demographics[[#This Row],[DOB]],0)))</f>
        <v>05121988</v>
      </c>
      <c r="I1338" s="4">
        <f ca="1">IFERROR((VALUE(TODAY()-DATE(RIGHT(Demographics[[#This Row],[DOB - Fixed]],4),MID(Demographics[[#This Row],[DOB - Fixed]],3,2),LEFT(Demographics[[#This Row],[DOB - Fixed]],2))))/365,0)</f>
        <v>34.780821917808218</v>
      </c>
      <c r="J1338">
        <f>VLOOKUP(Demographics[[#This Row],[INCOME LEVEL]],Income[],4,FALSE)</f>
        <v>697.5</v>
      </c>
      <c r="K1338">
        <f>IFERROR(Demographics[[#This Row],[Total monthly income]]/Demographics[[#This Row],[FAMILY SIZE]], 0)</f>
        <v>116.25</v>
      </c>
    </row>
    <row r="1339" spans="1:11" x14ac:dyDescent="0.2">
      <c r="A1339">
        <v>5001888</v>
      </c>
      <c r="B1339">
        <v>24111987</v>
      </c>
      <c r="C1339">
        <v>5</v>
      </c>
      <c r="D1339">
        <v>1</v>
      </c>
      <c r="E1339">
        <v>1</v>
      </c>
      <c r="F1339">
        <v>5</v>
      </c>
      <c r="G1339">
        <v>4</v>
      </c>
      <c r="H1339" t="str">
        <f>IF(Demographics[[#This Row],[DOB]]&gt;10000000, TEXT(Demographics[[#This Row],[DOB]],0),CONCATENATE("0",TEXT(Demographics[[#This Row],[DOB]],0)))</f>
        <v>24111987</v>
      </c>
      <c r="I1339" s="4">
        <f ca="1">IFERROR((VALUE(TODAY()-DATE(RIGHT(Demographics[[#This Row],[DOB - Fixed]],4),MID(Demographics[[#This Row],[DOB - Fixed]],3,2),LEFT(Demographics[[#This Row],[DOB - Fixed]],2))))/365,0)</f>
        <v>35.813698630136983</v>
      </c>
      <c r="J1339">
        <f>VLOOKUP(Demographics[[#This Row],[INCOME LEVEL]],Income[],4,FALSE)</f>
        <v>175</v>
      </c>
      <c r="K1339">
        <f>IFERROR(Demographics[[#This Row],[Total monthly income]]/Demographics[[#This Row],[FAMILY SIZE]], 0)</f>
        <v>35</v>
      </c>
    </row>
    <row r="1340" spans="1:11" x14ac:dyDescent="0.2">
      <c r="A1340">
        <v>24208725</v>
      </c>
      <c r="B1340">
        <v>9061988</v>
      </c>
      <c r="C1340">
        <v>5</v>
      </c>
      <c r="D1340">
        <v>2</v>
      </c>
      <c r="E1340">
        <v>3</v>
      </c>
      <c r="F1340">
        <v>5</v>
      </c>
      <c r="G1340">
        <v>9</v>
      </c>
      <c r="H1340" t="str">
        <f>IF(Demographics[[#This Row],[DOB]]&gt;10000000, TEXT(Demographics[[#This Row],[DOB]],0),CONCATENATE("0",TEXT(Demographics[[#This Row],[DOB]],0)))</f>
        <v>09061988</v>
      </c>
      <c r="I1340" s="4">
        <f ca="1">IFERROR((VALUE(TODAY()-DATE(RIGHT(Demographics[[#This Row],[DOB - Fixed]],4),MID(Demographics[[#This Row],[DOB - Fixed]],3,2),LEFT(Demographics[[#This Row],[DOB - Fixed]],2))))/365,0)</f>
        <v>35.271232876712325</v>
      </c>
      <c r="J1340">
        <f>VLOOKUP(Demographics[[#This Row],[INCOME LEVEL]],Income[],4,FALSE)</f>
        <v>1397.5</v>
      </c>
      <c r="K1340">
        <f>IFERROR(Demographics[[#This Row],[Total monthly income]]/Demographics[[#This Row],[FAMILY SIZE]], 0)</f>
        <v>279.5</v>
      </c>
    </row>
    <row r="1341" spans="1:11" x14ac:dyDescent="0.2">
      <c r="A1341">
        <v>1259383</v>
      </c>
      <c r="B1341">
        <v>9071988</v>
      </c>
      <c r="C1341">
        <v>5</v>
      </c>
      <c r="D1341">
        <v>1</v>
      </c>
      <c r="E1341">
        <v>1</v>
      </c>
      <c r="F1341">
        <v>7</v>
      </c>
      <c r="G1341">
        <v>7</v>
      </c>
      <c r="H1341" t="str">
        <f>IF(Demographics[[#This Row],[DOB]]&gt;10000000, TEXT(Demographics[[#This Row],[DOB]],0),CONCATENATE("0",TEXT(Demographics[[#This Row],[DOB]],0)))</f>
        <v>09071988</v>
      </c>
      <c r="I1341" s="4">
        <f ca="1">IFERROR((VALUE(TODAY()-DATE(RIGHT(Demographics[[#This Row],[DOB - Fixed]],4),MID(Demographics[[#This Row],[DOB - Fixed]],3,2),LEFT(Demographics[[#This Row],[DOB - Fixed]],2))))/365,0)</f>
        <v>35.18904109589041</v>
      </c>
      <c r="J1341">
        <f>VLOOKUP(Demographics[[#This Row],[INCOME LEVEL]],Income[],4,FALSE)</f>
        <v>175</v>
      </c>
      <c r="K1341">
        <f>IFERROR(Demographics[[#This Row],[Total monthly income]]/Demographics[[#This Row],[FAMILY SIZE]], 0)</f>
        <v>35</v>
      </c>
    </row>
    <row r="1342" spans="1:11" x14ac:dyDescent="0.2">
      <c r="A1342">
        <v>671533</v>
      </c>
      <c r="B1342">
        <v>28091988</v>
      </c>
      <c r="C1342">
        <v>4</v>
      </c>
      <c r="D1342">
        <v>1</v>
      </c>
      <c r="E1342">
        <v>2</v>
      </c>
      <c r="F1342">
        <v>9</v>
      </c>
      <c r="G1342">
        <v>9</v>
      </c>
      <c r="H1342" t="str">
        <f>IF(Demographics[[#This Row],[DOB]]&gt;10000000, TEXT(Demographics[[#This Row],[DOB]],0),CONCATENATE("0",TEXT(Demographics[[#This Row],[DOB]],0)))</f>
        <v>28091988</v>
      </c>
      <c r="I1342" s="4">
        <f ca="1">IFERROR((VALUE(TODAY()-DATE(RIGHT(Demographics[[#This Row],[DOB - Fixed]],4),MID(Demographics[[#This Row],[DOB - Fixed]],3,2),LEFT(Demographics[[#This Row],[DOB - Fixed]],2))))/365,0)</f>
        <v>34.967123287671235</v>
      </c>
      <c r="J1342">
        <f>VLOOKUP(Demographics[[#This Row],[INCOME LEVEL]],Income[],4,FALSE)</f>
        <v>697.5</v>
      </c>
      <c r="K1342">
        <f>IFERROR(Demographics[[#This Row],[Total monthly income]]/Demographics[[#This Row],[FAMILY SIZE]], 0)</f>
        <v>174.375</v>
      </c>
    </row>
    <row r="1343" spans="1:11" x14ac:dyDescent="0.2">
      <c r="A1343">
        <v>17097493</v>
      </c>
      <c r="B1343">
        <v>28091988</v>
      </c>
      <c r="C1343">
        <v>3</v>
      </c>
      <c r="D1343">
        <v>1</v>
      </c>
      <c r="E1343">
        <v>5</v>
      </c>
      <c r="F1343">
        <v>0</v>
      </c>
      <c r="G1343">
        <v>0</v>
      </c>
      <c r="H1343" t="str">
        <f>IF(Demographics[[#This Row],[DOB]]&gt;10000000, TEXT(Demographics[[#This Row],[DOB]],0),CONCATENATE("0",TEXT(Demographics[[#This Row],[DOB]],0)))</f>
        <v>28091988</v>
      </c>
      <c r="I1343" s="4">
        <f ca="1">IFERROR((VALUE(TODAY()-DATE(RIGHT(Demographics[[#This Row],[DOB - Fixed]],4),MID(Demographics[[#This Row],[DOB - Fixed]],3,2),LEFT(Demographics[[#This Row],[DOB - Fixed]],2))))/365,0)</f>
        <v>34.967123287671235</v>
      </c>
      <c r="J1343">
        <f>VLOOKUP(Demographics[[#This Row],[INCOME LEVEL]],Income[],4,FALSE)</f>
        <v>2787.5</v>
      </c>
      <c r="K1343">
        <f>IFERROR(Demographics[[#This Row],[Total monthly income]]/Demographics[[#This Row],[FAMILY SIZE]], 0)</f>
        <v>929.16666666666663</v>
      </c>
    </row>
    <row r="1344" spans="1:11" x14ac:dyDescent="0.2">
      <c r="A1344">
        <v>18699270</v>
      </c>
      <c r="B1344">
        <v>14101988</v>
      </c>
      <c r="C1344">
        <v>6</v>
      </c>
      <c r="D1344">
        <v>2</v>
      </c>
      <c r="E1344">
        <v>4</v>
      </c>
      <c r="F1344">
        <v>10</v>
      </c>
      <c r="G1344">
        <v>9</v>
      </c>
      <c r="H1344" t="str">
        <f>IF(Demographics[[#This Row],[DOB]]&gt;10000000, TEXT(Demographics[[#This Row],[DOB]],0),CONCATENATE("0",TEXT(Demographics[[#This Row],[DOB]],0)))</f>
        <v>14101988</v>
      </c>
      <c r="I1344" s="4">
        <f ca="1">IFERROR((VALUE(TODAY()-DATE(RIGHT(Demographics[[#This Row],[DOB - Fixed]],4),MID(Demographics[[#This Row],[DOB - Fixed]],3,2),LEFT(Demographics[[#This Row],[DOB - Fixed]],2))))/365,0)</f>
        <v>34.923287671232877</v>
      </c>
      <c r="J1344">
        <f>VLOOKUP(Demographics[[#This Row],[INCOME LEVEL]],Income[],4,FALSE)</f>
        <v>2100</v>
      </c>
      <c r="K1344">
        <f>IFERROR(Demographics[[#This Row],[Total monthly income]]/Demographics[[#This Row],[FAMILY SIZE]], 0)</f>
        <v>350</v>
      </c>
    </row>
    <row r="1345" spans="1:11" x14ac:dyDescent="0.2">
      <c r="A1345">
        <v>1006213</v>
      </c>
      <c r="B1345">
        <v>26101988</v>
      </c>
      <c r="C1345">
        <v>3</v>
      </c>
      <c r="D1345">
        <v>1</v>
      </c>
      <c r="E1345">
        <v>1</v>
      </c>
      <c r="F1345">
        <v>5</v>
      </c>
      <c r="G1345">
        <v>4</v>
      </c>
      <c r="H1345" t="str">
        <f>IF(Demographics[[#This Row],[DOB]]&gt;10000000, TEXT(Demographics[[#This Row],[DOB]],0),CONCATENATE("0",TEXT(Demographics[[#This Row],[DOB]],0)))</f>
        <v>26101988</v>
      </c>
      <c r="I1345" s="4">
        <f ca="1">IFERROR((VALUE(TODAY()-DATE(RIGHT(Demographics[[#This Row],[DOB - Fixed]],4),MID(Demographics[[#This Row],[DOB - Fixed]],3,2),LEFT(Demographics[[#This Row],[DOB - Fixed]],2))))/365,0)</f>
        <v>34.890410958904113</v>
      </c>
      <c r="J1345">
        <f>VLOOKUP(Demographics[[#This Row],[INCOME LEVEL]],Income[],4,FALSE)</f>
        <v>175</v>
      </c>
      <c r="K1345">
        <f>IFERROR(Demographics[[#This Row],[Total monthly income]]/Demographics[[#This Row],[FAMILY SIZE]], 0)</f>
        <v>58.333333333333336</v>
      </c>
    </row>
    <row r="1346" spans="1:11" x14ac:dyDescent="0.2">
      <c r="A1346">
        <v>14588977</v>
      </c>
      <c r="B1346">
        <v>18121988</v>
      </c>
      <c r="C1346">
        <v>4</v>
      </c>
      <c r="D1346">
        <v>2</v>
      </c>
      <c r="E1346">
        <v>3</v>
      </c>
      <c r="F1346">
        <v>10</v>
      </c>
      <c r="G1346">
        <v>9</v>
      </c>
      <c r="H1346" t="str">
        <f>IF(Demographics[[#This Row],[DOB]]&gt;10000000, TEXT(Demographics[[#This Row],[DOB]],0),CONCATENATE("0",TEXT(Demographics[[#This Row],[DOB]],0)))</f>
        <v>18121988</v>
      </c>
      <c r="I1346" s="4">
        <f ca="1">IFERROR((VALUE(TODAY()-DATE(RIGHT(Demographics[[#This Row],[DOB - Fixed]],4),MID(Demographics[[#This Row],[DOB - Fixed]],3,2),LEFT(Demographics[[#This Row],[DOB - Fixed]],2))))/365,0)</f>
        <v>34.745205479452054</v>
      </c>
      <c r="J1346">
        <f>VLOOKUP(Demographics[[#This Row],[INCOME LEVEL]],Income[],4,FALSE)</f>
        <v>1397.5</v>
      </c>
      <c r="K1346">
        <f>IFERROR(Demographics[[#This Row],[Total monthly income]]/Demographics[[#This Row],[FAMILY SIZE]], 0)</f>
        <v>349.375</v>
      </c>
    </row>
    <row r="1347" spans="1:11" x14ac:dyDescent="0.2">
      <c r="A1347">
        <v>11918911</v>
      </c>
      <c r="B1347">
        <v>3121988</v>
      </c>
      <c r="C1347">
        <v>4</v>
      </c>
      <c r="D1347">
        <v>1</v>
      </c>
      <c r="E1347">
        <v>2</v>
      </c>
      <c r="F1347">
        <v>10</v>
      </c>
      <c r="G1347">
        <v>5</v>
      </c>
      <c r="H1347" t="str">
        <f>IF(Demographics[[#This Row],[DOB]]&gt;10000000, TEXT(Demographics[[#This Row],[DOB]],0),CONCATENATE("0",TEXT(Demographics[[#This Row],[DOB]],0)))</f>
        <v>03121988</v>
      </c>
      <c r="I1347" s="4">
        <f ca="1">IFERROR((VALUE(TODAY()-DATE(RIGHT(Demographics[[#This Row],[DOB - Fixed]],4),MID(Demographics[[#This Row],[DOB - Fixed]],3,2),LEFT(Demographics[[#This Row],[DOB - Fixed]],2))))/365,0)</f>
        <v>34.786301369863011</v>
      </c>
      <c r="J1347">
        <f>VLOOKUP(Demographics[[#This Row],[INCOME LEVEL]],Income[],4,FALSE)</f>
        <v>697.5</v>
      </c>
      <c r="K1347">
        <f>IFERROR(Demographics[[#This Row],[Total monthly income]]/Demographics[[#This Row],[FAMILY SIZE]], 0)</f>
        <v>174.375</v>
      </c>
    </row>
    <row r="1348" spans="1:11" x14ac:dyDescent="0.2">
      <c r="A1348">
        <v>8790021</v>
      </c>
      <c r="B1348">
        <v>26021989</v>
      </c>
      <c r="C1348">
        <v>7</v>
      </c>
      <c r="D1348">
        <v>2</v>
      </c>
      <c r="E1348">
        <v>4</v>
      </c>
      <c r="F1348">
        <v>9</v>
      </c>
      <c r="G1348">
        <v>9</v>
      </c>
      <c r="H1348" t="str">
        <f>IF(Demographics[[#This Row],[DOB]]&gt;10000000, TEXT(Demographics[[#This Row],[DOB]],0),CONCATENATE("0",TEXT(Demographics[[#This Row],[DOB]],0)))</f>
        <v>26021989</v>
      </c>
      <c r="I1348" s="4">
        <f ca="1">IFERROR((VALUE(TODAY()-DATE(RIGHT(Demographics[[#This Row],[DOB - Fixed]],4),MID(Demographics[[#This Row],[DOB - Fixed]],3,2),LEFT(Demographics[[#This Row],[DOB - Fixed]],2))))/365,0)</f>
        <v>34.553424657534244</v>
      </c>
      <c r="J1348">
        <f>VLOOKUP(Demographics[[#This Row],[INCOME LEVEL]],Income[],4,FALSE)</f>
        <v>2100</v>
      </c>
      <c r="K1348">
        <f>IFERROR(Demographics[[#This Row],[Total monthly income]]/Demographics[[#This Row],[FAMILY SIZE]], 0)</f>
        <v>300</v>
      </c>
    </row>
    <row r="1349" spans="1:11" x14ac:dyDescent="0.2">
      <c r="A1349">
        <v>4346577</v>
      </c>
      <c r="B1349">
        <v>21021989</v>
      </c>
      <c r="C1349">
        <v>7</v>
      </c>
      <c r="D1349">
        <v>2</v>
      </c>
      <c r="E1349">
        <v>2</v>
      </c>
      <c r="F1349">
        <v>7</v>
      </c>
      <c r="G1349">
        <v>6</v>
      </c>
      <c r="H1349" t="str">
        <f>IF(Demographics[[#This Row],[DOB]]&gt;10000000, TEXT(Demographics[[#This Row],[DOB]],0),CONCATENATE("0",TEXT(Demographics[[#This Row],[DOB]],0)))</f>
        <v>21021989</v>
      </c>
      <c r="I1349" s="4">
        <f ca="1">IFERROR((VALUE(TODAY()-DATE(RIGHT(Demographics[[#This Row],[DOB - Fixed]],4),MID(Demographics[[#This Row],[DOB - Fixed]],3,2),LEFT(Demographics[[#This Row],[DOB - Fixed]],2))))/365,0)</f>
        <v>34.56712328767123</v>
      </c>
      <c r="J1349">
        <f>VLOOKUP(Demographics[[#This Row],[INCOME LEVEL]],Income[],4,FALSE)</f>
        <v>697.5</v>
      </c>
      <c r="K1349">
        <f>IFERROR(Demographics[[#This Row],[Total monthly income]]/Demographics[[#This Row],[FAMILY SIZE]], 0)</f>
        <v>99.642857142857139</v>
      </c>
    </row>
    <row r="1350" spans="1:11" x14ac:dyDescent="0.2">
      <c r="A1350">
        <v>6473504</v>
      </c>
      <c r="B1350">
        <v>16031988</v>
      </c>
      <c r="C1350">
        <v>5</v>
      </c>
      <c r="D1350">
        <v>2</v>
      </c>
      <c r="E1350">
        <v>2</v>
      </c>
      <c r="F1350">
        <v>9</v>
      </c>
      <c r="G1350">
        <v>10</v>
      </c>
      <c r="H1350" t="str">
        <f>IF(Demographics[[#This Row],[DOB]]&gt;10000000, TEXT(Demographics[[#This Row],[DOB]],0),CONCATENATE("0",TEXT(Demographics[[#This Row],[DOB]],0)))</f>
        <v>16031988</v>
      </c>
      <c r="I1350" s="4">
        <f ca="1">IFERROR((VALUE(TODAY()-DATE(RIGHT(Demographics[[#This Row],[DOB - Fixed]],4),MID(Demographics[[#This Row],[DOB - Fixed]],3,2),LEFT(Demographics[[#This Row],[DOB - Fixed]],2))))/365,0)</f>
        <v>35.504109589041093</v>
      </c>
      <c r="J1350">
        <f>VLOOKUP(Demographics[[#This Row],[INCOME LEVEL]],Income[],4,FALSE)</f>
        <v>697.5</v>
      </c>
      <c r="K1350">
        <f>IFERROR(Demographics[[#This Row],[Total monthly income]]/Demographics[[#This Row],[FAMILY SIZE]], 0)</f>
        <v>139.5</v>
      </c>
    </row>
    <row r="1351" spans="1:11" x14ac:dyDescent="0.2">
      <c r="A1351">
        <v>11542229</v>
      </c>
      <c r="B1351">
        <v>26061988</v>
      </c>
      <c r="C1351">
        <v>4</v>
      </c>
      <c r="D1351">
        <v>0</v>
      </c>
      <c r="E1351">
        <v>1</v>
      </c>
      <c r="F1351">
        <v>3</v>
      </c>
      <c r="G1351">
        <v>4</v>
      </c>
      <c r="H1351" t="str">
        <f>IF(Demographics[[#This Row],[DOB]]&gt;10000000, TEXT(Demographics[[#This Row],[DOB]],0),CONCATENATE("0",TEXT(Demographics[[#This Row],[DOB]],0)))</f>
        <v>26061988</v>
      </c>
      <c r="I1351" s="4">
        <f ca="1">IFERROR((VALUE(TODAY()-DATE(RIGHT(Demographics[[#This Row],[DOB - Fixed]],4),MID(Demographics[[#This Row],[DOB - Fixed]],3,2),LEFT(Demographics[[#This Row],[DOB - Fixed]],2))))/365,0)</f>
        <v>35.224657534246575</v>
      </c>
      <c r="J1351">
        <f>VLOOKUP(Demographics[[#This Row],[INCOME LEVEL]],Income[],4,FALSE)</f>
        <v>175</v>
      </c>
      <c r="K1351">
        <f>IFERROR(Demographics[[#This Row],[Total monthly income]]/Demographics[[#This Row],[FAMILY SIZE]], 0)</f>
        <v>43.75</v>
      </c>
    </row>
    <row r="1352" spans="1:11" x14ac:dyDescent="0.2">
      <c r="A1352">
        <v>18599961</v>
      </c>
      <c r="B1352">
        <v>11091988</v>
      </c>
      <c r="C1352">
        <v>4</v>
      </c>
      <c r="D1352">
        <v>1</v>
      </c>
      <c r="E1352">
        <v>2</v>
      </c>
      <c r="F1352">
        <v>5</v>
      </c>
      <c r="G1352">
        <v>3</v>
      </c>
      <c r="H1352" t="str">
        <f>IF(Demographics[[#This Row],[DOB]]&gt;10000000, TEXT(Demographics[[#This Row],[DOB]],0),CONCATENATE("0",TEXT(Demographics[[#This Row],[DOB]],0)))</f>
        <v>11091988</v>
      </c>
      <c r="I1352" s="4">
        <f ca="1">IFERROR((VALUE(TODAY()-DATE(RIGHT(Demographics[[#This Row],[DOB - Fixed]],4),MID(Demographics[[#This Row],[DOB - Fixed]],3,2),LEFT(Demographics[[#This Row],[DOB - Fixed]],2))))/365,0)</f>
        <v>35.013698630136986</v>
      </c>
      <c r="J1352">
        <f>VLOOKUP(Demographics[[#This Row],[INCOME LEVEL]],Income[],4,FALSE)</f>
        <v>697.5</v>
      </c>
      <c r="K1352">
        <f>IFERROR(Demographics[[#This Row],[Total monthly income]]/Demographics[[#This Row],[FAMILY SIZE]], 0)</f>
        <v>174.375</v>
      </c>
    </row>
    <row r="1353" spans="1:11" x14ac:dyDescent="0.2">
      <c r="A1353">
        <v>22428236</v>
      </c>
      <c r="B1353">
        <v>8111988</v>
      </c>
      <c r="C1353">
        <v>4</v>
      </c>
      <c r="D1353">
        <v>1</v>
      </c>
      <c r="E1353">
        <v>2</v>
      </c>
      <c r="F1353">
        <v>0</v>
      </c>
      <c r="G1353">
        <v>9</v>
      </c>
      <c r="H1353" t="str">
        <f>IF(Demographics[[#This Row],[DOB]]&gt;10000000, TEXT(Demographics[[#This Row],[DOB]],0),CONCATENATE("0",TEXT(Demographics[[#This Row],[DOB]],0)))</f>
        <v>08111988</v>
      </c>
      <c r="I1353" s="4">
        <f ca="1">IFERROR((VALUE(TODAY()-DATE(RIGHT(Demographics[[#This Row],[DOB - Fixed]],4),MID(Demographics[[#This Row],[DOB - Fixed]],3,2),LEFT(Demographics[[#This Row],[DOB - Fixed]],2))))/365,0)</f>
        <v>34.854794520547948</v>
      </c>
      <c r="J1353">
        <f>VLOOKUP(Demographics[[#This Row],[INCOME LEVEL]],Income[],4,FALSE)</f>
        <v>697.5</v>
      </c>
      <c r="K1353">
        <f>IFERROR(Demographics[[#This Row],[Total monthly income]]/Demographics[[#This Row],[FAMILY SIZE]], 0)</f>
        <v>174.375</v>
      </c>
    </row>
    <row r="1354" spans="1:11" x14ac:dyDescent="0.2">
      <c r="A1354">
        <v>9092745</v>
      </c>
      <c r="B1354">
        <v>15111988</v>
      </c>
      <c r="C1354">
        <v>4</v>
      </c>
      <c r="D1354">
        <v>1</v>
      </c>
      <c r="E1354">
        <v>1</v>
      </c>
      <c r="F1354">
        <v>9</v>
      </c>
      <c r="G1354">
        <v>8</v>
      </c>
      <c r="H1354" t="str">
        <f>IF(Demographics[[#This Row],[DOB]]&gt;10000000, TEXT(Demographics[[#This Row],[DOB]],0),CONCATENATE("0",TEXT(Demographics[[#This Row],[DOB]],0)))</f>
        <v>15111988</v>
      </c>
      <c r="I1354" s="4">
        <f ca="1">IFERROR((VALUE(TODAY()-DATE(RIGHT(Demographics[[#This Row],[DOB - Fixed]],4),MID(Demographics[[#This Row],[DOB - Fixed]],3,2),LEFT(Demographics[[#This Row],[DOB - Fixed]],2))))/365,0)</f>
        <v>34.835616438356162</v>
      </c>
      <c r="J1354">
        <f>VLOOKUP(Demographics[[#This Row],[INCOME LEVEL]],Income[],4,FALSE)</f>
        <v>175</v>
      </c>
      <c r="K1354">
        <f>IFERROR(Demographics[[#This Row],[Total monthly income]]/Demographics[[#This Row],[FAMILY SIZE]], 0)</f>
        <v>43.75</v>
      </c>
    </row>
    <row r="1355" spans="1:11" x14ac:dyDescent="0.2">
      <c r="A1355">
        <v>20222362</v>
      </c>
      <c r="B1355">
        <v>28011989</v>
      </c>
      <c r="C1355">
        <v>4</v>
      </c>
      <c r="D1355">
        <v>1</v>
      </c>
      <c r="E1355">
        <v>2</v>
      </c>
      <c r="F1355">
        <v>9</v>
      </c>
      <c r="G1355">
        <v>5</v>
      </c>
      <c r="H1355" t="str">
        <f>IF(Demographics[[#This Row],[DOB]]&gt;10000000, TEXT(Demographics[[#This Row],[DOB]],0),CONCATENATE("0",TEXT(Demographics[[#This Row],[DOB]],0)))</f>
        <v>28011989</v>
      </c>
      <c r="I1355" s="4">
        <f ca="1">IFERROR((VALUE(TODAY()-DATE(RIGHT(Demographics[[#This Row],[DOB - Fixed]],4),MID(Demographics[[#This Row],[DOB - Fixed]],3,2),LEFT(Demographics[[#This Row],[DOB - Fixed]],2))))/365,0)</f>
        <v>34.632876712328766</v>
      </c>
      <c r="J1355">
        <f>VLOOKUP(Demographics[[#This Row],[INCOME LEVEL]],Income[],4,FALSE)</f>
        <v>697.5</v>
      </c>
      <c r="K1355">
        <f>IFERROR(Demographics[[#This Row],[Total monthly income]]/Demographics[[#This Row],[FAMILY SIZE]], 0)</f>
        <v>174.375</v>
      </c>
    </row>
    <row r="1356" spans="1:11" x14ac:dyDescent="0.2">
      <c r="A1356">
        <v>9317252</v>
      </c>
      <c r="B1356">
        <v>7081988</v>
      </c>
      <c r="C1356">
        <v>5</v>
      </c>
      <c r="D1356">
        <v>1</v>
      </c>
      <c r="E1356">
        <v>1</v>
      </c>
      <c r="F1356">
        <v>4</v>
      </c>
      <c r="G1356">
        <v>4</v>
      </c>
      <c r="H1356" t="str">
        <f>IF(Demographics[[#This Row],[DOB]]&gt;10000000, TEXT(Demographics[[#This Row],[DOB]],0),CONCATENATE("0",TEXT(Demographics[[#This Row],[DOB]],0)))</f>
        <v>07081988</v>
      </c>
      <c r="I1356" s="4">
        <f ca="1">IFERROR((VALUE(TODAY()-DATE(RIGHT(Demographics[[#This Row],[DOB - Fixed]],4),MID(Demographics[[#This Row],[DOB - Fixed]],3,2),LEFT(Demographics[[#This Row],[DOB - Fixed]],2))))/365,0)</f>
        <v>35.109589041095887</v>
      </c>
      <c r="J1356">
        <f>VLOOKUP(Demographics[[#This Row],[INCOME LEVEL]],Income[],4,FALSE)</f>
        <v>175</v>
      </c>
      <c r="K1356">
        <f>IFERROR(Demographics[[#This Row],[Total monthly income]]/Demographics[[#This Row],[FAMILY SIZE]], 0)</f>
        <v>35</v>
      </c>
    </row>
    <row r="1357" spans="1:11" x14ac:dyDescent="0.2">
      <c r="A1357">
        <v>10714362</v>
      </c>
      <c r="B1357">
        <v>3101988</v>
      </c>
      <c r="C1357">
        <v>7</v>
      </c>
      <c r="D1357">
        <v>0</v>
      </c>
      <c r="E1357">
        <v>1</v>
      </c>
      <c r="F1357">
        <v>5</v>
      </c>
      <c r="G1357">
        <v>2</v>
      </c>
      <c r="H1357" t="str">
        <f>IF(Demographics[[#This Row],[DOB]]&gt;10000000, TEXT(Demographics[[#This Row],[DOB]],0),CONCATENATE("0",TEXT(Demographics[[#This Row],[DOB]],0)))</f>
        <v>03101988</v>
      </c>
      <c r="I1357" s="4">
        <f ca="1">IFERROR((VALUE(TODAY()-DATE(RIGHT(Demographics[[#This Row],[DOB - Fixed]],4),MID(Demographics[[#This Row],[DOB - Fixed]],3,2),LEFT(Demographics[[#This Row],[DOB - Fixed]],2))))/365,0)</f>
        <v>34.953424657534249</v>
      </c>
      <c r="J1357">
        <f>VLOOKUP(Demographics[[#This Row],[INCOME LEVEL]],Income[],4,FALSE)</f>
        <v>175</v>
      </c>
      <c r="K1357">
        <f>IFERROR(Demographics[[#This Row],[Total monthly income]]/Demographics[[#This Row],[FAMILY SIZE]], 0)</f>
        <v>25</v>
      </c>
    </row>
    <row r="1358" spans="1:11" x14ac:dyDescent="0.2">
      <c r="A1358">
        <v>15018577</v>
      </c>
      <c r="B1358">
        <v>5111988</v>
      </c>
      <c r="C1358">
        <v>3</v>
      </c>
      <c r="D1358">
        <v>2</v>
      </c>
      <c r="E1358">
        <v>1</v>
      </c>
      <c r="F1358">
        <v>3</v>
      </c>
      <c r="G1358">
        <v>2</v>
      </c>
      <c r="H1358" t="str">
        <f>IF(Demographics[[#This Row],[DOB]]&gt;10000000, TEXT(Demographics[[#This Row],[DOB]],0),CONCATENATE("0",TEXT(Demographics[[#This Row],[DOB]],0)))</f>
        <v>05111988</v>
      </c>
      <c r="I1358" s="4">
        <f ca="1">IFERROR((VALUE(TODAY()-DATE(RIGHT(Demographics[[#This Row],[DOB - Fixed]],4),MID(Demographics[[#This Row],[DOB - Fixed]],3,2),LEFT(Demographics[[#This Row],[DOB - Fixed]],2))))/365,0)</f>
        <v>34.863013698630134</v>
      </c>
      <c r="J1358">
        <f>VLOOKUP(Demographics[[#This Row],[INCOME LEVEL]],Income[],4,FALSE)</f>
        <v>175</v>
      </c>
      <c r="K1358">
        <f>IFERROR(Demographics[[#This Row],[Total monthly income]]/Demographics[[#This Row],[FAMILY SIZE]], 0)</f>
        <v>58.333333333333336</v>
      </c>
    </row>
    <row r="1359" spans="1:11" x14ac:dyDescent="0.2">
      <c r="A1359">
        <v>24921919</v>
      </c>
      <c r="B1359">
        <v>5011989</v>
      </c>
      <c r="C1359">
        <v>5</v>
      </c>
      <c r="D1359">
        <v>2</v>
      </c>
      <c r="E1359">
        <v>1</v>
      </c>
      <c r="F1359">
        <v>5</v>
      </c>
      <c r="G1359">
        <v>4</v>
      </c>
      <c r="H1359" t="str">
        <f>IF(Demographics[[#This Row],[DOB]]&gt;10000000, TEXT(Demographics[[#This Row],[DOB]],0),CONCATENATE("0",TEXT(Demographics[[#This Row],[DOB]],0)))</f>
        <v>05011989</v>
      </c>
      <c r="I1359" s="4">
        <f ca="1">IFERROR((VALUE(TODAY()-DATE(RIGHT(Demographics[[#This Row],[DOB - Fixed]],4),MID(Demographics[[#This Row],[DOB - Fixed]],3,2),LEFT(Demographics[[#This Row],[DOB - Fixed]],2))))/365,0)</f>
        <v>34.695890410958903</v>
      </c>
      <c r="J1359">
        <f>VLOOKUP(Demographics[[#This Row],[INCOME LEVEL]],Income[],4,FALSE)</f>
        <v>175</v>
      </c>
      <c r="K1359">
        <f>IFERROR(Demographics[[#This Row],[Total monthly income]]/Demographics[[#This Row],[FAMILY SIZE]], 0)</f>
        <v>35</v>
      </c>
    </row>
    <row r="1360" spans="1:11" x14ac:dyDescent="0.2">
      <c r="A1360">
        <v>22295613</v>
      </c>
      <c r="B1360">
        <v>21021989</v>
      </c>
      <c r="C1360">
        <v>4</v>
      </c>
      <c r="D1360">
        <v>2</v>
      </c>
      <c r="E1360">
        <v>2</v>
      </c>
      <c r="F1360">
        <v>7</v>
      </c>
      <c r="G1360">
        <v>8</v>
      </c>
      <c r="H1360" t="str">
        <f>IF(Demographics[[#This Row],[DOB]]&gt;10000000, TEXT(Demographics[[#This Row],[DOB]],0),CONCATENATE("0",TEXT(Demographics[[#This Row],[DOB]],0)))</f>
        <v>21021989</v>
      </c>
      <c r="I1360" s="4">
        <f ca="1">IFERROR((VALUE(TODAY()-DATE(RIGHT(Demographics[[#This Row],[DOB - Fixed]],4),MID(Demographics[[#This Row],[DOB - Fixed]],3,2),LEFT(Demographics[[#This Row],[DOB - Fixed]],2))))/365,0)</f>
        <v>34.56712328767123</v>
      </c>
      <c r="J1360">
        <f>VLOOKUP(Demographics[[#This Row],[INCOME LEVEL]],Income[],4,FALSE)</f>
        <v>697.5</v>
      </c>
      <c r="K1360">
        <f>IFERROR(Demographics[[#This Row],[Total monthly income]]/Demographics[[#This Row],[FAMILY SIZE]], 0)</f>
        <v>174.375</v>
      </c>
    </row>
    <row r="1361" spans="1:11" x14ac:dyDescent="0.2">
      <c r="A1361">
        <v>19961438</v>
      </c>
      <c r="B1361">
        <v>13071988</v>
      </c>
      <c r="C1361">
        <v>6</v>
      </c>
      <c r="D1361">
        <v>2</v>
      </c>
      <c r="E1361">
        <v>2</v>
      </c>
      <c r="F1361">
        <v>5</v>
      </c>
      <c r="G1361">
        <v>5</v>
      </c>
      <c r="H1361" t="str">
        <f>IF(Demographics[[#This Row],[DOB]]&gt;10000000, TEXT(Demographics[[#This Row],[DOB]],0),CONCATENATE("0",TEXT(Demographics[[#This Row],[DOB]],0)))</f>
        <v>13071988</v>
      </c>
      <c r="I1361" s="4">
        <f ca="1">IFERROR((VALUE(TODAY()-DATE(RIGHT(Demographics[[#This Row],[DOB - Fixed]],4),MID(Demographics[[#This Row],[DOB - Fixed]],3,2),LEFT(Demographics[[#This Row],[DOB - Fixed]],2))))/365,0)</f>
        <v>35.178082191780824</v>
      </c>
      <c r="J1361">
        <f>VLOOKUP(Demographics[[#This Row],[INCOME LEVEL]],Income[],4,FALSE)</f>
        <v>697.5</v>
      </c>
      <c r="K1361">
        <f>IFERROR(Demographics[[#This Row],[Total monthly income]]/Demographics[[#This Row],[FAMILY SIZE]], 0)</f>
        <v>116.25</v>
      </c>
    </row>
    <row r="1362" spans="1:11" x14ac:dyDescent="0.2">
      <c r="A1362">
        <v>3695847</v>
      </c>
      <c r="B1362">
        <v>13071988</v>
      </c>
      <c r="C1362">
        <v>3</v>
      </c>
      <c r="D1362">
        <v>2</v>
      </c>
      <c r="E1362">
        <v>2</v>
      </c>
      <c r="F1362">
        <v>4</v>
      </c>
      <c r="G1362">
        <v>4</v>
      </c>
      <c r="H1362" t="str">
        <f>IF(Demographics[[#This Row],[DOB]]&gt;10000000, TEXT(Demographics[[#This Row],[DOB]],0),CONCATENATE("0",TEXT(Demographics[[#This Row],[DOB]],0)))</f>
        <v>13071988</v>
      </c>
      <c r="I1362" s="4">
        <f ca="1">IFERROR((VALUE(TODAY()-DATE(RIGHT(Demographics[[#This Row],[DOB - Fixed]],4),MID(Demographics[[#This Row],[DOB - Fixed]],3,2),LEFT(Demographics[[#This Row],[DOB - Fixed]],2))))/365,0)</f>
        <v>35.178082191780824</v>
      </c>
      <c r="J1362">
        <f>VLOOKUP(Demographics[[#This Row],[INCOME LEVEL]],Income[],4,FALSE)</f>
        <v>697.5</v>
      </c>
      <c r="K1362">
        <f>IFERROR(Demographics[[#This Row],[Total monthly income]]/Demographics[[#This Row],[FAMILY SIZE]], 0)</f>
        <v>232.5</v>
      </c>
    </row>
    <row r="1363" spans="1:11" x14ac:dyDescent="0.2">
      <c r="A1363">
        <v>21767924</v>
      </c>
      <c r="B1363">
        <v>2121988</v>
      </c>
      <c r="C1363">
        <v>11</v>
      </c>
      <c r="D1363">
        <v>3</v>
      </c>
      <c r="E1363">
        <v>6</v>
      </c>
      <c r="F1363">
        <v>8</v>
      </c>
      <c r="G1363">
        <v>5</v>
      </c>
      <c r="H1363" t="str">
        <f>IF(Demographics[[#This Row],[DOB]]&gt;10000000, TEXT(Demographics[[#This Row],[DOB]],0),CONCATENATE("0",TEXT(Demographics[[#This Row],[DOB]],0)))</f>
        <v>02121988</v>
      </c>
      <c r="I1363" s="4">
        <f ca="1">IFERROR((VALUE(TODAY()-DATE(RIGHT(Demographics[[#This Row],[DOB - Fixed]],4),MID(Demographics[[#This Row],[DOB - Fixed]],3,2),LEFT(Demographics[[#This Row],[DOB - Fixed]],2))))/365,0)</f>
        <v>34.789041095890411</v>
      </c>
      <c r="J1363">
        <f>VLOOKUP(Demographics[[#This Row],[INCOME LEVEL]],Income[],4,FALSE)</f>
        <v>4000</v>
      </c>
      <c r="K1363">
        <f>IFERROR(Demographics[[#This Row],[Total monthly income]]/Demographics[[#This Row],[FAMILY SIZE]], 0)</f>
        <v>363.63636363636363</v>
      </c>
    </row>
    <row r="1364" spans="1:11" x14ac:dyDescent="0.2">
      <c r="A1364">
        <v>24236545</v>
      </c>
      <c r="B1364">
        <v>26011989</v>
      </c>
      <c r="C1364">
        <v>4</v>
      </c>
      <c r="D1364">
        <v>0</v>
      </c>
      <c r="E1364">
        <v>1</v>
      </c>
      <c r="F1364">
        <v>9</v>
      </c>
      <c r="G1364">
        <v>9</v>
      </c>
      <c r="H1364" t="str">
        <f>IF(Demographics[[#This Row],[DOB]]&gt;10000000, TEXT(Demographics[[#This Row],[DOB]],0),CONCATENATE("0",TEXT(Demographics[[#This Row],[DOB]],0)))</f>
        <v>26011989</v>
      </c>
      <c r="I1364" s="4">
        <f ca="1">IFERROR((VALUE(TODAY()-DATE(RIGHT(Demographics[[#This Row],[DOB - Fixed]],4),MID(Demographics[[#This Row],[DOB - Fixed]],3,2),LEFT(Demographics[[#This Row],[DOB - Fixed]],2))))/365,0)</f>
        <v>34.638356164383559</v>
      </c>
      <c r="J1364">
        <f>VLOOKUP(Demographics[[#This Row],[INCOME LEVEL]],Income[],4,FALSE)</f>
        <v>175</v>
      </c>
      <c r="K1364">
        <f>IFERROR(Demographics[[#This Row],[Total monthly income]]/Demographics[[#This Row],[FAMILY SIZE]], 0)</f>
        <v>43.75</v>
      </c>
    </row>
    <row r="1365" spans="1:11" x14ac:dyDescent="0.2">
      <c r="A1365">
        <v>12588430</v>
      </c>
      <c r="B1365">
        <v>7031989</v>
      </c>
      <c r="C1365">
        <v>3</v>
      </c>
      <c r="D1365">
        <v>1</v>
      </c>
      <c r="E1365">
        <v>1</v>
      </c>
      <c r="F1365">
        <v>9</v>
      </c>
      <c r="G1365">
        <v>8</v>
      </c>
      <c r="H1365" t="str">
        <f>IF(Demographics[[#This Row],[DOB]]&gt;10000000, TEXT(Demographics[[#This Row],[DOB]],0),CONCATENATE("0",TEXT(Demographics[[#This Row],[DOB]],0)))</f>
        <v>07031989</v>
      </c>
      <c r="I1365" s="4">
        <f ca="1">IFERROR((VALUE(TODAY()-DATE(RIGHT(Demographics[[#This Row],[DOB - Fixed]],4),MID(Demographics[[#This Row],[DOB - Fixed]],3,2),LEFT(Demographics[[#This Row],[DOB - Fixed]],2))))/365,0)</f>
        <v>34.528767123287672</v>
      </c>
      <c r="J1365">
        <f>VLOOKUP(Demographics[[#This Row],[INCOME LEVEL]],Income[],4,FALSE)</f>
        <v>175</v>
      </c>
      <c r="K1365">
        <f>IFERROR(Demographics[[#This Row],[Total monthly income]]/Demographics[[#This Row],[FAMILY SIZE]], 0)</f>
        <v>58.333333333333336</v>
      </c>
    </row>
    <row r="1366" spans="1:11" x14ac:dyDescent="0.2">
      <c r="A1366">
        <v>11014412</v>
      </c>
      <c r="B1366">
        <v>30121988</v>
      </c>
      <c r="C1366">
        <v>5</v>
      </c>
      <c r="D1366">
        <v>1</v>
      </c>
      <c r="E1366">
        <v>1</v>
      </c>
      <c r="F1366">
        <v>5</v>
      </c>
      <c r="G1366">
        <v>5</v>
      </c>
      <c r="H1366" t="str">
        <f>IF(Demographics[[#This Row],[DOB]]&gt;10000000, TEXT(Demographics[[#This Row],[DOB]],0),CONCATENATE("0",TEXT(Demographics[[#This Row],[DOB]],0)))</f>
        <v>30121988</v>
      </c>
      <c r="I1366" s="4">
        <f ca="1">IFERROR((VALUE(TODAY()-DATE(RIGHT(Demographics[[#This Row],[DOB - Fixed]],4),MID(Demographics[[#This Row],[DOB - Fixed]],3,2),LEFT(Demographics[[#This Row],[DOB - Fixed]],2))))/365,0)</f>
        <v>34.712328767123289</v>
      </c>
      <c r="J1366">
        <f>VLOOKUP(Demographics[[#This Row],[INCOME LEVEL]],Income[],4,FALSE)</f>
        <v>175</v>
      </c>
      <c r="K1366">
        <f>IFERROR(Demographics[[#This Row],[Total monthly income]]/Demographics[[#This Row],[FAMILY SIZE]], 0)</f>
        <v>35</v>
      </c>
    </row>
    <row r="1367" spans="1:11" x14ac:dyDescent="0.2">
      <c r="A1367">
        <v>10963768</v>
      </c>
      <c r="B1367">
        <v>27081988</v>
      </c>
      <c r="C1367">
        <v>4</v>
      </c>
      <c r="D1367">
        <v>1</v>
      </c>
      <c r="E1367">
        <v>1</v>
      </c>
      <c r="F1367">
        <v>4</v>
      </c>
      <c r="G1367">
        <v>5</v>
      </c>
      <c r="H1367" t="str">
        <f>IF(Demographics[[#This Row],[DOB]]&gt;10000000, TEXT(Demographics[[#This Row],[DOB]],0),CONCATENATE("0",TEXT(Demographics[[#This Row],[DOB]],0)))</f>
        <v>27081988</v>
      </c>
      <c r="I1367" s="4">
        <f ca="1">IFERROR((VALUE(TODAY()-DATE(RIGHT(Demographics[[#This Row],[DOB - Fixed]],4),MID(Demographics[[#This Row],[DOB - Fixed]],3,2),LEFT(Demographics[[#This Row],[DOB - Fixed]],2))))/365,0)</f>
        <v>35.054794520547944</v>
      </c>
      <c r="J1367">
        <f>VLOOKUP(Demographics[[#This Row],[INCOME LEVEL]],Income[],4,FALSE)</f>
        <v>175</v>
      </c>
      <c r="K1367">
        <f>IFERROR(Demographics[[#This Row],[Total monthly income]]/Demographics[[#This Row],[FAMILY SIZE]], 0)</f>
        <v>43.75</v>
      </c>
    </row>
    <row r="1368" spans="1:11" x14ac:dyDescent="0.2">
      <c r="A1368">
        <v>10707243</v>
      </c>
      <c r="B1368">
        <v>8041988</v>
      </c>
      <c r="C1368">
        <v>6</v>
      </c>
      <c r="D1368">
        <v>1</v>
      </c>
      <c r="E1368">
        <v>2</v>
      </c>
      <c r="F1368">
        <v>5</v>
      </c>
      <c r="G1368">
        <v>4</v>
      </c>
      <c r="H1368" t="str">
        <f>IF(Demographics[[#This Row],[DOB]]&gt;10000000, TEXT(Demographics[[#This Row],[DOB]],0),CONCATENATE("0",TEXT(Demographics[[#This Row],[DOB]],0)))</f>
        <v>08041988</v>
      </c>
      <c r="I1368" s="4">
        <f ca="1">IFERROR((VALUE(TODAY()-DATE(RIGHT(Demographics[[#This Row],[DOB - Fixed]],4),MID(Demographics[[#This Row],[DOB - Fixed]],3,2),LEFT(Demographics[[#This Row],[DOB - Fixed]],2))))/365,0)</f>
        <v>35.441095890410956</v>
      </c>
      <c r="J1368">
        <f>VLOOKUP(Demographics[[#This Row],[INCOME LEVEL]],Income[],4,FALSE)</f>
        <v>697.5</v>
      </c>
      <c r="K1368">
        <f>IFERROR(Demographics[[#This Row],[Total monthly income]]/Demographics[[#This Row],[FAMILY SIZE]], 0)</f>
        <v>116.25</v>
      </c>
    </row>
    <row r="1369" spans="1:11" x14ac:dyDescent="0.2">
      <c r="A1369">
        <v>17217388</v>
      </c>
      <c r="B1369">
        <v>10051988</v>
      </c>
      <c r="C1369">
        <v>4</v>
      </c>
      <c r="D1369">
        <v>1</v>
      </c>
      <c r="E1369">
        <v>1</v>
      </c>
      <c r="F1369">
        <v>0</v>
      </c>
      <c r="G1369">
        <v>4</v>
      </c>
      <c r="H1369" t="str">
        <f>IF(Demographics[[#This Row],[DOB]]&gt;10000000, TEXT(Demographics[[#This Row],[DOB]],0),CONCATENATE("0",TEXT(Demographics[[#This Row],[DOB]],0)))</f>
        <v>10051988</v>
      </c>
      <c r="I1369" s="4">
        <f ca="1">IFERROR((VALUE(TODAY()-DATE(RIGHT(Demographics[[#This Row],[DOB - Fixed]],4),MID(Demographics[[#This Row],[DOB - Fixed]],3,2),LEFT(Demographics[[#This Row],[DOB - Fixed]],2))))/365,0)</f>
        <v>35.353424657534248</v>
      </c>
      <c r="J1369">
        <f>VLOOKUP(Demographics[[#This Row],[INCOME LEVEL]],Income[],4,FALSE)</f>
        <v>175</v>
      </c>
      <c r="K1369">
        <f>IFERROR(Demographics[[#This Row],[Total monthly income]]/Demographics[[#This Row],[FAMILY SIZE]], 0)</f>
        <v>43.75</v>
      </c>
    </row>
    <row r="1370" spans="1:11" x14ac:dyDescent="0.2">
      <c r="A1370">
        <v>12944944</v>
      </c>
      <c r="B1370">
        <v>9041988</v>
      </c>
      <c r="C1370">
        <v>3</v>
      </c>
      <c r="D1370">
        <v>1</v>
      </c>
      <c r="E1370">
        <v>1</v>
      </c>
      <c r="F1370">
        <v>4</v>
      </c>
      <c r="G1370">
        <v>5</v>
      </c>
      <c r="H1370" t="str">
        <f>IF(Demographics[[#This Row],[DOB]]&gt;10000000, TEXT(Demographics[[#This Row],[DOB]],0),CONCATENATE("0",TEXT(Demographics[[#This Row],[DOB]],0)))</f>
        <v>09041988</v>
      </c>
      <c r="I1370" s="4">
        <f ca="1">IFERROR((VALUE(TODAY()-DATE(RIGHT(Demographics[[#This Row],[DOB - Fixed]],4),MID(Demographics[[#This Row],[DOB - Fixed]],3,2),LEFT(Demographics[[#This Row],[DOB - Fixed]],2))))/365,0)</f>
        <v>35.438356164383563</v>
      </c>
      <c r="J1370">
        <f>VLOOKUP(Demographics[[#This Row],[INCOME LEVEL]],Income[],4,FALSE)</f>
        <v>175</v>
      </c>
      <c r="K1370">
        <f>IFERROR(Demographics[[#This Row],[Total monthly income]]/Demographics[[#This Row],[FAMILY SIZE]], 0)</f>
        <v>58.333333333333336</v>
      </c>
    </row>
    <row r="1371" spans="1:11" x14ac:dyDescent="0.2">
      <c r="A1371">
        <v>20854389</v>
      </c>
      <c r="B1371">
        <v>4061988</v>
      </c>
      <c r="C1371">
        <v>5</v>
      </c>
      <c r="D1371">
        <v>1</v>
      </c>
      <c r="E1371">
        <v>1</v>
      </c>
      <c r="F1371">
        <v>5</v>
      </c>
      <c r="G1371">
        <v>5</v>
      </c>
      <c r="H1371" t="str">
        <f>IF(Demographics[[#This Row],[DOB]]&gt;10000000, TEXT(Demographics[[#This Row],[DOB]],0),CONCATENATE("0",TEXT(Demographics[[#This Row],[DOB]],0)))</f>
        <v>04061988</v>
      </c>
      <c r="I1371" s="4">
        <f ca="1">IFERROR((VALUE(TODAY()-DATE(RIGHT(Demographics[[#This Row],[DOB - Fixed]],4),MID(Demographics[[#This Row],[DOB - Fixed]],3,2),LEFT(Demographics[[#This Row],[DOB - Fixed]],2))))/365,0)</f>
        <v>35.284931506849318</v>
      </c>
      <c r="J1371">
        <f>VLOOKUP(Demographics[[#This Row],[INCOME LEVEL]],Income[],4,FALSE)</f>
        <v>175</v>
      </c>
      <c r="K1371">
        <f>IFERROR(Demographics[[#This Row],[Total monthly income]]/Demographics[[#This Row],[FAMILY SIZE]], 0)</f>
        <v>35</v>
      </c>
    </row>
    <row r="1372" spans="1:11" x14ac:dyDescent="0.2">
      <c r="A1372">
        <v>8255471</v>
      </c>
      <c r="B1372">
        <v>8061988</v>
      </c>
      <c r="C1372">
        <v>5</v>
      </c>
      <c r="D1372">
        <v>0</v>
      </c>
      <c r="E1372">
        <v>1</v>
      </c>
      <c r="F1372">
        <v>2</v>
      </c>
      <c r="G1372">
        <v>2</v>
      </c>
      <c r="H1372" t="str">
        <f>IF(Demographics[[#This Row],[DOB]]&gt;10000000, TEXT(Demographics[[#This Row],[DOB]],0),CONCATENATE("0",TEXT(Demographics[[#This Row],[DOB]],0)))</f>
        <v>08061988</v>
      </c>
      <c r="I1372" s="4">
        <f ca="1">IFERROR((VALUE(TODAY()-DATE(RIGHT(Demographics[[#This Row],[DOB - Fixed]],4),MID(Demographics[[#This Row],[DOB - Fixed]],3,2),LEFT(Demographics[[#This Row],[DOB - Fixed]],2))))/365,0)</f>
        <v>35.273972602739725</v>
      </c>
      <c r="J1372">
        <f>VLOOKUP(Demographics[[#This Row],[INCOME LEVEL]],Income[],4,FALSE)</f>
        <v>175</v>
      </c>
      <c r="K1372">
        <f>IFERROR(Demographics[[#This Row],[Total monthly income]]/Demographics[[#This Row],[FAMILY SIZE]], 0)</f>
        <v>35</v>
      </c>
    </row>
    <row r="1373" spans="1:11" x14ac:dyDescent="0.2">
      <c r="A1373">
        <v>7721139</v>
      </c>
      <c r="B1373">
        <v>26071988</v>
      </c>
      <c r="C1373">
        <v>4</v>
      </c>
      <c r="D1373">
        <v>1</v>
      </c>
      <c r="E1373">
        <v>2</v>
      </c>
      <c r="F1373">
        <v>5</v>
      </c>
      <c r="G1373">
        <v>5</v>
      </c>
      <c r="H1373" t="str">
        <f>IF(Demographics[[#This Row],[DOB]]&gt;10000000, TEXT(Demographics[[#This Row],[DOB]],0),CONCATENATE("0",TEXT(Demographics[[#This Row],[DOB]],0)))</f>
        <v>26071988</v>
      </c>
      <c r="I1373" s="4">
        <f ca="1">IFERROR((VALUE(TODAY()-DATE(RIGHT(Demographics[[#This Row],[DOB - Fixed]],4),MID(Demographics[[#This Row],[DOB - Fixed]],3,2),LEFT(Demographics[[#This Row],[DOB - Fixed]],2))))/365,0)</f>
        <v>35.142465753424659</v>
      </c>
      <c r="J1373">
        <f>VLOOKUP(Demographics[[#This Row],[INCOME LEVEL]],Income[],4,FALSE)</f>
        <v>697.5</v>
      </c>
      <c r="K1373">
        <f>IFERROR(Demographics[[#This Row],[Total monthly income]]/Demographics[[#This Row],[FAMILY SIZE]], 0)</f>
        <v>174.375</v>
      </c>
    </row>
    <row r="1374" spans="1:11" x14ac:dyDescent="0.2">
      <c r="A1374">
        <v>7619934</v>
      </c>
      <c r="B1374">
        <v>28071988</v>
      </c>
      <c r="C1374">
        <v>4</v>
      </c>
      <c r="D1374">
        <v>1</v>
      </c>
      <c r="E1374">
        <v>1</v>
      </c>
      <c r="F1374">
        <v>3</v>
      </c>
      <c r="G1374">
        <v>5</v>
      </c>
      <c r="H1374" t="str">
        <f>IF(Demographics[[#This Row],[DOB]]&gt;10000000, TEXT(Demographics[[#This Row],[DOB]],0),CONCATENATE("0",TEXT(Demographics[[#This Row],[DOB]],0)))</f>
        <v>28071988</v>
      </c>
      <c r="I1374" s="4">
        <f ca="1">IFERROR((VALUE(TODAY()-DATE(RIGHT(Demographics[[#This Row],[DOB - Fixed]],4),MID(Demographics[[#This Row],[DOB - Fixed]],3,2),LEFT(Demographics[[#This Row],[DOB - Fixed]],2))))/365,0)</f>
        <v>35.136986301369866</v>
      </c>
      <c r="J1374">
        <f>VLOOKUP(Demographics[[#This Row],[INCOME LEVEL]],Income[],4,FALSE)</f>
        <v>175</v>
      </c>
      <c r="K1374">
        <f>IFERROR(Demographics[[#This Row],[Total monthly income]]/Demographics[[#This Row],[FAMILY SIZE]], 0)</f>
        <v>43.75</v>
      </c>
    </row>
    <row r="1375" spans="1:11" x14ac:dyDescent="0.2">
      <c r="A1375">
        <v>13595813</v>
      </c>
      <c r="B1375">
        <v>26071988</v>
      </c>
      <c r="C1375">
        <v>3</v>
      </c>
      <c r="D1375">
        <v>1</v>
      </c>
      <c r="E1375">
        <v>1</v>
      </c>
      <c r="F1375">
        <v>3</v>
      </c>
      <c r="G1375">
        <v>2</v>
      </c>
      <c r="H1375" t="str">
        <f>IF(Demographics[[#This Row],[DOB]]&gt;10000000, TEXT(Demographics[[#This Row],[DOB]],0),CONCATENATE("0",TEXT(Demographics[[#This Row],[DOB]],0)))</f>
        <v>26071988</v>
      </c>
      <c r="I1375" s="4">
        <f ca="1">IFERROR((VALUE(TODAY()-DATE(RIGHT(Demographics[[#This Row],[DOB - Fixed]],4),MID(Demographics[[#This Row],[DOB - Fixed]],3,2),LEFT(Demographics[[#This Row],[DOB - Fixed]],2))))/365,0)</f>
        <v>35.142465753424659</v>
      </c>
      <c r="J1375">
        <f>VLOOKUP(Demographics[[#This Row],[INCOME LEVEL]],Income[],4,FALSE)</f>
        <v>175</v>
      </c>
      <c r="K1375">
        <f>IFERROR(Demographics[[#This Row],[Total monthly income]]/Demographics[[#This Row],[FAMILY SIZE]], 0)</f>
        <v>58.333333333333336</v>
      </c>
    </row>
    <row r="1376" spans="1:11" x14ac:dyDescent="0.2">
      <c r="A1376">
        <v>142739</v>
      </c>
      <c r="B1376">
        <v>15041988</v>
      </c>
      <c r="C1376">
        <v>5</v>
      </c>
      <c r="D1376">
        <v>1</v>
      </c>
      <c r="E1376">
        <v>2</v>
      </c>
      <c r="F1376">
        <v>5</v>
      </c>
      <c r="G1376">
        <v>4</v>
      </c>
      <c r="H1376" t="str">
        <f>IF(Demographics[[#This Row],[DOB]]&gt;10000000, TEXT(Demographics[[#This Row],[DOB]],0),CONCATENATE("0",TEXT(Demographics[[#This Row],[DOB]],0)))</f>
        <v>15041988</v>
      </c>
      <c r="I1376" s="4">
        <f ca="1">IFERROR((VALUE(TODAY()-DATE(RIGHT(Demographics[[#This Row],[DOB - Fixed]],4),MID(Demographics[[#This Row],[DOB - Fixed]],3,2),LEFT(Demographics[[#This Row],[DOB - Fixed]],2))))/365,0)</f>
        <v>35.421917808219177</v>
      </c>
      <c r="J1376">
        <f>VLOOKUP(Demographics[[#This Row],[INCOME LEVEL]],Income[],4,FALSE)</f>
        <v>697.5</v>
      </c>
      <c r="K1376">
        <f>IFERROR(Demographics[[#This Row],[Total monthly income]]/Demographics[[#This Row],[FAMILY SIZE]], 0)</f>
        <v>139.5</v>
      </c>
    </row>
    <row r="1377" spans="1:11" x14ac:dyDescent="0.2">
      <c r="A1377">
        <v>24074320</v>
      </c>
      <c r="B1377">
        <v>29071988</v>
      </c>
      <c r="C1377">
        <v>5</v>
      </c>
      <c r="D1377">
        <v>1</v>
      </c>
      <c r="E1377">
        <v>1</v>
      </c>
      <c r="F1377">
        <v>2</v>
      </c>
      <c r="G1377">
        <v>2</v>
      </c>
      <c r="H1377" t="str">
        <f>IF(Demographics[[#This Row],[DOB]]&gt;10000000, TEXT(Demographics[[#This Row],[DOB]],0),CONCATENATE("0",TEXT(Demographics[[#This Row],[DOB]],0)))</f>
        <v>29071988</v>
      </c>
      <c r="I1377" s="4">
        <f ca="1">IFERROR((VALUE(TODAY()-DATE(RIGHT(Demographics[[#This Row],[DOB - Fixed]],4),MID(Demographics[[#This Row],[DOB - Fixed]],3,2),LEFT(Demographics[[#This Row],[DOB - Fixed]],2))))/365,0)</f>
        <v>35.134246575342466</v>
      </c>
      <c r="J1377">
        <f>VLOOKUP(Demographics[[#This Row],[INCOME LEVEL]],Income[],4,FALSE)</f>
        <v>175</v>
      </c>
      <c r="K1377">
        <f>IFERROR(Demographics[[#This Row],[Total monthly income]]/Demographics[[#This Row],[FAMILY SIZE]], 0)</f>
        <v>35</v>
      </c>
    </row>
    <row r="1378" spans="1:11" x14ac:dyDescent="0.2">
      <c r="A1378">
        <v>10290421</v>
      </c>
      <c r="B1378">
        <v>18081988</v>
      </c>
      <c r="C1378">
        <v>4</v>
      </c>
      <c r="D1378">
        <v>1</v>
      </c>
      <c r="E1378">
        <v>1</v>
      </c>
      <c r="F1378">
        <v>3</v>
      </c>
      <c r="G1378">
        <v>3</v>
      </c>
      <c r="H1378" t="str">
        <f>IF(Demographics[[#This Row],[DOB]]&gt;10000000, TEXT(Demographics[[#This Row],[DOB]],0),CONCATENATE("0",TEXT(Demographics[[#This Row],[DOB]],0)))</f>
        <v>18081988</v>
      </c>
      <c r="I1378" s="4">
        <f ca="1">IFERROR((VALUE(TODAY()-DATE(RIGHT(Demographics[[#This Row],[DOB - Fixed]],4),MID(Demographics[[#This Row],[DOB - Fixed]],3,2),LEFT(Demographics[[#This Row],[DOB - Fixed]],2))))/365,0)</f>
        <v>35.079452054794523</v>
      </c>
      <c r="J1378">
        <f>VLOOKUP(Demographics[[#This Row],[INCOME LEVEL]],Income[],4,FALSE)</f>
        <v>175</v>
      </c>
      <c r="K1378">
        <f>IFERROR(Demographics[[#This Row],[Total monthly income]]/Demographics[[#This Row],[FAMILY SIZE]], 0)</f>
        <v>43.75</v>
      </c>
    </row>
    <row r="1379" spans="1:11" x14ac:dyDescent="0.2">
      <c r="A1379">
        <v>8789463</v>
      </c>
      <c r="B1379">
        <v>29081988</v>
      </c>
      <c r="C1379">
        <v>2</v>
      </c>
      <c r="D1379">
        <v>1</v>
      </c>
      <c r="E1379">
        <v>1</v>
      </c>
      <c r="F1379">
        <v>0</v>
      </c>
      <c r="G1379">
        <v>5</v>
      </c>
      <c r="H1379" t="str">
        <f>IF(Demographics[[#This Row],[DOB]]&gt;10000000, TEXT(Demographics[[#This Row],[DOB]],0),CONCATENATE("0",TEXT(Demographics[[#This Row],[DOB]],0)))</f>
        <v>29081988</v>
      </c>
      <c r="I1379" s="4">
        <f ca="1">IFERROR((VALUE(TODAY()-DATE(RIGHT(Demographics[[#This Row],[DOB - Fixed]],4),MID(Demographics[[#This Row],[DOB - Fixed]],3,2),LEFT(Demographics[[#This Row],[DOB - Fixed]],2))))/365,0)</f>
        <v>35.049315068493151</v>
      </c>
      <c r="J1379">
        <f>VLOOKUP(Demographics[[#This Row],[INCOME LEVEL]],Income[],4,FALSE)</f>
        <v>175</v>
      </c>
      <c r="K1379">
        <f>IFERROR(Demographics[[#This Row],[Total monthly income]]/Demographics[[#This Row],[FAMILY SIZE]], 0)</f>
        <v>87.5</v>
      </c>
    </row>
    <row r="1380" spans="1:11" x14ac:dyDescent="0.2">
      <c r="A1380">
        <v>20972056</v>
      </c>
      <c r="B1380">
        <v>10081988</v>
      </c>
      <c r="C1380">
        <v>0</v>
      </c>
      <c r="D1380">
        <v>0</v>
      </c>
      <c r="E1380">
        <v>1</v>
      </c>
      <c r="F1380">
        <v>0</v>
      </c>
      <c r="G1380">
        <v>0</v>
      </c>
      <c r="H1380" t="str">
        <f>IF(Demographics[[#This Row],[DOB]]&gt;10000000, TEXT(Demographics[[#This Row],[DOB]],0),CONCATENATE("0",TEXT(Demographics[[#This Row],[DOB]],0)))</f>
        <v>10081988</v>
      </c>
      <c r="I1380" s="4">
        <f ca="1">IFERROR((VALUE(TODAY()-DATE(RIGHT(Demographics[[#This Row],[DOB - Fixed]],4),MID(Demographics[[#This Row],[DOB - Fixed]],3,2),LEFT(Demographics[[#This Row],[DOB - Fixed]],2))))/365,0)</f>
        <v>35.101369863013701</v>
      </c>
      <c r="J1380">
        <f>VLOOKUP(Demographics[[#This Row],[INCOME LEVEL]],Income[],4,FALSE)</f>
        <v>175</v>
      </c>
      <c r="K1380">
        <f>IFERROR(Demographics[[#This Row],[Total monthly income]]/Demographics[[#This Row],[FAMILY SIZE]], 0)</f>
        <v>0</v>
      </c>
    </row>
    <row r="1381" spans="1:11" x14ac:dyDescent="0.2">
      <c r="A1381">
        <v>21505984</v>
      </c>
      <c r="B1381">
        <v>25081988</v>
      </c>
      <c r="C1381">
        <v>4</v>
      </c>
      <c r="D1381">
        <v>1</v>
      </c>
      <c r="E1381">
        <v>1</v>
      </c>
      <c r="F1381">
        <v>4</v>
      </c>
      <c r="G1381">
        <v>3</v>
      </c>
      <c r="H1381" t="str">
        <f>IF(Demographics[[#This Row],[DOB]]&gt;10000000, TEXT(Demographics[[#This Row],[DOB]],0),CONCATENATE("0",TEXT(Demographics[[#This Row],[DOB]],0)))</f>
        <v>25081988</v>
      </c>
      <c r="I1381" s="4">
        <f ca="1">IFERROR((VALUE(TODAY()-DATE(RIGHT(Demographics[[#This Row],[DOB - Fixed]],4),MID(Demographics[[#This Row],[DOB - Fixed]],3,2),LEFT(Demographics[[#This Row],[DOB - Fixed]],2))))/365,0)</f>
        <v>35.060273972602737</v>
      </c>
      <c r="J1381">
        <f>VLOOKUP(Demographics[[#This Row],[INCOME LEVEL]],Income[],4,FALSE)</f>
        <v>175</v>
      </c>
      <c r="K1381">
        <f>IFERROR(Demographics[[#This Row],[Total monthly income]]/Demographics[[#This Row],[FAMILY SIZE]], 0)</f>
        <v>43.75</v>
      </c>
    </row>
    <row r="1382" spans="1:11" x14ac:dyDescent="0.2">
      <c r="A1382">
        <v>13652380</v>
      </c>
      <c r="B1382">
        <v>30091988</v>
      </c>
      <c r="C1382">
        <v>5</v>
      </c>
      <c r="D1382">
        <v>1</v>
      </c>
      <c r="E1382">
        <v>1</v>
      </c>
      <c r="F1382">
        <v>2</v>
      </c>
      <c r="G1382">
        <v>2</v>
      </c>
      <c r="H1382" t="str">
        <f>IF(Demographics[[#This Row],[DOB]]&gt;10000000, TEXT(Demographics[[#This Row],[DOB]],0),CONCATENATE("0",TEXT(Demographics[[#This Row],[DOB]],0)))</f>
        <v>30091988</v>
      </c>
      <c r="I1382" s="4">
        <f ca="1">IFERROR((VALUE(TODAY()-DATE(RIGHT(Demographics[[#This Row],[DOB - Fixed]],4),MID(Demographics[[#This Row],[DOB - Fixed]],3,2),LEFT(Demographics[[#This Row],[DOB - Fixed]],2))))/365,0)</f>
        <v>34.961643835616435</v>
      </c>
      <c r="J1382">
        <f>VLOOKUP(Demographics[[#This Row],[INCOME LEVEL]],Income[],4,FALSE)</f>
        <v>175</v>
      </c>
      <c r="K1382">
        <f>IFERROR(Demographics[[#This Row],[Total monthly income]]/Demographics[[#This Row],[FAMILY SIZE]], 0)</f>
        <v>35</v>
      </c>
    </row>
    <row r="1383" spans="1:11" x14ac:dyDescent="0.2">
      <c r="A1383">
        <v>11083193</v>
      </c>
      <c r="B1383">
        <v>7111988</v>
      </c>
      <c r="C1383">
        <v>4</v>
      </c>
      <c r="D1383">
        <v>1</v>
      </c>
      <c r="E1383">
        <v>1</v>
      </c>
      <c r="F1383">
        <v>2</v>
      </c>
      <c r="G1383">
        <v>2</v>
      </c>
      <c r="H1383" t="str">
        <f>IF(Demographics[[#This Row],[DOB]]&gt;10000000, TEXT(Demographics[[#This Row],[DOB]],0),CONCATENATE("0",TEXT(Demographics[[#This Row],[DOB]],0)))</f>
        <v>07111988</v>
      </c>
      <c r="I1383" s="4">
        <f ca="1">IFERROR((VALUE(TODAY()-DATE(RIGHT(Demographics[[#This Row],[DOB - Fixed]],4),MID(Demographics[[#This Row],[DOB - Fixed]],3,2),LEFT(Demographics[[#This Row],[DOB - Fixed]],2))))/365,0)</f>
        <v>34.857534246575341</v>
      </c>
      <c r="J1383">
        <f>VLOOKUP(Demographics[[#This Row],[INCOME LEVEL]],Income[],4,FALSE)</f>
        <v>175</v>
      </c>
      <c r="K1383">
        <f>IFERROR(Demographics[[#This Row],[Total monthly income]]/Demographics[[#This Row],[FAMILY SIZE]], 0)</f>
        <v>43.75</v>
      </c>
    </row>
    <row r="1384" spans="1:11" x14ac:dyDescent="0.2">
      <c r="A1384">
        <v>10548827</v>
      </c>
      <c r="B1384">
        <v>24111988</v>
      </c>
      <c r="C1384">
        <v>4</v>
      </c>
      <c r="D1384">
        <v>1</v>
      </c>
      <c r="E1384">
        <v>1</v>
      </c>
      <c r="F1384">
        <v>4</v>
      </c>
      <c r="G1384">
        <v>5</v>
      </c>
      <c r="H1384" t="str">
        <f>IF(Demographics[[#This Row],[DOB]]&gt;10000000, TEXT(Demographics[[#This Row],[DOB]],0),CONCATENATE("0",TEXT(Demographics[[#This Row],[DOB]],0)))</f>
        <v>24111988</v>
      </c>
      <c r="I1384" s="4">
        <f ca="1">IFERROR((VALUE(TODAY()-DATE(RIGHT(Demographics[[#This Row],[DOB - Fixed]],4),MID(Demographics[[#This Row],[DOB - Fixed]],3,2),LEFT(Demographics[[#This Row],[DOB - Fixed]],2))))/365,0)</f>
        <v>34.81095890410959</v>
      </c>
      <c r="J1384">
        <f>VLOOKUP(Demographics[[#This Row],[INCOME LEVEL]],Income[],4,FALSE)</f>
        <v>175</v>
      </c>
      <c r="K1384">
        <f>IFERROR(Demographics[[#This Row],[Total monthly income]]/Demographics[[#This Row],[FAMILY SIZE]], 0)</f>
        <v>43.75</v>
      </c>
    </row>
    <row r="1385" spans="1:11" x14ac:dyDescent="0.2">
      <c r="A1385">
        <v>14720584</v>
      </c>
      <c r="B1385">
        <v>29121988</v>
      </c>
      <c r="C1385">
        <v>5</v>
      </c>
      <c r="D1385">
        <v>1</v>
      </c>
      <c r="E1385">
        <v>1</v>
      </c>
      <c r="F1385">
        <v>5</v>
      </c>
      <c r="G1385">
        <v>3</v>
      </c>
      <c r="H1385" t="str">
        <f>IF(Demographics[[#This Row],[DOB]]&gt;10000000, TEXT(Demographics[[#This Row],[DOB]],0),CONCATENATE("0",TEXT(Demographics[[#This Row],[DOB]],0)))</f>
        <v>29121988</v>
      </c>
      <c r="I1385" s="4">
        <f ca="1">IFERROR((VALUE(TODAY()-DATE(RIGHT(Demographics[[#This Row],[DOB - Fixed]],4),MID(Demographics[[#This Row],[DOB - Fixed]],3,2),LEFT(Demographics[[#This Row],[DOB - Fixed]],2))))/365,0)</f>
        <v>34.715068493150682</v>
      </c>
      <c r="J1385">
        <f>VLOOKUP(Demographics[[#This Row],[INCOME LEVEL]],Income[],4,FALSE)</f>
        <v>175</v>
      </c>
      <c r="K1385">
        <f>IFERROR(Demographics[[#This Row],[Total monthly income]]/Demographics[[#This Row],[FAMILY SIZE]], 0)</f>
        <v>35</v>
      </c>
    </row>
    <row r="1386" spans="1:11" x14ac:dyDescent="0.2">
      <c r="A1386">
        <v>7243918</v>
      </c>
      <c r="B1386">
        <v>4011989</v>
      </c>
      <c r="C1386">
        <v>4</v>
      </c>
      <c r="D1386">
        <v>2</v>
      </c>
      <c r="E1386">
        <v>1</v>
      </c>
      <c r="F1386">
        <v>3</v>
      </c>
      <c r="G1386">
        <v>5</v>
      </c>
      <c r="H1386" t="str">
        <f>IF(Demographics[[#This Row],[DOB]]&gt;10000000, TEXT(Demographics[[#This Row],[DOB]],0),CONCATENATE("0",TEXT(Demographics[[#This Row],[DOB]],0)))</f>
        <v>04011989</v>
      </c>
      <c r="I1386" s="4">
        <f ca="1">IFERROR((VALUE(TODAY()-DATE(RIGHT(Demographics[[#This Row],[DOB - Fixed]],4),MID(Demographics[[#This Row],[DOB - Fixed]],3,2),LEFT(Demographics[[#This Row],[DOB - Fixed]],2))))/365,0)</f>
        <v>34.698630136986303</v>
      </c>
      <c r="J1386">
        <f>VLOOKUP(Demographics[[#This Row],[INCOME LEVEL]],Income[],4,FALSE)</f>
        <v>175</v>
      </c>
      <c r="K1386">
        <f>IFERROR(Demographics[[#This Row],[Total monthly income]]/Demographics[[#This Row],[FAMILY SIZE]], 0)</f>
        <v>43.75</v>
      </c>
    </row>
    <row r="1387" spans="1:11" x14ac:dyDescent="0.2">
      <c r="A1387">
        <v>19093263</v>
      </c>
      <c r="B1387">
        <v>15011989</v>
      </c>
      <c r="C1387">
        <v>6</v>
      </c>
      <c r="D1387">
        <v>1</v>
      </c>
      <c r="E1387">
        <v>1</v>
      </c>
      <c r="F1387">
        <v>5</v>
      </c>
      <c r="G1387">
        <v>4</v>
      </c>
      <c r="H1387" t="str">
        <f>IF(Demographics[[#This Row],[DOB]]&gt;10000000, TEXT(Demographics[[#This Row],[DOB]],0),CONCATENATE("0",TEXT(Demographics[[#This Row],[DOB]],0)))</f>
        <v>15011989</v>
      </c>
      <c r="I1387" s="4">
        <f ca="1">IFERROR((VALUE(TODAY()-DATE(RIGHT(Demographics[[#This Row],[DOB - Fixed]],4),MID(Demographics[[#This Row],[DOB - Fixed]],3,2),LEFT(Demographics[[#This Row],[DOB - Fixed]],2))))/365,0)</f>
        <v>34.668493150684931</v>
      </c>
      <c r="J1387">
        <f>VLOOKUP(Demographics[[#This Row],[INCOME LEVEL]],Income[],4,FALSE)</f>
        <v>175</v>
      </c>
      <c r="K1387">
        <f>IFERROR(Demographics[[#This Row],[Total monthly income]]/Demographics[[#This Row],[FAMILY SIZE]], 0)</f>
        <v>29.166666666666668</v>
      </c>
    </row>
    <row r="1388" spans="1:11" x14ac:dyDescent="0.2">
      <c r="A1388">
        <v>13753090</v>
      </c>
      <c r="B1388">
        <v>8021989</v>
      </c>
      <c r="C1388">
        <v>5</v>
      </c>
      <c r="D1388">
        <v>1</v>
      </c>
      <c r="E1388">
        <v>1</v>
      </c>
      <c r="F1388">
        <v>4</v>
      </c>
      <c r="G1388">
        <v>4</v>
      </c>
      <c r="H1388" t="str">
        <f>IF(Demographics[[#This Row],[DOB]]&gt;10000000, TEXT(Demographics[[#This Row],[DOB]],0),CONCATENATE("0",TEXT(Demographics[[#This Row],[DOB]],0)))</f>
        <v>08021989</v>
      </c>
      <c r="I1388" s="4">
        <f ca="1">IFERROR((VALUE(TODAY()-DATE(RIGHT(Demographics[[#This Row],[DOB - Fixed]],4),MID(Demographics[[#This Row],[DOB - Fixed]],3,2),LEFT(Demographics[[#This Row],[DOB - Fixed]],2))))/365,0)</f>
        <v>34.602739726027394</v>
      </c>
      <c r="J1388">
        <f>VLOOKUP(Demographics[[#This Row],[INCOME LEVEL]],Income[],4,FALSE)</f>
        <v>175</v>
      </c>
      <c r="K1388">
        <f>IFERROR(Demographics[[#This Row],[Total monthly income]]/Demographics[[#This Row],[FAMILY SIZE]], 0)</f>
        <v>35</v>
      </c>
    </row>
    <row r="1389" spans="1:11" x14ac:dyDescent="0.2">
      <c r="A1389">
        <v>7029169</v>
      </c>
      <c r="B1389">
        <v>23011989</v>
      </c>
      <c r="C1389">
        <v>6</v>
      </c>
      <c r="D1389">
        <v>2</v>
      </c>
      <c r="E1389">
        <v>2</v>
      </c>
      <c r="F1389">
        <v>3</v>
      </c>
      <c r="G1389">
        <v>4</v>
      </c>
      <c r="H1389" t="str">
        <f>IF(Demographics[[#This Row],[DOB]]&gt;10000000, TEXT(Demographics[[#This Row],[DOB]],0),CONCATENATE("0",TEXT(Demographics[[#This Row],[DOB]],0)))</f>
        <v>23011989</v>
      </c>
      <c r="I1389" s="4">
        <f ca="1">IFERROR((VALUE(TODAY()-DATE(RIGHT(Demographics[[#This Row],[DOB - Fixed]],4),MID(Demographics[[#This Row],[DOB - Fixed]],3,2),LEFT(Demographics[[#This Row],[DOB - Fixed]],2))))/365,0)</f>
        <v>34.646575342465752</v>
      </c>
      <c r="J1389">
        <f>VLOOKUP(Demographics[[#This Row],[INCOME LEVEL]],Income[],4,FALSE)</f>
        <v>697.5</v>
      </c>
      <c r="K1389">
        <f>IFERROR(Demographics[[#This Row],[Total monthly income]]/Demographics[[#This Row],[FAMILY SIZE]], 0)</f>
        <v>116.25</v>
      </c>
    </row>
    <row r="1390" spans="1:11" x14ac:dyDescent="0.2">
      <c r="A1390">
        <v>20020800</v>
      </c>
      <c r="B1390">
        <v>13111988</v>
      </c>
      <c r="C1390">
        <v>4</v>
      </c>
      <c r="D1390">
        <v>1</v>
      </c>
      <c r="E1390">
        <v>2</v>
      </c>
      <c r="F1390">
        <v>5</v>
      </c>
      <c r="G1390">
        <v>5</v>
      </c>
      <c r="H1390" t="str">
        <f>IF(Demographics[[#This Row],[DOB]]&gt;10000000, TEXT(Demographics[[#This Row],[DOB]],0),CONCATENATE("0",TEXT(Demographics[[#This Row],[DOB]],0)))</f>
        <v>13111988</v>
      </c>
      <c r="I1390" s="4">
        <f ca="1">IFERROR((VALUE(TODAY()-DATE(RIGHT(Demographics[[#This Row],[DOB - Fixed]],4),MID(Demographics[[#This Row],[DOB - Fixed]],3,2),LEFT(Demographics[[#This Row],[DOB - Fixed]],2))))/365,0)</f>
        <v>34.841095890410962</v>
      </c>
      <c r="J1390">
        <f>VLOOKUP(Demographics[[#This Row],[INCOME LEVEL]],Income[],4,FALSE)</f>
        <v>697.5</v>
      </c>
      <c r="K1390">
        <f>IFERROR(Demographics[[#This Row],[Total monthly income]]/Demographics[[#This Row],[FAMILY SIZE]], 0)</f>
        <v>174.375</v>
      </c>
    </row>
    <row r="1391" spans="1:11" x14ac:dyDescent="0.2">
      <c r="A1391">
        <v>24725787</v>
      </c>
      <c r="B1391">
        <v>17111988</v>
      </c>
      <c r="C1391">
        <v>7</v>
      </c>
      <c r="D1391">
        <v>2</v>
      </c>
      <c r="E1391">
        <v>3</v>
      </c>
      <c r="F1391">
        <v>9</v>
      </c>
      <c r="G1391">
        <v>9</v>
      </c>
      <c r="H1391" t="str">
        <f>IF(Demographics[[#This Row],[DOB]]&gt;10000000, TEXT(Demographics[[#This Row],[DOB]],0),CONCATENATE("0",TEXT(Demographics[[#This Row],[DOB]],0)))</f>
        <v>17111988</v>
      </c>
      <c r="I1391" s="4">
        <f ca="1">IFERROR((VALUE(TODAY()-DATE(RIGHT(Demographics[[#This Row],[DOB - Fixed]],4),MID(Demographics[[#This Row],[DOB - Fixed]],3,2),LEFT(Demographics[[#This Row],[DOB - Fixed]],2))))/365,0)</f>
        <v>34.830136986301369</v>
      </c>
      <c r="J1391">
        <f>VLOOKUP(Demographics[[#This Row],[INCOME LEVEL]],Income[],4,FALSE)</f>
        <v>1397.5</v>
      </c>
      <c r="K1391">
        <f>IFERROR(Demographics[[#This Row],[Total monthly income]]/Demographics[[#This Row],[FAMILY SIZE]], 0)</f>
        <v>199.64285714285714</v>
      </c>
    </row>
    <row r="1392" spans="1:11" x14ac:dyDescent="0.2">
      <c r="A1392">
        <v>15385849</v>
      </c>
      <c r="B1392">
        <v>6031989</v>
      </c>
      <c r="C1392">
        <v>5</v>
      </c>
      <c r="D1392">
        <v>2</v>
      </c>
      <c r="E1392">
        <v>4</v>
      </c>
      <c r="F1392">
        <v>9</v>
      </c>
      <c r="G1392">
        <v>5</v>
      </c>
      <c r="H1392" t="str">
        <f>IF(Demographics[[#This Row],[DOB]]&gt;10000000, TEXT(Demographics[[#This Row],[DOB]],0),CONCATENATE("0",TEXT(Demographics[[#This Row],[DOB]],0)))</f>
        <v>06031989</v>
      </c>
      <c r="I1392" s="4">
        <f ca="1">IFERROR((VALUE(TODAY()-DATE(RIGHT(Demographics[[#This Row],[DOB - Fixed]],4),MID(Demographics[[#This Row],[DOB - Fixed]],3,2),LEFT(Demographics[[#This Row],[DOB - Fixed]],2))))/365,0)</f>
        <v>34.531506849315072</v>
      </c>
      <c r="J1392">
        <f>VLOOKUP(Demographics[[#This Row],[INCOME LEVEL]],Income[],4,FALSE)</f>
        <v>2100</v>
      </c>
      <c r="K1392">
        <f>IFERROR(Demographics[[#This Row],[Total monthly income]]/Demographics[[#This Row],[FAMILY SIZE]], 0)</f>
        <v>420</v>
      </c>
    </row>
    <row r="1393" spans="1:11" x14ac:dyDescent="0.2">
      <c r="A1393">
        <v>22955601</v>
      </c>
      <c r="B1393">
        <v>6111988</v>
      </c>
      <c r="C1393">
        <v>5</v>
      </c>
      <c r="D1393">
        <v>1</v>
      </c>
      <c r="E1393">
        <v>2</v>
      </c>
      <c r="F1393">
        <v>9</v>
      </c>
      <c r="G1393">
        <v>5</v>
      </c>
      <c r="H1393" t="str">
        <f>IF(Demographics[[#This Row],[DOB]]&gt;10000000, TEXT(Demographics[[#This Row],[DOB]],0),CONCATENATE("0",TEXT(Demographics[[#This Row],[DOB]],0)))</f>
        <v>06111988</v>
      </c>
      <c r="I1393" s="4">
        <f ca="1">IFERROR((VALUE(TODAY()-DATE(RIGHT(Demographics[[#This Row],[DOB - Fixed]],4),MID(Demographics[[#This Row],[DOB - Fixed]],3,2),LEFT(Demographics[[#This Row],[DOB - Fixed]],2))))/365,0)</f>
        <v>34.860273972602741</v>
      </c>
      <c r="J1393">
        <f>VLOOKUP(Demographics[[#This Row],[INCOME LEVEL]],Income[],4,FALSE)</f>
        <v>697.5</v>
      </c>
      <c r="K1393">
        <f>IFERROR(Demographics[[#This Row],[Total monthly income]]/Demographics[[#This Row],[FAMILY SIZE]], 0)</f>
        <v>139.5</v>
      </c>
    </row>
    <row r="1394" spans="1:11" x14ac:dyDescent="0.2">
      <c r="A1394">
        <v>2704461</v>
      </c>
      <c r="B1394">
        <v>10071988</v>
      </c>
      <c r="C1394">
        <v>5</v>
      </c>
      <c r="D1394">
        <v>1</v>
      </c>
      <c r="E1394">
        <v>2</v>
      </c>
      <c r="F1394">
        <v>9</v>
      </c>
      <c r="G1394">
        <v>3</v>
      </c>
      <c r="H1394" t="str">
        <f>IF(Demographics[[#This Row],[DOB]]&gt;10000000, TEXT(Demographics[[#This Row],[DOB]],0),CONCATENATE("0",TEXT(Demographics[[#This Row],[DOB]],0)))</f>
        <v>10071988</v>
      </c>
      <c r="I1394" s="4">
        <f ca="1">IFERROR((VALUE(TODAY()-DATE(RIGHT(Demographics[[#This Row],[DOB - Fixed]],4),MID(Demographics[[#This Row],[DOB - Fixed]],3,2),LEFT(Demographics[[#This Row],[DOB - Fixed]],2))))/365,0)</f>
        <v>35.186301369863017</v>
      </c>
      <c r="J1394">
        <f>VLOOKUP(Demographics[[#This Row],[INCOME LEVEL]],Income[],4,FALSE)</f>
        <v>697.5</v>
      </c>
      <c r="K1394">
        <f>IFERROR(Demographics[[#This Row],[Total monthly income]]/Demographics[[#This Row],[FAMILY SIZE]], 0)</f>
        <v>139.5</v>
      </c>
    </row>
    <row r="1395" spans="1:11" x14ac:dyDescent="0.2">
      <c r="A1395">
        <v>23795037</v>
      </c>
      <c r="B1395">
        <v>7061988</v>
      </c>
      <c r="C1395">
        <v>4</v>
      </c>
      <c r="D1395">
        <v>1</v>
      </c>
      <c r="E1395">
        <v>2</v>
      </c>
      <c r="F1395">
        <v>9</v>
      </c>
      <c r="G1395">
        <v>9</v>
      </c>
      <c r="H1395" t="str">
        <f>IF(Demographics[[#This Row],[DOB]]&gt;10000000, TEXT(Demographics[[#This Row],[DOB]],0),CONCATENATE("0",TEXT(Demographics[[#This Row],[DOB]],0)))</f>
        <v>07061988</v>
      </c>
      <c r="I1395" s="4">
        <f ca="1">IFERROR((VALUE(TODAY()-DATE(RIGHT(Demographics[[#This Row],[DOB - Fixed]],4),MID(Demographics[[#This Row],[DOB - Fixed]],3,2),LEFT(Demographics[[#This Row],[DOB - Fixed]],2))))/365,0)</f>
        <v>35.276712328767125</v>
      </c>
      <c r="J1395">
        <f>VLOOKUP(Demographics[[#This Row],[INCOME LEVEL]],Income[],4,FALSE)</f>
        <v>697.5</v>
      </c>
      <c r="K1395">
        <f>IFERROR(Demographics[[#This Row],[Total monthly income]]/Demographics[[#This Row],[FAMILY SIZE]], 0)</f>
        <v>174.375</v>
      </c>
    </row>
    <row r="1396" spans="1:11" x14ac:dyDescent="0.2">
      <c r="A1396">
        <v>1582186</v>
      </c>
      <c r="B1396">
        <v>1021989</v>
      </c>
      <c r="C1396">
        <v>4</v>
      </c>
      <c r="D1396">
        <v>1</v>
      </c>
      <c r="E1396">
        <v>2</v>
      </c>
      <c r="F1396">
        <v>9</v>
      </c>
      <c r="G1396">
        <v>4</v>
      </c>
      <c r="H1396" t="str">
        <f>IF(Demographics[[#This Row],[DOB]]&gt;10000000, TEXT(Demographics[[#This Row],[DOB]],0),CONCATENATE("0",TEXT(Demographics[[#This Row],[DOB]],0)))</f>
        <v>01021989</v>
      </c>
      <c r="I1396" s="4">
        <f ca="1">IFERROR((VALUE(TODAY()-DATE(RIGHT(Demographics[[#This Row],[DOB - Fixed]],4),MID(Demographics[[#This Row],[DOB - Fixed]],3,2),LEFT(Demographics[[#This Row],[DOB - Fixed]],2))))/365,0)</f>
        <v>34.62191780821918</v>
      </c>
      <c r="J1396">
        <f>VLOOKUP(Demographics[[#This Row],[INCOME LEVEL]],Income[],4,FALSE)</f>
        <v>697.5</v>
      </c>
      <c r="K1396">
        <f>IFERROR(Demographics[[#This Row],[Total monthly income]]/Demographics[[#This Row],[FAMILY SIZE]], 0)</f>
        <v>174.375</v>
      </c>
    </row>
    <row r="1397" spans="1:11" x14ac:dyDescent="0.2">
      <c r="A1397">
        <v>16536842</v>
      </c>
      <c r="B1397">
        <v>7111988</v>
      </c>
      <c r="C1397">
        <v>5</v>
      </c>
      <c r="D1397">
        <v>2</v>
      </c>
      <c r="E1397">
        <v>3</v>
      </c>
      <c r="F1397">
        <v>5</v>
      </c>
      <c r="G1397">
        <v>9</v>
      </c>
      <c r="H1397" t="str">
        <f>IF(Demographics[[#This Row],[DOB]]&gt;10000000, TEXT(Demographics[[#This Row],[DOB]],0),CONCATENATE("0",TEXT(Demographics[[#This Row],[DOB]],0)))</f>
        <v>07111988</v>
      </c>
      <c r="I1397" s="4">
        <f ca="1">IFERROR((VALUE(TODAY()-DATE(RIGHT(Demographics[[#This Row],[DOB - Fixed]],4),MID(Demographics[[#This Row],[DOB - Fixed]],3,2),LEFT(Demographics[[#This Row],[DOB - Fixed]],2))))/365,0)</f>
        <v>34.857534246575341</v>
      </c>
      <c r="J1397">
        <f>VLOOKUP(Demographics[[#This Row],[INCOME LEVEL]],Income[],4,FALSE)</f>
        <v>1397.5</v>
      </c>
      <c r="K1397">
        <f>IFERROR(Demographics[[#This Row],[Total monthly income]]/Demographics[[#This Row],[FAMILY SIZE]], 0)</f>
        <v>279.5</v>
      </c>
    </row>
    <row r="1398" spans="1:11" x14ac:dyDescent="0.2">
      <c r="A1398">
        <v>15894587</v>
      </c>
      <c r="B1398">
        <v>21091988</v>
      </c>
      <c r="C1398">
        <v>5</v>
      </c>
      <c r="D1398">
        <v>2</v>
      </c>
      <c r="E1398">
        <v>2</v>
      </c>
      <c r="F1398">
        <v>10</v>
      </c>
      <c r="G1398">
        <v>4</v>
      </c>
      <c r="H1398" t="str">
        <f>IF(Demographics[[#This Row],[DOB]]&gt;10000000, TEXT(Demographics[[#This Row],[DOB]],0),CONCATENATE("0",TEXT(Demographics[[#This Row],[DOB]],0)))</f>
        <v>21091988</v>
      </c>
      <c r="I1398" s="4">
        <f ca="1">IFERROR((VALUE(TODAY()-DATE(RIGHT(Demographics[[#This Row],[DOB - Fixed]],4),MID(Demographics[[#This Row],[DOB - Fixed]],3,2),LEFT(Demographics[[#This Row],[DOB - Fixed]],2))))/365,0)</f>
        <v>34.986301369863014</v>
      </c>
      <c r="J1398">
        <f>VLOOKUP(Demographics[[#This Row],[INCOME LEVEL]],Income[],4,FALSE)</f>
        <v>697.5</v>
      </c>
      <c r="K1398">
        <f>IFERROR(Demographics[[#This Row],[Total monthly income]]/Demographics[[#This Row],[FAMILY SIZE]], 0)</f>
        <v>139.5</v>
      </c>
    </row>
    <row r="1399" spans="1:11" x14ac:dyDescent="0.2">
      <c r="A1399">
        <v>13427857</v>
      </c>
      <c r="B1399">
        <v>23091988</v>
      </c>
      <c r="C1399">
        <v>9</v>
      </c>
      <c r="D1399">
        <v>2</v>
      </c>
      <c r="E1399">
        <v>1</v>
      </c>
      <c r="F1399">
        <v>5</v>
      </c>
      <c r="G1399">
        <v>2</v>
      </c>
      <c r="H1399" t="str">
        <f>IF(Demographics[[#This Row],[DOB]]&gt;10000000, TEXT(Demographics[[#This Row],[DOB]],0),CONCATENATE("0",TEXT(Demographics[[#This Row],[DOB]],0)))</f>
        <v>23091988</v>
      </c>
      <c r="I1399" s="4">
        <f ca="1">IFERROR((VALUE(TODAY()-DATE(RIGHT(Demographics[[#This Row],[DOB - Fixed]],4),MID(Demographics[[#This Row],[DOB - Fixed]],3,2),LEFT(Demographics[[#This Row],[DOB - Fixed]],2))))/365,0)</f>
        <v>34.980821917808221</v>
      </c>
      <c r="J1399">
        <f>VLOOKUP(Demographics[[#This Row],[INCOME LEVEL]],Income[],4,FALSE)</f>
        <v>175</v>
      </c>
      <c r="K1399">
        <f>IFERROR(Demographics[[#This Row],[Total monthly income]]/Demographics[[#This Row],[FAMILY SIZE]], 0)</f>
        <v>19.444444444444443</v>
      </c>
    </row>
    <row r="1400" spans="1:11" x14ac:dyDescent="0.2">
      <c r="A1400">
        <v>6414710</v>
      </c>
      <c r="B1400">
        <v>29121988</v>
      </c>
      <c r="C1400">
        <v>3</v>
      </c>
      <c r="D1400">
        <v>1</v>
      </c>
      <c r="E1400">
        <v>1</v>
      </c>
      <c r="F1400">
        <v>5</v>
      </c>
      <c r="G1400">
        <v>5</v>
      </c>
      <c r="H1400" t="str">
        <f>IF(Demographics[[#This Row],[DOB]]&gt;10000000, TEXT(Demographics[[#This Row],[DOB]],0),CONCATENATE("0",TEXT(Demographics[[#This Row],[DOB]],0)))</f>
        <v>29121988</v>
      </c>
      <c r="I1400" s="4">
        <f ca="1">IFERROR((VALUE(TODAY()-DATE(RIGHT(Demographics[[#This Row],[DOB - Fixed]],4),MID(Demographics[[#This Row],[DOB - Fixed]],3,2),LEFT(Demographics[[#This Row],[DOB - Fixed]],2))))/365,0)</f>
        <v>34.715068493150682</v>
      </c>
      <c r="J1400">
        <f>VLOOKUP(Demographics[[#This Row],[INCOME LEVEL]],Income[],4,FALSE)</f>
        <v>175</v>
      </c>
      <c r="K1400">
        <f>IFERROR(Demographics[[#This Row],[Total monthly income]]/Demographics[[#This Row],[FAMILY SIZE]], 0)</f>
        <v>58.333333333333336</v>
      </c>
    </row>
    <row r="1401" spans="1:11" x14ac:dyDescent="0.2">
      <c r="A1401">
        <v>18627374</v>
      </c>
      <c r="B1401">
        <v>17061989</v>
      </c>
      <c r="C1401">
        <v>5</v>
      </c>
      <c r="D1401">
        <v>2</v>
      </c>
      <c r="E1401">
        <v>1</v>
      </c>
      <c r="F1401">
        <v>5</v>
      </c>
      <c r="G1401">
        <v>5</v>
      </c>
      <c r="H1401" t="str">
        <f>IF(Demographics[[#This Row],[DOB]]&gt;10000000, TEXT(Demographics[[#This Row],[DOB]],0),CONCATENATE("0",TEXT(Demographics[[#This Row],[DOB]],0)))</f>
        <v>17061989</v>
      </c>
      <c r="I1401" s="4">
        <f ca="1">IFERROR((VALUE(TODAY()-DATE(RIGHT(Demographics[[#This Row],[DOB - Fixed]],4),MID(Demographics[[#This Row],[DOB - Fixed]],3,2),LEFT(Demographics[[#This Row],[DOB - Fixed]],2))))/365,0)</f>
        <v>34.249315068493154</v>
      </c>
      <c r="J1401">
        <f>VLOOKUP(Demographics[[#This Row],[INCOME LEVEL]],Income[],4,FALSE)</f>
        <v>175</v>
      </c>
      <c r="K1401">
        <f>IFERROR(Demographics[[#This Row],[Total monthly income]]/Demographics[[#This Row],[FAMILY SIZE]], 0)</f>
        <v>35</v>
      </c>
    </row>
    <row r="1402" spans="1:11" x14ac:dyDescent="0.2">
      <c r="A1402">
        <v>11600410</v>
      </c>
      <c r="B1402">
        <v>24101988</v>
      </c>
      <c r="C1402">
        <v>3</v>
      </c>
      <c r="D1402">
        <v>1</v>
      </c>
      <c r="E1402">
        <v>1</v>
      </c>
      <c r="F1402">
        <v>4</v>
      </c>
      <c r="G1402">
        <v>5</v>
      </c>
      <c r="H1402" t="str">
        <f>IF(Demographics[[#This Row],[DOB]]&gt;10000000, TEXT(Demographics[[#This Row],[DOB]],0),CONCATENATE("0",TEXT(Demographics[[#This Row],[DOB]],0)))</f>
        <v>24101988</v>
      </c>
      <c r="I1402" s="4">
        <f ca="1">IFERROR((VALUE(TODAY()-DATE(RIGHT(Demographics[[#This Row],[DOB - Fixed]],4),MID(Demographics[[#This Row],[DOB - Fixed]],3,2),LEFT(Demographics[[#This Row],[DOB - Fixed]],2))))/365,0)</f>
        <v>34.895890410958906</v>
      </c>
      <c r="J1402">
        <f>VLOOKUP(Demographics[[#This Row],[INCOME LEVEL]],Income[],4,FALSE)</f>
        <v>175</v>
      </c>
      <c r="K1402">
        <f>IFERROR(Demographics[[#This Row],[Total monthly income]]/Demographics[[#This Row],[FAMILY SIZE]], 0)</f>
        <v>58.333333333333336</v>
      </c>
    </row>
    <row r="1403" spans="1:11" x14ac:dyDescent="0.2">
      <c r="A1403">
        <v>21696508</v>
      </c>
      <c r="B1403">
        <v>29041988</v>
      </c>
      <c r="C1403">
        <v>5</v>
      </c>
      <c r="D1403">
        <v>1</v>
      </c>
      <c r="E1403">
        <v>2</v>
      </c>
      <c r="F1403">
        <v>9</v>
      </c>
      <c r="G1403">
        <v>10</v>
      </c>
      <c r="H1403" t="str">
        <f>IF(Demographics[[#This Row],[DOB]]&gt;10000000, TEXT(Demographics[[#This Row],[DOB]],0),CONCATENATE("0",TEXT(Demographics[[#This Row],[DOB]],0)))</f>
        <v>29041988</v>
      </c>
      <c r="I1403" s="4">
        <f ca="1">IFERROR((VALUE(TODAY()-DATE(RIGHT(Demographics[[#This Row],[DOB - Fixed]],4),MID(Demographics[[#This Row],[DOB - Fixed]],3,2),LEFT(Demographics[[#This Row],[DOB - Fixed]],2))))/365,0)</f>
        <v>35.38356164383562</v>
      </c>
      <c r="J1403">
        <f>VLOOKUP(Demographics[[#This Row],[INCOME LEVEL]],Income[],4,FALSE)</f>
        <v>697.5</v>
      </c>
      <c r="K1403">
        <f>IFERROR(Demographics[[#This Row],[Total monthly income]]/Demographics[[#This Row],[FAMILY SIZE]], 0)</f>
        <v>139.5</v>
      </c>
    </row>
    <row r="1404" spans="1:11" x14ac:dyDescent="0.2">
      <c r="A1404">
        <v>984864</v>
      </c>
      <c r="B1404">
        <v>2081988</v>
      </c>
      <c r="C1404">
        <v>8</v>
      </c>
      <c r="D1404">
        <v>2</v>
      </c>
      <c r="E1404">
        <v>2</v>
      </c>
      <c r="F1404">
        <v>4</v>
      </c>
      <c r="G1404">
        <v>5</v>
      </c>
      <c r="H1404" t="str">
        <f>IF(Demographics[[#This Row],[DOB]]&gt;10000000, TEXT(Demographics[[#This Row],[DOB]],0),CONCATENATE("0",TEXT(Demographics[[#This Row],[DOB]],0)))</f>
        <v>02081988</v>
      </c>
      <c r="I1404" s="4">
        <f ca="1">IFERROR((VALUE(TODAY()-DATE(RIGHT(Demographics[[#This Row],[DOB - Fixed]],4),MID(Demographics[[#This Row],[DOB - Fixed]],3,2),LEFT(Demographics[[#This Row],[DOB - Fixed]],2))))/365,0)</f>
        <v>35.123287671232873</v>
      </c>
      <c r="J1404">
        <f>VLOOKUP(Demographics[[#This Row],[INCOME LEVEL]],Income[],4,FALSE)</f>
        <v>697.5</v>
      </c>
      <c r="K1404">
        <f>IFERROR(Demographics[[#This Row],[Total monthly income]]/Demographics[[#This Row],[FAMILY SIZE]], 0)</f>
        <v>87.1875</v>
      </c>
    </row>
    <row r="1405" spans="1:11" x14ac:dyDescent="0.2">
      <c r="A1405">
        <v>11665795</v>
      </c>
      <c r="B1405">
        <v>18031989</v>
      </c>
      <c r="C1405">
        <v>5</v>
      </c>
      <c r="D1405">
        <v>2</v>
      </c>
      <c r="E1405">
        <v>2</v>
      </c>
      <c r="F1405">
        <v>9</v>
      </c>
      <c r="G1405">
        <v>7</v>
      </c>
      <c r="H1405" t="str">
        <f>IF(Demographics[[#This Row],[DOB]]&gt;10000000, TEXT(Demographics[[#This Row],[DOB]],0),CONCATENATE("0",TEXT(Demographics[[#This Row],[DOB]],0)))</f>
        <v>18031989</v>
      </c>
      <c r="I1405" s="4">
        <f ca="1">IFERROR((VALUE(TODAY()-DATE(RIGHT(Demographics[[#This Row],[DOB - Fixed]],4),MID(Demographics[[#This Row],[DOB - Fixed]],3,2),LEFT(Demographics[[#This Row],[DOB - Fixed]],2))))/365,0)</f>
        <v>34.4986301369863</v>
      </c>
      <c r="J1405">
        <f>VLOOKUP(Demographics[[#This Row],[INCOME LEVEL]],Income[],4,FALSE)</f>
        <v>697.5</v>
      </c>
      <c r="K1405">
        <f>IFERROR(Demographics[[#This Row],[Total monthly income]]/Demographics[[#This Row],[FAMILY SIZE]], 0)</f>
        <v>139.5</v>
      </c>
    </row>
    <row r="1406" spans="1:11" x14ac:dyDescent="0.2">
      <c r="A1406">
        <v>656089</v>
      </c>
      <c r="B1406">
        <v>21091988</v>
      </c>
      <c r="C1406">
        <v>5</v>
      </c>
      <c r="D1406">
        <v>1</v>
      </c>
      <c r="E1406">
        <v>1</v>
      </c>
      <c r="F1406">
        <v>5</v>
      </c>
      <c r="G1406">
        <v>5</v>
      </c>
      <c r="H1406" t="str">
        <f>IF(Demographics[[#This Row],[DOB]]&gt;10000000, TEXT(Demographics[[#This Row],[DOB]],0),CONCATENATE("0",TEXT(Demographics[[#This Row],[DOB]],0)))</f>
        <v>21091988</v>
      </c>
      <c r="I1406" s="4">
        <f ca="1">IFERROR((VALUE(TODAY()-DATE(RIGHT(Demographics[[#This Row],[DOB - Fixed]],4),MID(Demographics[[#This Row],[DOB - Fixed]],3,2),LEFT(Demographics[[#This Row],[DOB - Fixed]],2))))/365,0)</f>
        <v>34.986301369863014</v>
      </c>
      <c r="J1406">
        <f>VLOOKUP(Demographics[[#This Row],[INCOME LEVEL]],Income[],4,FALSE)</f>
        <v>175</v>
      </c>
      <c r="K1406">
        <f>IFERROR(Demographics[[#This Row],[Total monthly income]]/Demographics[[#This Row],[FAMILY SIZE]], 0)</f>
        <v>35</v>
      </c>
    </row>
    <row r="1407" spans="1:11" x14ac:dyDescent="0.2">
      <c r="A1407">
        <v>3889696</v>
      </c>
      <c r="B1407">
        <v>9061988</v>
      </c>
      <c r="C1407">
        <v>0</v>
      </c>
      <c r="D1407">
        <v>0</v>
      </c>
      <c r="E1407">
        <v>5</v>
      </c>
      <c r="F1407">
        <v>0</v>
      </c>
      <c r="G1407">
        <v>0</v>
      </c>
      <c r="H1407" t="str">
        <f>IF(Demographics[[#This Row],[DOB]]&gt;10000000, TEXT(Demographics[[#This Row],[DOB]],0),CONCATENATE("0",TEXT(Demographics[[#This Row],[DOB]],0)))</f>
        <v>09061988</v>
      </c>
      <c r="I1407" s="4">
        <f ca="1">IFERROR((VALUE(TODAY()-DATE(RIGHT(Demographics[[#This Row],[DOB - Fixed]],4),MID(Demographics[[#This Row],[DOB - Fixed]],3,2),LEFT(Demographics[[#This Row],[DOB - Fixed]],2))))/365,0)</f>
        <v>35.271232876712325</v>
      </c>
      <c r="J1407">
        <f>VLOOKUP(Demographics[[#This Row],[INCOME LEVEL]],Income[],4,FALSE)</f>
        <v>2787.5</v>
      </c>
      <c r="K1407">
        <f>IFERROR(Demographics[[#This Row],[Total monthly income]]/Demographics[[#This Row],[FAMILY SIZE]], 0)</f>
        <v>0</v>
      </c>
    </row>
    <row r="1408" spans="1:11" x14ac:dyDescent="0.2">
      <c r="A1408">
        <v>21759130</v>
      </c>
      <c r="B1408">
        <v>3081988</v>
      </c>
      <c r="C1408">
        <v>3</v>
      </c>
      <c r="D1408">
        <v>2</v>
      </c>
      <c r="E1408">
        <v>2</v>
      </c>
      <c r="F1408">
        <v>8</v>
      </c>
      <c r="G1408">
        <v>9</v>
      </c>
      <c r="H1408" t="str">
        <f>IF(Demographics[[#This Row],[DOB]]&gt;10000000, TEXT(Demographics[[#This Row],[DOB]],0),CONCATENATE("0",TEXT(Demographics[[#This Row],[DOB]],0)))</f>
        <v>03081988</v>
      </c>
      <c r="I1408" s="4">
        <f ca="1">IFERROR((VALUE(TODAY()-DATE(RIGHT(Demographics[[#This Row],[DOB - Fixed]],4),MID(Demographics[[#This Row],[DOB - Fixed]],3,2),LEFT(Demographics[[#This Row],[DOB - Fixed]],2))))/365,0)</f>
        <v>35.12054794520548</v>
      </c>
      <c r="J1408">
        <f>VLOOKUP(Demographics[[#This Row],[INCOME LEVEL]],Income[],4,FALSE)</f>
        <v>697.5</v>
      </c>
      <c r="K1408">
        <f>IFERROR(Demographics[[#This Row],[Total monthly income]]/Demographics[[#This Row],[FAMILY SIZE]], 0)</f>
        <v>232.5</v>
      </c>
    </row>
    <row r="1409" spans="1:11" x14ac:dyDescent="0.2">
      <c r="A1409">
        <v>11354146</v>
      </c>
      <c r="B1409">
        <v>18111988</v>
      </c>
      <c r="C1409">
        <v>5</v>
      </c>
      <c r="D1409">
        <v>1</v>
      </c>
      <c r="E1409">
        <v>3</v>
      </c>
      <c r="F1409">
        <v>9</v>
      </c>
      <c r="G1409">
        <v>9</v>
      </c>
      <c r="H1409" t="str">
        <f>IF(Demographics[[#This Row],[DOB]]&gt;10000000, TEXT(Demographics[[#This Row],[DOB]],0),CONCATENATE("0",TEXT(Demographics[[#This Row],[DOB]],0)))</f>
        <v>18111988</v>
      </c>
      <c r="I1409" s="4">
        <f ca="1">IFERROR((VALUE(TODAY()-DATE(RIGHT(Demographics[[#This Row],[DOB - Fixed]],4),MID(Demographics[[#This Row],[DOB - Fixed]],3,2),LEFT(Demographics[[#This Row],[DOB - Fixed]],2))))/365,0)</f>
        <v>34.827397260273976</v>
      </c>
      <c r="J1409">
        <f>VLOOKUP(Demographics[[#This Row],[INCOME LEVEL]],Income[],4,FALSE)</f>
        <v>1397.5</v>
      </c>
      <c r="K1409">
        <f>IFERROR(Demographics[[#This Row],[Total monthly income]]/Demographics[[#This Row],[FAMILY SIZE]], 0)</f>
        <v>279.5</v>
      </c>
    </row>
    <row r="1410" spans="1:11" x14ac:dyDescent="0.2">
      <c r="A1410">
        <v>20331507</v>
      </c>
      <c r="B1410">
        <v>23011987</v>
      </c>
      <c r="C1410">
        <v>5</v>
      </c>
      <c r="D1410">
        <v>1</v>
      </c>
      <c r="E1410">
        <v>1</v>
      </c>
      <c r="F1410">
        <v>0</v>
      </c>
      <c r="G1410">
        <v>0</v>
      </c>
      <c r="H1410" t="str">
        <f>IF(Demographics[[#This Row],[DOB]]&gt;10000000, TEXT(Demographics[[#This Row],[DOB]],0),CONCATENATE("0",TEXT(Demographics[[#This Row],[DOB]],0)))</f>
        <v>23011987</v>
      </c>
      <c r="I1410" s="4">
        <f ca="1">IFERROR((VALUE(TODAY()-DATE(RIGHT(Demographics[[#This Row],[DOB - Fixed]],4),MID(Demographics[[#This Row],[DOB - Fixed]],3,2),LEFT(Demographics[[#This Row],[DOB - Fixed]],2))))/365,0)</f>
        <v>36.649315068493152</v>
      </c>
      <c r="J1410">
        <f>VLOOKUP(Demographics[[#This Row],[INCOME LEVEL]],Income[],4,FALSE)</f>
        <v>175</v>
      </c>
      <c r="K1410">
        <f>IFERROR(Demographics[[#This Row],[Total monthly income]]/Demographics[[#This Row],[FAMILY SIZE]], 0)</f>
        <v>35</v>
      </c>
    </row>
    <row r="1411" spans="1:11" x14ac:dyDescent="0.2">
      <c r="A1411">
        <v>19509633</v>
      </c>
      <c r="B1411">
        <v>22021989</v>
      </c>
      <c r="C1411">
        <v>6</v>
      </c>
      <c r="D1411">
        <v>2</v>
      </c>
      <c r="E1411">
        <v>6</v>
      </c>
      <c r="F1411">
        <v>7</v>
      </c>
      <c r="G1411">
        <v>7</v>
      </c>
      <c r="H1411" t="str">
        <f>IF(Demographics[[#This Row],[DOB]]&gt;10000000, TEXT(Demographics[[#This Row],[DOB]],0),CONCATENATE("0",TEXT(Demographics[[#This Row],[DOB]],0)))</f>
        <v>22021989</v>
      </c>
      <c r="I1411" s="4">
        <f ca="1">IFERROR((VALUE(TODAY()-DATE(RIGHT(Demographics[[#This Row],[DOB - Fixed]],4),MID(Demographics[[#This Row],[DOB - Fixed]],3,2),LEFT(Demographics[[#This Row],[DOB - Fixed]],2))))/365,0)</f>
        <v>34.564383561643837</v>
      </c>
      <c r="J1411">
        <f>VLOOKUP(Demographics[[#This Row],[INCOME LEVEL]],Income[],4,FALSE)</f>
        <v>4000</v>
      </c>
      <c r="K1411">
        <f>IFERROR(Demographics[[#This Row],[Total monthly income]]/Demographics[[#This Row],[FAMILY SIZE]], 0)</f>
        <v>666.66666666666663</v>
      </c>
    </row>
    <row r="1412" spans="1:11" x14ac:dyDescent="0.2">
      <c r="A1412">
        <v>18918019</v>
      </c>
      <c r="B1412">
        <v>17091988</v>
      </c>
      <c r="C1412">
        <v>6</v>
      </c>
      <c r="D1412">
        <v>1</v>
      </c>
      <c r="E1412">
        <v>2</v>
      </c>
      <c r="F1412">
        <v>9</v>
      </c>
      <c r="G1412">
        <v>8</v>
      </c>
      <c r="H1412" t="str">
        <f>IF(Demographics[[#This Row],[DOB]]&gt;10000000, TEXT(Demographics[[#This Row],[DOB]],0),CONCATENATE("0",TEXT(Demographics[[#This Row],[DOB]],0)))</f>
        <v>17091988</v>
      </c>
      <c r="I1412" s="4">
        <f ca="1">IFERROR((VALUE(TODAY()-DATE(RIGHT(Demographics[[#This Row],[DOB - Fixed]],4),MID(Demographics[[#This Row],[DOB - Fixed]],3,2),LEFT(Demographics[[#This Row],[DOB - Fixed]],2))))/365,0)</f>
        <v>34.9972602739726</v>
      </c>
      <c r="J1412">
        <f>VLOOKUP(Demographics[[#This Row],[INCOME LEVEL]],Income[],4,FALSE)</f>
        <v>697.5</v>
      </c>
      <c r="K1412">
        <f>IFERROR(Demographics[[#This Row],[Total monthly income]]/Demographics[[#This Row],[FAMILY SIZE]], 0)</f>
        <v>116.25</v>
      </c>
    </row>
    <row r="1413" spans="1:11" x14ac:dyDescent="0.2">
      <c r="A1413">
        <v>820493</v>
      </c>
      <c r="B1413">
        <v>22011989</v>
      </c>
      <c r="C1413">
        <v>5</v>
      </c>
      <c r="D1413">
        <v>2</v>
      </c>
      <c r="E1413">
        <v>3</v>
      </c>
      <c r="F1413">
        <v>9</v>
      </c>
      <c r="G1413">
        <v>9</v>
      </c>
      <c r="H1413" t="str">
        <f>IF(Demographics[[#This Row],[DOB]]&gt;10000000, TEXT(Demographics[[#This Row],[DOB]],0),CONCATENATE("0",TEXT(Demographics[[#This Row],[DOB]],0)))</f>
        <v>22011989</v>
      </c>
      <c r="I1413" s="4">
        <f ca="1">IFERROR((VALUE(TODAY()-DATE(RIGHT(Demographics[[#This Row],[DOB - Fixed]],4),MID(Demographics[[#This Row],[DOB - Fixed]],3,2),LEFT(Demographics[[#This Row],[DOB - Fixed]],2))))/365,0)</f>
        <v>34.649315068493152</v>
      </c>
      <c r="J1413">
        <f>VLOOKUP(Demographics[[#This Row],[INCOME LEVEL]],Income[],4,FALSE)</f>
        <v>1397.5</v>
      </c>
      <c r="K1413">
        <f>IFERROR(Demographics[[#This Row],[Total monthly income]]/Demographics[[#This Row],[FAMILY SIZE]], 0)</f>
        <v>279.5</v>
      </c>
    </row>
    <row r="1414" spans="1:11" x14ac:dyDescent="0.2">
      <c r="A1414">
        <v>8199647</v>
      </c>
      <c r="B1414">
        <v>11101988</v>
      </c>
      <c r="C1414">
        <v>3</v>
      </c>
      <c r="D1414">
        <v>1</v>
      </c>
      <c r="E1414">
        <v>2</v>
      </c>
      <c r="F1414">
        <v>5</v>
      </c>
      <c r="G1414">
        <v>9</v>
      </c>
      <c r="H1414" t="str">
        <f>IF(Demographics[[#This Row],[DOB]]&gt;10000000, TEXT(Demographics[[#This Row],[DOB]],0),CONCATENATE("0",TEXT(Demographics[[#This Row],[DOB]],0)))</f>
        <v>11101988</v>
      </c>
      <c r="I1414" s="4">
        <f ca="1">IFERROR((VALUE(TODAY()-DATE(RIGHT(Demographics[[#This Row],[DOB - Fixed]],4),MID(Demographics[[#This Row],[DOB - Fixed]],3,2),LEFT(Demographics[[#This Row],[DOB - Fixed]],2))))/365,0)</f>
        <v>34.93150684931507</v>
      </c>
      <c r="J1414">
        <f>VLOOKUP(Demographics[[#This Row],[INCOME LEVEL]],Income[],4,FALSE)</f>
        <v>697.5</v>
      </c>
      <c r="K1414">
        <f>IFERROR(Demographics[[#This Row],[Total monthly income]]/Demographics[[#This Row],[FAMILY SIZE]], 0)</f>
        <v>232.5</v>
      </c>
    </row>
    <row r="1415" spans="1:11" x14ac:dyDescent="0.2">
      <c r="A1415">
        <v>24338210</v>
      </c>
      <c r="B1415">
        <v>28071988</v>
      </c>
      <c r="C1415">
        <v>0</v>
      </c>
      <c r="D1415">
        <v>0</v>
      </c>
      <c r="E1415">
        <v>1</v>
      </c>
      <c r="F1415">
        <v>0</v>
      </c>
      <c r="G1415">
        <v>0</v>
      </c>
      <c r="H1415" t="str">
        <f>IF(Demographics[[#This Row],[DOB]]&gt;10000000, TEXT(Demographics[[#This Row],[DOB]],0),CONCATENATE("0",TEXT(Demographics[[#This Row],[DOB]],0)))</f>
        <v>28071988</v>
      </c>
      <c r="I1415" s="4">
        <f ca="1">IFERROR((VALUE(TODAY()-DATE(RIGHT(Demographics[[#This Row],[DOB - Fixed]],4),MID(Demographics[[#This Row],[DOB - Fixed]],3,2),LEFT(Demographics[[#This Row],[DOB - Fixed]],2))))/365,0)</f>
        <v>35.136986301369866</v>
      </c>
      <c r="J1415">
        <f>VLOOKUP(Demographics[[#This Row],[INCOME LEVEL]],Income[],4,FALSE)</f>
        <v>175</v>
      </c>
      <c r="K1415">
        <f>IFERROR(Demographics[[#This Row],[Total monthly income]]/Demographics[[#This Row],[FAMILY SIZE]], 0)</f>
        <v>0</v>
      </c>
    </row>
    <row r="1416" spans="1:11" x14ac:dyDescent="0.2">
      <c r="A1416">
        <v>9865579</v>
      </c>
      <c r="B1416">
        <v>8101988</v>
      </c>
      <c r="C1416">
        <v>4</v>
      </c>
      <c r="D1416">
        <v>1</v>
      </c>
      <c r="E1416">
        <v>1</v>
      </c>
      <c r="F1416">
        <v>4</v>
      </c>
      <c r="G1416">
        <v>5</v>
      </c>
      <c r="H1416" t="str">
        <f>IF(Demographics[[#This Row],[DOB]]&gt;10000000, TEXT(Demographics[[#This Row],[DOB]],0),CONCATENATE("0",TEXT(Demographics[[#This Row],[DOB]],0)))</f>
        <v>08101988</v>
      </c>
      <c r="I1416" s="4">
        <f ca="1">IFERROR((VALUE(TODAY()-DATE(RIGHT(Demographics[[#This Row],[DOB - Fixed]],4),MID(Demographics[[#This Row],[DOB - Fixed]],3,2),LEFT(Demographics[[#This Row],[DOB - Fixed]],2))))/365,0)</f>
        <v>34.939726027397263</v>
      </c>
      <c r="J1416">
        <f>VLOOKUP(Demographics[[#This Row],[INCOME LEVEL]],Income[],4,FALSE)</f>
        <v>175</v>
      </c>
      <c r="K1416">
        <f>IFERROR(Demographics[[#This Row],[Total monthly income]]/Demographics[[#This Row],[FAMILY SIZE]], 0)</f>
        <v>43.75</v>
      </c>
    </row>
    <row r="1417" spans="1:11" x14ac:dyDescent="0.2">
      <c r="A1417">
        <v>11982610</v>
      </c>
      <c r="B1417">
        <v>4051989</v>
      </c>
      <c r="C1417">
        <v>5</v>
      </c>
      <c r="D1417">
        <v>1</v>
      </c>
      <c r="E1417">
        <v>2</v>
      </c>
      <c r="F1417">
        <v>9</v>
      </c>
      <c r="G1417">
        <v>4</v>
      </c>
      <c r="H1417" t="str">
        <f>IF(Demographics[[#This Row],[DOB]]&gt;10000000, TEXT(Demographics[[#This Row],[DOB]],0),CONCATENATE("0",TEXT(Demographics[[#This Row],[DOB]],0)))</f>
        <v>04051989</v>
      </c>
      <c r="I1417" s="4">
        <f ca="1">IFERROR((VALUE(TODAY()-DATE(RIGHT(Demographics[[#This Row],[DOB - Fixed]],4),MID(Demographics[[#This Row],[DOB - Fixed]],3,2),LEFT(Demographics[[#This Row],[DOB - Fixed]],2))))/365,0)</f>
        <v>34.369863013698627</v>
      </c>
      <c r="J1417">
        <f>VLOOKUP(Demographics[[#This Row],[INCOME LEVEL]],Income[],4,FALSE)</f>
        <v>697.5</v>
      </c>
      <c r="K1417">
        <f>IFERROR(Demographics[[#This Row],[Total monthly income]]/Demographics[[#This Row],[FAMILY SIZE]], 0)</f>
        <v>139.5</v>
      </c>
    </row>
    <row r="1418" spans="1:11" x14ac:dyDescent="0.2">
      <c r="A1418">
        <v>14493941</v>
      </c>
      <c r="B1418">
        <v>12101988</v>
      </c>
      <c r="C1418">
        <v>4</v>
      </c>
      <c r="D1418">
        <v>1</v>
      </c>
      <c r="E1418">
        <v>1</v>
      </c>
      <c r="F1418">
        <v>5</v>
      </c>
      <c r="G1418">
        <v>5</v>
      </c>
      <c r="H1418" t="str">
        <f>IF(Demographics[[#This Row],[DOB]]&gt;10000000, TEXT(Demographics[[#This Row],[DOB]],0),CONCATENATE("0",TEXT(Demographics[[#This Row],[DOB]],0)))</f>
        <v>12101988</v>
      </c>
      <c r="I1418" s="4">
        <f ca="1">IFERROR((VALUE(TODAY()-DATE(RIGHT(Demographics[[#This Row],[DOB - Fixed]],4),MID(Demographics[[#This Row],[DOB - Fixed]],3,2),LEFT(Demographics[[#This Row],[DOB - Fixed]],2))))/365,0)</f>
        <v>34.92876712328767</v>
      </c>
      <c r="J1418">
        <f>VLOOKUP(Demographics[[#This Row],[INCOME LEVEL]],Income[],4,FALSE)</f>
        <v>175</v>
      </c>
      <c r="K1418">
        <f>IFERROR(Demographics[[#This Row],[Total monthly income]]/Demographics[[#This Row],[FAMILY SIZE]], 0)</f>
        <v>43.75</v>
      </c>
    </row>
    <row r="1419" spans="1:11" x14ac:dyDescent="0.2">
      <c r="A1419">
        <v>12651997</v>
      </c>
      <c r="B1419">
        <v>10101988</v>
      </c>
      <c r="C1419">
        <v>5</v>
      </c>
      <c r="D1419">
        <v>1</v>
      </c>
      <c r="E1419">
        <v>1</v>
      </c>
      <c r="F1419">
        <v>5</v>
      </c>
      <c r="G1419">
        <v>5</v>
      </c>
      <c r="H1419" t="str">
        <f>IF(Demographics[[#This Row],[DOB]]&gt;10000000, TEXT(Demographics[[#This Row],[DOB]],0),CONCATENATE("0",TEXT(Demographics[[#This Row],[DOB]],0)))</f>
        <v>10101988</v>
      </c>
      <c r="I1419" s="4">
        <f ca="1">IFERROR((VALUE(TODAY()-DATE(RIGHT(Demographics[[#This Row],[DOB - Fixed]],4),MID(Demographics[[#This Row],[DOB - Fixed]],3,2),LEFT(Demographics[[#This Row],[DOB - Fixed]],2))))/365,0)</f>
        <v>34.934246575342463</v>
      </c>
      <c r="J1419">
        <f>VLOOKUP(Demographics[[#This Row],[INCOME LEVEL]],Income[],4,FALSE)</f>
        <v>175</v>
      </c>
      <c r="K1419">
        <f>IFERROR(Demographics[[#This Row],[Total monthly income]]/Demographics[[#This Row],[FAMILY SIZE]], 0)</f>
        <v>35</v>
      </c>
    </row>
    <row r="1420" spans="1:11" x14ac:dyDescent="0.2">
      <c r="A1420">
        <v>165859</v>
      </c>
      <c r="B1420">
        <v>28101988</v>
      </c>
      <c r="C1420">
        <v>6</v>
      </c>
      <c r="D1420">
        <v>2</v>
      </c>
      <c r="E1420">
        <v>1</v>
      </c>
      <c r="F1420">
        <v>5</v>
      </c>
      <c r="G1420">
        <v>5</v>
      </c>
      <c r="H1420" t="str">
        <f>IF(Demographics[[#This Row],[DOB]]&gt;10000000, TEXT(Demographics[[#This Row],[DOB]],0),CONCATENATE("0",TEXT(Demographics[[#This Row],[DOB]],0)))</f>
        <v>28101988</v>
      </c>
      <c r="I1420" s="4">
        <f ca="1">IFERROR((VALUE(TODAY()-DATE(RIGHT(Demographics[[#This Row],[DOB - Fixed]],4),MID(Demographics[[#This Row],[DOB - Fixed]],3,2),LEFT(Demographics[[#This Row],[DOB - Fixed]],2))))/365,0)</f>
        <v>34.884931506849313</v>
      </c>
      <c r="J1420">
        <f>VLOOKUP(Demographics[[#This Row],[INCOME LEVEL]],Income[],4,FALSE)</f>
        <v>175</v>
      </c>
      <c r="K1420">
        <f>IFERROR(Demographics[[#This Row],[Total monthly income]]/Demographics[[#This Row],[FAMILY SIZE]], 0)</f>
        <v>29.166666666666668</v>
      </c>
    </row>
    <row r="1421" spans="1:11" x14ac:dyDescent="0.2">
      <c r="A1421">
        <v>24104006</v>
      </c>
      <c r="B1421">
        <v>18011989</v>
      </c>
      <c r="C1421">
        <v>7</v>
      </c>
      <c r="D1421">
        <v>2</v>
      </c>
      <c r="E1421">
        <v>1</v>
      </c>
      <c r="F1421">
        <v>5</v>
      </c>
      <c r="G1421">
        <v>5</v>
      </c>
      <c r="H1421" t="str">
        <f>IF(Demographics[[#This Row],[DOB]]&gt;10000000, TEXT(Demographics[[#This Row],[DOB]],0),CONCATENATE("0",TEXT(Demographics[[#This Row],[DOB]],0)))</f>
        <v>18011989</v>
      </c>
      <c r="I1421" s="4">
        <f ca="1">IFERROR((VALUE(TODAY()-DATE(RIGHT(Demographics[[#This Row],[DOB - Fixed]],4),MID(Demographics[[#This Row],[DOB - Fixed]],3,2),LEFT(Demographics[[#This Row],[DOB - Fixed]],2))))/365,0)</f>
        <v>34.660273972602738</v>
      </c>
      <c r="J1421">
        <f>VLOOKUP(Demographics[[#This Row],[INCOME LEVEL]],Income[],4,FALSE)</f>
        <v>175</v>
      </c>
      <c r="K1421">
        <f>IFERROR(Demographics[[#This Row],[Total monthly income]]/Demographics[[#This Row],[FAMILY SIZE]], 0)</f>
        <v>25</v>
      </c>
    </row>
    <row r="1422" spans="1:11" x14ac:dyDescent="0.2">
      <c r="A1422">
        <v>339125</v>
      </c>
      <c r="B1422">
        <v>16031989</v>
      </c>
      <c r="C1422">
        <v>5</v>
      </c>
      <c r="D1422">
        <v>2</v>
      </c>
      <c r="E1422">
        <v>2</v>
      </c>
      <c r="F1422">
        <v>0</v>
      </c>
      <c r="G1422">
        <v>5</v>
      </c>
      <c r="H1422" t="str">
        <f>IF(Demographics[[#This Row],[DOB]]&gt;10000000, TEXT(Demographics[[#This Row],[DOB]],0),CONCATENATE("0",TEXT(Demographics[[#This Row],[DOB]],0)))</f>
        <v>16031989</v>
      </c>
      <c r="I1422" s="4">
        <f ca="1">IFERROR((VALUE(TODAY()-DATE(RIGHT(Demographics[[#This Row],[DOB - Fixed]],4),MID(Demographics[[#This Row],[DOB - Fixed]],3,2),LEFT(Demographics[[#This Row],[DOB - Fixed]],2))))/365,0)</f>
        <v>34.504109589041093</v>
      </c>
      <c r="J1422">
        <f>VLOOKUP(Demographics[[#This Row],[INCOME LEVEL]],Income[],4,FALSE)</f>
        <v>697.5</v>
      </c>
      <c r="K1422">
        <f>IFERROR(Demographics[[#This Row],[Total monthly income]]/Demographics[[#This Row],[FAMILY SIZE]], 0)</f>
        <v>139.5</v>
      </c>
    </row>
    <row r="1423" spans="1:11" x14ac:dyDescent="0.2">
      <c r="A1423">
        <v>15554933</v>
      </c>
      <c r="B1423">
        <v>3091988</v>
      </c>
      <c r="C1423">
        <v>6</v>
      </c>
      <c r="D1423">
        <v>1</v>
      </c>
      <c r="E1423">
        <v>1</v>
      </c>
      <c r="F1423">
        <v>5</v>
      </c>
      <c r="G1423">
        <v>5</v>
      </c>
      <c r="H1423" t="str">
        <f>IF(Demographics[[#This Row],[DOB]]&gt;10000000, TEXT(Demographics[[#This Row],[DOB]],0),CONCATENATE("0",TEXT(Demographics[[#This Row],[DOB]],0)))</f>
        <v>03091988</v>
      </c>
      <c r="I1423" s="4">
        <f ca="1">IFERROR((VALUE(TODAY()-DATE(RIGHT(Demographics[[#This Row],[DOB - Fixed]],4),MID(Demographics[[#This Row],[DOB - Fixed]],3,2),LEFT(Demographics[[#This Row],[DOB - Fixed]],2))))/365,0)</f>
        <v>35.035616438356165</v>
      </c>
      <c r="J1423">
        <f>VLOOKUP(Demographics[[#This Row],[INCOME LEVEL]],Income[],4,FALSE)</f>
        <v>175</v>
      </c>
      <c r="K1423">
        <f>IFERROR(Demographics[[#This Row],[Total monthly income]]/Demographics[[#This Row],[FAMILY SIZE]], 0)</f>
        <v>29.166666666666668</v>
      </c>
    </row>
    <row r="1424" spans="1:11" x14ac:dyDescent="0.2">
      <c r="A1424">
        <v>14935530</v>
      </c>
      <c r="B1424">
        <v>28101988</v>
      </c>
      <c r="C1424">
        <v>4</v>
      </c>
      <c r="D1424">
        <v>1</v>
      </c>
      <c r="E1424">
        <v>1</v>
      </c>
      <c r="F1424">
        <v>5</v>
      </c>
      <c r="G1424">
        <v>5</v>
      </c>
      <c r="H1424" t="str">
        <f>IF(Demographics[[#This Row],[DOB]]&gt;10000000, TEXT(Demographics[[#This Row],[DOB]],0),CONCATENATE("0",TEXT(Demographics[[#This Row],[DOB]],0)))</f>
        <v>28101988</v>
      </c>
      <c r="I1424" s="4">
        <f ca="1">IFERROR((VALUE(TODAY()-DATE(RIGHT(Demographics[[#This Row],[DOB - Fixed]],4),MID(Demographics[[#This Row],[DOB - Fixed]],3,2),LEFT(Demographics[[#This Row],[DOB - Fixed]],2))))/365,0)</f>
        <v>34.884931506849313</v>
      </c>
      <c r="J1424">
        <f>VLOOKUP(Demographics[[#This Row],[INCOME LEVEL]],Income[],4,FALSE)</f>
        <v>175</v>
      </c>
      <c r="K1424">
        <f>IFERROR(Demographics[[#This Row],[Total monthly income]]/Demographics[[#This Row],[FAMILY SIZE]], 0)</f>
        <v>43.75</v>
      </c>
    </row>
    <row r="1425" spans="1:11" x14ac:dyDescent="0.2">
      <c r="A1425">
        <v>22327242</v>
      </c>
      <c r="B1425">
        <v>25111988</v>
      </c>
      <c r="C1425">
        <v>4</v>
      </c>
      <c r="D1425">
        <v>1</v>
      </c>
      <c r="E1425">
        <v>1</v>
      </c>
      <c r="F1425">
        <v>5</v>
      </c>
      <c r="G1425">
        <v>9</v>
      </c>
      <c r="H1425" t="str">
        <f>IF(Demographics[[#This Row],[DOB]]&gt;10000000, TEXT(Demographics[[#This Row],[DOB]],0),CONCATENATE("0",TEXT(Demographics[[#This Row],[DOB]],0)))</f>
        <v>25111988</v>
      </c>
      <c r="I1425" s="4">
        <f ca="1">IFERROR((VALUE(TODAY()-DATE(RIGHT(Demographics[[#This Row],[DOB - Fixed]],4),MID(Demographics[[#This Row],[DOB - Fixed]],3,2),LEFT(Demographics[[#This Row],[DOB - Fixed]],2))))/365,0)</f>
        <v>34.80821917808219</v>
      </c>
      <c r="J1425">
        <f>VLOOKUP(Demographics[[#This Row],[INCOME LEVEL]],Income[],4,FALSE)</f>
        <v>175</v>
      </c>
      <c r="K1425">
        <f>IFERROR(Demographics[[#This Row],[Total monthly income]]/Demographics[[#This Row],[FAMILY SIZE]], 0)</f>
        <v>43.75</v>
      </c>
    </row>
    <row r="1426" spans="1:11" x14ac:dyDescent="0.2">
      <c r="A1426">
        <v>24131955</v>
      </c>
      <c r="B1426">
        <v>19111988</v>
      </c>
      <c r="C1426">
        <v>4</v>
      </c>
      <c r="D1426">
        <v>1</v>
      </c>
      <c r="E1426">
        <v>1</v>
      </c>
      <c r="F1426">
        <v>0</v>
      </c>
      <c r="G1426">
        <v>6</v>
      </c>
      <c r="H1426" t="str">
        <f>IF(Demographics[[#This Row],[DOB]]&gt;10000000, TEXT(Demographics[[#This Row],[DOB]],0),CONCATENATE("0",TEXT(Demographics[[#This Row],[DOB]],0)))</f>
        <v>19111988</v>
      </c>
      <c r="I1426" s="4">
        <f ca="1">IFERROR((VALUE(TODAY()-DATE(RIGHT(Demographics[[#This Row],[DOB - Fixed]],4),MID(Demographics[[#This Row],[DOB - Fixed]],3,2),LEFT(Demographics[[#This Row],[DOB - Fixed]],2))))/365,0)</f>
        <v>34.824657534246576</v>
      </c>
      <c r="J1426">
        <f>VLOOKUP(Demographics[[#This Row],[INCOME LEVEL]],Income[],4,FALSE)</f>
        <v>175</v>
      </c>
      <c r="K1426">
        <f>IFERROR(Demographics[[#This Row],[Total monthly income]]/Demographics[[#This Row],[FAMILY SIZE]], 0)</f>
        <v>43.75</v>
      </c>
    </row>
    <row r="1427" spans="1:11" x14ac:dyDescent="0.2">
      <c r="A1427">
        <v>24608266</v>
      </c>
      <c r="B1427">
        <v>21031989</v>
      </c>
      <c r="C1427">
        <v>5</v>
      </c>
      <c r="D1427">
        <v>2</v>
      </c>
      <c r="E1427">
        <v>3</v>
      </c>
      <c r="F1427">
        <v>9</v>
      </c>
      <c r="G1427">
        <v>9</v>
      </c>
      <c r="H1427" t="str">
        <f>IF(Demographics[[#This Row],[DOB]]&gt;10000000, TEXT(Demographics[[#This Row],[DOB]],0),CONCATENATE("0",TEXT(Demographics[[#This Row],[DOB]],0)))</f>
        <v>21031989</v>
      </c>
      <c r="I1427" s="4">
        <f ca="1">IFERROR((VALUE(TODAY()-DATE(RIGHT(Demographics[[#This Row],[DOB - Fixed]],4),MID(Demographics[[#This Row],[DOB - Fixed]],3,2),LEFT(Demographics[[#This Row],[DOB - Fixed]],2))))/365,0)</f>
        <v>34.490410958904107</v>
      </c>
      <c r="J1427">
        <f>VLOOKUP(Demographics[[#This Row],[INCOME LEVEL]],Income[],4,FALSE)</f>
        <v>1397.5</v>
      </c>
      <c r="K1427">
        <f>IFERROR(Demographics[[#This Row],[Total monthly income]]/Demographics[[#This Row],[FAMILY SIZE]], 0)</f>
        <v>279.5</v>
      </c>
    </row>
    <row r="1428" spans="1:11" x14ac:dyDescent="0.2">
      <c r="A1428">
        <v>474038</v>
      </c>
      <c r="B1428">
        <v>21031989</v>
      </c>
      <c r="C1428">
        <v>5</v>
      </c>
      <c r="D1428">
        <v>2</v>
      </c>
      <c r="E1428">
        <v>2</v>
      </c>
      <c r="F1428">
        <v>9</v>
      </c>
      <c r="G1428">
        <v>9</v>
      </c>
      <c r="H1428" t="str">
        <f>IF(Demographics[[#This Row],[DOB]]&gt;10000000, TEXT(Demographics[[#This Row],[DOB]],0),CONCATENATE("0",TEXT(Demographics[[#This Row],[DOB]],0)))</f>
        <v>21031989</v>
      </c>
      <c r="I1428" s="4">
        <f ca="1">IFERROR((VALUE(TODAY()-DATE(RIGHT(Demographics[[#This Row],[DOB - Fixed]],4),MID(Demographics[[#This Row],[DOB - Fixed]],3,2),LEFT(Demographics[[#This Row],[DOB - Fixed]],2))))/365,0)</f>
        <v>34.490410958904107</v>
      </c>
      <c r="J1428">
        <f>VLOOKUP(Demographics[[#This Row],[INCOME LEVEL]],Income[],4,FALSE)</f>
        <v>697.5</v>
      </c>
      <c r="K1428">
        <f>IFERROR(Demographics[[#This Row],[Total monthly income]]/Demographics[[#This Row],[FAMILY SIZE]], 0)</f>
        <v>139.5</v>
      </c>
    </row>
    <row r="1429" spans="1:11" x14ac:dyDescent="0.2">
      <c r="A1429">
        <v>16632588</v>
      </c>
      <c r="B1429">
        <v>7021989</v>
      </c>
      <c r="C1429">
        <v>6</v>
      </c>
      <c r="D1429">
        <v>1</v>
      </c>
      <c r="E1429">
        <v>1</v>
      </c>
      <c r="F1429">
        <v>2</v>
      </c>
      <c r="G1429">
        <v>2</v>
      </c>
      <c r="H1429" t="str">
        <f>IF(Demographics[[#This Row],[DOB]]&gt;10000000, TEXT(Demographics[[#This Row],[DOB]],0),CONCATENATE("0",TEXT(Demographics[[#This Row],[DOB]],0)))</f>
        <v>07021989</v>
      </c>
      <c r="I1429" s="4">
        <f ca="1">IFERROR((VALUE(TODAY()-DATE(RIGHT(Demographics[[#This Row],[DOB - Fixed]],4),MID(Demographics[[#This Row],[DOB - Fixed]],3,2),LEFT(Demographics[[#This Row],[DOB - Fixed]],2))))/365,0)</f>
        <v>34.605479452054794</v>
      </c>
      <c r="J1429">
        <f>VLOOKUP(Demographics[[#This Row],[INCOME LEVEL]],Income[],4,FALSE)</f>
        <v>175</v>
      </c>
      <c r="K1429">
        <f>IFERROR(Demographics[[#This Row],[Total monthly income]]/Demographics[[#This Row],[FAMILY SIZE]], 0)</f>
        <v>29.166666666666668</v>
      </c>
    </row>
    <row r="1430" spans="1:11" x14ac:dyDescent="0.2">
      <c r="A1430">
        <v>24436641</v>
      </c>
      <c r="B1430">
        <v>1101988</v>
      </c>
      <c r="C1430">
        <v>6</v>
      </c>
      <c r="D1430">
        <v>2</v>
      </c>
      <c r="E1430">
        <v>6</v>
      </c>
      <c r="F1430">
        <v>9</v>
      </c>
      <c r="G1430">
        <v>9</v>
      </c>
      <c r="H1430" t="str">
        <f>IF(Demographics[[#This Row],[DOB]]&gt;10000000, TEXT(Demographics[[#This Row],[DOB]],0),CONCATENATE("0",TEXT(Demographics[[#This Row],[DOB]],0)))</f>
        <v>01101988</v>
      </c>
      <c r="I1430" s="4">
        <f ca="1">IFERROR((VALUE(TODAY()-DATE(RIGHT(Demographics[[#This Row],[DOB - Fixed]],4),MID(Demographics[[#This Row],[DOB - Fixed]],3,2),LEFT(Demographics[[#This Row],[DOB - Fixed]],2))))/365,0)</f>
        <v>34.958904109589042</v>
      </c>
      <c r="J1430">
        <f>VLOOKUP(Demographics[[#This Row],[INCOME LEVEL]],Income[],4,FALSE)</f>
        <v>4000</v>
      </c>
      <c r="K1430">
        <f>IFERROR(Demographics[[#This Row],[Total monthly income]]/Demographics[[#This Row],[FAMILY SIZE]], 0)</f>
        <v>666.66666666666663</v>
      </c>
    </row>
    <row r="1431" spans="1:11" x14ac:dyDescent="0.2">
      <c r="A1431">
        <v>18489136</v>
      </c>
      <c r="B1431">
        <v>4101988</v>
      </c>
      <c r="C1431">
        <v>4</v>
      </c>
      <c r="D1431">
        <v>0</v>
      </c>
      <c r="E1431">
        <v>1</v>
      </c>
      <c r="F1431">
        <v>9</v>
      </c>
      <c r="G1431">
        <v>5</v>
      </c>
      <c r="H1431" t="str">
        <f>IF(Demographics[[#This Row],[DOB]]&gt;10000000, TEXT(Demographics[[#This Row],[DOB]],0),CONCATENATE("0",TEXT(Demographics[[#This Row],[DOB]],0)))</f>
        <v>04101988</v>
      </c>
      <c r="I1431" s="4">
        <f ca="1">IFERROR((VALUE(TODAY()-DATE(RIGHT(Demographics[[#This Row],[DOB - Fixed]],4),MID(Demographics[[#This Row],[DOB - Fixed]],3,2),LEFT(Demographics[[#This Row],[DOB - Fixed]],2))))/365,0)</f>
        <v>34.950684931506849</v>
      </c>
      <c r="J1431">
        <f>VLOOKUP(Demographics[[#This Row],[INCOME LEVEL]],Income[],4,FALSE)</f>
        <v>175</v>
      </c>
      <c r="K1431">
        <f>IFERROR(Demographics[[#This Row],[Total monthly income]]/Demographics[[#This Row],[FAMILY SIZE]], 0)</f>
        <v>43.75</v>
      </c>
    </row>
    <row r="1432" spans="1:11" x14ac:dyDescent="0.2">
      <c r="A1432">
        <v>10725767</v>
      </c>
      <c r="B1432">
        <v>24101988</v>
      </c>
      <c r="C1432">
        <v>5</v>
      </c>
      <c r="D1432">
        <v>2</v>
      </c>
      <c r="E1432">
        <v>6</v>
      </c>
      <c r="F1432">
        <v>9</v>
      </c>
      <c r="G1432">
        <v>9</v>
      </c>
      <c r="H1432" t="str">
        <f>IF(Demographics[[#This Row],[DOB]]&gt;10000000, TEXT(Demographics[[#This Row],[DOB]],0),CONCATENATE("0",TEXT(Demographics[[#This Row],[DOB]],0)))</f>
        <v>24101988</v>
      </c>
      <c r="I1432" s="4">
        <f ca="1">IFERROR((VALUE(TODAY()-DATE(RIGHT(Demographics[[#This Row],[DOB - Fixed]],4),MID(Demographics[[#This Row],[DOB - Fixed]],3,2),LEFT(Demographics[[#This Row],[DOB - Fixed]],2))))/365,0)</f>
        <v>34.895890410958906</v>
      </c>
      <c r="J1432">
        <f>VLOOKUP(Demographics[[#This Row],[INCOME LEVEL]],Income[],4,FALSE)</f>
        <v>4000</v>
      </c>
      <c r="K1432">
        <f>IFERROR(Demographics[[#This Row],[Total monthly income]]/Demographics[[#This Row],[FAMILY SIZE]], 0)</f>
        <v>800</v>
      </c>
    </row>
    <row r="1433" spans="1:11" x14ac:dyDescent="0.2">
      <c r="A1433">
        <v>23574961</v>
      </c>
      <c r="B1433">
        <v>28121988</v>
      </c>
      <c r="C1433">
        <v>8</v>
      </c>
      <c r="D1433">
        <v>4</v>
      </c>
      <c r="E1433">
        <v>6</v>
      </c>
      <c r="F1433">
        <v>9</v>
      </c>
      <c r="G1433">
        <v>9</v>
      </c>
      <c r="H1433" t="str">
        <f>IF(Demographics[[#This Row],[DOB]]&gt;10000000, TEXT(Demographics[[#This Row],[DOB]],0),CONCATENATE("0",TEXT(Demographics[[#This Row],[DOB]],0)))</f>
        <v>28121988</v>
      </c>
      <c r="I1433" s="4">
        <f ca="1">IFERROR((VALUE(TODAY()-DATE(RIGHT(Demographics[[#This Row],[DOB - Fixed]],4),MID(Demographics[[#This Row],[DOB - Fixed]],3,2),LEFT(Demographics[[#This Row],[DOB - Fixed]],2))))/365,0)</f>
        <v>34.717808219178082</v>
      </c>
      <c r="J1433">
        <f>VLOOKUP(Demographics[[#This Row],[INCOME LEVEL]],Income[],4,FALSE)</f>
        <v>4000</v>
      </c>
      <c r="K1433">
        <f>IFERROR(Demographics[[#This Row],[Total monthly income]]/Demographics[[#This Row],[FAMILY SIZE]], 0)</f>
        <v>500</v>
      </c>
    </row>
    <row r="1434" spans="1:11" x14ac:dyDescent="0.2">
      <c r="A1434">
        <v>12115935</v>
      </c>
      <c r="B1434">
        <v>20031989</v>
      </c>
      <c r="C1434">
        <v>4</v>
      </c>
      <c r="D1434">
        <v>3</v>
      </c>
      <c r="E1434">
        <v>3</v>
      </c>
      <c r="F1434">
        <v>3</v>
      </c>
      <c r="G1434">
        <v>4</v>
      </c>
      <c r="H1434" t="str">
        <f>IF(Demographics[[#This Row],[DOB]]&gt;10000000, TEXT(Demographics[[#This Row],[DOB]],0),CONCATENATE("0",TEXT(Demographics[[#This Row],[DOB]],0)))</f>
        <v>20031989</v>
      </c>
      <c r="I1434" s="4">
        <f ca="1">IFERROR((VALUE(TODAY()-DATE(RIGHT(Demographics[[#This Row],[DOB - Fixed]],4),MID(Demographics[[#This Row],[DOB - Fixed]],3,2),LEFT(Demographics[[#This Row],[DOB - Fixed]],2))))/365,0)</f>
        <v>34.493150684931507</v>
      </c>
      <c r="J1434">
        <f>VLOOKUP(Demographics[[#This Row],[INCOME LEVEL]],Income[],4,FALSE)</f>
        <v>1397.5</v>
      </c>
      <c r="K1434">
        <f>IFERROR(Demographics[[#This Row],[Total monthly income]]/Demographics[[#This Row],[FAMILY SIZE]], 0)</f>
        <v>349.375</v>
      </c>
    </row>
    <row r="1435" spans="1:11" x14ac:dyDescent="0.2">
      <c r="A1435">
        <v>17307263</v>
      </c>
      <c r="B1435">
        <v>4021988</v>
      </c>
      <c r="C1435">
        <v>5</v>
      </c>
      <c r="D1435">
        <v>1</v>
      </c>
      <c r="E1435">
        <v>1</v>
      </c>
      <c r="F1435">
        <v>3</v>
      </c>
      <c r="G1435">
        <v>3</v>
      </c>
      <c r="H1435" t="str">
        <f>IF(Demographics[[#This Row],[DOB]]&gt;10000000, TEXT(Demographics[[#This Row],[DOB]],0),CONCATENATE("0",TEXT(Demographics[[#This Row],[DOB]],0)))</f>
        <v>04021988</v>
      </c>
      <c r="I1435" s="4">
        <f ca="1">IFERROR((VALUE(TODAY()-DATE(RIGHT(Demographics[[#This Row],[DOB - Fixed]],4),MID(Demographics[[#This Row],[DOB - Fixed]],3,2),LEFT(Demographics[[#This Row],[DOB - Fixed]],2))))/365,0)</f>
        <v>35.61643835616438</v>
      </c>
      <c r="J1435">
        <f>VLOOKUP(Demographics[[#This Row],[INCOME LEVEL]],Income[],4,FALSE)</f>
        <v>175</v>
      </c>
      <c r="K1435">
        <f>IFERROR(Demographics[[#This Row],[Total monthly income]]/Demographics[[#This Row],[FAMILY SIZE]], 0)</f>
        <v>35</v>
      </c>
    </row>
    <row r="1436" spans="1:11" x14ac:dyDescent="0.2">
      <c r="A1436">
        <v>217172</v>
      </c>
      <c r="B1436">
        <v>11091988</v>
      </c>
      <c r="C1436">
        <v>4</v>
      </c>
      <c r="D1436">
        <v>1</v>
      </c>
      <c r="E1436">
        <v>1</v>
      </c>
      <c r="F1436">
        <v>2</v>
      </c>
      <c r="G1436">
        <v>2</v>
      </c>
      <c r="H1436" t="str">
        <f>IF(Demographics[[#This Row],[DOB]]&gt;10000000, TEXT(Demographics[[#This Row],[DOB]],0),CONCATENATE("0",TEXT(Demographics[[#This Row],[DOB]],0)))</f>
        <v>11091988</v>
      </c>
      <c r="I1436" s="4">
        <f ca="1">IFERROR((VALUE(TODAY()-DATE(RIGHT(Demographics[[#This Row],[DOB - Fixed]],4),MID(Demographics[[#This Row],[DOB - Fixed]],3,2),LEFT(Demographics[[#This Row],[DOB - Fixed]],2))))/365,0)</f>
        <v>35.013698630136986</v>
      </c>
      <c r="J1436">
        <f>VLOOKUP(Demographics[[#This Row],[INCOME LEVEL]],Income[],4,FALSE)</f>
        <v>175</v>
      </c>
      <c r="K1436">
        <f>IFERROR(Demographics[[#This Row],[Total monthly income]]/Demographics[[#This Row],[FAMILY SIZE]], 0)</f>
        <v>43.75</v>
      </c>
    </row>
    <row r="1437" spans="1:11" x14ac:dyDescent="0.2">
      <c r="A1437">
        <v>16873687</v>
      </c>
      <c r="B1437">
        <v>5091988</v>
      </c>
      <c r="C1437">
        <v>8</v>
      </c>
      <c r="D1437">
        <v>1</v>
      </c>
      <c r="E1437">
        <v>1</v>
      </c>
      <c r="F1437">
        <v>1</v>
      </c>
      <c r="G1437">
        <v>2</v>
      </c>
      <c r="H1437" t="str">
        <f>IF(Demographics[[#This Row],[DOB]]&gt;10000000, TEXT(Demographics[[#This Row],[DOB]],0),CONCATENATE("0",TEXT(Demographics[[#This Row],[DOB]],0)))</f>
        <v>05091988</v>
      </c>
      <c r="I1437" s="4">
        <f ca="1">IFERROR((VALUE(TODAY()-DATE(RIGHT(Demographics[[#This Row],[DOB - Fixed]],4),MID(Demographics[[#This Row],[DOB - Fixed]],3,2),LEFT(Demographics[[#This Row],[DOB - Fixed]],2))))/365,0)</f>
        <v>35.030136986301372</v>
      </c>
      <c r="J1437">
        <f>VLOOKUP(Demographics[[#This Row],[INCOME LEVEL]],Income[],4,FALSE)</f>
        <v>175</v>
      </c>
      <c r="K1437">
        <f>IFERROR(Demographics[[#This Row],[Total monthly income]]/Demographics[[#This Row],[FAMILY SIZE]], 0)</f>
        <v>21.875</v>
      </c>
    </row>
    <row r="1438" spans="1:11" x14ac:dyDescent="0.2">
      <c r="A1438">
        <v>5558521</v>
      </c>
      <c r="B1438">
        <v>27091988</v>
      </c>
      <c r="C1438">
        <v>5</v>
      </c>
      <c r="D1438">
        <v>0</v>
      </c>
      <c r="E1438">
        <v>1</v>
      </c>
      <c r="F1438">
        <v>2</v>
      </c>
      <c r="G1438">
        <v>4</v>
      </c>
      <c r="H1438" t="str">
        <f>IF(Demographics[[#This Row],[DOB]]&gt;10000000, TEXT(Demographics[[#This Row],[DOB]],0),CONCATENATE("0",TEXT(Demographics[[#This Row],[DOB]],0)))</f>
        <v>27091988</v>
      </c>
      <c r="I1438" s="4">
        <f ca="1">IFERROR((VALUE(TODAY()-DATE(RIGHT(Demographics[[#This Row],[DOB - Fixed]],4),MID(Demographics[[#This Row],[DOB - Fixed]],3,2),LEFT(Demographics[[#This Row],[DOB - Fixed]],2))))/365,0)</f>
        <v>34.969863013698628</v>
      </c>
      <c r="J1438">
        <f>VLOOKUP(Demographics[[#This Row],[INCOME LEVEL]],Income[],4,FALSE)</f>
        <v>175</v>
      </c>
      <c r="K1438">
        <f>IFERROR(Demographics[[#This Row],[Total monthly income]]/Demographics[[#This Row],[FAMILY SIZE]], 0)</f>
        <v>35</v>
      </c>
    </row>
    <row r="1439" spans="1:11" x14ac:dyDescent="0.2">
      <c r="A1439">
        <v>17740265</v>
      </c>
      <c r="B1439">
        <v>2121988</v>
      </c>
      <c r="C1439">
        <v>3</v>
      </c>
      <c r="D1439">
        <v>1</v>
      </c>
      <c r="E1439">
        <v>1</v>
      </c>
      <c r="F1439">
        <v>5</v>
      </c>
      <c r="G1439">
        <v>5</v>
      </c>
      <c r="H1439" t="str">
        <f>IF(Demographics[[#This Row],[DOB]]&gt;10000000, TEXT(Demographics[[#This Row],[DOB]],0),CONCATENATE("0",TEXT(Demographics[[#This Row],[DOB]],0)))</f>
        <v>02121988</v>
      </c>
      <c r="I1439" s="4">
        <f ca="1">IFERROR((VALUE(TODAY()-DATE(RIGHT(Demographics[[#This Row],[DOB - Fixed]],4),MID(Demographics[[#This Row],[DOB - Fixed]],3,2),LEFT(Demographics[[#This Row],[DOB - Fixed]],2))))/365,0)</f>
        <v>34.789041095890411</v>
      </c>
      <c r="J1439">
        <f>VLOOKUP(Demographics[[#This Row],[INCOME LEVEL]],Income[],4,FALSE)</f>
        <v>175</v>
      </c>
      <c r="K1439">
        <f>IFERROR(Demographics[[#This Row],[Total monthly income]]/Demographics[[#This Row],[FAMILY SIZE]], 0)</f>
        <v>58.333333333333336</v>
      </c>
    </row>
    <row r="1440" spans="1:11" x14ac:dyDescent="0.2">
      <c r="A1440">
        <v>3854993</v>
      </c>
      <c r="B1440">
        <v>23071988</v>
      </c>
      <c r="C1440">
        <v>4</v>
      </c>
      <c r="D1440">
        <v>1</v>
      </c>
      <c r="E1440">
        <v>1</v>
      </c>
      <c r="F1440">
        <v>2</v>
      </c>
      <c r="G1440">
        <v>2</v>
      </c>
      <c r="H1440" t="str">
        <f>IF(Demographics[[#This Row],[DOB]]&gt;10000000, TEXT(Demographics[[#This Row],[DOB]],0),CONCATENATE("0",TEXT(Demographics[[#This Row],[DOB]],0)))</f>
        <v>23071988</v>
      </c>
      <c r="I1440" s="4">
        <f ca="1">IFERROR((VALUE(TODAY()-DATE(RIGHT(Demographics[[#This Row],[DOB - Fixed]],4),MID(Demographics[[#This Row],[DOB - Fixed]],3,2),LEFT(Demographics[[#This Row],[DOB - Fixed]],2))))/365,0)</f>
        <v>35.150684931506852</v>
      </c>
      <c r="J1440">
        <f>VLOOKUP(Demographics[[#This Row],[INCOME LEVEL]],Income[],4,FALSE)</f>
        <v>175</v>
      </c>
      <c r="K1440">
        <f>IFERROR(Demographics[[#This Row],[Total monthly income]]/Demographics[[#This Row],[FAMILY SIZE]], 0)</f>
        <v>43.75</v>
      </c>
    </row>
    <row r="1441" spans="1:11" x14ac:dyDescent="0.2">
      <c r="A1441">
        <v>16238918</v>
      </c>
      <c r="B1441">
        <v>16011989</v>
      </c>
      <c r="C1441">
        <v>4</v>
      </c>
      <c r="D1441">
        <v>1</v>
      </c>
      <c r="E1441">
        <v>1</v>
      </c>
      <c r="F1441">
        <v>4</v>
      </c>
      <c r="G1441">
        <v>4</v>
      </c>
      <c r="H1441" t="str">
        <f>IF(Demographics[[#This Row],[DOB]]&gt;10000000, TEXT(Demographics[[#This Row],[DOB]],0),CONCATENATE("0",TEXT(Demographics[[#This Row],[DOB]],0)))</f>
        <v>16011989</v>
      </c>
      <c r="I1441" s="4">
        <f ca="1">IFERROR((VALUE(TODAY()-DATE(RIGHT(Demographics[[#This Row],[DOB - Fixed]],4),MID(Demographics[[#This Row],[DOB - Fixed]],3,2),LEFT(Demographics[[#This Row],[DOB - Fixed]],2))))/365,0)</f>
        <v>34.665753424657531</v>
      </c>
      <c r="J1441">
        <f>VLOOKUP(Demographics[[#This Row],[INCOME LEVEL]],Income[],4,FALSE)</f>
        <v>175</v>
      </c>
      <c r="K1441">
        <f>IFERROR(Demographics[[#This Row],[Total monthly income]]/Demographics[[#This Row],[FAMILY SIZE]], 0)</f>
        <v>43.75</v>
      </c>
    </row>
    <row r="1442" spans="1:11" x14ac:dyDescent="0.2">
      <c r="A1442">
        <v>10797599</v>
      </c>
      <c r="B1442">
        <v>23011989</v>
      </c>
      <c r="C1442">
        <v>5</v>
      </c>
      <c r="D1442">
        <v>2</v>
      </c>
      <c r="E1442">
        <v>1</v>
      </c>
      <c r="F1442">
        <v>5</v>
      </c>
      <c r="G1442">
        <v>5</v>
      </c>
      <c r="H1442" t="str">
        <f>IF(Demographics[[#This Row],[DOB]]&gt;10000000, TEXT(Demographics[[#This Row],[DOB]],0),CONCATENATE("0",TEXT(Demographics[[#This Row],[DOB]],0)))</f>
        <v>23011989</v>
      </c>
      <c r="I1442" s="4">
        <f ca="1">IFERROR((VALUE(TODAY()-DATE(RIGHT(Demographics[[#This Row],[DOB - Fixed]],4),MID(Demographics[[#This Row],[DOB - Fixed]],3,2),LEFT(Demographics[[#This Row],[DOB - Fixed]],2))))/365,0)</f>
        <v>34.646575342465752</v>
      </c>
      <c r="J1442">
        <f>VLOOKUP(Demographics[[#This Row],[INCOME LEVEL]],Income[],4,FALSE)</f>
        <v>175</v>
      </c>
      <c r="K1442">
        <f>IFERROR(Demographics[[#This Row],[Total monthly income]]/Demographics[[#This Row],[FAMILY SIZE]], 0)</f>
        <v>35</v>
      </c>
    </row>
    <row r="1443" spans="1:11" x14ac:dyDescent="0.2">
      <c r="A1443">
        <v>1339114</v>
      </c>
      <c r="B1443">
        <v>19091988</v>
      </c>
      <c r="C1443">
        <v>5</v>
      </c>
      <c r="D1443">
        <v>2</v>
      </c>
      <c r="E1443">
        <v>1</v>
      </c>
      <c r="F1443">
        <v>5</v>
      </c>
      <c r="G1443">
        <v>5</v>
      </c>
      <c r="H1443" t="str">
        <f>IF(Demographics[[#This Row],[DOB]]&gt;10000000, TEXT(Demographics[[#This Row],[DOB]],0),CONCATENATE("0",TEXT(Demographics[[#This Row],[DOB]],0)))</f>
        <v>19091988</v>
      </c>
      <c r="I1443" s="4">
        <f ca="1">IFERROR((VALUE(TODAY()-DATE(RIGHT(Demographics[[#This Row],[DOB - Fixed]],4),MID(Demographics[[#This Row],[DOB - Fixed]],3,2),LEFT(Demographics[[#This Row],[DOB - Fixed]],2))))/365,0)</f>
        <v>34.991780821917807</v>
      </c>
      <c r="J1443">
        <f>VLOOKUP(Demographics[[#This Row],[INCOME LEVEL]],Income[],4,FALSE)</f>
        <v>175</v>
      </c>
      <c r="K1443">
        <f>IFERROR(Demographics[[#This Row],[Total monthly income]]/Demographics[[#This Row],[FAMILY SIZE]], 0)</f>
        <v>35</v>
      </c>
    </row>
    <row r="1444" spans="1:11" x14ac:dyDescent="0.2">
      <c r="A1444">
        <v>12638817</v>
      </c>
      <c r="B1444">
        <v>16071988</v>
      </c>
      <c r="C1444">
        <v>3</v>
      </c>
      <c r="D1444">
        <v>1</v>
      </c>
      <c r="E1444">
        <v>1</v>
      </c>
      <c r="F1444">
        <v>2</v>
      </c>
      <c r="G1444">
        <v>2</v>
      </c>
      <c r="H1444" t="str">
        <f>IF(Demographics[[#This Row],[DOB]]&gt;10000000, TEXT(Demographics[[#This Row],[DOB]],0),CONCATENATE("0",TEXT(Demographics[[#This Row],[DOB]],0)))</f>
        <v>16071988</v>
      </c>
      <c r="I1444" s="4">
        <f ca="1">IFERROR((VALUE(TODAY()-DATE(RIGHT(Demographics[[#This Row],[DOB - Fixed]],4),MID(Demographics[[#This Row],[DOB - Fixed]],3,2),LEFT(Demographics[[#This Row],[DOB - Fixed]],2))))/365,0)</f>
        <v>35.169863013698631</v>
      </c>
      <c r="J1444">
        <f>VLOOKUP(Demographics[[#This Row],[INCOME LEVEL]],Income[],4,FALSE)</f>
        <v>175</v>
      </c>
      <c r="K1444">
        <f>IFERROR(Demographics[[#This Row],[Total monthly income]]/Demographics[[#This Row],[FAMILY SIZE]], 0)</f>
        <v>58.333333333333336</v>
      </c>
    </row>
    <row r="1445" spans="1:11" x14ac:dyDescent="0.2">
      <c r="A1445">
        <v>10518183</v>
      </c>
      <c r="B1445">
        <v>16091988</v>
      </c>
      <c r="C1445">
        <v>2</v>
      </c>
      <c r="D1445">
        <v>1</v>
      </c>
      <c r="E1445">
        <v>1</v>
      </c>
      <c r="F1445">
        <v>3</v>
      </c>
      <c r="G1445">
        <v>5</v>
      </c>
      <c r="H1445" t="str">
        <f>IF(Demographics[[#This Row],[DOB]]&gt;10000000, TEXT(Demographics[[#This Row],[DOB]],0),CONCATENATE("0",TEXT(Demographics[[#This Row],[DOB]],0)))</f>
        <v>16091988</v>
      </c>
      <c r="I1445" s="4">
        <f ca="1">IFERROR((VALUE(TODAY()-DATE(RIGHT(Demographics[[#This Row],[DOB - Fixed]],4),MID(Demographics[[#This Row],[DOB - Fixed]],3,2),LEFT(Demographics[[#This Row],[DOB - Fixed]],2))))/365,0)</f>
        <v>35</v>
      </c>
      <c r="J1445">
        <f>VLOOKUP(Demographics[[#This Row],[INCOME LEVEL]],Income[],4,FALSE)</f>
        <v>175</v>
      </c>
      <c r="K1445">
        <f>IFERROR(Demographics[[#This Row],[Total monthly income]]/Demographics[[#This Row],[FAMILY SIZE]], 0)</f>
        <v>87.5</v>
      </c>
    </row>
    <row r="1446" spans="1:11" x14ac:dyDescent="0.2">
      <c r="A1446">
        <v>6044537</v>
      </c>
      <c r="B1446">
        <v>1101988</v>
      </c>
      <c r="C1446">
        <v>5</v>
      </c>
      <c r="D1446">
        <v>0</v>
      </c>
      <c r="E1446">
        <v>1</v>
      </c>
      <c r="F1446">
        <v>4</v>
      </c>
      <c r="G1446">
        <v>4</v>
      </c>
      <c r="H1446" t="str">
        <f>IF(Demographics[[#This Row],[DOB]]&gt;10000000, TEXT(Demographics[[#This Row],[DOB]],0),CONCATENATE("0",TEXT(Demographics[[#This Row],[DOB]],0)))</f>
        <v>01101988</v>
      </c>
      <c r="I1446" s="4">
        <f ca="1">IFERROR((VALUE(TODAY()-DATE(RIGHT(Demographics[[#This Row],[DOB - Fixed]],4),MID(Demographics[[#This Row],[DOB - Fixed]],3,2),LEFT(Demographics[[#This Row],[DOB - Fixed]],2))))/365,0)</f>
        <v>34.958904109589042</v>
      </c>
      <c r="J1446">
        <f>VLOOKUP(Demographics[[#This Row],[INCOME LEVEL]],Income[],4,FALSE)</f>
        <v>175</v>
      </c>
      <c r="K1446">
        <f>IFERROR(Demographics[[#This Row],[Total monthly income]]/Demographics[[#This Row],[FAMILY SIZE]], 0)</f>
        <v>35</v>
      </c>
    </row>
    <row r="1447" spans="1:11" x14ac:dyDescent="0.2">
      <c r="A1447">
        <v>20564991</v>
      </c>
      <c r="B1447">
        <v>3101988</v>
      </c>
      <c r="C1447">
        <v>5</v>
      </c>
      <c r="D1447">
        <v>1</v>
      </c>
      <c r="E1447">
        <v>1</v>
      </c>
      <c r="F1447">
        <v>5</v>
      </c>
      <c r="G1447">
        <v>4</v>
      </c>
      <c r="H1447" t="str">
        <f>IF(Demographics[[#This Row],[DOB]]&gt;10000000, TEXT(Demographics[[#This Row],[DOB]],0),CONCATENATE("0",TEXT(Demographics[[#This Row],[DOB]],0)))</f>
        <v>03101988</v>
      </c>
      <c r="I1447" s="4">
        <f ca="1">IFERROR((VALUE(TODAY()-DATE(RIGHT(Demographics[[#This Row],[DOB - Fixed]],4),MID(Demographics[[#This Row],[DOB - Fixed]],3,2),LEFT(Demographics[[#This Row],[DOB - Fixed]],2))))/365,0)</f>
        <v>34.953424657534249</v>
      </c>
      <c r="J1447">
        <f>VLOOKUP(Demographics[[#This Row],[INCOME LEVEL]],Income[],4,FALSE)</f>
        <v>175</v>
      </c>
      <c r="K1447">
        <f>IFERROR(Demographics[[#This Row],[Total monthly income]]/Demographics[[#This Row],[FAMILY SIZE]], 0)</f>
        <v>35</v>
      </c>
    </row>
    <row r="1448" spans="1:11" x14ac:dyDescent="0.2">
      <c r="A1448">
        <v>13896457</v>
      </c>
      <c r="B1448">
        <v>29111988</v>
      </c>
      <c r="C1448">
        <v>4</v>
      </c>
      <c r="D1448">
        <v>1</v>
      </c>
      <c r="E1448">
        <v>1</v>
      </c>
      <c r="F1448">
        <v>5</v>
      </c>
      <c r="G1448">
        <v>5</v>
      </c>
      <c r="H1448" t="str">
        <f>IF(Demographics[[#This Row],[DOB]]&gt;10000000, TEXT(Demographics[[#This Row],[DOB]],0),CONCATENATE("0",TEXT(Demographics[[#This Row],[DOB]],0)))</f>
        <v>29111988</v>
      </c>
      <c r="I1448" s="4">
        <f ca="1">IFERROR((VALUE(TODAY()-DATE(RIGHT(Demographics[[#This Row],[DOB - Fixed]],4),MID(Demographics[[#This Row],[DOB - Fixed]],3,2),LEFT(Demographics[[#This Row],[DOB - Fixed]],2))))/365,0)</f>
        <v>34.797260273972604</v>
      </c>
      <c r="J1448">
        <f>VLOOKUP(Demographics[[#This Row],[INCOME LEVEL]],Income[],4,FALSE)</f>
        <v>175</v>
      </c>
      <c r="K1448">
        <f>IFERROR(Demographics[[#This Row],[Total monthly income]]/Demographics[[#This Row],[FAMILY SIZE]], 0)</f>
        <v>43.75</v>
      </c>
    </row>
    <row r="1449" spans="1:11" x14ac:dyDescent="0.2">
      <c r="A1449">
        <v>9522956</v>
      </c>
      <c r="B1449">
        <v>26121988</v>
      </c>
      <c r="C1449">
        <v>4</v>
      </c>
      <c r="D1449">
        <v>1</v>
      </c>
      <c r="E1449">
        <v>2</v>
      </c>
      <c r="F1449">
        <v>5</v>
      </c>
      <c r="G1449">
        <v>3</v>
      </c>
      <c r="H1449" t="str">
        <f>IF(Demographics[[#This Row],[DOB]]&gt;10000000, TEXT(Demographics[[#This Row],[DOB]],0),CONCATENATE("0",TEXT(Demographics[[#This Row],[DOB]],0)))</f>
        <v>26121988</v>
      </c>
      <c r="I1449" s="4">
        <f ca="1">IFERROR((VALUE(TODAY()-DATE(RIGHT(Demographics[[#This Row],[DOB - Fixed]],4),MID(Demographics[[#This Row],[DOB - Fixed]],3,2),LEFT(Demographics[[#This Row],[DOB - Fixed]],2))))/365,0)</f>
        <v>34.723287671232875</v>
      </c>
      <c r="J1449">
        <f>VLOOKUP(Demographics[[#This Row],[INCOME LEVEL]],Income[],4,FALSE)</f>
        <v>697.5</v>
      </c>
      <c r="K1449">
        <f>IFERROR(Demographics[[#This Row],[Total monthly income]]/Demographics[[#This Row],[FAMILY SIZE]], 0)</f>
        <v>174.375</v>
      </c>
    </row>
    <row r="1450" spans="1:11" x14ac:dyDescent="0.2">
      <c r="A1450">
        <v>21821930</v>
      </c>
      <c r="B1450">
        <v>29011989</v>
      </c>
      <c r="C1450">
        <v>5</v>
      </c>
      <c r="D1450">
        <v>1</v>
      </c>
      <c r="E1450">
        <v>2</v>
      </c>
      <c r="F1450">
        <v>5</v>
      </c>
      <c r="G1450">
        <v>9</v>
      </c>
      <c r="H1450" t="str">
        <f>IF(Demographics[[#This Row],[DOB]]&gt;10000000, TEXT(Demographics[[#This Row],[DOB]],0),CONCATENATE("0",TEXT(Demographics[[#This Row],[DOB]],0)))</f>
        <v>29011989</v>
      </c>
      <c r="I1450" s="4">
        <f ca="1">IFERROR((VALUE(TODAY()-DATE(RIGHT(Demographics[[#This Row],[DOB - Fixed]],4),MID(Demographics[[#This Row],[DOB - Fixed]],3,2),LEFT(Demographics[[#This Row],[DOB - Fixed]],2))))/365,0)</f>
        <v>34.630136986301373</v>
      </c>
      <c r="J1450">
        <f>VLOOKUP(Demographics[[#This Row],[INCOME LEVEL]],Income[],4,FALSE)</f>
        <v>697.5</v>
      </c>
      <c r="K1450">
        <f>IFERROR(Demographics[[#This Row],[Total monthly income]]/Demographics[[#This Row],[FAMILY SIZE]], 0)</f>
        <v>139.5</v>
      </c>
    </row>
    <row r="1451" spans="1:11" x14ac:dyDescent="0.2">
      <c r="A1451">
        <v>19787301</v>
      </c>
      <c r="B1451">
        <v>8021989</v>
      </c>
      <c r="C1451">
        <v>4</v>
      </c>
      <c r="D1451">
        <v>1</v>
      </c>
      <c r="E1451">
        <v>1</v>
      </c>
      <c r="F1451">
        <v>2</v>
      </c>
      <c r="G1451">
        <v>4</v>
      </c>
      <c r="H1451" t="str">
        <f>IF(Demographics[[#This Row],[DOB]]&gt;10000000, TEXT(Demographics[[#This Row],[DOB]],0),CONCATENATE("0",TEXT(Demographics[[#This Row],[DOB]],0)))</f>
        <v>08021989</v>
      </c>
      <c r="I1451" s="4">
        <f ca="1">IFERROR((VALUE(TODAY()-DATE(RIGHT(Demographics[[#This Row],[DOB - Fixed]],4),MID(Demographics[[#This Row],[DOB - Fixed]],3,2),LEFT(Demographics[[#This Row],[DOB - Fixed]],2))))/365,0)</f>
        <v>34.602739726027394</v>
      </c>
      <c r="J1451">
        <f>VLOOKUP(Demographics[[#This Row],[INCOME LEVEL]],Income[],4,FALSE)</f>
        <v>175</v>
      </c>
      <c r="K1451">
        <f>IFERROR(Demographics[[#This Row],[Total monthly income]]/Demographics[[#This Row],[FAMILY SIZE]], 0)</f>
        <v>43.75</v>
      </c>
    </row>
    <row r="1452" spans="1:11" x14ac:dyDescent="0.2">
      <c r="A1452">
        <v>20681029</v>
      </c>
      <c r="B1452">
        <v>9031989</v>
      </c>
      <c r="C1452">
        <v>2</v>
      </c>
      <c r="D1452">
        <v>1</v>
      </c>
      <c r="E1452">
        <v>2</v>
      </c>
      <c r="F1452">
        <v>9</v>
      </c>
      <c r="G1452">
        <v>9</v>
      </c>
      <c r="H1452" t="str">
        <f>IF(Demographics[[#This Row],[DOB]]&gt;10000000, TEXT(Demographics[[#This Row],[DOB]],0),CONCATENATE("0",TEXT(Demographics[[#This Row],[DOB]],0)))</f>
        <v>09031989</v>
      </c>
      <c r="I1452" s="4">
        <f ca="1">IFERROR((VALUE(TODAY()-DATE(RIGHT(Demographics[[#This Row],[DOB - Fixed]],4),MID(Demographics[[#This Row],[DOB - Fixed]],3,2),LEFT(Demographics[[#This Row],[DOB - Fixed]],2))))/365,0)</f>
        <v>34.523287671232879</v>
      </c>
      <c r="J1452">
        <f>VLOOKUP(Demographics[[#This Row],[INCOME LEVEL]],Income[],4,FALSE)</f>
        <v>697.5</v>
      </c>
      <c r="K1452">
        <f>IFERROR(Demographics[[#This Row],[Total monthly income]]/Demographics[[#This Row],[FAMILY SIZE]], 0)</f>
        <v>348.75</v>
      </c>
    </row>
    <row r="1453" spans="1:11" x14ac:dyDescent="0.2">
      <c r="A1453">
        <v>23683859</v>
      </c>
      <c r="B1453">
        <v>14031989</v>
      </c>
      <c r="C1453">
        <v>2</v>
      </c>
      <c r="D1453">
        <v>0</v>
      </c>
      <c r="E1453">
        <v>1</v>
      </c>
      <c r="F1453">
        <v>2</v>
      </c>
      <c r="G1453">
        <v>3</v>
      </c>
      <c r="H1453" t="str">
        <f>IF(Demographics[[#This Row],[DOB]]&gt;10000000, TEXT(Demographics[[#This Row],[DOB]],0),CONCATENATE("0",TEXT(Demographics[[#This Row],[DOB]],0)))</f>
        <v>14031989</v>
      </c>
      <c r="I1453" s="4">
        <f ca="1">IFERROR((VALUE(TODAY()-DATE(RIGHT(Demographics[[#This Row],[DOB - Fixed]],4),MID(Demographics[[#This Row],[DOB - Fixed]],3,2),LEFT(Demographics[[#This Row],[DOB - Fixed]],2))))/365,0)</f>
        <v>34.509589041095893</v>
      </c>
      <c r="J1453">
        <f>VLOOKUP(Demographics[[#This Row],[INCOME LEVEL]],Income[],4,FALSE)</f>
        <v>175</v>
      </c>
      <c r="K1453">
        <f>IFERROR(Demographics[[#This Row],[Total monthly income]]/Demographics[[#This Row],[FAMILY SIZE]], 0)</f>
        <v>87.5</v>
      </c>
    </row>
    <row r="1454" spans="1:11" x14ac:dyDescent="0.2">
      <c r="A1454">
        <v>15672633</v>
      </c>
      <c r="B1454">
        <v>29031989</v>
      </c>
      <c r="C1454">
        <v>6</v>
      </c>
      <c r="D1454">
        <v>2</v>
      </c>
      <c r="E1454">
        <v>1</v>
      </c>
      <c r="F1454">
        <v>5</v>
      </c>
      <c r="G1454">
        <v>4</v>
      </c>
      <c r="H1454" t="str">
        <f>IF(Demographics[[#This Row],[DOB]]&gt;10000000, TEXT(Demographics[[#This Row],[DOB]],0),CONCATENATE("0",TEXT(Demographics[[#This Row],[DOB]],0)))</f>
        <v>29031989</v>
      </c>
      <c r="I1454" s="4">
        <f ca="1">IFERROR((VALUE(TODAY()-DATE(RIGHT(Demographics[[#This Row],[DOB - Fixed]],4),MID(Demographics[[#This Row],[DOB - Fixed]],3,2),LEFT(Demographics[[#This Row],[DOB - Fixed]],2))))/365,0)</f>
        <v>34.468493150684928</v>
      </c>
      <c r="J1454">
        <f>VLOOKUP(Demographics[[#This Row],[INCOME LEVEL]],Income[],4,FALSE)</f>
        <v>175</v>
      </c>
      <c r="K1454">
        <f>IFERROR(Demographics[[#This Row],[Total monthly income]]/Demographics[[#This Row],[FAMILY SIZE]], 0)</f>
        <v>29.166666666666668</v>
      </c>
    </row>
    <row r="1455" spans="1:11" x14ac:dyDescent="0.2">
      <c r="A1455">
        <v>5901297</v>
      </c>
      <c r="B1455">
        <v>26041989</v>
      </c>
      <c r="C1455">
        <v>6</v>
      </c>
      <c r="D1455">
        <v>1</v>
      </c>
      <c r="E1455">
        <v>1</v>
      </c>
      <c r="F1455">
        <v>2</v>
      </c>
      <c r="G1455">
        <v>4</v>
      </c>
      <c r="H1455" t="str">
        <f>IF(Demographics[[#This Row],[DOB]]&gt;10000000, TEXT(Demographics[[#This Row],[DOB]],0),CONCATENATE("0",TEXT(Demographics[[#This Row],[DOB]],0)))</f>
        <v>26041989</v>
      </c>
      <c r="I1455" s="4">
        <f ca="1">IFERROR((VALUE(TODAY()-DATE(RIGHT(Demographics[[#This Row],[DOB - Fixed]],4),MID(Demographics[[#This Row],[DOB - Fixed]],3,2),LEFT(Demographics[[#This Row],[DOB - Fixed]],2))))/365,0)</f>
        <v>34.391780821917806</v>
      </c>
      <c r="J1455">
        <f>VLOOKUP(Demographics[[#This Row],[INCOME LEVEL]],Income[],4,FALSE)</f>
        <v>175</v>
      </c>
      <c r="K1455">
        <f>IFERROR(Demographics[[#This Row],[Total monthly income]]/Demographics[[#This Row],[FAMILY SIZE]], 0)</f>
        <v>29.166666666666668</v>
      </c>
    </row>
    <row r="1456" spans="1:11" x14ac:dyDescent="0.2">
      <c r="A1456">
        <v>20870658</v>
      </c>
      <c r="B1456">
        <v>24051989</v>
      </c>
      <c r="C1456">
        <v>5</v>
      </c>
      <c r="D1456">
        <v>1</v>
      </c>
      <c r="E1456">
        <v>1</v>
      </c>
      <c r="F1456">
        <v>5</v>
      </c>
      <c r="G1456">
        <v>5</v>
      </c>
      <c r="H1456" t="str">
        <f>IF(Demographics[[#This Row],[DOB]]&gt;10000000, TEXT(Demographics[[#This Row],[DOB]],0),CONCATENATE("0",TEXT(Demographics[[#This Row],[DOB]],0)))</f>
        <v>24051989</v>
      </c>
      <c r="I1456" s="4">
        <f ca="1">IFERROR((VALUE(TODAY()-DATE(RIGHT(Demographics[[#This Row],[DOB - Fixed]],4),MID(Demographics[[#This Row],[DOB - Fixed]],3,2),LEFT(Demographics[[#This Row],[DOB - Fixed]],2))))/365,0)</f>
        <v>34.315068493150683</v>
      </c>
      <c r="J1456">
        <f>VLOOKUP(Demographics[[#This Row],[INCOME LEVEL]],Income[],4,FALSE)</f>
        <v>175</v>
      </c>
      <c r="K1456">
        <f>IFERROR(Demographics[[#This Row],[Total monthly income]]/Demographics[[#This Row],[FAMILY SIZE]], 0)</f>
        <v>35</v>
      </c>
    </row>
    <row r="1457" spans="1:11" x14ac:dyDescent="0.2">
      <c r="A1457">
        <v>20235246</v>
      </c>
      <c r="B1457">
        <v>10061989</v>
      </c>
      <c r="C1457">
        <v>5</v>
      </c>
      <c r="D1457">
        <v>1</v>
      </c>
      <c r="E1457">
        <v>2</v>
      </c>
      <c r="F1457">
        <v>2</v>
      </c>
      <c r="G1457">
        <v>2</v>
      </c>
      <c r="H1457" t="str">
        <f>IF(Demographics[[#This Row],[DOB]]&gt;10000000, TEXT(Demographics[[#This Row],[DOB]],0),CONCATENATE("0",TEXT(Demographics[[#This Row],[DOB]],0)))</f>
        <v>10061989</v>
      </c>
      <c r="I1457" s="4">
        <f ca="1">IFERROR((VALUE(TODAY()-DATE(RIGHT(Demographics[[#This Row],[DOB - Fixed]],4),MID(Demographics[[#This Row],[DOB - Fixed]],3,2),LEFT(Demographics[[#This Row],[DOB - Fixed]],2))))/365,0)</f>
        <v>34.268493150684932</v>
      </c>
      <c r="J1457">
        <f>VLOOKUP(Demographics[[#This Row],[INCOME LEVEL]],Income[],4,FALSE)</f>
        <v>697.5</v>
      </c>
      <c r="K1457">
        <f>IFERROR(Demographics[[#This Row],[Total monthly income]]/Demographics[[#This Row],[FAMILY SIZE]], 0)</f>
        <v>139.5</v>
      </c>
    </row>
    <row r="1458" spans="1:11" x14ac:dyDescent="0.2">
      <c r="A1458">
        <v>10347687</v>
      </c>
      <c r="B1458">
        <v>26071988</v>
      </c>
      <c r="C1458">
        <v>4</v>
      </c>
      <c r="D1458">
        <v>2</v>
      </c>
      <c r="E1458">
        <v>1</v>
      </c>
      <c r="F1458">
        <v>5</v>
      </c>
      <c r="G1458">
        <v>4</v>
      </c>
      <c r="H1458" t="str">
        <f>IF(Demographics[[#This Row],[DOB]]&gt;10000000, TEXT(Demographics[[#This Row],[DOB]],0),CONCATENATE("0",TEXT(Demographics[[#This Row],[DOB]],0)))</f>
        <v>26071988</v>
      </c>
      <c r="I1458" s="4">
        <f ca="1">IFERROR((VALUE(TODAY()-DATE(RIGHT(Demographics[[#This Row],[DOB - Fixed]],4),MID(Demographics[[#This Row],[DOB - Fixed]],3,2),LEFT(Demographics[[#This Row],[DOB - Fixed]],2))))/365,0)</f>
        <v>35.142465753424659</v>
      </c>
      <c r="J1458">
        <f>VLOOKUP(Demographics[[#This Row],[INCOME LEVEL]],Income[],4,FALSE)</f>
        <v>175</v>
      </c>
      <c r="K1458">
        <f>IFERROR(Demographics[[#This Row],[Total monthly income]]/Demographics[[#This Row],[FAMILY SIZE]], 0)</f>
        <v>43.75</v>
      </c>
    </row>
    <row r="1459" spans="1:11" x14ac:dyDescent="0.2">
      <c r="A1459">
        <v>22680020</v>
      </c>
      <c r="B1459">
        <v>7121988</v>
      </c>
      <c r="C1459">
        <v>5</v>
      </c>
      <c r="D1459">
        <v>2</v>
      </c>
      <c r="E1459">
        <v>1</v>
      </c>
      <c r="F1459">
        <v>3</v>
      </c>
      <c r="G1459">
        <v>3</v>
      </c>
      <c r="H1459" t="str">
        <f>IF(Demographics[[#This Row],[DOB]]&gt;10000000, TEXT(Demographics[[#This Row],[DOB]],0),CONCATENATE("0",TEXT(Demographics[[#This Row],[DOB]],0)))</f>
        <v>07121988</v>
      </c>
      <c r="I1459" s="4">
        <f ca="1">IFERROR((VALUE(TODAY()-DATE(RIGHT(Demographics[[#This Row],[DOB - Fixed]],4),MID(Demographics[[#This Row],[DOB - Fixed]],3,2),LEFT(Demographics[[#This Row],[DOB - Fixed]],2))))/365,0)</f>
        <v>34.775342465753425</v>
      </c>
      <c r="J1459">
        <f>VLOOKUP(Demographics[[#This Row],[INCOME LEVEL]],Income[],4,FALSE)</f>
        <v>175</v>
      </c>
      <c r="K1459">
        <f>IFERROR(Demographics[[#This Row],[Total monthly income]]/Demographics[[#This Row],[FAMILY SIZE]], 0)</f>
        <v>35</v>
      </c>
    </row>
    <row r="1460" spans="1:11" x14ac:dyDescent="0.2">
      <c r="A1460">
        <v>14633814</v>
      </c>
      <c r="B1460">
        <v>7061989</v>
      </c>
      <c r="C1460">
        <v>6</v>
      </c>
      <c r="D1460">
        <v>2</v>
      </c>
      <c r="E1460">
        <v>2</v>
      </c>
      <c r="F1460">
        <v>2</v>
      </c>
      <c r="G1460">
        <v>4</v>
      </c>
      <c r="H1460" t="str">
        <f>IF(Demographics[[#This Row],[DOB]]&gt;10000000, TEXT(Demographics[[#This Row],[DOB]],0),CONCATENATE("0",TEXT(Demographics[[#This Row],[DOB]],0)))</f>
        <v>07061989</v>
      </c>
      <c r="I1460" s="4">
        <f ca="1">IFERROR((VALUE(TODAY()-DATE(RIGHT(Demographics[[#This Row],[DOB - Fixed]],4),MID(Demographics[[#This Row],[DOB - Fixed]],3,2),LEFT(Demographics[[#This Row],[DOB - Fixed]],2))))/365,0)</f>
        <v>34.276712328767125</v>
      </c>
      <c r="J1460">
        <f>VLOOKUP(Demographics[[#This Row],[INCOME LEVEL]],Income[],4,FALSE)</f>
        <v>697.5</v>
      </c>
      <c r="K1460">
        <f>IFERROR(Demographics[[#This Row],[Total monthly income]]/Demographics[[#This Row],[FAMILY SIZE]], 0)</f>
        <v>116.25</v>
      </c>
    </row>
    <row r="1461" spans="1:11" x14ac:dyDescent="0.2">
      <c r="A1461">
        <v>10781149</v>
      </c>
      <c r="B1461">
        <v>15021989</v>
      </c>
      <c r="C1461">
        <v>5</v>
      </c>
      <c r="D1461">
        <v>2</v>
      </c>
      <c r="E1461">
        <v>2</v>
      </c>
      <c r="F1461">
        <v>5</v>
      </c>
      <c r="G1461">
        <v>5</v>
      </c>
      <c r="H1461" t="str">
        <f>IF(Demographics[[#This Row],[DOB]]&gt;10000000, TEXT(Demographics[[#This Row],[DOB]],0),CONCATENATE("0",TEXT(Demographics[[#This Row],[DOB]],0)))</f>
        <v>15021989</v>
      </c>
      <c r="I1461" s="4">
        <f ca="1">IFERROR((VALUE(TODAY()-DATE(RIGHT(Demographics[[#This Row],[DOB - Fixed]],4),MID(Demographics[[#This Row],[DOB - Fixed]],3,2),LEFT(Demographics[[#This Row],[DOB - Fixed]],2))))/365,0)</f>
        <v>34.583561643835615</v>
      </c>
      <c r="J1461">
        <f>VLOOKUP(Demographics[[#This Row],[INCOME LEVEL]],Income[],4,FALSE)</f>
        <v>697.5</v>
      </c>
      <c r="K1461">
        <f>IFERROR(Demographics[[#This Row],[Total monthly income]]/Demographics[[#This Row],[FAMILY SIZE]], 0)</f>
        <v>139.5</v>
      </c>
    </row>
    <row r="1462" spans="1:11" x14ac:dyDescent="0.2">
      <c r="A1462">
        <v>22428531</v>
      </c>
      <c r="B1462">
        <v>29101988</v>
      </c>
      <c r="C1462">
        <v>5</v>
      </c>
      <c r="D1462">
        <v>1</v>
      </c>
      <c r="E1462">
        <v>1</v>
      </c>
      <c r="F1462">
        <v>8</v>
      </c>
      <c r="G1462">
        <v>9</v>
      </c>
      <c r="H1462" t="str">
        <f>IF(Demographics[[#This Row],[DOB]]&gt;10000000, TEXT(Demographics[[#This Row],[DOB]],0),CONCATENATE("0",TEXT(Demographics[[#This Row],[DOB]],0)))</f>
        <v>29101988</v>
      </c>
      <c r="I1462" s="4">
        <f ca="1">IFERROR((VALUE(TODAY()-DATE(RIGHT(Demographics[[#This Row],[DOB - Fixed]],4),MID(Demographics[[#This Row],[DOB - Fixed]],3,2),LEFT(Demographics[[#This Row],[DOB - Fixed]],2))))/365,0)</f>
        <v>34.88219178082192</v>
      </c>
      <c r="J1462">
        <f>VLOOKUP(Demographics[[#This Row],[INCOME LEVEL]],Income[],4,FALSE)</f>
        <v>175</v>
      </c>
      <c r="K1462">
        <f>IFERROR(Demographics[[#This Row],[Total monthly income]]/Demographics[[#This Row],[FAMILY SIZE]], 0)</f>
        <v>35</v>
      </c>
    </row>
    <row r="1463" spans="1:11" x14ac:dyDescent="0.2">
      <c r="A1463">
        <v>16759662</v>
      </c>
      <c r="B1463">
        <v>6121988</v>
      </c>
      <c r="C1463">
        <v>4</v>
      </c>
      <c r="D1463">
        <v>1</v>
      </c>
      <c r="E1463">
        <v>3</v>
      </c>
      <c r="F1463">
        <v>9</v>
      </c>
      <c r="G1463">
        <v>7</v>
      </c>
      <c r="H1463" t="str">
        <f>IF(Demographics[[#This Row],[DOB]]&gt;10000000, TEXT(Demographics[[#This Row],[DOB]],0),CONCATENATE("0",TEXT(Demographics[[#This Row],[DOB]],0)))</f>
        <v>06121988</v>
      </c>
      <c r="I1463" s="4">
        <f ca="1">IFERROR((VALUE(TODAY()-DATE(RIGHT(Demographics[[#This Row],[DOB - Fixed]],4),MID(Demographics[[#This Row],[DOB - Fixed]],3,2),LEFT(Demographics[[#This Row],[DOB - Fixed]],2))))/365,0)</f>
        <v>34.778082191780825</v>
      </c>
      <c r="J1463">
        <f>VLOOKUP(Demographics[[#This Row],[INCOME LEVEL]],Income[],4,FALSE)</f>
        <v>1397.5</v>
      </c>
      <c r="K1463">
        <f>IFERROR(Demographics[[#This Row],[Total monthly income]]/Demographics[[#This Row],[FAMILY SIZE]], 0)</f>
        <v>349.375</v>
      </c>
    </row>
    <row r="1464" spans="1:11" x14ac:dyDescent="0.2">
      <c r="A1464">
        <v>16225348</v>
      </c>
      <c r="B1464">
        <v>12121988</v>
      </c>
      <c r="C1464">
        <v>6</v>
      </c>
      <c r="D1464">
        <v>1</v>
      </c>
      <c r="E1464">
        <v>6</v>
      </c>
      <c r="F1464">
        <v>9</v>
      </c>
      <c r="G1464">
        <v>8</v>
      </c>
      <c r="H1464" t="str">
        <f>IF(Demographics[[#This Row],[DOB]]&gt;10000000, TEXT(Demographics[[#This Row],[DOB]],0),CONCATENATE("0",TEXT(Demographics[[#This Row],[DOB]],0)))</f>
        <v>12121988</v>
      </c>
      <c r="I1464" s="4">
        <f ca="1">IFERROR((VALUE(TODAY()-DATE(RIGHT(Demographics[[#This Row],[DOB - Fixed]],4),MID(Demographics[[#This Row],[DOB - Fixed]],3,2),LEFT(Demographics[[#This Row],[DOB - Fixed]],2))))/365,0)</f>
        <v>34.761643835616439</v>
      </c>
      <c r="J1464">
        <f>VLOOKUP(Demographics[[#This Row],[INCOME LEVEL]],Income[],4,FALSE)</f>
        <v>4000</v>
      </c>
      <c r="K1464">
        <f>IFERROR(Demographics[[#This Row],[Total monthly income]]/Demographics[[#This Row],[FAMILY SIZE]], 0)</f>
        <v>666.66666666666663</v>
      </c>
    </row>
    <row r="1465" spans="1:11" x14ac:dyDescent="0.2">
      <c r="A1465">
        <v>14970613</v>
      </c>
      <c r="B1465">
        <v>19011989</v>
      </c>
      <c r="C1465">
        <v>6</v>
      </c>
      <c r="D1465">
        <v>0</v>
      </c>
      <c r="E1465">
        <v>4</v>
      </c>
      <c r="F1465">
        <v>0</v>
      </c>
      <c r="G1465">
        <v>0</v>
      </c>
      <c r="H1465" t="str">
        <f>IF(Demographics[[#This Row],[DOB]]&gt;10000000, TEXT(Demographics[[#This Row],[DOB]],0),CONCATENATE("0",TEXT(Demographics[[#This Row],[DOB]],0)))</f>
        <v>19011989</v>
      </c>
      <c r="I1465" s="4">
        <f ca="1">IFERROR((VALUE(TODAY()-DATE(RIGHT(Demographics[[#This Row],[DOB - Fixed]],4),MID(Demographics[[#This Row],[DOB - Fixed]],3,2),LEFT(Demographics[[#This Row],[DOB - Fixed]],2))))/365,0)</f>
        <v>34.657534246575345</v>
      </c>
      <c r="J1465">
        <f>VLOOKUP(Demographics[[#This Row],[INCOME LEVEL]],Income[],4,FALSE)</f>
        <v>2100</v>
      </c>
      <c r="K1465">
        <f>IFERROR(Demographics[[#This Row],[Total monthly income]]/Demographics[[#This Row],[FAMILY SIZE]], 0)</f>
        <v>350</v>
      </c>
    </row>
    <row r="1466" spans="1:11" x14ac:dyDescent="0.2">
      <c r="A1466">
        <v>20845411</v>
      </c>
      <c r="B1466">
        <v>19011989</v>
      </c>
      <c r="C1466">
        <v>5</v>
      </c>
      <c r="D1466">
        <v>2</v>
      </c>
      <c r="E1466">
        <v>4</v>
      </c>
      <c r="F1466">
        <v>9</v>
      </c>
      <c r="G1466">
        <v>9</v>
      </c>
      <c r="H1466" t="str">
        <f>IF(Demographics[[#This Row],[DOB]]&gt;10000000, TEXT(Demographics[[#This Row],[DOB]],0),CONCATENATE("0",TEXT(Demographics[[#This Row],[DOB]],0)))</f>
        <v>19011989</v>
      </c>
      <c r="I1466" s="4">
        <f ca="1">IFERROR((VALUE(TODAY()-DATE(RIGHT(Demographics[[#This Row],[DOB - Fixed]],4),MID(Demographics[[#This Row],[DOB - Fixed]],3,2),LEFT(Demographics[[#This Row],[DOB - Fixed]],2))))/365,0)</f>
        <v>34.657534246575345</v>
      </c>
      <c r="J1466">
        <f>VLOOKUP(Demographics[[#This Row],[INCOME LEVEL]],Income[],4,FALSE)</f>
        <v>2100</v>
      </c>
      <c r="K1466">
        <f>IFERROR(Demographics[[#This Row],[Total monthly income]]/Demographics[[#This Row],[FAMILY SIZE]], 0)</f>
        <v>420</v>
      </c>
    </row>
    <row r="1467" spans="1:11" x14ac:dyDescent="0.2">
      <c r="A1467">
        <v>22116569</v>
      </c>
      <c r="B1467">
        <v>21011989</v>
      </c>
      <c r="C1467">
        <v>6</v>
      </c>
      <c r="D1467">
        <v>1</v>
      </c>
      <c r="E1467">
        <v>2</v>
      </c>
      <c r="F1467">
        <v>9</v>
      </c>
      <c r="G1467">
        <v>9</v>
      </c>
      <c r="H1467" t="str">
        <f>IF(Demographics[[#This Row],[DOB]]&gt;10000000, TEXT(Demographics[[#This Row],[DOB]],0),CONCATENATE("0",TEXT(Demographics[[#This Row],[DOB]],0)))</f>
        <v>21011989</v>
      </c>
      <c r="I1467" s="4">
        <f ca="1">IFERROR((VALUE(TODAY()-DATE(RIGHT(Demographics[[#This Row],[DOB - Fixed]],4),MID(Demographics[[#This Row],[DOB - Fixed]],3,2),LEFT(Demographics[[#This Row],[DOB - Fixed]],2))))/365,0)</f>
        <v>34.652054794520545</v>
      </c>
      <c r="J1467">
        <f>VLOOKUP(Demographics[[#This Row],[INCOME LEVEL]],Income[],4,FALSE)</f>
        <v>697.5</v>
      </c>
      <c r="K1467">
        <f>IFERROR(Demographics[[#This Row],[Total monthly income]]/Demographics[[#This Row],[FAMILY SIZE]], 0)</f>
        <v>116.25</v>
      </c>
    </row>
    <row r="1468" spans="1:11" x14ac:dyDescent="0.2">
      <c r="A1468">
        <v>17396829</v>
      </c>
      <c r="B1468">
        <v>11011989</v>
      </c>
      <c r="C1468">
        <v>0</v>
      </c>
      <c r="D1468">
        <v>0</v>
      </c>
      <c r="E1468">
        <v>2</v>
      </c>
      <c r="F1468">
        <v>0</v>
      </c>
      <c r="G1468">
        <v>0</v>
      </c>
      <c r="H1468" t="str">
        <f>IF(Demographics[[#This Row],[DOB]]&gt;10000000, TEXT(Demographics[[#This Row],[DOB]],0),CONCATENATE("0",TEXT(Demographics[[#This Row],[DOB]],0)))</f>
        <v>11011989</v>
      </c>
      <c r="I1468" s="4">
        <f ca="1">IFERROR((VALUE(TODAY()-DATE(RIGHT(Demographics[[#This Row],[DOB - Fixed]],4),MID(Demographics[[#This Row],[DOB - Fixed]],3,2),LEFT(Demographics[[#This Row],[DOB - Fixed]],2))))/365,0)</f>
        <v>34.679452054794524</v>
      </c>
      <c r="J1468">
        <f>VLOOKUP(Demographics[[#This Row],[INCOME LEVEL]],Income[],4,FALSE)</f>
        <v>697.5</v>
      </c>
      <c r="K1468">
        <f>IFERROR(Demographics[[#This Row],[Total monthly income]]/Demographics[[#This Row],[FAMILY SIZE]], 0)</f>
        <v>0</v>
      </c>
    </row>
    <row r="1469" spans="1:11" x14ac:dyDescent="0.2">
      <c r="A1469">
        <v>17308339</v>
      </c>
      <c r="B1469">
        <v>7021989</v>
      </c>
      <c r="C1469">
        <v>5</v>
      </c>
      <c r="D1469">
        <v>1</v>
      </c>
      <c r="E1469">
        <v>1</v>
      </c>
      <c r="F1469">
        <v>2</v>
      </c>
      <c r="G1469">
        <v>2</v>
      </c>
      <c r="H1469" t="str">
        <f>IF(Demographics[[#This Row],[DOB]]&gt;10000000, TEXT(Demographics[[#This Row],[DOB]],0),CONCATENATE("0",TEXT(Demographics[[#This Row],[DOB]],0)))</f>
        <v>07021989</v>
      </c>
      <c r="I1469" s="4">
        <f ca="1">IFERROR((VALUE(TODAY()-DATE(RIGHT(Demographics[[#This Row],[DOB - Fixed]],4),MID(Demographics[[#This Row],[DOB - Fixed]],3,2),LEFT(Demographics[[#This Row],[DOB - Fixed]],2))))/365,0)</f>
        <v>34.605479452054794</v>
      </c>
      <c r="J1469">
        <f>VLOOKUP(Demographics[[#This Row],[INCOME LEVEL]],Income[],4,FALSE)</f>
        <v>175</v>
      </c>
      <c r="K1469">
        <f>IFERROR(Demographics[[#This Row],[Total monthly income]]/Demographics[[#This Row],[FAMILY SIZE]], 0)</f>
        <v>35</v>
      </c>
    </row>
    <row r="1470" spans="1:11" x14ac:dyDescent="0.2">
      <c r="A1470">
        <v>11188100</v>
      </c>
      <c r="B1470">
        <v>18111988</v>
      </c>
      <c r="C1470">
        <v>9</v>
      </c>
      <c r="D1470">
        <v>0</v>
      </c>
      <c r="E1470">
        <v>1</v>
      </c>
      <c r="F1470">
        <v>3</v>
      </c>
      <c r="G1470">
        <v>5</v>
      </c>
      <c r="H1470" t="str">
        <f>IF(Demographics[[#This Row],[DOB]]&gt;10000000, TEXT(Demographics[[#This Row],[DOB]],0),CONCATENATE("0",TEXT(Demographics[[#This Row],[DOB]],0)))</f>
        <v>18111988</v>
      </c>
      <c r="I1470" s="4">
        <f ca="1">IFERROR((VALUE(TODAY()-DATE(RIGHT(Demographics[[#This Row],[DOB - Fixed]],4),MID(Demographics[[#This Row],[DOB - Fixed]],3,2),LEFT(Demographics[[#This Row],[DOB - Fixed]],2))))/365,0)</f>
        <v>34.827397260273976</v>
      </c>
      <c r="J1470">
        <f>VLOOKUP(Demographics[[#This Row],[INCOME LEVEL]],Income[],4,FALSE)</f>
        <v>175</v>
      </c>
      <c r="K1470">
        <f>IFERROR(Demographics[[#This Row],[Total monthly income]]/Demographics[[#This Row],[FAMILY SIZE]], 0)</f>
        <v>19.444444444444443</v>
      </c>
    </row>
    <row r="1471" spans="1:11" x14ac:dyDescent="0.2">
      <c r="A1471">
        <v>17175408</v>
      </c>
      <c r="B1471">
        <v>14011989</v>
      </c>
      <c r="C1471">
        <v>5</v>
      </c>
      <c r="D1471">
        <v>2</v>
      </c>
      <c r="E1471">
        <v>2</v>
      </c>
      <c r="F1471">
        <v>5</v>
      </c>
      <c r="G1471">
        <v>5</v>
      </c>
      <c r="H1471" t="str">
        <f>IF(Demographics[[#This Row],[DOB]]&gt;10000000, TEXT(Demographics[[#This Row],[DOB]],0),CONCATENATE("0",TEXT(Demographics[[#This Row],[DOB]],0)))</f>
        <v>14011989</v>
      </c>
      <c r="I1471" s="4">
        <f ca="1">IFERROR((VALUE(TODAY()-DATE(RIGHT(Demographics[[#This Row],[DOB - Fixed]],4),MID(Demographics[[#This Row],[DOB - Fixed]],3,2),LEFT(Demographics[[#This Row],[DOB - Fixed]],2))))/365,0)</f>
        <v>34.671232876712331</v>
      </c>
      <c r="J1471">
        <f>VLOOKUP(Demographics[[#This Row],[INCOME LEVEL]],Income[],4,FALSE)</f>
        <v>697.5</v>
      </c>
      <c r="K1471">
        <f>IFERROR(Demographics[[#This Row],[Total monthly income]]/Demographics[[#This Row],[FAMILY SIZE]], 0)</f>
        <v>139.5</v>
      </c>
    </row>
    <row r="1472" spans="1:11" x14ac:dyDescent="0.2">
      <c r="A1472">
        <v>8987469</v>
      </c>
      <c r="B1472">
        <v>16081988</v>
      </c>
      <c r="C1472">
        <v>3</v>
      </c>
      <c r="D1472">
        <v>1</v>
      </c>
      <c r="E1472">
        <v>2</v>
      </c>
      <c r="F1472">
        <v>9</v>
      </c>
      <c r="G1472">
        <v>8</v>
      </c>
      <c r="H1472" t="str">
        <f>IF(Demographics[[#This Row],[DOB]]&gt;10000000, TEXT(Demographics[[#This Row],[DOB]],0),CONCATENATE("0",TEXT(Demographics[[#This Row],[DOB]],0)))</f>
        <v>16081988</v>
      </c>
      <c r="I1472" s="4">
        <f ca="1">IFERROR((VALUE(TODAY()-DATE(RIGHT(Demographics[[#This Row],[DOB - Fixed]],4),MID(Demographics[[#This Row],[DOB - Fixed]],3,2),LEFT(Demographics[[#This Row],[DOB - Fixed]],2))))/365,0)</f>
        <v>35.084931506849315</v>
      </c>
      <c r="J1472">
        <f>VLOOKUP(Demographics[[#This Row],[INCOME LEVEL]],Income[],4,FALSE)</f>
        <v>697.5</v>
      </c>
      <c r="K1472">
        <f>IFERROR(Demographics[[#This Row],[Total monthly income]]/Demographics[[#This Row],[FAMILY SIZE]], 0)</f>
        <v>232.5</v>
      </c>
    </row>
    <row r="1473" spans="1:11" x14ac:dyDescent="0.2">
      <c r="A1473">
        <v>11657877</v>
      </c>
      <c r="B1473">
        <v>7091988</v>
      </c>
      <c r="C1473">
        <v>0</v>
      </c>
      <c r="D1473">
        <v>0</v>
      </c>
      <c r="E1473">
        <v>3</v>
      </c>
      <c r="F1473">
        <v>9</v>
      </c>
      <c r="G1473">
        <v>5</v>
      </c>
      <c r="H1473" t="str">
        <f>IF(Demographics[[#This Row],[DOB]]&gt;10000000, TEXT(Demographics[[#This Row],[DOB]],0),CONCATENATE("0",TEXT(Demographics[[#This Row],[DOB]],0)))</f>
        <v>07091988</v>
      </c>
      <c r="I1473" s="4">
        <f ca="1">IFERROR((VALUE(TODAY()-DATE(RIGHT(Demographics[[#This Row],[DOB - Fixed]],4),MID(Demographics[[#This Row],[DOB - Fixed]],3,2),LEFT(Demographics[[#This Row],[DOB - Fixed]],2))))/365,0)</f>
        <v>35.024657534246572</v>
      </c>
      <c r="J1473">
        <f>VLOOKUP(Demographics[[#This Row],[INCOME LEVEL]],Income[],4,FALSE)</f>
        <v>1397.5</v>
      </c>
      <c r="K1473">
        <f>IFERROR(Demographics[[#This Row],[Total monthly income]]/Demographics[[#This Row],[FAMILY SIZE]], 0)</f>
        <v>0</v>
      </c>
    </row>
    <row r="1474" spans="1:11" x14ac:dyDescent="0.2">
      <c r="A1474">
        <v>12411093</v>
      </c>
      <c r="B1474">
        <v>17091988</v>
      </c>
      <c r="C1474">
        <v>9</v>
      </c>
      <c r="D1474">
        <v>2</v>
      </c>
      <c r="E1474">
        <v>5</v>
      </c>
      <c r="F1474">
        <v>9</v>
      </c>
      <c r="G1474">
        <v>9</v>
      </c>
      <c r="H1474" t="str">
        <f>IF(Demographics[[#This Row],[DOB]]&gt;10000000, TEXT(Demographics[[#This Row],[DOB]],0),CONCATENATE("0",TEXT(Demographics[[#This Row],[DOB]],0)))</f>
        <v>17091988</v>
      </c>
      <c r="I1474" s="4">
        <f ca="1">IFERROR((VALUE(TODAY()-DATE(RIGHT(Demographics[[#This Row],[DOB - Fixed]],4),MID(Demographics[[#This Row],[DOB - Fixed]],3,2),LEFT(Demographics[[#This Row],[DOB - Fixed]],2))))/365,0)</f>
        <v>34.9972602739726</v>
      </c>
      <c r="J1474">
        <f>VLOOKUP(Demographics[[#This Row],[INCOME LEVEL]],Income[],4,FALSE)</f>
        <v>2787.5</v>
      </c>
      <c r="K1474">
        <f>IFERROR(Demographics[[#This Row],[Total monthly income]]/Demographics[[#This Row],[FAMILY SIZE]], 0)</f>
        <v>309.72222222222223</v>
      </c>
    </row>
    <row r="1475" spans="1:11" x14ac:dyDescent="0.2">
      <c r="A1475">
        <v>11170946</v>
      </c>
      <c r="B1475">
        <v>11021989</v>
      </c>
      <c r="C1475">
        <v>5</v>
      </c>
      <c r="D1475">
        <v>3</v>
      </c>
      <c r="E1475">
        <v>5</v>
      </c>
      <c r="F1475">
        <v>5</v>
      </c>
      <c r="G1475">
        <v>5</v>
      </c>
      <c r="H1475" t="str">
        <f>IF(Demographics[[#This Row],[DOB]]&gt;10000000, TEXT(Demographics[[#This Row],[DOB]],0),CONCATENATE("0",TEXT(Demographics[[#This Row],[DOB]],0)))</f>
        <v>11021989</v>
      </c>
      <c r="I1475" s="4">
        <f ca="1">IFERROR((VALUE(TODAY()-DATE(RIGHT(Demographics[[#This Row],[DOB - Fixed]],4),MID(Demographics[[#This Row],[DOB - Fixed]],3,2),LEFT(Demographics[[#This Row],[DOB - Fixed]],2))))/365,0)</f>
        <v>34.594520547945208</v>
      </c>
      <c r="J1475">
        <f>VLOOKUP(Demographics[[#This Row],[INCOME LEVEL]],Income[],4,FALSE)</f>
        <v>2787.5</v>
      </c>
      <c r="K1475">
        <f>IFERROR(Demographics[[#This Row],[Total monthly income]]/Demographics[[#This Row],[FAMILY SIZE]], 0)</f>
        <v>557.5</v>
      </c>
    </row>
    <row r="1476" spans="1:11" x14ac:dyDescent="0.2">
      <c r="A1476">
        <v>13809009</v>
      </c>
      <c r="B1476">
        <v>4101988</v>
      </c>
      <c r="C1476">
        <v>5</v>
      </c>
      <c r="D1476">
        <v>1</v>
      </c>
      <c r="E1476">
        <v>1</v>
      </c>
      <c r="F1476">
        <v>3</v>
      </c>
      <c r="G1476">
        <v>3</v>
      </c>
      <c r="H1476" t="str">
        <f>IF(Demographics[[#This Row],[DOB]]&gt;10000000, TEXT(Demographics[[#This Row],[DOB]],0),CONCATENATE("0",TEXT(Demographics[[#This Row],[DOB]],0)))</f>
        <v>04101988</v>
      </c>
      <c r="I1476" s="4">
        <f ca="1">IFERROR((VALUE(TODAY()-DATE(RIGHT(Demographics[[#This Row],[DOB - Fixed]],4),MID(Demographics[[#This Row],[DOB - Fixed]],3,2),LEFT(Demographics[[#This Row],[DOB - Fixed]],2))))/365,0)</f>
        <v>34.950684931506849</v>
      </c>
      <c r="J1476">
        <f>VLOOKUP(Demographics[[#This Row],[INCOME LEVEL]],Income[],4,FALSE)</f>
        <v>175</v>
      </c>
      <c r="K1476">
        <f>IFERROR(Demographics[[#This Row],[Total monthly income]]/Demographics[[#This Row],[FAMILY SIZE]], 0)</f>
        <v>35</v>
      </c>
    </row>
    <row r="1477" spans="1:11" x14ac:dyDescent="0.2">
      <c r="A1477">
        <v>9002832</v>
      </c>
      <c r="B1477">
        <v>14101988</v>
      </c>
      <c r="C1477">
        <v>4</v>
      </c>
      <c r="D1477">
        <v>2</v>
      </c>
      <c r="E1477">
        <v>2</v>
      </c>
      <c r="F1477">
        <v>5</v>
      </c>
      <c r="G1477">
        <v>5</v>
      </c>
      <c r="H1477" t="str">
        <f>IF(Demographics[[#This Row],[DOB]]&gt;10000000, TEXT(Demographics[[#This Row],[DOB]],0),CONCATENATE("0",TEXT(Demographics[[#This Row],[DOB]],0)))</f>
        <v>14101988</v>
      </c>
      <c r="I1477" s="4">
        <f ca="1">IFERROR((VALUE(TODAY()-DATE(RIGHT(Demographics[[#This Row],[DOB - Fixed]],4),MID(Demographics[[#This Row],[DOB - Fixed]],3,2),LEFT(Demographics[[#This Row],[DOB - Fixed]],2))))/365,0)</f>
        <v>34.923287671232877</v>
      </c>
      <c r="J1477">
        <f>VLOOKUP(Demographics[[#This Row],[INCOME LEVEL]],Income[],4,FALSE)</f>
        <v>697.5</v>
      </c>
      <c r="K1477">
        <f>IFERROR(Demographics[[#This Row],[Total monthly income]]/Demographics[[#This Row],[FAMILY SIZE]], 0)</f>
        <v>174.375</v>
      </c>
    </row>
    <row r="1478" spans="1:11" x14ac:dyDescent="0.2">
      <c r="A1478">
        <v>13708114</v>
      </c>
      <c r="B1478">
        <v>13101988</v>
      </c>
      <c r="C1478">
        <v>7</v>
      </c>
      <c r="D1478">
        <v>2</v>
      </c>
      <c r="E1478">
        <v>3</v>
      </c>
      <c r="F1478">
        <v>9</v>
      </c>
      <c r="G1478">
        <v>9</v>
      </c>
      <c r="H1478" t="str">
        <f>IF(Demographics[[#This Row],[DOB]]&gt;10000000, TEXT(Demographics[[#This Row],[DOB]],0),CONCATENATE("0",TEXT(Demographics[[#This Row],[DOB]],0)))</f>
        <v>13101988</v>
      </c>
      <c r="I1478" s="4">
        <f ca="1">IFERROR((VALUE(TODAY()-DATE(RIGHT(Demographics[[#This Row],[DOB - Fixed]],4),MID(Demographics[[#This Row],[DOB - Fixed]],3,2),LEFT(Demographics[[#This Row],[DOB - Fixed]],2))))/365,0)</f>
        <v>34.926027397260277</v>
      </c>
      <c r="J1478">
        <f>VLOOKUP(Demographics[[#This Row],[INCOME LEVEL]],Income[],4,FALSE)</f>
        <v>1397.5</v>
      </c>
      <c r="K1478">
        <f>IFERROR(Demographics[[#This Row],[Total monthly income]]/Demographics[[#This Row],[FAMILY SIZE]], 0)</f>
        <v>199.64285714285714</v>
      </c>
    </row>
    <row r="1479" spans="1:11" x14ac:dyDescent="0.2">
      <c r="A1479">
        <v>17563059</v>
      </c>
      <c r="B1479">
        <v>10101988</v>
      </c>
      <c r="C1479">
        <v>4</v>
      </c>
      <c r="D1479">
        <v>1</v>
      </c>
      <c r="E1479">
        <v>3</v>
      </c>
      <c r="F1479">
        <v>8</v>
      </c>
      <c r="G1479">
        <v>9</v>
      </c>
      <c r="H1479" t="str">
        <f>IF(Demographics[[#This Row],[DOB]]&gt;10000000, TEXT(Demographics[[#This Row],[DOB]],0),CONCATENATE("0",TEXT(Demographics[[#This Row],[DOB]],0)))</f>
        <v>10101988</v>
      </c>
      <c r="I1479" s="4">
        <f ca="1">IFERROR((VALUE(TODAY()-DATE(RIGHT(Demographics[[#This Row],[DOB - Fixed]],4),MID(Demographics[[#This Row],[DOB - Fixed]],3,2),LEFT(Demographics[[#This Row],[DOB - Fixed]],2))))/365,0)</f>
        <v>34.934246575342463</v>
      </c>
      <c r="J1479">
        <f>VLOOKUP(Demographics[[#This Row],[INCOME LEVEL]],Income[],4,FALSE)</f>
        <v>1397.5</v>
      </c>
      <c r="K1479">
        <f>IFERROR(Demographics[[#This Row],[Total monthly income]]/Demographics[[#This Row],[FAMILY SIZE]], 0)</f>
        <v>349.375</v>
      </c>
    </row>
    <row r="1480" spans="1:11" x14ac:dyDescent="0.2">
      <c r="A1480">
        <v>13824863</v>
      </c>
      <c r="B1480">
        <v>28091988</v>
      </c>
      <c r="C1480">
        <v>4</v>
      </c>
      <c r="D1480">
        <v>1</v>
      </c>
      <c r="E1480">
        <v>1</v>
      </c>
      <c r="F1480">
        <v>3</v>
      </c>
      <c r="G1480">
        <v>3</v>
      </c>
      <c r="H1480" t="str">
        <f>IF(Demographics[[#This Row],[DOB]]&gt;10000000, TEXT(Demographics[[#This Row],[DOB]],0),CONCATENATE("0",TEXT(Demographics[[#This Row],[DOB]],0)))</f>
        <v>28091988</v>
      </c>
      <c r="I1480" s="4">
        <f ca="1">IFERROR((VALUE(TODAY()-DATE(RIGHT(Demographics[[#This Row],[DOB - Fixed]],4),MID(Demographics[[#This Row],[DOB - Fixed]],3,2),LEFT(Demographics[[#This Row],[DOB - Fixed]],2))))/365,0)</f>
        <v>34.967123287671235</v>
      </c>
      <c r="J1480">
        <f>VLOOKUP(Demographics[[#This Row],[INCOME LEVEL]],Income[],4,FALSE)</f>
        <v>175</v>
      </c>
      <c r="K1480">
        <f>IFERROR(Demographics[[#This Row],[Total monthly income]]/Demographics[[#This Row],[FAMILY SIZE]], 0)</f>
        <v>43.75</v>
      </c>
    </row>
    <row r="1481" spans="1:11" x14ac:dyDescent="0.2">
      <c r="A1481">
        <v>15426650</v>
      </c>
      <c r="B1481">
        <v>11101988</v>
      </c>
      <c r="C1481">
        <v>5</v>
      </c>
      <c r="D1481">
        <v>1</v>
      </c>
      <c r="E1481">
        <v>1</v>
      </c>
      <c r="F1481">
        <v>5</v>
      </c>
      <c r="G1481">
        <v>4</v>
      </c>
      <c r="H1481" t="str">
        <f>IF(Demographics[[#This Row],[DOB]]&gt;10000000, TEXT(Demographics[[#This Row],[DOB]],0),CONCATENATE("0",TEXT(Demographics[[#This Row],[DOB]],0)))</f>
        <v>11101988</v>
      </c>
      <c r="I1481" s="4">
        <f ca="1">IFERROR((VALUE(TODAY()-DATE(RIGHT(Demographics[[#This Row],[DOB - Fixed]],4),MID(Demographics[[#This Row],[DOB - Fixed]],3,2),LEFT(Demographics[[#This Row],[DOB - Fixed]],2))))/365,0)</f>
        <v>34.93150684931507</v>
      </c>
      <c r="J1481">
        <f>VLOOKUP(Demographics[[#This Row],[INCOME LEVEL]],Income[],4,FALSE)</f>
        <v>175</v>
      </c>
      <c r="K1481">
        <f>IFERROR(Demographics[[#This Row],[Total monthly income]]/Demographics[[#This Row],[FAMILY SIZE]], 0)</f>
        <v>35</v>
      </c>
    </row>
    <row r="1482" spans="1:11" x14ac:dyDescent="0.2">
      <c r="A1482">
        <v>3779763</v>
      </c>
      <c r="B1482">
        <v>10101988</v>
      </c>
      <c r="C1482">
        <v>4</v>
      </c>
      <c r="D1482">
        <v>1</v>
      </c>
      <c r="E1482">
        <v>3</v>
      </c>
      <c r="F1482">
        <v>9</v>
      </c>
      <c r="G1482">
        <v>9</v>
      </c>
      <c r="H1482" t="str">
        <f>IF(Demographics[[#This Row],[DOB]]&gt;10000000, TEXT(Demographics[[#This Row],[DOB]],0),CONCATENATE("0",TEXT(Demographics[[#This Row],[DOB]],0)))</f>
        <v>10101988</v>
      </c>
      <c r="I1482" s="4">
        <f ca="1">IFERROR((VALUE(TODAY()-DATE(RIGHT(Demographics[[#This Row],[DOB - Fixed]],4),MID(Demographics[[#This Row],[DOB - Fixed]],3,2),LEFT(Demographics[[#This Row],[DOB - Fixed]],2))))/365,0)</f>
        <v>34.934246575342463</v>
      </c>
      <c r="J1482">
        <f>VLOOKUP(Demographics[[#This Row],[INCOME LEVEL]],Income[],4,FALSE)</f>
        <v>1397.5</v>
      </c>
      <c r="K1482">
        <f>IFERROR(Demographics[[#This Row],[Total monthly income]]/Demographics[[#This Row],[FAMILY SIZE]], 0)</f>
        <v>349.375</v>
      </c>
    </row>
    <row r="1483" spans="1:11" x14ac:dyDescent="0.2">
      <c r="A1483">
        <v>11155111</v>
      </c>
      <c r="B1483">
        <v>9101988</v>
      </c>
      <c r="C1483">
        <v>3</v>
      </c>
      <c r="D1483">
        <v>1</v>
      </c>
      <c r="E1483">
        <v>1</v>
      </c>
      <c r="F1483">
        <v>9</v>
      </c>
      <c r="G1483">
        <v>9</v>
      </c>
      <c r="H1483" t="str">
        <f>IF(Demographics[[#This Row],[DOB]]&gt;10000000, TEXT(Demographics[[#This Row],[DOB]],0),CONCATENATE("0",TEXT(Demographics[[#This Row],[DOB]],0)))</f>
        <v>09101988</v>
      </c>
      <c r="I1483" s="4">
        <f ca="1">IFERROR((VALUE(TODAY()-DATE(RIGHT(Demographics[[#This Row],[DOB - Fixed]],4),MID(Demographics[[#This Row],[DOB - Fixed]],3,2),LEFT(Demographics[[#This Row],[DOB - Fixed]],2))))/365,0)</f>
        <v>34.936986301369863</v>
      </c>
      <c r="J1483">
        <f>VLOOKUP(Demographics[[#This Row],[INCOME LEVEL]],Income[],4,FALSE)</f>
        <v>175</v>
      </c>
      <c r="K1483">
        <f>IFERROR(Demographics[[#This Row],[Total monthly income]]/Demographics[[#This Row],[FAMILY SIZE]], 0)</f>
        <v>58.333333333333336</v>
      </c>
    </row>
    <row r="1484" spans="1:11" x14ac:dyDescent="0.2">
      <c r="A1484">
        <v>14359101</v>
      </c>
      <c r="B1484">
        <v>19101988</v>
      </c>
      <c r="C1484">
        <v>3</v>
      </c>
      <c r="D1484">
        <v>1</v>
      </c>
      <c r="E1484">
        <v>2</v>
      </c>
      <c r="F1484">
        <v>5</v>
      </c>
      <c r="G1484">
        <v>5</v>
      </c>
      <c r="H1484" t="str">
        <f>IF(Demographics[[#This Row],[DOB]]&gt;10000000, TEXT(Demographics[[#This Row],[DOB]],0),CONCATENATE("0",TEXT(Demographics[[#This Row],[DOB]],0)))</f>
        <v>19101988</v>
      </c>
      <c r="I1484" s="4">
        <f ca="1">IFERROR((VALUE(TODAY()-DATE(RIGHT(Demographics[[#This Row],[DOB - Fixed]],4),MID(Demographics[[#This Row],[DOB - Fixed]],3,2),LEFT(Demographics[[#This Row],[DOB - Fixed]],2))))/365,0)</f>
        <v>34.909589041095892</v>
      </c>
      <c r="J1484">
        <f>VLOOKUP(Demographics[[#This Row],[INCOME LEVEL]],Income[],4,FALSE)</f>
        <v>697.5</v>
      </c>
      <c r="K1484">
        <f>IFERROR(Demographics[[#This Row],[Total monthly income]]/Demographics[[#This Row],[FAMILY SIZE]], 0)</f>
        <v>232.5</v>
      </c>
    </row>
    <row r="1485" spans="1:11" x14ac:dyDescent="0.2">
      <c r="A1485">
        <v>20234042</v>
      </c>
      <c r="B1485">
        <v>11101988</v>
      </c>
      <c r="C1485">
        <v>5</v>
      </c>
      <c r="D1485">
        <v>2</v>
      </c>
      <c r="E1485">
        <v>2</v>
      </c>
      <c r="F1485">
        <v>9</v>
      </c>
      <c r="G1485">
        <v>9</v>
      </c>
      <c r="H1485" t="str">
        <f>IF(Demographics[[#This Row],[DOB]]&gt;10000000, TEXT(Demographics[[#This Row],[DOB]],0),CONCATENATE("0",TEXT(Demographics[[#This Row],[DOB]],0)))</f>
        <v>11101988</v>
      </c>
      <c r="I1485" s="4">
        <f ca="1">IFERROR((VALUE(TODAY()-DATE(RIGHT(Demographics[[#This Row],[DOB - Fixed]],4),MID(Demographics[[#This Row],[DOB - Fixed]],3,2),LEFT(Demographics[[#This Row],[DOB - Fixed]],2))))/365,0)</f>
        <v>34.93150684931507</v>
      </c>
      <c r="J1485">
        <f>VLOOKUP(Demographics[[#This Row],[INCOME LEVEL]],Income[],4,FALSE)</f>
        <v>697.5</v>
      </c>
      <c r="K1485">
        <f>IFERROR(Demographics[[#This Row],[Total monthly income]]/Demographics[[#This Row],[FAMILY SIZE]], 0)</f>
        <v>139.5</v>
      </c>
    </row>
    <row r="1486" spans="1:11" x14ac:dyDescent="0.2">
      <c r="A1486">
        <v>21734821</v>
      </c>
      <c r="B1486">
        <v>27091988</v>
      </c>
      <c r="C1486">
        <v>3</v>
      </c>
      <c r="D1486">
        <v>1</v>
      </c>
      <c r="E1486">
        <v>1</v>
      </c>
      <c r="F1486">
        <v>2</v>
      </c>
      <c r="G1486">
        <v>4</v>
      </c>
      <c r="H1486" t="str">
        <f>IF(Demographics[[#This Row],[DOB]]&gt;10000000, TEXT(Demographics[[#This Row],[DOB]],0),CONCATENATE("0",TEXT(Demographics[[#This Row],[DOB]],0)))</f>
        <v>27091988</v>
      </c>
      <c r="I1486" s="4">
        <f ca="1">IFERROR((VALUE(TODAY()-DATE(RIGHT(Demographics[[#This Row],[DOB - Fixed]],4),MID(Demographics[[#This Row],[DOB - Fixed]],3,2),LEFT(Demographics[[#This Row],[DOB - Fixed]],2))))/365,0)</f>
        <v>34.969863013698628</v>
      </c>
      <c r="J1486">
        <f>VLOOKUP(Demographics[[#This Row],[INCOME LEVEL]],Income[],4,FALSE)</f>
        <v>175</v>
      </c>
      <c r="K1486">
        <f>IFERROR(Demographics[[#This Row],[Total monthly income]]/Demographics[[#This Row],[FAMILY SIZE]], 0)</f>
        <v>58.333333333333336</v>
      </c>
    </row>
    <row r="1487" spans="1:11" x14ac:dyDescent="0.2">
      <c r="A1487">
        <v>19064060</v>
      </c>
      <c r="B1487">
        <v>29021988</v>
      </c>
      <c r="C1487">
        <v>4</v>
      </c>
      <c r="D1487">
        <v>1</v>
      </c>
      <c r="E1487">
        <v>1</v>
      </c>
      <c r="F1487">
        <v>3</v>
      </c>
      <c r="G1487">
        <v>5</v>
      </c>
      <c r="H1487" t="str">
        <f>IF(Demographics[[#This Row],[DOB]]&gt;10000000, TEXT(Demographics[[#This Row],[DOB]],0),CONCATENATE("0",TEXT(Demographics[[#This Row],[DOB]],0)))</f>
        <v>29021988</v>
      </c>
      <c r="I1487" s="4">
        <f ca="1">IFERROR((VALUE(TODAY()-DATE(RIGHT(Demographics[[#This Row],[DOB - Fixed]],4),MID(Demographics[[#This Row],[DOB - Fixed]],3,2),LEFT(Demographics[[#This Row],[DOB - Fixed]],2))))/365,0)</f>
        <v>35.547945205479451</v>
      </c>
      <c r="J1487">
        <f>VLOOKUP(Demographics[[#This Row],[INCOME LEVEL]],Income[],4,FALSE)</f>
        <v>175</v>
      </c>
      <c r="K1487">
        <f>IFERROR(Demographics[[#This Row],[Total monthly income]]/Demographics[[#This Row],[FAMILY SIZE]], 0)</f>
        <v>43.75</v>
      </c>
    </row>
    <row r="1488" spans="1:11" x14ac:dyDescent="0.2">
      <c r="A1488">
        <v>17664741</v>
      </c>
      <c r="B1488">
        <v>14091988</v>
      </c>
      <c r="C1488">
        <v>5</v>
      </c>
      <c r="D1488">
        <v>1</v>
      </c>
      <c r="E1488">
        <v>1</v>
      </c>
      <c r="F1488">
        <v>5</v>
      </c>
      <c r="G1488">
        <v>5</v>
      </c>
      <c r="H1488" t="str">
        <f>IF(Demographics[[#This Row],[DOB]]&gt;10000000, TEXT(Demographics[[#This Row],[DOB]],0),CONCATENATE("0",TEXT(Demographics[[#This Row],[DOB]],0)))</f>
        <v>14091988</v>
      </c>
      <c r="I1488" s="4">
        <f ca="1">IFERROR((VALUE(TODAY()-DATE(RIGHT(Demographics[[#This Row],[DOB - Fixed]],4),MID(Demographics[[#This Row],[DOB - Fixed]],3,2),LEFT(Demographics[[#This Row],[DOB - Fixed]],2))))/365,0)</f>
        <v>35.005479452054793</v>
      </c>
      <c r="J1488">
        <f>VLOOKUP(Demographics[[#This Row],[INCOME LEVEL]],Income[],4,FALSE)</f>
        <v>175</v>
      </c>
      <c r="K1488">
        <f>IFERROR(Demographics[[#This Row],[Total monthly income]]/Demographics[[#This Row],[FAMILY SIZE]], 0)</f>
        <v>35</v>
      </c>
    </row>
    <row r="1489" spans="1:11" x14ac:dyDescent="0.2">
      <c r="A1489">
        <v>14893019</v>
      </c>
      <c r="B1489">
        <v>23101988</v>
      </c>
      <c r="C1489">
        <v>2</v>
      </c>
      <c r="D1489">
        <v>1</v>
      </c>
      <c r="E1489">
        <v>2</v>
      </c>
      <c r="F1489">
        <v>7</v>
      </c>
      <c r="G1489">
        <v>4</v>
      </c>
      <c r="H1489" t="str">
        <f>IF(Demographics[[#This Row],[DOB]]&gt;10000000, TEXT(Demographics[[#This Row],[DOB]],0),CONCATENATE("0",TEXT(Demographics[[#This Row],[DOB]],0)))</f>
        <v>23101988</v>
      </c>
      <c r="I1489" s="4">
        <f ca="1">IFERROR((VALUE(TODAY()-DATE(RIGHT(Demographics[[#This Row],[DOB - Fixed]],4),MID(Demographics[[#This Row],[DOB - Fixed]],3,2),LEFT(Demographics[[#This Row],[DOB - Fixed]],2))))/365,0)</f>
        <v>34.898630136986299</v>
      </c>
      <c r="J1489">
        <f>VLOOKUP(Demographics[[#This Row],[INCOME LEVEL]],Income[],4,FALSE)</f>
        <v>697.5</v>
      </c>
      <c r="K1489">
        <f>IFERROR(Demographics[[#This Row],[Total monthly income]]/Demographics[[#This Row],[FAMILY SIZE]], 0)</f>
        <v>348.75</v>
      </c>
    </row>
    <row r="1490" spans="1:11" x14ac:dyDescent="0.2">
      <c r="A1490">
        <v>23005765</v>
      </c>
      <c r="B1490">
        <v>22101988</v>
      </c>
      <c r="C1490">
        <v>5</v>
      </c>
      <c r="D1490">
        <v>2</v>
      </c>
      <c r="E1490">
        <v>4</v>
      </c>
      <c r="F1490">
        <v>8</v>
      </c>
      <c r="G1490">
        <v>9</v>
      </c>
      <c r="H1490" t="str">
        <f>IF(Demographics[[#This Row],[DOB]]&gt;10000000, TEXT(Demographics[[#This Row],[DOB]],0),CONCATENATE("0",TEXT(Demographics[[#This Row],[DOB]],0)))</f>
        <v>22101988</v>
      </c>
      <c r="I1490" s="4">
        <f ca="1">IFERROR((VALUE(TODAY()-DATE(RIGHT(Demographics[[#This Row],[DOB - Fixed]],4),MID(Demographics[[#This Row],[DOB - Fixed]],3,2),LEFT(Demographics[[#This Row],[DOB - Fixed]],2))))/365,0)</f>
        <v>34.901369863013699</v>
      </c>
      <c r="J1490">
        <f>VLOOKUP(Demographics[[#This Row],[INCOME LEVEL]],Income[],4,FALSE)</f>
        <v>2100</v>
      </c>
      <c r="K1490">
        <f>IFERROR(Demographics[[#This Row],[Total monthly income]]/Demographics[[#This Row],[FAMILY SIZE]], 0)</f>
        <v>420</v>
      </c>
    </row>
    <row r="1491" spans="1:11" x14ac:dyDescent="0.2">
      <c r="A1491">
        <v>7085240</v>
      </c>
      <c r="B1491">
        <v>21101988</v>
      </c>
      <c r="C1491">
        <v>5</v>
      </c>
      <c r="D1491">
        <v>1</v>
      </c>
      <c r="E1491">
        <v>2</v>
      </c>
      <c r="F1491">
        <v>5</v>
      </c>
      <c r="G1491">
        <v>7</v>
      </c>
      <c r="H1491" t="str">
        <f>IF(Demographics[[#This Row],[DOB]]&gt;10000000, TEXT(Demographics[[#This Row],[DOB]],0),CONCATENATE("0",TEXT(Demographics[[#This Row],[DOB]],0)))</f>
        <v>21101988</v>
      </c>
      <c r="I1491" s="4">
        <f ca="1">IFERROR((VALUE(TODAY()-DATE(RIGHT(Demographics[[#This Row],[DOB - Fixed]],4),MID(Demographics[[#This Row],[DOB - Fixed]],3,2),LEFT(Demographics[[#This Row],[DOB - Fixed]],2))))/365,0)</f>
        <v>34.904109589041099</v>
      </c>
      <c r="J1491">
        <f>VLOOKUP(Demographics[[#This Row],[INCOME LEVEL]],Income[],4,FALSE)</f>
        <v>697.5</v>
      </c>
      <c r="K1491">
        <f>IFERROR(Demographics[[#This Row],[Total monthly income]]/Demographics[[#This Row],[FAMILY SIZE]], 0)</f>
        <v>139.5</v>
      </c>
    </row>
    <row r="1492" spans="1:11" x14ac:dyDescent="0.2">
      <c r="A1492">
        <v>6348921</v>
      </c>
      <c r="B1492">
        <v>21101988</v>
      </c>
      <c r="C1492">
        <v>4</v>
      </c>
      <c r="D1492">
        <v>1</v>
      </c>
      <c r="E1492">
        <v>2</v>
      </c>
      <c r="F1492">
        <v>8</v>
      </c>
      <c r="G1492">
        <v>7</v>
      </c>
      <c r="H1492" t="str">
        <f>IF(Demographics[[#This Row],[DOB]]&gt;10000000, TEXT(Demographics[[#This Row],[DOB]],0),CONCATENATE("0",TEXT(Demographics[[#This Row],[DOB]],0)))</f>
        <v>21101988</v>
      </c>
      <c r="I1492" s="4">
        <f ca="1">IFERROR((VALUE(TODAY()-DATE(RIGHT(Demographics[[#This Row],[DOB - Fixed]],4),MID(Demographics[[#This Row],[DOB - Fixed]],3,2),LEFT(Demographics[[#This Row],[DOB - Fixed]],2))))/365,0)</f>
        <v>34.904109589041099</v>
      </c>
      <c r="J1492">
        <f>VLOOKUP(Demographics[[#This Row],[INCOME LEVEL]],Income[],4,FALSE)</f>
        <v>697.5</v>
      </c>
      <c r="K1492">
        <f>IFERROR(Demographics[[#This Row],[Total monthly income]]/Demographics[[#This Row],[FAMILY SIZE]], 0)</f>
        <v>174.375</v>
      </c>
    </row>
    <row r="1493" spans="1:11" x14ac:dyDescent="0.2">
      <c r="A1493">
        <v>16494860</v>
      </c>
      <c r="B1493">
        <v>19101988</v>
      </c>
      <c r="C1493">
        <v>5</v>
      </c>
      <c r="D1493">
        <v>1</v>
      </c>
      <c r="E1493">
        <v>1</v>
      </c>
      <c r="F1493">
        <v>4</v>
      </c>
      <c r="G1493">
        <v>2</v>
      </c>
      <c r="H1493" t="str">
        <f>IF(Demographics[[#This Row],[DOB]]&gt;10000000, TEXT(Demographics[[#This Row],[DOB]],0),CONCATENATE("0",TEXT(Demographics[[#This Row],[DOB]],0)))</f>
        <v>19101988</v>
      </c>
      <c r="I1493" s="4">
        <f ca="1">IFERROR((VALUE(TODAY()-DATE(RIGHT(Demographics[[#This Row],[DOB - Fixed]],4),MID(Demographics[[#This Row],[DOB - Fixed]],3,2),LEFT(Demographics[[#This Row],[DOB - Fixed]],2))))/365,0)</f>
        <v>34.909589041095892</v>
      </c>
      <c r="J1493">
        <f>VLOOKUP(Demographics[[#This Row],[INCOME LEVEL]],Income[],4,FALSE)</f>
        <v>175</v>
      </c>
      <c r="K1493">
        <f>IFERROR(Demographics[[#This Row],[Total monthly income]]/Demographics[[#This Row],[FAMILY SIZE]], 0)</f>
        <v>35</v>
      </c>
    </row>
    <row r="1494" spans="1:11" x14ac:dyDescent="0.2">
      <c r="A1494">
        <v>16062243</v>
      </c>
      <c r="B1494">
        <v>19091988</v>
      </c>
      <c r="C1494">
        <v>0</v>
      </c>
      <c r="D1494">
        <v>0</v>
      </c>
      <c r="E1494">
        <v>1</v>
      </c>
      <c r="F1494">
        <v>0</v>
      </c>
      <c r="G1494">
        <v>0</v>
      </c>
      <c r="H1494" t="str">
        <f>IF(Demographics[[#This Row],[DOB]]&gt;10000000, TEXT(Demographics[[#This Row],[DOB]],0),CONCATENATE("0",TEXT(Demographics[[#This Row],[DOB]],0)))</f>
        <v>19091988</v>
      </c>
      <c r="I1494" s="4">
        <f ca="1">IFERROR((VALUE(TODAY()-DATE(RIGHT(Demographics[[#This Row],[DOB - Fixed]],4),MID(Demographics[[#This Row],[DOB - Fixed]],3,2),LEFT(Demographics[[#This Row],[DOB - Fixed]],2))))/365,0)</f>
        <v>34.991780821917807</v>
      </c>
      <c r="J1494">
        <f>VLOOKUP(Demographics[[#This Row],[INCOME LEVEL]],Income[],4,FALSE)</f>
        <v>175</v>
      </c>
      <c r="K1494">
        <f>IFERROR(Demographics[[#This Row],[Total monthly income]]/Demographics[[#This Row],[FAMILY SIZE]], 0)</f>
        <v>0</v>
      </c>
    </row>
    <row r="1495" spans="1:11" x14ac:dyDescent="0.2">
      <c r="A1495">
        <v>11256722</v>
      </c>
      <c r="B1495">
        <v>31101988</v>
      </c>
      <c r="C1495">
        <v>4</v>
      </c>
      <c r="D1495">
        <v>2</v>
      </c>
      <c r="E1495">
        <v>2</v>
      </c>
      <c r="F1495">
        <v>5</v>
      </c>
      <c r="G1495">
        <v>5</v>
      </c>
      <c r="H1495" t="str">
        <f>IF(Demographics[[#This Row],[DOB]]&gt;10000000, TEXT(Demographics[[#This Row],[DOB]],0),CONCATENATE("0",TEXT(Demographics[[#This Row],[DOB]],0)))</f>
        <v>31101988</v>
      </c>
      <c r="I1495" s="4">
        <f ca="1">IFERROR((VALUE(TODAY()-DATE(RIGHT(Demographics[[#This Row],[DOB - Fixed]],4),MID(Demographics[[#This Row],[DOB - Fixed]],3,2),LEFT(Demographics[[#This Row],[DOB - Fixed]],2))))/365,0)</f>
        <v>34.876712328767127</v>
      </c>
      <c r="J1495">
        <f>VLOOKUP(Demographics[[#This Row],[INCOME LEVEL]],Income[],4,FALSE)</f>
        <v>697.5</v>
      </c>
      <c r="K1495">
        <f>IFERROR(Demographics[[#This Row],[Total monthly income]]/Demographics[[#This Row],[FAMILY SIZE]], 0)</f>
        <v>174.375</v>
      </c>
    </row>
    <row r="1496" spans="1:11" x14ac:dyDescent="0.2">
      <c r="A1496">
        <v>12223220</v>
      </c>
      <c r="B1496">
        <v>21071988</v>
      </c>
      <c r="C1496">
        <v>4</v>
      </c>
      <c r="D1496">
        <v>1</v>
      </c>
      <c r="E1496">
        <v>1</v>
      </c>
      <c r="F1496">
        <v>5</v>
      </c>
      <c r="G1496">
        <v>2</v>
      </c>
      <c r="H1496" t="str">
        <f>IF(Demographics[[#This Row],[DOB]]&gt;10000000, TEXT(Demographics[[#This Row],[DOB]],0),CONCATENATE("0",TEXT(Demographics[[#This Row],[DOB]],0)))</f>
        <v>21071988</v>
      </c>
      <c r="I1496" s="4">
        <f ca="1">IFERROR((VALUE(TODAY()-DATE(RIGHT(Demographics[[#This Row],[DOB - Fixed]],4),MID(Demographics[[#This Row],[DOB - Fixed]],3,2),LEFT(Demographics[[#This Row],[DOB - Fixed]],2))))/365,0)</f>
        <v>35.156164383561645</v>
      </c>
      <c r="J1496">
        <f>VLOOKUP(Demographics[[#This Row],[INCOME LEVEL]],Income[],4,FALSE)</f>
        <v>175</v>
      </c>
      <c r="K1496">
        <f>IFERROR(Demographics[[#This Row],[Total monthly income]]/Demographics[[#This Row],[FAMILY SIZE]], 0)</f>
        <v>43.75</v>
      </c>
    </row>
    <row r="1497" spans="1:11" x14ac:dyDescent="0.2">
      <c r="A1497">
        <v>17028960</v>
      </c>
      <c r="B1497">
        <v>27041988</v>
      </c>
      <c r="C1497">
        <v>3</v>
      </c>
      <c r="D1497">
        <v>0</v>
      </c>
      <c r="E1497">
        <v>1</v>
      </c>
      <c r="F1497">
        <v>0</v>
      </c>
      <c r="G1497">
        <v>0</v>
      </c>
      <c r="H1497" t="str">
        <f>IF(Demographics[[#This Row],[DOB]]&gt;10000000, TEXT(Demographics[[#This Row],[DOB]],0),CONCATENATE("0",TEXT(Demographics[[#This Row],[DOB]],0)))</f>
        <v>27041988</v>
      </c>
      <c r="I1497" s="4">
        <f ca="1">IFERROR((VALUE(TODAY()-DATE(RIGHT(Demographics[[#This Row],[DOB - Fixed]],4),MID(Demographics[[#This Row],[DOB - Fixed]],3,2),LEFT(Demographics[[#This Row],[DOB - Fixed]],2))))/365,0)</f>
        <v>35.389041095890413</v>
      </c>
      <c r="J1497">
        <f>VLOOKUP(Demographics[[#This Row],[INCOME LEVEL]],Income[],4,FALSE)</f>
        <v>175</v>
      </c>
      <c r="K1497">
        <f>IFERROR(Demographics[[#This Row],[Total monthly income]]/Demographics[[#This Row],[FAMILY SIZE]], 0)</f>
        <v>58.333333333333336</v>
      </c>
    </row>
    <row r="1498" spans="1:11" x14ac:dyDescent="0.2">
      <c r="A1498">
        <v>19266970</v>
      </c>
      <c r="B1498">
        <v>31101988</v>
      </c>
      <c r="C1498">
        <v>6</v>
      </c>
      <c r="D1498">
        <v>2</v>
      </c>
      <c r="E1498">
        <v>2</v>
      </c>
      <c r="F1498">
        <v>9</v>
      </c>
      <c r="G1498">
        <v>7</v>
      </c>
      <c r="H1498" t="str">
        <f>IF(Demographics[[#This Row],[DOB]]&gt;10000000, TEXT(Demographics[[#This Row],[DOB]],0),CONCATENATE("0",TEXT(Demographics[[#This Row],[DOB]],0)))</f>
        <v>31101988</v>
      </c>
      <c r="I1498" s="4">
        <f ca="1">IFERROR((VALUE(TODAY()-DATE(RIGHT(Demographics[[#This Row],[DOB - Fixed]],4),MID(Demographics[[#This Row],[DOB - Fixed]],3,2),LEFT(Demographics[[#This Row],[DOB - Fixed]],2))))/365,0)</f>
        <v>34.876712328767127</v>
      </c>
      <c r="J1498">
        <f>VLOOKUP(Demographics[[#This Row],[INCOME LEVEL]],Income[],4,FALSE)</f>
        <v>697.5</v>
      </c>
      <c r="K1498">
        <f>IFERROR(Demographics[[#This Row],[Total monthly income]]/Demographics[[#This Row],[FAMILY SIZE]], 0)</f>
        <v>116.25</v>
      </c>
    </row>
    <row r="1499" spans="1:11" x14ac:dyDescent="0.2">
      <c r="A1499">
        <v>3678757</v>
      </c>
      <c r="B1499">
        <v>24101988</v>
      </c>
      <c r="C1499">
        <v>4</v>
      </c>
      <c r="D1499">
        <v>2</v>
      </c>
      <c r="E1499">
        <v>1</v>
      </c>
      <c r="F1499">
        <v>8</v>
      </c>
      <c r="G1499">
        <v>8</v>
      </c>
      <c r="H1499" t="str">
        <f>IF(Demographics[[#This Row],[DOB]]&gt;10000000, TEXT(Demographics[[#This Row],[DOB]],0),CONCATENATE("0",TEXT(Demographics[[#This Row],[DOB]],0)))</f>
        <v>24101988</v>
      </c>
      <c r="I1499" s="4">
        <f ca="1">IFERROR((VALUE(TODAY()-DATE(RIGHT(Demographics[[#This Row],[DOB - Fixed]],4),MID(Demographics[[#This Row],[DOB - Fixed]],3,2),LEFT(Demographics[[#This Row],[DOB - Fixed]],2))))/365,0)</f>
        <v>34.895890410958906</v>
      </c>
      <c r="J1499">
        <f>VLOOKUP(Demographics[[#This Row],[INCOME LEVEL]],Income[],4,FALSE)</f>
        <v>175</v>
      </c>
      <c r="K1499">
        <f>IFERROR(Demographics[[#This Row],[Total monthly income]]/Demographics[[#This Row],[FAMILY SIZE]], 0)</f>
        <v>43.75</v>
      </c>
    </row>
    <row r="1500" spans="1:11" x14ac:dyDescent="0.2">
      <c r="A1500">
        <v>13392461</v>
      </c>
      <c r="B1500">
        <v>27101988</v>
      </c>
      <c r="C1500">
        <v>4</v>
      </c>
      <c r="D1500">
        <v>2</v>
      </c>
      <c r="E1500">
        <v>2</v>
      </c>
      <c r="F1500">
        <v>3</v>
      </c>
      <c r="G1500">
        <v>5</v>
      </c>
      <c r="H1500" t="str">
        <f>IF(Demographics[[#This Row],[DOB]]&gt;10000000, TEXT(Demographics[[#This Row],[DOB]],0),CONCATENATE("0",TEXT(Demographics[[#This Row],[DOB]],0)))</f>
        <v>27101988</v>
      </c>
      <c r="I1500" s="4">
        <f ca="1">IFERROR((VALUE(TODAY()-DATE(RIGHT(Demographics[[#This Row],[DOB - Fixed]],4),MID(Demographics[[#This Row],[DOB - Fixed]],3,2),LEFT(Demographics[[#This Row],[DOB - Fixed]],2))))/365,0)</f>
        <v>34.887671232876713</v>
      </c>
      <c r="J1500">
        <f>VLOOKUP(Demographics[[#This Row],[INCOME LEVEL]],Income[],4,FALSE)</f>
        <v>697.5</v>
      </c>
      <c r="K1500">
        <f>IFERROR(Demographics[[#This Row],[Total monthly income]]/Demographics[[#This Row],[FAMILY SIZE]], 0)</f>
        <v>174.375</v>
      </c>
    </row>
    <row r="1501" spans="1:11" x14ac:dyDescent="0.2">
      <c r="A1501">
        <v>12324827</v>
      </c>
      <c r="B1501">
        <v>16091988</v>
      </c>
      <c r="C1501">
        <v>5</v>
      </c>
      <c r="D1501">
        <v>1</v>
      </c>
      <c r="E1501">
        <v>1</v>
      </c>
      <c r="F1501">
        <v>4</v>
      </c>
      <c r="G1501">
        <v>4</v>
      </c>
      <c r="H1501" t="str">
        <f>IF(Demographics[[#This Row],[DOB]]&gt;10000000, TEXT(Demographics[[#This Row],[DOB]],0),CONCATENATE("0",TEXT(Demographics[[#This Row],[DOB]],0)))</f>
        <v>16091988</v>
      </c>
      <c r="I1501" s="4">
        <f ca="1">IFERROR((VALUE(TODAY()-DATE(RIGHT(Demographics[[#This Row],[DOB - Fixed]],4),MID(Demographics[[#This Row],[DOB - Fixed]],3,2),LEFT(Demographics[[#This Row],[DOB - Fixed]],2))))/365,0)</f>
        <v>35</v>
      </c>
      <c r="J1501">
        <f>VLOOKUP(Demographics[[#This Row],[INCOME LEVEL]],Income[],4,FALSE)</f>
        <v>175</v>
      </c>
      <c r="K1501">
        <f>IFERROR(Demographics[[#This Row],[Total monthly income]]/Demographics[[#This Row],[FAMILY SIZE]], 0)</f>
        <v>35</v>
      </c>
    </row>
    <row r="1502" spans="1:11" x14ac:dyDescent="0.2">
      <c r="A1502">
        <v>24939134</v>
      </c>
      <c r="B1502">
        <v>23101988</v>
      </c>
      <c r="C1502">
        <v>5</v>
      </c>
      <c r="D1502">
        <v>2</v>
      </c>
      <c r="E1502">
        <v>2</v>
      </c>
      <c r="F1502">
        <v>9</v>
      </c>
      <c r="G1502">
        <v>7</v>
      </c>
      <c r="H1502" t="str">
        <f>IF(Demographics[[#This Row],[DOB]]&gt;10000000, TEXT(Demographics[[#This Row],[DOB]],0),CONCATENATE("0",TEXT(Demographics[[#This Row],[DOB]],0)))</f>
        <v>23101988</v>
      </c>
      <c r="I1502" s="4">
        <f ca="1">IFERROR((VALUE(TODAY()-DATE(RIGHT(Demographics[[#This Row],[DOB - Fixed]],4),MID(Demographics[[#This Row],[DOB - Fixed]],3,2),LEFT(Demographics[[#This Row],[DOB - Fixed]],2))))/365,0)</f>
        <v>34.898630136986299</v>
      </c>
      <c r="J1502">
        <f>VLOOKUP(Demographics[[#This Row],[INCOME LEVEL]],Income[],4,FALSE)</f>
        <v>697.5</v>
      </c>
      <c r="K1502">
        <f>IFERROR(Demographics[[#This Row],[Total monthly income]]/Demographics[[#This Row],[FAMILY SIZE]], 0)</f>
        <v>139.5</v>
      </c>
    </row>
    <row r="1503" spans="1:11" x14ac:dyDescent="0.2">
      <c r="A1503">
        <v>15426649</v>
      </c>
      <c r="B1503">
        <v>23101988</v>
      </c>
      <c r="C1503">
        <v>3</v>
      </c>
      <c r="D1503">
        <v>0</v>
      </c>
      <c r="E1503">
        <v>1</v>
      </c>
      <c r="F1503">
        <v>2</v>
      </c>
      <c r="G1503">
        <v>2</v>
      </c>
      <c r="H1503" t="str">
        <f>IF(Demographics[[#This Row],[DOB]]&gt;10000000, TEXT(Demographics[[#This Row],[DOB]],0),CONCATENATE("0",TEXT(Demographics[[#This Row],[DOB]],0)))</f>
        <v>23101988</v>
      </c>
      <c r="I1503" s="4">
        <f ca="1">IFERROR((VALUE(TODAY()-DATE(RIGHT(Demographics[[#This Row],[DOB - Fixed]],4),MID(Demographics[[#This Row],[DOB - Fixed]],3,2),LEFT(Demographics[[#This Row],[DOB - Fixed]],2))))/365,0)</f>
        <v>34.898630136986299</v>
      </c>
      <c r="J1503">
        <f>VLOOKUP(Demographics[[#This Row],[INCOME LEVEL]],Income[],4,FALSE)</f>
        <v>175</v>
      </c>
      <c r="K1503">
        <f>IFERROR(Demographics[[#This Row],[Total monthly income]]/Demographics[[#This Row],[FAMILY SIZE]], 0)</f>
        <v>58.333333333333336</v>
      </c>
    </row>
    <row r="1504" spans="1:11" x14ac:dyDescent="0.2">
      <c r="A1504">
        <v>4847236</v>
      </c>
      <c r="B1504">
        <v>25101988</v>
      </c>
      <c r="C1504">
        <v>5</v>
      </c>
      <c r="D1504">
        <v>2</v>
      </c>
      <c r="E1504">
        <v>2</v>
      </c>
      <c r="F1504">
        <v>5</v>
      </c>
      <c r="G1504">
        <v>9</v>
      </c>
      <c r="H1504" t="str">
        <f>IF(Demographics[[#This Row],[DOB]]&gt;10000000, TEXT(Demographics[[#This Row],[DOB]],0),CONCATENATE("0",TEXT(Demographics[[#This Row],[DOB]],0)))</f>
        <v>25101988</v>
      </c>
      <c r="I1504" s="4">
        <f ca="1">IFERROR((VALUE(TODAY()-DATE(RIGHT(Demographics[[#This Row],[DOB - Fixed]],4),MID(Demographics[[#This Row],[DOB - Fixed]],3,2),LEFT(Demographics[[#This Row],[DOB - Fixed]],2))))/365,0)</f>
        <v>34.893150684931506</v>
      </c>
      <c r="J1504">
        <f>VLOOKUP(Demographics[[#This Row],[INCOME LEVEL]],Income[],4,FALSE)</f>
        <v>697.5</v>
      </c>
      <c r="K1504">
        <f>IFERROR(Demographics[[#This Row],[Total monthly income]]/Demographics[[#This Row],[FAMILY SIZE]], 0)</f>
        <v>139.5</v>
      </c>
    </row>
    <row r="1505" spans="1:11" x14ac:dyDescent="0.2">
      <c r="A1505">
        <v>4746065</v>
      </c>
      <c r="B1505">
        <v>7111988</v>
      </c>
      <c r="C1505">
        <v>4</v>
      </c>
      <c r="D1505">
        <v>2</v>
      </c>
      <c r="E1505">
        <v>2</v>
      </c>
      <c r="F1505">
        <v>5</v>
      </c>
      <c r="G1505">
        <v>5</v>
      </c>
      <c r="H1505" t="str">
        <f>IF(Demographics[[#This Row],[DOB]]&gt;10000000, TEXT(Demographics[[#This Row],[DOB]],0),CONCATENATE("0",TEXT(Demographics[[#This Row],[DOB]],0)))</f>
        <v>07111988</v>
      </c>
      <c r="I1505" s="4">
        <f ca="1">IFERROR((VALUE(TODAY()-DATE(RIGHT(Demographics[[#This Row],[DOB - Fixed]],4),MID(Demographics[[#This Row],[DOB - Fixed]],3,2),LEFT(Demographics[[#This Row],[DOB - Fixed]],2))))/365,0)</f>
        <v>34.857534246575341</v>
      </c>
      <c r="J1505">
        <f>VLOOKUP(Demographics[[#This Row],[INCOME LEVEL]],Income[],4,FALSE)</f>
        <v>697.5</v>
      </c>
      <c r="K1505">
        <f>IFERROR(Demographics[[#This Row],[Total monthly income]]/Demographics[[#This Row],[FAMILY SIZE]], 0)</f>
        <v>174.375</v>
      </c>
    </row>
    <row r="1506" spans="1:11" x14ac:dyDescent="0.2">
      <c r="A1506">
        <v>6983772</v>
      </c>
      <c r="B1506">
        <v>11111988</v>
      </c>
      <c r="C1506">
        <v>4</v>
      </c>
      <c r="D1506">
        <v>1</v>
      </c>
      <c r="E1506">
        <v>3</v>
      </c>
      <c r="F1506">
        <v>9</v>
      </c>
      <c r="G1506">
        <v>5</v>
      </c>
      <c r="H1506" t="str">
        <f>IF(Demographics[[#This Row],[DOB]]&gt;10000000, TEXT(Demographics[[#This Row],[DOB]],0),CONCATENATE("0",TEXT(Demographics[[#This Row],[DOB]],0)))</f>
        <v>11111988</v>
      </c>
      <c r="I1506" s="4">
        <f ca="1">IFERROR((VALUE(TODAY()-DATE(RIGHT(Demographics[[#This Row],[DOB - Fixed]],4),MID(Demographics[[#This Row],[DOB - Fixed]],3,2),LEFT(Demographics[[#This Row],[DOB - Fixed]],2))))/365,0)</f>
        <v>34.846575342465755</v>
      </c>
      <c r="J1506">
        <f>VLOOKUP(Demographics[[#This Row],[INCOME LEVEL]],Income[],4,FALSE)</f>
        <v>1397.5</v>
      </c>
      <c r="K1506">
        <f>IFERROR(Demographics[[#This Row],[Total monthly income]]/Demographics[[#This Row],[FAMILY SIZE]], 0)</f>
        <v>349.375</v>
      </c>
    </row>
    <row r="1507" spans="1:11" x14ac:dyDescent="0.2">
      <c r="A1507">
        <v>21734820</v>
      </c>
      <c r="B1507">
        <v>21081988</v>
      </c>
      <c r="C1507">
        <v>4</v>
      </c>
      <c r="D1507">
        <v>1</v>
      </c>
      <c r="E1507">
        <v>1</v>
      </c>
      <c r="F1507">
        <v>5</v>
      </c>
      <c r="G1507">
        <v>4</v>
      </c>
      <c r="H1507" t="str">
        <f>IF(Demographics[[#This Row],[DOB]]&gt;10000000, TEXT(Demographics[[#This Row],[DOB]],0),CONCATENATE("0",TEXT(Demographics[[#This Row],[DOB]],0)))</f>
        <v>21081988</v>
      </c>
      <c r="I1507" s="4">
        <f ca="1">IFERROR((VALUE(TODAY()-DATE(RIGHT(Demographics[[#This Row],[DOB - Fixed]],4),MID(Demographics[[#This Row],[DOB - Fixed]],3,2),LEFT(Demographics[[#This Row],[DOB - Fixed]],2))))/365,0)</f>
        <v>35.07123287671233</v>
      </c>
      <c r="J1507">
        <f>VLOOKUP(Demographics[[#This Row],[INCOME LEVEL]],Income[],4,FALSE)</f>
        <v>175</v>
      </c>
      <c r="K1507">
        <f>IFERROR(Demographics[[#This Row],[Total monthly income]]/Demographics[[#This Row],[FAMILY SIZE]], 0)</f>
        <v>43.75</v>
      </c>
    </row>
    <row r="1508" spans="1:11" x14ac:dyDescent="0.2">
      <c r="A1508">
        <v>23336986</v>
      </c>
      <c r="B1508">
        <v>10111988</v>
      </c>
      <c r="C1508">
        <v>4</v>
      </c>
      <c r="D1508">
        <v>0</v>
      </c>
      <c r="E1508">
        <v>2</v>
      </c>
      <c r="F1508">
        <v>7</v>
      </c>
      <c r="G1508">
        <v>7</v>
      </c>
      <c r="H1508" t="str">
        <f>IF(Demographics[[#This Row],[DOB]]&gt;10000000, TEXT(Demographics[[#This Row],[DOB]],0),CONCATENATE("0",TEXT(Demographics[[#This Row],[DOB]],0)))</f>
        <v>10111988</v>
      </c>
      <c r="I1508" s="4">
        <f ca="1">IFERROR((VALUE(TODAY()-DATE(RIGHT(Demographics[[#This Row],[DOB - Fixed]],4),MID(Demographics[[#This Row],[DOB - Fixed]],3,2),LEFT(Demographics[[#This Row],[DOB - Fixed]],2))))/365,0)</f>
        <v>34.849315068493148</v>
      </c>
      <c r="J1508">
        <f>VLOOKUP(Demographics[[#This Row],[INCOME LEVEL]],Income[],4,FALSE)</f>
        <v>697.5</v>
      </c>
      <c r="K1508">
        <f>IFERROR(Demographics[[#This Row],[Total monthly income]]/Demographics[[#This Row],[FAMILY SIZE]], 0)</f>
        <v>174.375</v>
      </c>
    </row>
    <row r="1509" spans="1:11" x14ac:dyDescent="0.2">
      <c r="A1509">
        <v>17664740</v>
      </c>
      <c r="B1509">
        <v>9111988</v>
      </c>
      <c r="C1509">
        <v>6</v>
      </c>
      <c r="D1509">
        <v>2</v>
      </c>
      <c r="E1509">
        <v>2</v>
      </c>
      <c r="F1509">
        <v>9</v>
      </c>
      <c r="G1509">
        <v>9</v>
      </c>
      <c r="H1509" t="str">
        <f>IF(Demographics[[#This Row],[DOB]]&gt;10000000, TEXT(Demographics[[#This Row],[DOB]],0),CONCATENATE("0",TEXT(Demographics[[#This Row],[DOB]],0)))</f>
        <v>09111988</v>
      </c>
      <c r="I1509" s="4">
        <f ca="1">IFERROR((VALUE(TODAY()-DATE(RIGHT(Demographics[[#This Row],[DOB - Fixed]],4),MID(Demographics[[#This Row],[DOB - Fixed]],3,2),LEFT(Demographics[[#This Row],[DOB - Fixed]],2))))/365,0)</f>
        <v>34.852054794520548</v>
      </c>
      <c r="J1509">
        <f>VLOOKUP(Demographics[[#This Row],[INCOME LEVEL]],Income[],4,FALSE)</f>
        <v>697.5</v>
      </c>
      <c r="K1509">
        <f>IFERROR(Demographics[[#This Row],[Total monthly income]]/Demographics[[#This Row],[FAMILY SIZE]], 0)</f>
        <v>116.25</v>
      </c>
    </row>
    <row r="1510" spans="1:11" x14ac:dyDescent="0.2">
      <c r="A1510">
        <v>6551539</v>
      </c>
      <c r="B1510">
        <v>7111988</v>
      </c>
      <c r="C1510">
        <v>4</v>
      </c>
      <c r="D1510">
        <v>1</v>
      </c>
      <c r="E1510">
        <v>1</v>
      </c>
      <c r="F1510">
        <v>4</v>
      </c>
      <c r="G1510">
        <v>3</v>
      </c>
      <c r="H1510" t="str">
        <f>IF(Demographics[[#This Row],[DOB]]&gt;10000000, TEXT(Demographics[[#This Row],[DOB]],0),CONCATENATE("0",TEXT(Demographics[[#This Row],[DOB]],0)))</f>
        <v>07111988</v>
      </c>
      <c r="I1510" s="4">
        <f ca="1">IFERROR((VALUE(TODAY()-DATE(RIGHT(Demographics[[#This Row],[DOB - Fixed]],4),MID(Demographics[[#This Row],[DOB - Fixed]],3,2),LEFT(Demographics[[#This Row],[DOB - Fixed]],2))))/365,0)</f>
        <v>34.857534246575341</v>
      </c>
      <c r="J1510">
        <f>VLOOKUP(Demographics[[#This Row],[INCOME LEVEL]],Income[],4,FALSE)</f>
        <v>175</v>
      </c>
      <c r="K1510">
        <f>IFERROR(Demographics[[#This Row],[Total monthly income]]/Demographics[[#This Row],[FAMILY SIZE]], 0)</f>
        <v>43.75</v>
      </c>
    </row>
    <row r="1511" spans="1:11" x14ac:dyDescent="0.2">
      <c r="A1511">
        <v>4212284</v>
      </c>
      <c r="B1511">
        <v>9111988</v>
      </c>
      <c r="C1511">
        <v>3</v>
      </c>
      <c r="D1511">
        <v>1</v>
      </c>
      <c r="E1511">
        <v>1</v>
      </c>
      <c r="F1511">
        <v>3</v>
      </c>
      <c r="G1511">
        <v>3</v>
      </c>
      <c r="H1511" t="str">
        <f>IF(Demographics[[#This Row],[DOB]]&gt;10000000, TEXT(Demographics[[#This Row],[DOB]],0),CONCATENATE("0",TEXT(Demographics[[#This Row],[DOB]],0)))</f>
        <v>09111988</v>
      </c>
      <c r="I1511" s="4">
        <f ca="1">IFERROR((VALUE(TODAY()-DATE(RIGHT(Demographics[[#This Row],[DOB - Fixed]],4),MID(Demographics[[#This Row],[DOB - Fixed]],3,2),LEFT(Demographics[[#This Row],[DOB - Fixed]],2))))/365,0)</f>
        <v>34.852054794520548</v>
      </c>
      <c r="J1511">
        <f>VLOOKUP(Demographics[[#This Row],[INCOME LEVEL]],Income[],4,FALSE)</f>
        <v>175</v>
      </c>
      <c r="K1511">
        <f>IFERROR(Demographics[[#This Row],[Total monthly income]]/Demographics[[#This Row],[FAMILY SIZE]], 0)</f>
        <v>58.333333333333336</v>
      </c>
    </row>
    <row r="1512" spans="1:11" x14ac:dyDescent="0.2">
      <c r="A1512">
        <v>3144549</v>
      </c>
      <c r="B1512">
        <v>14111988</v>
      </c>
      <c r="C1512">
        <v>4</v>
      </c>
      <c r="D1512">
        <v>2</v>
      </c>
      <c r="E1512">
        <v>2</v>
      </c>
      <c r="F1512">
        <v>9</v>
      </c>
      <c r="G1512">
        <v>10</v>
      </c>
      <c r="H1512" t="str">
        <f>IF(Demographics[[#This Row],[DOB]]&gt;10000000, TEXT(Demographics[[#This Row],[DOB]],0),CONCATENATE("0",TEXT(Demographics[[#This Row],[DOB]],0)))</f>
        <v>14111988</v>
      </c>
      <c r="I1512" s="4">
        <f ca="1">IFERROR((VALUE(TODAY()-DATE(RIGHT(Demographics[[#This Row],[DOB - Fixed]],4),MID(Demographics[[#This Row],[DOB - Fixed]],3,2),LEFT(Demographics[[#This Row],[DOB - Fixed]],2))))/365,0)</f>
        <v>34.838356164383562</v>
      </c>
      <c r="J1512">
        <f>VLOOKUP(Demographics[[#This Row],[INCOME LEVEL]],Income[],4,FALSE)</f>
        <v>697.5</v>
      </c>
      <c r="K1512">
        <f>IFERROR(Demographics[[#This Row],[Total monthly income]]/Demographics[[#This Row],[FAMILY SIZE]], 0)</f>
        <v>174.375</v>
      </c>
    </row>
    <row r="1513" spans="1:11" x14ac:dyDescent="0.2">
      <c r="A1513">
        <v>14893018</v>
      </c>
      <c r="B1513">
        <v>19031988</v>
      </c>
      <c r="C1513">
        <v>5</v>
      </c>
      <c r="D1513">
        <v>2</v>
      </c>
      <c r="E1513">
        <v>2</v>
      </c>
      <c r="F1513">
        <v>4</v>
      </c>
      <c r="G1513">
        <v>4</v>
      </c>
      <c r="H1513" t="str">
        <f>IF(Demographics[[#This Row],[DOB]]&gt;10000000, TEXT(Demographics[[#This Row],[DOB]],0),CONCATENATE("0",TEXT(Demographics[[#This Row],[DOB]],0)))</f>
        <v>19031988</v>
      </c>
      <c r="I1513" s="4">
        <f ca="1">IFERROR((VALUE(TODAY()-DATE(RIGHT(Demographics[[#This Row],[DOB - Fixed]],4),MID(Demographics[[#This Row],[DOB - Fixed]],3,2),LEFT(Demographics[[#This Row],[DOB - Fixed]],2))))/365,0)</f>
        <v>35.495890410958907</v>
      </c>
      <c r="J1513">
        <f>VLOOKUP(Demographics[[#This Row],[INCOME LEVEL]],Income[],4,FALSE)</f>
        <v>697.5</v>
      </c>
      <c r="K1513">
        <f>IFERROR(Demographics[[#This Row],[Total monthly income]]/Demographics[[#This Row],[FAMILY SIZE]], 0)</f>
        <v>139.5</v>
      </c>
    </row>
    <row r="1514" spans="1:11" x14ac:dyDescent="0.2">
      <c r="A1514">
        <v>23005764</v>
      </c>
      <c r="B1514">
        <v>27101988</v>
      </c>
      <c r="C1514">
        <v>6</v>
      </c>
      <c r="D1514">
        <v>2</v>
      </c>
      <c r="E1514">
        <v>2</v>
      </c>
      <c r="F1514">
        <v>8</v>
      </c>
      <c r="G1514">
        <v>8</v>
      </c>
      <c r="H1514" t="str">
        <f>IF(Demographics[[#This Row],[DOB]]&gt;10000000, TEXT(Demographics[[#This Row],[DOB]],0),CONCATENATE("0",TEXT(Demographics[[#This Row],[DOB]],0)))</f>
        <v>27101988</v>
      </c>
      <c r="I1514" s="4">
        <f ca="1">IFERROR((VALUE(TODAY()-DATE(RIGHT(Demographics[[#This Row],[DOB - Fixed]],4),MID(Demographics[[#This Row],[DOB - Fixed]],3,2),LEFT(Demographics[[#This Row],[DOB - Fixed]],2))))/365,0)</f>
        <v>34.887671232876713</v>
      </c>
      <c r="J1514">
        <f>VLOOKUP(Demographics[[#This Row],[INCOME LEVEL]],Income[],4,FALSE)</f>
        <v>697.5</v>
      </c>
      <c r="K1514">
        <f>IFERROR(Demographics[[#This Row],[Total monthly income]]/Demographics[[#This Row],[FAMILY SIZE]], 0)</f>
        <v>116.25</v>
      </c>
    </row>
    <row r="1515" spans="1:11" x14ac:dyDescent="0.2">
      <c r="A1515">
        <v>19801508</v>
      </c>
      <c r="B1515">
        <v>14101988</v>
      </c>
      <c r="C1515">
        <v>4</v>
      </c>
      <c r="D1515">
        <v>1</v>
      </c>
      <c r="E1515">
        <v>1</v>
      </c>
      <c r="F1515">
        <v>5</v>
      </c>
      <c r="G1515">
        <v>4</v>
      </c>
      <c r="H1515" t="str">
        <f>IF(Demographics[[#This Row],[DOB]]&gt;10000000, TEXT(Demographics[[#This Row],[DOB]],0),CONCATENATE("0",TEXT(Demographics[[#This Row],[DOB]],0)))</f>
        <v>14101988</v>
      </c>
      <c r="I1515" s="4">
        <f ca="1">IFERROR((VALUE(TODAY()-DATE(RIGHT(Demographics[[#This Row],[DOB - Fixed]],4),MID(Demographics[[#This Row],[DOB - Fixed]],3,2),LEFT(Demographics[[#This Row],[DOB - Fixed]],2))))/365,0)</f>
        <v>34.923287671232877</v>
      </c>
      <c r="J1515">
        <f>VLOOKUP(Demographics[[#This Row],[INCOME LEVEL]],Income[],4,FALSE)</f>
        <v>175</v>
      </c>
      <c r="K1515">
        <f>IFERROR(Demographics[[#This Row],[Total monthly income]]/Demographics[[#This Row],[FAMILY SIZE]], 0)</f>
        <v>43.75</v>
      </c>
    </row>
    <row r="1516" spans="1:11" x14ac:dyDescent="0.2">
      <c r="A1516">
        <v>20767985</v>
      </c>
      <c r="B1516">
        <v>16111988</v>
      </c>
      <c r="C1516">
        <v>6</v>
      </c>
      <c r="D1516">
        <v>2</v>
      </c>
      <c r="E1516">
        <v>2</v>
      </c>
      <c r="F1516">
        <v>8</v>
      </c>
      <c r="G1516">
        <v>9</v>
      </c>
      <c r="H1516" t="str">
        <f>IF(Demographics[[#This Row],[DOB]]&gt;10000000, TEXT(Demographics[[#This Row],[DOB]],0),CONCATENATE("0",TEXT(Demographics[[#This Row],[DOB]],0)))</f>
        <v>16111988</v>
      </c>
      <c r="I1516" s="4">
        <f ca="1">IFERROR((VALUE(TODAY()-DATE(RIGHT(Demographics[[#This Row],[DOB - Fixed]],4),MID(Demographics[[#This Row],[DOB - Fixed]],3,2),LEFT(Demographics[[#This Row],[DOB - Fixed]],2))))/365,0)</f>
        <v>34.832876712328769</v>
      </c>
      <c r="J1516">
        <f>VLOOKUP(Demographics[[#This Row],[INCOME LEVEL]],Income[],4,FALSE)</f>
        <v>697.5</v>
      </c>
      <c r="K1516">
        <f>IFERROR(Demographics[[#This Row],[Total monthly income]]/Demographics[[#This Row],[FAMILY SIZE]], 0)</f>
        <v>116.25</v>
      </c>
    </row>
    <row r="1517" spans="1:11" x14ac:dyDescent="0.2">
      <c r="A1517">
        <v>6348920</v>
      </c>
      <c r="B1517">
        <v>17111988</v>
      </c>
      <c r="C1517">
        <v>5</v>
      </c>
      <c r="D1517">
        <v>1</v>
      </c>
      <c r="E1517">
        <v>1</v>
      </c>
      <c r="F1517">
        <v>4</v>
      </c>
      <c r="G1517">
        <v>9</v>
      </c>
      <c r="H1517" t="str">
        <f>IF(Demographics[[#This Row],[DOB]]&gt;10000000, TEXT(Demographics[[#This Row],[DOB]],0),CONCATENATE("0",TEXT(Demographics[[#This Row],[DOB]],0)))</f>
        <v>17111988</v>
      </c>
      <c r="I1517" s="4">
        <f ca="1">IFERROR((VALUE(TODAY()-DATE(RIGHT(Demographics[[#This Row],[DOB - Fixed]],4),MID(Demographics[[#This Row],[DOB - Fixed]],3,2),LEFT(Demographics[[#This Row],[DOB - Fixed]],2))))/365,0)</f>
        <v>34.830136986301369</v>
      </c>
      <c r="J1517">
        <f>VLOOKUP(Demographics[[#This Row],[INCOME LEVEL]],Income[],4,FALSE)</f>
        <v>175</v>
      </c>
      <c r="K1517">
        <f>IFERROR(Demographics[[#This Row],[Total monthly income]]/Demographics[[#This Row],[FAMILY SIZE]], 0)</f>
        <v>35</v>
      </c>
    </row>
    <row r="1518" spans="1:11" x14ac:dyDescent="0.2">
      <c r="A1518">
        <v>16494861</v>
      </c>
      <c r="B1518">
        <v>19111988</v>
      </c>
      <c r="C1518">
        <v>4</v>
      </c>
      <c r="D1518">
        <v>2</v>
      </c>
      <c r="E1518">
        <v>2</v>
      </c>
      <c r="F1518">
        <v>5</v>
      </c>
      <c r="G1518">
        <v>9</v>
      </c>
      <c r="H1518" t="str">
        <f>IF(Demographics[[#This Row],[DOB]]&gt;10000000, TEXT(Demographics[[#This Row],[DOB]],0),CONCATENATE("0",TEXT(Demographics[[#This Row],[DOB]],0)))</f>
        <v>19111988</v>
      </c>
      <c r="I1518" s="4">
        <f ca="1">IFERROR((VALUE(TODAY()-DATE(RIGHT(Demographics[[#This Row],[DOB - Fixed]],4),MID(Demographics[[#This Row],[DOB - Fixed]],3,2),LEFT(Demographics[[#This Row],[DOB - Fixed]],2))))/365,0)</f>
        <v>34.824657534246576</v>
      </c>
      <c r="J1518">
        <f>VLOOKUP(Demographics[[#This Row],[INCOME LEVEL]],Income[],4,FALSE)</f>
        <v>697.5</v>
      </c>
      <c r="K1518">
        <f>IFERROR(Demographics[[#This Row],[Total monthly income]]/Demographics[[#This Row],[FAMILY SIZE]], 0)</f>
        <v>174.375</v>
      </c>
    </row>
    <row r="1519" spans="1:11" x14ac:dyDescent="0.2">
      <c r="A1519">
        <v>4414814</v>
      </c>
      <c r="B1519">
        <v>21091988</v>
      </c>
      <c r="C1519">
        <v>2</v>
      </c>
      <c r="D1519">
        <v>1</v>
      </c>
      <c r="E1519">
        <v>1</v>
      </c>
      <c r="F1519">
        <v>5</v>
      </c>
      <c r="G1519">
        <v>5</v>
      </c>
      <c r="H1519" t="str">
        <f>IF(Demographics[[#This Row],[DOB]]&gt;10000000, TEXT(Demographics[[#This Row],[DOB]],0),CONCATENATE("0",TEXT(Demographics[[#This Row],[DOB]],0)))</f>
        <v>21091988</v>
      </c>
      <c r="I1519" s="4">
        <f ca="1">IFERROR((VALUE(TODAY()-DATE(RIGHT(Demographics[[#This Row],[DOB - Fixed]],4),MID(Demographics[[#This Row],[DOB - Fixed]],3,2),LEFT(Demographics[[#This Row],[DOB - Fixed]],2))))/365,0)</f>
        <v>34.986301369863014</v>
      </c>
      <c r="J1519">
        <f>VLOOKUP(Demographics[[#This Row],[INCOME LEVEL]],Income[],4,FALSE)</f>
        <v>175</v>
      </c>
      <c r="K1519">
        <f>IFERROR(Demographics[[#This Row],[Total monthly income]]/Demographics[[#This Row],[FAMILY SIZE]], 0)</f>
        <v>87.5</v>
      </c>
    </row>
    <row r="1520" spans="1:11" x14ac:dyDescent="0.2">
      <c r="A1520">
        <v>12223221</v>
      </c>
      <c r="B1520">
        <v>8111988</v>
      </c>
      <c r="C1520">
        <v>5</v>
      </c>
      <c r="D1520">
        <v>0</v>
      </c>
      <c r="E1520">
        <v>1</v>
      </c>
      <c r="F1520">
        <v>3</v>
      </c>
      <c r="G1520">
        <v>5</v>
      </c>
      <c r="H1520" t="str">
        <f>IF(Demographics[[#This Row],[DOB]]&gt;10000000, TEXT(Demographics[[#This Row],[DOB]],0),CONCATENATE("0",TEXT(Demographics[[#This Row],[DOB]],0)))</f>
        <v>08111988</v>
      </c>
      <c r="I1520" s="4">
        <f ca="1">IFERROR((VALUE(TODAY()-DATE(RIGHT(Demographics[[#This Row],[DOB - Fixed]],4),MID(Demographics[[#This Row],[DOB - Fixed]],3,2),LEFT(Demographics[[#This Row],[DOB - Fixed]],2))))/365,0)</f>
        <v>34.854794520547948</v>
      </c>
      <c r="J1520">
        <f>VLOOKUP(Demographics[[#This Row],[INCOME LEVEL]],Income[],4,FALSE)</f>
        <v>175</v>
      </c>
      <c r="K1520">
        <f>IFERROR(Demographics[[#This Row],[Total monthly income]]/Demographics[[#This Row],[FAMILY SIZE]], 0)</f>
        <v>35</v>
      </c>
    </row>
    <row r="1521" spans="1:11" x14ac:dyDescent="0.2">
      <c r="A1521">
        <v>1007522</v>
      </c>
      <c r="B1521">
        <v>27091988</v>
      </c>
      <c r="C1521">
        <v>0</v>
      </c>
      <c r="D1521">
        <v>0</v>
      </c>
      <c r="E1521">
        <v>3</v>
      </c>
      <c r="F1521">
        <v>0</v>
      </c>
      <c r="G1521">
        <v>0</v>
      </c>
      <c r="H1521" t="str">
        <f>IF(Demographics[[#This Row],[DOB]]&gt;10000000, TEXT(Demographics[[#This Row],[DOB]],0),CONCATENATE("0",TEXT(Demographics[[#This Row],[DOB]],0)))</f>
        <v>27091988</v>
      </c>
      <c r="I1521" s="4">
        <f ca="1">IFERROR((VALUE(TODAY()-DATE(RIGHT(Demographics[[#This Row],[DOB - Fixed]],4),MID(Demographics[[#This Row],[DOB - Fixed]],3,2),LEFT(Demographics[[#This Row],[DOB - Fixed]],2))))/365,0)</f>
        <v>34.969863013698628</v>
      </c>
      <c r="J1521">
        <f>VLOOKUP(Demographics[[#This Row],[INCOME LEVEL]],Income[],4,FALSE)</f>
        <v>1397.5</v>
      </c>
      <c r="K1521">
        <f>IFERROR(Demographics[[#This Row],[Total monthly income]]/Demographics[[#This Row],[FAMILY SIZE]], 0)</f>
        <v>0</v>
      </c>
    </row>
    <row r="1522" spans="1:11" x14ac:dyDescent="0.2">
      <c r="A1522">
        <v>22803329</v>
      </c>
      <c r="B1522">
        <v>21111988</v>
      </c>
      <c r="C1522">
        <v>3</v>
      </c>
      <c r="D1522">
        <v>1</v>
      </c>
      <c r="E1522">
        <v>1</v>
      </c>
      <c r="F1522">
        <v>5</v>
      </c>
      <c r="G1522">
        <v>7</v>
      </c>
      <c r="H1522" t="str">
        <f>IF(Demographics[[#This Row],[DOB]]&gt;10000000, TEXT(Demographics[[#This Row],[DOB]],0),CONCATENATE("0",TEXT(Demographics[[#This Row],[DOB]],0)))</f>
        <v>21111988</v>
      </c>
      <c r="I1522" s="4">
        <f ca="1">IFERROR((VALUE(TODAY()-DATE(RIGHT(Demographics[[#This Row],[DOB - Fixed]],4),MID(Demographics[[#This Row],[DOB - Fixed]],3,2),LEFT(Demographics[[#This Row],[DOB - Fixed]],2))))/365,0)</f>
        <v>34.819178082191783</v>
      </c>
      <c r="J1522">
        <f>VLOOKUP(Demographics[[#This Row],[INCOME LEVEL]],Income[],4,FALSE)</f>
        <v>175</v>
      </c>
      <c r="K1522">
        <f>IFERROR(Demographics[[#This Row],[Total monthly income]]/Demographics[[#This Row],[FAMILY SIZE]], 0)</f>
        <v>58.333333333333336</v>
      </c>
    </row>
    <row r="1523" spans="1:11" x14ac:dyDescent="0.2">
      <c r="A1523">
        <v>7950435</v>
      </c>
      <c r="B1523">
        <v>15111988</v>
      </c>
      <c r="C1523">
        <v>2</v>
      </c>
      <c r="D1523">
        <v>1</v>
      </c>
      <c r="E1523">
        <v>2</v>
      </c>
      <c r="F1523">
        <v>0</v>
      </c>
      <c r="G1523">
        <v>9</v>
      </c>
      <c r="H1523" t="str">
        <f>IF(Demographics[[#This Row],[DOB]]&gt;10000000, TEXT(Demographics[[#This Row],[DOB]],0),CONCATENATE("0",TEXT(Demographics[[#This Row],[DOB]],0)))</f>
        <v>15111988</v>
      </c>
      <c r="I1523" s="4">
        <f ca="1">IFERROR((VALUE(TODAY()-DATE(RIGHT(Demographics[[#This Row],[DOB - Fixed]],4),MID(Demographics[[#This Row],[DOB - Fixed]],3,2),LEFT(Demographics[[#This Row],[DOB - Fixed]],2))))/365,0)</f>
        <v>34.835616438356162</v>
      </c>
      <c r="J1523">
        <f>VLOOKUP(Demographics[[#This Row],[INCOME LEVEL]],Income[],4,FALSE)</f>
        <v>697.5</v>
      </c>
      <c r="K1523">
        <f>IFERROR(Demographics[[#This Row],[Total monthly income]]/Demographics[[#This Row],[FAMILY SIZE]], 0)</f>
        <v>348.75</v>
      </c>
    </row>
    <row r="1524" spans="1:11" x14ac:dyDescent="0.2">
      <c r="A1524">
        <v>14994651</v>
      </c>
      <c r="B1524">
        <v>16111988</v>
      </c>
      <c r="C1524">
        <v>3</v>
      </c>
      <c r="D1524">
        <v>1</v>
      </c>
      <c r="E1524">
        <v>2</v>
      </c>
      <c r="F1524">
        <v>5</v>
      </c>
      <c r="G1524">
        <v>4</v>
      </c>
      <c r="H1524" t="str">
        <f>IF(Demographics[[#This Row],[DOB]]&gt;10000000, TEXT(Demographics[[#This Row],[DOB]],0),CONCATENATE("0",TEXT(Demographics[[#This Row],[DOB]],0)))</f>
        <v>16111988</v>
      </c>
      <c r="I1524" s="4">
        <f ca="1">IFERROR((VALUE(TODAY()-DATE(RIGHT(Demographics[[#This Row],[DOB - Fixed]],4),MID(Demographics[[#This Row],[DOB - Fixed]],3,2),LEFT(Demographics[[#This Row],[DOB - Fixed]],2))))/365,0)</f>
        <v>34.832876712328769</v>
      </c>
      <c r="J1524">
        <f>VLOOKUP(Demographics[[#This Row],[INCOME LEVEL]],Income[],4,FALSE)</f>
        <v>697.5</v>
      </c>
      <c r="K1524">
        <f>IFERROR(Demographics[[#This Row],[Total monthly income]]/Demographics[[#This Row],[FAMILY SIZE]], 0)</f>
        <v>232.5</v>
      </c>
    </row>
    <row r="1525" spans="1:11" x14ac:dyDescent="0.2">
      <c r="A1525">
        <v>8484633</v>
      </c>
      <c r="B1525">
        <v>22111988</v>
      </c>
      <c r="C1525">
        <v>5</v>
      </c>
      <c r="D1525">
        <v>1</v>
      </c>
      <c r="E1525">
        <v>2</v>
      </c>
      <c r="F1525">
        <v>8</v>
      </c>
      <c r="G1525">
        <v>5</v>
      </c>
      <c r="H1525" t="str">
        <f>IF(Demographics[[#This Row],[DOB]]&gt;10000000, TEXT(Demographics[[#This Row],[DOB]],0),CONCATENATE("0",TEXT(Demographics[[#This Row],[DOB]],0)))</f>
        <v>22111988</v>
      </c>
      <c r="I1525" s="4">
        <f ca="1">IFERROR((VALUE(TODAY()-DATE(RIGHT(Demographics[[#This Row],[DOB - Fixed]],4),MID(Demographics[[#This Row],[DOB - Fixed]],3,2),LEFT(Demographics[[#This Row],[DOB - Fixed]],2))))/365,0)</f>
        <v>34.816438356164383</v>
      </c>
      <c r="J1525">
        <f>VLOOKUP(Demographics[[#This Row],[INCOME LEVEL]],Income[],4,FALSE)</f>
        <v>697.5</v>
      </c>
      <c r="K1525">
        <f>IFERROR(Demographics[[#This Row],[Total monthly income]]/Demographics[[#This Row],[FAMILY SIZE]], 0)</f>
        <v>139.5</v>
      </c>
    </row>
    <row r="1526" spans="1:11" x14ac:dyDescent="0.2">
      <c r="A1526">
        <v>10722269</v>
      </c>
      <c r="B1526">
        <v>23091988</v>
      </c>
      <c r="C1526">
        <v>7</v>
      </c>
      <c r="D1526">
        <v>2</v>
      </c>
      <c r="E1526">
        <v>1</v>
      </c>
      <c r="F1526">
        <v>4</v>
      </c>
      <c r="G1526">
        <v>4</v>
      </c>
      <c r="H1526" t="str">
        <f>IF(Demographics[[#This Row],[DOB]]&gt;10000000, TEXT(Demographics[[#This Row],[DOB]],0),CONCATENATE("0",TEXT(Demographics[[#This Row],[DOB]],0)))</f>
        <v>23091988</v>
      </c>
      <c r="I1526" s="4">
        <f ca="1">IFERROR((VALUE(TODAY()-DATE(RIGHT(Demographics[[#This Row],[DOB - Fixed]],4),MID(Demographics[[#This Row],[DOB - Fixed]],3,2),LEFT(Demographics[[#This Row],[DOB - Fixed]],2))))/365,0)</f>
        <v>34.980821917808221</v>
      </c>
      <c r="J1526">
        <f>VLOOKUP(Demographics[[#This Row],[INCOME LEVEL]],Income[],4,FALSE)</f>
        <v>175</v>
      </c>
      <c r="K1526">
        <f>IFERROR(Demographics[[#This Row],[Total monthly income]]/Demographics[[#This Row],[FAMILY SIZE]], 0)</f>
        <v>25</v>
      </c>
    </row>
    <row r="1527" spans="1:11" x14ac:dyDescent="0.2">
      <c r="A1527">
        <v>7416245</v>
      </c>
      <c r="B1527">
        <v>20081988</v>
      </c>
      <c r="C1527">
        <v>9</v>
      </c>
      <c r="D1527">
        <v>2</v>
      </c>
      <c r="E1527">
        <v>1</v>
      </c>
      <c r="F1527">
        <v>4</v>
      </c>
      <c r="G1527">
        <v>5</v>
      </c>
      <c r="H1527" t="str">
        <f>IF(Demographics[[#This Row],[DOB]]&gt;10000000, TEXT(Demographics[[#This Row],[DOB]],0),CONCATENATE("0",TEXT(Demographics[[#This Row],[DOB]],0)))</f>
        <v>20081988</v>
      </c>
      <c r="I1527" s="4">
        <f ca="1">IFERROR((VALUE(TODAY()-DATE(RIGHT(Demographics[[#This Row],[DOB - Fixed]],4),MID(Demographics[[#This Row],[DOB - Fixed]],3,2),LEFT(Demographics[[#This Row],[DOB - Fixed]],2))))/365,0)</f>
        <v>35.073972602739723</v>
      </c>
      <c r="J1527">
        <f>VLOOKUP(Demographics[[#This Row],[INCOME LEVEL]],Income[],4,FALSE)</f>
        <v>175</v>
      </c>
      <c r="K1527">
        <f>IFERROR(Demographics[[#This Row],[Total monthly income]]/Demographics[[#This Row],[FAMILY SIZE]], 0)</f>
        <v>19.444444444444443</v>
      </c>
    </row>
    <row r="1528" spans="1:11" x14ac:dyDescent="0.2">
      <c r="A1528">
        <v>21836091</v>
      </c>
      <c r="B1528">
        <v>14111988</v>
      </c>
      <c r="C1528">
        <v>5</v>
      </c>
      <c r="D1528">
        <v>1</v>
      </c>
      <c r="E1528">
        <v>2</v>
      </c>
      <c r="F1528">
        <v>7</v>
      </c>
      <c r="G1528">
        <v>5</v>
      </c>
      <c r="H1528" t="str">
        <f>IF(Demographics[[#This Row],[DOB]]&gt;10000000, TEXT(Demographics[[#This Row],[DOB]],0),CONCATENATE("0",TEXT(Demographics[[#This Row],[DOB]],0)))</f>
        <v>14111988</v>
      </c>
      <c r="I1528" s="4">
        <f ca="1">IFERROR((VALUE(TODAY()-DATE(RIGHT(Demographics[[#This Row],[DOB - Fixed]],4),MID(Demographics[[#This Row],[DOB - Fixed]],3,2),LEFT(Demographics[[#This Row],[DOB - Fixed]],2))))/365,0)</f>
        <v>34.838356164383562</v>
      </c>
      <c r="J1528">
        <f>VLOOKUP(Demographics[[#This Row],[INCOME LEVEL]],Income[],4,FALSE)</f>
        <v>697.5</v>
      </c>
      <c r="K1528">
        <f>IFERROR(Demographics[[#This Row],[Total monthly income]]/Demographics[[#This Row],[FAMILY SIZE]], 0)</f>
        <v>139.5</v>
      </c>
    </row>
    <row r="1529" spans="1:11" x14ac:dyDescent="0.2">
      <c r="A1529">
        <v>20133002</v>
      </c>
      <c r="B1529">
        <v>22111988</v>
      </c>
      <c r="C1529">
        <v>3</v>
      </c>
      <c r="D1529">
        <v>0</v>
      </c>
      <c r="E1529">
        <v>5</v>
      </c>
      <c r="F1529">
        <v>9</v>
      </c>
      <c r="G1529">
        <v>9</v>
      </c>
      <c r="H1529" t="str">
        <f>IF(Demographics[[#This Row],[DOB]]&gt;10000000, TEXT(Demographics[[#This Row],[DOB]],0),CONCATENATE("0",TEXT(Demographics[[#This Row],[DOB]],0)))</f>
        <v>22111988</v>
      </c>
      <c r="I1529" s="4">
        <f ca="1">IFERROR((VALUE(TODAY()-DATE(RIGHT(Demographics[[#This Row],[DOB - Fixed]],4),MID(Demographics[[#This Row],[DOB - Fixed]],3,2),LEFT(Demographics[[#This Row],[DOB - Fixed]],2))))/365,0)</f>
        <v>34.816438356164383</v>
      </c>
      <c r="J1529">
        <f>VLOOKUP(Demographics[[#This Row],[INCOME LEVEL]],Income[],4,FALSE)</f>
        <v>2787.5</v>
      </c>
      <c r="K1529">
        <f>IFERROR(Demographics[[#This Row],[Total monthly income]]/Demographics[[#This Row],[FAMILY SIZE]], 0)</f>
        <v>929.16666666666663</v>
      </c>
    </row>
    <row r="1530" spans="1:11" x14ac:dyDescent="0.2">
      <c r="A1530">
        <v>22096326</v>
      </c>
      <c r="B1530">
        <v>9111988</v>
      </c>
      <c r="C1530">
        <v>3</v>
      </c>
      <c r="D1530">
        <v>1</v>
      </c>
      <c r="E1530">
        <v>1</v>
      </c>
      <c r="F1530">
        <v>2</v>
      </c>
      <c r="G1530">
        <v>3</v>
      </c>
      <c r="H1530" t="str">
        <f>IF(Demographics[[#This Row],[DOB]]&gt;10000000, TEXT(Demographics[[#This Row],[DOB]],0),CONCATENATE("0",TEXT(Demographics[[#This Row],[DOB]],0)))</f>
        <v>09111988</v>
      </c>
      <c r="I1530" s="4">
        <f ca="1">IFERROR((VALUE(TODAY()-DATE(RIGHT(Demographics[[#This Row],[DOB - Fixed]],4),MID(Demographics[[#This Row],[DOB - Fixed]],3,2),LEFT(Demographics[[#This Row],[DOB - Fixed]],2))))/365,0)</f>
        <v>34.852054794520548</v>
      </c>
      <c r="J1530">
        <f>VLOOKUP(Demographics[[#This Row],[INCOME LEVEL]],Income[],4,FALSE)</f>
        <v>175</v>
      </c>
      <c r="K1530">
        <f>IFERROR(Demographics[[#This Row],[Total monthly income]]/Demographics[[#This Row],[FAMILY SIZE]], 0)</f>
        <v>58.333333333333336</v>
      </c>
    </row>
    <row r="1531" spans="1:11" x14ac:dyDescent="0.2">
      <c r="A1531">
        <v>12483206</v>
      </c>
      <c r="B1531">
        <v>22111988</v>
      </c>
      <c r="C1531">
        <v>4</v>
      </c>
      <c r="D1531">
        <v>1</v>
      </c>
      <c r="E1531">
        <v>1</v>
      </c>
      <c r="F1531">
        <v>5</v>
      </c>
      <c r="G1531">
        <v>5</v>
      </c>
      <c r="H1531" t="str">
        <f>IF(Demographics[[#This Row],[DOB]]&gt;10000000, TEXT(Demographics[[#This Row],[DOB]],0),CONCATENATE("0",TEXT(Demographics[[#This Row],[DOB]],0)))</f>
        <v>22111988</v>
      </c>
      <c r="I1531" s="4">
        <f ca="1">IFERROR((VALUE(TODAY()-DATE(RIGHT(Demographics[[#This Row],[DOB - Fixed]],4),MID(Demographics[[#This Row],[DOB - Fixed]],3,2),LEFT(Demographics[[#This Row],[DOB - Fixed]],2))))/365,0)</f>
        <v>34.816438356164383</v>
      </c>
      <c r="J1531">
        <f>VLOOKUP(Demographics[[#This Row],[INCOME LEVEL]],Income[],4,FALSE)</f>
        <v>175</v>
      </c>
      <c r="K1531">
        <f>IFERROR(Demographics[[#This Row],[Total monthly income]]/Demographics[[#This Row],[FAMILY SIZE]], 0)</f>
        <v>43.75</v>
      </c>
    </row>
    <row r="1532" spans="1:11" x14ac:dyDescent="0.2">
      <c r="A1532">
        <v>4139847</v>
      </c>
      <c r="B1532">
        <v>18091988</v>
      </c>
      <c r="C1532">
        <v>4</v>
      </c>
      <c r="D1532">
        <v>1</v>
      </c>
      <c r="E1532">
        <v>1</v>
      </c>
      <c r="F1532">
        <v>1</v>
      </c>
      <c r="G1532">
        <v>4</v>
      </c>
      <c r="H1532" t="str">
        <f>IF(Demographics[[#This Row],[DOB]]&gt;10000000, TEXT(Demographics[[#This Row],[DOB]],0),CONCATENATE("0",TEXT(Demographics[[#This Row],[DOB]],0)))</f>
        <v>18091988</v>
      </c>
      <c r="I1532" s="4">
        <f ca="1">IFERROR((VALUE(TODAY()-DATE(RIGHT(Demographics[[#This Row],[DOB - Fixed]],4),MID(Demographics[[#This Row],[DOB - Fixed]],3,2),LEFT(Demographics[[#This Row],[DOB - Fixed]],2))))/365,0)</f>
        <v>34.994520547945207</v>
      </c>
      <c r="J1532">
        <f>VLOOKUP(Demographics[[#This Row],[INCOME LEVEL]],Income[],4,FALSE)</f>
        <v>175</v>
      </c>
      <c r="K1532">
        <f>IFERROR(Demographics[[#This Row],[Total monthly income]]/Demographics[[#This Row],[FAMILY SIZE]], 0)</f>
        <v>43.75</v>
      </c>
    </row>
    <row r="1533" spans="1:11" x14ac:dyDescent="0.2">
      <c r="A1533">
        <v>24765994</v>
      </c>
      <c r="B1533">
        <v>16111988</v>
      </c>
      <c r="C1533">
        <v>4</v>
      </c>
      <c r="D1533">
        <v>1</v>
      </c>
      <c r="E1533">
        <v>2</v>
      </c>
      <c r="F1533">
        <v>0</v>
      </c>
      <c r="G1533">
        <v>9</v>
      </c>
      <c r="H1533" t="str">
        <f>IF(Demographics[[#This Row],[DOB]]&gt;10000000, TEXT(Demographics[[#This Row],[DOB]],0),CONCATENATE("0",TEXT(Demographics[[#This Row],[DOB]],0)))</f>
        <v>16111988</v>
      </c>
      <c r="I1533" s="4">
        <f ca="1">IFERROR((VALUE(TODAY()-DATE(RIGHT(Demographics[[#This Row],[DOB - Fixed]],4),MID(Demographics[[#This Row],[DOB - Fixed]],3,2),LEFT(Demographics[[#This Row],[DOB - Fixed]],2))))/365,0)</f>
        <v>34.832876712328769</v>
      </c>
      <c r="J1533">
        <f>VLOOKUP(Demographics[[#This Row],[INCOME LEVEL]],Income[],4,FALSE)</f>
        <v>697.5</v>
      </c>
      <c r="K1533">
        <f>IFERROR(Demographics[[#This Row],[Total monthly income]]/Demographics[[#This Row],[FAMILY SIZE]], 0)</f>
        <v>174.375</v>
      </c>
    </row>
    <row r="1534" spans="1:11" x14ac:dyDescent="0.2">
      <c r="A1534">
        <v>5107150</v>
      </c>
      <c r="B1534">
        <v>14111988</v>
      </c>
      <c r="C1534">
        <v>5</v>
      </c>
      <c r="D1534">
        <v>1</v>
      </c>
      <c r="E1534">
        <v>1</v>
      </c>
      <c r="F1534">
        <v>3</v>
      </c>
      <c r="G1534">
        <v>2</v>
      </c>
      <c r="H1534" t="str">
        <f>IF(Demographics[[#This Row],[DOB]]&gt;10000000, TEXT(Demographics[[#This Row],[DOB]],0),CONCATENATE("0",TEXT(Demographics[[#This Row],[DOB]],0)))</f>
        <v>14111988</v>
      </c>
      <c r="I1534" s="4">
        <f ca="1">IFERROR((VALUE(TODAY()-DATE(RIGHT(Demographics[[#This Row],[DOB - Fixed]],4),MID(Demographics[[#This Row],[DOB - Fixed]],3,2),LEFT(Demographics[[#This Row],[DOB - Fixed]],2))))/365,0)</f>
        <v>34.838356164383562</v>
      </c>
      <c r="J1534">
        <f>VLOOKUP(Demographics[[#This Row],[INCOME LEVEL]],Income[],4,FALSE)</f>
        <v>175</v>
      </c>
      <c r="K1534">
        <f>IFERROR(Demographics[[#This Row],[Total monthly income]]/Demographics[[#This Row],[FAMILY SIZE]], 0)</f>
        <v>35</v>
      </c>
    </row>
    <row r="1535" spans="1:11" x14ac:dyDescent="0.2">
      <c r="A1535">
        <v>1902510</v>
      </c>
      <c r="B1535">
        <v>17041988</v>
      </c>
      <c r="C1535">
        <v>4</v>
      </c>
      <c r="D1535">
        <v>1</v>
      </c>
      <c r="E1535">
        <v>1</v>
      </c>
      <c r="F1535">
        <v>2</v>
      </c>
      <c r="G1535">
        <v>2</v>
      </c>
      <c r="H1535" t="str">
        <f>IF(Demographics[[#This Row],[DOB]]&gt;10000000, TEXT(Demographics[[#This Row],[DOB]],0),CONCATENATE("0",TEXT(Demographics[[#This Row],[DOB]],0)))</f>
        <v>17041988</v>
      </c>
      <c r="I1535" s="4">
        <f ca="1">IFERROR((VALUE(TODAY()-DATE(RIGHT(Demographics[[#This Row],[DOB - Fixed]],4),MID(Demographics[[#This Row],[DOB - Fixed]],3,2),LEFT(Demographics[[#This Row],[DOB - Fixed]],2))))/365,0)</f>
        <v>35.416438356164385</v>
      </c>
      <c r="J1535">
        <f>VLOOKUP(Demographics[[#This Row],[INCOME LEVEL]],Income[],4,FALSE)</f>
        <v>175</v>
      </c>
      <c r="K1535">
        <f>IFERROR(Demographics[[#This Row],[Total monthly income]]/Demographics[[#This Row],[FAMILY SIZE]], 0)</f>
        <v>43.75</v>
      </c>
    </row>
    <row r="1536" spans="1:11" x14ac:dyDescent="0.2">
      <c r="A1536">
        <v>13983882</v>
      </c>
      <c r="B1536">
        <v>26111988</v>
      </c>
      <c r="C1536">
        <v>4</v>
      </c>
      <c r="D1536">
        <v>1</v>
      </c>
      <c r="E1536">
        <v>1</v>
      </c>
      <c r="F1536">
        <v>5</v>
      </c>
      <c r="G1536">
        <v>5</v>
      </c>
      <c r="H1536" t="str">
        <f>IF(Demographics[[#This Row],[DOB]]&gt;10000000, TEXT(Demographics[[#This Row],[DOB]],0),CONCATENATE("0",TEXT(Demographics[[#This Row],[DOB]],0)))</f>
        <v>26111988</v>
      </c>
      <c r="I1536" s="4">
        <f ca="1">IFERROR((VALUE(TODAY()-DATE(RIGHT(Demographics[[#This Row],[DOB - Fixed]],4),MID(Demographics[[#This Row],[DOB - Fixed]],3,2),LEFT(Demographics[[#This Row],[DOB - Fixed]],2))))/365,0)</f>
        <v>34.805479452054797</v>
      </c>
      <c r="J1536">
        <f>VLOOKUP(Demographics[[#This Row],[INCOME LEVEL]],Income[],4,FALSE)</f>
        <v>175</v>
      </c>
      <c r="K1536">
        <f>IFERROR(Demographics[[#This Row],[Total monthly income]]/Demographics[[#This Row],[FAMILY SIZE]], 0)</f>
        <v>43.75</v>
      </c>
    </row>
    <row r="1537" spans="1:11" x14ac:dyDescent="0.2">
      <c r="A1537">
        <v>13016837</v>
      </c>
      <c r="B1537">
        <v>21111988</v>
      </c>
      <c r="C1537">
        <v>5</v>
      </c>
      <c r="D1537">
        <v>1</v>
      </c>
      <c r="E1537">
        <v>2</v>
      </c>
      <c r="F1537">
        <v>8</v>
      </c>
      <c r="G1537">
        <v>8</v>
      </c>
      <c r="H1537" t="str">
        <f>IF(Demographics[[#This Row],[DOB]]&gt;10000000, TEXT(Demographics[[#This Row],[DOB]],0),CONCATENATE("0",TEXT(Demographics[[#This Row],[DOB]],0)))</f>
        <v>21111988</v>
      </c>
      <c r="I1537" s="4">
        <f ca="1">IFERROR((VALUE(TODAY()-DATE(RIGHT(Demographics[[#This Row],[DOB - Fixed]],4),MID(Demographics[[#This Row],[DOB - Fixed]],3,2),LEFT(Demographics[[#This Row],[DOB - Fixed]],2))))/365,0)</f>
        <v>34.819178082191783</v>
      </c>
      <c r="J1537">
        <f>VLOOKUP(Demographics[[#This Row],[INCOME LEVEL]],Income[],4,FALSE)</f>
        <v>697.5</v>
      </c>
      <c r="K1537">
        <f>IFERROR(Demographics[[#This Row],[Total monthly income]]/Demographics[[#This Row],[FAMILY SIZE]], 0)</f>
        <v>139.5</v>
      </c>
    </row>
    <row r="1538" spans="1:11" x14ac:dyDescent="0.2">
      <c r="A1538">
        <v>15585571</v>
      </c>
      <c r="B1538">
        <v>25071988</v>
      </c>
      <c r="C1538">
        <v>7</v>
      </c>
      <c r="D1538">
        <v>1</v>
      </c>
      <c r="E1538">
        <v>1</v>
      </c>
      <c r="F1538">
        <v>3</v>
      </c>
      <c r="G1538">
        <v>3</v>
      </c>
      <c r="H1538" t="str">
        <f>IF(Demographics[[#This Row],[DOB]]&gt;10000000, TEXT(Demographics[[#This Row],[DOB]],0),CONCATENATE("0",TEXT(Demographics[[#This Row],[DOB]],0)))</f>
        <v>25071988</v>
      </c>
      <c r="I1538" s="4">
        <f ca="1">IFERROR((VALUE(TODAY()-DATE(RIGHT(Demographics[[#This Row],[DOB - Fixed]],4),MID(Demographics[[#This Row],[DOB - Fixed]],3,2),LEFT(Demographics[[#This Row],[DOB - Fixed]],2))))/365,0)</f>
        <v>35.145205479452052</v>
      </c>
      <c r="J1538">
        <f>VLOOKUP(Demographics[[#This Row],[INCOME LEVEL]],Income[],4,FALSE)</f>
        <v>175</v>
      </c>
      <c r="K1538">
        <f>IFERROR(Demographics[[#This Row],[Total monthly income]]/Demographics[[#This Row],[FAMILY SIZE]], 0)</f>
        <v>25</v>
      </c>
    </row>
    <row r="1539" spans="1:11" x14ac:dyDescent="0.2">
      <c r="A1539">
        <v>2003202</v>
      </c>
      <c r="B1539">
        <v>1121988</v>
      </c>
      <c r="C1539">
        <v>5</v>
      </c>
      <c r="D1539">
        <v>1</v>
      </c>
      <c r="E1539">
        <v>1</v>
      </c>
      <c r="F1539">
        <v>10</v>
      </c>
      <c r="G1539">
        <v>4</v>
      </c>
      <c r="H1539" t="str">
        <f>IF(Demographics[[#This Row],[DOB]]&gt;10000000, TEXT(Demographics[[#This Row],[DOB]],0),CONCATENATE("0",TEXT(Demographics[[#This Row],[DOB]],0)))</f>
        <v>01121988</v>
      </c>
      <c r="I1539" s="4">
        <f ca="1">IFERROR((VALUE(TODAY()-DATE(RIGHT(Demographics[[#This Row],[DOB - Fixed]],4),MID(Demographics[[#This Row],[DOB - Fixed]],3,2),LEFT(Demographics[[#This Row],[DOB - Fixed]],2))))/365,0)</f>
        <v>34.791780821917811</v>
      </c>
      <c r="J1539">
        <f>VLOOKUP(Demographics[[#This Row],[INCOME LEVEL]],Income[],4,FALSE)</f>
        <v>175</v>
      </c>
      <c r="K1539">
        <f>IFERROR(Demographics[[#This Row],[Total monthly income]]/Demographics[[#This Row],[FAMILY SIZE]], 0)</f>
        <v>35</v>
      </c>
    </row>
    <row r="1540" spans="1:11" x14ac:dyDescent="0.2">
      <c r="A1540">
        <v>14719750</v>
      </c>
      <c r="B1540">
        <v>25111988</v>
      </c>
      <c r="C1540">
        <v>6</v>
      </c>
      <c r="D1540">
        <v>1</v>
      </c>
      <c r="E1540">
        <v>1</v>
      </c>
      <c r="F1540">
        <v>5</v>
      </c>
      <c r="G1540">
        <v>5</v>
      </c>
      <c r="H1540" t="str">
        <f>IF(Demographics[[#This Row],[DOB]]&gt;10000000, TEXT(Demographics[[#This Row],[DOB]],0),CONCATENATE("0",TEXT(Demographics[[#This Row],[DOB]],0)))</f>
        <v>25111988</v>
      </c>
      <c r="I1540" s="4">
        <f ca="1">IFERROR((VALUE(TODAY()-DATE(RIGHT(Demographics[[#This Row],[DOB - Fixed]],4),MID(Demographics[[#This Row],[DOB - Fixed]],3,2),LEFT(Demographics[[#This Row],[DOB - Fixed]],2))))/365,0)</f>
        <v>34.80821917808219</v>
      </c>
      <c r="J1540">
        <f>VLOOKUP(Demographics[[#This Row],[INCOME LEVEL]],Income[],4,FALSE)</f>
        <v>175</v>
      </c>
      <c r="K1540">
        <f>IFERROR(Demographics[[#This Row],[Total monthly income]]/Demographics[[#This Row],[FAMILY SIZE]], 0)</f>
        <v>29.166666666666668</v>
      </c>
    </row>
    <row r="1541" spans="1:11" x14ac:dyDescent="0.2">
      <c r="A1541">
        <v>15686725</v>
      </c>
      <c r="B1541">
        <v>6121988</v>
      </c>
      <c r="C1541">
        <v>5</v>
      </c>
      <c r="D1541">
        <v>2</v>
      </c>
      <c r="E1541">
        <v>2</v>
      </c>
      <c r="F1541">
        <v>5</v>
      </c>
      <c r="G1541">
        <v>5</v>
      </c>
      <c r="H1541" t="str">
        <f>IF(Demographics[[#This Row],[DOB]]&gt;10000000, TEXT(Demographics[[#This Row],[DOB]],0),CONCATENATE("0",TEXT(Demographics[[#This Row],[DOB]],0)))</f>
        <v>06121988</v>
      </c>
      <c r="I1541" s="4">
        <f ca="1">IFERROR((VALUE(TODAY()-DATE(RIGHT(Demographics[[#This Row],[DOB - Fixed]],4),MID(Demographics[[#This Row],[DOB - Fixed]],3,2),LEFT(Demographics[[#This Row],[DOB - Fixed]],2))))/365,0)</f>
        <v>34.778082191780825</v>
      </c>
      <c r="J1541">
        <f>VLOOKUP(Demographics[[#This Row],[INCOME LEVEL]],Income[],4,FALSE)</f>
        <v>697.5</v>
      </c>
      <c r="K1541">
        <f>IFERROR(Demographics[[#This Row],[Total monthly income]]/Demographics[[#This Row],[FAMILY SIZE]], 0)</f>
        <v>139.5</v>
      </c>
    </row>
    <row r="1542" spans="1:11" x14ac:dyDescent="0.2">
      <c r="A1542">
        <v>15253426</v>
      </c>
      <c r="B1542">
        <v>1121988</v>
      </c>
      <c r="C1542">
        <v>4</v>
      </c>
      <c r="D1542">
        <v>1</v>
      </c>
      <c r="E1542">
        <v>1</v>
      </c>
      <c r="F1542">
        <v>0</v>
      </c>
      <c r="G1542">
        <v>5</v>
      </c>
      <c r="H1542" t="str">
        <f>IF(Demographics[[#This Row],[DOB]]&gt;10000000, TEXT(Demographics[[#This Row],[DOB]],0),CONCATENATE("0",TEXT(Demographics[[#This Row],[DOB]],0)))</f>
        <v>01121988</v>
      </c>
      <c r="I1542" s="4">
        <f ca="1">IFERROR((VALUE(TODAY()-DATE(RIGHT(Demographics[[#This Row],[DOB - Fixed]],4),MID(Demographics[[#This Row],[DOB - Fixed]],3,2),LEFT(Demographics[[#This Row],[DOB - Fixed]],2))))/365,0)</f>
        <v>34.791780821917811</v>
      </c>
      <c r="J1542">
        <f>VLOOKUP(Demographics[[#This Row],[INCOME LEVEL]],Income[],4,FALSE)</f>
        <v>175</v>
      </c>
      <c r="K1542">
        <f>IFERROR(Demographics[[#This Row],[Total monthly income]]/Demographics[[#This Row],[FAMILY SIZE]], 0)</f>
        <v>43.75</v>
      </c>
    </row>
    <row r="1543" spans="1:11" x14ac:dyDescent="0.2">
      <c r="A1543">
        <v>7142127</v>
      </c>
      <c r="B1543">
        <v>4121988</v>
      </c>
      <c r="C1543">
        <v>6</v>
      </c>
      <c r="D1543">
        <v>2</v>
      </c>
      <c r="E1543">
        <v>2</v>
      </c>
      <c r="F1543">
        <v>9</v>
      </c>
      <c r="G1543">
        <v>9</v>
      </c>
      <c r="H1543" t="str">
        <f>IF(Demographics[[#This Row],[DOB]]&gt;10000000, TEXT(Demographics[[#This Row],[DOB]],0),CONCATENATE("0",TEXT(Demographics[[#This Row],[DOB]],0)))</f>
        <v>04121988</v>
      </c>
      <c r="I1543" s="4">
        <f ca="1">IFERROR((VALUE(TODAY()-DATE(RIGHT(Demographics[[#This Row],[DOB - Fixed]],4),MID(Demographics[[#This Row],[DOB - Fixed]],3,2),LEFT(Demographics[[#This Row],[DOB - Fixed]],2))))/365,0)</f>
        <v>34.783561643835618</v>
      </c>
      <c r="J1543">
        <f>VLOOKUP(Demographics[[#This Row],[INCOME LEVEL]],Income[],4,FALSE)</f>
        <v>697.5</v>
      </c>
      <c r="K1543">
        <f>IFERROR(Demographics[[#This Row],[Total monthly income]]/Demographics[[#This Row],[FAMILY SIZE]], 0)</f>
        <v>116.25</v>
      </c>
    </row>
    <row r="1544" spans="1:11" x14ac:dyDescent="0.2">
      <c r="A1544">
        <v>14185682</v>
      </c>
      <c r="B1544">
        <v>3121988</v>
      </c>
      <c r="C1544">
        <v>6</v>
      </c>
      <c r="D1544">
        <v>1</v>
      </c>
      <c r="E1544">
        <v>1</v>
      </c>
      <c r="F1544">
        <v>4</v>
      </c>
      <c r="G1544">
        <v>4</v>
      </c>
      <c r="H1544" t="str">
        <f>IF(Demographics[[#This Row],[DOB]]&gt;10000000, TEXT(Demographics[[#This Row],[DOB]],0),CONCATENATE("0",TEXT(Demographics[[#This Row],[DOB]],0)))</f>
        <v>03121988</v>
      </c>
      <c r="I1544" s="4">
        <f ca="1">IFERROR((VALUE(TODAY()-DATE(RIGHT(Demographics[[#This Row],[DOB - Fixed]],4),MID(Demographics[[#This Row],[DOB - Fixed]],3,2),LEFT(Demographics[[#This Row],[DOB - Fixed]],2))))/365,0)</f>
        <v>34.786301369863011</v>
      </c>
      <c r="J1544">
        <f>VLOOKUP(Demographics[[#This Row],[INCOME LEVEL]],Income[],4,FALSE)</f>
        <v>175</v>
      </c>
      <c r="K1544">
        <f>IFERROR(Demographics[[#This Row],[Total monthly income]]/Demographics[[#This Row],[FAMILY SIZE]], 0)</f>
        <v>29.166666666666668</v>
      </c>
    </row>
    <row r="1545" spans="1:11" x14ac:dyDescent="0.2">
      <c r="A1545">
        <v>2870001</v>
      </c>
      <c r="B1545">
        <v>28101988</v>
      </c>
      <c r="C1545">
        <v>3</v>
      </c>
      <c r="D1545">
        <v>1</v>
      </c>
      <c r="E1545">
        <v>1</v>
      </c>
      <c r="F1545">
        <v>4</v>
      </c>
      <c r="G1545">
        <v>5</v>
      </c>
      <c r="H1545" t="str">
        <f>IF(Demographics[[#This Row],[DOB]]&gt;10000000, TEXT(Demographics[[#This Row],[DOB]],0),CONCATENATE("0",TEXT(Demographics[[#This Row],[DOB]],0)))</f>
        <v>28101988</v>
      </c>
      <c r="I1545" s="4">
        <f ca="1">IFERROR((VALUE(TODAY()-DATE(RIGHT(Demographics[[#This Row],[DOB - Fixed]],4),MID(Demographics[[#This Row],[DOB - Fixed]],3,2),LEFT(Demographics[[#This Row],[DOB - Fixed]],2))))/365,0)</f>
        <v>34.884931506849313</v>
      </c>
      <c r="J1545">
        <f>VLOOKUP(Demographics[[#This Row],[INCOME LEVEL]],Income[],4,FALSE)</f>
        <v>175</v>
      </c>
      <c r="K1545">
        <f>IFERROR(Demographics[[#This Row],[Total monthly income]]/Demographics[[#This Row],[FAMILY SIZE]], 0)</f>
        <v>58.333333333333336</v>
      </c>
    </row>
    <row r="1546" spans="1:11" x14ac:dyDescent="0.2">
      <c r="A1546">
        <v>16855683</v>
      </c>
      <c r="B1546">
        <v>4121988</v>
      </c>
      <c r="C1546">
        <v>6</v>
      </c>
      <c r="D1546">
        <v>1</v>
      </c>
      <c r="E1546">
        <v>3</v>
      </c>
      <c r="F1546">
        <v>7</v>
      </c>
      <c r="G1546">
        <v>7</v>
      </c>
      <c r="H1546" t="str">
        <f>IF(Demographics[[#This Row],[DOB]]&gt;10000000, TEXT(Demographics[[#This Row],[DOB]],0),CONCATENATE("0",TEXT(Demographics[[#This Row],[DOB]],0)))</f>
        <v>04121988</v>
      </c>
      <c r="I1546" s="4">
        <f ca="1">IFERROR((VALUE(TODAY()-DATE(RIGHT(Demographics[[#This Row],[DOB - Fixed]],4),MID(Demographics[[#This Row],[DOB - Fixed]],3,2),LEFT(Demographics[[#This Row],[DOB - Fixed]],2))))/365,0)</f>
        <v>34.783561643835618</v>
      </c>
      <c r="J1546">
        <f>VLOOKUP(Demographics[[#This Row],[INCOME LEVEL]],Income[],4,FALSE)</f>
        <v>1397.5</v>
      </c>
      <c r="K1546">
        <f>IFERROR(Demographics[[#This Row],[Total monthly income]]/Demographics[[#This Row],[FAMILY SIZE]], 0)</f>
        <v>232.91666666666666</v>
      </c>
    </row>
    <row r="1547" spans="1:11" x14ac:dyDescent="0.2">
      <c r="A1547">
        <v>300203</v>
      </c>
      <c r="B1547">
        <v>11121988</v>
      </c>
      <c r="C1547">
        <v>5</v>
      </c>
      <c r="D1547">
        <v>2</v>
      </c>
      <c r="E1547">
        <v>1</v>
      </c>
      <c r="F1547">
        <v>8</v>
      </c>
      <c r="G1547">
        <v>4</v>
      </c>
      <c r="H1547" t="str">
        <f>IF(Demographics[[#This Row],[DOB]]&gt;10000000, TEXT(Demographics[[#This Row],[DOB]],0),CONCATENATE("0",TEXT(Demographics[[#This Row],[DOB]],0)))</f>
        <v>11121988</v>
      </c>
      <c r="I1547" s="4">
        <f ca="1">IFERROR((VALUE(TODAY()-DATE(RIGHT(Demographics[[#This Row],[DOB - Fixed]],4),MID(Demographics[[#This Row],[DOB - Fixed]],3,2),LEFT(Demographics[[#This Row],[DOB - Fixed]],2))))/365,0)</f>
        <v>34.764383561643832</v>
      </c>
      <c r="J1547">
        <f>VLOOKUP(Demographics[[#This Row],[INCOME LEVEL]],Income[],4,FALSE)</f>
        <v>175</v>
      </c>
      <c r="K1547">
        <f>IFERROR(Demographics[[#This Row],[Total monthly income]]/Demographics[[#This Row],[FAMILY SIZE]], 0)</f>
        <v>35</v>
      </c>
    </row>
    <row r="1548" spans="1:11" x14ac:dyDescent="0.2">
      <c r="A1548">
        <v>5742096</v>
      </c>
      <c r="B1548">
        <v>9121988</v>
      </c>
      <c r="C1548">
        <v>5</v>
      </c>
      <c r="D1548">
        <v>2</v>
      </c>
      <c r="E1548">
        <v>3</v>
      </c>
      <c r="F1548">
        <v>5</v>
      </c>
      <c r="G1548">
        <v>5</v>
      </c>
      <c r="H1548" t="str">
        <f>IF(Demographics[[#This Row],[DOB]]&gt;10000000, TEXT(Demographics[[#This Row],[DOB]],0),CONCATENATE("0",TEXT(Demographics[[#This Row],[DOB]],0)))</f>
        <v>09121988</v>
      </c>
      <c r="I1548" s="4">
        <f ca="1">IFERROR((VALUE(TODAY()-DATE(RIGHT(Demographics[[#This Row],[DOB - Fixed]],4),MID(Demographics[[#This Row],[DOB - Fixed]],3,2),LEFT(Demographics[[#This Row],[DOB - Fixed]],2))))/365,0)</f>
        <v>34.769863013698632</v>
      </c>
      <c r="J1548">
        <f>VLOOKUP(Demographics[[#This Row],[INCOME LEVEL]],Income[],4,FALSE)</f>
        <v>1397.5</v>
      </c>
      <c r="K1548">
        <f>IFERROR(Demographics[[#This Row],[Total monthly income]]/Demographics[[#This Row],[FAMILY SIZE]], 0)</f>
        <v>279.5</v>
      </c>
    </row>
    <row r="1549" spans="1:11" x14ac:dyDescent="0.2">
      <c r="A1549">
        <v>16755206</v>
      </c>
      <c r="B1549">
        <v>4121988</v>
      </c>
      <c r="C1549">
        <v>0</v>
      </c>
      <c r="D1549">
        <v>0</v>
      </c>
      <c r="E1549">
        <v>3</v>
      </c>
      <c r="F1549">
        <v>0</v>
      </c>
      <c r="G1549">
        <v>0</v>
      </c>
      <c r="H1549" t="str">
        <f>IF(Demographics[[#This Row],[DOB]]&gt;10000000, TEXT(Demographics[[#This Row],[DOB]],0),CONCATENATE("0",TEXT(Demographics[[#This Row],[DOB]],0)))</f>
        <v>04121988</v>
      </c>
      <c r="I1549" s="4">
        <f ca="1">IFERROR((VALUE(TODAY()-DATE(RIGHT(Demographics[[#This Row],[DOB - Fixed]],4),MID(Demographics[[#This Row],[DOB - Fixed]],3,2),LEFT(Demographics[[#This Row],[DOB - Fixed]],2))))/365,0)</f>
        <v>34.783561643835618</v>
      </c>
      <c r="J1549">
        <f>VLOOKUP(Demographics[[#This Row],[INCOME LEVEL]],Income[],4,FALSE)</f>
        <v>1397.5</v>
      </c>
      <c r="K1549">
        <f>IFERROR(Demographics[[#This Row],[Total monthly income]]/Demographics[[#This Row],[FAMILY SIZE]], 0)</f>
        <v>0</v>
      </c>
    </row>
    <row r="1550" spans="1:11" x14ac:dyDescent="0.2">
      <c r="A1550">
        <v>22196880</v>
      </c>
      <c r="B1550">
        <v>11121988</v>
      </c>
      <c r="C1550">
        <v>0</v>
      </c>
      <c r="D1550">
        <v>0</v>
      </c>
      <c r="E1550">
        <v>5</v>
      </c>
      <c r="F1550">
        <v>0</v>
      </c>
      <c r="G1550">
        <v>0</v>
      </c>
      <c r="H1550" t="str">
        <f>IF(Demographics[[#This Row],[DOB]]&gt;10000000, TEXT(Demographics[[#This Row],[DOB]],0),CONCATENATE("0",TEXT(Demographics[[#This Row],[DOB]],0)))</f>
        <v>11121988</v>
      </c>
      <c r="I1550" s="4">
        <f ca="1">IFERROR((VALUE(TODAY()-DATE(RIGHT(Demographics[[#This Row],[DOB - Fixed]],4),MID(Demographics[[#This Row],[DOB - Fixed]],3,2),LEFT(Demographics[[#This Row],[DOB - Fixed]],2))))/365,0)</f>
        <v>34.764383561643832</v>
      </c>
      <c r="J1550">
        <f>VLOOKUP(Demographics[[#This Row],[INCOME LEVEL]],Income[],4,FALSE)</f>
        <v>2787.5</v>
      </c>
      <c r="K1550">
        <f>IFERROR(Demographics[[#This Row],[Total monthly income]]/Demographics[[#This Row],[FAMILY SIZE]], 0)</f>
        <v>0</v>
      </c>
    </row>
    <row r="1551" spans="1:11" x14ac:dyDescent="0.2">
      <c r="A1551">
        <v>8210371</v>
      </c>
      <c r="B1551">
        <v>5081988</v>
      </c>
      <c r="C1551">
        <v>2</v>
      </c>
      <c r="D1551">
        <v>1</v>
      </c>
      <c r="E1551">
        <v>1</v>
      </c>
      <c r="F1551">
        <v>0</v>
      </c>
      <c r="G1551">
        <v>7</v>
      </c>
      <c r="H1551" t="str">
        <f>IF(Demographics[[#This Row],[DOB]]&gt;10000000, TEXT(Demographics[[#This Row],[DOB]],0),CONCATENATE("0",TEXT(Demographics[[#This Row],[DOB]],0)))</f>
        <v>05081988</v>
      </c>
      <c r="I1551" s="4">
        <f ca="1">IFERROR((VALUE(TODAY()-DATE(RIGHT(Demographics[[#This Row],[DOB - Fixed]],4),MID(Demographics[[#This Row],[DOB - Fixed]],3,2),LEFT(Demographics[[#This Row],[DOB - Fixed]],2))))/365,0)</f>
        <v>35.115068493150687</v>
      </c>
      <c r="J1551">
        <f>VLOOKUP(Demographics[[#This Row],[INCOME LEVEL]],Income[],4,FALSE)</f>
        <v>175</v>
      </c>
      <c r="K1551">
        <f>IFERROR(Demographics[[#This Row],[Total monthly income]]/Demographics[[#This Row],[FAMILY SIZE]], 0)</f>
        <v>87.5</v>
      </c>
    </row>
    <row r="1552" spans="1:11" x14ac:dyDescent="0.2">
      <c r="A1552">
        <v>3606252</v>
      </c>
      <c r="B1552">
        <v>7121988</v>
      </c>
      <c r="C1552">
        <v>4</v>
      </c>
      <c r="D1552">
        <v>3</v>
      </c>
      <c r="E1552">
        <v>2</v>
      </c>
      <c r="F1552">
        <v>5</v>
      </c>
      <c r="G1552">
        <v>4</v>
      </c>
      <c r="H1552" t="str">
        <f>IF(Demographics[[#This Row],[DOB]]&gt;10000000, TEXT(Demographics[[#This Row],[DOB]],0),CONCATENATE("0",TEXT(Demographics[[#This Row],[DOB]],0)))</f>
        <v>07121988</v>
      </c>
      <c r="I1552" s="4">
        <f ca="1">IFERROR((VALUE(TODAY()-DATE(RIGHT(Demographics[[#This Row],[DOB - Fixed]],4),MID(Demographics[[#This Row],[DOB - Fixed]],3,2),LEFT(Demographics[[#This Row],[DOB - Fixed]],2))))/365,0)</f>
        <v>34.775342465753425</v>
      </c>
      <c r="J1552">
        <f>VLOOKUP(Demographics[[#This Row],[INCOME LEVEL]],Income[],4,FALSE)</f>
        <v>697.5</v>
      </c>
      <c r="K1552">
        <f>IFERROR(Demographics[[#This Row],[Total monthly income]]/Demographics[[#This Row],[FAMILY SIZE]], 0)</f>
        <v>174.375</v>
      </c>
    </row>
    <row r="1553" spans="1:11" x14ac:dyDescent="0.2">
      <c r="A1553">
        <v>1801294</v>
      </c>
      <c r="B1553">
        <v>3121988</v>
      </c>
      <c r="C1553">
        <v>9</v>
      </c>
      <c r="D1553">
        <v>4</v>
      </c>
      <c r="E1553">
        <v>1</v>
      </c>
      <c r="F1553">
        <v>2</v>
      </c>
      <c r="G1553">
        <v>3</v>
      </c>
      <c r="H1553" t="str">
        <f>IF(Demographics[[#This Row],[DOB]]&gt;10000000, TEXT(Demographics[[#This Row],[DOB]],0),CONCATENATE("0",TEXT(Demographics[[#This Row],[DOB]],0)))</f>
        <v>03121988</v>
      </c>
      <c r="I1553" s="4">
        <f ca="1">IFERROR((VALUE(TODAY()-DATE(RIGHT(Demographics[[#This Row],[DOB - Fixed]],4),MID(Demographics[[#This Row],[DOB - Fixed]],3,2),LEFT(Demographics[[#This Row],[DOB - Fixed]],2))))/365,0)</f>
        <v>34.786301369863011</v>
      </c>
      <c r="J1553">
        <f>VLOOKUP(Demographics[[#This Row],[INCOME LEVEL]],Income[],4,FALSE)</f>
        <v>175</v>
      </c>
      <c r="K1553">
        <f>IFERROR(Demographics[[#This Row],[Total monthly income]]/Demographics[[#This Row],[FAMILY SIZE]], 0)</f>
        <v>19.444444444444443</v>
      </c>
    </row>
    <row r="1554" spans="1:11" x14ac:dyDescent="0.2">
      <c r="A1554">
        <v>16220879</v>
      </c>
      <c r="B1554">
        <v>5121988</v>
      </c>
      <c r="C1554">
        <v>3</v>
      </c>
      <c r="D1554">
        <v>1</v>
      </c>
      <c r="E1554">
        <v>1</v>
      </c>
      <c r="F1554">
        <v>5</v>
      </c>
      <c r="G1554">
        <v>5</v>
      </c>
      <c r="H1554" t="str">
        <f>IF(Demographics[[#This Row],[DOB]]&gt;10000000, TEXT(Demographics[[#This Row],[DOB]],0),CONCATENATE("0",TEXT(Demographics[[#This Row],[DOB]],0)))</f>
        <v>05121988</v>
      </c>
      <c r="I1554" s="4">
        <f ca="1">IFERROR((VALUE(TODAY()-DATE(RIGHT(Demographics[[#This Row],[DOB - Fixed]],4),MID(Demographics[[#This Row],[DOB - Fixed]],3,2),LEFT(Demographics[[#This Row],[DOB - Fixed]],2))))/365,0)</f>
        <v>34.780821917808218</v>
      </c>
      <c r="J1554">
        <f>VLOOKUP(Demographics[[#This Row],[INCOME LEVEL]],Income[],4,FALSE)</f>
        <v>175</v>
      </c>
      <c r="K1554">
        <f>IFERROR(Demographics[[#This Row],[Total monthly income]]/Demographics[[#This Row],[FAMILY SIZE]], 0)</f>
        <v>58.333333333333336</v>
      </c>
    </row>
    <row r="1555" spans="1:11" x14ac:dyDescent="0.2">
      <c r="A1555">
        <v>9278642</v>
      </c>
      <c r="B1555">
        <v>27111988</v>
      </c>
      <c r="C1555">
        <v>0</v>
      </c>
      <c r="D1555">
        <v>0</v>
      </c>
      <c r="E1555">
        <v>1</v>
      </c>
      <c r="F1555">
        <v>0</v>
      </c>
      <c r="G1555">
        <v>0</v>
      </c>
      <c r="H1555" t="str">
        <f>IF(Demographics[[#This Row],[DOB]]&gt;10000000, TEXT(Demographics[[#This Row],[DOB]],0),CONCATENATE("0",TEXT(Demographics[[#This Row],[DOB]],0)))</f>
        <v>27111988</v>
      </c>
      <c r="I1555" s="4">
        <f ca="1">IFERROR((VALUE(TODAY()-DATE(RIGHT(Demographics[[#This Row],[DOB - Fixed]],4),MID(Demographics[[#This Row],[DOB - Fixed]],3,2),LEFT(Demographics[[#This Row],[DOB - Fixed]],2))))/365,0)</f>
        <v>34.802739726027397</v>
      </c>
      <c r="J1555">
        <f>VLOOKUP(Demographics[[#This Row],[INCOME LEVEL]],Income[],4,FALSE)</f>
        <v>175</v>
      </c>
      <c r="K1555">
        <f>IFERROR(Demographics[[#This Row],[Total monthly income]]/Demographics[[#This Row],[FAMILY SIZE]], 0)</f>
        <v>0</v>
      </c>
    </row>
    <row r="1556" spans="1:11" x14ac:dyDescent="0.2">
      <c r="A1556">
        <v>20392939</v>
      </c>
      <c r="B1556">
        <v>2121988</v>
      </c>
      <c r="C1556">
        <v>5</v>
      </c>
      <c r="D1556">
        <v>0</v>
      </c>
      <c r="E1556">
        <v>1</v>
      </c>
      <c r="F1556">
        <v>4</v>
      </c>
      <c r="G1556">
        <v>5</v>
      </c>
      <c r="H1556" t="str">
        <f>IF(Demographics[[#This Row],[DOB]]&gt;10000000, TEXT(Demographics[[#This Row],[DOB]],0),CONCATENATE("0",TEXT(Demographics[[#This Row],[DOB]],0)))</f>
        <v>02121988</v>
      </c>
      <c r="I1556" s="4">
        <f ca="1">IFERROR((VALUE(TODAY()-DATE(RIGHT(Demographics[[#This Row],[DOB - Fixed]],4),MID(Demographics[[#This Row],[DOB - Fixed]],3,2),LEFT(Demographics[[#This Row],[DOB - Fixed]],2))))/365,0)</f>
        <v>34.789041095890411</v>
      </c>
      <c r="J1556">
        <f>VLOOKUP(Demographics[[#This Row],[INCOME LEVEL]],Income[],4,FALSE)</f>
        <v>175</v>
      </c>
      <c r="K1556">
        <f>IFERROR(Demographics[[#This Row],[Total monthly income]]/Demographics[[#This Row],[FAMILY SIZE]], 0)</f>
        <v>35</v>
      </c>
    </row>
    <row r="1557" spans="1:11" x14ac:dyDescent="0.2">
      <c r="A1557">
        <v>1902511</v>
      </c>
      <c r="B1557">
        <v>25111988</v>
      </c>
      <c r="C1557">
        <v>4</v>
      </c>
      <c r="D1557">
        <v>1</v>
      </c>
      <c r="E1557">
        <v>1</v>
      </c>
      <c r="F1557">
        <v>5</v>
      </c>
      <c r="G1557">
        <v>4</v>
      </c>
      <c r="H1557" t="str">
        <f>IF(Demographics[[#This Row],[DOB]]&gt;10000000, TEXT(Demographics[[#This Row],[DOB]],0),CONCATENATE("0",TEXT(Demographics[[#This Row],[DOB]],0)))</f>
        <v>25111988</v>
      </c>
      <c r="I1557" s="4">
        <f ca="1">IFERROR((VALUE(TODAY()-DATE(RIGHT(Demographics[[#This Row],[DOB - Fixed]],4),MID(Demographics[[#This Row],[DOB - Fixed]],3,2),LEFT(Demographics[[#This Row],[DOB - Fixed]],2))))/365,0)</f>
        <v>34.80821917808219</v>
      </c>
      <c r="J1557">
        <f>VLOOKUP(Demographics[[#This Row],[INCOME LEVEL]],Income[],4,FALSE)</f>
        <v>175</v>
      </c>
      <c r="K1557">
        <f>IFERROR(Demographics[[#This Row],[Total monthly income]]/Demographics[[#This Row],[FAMILY SIZE]], 0)</f>
        <v>43.75</v>
      </c>
    </row>
    <row r="1558" spans="1:11" x14ac:dyDescent="0.2">
      <c r="A1558">
        <v>13449673</v>
      </c>
      <c r="B1558">
        <v>9121988</v>
      </c>
      <c r="C1558">
        <v>4</v>
      </c>
      <c r="D1558">
        <v>1</v>
      </c>
      <c r="E1558">
        <v>1</v>
      </c>
      <c r="F1558">
        <v>5</v>
      </c>
      <c r="G1558">
        <v>4</v>
      </c>
      <c r="H1558" t="str">
        <f>IF(Demographics[[#This Row],[DOB]]&gt;10000000, TEXT(Demographics[[#This Row],[DOB]],0),CONCATENATE("0",TEXT(Demographics[[#This Row],[DOB]],0)))</f>
        <v>09121988</v>
      </c>
      <c r="I1558" s="4">
        <f ca="1">IFERROR((VALUE(TODAY()-DATE(RIGHT(Demographics[[#This Row],[DOB - Fixed]],4),MID(Demographics[[#This Row],[DOB - Fixed]],3,2),LEFT(Demographics[[#This Row],[DOB - Fixed]],2))))/365,0)</f>
        <v>34.769863013698632</v>
      </c>
      <c r="J1558">
        <f>VLOOKUP(Demographics[[#This Row],[INCOME LEVEL]],Income[],4,FALSE)</f>
        <v>175</v>
      </c>
      <c r="K1558">
        <f>IFERROR(Demographics[[#This Row],[Total monthly income]]/Demographics[[#This Row],[FAMILY SIZE]], 0)</f>
        <v>43.75</v>
      </c>
    </row>
    <row r="1559" spans="1:11" x14ac:dyDescent="0.2">
      <c r="A1559">
        <v>21561977</v>
      </c>
      <c r="B1559">
        <v>12121988</v>
      </c>
      <c r="C1559">
        <v>4</v>
      </c>
      <c r="D1559">
        <v>0</v>
      </c>
      <c r="E1559">
        <v>1</v>
      </c>
      <c r="F1559">
        <v>5</v>
      </c>
      <c r="G1559">
        <v>5</v>
      </c>
      <c r="H1559" t="str">
        <f>IF(Demographics[[#This Row],[DOB]]&gt;10000000, TEXT(Demographics[[#This Row],[DOB]],0),CONCATENATE("0",TEXT(Demographics[[#This Row],[DOB]],0)))</f>
        <v>12121988</v>
      </c>
      <c r="I1559" s="4">
        <f ca="1">IFERROR((VALUE(TODAY()-DATE(RIGHT(Demographics[[#This Row],[DOB - Fixed]],4),MID(Demographics[[#This Row],[DOB - Fixed]],3,2),LEFT(Demographics[[#This Row],[DOB - Fixed]],2))))/365,0)</f>
        <v>34.761643835616439</v>
      </c>
      <c r="J1559">
        <f>VLOOKUP(Demographics[[#This Row],[INCOME LEVEL]],Income[],4,FALSE)</f>
        <v>175</v>
      </c>
      <c r="K1559">
        <f>IFERROR(Demographics[[#This Row],[Total monthly income]]/Demographics[[#This Row],[FAMILY SIZE]], 0)</f>
        <v>43.75</v>
      </c>
    </row>
    <row r="1560" spans="1:11" x14ac:dyDescent="0.2">
      <c r="A1560">
        <v>1469113</v>
      </c>
      <c r="B1560">
        <v>12121988</v>
      </c>
      <c r="C1560">
        <v>4</v>
      </c>
      <c r="D1560">
        <v>1</v>
      </c>
      <c r="E1560">
        <v>3</v>
      </c>
      <c r="F1560">
        <v>9</v>
      </c>
      <c r="G1560">
        <v>7</v>
      </c>
      <c r="H1560" t="str">
        <f>IF(Demographics[[#This Row],[DOB]]&gt;10000000, TEXT(Demographics[[#This Row],[DOB]],0),CONCATENATE("0",TEXT(Demographics[[#This Row],[DOB]],0)))</f>
        <v>12121988</v>
      </c>
      <c r="I1560" s="4">
        <f ca="1">IFERROR((VALUE(TODAY()-DATE(RIGHT(Demographics[[#This Row],[DOB - Fixed]],4),MID(Demographics[[#This Row],[DOB - Fixed]],3,2),LEFT(Demographics[[#This Row],[DOB - Fixed]],2))))/365,0)</f>
        <v>34.761643835616439</v>
      </c>
      <c r="J1560">
        <f>VLOOKUP(Demographics[[#This Row],[INCOME LEVEL]],Income[],4,FALSE)</f>
        <v>1397.5</v>
      </c>
      <c r="K1560">
        <f>IFERROR(Demographics[[#This Row],[Total monthly income]]/Demographics[[#This Row],[FAMILY SIZE]], 0)</f>
        <v>349.375</v>
      </c>
    </row>
    <row r="1561" spans="1:11" x14ac:dyDescent="0.2">
      <c r="A1561">
        <v>935124</v>
      </c>
      <c r="B1561">
        <v>14091988</v>
      </c>
      <c r="C1561">
        <v>5</v>
      </c>
      <c r="D1561">
        <v>1</v>
      </c>
      <c r="E1561">
        <v>1</v>
      </c>
      <c r="F1561">
        <v>4</v>
      </c>
      <c r="G1561">
        <v>5</v>
      </c>
      <c r="H1561" t="str">
        <f>IF(Demographics[[#This Row],[DOB]]&gt;10000000, TEXT(Demographics[[#This Row],[DOB]],0),CONCATENATE("0",TEXT(Demographics[[#This Row],[DOB]],0)))</f>
        <v>14091988</v>
      </c>
      <c r="I1561" s="4">
        <f ca="1">IFERROR((VALUE(TODAY()-DATE(RIGHT(Demographics[[#This Row],[DOB - Fixed]],4),MID(Demographics[[#This Row],[DOB - Fixed]],3,2),LEFT(Demographics[[#This Row],[DOB - Fixed]],2))))/365,0)</f>
        <v>35.005479452054793</v>
      </c>
      <c r="J1561">
        <f>VLOOKUP(Demographics[[#This Row],[INCOME LEVEL]],Income[],4,FALSE)</f>
        <v>175</v>
      </c>
      <c r="K1561">
        <f>IFERROR(Demographics[[#This Row],[Total monthly income]]/Demographics[[#This Row],[FAMILY SIZE]], 0)</f>
        <v>35</v>
      </c>
    </row>
    <row r="1562" spans="1:11" x14ac:dyDescent="0.2">
      <c r="A1562">
        <v>23798553</v>
      </c>
      <c r="B1562">
        <v>16121988</v>
      </c>
      <c r="C1562">
        <v>2</v>
      </c>
      <c r="D1562">
        <v>0</v>
      </c>
      <c r="E1562">
        <v>1</v>
      </c>
      <c r="F1562">
        <v>5</v>
      </c>
      <c r="G1562">
        <v>7</v>
      </c>
      <c r="H1562" t="str">
        <f>IF(Demographics[[#This Row],[DOB]]&gt;10000000, TEXT(Demographics[[#This Row],[DOB]],0),CONCATENATE("0",TEXT(Demographics[[#This Row],[DOB]],0)))</f>
        <v>16121988</v>
      </c>
      <c r="I1562" s="4">
        <f ca="1">IFERROR((VALUE(TODAY()-DATE(RIGHT(Demographics[[#This Row],[DOB - Fixed]],4),MID(Demographics[[#This Row],[DOB - Fixed]],3,2),LEFT(Demographics[[#This Row],[DOB - Fixed]],2))))/365,0)</f>
        <v>34.750684931506846</v>
      </c>
      <c r="J1562">
        <f>VLOOKUP(Demographics[[#This Row],[INCOME LEVEL]],Income[],4,FALSE)</f>
        <v>175</v>
      </c>
      <c r="K1562">
        <f>IFERROR(Demographics[[#This Row],[Total monthly income]]/Demographics[[#This Row],[FAMILY SIZE]], 0)</f>
        <v>87.5</v>
      </c>
    </row>
    <row r="1563" spans="1:11" x14ac:dyDescent="0.2">
      <c r="A1563">
        <v>12915595</v>
      </c>
      <c r="B1563">
        <v>16081987</v>
      </c>
      <c r="C1563">
        <v>0</v>
      </c>
      <c r="D1563">
        <v>0</v>
      </c>
      <c r="E1563">
        <v>1</v>
      </c>
      <c r="F1563">
        <v>0</v>
      </c>
      <c r="G1563">
        <v>0</v>
      </c>
      <c r="H1563" t="str">
        <f>IF(Demographics[[#This Row],[DOB]]&gt;10000000, TEXT(Demographics[[#This Row],[DOB]],0),CONCATENATE("0",TEXT(Demographics[[#This Row],[DOB]],0)))</f>
        <v>16081987</v>
      </c>
      <c r="I1563" s="4">
        <f ca="1">IFERROR((VALUE(TODAY()-DATE(RIGHT(Demographics[[#This Row],[DOB - Fixed]],4),MID(Demographics[[#This Row],[DOB - Fixed]],3,2),LEFT(Demographics[[#This Row],[DOB - Fixed]],2))))/365,0)</f>
        <v>36.087671232876716</v>
      </c>
      <c r="J1563">
        <f>VLOOKUP(Demographics[[#This Row],[INCOME LEVEL]],Income[],4,FALSE)</f>
        <v>175</v>
      </c>
      <c r="K1563">
        <f>IFERROR(Demographics[[#This Row],[Total monthly income]]/Demographics[[#This Row],[FAMILY SIZE]], 0)</f>
        <v>0</v>
      </c>
    </row>
    <row r="1564" spans="1:11" x14ac:dyDescent="0.2">
      <c r="A1564">
        <v>19960097</v>
      </c>
      <c r="B1564">
        <v>17121988</v>
      </c>
      <c r="C1564">
        <v>3</v>
      </c>
      <c r="D1564">
        <v>1</v>
      </c>
      <c r="E1564">
        <v>1</v>
      </c>
      <c r="F1564">
        <v>4</v>
      </c>
      <c r="G1564">
        <v>5</v>
      </c>
      <c r="H1564" t="str">
        <f>IF(Demographics[[#This Row],[DOB]]&gt;10000000, TEXT(Demographics[[#This Row],[DOB]],0),CONCATENATE("0",TEXT(Demographics[[#This Row],[DOB]],0)))</f>
        <v>17121988</v>
      </c>
      <c r="I1564" s="4">
        <f ca="1">IFERROR((VALUE(TODAY()-DATE(RIGHT(Demographics[[#This Row],[DOB - Fixed]],4),MID(Demographics[[#This Row],[DOB - Fixed]],3,2),LEFT(Demographics[[#This Row],[DOB - Fixed]],2))))/365,0)</f>
        <v>34.747945205479454</v>
      </c>
      <c r="J1564">
        <f>VLOOKUP(Demographics[[#This Row],[INCOME LEVEL]],Income[],4,FALSE)</f>
        <v>175</v>
      </c>
      <c r="K1564">
        <f>IFERROR(Demographics[[#This Row],[Total monthly income]]/Demographics[[#This Row],[FAMILY SIZE]], 0)</f>
        <v>58.333333333333336</v>
      </c>
    </row>
    <row r="1565" spans="1:11" x14ac:dyDescent="0.2">
      <c r="A1565">
        <v>19526250</v>
      </c>
      <c r="B1565">
        <v>14121988</v>
      </c>
      <c r="C1565">
        <v>4</v>
      </c>
      <c r="D1565">
        <v>1</v>
      </c>
      <c r="E1565">
        <v>2</v>
      </c>
      <c r="F1565">
        <v>5</v>
      </c>
      <c r="G1565">
        <v>2</v>
      </c>
      <c r="H1565" t="str">
        <f>IF(Demographics[[#This Row],[DOB]]&gt;10000000, TEXT(Demographics[[#This Row],[DOB]],0),CONCATENATE("0",TEXT(Demographics[[#This Row],[DOB]],0)))</f>
        <v>14121988</v>
      </c>
      <c r="I1565" s="4">
        <f ca="1">IFERROR((VALUE(TODAY()-DATE(RIGHT(Demographics[[#This Row],[DOB - Fixed]],4),MID(Demographics[[#This Row],[DOB - Fixed]],3,2),LEFT(Demographics[[#This Row],[DOB - Fixed]],2))))/365,0)</f>
        <v>34.756164383561647</v>
      </c>
      <c r="J1565">
        <f>VLOOKUP(Demographics[[#This Row],[INCOME LEVEL]],Income[],4,FALSE)</f>
        <v>697.5</v>
      </c>
      <c r="K1565">
        <f>IFERROR(Demographics[[#This Row],[Total monthly income]]/Demographics[[#This Row],[FAMILY SIZE]], 0)</f>
        <v>174.375</v>
      </c>
    </row>
    <row r="1566" spans="1:11" x14ac:dyDescent="0.2">
      <c r="A1566">
        <v>15585572</v>
      </c>
      <c r="B1566">
        <v>16121988</v>
      </c>
      <c r="C1566">
        <v>5</v>
      </c>
      <c r="D1566">
        <v>1</v>
      </c>
      <c r="E1566">
        <v>2</v>
      </c>
      <c r="F1566">
        <v>7</v>
      </c>
      <c r="G1566">
        <v>5</v>
      </c>
      <c r="H1566" t="str">
        <f>IF(Demographics[[#This Row],[DOB]]&gt;10000000, TEXT(Demographics[[#This Row],[DOB]],0),CONCATENATE("0",TEXT(Demographics[[#This Row],[DOB]],0)))</f>
        <v>16121988</v>
      </c>
      <c r="I1566" s="4">
        <f ca="1">IFERROR((VALUE(TODAY()-DATE(RIGHT(Demographics[[#This Row],[DOB - Fixed]],4),MID(Demographics[[#This Row],[DOB - Fixed]],3,2),LEFT(Demographics[[#This Row],[DOB - Fixed]],2))))/365,0)</f>
        <v>34.750684931506846</v>
      </c>
      <c r="J1566">
        <f>VLOOKUP(Demographics[[#This Row],[INCOME LEVEL]],Income[],4,FALSE)</f>
        <v>697.5</v>
      </c>
      <c r="K1566">
        <f>IFERROR(Demographics[[#This Row],[Total monthly income]]/Demographics[[#This Row],[FAMILY SIZE]], 0)</f>
        <v>139.5</v>
      </c>
    </row>
    <row r="1567" spans="1:11" x14ac:dyDescent="0.2">
      <c r="A1567">
        <v>2003203</v>
      </c>
      <c r="B1567">
        <v>15121988</v>
      </c>
      <c r="C1567">
        <v>5</v>
      </c>
      <c r="D1567">
        <v>2</v>
      </c>
      <c r="E1567">
        <v>2</v>
      </c>
      <c r="F1567">
        <v>5</v>
      </c>
      <c r="G1567">
        <v>4</v>
      </c>
      <c r="H1567" t="str">
        <f>IF(Demographics[[#This Row],[DOB]]&gt;10000000, TEXT(Demographics[[#This Row],[DOB]],0),CONCATENATE("0",TEXT(Demographics[[#This Row],[DOB]],0)))</f>
        <v>15121988</v>
      </c>
      <c r="I1567" s="4">
        <f ca="1">IFERROR((VALUE(TODAY()-DATE(RIGHT(Demographics[[#This Row],[DOB - Fixed]],4),MID(Demographics[[#This Row],[DOB - Fixed]],3,2),LEFT(Demographics[[#This Row],[DOB - Fixed]],2))))/365,0)</f>
        <v>34.753424657534246</v>
      </c>
      <c r="J1567">
        <f>VLOOKUP(Demographics[[#This Row],[INCOME LEVEL]],Income[],4,FALSE)</f>
        <v>697.5</v>
      </c>
      <c r="K1567">
        <f>IFERROR(Demographics[[#This Row],[Total monthly income]]/Demographics[[#This Row],[FAMILY SIZE]], 0)</f>
        <v>139.5</v>
      </c>
    </row>
    <row r="1568" spans="1:11" x14ac:dyDescent="0.2">
      <c r="A1568">
        <v>14517997</v>
      </c>
      <c r="B1568">
        <v>20121988</v>
      </c>
      <c r="C1568">
        <v>4</v>
      </c>
      <c r="D1568">
        <v>2</v>
      </c>
      <c r="E1568">
        <v>2</v>
      </c>
      <c r="F1568">
        <v>7</v>
      </c>
      <c r="G1568">
        <v>10</v>
      </c>
      <c r="H1568" t="str">
        <f>IF(Demographics[[#This Row],[DOB]]&gt;10000000, TEXT(Demographics[[#This Row],[DOB]],0),CONCATENATE("0",TEXT(Demographics[[#This Row],[DOB]],0)))</f>
        <v>20121988</v>
      </c>
      <c r="I1568" s="4">
        <f ca="1">IFERROR((VALUE(TODAY()-DATE(RIGHT(Demographics[[#This Row],[DOB - Fixed]],4),MID(Demographics[[#This Row],[DOB - Fixed]],3,2),LEFT(Demographics[[#This Row],[DOB - Fixed]],2))))/365,0)</f>
        <v>34.739726027397261</v>
      </c>
      <c r="J1568">
        <f>VLOOKUP(Demographics[[#This Row],[INCOME LEVEL]],Income[],4,FALSE)</f>
        <v>697.5</v>
      </c>
      <c r="K1568">
        <f>IFERROR(Demographics[[#This Row],[Total monthly income]]/Demographics[[#This Row],[FAMILY SIZE]], 0)</f>
        <v>174.375</v>
      </c>
    </row>
    <row r="1569" spans="1:11" x14ac:dyDescent="0.2">
      <c r="A1569">
        <v>15686726</v>
      </c>
      <c r="B1569">
        <v>18121988</v>
      </c>
      <c r="C1569">
        <v>4</v>
      </c>
      <c r="D1569">
        <v>2</v>
      </c>
      <c r="E1569">
        <v>3</v>
      </c>
      <c r="F1569">
        <v>9</v>
      </c>
      <c r="G1569">
        <v>9</v>
      </c>
      <c r="H1569" t="str">
        <f>IF(Demographics[[#This Row],[DOB]]&gt;10000000, TEXT(Demographics[[#This Row],[DOB]],0),CONCATENATE("0",TEXT(Demographics[[#This Row],[DOB]],0)))</f>
        <v>18121988</v>
      </c>
      <c r="I1569" s="4">
        <f ca="1">IFERROR((VALUE(TODAY()-DATE(RIGHT(Demographics[[#This Row],[DOB - Fixed]],4),MID(Demographics[[#This Row],[DOB - Fixed]],3,2),LEFT(Demographics[[#This Row],[DOB - Fixed]],2))))/365,0)</f>
        <v>34.745205479452054</v>
      </c>
      <c r="J1569">
        <f>VLOOKUP(Demographics[[#This Row],[INCOME LEVEL]],Income[],4,FALSE)</f>
        <v>1397.5</v>
      </c>
      <c r="K1569">
        <f>IFERROR(Demographics[[#This Row],[Total monthly income]]/Demographics[[#This Row],[FAMILY SIZE]], 0)</f>
        <v>349.375</v>
      </c>
    </row>
    <row r="1570" spans="1:11" x14ac:dyDescent="0.2">
      <c r="A1570">
        <v>24332486</v>
      </c>
      <c r="B1570">
        <v>19121988</v>
      </c>
      <c r="C1570">
        <v>5</v>
      </c>
      <c r="D1570">
        <v>1</v>
      </c>
      <c r="E1570">
        <v>1</v>
      </c>
      <c r="F1570">
        <v>2</v>
      </c>
      <c r="G1570">
        <v>5</v>
      </c>
      <c r="H1570" t="str">
        <f>IF(Demographics[[#This Row],[DOB]]&gt;10000000, TEXT(Demographics[[#This Row],[DOB]],0),CONCATENATE("0",TEXT(Demographics[[#This Row],[DOB]],0)))</f>
        <v>19121988</v>
      </c>
      <c r="I1570" s="4">
        <f ca="1">IFERROR((VALUE(TODAY()-DATE(RIGHT(Demographics[[#This Row],[DOB - Fixed]],4),MID(Demographics[[#This Row],[DOB - Fixed]],3,2),LEFT(Demographics[[#This Row],[DOB - Fixed]],2))))/365,0)</f>
        <v>34.742465753424661</v>
      </c>
      <c r="J1570">
        <f>VLOOKUP(Demographics[[#This Row],[INCOME LEVEL]],Income[],4,FALSE)</f>
        <v>175</v>
      </c>
      <c r="K1570">
        <f>IFERROR(Demographics[[#This Row],[Total monthly income]]/Demographics[[#This Row],[FAMILY SIZE]], 0)</f>
        <v>35</v>
      </c>
    </row>
    <row r="1571" spans="1:11" x14ac:dyDescent="0.2">
      <c r="A1571">
        <v>23596755</v>
      </c>
      <c r="B1571">
        <v>17121988</v>
      </c>
      <c r="C1571">
        <v>5</v>
      </c>
      <c r="D1571">
        <v>1</v>
      </c>
      <c r="E1571">
        <v>2</v>
      </c>
      <c r="F1571">
        <v>9</v>
      </c>
      <c r="G1571">
        <v>4</v>
      </c>
      <c r="H1571" t="str">
        <f>IF(Demographics[[#This Row],[DOB]]&gt;10000000, TEXT(Demographics[[#This Row],[DOB]],0),CONCATENATE("0",TEXT(Demographics[[#This Row],[DOB]],0)))</f>
        <v>17121988</v>
      </c>
      <c r="I1571" s="4">
        <f ca="1">IFERROR((VALUE(TODAY()-DATE(RIGHT(Demographics[[#This Row],[DOB - Fixed]],4),MID(Demographics[[#This Row],[DOB - Fixed]],3,2),LEFT(Demographics[[#This Row],[DOB - Fixed]],2))))/365,0)</f>
        <v>34.747945205479454</v>
      </c>
      <c r="J1571">
        <f>VLOOKUP(Demographics[[#This Row],[INCOME LEVEL]],Income[],4,FALSE)</f>
        <v>697.5</v>
      </c>
      <c r="K1571">
        <f>IFERROR(Demographics[[#This Row],[Total monthly income]]/Demographics[[#This Row],[FAMILY SIZE]], 0)</f>
        <v>139.5</v>
      </c>
    </row>
    <row r="1572" spans="1:11" x14ac:dyDescent="0.2">
      <c r="A1572">
        <v>17289168</v>
      </c>
      <c r="B1572">
        <v>15121988</v>
      </c>
      <c r="C1572">
        <v>0</v>
      </c>
      <c r="D1572">
        <v>0</v>
      </c>
      <c r="E1572">
        <v>1</v>
      </c>
      <c r="F1572">
        <v>0</v>
      </c>
      <c r="G1572">
        <v>0</v>
      </c>
      <c r="H1572" t="str">
        <f>IF(Demographics[[#This Row],[DOB]]&gt;10000000, TEXT(Demographics[[#This Row],[DOB]],0),CONCATENATE("0",TEXT(Demographics[[#This Row],[DOB]],0)))</f>
        <v>15121988</v>
      </c>
      <c r="I1572" s="4">
        <f ca="1">IFERROR((VALUE(TODAY()-DATE(RIGHT(Demographics[[#This Row],[DOB - Fixed]],4),MID(Demographics[[#This Row],[DOB - Fixed]],3,2),LEFT(Demographics[[#This Row],[DOB - Fixed]],2))))/365,0)</f>
        <v>34.753424657534246</v>
      </c>
      <c r="J1572">
        <f>VLOOKUP(Demographics[[#This Row],[INCOME LEVEL]],Income[],4,FALSE)</f>
        <v>175</v>
      </c>
      <c r="K1572">
        <f>IFERROR(Demographics[[#This Row],[Total monthly income]]/Demographics[[#This Row],[FAMILY SIZE]], 0)</f>
        <v>0</v>
      </c>
    </row>
    <row r="1573" spans="1:11" x14ac:dyDescent="0.2">
      <c r="A1573">
        <v>8311257</v>
      </c>
      <c r="B1573">
        <v>10121988</v>
      </c>
      <c r="C1573">
        <v>4</v>
      </c>
      <c r="D1573">
        <v>1</v>
      </c>
      <c r="E1573">
        <v>1</v>
      </c>
      <c r="F1573">
        <v>5</v>
      </c>
      <c r="G1573">
        <v>4</v>
      </c>
      <c r="H1573" t="str">
        <f>IF(Demographics[[#This Row],[DOB]]&gt;10000000, TEXT(Demographics[[#This Row],[DOB]],0),CONCATENATE("0",TEXT(Demographics[[#This Row],[DOB]],0)))</f>
        <v>10121988</v>
      </c>
      <c r="I1573" s="4">
        <f ca="1">IFERROR((VALUE(TODAY()-DATE(RIGHT(Demographics[[#This Row],[DOB - Fixed]],4),MID(Demographics[[#This Row],[DOB - Fixed]],3,2),LEFT(Demographics[[#This Row],[DOB - Fixed]],2))))/365,0)</f>
        <v>34.767123287671232</v>
      </c>
      <c r="J1573">
        <f>VLOOKUP(Demographics[[#This Row],[INCOME LEVEL]],Income[],4,FALSE)</f>
        <v>175</v>
      </c>
      <c r="K1573">
        <f>IFERROR(Demographics[[#This Row],[Total monthly income]]/Demographics[[#This Row],[FAMILY SIZE]], 0)</f>
        <v>43.75</v>
      </c>
    </row>
    <row r="1574" spans="1:11" x14ac:dyDescent="0.2">
      <c r="A1574">
        <v>7243076</v>
      </c>
      <c r="B1574">
        <v>18121988</v>
      </c>
      <c r="C1574">
        <v>2</v>
      </c>
      <c r="D1574">
        <v>1</v>
      </c>
      <c r="E1574">
        <v>1</v>
      </c>
      <c r="F1574">
        <v>4</v>
      </c>
      <c r="G1574">
        <v>4</v>
      </c>
      <c r="H1574" t="str">
        <f>IF(Demographics[[#This Row],[DOB]]&gt;10000000, TEXT(Demographics[[#This Row],[DOB]],0),CONCATENATE("0",TEXT(Demographics[[#This Row],[DOB]],0)))</f>
        <v>18121988</v>
      </c>
      <c r="I1574" s="4">
        <f ca="1">IFERROR((VALUE(TODAY()-DATE(RIGHT(Demographics[[#This Row],[DOB - Fixed]],4),MID(Demographics[[#This Row],[DOB - Fixed]],3,2),LEFT(Demographics[[#This Row],[DOB - Fixed]],2))))/365,0)</f>
        <v>34.745205479452054</v>
      </c>
      <c r="J1574">
        <f>VLOOKUP(Demographics[[#This Row],[INCOME LEVEL]],Income[],4,FALSE)</f>
        <v>175</v>
      </c>
      <c r="K1574">
        <f>IFERROR(Demographics[[#This Row],[Total monthly income]]/Demographics[[#This Row],[FAMILY SIZE]], 0)</f>
        <v>87.5</v>
      </c>
    </row>
    <row r="1575" spans="1:11" x14ac:dyDescent="0.2">
      <c r="A1575">
        <v>22196881</v>
      </c>
      <c r="B1575">
        <v>19121988</v>
      </c>
      <c r="C1575">
        <v>4</v>
      </c>
      <c r="D1575">
        <v>1</v>
      </c>
      <c r="E1575">
        <v>1</v>
      </c>
      <c r="F1575">
        <v>4</v>
      </c>
      <c r="G1575">
        <v>2</v>
      </c>
      <c r="H1575" t="str">
        <f>IF(Demographics[[#This Row],[DOB]]&gt;10000000, TEXT(Demographics[[#This Row],[DOB]],0),CONCATENATE("0",TEXT(Demographics[[#This Row],[DOB]],0)))</f>
        <v>19121988</v>
      </c>
      <c r="I1575" s="4">
        <f ca="1">IFERROR((VALUE(TODAY()-DATE(RIGHT(Demographics[[#This Row],[DOB - Fixed]],4),MID(Demographics[[#This Row],[DOB - Fixed]],3,2),LEFT(Demographics[[#This Row],[DOB - Fixed]],2))))/365,0)</f>
        <v>34.742465753424661</v>
      </c>
      <c r="J1575">
        <f>VLOOKUP(Demographics[[#This Row],[INCOME LEVEL]],Income[],4,FALSE)</f>
        <v>175</v>
      </c>
      <c r="K1575">
        <f>IFERROR(Demographics[[#This Row],[Total monthly income]]/Demographics[[#This Row],[FAMILY SIZE]], 0)</f>
        <v>43.75</v>
      </c>
    </row>
    <row r="1576" spans="1:11" x14ac:dyDescent="0.2">
      <c r="A1576">
        <v>3953920</v>
      </c>
      <c r="B1576">
        <v>30111988</v>
      </c>
      <c r="C1576">
        <v>5</v>
      </c>
      <c r="D1576">
        <v>1</v>
      </c>
      <c r="E1576">
        <v>2</v>
      </c>
      <c r="F1576">
        <v>5</v>
      </c>
      <c r="G1576">
        <v>4</v>
      </c>
      <c r="H1576" t="str">
        <f>IF(Demographics[[#This Row],[DOB]]&gt;10000000, TEXT(Demographics[[#This Row],[DOB]],0),CONCATENATE("0",TEXT(Demographics[[#This Row],[DOB]],0)))</f>
        <v>30111988</v>
      </c>
      <c r="I1576" s="4">
        <f ca="1">IFERROR((VALUE(TODAY()-DATE(RIGHT(Demographics[[#This Row],[DOB - Fixed]],4),MID(Demographics[[#This Row],[DOB - Fixed]],3,2),LEFT(Demographics[[#This Row],[DOB - Fixed]],2))))/365,0)</f>
        <v>34.794520547945204</v>
      </c>
      <c r="J1576">
        <f>VLOOKUP(Demographics[[#This Row],[INCOME LEVEL]],Income[],4,FALSE)</f>
        <v>697.5</v>
      </c>
      <c r="K1576">
        <f>IFERROR(Demographics[[#This Row],[Total monthly income]]/Demographics[[#This Row],[FAMILY SIZE]], 0)</f>
        <v>139.5</v>
      </c>
    </row>
    <row r="1577" spans="1:11" x14ac:dyDescent="0.2">
      <c r="A1577">
        <v>22646179</v>
      </c>
      <c r="B1577">
        <v>21121988</v>
      </c>
      <c r="C1577">
        <v>5</v>
      </c>
      <c r="D1577">
        <v>1</v>
      </c>
      <c r="E1577">
        <v>1</v>
      </c>
      <c r="F1577">
        <v>2</v>
      </c>
      <c r="G1577">
        <v>2</v>
      </c>
      <c r="H1577" t="str">
        <f>IF(Demographics[[#This Row],[DOB]]&gt;10000000, TEXT(Demographics[[#This Row],[DOB]],0),CONCATENATE("0",TEXT(Demographics[[#This Row],[DOB]],0)))</f>
        <v>21121988</v>
      </c>
      <c r="I1577" s="4">
        <f ca="1">IFERROR((VALUE(TODAY()-DATE(RIGHT(Demographics[[#This Row],[DOB - Fixed]],4),MID(Demographics[[#This Row],[DOB - Fixed]],3,2),LEFT(Demographics[[#This Row],[DOB - Fixed]],2))))/365,0)</f>
        <v>34.736986301369861</v>
      </c>
      <c r="J1577">
        <f>VLOOKUP(Demographics[[#This Row],[INCOME LEVEL]],Income[],4,FALSE)</f>
        <v>175</v>
      </c>
      <c r="K1577">
        <f>IFERROR(Demographics[[#This Row],[Total monthly income]]/Demographics[[#This Row],[FAMILY SIZE]], 0)</f>
        <v>35</v>
      </c>
    </row>
    <row r="1578" spans="1:11" x14ac:dyDescent="0.2">
      <c r="A1578">
        <v>4155620</v>
      </c>
      <c r="B1578">
        <v>23121988</v>
      </c>
      <c r="C1578">
        <v>5</v>
      </c>
      <c r="D1578">
        <v>2</v>
      </c>
      <c r="E1578">
        <v>1</v>
      </c>
      <c r="F1578">
        <v>5</v>
      </c>
      <c r="G1578">
        <v>5</v>
      </c>
      <c r="H1578" t="str">
        <f>IF(Demographics[[#This Row],[DOB]]&gt;10000000, TEXT(Demographics[[#This Row],[DOB]],0),CONCATENATE("0",TEXT(Demographics[[#This Row],[DOB]],0)))</f>
        <v>23121988</v>
      </c>
      <c r="I1578" s="4">
        <f ca="1">IFERROR((VALUE(TODAY()-DATE(RIGHT(Demographics[[#This Row],[DOB - Fixed]],4),MID(Demographics[[#This Row],[DOB - Fixed]],3,2),LEFT(Demographics[[#This Row],[DOB - Fixed]],2))))/365,0)</f>
        <v>34.731506849315068</v>
      </c>
      <c r="J1578">
        <f>VLOOKUP(Demographics[[#This Row],[INCOME LEVEL]],Income[],4,FALSE)</f>
        <v>175</v>
      </c>
      <c r="K1578">
        <f>IFERROR(Demographics[[#This Row],[Total monthly income]]/Demographics[[#This Row],[FAMILY SIZE]], 0)</f>
        <v>35</v>
      </c>
    </row>
    <row r="1579" spans="1:11" x14ac:dyDescent="0.2">
      <c r="A1579">
        <v>9928955</v>
      </c>
      <c r="B1579">
        <v>24121988</v>
      </c>
      <c r="C1579">
        <v>5</v>
      </c>
      <c r="D1579">
        <v>2</v>
      </c>
      <c r="E1579">
        <v>6</v>
      </c>
      <c r="F1579">
        <v>8</v>
      </c>
      <c r="G1579">
        <v>5</v>
      </c>
      <c r="H1579" t="str">
        <f>IF(Demographics[[#This Row],[DOB]]&gt;10000000, TEXT(Demographics[[#This Row],[DOB]],0),CONCATENATE("0",TEXT(Demographics[[#This Row],[DOB]],0)))</f>
        <v>24121988</v>
      </c>
      <c r="I1579" s="4">
        <f ca="1">IFERROR((VALUE(TODAY()-DATE(RIGHT(Demographics[[#This Row],[DOB - Fixed]],4),MID(Demographics[[#This Row],[DOB - Fixed]],3,2),LEFT(Demographics[[#This Row],[DOB - Fixed]],2))))/365,0)</f>
        <v>34.728767123287675</v>
      </c>
      <c r="J1579">
        <f>VLOOKUP(Demographics[[#This Row],[INCOME LEVEL]],Income[],4,FALSE)</f>
        <v>4000</v>
      </c>
      <c r="K1579">
        <f>IFERROR(Demographics[[#This Row],[Total monthly income]]/Demographics[[#This Row],[FAMILY SIZE]], 0)</f>
        <v>800</v>
      </c>
    </row>
    <row r="1580" spans="1:11" x14ac:dyDescent="0.2">
      <c r="A1580">
        <v>2987071</v>
      </c>
      <c r="B1580">
        <v>20121988</v>
      </c>
      <c r="C1580">
        <v>5</v>
      </c>
      <c r="D1580">
        <v>1</v>
      </c>
      <c r="E1580">
        <v>1</v>
      </c>
      <c r="F1580">
        <v>3</v>
      </c>
      <c r="G1580">
        <v>4</v>
      </c>
      <c r="H1580" t="str">
        <f>IF(Demographics[[#This Row],[DOB]]&gt;10000000, TEXT(Demographics[[#This Row],[DOB]],0),CONCATENATE("0",TEXT(Demographics[[#This Row],[DOB]],0)))</f>
        <v>20121988</v>
      </c>
      <c r="I1580" s="4">
        <f ca="1">IFERROR((VALUE(TODAY()-DATE(RIGHT(Demographics[[#This Row],[DOB - Fixed]],4),MID(Demographics[[#This Row],[DOB - Fixed]],3,2),LEFT(Demographics[[#This Row],[DOB - Fixed]],2))))/365,0)</f>
        <v>34.739726027397261</v>
      </c>
      <c r="J1580">
        <f>VLOOKUP(Demographics[[#This Row],[INCOME LEVEL]],Income[],4,FALSE)</f>
        <v>175</v>
      </c>
      <c r="K1580">
        <f>IFERROR(Demographics[[#This Row],[Total monthly income]]/Demographics[[#This Row],[FAMILY SIZE]], 0)</f>
        <v>35</v>
      </c>
    </row>
    <row r="1581" spans="1:11" x14ac:dyDescent="0.2">
      <c r="A1581">
        <v>23814261</v>
      </c>
      <c r="B1581">
        <v>26081988</v>
      </c>
      <c r="C1581">
        <v>4</v>
      </c>
      <c r="D1581">
        <v>1</v>
      </c>
      <c r="E1581">
        <v>1</v>
      </c>
      <c r="F1581">
        <v>4</v>
      </c>
      <c r="G1581">
        <v>3</v>
      </c>
      <c r="H1581" t="str">
        <f>IF(Demographics[[#This Row],[DOB]]&gt;10000000, TEXT(Demographics[[#This Row],[DOB]],0),CONCATENATE("0",TEXT(Demographics[[#This Row],[DOB]],0)))</f>
        <v>26081988</v>
      </c>
      <c r="I1581" s="4">
        <f ca="1">IFERROR((VALUE(TODAY()-DATE(RIGHT(Demographics[[#This Row],[DOB - Fixed]],4),MID(Demographics[[#This Row],[DOB - Fixed]],3,2),LEFT(Demographics[[#This Row],[DOB - Fixed]],2))))/365,0)</f>
        <v>35.057534246575344</v>
      </c>
      <c r="J1581">
        <f>VLOOKUP(Demographics[[#This Row],[INCOME LEVEL]],Income[],4,FALSE)</f>
        <v>175</v>
      </c>
      <c r="K1581">
        <f>IFERROR(Demographics[[#This Row],[Total monthly income]]/Demographics[[#This Row],[FAMILY SIZE]], 0)</f>
        <v>43.75</v>
      </c>
    </row>
    <row r="1582" spans="1:11" x14ac:dyDescent="0.2">
      <c r="A1582">
        <v>14100916</v>
      </c>
      <c r="B1582">
        <v>2111988</v>
      </c>
      <c r="C1582">
        <v>5</v>
      </c>
      <c r="D1582">
        <v>1</v>
      </c>
      <c r="E1582">
        <v>1</v>
      </c>
      <c r="F1582">
        <v>4</v>
      </c>
      <c r="G1582">
        <v>4</v>
      </c>
      <c r="H1582" t="str">
        <f>IF(Demographics[[#This Row],[DOB]]&gt;10000000, TEXT(Demographics[[#This Row],[DOB]],0),CONCATENATE("0",TEXT(Demographics[[#This Row],[DOB]],0)))</f>
        <v>02111988</v>
      </c>
      <c r="I1582" s="4">
        <f ca="1">IFERROR((VALUE(TODAY()-DATE(RIGHT(Demographics[[#This Row],[DOB - Fixed]],4),MID(Demographics[[#This Row],[DOB - Fixed]],3,2),LEFT(Demographics[[#This Row],[DOB - Fixed]],2))))/365,0)</f>
        <v>34.871232876712327</v>
      </c>
      <c r="J1582">
        <f>VLOOKUP(Demographics[[#This Row],[INCOME LEVEL]],Income[],4,FALSE)</f>
        <v>175</v>
      </c>
      <c r="K1582">
        <f>IFERROR(Demographics[[#This Row],[Total monthly income]]/Demographics[[#This Row],[FAMILY SIZE]], 0)</f>
        <v>35</v>
      </c>
    </row>
    <row r="1583" spans="1:11" x14ac:dyDescent="0.2">
      <c r="A1583">
        <v>1384298</v>
      </c>
      <c r="B1583">
        <v>21121988</v>
      </c>
      <c r="C1583">
        <v>4</v>
      </c>
      <c r="D1583">
        <v>2</v>
      </c>
      <c r="E1583">
        <v>5</v>
      </c>
      <c r="F1583">
        <v>9</v>
      </c>
      <c r="G1583">
        <v>9</v>
      </c>
      <c r="H1583" t="str">
        <f>IF(Demographics[[#This Row],[DOB]]&gt;10000000, TEXT(Demographics[[#This Row],[DOB]],0),CONCATENATE("0",TEXT(Demographics[[#This Row],[DOB]],0)))</f>
        <v>21121988</v>
      </c>
      <c r="I1583" s="4">
        <f ca="1">IFERROR((VALUE(TODAY()-DATE(RIGHT(Demographics[[#This Row],[DOB - Fixed]],4),MID(Demographics[[#This Row],[DOB - Fixed]],3,2),LEFT(Demographics[[#This Row],[DOB - Fixed]],2))))/365,0)</f>
        <v>34.736986301369861</v>
      </c>
      <c r="J1583">
        <f>VLOOKUP(Demographics[[#This Row],[INCOME LEVEL]],Income[],4,FALSE)</f>
        <v>2787.5</v>
      </c>
      <c r="K1583">
        <f>IFERROR(Demographics[[#This Row],[Total monthly income]]/Demographics[[#This Row],[FAMILY SIZE]], 0)</f>
        <v>696.875</v>
      </c>
    </row>
    <row r="1584" spans="1:11" x14ac:dyDescent="0.2">
      <c r="A1584">
        <v>1484884</v>
      </c>
      <c r="B1584">
        <v>19121988</v>
      </c>
      <c r="C1584">
        <v>3</v>
      </c>
      <c r="D1584">
        <v>2</v>
      </c>
      <c r="E1584">
        <v>1</v>
      </c>
      <c r="F1584">
        <v>5</v>
      </c>
      <c r="G1584">
        <v>5</v>
      </c>
      <c r="H1584" t="str">
        <f>IF(Demographics[[#This Row],[DOB]]&gt;10000000, TEXT(Demographics[[#This Row],[DOB]],0),CONCATENATE("0",TEXT(Demographics[[#This Row],[DOB]],0)))</f>
        <v>19121988</v>
      </c>
      <c r="I1584" s="4">
        <f ca="1">IFERROR((VALUE(TODAY()-DATE(RIGHT(Demographics[[#This Row],[DOB - Fixed]],4),MID(Demographics[[#This Row],[DOB - Fixed]],3,2),LEFT(Demographics[[#This Row],[DOB - Fixed]],2))))/365,0)</f>
        <v>34.742465753424661</v>
      </c>
      <c r="J1584">
        <f>VLOOKUP(Demographics[[#This Row],[INCOME LEVEL]],Income[],4,FALSE)</f>
        <v>175</v>
      </c>
      <c r="K1584">
        <f>IFERROR(Demographics[[#This Row],[Total monthly income]]/Demographics[[#This Row],[FAMILY SIZE]], 0)</f>
        <v>58.333333333333336</v>
      </c>
    </row>
    <row r="1585" spans="1:11" x14ac:dyDescent="0.2">
      <c r="A1585">
        <v>6292126</v>
      </c>
      <c r="B1585">
        <v>8121988</v>
      </c>
      <c r="C1585">
        <v>6</v>
      </c>
      <c r="D1585">
        <v>1</v>
      </c>
      <c r="E1585">
        <v>1</v>
      </c>
      <c r="F1585">
        <v>2</v>
      </c>
      <c r="G1585">
        <v>2</v>
      </c>
      <c r="H1585" t="str">
        <f>IF(Demographics[[#This Row],[DOB]]&gt;10000000, TEXT(Demographics[[#This Row],[DOB]],0),CONCATENATE("0",TEXT(Demographics[[#This Row],[DOB]],0)))</f>
        <v>08121988</v>
      </c>
      <c r="I1585" s="4">
        <f ca="1">IFERROR((VALUE(TODAY()-DATE(RIGHT(Demographics[[#This Row],[DOB - Fixed]],4),MID(Demographics[[#This Row],[DOB - Fixed]],3,2),LEFT(Demographics[[#This Row],[DOB - Fixed]],2))))/365,0)</f>
        <v>34.772602739726025</v>
      </c>
      <c r="J1585">
        <f>VLOOKUP(Demographics[[#This Row],[INCOME LEVEL]],Income[],4,FALSE)</f>
        <v>175</v>
      </c>
      <c r="K1585">
        <f>IFERROR(Demographics[[#This Row],[Total monthly income]]/Demographics[[#This Row],[FAMILY SIZE]], 0)</f>
        <v>29.166666666666668</v>
      </c>
    </row>
    <row r="1586" spans="1:11" x14ac:dyDescent="0.2">
      <c r="A1586">
        <v>5556179</v>
      </c>
      <c r="B1586">
        <v>21121988</v>
      </c>
      <c r="C1586">
        <v>4</v>
      </c>
      <c r="D1586">
        <v>1</v>
      </c>
      <c r="E1586">
        <v>2</v>
      </c>
      <c r="F1586">
        <v>5</v>
      </c>
      <c r="G1586">
        <v>3</v>
      </c>
      <c r="H1586" t="str">
        <f>IF(Demographics[[#This Row],[DOB]]&gt;10000000, TEXT(Demographics[[#This Row],[DOB]],0),CONCATENATE("0",TEXT(Demographics[[#This Row],[DOB]],0)))</f>
        <v>21121988</v>
      </c>
      <c r="I1586" s="4">
        <f ca="1">IFERROR((VALUE(TODAY()-DATE(RIGHT(Demographics[[#This Row],[DOB - Fixed]],4),MID(Demographics[[#This Row],[DOB - Fixed]],3,2),LEFT(Demographics[[#This Row],[DOB - Fixed]],2))))/365,0)</f>
        <v>34.736986301369861</v>
      </c>
      <c r="J1586">
        <f>VLOOKUP(Demographics[[#This Row],[INCOME LEVEL]],Income[],4,FALSE)</f>
        <v>697.5</v>
      </c>
      <c r="K1586">
        <f>IFERROR(Demographics[[#This Row],[Total monthly income]]/Demographics[[#This Row],[FAMILY SIZE]], 0)</f>
        <v>174.375</v>
      </c>
    </row>
    <row r="1587" spans="1:11" x14ac:dyDescent="0.2">
      <c r="A1587">
        <v>1817149</v>
      </c>
      <c r="B1587">
        <v>22121988</v>
      </c>
      <c r="C1587">
        <v>3</v>
      </c>
      <c r="D1587">
        <v>0</v>
      </c>
      <c r="E1587">
        <v>1</v>
      </c>
      <c r="F1587">
        <v>0</v>
      </c>
      <c r="G1587">
        <v>0</v>
      </c>
      <c r="H1587" t="str">
        <f>IF(Demographics[[#This Row],[DOB]]&gt;10000000, TEXT(Demographics[[#This Row],[DOB]],0),CONCATENATE("0",TEXT(Demographics[[#This Row],[DOB]],0)))</f>
        <v>22121988</v>
      </c>
      <c r="I1587" s="4">
        <f ca="1">IFERROR((VALUE(TODAY()-DATE(RIGHT(Demographics[[#This Row],[DOB - Fixed]],4),MID(Demographics[[#This Row],[DOB - Fixed]],3,2),LEFT(Demographics[[#This Row],[DOB - Fixed]],2))))/365,0)</f>
        <v>34.734246575342468</v>
      </c>
      <c r="J1587">
        <f>VLOOKUP(Demographics[[#This Row],[INCOME LEVEL]],Income[],4,FALSE)</f>
        <v>175</v>
      </c>
      <c r="K1587">
        <f>IFERROR(Demographics[[#This Row],[Total monthly income]]/Demographics[[#This Row],[FAMILY SIZE]], 0)</f>
        <v>58.333333333333336</v>
      </c>
    </row>
    <row r="1588" spans="1:11" x14ac:dyDescent="0.2">
      <c r="A1588">
        <v>10896586</v>
      </c>
      <c r="B1588">
        <v>27121988</v>
      </c>
      <c r="C1588">
        <v>4</v>
      </c>
      <c r="D1588">
        <v>2</v>
      </c>
      <c r="E1588">
        <v>2</v>
      </c>
      <c r="F1588">
        <v>5</v>
      </c>
      <c r="G1588">
        <v>5</v>
      </c>
      <c r="H1588" t="str">
        <f>IF(Demographics[[#This Row],[DOB]]&gt;10000000, TEXT(Demographics[[#This Row],[DOB]],0),CONCATENATE("0",TEXT(Demographics[[#This Row],[DOB]],0)))</f>
        <v>27121988</v>
      </c>
      <c r="I1588" s="4">
        <f ca="1">IFERROR((VALUE(TODAY()-DATE(RIGHT(Demographics[[#This Row],[DOB - Fixed]],4),MID(Demographics[[#This Row],[DOB - Fixed]],3,2),LEFT(Demographics[[#This Row],[DOB - Fixed]],2))))/365,0)</f>
        <v>34.720547945205482</v>
      </c>
      <c r="J1588">
        <f>VLOOKUP(Demographics[[#This Row],[INCOME LEVEL]],Income[],4,FALSE)</f>
        <v>697.5</v>
      </c>
      <c r="K1588">
        <f>IFERROR(Demographics[[#This Row],[Total monthly income]]/Demographics[[#This Row],[FAMILY SIZE]], 0)</f>
        <v>174.375</v>
      </c>
    </row>
    <row r="1589" spans="1:11" x14ac:dyDescent="0.2">
      <c r="A1589">
        <v>1283084</v>
      </c>
      <c r="B1589">
        <v>27121988</v>
      </c>
      <c r="C1589">
        <v>4</v>
      </c>
      <c r="D1589">
        <v>1</v>
      </c>
      <c r="E1589">
        <v>2</v>
      </c>
      <c r="F1589">
        <v>9</v>
      </c>
      <c r="G1589">
        <v>7</v>
      </c>
      <c r="H1589" t="str">
        <f>IF(Demographics[[#This Row],[DOB]]&gt;10000000, TEXT(Demographics[[#This Row],[DOB]],0),CONCATENATE("0",TEXT(Demographics[[#This Row],[DOB]],0)))</f>
        <v>27121988</v>
      </c>
      <c r="I1589" s="4">
        <f ca="1">IFERROR((VALUE(TODAY()-DATE(RIGHT(Demographics[[#This Row],[DOB - Fixed]],4),MID(Demographics[[#This Row],[DOB - Fixed]],3,2),LEFT(Demographics[[#This Row],[DOB - Fixed]],2))))/365,0)</f>
        <v>34.720547945205482</v>
      </c>
      <c r="J1589">
        <f>VLOOKUP(Demographics[[#This Row],[INCOME LEVEL]],Income[],4,FALSE)</f>
        <v>697.5</v>
      </c>
      <c r="K1589">
        <f>IFERROR(Demographics[[#This Row],[Total monthly income]]/Demographics[[#This Row],[FAMILY SIZE]], 0)</f>
        <v>174.375</v>
      </c>
    </row>
    <row r="1590" spans="1:11" x14ac:dyDescent="0.2">
      <c r="A1590">
        <v>17939477</v>
      </c>
      <c r="B1590">
        <v>15121988</v>
      </c>
      <c r="C1590">
        <v>5</v>
      </c>
      <c r="D1590">
        <v>0</v>
      </c>
      <c r="E1590">
        <v>1</v>
      </c>
      <c r="F1590">
        <v>3</v>
      </c>
      <c r="G1590">
        <v>5</v>
      </c>
      <c r="H1590" t="str">
        <f>IF(Demographics[[#This Row],[DOB]]&gt;10000000, TEXT(Demographics[[#This Row],[DOB]],0),CONCATENATE("0",TEXT(Demographics[[#This Row],[DOB]],0)))</f>
        <v>15121988</v>
      </c>
      <c r="I1590" s="4">
        <f ca="1">IFERROR((VALUE(TODAY()-DATE(RIGHT(Demographics[[#This Row],[DOB - Fixed]],4),MID(Demographics[[#This Row],[DOB - Fixed]],3,2),LEFT(Demographics[[#This Row],[DOB - Fixed]],2))))/365,0)</f>
        <v>34.753424657534246</v>
      </c>
      <c r="J1590">
        <f>VLOOKUP(Demographics[[#This Row],[INCOME LEVEL]],Income[],4,FALSE)</f>
        <v>175</v>
      </c>
      <c r="K1590">
        <f>IFERROR(Demographics[[#This Row],[Total monthly income]]/Demographics[[#This Row],[FAMILY SIZE]], 0)</f>
        <v>35</v>
      </c>
    </row>
    <row r="1591" spans="1:11" x14ac:dyDescent="0.2">
      <c r="A1591">
        <v>21678315</v>
      </c>
      <c r="B1591">
        <v>5121988</v>
      </c>
      <c r="C1591">
        <v>6</v>
      </c>
      <c r="D1591">
        <v>2</v>
      </c>
      <c r="E1591">
        <v>2</v>
      </c>
      <c r="F1591">
        <v>5</v>
      </c>
      <c r="G1591">
        <v>0</v>
      </c>
      <c r="H1591" t="str">
        <f>IF(Demographics[[#This Row],[DOB]]&gt;10000000, TEXT(Demographics[[#This Row],[DOB]],0),CONCATENATE("0",TEXT(Demographics[[#This Row],[DOB]],0)))</f>
        <v>05121988</v>
      </c>
      <c r="I1591" s="4">
        <f ca="1">IFERROR((VALUE(TODAY()-DATE(RIGHT(Demographics[[#This Row],[DOB - Fixed]],4),MID(Demographics[[#This Row],[DOB - Fixed]],3,2),LEFT(Demographics[[#This Row],[DOB - Fixed]],2))))/365,0)</f>
        <v>34.780821917808218</v>
      </c>
      <c r="J1591">
        <f>VLOOKUP(Demographics[[#This Row],[INCOME LEVEL]],Income[],4,FALSE)</f>
        <v>697.5</v>
      </c>
      <c r="K1591">
        <f>IFERROR(Demographics[[#This Row],[Total monthly income]]/Demographics[[#This Row],[FAMILY SIZE]], 0)</f>
        <v>116.25</v>
      </c>
    </row>
    <row r="1592" spans="1:11" x14ac:dyDescent="0.2">
      <c r="A1592">
        <v>9294492</v>
      </c>
      <c r="B1592">
        <v>27121988</v>
      </c>
      <c r="C1592">
        <v>5</v>
      </c>
      <c r="D1592">
        <v>2</v>
      </c>
      <c r="E1592">
        <v>2</v>
      </c>
      <c r="F1592">
        <v>5</v>
      </c>
      <c r="G1592">
        <v>5</v>
      </c>
      <c r="H1592" t="str">
        <f>IF(Demographics[[#This Row],[DOB]]&gt;10000000, TEXT(Demographics[[#This Row],[DOB]],0),CONCATENATE("0",TEXT(Demographics[[#This Row],[DOB]],0)))</f>
        <v>27121988</v>
      </c>
      <c r="I1592" s="4">
        <f ca="1">IFERROR((VALUE(TODAY()-DATE(RIGHT(Demographics[[#This Row],[DOB - Fixed]],4),MID(Demographics[[#This Row],[DOB - Fixed]],3,2),LEFT(Demographics[[#This Row],[DOB - Fixed]],2))))/365,0)</f>
        <v>34.720547945205482</v>
      </c>
      <c r="J1592">
        <f>VLOOKUP(Demographics[[#This Row],[INCOME LEVEL]],Income[],4,FALSE)</f>
        <v>697.5</v>
      </c>
      <c r="K1592">
        <f>IFERROR(Demographics[[#This Row],[Total monthly income]]/Demographics[[#This Row],[FAMILY SIZE]], 0)</f>
        <v>139.5</v>
      </c>
    </row>
    <row r="1593" spans="1:11" x14ac:dyDescent="0.2">
      <c r="A1593">
        <v>23179885</v>
      </c>
      <c r="B1593">
        <v>26121988</v>
      </c>
      <c r="C1593">
        <v>5</v>
      </c>
      <c r="D1593">
        <v>2</v>
      </c>
      <c r="E1593">
        <v>2</v>
      </c>
      <c r="F1593">
        <v>5</v>
      </c>
      <c r="G1593">
        <v>7</v>
      </c>
      <c r="H1593" t="str">
        <f>IF(Demographics[[#This Row],[DOB]]&gt;10000000, TEXT(Demographics[[#This Row],[DOB]],0),CONCATENATE("0",TEXT(Demographics[[#This Row],[DOB]],0)))</f>
        <v>26121988</v>
      </c>
      <c r="I1593" s="4">
        <f ca="1">IFERROR((VALUE(TODAY()-DATE(RIGHT(Demographics[[#This Row],[DOB - Fixed]],4),MID(Demographics[[#This Row],[DOB - Fixed]],3,2),LEFT(Demographics[[#This Row],[DOB - Fixed]],2))))/365,0)</f>
        <v>34.723287671232875</v>
      </c>
      <c r="J1593">
        <f>VLOOKUP(Demographics[[#This Row],[INCOME LEVEL]],Income[],4,FALSE)</f>
        <v>697.5</v>
      </c>
      <c r="K1593">
        <f>IFERROR(Demographics[[#This Row],[Total monthly income]]/Demographics[[#This Row],[FAMILY SIZE]], 0)</f>
        <v>139.5</v>
      </c>
    </row>
    <row r="1594" spans="1:11" x14ac:dyDescent="0.2">
      <c r="A1594">
        <v>23078798</v>
      </c>
      <c r="B1594">
        <v>12121988</v>
      </c>
      <c r="C1594">
        <v>7</v>
      </c>
      <c r="D1594">
        <v>2</v>
      </c>
      <c r="E1594">
        <v>1</v>
      </c>
      <c r="F1594">
        <v>2</v>
      </c>
      <c r="G1594">
        <v>2</v>
      </c>
      <c r="H1594" t="str">
        <f>IF(Demographics[[#This Row],[DOB]]&gt;10000000, TEXT(Demographics[[#This Row],[DOB]],0),CONCATENATE("0",TEXT(Demographics[[#This Row],[DOB]],0)))</f>
        <v>12121988</v>
      </c>
      <c r="I1594" s="4">
        <f ca="1">IFERROR((VALUE(TODAY()-DATE(RIGHT(Demographics[[#This Row],[DOB - Fixed]],4),MID(Demographics[[#This Row],[DOB - Fixed]],3,2),LEFT(Demographics[[#This Row],[DOB - Fixed]],2))))/365,0)</f>
        <v>34.761643835616439</v>
      </c>
      <c r="J1594">
        <f>VLOOKUP(Demographics[[#This Row],[INCOME LEVEL]],Income[],4,FALSE)</f>
        <v>175</v>
      </c>
      <c r="K1594">
        <f>IFERROR(Demographics[[#This Row],[Total monthly income]]/Demographics[[#This Row],[FAMILY SIZE]], 0)</f>
        <v>25</v>
      </c>
    </row>
    <row r="1595" spans="1:11" x14ac:dyDescent="0.2">
      <c r="A1595">
        <v>19975836</v>
      </c>
      <c r="B1595">
        <v>19121988</v>
      </c>
      <c r="C1595">
        <v>4</v>
      </c>
      <c r="D1595">
        <v>2</v>
      </c>
      <c r="E1595">
        <v>2</v>
      </c>
      <c r="F1595">
        <v>0</v>
      </c>
      <c r="G1595">
        <v>0</v>
      </c>
      <c r="H1595" t="str">
        <f>IF(Demographics[[#This Row],[DOB]]&gt;10000000, TEXT(Demographics[[#This Row],[DOB]],0),CONCATENATE("0",TEXT(Demographics[[#This Row],[DOB]],0)))</f>
        <v>19121988</v>
      </c>
      <c r="I1595" s="4">
        <f ca="1">IFERROR((VALUE(TODAY()-DATE(RIGHT(Demographics[[#This Row],[DOB - Fixed]],4),MID(Demographics[[#This Row],[DOB - Fixed]],3,2),LEFT(Demographics[[#This Row],[DOB - Fixed]],2))))/365,0)</f>
        <v>34.742465753424661</v>
      </c>
      <c r="J1595">
        <f>VLOOKUP(Demographics[[#This Row],[INCOME LEVEL]],Income[],4,FALSE)</f>
        <v>697.5</v>
      </c>
      <c r="K1595">
        <f>IFERROR(Demographics[[#This Row],[Total monthly income]]/Demographics[[#This Row],[FAMILY SIZE]], 0)</f>
        <v>174.375</v>
      </c>
    </row>
    <row r="1596" spans="1:11" x14ac:dyDescent="0.2">
      <c r="A1596">
        <v>5122880</v>
      </c>
      <c r="B1596">
        <v>26121988</v>
      </c>
      <c r="C1596">
        <v>3</v>
      </c>
      <c r="D1596">
        <v>1</v>
      </c>
      <c r="E1596">
        <v>2</v>
      </c>
      <c r="F1596">
        <v>8</v>
      </c>
      <c r="G1596">
        <v>9</v>
      </c>
      <c r="H1596" t="str">
        <f>IF(Demographics[[#This Row],[DOB]]&gt;10000000, TEXT(Demographics[[#This Row],[DOB]],0),CONCATENATE("0",TEXT(Demographics[[#This Row],[DOB]],0)))</f>
        <v>26121988</v>
      </c>
      <c r="I1596" s="4">
        <f ca="1">IFERROR((VALUE(TODAY()-DATE(RIGHT(Demographics[[#This Row],[DOB - Fixed]],4),MID(Demographics[[#This Row],[DOB - Fixed]],3,2),LEFT(Demographics[[#This Row],[DOB - Fixed]],2))))/365,0)</f>
        <v>34.723287671232875</v>
      </c>
      <c r="J1596">
        <f>VLOOKUP(Demographics[[#This Row],[INCOME LEVEL]],Income[],4,FALSE)</f>
        <v>697.5</v>
      </c>
      <c r="K1596">
        <f>IFERROR(Demographics[[#This Row],[Total monthly income]]/Demographics[[#This Row],[FAMILY SIZE]], 0)</f>
        <v>232.5</v>
      </c>
    </row>
    <row r="1597" spans="1:11" x14ac:dyDescent="0.2">
      <c r="A1597">
        <v>7893606</v>
      </c>
      <c r="B1597">
        <v>5121988</v>
      </c>
      <c r="C1597">
        <v>0</v>
      </c>
      <c r="D1597">
        <v>0</v>
      </c>
      <c r="E1597">
        <v>1</v>
      </c>
      <c r="F1597">
        <v>0</v>
      </c>
      <c r="G1597">
        <v>0</v>
      </c>
      <c r="H1597" t="str">
        <f>IF(Demographics[[#This Row],[DOB]]&gt;10000000, TEXT(Demographics[[#This Row],[DOB]],0),CONCATENATE("0",TEXT(Demographics[[#This Row],[DOB]],0)))</f>
        <v>05121988</v>
      </c>
      <c r="I1597" s="4">
        <f ca="1">IFERROR((VALUE(TODAY()-DATE(RIGHT(Demographics[[#This Row],[DOB - Fixed]],4),MID(Demographics[[#This Row],[DOB - Fixed]],3,2),LEFT(Demographics[[#This Row],[DOB - Fixed]],2))))/365,0)</f>
        <v>34.780821917808218</v>
      </c>
      <c r="J1597">
        <f>VLOOKUP(Demographics[[#This Row],[INCOME LEVEL]],Income[],4,FALSE)</f>
        <v>175</v>
      </c>
      <c r="K1597">
        <f>IFERROR(Demographics[[#This Row],[Total monthly income]]/Demographics[[#This Row],[FAMILY SIZE]], 0)</f>
        <v>0</v>
      </c>
    </row>
    <row r="1598" spans="1:11" x14ac:dyDescent="0.2">
      <c r="A1598">
        <v>21577731</v>
      </c>
      <c r="B1598">
        <v>29121988</v>
      </c>
      <c r="C1598">
        <v>4</v>
      </c>
      <c r="D1598">
        <v>2</v>
      </c>
      <c r="E1598">
        <v>2</v>
      </c>
      <c r="F1598">
        <v>5</v>
      </c>
      <c r="G1598">
        <v>5</v>
      </c>
      <c r="H1598" t="str">
        <f>IF(Demographics[[#This Row],[DOB]]&gt;10000000, TEXT(Demographics[[#This Row],[DOB]],0),CONCATENATE("0",TEXT(Demographics[[#This Row],[DOB]],0)))</f>
        <v>29121988</v>
      </c>
      <c r="I1598" s="4">
        <f ca="1">IFERROR((VALUE(TODAY()-DATE(RIGHT(Demographics[[#This Row],[DOB - Fixed]],4),MID(Demographics[[#This Row],[DOB - Fixed]],3,2),LEFT(Demographics[[#This Row],[DOB - Fixed]],2))))/365,0)</f>
        <v>34.715068493150682</v>
      </c>
      <c r="J1598">
        <f>VLOOKUP(Demographics[[#This Row],[INCOME LEVEL]],Income[],4,FALSE)</f>
        <v>697.5</v>
      </c>
      <c r="K1598">
        <f>IFERROR(Demographics[[#This Row],[Total monthly income]]/Demographics[[#This Row],[FAMILY SIZE]], 0)</f>
        <v>174.375</v>
      </c>
    </row>
    <row r="1599" spans="1:11" x14ac:dyDescent="0.2">
      <c r="A1599">
        <v>6090295</v>
      </c>
      <c r="B1599">
        <v>27121988</v>
      </c>
      <c r="C1599">
        <v>5</v>
      </c>
      <c r="D1599">
        <v>2</v>
      </c>
      <c r="E1599">
        <v>2</v>
      </c>
      <c r="F1599">
        <v>5</v>
      </c>
      <c r="G1599">
        <v>9</v>
      </c>
      <c r="H1599" t="str">
        <f>IF(Demographics[[#This Row],[DOB]]&gt;10000000, TEXT(Demographics[[#This Row],[DOB]],0),CONCATENATE("0",TEXT(Demographics[[#This Row],[DOB]],0)))</f>
        <v>27121988</v>
      </c>
      <c r="I1599" s="4">
        <f ca="1">IFERROR((VALUE(TODAY()-DATE(RIGHT(Demographics[[#This Row],[DOB - Fixed]],4),MID(Demographics[[#This Row],[DOB - Fixed]],3,2),LEFT(Demographics[[#This Row],[DOB - Fixed]],2))))/365,0)</f>
        <v>34.720547945205482</v>
      </c>
      <c r="J1599">
        <f>VLOOKUP(Demographics[[#This Row],[INCOME LEVEL]],Income[],4,FALSE)</f>
        <v>697.5</v>
      </c>
      <c r="K1599">
        <f>IFERROR(Demographics[[#This Row],[Total monthly income]]/Demographics[[#This Row],[FAMILY SIZE]], 0)</f>
        <v>139.5</v>
      </c>
    </row>
    <row r="1600" spans="1:11" x14ac:dyDescent="0.2">
      <c r="A1600">
        <v>21043758</v>
      </c>
      <c r="B1600">
        <v>22111988</v>
      </c>
      <c r="C1600">
        <v>5</v>
      </c>
      <c r="D1600">
        <v>1</v>
      </c>
      <c r="E1600">
        <v>1</v>
      </c>
      <c r="F1600">
        <v>2</v>
      </c>
      <c r="G1600">
        <v>5</v>
      </c>
      <c r="H1600" t="str">
        <f>IF(Demographics[[#This Row],[DOB]]&gt;10000000, TEXT(Demographics[[#This Row],[DOB]],0),CONCATENATE("0",TEXT(Demographics[[#This Row],[DOB]],0)))</f>
        <v>22111988</v>
      </c>
      <c r="I1600" s="4">
        <f ca="1">IFERROR((VALUE(TODAY()-DATE(RIGHT(Demographics[[#This Row],[DOB - Fixed]],4),MID(Demographics[[#This Row],[DOB - Fixed]],3,2),LEFT(Demographics[[#This Row],[DOB - Fixed]],2))))/365,0)</f>
        <v>34.816438356164383</v>
      </c>
      <c r="J1600">
        <f>VLOOKUP(Demographics[[#This Row],[INCOME LEVEL]],Income[],4,FALSE)</f>
        <v>175</v>
      </c>
      <c r="K1600">
        <f>IFERROR(Demographics[[#This Row],[Total monthly income]]/Demographics[[#This Row],[FAMILY SIZE]], 0)</f>
        <v>35</v>
      </c>
    </row>
    <row r="1601" spans="1:11" x14ac:dyDescent="0.2">
      <c r="A1601">
        <v>13032647</v>
      </c>
      <c r="B1601">
        <v>21121988</v>
      </c>
      <c r="C1601">
        <v>5</v>
      </c>
      <c r="D1601">
        <v>1</v>
      </c>
      <c r="E1601">
        <v>2</v>
      </c>
      <c r="F1601">
        <v>4</v>
      </c>
      <c r="G1601">
        <v>4</v>
      </c>
      <c r="H1601" t="str">
        <f>IF(Demographics[[#This Row],[DOB]]&gt;10000000, TEXT(Demographics[[#This Row],[DOB]],0),CONCATENATE("0",TEXT(Demographics[[#This Row],[DOB]],0)))</f>
        <v>21121988</v>
      </c>
      <c r="I1601" s="4">
        <f ca="1">IFERROR((VALUE(TODAY()-DATE(RIGHT(Demographics[[#This Row],[DOB - Fixed]],4),MID(Demographics[[#This Row],[DOB - Fixed]],3,2),LEFT(Demographics[[#This Row],[DOB - Fixed]],2))))/365,0)</f>
        <v>34.736986301369861</v>
      </c>
      <c r="J1601">
        <f>VLOOKUP(Demographics[[#This Row],[INCOME LEVEL]],Income[],4,FALSE)</f>
        <v>697.5</v>
      </c>
      <c r="K1601">
        <f>IFERROR(Demographics[[#This Row],[Total monthly income]]/Demographics[[#This Row],[FAMILY SIZE]], 0)</f>
        <v>139.5</v>
      </c>
    </row>
    <row r="1602" spans="1:11" x14ac:dyDescent="0.2">
      <c r="A1602">
        <v>10997192</v>
      </c>
      <c r="B1602">
        <v>22121988</v>
      </c>
      <c r="C1602">
        <v>5</v>
      </c>
      <c r="D1602">
        <v>2</v>
      </c>
      <c r="E1602">
        <v>3</v>
      </c>
      <c r="F1602">
        <v>9</v>
      </c>
      <c r="G1602">
        <v>9</v>
      </c>
      <c r="H1602" t="str">
        <f>IF(Demographics[[#This Row],[DOB]]&gt;10000000, TEXT(Demographics[[#This Row],[DOB]],0),CONCATENATE("0",TEXT(Demographics[[#This Row],[DOB]],0)))</f>
        <v>22121988</v>
      </c>
      <c r="I1602" s="4">
        <f ca="1">IFERROR((VALUE(TODAY()-DATE(RIGHT(Demographics[[#This Row],[DOB - Fixed]],4),MID(Demographics[[#This Row],[DOB - Fixed]],3,2),LEFT(Demographics[[#This Row],[DOB - Fixed]],2))))/365,0)</f>
        <v>34.734246575342468</v>
      </c>
      <c r="J1602">
        <f>VLOOKUP(Demographics[[#This Row],[INCOME LEVEL]],Income[],4,FALSE)</f>
        <v>1397.5</v>
      </c>
      <c r="K1602">
        <f>IFERROR(Demographics[[#This Row],[Total monthly income]]/Demographics[[#This Row],[FAMILY SIZE]], 0)</f>
        <v>279.5</v>
      </c>
    </row>
    <row r="1603" spans="1:11" x14ac:dyDescent="0.2">
      <c r="A1603">
        <v>2018984</v>
      </c>
      <c r="B1603">
        <v>15121988</v>
      </c>
      <c r="C1603">
        <v>0</v>
      </c>
      <c r="D1603">
        <v>0</v>
      </c>
      <c r="E1603">
        <v>1</v>
      </c>
      <c r="F1603">
        <v>0</v>
      </c>
      <c r="G1603">
        <v>0</v>
      </c>
      <c r="H1603" t="str">
        <f>IF(Demographics[[#This Row],[DOB]]&gt;10000000, TEXT(Demographics[[#This Row],[DOB]],0),CONCATENATE("0",TEXT(Demographics[[#This Row],[DOB]],0)))</f>
        <v>15121988</v>
      </c>
      <c r="I1603" s="4">
        <f ca="1">IFERROR((VALUE(TODAY()-DATE(RIGHT(Demographics[[#This Row],[DOB - Fixed]],4),MID(Demographics[[#This Row],[DOB - Fixed]],3,2),LEFT(Demographics[[#This Row],[DOB - Fixed]],2))))/365,0)</f>
        <v>34.753424657534246</v>
      </c>
      <c r="J1603">
        <f>VLOOKUP(Demographics[[#This Row],[INCOME LEVEL]],Income[],4,FALSE)</f>
        <v>175</v>
      </c>
      <c r="K1603">
        <f>IFERROR(Demographics[[#This Row],[Total monthly income]]/Demographics[[#This Row],[FAMILY SIZE]], 0)</f>
        <v>0</v>
      </c>
    </row>
    <row r="1604" spans="1:11" x14ac:dyDescent="0.2">
      <c r="A1604">
        <v>8760200</v>
      </c>
      <c r="B1604">
        <v>21121988</v>
      </c>
      <c r="C1604">
        <v>4</v>
      </c>
      <c r="D1604">
        <v>1</v>
      </c>
      <c r="E1604">
        <v>1</v>
      </c>
      <c r="F1604">
        <v>8</v>
      </c>
      <c r="G1604">
        <v>5</v>
      </c>
      <c r="H1604" t="str">
        <f>IF(Demographics[[#This Row],[DOB]]&gt;10000000, TEXT(Demographics[[#This Row],[DOB]],0),CONCATENATE("0",TEXT(Demographics[[#This Row],[DOB]],0)))</f>
        <v>21121988</v>
      </c>
      <c r="I1604" s="4">
        <f ca="1">IFERROR((VALUE(TODAY()-DATE(RIGHT(Demographics[[#This Row],[DOB - Fixed]],4),MID(Demographics[[#This Row],[DOB - Fixed]],3,2),LEFT(Demographics[[#This Row],[DOB - Fixed]],2))))/365,0)</f>
        <v>34.736986301369861</v>
      </c>
      <c r="J1604">
        <f>VLOOKUP(Demographics[[#This Row],[INCOME LEVEL]],Income[],4,FALSE)</f>
        <v>175</v>
      </c>
      <c r="K1604">
        <f>IFERROR(Demographics[[#This Row],[Total monthly income]]/Demographics[[#This Row],[FAMILY SIZE]], 0)</f>
        <v>43.75</v>
      </c>
    </row>
    <row r="1605" spans="1:11" x14ac:dyDescent="0.2">
      <c r="A1605">
        <v>8327007</v>
      </c>
      <c r="B1605">
        <v>10061988</v>
      </c>
      <c r="C1605">
        <v>5</v>
      </c>
      <c r="D1605">
        <v>2</v>
      </c>
      <c r="E1605">
        <v>1</v>
      </c>
      <c r="F1605">
        <v>4</v>
      </c>
      <c r="G1605">
        <v>2</v>
      </c>
      <c r="H1605" t="str">
        <f>IF(Demographics[[#This Row],[DOB]]&gt;10000000, TEXT(Demographics[[#This Row],[DOB]],0),CONCATENATE("0",TEXT(Demographics[[#This Row],[DOB]],0)))</f>
        <v>10061988</v>
      </c>
      <c r="I1605" s="4">
        <f ca="1">IFERROR((VALUE(TODAY()-DATE(RIGHT(Demographics[[#This Row],[DOB - Fixed]],4),MID(Demographics[[#This Row],[DOB - Fixed]],3,2),LEFT(Demographics[[#This Row],[DOB - Fixed]],2))))/365,0)</f>
        <v>35.268493150684932</v>
      </c>
      <c r="J1605">
        <f>VLOOKUP(Demographics[[#This Row],[INCOME LEVEL]],Income[],4,FALSE)</f>
        <v>175</v>
      </c>
      <c r="K1605">
        <f>IFERROR(Demographics[[#This Row],[Total monthly income]]/Demographics[[#This Row],[FAMILY SIZE]], 0)</f>
        <v>35</v>
      </c>
    </row>
    <row r="1606" spans="1:11" x14ac:dyDescent="0.2">
      <c r="A1606">
        <v>13566688</v>
      </c>
      <c r="B1606">
        <v>4011989</v>
      </c>
      <c r="C1606">
        <v>7</v>
      </c>
      <c r="D1606">
        <v>2</v>
      </c>
      <c r="E1606">
        <v>3</v>
      </c>
      <c r="F1606">
        <v>5</v>
      </c>
      <c r="G1606">
        <v>5</v>
      </c>
      <c r="H1606" t="str">
        <f>IF(Demographics[[#This Row],[DOB]]&gt;10000000, TEXT(Demographics[[#This Row],[DOB]],0),CONCATENATE("0",TEXT(Demographics[[#This Row],[DOB]],0)))</f>
        <v>04011989</v>
      </c>
      <c r="I1606" s="4">
        <f ca="1">IFERROR((VALUE(TODAY()-DATE(RIGHT(Demographics[[#This Row],[DOB - Fixed]],4),MID(Demographics[[#This Row],[DOB - Fixed]],3,2),LEFT(Demographics[[#This Row],[DOB - Fixed]],2))))/365,0)</f>
        <v>34.698630136986303</v>
      </c>
      <c r="J1606">
        <f>VLOOKUP(Demographics[[#This Row],[INCOME LEVEL]],Income[],4,FALSE)</f>
        <v>1397.5</v>
      </c>
      <c r="K1606">
        <f>IFERROR(Demographics[[#This Row],[Total monthly income]]/Demographics[[#This Row],[FAMILY SIZE]], 0)</f>
        <v>199.64285714285714</v>
      </c>
    </row>
    <row r="1607" spans="1:11" x14ac:dyDescent="0.2">
      <c r="A1607">
        <v>12700119</v>
      </c>
      <c r="B1607">
        <v>28121988</v>
      </c>
      <c r="C1607">
        <v>4</v>
      </c>
      <c r="D1607">
        <v>2</v>
      </c>
      <c r="E1607">
        <v>1</v>
      </c>
      <c r="F1607">
        <v>2</v>
      </c>
      <c r="G1607">
        <v>5</v>
      </c>
      <c r="H1607" t="str">
        <f>IF(Demographics[[#This Row],[DOB]]&gt;10000000, TEXT(Demographics[[#This Row],[DOB]],0),CONCATENATE("0",TEXT(Demographics[[#This Row],[DOB]],0)))</f>
        <v>28121988</v>
      </c>
      <c r="I1607" s="4">
        <f ca="1">IFERROR((VALUE(TODAY()-DATE(RIGHT(Demographics[[#This Row],[DOB - Fixed]],4),MID(Demographics[[#This Row],[DOB - Fixed]],3,2),LEFT(Demographics[[#This Row],[DOB - Fixed]],2))))/365,0)</f>
        <v>34.717808219178082</v>
      </c>
      <c r="J1607">
        <f>VLOOKUP(Demographics[[#This Row],[INCOME LEVEL]],Income[],4,FALSE)</f>
        <v>175</v>
      </c>
      <c r="K1607">
        <f>IFERROR(Demographics[[#This Row],[Total monthly income]]/Demographics[[#This Row],[FAMILY SIZE]], 0)</f>
        <v>43.75</v>
      </c>
    </row>
    <row r="1608" spans="1:11" x14ac:dyDescent="0.2">
      <c r="A1608">
        <v>18473161</v>
      </c>
      <c r="B1608">
        <v>26121988</v>
      </c>
      <c r="C1608">
        <v>4</v>
      </c>
      <c r="D1608">
        <v>1</v>
      </c>
      <c r="E1608">
        <v>1</v>
      </c>
      <c r="F1608">
        <v>7</v>
      </c>
      <c r="G1608">
        <v>7</v>
      </c>
      <c r="H1608" t="str">
        <f>IF(Demographics[[#This Row],[DOB]]&gt;10000000, TEXT(Demographics[[#This Row],[DOB]],0),CONCATENATE("0",TEXT(Demographics[[#This Row],[DOB]],0)))</f>
        <v>26121988</v>
      </c>
      <c r="I1608" s="4">
        <f ca="1">IFERROR((VALUE(TODAY()-DATE(RIGHT(Demographics[[#This Row],[DOB - Fixed]],4),MID(Demographics[[#This Row],[DOB - Fixed]],3,2),LEFT(Demographics[[#This Row],[DOB - Fixed]],2))))/365,0)</f>
        <v>34.723287671232875</v>
      </c>
      <c r="J1608">
        <f>VLOOKUP(Demographics[[#This Row],[INCOME LEVEL]],Income[],4,FALSE)</f>
        <v>175</v>
      </c>
      <c r="K1608">
        <f>IFERROR(Demographics[[#This Row],[Total monthly income]]/Demographics[[#This Row],[FAMILY SIZE]], 0)</f>
        <v>43.75</v>
      </c>
    </row>
    <row r="1609" spans="1:11" x14ac:dyDescent="0.2">
      <c r="A1609">
        <v>5021740</v>
      </c>
      <c r="B1609">
        <v>2011989</v>
      </c>
      <c r="C1609">
        <v>4</v>
      </c>
      <c r="D1609">
        <v>0</v>
      </c>
      <c r="E1609">
        <v>1</v>
      </c>
      <c r="F1609">
        <v>4</v>
      </c>
      <c r="G1609">
        <v>3</v>
      </c>
      <c r="H1609" t="str">
        <f>IF(Demographics[[#This Row],[DOB]]&gt;10000000, TEXT(Demographics[[#This Row],[DOB]],0),CONCATENATE("0",TEXT(Demographics[[#This Row],[DOB]],0)))</f>
        <v>02011989</v>
      </c>
      <c r="I1609" s="4">
        <f ca="1">IFERROR((VALUE(TODAY()-DATE(RIGHT(Demographics[[#This Row],[DOB - Fixed]],4),MID(Demographics[[#This Row],[DOB - Fixed]],3,2),LEFT(Demographics[[#This Row],[DOB - Fixed]],2))))/365,0)</f>
        <v>34.704109589041096</v>
      </c>
      <c r="J1609">
        <f>VLOOKUP(Demographics[[#This Row],[INCOME LEVEL]],Income[],4,FALSE)</f>
        <v>175</v>
      </c>
      <c r="K1609">
        <f>IFERROR(Demographics[[#This Row],[Total monthly income]]/Demographics[[#This Row],[FAMILY SIZE]], 0)</f>
        <v>43.75</v>
      </c>
    </row>
    <row r="1610" spans="1:11" x14ac:dyDescent="0.2">
      <c r="A1610">
        <v>22646180</v>
      </c>
      <c r="B1610">
        <v>7011989</v>
      </c>
      <c r="C1610">
        <v>5</v>
      </c>
      <c r="D1610">
        <v>2</v>
      </c>
      <c r="E1610">
        <v>4</v>
      </c>
      <c r="F1610">
        <v>9</v>
      </c>
      <c r="G1610">
        <v>9</v>
      </c>
      <c r="H1610" t="str">
        <f>IF(Demographics[[#This Row],[DOB]]&gt;10000000, TEXT(Demographics[[#This Row],[DOB]],0),CONCATENATE("0",TEXT(Demographics[[#This Row],[DOB]],0)))</f>
        <v>07011989</v>
      </c>
      <c r="I1610" s="4">
        <f ca="1">IFERROR((VALUE(TODAY()-DATE(RIGHT(Demographics[[#This Row],[DOB - Fixed]],4),MID(Demographics[[#This Row],[DOB - Fixed]],3,2),LEFT(Demographics[[#This Row],[DOB - Fixed]],2))))/365,0)</f>
        <v>34.69041095890411</v>
      </c>
      <c r="J1610">
        <f>VLOOKUP(Demographics[[#This Row],[INCOME LEVEL]],Income[],4,FALSE)</f>
        <v>2100</v>
      </c>
      <c r="K1610">
        <f>IFERROR(Demographics[[#This Row],[Total monthly income]]/Demographics[[#This Row],[FAMILY SIZE]], 0)</f>
        <v>420</v>
      </c>
    </row>
    <row r="1611" spans="1:11" x14ac:dyDescent="0.2">
      <c r="A1611">
        <v>15702465</v>
      </c>
      <c r="B1611">
        <v>20121988</v>
      </c>
      <c r="C1611">
        <v>3</v>
      </c>
      <c r="D1611">
        <v>1</v>
      </c>
      <c r="E1611">
        <v>1</v>
      </c>
      <c r="F1611">
        <v>9</v>
      </c>
      <c r="G1611">
        <v>8</v>
      </c>
      <c r="H1611" t="str">
        <f>IF(Demographics[[#This Row],[DOB]]&gt;10000000, TEXT(Demographics[[#This Row],[DOB]],0),CONCATENATE("0",TEXT(Demographics[[#This Row],[DOB]],0)))</f>
        <v>20121988</v>
      </c>
      <c r="I1611" s="4">
        <f ca="1">IFERROR((VALUE(TODAY()-DATE(RIGHT(Demographics[[#This Row],[DOB - Fixed]],4),MID(Demographics[[#This Row],[DOB - Fixed]],3,2),LEFT(Demographics[[#This Row],[DOB - Fixed]],2))))/365,0)</f>
        <v>34.739726027397261</v>
      </c>
      <c r="J1611">
        <f>VLOOKUP(Demographics[[#This Row],[INCOME LEVEL]],Income[],4,FALSE)</f>
        <v>175</v>
      </c>
      <c r="K1611">
        <f>IFERROR(Demographics[[#This Row],[Total monthly income]]/Demographics[[#This Row],[FAMILY SIZE]], 0)</f>
        <v>58.333333333333336</v>
      </c>
    </row>
    <row r="1612" spans="1:11" x14ac:dyDescent="0.2">
      <c r="A1612">
        <v>10029704</v>
      </c>
      <c r="B1612">
        <v>31121988</v>
      </c>
      <c r="C1612">
        <v>3</v>
      </c>
      <c r="D1612">
        <v>1</v>
      </c>
      <c r="E1612">
        <v>1</v>
      </c>
      <c r="F1612">
        <v>2</v>
      </c>
      <c r="G1612">
        <v>4</v>
      </c>
      <c r="H1612" t="str">
        <f>IF(Demographics[[#This Row],[DOB]]&gt;10000000, TEXT(Demographics[[#This Row],[DOB]],0),CONCATENATE("0",TEXT(Demographics[[#This Row],[DOB]],0)))</f>
        <v>31121988</v>
      </c>
      <c r="I1612" s="4">
        <f ca="1">IFERROR((VALUE(TODAY()-DATE(RIGHT(Demographics[[#This Row],[DOB - Fixed]],4),MID(Demographics[[#This Row],[DOB - Fixed]],3,2),LEFT(Demographics[[#This Row],[DOB - Fixed]],2))))/365,0)</f>
        <v>34.709589041095889</v>
      </c>
      <c r="J1612">
        <f>VLOOKUP(Demographics[[#This Row],[INCOME LEVEL]],Income[],4,FALSE)</f>
        <v>175</v>
      </c>
      <c r="K1612">
        <f>IFERROR(Demographics[[#This Row],[Total monthly income]]/Demographics[[#This Row],[FAMILY SIZE]], 0)</f>
        <v>58.333333333333336</v>
      </c>
    </row>
    <row r="1613" spans="1:11" x14ac:dyDescent="0.2">
      <c r="A1613">
        <v>23814260</v>
      </c>
      <c r="B1613">
        <v>26121988</v>
      </c>
      <c r="C1613">
        <v>6</v>
      </c>
      <c r="D1613">
        <v>1</v>
      </c>
      <c r="E1613">
        <v>1</v>
      </c>
      <c r="F1613">
        <v>5</v>
      </c>
      <c r="G1613">
        <v>4</v>
      </c>
      <c r="H1613" t="str">
        <f>IF(Demographics[[#This Row],[DOB]]&gt;10000000, TEXT(Demographics[[#This Row],[DOB]],0),CONCATENATE("0",TEXT(Demographics[[#This Row],[DOB]],0)))</f>
        <v>26121988</v>
      </c>
      <c r="I1613" s="4">
        <f ca="1">IFERROR((VALUE(TODAY()-DATE(RIGHT(Demographics[[#This Row],[DOB - Fixed]],4),MID(Demographics[[#This Row],[DOB - Fixed]],3,2),LEFT(Demographics[[#This Row],[DOB - Fixed]],2))))/365,0)</f>
        <v>34.723287671232875</v>
      </c>
      <c r="J1613">
        <f>VLOOKUP(Demographics[[#This Row],[INCOME LEVEL]],Income[],4,FALSE)</f>
        <v>175</v>
      </c>
      <c r="K1613">
        <f>IFERROR(Demographics[[#This Row],[Total monthly income]]/Demographics[[#This Row],[FAMILY SIZE]], 0)</f>
        <v>29.166666666666668</v>
      </c>
    </row>
    <row r="1614" spans="1:11" x14ac:dyDescent="0.2">
      <c r="A1614">
        <v>16236600</v>
      </c>
      <c r="B1614">
        <v>5011989</v>
      </c>
      <c r="C1614">
        <v>3</v>
      </c>
      <c r="D1614">
        <v>1</v>
      </c>
      <c r="E1614">
        <v>2</v>
      </c>
      <c r="F1614">
        <v>6</v>
      </c>
      <c r="G1614">
        <v>7</v>
      </c>
      <c r="H1614" t="str">
        <f>IF(Demographics[[#This Row],[DOB]]&gt;10000000, TEXT(Demographics[[#This Row],[DOB]],0),CONCATENATE("0",TEXT(Demographics[[#This Row],[DOB]],0)))</f>
        <v>05011989</v>
      </c>
      <c r="I1614" s="4">
        <f ca="1">IFERROR((VALUE(TODAY()-DATE(RIGHT(Demographics[[#This Row],[DOB - Fixed]],4),MID(Demographics[[#This Row],[DOB - Fixed]],3,2),LEFT(Demographics[[#This Row],[DOB - Fixed]],2))))/365,0)</f>
        <v>34.695890410958903</v>
      </c>
      <c r="J1614">
        <f>VLOOKUP(Demographics[[#This Row],[INCOME LEVEL]],Income[],4,FALSE)</f>
        <v>697.5</v>
      </c>
      <c r="K1614">
        <f>IFERROR(Demographics[[#This Row],[Total monthly income]]/Demographics[[#This Row],[FAMILY SIZE]], 0)</f>
        <v>232.5</v>
      </c>
    </row>
    <row r="1615" spans="1:11" x14ac:dyDescent="0.2">
      <c r="A1615">
        <v>14836159</v>
      </c>
      <c r="B1615">
        <v>4011989</v>
      </c>
      <c r="C1615">
        <v>4</v>
      </c>
      <c r="D1615">
        <v>2</v>
      </c>
      <c r="E1615">
        <v>3</v>
      </c>
      <c r="F1615">
        <v>10</v>
      </c>
      <c r="G1615">
        <v>10</v>
      </c>
      <c r="H1615" t="str">
        <f>IF(Demographics[[#This Row],[DOB]]&gt;10000000, TEXT(Demographics[[#This Row],[DOB]],0),CONCATENATE("0",TEXT(Demographics[[#This Row],[DOB]],0)))</f>
        <v>04011989</v>
      </c>
      <c r="I1615" s="4">
        <f ca="1">IFERROR((VALUE(TODAY()-DATE(RIGHT(Demographics[[#This Row],[DOB - Fixed]],4),MID(Demographics[[#This Row],[DOB - Fixed]],3,2),LEFT(Demographics[[#This Row],[DOB - Fixed]],2))))/365,0)</f>
        <v>34.698630136986303</v>
      </c>
      <c r="J1615">
        <f>VLOOKUP(Demographics[[#This Row],[INCOME LEVEL]],Income[],4,FALSE)</f>
        <v>1397.5</v>
      </c>
      <c r="K1615">
        <f>IFERROR(Demographics[[#This Row],[Total monthly income]]/Demographics[[#This Row],[FAMILY SIZE]], 0)</f>
        <v>349.375</v>
      </c>
    </row>
    <row r="1616" spans="1:11" x14ac:dyDescent="0.2">
      <c r="A1616">
        <v>23713793</v>
      </c>
      <c r="B1616">
        <v>18121988</v>
      </c>
      <c r="C1616">
        <v>4</v>
      </c>
      <c r="D1616">
        <v>1</v>
      </c>
      <c r="E1616">
        <v>1</v>
      </c>
      <c r="F1616">
        <v>3</v>
      </c>
      <c r="G1616">
        <v>1</v>
      </c>
      <c r="H1616" t="str">
        <f>IF(Demographics[[#This Row],[DOB]]&gt;10000000, TEXT(Demographics[[#This Row],[DOB]],0),CONCATENATE("0",TEXT(Demographics[[#This Row],[DOB]],0)))</f>
        <v>18121988</v>
      </c>
      <c r="I1616" s="4">
        <f ca="1">IFERROR((VALUE(TODAY()-DATE(RIGHT(Demographics[[#This Row],[DOB - Fixed]],4),MID(Demographics[[#This Row],[DOB - Fixed]],3,2),LEFT(Demographics[[#This Row],[DOB - Fixed]],2))))/365,0)</f>
        <v>34.745205479452054</v>
      </c>
      <c r="J1616">
        <f>VLOOKUP(Demographics[[#This Row],[INCOME LEVEL]],Income[],4,FALSE)</f>
        <v>175</v>
      </c>
      <c r="K1616">
        <f>IFERROR(Demographics[[#This Row],[Total monthly income]]/Demographics[[#This Row],[FAMILY SIZE]], 0)</f>
        <v>43.75</v>
      </c>
    </row>
    <row r="1617" spans="1:11" x14ac:dyDescent="0.2">
      <c r="A1617">
        <v>15168728</v>
      </c>
      <c r="B1617">
        <v>14081988</v>
      </c>
      <c r="C1617">
        <v>0</v>
      </c>
      <c r="D1617">
        <v>0</v>
      </c>
      <c r="E1617">
        <v>1</v>
      </c>
      <c r="F1617">
        <v>0</v>
      </c>
      <c r="G1617">
        <v>0</v>
      </c>
      <c r="H1617" t="str">
        <f>IF(Demographics[[#This Row],[DOB]]&gt;10000000, TEXT(Demographics[[#This Row],[DOB]],0),CONCATENATE("0",TEXT(Demographics[[#This Row],[DOB]],0)))</f>
        <v>14081988</v>
      </c>
      <c r="I1617" s="4">
        <f ca="1">IFERROR((VALUE(TODAY()-DATE(RIGHT(Demographics[[#This Row],[DOB - Fixed]],4),MID(Demographics[[#This Row],[DOB - Fixed]],3,2),LEFT(Demographics[[#This Row],[DOB - Fixed]],2))))/365,0)</f>
        <v>35.090410958904108</v>
      </c>
      <c r="J1617">
        <f>VLOOKUP(Demographics[[#This Row],[INCOME LEVEL]],Income[],4,FALSE)</f>
        <v>175</v>
      </c>
      <c r="K1617">
        <f>IFERROR(Demographics[[#This Row],[Total monthly income]]/Demographics[[#This Row],[FAMILY SIZE]], 0)</f>
        <v>0</v>
      </c>
    </row>
    <row r="1618" spans="1:11" x14ac:dyDescent="0.2">
      <c r="A1618">
        <v>1283085</v>
      </c>
      <c r="B1618">
        <v>11011989</v>
      </c>
      <c r="C1618">
        <v>4</v>
      </c>
      <c r="D1618">
        <v>2</v>
      </c>
      <c r="E1618">
        <v>2</v>
      </c>
      <c r="F1618">
        <v>10</v>
      </c>
      <c r="G1618">
        <v>9</v>
      </c>
      <c r="H1618" t="str">
        <f>IF(Demographics[[#This Row],[DOB]]&gt;10000000, TEXT(Demographics[[#This Row],[DOB]],0),CONCATENATE("0",TEXT(Demographics[[#This Row],[DOB]],0)))</f>
        <v>11011989</v>
      </c>
      <c r="I1618" s="4">
        <f ca="1">IFERROR((VALUE(TODAY()-DATE(RIGHT(Demographics[[#This Row],[DOB - Fixed]],4),MID(Demographics[[#This Row],[DOB - Fixed]],3,2),LEFT(Demographics[[#This Row],[DOB - Fixed]],2))))/365,0)</f>
        <v>34.679452054794524</v>
      </c>
      <c r="J1618">
        <f>VLOOKUP(Demographics[[#This Row],[INCOME LEVEL]],Income[],4,FALSE)</f>
        <v>697.5</v>
      </c>
      <c r="K1618">
        <f>IFERROR(Demographics[[#This Row],[Total monthly income]]/Demographics[[#This Row],[FAMILY SIZE]], 0)</f>
        <v>174.375</v>
      </c>
    </row>
    <row r="1619" spans="1:11" x14ac:dyDescent="0.2">
      <c r="A1619">
        <v>23612540</v>
      </c>
      <c r="B1619">
        <v>5011989</v>
      </c>
      <c r="C1619">
        <v>5</v>
      </c>
      <c r="D1619">
        <v>0</v>
      </c>
      <c r="E1619">
        <v>1</v>
      </c>
      <c r="F1619">
        <v>7</v>
      </c>
      <c r="G1619">
        <v>5</v>
      </c>
      <c r="H1619" t="str">
        <f>IF(Demographics[[#This Row],[DOB]]&gt;10000000, TEXT(Demographics[[#This Row],[DOB]],0),CONCATENATE("0",TEXT(Demographics[[#This Row],[DOB]],0)))</f>
        <v>05011989</v>
      </c>
      <c r="I1619" s="4">
        <f ca="1">IFERROR((VALUE(TODAY()-DATE(RIGHT(Demographics[[#This Row],[DOB - Fixed]],4),MID(Demographics[[#This Row],[DOB - Fixed]],3,2),LEFT(Demographics[[#This Row],[DOB - Fixed]],2))))/365,0)</f>
        <v>34.695890410958903</v>
      </c>
      <c r="J1619">
        <f>VLOOKUP(Demographics[[#This Row],[INCOME LEVEL]],Income[],4,FALSE)</f>
        <v>175</v>
      </c>
      <c r="K1619">
        <f>IFERROR(Demographics[[#This Row],[Total monthly income]]/Demographics[[#This Row],[FAMILY SIZE]], 0)</f>
        <v>35</v>
      </c>
    </row>
    <row r="1620" spans="1:11" x14ac:dyDescent="0.2">
      <c r="A1620">
        <v>17939476</v>
      </c>
      <c r="B1620">
        <v>5011989</v>
      </c>
      <c r="C1620">
        <v>5</v>
      </c>
      <c r="D1620">
        <v>2</v>
      </c>
      <c r="E1620">
        <v>1</v>
      </c>
      <c r="F1620">
        <v>8</v>
      </c>
      <c r="G1620">
        <v>3</v>
      </c>
      <c r="H1620" t="str">
        <f>IF(Demographics[[#This Row],[DOB]]&gt;10000000, TEXT(Demographics[[#This Row],[DOB]],0),CONCATENATE("0",TEXT(Demographics[[#This Row],[DOB]],0)))</f>
        <v>05011989</v>
      </c>
      <c r="I1620" s="4">
        <f ca="1">IFERROR((VALUE(TODAY()-DATE(RIGHT(Demographics[[#This Row],[DOB - Fixed]],4),MID(Demographics[[#This Row],[DOB - Fixed]],3,2),LEFT(Demographics[[#This Row],[DOB - Fixed]],2))))/365,0)</f>
        <v>34.695890410958903</v>
      </c>
      <c r="J1620">
        <f>VLOOKUP(Demographics[[#This Row],[INCOME LEVEL]],Income[],4,FALSE)</f>
        <v>175</v>
      </c>
      <c r="K1620">
        <f>IFERROR(Demographics[[#This Row],[Total monthly income]]/Demographics[[#This Row],[FAMILY SIZE]], 0)</f>
        <v>35</v>
      </c>
    </row>
    <row r="1621" spans="1:11" x14ac:dyDescent="0.2">
      <c r="A1621">
        <v>13667234</v>
      </c>
      <c r="B1621">
        <v>11011989</v>
      </c>
      <c r="C1621">
        <v>3</v>
      </c>
      <c r="D1621">
        <v>2</v>
      </c>
      <c r="E1621">
        <v>3</v>
      </c>
      <c r="F1621">
        <v>8</v>
      </c>
      <c r="G1621">
        <v>9</v>
      </c>
      <c r="H1621" t="str">
        <f>IF(Demographics[[#This Row],[DOB]]&gt;10000000, TEXT(Demographics[[#This Row],[DOB]],0),CONCATENATE("0",TEXT(Demographics[[#This Row],[DOB]],0)))</f>
        <v>11011989</v>
      </c>
      <c r="I1621" s="4">
        <f ca="1">IFERROR((VALUE(TODAY()-DATE(RIGHT(Demographics[[#This Row],[DOB - Fixed]],4),MID(Demographics[[#This Row],[DOB - Fixed]],3,2),LEFT(Demographics[[#This Row],[DOB - Fixed]],2))))/365,0)</f>
        <v>34.679452054794524</v>
      </c>
      <c r="J1621">
        <f>VLOOKUP(Demographics[[#This Row],[INCOME LEVEL]],Income[],4,FALSE)</f>
        <v>1397.5</v>
      </c>
      <c r="K1621">
        <f>IFERROR(Demographics[[#This Row],[Total monthly income]]/Demographics[[#This Row],[FAMILY SIZE]], 0)</f>
        <v>465.83333333333331</v>
      </c>
    </row>
    <row r="1622" spans="1:11" x14ac:dyDescent="0.2">
      <c r="A1622">
        <v>14201398</v>
      </c>
      <c r="B1622">
        <v>13011989</v>
      </c>
      <c r="C1622">
        <v>4</v>
      </c>
      <c r="D1622">
        <v>2</v>
      </c>
      <c r="E1622">
        <v>1</v>
      </c>
      <c r="F1622">
        <v>9</v>
      </c>
      <c r="G1622">
        <v>8</v>
      </c>
      <c r="H1622" t="str">
        <f>IF(Demographics[[#This Row],[DOB]]&gt;10000000, TEXT(Demographics[[#This Row],[DOB]],0),CONCATENATE("0",TEXT(Demographics[[#This Row],[DOB]],0)))</f>
        <v>13011989</v>
      </c>
      <c r="I1622" s="4">
        <f ca="1">IFERROR((VALUE(TODAY()-DATE(RIGHT(Demographics[[#This Row],[DOB - Fixed]],4),MID(Demographics[[#This Row],[DOB - Fixed]],3,2),LEFT(Demographics[[#This Row],[DOB - Fixed]],2))))/365,0)</f>
        <v>34.673972602739724</v>
      </c>
      <c r="J1622">
        <f>VLOOKUP(Demographics[[#This Row],[INCOME LEVEL]],Income[],4,FALSE)</f>
        <v>175</v>
      </c>
      <c r="K1622">
        <f>IFERROR(Demographics[[#This Row],[Total monthly income]]/Demographics[[#This Row],[FAMILY SIZE]], 0)</f>
        <v>43.75</v>
      </c>
    </row>
    <row r="1623" spans="1:11" x14ac:dyDescent="0.2">
      <c r="A1623">
        <v>14634887</v>
      </c>
      <c r="B1623">
        <v>14011989</v>
      </c>
      <c r="C1623">
        <v>5</v>
      </c>
      <c r="D1623">
        <v>1</v>
      </c>
      <c r="E1623">
        <v>2</v>
      </c>
      <c r="F1623">
        <v>5</v>
      </c>
      <c r="G1623">
        <v>5</v>
      </c>
      <c r="H1623" t="str">
        <f>IF(Demographics[[#This Row],[DOB]]&gt;10000000, TEXT(Demographics[[#This Row],[DOB]],0),CONCATENATE("0",TEXT(Demographics[[#This Row],[DOB]],0)))</f>
        <v>14011989</v>
      </c>
      <c r="I1623" s="4">
        <f ca="1">IFERROR((VALUE(TODAY()-DATE(RIGHT(Demographics[[#This Row],[DOB - Fixed]],4),MID(Demographics[[#This Row],[DOB - Fixed]],3,2),LEFT(Demographics[[#This Row],[DOB - Fixed]],2))))/365,0)</f>
        <v>34.671232876712331</v>
      </c>
      <c r="J1623">
        <f>VLOOKUP(Demographics[[#This Row],[INCOME LEVEL]],Income[],4,FALSE)</f>
        <v>697.5</v>
      </c>
      <c r="K1623">
        <f>IFERROR(Demographics[[#This Row],[Total monthly income]]/Demographics[[#This Row],[FAMILY SIZE]], 0)</f>
        <v>139.5</v>
      </c>
    </row>
    <row r="1624" spans="1:11" x14ac:dyDescent="0.2">
      <c r="A1624">
        <v>416597</v>
      </c>
      <c r="B1624">
        <v>16011989</v>
      </c>
      <c r="C1624">
        <v>4</v>
      </c>
      <c r="D1624">
        <v>1</v>
      </c>
      <c r="E1624">
        <v>1</v>
      </c>
      <c r="F1624">
        <v>5</v>
      </c>
      <c r="G1624">
        <v>4</v>
      </c>
      <c r="H1624" t="str">
        <f>IF(Demographics[[#This Row],[DOB]]&gt;10000000, TEXT(Demographics[[#This Row],[DOB]],0),CONCATENATE("0",TEXT(Demographics[[#This Row],[DOB]],0)))</f>
        <v>16011989</v>
      </c>
      <c r="I1624" s="4">
        <f ca="1">IFERROR((VALUE(TODAY()-DATE(RIGHT(Demographics[[#This Row],[DOB - Fixed]],4),MID(Demographics[[#This Row],[DOB - Fixed]],3,2),LEFT(Demographics[[#This Row],[DOB - Fixed]],2))))/365,0)</f>
        <v>34.665753424657531</v>
      </c>
      <c r="J1624">
        <f>VLOOKUP(Demographics[[#This Row],[INCOME LEVEL]],Income[],4,FALSE)</f>
        <v>175</v>
      </c>
      <c r="K1624">
        <f>IFERROR(Demographics[[#This Row],[Total monthly income]]/Demographics[[#This Row],[FAMILY SIZE]], 0)</f>
        <v>43.75</v>
      </c>
    </row>
    <row r="1625" spans="1:11" x14ac:dyDescent="0.2">
      <c r="A1625">
        <v>23280423</v>
      </c>
      <c r="B1625">
        <v>22121988</v>
      </c>
      <c r="C1625">
        <v>0</v>
      </c>
      <c r="D1625">
        <v>0</v>
      </c>
      <c r="E1625">
        <v>2</v>
      </c>
      <c r="F1625">
        <v>0</v>
      </c>
      <c r="G1625">
        <v>0</v>
      </c>
      <c r="H1625" t="str">
        <f>IF(Demographics[[#This Row],[DOB]]&gt;10000000, TEXT(Demographics[[#This Row],[DOB]],0),CONCATENATE("0",TEXT(Demographics[[#This Row],[DOB]],0)))</f>
        <v>22121988</v>
      </c>
      <c r="I1625" s="4">
        <f ca="1">IFERROR((VALUE(TODAY()-DATE(RIGHT(Demographics[[#This Row],[DOB - Fixed]],4),MID(Demographics[[#This Row],[DOB - Fixed]],3,2),LEFT(Demographics[[#This Row],[DOB - Fixed]],2))))/365,0)</f>
        <v>34.734246575342468</v>
      </c>
      <c r="J1625">
        <f>VLOOKUP(Demographics[[#This Row],[INCOME LEVEL]],Income[],4,FALSE)</f>
        <v>697.5</v>
      </c>
      <c r="K1625">
        <f>IFERROR(Demographics[[#This Row],[Total monthly income]]/Demographics[[#This Row],[FAMILY SIZE]], 0)</f>
        <v>0</v>
      </c>
    </row>
    <row r="1626" spans="1:11" x14ac:dyDescent="0.2">
      <c r="A1626">
        <v>21577730</v>
      </c>
      <c r="B1626">
        <v>19011989</v>
      </c>
      <c r="C1626">
        <v>5</v>
      </c>
      <c r="D1626">
        <v>1</v>
      </c>
      <c r="E1626">
        <v>3</v>
      </c>
      <c r="F1626">
        <v>9</v>
      </c>
      <c r="G1626">
        <v>5</v>
      </c>
      <c r="H1626" t="str">
        <f>IF(Demographics[[#This Row],[DOB]]&gt;10000000, TEXT(Demographics[[#This Row],[DOB]],0),CONCATENATE("0",TEXT(Demographics[[#This Row],[DOB]],0)))</f>
        <v>19011989</v>
      </c>
      <c r="I1626" s="4">
        <f ca="1">IFERROR((VALUE(TODAY()-DATE(RIGHT(Demographics[[#This Row],[DOB - Fixed]],4),MID(Demographics[[#This Row],[DOB - Fixed]],3,2),LEFT(Demographics[[#This Row],[DOB - Fixed]],2))))/365,0)</f>
        <v>34.657534246575345</v>
      </c>
      <c r="J1626">
        <f>VLOOKUP(Demographics[[#This Row],[INCOME LEVEL]],Income[],4,FALSE)</f>
        <v>1397.5</v>
      </c>
      <c r="K1626">
        <f>IFERROR(Demographics[[#This Row],[Total monthly income]]/Demographics[[#This Row],[FAMILY SIZE]], 0)</f>
        <v>279.5</v>
      </c>
    </row>
    <row r="1627" spans="1:11" x14ac:dyDescent="0.2">
      <c r="A1627">
        <v>6090294</v>
      </c>
      <c r="B1627">
        <v>18011989</v>
      </c>
      <c r="C1627">
        <v>5</v>
      </c>
      <c r="D1627">
        <v>2</v>
      </c>
      <c r="E1627">
        <v>2</v>
      </c>
      <c r="F1627">
        <v>5</v>
      </c>
      <c r="G1627">
        <v>7</v>
      </c>
      <c r="H1627" t="str">
        <f>IF(Demographics[[#This Row],[DOB]]&gt;10000000, TEXT(Demographics[[#This Row],[DOB]],0),CONCATENATE("0",TEXT(Demographics[[#This Row],[DOB]],0)))</f>
        <v>18011989</v>
      </c>
      <c r="I1627" s="4">
        <f ca="1">IFERROR((VALUE(TODAY()-DATE(RIGHT(Demographics[[#This Row],[DOB - Fixed]],4),MID(Demographics[[#This Row],[DOB - Fixed]],3,2),LEFT(Demographics[[#This Row],[DOB - Fixed]],2))))/365,0)</f>
        <v>34.660273972602738</v>
      </c>
      <c r="J1627">
        <f>VLOOKUP(Demographics[[#This Row],[INCOME LEVEL]],Income[],4,FALSE)</f>
        <v>697.5</v>
      </c>
      <c r="K1627">
        <f>IFERROR(Demographics[[#This Row],[Total monthly income]]/Demographics[[#This Row],[FAMILY SIZE]], 0)</f>
        <v>139.5</v>
      </c>
    </row>
    <row r="1628" spans="1:11" x14ac:dyDescent="0.2">
      <c r="A1628">
        <v>12498981</v>
      </c>
      <c r="B1628">
        <v>12121988</v>
      </c>
      <c r="C1628">
        <v>4</v>
      </c>
      <c r="D1628">
        <v>1</v>
      </c>
      <c r="E1628">
        <v>4</v>
      </c>
      <c r="F1628">
        <v>5</v>
      </c>
      <c r="G1628">
        <v>7</v>
      </c>
      <c r="H1628" t="str">
        <f>IF(Demographics[[#This Row],[DOB]]&gt;10000000, TEXT(Demographics[[#This Row],[DOB]],0),CONCATENATE("0",TEXT(Demographics[[#This Row],[DOB]],0)))</f>
        <v>12121988</v>
      </c>
      <c r="I1628" s="4">
        <f ca="1">IFERROR((VALUE(TODAY()-DATE(RIGHT(Demographics[[#This Row],[DOB - Fixed]],4),MID(Demographics[[#This Row],[DOB - Fixed]],3,2),LEFT(Demographics[[#This Row],[DOB - Fixed]],2))))/365,0)</f>
        <v>34.761643835616439</v>
      </c>
      <c r="J1628">
        <f>VLOOKUP(Demographics[[#This Row],[INCOME LEVEL]],Income[],4,FALSE)</f>
        <v>2100</v>
      </c>
      <c r="K1628">
        <f>IFERROR(Demographics[[#This Row],[Total monthly income]]/Demographics[[#This Row],[FAMILY SIZE]], 0)</f>
        <v>525</v>
      </c>
    </row>
    <row r="1629" spans="1:11" x14ac:dyDescent="0.2">
      <c r="A1629">
        <v>23987218</v>
      </c>
      <c r="B1629">
        <v>15101988</v>
      </c>
      <c r="C1629">
        <v>0</v>
      </c>
      <c r="D1629">
        <v>0</v>
      </c>
      <c r="E1629">
        <v>1</v>
      </c>
      <c r="F1629">
        <v>0</v>
      </c>
      <c r="G1629">
        <v>0</v>
      </c>
      <c r="H1629" t="str">
        <f>IF(Demographics[[#This Row],[DOB]]&gt;10000000, TEXT(Demographics[[#This Row],[DOB]],0),CONCATENATE("0",TEXT(Demographics[[#This Row],[DOB]],0)))</f>
        <v>15101988</v>
      </c>
      <c r="I1629" s="4">
        <f ca="1">IFERROR((VALUE(TODAY()-DATE(RIGHT(Demographics[[#This Row],[DOB - Fixed]],4),MID(Demographics[[#This Row],[DOB - Fixed]],3,2),LEFT(Demographics[[#This Row],[DOB - Fixed]],2))))/365,0)</f>
        <v>34.920547945205477</v>
      </c>
      <c r="J1629">
        <f>VLOOKUP(Demographics[[#This Row],[INCOME LEVEL]],Income[],4,FALSE)</f>
        <v>175</v>
      </c>
      <c r="K1629">
        <f>IFERROR(Demographics[[#This Row],[Total monthly income]]/Demographics[[#This Row],[FAMILY SIZE]], 0)</f>
        <v>0</v>
      </c>
    </row>
    <row r="1630" spans="1:11" x14ac:dyDescent="0.2">
      <c r="A1630">
        <v>20884923</v>
      </c>
      <c r="B1630">
        <v>27011989</v>
      </c>
      <c r="C1630">
        <v>5</v>
      </c>
      <c r="D1630">
        <v>1</v>
      </c>
      <c r="E1630">
        <v>1</v>
      </c>
      <c r="F1630">
        <v>5</v>
      </c>
      <c r="G1630">
        <v>5</v>
      </c>
      <c r="H1630" t="str">
        <f>IF(Demographics[[#This Row],[DOB]]&gt;10000000, TEXT(Demographics[[#This Row],[DOB]],0),CONCATENATE("0",TEXT(Demographics[[#This Row],[DOB]],0)))</f>
        <v>27011989</v>
      </c>
      <c r="I1630" s="4">
        <f ca="1">IFERROR((VALUE(TODAY()-DATE(RIGHT(Demographics[[#This Row],[DOB - Fixed]],4),MID(Demographics[[#This Row],[DOB - Fixed]],3,2),LEFT(Demographics[[#This Row],[DOB - Fixed]],2))))/365,0)</f>
        <v>34.635616438356166</v>
      </c>
      <c r="J1630">
        <f>VLOOKUP(Demographics[[#This Row],[INCOME LEVEL]],Income[],4,FALSE)</f>
        <v>175</v>
      </c>
      <c r="K1630">
        <f>IFERROR(Demographics[[#This Row],[Total monthly income]]/Demographics[[#This Row],[FAMILY SIZE]], 0)</f>
        <v>35</v>
      </c>
    </row>
    <row r="1631" spans="1:11" x14ac:dyDescent="0.2">
      <c r="A1631">
        <v>10635934</v>
      </c>
      <c r="B1631">
        <v>23011989</v>
      </c>
      <c r="C1631">
        <v>4</v>
      </c>
      <c r="D1631">
        <v>1</v>
      </c>
      <c r="E1631">
        <v>3</v>
      </c>
      <c r="F1631">
        <v>9</v>
      </c>
      <c r="G1631">
        <v>5</v>
      </c>
      <c r="H1631" t="str">
        <f>IF(Demographics[[#This Row],[DOB]]&gt;10000000, TEXT(Demographics[[#This Row],[DOB]],0),CONCATENATE("0",TEXT(Demographics[[#This Row],[DOB]],0)))</f>
        <v>23011989</v>
      </c>
      <c r="I1631" s="4">
        <f ca="1">IFERROR((VALUE(TODAY()-DATE(RIGHT(Demographics[[#This Row],[DOB - Fixed]],4),MID(Demographics[[#This Row],[DOB - Fixed]],3,2),LEFT(Demographics[[#This Row],[DOB - Fixed]],2))))/365,0)</f>
        <v>34.646575342465752</v>
      </c>
      <c r="J1631">
        <f>VLOOKUP(Demographics[[#This Row],[INCOME LEVEL]],Income[],4,FALSE)</f>
        <v>1397.5</v>
      </c>
      <c r="K1631">
        <f>IFERROR(Demographics[[#This Row],[Total monthly income]]/Demographics[[#This Row],[FAMILY SIZE]], 0)</f>
        <v>349.375</v>
      </c>
    </row>
    <row r="1632" spans="1:11" x14ac:dyDescent="0.2">
      <c r="A1632">
        <v>15543761</v>
      </c>
      <c r="B1632">
        <v>7011989</v>
      </c>
      <c r="C1632">
        <v>5</v>
      </c>
      <c r="D1632">
        <v>1</v>
      </c>
      <c r="E1632">
        <v>2</v>
      </c>
      <c r="F1632">
        <v>5</v>
      </c>
      <c r="G1632">
        <v>5</v>
      </c>
      <c r="H1632" t="str">
        <f>IF(Demographics[[#This Row],[DOB]]&gt;10000000, TEXT(Demographics[[#This Row],[DOB]],0),CONCATENATE("0",TEXT(Demographics[[#This Row],[DOB]],0)))</f>
        <v>07011989</v>
      </c>
      <c r="I1632" s="4">
        <f ca="1">IFERROR((VALUE(TODAY()-DATE(RIGHT(Demographics[[#This Row],[DOB - Fixed]],4),MID(Demographics[[#This Row],[DOB - Fixed]],3,2),LEFT(Demographics[[#This Row],[DOB - Fixed]],2))))/365,0)</f>
        <v>34.69041095890411</v>
      </c>
      <c r="J1632">
        <f>VLOOKUP(Demographics[[#This Row],[INCOME LEVEL]],Income[],4,FALSE)</f>
        <v>697.5</v>
      </c>
      <c r="K1632">
        <f>IFERROR(Demographics[[#This Row],[Total monthly income]]/Demographics[[#This Row],[FAMILY SIZE]], 0)</f>
        <v>139.5</v>
      </c>
    </row>
    <row r="1633" spans="1:11" x14ac:dyDescent="0.2">
      <c r="A1633">
        <v>2090933</v>
      </c>
      <c r="B1633">
        <v>23011989</v>
      </c>
      <c r="C1633">
        <v>5</v>
      </c>
      <c r="D1633">
        <v>1</v>
      </c>
      <c r="E1633">
        <v>2</v>
      </c>
      <c r="F1633">
        <v>5</v>
      </c>
      <c r="G1633">
        <v>5</v>
      </c>
      <c r="H1633" t="str">
        <f>IF(Demographics[[#This Row],[DOB]]&gt;10000000, TEXT(Demographics[[#This Row],[DOB]],0),CONCATENATE("0",TEXT(Demographics[[#This Row],[DOB]],0)))</f>
        <v>23011989</v>
      </c>
      <c r="I1633" s="4">
        <f ca="1">IFERROR((VALUE(TODAY()-DATE(RIGHT(Demographics[[#This Row],[DOB - Fixed]],4),MID(Demographics[[#This Row],[DOB - Fixed]],3,2),LEFT(Demographics[[#This Row],[DOB - Fixed]],2))))/365,0)</f>
        <v>34.646575342465752</v>
      </c>
      <c r="J1633">
        <f>VLOOKUP(Demographics[[#This Row],[INCOME LEVEL]],Income[],4,FALSE)</f>
        <v>697.5</v>
      </c>
      <c r="K1633">
        <f>IFERROR(Demographics[[#This Row],[Total monthly income]]/Demographics[[#This Row],[FAMILY SIZE]], 0)</f>
        <v>139.5</v>
      </c>
    </row>
    <row r="1634" spans="1:11" x14ac:dyDescent="0.2">
      <c r="A1634">
        <v>6897783</v>
      </c>
      <c r="B1634">
        <v>28121988</v>
      </c>
      <c r="C1634">
        <v>4</v>
      </c>
      <c r="D1634">
        <v>1</v>
      </c>
      <c r="E1634">
        <v>2</v>
      </c>
      <c r="F1634">
        <v>5</v>
      </c>
      <c r="G1634">
        <v>5</v>
      </c>
      <c r="H1634" t="str">
        <f>IF(Demographics[[#This Row],[DOB]]&gt;10000000, TEXT(Demographics[[#This Row],[DOB]],0),CONCATENATE("0",TEXT(Demographics[[#This Row],[DOB]],0)))</f>
        <v>28121988</v>
      </c>
      <c r="I1634" s="4">
        <f ca="1">IFERROR((VALUE(TODAY()-DATE(RIGHT(Demographics[[#This Row],[DOB - Fixed]],4),MID(Demographics[[#This Row],[DOB - Fixed]],3,2),LEFT(Demographics[[#This Row],[DOB - Fixed]],2))))/365,0)</f>
        <v>34.717808219178082</v>
      </c>
      <c r="J1634">
        <f>VLOOKUP(Demographics[[#This Row],[INCOME LEVEL]],Income[],4,FALSE)</f>
        <v>697.5</v>
      </c>
      <c r="K1634">
        <f>IFERROR(Demographics[[#This Row],[Total monthly income]]/Demographics[[#This Row],[FAMILY SIZE]], 0)</f>
        <v>174.375</v>
      </c>
    </row>
    <row r="1635" spans="1:11" x14ac:dyDescent="0.2">
      <c r="A1635">
        <v>4964354</v>
      </c>
      <c r="B1635">
        <v>1021989</v>
      </c>
      <c r="C1635">
        <v>0</v>
      </c>
      <c r="D1635">
        <v>0</v>
      </c>
      <c r="E1635">
        <v>1</v>
      </c>
      <c r="F1635">
        <v>7</v>
      </c>
      <c r="G1635">
        <v>7</v>
      </c>
      <c r="H1635" t="str">
        <f>IF(Demographics[[#This Row],[DOB]]&gt;10000000, TEXT(Demographics[[#This Row],[DOB]],0),CONCATENATE("0",TEXT(Demographics[[#This Row],[DOB]],0)))</f>
        <v>01021989</v>
      </c>
      <c r="I1635" s="4">
        <f ca="1">IFERROR((VALUE(TODAY()-DATE(RIGHT(Demographics[[#This Row],[DOB - Fixed]],4),MID(Demographics[[#This Row],[DOB - Fixed]],3,2),LEFT(Demographics[[#This Row],[DOB - Fixed]],2))))/365,0)</f>
        <v>34.62191780821918</v>
      </c>
      <c r="J1635">
        <f>VLOOKUP(Demographics[[#This Row],[INCOME LEVEL]],Income[],4,FALSE)</f>
        <v>175</v>
      </c>
      <c r="K1635">
        <f>IFERROR(Demographics[[#This Row],[Total monthly income]]/Demographics[[#This Row],[FAMILY SIZE]], 0)</f>
        <v>0</v>
      </c>
    </row>
    <row r="1636" spans="1:11" x14ac:dyDescent="0.2">
      <c r="A1636">
        <v>1022725</v>
      </c>
      <c r="B1636">
        <v>3021989</v>
      </c>
      <c r="C1636">
        <v>4</v>
      </c>
      <c r="D1636">
        <v>1</v>
      </c>
      <c r="E1636">
        <v>1</v>
      </c>
      <c r="F1636">
        <v>5</v>
      </c>
      <c r="G1636">
        <v>4</v>
      </c>
      <c r="H1636" t="str">
        <f>IF(Demographics[[#This Row],[DOB]]&gt;10000000, TEXT(Demographics[[#This Row],[DOB]],0),CONCATENATE("0",TEXT(Demographics[[#This Row],[DOB]],0)))</f>
        <v>03021989</v>
      </c>
      <c r="I1636" s="4">
        <f ca="1">IFERROR((VALUE(TODAY()-DATE(RIGHT(Demographics[[#This Row],[DOB - Fixed]],4),MID(Demographics[[#This Row],[DOB - Fixed]],3,2),LEFT(Demographics[[#This Row],[DOB - Fixed]],2))))/365,0)</f>
        <v>34.61643835616438</v>
      </c>
      <c r="J1636">
        <f>VLOOKUP(Demographics[[#This Row],[INCOME LEVEL]],Income[],4,FALSE)</f>
        <v>175</v>
      </c>
      <c r="K1636">
        <f>IFERROR(Demographics[[#This Row],[Total monthly income]]/Demographics[[#This Row],[FAMILY SIZE]], 0)</f>
        <v>43.75</v>
      </c>
    </row>
    <row r="1637" spans="1:11" x14ac:dyDescent="0.2">
      <c r="A1637">
        <v>19079253</v>
      </c>
      <c r="B1637">
        <v>2021989</v>
      </c>
      <c r="C1637">
        <v>0</v>
      </c>
      <c r="D1637">
        <v>0</v>
      </c>
      <c r="E1637">
        <v>2</v>
      </c>
      <c r="F1637">
        <v>0</v>
      </c>
      <c r="G1637">
        <v>0</v>
      </c>
      <c r="H1637" t="str">
        <f>IF(Demographics[[#This Row],[DOB]]&gt;10000000, TEXT(Demographics[[#This Row],[DOB]],0),CONCATENATE("0",TEXT(Demographics[[#This Row],[DOB]],0)))</f>
        <v>02021989</v>
      </c>
      <c r="I1637" s="4">
        <f ca="1">IFERROR((VALUE(TODAY()-DATE(RIGHT(Demographics[[#This Row],[DOB - Fixed]],4),MID(Demographics[[#This Row],[DOB - Fixed]],3,2),LEFT(Demographics[[#This Row],[DOB - Fixed]],2))))/365,0)</f>
        <v>34.61917808219178</v>
      </c>
      <c r="J1637">
        <f>VLOOKUP(Demographics[[#This Row],[INCOME LEVEL]],Income[],4,FALSE)</f>
        <v>697.5</v>
      </c>
      <c r="K1637">
        <f>IFERROR(Demographics[[#This Row],[Total monthly income]]/Demographics[[#This Row],[FAMILY SIZE]], 0)</f>
        <v>0</v>
      </c>
    </row>
    <row r="1638" spans="1:11" x14ac:dyDescent="0.2">
      <c r="A1638">
        <v>19816967</v>
      </c>
      <c r="B1638">
        <v>7111988</v>
      </c>
      <c r="C1638">
        <v>4</v>
      </c>
      <c r="D1638">
        <v>1</v>
      </c>
      <c r="E1638">
        <v>1</v>
      </c>
      <c r="F1638">
        <v>2</v>
      </c>
      <c r="G1638">
        <v>2</v>
      </c>
      <c r="H1638" t="str">
        <f>IF(Demographics[[#This Row],[DOB]]&gt;10000000, TEXT(Demographics[[#This Row],[DOB]],0),CONCATENATE("0",TEXT(Demographics[[#This Row],[DOB]],0)))</f>
        <v>07111988</v>
      </c>
      <c r="I1638" s="4">
        <f ca="1">IFERROR((VALUE(TODAY()-DATE(RIGHT(Demographics[[#This Row],[DOB - Fixed]],4),MID(Demographics[[#This Row],[DOB - Fixed]],3,2),LEFT(Demographics[[#This Row],[DOB - Fixed]],2))))/365,0)</f>
        <v>34.857534246575341</v>
      </c>
      <c r="J1638">
        <f>VLOOKUP(Demographics[[#This Row],[INCOME LEVEL]],Income[],4,FALSE)</f>
        <v>175</v>
      </c>
      <c r="K1638">
        <f>IFERROR(Demographics[[#This Row],[Total monthly income]]/Demographics[[#This Row],[FAMILY SIZE]], 0)</f>
        <v>43.75</v>
      </c>
    </row>
    <row r="1639" spans="1:11" x14ac:dyDescent="0.2">
      <c r="A1639">
        <v>21418889</v>
      </c>
      <c r="B1639">
        <v>2021989</v>
      </c>
      <c r="C1639">
        <v>0</v>
      </c>
      <c r="D1639">
        <v>0</v>
      </c>
      <c r="E1639">
        <v>1</v>
      </c>
      <c r="F1639">
        <v>5</v>
      </c>
      <c r="G1639">
        <v>5</v>
      </c>
      <c r="H1639" t="str">
        <f>IF(Demographics[[#This Row],[DOB]]&gt;10000000, TEXT(Demographics[[#This Row],[DOB]],0),CONCATENATE("0",TEXT(Demographics[[#This Row],[DOB]],0)))</f>
        <v>02021989</v>
      </c>
      <c r="I1639" s="4">
        <f ca="1">IFERROR((VALUE(TODAY()-DATE(RIGHT(Demographics[[#This Row],[DOB - Fixed]],4),MID(Demographics[[#This Row],[DOB - Fixed]],3,2),LEFT(Demographics[[#This Row],[DOB - Fixed]],2))))/365,0)</f>
        <v>34.61917808219178</v>
      </c>
      <c r="J1639">
        <f>VLOOKUP(Demographics[[#This Row],[INCOME LEVEL]],Income[],4,FALSE)</f>
        <v>175</v>
      </c>
      <c r="K1639">
        <f>IFERROR(Demographics[[#This Row],[Total monthly income]]/Demographics[[#This Row],[FAMILY SIZE]], 0)</f>
        <v>0</v>
      </c>
    </row>
    <row r="1640" spans="1:11" x14ac:dyDescent="0.2">
      <c r="A1640">
        <v>19282372</v>
      </c>
      <c r="B1640">
        <v>22011989</v>
      </c>
      <c r="C1640">
        <v>3</v>
      </c>
      <c r="D1640">
        <v>1</v>
      </c>
      <c r="E1640">
        <v>1</v>
      </c>
      <c r="F1640">
        <v>4</v>
      </c>
      <c r="G1640">
        <v>3</v>
      </c>
      <c r="H1640" t="str">
        <f>IF(Demographics[[#This Row],[DOB]]&gt;10000000, TEXT(Demographics[[#This Row],[DOB]],0),CONCATENATE("0",TEXT(Demographics[[#This Row],[DOB]],0)))</f>
        <v>22011989</v>
      </c>
      <c r="I1640" s="4">
        <f ca="1">IFERROR((VALUE(TODAY()-DATE(RIGHT(Demographics[[#This Row],[DOB - Fixed]],4),MID(Demographics[[#This Row],[DOB - Fixed]],3,2),LEFT(Demographics[[#This Row],[DOB - Fixed]],2))))/365,0)</f>
        <v>34.649315068493152</v>
      </c>
      <c r="J1640">
        <f>VLOOKUP(Demographics[[#This Row],[INCOME LEVEL]],Income[],4,FALSE)</f>
        <v>175</v>
      </c>
      <c r="K1640">
        <f>IFERROR(Demographics[[#This Row],[Total monthly income]]/Demographics[[#This Row],[FAMILY SIZE]], 0)</f>
        <v>58.333333333333336</v>
      </c>
    </row>
    <row r="1641" spans="1:11" x14ac:dyDescent="0.2">
      <c r="A1641">
        <v>24623013</v>
      </c>
      <c r="B1641">
        <v>20121988</v>
      </c>
      <c r="C1641">
        <v>2</v>
      </c>
      <c r="D1641">
        <v>0</v>
      </c>
      <c r="E1641">
        <v>1</v>
      </c>
      <c r="F1641">
        <v>4</v>
      </c>
      <c r="G1641">
        <v>5</v>
      </c>
      <c r="H1641" t="str">
        <f>IF(Demographics[[#This Row],[DOB]]&gt;10000000, TEXT(Demographics[[#This Row],[DOB]],0),CONCATENATE("0",TEXT(Demographics[[#This Row],[DOB]],0)))</f>
        <v>20121988</v>
      </c>
      <c r="I1641" s="4">
        <f ca="1">IFERROR((VALUE(TODAY()-DATE(RIGHT(Demographics[[#This Row],[DOB - Fixed]],4),MID(Demographics[[#This Row],[DOB - Fixed]],3,2),LEFT(Demographics[[#This Row],[DOB - Fixed]],2))))/365,0)</f>
        <v>34.739726027397261</v>
      </c>
      <c r="J1641">
        <f>VLOOKUP(Demographics[[#This Row],[INCOME LEVEL]],Income[],4,FALSE)</f>
        <v>175</v>
      </c>
      <c r="K1641">
        <f>IFERROR(Demographics[[#This Row],[Total monthly income]]/Demographics[[#This Row],[FAMILY SIZE]], 0)</f>
        <v>87.5</v>
      </c>
    </row>
    <row r="1642" spans="1:11" x14ac:dyDescent="0.2">
      <c r="A1642">
        <v>2293959</v>
      </c>
      <c r="B1642">
        <v>3021989</v>
      </c>
      <c r="C1642">
        <v>4</v>
      </c>
      <c r="D1642">
        <v>1</v>
      </c>
      <c r="E1642">
        <v>1</v>
      </c>
      <c r="F1642">
        <v>4</v>
      </c>
      <c r="G1642">
        <v>2</v>
      </c>
      <c r="H1642" t="str">
        <f>IF(Demographics[[#This Row],[DOB]]&gt;10000000, TEXT(Demographics[[#This Row],[DOB]],0),CONCATENATE("0",TEXT(Demographics[[#This Row],[DOB]],0)))</f>
        <v>03021989</v>
      </c>
      <c r="I1642" s="4">
        <f ca="1">IFERROR((VALUE(TODAY()-DATE(RIGHT(Demographics[[#This Row],[DOB - Fixed]],4),MID(Demographics[[#This Row],[DOB - Fixed]],3,2),LEFT(Demographics[[#This Row],[DOB - Fixed]],2))))/365,0)</f>
        <v>34.61643835616438</v>
      </c>
      <c r="J1642">
        <f>VLOOKUP(Demographics[[#This Row],[INCOME LEVEL]],Income[],4,FALSE)</f>
        <v>175</v>
      </c>
      <c r="K1642">
        <f>IFERROR(Demographics[[#This Row],[Total monthly income]]/Demographics[[#This Row],[FAMILY SIZE]], 0)</f>
        <v>43.75</v>
      </c>
    </row>
    <row r="1643" spans="1:11" x14ac:dyDescent="0.2">
      <c r="A1643">
        <v>22818493</v>
      </c>
      <c r="B1643">
        <v>28011989</v>
      </c>
      <c r="C1643">
        <v>5</v>
      </c>
      <c r="D1643">
        <v>1</v>
      </c>
      <c r="E1643">
        <v>2</v>
      </c>
      <c r="F1643">
        <v>8</v>
      </c>
      <c r="G1643">
        <v>5</v>
      </c>
      <c r="H1643" t="str">
        <f>IF(Demographics[[#This Row],[DOB]]&gt;10000000, TEXT(Demographics[[#This Row],[DOB]],0),CONCATENATE("0",TEXT(Demographics[[#This Row],[DOB]],0)))</f>
        <v>28011989</v>
      </c>
      <c r="I1643" s="4">
        <f ca="1">IFERROR((VALUE(TODAY()-DATE(RIGHT(Demographics[[#This Row],[DOB - Fixed]],4),MID(Demographics[[#This Row],[DOB - Fixed]],3,2),LEFT(Demographics[[#This Row],[DOB - Fixed]],2))))/365,0)</f>
        <v>34.632876712328766</v>
      </c>
      <c r="J1643">
        <f>VLOOKUP(Demographics[[#This Row],[INCOME LEVEL]],Income[],4,FALSE)</f>
        <v>697.5</v>
      </c>
      <c r="K1643">
        <f>IFERROR(Demographics[[#This Row],[Total monthly income]]/Demographics[[#This Row],[FAMILY SIZE]], 0)</f>
        <v>139.5</v>
      </c>
    </row>
    <row r="1644" spans="1:11" x14ac:dyDescent="0.2">
      <c r="A1644">
        <v>8601508</v>
      </c>
      <c r="B1644">
        <v>5021989</v>
      </c>
      <c r="C1644">
        <v>4</v>
      </c>
      <c r="D1644">
        <v>2</v>
      </c>
      <c r="E1644">
        <v>3</v>
      </c>
      <c r="F1644">
        <v>9</v>
      </c>
      <c r="G1644">
        <v>9</v>
      </c>
      <c r="H1644" t="str">
        <f>IF(Demographics[[#This Row],[DOB]]&gt;10000000, TEXT(Demographics[[#This Row],[DOB]],0),CONCATENATE("0",TEXT(Demographics[[#This Row],[DOB]],0)))</f>
        <v>05021989</v>
      </c>
      <c r="I1644" s="4">
        <f ca="1">IFERROR((VALUE(TODAY()-DATE(RIGHT(Demographics[[#This Row],[DOB - Fixed]],4),MID(Demographics[[#This Row],[DOB - Fixed]],3,2),LEFT(Demographics[[#This Row],[DOB - Fixed]],2))))/365,0)</f>
        <v>34.610958904109587</v>
      </c>
      <c r="J1644">
        <f>VLOOKUP(Demographics[[#This Row],[INCOME LEVEL]],Income[],4,FALSE)</f>
        <v>1397.5</v>
      </c>
      <c r="K1644">
        <f>IFERROR(Demographics[[#This Row],[Total monthly income]]/Demographics[[#This Row],[FAMILY SIZE]], 0)</f>
        <v>349.375</v>
      </c>
    </row>
    <row r="1645" spans="1:11" x14ac:dyDescent="0.2">
      <c r="A1645">
        <v>2726693</v>
      </c>
      <c r="B1645">
        <v>8021989</v>
      </c>
      <c r="C1645">
        <v>5</v>
      </c>
      <c r="D1645">
        <v>2</v>
      </c>
      <c r="E1645">
        <v>3</v>
      </c>
      <c r="F1645">
        <v>9</v>
      </c>
      <c r="G1645">
        <v>5</v>
      </c>
      <c r="H1645" t="str">
        <f>IF(Demographics[[#This Row],[DOB]]&gt;10000000, TEXT(Demographics[[#This Row],[DOB]],0),CONCATENATE("0",TEXT(Demographics[[#This Row],[DOB]],0)))</f>
        <v>08021989</v>
      </c>
      <c r="I1645" s="4">
        <f ca="1">IFERROR((VALUE(TODAY()-DATE(RIGHT(Demographics[[#This Row],[DOB - Fixed]],4),MID(Demographics[[#This Row],[DOB - Fixed]],3,2),LEFT(Demographics[[#This Row],[DOB - Fixed]],2))))/365,0)</f>
        <v>34.602739726027394</v>
      </c>
      <c r="J1645">
        <f>VLOOKUP(Demographics[[#This Row],[INCOME LEVEL]],Income[],4,FALSE)</f>
        <v>1397.5</v>
      </c>
      <c r="K1645">
        <f>IFERROR(Demographics[[#This Row],[Total monthly income]]/Demographics[[#This Row],[FAMILY SIZE]], 0)</f>
        <v>279.5</v>
      </c>
    </row>
    <row r="1646" spans="1:11" x14ac:dyDescent="0.2">
      <c r="A1646">
        <v>18747968</v>
      </c>
      <c r="B1646">
        <v>31011989</v>
      </c>
      <c r="C1646">
        <v>5</v>
      </c>
      <c r="D1646">
        <v>1</v>
      </c>
      <c r="E1646">
        <v>1</v>
      </c>
      <c r="F1646">
        <v>5</v>
      </c>
      <c r="G1646">
        <v>5</v>
      </c>
      <c r="H1646" t="str">
        <f>IF(Demographics[[#This Row],[DOB]]&gt;10000000, TEXT(Demographics[[#This Row],[DOB]],0),CONCATENATE("0",TEXT(Demographics[[#This Row],[DOB]],0)))</f>
        <v>31011989</v>
      </c>
      <c r="I1646" s="4">
        <f ca="1">IFERROR((VALUE(TODAY()-DATE(RIGHT(Demographics[[#This Row],[DOB - Fixed]],4),MID(Demographics[[#This Row],[DOB - Fixed]],3,2),LEFT(Demographics[[#This Row],[DOB - Fixed]],2))))/365,0)</f>
        <v>34.624657534246573</v>
      </c>
      <c r="J1646">
        <f>VLOOKUP(Demographics[[#This Row],[INCOME LEVEL]],Income[],4,FALSE)</f>
        <v>175</v>
      </c>
      <c r="K1646">
        <f>IFERROR(Demographics[[#This Row],[Total monthly income]]/Demographics[[#This Row],[FAMILY SIZE]], 0)</f>
        <v>35</v>
      </c>
    </row>
    <row r="1647" spans="1:11" x14ac:dyDescent="0.2">
      <c r="A1647">
        <v>24521172</v>
      </c>
      <c r="B1647">
        <v>15121988</v>
      </c>
      <c r="C1647">
        <v>5</v>
      </c>
      <c r="D1647">
        <v>1</v>
      </c>
      <c r="E1647">
        <v>1</v>
      </c>
      <c r="F1647">
        <v>0</v>
      </c>
      <c r="G1647">
        <v>3</v>
      </c>
      <c r="H1647" t="str">
        <f>IF(Demographics[[#This Row],[DOB]]&gt;10000000, TEXT(Demographics[[#This Row],[DOB]],0),CONCATENATE("0",TEXT(Demographics[[#This Row],[DOB]],0)))</f>
        <v>15121988</v>
      </c>
      <c r="I1647" s="4">
        <f ca="1">IFERROR((VALUE(TODAY()-DATE(RIGHT(Demographics[[#This Row],[DOB - Fixed]],4),MID(Demographics[[#This Row],[DOB - Fixed]],3,2),LEFT(Demographics[[#This Row],[DOB - Fixed]],2))))/365,0)</f>
        <v>34.753424657534246</v>
      </c>
      <c r="J1647">
        <f>VLOOKUP(Demographics[[#This Row],[INCOME LEVEL]],Income[],4,FALSE)</f>
        <v>175</v>
      </c>
      <c r="K1647">
        <f>IFERROR(Demographics[[#This Row],[Total monthly income]]/Demographics[[#This Row],[FAMILY SIZE]], 0)</f>
        <v>35</v>
      </c>
    </row>
    <row r="1648" spans="1:11" x14ac:dyDescent="0.2">
      <c r="A1648">
        <v>4227432</v>
      </c>
      <c r="B1648">
        <v>10021989</v>
      </c>
      <c r="C1648">
        <v>4</v>
      </c>
      <c r="D1648">
        <v>1</v>
      </c>
      <c r="E1648">
        <v>2</v>
      </c>
      <c r="F1648">
        <v>9</v>
      </c>
      <c r="G1648">
        <v>5</v>
      </c>
      <c r="H1648" t="str">
        <f>IF(Demographics[[#This Row],[DOB]]&gt;10000000, TEXT(Demographics[[#This Row],[DOB]],0),CONCATENATE("0",TEXT(Demographics[[#This Row],[DOB]],0)))</f>
        <v>10021989</v>
      </c>
      <c r="I1648" s="4">
        <f ca="1">IFERROR((VALUE(TODAY()-DATE(RIGHT(Demographics[[#This Row],[DOB - Fixed]],4),MID(Demographics[[#This Row],[DOB - Fixed]],3,2),LEFT(Demographics[[#This Row],[DOB - Fixed]],2))))/365,0)</f>
        <v>34.597260273972601</v>
      </c>
      <c r="J1648">
        <f>VLOOKUP(Demographics[[#This Row],[INCOME LEVEL]],Income[],4,FALSE)</f>
        <v>697.5</v>
      </c>
      <c r="K1648">
        <f>IFERROR(Demographics[[#This Row],[Total monthly income]]/Demographics[[#This Row],[FAMILY SIZE]], 0)</f>
        <v>174.375</v>
      </c>
    </row>
    <row r="1649" spans="1:11" x14ac:dyDescent="0.2">
      <c r="A1649">
        <v>19180647</v>
      </c>
      <c r="B1649">
        <v>11021989</v>
      </c>
      <c r="C1649">
        <v>4</v>
      </c>
      <c r="D1649">
        <v>1</v>
      </c>
      <c r="E1649">
        <v>1</v>
      </c>
      <c r="F1649">
        <v>3</v>
      </c>
      <c r="G1649">
        <v>4</v>
      </c>
      <c r="H1649" t="str">
        <f>IF(Demographics[[#This Row],[DOB]]&gt;10000000, TEXT(Demographics[[#This Row],[DOB]],0),CONCATENATE("0",TEXT(Demographics[[#This Row],[DOB]],0)))</f>
        <v>11021989</v>
      </c>
      <c r="I1649" s="4">
        <f ca="1">IFERROR((VALUE(TODAY()-DATE(RIGHT(Demographics[[#This Row],[DOB - Fixed]],4),MID(Demographics[[#This Row],[DOB - Fixed]],3,2),LEFT(Demographics[[#This Row],[DOB - Fixed]],2))))/365,0)</f>
        <v>34.594520547945208</v>
      </c>
      <c r="J1649">
        <f>VLOOKUP(Demographics[[#This Row],[INCOME LEVEL]],Income[],4,FALSE)</f>
        <v>175</v>
      </c>
      <c r="K1649">
        <f>IFERROR(Demographics[[#This Row],[Total monthly income]]/Demographics[[#This Row],[FAMILY SIZE]], 0)</f>
        <v>43.75</v>
      </c>
    </row>
    <row r="1650" spans="1:11" x14ac:dyDescent="0.2">
      <c r="A1650">
        <v>15975863</v>
      </c>
      <c r="B1650">
        <v>29011989</v>
      </c>
      <c r="C1650">
        <v>5</v>
      </c>
      <c r="D1650">
        <v>1</v>
      </c>
      <c r="E1650">
        <v>1</v>
      </c>
      <c r="F1650">
        <v>2</v>
      </c>
      <c r="G1650">
        <v>4</v>
      </c>
      <c r="H1650" t="str">
        <f>IF(Demographics[[#This Row],[DOB]]&gt;10000000, TEXT(Demographics[[#This Row],[DOB]],0),CONCATENATE("0",TEXT(Demographics[[#This Row],[DOB]],0)))</f>
        <v>29011989</v>
      </c>
      <c r="I1650" s="4">
        <f ca="1">IFERROR((VALUE(TODAY()-DATE(RIGHT(Demographics[[#This Row],[DOB - Fixed]],4),MID(Demographics[[#This Row],[DOB - Fixed]],3,2),LEFT(Demographics[[#This Row],[DOB - Fixed]],2))))/365,0)</f>
        <v>34.630136986301373</v>
      </c>
      <c r="J1650">
        <f>VLOOKUP(Demographics[[#This Row],[INCOME LEVEL]],Income[],4,FALSE)</f>
        <v>175</v>
      </c>
      <c r="K1650">
        <f>IFERROR(Demographics[[#This Row],[Total monthly income]]/Demographics[[#This Row],[FAMILY SIZE]], 0)</f>
        <v>35</v>
      </c>
    </row>
    <row r="1651" spans="1:11" x14ac:dyDescent="0.2">
      <c r="A1651">
        <v>589832</v>
      </c>
      <c r="B1651">
        <v>13021989</v>
      </c>
      <c r="C1651">
        <v>5</v>
      </c>
      <c r="D1651">
        <v>2</v>
      </c>
      <c r="E1651">
        <v>2</v>
      </c>
      <c r="F1651">
        <v>5</v>
      </c>
      <c r="G1651">
        <v>5</v>
      </c>
      <c r="H1651" t="str">
        <f>IF(Demographics[[#This Row],[DOB]]&gt;10000000, TEXT(Demographics[[#This Row],[DOB]],0),CONCATENATE("0",TEXT(Demographics[[#This Row],[DOB]],0)))</f>
        <v>13021989</v>
      </c>
      <c r="I1651" s="4">
        <f ca="1">IFERROR((VALUE(TODAY()-DATE(RIGHT(Demographics[[#This Row],[DOB - Fixed]],4),MID(Demographics[[#This Row],[DOB - Fixed]],3,2),LEFT(Demographics[[#This Row],[DOB - Fixed]],2))))/365,0)</f>
        <v>34.589041095890408</v>
      </c>
      <c r="J1651">
        <f>VLOOKUP(Demographics[[#This Row],[INCOME LEVEL]],Income[],4,FALSE)</f>
        <v>697.5</v>
      </c>
      <c r="K1651">
        <f>IFERROR(Demographics[[#This Row],[Total monthly income]]/Demographics[[#This Row],[FAMILY SIZE]], 0)</f>
        <v>139.5</v>
      </c>
    </row>
    <row r="1652" spans="1:11" x14ac:dyDescent="0.2">
      <c r="A1652">
        <v>15543762</v>
      </c>
      <c r="B1652">
        <v>14021989</v>
      </c>
      <c r="C1652">
        <v>3</v>
      </c>
      <c r="D1652">
        <v>1</v>
      </c>
      <c r="E1652">
        <v>1</v>
      </c>
      <c r="F1652">
        <v>4</v>
      </c>
      <c r="G1652">
        <v>5</v>
      </c>
      <c r="H1652" t="str">
        <f>IF(Demographics[[#This Row],[DOB]]&gt;10000000, TEXT(Demographics[[#This Row],[DOB]],0),CONCATENATE("0",TEXT(Demographics[[#This Row],[DOB]],0)))</f>
        <v>14021989</v>
      </c>
      <c r="I1652" s="4">
        <f ca="1">IFERROR((VALUE(TODAY()-DATE(RIGHT(Demographics[[#This Row],[DOB - Fixed]],4),MID(Demographics[[#This Row],[DOB - Fixed]],3,2),LEFT(Demographics[[#This Row],[DOB - Fixed]],2))))/365,0)</f>
        <v>34.586301369863016</v>
      </c>
      <c r="J1652">
        <f>VLOOKUP(Demographics[[#This Row],[INCOME LEVEL]],Income[],4,FALSE)</f>
        <v>175</v>
      </c>
      <c r="K1652">
        <f>IFERROR(Demographics[[#This Row],[Total monthly income]]/Demographics[[#This Row],[FAMILY SIZE]], 0)</f>
        <v>58.333333333333336</v>
      </c>
    </row>
    <row r="1653" spans="1:11" x14ac:dyDescent="0.2">
      <c r="A1653">
        <v>2090934</v>
      </c>
      <c r="B1653">
        <v>8021989</v>
      </c>
      <c r="C1653">
        <v>7</v>
      </c>
      <c r="D1653">
        <v>4</v>
      </c>
      <c r="E1653">
        <v>6</v>
      </c>
      <c r="F1653">
        <v>9</v>
      </c>
      <c r="G1653">
        <v>9</v>
      </c>
      <c r="H1653" t="str">
        <f>IF(Demographics[[#This Row],[DOB]]&gt;10000000, TEXT(Demographics[[#This Row],[DOB]],0),CONCATENATE("0",TEXT(Demographics[[#This Row],[DOB]],0)))</f>
        <v>08021989</v>
      </c>
      <c r="I1653" s="4">
        <f ca="1">IFERROR((VALUE(TODAY()-DATE(RIGHT(Demographics[[#This Row],[DOB - Fixed]],4),MID(Demographics[[#This Row],[DOB - Fixed]],3,2),LEFT(Demographics[[#This Row],[DOB - Fixed]],2))))/365,0)</f>
        <v>34.602739726027394</v>
      </c>
      <c r="J1653">
        <f>VLOOKUP(Demographics[[#This Row],[INCOME LEVEL]],Income[],4,FALSE)</f>
        <v>4000</v>
      </c>
      <c r="K1653">
        <f>IFERROR(Demographics[[#This Row],[Total monthly income]]/Demographics[[#This Row],[FAMILY SIZE]], 0)</f>
        <v>571.42857142857144</v>
      </c>
    </row>
    <row r="1654" spans="1:11" x14ac:dyDescent="0.2">
      <c r="A1654">
        <v>3693890</v>
      </c>
      <c r="B1654">
        <v>5101988</v>
      </c>
      <c r="C1654">
        <v>4</v>
      </c>
      <c r="D1654">
        <v>2</v>
      </c>
      <c r="E1654">
        <v>1</v>
      </c>
      <c r="F1654">
        <v>0</v>
      </c>
      <c r="G1654">
        <v>5</v>
      </c>
      <c r="H1654" t="str">
        <f>IF(Demographics[[#This Row],[DOB]]&gt;10000000, TEXT(Demographics[[#This Row],[DOB]],0),CONCATENATE("0",TEXT(Demographics[[#This Row],[DOB]],0)))</f>
        <v>05101988</v>
      </c>
      <c r="I1654" s="4">
        <f ca="1">IFERROR((VALUE(TODAY()-DATE(RIGHT(Demographics[[#This Row],[DOB - Fixed]],4),MID(Demographics[[#This Row],[DOB - Fixed]],3,2),LEFT(Demographics[[#This Row],[DOB - Fixed]],2))))/365,0)</f>
        <v>34.947945205479449</v>
      </c>
      <c r="J1654">
        <f>VLOOKUP(Demographics[[#This Row],[INCOME LEVEL]],Income[],4,FALSE)</f>
        <v>175</v>
      </c>
      <c r="K1654">
        <f>IFERROR(Demographics[[#This Row],[Total monthly income]]/Demographics[[#This Row],[FAMILY SIZE]], 0)</f>
        <v>43.75</v>
      </c>
    </row>
    <row r="1655" spans="1:11" x14ac:dyDescent="0.2">
      <c r="A1655">
        <v>17044382</v>
      </c>
      <c r="B1655">
        <v>23011989</v>
      </c>
      <c r="C1655">
        <v>2</v>
      </c>
      <c r="D1655">
        <v>1</v>
      </c>
      <c r="E1655">
        <v>1</v>
      </c>
      <c r="F1655">
        <v>8</v>
      </c>
      <c r="G1655">
        <v>8</v>
      </c>
      <c r="H1655" t="str">
        <f>IF(Demographics[[#This Row],[DOB]]&gt;10000000, TEXT(Demographics[[#This Row],[DOB]],0),CONCATENATE("0",TEXT(Demographics[[#This Row],[DOB]],0)))</f>
        <v>23011989</v>
      </c>
      <c r="I1655" s="4">
        <f ca="1">IFERROR((VALUE(TODAY()-DATE(RIGHT(Demographics[[#This Row],[DOB - Fixed]],4),MID(Demographics[[#This Row],[DOB - Fixed]],3,2),LEFT(Demographics[[#This Row],[DOB - Fixed]],2))))/365,0)</f>
        <v>34.646575342465752</v>
      </c>
      <c r="J1655">
        <f>VLOOKUP(Demographics[[#This Row],[INCOME LEVEL]],Income[],4,FALSE)</f>
        <v>175</v>
      </c>
      <c r="K1655">
        <f>IFERROR(Demographics[[#This Row],[Total monthly income]]/Demographics[[#This Row],[FAMILY SIZE]], 0)</f>
        <v>87.5</v>
      </c>
    </row>
    <row r="1656" spans="1:11" x14ac:dyDescent="0.2">
      <c r="A1656">
        <v>1556763</v>
      </c>
      <c r="B1656">
        <v>3021988</v>
      </c>
      <c r="C1656">
        <v>6</v>
      </c>
      <c r="D1656">
        <v>1</v>
      </c>
      <c r="E1656">
        <v>1</v>
      </c>
      <c r="F1656">
        <v>5</v>
      </c>
      <c r="G1656">
        <v>3</v>
      </c>
      <c r="H1656" t="str">
        <f>IF(Demographics[[#This Row],[DOB]]&gt;10000000, TEXT(Demographics[[#This Row],[DOB]],0),CONCATENATE("0",TEXT(Demographics[[#This Row],[DOB]],0)))</f>
        <v>03021988</v>
      </c>
      <c r="I1656" s="4">
        <f ca="1">IFERROR((VALUE(TODAY()-DATE(RIGHT(Demographics[[#This Row],[DOB - Fixed]],4),MID(Demographics[[#This Row],[DOB - Fixed]],3,2),LEFT(Demographics[[#This Row],[DOB - Fixed]],2))))/365,0)</f>
        <v>35.61917808219178</v>
      </c>
      <c r="J1656">
        <f>VLOOKUP(Demographics[[#This Row],[INCOME LEVEL]],Income[],4,FALSE)</f>
        <v>175</v>
      </c>
      <c r="K1656">
        <f>IFERROR(Demographics[[#This Row],[Total monthly income]]/Demographics[[#This Row],[FAMILY SIZE]], 0)</f>
        <v>29.166666666666668</v>
      </c>
    </row>
    <row r="1657" spans="1:11" x14ac:dyDescent="0.2">
      <c r="A1657">
        <v>6897784</v>
      </c>
      <c r="B1657">
        <v>20021989</v>
      </c>
      <c r="C1657">
        <v>3</v>
      </c>
      <c r="D1657">
        <v>1</v>
      </c>
      <c r="E1657">
        <v>2</v>
      </c>
      <c r="F1657">
        <v>5</v>
      </c>
      <c r="G1657">
        <v>9</v>
      </c>
      <c r="H1657" t="str">
        <f>IF(Demographics[[#This Row],[DOB]]&gt;10000000, TEXT(Demographics[[#This Row],[DOB]],0),CONCATENATE("0",TEXT(Demographics[[#This Row],[DOB]],0)))</f>
        <v>20021989</v>
      </c>
      <c r="I1657" s="4">
        <f ca="1">IFERROR((VALUE(TODAY()-DATE(RIGHT(Demographics[[#This Row],[DOB - Fixed]],4),MID(Demographics[[#This Row],[DOB - Fixed]],3,2),LEFT(Demographics[[#This Row],[DOB - Fixed]],2))))/365,0)</f>
        <v>34.56986301369863</v>
      </c>
      <c r="J1657">
        <f>VLOOKUP(Demographics[[#This Row],[INCOME LEVEL]],Income[],4,FALSE)</f>
        <v>697.5</v>
      </c>
      <c r="K1657">
        <f>IFERROR(Demographics[[#This Row],[Total monthly income]]/Demographics[[#This Row],[FAMILY SIZE]], 0)</f>
        <v>232.5</v>
      </c>
    </row>
    <row r="1658" spans="1:11" x14ac:dyDescent="0.2">
      <c r="A1658">
        <v>13942088</v>
      </c>
      <c r="B1658">
        <v>3011989</v>
      </c>
      <c r="C1658">
        <v>3</v>
      </c>
      <c r="D1658">
        <v>1</v>
      </c>
      <c r="E1658">
        <v>1</v>
      </c>
      <c r="F1658">
        <v>0</v>
      </c>
      <c r="G1658">
        <v>5</v>
      </c>
      <c r="H1658" t="str">
        <f>IF(Demographics[[#This Row],[DOB]]&gt;10000000, TEXT(Demographics[[#This Row],[DOB]],0),CONCATENATE("0",TEXT(Demographics[[#This Row],[DOB]],0)))</f>
        <v>03011989</v>
      </c>
      <c r="I1658" s="4">
        <f ca="1">IFERROR((VALUE(TODAY()-DATE(RIGHT(Demographics[[#This Row],[DOB - Fixed]],4),MID(Demographics[[#This Row],[DOB - Fixed]],3,2),LEFT(Demographics[[#This Row],[DOB - Fixed]],2))))/365,0)</f>
        <v>34.701369863013696</v>
      </c>
      <c r="J1658">
        <f>VLOOKUP(Demographics[[#This Row],[INCOME LEVEL]],Income[],4,FALSE)</f>
        <v>175</v>
      </c>
      <c r="K1658">
        <f>IFERROR(Demographics[[#This Row],[Total monthly income]]/Demographics[[#This Row],[FAMILY SIZE]], 0)</f>
        <v>58.333333333333336</v>
      </c>
    </row>
    <row r="1659" spans="1:11" x14ac:dyDescent="0.2">
      <c r="A1659">
        <v>23453288</v>
      </c>
      <c r="B1659">
        <v>21021989</v>
      </c>
      <c r="C1659">
        <v>4</v>
      </c>
      <c r="D1659">
        <v>2</v>
      </c>
      <c r="E1659">
        <v>2</v>
      </c>
      <c r="F1659">
        <v>5</v>
      </c>
      <c r="G1659">
        <v>5</v>
      </c>
      <c r="H1659" t="str">
        <f>IF(Demographics[[#This Row],[DOB]]&gt;10000000, TEXT(Demographics[[#This Row],[DOB]],0),CONCATENATE("0",TEXT(Demographics[[#This Row],[DOB]],0)))</f>
        <v>21021989</v>
      </c>
      <c r="I1659" s="4">
        <f ca="1">IFERROR((VALUE(TODAY()-DATE(RIGHT(Demographics[[#This Row],[DOB - Fixed]],4),MID(Demographics[[#This Row],[DOB - Fixed]],3,2),LEFT(Demographics[[#This Row],[DOB - Fixed]],2))))/365,0)</f>
        <v>34.56712328767123</v>
      </c>
      <c r="J1659">
        <f>VLOOKUP(Demographics[[#This Row],[INCOME LEVEL]],Income[],4,FALSE)</f>
        <v>697.5</v>
      </c>
      <c r="K1659">
        <f>IFERROR(Demographics[[#This Row],[Total monthly income]]/Demographics[[#This Row],[FAMILY SIZE]], 0)</f>
        <v>174.375</v>
      </c>
    </row>
    <row r="1660" spans="1:11" x14ac:dyDescent="0.2">
      <c r="A1660">
        <v>15874638</v>
      </c>
      <c r="B1660">
        <v>13021989</v>
      </c>
      <c r="C1660">
        <v>5</v>
      </c>
      <c r="D1660">
        <v>2</v>
      </c>
      <c r="E1660">
        <v>2</v>
      </c>
      <c r="F1660">
        <v>5</v>
      </c>
      <c r="G1660">
        <v>4</v>
      </c>
      <c r="H1660" t="str">
        <f>IF(Demographics[[#This Row],[DOB]]&gt;10000000, TEXT(Demographics[[#This Row],[DOB]],0),CONCATENATE("0",TEXT(Demographics[[#This Row],[DOB]],0)))</f>
        <v>13021989</v>
      </c>
      <c r="I1660" s="4">
        <f ca="1">IFERROR((VALUE(TODAY()-DATE(RIGHT(Demographics[[#This Row],[DOB - Fixed]],4),MID(Demographics[[#This Row],[DOB - Fixed]],3,2),LEFT(Demographics[[#This Row],[DOB - Fixed]],2))))/365,0)</f>
        <v>34.589041095890408</v>
      </c>
      <c r="J1660">
        <f>VLOOKUP(Demographics[[#This Row],[INCOME LEVEL]],Income[],4,FALSE)</f>
        <v>697.5</v>
      </c>
      <c r="K1660">
        <f>IFERROR(Demographics[[#This Row],[Total monthly income]]/Demographics[[#This Row],[FAMILY SIZE]], 0)</f>
        <v>139.5</v>
      </c>
    </row>
    <row r="1661" spans="1:11" x14ac:dyDescent="0.2">
      <c r="A1661">
        <v>14476177</v>
      </c>
      <c r="B1661">
        <v>8021988</v>
      </c>
      <c r="C1661">
        <v>5</v>
      </c>
      <c r="D1661">
        <v>2</v>
      </c>
      <c r="E1661">
        <v>2</v>
      </c>
      <c r="F1661">
        <v>3</v>
      </c>
      <c r="G1661">
        <v>3</v>
      </c>
      <c r="H1661" t="str">
        <f>IF(Demographics[[#This Row],[DOB]]&gt;10000000, TEXT(Demographics[[#This Row],[DOB]],0),CONCATENATE("0",TEXT(Demographics[[#This Row],[DOB]],0)))</f>
        <v>08021988</v>
      </c>
      <c r="I1661" s="4">
        <f ca="1">IFERROR((VALUE(TODAY()-DATE(RIGHT(Demographics[[#This Row],[DOB - Fixed]],4),MID(Demographics[[#This Row],[DOB - Fixed]],3,2),LEFT(Demographics[[#This Row],[DOB - Fixed]],2))))/365,0)</f>
        <v>35.605479452054794</v>
      </c>
      <c r="J1661">
        <f>VLOOKUP(Demographics[[#This Row],[INCOME LEVEL]],Income[],4,FALSE)</f>
        <v>697.5</v>
      </c>
      <c r="K1661">
        <f>IFERROR(Demographics[[#This Row],[Total monthly income]]/Demographics[[#This Row],[FAMILY SIZE]], 0)</f>
        <v>139.5</v>
      </c>
    </row>
    <row r="1662" spans="1:11" x14ac:dyDescent="0.2">
      <c r="A1662">
        <v>3362769</v>
      </c>
      <c r="B1662">
        <v>21021989</v>
      </c>
      <c r="C1662">
        <v>4</v>
      </c>
      <c r="D1662">
        <v>2</v>
      </c>
      <c r="E1662">
        <v>2</v>
      </c>
      <c r="F1662">
        <v>4</v>
      </c>
      <c r="G1662">
        <v>6</v>
      </c>
      <c r="H1662" t="str">
        <f>IF(Demographics[[#This Row],[DOB]]&gt;10000000, TEXT(Demographics[[#This Row],[DOB]],0),CONCATENATE("0",TEXT(Demographics[[#This Row],[DOB]],0)))</f>
        <v>21021989</v>
      </c>
      <c r="I1662" s="4">
        <f ca="1">IFERROR((VALUE(TODAY()-DATE(RIGHT(Demographics[[#This Row],[DOB - Fixed]],4),MID(Demographics[[#This Row],[DOB - Fixed]],3,2),LEFT(Demographics[[#This Row],[DOB - Fixed]],2))))/365,0)</f>
        <v>34.56712328767123</v>
      </c>
      <c r="J1662">
        <f>VLOOKUP(Demographics[[#This Row],[INCOME LEVEL]],Income[],4,FALSE)</f>
        <v>697.5</v>
      </c>
      <c r="K1662">
        <f>IFERROR(Demographics[[#This Row],[Total monthly income]]/Demographics[[#This Row],[FAMILY SIZE]], 0)</f>
        <v>174.375</v>
      </c>
    </row>
    <row r="1663" spans="1:11" x14ac:dyDescent="0.2">
      <c r="A1663">
        <v>1123862</v>
      </c>
      <c r="B1663">
        <v>13021989</v>
      </c>
      <c r="C1663">
        <v>4</v>
      </c>
      <c r="D1663">
        <v>1</v>
      </c>
      <c r="E1663">
        <v>2</v>
      </c>
      <c r="F1663">
        <v>4</v>
      </c>
      <c r="G1663">
        <v>7</v>
      </c>
      <c r="H1663" t="str">
        <f>IF(Demographics[[#This Row],[DOB]]&gt;10000000, TEXT(Demographics[[#This Row],[DOB]],0),CONCATENATE("0",TEXT(Demographics[[#This Row],[DOB]],0)))</f>
        <v>13021989</v>
      </c>
      <c r="I1663" s="4">
        <f ca="1">IFERROR((VALUE(TODAY()-DATE(RIGHT(Demographics[[#This Row],[DOB - Fixed]],4),MID(Demographics[[#This Row],[DOB - Fixed]],3,2),LEFT(Demographics[[#This Row],[DOB - Fixed]],2))))/365,0)</f>
        <v>34.589041095890408</v>
      </c>
      <c r="J1663">
        <f>VLOOKUP(Demographics[[#This Row],[INCOME LEVEL]],Income[],4,FALSE)</f>
        <v>697.5</v>
      </c>
      <c r="K1663">
        <f>IFERROR(Demographics[[#This Row],[Total monthly income]]/Demographics[[#This Row],[FAMILY SIZE]], 0)</f>
        <v>174.375</v>
      </c>
    </row>
    <row r="1664" spans="1:11" x14ac:dyDescent="0.2">
      <c r="A1664">
        <v>14908373</v>
      </c>
      <c r="B1664">
        <v>15021989</v>
      </c>
      <c r="C1664">
        <v>5</v>
      </c>
      <c r="D1664">
        <v>1</v>
      </c>
      <c r="E1664">
        <v>2</v>
      </c>
      <c r="F1664">
        <v>7</v>
      </c>
      <c r="G1664">
        <v>7</v>
      </c>
      <c r="H1664" t="str">
        <f>IF(Demographics[[#This Row],[DOB]]&gt;10000000, TEXT(Demographics[[#This Row],[DOB]],0),CONCATENATE("0",TEXT(Demographics[[#This Row],[DOB]],0)))</f>
        <v>15021989</v>
      </c>
      <c r="I1664" s="4">
        <f ca="1">IFERROR((VALUE(TODAY()-DATE(RIGHT(Demographics[[#This Row],[DOB - Fixed]],4),MID(Demographics[[#This Row],[DOB - Fixed]],3,2),LEFT(Demographics[[#This Row],[DOB - Fixed]],2))))/365,0)</f>
        <v>34.583561643835615</v>
      </c>
      <c r="J1664">
        <f>VLOOKUP(Demographics[[#This Row],[INCOME LEVEL]],Income[],4,FALSE)</f>
        <v>697.5</v>
      </c>
      <c r="K1664">
        <f>IFERROR(Demographics[[#This Row],[Total monthly income]]/Demographics[[#This Row],[FAMILY SIZE]], 0)</f>
        <v>139.5</v>
      </c>
    </row>
    <row r="1665" spans="1:11" x14ac:dyDescent="0.2">
      <c r="A1665">
        <v>14807154</v>
      </c>
      <c r="B1665">
        <v>18021989</v>
      </c>
      <c r="C1665">
        <v>4</v>
      </c>
      <c r="D1665">
        <v>2</v>
      </c>
      <c r="E1665">
        <v>1</v>
      </c>
      <c r="F1665">
        <v>7</v>
      </c>
      <c r="G1665">
        <v>5</v>
      </c>
      <c r="H1665" t="str">
        <f>IF(Demographics[[#This Row],[DOB]]&gt;10000000, TEXT(Demographics[[#This Row],[DOB]],0),CONCATENATE("0",TEXT(Demographics[[#This Row],[DOB]],0)))</f>
        <v>18021989</v>
      </c>
      <c r="I1665" s="4">
        <f ca="1">IFERROR((VALUE(TODAY()-DATE(RIGHT(Demographics[[#This Row],[DOB - Fixed]],4),MID(Demographics[[#This Row],[DOB - Fixed]],3,2),LEFT(Demographics[[#This Row],[DOB - Fixed]],2))))/365,0)</f>
        <v>34.575342465753423</v>
      </c>
      <c r="J1665">
        <f>VLOOKUP(Demographics[[#This Row],[INCOME LEVEL]],Income[],4,FALSE)</f>
        <v>175</v>
      </c>
      <c r="K1665">
        <f>IFERROR(Demographics[[#This Row],[Total monthly income]]/Demographics[[#This Row],[FAMILY SIZE]], 0)</f>
        <v>43.75</v>
      </c>
    </row>
    <row r="1666" spans="1:11" x14ac:dyDescent="0.2">
      <c r="A1666">
        <v>16611997</v>
      </c>
      <c r="B1666">
        <v>5061988</v>
      </c>
      <c r="C1666">
        <v>0</v>
      </c>
      <c r="D1666">
        <v>0</v>
      </c>
      <c r="E1666">
        <v>1</v>
      </c>
      <c r="F1666">
        <v>0</v>
      </c>
      <c r="G1666">
        <v>0</v>
      </c>
      <c r="H1666" t="str">
        <f>IF(Demographics[[#This Row],[DOB]]&gt;10000000, TEXT(Demographics[[#This Row],[DOB]],0),CONCATENATE("0",TEXT(Demographics[[#This Row],[DOB]],0)))</f>
        <v>05061988</v>
      </c>
      <c r="I1666" s="4">
        <f ca="1">IFERROR((VALUE(TODAY()-DATE(RIGHT(Demographics[[#This Row],[DOB - Fixed]],4),MID(Demographics[[#This Row],[DOB - Fixed]],3,2),LEFT(Demographics[[#This Row],[DOB - Fixed]],2))))/365,0)</f>
        <v>35.282191780821918</v>
      </c>
      <c r="J1666">
        <f>VLOOKUP(Demographics[[#This Row],[INCOME LEVEL]],Income[],4,FALSE)</f>
        <v>175</v>
      </c>
      <c r="K1666">
        <f>IFERROR(Demographics[[#This Row],[Total monthly income]]/Demographics[[#This Row],[FAMILY SIZE]], 0)</f>
        <v>0</v>
      </c>
    </row>
    <row r="1667" spans="1:11" x14ac:dyDescent="0.2">
      <c r="A1667">
        <v>22385577</v>
      </c>
      <c r="B1667">
        <v>22021989</v>
      </c>
      <c r="C1667">
        <v>6</v>
      </c>
      <c r="D1667">
        <v>2</v>
      </c>
      <c r="E1667">
        <v>2</v>
      </c>
      <c r="F1667">
        <v>4</v>
      </c>
      <c r="G1667">
        <v>7</v>
      </c>
      <c r="H1667" t="str">
        <f>IF(Demographics[[#This Row],[DOB]]&gt;10000000, TEXT(Demographics[[#This Row],[DOB]],0),CONCATENATE("0",TEXT(Demographics[[#This Row],[DOB]],0)))</f>
        <v>22021989</v>
      </c>
      <c r="I1667" s="4">
        <f ca="1">IFERROR((VALUE(TODAY()-DATE(RIGHT(Demographics[[#This Row],[DOB - Fixed]],4),MID(Demographics[[#This Row],[DOB - Fixed]],3,2),LEFT(Demographics[[#This Row],[DOB - Fixed]],2))))/365,0)</f>
        <v>34.564383561643837</v>
      </c>
      <c r="J1667">
        <f>VLOOKUP(Demographics[[#This Row],[INCOME LEVEL]],Income[],4,FALSE)</f>
        <v>697.5</v>
      </c>
      <c r="K1667">
        <f>IFERROR(Demographics[[#This Row],[Total monthly income]]/Demographics[[#This Row],[FAMILY SIZE]], 0)</f>
        <v>116.25</v>
      </c>
    </row>
    <row r="1668" spans="1:11" x14ac:dyDescent="0.2">
      <c r="A1668">
        <v>15010090</v>
      </c>
      <c r="B1668">
        <v>13021989</v>
      </c>
      <c r="C1668">
        <v>5</v>
      </c>
      <c r="D1668">
        <v>1</v>
      </c>
      <c r="E1668">
        <v>1</v>
      </c>
      <c r="F1668">
        <v>5</v>
      </c>
      <c r="G1668">
        <v>5</v>
      </c>
      <c r="H1668" t="str">
        <f>IF(Demographics[[#This Row],[DOB]]&gt;10000000, TEXT(Demographics[[#This Row],[DOB]],0),CONCATENATE("0",TEXT(Demographics[[#This Row],[DOB]],0)))</f>
        <v>13021989</v>
      </c>
      <c r="I1668" s="4">
        <f ca="1">IFERROR((VALUE(TODAY()-DATE(RIGHT(Demographics[[#This Row],[DOB - Fixed]],4),MID(Demographics[[#This Row],[DOB - Fixed]],3,2),LEFT(Demographics[[#This Row],[DOB - Fixed]],2))))/365,0)</f>
        <v>34.589041095890408</v>
      </c>
      <c r="J1668">
        <f>VLOOKUP(Demographics[[#This Row],[INCOME LEVEL]],Income[],4,FALSE)</f>
        <v>175</v>
      </c>
      <c r="K1668">
        <f>IFERROR(Demographics[[#This Row],[Total monthly income]]/Demographics[[#This Row],[FAMILY SIZE]], 0)</f>
        <v>35</v>
      </c>
    </row>
    <row r="1669" spans="1:11" x14ac:dyDescent="0.2">
      <c r="A1669">
        <v>3159758</v>
      </c>
      <c r="B1669">
        <v>28121988</v>
      </c>
      <c r="C1669">
        <v>0</v>
      </c>
      <c r="D1669">
        <v>0</v>
      </c>
      <c r="E1669">
        <v>1</v>
      </c>
      <c r="F1669">
        <v>0</v>
      </c>
      <c r="G1669">
        <v>0</v>
      </c>
      <c r="H1669" t="str">
        <f>IF(Demographics[[#This Row],[DOB]]&gt;10000000, TEXT(Demographics[[#This Row],[DOB]],0),CONCATENATE("0",TEXT(Demographics[[#This Row],[DOB]],0)))</f>
        <v>28121988</v>
      </c>
      <c r="I1669" s="4">
        <f ca="1">IFERROR((VALUE(TODAY()-DATE(RIGHT(Demographics[[#This Row],[DOB - Fixed]],4),MID(Demographics[[#This Row],[DOB - Fixed]],3,2),LEFT(Demographics[[#This Row],[DOB - Fixed]],2))))/365,0)</f>
        <v>34.717808219178082</v>
      </c>
      <c r="J1669">
        <f>VLOOKUP(Demographics[[#This Row],[INCOME LEVEL]],Income[],4,FALSE)</f>
        <v>175</v>
      </c>
      <c r="K1669">
        <f>IFERROR(Demographics[[#This Row],[Total monthly income]]/Demographics[[#This Row],[FAMILY SIZE]], 0)</f>
        <v>0</v>
      </c>
    </row>
    <row r="1670" spans="1:11" x14ac:dyDescent="0.2">
      <c r="A1670">
        <v>8067297</v>
      </c>
      <c r="B1670">
        <v>19021989</v>
      </c>
      <c r="C1670">
        <v>4</v>
      </c>
      <c r="D1670">
        <v>1</v>
      </c>
      <c r="E1670">
        <v>2</v>
      </c>
      <c r="F1670">
        <v>5</v>
      </c>
      <c r="G1670">
        <v>4</v>
      </c>
      <c r="H1670" t="str">
        <f>IF(Demographics[[#This Row],[DOB]]&gt;10000000, TEXT(Demographics[[#This Row],[DOB]],0),CONCATENATE("0",TEXT(Demographics[[#This Row],[DOB]],0)))</f>
        <v>19021989</v>
      </c>
      <c r="I1670" s="4">
        <f ca="1">IFERROR((VALUE(TODAY()-DATE(RIGHT(Demographics[[#This Row],[DOB - Fixed]],4),MID(Demographics[[#This Row],[DOB - Fixed]],3,2),LEFT(Demographics[[#This Row],[DOB - Fixed]],2))))/365,0)</f>
        <v>34.57260273972603</v>
      </c>
      <c r="J1670">
        <f>VLOOKUP(Demographics[[#This Row],[INCOME LEVEL]],Income[],4,FALSE)</f>
        <v>697.5</v>
      </c>
      <c r="K1670">
        <f>IFERROR(Demographics[[#This Row],[Total monthly income]]/Demographics[[#This Row],[FAMILY SIZE]], 0)</f>
        <v>174.375</v>
      </c>
    </row>
    <row r="1671" spans="1:11" x14ac:dyDescent="0.2">
      <c r="A1671">
        <v>13840232</v>
      </c>
      <c r="B1671">
        <v>3021989</v>
      </c>
      <c r="C1671">
        <v>4</v>
      </c>
      <c r="D1671">
        <v>1</v>
      </c>
      <c r="E1671">
        <v>1</v>
      </c>
      <c r="F1671">
        <v>3</v>
      </c>
      <c r="G1671">
        <v>2</v>
      </c>
      <c r="H1671" t="str">
        <f>IF(Demographics[[#This Row],[DOB]]&gt;10000000, TEXT(Demographics[[#This Row],[DOB]],0),CONCATENATE("0",TEXT(Demographics[[#This Row],[DOB]],0)))</f>
        <v>03021989</v>
      </c>
      <c r="I1671" s="4">
        <f ca="1">IFERROR((VALUE(TODAY()-DATE(RIGHT(Demographics[[#This Row],[DOB - Fixed]],4),MID(Demographics[[#This Row],[DOB - Fixed]],3,2),LEFT(Demographics[[#This Row],[DOB - Fixed]],2))))/365,0)</f>
        <v>34.61643835616438</v>
      </c>
      <c r="J1671">
        <f>VLOOKUP(Demographics[[#This Row],[INCOME LEVEL]],Income[],4,FALSE)</f>
        <v>175</v>
      </c>
      <c r="K1671">
        <f>IFERROR(Demographics[[#This Row],[Total monthly income]]/Demographics[[#This Row],[FAMILY SIZE]], 0)</f>
        <v>43.75</v>
      </c>
    </row>
    <row r="1672" spans="1:11" x14ac:dyDescent="0.2">
      <c r="A1672">
        <v>16077734</v>
      </c>
      <c r="B1672">
        <v>4031989</v>
      </c>
      <c r="C1672">
        <v>2</v>
      </c>
      <c r="D1672">
        <v>1</v>
      </c>
      <c r="E1672">
        <v>1</v>
      </c>
      <c r="F1672">
        <v>7</v>
      </c>
      <c r="G1672">
        <v>4</v>
      </c>
      <c r="H1672" t="str">
        <f>IF(Demographics[[#This Row],[DOB]]&gt;10000000, TEXT(Demographics[[#This Row],[DOB]],0),CONCATENATE("0",TEXT(Demographics[[#This Row],[DOB]],0)))</f>
        <v>04031989</v>
      </c>
      <c r="I1672" s="4">
        <f ca="1">IFERROR((VALUE(TODAY()-DATE(RIGHT(Demographics[[#This Row],[DOB - Fixed]],4),MID(Demographics[[#This Row],[DOB - Fixed]],3,2),LEFT(Demographics[[#This Row],[DOB - Fixed]],2))))/365,0)</f>
        <v>34.536986301369865</v>
      </c>
      <c r="J1672">
        <f>VLOOKUP(Demographics[[#This Row],[INCOME LEVEL]],Income[],4,FALSE)</f>
        <v>175</v>
      </c>
      <c r="K1672">
        <f>IFERROR(Demographics[[#This Row],[Total monthly income]]/Demographics[[#This Row],[FAMILY SIZE]], 0)</f>
        <v>87.5</v>
      </c>
    </row>
    <row r="1673" spans="1:11" x14ac:dyDescent="0.2">
      <c r="A1673">
        <v>11806066</v>
      </c>
      <c r="B1673">
        <v>28021989</v>
      </c>
      <c r="C1673">
        <v>4</v>
      </c>
      <c r="D1673">
        <v>1</v>
      </c>
      <c r="E1673">
        <v>1</v>
      </c>
      <c r="F1673">
        <v>4</v>
      </c>
      <c r="G1673">
        <v>7</v>
      </c>
      <c r="H1673" t="str">
        <f>IF(Demographics[[#This Row],[DOB]]&gt;10000000, TEXT(Demographics[[#This Row],[DOB]],0),CONCATENATE("0",TEXT(Demographics[[#This Row],[DOB]],0)))</f>
        <v>28021989</v>
      </c>
      <c r="I1673" s="4">
        <f ca="1">IFERROR((VALUE(TODAY()-DATE(RIGHT(Demographics[[#This Row],[DOB - Fixed]],4),MID(Demographics[[#This Row],[DOB - Fixed]],3,2),LEFT(Demographics[[#This Row],[DOB - Fixed]],2))))/365,0)</f>
        <v>34.547945205479451</v>
      </c>
      <c r="J1673">
        <f>VLOOKUP(Demographics[[#This Row],[INCOME LEVEL]],Income[],4,FALSE)</f>
        <v>175</v>
      </c>
      <c r="K1673">
        <f>IFERROR(Demographics[[#This Row],[Total monthly income]]/Demographics[[#This Row],[FAMILY SIZE]], 0)</f>
        <v>43.75</v>
      </c>
    </row>
    <row r="1674" spans="1:11" x14ac:dyDescent="0.2">
      <c r="A1674">
        <v>488537</v>
      </c>
      <c r="B1674">
        <v>2021989</v>
      </c>
      <c r="C1674">
        <v>5</v>
      </c>
      <c r="D1674">
        <v>1</v>
      </c>
      <c r="E1674">
        <v>1</v>
      </c>
      <c r="F1674">
        <v>5</v>
      </c>
      <c r="G1674">
        <v>2</v>
      </c>
      <c r="H1674" t="str">
        <f>IF(Demographics[[#This Row],[DOB]]&gt;10000000, TEXT(Demographics[[#This Row],[DOB]],0),CONCATENATE("0",TEXT(Demographics[[#This Row],[DOB]],0)))</f>
        <v>02021989</v>
      </c>
      <c r="I1674" s="4">
        <f ca="1">IFERROR((VALUE(TODAY()-DATE(RIGHT(Demographics[[#This Row],[DOB - Fixed]],4),MID(Demographics[[#This Row],[DOB - Fixed]],3,2),LEFT(Demographics[[#This Row],[DOB - Fixed]],2))))/365,0)</f>
        <v>34.61917808219178</v>
      </c>
      <c r="J1674">
        <f>VLOOKUP(Demographics[[#This Row],[INCOME LEVEL]],Income[],4,FALSE)</f>
        <v>175</v>
      </c>
      <c r="K1674">
        <f>IFERROR(Demographics[[#This Row],[Total monthly income]]/Demographics[[#This Row],[FAMILY SIZE]], 0)</f>
        <v>35</v>
      </c>
    </row>
    <row r="1675" spans="1:11" x14ac:dyDescent="0.2">
      <c r="A1675">
        <v>7634457</v>
      </c>
      <c r="B1675">
        <v>2021989</v>
      </c>
      <c r="C1675">
        <v>5</v>
      </c>
      <c r="D1675">
        <v>1</v>
      </c>
      <c r="E1675">
        <v>1</v>
      </c>
      <c r="F1675">
        <v>5</v>
      </c>
      <c r="G1675">
        <v>2</v>
      </c>
      <c r="H1675" t="str">
        <f>IF(Demographics[[#This Row],[DOB]]&gt;10000000, TEXT(Demographics[[#This Row],[DOB]],0),CONCATENATE("0",TEXT(Demographics[[#This Row],[DOB]],0)))</f>
        <v>02021989</v>
      </c>
      <c r="I1675" s="4">
        <f ca="1">IFERROR((VALUE(TODAY()-DATE(RIGHT(Demographics[[#This Row],[DOB - Fixed]],4),MID(Demographics[[#This Row],[DOB - Fixed]],3,2),LEFT(Demographics[[#This Row],[DOB - Fixed]],2))))/365,0)</f>
        <v>34.61917808219178</v>
      </c>
      <c r="J1675">
        <f>VLOOKUP(Demographics[[#This Row],[INCOME LEVEL]],Income[],4,FALSE)</f>
        <v>175</v>
      </c>
      <c r="K1675">
        <f>IFERROR(Demographics[[#This Row],[Total monthly income]]/Demographics[[#This Row],[FAMILY SIZE]], 0)</f>
        <v>35</v>
      </c>
    </row>
    <row r="1676" spans="1:11" x14ac:dyDescent="0.2">
      <c r="A1676">
        <v>19180646</v>
      </c>
      <c r="B1676">
        <v>11011989</v>
      </c>
      <c r="C1676">
        <v>4</v>
      </c>
      <c r="D1676">
        <v>1</v>
      </c>
      <c r="E1676">
        <v>1</v>
      </c>
      <c r="F1676">
        <v>5</v>
      </c>
      <c r="G1676">
        <v>5</v>
      </c>
      <c r="H1676" t="str">
        <f>IF(Demographics[[#This Row],[DOB]]&gt;10000000, TEXT(Demographics[[#This Row],[DOB]],0),CONCATENATE("0",TEXT(Demographics[[#This Row],[DOB]],0)))</f>
        <v>11011989</v>
      </c>
      <c r="I1676" s="4">
        <f ca="1">IFERROR((VALUE(TODAY()-DATE(RIGHT(Demographics[[#This Row],[DOB - Fixed]],4),MID(Demographics[[#This Row],[DOB - Fixed]],3,2),LEFT(Demographics[[#This Row],[DOB - Fixed]],2))))/365,0)</f>
        <v>34.679452054794524</v>
      </c>
      <c r="J1676">
        <f>VLOOKUP(Demographics[[#This Row],[INCOME LEVEL]],Income[],4,FALSE)</f>
        <v>175</v>
      </c>
      <c r="K1676">
        <f>IFERROR(Demographics[[#This Row],[Total monthly income]]/Demographics[[#This Row],[FAMILY SIZE]], 0)</f>
        <v>43.75</v>
      </c>
    </row>
    <row r="1677" spans="1:11" x14ac:dyDescent="0.2">
      <c r="A1677">
        <v>10203576</v>
      </c>
      <c r="B1677">
        <v>22021989</v>
      </c>
      <c r="C1677">
        <v>4</v>
      </c>
      <c r="D1677">
        <v>1</v>
      </c>
      <c r="E1677">
        <v>1</v>
      </c>
      <c r="F1677">
        <v>2</v>
      </c>
      <c r="G1677">
        <v>3</v>
      </c>
      <c r="H1677" t="str">
        <f>IF(Demographics[[#This Row],[DOB]]&gt;10000000, TEXT(Demographics[[#This Row],[DOB]],0),CONCATENATE("0",TEXT(Demographics[[#This Row],[DOB]],0)))</f>
        <v>22021989</v>
      </c>
      <c r="I1677" s="4">
        <f ca="1">IFERROR((VALUE(TODAY()-DATE(RIGHT(Demographics[[#This Row],[DOB - Fixed]],4),MID(Demographics[[#This Row],[DOB - Fixed]],3,2),LEFT(Demographics[[#This Row],[DOB - Fixed]],2))))/365,0)</f>
        <v>34.564383561643837</v>
      </c>
      <c r="J1677">
        <f>VLOOKUP(Demographics[[#This Row],[INCOME LEVEL]],Income[],4,FALSE)</f>
        <v>175</v>
      </c>
      <c r="K1677">
        <f>IFERROR(Demographics[[#This Row],[Total monthly income]]/Demographics[[#This Row],[FAMILY SIZE]], 0)</f>
        <v>43.75</v>
      </c>
    </row>
    <row r="1678" spans="1:11" x14ac:dyDescent="0.2">
      <c r="A1678">
        <v>6926309</v>
      </c>
      <c r="B1678">
        <v>3031989</v>
      </c>
      <c r="C1678">
        <v>5</v>
      </c>
      <c r="D1678">
        <v>1</v>
      </c>
      <c r="E1678">
        <v>1</v>
      </c>
      <c r="F1678">
        <v>5</v>
      </c>
      <c r="G1678">
        <v>5</v>
      </c>
      <c r="H1678" t="str">
        <f>IF(Demographics[[#This Row],[DOB]]&gt;10000000, TEXT(Demographics[[#This Row],[DOB]],0),CONCATENATE("0",TEXT(Demographics[[#This Row],[DOB]],0)))</f>
        <v>03031989</v>
      </c>
      <c r="I1678" s="4">
        <f ca="1">IFERROR((VALUE(TODAY()-DATE(RIGHT(Demographics[[#This Row],[DOB - Fixed]],4),MID(Demographics[[#This Row],[DOB - Fixed]],3,2),LEFT(Demographics[[#This Row],[DOB - Fixed]],2))))/365,0)</f>
        <v>34.539726027397258</v>
      </c>
      <c r="J1678">
        <f>VLOOKUP(Demographics[[#This Row],[INCOME LEVEL]],Income[],4,FALSE)</f>
        <v>175</v>
      </c>
      <c r="K1678">
        <f>IFERROR(Demographics[[#This Row],[Total monthly income]]/Demographics[[#This Row],[FAMILY SIZE]], 0)</f>
        <v>35</v>
      </c>
    </row>
    <row r="1679" spans="1:11" x14ac:dyDescent="0.2">
      <c r="A1679">
        <v>517041</v>
      </c>
      <c r="B1679">
        <v>15021989</v>
      </c>
      <c r="C1679">
        <v>7</v>
      </c>
      <c r="D1679">
        <v>1</v>
      </c>
      <c r="E1679">
        <v>1</v>
      </c>
      <c r="F1679">
        <v>4</v>
      </c>
      <c r="G1679">
        <v>3</v>
      </c>
      <c r="H1679" t="str">
        <f>IF(Demographics[[#This Row],[DOB]]&gt;10000000, TEXT(Demographics[[#This Row],[DOB]],0),CONCATENATE("0",TEXT(Demographics[[#This Row],[DOB]],0)))</f>
        <v>15021989</v>
      </c>
      <c r="I1679" s="4">
        <f ca="1">IFERROR((VALUE(TODAY()-DATE(RIGHT(Demographics[[#This Row],[DOB - Fixed]],4),MID(Demographics[[#This Row],[DOB - Fixed]],3,2),LEFT(Demographics[[#This Row],[DOB - Fixed]],2))))/365,0)</f>
        <v>34.583561643835615</v>
      </c>
      <c r="J1679">
        <f>VLOOKUP(Demographics[[#This Row],[INCOME LEVEL]],Income[],4,FALSE)</f>
        <v>175</v>
      </c>
      <c r="K1679">
        <f>IFERROR(Demographics[[#This Row],[Total monthly income]]/Demographics[[#This Row],[FAMILY SIZE]], 0)</f>
        <v>25</v>
      </c>
    </row>
    <row r="1680" spans="1:11" x14ac:dyDescent="0.2">
      <c r="A1680">
        <v>3722336</v>
      </c>
      <c r="B1680">
        <v>8021989</v>
      </c>
      <c r="C1680">
        <v>8</v>
      </c>
      <c r="D1680">
        <v>1</v>
      </c>
      <c r="E1680">
        <v>1</v>
      </c>
      <c r="F1680">
        <v>5</v>
      </c>
      <c r="G1680">
        <v>4</v>
      </c>
      <c r="H1680" t="str">
        <f>IF(Demographics[[#This Row],[DOB]]&gt;10000000, TEXT(Demographics[[#This Row],[DOB]],0),CONCATENATE("0",TEXT(Demographics[[#This Row],[DOB]],0)))</f>
        <v>08021989</v>
      </c>
      <c r="I1680" s="4">
        <f ca="1">IFERROR((VALUE(TODAY()-DATE(RIGHT(Demographics[[#This Row],[DOB - Fixed]],4),MID(Demographics[[#This Row],[DOB - Fixed]],3,2),LEFT(Demographics[[#This Row],[DOB - Fixed]],2))))/365,0)</f>
        <v>34.602739726027394</v>
      </c>
      <c r="J1680">
        <f>VLOOKUP(Demographics[[#This Row],[INCOME LEVEL]],Income[],4,FALSE)</f>
        <v>175</v>
      </c>
      <c r="K1680">
        <f>IFERROR(Demographics[[#This Row],[Total monthly income]]/Demographics[[#This Row],[FAMILY SIZE]], 0)</f>
        <v>21.875</v>
      </c>
    </row>
    <row r="1681" spans="1:11" x14ac:dyDescent="0.2">
      <c r="A1681">
        <v>18776678</v>
      </c>
      <c r="B1681">
        <v>9031989</v>
      </c>
      <c r="C1681">
        <v>5</v>
      </c>
      <c r="D1681">
        <v>1</v>
      </c>
      <c r="E1681">
        <v>3</v>
      </c>
      <c r="F1681">
        <v>5</v>
      </c>
      <c r="G1681">
        <v>10</v>
      </c>
      <c r="H1681" t="str">
        <f>IF(Demographics[[#This Row],[DOB]]&gt;10000000, TEXT(Demographics[[#This Row],[DOB]],0),CONCATENATE("0",TEXT(Demographics[[#This Row],[DOB]],0)))</f>
        <v>09031989</v>
      </c>
      <c r="I1681" s="4">
        <f ca="1">IFERROR((VALUE(TODAY()-DATE(RIGHT(Demographics[[#This Row],[DOB - Fixed]],4),MID(Demographics[[#This Row],[DOB - Fixed]],3,2),LEFT(Demographics[[#This Row],[DOB - Fixed]],2))))/365,0)</f>
        <v>34.523287671232879</v>
      </c>
      <c r="J1681">
        <f>VLOOKUP(Demographics[[#This Row],[INCOME LEVEL]],Income[],4,FALSE)</f>
        <v>1397.5</v>
      </c>
      <c r="K1681">
        <f>IFERROR(Demographics[[#This Row],[Total monthly income]]/Demographics[[#This Row],[FAMILY SIZE]], 0)</f>
        <v>279.5</v>
      </c>
    </row>
    <row r="1682" spans="1:11" x14ac:dyDescent="0.2">
      <c r="A1682">
        <v>19107691</v>
      </c>
      <c r="B1682">
        <v>10011989</v>
      </c>
      <c r="C1682">
        <v>5</v>
      </c>
      <c r="D1682">
        <v>2</v>
      </c>
      <c r="E1682">
        <v>1</v>
      </c>
      <c r="F1682">
        <v>4</v>
      </c>
      <c r="G1682">
        <v>5</v>
      </c>
      <c r="H1682" t="str">
        <f>IF(Demographics[[#This Row],[DOB]]&gt;10000000, TEXT(Demographics[[#This Row],[DOB]],0),CONCATENATE("0",TEXT(Demographics[[#This Row],[DOB]],0)))</f>
        <v>10011989</v>
      </c>
      <c r="I1682" s="4">
        <f ca="1">IFERROR((VALUE(TODAY()-DATE(RIGHT(Demographics[[#This Row],[DOB - Fixed]],4),MID(Demographics[[#This Row],[DOB - Fixed]],3,2),LEFT(Demographics[[#This Row],[DOB - Fixed]],2))))/365,0)</f>
        <v>34.682191780821917</v>
      </c>
      <c r="J1682">
        <f>VLOOKUP(Demographics[[#This Row],[INCOME LEVEL]],Income[],4,FALSE)</f>
        <v>175</v>
      </c>
      <c r="K1682">
        <f>IFERROR(Demographics[[#This Row],[Total monthly income]]/Demographics[[#This Row],[FAMILY SIZE]], 0)</f>
        <v>35</v>
      </c>
    </row>
    <row r="1683" spans="1:11" x14ac:dyDescent="0.2">
      <c r="A1683">
        <v>618414</v>
      </c>
      <c r="B1683">
        <v>6031989</v>
      </c>
      <c r="C1683">
        <v>4</v>
      </c>
      <c r="D1683">
        <v>1</v>
      </c>
      <c r="E1683">
        <v>1</v>
      </c>
      <c r="F1683">
        <v>3</v>
      </c>
      <c r="G1683">
        <v>2</v>
      </c>
      <c r="H1683" t="str">
        <f>IF(Demographics[[#This Row],[DOB]]&gt;10000000, TEXT(Demographics[[#This Row],[DOB]],0),CONCATENATE("0",TEXT(Demographics[[#This Row],[DOB]],0)))</f>
        <v>06031989</v>
      </c>
      <c r="I1683" s="4">
        <f ca="1">IFERROR((VALUE(TODAY()-DATE(RIGHT(Demographics[[#This Row],[DOB - Fixed]],4),MID(Demographics[[#This Row],[DOB - Fixed]],3,2),LEFT(Demographics[[#This Row],[DOB - Fixed]],2))))/365,0)</f>
        <v>34.531506849315072</v>
      </c>
      <c r="J1683">
        <f>VLOOKUP(Demographics[[#This Row],[INCOME LEVEL]],Income[],4,FALSE)</f>
        <v>175</v>
      </c>
      <c r="K1683">
        <f>IFERROR(Demographics[[#This Row],[Total monthly income]]/Demographics[[#This Row],[FAMILY SIZE]], 0)</f>
        <v>43.75</v>
      </c>
    </row>
    <row r="1684" spans="1:11" x14ac:dyDescent="0.2">
      <c r="A1684">
        <v>5324284</v>
      </c>
      <c r="B1684">
        <v>8031989</v>
      </c>
      <c r="C1684">
        <v>4</v>
      </c>
      <c r="D1684">
        <v>2</v>
      </c>
      <c r="E1684">
        <v>2</v>
      </c>
      <c r="F1684">
        <v>5</v>
      </c>
      <c r="G1684">
        <v>9</v>
      </c>
      <c r="H1684" t="str">
        <f>IF(Demographics[[#This Row],[DOB]]&gt;10000000, TEXT(Demographics[[#This Row],[DOB]],0),CONCATENATE("0",TEXT(Demographics[[#This Row],[DOB]],0)))</f>
        <v>08031989</v>
      </c>
      <c r="I1684" s="4">
        <f ca="1">IFERROR((VALUE(TODAY()-DATE(RIGHT(Demographics[[#This Row],[DOB - Fixed]],4),MID(Demographics[[#This Row],[DOB - Fixed]],3,2),LEFT(Demographics[[#This Row],[DOB - Fixed]],2))))/365,0)</f>
        <v>34.526027397260272</v>
      </c>
      <c r="J1684">
        <f>VLOOKUP(Demographics[[#This Row],[INCOME LEVEL]],Income[],4,FALSE)</f>
        <v>697.5</v>
      </c>
      <c r="K1684">
        <f>IFERROR(Demographics[[#This Row],[Total monthly income]]/Demographics[[#This Row],[FAMILY SIZE]], 0)</f>
        <v>174.375</v>
      </c>
    </row>
    <row r="1685" spans="1:11" x14ac:dyDescent="0.2">
      <c r="A1685">
        <v>12165711</v>
      </c>
      <c r="B1685">
        <v>11031989</v>
      </c>
      <c r="C1685">
        <v>4</v>
      </c>
      <c r="D1685">
        <v>1</v>
      </c>
      <c r="E1685">
        <v>2</v>
      </c>
      <c r="F1685">
        <v>7</v>
      </c>
      <c r="G1685">
        <v>9</v>
      </c>
      <c r="H1685" t="str">
        <f>IF(Demographics[[#This Row],[DOB]]&gt;10000000, TEXT(Demographics[[#This Row],[DOB]],0),CONCATENATE("0",TEXT(Demographics[[#This Row],[DOB]],0)))</f>
        <v>11031989</v>
      </c>
      <c r="I1685" s="4">
        <f ca="1">IFERROR((VALUE(TODAY()-DATE(RIGHT(Demographics[[#This Row],[DOB - Fixed]],4),MID(Demographics[[#This Row],[DOB - Fixed]],3,2),LEFT(Demographics[[#This Row],[DOB - Fixed]],2))))/365,0)</f>
        <v>34.517808219178079</v>
      </c>
      <c r="J1685">
        <f>VLOOKUP(Demographics[[#This Row],[INCOME LEVEL]],Income[],4,FALSE)</f>
        <v>697.5</v>
      </c>
      <c r="K1685">
        <f>IFERROR(Demographics[[#This Row],[Total monthly income]]/Demographics[[#This Row],[FAMILY SIZE]], 0)</f>
        <v>174.375</v>
      </c>
    </row>
    <row r="1686" spans="1:11" x14ac:dyDescent="0.2">
      <c r="A1686">
        <v>6494070</v>
      </c>
      <c r="B1686">
        <v>12031989</v>
      </c>
      <c r="C1686">
        <v>4</v>
      </c>
      <c r="D1686">
        <v>1</v>
      </c>
      <c r="E1686">
        <v>1</v>
      </c>
      <c r="F1686">
        <v>9</v>
      </c>
      <c r="G1686">
        <v>4</v>
      </c>
      <c r="H1686" t="str">
        <f>IF(Demographics[[#This Row],[DOB]]&gt;10000000, TEXT(Demographics[[#This Row],[DOB]],0),CONCATENATE("0",TEXT(Demographics[[#This Row],[DOB]],0)))</f>
        <v>12031989</v>
      </c>
      <c r="I1686" s="4">
        <f ca="1">IFERROR((VALUE(TODAY()-DATE(RIGHT(Demographics[[#This Row],[DOB - Fixed]],4),MID(Demographics[[#This Row],[DOB - Fixed]],3,2),LEFT(Demographics[[#This Row],[DOB - Fixed]],2))))/365,0)</f>
        <v>34.515068493150686</v>
      </c>
      <c r="J1686">
        <f>VLOOKUP(Demographics[[#This Row],[INCOME LEVEL]],Income[],4,FALSE)</f>
        <v>175</v>
      </c>
      <c r="K1686">
        <f>IFERROR(Demographics[[#This Row],[Total monthly income]]/Demographics[[#This Row],[FAMILY SIZE]], 0)</f>
        <v>43.75</v>
      </c>
    </row>
    <row r="1687" spans="1:11" x14ac:dyDescent="0.2">
      <c r="A1687">
        <v>22846919</v>
      </c>
      <c r="B1687">
        <v>7071988</v>
      </c>
      <c r="C1687">
        <v>7</v>
      </c>
      <c r="D1687">
        <v>0</v>
      </c>
      <c r="E1687">
        <v>1</v>
      </c>
      <c r="F1687">
        <v>0</v>
      </c>
      <c r="G1687">
        <v>0</v>
      </c>
      <c r="H1687" t="str">
        <f>IF(Demographics[[#This Row],[DOB]]&gt;10000000, TEXT(Demographics[[#This Row],[DOB]],0),CONCATENATE("0",TEXT(Demographics[[#This Row],[DOB]],0)))</f>
        <v>07071988</v>
      </c>
      <c r="I1687" s="4">
        <f ca="1">IFERROR((VALUE(TODAY()-DATE(RIGHT(Demographics[[#This Row],[DOB - Fixed]],4),MID(Demographics[[#This Row],[DOB - Fixed]],3,2),LEFT(Demographics[[#This Row],[DOB - Fixed]],2))))/365,0)</f>
        <v>35.194520547945203</v>
      </c>
      <c r="J1687">
        <f>VLOOKUP(Demographics[[#This Row],[INCOME LEVEL]],Income[],4,FALSE)</f>
        <v>175</v>
      </c>
      <c r="K1687">
        <f>IFERROR(Demographics[[#This Row],[Total monthly income]]/Demographics[[#This Row],[FAMILY SIZE]], 0)</f>
        <v>25</v>
      </c>
    </row>
    <row r="1688" spans="1:11" x14ac:dyDescent="0.2">
      <c r="A1688">
        <v>21778560</v>
      </c>
      <c r="B1688">
        <v>14031989</v>
      </c>
      <c r="C1688">
        <v>3</v>
      </c>
      <c r="D1688">
        <v>1</v>
      </c>
      <c r="E1688">
        <v>1</v>
      </c>
      <c r="F1688">
        <v>5</v>
      </c>
      <c r="G1688">
        <v>10</v>
      </c>
      <c r="H1688" t="str">
        <f>IF(Demographics[[#This Row],[DOB]]&gt;10000000, TEXT(Demographics[[#This Row],[DOB]],0),CONCATENATE("0",TEXT(Demographics[[#This Row],[DOB]],0)))</f>
        <v>14031989</v>
      </c>
      <c r="I1688" s="4">
        <f ca="1">IFERROR((VALUE(TODAY()-DATE(RIGHT(Demographics[[#This Row],[DOB - Fixed]],4),MID(Demographics[[#This Row],[DOB - Fixed]],3,2),LEFT(Demographics[[#This Row],[DOB - Fixed]],2))))/365,0)</f>
        <v>34.509589041095893</v>
      </c>
      <c r="J1688">
        <f>VLOOKUP(Demographics[[#This Row],[INCOME LEVEL]],Income[],4,FALSE)</f>
        <v>175</v>
      </c>
      <c r="K1688">
        <f>IFERROR(Demographics[[#This Row],[Total monthly income]]/Demographics[[#This Row],[FAMILY SIZE]], 0)</f>
        <v>58.333333333333336</v>
      </c>
    </row>
    <row r="1689" spans="1:11" x14ac:dyDescent="0.2">
      <c r="A1689">
        <v>22948115</v>
      </c>
      <c r="B1689">
        <v>12031989</v>
      </c>
      <c r="C1689">
        <v>4</v>
      </c>
      <c r="D1689">
        <v>1</v>
      </c>
      <c r="E1689">
        <v>2</v>
      </c>
      <c r="F1689">
        <v>5</v>
      </c>
      <c r="G1689">
        <v>3</v>
      </c>
      <c r="H1689" t="str">
        <f>IF(Demographics[[#This Row],[DOB]]&gt;10000000, TEXT(Demographics[[#This Row],[DOB]],0),CONCATENATE("0",TEXT(Demographics[[#This Row],[DOB]],0)))</f>
        <v>12031989</v>
      </c>
      <c r="I1689" s="4">
        <f ca="1">IFERROR((VALUE(TODAY()-DATE(RIGHT(Demographics[[#This Row],[DOB - Fixed]],4),MID(Demographics[[#This Row],[DOB - Fixed]],3,2),LEFT(Demographics[[#This Row],[DOB - Fixed]],2))))/365,0)</f>
        <v>34.515068493150686</v>
      </c>
      <c r="J1689">
        <f>VLOOKUP(Demographics[[#This Row],[INCOME LEVEL]],Income[],4,FALSE)</f>
        <v>697.5</v>
      </c>
      <c r="K1689">
        <f>IFERROR(Demographics[[#This Row],[Total monthly income]]/Demographics[[#This Row],[FAMILY SIZE]], 0)</f>
        <v>174.375</v>
      </c>
    </row>
    <row r="1690" spans="1:11" x14ac:dyDescent="0.2">
      <c r="A1690">
        <v>11631696</v>
      </c>
      <c r="B1690">
        <v>11031989</v>
      </c>
      <c r="C1690">
        <v>8</v>
      </c>
      <c r="D1690">
        <v>1</v>
      </c>
      <c r="E1690">
        <v>1</v>
      </c>
      <c r="F1690">
        <v>5</v>
      </c>
      <c r="G1690">
        <v>5</v>
      </c>
      <c r="H1690" t="str">
        <f>IF(Demographics[[#This Row],[DOB]]&gt;10000000, TEXT(Demographics[[#This Row],[DOB]],0),CONCATENATE("0",TEXT(Demographics[[#This Row],[DOB]],0)))</f>
        <v>11031989</v>
      </c>
      <c r="I1690" s="4">
        <f ca="1">IFERROR((VALUE(TODAY()-DATE(RIGHT(Demographics[[#This Row],[DOB - Fixed]],4),MID(Demographics[[#This Row],[DOB - Fixed]],3,2),LEFT(Demographics[[#This Row],[DOB - Fixed]],2))))/365,0)</f>
        <v>34.517808219178079</v>
      </c>
      <c r="J1690">
        <f>VLOOKUP(Demographics[[#This Row],[INCOME LEVEL]],Income[],4,FALSE)</f>
        <v>175</v>
      </c>
      <c r="K1690">
        <f>IFERROR(Demographics[[#This Row],[Total monthly income]]/Demographics[[#This Row],[FAMILY SIZE]], 0)</f>
        <v>21.875</v>
      </c>
    </row>
    <row r="1691" spans="1:11" x14ac:dyDescent="0.2">
      <c r="A1691">
        <v>16640673</v>
      </c>
      <c r="B1691">
        <v>10031989</v>
      </c>
      <c r="C1691">
        <v>2</v>
      </c>
      <c r="D1691">
        <v>0</v>
      </c>
      <c r="E1691">
        <v>1</v>
      </c>
      <c r="F1691">
        <v>2</v>
      </c>
      <c r="G1691">
        <v>8</v>
      </c>
      <c r="H1691" t="str">
        <f>IF(Demographics[[#This Row],[DOB]]&gt;10000000, TEXT(Demographics[[#This Row],[DOB]],0),CONCATENATE("0",TEXT(Demographics[[#This Row],[DOB]],0)))</f>
        <v>10031989</v>
      </c>
      <c r="I1691" s="4">
        <f ca="1">IFERROR((VALUE(TODAY()-DATE(RIGHT(Demographics[[#This Row],[DOB - Fixed]],4),MID(Demographics[[#This Row],[DOB - Fixed]],3,2),LEFT(Demographics[[#This Row],[DOB - Fixed]],2))))/365,0)</f>
        <v>34.520547945205479</v>
      </c>
      <c r="J1691">
        <f>VLOOKUP(Demographics[[#This Row],[INCOME LEVEL]],Income[],4,FALSE)</f>
        <v>175</v>
      </c>
      <c r="K1691">
        <f>IFERROR(Demographics[[#This Row],[Total monthly income]]/Demographics[[#This Row],[FAMILY SIZE]], 0)</f>
        <v>87.5</v>
      </c>
    </row>
    <row r="1692" spans="1:11" x14ac:dyDescent="0.2">
      <c r="A1692">
        <v>13436455</v>
      </c>
      <c r="B1692">
        <v>7031989</v>
      </c>
      <c r="C1692">
        <v>5</v>
      </c>
      <c r="D1692">
        <v>2</v>
      </c>
      <c r="E1692">
        <v>2</v>
      </c>
      <c r="F1692">
        <v>5</v>
      </c>
      <c r="G1692">
        <v>5</v>
      </c>
      <c r="H1692" t="str">
        <f>IF(Demographics[[#This Row],[DOB]]&gt;10000000, TEXT(Demographics[[#This Row],[DOB]],0),CONCATENATE("0",TEXT(Demographics[[#This Row],[DOB]],0)))</f>
        <v>07031989</v>
      </c>
      <c r="I1692" s="4">
        <f ca="1">IFERROR((VALUE(TODAY()-DATE(RIGHT(Demographics[[#This Row],[DOB - Fixed]],4),MID(Demographics[[#This Row],[DOB - Fixed]],3,2),LEFT(Demographics[[#This Row],[DOB - Fixed]],2))))/365,0)</f>
        <v>34.528767123287672</v>
      </c>
      <c r="J1692">
        <f>VLOOKUP(Demographics[[#This Row],[INCOME LEVEL]],Income[],4,FALSE)</f>
        <v>697.5</v>
      </c>
      <c r="K1692">
        <f>IFERROR(Demographics[[#This Row],[Total monthly income]]/Demographics[[#This Row],[FAMILY SIZE]], 0)</f>
        <v>139.5</v>
      </c>
    </row>
    <row r="1693" spans="1:11" x14ac:dyDescent="0.2">
      <c r="A1693">
        <v>14403103</v>
      </c>
      <c r="B1693">
        <v>15031989</v>
      </c>
      <c r="C1693">
        <v>6</v>
      </c>
      <c r="D1693">
        <v>2</v>
      </c>
      <c r="E1693">
        <v>1</v>
      </c>
      <c r="F1693">
        <v>5</v>
      </c>
      <c r="G1693">
        <v>5</v>
      </c>
      <c r="H1693" t="str">
        <f>IF(Demographics[[#This Row],[DOB]]&gt;10000000, TEXT(Demographics[[#This Row],[DOB]],0),CONCATENATE("0",TEXT(Demographics[[#This Row],[DOB]],0)))</f>
        <v>15031989</v>
      </c>
      <c r="I1693" s="4">
        <f ca="1">IFERROR((VALUE(TODAY()-DATE(RIGHT(Demographics[[#This Row],[DOB - Fixed]],4),MID(Demographics[[#This Row],[DOB - Fixed]],3,2),LEFT(Demographics[[#This Row],[DOB - Fixed]],2))))/365,0)</f>
        <v>34.506849315068493</v>
      </c>
      <c r="J1693">
        <f>VLOOKUP(Demographics[[#This Row],[INCOME LEVEL]],Income[],4,FALSE)</f>
        <v>175</v>
      </c>
      <c r="K1693">
        <f>IFERROR(Demographics[[#This Row],[Total monthly income]]/Demographics[[#This Row],[FAMILY SIZE]], 0)</f>
        <v>29.166666666666668</v>
      </c>
    </row>
    <row r="1694" spans="1:11" x14ac:dyDescent="0.2">
      <c r="A1694">
        <v>8095918</v>
      </c>
      <c r="B1694">
        <v>18031989</v>
      </c>
      <c r="C1694">
        <v>2</v>
      </c>
      <c r="D1694">
        <v>0</v>
      </c>
      <c r="E1694">
        <v>1</v>
      </c>
      <c r="F1694">
        <v>5</v>
      </c>
      <c r="G1694">
        <v>5</v>
      </c>
      <c r="H1694" t="str">
        <f>IF(Demographics[[#This Row],[DOB]]&gt;10000000, TEXT(Demographics[[#This Row],[DOB]],0),CONCATENATE("0",TEXT(Demographics[[#This Row],[DOB]],0)))</f>
        <v>18031989</v>
      </c>
      <c r="I1694" s="4">
        <f ca="1">IFERROR((VALUE(TODAY()-DATE(RIGHT(Demographics[[#This Row],[DOB - Fixed]],4),MID(Demographics[[#This Row],[DOB - Fixed]],3,2),LEFT(Demographics[[#This Row],[DOB - Fixed]],2))))/365,0)</f>
        <v>34.4986301369863</v>
      </c>
      <c r="J1694">
        <f>VLOOKUP(Demographics[[#This Row],[INCOME LEVEL]],Income[],4,FALSE)</f>
        <v>175</v>
      </c>
      <c r="K1694">
        <f>IFERROR(Demographics[[#This Row],[Total monthly income]]/Demographics[[#This Row],[FAMILY SIZE]], 0)</f>
        <v>87.5</v>
      </c>
    </row>
    <row r="1695" spans="1:11" x14ac:dyDescent="0.2">
      <c r="A1695">
        <v>9698226</v>
      </c>
      <c r="B1695">
        <v>15031989</v>
      </c>
      <c r="C1695">
        <v>4</v>
      </c>
      <c r="D1695">
        <v>2</v>
      </c>
      <c r="E1695">
        <v>1</v>
      </c>
      <c r="F1695">
        <v>4</v>
      </c>
      <c r="G1695">
        <v>3</v>
      </c>
      <c r="H1695" t="str">
        <f>IF(Demographics[[#This Row],[DOB]]&gt;10000000, TEXT(Demographics[[#This Row],[DOB]],0),CONCATENATE("0",TEXT(Demographics[[#This Row],[DOB]],0)))</f>
        <v>15031989</v>
      </c>
      <c r="I1695" s="4">
        <f ca="1">IFERROR((VALUE(TODAY()-DATE(RIGHT(Demographics[[#This Row],[DOB - Fixed]],4),MID(Demographics[[#This Row],[DOB - Fixed]],3,2),LEFT(Demographics[[#This Row],[DOB - Fixed]],2))))/365,0)</f>
        <v>34.506849315068493</v>
      </c>
      <c r="J1695">
        <f>VLOOKUP(Demographics[[#This Row],[INCOME LEVEL]],Income[],4,FALSE)</f>
        <v>175</v>
      </c>
      <c r="K1695">
        <f>IFERROR(Demographics[[#This Row],[Total monthly income]]/Demographics[[#This Row],[FAMILY SIZE]], 0)</f>
        <v>43.75</v>
      </c>
    </row>
    <row r="1696" spans="1:11" x14ac:dyDescent="0.2">
      <c r="A1696">
        <v>3289661</v>
      </c>
      <c r="B1696">
        <v>21031989</v>
      </c>
      <c r="C1696">
        <v>5</v>
      </c>
      <c r="D1696">
        <v>1</v>
      </c>
      <c r="E1696">
        <v>1</v>
      </c>
      <c r="F1696">
        <v>0</v>
      </c>
      <c r="G1696">
        <v>9</v>
      </c>
      <c r="H1696" t="str">
        <f>IF(Demographics[[#This Row],[DOB]]&gt;10000000, TEXT(Demographics[[#This Row],[DOB]],0),CONCATENATE("0",TEXT(Demographics[[#This Row],[DOB]],0)))</f>
        <v>21031989</v>
      </c>
      <c r="I1696" s="4">
        <f ca="1">IFERROR((VALUE(TODAY()-DATE(RIGHT(Demographics[[#This Row],[DOB - Fixed]],4),MID(Demographics[[#This Row],[DOB - Fixed]],3,2),LEFT(Demographics[[#This Row],[DOB - Fixed]],2))))/365,0)</f>
        <v>34.490410958904107</v>
      </c>
      <c r="J1696">
        <f>VLOOKUP(Demographics[[#This Row],[INCOME LEVEL]],Income[],4,FALSE)</f>
        <v>175</v>
      </c>
      <c r="K1696">
        <f>IFERROR(Demographics[[#This Row],[Total monthly income]]/Demographics[[#This Row],[FAMILY SIZE]], 0)</f>
        <v>35</v>
      </c>
    </row>
    <row r="1697" spans="1:11" x14ac:dyDescent="0.2">
      <c r="A1697">
        <v>11097594</v>
      </c>
      <c r="B1697">
        <v>20031989</v>
      </c>
      <c r="C1697">
        <v>5</v>
      </c>
      <c r="D1697">
        <v>2</v>
      </c>
      <c r="E1697">
        <v>3</v>
      </c>
      <c r="F1697">
        <v>9</v>
      </c>
      <c r="G1697">
        <v>9</v>
      </c>
      <c r="H1697" t="str">
        <f>IF(Demographics[[#This Row],[DOB]]&gt;10000000, TEXT(Demographics[[#This Row],[DOB]],0),CONCATENATE("0",TEXT(Demographics[[#This Row],[DOB]],0)))</f>
        <v>20031989</v>
      </c>
      <c r="I1697" s="4">
        <f ca="1">IFERROR((VALUE(TODAY()-DATE(RIGHT(Demographics[[#This Row],[DOB - Fixed]],4),MID(Demographics[[#This Row],[DOB - Fixed]],3,2),LEFT(Demographics[[#This Row],[DOB - Fixed]],2))))/365,0)</f>
        <v>34.493150684931507</v>
      </c>
      <c r="J1697">
        <f>VLOOKUP(Demographics[[#This Row],[INCOME LEVEL]],Income[],4,FALSE)</f>
        <v>1397.5</v>
      </c>
      <c r="K1697">
        <f>IFERROR(Demographics[[#This Row],[Total monthly income]]/Demographics[[#This Row],[FAMILY SIZE]], 0)</f>
        <v>279.5</v>
      </c>
    </row>
    <row r="1698" spans="1:11" x14ac:dyDescent="0.2">
      <c r="A1698">
        <v>16004525</v>
      </c>
      <c r="B1698">
        <v>5011989</v>
      </c>
      <c r="C1698">
        <v>5</v>
      </c>
      <c r="D1698">
        <v>0</v>
      </c>
      <c r="E1698">
        <v>1</v>
      </c>
      <c r="F1698">
        <v>8</v>
      </c>
      <c r="G1698">
        <v>3</v>
      </c>
      <c r="H1698" t="str">
        <f>IF(Demographics[[#This Row],[DOB]]&gt;10000000, TEXT(Demographics[[#This Row],[DOB]],0),CONCATENATE("0",TEXT(Demographics[[#This Row],[DOB]],0)))</f>
        <v>05011989</v>
      </c>
      <c r="I1698" s="4">
        <f ca="1">IFERROR((VALUE(TODAY()-DATE(RIGHT(Demographics[[#This Row],[DOB - Fixed]],4),MID(Demographics[[#This Row],[DOB - Fixed]],3,2),LEFT(Demographics[[#This Row],[DOB - Fixed]],2))))/365,0)</f>
        <v>34.695890410958903</v>
      </c>
      <c r="J1698">
        <f>VLOOKUP(Demographics[[#This Row],[INCOME LEVEL]],Income[],4,FALSE)</f>
        <v>175</v>
      </c>
      <c r="K1698">
        <f>IFERROR(Demographics[[#This Row],[Total monthly income]]/Demographics[[#This Row],[FAMILY SIZE]], 0)</f>
        <v>35</v>
      </c>
    </row>
    <row r="1699" spans="1:11" x14ac:dyDescent="0.2">
      <c r="A1699">
        <v>20811869</v>
      </c>
      <c r="B1699">
        <v>28031989</v>
      </c>
      <c r="C1699">
        <v>7</v>
      </c>
      <c r="D1699">
        <v>2</v>
      </c>
      <c r="E1699">
        <v>2</v>
      </c>
      <c r="F1699">
        <v>5</v>
      </c>
      <c r="G1699">
        <v>5</v>
      </c>
      <c r="H1699" t="str">
        <f>IF(Demographics[[#This Row],[DOB]]&gt;10000000, TEXT(Demographics[[#This Row],[DOB]],0),CONCATENATE("0",TEXT(Demographics[[#This Row],[DOB]],0)))</f>
        <v>28031989</v>
      </c>
      <c r="I1699" s="4">
        <f ca="1">IFERROR((VALUE(TODAY()-DATE(RIGHT(Demographics[[#This Row],[DOB - Fixed]],4),MID(Demographics[[#This Row],[DOB - Fixed]],3,2),LEFT(Demographics[[#This Row],[DOB - Fixed]],2))))/365,0)</f>
        <v>34.471232876712328</v>
      </c>
      <c r="J1699">
        <f>VLOOKUP(Demographics[[#This Row],[INCOME LEVEL]],Income[],4,FALSE)</f>
        <v>697.5</v>
      </c>
      <c r="K1699">
        <f>IFERROR(Demographics[[#This Row],[Total monthly income]]/Demographics[[#This Row],[FAMILY SIZE]], 0)</f>
        <v>99.642857142857139</v>
      </c>
    </row>
    <row r="1700" spans="1:11" x14ac:dyDescent="0.2">
      <c r="A1700">
        <v>23380597</v>
      </c>
      <c r="B1700">
        <v>27021989</v>
      </c>
      <c r="C1700">
        <v>6</v>
      </c>
      <c r="D1700">
        <v>2</v>
      </c>
      <c r="E1700">
        <v>1</v>
      </c>
      <c r="F1700">
        <v>7</v>
      </c>
      <c r="G1700">
        <v>7</v>
      </c>
      <c r="H1700" t="str">
        <f>IF(Demographics[[#This Row],[DOB]]&gt;10000000, TEXT(Demographics[[#This Row],[DOB]],0),CONCATENATE("0",TEXT(Demographics[[#This Row],[DOB]],0)))</f>
        <v>27021989</v>
      </c>
      <c r="I1700" s="4">
        <f ca="1">IFERROR((VALUE(TODAY()-DATE(RIGHT(Demographics[[#This Row],[DOB - Fixed]],4),MID(Demographics[[#This Row],[DOB - Fixed]],3,2),LEFT(Demographics[[#This Row],[DOB - Fixed]],2))))/365,0)</f>
        <v>34.550684931506851</v>
      </c>
      <c r="J1700">
        <f>VLOOKUP(Demographics[[#This Row],[INCOME LEVEL]],Income[],4,FALSE)</f>
        <v>175</v>
      </c>
      <c r="K1700">
        <f>IFERROR(Demographics[[#This Row],[Total monthly income]]/Demographics[[#This Row],[FAMILY SIZE]], 0)</f>
        <v>29.166666666666668</v>
      </c>
    </row>
    <row r="1701" spans="1:11" x14ac:dyDescent="0.2">
      <c r="A1701">
        <v>15038678</v>
      </c>
      <c r="B1701">
        <v>2041989</v>
      </c>
      <c r="C1701">
        <v>4</v>
      </c>
      <c r="D1701">
        <v>1</v>
      </c>
      <c r="E1701">
        <v>2</v>
      </c>
      <c r="F1701">
        <v>5</v>
      </c>
      <c r="G1701">
        <v>5</v>
      </c>
      <c r="H1701" t="str">
        <f>IF(Demographics[[#This Row],[DOB]]&gt;10000000, TEXT(Demographics[[#This Row],[DOB]],0),CONCATENATE("0",TEXT(Demographics[[#This Row],[DOB]],0)))</f>
        <v>02041989</v>
      </c>
      <c r="I1701" s="4">
        <f ca="1">IFERROR((VALUE(TODAY()-DATE(RIGHT(Demographics[[#This Row],[DOB - Fixed]],4),MID(Demographics[[#This Row],[DOB - Fixed]],3,2),LEFT(Demographics[[#This Row],[DOB - Fixed]],2))))/365,0)</f>
        <v>34.457534246575342</v>
      </c>
      <c r="J1701">
        <f>VLOOKUP(Demographics[[#This Row],[INCOME LEVEL]],Income[],4,FALSE)</f>
        <v>697.5</v>
      </c>
      <c r="K1701">
        <f>IFERROR(Demographics[[#This Row],[Total monthly income]]/Demographics[[#This Row],[FAMILY SIZE]], 0)</f>
        <v>174.375</v>
      </c>
    </row>
    <row r="1702" spans="1:11" x14ac:dyDescent="0.2">
      <c r="A1702">
        <v>19845675</v>
      </c>
      <c r="B1702">
        <v>1041989</v>
      </c>
      <c r="C1702">
        <v>4</v>
      </c>
      <c r="D1702">
        <v>1</v>
      </c>
      <c r="E1702">
        <v>1</v>
      </c>
      <c r="F1702">
        <v>5</v>
      </c>
      <c r="G1702">
        <v>5</v>
      </c>
      <c r="H1702" t="str">
        <f>IF(Demographics[[#This Row],[DOB]]&gt;10000000, TEXT(Demographics[[#This Row],[DOB]],0),CONCATENATE("0",TEXT(Demographics[[#This Row],[DOB]],0)))</f>
        <v>01041989</v>
      </c>
      <c r="I1702" s="4">
        <f ca="1">IFERROR((VALUE(TODAY()-DATE(RIGHT(Demographics[[#This Row],[DOB - Fixed]],4),MID(Demographics[[#This Row],[DOB - Fixed]],3,2),LEFT(Demographics[[#This Row],[DOB - Fixed]],2))))/365,0)</f>
        <v>34.460273972602742</v>
      </c>
      <c r="J1702">
        <f>VLOOKUP(Demographics[[#This Row],[INCOME LEVEL]],Income[],4,FALSE)</f>
        <v>175</v>
      </c>
      <c r="K1702">
        <f>IFERROR(Demographics[[#This Row],[Total monthly income]]/Demographics[[#This Row],[FAMILY SIZE]], 0)</f>
        <v>43.75</v>
      </c>
    </row>
    <row r="1703" spans="1:11" x14ac:dyDescent="0.2">
      <c r="A1703">
        <v>18776677</v>
      </c>
      <c r="B1703">
        <v>30031989</v>
      </c>
      <c r="C1703">
        <v>3</v>
      </c>
      <c r="D1703">
        <v>0</v>
      </c>
      <c r="E1703">
        <v>1</v>
      </c>
      <c r="F1703">
        <v>5</v>
      </c>
      <c r="G1703">
        <v>4</v>
      </c>
      <c r="H1703" t="str">
        <f>IF(Demographics[[#This Row],[DOB]]&gt;10000000, TEXT(Demographics[[#This Row],[DOB]],0),CONCATENATE("0",TEXT(Demographics[[#This Row],[DOB]],0)))</f>
        <v>30031989</v>
      </c>
      <c r="I1703" s="4">
        <f ca="1">IFERROR((VALUE(TODAY()-DATE(RIGHT(Demographics[[#This Row],[DOB - Fixed]],4),MID(Demographics[[#This Row],[DOB - Fixed]],3,2),LEFT(Demographics[[#This Row],[DOB - Fixed]],2))))/365,0)</f>
        <v>34.465753424657535</v>
      </c>
      <c r="J1703">
        <f>VLOOKUP(Demographics[[#This Row],[INCOME LEVEL]],Income[],4,FALSE)</f>
        <v>175</v>
      </c>
      <c r="K1703">
        <f>IFERROR(Demographics[[#This Row],[Total monthly income]]/Demographics[[#This Row],[FAMILY SIZE]], 0)</f>
        <v>58.333333333333336</v>
      </c>
    </row>
    <row r="1704" spans="1:11" x14ac:dyDescent="0.2">
      <c r="A1704">
        <v>5324283</v>
      </c>
      <c r="B1704">
        <v>31031989</v>
      </c>
      <c r="C1704">
        <v>5</v>
      </c>
      <c r="D1704">
        <v>0</v>
      </c>
      <c r="E1704">
        <v>1</v>
      </c>
      <c r="F1704">
        <v>8</v>
      </c>
      <c r="G1704">
        <v>5</v>
      </c>
      <c r="H1704" t="str">
        <f>IF(Demographics[[#This Row],[DOB]]&gt;10000000, TEXT(Demographics[[#This Row],[DOB]],0),CONCATENATE("0",TEXT(Demographics[[#This Row],[DOB]],0)))</f>
        <v>31031989</v>
      </c>
      <c r="I1704" s="4">
        <f ca="1">IFERROR((VALUE(TODAY()-DATE(RIGHT(Demographics[[#This Row],[DOB - Fixed]],4),MID(Demographics[[#This Row],[DOB - Fixed]],3,2),LEFT(Demographics[[#This Row],[DOB - Fixed]],2))))/365,0)</f>
        <v>34.463013698630135</v>
      </c>
      <c r="J1704">
        <f>VLOOKUP(Demographics[[#This Row],[INCOME LEVEL]],Income[],4,FALSE)</f>
        <v>175</v>
      </c>
      <c r="K1704">
        <f>IFERROR(Demographics[[#This Row],[Total monthly income]]/Demographics[[#This Row],[FAMILY SIZE]], 0)</f>
        <v>35</v>
      </c>
    </row>
    <row r="1705" spans="1:11" x14ac:dyDescent="0.2">
      <c r="A1705">
        <v>14835583</v>
      </c>
      <c r="B1705">
        <v>31011989</v>
      </c>
      <c r="C1705">
        <v>6</v>
      </c>
      <c r="D1705">
        <v>1</v>
      </c>
      <c r="E1705">
        <v>1</v>
      </c>
      <c r="F1705">
        <v>5</v>
      </c>
      <c r="G1705">
        <v>2</v>
      </c>
      <c r="H1705" t="str">
        <f>IF(Demographics[[#This Row],[DOB]]&gt;10000000, TEXT(Demographics[[#This Row],[DOB]],0),CONCATENATE("0",TEXT(Demographics[[#This Row],[DOB]],0)))</f>
        <v>31011989</v>
      </c>
      <c r="I1705" s="4">
        <f ca="1">IFERROR((VALUE(TODAY()-DATE(RIGHT(Demographics[[#This Row],[DOB - Fixed]],4),MID(Demographics[[#This Row],[DOB - Fixed]],3,2),LEFT(Demographics[[#This Row],[DOB - Fixed]],2))))/365,0)</f>
        <v>34.624657534246573</v>
      </c>
      <c r="J1705">
        <f>VLOOKUP(Demographics[[#This Row],[INCOME LEVEL]],Income[],4,FALSE)</f>
        <v>175</v>
      </c>
      <c r="K1705">
        <f>IFERROR(Demographics[[#This Row],[Total monthly income]]/Demographics[[#This Row],[FAMILY SIZE]], 0)</f>
        <v>29.166666666666668</v>
      </c>
    </row>
    <row r="1706" spans="1:11" x14ac:dyDescent="0.2">
      <c r="A1706">
        <v>10232105</v>
      </c>
      <c r="B1706">
        <v>16031989</v>
      </c>
      <c r="C1706">
        <v>4</v>
      </c>
      <c r="D1706">
        <v>1</v>
      </c>
      <c r="E1706">
        <v>1</v>
      </c>
      <c r="F1706">
        <v>2</v>
      </c>
      <c r="G1706">
        <v>3</v>
      </c>
      <c r="H1706" t="str">
        <f>IF(Demographics[[#This Row],[DOB]]&gt;10000000, TEXT(Demographics[[#This Row],[DOB]],0),CONCATENATE("0",TEXT(Demographics[[#This Row],[DOB]],0)))</f>
        <v>16031989</v>
      </c>
      <c r="I1706" s="4">
        <f ca="1">IFERROR((VALUE(TODAY()-DATE(RIGHT(Demographics[[#This Row],[DOB - Fixed]],4),MID(Demographics[[#This Row],[DOB - Fixed]],3,2),LEFT(Demographics[[#This Row],[DOB - Fixed]],2))))/365,0)</f>
        <v>34.504109589041093</v>
      </c>
      <c r="J1706">
        <f>VLOOKUP(Demographics[[#This Row],[INCOME LEVEL]],Income[],4,FALSE)</f>
        <v>175</v>
      </c>
      <c r="K1706">
        <f>IFERROR(Demographics[[#This Row],[Total monthly income]]/Demographics[[#This Row],[FAMILY SIZE]], 0)</f>
        <v>43.75</v>
      </c>
    </row>
    <row r="1707" spans="1:11" x14ac:dyDescent="0.2">
      <c r="A1707">
        <v>10563206</v>
      </c>
      <c r="B1707">
        <v>1041989</v>
      </c>
      <c r="C1707">
        <v>5</v>
      </c>
      <c r="D1707">
        <v>1</v>
      </c>
      <c r="E1707">
        <v>1</v>
      </c>
      <c r="F1707">
        <v>5</v>
      </c>
      <c r="G1707">
        <v>4</v>
      </c>
      <c r="H1707" t="str">
        <f>IF(Demographics[[#This Row],[DOB]]&gt;10000000, TEXT(Demographics[[#This Row],[DOB]],0),CONCATENATE("0",TEXT(Demographics[[#This Row],[DOB]],0)))</f>
        <v>01041989</v>
      </c>
      <c r="I1707" s="4">
        <f ca="1">IFERROR((VALUE(TODAY()-DATE(RIGHT(Demographics[[#This Row],[DOB - Fixed]],4),MID(Demographics[[#This Row],[DOB - Fixed]],3,2),LEFT(Demographics[[#This Row],[DOB - Fixed]],2))))/365,0)</f>
        <v>34.460273972602742</v>
      </c>
      <c r="J1707">
        <f>VLOOKUP(Demographics[[#This Row],[INCOME LEVEL]],Income[],4,FALSE)</f>
        <v>175</v>
      </c>
      <c r="K1707">
        <f>IFERROR(Demographics[[#This Row],[Total monthly income]]/Demographics[[#This Row],[FAMILY SIZE]], 0)</f>
        <v>35</v>
      </c>
    </row>
    <row r="1708" spans="1:11" x14ac:dyDescent="0.2">
      <c r="A1708">
        <v>8427200</v>
      </c>
      <c r="B1708">
        <v>15031989</v>
      </c>
      <c r="C1708">
        <v>7</v>
      </c>
      <c r="D1708">
        <v>1</v>
      </c>
      <c r="E1708">
        <v>1</v>
      </c>
      <c r="F1708">
        <v>3</v>
      </c>
      <c r="G1708">
        <v>3</v>
      </c>
      <c r="H1708" t="str">
        <f>IF(Demographics[[#This Row],[DOB]]&gt;10000000, TEXT(Demographics[[#This Row],[DOB]],0),CONCATENATE("0",TEXT(Demographics[[#This Row],[DOB]],0)))</f>
        <v>15031989</v>
      </c>
      <c r="I1708" s="4">
        <f ca="1">IFERROR((VALUE(TODAY()-DATE(RIGHT(Demographics[[#This Row],[DOB - Fixed]],4),MID(Demographics[[#This Row],[DOB - Fixed]],3,2),LEFT(Demographics[[#This Row],[DOB - Fixed]],2))))/365,0)</f>
        <v>34.506849315068493</v>
      </c>
      <c r="J1708">
        <f>VLOOKUP(Demographics[[#This Row],[INCOME LEVEL]],Income[],4,FALSE)</f>
        <v>175</v>
      </c>
      <c r="K1708">
        <f>IFERROR(Demographics[[#This Row],[Total monthly income]]/Demographics[[#This Row],[FAMILY SIZE]], 0)</f>
        <v>25</v>
      </c>
    </row>
    <row r="1709" spans="1:11" x14ac:dyDescent="0.2">
      <c r="A1709">
        <v>4155043</v>
      </c>
      <c r="B1709">
        <v>17021989</v>
      </c>
      <c r="C1709">
        <v>4</v>
      </c>
      <c r="D1709">
        <v>1</v>
      </c>
      <c r="E1709">
        <v>2</v>
      </c>
      <c r="F1709">
        <v>5</v>
      </c>
      <c r="G1709">
        <v>8</v>
      </c>
      <c r="H1709" t="str">
        <f>IF(Demographics[[#This Row],[DOB]]&gt;10000000, TEXT(Demographics[[#This Row],[DOB]],0),CONCATENATE("0",TEXT(Demographics[[#This Row],[DOB]],0)))</f>
        <v>17021989</v>
      </c>
      <c r="I1709" s="4">
        <f ca="1">IFERROR((VALUE(TODAY()-DATE(RIGHT(Demographics[[#This Row],[DOB - Fixed]],4),MID(Demographics[[#This Row],[DOB - Fixed]],3,2),LEFT(Demographics[[#This Row],[DOB - Fixed]],2))))/365,0)</f>
        <v>34.578082191780823</v>
      </c>
      <c r="J1709">
        <f>VLOOKUP(Demographics[[#This Row],[INCOME LEVEL]],Income[],4,FALSE)</f>
        <v>697.5</v>
      </c>
      <c r="K1709">
        <f>IFERROR(Demographics[[#This Row],[Total monthly income]]/Demographics[[#This Row],[FAMILY SIZE]], 0)</f>
        <v>174.375</v>
      </c>
    </row>
    <row r="1710" spans="1:11" x14ac:dyDescent="0.2">
      <c r="A1710">
        <v>18674785</v>
      </c>
      <c r="B1710">
        <v>1041989</v>
      </c>
      <c r="C1710">
        <v>3</v>
      </c>
      <c r="D1710">
        <v>1</v>
      </c>
      <c r="E1710">
        <v>1</v>
      </c>
      <c r="F1710">
        <v>5</v>
      </c>
      <c r="G1710">
        <v>5</v>
      </c>
      <c r="H1710" t="str">
        <f>IF(Demographics[[#This Row],[DOB]]&gt;10000000, TEXT(Demographics[[#This Row],[DOB]],0),CONCATENATE("0",TEXT(Demographics[[#This Row],[DOB]],0)))</f>
        <v>01041989</v>
      </c>
      <c r="I1710" s="4">
        <f ca="1">IFERROR((VALUE(TODAY()-DATE(RIGHT(Demographics[[#This Row],[DOB - Fixed]],4),MID(Demographics[[#This Row],[DOB - Fixed]],3,2),LEFT(Demographics[[#This Row],[DOB - Fixed]],2))))/365,0)</f>
        <v>34.460273972602742</v>
      </c>
      <c r="J1710">
        <f>VLOOKUP(Demographics[[#This Row],[INCOME LEVEL]],Income[],4,FALSE)</f>
        <v>175</v>
      </c>
      <c r="K1710">
        <f>IFERROR(Demographics[[#This Row],[Total monthly income]]/Demographics[[#This Row],[FAMILY SIZE]], 0)</f>
        <v>58.333333333333336</v>
      </c>
    </row>
    <row r="1711" spans="1:11" x14ac:dyDescent="0.2">
      <c r="A1711">
        <v>14301674</v>
      </c>
      <c r="B1711">
        <v>15111988</v>
      </c>
      <c r="C1711">
        <v>5</v>
      </c>
      <c r="D1711">
        <v>0</v>
      </c>
      <c r="E1711">
        <v>1</v>
      </c>
      <c r="F1711">
        <v>5</v>
      </c>
      <c r="G1711">
        <v>3</v>
      </c>
      <c r="H1711" t="str">
        <f>IF(Demographics[[#This Row],[DOB]]&gt;10000000, TEXT(Demographics[[#This Row],[DOB]],0),CONCATENATE("0",TEXT(Demographics[[#This Row],[DOB]],0)))</f>
        <v>15111988</v>
      </c>
      <c r="I1711" s="4">
        <f ca="1">IFERROR((VALUE(TODAY()-DATE(RIGHT(Demographics[[#This Row],[DOB - Fixed]],4),MID(Demographics[[#This Row],[DOB - Fixed]],3,2),LEFT(Demographics[[#This Row],[DOB - Fixed]],2))))/365,0)</f>
        <v>34.835616438356162</v>
      </c>
      <c r="J1711">
        <f>VLOOKUP(Demographics[[#This Row],[INCOME LEVEL]],Income[],4,FALSE)</f>
        <v>175</v>
      </c>
      <c r="K1711">
        <f>IFERROR(Demographics[[#This Row],[Total monthly income]]/Demographics[[#This Row],[FAMILY SIZE]], 0)</f>
        <v>35</v>
      </c>
    </row>
    <row r="1712" spans="1:11" x14ac:dyDescent="0.2">
      <c r="A1712">
        <v>13233290</v>
      </c>
      <c r="B1712">
        <v>9041989</v>
      </c>
      <c r="C1712">
        <v>4</v>
      </c>
      <c r="D1712">
        <v>2</v>
      </c>
      <c r="E1712">
        <v>2</v>
      </c>
      <c r="F1712">
        <v>8</v>
      </c>
      <c r="G1712">
        <v>9</v>
      </c>
      <c r="H1712" t="str">
        <f>IF(Demographics[[#This Row],[DOB]]&gt;10000000, TEXT(Demographics[[#This Row],[DOB]],0),CONCATENATE("0",TEXT(Demographics[[#This Row],[DOB]],0)))</f>
        <v>09041989</v>
      </c>
      <c r="I1712" s="4">
        <f ca="1">IFERROR((VALUE(TODAY()-DATE(RIGHT(Demographics[[#This Row],[DOB - Fixed]],4),MID(Demographics[[#This Row],[DOB - Fixed]],3,2),LEFT(Demographics[[#This Row],[DOB - Fixed]],2))))/365,0)</f>
        <v>34.438356164383563</v>
      </c>
      <c r="J1712">
        <f>VLOOKUP(Demographics[[#This Row],[INCOME LEVEL]],Income[],4,FALSE)</f>
        <v>697.5</v>
      </c>
      <c r="K1712">
        <f>IFERROR(Demographics[[#This Row],[Total monthly income]]/Demographics[[#This Row],[FAMILY SIZE]], 0)</f>
        <v>174.375</v>
      </c>
    </row>
    <row r="1713" spans="1:11" x14ac:dyDescent="0.2">
      <c r="A1713">
        <v>13970676</v>
      </c>
      <c r="B1713">
        <v>31031989</v>
      </c>
      <c r="C1713">
        <v>4</v>
      </c>
      <c r="D1713">
        <v>1</v>
      </c>
      <c r="E1713">
        <v>2</v>
      </c>
      <c r="F1713">
        <v>10</v>
      </c>
      <c r="G1713">
        <v>7</v>
      </c>
      <c r="H1713" t="str">
        <f>IF(Demographics[[#This Row],[DOB]]&gt;10000000, TEXT(Demographics[[#This Row],[DOB]],0),CONCATENATE("0",TEXT(Demographics[[#This Row],[DOB]],0)))</f>
        <v>31031989</v>
      </c>
      <c r="I1713" s="4">
        <f ca="1">IFERROR((VALUE(TODAY()-DATE(RIGHT(Demographics[[#This Row],[DOB - Fixed]],4),MID(Demographics[[#This Row],[DOB - Fixed]],3,2),LEFT(Demographics[[#This Row],[DOB - Fixed]],2))))/365,0)</f>
        <v>34.463013698630135</v>
      </c>
      <c r="J1713">
        <f>VLOOKUP(Demographics[[#This Row],[INCOME LEVEL]],Income[],4,FALSE)</f>
        <v>697.5</v>
      </c>
      <c r="K1713">
        <f>IFERROR(Demographics[[#This Row],[Total monthly income]]/Demographics[[#This Row],[FAMILY SIZE]], 0)</f>
        <v>174.375</v>
      </c>
    </row>
    <row r="1714" spans="1:11" x14ac:dyDescent="0.2">
      <c r="A1714">
        <v>9698227</v>
      </c>
      <c r="B1714">
        <v>7041989</v>
      </c>
      <c r="C1714">
        <v>4</v>
      </c>
      <c r="D1714">
        <v>2</v>
      </c>
      <c r="E1714">
        <v>2</v>
      </c>
      <c r="F1714">
        <v>9</v>
      </c>
      <c r="G1714">
        <v>5</v>
      </c>
      <c r="H1714" t="str">
        <f>IF(Demographics[[#This Row],[DOB]]&gt;10000000, TEXT(Demographics[[#This Row],[DOB]],0),CONCATENATE("0",TEXT(Demographics[[#This Row],[DOB]],0)))</f>
        <v>07041989</v>
      </c>
      <c r="I1714" s="4">
        <f ca="1">IFERROR((VALUE(TODAY()-DATE(RIGHT(Demographics[[#This Row],[DOB - Fixed]],4),MID(Demographics[[#This Row],[DOB - Fixed]],3,2),LEFT(Demographics[[#This Row],[DOB - Fixed]],2))))/365,0)</f>
        <v>34.443835616438356</v>
      </c>
      <c r="J1714">
        <f>VLOOKUP(Demographics[[#This Row],[INCOME LEVEL]],Income[],4,FALSE)</f>
        <v>697.5</v>
      </c>
      <c r="K1714">
        <f>IFERROR(Demographics[[#This Row],[Total monthly income]]/Demographics[[#This Row],[FAMILY SIZE]], 0)</f>
        <v>174.375</v>
      </c>
    </row>
    <row r="1715" spans="1:11" x14ac:dyDescent="0.2">
      <c r="A1715">
        <v>5757311</v>
      </c>
      <c r="B1715">
        <v>10041989</v>
      </c>
      <c r="C1715">
        <v>8</v>
      </c>
      <c r="D1715">
        <v>4</v>
      </c>
      <c r="E1715">
        <v>5</v>
      </c>
      <c r="F1715">
        <v>9</v>
      </c>
      <c r="G1715">
        <v>9</v>
      </c>
      <c r="H1715" t="str">
        <f>IF(Demographics[[#This Row],[DOB]]&gt;10000000, TEXT(Demographics[[#This Row],[DOB]],0),CONCATENATE("0",TEXT(Demographics[[#This Row],[DOB]],0)))</f>
        <v>10041989</v>
      </c>
      <c r="I1715" s="4">
        <f ca="1">IFERROR((VALUE(TODAY()-DATE(RIGHT(Demographics[[#This Row],[DOB - Fixed]],4),MID(Demographics[[#This Row],[DOB - Fixed]],3,2),LEFT(Demographics[[#This Row],[DOB - Fixed]],2))))/365,0)</f>
        <v>34.435616438356163</v>
      </c>
      <c r="J1715">
        <f>VLOOKUP(Demographics[[#This Row],[INCOME LEVEL]],Income[],4,FALSE)</f>
        <v>2787.5</v>
      </c>
      <c r="K1715">
        <f>IFERROR(Demographics[[#This Row],[Total monthly income]]/Demographics[[#This Row],[FAMILY SIZE]], 0)</f>
        <v>348.4375</v>
      </c>
    </row>
    <row r="1716" spans="1:11" x14ac:dyDescent="0.2">
      <c r="A1716">
        <v>16437366</v>
      </c>
      <c r="B1716">
        <v>6041989</v>
      </c>
      <c r="C1716">
        <v>4</v>
      </c>
      <c r="D1716">
        <v>1</v>
      </c>
      <c r="E1716">
        <v>1</v>
      </c>
      <c r="F1716">
        <v>0</v>
      </c>
      <c r="G1716">
        <v>2</v>
      </c>
      <c r="H1716" t="str">
        <f>IF(Demographics[[#This Row],[DOB]]&gt;10000000, TEXT(Demographics[[#This Row],[DOB]],0),CONCATENATE("0",TEXT(Demographics[[#This Row],[DOB]],0)))</f>
        <v>06041989</v>
      </c>
      <c r="I1716" s="4">
        <f ca="1">IFERROR((VALUE(TODAY()-DATE(RIGHT(Demographics[[#This Row],[DOB - Fixed]],4),MID(Demographics[[#This Row],[DOB - Fixed]],3,2),LEFT(Demographics[[#This Row],[DOB - Fixed]],2))))/365,0)</f>
        <v>34.446575342465756</v>
      </c>
      <c r="J1716">
        <f>VLOOKUP(Demographics[[#This Row],[INCOME LEVEL]],Income[],4,FALSE)</f>
        <v>175</v>
      </c>
      <c r="K1716">
        <f>IFERROR(Demographics[[#This Row],[Total monthly income]]/Demographics[[#This Row],[FAMILY SIZE]], 0)</f>
        <v>43.75</v>
      </c>
    </row>
    <row r="1717" spans="1:11" x14ac:dyDescent="0.2">
      <c r="A1717">
        <v>21345668</v>
      </c>
      <c r="B1717">
        <v>15041989</v>
      </c>
      <c r="C1717">
        <v>2</v>
      </c>
      <c r="D1717">
        <v>1</v>
      </c>
      <c r="E1717">
        <v>2</v>
      </c>
      <c r="F1717">
        <v>9</v>
      </c>
      <c r="G1717">
        <v>5</v>
      </c>
      <c r="H1717" t="str">
        <f>IF(Demographics[[#This Row],[DOB]]&gt;10000000, TEXT(Demographics[[#This Row],[DOB]],0),CONCATENATE("0",TEXT(Demographics[[#This Row],[DOB]],0)))</f>
        <v>15041989</v>
      </c>
      <c r="I1717" s="4">
        <f ca="1">IFERROR((VALUE(TODAY()-DATE(RIGHT(Demographics[[#This Row],[DOB - Fixed]],4),MID(Demographics[[#This Row],[DOB - Fixed]],3,2),LEFT(Demographics[[#This Row],[DOB - Fixed]],2))))/365,0)</f>
        <v>34.421917808219177</v>
      </c>
      <c r="J1717">
        <f>VLOOKUP(Demographics[[#This Row],[INCOME LEVEL]],Income[],4,FALSE)</f>
        <v>697.5</v>
      </c>
      <c r="K1717">
        <f>IFERROR(Demographics[[#This Row],[Total monthly income]]/Demographics[[#This Row],[FAMILY SIZE]], 0)</f>
        <v>348.75</v>
      </c>
    </row>
    <row r="1718" spans="1:11" x14ac:dyDescent="0.2">
      <c r="A1718">
        <v>22312881</v>
      </c>
      <c r="B1718">
        <v>30031989</v>
      </c>
      <c r="C1718">
        <v>5</v>
      </c>
      <c r="D1718">
        <v>1</v>
      </c>
      <c r="E1718">
        <v>1</v>
      </c>
      <c r="F1718">
        <v>4</v>
      </c>
      <c r="G1718">
        <v>2</v>
      </c>
      <c r="H1718" t="str">
        <f>IF(Demographics[[#This Row],[DOB]]&gt;10000000, TEXT(Demographics[[#This Row],[DOB]],0),CONCATENATE("0",TEXT(Demographics[[#This Row],[DOB]],0)))</f>
        <v>30031989</v>
      </c>
      <c r="I1718" s="4">
        <f ca="1">IFERROR((VALUE(TODAY()-DATE(RIGHT(Demographics[[#This Row],[DOB - Fixed]],4),MID(Demographics[[#This Row],[DOB - Fixed]],3,2),LEFT(Demographics[[#This Row],[DOB - Fixed]],2))))/365,0)</f>
        <v>34.465753424657535</v>
      </c>
      <c r="J1718">
        <f>VLOOKUP(Demographics[[#This Row],[INCOME LEVEL]],Income[],4,FALSE)</f>
        <v>175</v>
      </c>
      <c r="K1718">
        <f>IFERROR(Demographics[[#This Row],[Total monthly income]]/Demographics[[#This Row],[FAMILY SIZE]], 0)</f>
        <v>35</v>
      </c>
    </row>
    <row r="1719" spans="1:11" x14ac:dyDescent="0.2">
      <c r="A1719">
        <v>4357288</v>
      </c>
      <c r="B1719">
        <v>21031989</v>
      </c>
      <c r="C1719">
        <v>5</v>
      </c>
      <c r="D1719">
        <v>1</v>
      </c>
      <c r="E1719">
        <v>1</v>
      </c>
      <c r="F1719">
        <v>8</v>
      </c>
      <c r="G1719">
        <v>8</v>
      </c>
      <c r="H1719" t="str">
        <f>IF(Demographics[[#This Row],[DOB]]&gt;10000000, TEXT(Demographics[[#This Row],[DOB]],0),CONCATENATE("0",TEXT(Demographics[[#This Row],[DOB]],0)))</f>
        <v>21031989</v>
      </c>
      <c r="I1719" s="4">
        <f ca="1">IFERROR((VALUE(TODAY()-DATE(RIGHT(Demographics[[#This Row],[DOB - Fixed]],4),MID(Demographics[[#This Row],[DOB - Fixed]],3,2),LEFT(Demographics[[#This Row],[DOB - Fixed]],2))))/365,0)</f>
        <v>34.490410958904107</v>
      </c>
      <c r="J1719">
        <f>VLOOKUP(Demographics[[#This Row],[INCOME LEVEL]],Income[],4,FALSE)</f>
        <v>175</v>
      </c>
      <c r="K1719">
        <f>IFERROR(Demographics[[#This Row],[Total monthly income]]/Demographics[[#This Row],[FAMILY SIZE]], 0)</f>
        <v>35</v>
      </c>
    </row>
    <row r="1720" spans="1:11" x14ac:dyDescent="0.2">
      <c r="A1720">
        <v>17607016</v>
      </c>
      <c r="B1720">
        <v>5031989</v>
      </c>
      <c r="C1720">
        <v>5</v>
      </c>
      <c r="D1720">
        <v>1</v>
      </c>
      <c r="E1720">
        <v>1</v>
      </c>
      <c r="F1720">
        <v>4</v>
      </c>
      <c r="G1720">
        <v>5</v>
      </c>
      <c r="H1720" t="str">
        <f>IF(Demographics[[#This Row],[DOB]]&gt;10000000, TEXT(Demographics[[#This Row],[DOB]],0),CONCATENATE("0",TEXT(Demographics[[#This Row],[DOB]],0)))</f>
        <v>05031989</v>
      </c>
      <c r="I1720" s="4">
        <f ca="1">IFERROR((VALUE(TODAY()-DATE(RIGHT(Demographics[[#This Row],[DOB - Fixed]],4),MID(Demographics[[#This Row],[DOB - Fixed]],3,2),LEFT(Demographics[[#This Row],[DOB - Fixed]],2))))/365,0)</f>
        <v>34.534246575342465</v>
      </c>
      <c r="J1720">
        <f>VLOOKUP(Demographics[[#This Row],[INCOME LEVEL]],Income[],4,FALSE)</f>
        <v>175</v>
      </c>
      <c r="K1720">
        <f>IFERROR(Demographics[[#This Row],[Total monthly income]]/Demographics[[#This Row],[FAMILY SIZE]], 0)</f>
        <v>35</v>
      </c>
    </row>
    <row r="1721" spans="1:11" x14ac:dyDescent="0.2">
      <c r="A1721">
        <v>5959996</v>
      </c>
      <c r="B1721">
        <v>8101988</v>
      </c>
      <c r="C1721">
        <v>3</v>
      </c>
      <c r="D1721">
        <v>1</v>
      </c>
      <c r="E1721">
        <v>1</v>
      </c>
      <c r="F1721">
        <v>0</v>
      </c>
      <c r="G1721">
        <v>5</v>
      </c>
      <c r="H1721" t="str">
        <f>IF(Demographics[[#This Row],[DOB]]&gt;10000000, TEXT(Demographics[[#This Row],[DOB]],0),CONCATENATE("0",TEXT(Demographics[[#This Row],[DOB]],0)))</f>
        <v>08101988</v>
      </c>
      <c r="I1721" s="4">
        <f ca="1">IFERROR((VALUE(TODAY()-DATE(RIGHT(Demographics[[#This Row],[DOB - Fixed]],4),MID(Demographics[[#This Row],[DOB - Fixed]],3,2),LEFT(Demographics[[#This Row],[DOB - Fixed]],2))))/365,0)</f>
        <v>34.939726027397263</v>
      </c>
      <c r="J1721">
        <f>VLOOKUP(Demographics[[#This Row],[INCOME LEVEL]],Income[],4,FALSE)</f>
        <v>175</v>
      </c>
      <c r="K1721">
        <f>IFERROR(Demographics[[#This Row],[Total monthly income]]/Demographics[[#This Row],[FAMILY SIZE]], 0)</f>
        <v>58.333333333333336</v>
      </c>
    </row>
    <row r="1722" spans="1:11" x14ac:dyDescent="0.2">
      <c r="A1722">
        <v>22414190</v>
      </c>
      <c r="B1722">
        <v>15041989</v>
      </c>
      <c r="C1722">
        <v>6</v>
      </c>
      <c r="D1722">
        <v>1</v>
      </c>
      <c r="E1722">
        <v>1</v>
      </c>
      <c r="F1722">
        <v>9</v>
      </c>
      <c r="G1722">
        <v>4</v>
      </c>
      <c r="H1722" t="str">
        <f>IF(Demographics[[#This Row],[DOB]]&gt;10000000, TEXT(Demographics[[#This Row],[DOB]],0),CONCATENATE("0",TEXT(Demographics[[#This Row],[DOB]],0)))</f>
        <v>15041989</v>
      </c>
      <c r="I1722" s="4">
        <f ca="1">IFERROR((VALUE(TODAY()-DATE(RIGHT(Demographics[[#This Row],[DOB - Fixed]],4),MID(Demographics[[#This Row],[DOB - Fixed]],3,2),LEFT(Demographics[[#This Row],[DOB - Fixed]],2))))/365,0)</f>
        <v>34.421917808219177</v>
      </c>
      <c r="J1722">
        <f>VLOOKUP(Demographics[[#This Row],[INCOME LEVEL]],Income[],4,FALSE)</f>
        <v>175</v>
      </c>
      <c r="K1722">
        <f>IFERROR(Demographics[[#This Row],[Total monthly income]]/Demographics[[#This Row],[FAMILY SIZE]], 0)</f>
        <v>29.166666666666668</v>
      </c>
    </row>
    <row r="1723" spans="1:11" x14ac:dyDescent="0.2">
      <c r="A1723">
        <v>21593055</v>
      </c>
      <c r="B1723">
        <v>19041989</v>
      </c>
      <c r="C1723">
        <v>3</v>
      </c>
      <c r="D1723">
        <v>0</v>
      </c>
      <c r="E1723">
        <v>1</v>
      </c>
      <c r="F1723">
        <v>4</v>
      </c>
      <c r="G1723">
        <v>4</v>
      </c>
      <c r="H1723" t="str">
        <f>IF(Demographics[[#This Row],[DOB]]&gt;10000000, TEXT(Demographics[[#This Row],[DOB]],0),CONCATENATE("0",TEXT(Demographics[[#This Row],[DOB]],0)))</f>
        <v>19041989</v>
      </c>
      <c r="I1723" s="4">
        <f ca="1">IFERROR((VALUE(TODAY()-DATE(RIGHT(Demographics[[#This Row],[DOB - Fixed]],4),MID(Demographics[[#This Row],[DOB - Fixed]],3,2),LEFT(Demographics[[#This Row],[DOB - Fixed]],2))))/365,0)</f>
        <v>34.410958904109592</v>
      </c>
      <c r="J1723">
        <f>VLOOKUP(Demographics[[#This Row],[INCOME LEVEL]],Income[],4,FALSE)</f>
        <v>175</v>
      </c>
      <c r="K1723">
        <f>IFERROR(Demographics[[#This Row],[Total monthly income]]/Demographics[[#This Row],[FAMILY SIZE]], 0)</f>
        <v>58.333333333333336</v>
      </c>
    </row>
    <row r="1724" spans="1:11" x14ac:dyDescent="0.2">
      <c r="A1724">
        <v>11113461</v>
      </c>
      <c r="B1724">
        <v>28011987</v>
      </c>
      <c r="C1724">
        <v>6</v>
      </c>
      <c r="D1724">
        <v>1</v>
      </c>
      <c r="E1724">
        <v>1</v>
      </c>
      <c r="F1724">
        <v>4</v>
      </c>
      <c r="G1724">
        <v>4</v>
      </c>
      <c r="H1724" t="str">
        <f>IF(Demographics[[#This Row],[DOB]]&gt;10000000, TEXT(Demographics[[#This Row],[DOB]],0),CONCATENATE("0",TEXT(Demographics[[#This Row],[DOB]],0)))</f>
        <v>28011987</v>
      </c>
      <c r="I1724" s="4">
        <f ca="1">IFERROR((VALUE(TODAY()-DATE(RIGHT(Demographics[[#This Row],[DOB - Fixed]],4),MID(Demographics[[#This Row],[DOB - Fixed]],3,2),LEFT(Demographics[[#This Row],[DOB - Fixed]],2))))/365,0)</f>
        <v>36.635616438356166</v>
      </c>
      <c r="J1724">
        <f>VLOOKUP(Demographics[[#This Row],[INCOME LEVEL]],Income[],4,FALSE)</f>
        <v>175</v>
      </c>
      <c r="K1724">
        <f>IFERROR(Demographics[[#This Row],[Total monthly income]]/Demographics[[#This Row],[FAMILY SIZE]], 0)</f>
        <v>29.166666666666668</v>
      </c>
    </row>
    <row r="1725" spans="1:11" x14ac:dyDescent="0.2">
      <c r="A1725">
        <v>15184016</v>
      </c>
      <c r="B1725">
        <v>20041989</v>
      </c>
      <c r="C1725">
        <v>3</v>
      </c>
      <c r="D1725">
        <v>1</v>
      </c>
      <c r="E1725">
        <v>1</v>
      </c>
      <c r="F1725">
        <v>7</v>
      </c>
      <c r="G1725">
        <v>7</v>
      </c>
      <c r="H1725" t="str">
        <f>IF(Demographics[[#This Row],[DOB]]&gt;10000000, TEXT(Demographics[[#This Row],[DOB]],0),CONCATENATE("0",TEXT(Demographics[[#This Row],[DOB]],0)))</f>
        <v>20041989</v>
      </c>
      <c r="I1725" s="4">
        <f ca="1">IFERROR((VALUE(TODAY()-DATE(RIGHT(Demographics[[#This Row],[DOB - Fixed]],4),MID(Demographics[[#This Row],[DOB - Fixed]],3,2),LEFT(Demographics[[#This Row],[DOB - Fixed]],2))))/365,0)</f>
        <v>34.408219178082192</v>
      </c>
      <c r="J1725">
        <f>VLOOKUP(Demographics[[#This Row],[INCOME LEVEL]],Income[],4,FALSE)</f>
        <v>175</v>
      </c>
      <c r="K1725">
        <f>IFERROR(Demographics[[#This Row],[Total monthly income]]/Demographics[[#This Row],[FAMILY SIZE]], 0)</f>
        <v>58.333333333333336</v>
      </c>
    </row>
    <row r="1726" spans="1:11" x14ac:dyDescent="0.2">
      <c r="A1726">
        <v>13047960</v>
      </c>
      <c r="B1726">
        <v>6011989</v>
      </c>
      <c r="C1726">
        <v>5</v>
      </c>
      <c r="D1726">
        <v>1</v>
      </c>
      <c r="E1726">
        <v>1</v>
      </c>
      <c r="F1726">
        <v>4</v>
      </c>
      <c r="G1726">
        <v>3</v>
      </c>
      <c r="H1726" t="str">
        <f>IF(Demographics[[#This Row],[DOB]]&gt;10000000, TEXT(Demographics[[#This Row],[DOB]],0),CONCATENATE("0",TEXT(Demographics[[#This Row],[DOB]],0)))</f>
        <v>06011989</v>
      </c>
      <c r="I1726" s="4">
        <f ca="1">IFERROR((VALUE(TODAY()-DATE(RIGHT(Demographics[[#This Row],[DOB - Fixed]],4),MID(Demographics[[#This Row],[DOB - Fixed]],3,2),LEFT(Demographics[[#This Row],[DOB - Fixed]],2))))/365,0)</f>
        <v>34.69315068493151</v>
      </c>
      <c r="J1726">
        <f>VLOOKUP(Demographics[[#This Row],[INCOME LEVEL]],Income[],4,FALSE)</f>
        <v>175</v>
      </c>
      <c r="K1726">
        <f>IFERROR(Demographics[[#This Row],[Total monthly income]]/Demographics[[#This Row],[FAMILY SIZE]], 0)</f>
        <v>35</v>
      </c>
    </row>
    <row r="1727" spans="1:11" x14ac:dyDescent="0.2">
      <c r="A1727">
        <v>3969360</v>
      </c>
      <c r="B1727">
        <v>22021989</v>
      </c>
      <c r="C1727">
        <v>5</v>
      </c>
      <c r="D1727">
        <v>0</v>
      </c>
      <c r="E1727">
        <v>1</v>
      </c>
      <c r="F1727">
        <v>0</v>
      </c>
      <c r="G1727">
        <v>5</v>
      </c>
      <c r="H1727" t="str">
        <f>IF(Demographics[[#This Row],[DOB]]&gt;10000000, TEXT(Demographics[[#This Row],[DOB]],0),CONCATENATE("0",TEXT(Demographics[[#This Row],[DOB]],0)))</f>
        <v>22021989</v>
      </c>
      <c r="I1727" s="4">
        <f ca="1">IFERROR((VALUE(TODAY()-DATE(RIGHT(Demographics[[#This Row],[DOB - Fixed]],4),MID(Demographics[[#This Row],[DOB - Fixed]],3,2),LEFT(Demographics[[#This Row],[DOB - Fixed]],2))))/365,0)</f>
        <v>34.564383561643837</v>
      </c>
      <c r="J1727">
        <f>VLOOKUP(Demographics[[#This Row],[INCOME LEVEL]],Income[],4,FALSE)</f>
        <v>175</v>
      </c>
      <c r="K1727">
        <f>IFERROR(Demographics[[#This Row],[Total monthly income]]/Demographics[[#This Row],[FAMILY SIZE]], 0)</f>
        <v>35</v>
      </c>
    </row>
    <row r="1728" spans="1:11" x14ac:dyDescent="0.2">
      <c r="A1728">
        <v>11980241</v>
      </c>
      <c r="B1728">
        <v>10041989</v>
      </c>
      <c r="C1728">
        <v>4</v>
      </c>
      <c r="D1728">
        <v>1</v>
      </c>
      <c r="E1728">
        <v>1</v>
      </c>
      <c r="F1728">
        <v>2</v>
      </c>
      <c r="G1728">
        <v>4</v>
      </c>
      <c r="H1728" t="str">
        <f>IF(Demographics[[#This Row],[DOB]]&gt;10000000, TEXT(Demographics[[#This Row],[DOB]],0),CONCATENATE("0",TEXT(Demographics[[#This Row],[DOB]],0)))</f>
        <v>10041989</v>
      </c>
      <c r="I1728" s="4">
        <f ca="1">IFERROR((VALUE(TODAY()-DATE(RIGHT(Demographics[[#This Row],[DOB - Fixed]],4),MID(Demographics[[#This Row],[DOB - Fixed]],3,2),LEFT(Demographics[[#This Row],[DOB - Fixed]],2))))/365,0)</f>
        <v>34.435616438356163</v>
      </c>
      <c r="J1728">
        <f>VLOOKUP(Demographics[[#This Row],[INCOME LEVEL]],Income[],4,FALSE)</f>
        <v>175</v>
      </c>
      <c r="K1728">
        <f>IFERROR(Demographics[[#This Row],[Total monthly income]]/Demographics[[#This Row],[FAMILY SIZE]], 0)</f>
        <v>43.75</v>
      </c>
    </row>
    <row r="1729" spans="1:11" x14ac:dyDescent="0.2">
      <c r="A1729">
        <v>19022711</v>
      </c>
      <c r="B1729">
        <v>27041989</v>
      </c>
      <c r="C1729">
        <v>4</v>
      </c>
      <c r="D1729">
        <v>2</v>
      </c>
      <c r="E1729">
        <v>6</v>
      </c>
      <c r="F1729">
        <v>9</v>
      </c>
      <c r="G1729">
        <v>9</v>
      </c>
      <c r="H1729" t="str">
        <f>IF(Demographics[[#This Row],[DOB]]&gt;10000000, TEXT(Demographics[[#This Row],[DOB]],0),CONCATENATE("0",TEXT(Demographics[[#This Row],[DOB]],0)))</f>
        <v>27041989</v>
      </c>
      <c r="I1729" s="4">
        <f ca="1">IFERROR((VALUE(TODAY()-DATE(RIGHT(Demographics[[#This Row],[DOB - Fixed]],4),MID(Demographics[[#This Row],[DOB - Fixed]],3,2),LEFT(Demographics[[#This Row],[DOB - Fixed]],2))))/365,0)</f>
        <v>34.389041095890413</v>
      </c>
      <c r="J1729">
        <f>VLOOKUP(Demographics[[#This Row],[INCOME LEVEL]],Income[],4,FALSE)</f>
        <v>4000</v>
      </c>
      <c r="K1729">
        <f>IFERROR(Demographics[[#This Row],[Total monthly income]]/Demographics[[#This Row],[FAMILY SIZE]], 0)</f>
        <v>1000</v>
      </c>
    </row>
    <row r="1730" spans="1:11" x14ac:dyDescent="0.2">
      <c r="A1730">
        <v>23627990</v>
      </c>
      <c r="B1730">
        <v>28041989</v>
      </c>
      <c r="C1730">
        <v>4</v>
      </c>
      <c r="D1730">
        <v>2</v>
      </c>
      <c r="E1730">
        <v>3</v>
      </c>
      <c r="F1730">
        <v>9</v>
      </c>
      <c r="G1730">
        <v>9</v>
      </c>
      <c r="H1730" t="str">
        <f>IF(Demographics[[#This Row],[DOB]]&gt;10000000, TEXT(Demographics[[#This Row],[DOB]],0),CONCATENATE("0",TEXT(Demographics[[#This Row],[DOB]],0)))</f>
        <v>28041989</v>
      </c>
      <c r="I1730" s="4">
        <f ca="1">IFERROR((VALUE(TODAY()-DATE(RIGHT(Demographics[[#This Row],[DOB - Fixed]],4),MID(Demographics[[#This Row],[DOB - Fixed]],3,2),LEFT(Demographics[[#This Row],[DOB - Fixed]],2))))/365,0)</f>
        <v>34.386301369863013</v>
      </c>
      <c r="J1730">
        <f>VLOOKUP(Demographics[[#This Row],[INCOME LEVEL]],Income[],4,FALSE)</f>
        <v>1397.5</v>
      </c>
      <c r="K1730">
        <f>IFERROR(Demographics[[#This Row],[Total monthly income]]/Demographics[[#This Row],[FAMILY SIZE]], 0)</f>
        <v>349.375</v>
      </c>
    </row>
    <row r="1731" spans="1:11" x14ac:dyDescent="0.2">
      <c r="A1731">
        <v>19557214</v>
      </c>
      <c r="B1731">
        <v>17041989</v>
      </c>
      <c r="C1731">
        <v>4</v>
      </c>
      <c r="D1731">
        <v>1</v>
      </c>
      <c r="E1731">
        <v>1</v>
      </c>
      <c r="F1731">
        <v>4</v>
      </c>
      <c r="G1731">
        <v>2</v>
      </c>
      <c r="H1731" t="str">
        <f>IF(Demographics[[#This Row],[DOB]]&gt;10000000, TEXT(Demographics[[#This Row],[DOB]],0),CONCATENATE("0",TEXT(Demographics[[#This Row],[DOB]],0)))</f>
        <v>17041989</v>
      </c>
      <c r="I1731" s="4">
        <f ca="1">IFERROR((VALUE(TODAY()-DATE(RIGHT(Demographics[[#This Row],[DOB - Fixed]],4),MID(Demographics[[#This Row],[DOB - Fixed]],3,2),LEFT(Demographics[[#This Row],[DOB - Fixed]],2))))/365,0)</f>
        <v>34.416438356164385</v>
      </c>
      <c r="J1731">
        <f>VLOOKUP(Demographics[[#This Row],[INCOME LEVEL]],Income[],4,FALSE)</f>
        <v>175</v>
      </c>
      <c r="K1731">
        <f>IFERROR(Demographics[[#This Row],[Total monthly income]]/Demographics[[#This Row],[FAMILY SIZE]], 0)</f>
        <v>43.75</v>
      </c>
    </row>
    <row r="1732" spans="1:11" x14ac:dyDescent="0.2">
      <c r="A1732">
        <v>8443063</v>
      </c>
      <c r="B1732">
        <v>27041989</v>
      </c>
      <c r="C1732">
        <v>4</v>
      </c>
      <c r="D1732">
        <v>1</v>
      </c>
      <c r="E1732">
        <v>2</v>
      </c>
      <c r="F1732">
        <v>0</v>
      </c>
      <c r="G1732">
        <v>0</v>
      </c>
      <c r="H1732" t="str">
        <f>IF(Demographics[[#This Row],[DOB]]&gt;10000000, TEXT(Demographics[[#This Row],[DOB]],0),CONCATENATE("0",TEXT(Demographics[[#This Row],[DOB]],0)))</f>
        <v>27041989</v>
      </c>
      <c r="I1732" s="4">
        <f ca="1">IFERROR((VALUE(TODAY()-DATE(RIGHT(Demographics[[#This Row],[DOB - Fixed]],4),MID(Demographics[[#This Row],[DOB - Fixed]],3,2),LEFT(Demographics[[#This Row],[DOB - Fixed]],2))))/365,0)</f>
        <v>34.389041095890413</v>
      </c>
      <c r="J1732">
        <f>VLOOKUP(Demographics[[#This Row],[INCOME LEVEL]],Income[],4,FALSE)</f>
        <v>697.5</v>
      </c>
      <c r="K1732">
        <f>IFERROR(Demographics[[#This Row],[Total monthly income]]/Demographics[[#This Row],[FAMILY SIZE]], 0)</f>
        <v>174.375</v>
      </c>
    </row>
    <row r="1733" spans="1:11" x14ac:dyDescent="0.2">
      <c r="A1733">
        <v>5037210</v>
      </c>
      <c r="B1733">
        <v>27041989</v>
      </c>
      <c r="C1733">
        <v>3</v>
      </c>
      <c r="D1733">
        <v>0</v>
      </c>
      <c r="E1733">
        <v>1</v>
      </c>
      <c r="F1733">
        <v>2</v>
      </c>
      <c r="G1733">
        <v>2</v>
      </c>
      <c r="H1733" t="str">
        <f>IF(Demographics[[#This Row],[DOB]]&gt;10000000, TEXT(Demographics[[#This Row],[DOB]],0),CONCATENATE("0",TEXT(Demographics[[#This Row],[DOB]],0)))</f>
        <v>27041989</v>
      </c>
      <c r="I1733" s="4">
        <f ca="1">IFERROR((VALUE(TODAY()-DATE(RIGHT(Demographics[[#This Row],[DOB - Fixed]],4),MID(Demographics[[#This Row],[DOB - Fixed]],3,2),LEFT(Demographics[[#This Row],[DOB - Fixed]],2))))/365,0)</f>
        <v>34.389041095890413</v>
      </c>
      <c r="J1733">
        <f>VLOOKUP(Demographics[[#This Row],[INCOME LEVEL]],Income[],4,FALSE)</f>
        <v>175</v>
      </c>
      <c r="K1733">
        <f>IFERROR(Demographics[[#This Row],[Total monthly income]]/Demographics[[#This Row],[FAMILY SIZE]], 0)</f>
        <v>58.333333333333336</v>
      </c>
    </row>
    <row r="1734" spans="1:11" x14ac:dyDescent="0.2">
      <c r="A1734">
        <v>1500119</v>
      </c>
      <c r="B1734">
        <v>27041989</v>
      </c>
      <c r="C1734">
        <v>4</v>
      </c>
      <c r="D1734">
        <v>0</v>
      </c>
      <c r="E1734">
        <v>1</v>
      </c>
      <c r="F1734">
        <v>9</v>
      </c>
      <c r="G1734">
        <v>7</v>
      </c>
      <c r="H1734" t="str">
        <f>IF(Demographics[[#This Row],[DOB]]&gt;10000000, TEXT(Demographics[[#This Row],[DOB]],0),CONCATENATE("0",TEXT(Demographics[[#This Row],[DOB]],0)))</f>
        <v>27041989</v>
      </c>
      <c r="I1734" s="4">
        <f ca="1">IFERROR((VALUE(TODAY()-DATE(RIGHT(Demographics[[#This Row],[DOB - Fixed]],4),MID(Demographics[[#This Row],[DOB - Fixed]],3,2),LEFT(Demographics[[#This Row],[DOB - Fixed]],2))))/365,0)</f>
        <v>34.389041095890413</v>
      </c>
      <c r="J1734">
        <f>VLOOKUP(Demographics[[#This Row],[INCOME LEVEL]],Income[],4,FALSE)</f>
        <v>175</v>
      </c>
      <c r="K1734">
        <f>IFERROR(Demographics[[#This Row],[Total monthly income]]/Demographics[[#This Row],[FAMILY SIZE]], 0)</f>
        <v>43.75</v>
      </c>
    </row>
    <row r="1735" spans="1:11" x14ac:dyDescent="0.2">
      <c r="A1735">
        <v>22560467</v>
      </c>
      <c r="B1735">
        <v>8031989</v>
      </c>
      <c r="C1735">
        <v>6</v>
      </c>
      <c r="D1735">
        <v>1</v>
      </c>
      <c r="E1735">
        <v>2</v>
      </c>
      <c r="F1735">
        <v>8</v>
      </c>
      <c r="G1735">
        <v>4</v>
      </c>
      <c r="H1735" t="str">
        <f>IF(Demographics[[#This Row],[DOB]]&gt;10000000, TEXT(Demographics[[#This Row],[DOB]],0),CONCATENATE("0",TEXT(Demographics[[#This Row],[DOB]],0)))</f>
        <v>08031989</v>
      </c>
      <c r="I1735" s="4">
        <f ca="1">IFERROR((VALUE(TODAY()-DATE(RIGHT(Demographics[[#This Row],[DOB - Fixed]],4),MID(Demographics[[#This Row],[DOB - Fixed]],3,2),LEFT(Demographics[[#This Row],[DOB - Fixed]],2))))/365,0)</f>
        <v>34.526027397260272</v>
      </c>
      <c r="J1735">
        <f>VLOOKUP(Demographics[[#This Row],[INCOME LEVEL]],Income[],4,FALSE)</f>
        <v>697.5</v>
      </c>
      <c r="K1735">
        <f>IFERROR(Demographics[[#This Row],[Total monthly income]]/Demographics[[#This Row],[FAMILY SIZE]], 0)</f>
        <v>116.25</v>
      </c>
    </row>
    <row r="1736" spans="1:11" x14ac:dyDescent="0.2">
      <c r="A1736">
        <v>16352461</v>
      </c>
      <c r="B1736">
        <v>29041989</v>
      </c>
      <c r="C1736">
        <v>7</v>
      </c>
      <c r="D1736">
        <v>2</v>
      </c>
      <c r="E1736">
        <v>2</v>
      </c>
      <c r="F1736">
        <v>4</v>
      </c>
      <c r="G1736">
        <v>9</v>
      </c>
      <c r="H1736" t="str">
        <f>IF(Demographics[[#This Row],[DOB]]&gt;10000000, TEXT(Demographics[[#This Row],[DOB]],0),CONCATENATE("0",TEXT(Demographics[[#This Row],[DOB]],0)))</f>
        <v>29041989</v>
      </c>
      <c r="I1736" s="4">
        <f ca="1">IFERROR((VALUE(TODAY()-DATE(RIGHT(Demographics[[#This Row],[DOB - Fixed]],4),MID(Demographics[[#This Row],[DOB - Fixed]],3,2),LEFT(Demographics[[#This Row],[DOB - Fixed]],2))))/365,0)</f>
        <v>34.38356164383562</v>
      </c>
      <c r="J1736">
        <f>VLOOKUP(Demographics[[#This Row],[INCOME LEVEL]],Income[],4,FALSE)</f>
        <v>697.5</v>
      </c>
      <c r="K1736">
        <f>IFERROR(Demographics[[#This Row],[Total monthly income]]/Demographics[[#This Row],[FAMILY SIZE]], 0)</f>
        <v>99.642857142857139</v>
      </c>
    </row>
    <row r="1737" spans="1:11" x14ac:dyDescent="0.2">
      <c r="A1737">
        <v>6307375</v>
      </c>
      <c r="B1737">
        <v>4051989</v>
      </c>
      <c r="C1737">
        <v>4</v>
      </c>
      <c r="D1737">
        <v>1</v>
      </c>
      <c r="E1737">
        <v>1</v>
      </c>
      <c r="F1737">
        <v>5</v>
      </c>
      <c r="G1737">
        <v>3</v>
      </c>
      <c r="H1737" t="str">
        <f>IF(Demographics[[#This Row],[DOB]]&gt;10000000, TEXT(Demographics[[#This Row],[DOB]],0),CONCATENATE("0",TEXT(Demographics[[#This Row],[DOB]],0)))</f>
        <v>04051989</v>
      </c>
      <c r="I1737" s="4">
        <f ca="1">IFERROR((VALUE(TODAY()-DATE(RIGHT(Demographics[[#This Row],[DOB - Fixed]],4),MID(Demographics[[#This Row],[DOB - Fixed]],3,2),LEFT(Demographics[[#This Row],[DOB - Fixed]],2))))/365,0)</f>
        <v>34.369863013698627</v>
      </c>
      <c r="J1737">
        <f>VLOOKUP(Demographics[[#This Row],[INCOME LEVEL]],Income[],4,FALSE)</f>
        <v>175</v>
      </c>
      <c r="K1737">
        <f>IFERROR(Demographics[[#This Row],[Total monthly income]]/Demographics[[#This Row],[FAMILY SIZE]], 0)</f>
        <v>43.75</v>
      </c>
    </row>
    <row r="1738" spans="1:11" x14ac:dyDescent="0.2">
      <c r="A1738">
        <v>15818231</v>
      </c>
      <c r="B1738">
        <v>11041989</v>
      </c>
      <c r="C1738">
        <v>2</v>
      </c>
      <c r="D1738">
        <v>1</v>
      </c>
      <c r="E1738">
        <v>1</v>
      </c>
      <c r="F1738">
        <v>3</v>
      </c>
      <c r="G1738">
        <v>0</v>
      </c>
      <c r="H1738" t="str">
        <f>IF(Demographics[[#This Row],[DOB]]&gt;10000000, TEXT(Demographics[[#This Row],[DOB]],0),CONCATENATE("0",TEXT(Demographics[[#This Row],[DOB]],0)))</f>
        <v>11041989</v>
      </c>
      <c r="I1738" s="4">
        <f ca="1">IFERROR((VALUE(TODAY()-DATE(RIGHT(Demographics[[#This Row],[DOB - Fixed]],4),MID(Demographics[[#This Row],[DOB - Fixed]],3,2),LEFT(Demographics[[#This Row],[DOB - Fixed]],2))))/365,0)</f>
        <v>34.43287671232877</v>
      </c>
      <c r="J1738">
        <f>VLOOKUP(Demographics[[#This Row],[INCOME LEVEL]],Income[],4,FALSE)</f>
        <v>175</v>
      </c>
      <c r="K1738">
        <f>IFERROR(Demographics[[#This Row],[Total monthly income]]/Demographics[[#This Row],[FAMILY SIZE]], 0)</f>
        <v>87.5</v>
      </c>
    </row>
    <row r="1739" spans="1:11" x14ac:dyDescent="0.2">
      <c r="A1739">
        <v>24696029</v>
      </c>
      <c r="B1739">
        <v>18041989</v>
      </c>
      <c r="C1739">
        <v>6</v>
      </c>
      <c r="D1739">
        <v>1</v>
      </c>
      <c r="E1739">
        <v>1</v>
      </c>
      <c r="F1739">
        <v>5</v>
      </c>
      <c r="G1739">
        <v>5</v>
      </c>
      <c r="H1739" t="str">
        <f>IF(Demographics[[#This Row],[DOB]]&gt;10000000, TEXT(Demographics[[#This Row],[DOB]],0),CONCATENATE("0",TEXT(Demographics[[#This Row],[DOB]],0)))</f>
        <v>18041989</v>
      </c>
      <c r="I1739" s="4">
        <f ca="1">IFERROR((VALUE(TODAY()-DATE(RIGHT(Demographics[[#This Row],[DOB - Fixed]],4),MID(Demographics[[#This Row],[DOB - Fixed]],3,2),LEFT(Demographics[[#This Row],[DOB - Fixed]],2))))/365,0)</f>
        <v>34.413698630136984</v>
      </c>
      <c r="J1739">
        <f>VLOOKUP(Demographics[[#This Row],[INCOME LEVEL]],Income[],4,FALSE)</f>
        <v>175</v>
      </c>
      <c r="K1739">
        <f>IFERROR(Demographics[[#This Row],[Total monthly income]]/Demographics[[#This Row],[FAMILY SIZE]], 0)</f>
        <v>29.166666666666668</v>
      </c>
    </row>
    <row r="1740" spans="1:11" x14ac:dyDescent="0.2">
      <c r="A1740">
        <v>9843640</v>
      </c>
      <c r="B1740">
        <v>8051989</v>
      </c>
      <c r="C1740">
        <v>4</v>
      </c>
      <c r="D1740">
        <v>2</v>
      </c>
      <c r="E1740">
        <v>3</v>
      </c>
      <c r="F1740">
        <v>7</v>
      </c>
      <c r="G1740">
        <v>9</v>
      </c>
      <c r="H1740" t="str">
        <f>IF(Demographics[[#This Row],[DOB]]&gt;10000000, TEXT(Demographics[[#This Row],[DOB]],0),CONCATENATE("0",TEXT(Demographics[[#This Row],[DOB]],0)))</f>
        <v>08051989</v>
      </c>
      <c r="I1740" s="4">
        <f ca="1">IFERROR((VALUE(TODAY()-DATE(RIGHT(Demographics[[#This Row],[DOB - Fixed]],4),MID(Demographics[[#This Row],[DOB - Fixed]],3,2),LEFT(Demographics[[#This Row],[DOB - Fixed]],2))))/365,0)</f>
        <v>34.358904109589041</v>
      </c>
      <c r="J1740">
        <f>VLOOKUP(Demographics[[#This Row],[INCOME LEVEL]],Income[],4,FALSE)</f>
        <v>1397.5</v>
      </c>
      <c r="K1740">
        <f>IFERROR(Demographics[[#This Row],[Total monthly income]]/Demographics[[#This Row],[FAMILY SIZE]], 0)</f>
        <v>349.375</v>
      </c>
    </row>
    <row r="1741" spans="1:11" x14ac:dyDescent="0.2">
      <c r="A1741">
        <v>5571618</v>
      </c>
      <c r="B1741">
        <v>18041989</v>
      </c>
      <c r="C1741">
        <v>4</v>
      </c>
      <c r="D1741">
        <v>0</v>
      </c>
      <c r="E1741">
        <v>3</v>
      </c>
      <c r="F1741">
        <v>7</v>
      </c>
      <c r="G1741">
        <v>7</v>
      </c>
      <c r="H1741" t="str">
        <f>IF(Demographics[[#This Row],[DOB]]&gt;10000000, TEXT(Demographics[[#This Row],[DOB]],0),CONCATENATE("0",TEXT(Demographics[[#This Row],[DOB]],0)))</f>
        <v>18041989</v>
      </c>
      <c r="I1741" s="4">
        <f ca="1">IFERROR((VALUE(TODAY()-DATE(RIGHT(Demographics[[#This Row],[DOB - Fixed]],4),MID(Demographics[[#This Row],[DOB - Fixed]],3,2),LEFT(Demographics[[#This Row],[DOB - Fixed]],2))))/365,0)</f>
        <v>34.413698630136984</v>
      </c>
      <c r="J1741">
        <f>VLOOKUP(Demographics[[#This Row],[INCOME LEVEL]],Income[],4,FALSE)</f>
        <v>1397.5</v>
      </c>
      <c r="K1741">
        <f>IFERROR(Demographics[[#This Row],[Total monthly income]]/Demographics[[#This Row],[FAMILY SIZE]], 0)</f>
        <v>349.375</v>
      </c>
    </row>
    <row r="1742" spans="1:11" x14ac:dyDescent="0.2">
      <c r="A1742">
        <v>3002384</v>
      </c>
      <c r="B1742">
        <v>20061988</v>
      </c>
      <c r="C1742">
        <v>3</v>
      </c>
      <c r="D1742">
        <v>0</v>
      </c>
      <c r="E1742">
        <v>1</v>
      </c>
      <c r="F1742">
        <v>4</v>
      </c>
      <c r="G1742">
        <v>4</v>
      </c>
      <c r="H1742" t="str">
        <f>IF(Demographics[[#This Row],[DOB]]&gt;10000000, TEXT(Demographics[[#This Row],[DOB]],0),CONCATENATE("0",TEXT(Demographics[[#This Row],[DOB]],0)))</f>
        <v>20061988</v>
      </c>
      <c r="I1742" s="4">
        <f ca="1">IFERROR((VALUE(TODAY()-DATE(RIGHT(Demographics[[#This Row],[DOB - Fixed]],4),MID(Demographics[[#This Row],[DOB - Fixed]],3,2),LEFT(Demographics[[#This Row],[DOB - Fixed]],2))))/365,0)</f>
        <v>35.241095890410961</v>
      </c>
      <c r="J1742">
        <f>VLOOKUP(Demographics[[#This Row],[INCOME LEVEL]],Income[],4,FALSE)</f>
        <v>175</v>
      </c>
      <c r="K1742">
        <f>IFERROR(Demographics[[#This Row],[Total monthly income]]/Demographics[[#This Row],[FAMILY SIZE]], 0)</f>
        <v>58.333333333333336</v>
      </c>
    </row>
    <row r="1743" spans="1:11" x14ac:dyDescent="0.2">
      <c r="A1743">
        <v>1298536</v>
      </c>
      <c r="B1743">
        <v>5051989</v>
      </c>
      <c r="C1743">
        <v>4</v>
      </c>
      <c r="D1743">
        <v>1</v>
      </c>
      <c r="E1743">
        <v>1</v>
      </c>
      <c r="F1743">
        <v>5</v>
      </c>
      <c r="G1743">
        <v>5</v>
      </c>
      <c r="H1743" t="str">
        <f>IF(Demographics[[#This Row],[DOB]]&gt;10000000, TEXT(Demographics[[#This Row],[DOB]],0),CONCATENATE("0",TEXT(Demographics[[#This Row],[DOB]],0)))</f>
        <v>05051989</v>
      </c>
      <c r="I1743" s="4">
        <f ca="1">IFERROR((VALUE(TODAY()-DATE(RIGHT(Demographics[[#This Row],[DOB - Fixed]],4),MID(Demographics[[#This Row],[DOB - Fixed]],3,2),LEFT(Demographics[[#This Row],[DOB - Fixed]],2))))/365,0)</f>
        <v>34.367123287671234</v>
      </c>
      <c r="J1743">
        <f>VLOOKUP(Demographics[[#This Row],[INCOME LEVEL]],Income[],4,FALSE)</f>
        <v>175</v>
      </c>
      <c r="K1743">
        <f>IFERROR(Demographics[[#This Row],[Total monthly income]]/Demographics[[#This Row],[FAMILY SIZE]], 0)</f>
        <v>43.75</v>
      </c>
    </row>
    <row r="1744" spans="1:11" x14ac:dyDescent="0.2">
      <c r="A1744">
        <v>24263012</v>
      </c>
      <c r="B1744">
        <v>10041989</v>
      </c>
      <c r="C1744">
        <v>3</v>
      </c>
      <c r="D1744">
        <v>1</v>
      </c>
      <c r="E1744">
        <v>1</v>
      </c>
      <c r="F1744">
        <v>2</v>
      </c>
      <c r="G1744">
        <v>5</v>
      </c>
      <c r="H1744" t="str">
        <f>IF(Demographics[[#This Row],[DOB]]&gt;10000000, TEXT(Demographics[[#This Row],[DOB]],0),CONCATENATE("0",TEXT(Demographics[[#This Row],[DOB]],0)))</f>
        <v>10041989</v>
      </c>
      <c r="I1744" s="4">
        <f ca="1">IFERROR((VALUE(TODAY()-DATE(RIGHT(Demographics[[#This Row],[DOB - Fixed]],4),MID(Demographics[[#This Row],[DOB - Fixed]],3,2),LEFT(Demographics[[#This Row],[DOB - Fixed]],2))))/365,0)</f>
        <v>34.435616438356163</v>
      </c>
      <c r="J1744">
        <f>VLOOKUP(Demographics[[#This Row],[INCOME LEVEL]],Income[],4,FALSE)</f>
        <v>175</v>
      </c>
      <c r="K1744">
        <f>IFERROR(Demographics[[#This Row],[Total monthly income]]/Demographics[[#This Row],[FAMILY SIZE]], 0)</f>
        <v>58.333333333333336</v>
      </c>
    </row>
    <row r="1745" spans="1:11" x14ac:dyDescent="0.2">
      <c r="A1745">
        <v>21059065</v>
      </c>
      <c r="B1745">
        <v>5051989</v>
      </c>
      <c r="C1745">
        <v>7</v>
      </c>
      <c r="D1745">
        <v>1</v>
      </c>
      <c r="E1745">
        <v>2</v>
      </c>
      <c r="F1745">
        <v>5</v>
      </c>
      <c r="G1745">
        <v>5</v>
      </c>
      <c r="H1745" t="str">
        <f>IF(Demographics[[#This Row],[DOB]]&gt;10000000, TEXT(Demographics[[#This Row],[DOB]],0),CONCATENATE("0",TEXT(Demographics[[#This Row],[DOB]],0)))</f>
        <v>05051989</v>
      </c>
      <c r="I1745" s="4">
        <f ca="1">IFERROR((VALUE(TODAY()-DATE(RIGHT(Demographics[[#This Row],[DOB - Fixed]],4),MID(Demographics[[#This Row],[DOB - Fixed]],3,2),LEFT(Demographics[[#This Row],[DOB - Fixed]],2))))/365,0)</f>
        <v>34.367123287671234</v>
      </c>
      <c r="J1745">
        <f>VLOOKUP(Demographics[[#This Row],[INCOME LEVEL]],Income[],4,FALSE)</f>
        <v>697.5</v>
      </c>
      <c r="K1745">
        <f>IFERROR(Demographics[[#This Row],[Total monthly income]]/Demographics[[#This Row],[FAMILY SIZE]], 0)</f>
        <v>99.642857142857139</v>
      </c>
    </row>
    <row r="1746" spans="1:11" x14ac:dyDescent="0.2">
      <c r="A1746">
        <v>19456678</v>
      </c>
      <c r="B1746">
        <v>7051989</v>
      </c>
      <c r="C1746">
        <v>6</v>
      </c>
      <c r="D1746">
        <v>1</v>
      </c>
      <c r="E1746">
        <v>1</v>
      </c>
      <c r="F1746">
        <v>5</v>
      </c>
      <c r="G1746">
        <v>5</v>
      </c>
      <c r="H1746" t="str">
        <f>IF(Demographics[[#This Row],[DOB]]&gt;10000000, TEXT(Demographics[[#This Row],[DOB]],0),CONCATENATE("0",TEXT(Demographics[[#This Row],[DOB]],0)))</f>
        <v>07051989</v>
      </c>
      <c r="I1746" s="4">
        <f ca="1">IFERROR((VALUE(TODAY()-DATE(RIGHT(Demographics[[#This Row],[DOB - Fixed]],4),MID(Demographics[[#This Row],[DOB - Fixed]],3,2),LEFT(Demographics[[#This Row],[DOB - Fixed]],2))))/365,0)</f>
        <v>34.361643835616441</v>
      </c>
      <c r="J1746">
        <f>VLOOKUP(Demographics[[#This Row],[INCOME LEVEL]],Income[],4,FALSE)</f>
        <v>175</v>
      </c>
      <c r="K1746">
        <f>IFERROR(Demographics[[#This Row],[Total monthly income]]/Demographics[[#This Row],[FAMILY SIZE]], 0)</f>
        <v>29.166666666666668</v>
      </c>
    </row>
    <row r="1747" spans="1:11" x14ac:dyDescent="0.2">
      <c r="A1747">
        <v>966093</v>
      </c>
      <c r="B1747">
        <v>18031989</v>
      </c>
      <c r="C1747">
        <v>3</v>
      </c>
      <c r="D1747">
        <v>1</v>
      </c>
      <c r="E1747">
        <v>1</v>
      </c>
      <c r="F1747">
        <v>3</v>
      </c>
      <c r="G1747">
        <v>4</v>
      </c>
      <c r="H1747" t="str">
        <f>IF(Demographics[[#This Row],[DOB]]&gt;10000000, TEXT(Demographics[[#This Row],[DOB]],0),CONCATENATE("0",TEXT(Demographics[[#This Row],[DOB]],0)))</f>
        <v>18031989</v>
      </c>
      <c r="I1747" s="4">
        <f ca="1">IFERROR((VALUE(TODAY()-DATE(RIGHT(Demographics[[#This Row],[DOB - Fixed]],4),MID(Demographics[[#This Row],[DOB - Fixed]],3,2),LEFT(Demographics[[#This Row],[DOB - Fixed]],2))))/365,0)</f>
        <v>34.4986301369863</v>
      </c>
      <c r="J1747">
        <f>VLOOKUP(Demographics[[#This Row],[INCOME LEVEL]],Income[],4,FALSE)</f>
        <v>175</v>
      </c>
      <c r="K1747">
        <f>IFERROR(Demographics[[#This Row],[Total monthly income]]/Demographics[[#This Row],[FAMILY SIZE]], 0)</f>
        <v>58.333333333333336</v>
      </c>
    </row>
    <row r="1748" spans="1:11" x14ac:dyDescent="0.2">
      <c r="A1748">
        <v>20625583</v>
      </c>
      <c r="B1748">
        <v>2031989</v>
      </c>
      <c r="C1748">
        <v>6</v>
      </c>
      <c r="D1748">
        <v>2</v>
      </c>
      <c r="E1748">
        <v>1</v>
      </c>
      <c r="F1748">
        <v>5</v>
      </c>
      <c r="G1748">
        <v>4</v>
      </c>
      <c r="H1748" t="str">
        <f>IF(Demographics[[#This Row],[DOB]]&gt;10000000, TEXT(Demographics[[#This Row],[DOB]],0),CONCATENATE("0",TEXT(Demographics[[#This Row],[DOB]],0)))</f>
        <v>02031989</v>
      </c>
      <c r="I1748" s="4">
        <f ca="1">IFERROR((VALUE(TODAY()-DATE(RIGHT(Demographics[[#This Row],[DOB - Fixed]],4),MID(Demographics[[#This Row],[DOB - Fixed]],3,2),LEFT(Demographics[[#This Row],[DOB - Fixed]],2))))/365,0)</f>
        <v>34.542465753424658</v>
      </c>
      <c r="J1748">
        <f>VLOOKUP(Demographics[[#This Row],[INCOME LEVEL]],Income[],4,FALSE)</f>
        <v>175</v>
      </c>
      <c r="K1748">
        <f>IFERROR(Demographics[[#This Row],[Total monthly income]]/Demographics[[#This Row],[FAMILY SIZE]], 0)</f>
        <v>29.166666666666668</v>
      </c>
    </row>
    <row r="1749" spans="1:11" x14ac:dyDescent="0.2">
      <c r="A1749">
        <v>11647535</v>
      </c>
      <c r="B1749">
        <v>27041989</v>
      </c>
      <c r="C1749">
        <v>6</v>
      </c>
      <c r="D1749">
        <v>0</v>
      </c>
      <c r="E1749">
        <v>1</v>
      </c>
      <c r="F1749">
        <v>4</v>
      </c>
      <c r="G1749">
        <v>3</v>
      </c>
      <c r="H1749" t="str">
        <f>IF(Demographics[[#This Row],[DOB]]&gt;10000000, TEXT(Demographics[[#This Row],[DOB]],0),CONCATENATE("0",TEXT(Demographics[[#This Row],[DOB]],0)))</f>
        <v>27041989</v>
      </c>
      <c r="I1749" s="4">
        <f ca="1">IFERROR((VALUE(TODAY()-DATE(RIGHT(Demographics[[#This Row],[DOB - Fixed]],4),MID(Demographics[[#This Row],[DOB - Fixed]],3,2),LEFT(Demographics[[#This Row],[DOB - Fixed]],2))))/365,0)</f>
        <v>34.389041095890413</v>
      </c>
      <c r="J1749">
        <f>VLOOKUP(Demographics[[#This Row],[INCOME LEVEL]],Income[],4,FALSE)</f>
        <v>175</v>
      </c>
      <c r="K1749">
        <f>IFERROR(Demographics[[#This Row],[Total monthly income]]/Demographics[[#This Row],[FAMILY SIZE]], 0)</f>
        <v>29.166666666666668</v>
      </c>
    </row>
    <row r="1750" spans="1:11" x14ac:dyDescent="0.2">
      <c r="A1750">
        <v>23195210</v>
      </c>
      <c r="B1750">
        <v>20051989</v>
      </c>
      <c r="C1750">
        <v>4</v>
      </c>
      <c r="D1750">
        <v>2</v>
      </c>
      <c r="E1750">
        <v>2</v>
      </c>
      <c r="F1750">
        <v>4</v>
      </c>
      <c r="G1750">
        <v>9</v>
      </c>
      <c r="H1750" t="str">
        <f>IF(Demographics[[#This Row],[DOB]]&gt;10000000, TEXT(Demographics[[#This Row],[DOB]],0),CONCATENATE("0",TEXT(Demographics[[#This Row],[DOB]],0)))</f>
        <v>20051989</v>
      </c>
      <c r="I1750" s="4">
        <f ca="1">IFERROR((VALUE(TODAY()-DATE(RIGHT(Demographics[[#This Row],[DOB - Fixed]],4),MID(Demographics[[#This Row],[DOB - Fixed]],3,2),LEFT(Demographics[[#This Row],[DOB - Fixed]],2))))/365,0)</f>
        <v>34.326027397260276</v>
      </c>
      <c r="J1750">
        <f>VLOOKUP(Demographics[[#This Row],[INCOME LEVEL]],Income[],4,FALSE)</f>
        <v>697.5</v>
      </c>
      <c r="K1750">
        <f>IFERROR(Demographics[[#This Row],[Total monthly income]]/Demographics[[#This Row],[FAMILY SIZE]], 0)</f>
        <v>174.375</v>
      </c>
    </row>
    <row r="1751" spans="1:11" x14ac:dyDescent="0.2">
      <c r="A1751">
        <v>16251887</v>
      </c>
      <c r="B1751">
        <v>24041989</v>
      </c>
      <c r="C1751">
        <v>4</v>
      </c>
      <c r="D1751">
        <v>1</v>
      </c>
      <c r="E1751">
        <v>1</v>
      </c>
      <c r="F1751">
        <v>5</v>
      </c>
      <c r="G1751">
        <v>4</v>
      </c>
      <c r="H1751" t="str">
        <f>IF(Demographics[[#This Row],[DOB]]&gt;10000000, TEXT(Demographics[[#This Row],[DOB]],0),CONCATENATE("0",TEXT(Demographics[[#This Row],[DOB]],0)))</f>
        <v>24041989</v>
      </c>
      <c r="I1751" s="4">
        <f ca="1">IFERROR((VALUE(TODAY()-DATE(RIGHT(Demographics[[#This Row],[DOB - Fixed]],4),MID(Demographics[[#This Row],[DOB - Fixed]],3,2),LEFT(Demographics[[#This Row],[DOB - Fixed]],2))))/365,0)</f>
        <v>34.397260273972606</v>
      </c>
      <c r="J1751">
        <f>VLOOKUP(Demographics[[#This Row],[INCOME LEVEL]],Income[],4,FALSE)</f>
        <v>175</v>
      </c>
      <c r="K1751">
        <f>IFERROR(Demographics[[#This Row],[Total monthly income]]/Demographics[[#This Row],[FAMILY SIZE]], 0)</f>
        <v>43.75</v>
      </c>
    </row>
    <row r="1752" spans="1:11" x14ac:dyDescent="0.2">
      <c r="A1752">
        <v>2366963</v>
      </c>
      <c r="B1752">
        <v>2051989</v>
      </c>
      <c r="C1752">
        <v>2</v>
      </c>
      <c r="D1752">
        <v>1</v>
      </c>
      <c r="E1752">
        <v>1</v>
      </c>
      <c r="F1752">
        <v>5</v>
      </c>
      <c r="G1752">
        <v>4</v>
      </c>
      <c r="H1752" t="str">
        <f>IF(Demographics[[#This Row],[DOB]]&gt;10000000, TEXT(Demographics[[#This Row],[DOB]],0),CONCATENATE("0",TEXT(Demographics[[#This Row],[DOB]],0)))</f>
        <v>02051989</v>
      </c>
      <c r="I1752" s="4">
        <f ca="1">IFERROR((VALUE(TODAY()-DATE(RIGHT(Demographics[[#This Row],[DOB - Fixed]],4),MID(Demographics[[#This Row],[DOB - Fixed]],3,2),LEFT(Demographics[[#This Row],[DOB - Fixed]],2))))/365,0)</f>
        <v>34.375342465753427</v>
      </c>
      <c r="J1752">
        <f>VLOOKUP(Demographics[[#This Row],[INCOME LEVEL]],Income[],4,FALSE)</f>
        <v>175</v>
      </c>
      <c r="K1752">
        <f>IFERROR(Demographics[[#This Row],[Total monthly income]]/Demographics[[#This Row],[FAMILY SIZE]], 0)</f>
        <v>87.5</v>
      </c>
    </row>
    <row r="1753" spans="1:11" x14ac:dyDescent="0.2">
      <c r="A1753">
        <v>8876232</v>
      </c>
      <c r="B1753">
        <v>18051989</v>
      </c>
      <c r="C1753">
        <v>5</v>
      </c>
      <c r="D1753">
        <v>1</v>
      </c>
      <c r="E1753">
        <v>3</v>
      </c>
      <c r="F1753">
        <v>7</v>
      </c>
      <c r="G1753">
        <v>7</v>
      </c>
      <c r="H1753" t="str">
        <f>IF(Demographics[[#This Row],[DOB]]&gt;10000000, TEXT(Demographics[[#This Row],[DOB]],0),CONCATENATE("0",TEXT(Demographics[[#This Row],[DOB]],0)))</f>
        <v>18051989</v>
      </c>
      <c r="I1753" s="4">
        <f ca="1">IFERROR((VALUE(TODAY()-DATE(RIGHT(Demographics[[#This Row],[DOB - Fixed]],4),MID(Demographics[[#This Row],[DOB - Fixed]],3,2),LEFT(Demographics[[#This Row],[DOB - Fixed]],2))))/365,0)</f>
        <v>34.331506849315069</v>
      </c>
      <c r="J1753">
        <f>VLOOKUP(Demographics[[#This Row],[INCOME LEVEL]],Income[],4,FALSE)</f>
        <v>1397.5</v>
      </c>
      <c r="K1753">
        <f>IFERROR(Demographics[[#This Row],[Total monthly income]]/Demographics[[#This Row],[FAMILY SIZE]], 0)</f>
        <v>279.5</v>
      </c>
    </row>
    <row r="1754" spans="1:11" x14ac:dyDescent="0.2">
      <c r="A1754">
        <v>23094218</v>
      </c>
      <c r="B1754">
        <v>20051989</v>
      </c>
      <c r="C1754">
        <v>3</v>
      </c>
      <c r="D1754">
        <v>1</v>
      </c>
      <c r="E1754">
        <v>1</v>
      </c>
      <c r="F1754">
        <v>4</v>
      </c>
      <c r="G1754">
        <v>2</v>
      </c>
      <c r="H1754" t="str">
        <f>IF(Demographics[[#This Row],[DOB]]&gt;10000000, TEXT(Demographics[[#This Row],[DOB]],0),CONCATENATE("0",TEXT(Demographics[[#This Row],[DOB]],0)))</f>
        <v>20051989</v>
      </c>
      <c r="I1754" s="4">
        <f ca="1">IFERROR((VALUE(TODAY()-DATE(RIGHT(Demographics[[#This Row],[DOB - Fixed]],4),MID(Demographics[[#This Row],[DOB - Fixed]],3,2),LEFT(Demographics[[#This Row],[DOB - Fixed]],2))))/365,0)</f>
        <v>34.326027397260276</v>
      </c>
      <c r="J1754">
        <f>VLOOKUP(Demographics[[#This Row],[INCOME LEVEL]],Income[],4,FALSE)</f>
        <v>175</v>
      </c>
      <c r="K1754">
        <f>IFERROR(Demographics[[#This Row],[Total monthly income]]/Demographics[[#This Row],[FAMILY SIZE]], 0)</f>
        <v>58.333333333333336</v>
      </c>
    </row>
    <row r="1755" spans="1:11" x14ac:dyDescent="0.2">
      <c r="A1755">
        <v>14750752</v>
      </c>
      <c r="B1755">
        <v>18051989</v>
      </c>
      <c r="C1755">
        <v>5</v>
      </c>
      <c r="D1755">
        <v>1</v>
      </c>
      <c r="E1755">
        <v>1</v>
      </c>
      <c r="F1755">
        <v>5</v>
      </c>
      <c r="G1755">
        <v>5</v>
      </c>
      <c r="H1755" t="str">
        <f>IF(Demographics[[#This Row],[DOB]]&gt;10000000, TEXT(Demographics[[#This Row],[DOB]],0),CONCATENATE("0",TEXT(Demographics[[#This Row],[DOB]],0)))</f>
        <v>18051989</v>
      </c>
      <c r="I1755" s="4">
        <f ca="1">IFERROR((VALUE(TODAY()-DATE(RIGHT(Demographics[[#This Row],[DOB - Fixed]],4),MID(Demographics[[#This Row],[DOB - Fixed]],3,2),LEFT(Demographics[[#This Row],[DOB - Fixed]],2))))/365,0)</f>
        <v>34.331506849315069</v>
      </c>
      <c r="J1755">
        <f>VLOOKUP(Demographics[[#This Row],[INCOME LEVEL]],Income[],4,FALSE)</f>
        <v>175</v>
      </c>
      <c r="K1755">
        <f>IFERROR(Demographics[[#This Row],[Total monthly income]]/Demographics[[#This Row],[FAMILY SIZE]], 0)</f>
        <v>35</v>
      </c>
    </row>
    <row r="1756" spans="1:11" x14ac:dyDescent="0.2">
      <c r="A1756">
        <v>6105763</v>
      </c>
      <c r="B1756">
        <v>24051989</v>
      </c>
      <c r="C1756">
        <v>4</v>
      </c>
      <c r="D1756">
        <v>2</v>
      </c>
      <c r="E1756">
        <v>2</v>
      </c>
      <c r="F1756">
        <v>5</v>
      </c>
      <c r="G1756">
        <v>5</v>
      </c>
      <c r="H1756" t="str">
        <f>IF(Demographics[[#This Row],[DOB]]&gt;10000000, TEXT(Demographics[[#This Row],[DOB]],0),CONCATENATE("0",TEXT(Demographics[[#This Row],[DOB]],0)))</f>
        <v>24051989</v>
      </c>
      <c r="I1756" s="4">
        <f ca="1">IFERROR((VALUE(TODAY()-DATE(RIGHT(Demographics[[#This Row],[DOB - Fixed]],4),MID(Demographics[[#This Row],[DOB - Fixed]],3,2),LEFT(Demographics[[#This Row],[DOB - Fixed]],2))))/365,0)</f>
        <v>34.315068493150683</v>
      </c>
      <c r="J1756">
        <f>VLOOKUP(Demographics[[#This Row],[INCOME LEVEL]],Income[],4,FALSE)</f>
        <v>697.5</v>
      </c>
      <c r="K1756">
        <f>IFERROR(Demographics[[#This Row],[Total monthly income]]/Demographics[[#This Row],[FAMILY SIZE]], 0)</f>
        <v>174.375</v>
      </c>
    </row>
    <row r="1757" spans="1:11" x14ac:dyDescent="0.2">
      <c r="A1757">
        <v>5239067</v>
      </c>
      <c r="B1757">
        <v>2071988</v>
      </c>
      <c r="C1757">
        <v>5</v>
      </c>
      <c r="D1757">
        <v>2</v>
      </c>
      <c r="E1757">
        <v>2</v>
      </c>
      <c r="F1757">
        <v>4</v>
      </c>
      <c r="G1757">
        <v>3</v>
      </c>
      <c r="H1757" t="str">
        <f>IF(Demographics[[#This Row],[DOB]]&gt;10000000, TEXT(Demographics[[#This Row],[DOB]],0),CONCATENATE("0",TEXT(Demographics[[#This Row],[DOB]],0)))</f>
        <v>02071988</v>
      </c>
      <c r="I1757" s="4">
        <f ca="1">IFERROR((VALUE(TODAY()-DATE(RIGHT(Demographics[[#This Row],[DOB - Fixed]],4),MID(Demographics[[#This Row],[DOB - Fixed]],3,2),LEFT(Demographics[[#This Row],[DOB - Fixed]],2))))/365,0)</f>
        <v>35.208219178082189</v>
      </c>
      <c r="J1757">
        <f>VLOOKUP(Demographics[[#This Row],[INCOME LEVEL]],Income[],4,FALSE)</f>
        <v>697.5</v>
      </c>
      <c r="K1757">
        <f>IFERROR(Demographics[[#This Row],[Total monthly income]]/Demographics[[#This Row],[FAMILY SIZE]], 0)</f>
        <v>139.5</v>
      </c>
    </row>
    <row r="1758" spans="1:11" x14ac:dyDescent="0.2">
      <c r="A1758">
        <v>1933578</v>
      </c>
      <c r="B1758">
        <v>26051989</v>
      </c>
      <c r="C1758">
        <v>8</v>
      </c>
      <c r="D1758">
        <v>1</v>
      </c>
      <c r="E1758">
        <v>2</v>
      </c>
      <c r="F1758">
        <v>0</v>
      </c>
      <c r="G1758">
        <v>9</v>
      </c>
      <c r="H1758" t="str">
        <f>IF(Demographics[[#This Row],[DOB]]&gt;10000000, TEXT(Demographics[[#This Row],[DOB]],0),CONCATENATE("0",TEXT(Demographics[[#This Row],[DOB]],0)))</f>
        <v>26051989</v>
      </c>
      <c r="I1758" s="4">
        <f ca="1">IFERROR((VALUE(TODAY()-DATE(RIGHT(Demographics[[#This Row],[DOB - Fixed]],4),MID(Demographics[[#This Row],[DOB - Fixed]],3,2),LEFT(Demographics[[#This Row],[DOB - Fixed]],2))))/365,0)</f>
        <v>34.30958904109589</v>
      </c>
      <c r="J1758">
        <f>VLOOKUP(Demographics[[#This Row],[INCOME LEVEL]],Income[],4,FALSE)</f>
        <v>697.5</v>
      </c>
      <c r="K1758">
        <f>IFERROR(Demographics[[#This Row],[Total monthly income]]/Demographics[[#This Row],[FAMILY SIZE]], 0)</f>
        <v>87.1875</v>
      </c>
    </row>
    <row r="1759" spans="1:11" x14ac:dyDescent="0.2">
      <c r="A1759">
        <v>21492010</v>
      </c>
      <c r="B1759">
        <v>27051989</v>
      </c>
      <c r="C1759">
        <v>6</v>
      </c>
      <c r="D1759">
        <v>1</v>
      </c>
      <c r="E1759">
        <v>2</v>
      </c>
      <c r="F1759">
        <v>9</v>
      </c>
      <c r="G1759">
        <v>5</v>
      </c>
      <c r="H1759" t="str">
        <f>IF(Demographics[[#This Row],[DOB]]&gt;10000000, TEXT(Demographics[[#This Row],[DOB]],0),CONCATENATE("0",TEXT(Demographics[[#This Row],[DOB]],0)))</f>
        <v>27051989</v>
      </c>
      <c r="I1759" s="4">
        <f ca="1">IFERROR((VALUE(TODAY()-DATE(RIGHT(Demographics[[#This Row],[DOB - Fixed]],4),MID(Demographics[[#This Row],[DOB - Fixed]],3,2),LEFT(Demographics[[#This Row],[DOB - Fixed]],2))))/365,0)</f>
        <v>34.30684931506849</v>
      </c>
      <c r="J1759">
        <f>VLOOKUP(Demographics[[#This Row],[INCOME LEVEL]],Income[],4,FALSE)</f>
        <v>697.5</v>
      </c>
      <c r="K1759">
        <f>IFERROR(Demographics[[#This Row],[Total monthly income]]/Demographics[[#This Row],[FAMILY SIZE]], 0)</f>
        <v>116.25</v>
      </c>
    </row>
    <row r="1760" spans="1:11" x14ac:dyDescent="0.2">
      <c r="A1760">
        <v>7808108</v>
      </c>
      <c r="B1760">
        <v>3051989</v>
      </c>
      <c r="C1760">
        <v>6</v>
      </c>
      <c r="D1760">
        <v>1</v>
      </c>
      <c r="E1760">
        <v>4</v>
      </c>
      <c r="F1760">
        <v>5</v>
      </c>
      <c r="G1760">
        <v>5</v>
      </c>
      <c r="H1760" t="str">
        <f>IF(Demographics[[#This Row],[DOB]]&gt;10000000, TEXT(Demographics[[#This Row],[DOB]],0),CONCATENATE("0",TEXT(Demographics[[#This Row],[DOB]],0)))</f>
        <v>03051989</v>
      </c>
      <c r="I1760" s="4">
        <f ca="1">IFERROR((VALUE(TODAY()-DATE(RIGHT(Demographics[[#This Row],[DOB - Fixed]],4),MID(Demographics[[#This Row],[DOB - Fixed]],3,2),LEFT(Demographics[[#This Row],[DOB - Fixed]],2))))/365,0)</f>
        <v>34.372602739726027</v>
      </c>
      <c r="J1760">
        <f>VLOOKUP(Demographics[[#This Row],[INCOME LEVEL]],Income[],4,FALSE)</f>
        <v>2100</v>
      </c>
      <c r="K1760">
        <f>IFERROR(Demographics[[#This Row],[Total monthly income]]/Demographics[[#This Row],[FAMILY SIZE]], 0)</f>
        <v>350</v>
      </c>
    </row>
    <row r="1761" spans="1:11" x14ac:dyDescent="0.2">
      <c r="A1761">
        <v>22026381</v>
      </c>
      <c r="B1761">
        <v>13051985</v>
      </c>
      <c r="C1761">
        <v>5</v>
      </c>
      <c r="D1761">
        <v>1</v>
      </c>
      <c r="E1761">
        <v>1</v>
      </c>
      <c r="F1761">
        <v>2</v>
      </c>
      <c r="G1761">
        <v>7</v>
      </c>
      <c r="H1761" t="str">
        <f>IF(Demographics[[#This Row],[DOB]]&gt;10000000, TEXT(Demographics[[#This Row],[DOB]],0),CONCATENATE("0",TEXT(Demographics[[#This Row],[DOB]],0)))</f>
        <v>13051985</v>
      </c>
      <c r="I1761" s="4">
        <f ca="1">IFERROR((VALUE(TODAY()-DATE(RIGHT(Demographics[[#This Row],[DOB - Fixed]],4),MID(Demographics[[#This Row],[DOB - Fixed]],3,2),LEFT(Demographics[[#This Row],[DOB - Fixed]],2))))/365,0)</f>
        <v>38.347945205479455</v>
      </c>
      <c r="J1761">
        <f>VLOOKUP(Demographics[[#This Row],[INCOME LEVEL]],Income[],4,FALSE)</f>
        <v>175</v>
      </c>
      <c r="K1761">
        <f>IFERROR(Demographics[[#This Row],[Total monthly income]]/Demographics[[#This Row],[FAMILY SIZE]], 0)</f>
        <v>35</v>
      </c>
    </row>
    <row r="1762" spans="1:11" x14ac:dyDescent="0.2">
      <c r="A1762">
        <v>3997764</v>
      </c>
      <c r="B1762">
        <v>6051989</v>
      </c>
      <c r="C1762">
        <v>6</v>
      </c>
      <c r="D1762">
        <v>1</v>
      </c>
      <c r="E1762">
        <v>1</v>
      </c>
      <c r="F1762">
        <v>6</v>
      </c>
      <c r="G1762">
        <v>7</v>
      </c>
      <c r="H1762" t="str">
        <f>IF(Demographics[[#This Row],[DOB]]&gt;10000000, TEXT(Demographics[[#This Row],[DOB]],0),CONCATENATE("0",TEXT(Demographics[[#This Row],[DOB]],0)))</f>
        <v>06051989</v>
      </c>
      <c r="I1762" s="4">
        <f ca="1">IFERROR((VALUE(TODAY()-DATE(RIGHT(Demographics[[#This Row],[DOB - Fixed]],4),MID(Demographics[[#This Row],[DOB - Fixed]],3,2),LEFT(Demographics[[#This Row],[DOB - Fixed]],2))))/365,0)</f>
        <v>34.364383561643834</v>
      </c>
      <c r="J1762">
        <f>VLOOKUP(Demographics[[#This Row],[INCOME LEVEL]],Income[],4,FALSE)</f>
        <v>175</v>
      </c>
      <c r="K1762">
        <f>IFERROR(Demographics[[#This Row],[Total monthly income]]/Demographics[[#This Row],[FAMILY SIZE]], 0)</f>
        <v>29.166666666666668</v>
      </c>
    </row>
    <row r="1763" spans="1:11" x14ac:dyDescent="0.2">
      <c r="A1763">
        <v>10405844</v>
      </c>
      <c r="B1763">
        <v>7061989</v>
      </c>
      <c r="C1763">
        <v>6</v>
      </c>
      <c r="D1763">
        <v>2</v>
      </c>
      <c r="E1763">
        <v>1</v>
      </c>
      <c r="F1763">
        <v>4</v>
      </c>
      <c r="G1763">
        <v>5</v>
      </c>
      <c r="H1763" t="str">
        <f>IF(Demographics[[#This Row],[DOB]]&gt;10000000, TEXT(Demographics[[#This Row],[DOB]],0),CONCATENATE("0",TEXT(Demographics[[#This Row],[DOB]],0)))</f>
        <v>07061989</v>
      </c>
      <c r="I1763" s="4">
        <f ca="1">IFERROR((VALUE(TODAY()-DATE(RIGHT(Demographics[[#This Row],[DOB - Fixed]],4),MID(Demographics[[#This Row],[DOB - Fixed]],3,2),LEFT(Demographics[[#This Row],[DOB - Fixed]],2))))/365,0)</f>
        <v>34.276712328767125</v>
      </c>
      <c r="J1763">
        <f>VLOOKUP(Demographics[[#This Row],[INCOME LEVEL]],Income[],4,FALSE)</f>
        <v>175</v>
      </c>
      <c r="K1763">
        <f>IFERROR(Demographics[[#This Row],[Total monthly income]]/Demographics[[#This Row],[FAMILY SIZE]], 0)</f>
        <v>29.166666666666668</v>
      </c>
    </row>
    <row r="1764" spans="1:11" x14ac:dyDescent="0.2">
      <c r="A1764">
        <v>16380731</v>
      </c>
      <c r="B1764">
        <v>5061989</v>
      </c>
      <c r="C1764">
        <v>5</v>
      </c>
      <c r="D1764">
        <v>0</v>
      </c>
      <c r="E1764">
        <v>1</v>
      </c>
      <c r="F1764">
        <v>4</v>
      </c>
      <c r="G1764">
        <v>4</v>
      </c>
      <c r="H1764" t="str">
        <f>IF(Demographics[[#This Row],[DOB]]&gt;10000000, TEXT(Demographics[[#This Row],[DOB]],0),CONCATENATE("0",TEXT(Demographics[[#This Row],[DOB]],0)))</f>
        <v>05061989</v>
      </c>
      <c r="I1764" s="4">
        <f ca="1">IFERROR((VALUE(TODAY()-DATE(RIGHT(Demographics[[#This Row],[DOB - Fixed]],4),MID(Demographics[[#This Row],[DOB - Fixed]],3,2),LEFT(Demographics[[#This Row],[DOB - Fixed]],2))))/365,0)</f>
        <v>34.282191780821918</v>
      </c>
      <c r="J1764">
        <f>VLOOKUP(Demographics[[#This Row],[INCOME LEVEL]],Income[],4,FALSE)</f>
        <v>175</v>
      </c>
      <c r="K1764">
        <f>IFERROR(Demographics[[#This Row],[Total monthly income]]/Demographics[[#This Row],[FAMILY SIZE]], 0)</f>
        <v>35</v>
      </c>
    </row>
    <row r="1765" spans="1:11" x14ac:dyDescent="0.2">
      <c r="A1765">
        <v>16814448</v>
      </c>
      <c r="B1765">
        <v>29041989</v>
      </c>
      <c r="C1765">
        <v>4</v>
      </c>
      <c r="D1765">
        <v>1</v>
      </c>
      <c r="E1765">
        <v>1</v>
      </c>
      <c r="F1765">
        <v>7</v>
      </c>
      <c r="G1765">
        <v>7</v>
      </c>
      <c r="H1765" t="str">
        <f>IF(Demographics[[#This Row],[DOB]]&gt;10000000, TEXT(Demographics[[#This Row],[DOB]],0),CONCATENATE("0",TEXT(Demographics[[#This Row],[DOB]],0)))</f>
        <v>29041989</v>
      </c>
      <c r="I1765" s="4">
        <f ca="1">IFERROR((VALUE(TODAY()-DATE(RIGHT(Demographics[[#This Row],[DOB - Fixed]],4),MID(Demographics[[#This Row],[DOB - Fixed]],3,2),LEFT(Demographics[[#This Row],[DOB - Fixed]],2))))/365,0)</f>
        <v>34.38356164383562</v>
      </c>
      <c r="J1765">
        <f>VLOOKUP(Demographics[[#This Row],[INCOME LEVEL]],Income[],4,FALSE)</f>
        <v>175</v>
      </c>
      <c r="K1765">
        <f>IFERROR(Demographics[[#This Row],[Total monthly income]]/Demographics[[#This Row],[FAMILY SIZE]], 0)</f>
        <v>43.75</v>
      </c>
    </row>
    <row r="1766" spans="1:11" x14ac:dyDescent="0.2">
      <c r="A1766">
        <v>6768794</v>
      </c>
      <c r="B1766">
        <v>9061989</v>
      </c>
      <c r="C1766">
        <v>5</v>
      </c>
      <c r="D1766">
        <v>2</v>
      </c>
      <c r="E1766">
        <v>2</v>
      </c>
      <c r="F1766">
        <v>9</v>
      </c>
      <c r="G1766">
        <v>9</v>
      </c>
      <c r="H1766" t="str">
        <f>IF(Demographics[[#This Row],[DOB]]&gt;10000000, TEXT(Demographics[[#This Row],[DOB]],0),CONCATENATE("0",TEXT(Demographics[[#This Row],[DOB]],0)))</f>
        <v>09061989</v>
      </c>
      <c r="I1766" s="4">
        <f ca="1">IFERROR((VALUE(TODAY()-DATE(RIGHT(Demographics[[#This Row],[DOB - Fixed]],4),MID(Demographics[[#This Row],[DOB - Fixed]],3,2),LEFT(Demographics[[#This Row],[DOB - Fixed]],2))))/365,0)</f>
        <v>34.271232876712325</v>
      </c>
      <c r="J1766">
        <f>VLOOKUP(Demographics[[#This Row],[INCOME LEVEL]],Income[],4,FALSE)</f>
        <v>697.5</v>
      </c>
      <c r="K1766">
        <f>IFERROR(Demographics[[#This Row],[Total monthly income]]/Demographics[[#This Row],[FAMILY SIZE]], 0)</f>
        <v>139.5</v>
      </c>
    </row>
    <row r="1767" spans="1:11" x14ac:dyDescent="0.2">
      <c r="A1767">
        <v>23223488</v>
      </c>
      <c r="B1767">
        <v>17021988</v>
      </c>
      <c r="C1767">
        <v>6</v>
      </c>
      <c r="D1767">
        <v>2</v>
      </c>
      <c r="E1767">
        <v>1</v>
      </c>
      <c r="F1767">
        <v>5</v>
      </c>
      <c r="G1767">
        <v>3</v>
      </c>
      <c r="H1767" t="str">
        <f>IF(Demographics[[#This Row],[DOB]]&gt;10000000, TEXT(Demographics[[#This Row],[DOB]],0),CONCATENATE("0",TEXT(Demographics[[#This Row],[DOB]],0)))</f>
        <v>17021988</v>
      </c>
      <c r="I1767" s="4">
        <f ca="1">IFERROR((VALUE(TODAY()-DATE(RIGHT(Demographics[[#This Row],[DOB - Fixed]],4),MID(Demographics[[#This Row],[DOB - Fixed]],3,2),LEFT(Demographics[[#This Row],[DOB - Fixed]],2))))/365,0)</f>
        <v>35.580821917808223</v>
      </c>
      <c r="J1767">
        <f>VLOOKUP(Demographics[[#This Row],[INCOME LEVEL]],Income[],4,FALSE)</f>
        <v>175</v>
      </c>
      <c r="K1767">
        <f>IFERROR(Demographics[[#This Row],[Total monthly income]]/Demographics[[#This Row],[FAMILY SIZE]], 0)</f>
        <v>29.166666666666668</v>
      </c>
    </row>
    <row r="1768" spans="1:11" x14ac:dyDescent="0.2">
      <c r="A1768">
        <v>16914908</v>
      </c>
      <c r="B1768">
        <v>13121988</v>
      </c>
      <c r="C1768">
        <v>5</v>
      </c>
      <c r="D1768">
        <v>0</v>
      </c>
      <c r="E1768">
        <v>1</v>
      </c>
      <c r="F1768">
        <v>2</v>
      </c>
      <c r="G1768">
        <v>2</v>
      </c>
      <c r="H1768" t="str">
        <f>IF(Demographics[[#This Row],[DOB]]&gt;10000000, TEXT(Demographics[[#This Row],[DOB]],0),CONCATENATE("0",TEXT(Demographics[[#This Row],[DOB]],0)))</f>
        <v>13121988</v>
      </c>
      <c r="I1768" s="4">
        <f ca="1">IFERROR((VALUE(TODAY()-DATE(RIGHT(Demographics[[#This Row],[DOB - Fixed]],4),MID(Demographics[[#This Row],[DOB - Fixed]],3,2),LEFT(Demographics[[#This Row],[DOB - Fixed]],2))))/365,0)</f>
        <v>34.758904109589039</v>
      </c>
      <c r="J1768">
        <f>VLOOKUP(Demographics[[#This Row],[INCOME LEVEL]],Income[],4,FALSE)</f>
        <v>175</v>
      </c>
      <c r="K1768">
        <f>IFERROR(Demographics[[#This Row],[Total monthly income]]/Demographics[[#This Row],[FAMILY SIZE]], 0)</f>
        <v>35</v>
      </c>
    </row>
    <row r="1769" spans="1:11" x14ac:dyDescent="0.2">
      <c r="A1769">
        <v>5065676</v>
      </c>
      <c r="B1769">
        <v>21031989</v>
      </c>
      <c r="C1769">
        <v>0</v>
      </c>
      <c r="D1769">
        <v>0</v>
      </c>
      <c r="E1769">
        <v>4</v>
      </c>
      <c r="F1769">
        <v>0</v>
      </c>
      <c r="G1769">
        <v>0</v>
      </c>
      <c r="H1769" t="str">
        <f>IF(Demographics[[#This Row],[DOB]]&gt;10000000, TEXT(Demographics[[#This Row],[DOB]],0),CONCATENATE("0",TEXT(Demographics[[#This Row],[DOB]],0)))</f>
        <v>21031989</v>
      </c>
      <c r="I1769" s="4">
        <f ca="1">IFERROR((VALUE(TODAY()-DATE(RIGHT(Demographics[[#This Row],[DOB - Fixed]],4),MID(Demographics[[#This Row],[DOB - Fixed]],3,2),LEFT(Demographics[[#This Row],[DOB - Fixed]],2))))/365,0)</f>
        <v>34.490410958904107</v>
      </c>
      <c r="J1769">
        <f>VLOOKUP(Demographics[[#This Row],[INCOME LEVEL]],Income[],4,FALSE)</f>
        <v>2100</v>
      </c>
      <c r="K1769">
        <f>IFERROR(Demographics[[#This Row],[Total monthly income]]/Demographics[[#This Row],[FAMILY SIZE]], 0)</f>
        <v>0</v>
      </c>
    </row>
    <row r="1770" spans="1:11" x14ac:dyDescent="0.2">
      <c r="A1770">
        <v>10839236</v>
      </c>
      <c r="B1770">
        <v>1061989</v>
      </c>
      <c r="C1770">
        <v>4</v>
      </c>
      <c r="D1770">
        <v>2</v>
      </c>
      <c r="E1770">
        <v>1</v>
      </c>
      <c r="F1770">
        <v>5</v>
      </c>
      <c r="G1770">
        <v>7</v>
      </c>
      <c r="H1770" t="str">
        <f>IF(Demographics[[#This Row],[DOB]]&gt;10000000, TEXT(Demographics[[#This Row],[DOB]],0),CONCATENATE("0",TEXT(Demographics[[#This Row],[DOB]],0)))</f>
        <v>01061989</v>
      </c>
      <c r="I1770" s="4">
        <f ca="1">IFERROR((VALUE(TODAY()-DATE(RIGHT(Demographics[[#This Row],[DOB - Fixed]],4),MID(Demographics[[#This Row],[DOB - Fixed]],3,2),LEFT(Demographics[[#This Row],[DOB - Fixed]],2))))/365,0)</f>
        <v>34.293150684931504</v>
      </c>
      <c r="J1770">
        <f>VLOOKUP(Demographics[[#This Row],[INCOME LEVEL]],Income[],4,FALSE)</f>
        <v>175</v>
      </c>
      <c r="K1770">
        <f>IFERROR(Demographics[[#This Row],[Total monthly income]]/Demographics[[#This Row],[FAMILY SIZE]], 0)</f>
        <v>43.75</v>
      </c>
    </row>
    <row r="1771" spans="1:11" x14ac:dyDescent="0.2">
      <c r="A1771">
        <v>15745969</v>
      </c>
      <c r="B1771">
        <v>26051989</v>
      </c>
      <c r="C1771">
        <v>5</v>
      </c>
      <c r="D1771">
        <v>1</v>
      </c>
      <c r="E1771">
        <v>1</v>
      </c>
      <c r="F1771">
        <v>4</v>
      </c>
      <c r="G1771">
        <v>5</v>
      </c>
      <c r="H1771" t="str">
        <f>IF(Demographics[[#This Row],[DOB]]&gt;10000000, TEXT(Demographics[[#This Row],[DOB]],0),CONCATENATE("0",TEXT(Demographics[[#This Row],[DOB]],0)))</f>
        <v>26051989</v>
      </c>
      <c r="I1771" s="4">
        <f ca="1">IFERROR((VALUE(TODAY()-DATE(RIGHT(Demographics[[#This Row],[DOB - Fixed]],4),MID(Demographics[[#This Row],[DOB - Fixed]],3,2),LEFT(Demographics[[#This Row],[DOB - Fixed]],2))))/365,0)</f>
        <v>34.30958904109589</v>
      </c>
      <c r="J1771">
        <f>VLOOKUP(Demographics[[#This Row],[INCOME LEVEL]],Income[],4,FALSE)</f>
        <v>175</v>
      </c>
      <c r="K1771">
        <f>IFERROR(Demographics[[#This Row],[Total monthly income]]/Demographics[[#This Row],[FAMILY SIZE]], 0)</f>
        <v>35</v>
      </c>
    </row>
    <row r="1772" spans="1:11" x14ac:dyDescent="0.2">
      <c r="A1772">
        <v>4632271</v>
      </c>
      <c r="B1772">
        <v>28121987</v>
      </c>
      <c r="C1772">
        <v>3</v>
      </c>
      <c r="D1772">
        <v>2</v>
      </c>
      <c r="E1772">
        <v>2</v>
      </c>
      <c r="F1772">
        <v>7</v>
      </c>
      <c r="G1772">
        <v>7</v>
      </c>
      <c r="H1772" t="str">
        <f>IF(Demographics[[#This Row],[DOB]]&gt;10000000, TEXT(Demographics[[#This Row],[DOB]],0),CONCATENATE("0",TEXT(Demographics[[#This Row],[DOB]],0)))</f>
        <v>28121987</v>
      </c>
      <c r="I1772" s="4">
        <f ca="1">IFERROR((VALUE(TODAY()-DATE(RIGHT(Demographics[[#This Row],[DOB - Fixed]],4),MID(Demographics[[#This Row],[DOB - Fixed]],3,2),LEFT(Demographics[[#This Row],[DOB - Fixed]],2))))/365,0)</f>
        <v>35.720547945205482</v>
      </c>
      <c r="J1772">
        <f>VLOOKUP(Demographics[[#This Row],[INCOME LEVEL]],Income[],4,FALSE)</f>
        <v>697.5</v>
      </c>
      <c r="K1772">
        <f>IFERROR(Demographics[[#This Row],[Total monthly income]]/Demographics[[#This Row],[FAMILY SIZE]], 0)</f>
        <v>232.5</v>
      </c>
    </row>
    <row r="1773" spans="1:11" x14ac:dyDescent="0.2">
      <c r="A1773">
        <v>2395429</v>
      </c>
      <c r="B1773">
        <v>27041989</v>
      </c>
      <c r="C1773">
        <v>6</v>
      </c>
      <c r="D1773">
        <v>2</v>
      </c>
      <c r="E1773">
        <v>1</v>
      </c>
      <c r="F1773">
        <v>4</v>
      </c>
      <c r="G1773">
        <v>1</v>
      </c>
      <c r="H1773" t="str">
        <f>IF(Demographics[[#This Row],[DOB]]&gt;10000000, TEXT(Demographics[[#This Row],[DOB]],0),CONCATENATE("0",TEXT(Demographics[[#This Row],[DOB]],0)))</f>
        <v>27041989</v>
      </c>
      <c r="I1773" s="4">
        <f ca="1">IFERROR((VALUE(TODAY()-DATE(RIGHT(Demographics[[#This Row],[DOB - Fixed]],4),MID(Demographics[[#This Row],[DOB - Fixed]],3,2),LEFT(Demographics[[#This Row],[DOB - Fixed]],2))))/365,0)</f>
        <v>34.389041095890413</v>
      </c>
      <c r="J1773">
        <f>VLOOKUP(Demographics[[#This Row],[INCOME LEVEL]],Income[],4,FALSE)</f>
        <v>175</v>
      </c>
      <c r="K1773">
        <f>IFERROR(Demographics[[#This Row],[Total monthly income]]/Demographics[[#This Row],[FAMILY SIZE]], 0)</f>
        <v>29.166666666666668</v>
      </c>
    </row>
    <row r="1774" spans="1:11" x14ac:dyDescent="0.2">
      <c r="A1774">
        <v>16179432</v>
      </c>
      <c r="B1774">
        <v>15061989</v>
      </c>
      <c r="C1774">
        <v>3</v>
      </c>
      <c r="D1774">
        <v>2</v>
      </c>
      <c r="E1774">
        <v>1</v>
      </c>
      <c r="F1774">
        <v>5</v>
      </c>
      <c r="G1774">
        <v>2</v>
      </c>
      <c r="H1774" t="str">
        <f>IF(Demographics[[#This Row],[DOB]]&gt;10000000, TEXT(Demographics[[#This Row],[DOB]],0),CONCATENATE("0",TEXT(Demographics[[#This Row],[DOB]],0)))</f>
        <v>15061989</v>
      </c>
      <c r="I1774" s="4">
        <f ca="1">IFERROR((VALUE(TODAY()-DATE(RIGHT(Demographics[[#This Row],[DOB - Fixed]],4),MID(Demographics[[#This Row],[DOB - Fixed]],3,2),LEFT(Demographics[[#This Row],[DOB - Fixed]],2))))/365,0)</f>
        <v>34.254794520547946</v>
      </c>
      <c r="J1774">
        <f>VLOOKUP(Demographics[[#This Row],[INCOME LEVEL]],Income[],4,FALSE)</f>
        <v>175</v>
      </c>
      <c r="K1774">
        <f>IFERROR(Demographics[[#This Row],[Total monthly income]]/Demographics[[#This Row],[FAMILY SIZE]], 0)</f>
        <v>58.333333333333336</v>
      </c>
    </row>
    <row r="1775" spans="1:11" x14ac:dyDescent="0.2">
      <c r="A1775">
        <v>5166550</v>
      </c>
      <c r="B1775">
        <v>24061989</v>
      </c>
      <c r="C1775">
        <v>4</v>
      </c>
      <c r="D1775">
        <v>1</v>
      </c>
      <c r="E1775">
        <v>1</v>
      </c>
      <c r="F1775">
        <v>7</v>
      </c>
      <c r="G1775">
        <v>7</v>
      </c>
      <c r="H1775" t="str">
        <f>IF(Demographics[[#This Row],[DOB]]&gt;10000000, TEXT(Demographics[[#This Row],[DOB]],0),CONCATENATE("0",TEXT(Demographics[[#This Row],[DOB]],0)))</f>
        <v>24061989</v>
      </c>
      <c r="I1775" s="4">
        <f ca="1">IFERROR((VALUE(TODAY()-DATE(RIGHT(Demographics[[#This Row],[DOB - Fixed]],4),MID(Demographics[[#This Row],[DOB - Fixed]],3,2),LEFT(Demographics[[#This Row],[DOB - Fixed]],2))))/365,0)</f>
        <v>34.230136986301368</v>
      </c>
      <c r="J1775">
        <f>VLOOKUP(Demographics[[#This Row],[INCOME LEVEL]],Income[],4,FALSE)</f>
        <v>175</v>
      </c>
      <c r="K1775">
        <f>IFERROR(Demographics[[#This Row],[Total monthly income]]/Demographics[[#This Row],[FAMILY SIZE]], 0)</f>
        <v>43.75</v>
      </c>
    </row>
    <row r="1776" spans="1:11" x14ac:dyDescent="0.2">
      <c r="A1776">
        <v>18416218</v>
      </c>
      <c r="B1776">
        <v>19061989</v>
      </c>
      <c r="C1776">
        <v>4</v>
      </c>
      <c r="D1776">
        <v>1</v>
      </c>
      <c r="E1776">
        <v>1</v>
      </c>
      <c r="F1776">
        <v>5</v>
      </c>
      <c r="G1776">
        <v>5</v>
      </c>
      <c r="H1776" t="str">
        <f>IF(Demographics[[#This Row],[DOB]]&gt;10000000, TEXT(Demographics[[#This Row],[DOB]],0),CONCATENATE("0",TEXT(Demographics[[#This Row],[DOB]],0)))</f>
        <v>19061989</v>
      </c>
      <c r="I1776" s="4">
        <f ca="1">IFERROR((VALUE(TODAY()-DATE(RIGHT(Demographics[[#This Row],[DOB - Fixed]],4),MID(Demographics[[#This Row],[DOB - Fixed]],3,2),LEFT(Demographics[[#This Row],[DOB - Fixed]],2))))/365,0)</f>
        <v>34.243835616438353</v>
      </c>
      <c r="J1776">
        <f>VLOOKUP(Demographics[[#This Row],[INCOME LEVEL]],Income[],4,FALSE)</f>
        <v>175</v>
      </c>
      <c r="K1776">
        <f>IFERROR(Demographics[[#This Row],[Total monthly income]]/Demographics[[#This Row],[FAMILY SIZE]], 0)</f>
        <v>43.75</v>
      </c>
    </row>
    <row r="1777" spans="1:11" x14ac:dyDescent="0.2">
      <c r="A1777">
        <v>10304913</v>
      </c>
      <c r="B1777">
        <v>30061989</v>
      </c>
      <c r="C1777">
        <v>5</v>
      </c>
      <c r="D1777">
        <v>2</v>
      </c>
      <c r="E1777">
        <v>1</v>
      </c>
      <c r="F1777">
        <v>3</v>
      </c>
      <c r="G1777">
        <v>5</v>
      </c>
      <c r="H1777" t="str">
        <f>IF(Demographics[[#This Row],[DOB]]&gt;10000000, TEXT(Demographics[[#This Row],[DOB]],0),CONCATENATE("0",TEXT(Demographics[[#This Row],[DOB]],0)))</f>
        <v>30061989</v>
      </c>
      <c r="I1777" s="4">
        <f ca="1">IFERROR((VALUE(TODAY()-DATE(RIGHT(Demographics[[#This Row],[DOB - Fixed]],4),MID(Demographics[[#This Row],[DOB - Fixed]],3,2),LEFT(Demographics[[#This Row],[DOB - Fixed]],2))))/365,0)</f>
        <v>34.213698630136989</v>
      </c>
      <c r="J1777">
        <f>VLOOKUP(Demographics[[#This Row],[INCOME LEVEL]],Income[],4,FALSE)</f>
        <v>175</v>
      </c>
      <c r="K1777">
        <f>IFERROR(Demographics[[#This Row],[Total monthly income]]/Demographics[[#This Row],[FAMILY SIZE]], 0)</f>
        <v>35</v>
      </c>
    </row>
    <row r="1778" spans="1:11" x14ac:dyDescent="0.2">
      <c r="A1778">
        <v>14043636</v>
      </c>
      <c r="B1778">
        <v>8061989</v>
      </c>
      <c r="C1778">
        <v>5</v>
      </c>
      <c r="D1778">
        <v>1</v>
      </c>
      <c r="E1778">
        <v>2</v>
      </c>
      <c r="F1778">
        <v>5</v>
      </c>
      <c r="G1778">
        <v>5</v>
      </c>
      <c r="H1778" t="str">
        <f>IF(Demographics[[#This Row],[DOB]]&gt;10000000, TEXT(Demographics[[#This Row],[DOB]],0),CONCATENATE("0",TEXT(Demographics[[#This Row],[DOB]],0)))</f>
        <v>08061989</v>
      </c>
      <c r="I1778" s="4">
        <f ca="1">IFERROR((VALUE(TODAY()-DATE(RIGHT(Demographics[[#This Row],[DOB - Fixed]],4),MID(Demographics[[#This Row],[DOB - Fixed]],3,2),LEFT(Demographics[[#This Row],[DOB - Fixed]],2))))/365,0)</f>
        <v>34.273972602739725</v>
      </c>
      <c r="J1778">
        <f>VLOOKUP(Demographics[[#This Row],[INCOME LEVEL]],Income[],4,FALSE)</f>
        <v>697.5</v>
      </c>
      <c r="K1778">
        <f>IFERROR(Demographics[[#This Row],[Total monthly income]]/Demographics[[#This Row],[FAMILY SIZE]], 0)</f>
        <v>139.5</v>
      </c>
    </row>
    <row r="1779" spans="1:11" x14ac:dyDescent="0.2">
      <c r="A1779">
        <v>14245045</v>
      </c>
      <c r="B1779">
        <v>26061989</v>
      </c>
      <c r="C1779">
        <v>3</v>
      </c>
      <c r="D1779">
        <v>1</v>
      </c>
      <c r="E1779">
        <v>2</v>
      </c>
      <c r="F1779">
        <v>9</v>
      </c>
      <c r="G1779">
        <v>3</v>
      </c>
      <c r="H1779" t="str">
        <f>IF(Demographics[[#This Row],[DOB]]&gt;10000000, TEXT(Demographics[[#This Row],[DOB]],0),CONCATENATE("0",TEXT(Demographics[[#This Row],[DOB]],0)))</f>
        <v>26061989</v>
      </c>
      <c r="I1779" s="4">
        <f ca="1">IFERROR((VALUE(TODAY()-DATE(RIGHT(Demographics[[#This Row],[DOB - Fixed]],4),MID(Demographics[[#This Row],[DOB - Fixed]],3,2),LEFT(Demographics[[#This Row],[DOB - Fixed]],2))))/365,0)</f>
        <v>34.224657534246575</v>
      </c>
      <c r="J1779">
        <f>VLOOKUP(Demographics[[#This Row],[INCOME LEVEL]],Income[],4,FALSE)</f>
        <v>697.5</v>
      </c>
      <c r="K1779">
        <f>IFERROR(Demographics[[#This Row],[Total monthly income]]/Demographics[[#This Row],[FAMILY SIZE]], 0)</f>
        <v>232.5</v>
      </c>
    </row>
    <row r="1780" spans="1:11" x14ac:dyDescent="0.2">
      <c r="A1780">
        <v>11575181</v>
      </c>
      <c r="B1780">
        <v>14021989</v>
      </c>
      <c r="C1780">
        <v>6</v>
      </c>
      <c r="D1780">
        <v>1</v>
      </c>
      <c r="E1780">
        <v>1</v>
      </c>
      <c r="F1780">
        <v>5</v>
      </c>
      <c r="G1780">
        <v>3</v>
      </c>
      <c r="H1780" t="str">
        <f>IF(Demographics[[#This Row],[DOB]]&gt;10000000, TEXT(Demographics[[#This Row],[DOB]],0),CONCATENATE("0",TEXT(Demographics[[#This Row],[DOB]],0)))</f>
        <v>14021989</v>
      </c>
      <c r="I1780" s="4">
        <f ca="1">IFERROR((VALUE(TODAY()-DATE(RIGHT(Demographics[[#This Row],[DOB - Fixed]],4),MID(Demographics[[#This Row],[DOB - Fixed]],3,2),LEFT(Demographics[[#This Row],[DOB - Fixed]],2))))/365,0)</f>
        <v>34.586301369863016</v>
      </c>
      <c r="J1780">
        <f>VLOOKUP(Demographics[[#This Row],[INCOME LEVEL]],Income[],4,FALSE)</f>
        <v>175</v>
      </c>
      <c r="K1780">
        <f>IFERROR(Demographics[[#This Row],[Total monthly income]]/Demographics[[#This Row],[FAMILY SIZE]], 0)</f>
        <v>29.166666666666668</v>
      </c>
    </row>
    <row r="1781" spans="1:11" x14ac:dyDescent="0.2">
      <c r="A1781">
        <v>359656</v>
      </c>
      <c r="B1781">
        <v>29051989</v>
      </c>
      <c r="C1781">
        <v>0</v>
      </c>
      <c r="D1781">
        <v>0</v>
      </c>
      <c r="E1781">
        <v>1</v>
      </c>
      <c r="F1781">
        <v>3</v>
      </c>
      <c r="G1781">
        <v>3</v>
      </c>
      <c r="H1781" t="str">
        <f>IF(Demographics[[#This Row],[DOB]]&gt;10000000, TEXT(Demographics[[#This Row],[DOB]],0),CONCATENATE("0",TEXT(Demographics[[#This Row],[DOB]],0)))</f>
        <v>29051989</v>
      </c>
      <c r="I1781" s="4">
        <f ca="1">IFERROR((VALUE(TODAY()-DATE(RIGHT(Demographics[[#This Row],[DOB - Fixed]],4),MID(Demographics[[#This Row],[DOB - Fixed]],3,2),LEFT(Demographics[[#This Row],[DOB - Fixed]],2))))/365,0)</f>
        <v>34.301369863013697</v>
      </c>
      <c r="J1781">
        <f>VLOOKUP(Demographics[[#This Row],[INCOME LEVEL]],Income[],4,FALSE)</f>
        <v>175</v>
      </c>
      <c r="K1781">
        <f>IFERROR(Demographics[[#This Row],[Total monthly income]]/Demographics[[#This Row],[FAMILY SIZE]], 0)</f>
        <v>0</v>
      </c>
    </row>
    <row r="1782" spans="1:11" x14ac:dyDescent="0.2">
      <c r="A1782">
        <v>15312683</v>
      </c>
      <c r="B1782">
        <v>6061989</v>
      </c>
      <c r="C1782">
        <v>0</v>
      </c>
      <c r="D1782">
        <v>0</v>
      </c>
      <c r="E1782">
        <v>1</v>
      </c>
      <c r="F1782">
        <v>0</v>
      </c>
      <c r="G1782">
        <v>0</v>
      </c>
      <c r="H1782" t="str">
        <f>IF(Demographics[[#This Row],[DOB]]&gt;10000000, TEXT(Demographics[[#This Row],[DOB]],0),CONCATENATE("0",TEXT(Demographics[[#This Row],[DOB]],0)))</f>
        <v>06061989</v>
      </c>
      <c r="I1782" s="4">
        <f ca="1">IFERROR((VALUE(TODAY()-DATE(RIGHT(Demographics[[#This Row],[DOB - Fixed]],4),MID(Demographics[[#This Row],[DOB - Fixed]],3,2),LEFT(Demographics[[#This Row],[DOB - Fixed]],2))))/365,0)</f>
        <v>34.279452054794518</v>
      </c>
      <c r="J1782">
        <f>VLOOKUP(Demographics[[#This Row],[INCOME LEVEL]],Income[],4,FALSE)</f>
        <v>175</v>
      </c>
      <c r="K1782">
        <f>IFERROR(Demographics[[#This Row],[Total monthly income]]/Demographics[[#This Row],[FAMILY SIZE]], 0)</f>
        <v>0</v>
      </c>
    </row>
    <row r="1783" spans="1:11" x14ac:dyDescent="0.2">
      <c r="A1783">
        <v>16814449</v>
      </c>
      <c r="B1783">
        <v>4051989</v>
      </c>
      <c r="C1783">
        <v>5</v>
      </c>
      <c r="D1783">
        <v>1</v>
      </c>
      <c r="E1783">
        <v>1</v>
      </c>
      <c r="F1783">
        <v>4</v>
      </c>
      <c r="G1783">
        <v>3</v>
      </c>
      <c r="H1783" t="str">
        <f>IF(Demographics[[#This Row],[DOB]]&gt;10000000, TEXT(Demographics[[#This Row],[DOB]],0),CONCATENATE("0",TEXT(Demographics[[#This Row],[DOB]],0)))</f>
        <v>04051989</v>
      </c>
      <c r="I1783" s="4">
        <f ca="1">IFERROR((VALUE(TODAY()-DATE(RIGHT(Demographics[[#This Row],[DOB - Fixed]],4),MID(Demographics[[#This Row],[DOB - Fixed]],3,2),LEFT(Demographics[[#This Row],[DOB - Fixed]],2))))/365,0)</f>
        <v>34.369863013698627</v>
      </c>
      <c r="J1783">
        <f>VLOOKUP(Demographics[[#This Row],[INCOME LEVEL]],Income[],4,FALSE)</f>
        <v>175</v>
      </c>
      <c r="K1783">
        <f>IFERROR(Demographics[[#This Row],[Total monthly income]]/Demographics[[#This Row],[FAMILY SIZE]], 0)</f>
        <v>35</v>
      </c>
    </row>
    <row r="1784" spans="1:11" x14ac:dyDescent="0.2">
      <c r="A1784">
        <v>23757376</v>
      </c>
      <c r="B1784">
        <v>7041989</v>
      </c>
      <c r="C1784">
        <v>5</v>
      </c>
      <c r="D1784">
        <v>1</v>
      </c>
      <c r="E1784">
        <v>1</v>
      </c>
      <c r="F1784">
        <v>2</v>
      </c>
      <c r="G1784">
        <v>2</v>
      </c>
      <c r="H1784" t="str">
        <f>IF(Demographics[[#This Row],[DOB]]&gt;10000000, TEXT(Demographics[[#This Row],[DOB]],0),CONCATENATE("0",TEXT(Demographics[[#This Row],[DOB]],0)))</f>
        <v>07041989</v>
      </c>
      <c r="I1784" s="4">
        <f ca="1">IFERROR((VALUE(TODAY()-DATE(RIGHT(Demographics[[#This Row],[DOB - Fixed]],4),MID(Demographics[[#This Row],[DOB - Fixed]],3,2),LEFT(Demographics[[#This Row],[DOB - Fixed]],2))))/365,0)</f>
        <v>34.443835616438356</v>
      </c>
      <c r="J1784">
        <f>VLOOKUP(Demographics[[#This Row],[INCOME LEVEL]],Income[],4,FALSE)</f>
        <v>175</v>
      </c>
      <c r="K1784">
        <f>IFERROR(Demographics[[#This Row],[Total monthly income]]/Demographics[[#This Row],[FAMILY SIZE]], 0)</f>
        <v>35</v>
      </c>
    </row>
    <row r="1785" spans="1:11" x14ac:dyDescent="0.2">
      <c r="A1785">
        <v>9972561</v>
      </c>
      <c r="B1785">
        <v>21061989</v>
      </c>
      <c r="C1785">
        <v>4</v>
      </c>
      <c r="D1785">
        <v>0</v>
      </c>
      <c r="E1785">
        <v>1</v>
      </c>
      <c r="F1785">
        <v>0</v>
      </c>
      <c r="G1785">
        <v>2</v>
      </c>
      <c r="H1785" t="str">
        <f>IF(Demographics[[#This Row],[DOB]]&gt;10000000, TEXT(Demographics[[#This Row],[DOB]],0),CONCATENATE("0",TEXT(Demographics[[#This Row],[DOB]],0)))</f>
        <v>21061989</v>
      </c>
      <c r="I1785" s="4">
        <f ca="1">IFERROR((VALUE(TODAY()-DATE(RIGHT(Demographics[[#This Row],[DOB - Fixed]],4),MID(Demographics[[#This Row],[DOB - Fixed]],3,2),LEFT(Demographics[[#This Row],[DOB - Fixed]],2))))/365,0)</f>
        <v>34.238356164383561</v>
      </c>
      <c r="J1785">
        <f>VLOOKUP(Demographics[[#This Row],[INCOME LEVEL]],Income[],4,FALSE)</f>
        <v>175</v>
      </c>
      <c r="K1785">
        <f>IFERROR(Demographics[[#This Row],[Total monthly income]]/Demographics[[#This Row],[FAMILY SIZE]], 0)</f>
        <v>43.75</v>
      </c>
    </row>
    <row r="1786" spans="1:11" x14ac:dyDescent="0.2">
      <c r="A1786">
        <v>15745970</v>
      </c>
      <c r="B1786">
        <v>14061989</v>
      </c>
      <c r="C1786">
        <v>4</v>
      </c>
      <c r="D1786">
        <v>2</v>
      </c>
      <c r="E1786">
        <v>1</v>
      </c>
      <c r="F1786">
        <v>0</v>
      </c>
      <c r="G1786">
        <v>4</v>
      </c>
      <c r="H1786" t="str">
        <f>IF(Demographics[[#This Row],[DOB]]&gt;10000000, TEXT(Demographics[[#This Row],[DOB]],0),CONCATENATE("0",TEXT(Demographics[[#This Row],[DOB]],0)))</f>
        <v>14061989</v>
      </c>
      <c r="I1786" s="4">
        <f ca="1">IFERROR((VALUE(TODAY()-DATE(RIGHT(Demographics[[#This Row],[DOB - Fixed]],4),MID(Demographics[[#This Row],[DOB - Fixed]],3,2),LEFT(Demographics[[#This Row],[DOB - Fixed]],2))))/365,0)</f>
        <v>34.257534246575339</v>
      </c>
      <c r="J1786">
        <f>VLOOKUP(Demographics[[#This Row],[INCOME LEVEL]],Income[],4,FALSE)</f>
        <v>175</v>
      </c>
      <c r="K1786">
        <f>IFERROR(Demographics[[#This Row],[Total monthly income]]/Demographics[[#This Row],[FAMILY SIZE]], 0)</f>
        <v>43.75</v>
      </c>
    </row>
    <row r="1787" spans="1:11" x14ac:dyDescent="0.2">
      <c r="A1787">
        <v>9438846</v>
      </c>
      <c r="B1787">
        <v>19061989</v>
      </c>
      <c r="C1787">
        <v>2</v>
      </c>
      <c r="D1787">
        <v>1</v>
      </c>
      <c r="E1787">
        <v>1</v>
      </c>
      <c r="F1787">
        <v>2</v>
      </c>
      <c r="G1787">
        <v>5</v>
      </c>
      <c r="H1787" t="str">
        <f>IF(Demographics[[#This Row],[DOB]]&gt;10000000, TEXT(Demographics[[#This Row],[DOB]],0),CONCATENATE("0",TEXT(Demographics[[#This Row],[DOB]],0)))</f>
        <v>19061989</v>
      </c>
      <c r="I1787" s="4">
        <f ca="1">IFERROR((VALUE(TODAY()-DATE(RIGHT(Demographics[[#This Row],[DOB - Fixed]],4),MID(Demographics[[#This Row],[DOB - Fixed]],3,2),LEFT(Demographics[[#This Row],[DOB - Fixed]],2))))/365,0)</f>
        <v>34.243835616438353</v>
      </c>
      <c r="J1787">
        <f>VLOOKUP(Demographics[[#This Row],[INCOME LEVEL]],Income[],4,FALSE)</f>
        <v>175</v>
      </c>
      <c r="K1787">
        <f>IFERROR(Demographics[[#This Row],[Total monthly income]]/Demographics[[#This Row],[FAMILY SIZE]], 0)</f>
        <v>87.5</v>
      </c>
    </row>
    <row r="1788" spans="1:11" x14ac:dyDescent="0.2">
      <c r="A1788">
        <v>23122676</v>
      </c>
      <c r="B1788">
        <v>2041989</v>
      </c>
      <c r="C1788">
        <v>3</v>
      </c>
      <c r="D1788">
        <v>1</v>
      </c>
      <c r="E1788">
        <v>1</v>
      </c>
      <c r="F1788">
        <v>8</v>
      </c>
      <c r="G1788">
        <v>4</v>
      </c>
      <c r="H1788" t="str">
        <f>IF(Demographics[[#This Row],[DOB]]&gt;10000000, TEXT(Demographics[[#This Row],[DOB]],0),CONCATENATE("0",TEXT(Demographics[[#This Row],[DOB]],0)))</f>
        <v>02041989</v>
      </c>
      <c r="I1788" s="4">
        <f ca="1">IFERROR((VALUE(TODAY()-DATE(RIGHT(Demographics[[#This Row],[DOB - Fixed]],4),MID(Demographics[[#This Row],[DOB - Fixed]],3,2),LEFT(Demographics[[#This Row],[DOB - Fixed]],2))))/365,0)</f>
        <v>34.457534246575342</v>
      </c>
      <c r="J1788">
        <f>VLOOKUP(Demographics[[#This Row],[INCOME LEVEL]],Income[],4,FALSE)</f>
        <v>175</v>
      </c>
      <c r="K1788">
        <f>IFERROR(Demographics[[#This Row],[Total monthly income]]/Demographics[[#This Row],[FAMILY SIZE]], 0)</f>
        <v>58.333333333333336</v>
      </c>
    </row>
    <row r="1789" spans="1:11" x14ac:dyDescent="0.2">
      <c r="A1789">
        <v>23656428</v>
      </c>
      <c r="B1789">
        <v>9111988</v>
      </c>
      <c r="C1789">
        <v>5</v>
      </c>
      <c r="D1789">
        <v>1</v>
      </c>
      <c r="E1789">
        <v>1</v>
      </c>
      <c r="F1789">
        <v>4</v>
      </c>
      <c r="G1789">
        <v>4</v>
      </c>
      <c r="H1789" t="str">
        <f>IF(Demographics[[#This Row],[DOB]]&gt;10000000, TEXT(Demographics[[#This Row],[DOB]],0),CONCATENATE("0",TEXT(Demographics[[#This Row],[DOB]],0)))</f>
        <v>09111988</v>
      </c>
      <c r="I1789" s="4">
        <f ca="1">IFERROR((VALUE(TODAY()-DATE(RIGHT(Demographics[[#This Row],[DOB - Fixed]],4),MID(Demographics[[#This Row],[DOB - Fixed]],3,2),LEFT(Demographics[[#This Row],[DOB - Fixed]],2))))/365,0)</f>
        <v>34.852054794520548</v>
      </c>
      <c r="J1789">
        <f>VLOOKUP(Demographics[[#This Row],[INCOME LEVEL]],Income[],4,FALSE)</f>
        <v>175</v>
      </c>
      <c r="K1789">
        <f>IFERROR(Demographics[[#This Row],[Total monthly income]]/Demographics[[#This Row],[FAMILY SIZE]], 0)</f>
        <v>35</v>
      </c>
    </row>
    <row r="1790" spans="1:11" x14ac:dyDescent="0.2">
      <c r="A1790">
        <v>15661129</v>
      </c>
      <c r="B1790">
        <v>24011989</v>
      </c>
      <c r="C1790">
        <v>5</v>
      </c>
      <c r="D1790">
        <v>2</v>
      </c>
      <c r="E1790">
        <v>1</v>
      </c>
      <c r="F1790">
        <v>3</v>
      </c>
      <c r="G1790">
        <v>3</v>
      </c>
      <c r="H1790" t="str">
        <f>IF(Demographics[[#This Row],[DOB]]&gt;10000000, TEXT(Demographics[[#This Row],[DOB]],0),CONCATENATE("0",TEXT(Demographics[[#This Row],[DOB]],0)))</f>
        <v>24011989</v>
      </c>
      <c r="I1790" s="4">
        <f ca="1">IFERROR((VALUE(TODAY()-DATE(RIGHT(Demographics[[#This Row],[DOB - Fixed]],4),MID(Demographics[[#This Row],[DOB - Fixed]],3,2),LEFT(Demographics[[#This Row],[DOB - Fixed]],2))))/365,0)</f>
        <v>34.643835616438359</v>
      </c>
      <c r="J1790">
        <f>VLOOKUP(Demographics[[#This Row],[INCOME LEVEL]],Income[],4,FALSE)</f>
        <v>175</v>
      </c>
      <c r="K1790">
        <f>IFERROR(Demographics[[#This Row],[Total monthly income]]/Demographics[[#This Row],[FAMILY SIZE]], 0)</f>
        <v>35</v>
      </c>
    </row>
    <row r="1791" spans="1:11" x14ac:dyDescent="0.2">
      <c r="A1791">
        <v>15127344</v>
      </c>
      <c r="B1791">
        <v>15101988</v>
      </c>
      <c r="C1791">
        <v>8</v>
      </c>
      <c r="D1791">
        <v>1</v>
      </c>
      <c r="E1791">
        <v>1</v>
      </c>
      <c r="F1791">
        <v>1</v>
      </c>
      <c r="G1791">
        <v>8</v>
      </c>
      <c r="H1791" t="str">
        <f>IF(Demographics[[#This Row],[DOB]]&gt;10000000, TEXT(Demographics[[#This Row],[DOB]],0),CONCATENATE("0",TEXT(Demographics[[#This Row],[DOB]],0)))</f>
        <v>15101988</v>
      </c>
      <c r="I1791" s="4">
        <f ca="1">IFERROR((VALUE(TODAY()-DATE(RIGHT(Demographics[[#This Row],[DOB - Fixed]],4),MID(Demographics[[#This Row],[DOB - Fixed]],3,2),LEFT(Demographics[[#This Row],[DOB - Fixed]],2))))/365,0)</f>
        <v>34.920547945205477</v>
      </c>
      <c r="J1791">
        <f>VLOOKUP(Demographics[[#This Row],[INCOME LEVEL]],Income[],4,FALSE)</f>
        <v>175</v>
      </c>
      <c r="K1791">
        <f>IFERROR(Demographics[[#This Row],[Total monthly income]]/Demographics[[#This Row],[FAMILY SIZE]], 0)</f>
        <v>21.875</v>
      </c>
    </row>
    <row r="1792" spans="1:11" x14ac:dyDescent="0.2">
      <c r="A1792">
        <v>24970245</v>
      </c>
      <c r="B1792">
        <v>5071988</v>
      </c>
      <c r="C1792">
        <v>5</v>
      </c>
      <c r="D1792">
        <v>1</v>
      </c>
      <c r="E1792">
        <v>1</v>
      </c>
      <c r="F1792">
        <v>5</v>
      </c>
      <c r="G1792">
        <v>5</v>
      </c>
      <c r="H1792" t="str">
        <f>IF(Demographics[[#This Row],[DOB]]&gt;10000000, TEXT(Demographics[[#This Row],[DOB]],0),CONCATENATE("0",TEXT(Demographics[[#This Row],[DOB]],0)))</f>
        <v>05071988</v>
      </c>
      <c r="I1792" s="4">
        <f ca="1">IFERROR((VALUE(TODAY()-DATE(RIGHT(Demographics[[#This Row],[DOB - Fixed]],4),MID(Demographics[[#This Row],[DOB - Fixed]],3,2),LEFT(Demographics[[#This Row],[DOB - Fixed]],2))))/365,0)</f>
        <v>35.200000000000003</v>
      </c>
      <c r="J1792">
        <f>VLOOKUP(Demographics[[#This Row],[INCOME LEVEL]],Income[],4,FALSE)</f>
        <v>175</v>
      </c>
      <c r="K1792">
        <f>IFERROR(Demographics[[#This Row],[Total monthly income]]/Demographics[[#This Row],[FAMILY SIZE]], 0)</f>
        <v>35</v>
      </c>
    </row>
    <row r="1793" spans="1:11" x14ac:dyDescent="0.2">
      <c r="A1793">
        <v>23037134</v>
      </c>
      <c r="B1793">
        <v>28031989</v>
      </c>
      <c r="C1793">
        <v>6</v>
      </c>
      <c r="D1793">
        <v>1</v>
      </c>
      <c r="E1793">
        <v>1</v>
      </c>
      <c r="F1793">
        <v>3</v>
      </c>
      <c r="G1793">
        <v>3</v>
      </c>
      <c r="H1793" t="str">
        <f>IF(Demographics[[#This Row],[DOB]]&gt;10000000, TEXT(Demographics[[#This Row],[DOB]],0),CONCATENATE("0",TEXT(Demographics[[#This Row],[DOB]],0)))</f>
        <v>28031989</v>
      </c>
      <c r="I1793" s="4">
        <f ca="1">IFERROR((VALUE(TODAY()-DATE(RIGHT(Demographics[[#This Row],[DOB - Fixed]],4),MID(Demographics[[#This Row],[DOB - Fixed]],3,2),LEFT(Demographics[[#This Row],[DOB - Fixed]],2))))/365,0)</f>
        <v>34.471232876712328</v>
      </c>
      <c r="J1793">
        <f>VLOOKUP(Demographics[[#This Row],[INCOME LEVEL]],Income[],4,FALSE)</f>
        <v>175</v>
      </c>
      <c r="K1793">
        <f>IFERROR(Demographics[[#This Row],[Total monthly income]]/Demographics[[#This Row],[FAMILY SIZE]], 0)</f>
        <v>29.166666666666668</v>
      </c>
    </row>
    <row r="1794" spans="1:11" x14ac:dyDescent="0.2">
      <c r="A1794">
        <v>22935468</v>
      </c>
      <c r="B1794">
        <v>6061989</v>
      </c>
      <c r="C1794">
        <v>6</v>
      </c>
      <c r="D1794">
        <v>2</v>
      </c>
      <c r="E1794">
        <v>1</v>
      </c>
      <c r="F1794">
        <v>9</v>
      </c>
      <c r="G1794">
        <v>5</v>
      </c>
      <c r="H1794" t="str">
        <f>IF(Demographics[[#This Row],[DOB]]&gt;10000000, TEXT(Demographics[[#This Row],[DOB]],0),CONCATENATE("0",TEXT(Demographics[[#This Row],[DOB]],0)))</f>
        <v>06061989</v>
      </c>
      <c r="I1794" s="4">
        <f ca="1">IFERROR((VALUE(TODAY()-DATE(RIGHT(Demographics[[#This Row],[DOB - Fixed]],4),MID(Demographics[[#This Row],[DOB - Fixed]],3,2),LEFT(Demographics[[#This Row],[DOB - Fixed]],2))))/365,0)</f>
        <v>34.279452054794518</v>
      </c>
      <c r="J1794">
        <f>VLOOKUP(Demographics[[#This Row],[INCOME LEVEL]],Income[],4,FALSE)</f>
        <v>175</v>
      </c>
      <c r="K1794">
        <f>IFERROR(Demographics[[#This Row],[Total monthly income]]/Demographics[[#This Row],[FAMILY SIZE]], 0)</f>
        <v>29.166666666666668</v>
      </c>
    </row>
    <row r="1795" spans="1:11" x14ac:dyDescent="0.2">
      <c r="A1795">
        <v>14390494</v>
      </c>
      <c r="B1795">
        <v>18061989</v>
      </c>
      <c r="C1795">
        <v>5</v>
      </c>
      <c r="D1795">
        <v>1</v>
      </c>
      <c r="E1795">
        <v>1</v>
      </c>
      <c r="F1795">
        <v>4</v>
      </c>
      <c r="G1795">
        <v>4</v>
      </c>
      <c r="H1795" t="str">
        <f>IF(Demographics[[#This Row],[DOB]]&gt;10000000, TEXT(Demographics[[#This Row],[DOB]],0),CONCATENATE("0",TEXT(Demographics[[#This Row],[DOB]],0)))</f>
        <v>18061989</v>
      </c>
      <c r="I1795" s="4">
        <f ca="1">IFERROR((VALUE(TODAY()-DATE(RIGHT(Demographics[[#This Row],[DOB - Fixed]],4),MID(Demographics[[#This Row],[DOB - Fixed]],3,2),LEFT(Demographics[[#This Row],[DOB - Fixed]],2))))/365,0)</f>
        <v>34.246575342465754</v>
      </c>
      <c r="J1795">
        <f>VLOOKUP(Demographics[[#This Row],[INCOME LEVEL]],Income[],4,FALSE)</f>
        <v>175</v>
      </c>
      <c r="K1795">
        <f>IFERROR(Demographics[[#This Row],[Total monthly income]]/Demographics[[#This Row],[FAMILY SIZE]], 0)</f>
        <v>35</v>
      </c>
    </row>
    <row r="1796" spans="1:11" x14ac:dyDescent="0.2">
      <c r="A1796">
        <v>13423811</v>
      </c>
      <c r="B1796">
        <v>7031989</v>
      </c>
      <c r="C1796">
        <v>3</v>
      </c>
      <c r="D1796">
        <v>1</v>
      </c>
      <c r="E1796">
        <v>1</v>
      </c>
      <c r="F1796">
        <v>2</v>
      </c>
      <c r="G1796">
        <v>3</v>
      </c>
      <c r="H1796" t="str">
        <f>IF(Demographics[[#This Row],[DOB]]&gt;10000000, TEXT(Demographics[[#This Row],[DOB]],0),CONCATENATE("0",TEXT(Demographics[[#This Row],[DOB]],0)))</f>
        <v>07031989</v>
      </c>
      <c r="I1796" s="4">
        <f ca="1">IFERROR((VALUE(TODAY()-DATE(RIGHT(Demographics[[#This Row],[DOB - Fixed]],4),MID(Demographics[[#This Row],[DOB - Fixed]],3,2),LEFT(Demographics[[#This Row],[DOB - Fixed]],2))))/365,0)</f>
        <v>34.528767123287672</v>
      </c>
      <c r="J1796">
        <f>VLOOKUP(Demographics[[#This Row],[INCOME LEVEL]],Income[],4,FALSE)</f>
        <v>175</v>
      </c>
      <c r="K1796">
        <f>IFERROR(Demographics[[#This Row],[Total monthly income]]/Demographics[[#This Row],[FAMILY SIZE]], 0)</f>
        <v>58.333333333333336</v>
      </c>
    </row>
    <row r="1797" spans="1:11" x14ac:dyDescent="0.2">
      <c r="A1797">
        <v>24638959</v>
      </c>
      <c r="B1797">
        <v>1061988</v>
      </c>
      <c r="C1797">
        <v>6</v>
      </c>
      <c r="D1797">
        <v>1</v>
      </c>
      <c r="E1797">
        <v>2</v>
      </c>
      <c r="F1797">
        <v>5</v>
      </c>
      <c r="G1797">
        <v>3</v>
      </c>
      <c r="H1797" t="str">
        <f>IF(Demographics[[#This Row],[DOB]]&gt;10000000, TEXT(Demographics[[#This Row],[DOB]],0),CONCATENATE("0",TEXT(Demographics[[#This Row],[DOB]],0)))</f>
        <v>01061988</v>
      </c>
      <c r="I1797" s="4">
        <f ca="1">IFERROR((VALUE(TODAY()-DATE(RIGHT(Demographics[[#This Row],[DOB - Fixed]],4),MID(Demographics[[#This Row],[DOB - Fixed]],3,2),LEFT(Demographics[[#This Row],[DOB - Fixed]],2))))/365,0)</f>
        <v>35.293150684931504</v>
      </c>
      <c r="J1797">
        <f>VLOOKUP(Demographics[[#This Row],[INCOME LEVEL]],Income[],4,FALSE)</f>
        <v>697.5</v>
      </c>
      <c r="K1797">
        <f>IFERROR(Demographics[[#This Row],[Total monthly income]]/Demographics[[#This Row],[FAMILY SIZE]], 0)</f>
        <v>116.25</v>
      </c>
    </row>
    <row r="1798" spans="1:11" x14ac:dyDescent="0.2">
      <c r="A1798">
        <v>6137415</v>
      </c>
      <c r="B1798">
        <v>29091988</v>
      </c>
      <c r="C1798">
        <v>4</v>
      </c>
      <c r="D1798">
        <v>2</v>
      </c>
      <c r="E1798">
        <v>1</v>
      </c>
      <c r="F1798">
        <v>5</v>
      </c>
      <c r="G1798">
        <v>3</v>
      </c>
      <c r="H1798" t="str">
        <f>IF(Demographics[[#This Row],[DOB]]&gt;10000000, TEXT(Demographics[[#This Row],[DOB]],0),CONCATENATE("0",TEXT(Demographics[[#This Row],[DOB]],0)))</f>
        <v>29091988</v>
      </c>
      <c r="I1798" s="4">
        <f ca="1">IFERROR((VALUE(TODAY()-DATE(RIGHT(Demographics[[#This Row],[DOB - Fixed]],4),MID(Demographics[[#This Row],[DOB - Fixed]],3,2),LEFT(Demographics[[#This Row],[DOB - Fixed]],2))))/365,0)</f>
        <v>34.964383561643835</v>
      </c>
      <c r="J1798">
        <f>VLOOKUP(Demographics[[#This Row],[INCOME LEVEL]],Income[],4,FALSE)</f>
        <v>175</v>
      </c>
      <c r="K1798">
        <f>IFERROR(Demographics[[#This Row],[Total monthly income]]/Demographics[[#This Row],[FAMILY SIZE]], 0)</f>
        <v>43.75</v>
      </c>
    </row>
    <row r="1799" spans="1:11" x14ac:dyDescent="0.2">
      <c r="A1799">
        <v>24310232</v>
      </c>
      <c r="B1799">
        <v>6111988</v>
      </c>
      <c r="C1799">
        <v>4</v>
      </c>
      <c r="D1799">
        <v>1</v>
      </c>
      <c r="E1799">
        <v>1</v>
      </c>
      <c r="F1799">
        <v>5</v>
      </c>
      <c r="G1799">
        <v>5</v>
      </c>
      <c r="H1799" t="str">
        <f>IF(Demographics[[#This Row],[DOB]]&gt;10000000, TEXT(Demographics[[#This Row],[DOB]],0),CONCATENATE("0",TEXT(Demographics[[#This Row],[DOB]],0)))</f>
        <v>06111988</v>
      </c>
      <c r="I1799" s="4">
        <f ca="1">IFERROR((VALUE(TODAY()-DATE(RIGHT(Demographics[[#This Row],[DOB - Fixed]],4),MID(Demographics[[#This Row],[DOB - Fixed]],3,2),LEFT(Demographics[[#This Row],[DOB - Fixed]],2))))/365,0)</f>
        <v>34.860273972602741</v>
      </c>
      <c r="J1799">
        <f>VLOOKUP(Demographics[[#This Row],[INCOME LEVEL]],Income[],4,FALSE)</f>
        <v>175</v>
      </c>
      <c r="K1799">
        <f>IFERROR(Demographics[[#This Row],[Total monthly income]]/Demographics[[#This Row],[FAMILY SIZE]], 0)</f>
        <v>43.75</v>
      </c>
    </row>
    <row r="1800" spans="1:11" x14ac:dyDescent="0.2">
      <c r="A1800">
        <v>20572476</v>
      </c>
      <c r="B1800">
        <v>20101988</v>
      </c>
      <c r="C1800">
        <v>8</v>
      </c>
      <c r="D1800">
        <v>2</v>
      </c>
      <c r="E1800">
        <v>1</v>
      </c>
      <c r="F1800">
        <v>2</v>
      </c>
      <c r="G1800">
        <v>2</v>
      </c>
      <c r="H1800" t="str">
        <f>IF(Demographics[[#This Row],[DOB]]&gt;10000000, TEXT(Demographics[[#This Row],[DOB]],0),CONCATENATE("0",TEXT(Demographics[[#This Row],[DOB]],0)))</f>
        <v>20101988</v>
      </c>
      <c r="I1800" s="4">
        <f ca="1">IFERROR((VALUE(TODAY()-DATE(RIGHT(Demographics[[#This Row],[DOB - Fixed]],4),MID(Demographics[[#This Row],[DOB - Fixed]],3,2),LEFT(Demographics[[#This Row],[DOB - Fixed]],2))))/365,0)</f>
        <v>34.906849315068492</v>
      </c>
      <c r="J1800">
        <f>VLOOKUP(Demographics[[#This Row],[INCOME LEVEL]],Income[],4,FALSE)</f>
        <v>175</v>
      </c>
      <c r="K1800">
        <f>IFERROR(Demographics[[#This Row],[Total monthly income]]/Demographics[[#This Row],[FAMILY SIZE]], 0)</f>
        <v>21.875</v>
      </c>
    </row>
    <row r="1801" spans="1:11" x14ac:dyDescent="0.2">
      <c r="A1801">
        <v>18334643</v>
      </c>
      <c r="B1801">
        <v>22071988</v>
      </c>
      <c r="C1801">
        <v>4</v>
      </c>
      <c r="D1801">
        <v>1</v>
      </c>
      <c r="E1801">
        <v>1</v>
      </c>
      <c r="F1801">
        <v>1</v>
      </c>
      <c r="G1801">
        <v>2</v>
      </c>
      <c r="H1801" t="str">
        <f>IF(Demographics[[#This Row],[DOB]]&gt;10000000, TEXT(Demographics[[#This Row],[DOB]],0),CONCATENATE("0",TEXT(Demographics[[#This Row],[DOB]],0)))</f>
        <v>22071988</v>
      </c>
      <c r="I1801" s="4">
        <f ca="1">IFERROR((VALUE(TODAY()-DATE(RIGHT(Demographics[[#This Row],[DOB - Fixed]],4),MID(Demographics[[#This Row],[DOB - Fixed]],3,2),LEFT(Demographics[[#This Row],[DOB - Fixed]],2))))/365,0)</f>
        <v>35.153424657534245</v>
      </c>
      <c r="J1801">
        <f>VLOOKUP(Demographics[[#This Row],[INCOME LEVEL]],Income[],4,FALSE)</f>
        <v>175</v>
      </c>
      <c r="K1801">
        <f>IFERROR(Demographics[[#This Row],[Total monthly income]]/Demographics[[#This Row],[FAMILY SIZE]], 0)</f>
        <v>43.75</v>
      </c>
    </row>
    <row r="1802" spans="1:11" x14ac:dyDescent="0.2">
      <c r="A1802">
        <v>2571944</v>
      </c>
      <c r="B1802">
        <v>3061988</v>
      </c>
      <c r="C1802">
        <v>8</v>
      </c>
      <c r="D1802">
        <v>1</v>
      </c>
      <c r="E1802">
        <v>1</v>
      </c>
      <c r="F1802">
        <v>3</v>
      </c>
      <c r="G1802">
        <v>4</v>
      </c>
      <c r="H1802" t="str">
        <f>IF(Demographics[[#This Row],[DOB]]&gt;10000000, TEXT(Demographics[[#This Row],[DOB]],0),CONCATENATE("0",TEXT(Demographics[[#This Row],[DOB]],0)))</f>
        <v>03061988</v>
      </c>
      <c r="I1802" s="4">
        <f ca="1">IFERROR((VALUE(TODAY()-DATE(RIGHT(Demographics[[#This Row],[DOB - Fixed]],4),MID(Demographics[[#This Row],[DOB - Fixed]],3,2),LEFT(Demographics[[#This Row],[DOB - Fixed]],2))))/365,0)</f>
        <v>35.287671232876711</v>
      </c>
      <c r="J1802">
        <f>VLOOKUP(Demographics[[#This Row],[INCOME LEVEL]],Income[],4,FALSE)</f>
        <v>175</v>
      </c>
      <c r="K1802">
        <f>IFERROR(Demographics[[#This Row],[Total monthly income]]/Demographics[[#This Row],[FAMILY SIZE]], 0)</f>
        <v>21.875</v>
      </c>
    </row>
    <row r="1803" spans="1:11" x14ac:dyDescent="0.2">
      <c r="A1803">
        <v>14491601</v>
      </c>
      <c r="B1803">
        <v>5021989</v>
      </c>
      <c r="C1803">
        <v>4</v>
      </c>
      <c r="D1803">
        <v>1</v>
      </c>
      <c r="E1803">
        <v>2</v>
      </c>
      <c r="F1803">
        <v>0</v>
      </c>
      <c r="G1803">
        <v>0</v>
      </c>
      <c r="H1803" t="str">
        <f>IF(Demographics[[#This Row],[DOB]]&gt;10000000, TEXT(Demographics[[#This Row],[DOB]],0),CONCATENATE("0",TEXT(Demographics[[#This Row],[DOB]],0)))</f>
        <v>05021989</v>
      </c>
      <c r="I1803" s="4">
        <f ca="1">IFERROR((VALUE(TODAY()-DATE(RIGHT(Demographics[[#This Row],[DOB - Fixed]],4),MID(Demographics[[#This Row],[DOB - Fixed]],3,2),LEFT(Demographics[[#This Row],[DOB - Fixed]],2))))/365,0)</f>
        <v>34.610958904109587</v>
      </c>
      <c r="J1803">
        <f>VLOOKUP(Demographics[[#This Row],[INCOME LEVEL]],Income[],4,FALSE)</f>
        <v>697.5</v>
      </c>
      <c r="K1803">
        <f>IFERROR(Demographics[[#This Row],[Total monthly income]]/Demographics[[#This Row],[FAMILY SIZE]], 0)</f>
        <v>174.375</v>
      </c>
    </row>
    <row r="1804" spans="1:11" x14ac:dyDescent="0.2">
      <c r="A1804">
        <v>12731075</v>
      </c>
      <c r="B1804">
        <v>22121988</v>
      </c>
      <c r="C1804">
        <v>5</v>
      </c>
      <c r="D1804">
        <v>1</v>
      </c>
      <c r="E1804">
        <v>1</v>
      </c>
      <c r="F1804">
        <v>5</v>
      </c>
      <c r="G1804">
        <v>4</v>
      </c>
      <c r="H1804" t="str">
        <f>IF(Demographics[[#This Row],[DOB]]&gt;10000000, TEXT(Demographics[[#This Row],[DOB]],0),CONCATENATE("0",TEXT(Demographics[[#This Row],[DOB]],0)))</f>
        <v>22121988</v>
      </c>
      <c r="I1804" s="4">
        <f ca="1">IFERROR((VALUE(TODAY()-DATE(RIGHT(Demographics[[#This Row],[DOB - Fixed]],4),MID(Demographics[[#This Row],[DOB - Fixed]],3,2),LEFT(Demographics[[#This Row],[DOB - Fixed]],2))))/365,0)</f>
        <v>34.734246575342468</v>
      </c>
      <c r="J1804">
        <f>VLOOKUP(Demographics[[#This Row],[INCOME LEVEL]],Income[],4,FALSE)</f>
        <v>175</v>
      </c>
      <c r="K1804">
        <f>IFERROR(Demographics[[#This Row],[Total monthly income]]/Demographics[[#This Row],[FAMILY SIZE]], 0)</f>
        <v>35</v>
      </c>
    </row>
    <row r="1805" spans="1:11" x14ac:dyDescent="0.2">
      <c r="A1805">
        <v>17238359</v>
      </c>
      <c r="B1805">
        <v>11021989</v>
      </c>
      <c r="C1805">
        <v>4</v>
      </c>
      <c r="D1805">
        <v>1</v>
      </c>
      <c r="E1805">
        <v>1</v>
      </c>
      <c r="F1805">
        <v>5</v>
      </c>
      <c r="G1805">
        <v>5</v>
      </c>
      <c r="H1805" t="str">
        <f>IF(Demographics[[#This Row],[DOB]]&gt;10000000, TEXT(Demographics[[#This Row],[DOB]],0),CONCATENATE("0",TEXT(Demographics[[#This Row],[DOB]],0)))</f>
        <v>11021989</v>
      </c>
      <c r="I1805" s="4">
        <f ca="1">IFERROR((VALUE(TODAY()-DATE(RIGHT(Demographics[[#This Row],[DOB - Fixed]],4),MID(Demographics[[#This Row],[DOB - Fixed]],3,2),LEFT(Demographics[[#This Row],[DOB - Fixed]],2))))/365,0)</f>
        <v>34.594520547945208</v>
      </c>
      <c r="J1805">
        <f>VLOOKUP(Demographics[[#This Row],[INCOME LEVEL]],Income[],4,FALSE)</f>
        <v>175</v>
      </c>
      <c r="K1805">
        <f>IFERROR(Demographics[[#This Row],[Total monthly income]]/Demographics[[#This Row],[FAMILY SIZE]], 0)</f>
        <v>43.75</v>
      </c>
    </row>
    <row r="1806" spans="1:11" x14ac:dyDescent="0.2">
      <c r="A1806">
        <v>15785555</v>
      </c>
      <c r="B1806">
        <v>22121988</v>
      </c>
      <c r="C1806">
        <v>5</v>
      </c>
      <c r="D1806">
        <v>2</v>
      </c>
      <c r="E1806">
        <v>3</v>
      </c>
      <c r="F1806">
        <v>9</v>
      </c>
      <c r="G1806">
        <v>9</v>
      </c>
      <c r="H1806" t="str">
        <f>IF(Demographics[[#This Row],[DOB]]&gt;10000000, TEXT(Demographics[[#This Row],[DOB]],0),CONCATENATE("0",TEXT(Demographics[[#This Row],[DOB]],0)))</f>
        <v>22121988</v>
      </c>
      <c r="I1806" s="4">
        <f ca="1">IFERROR((VALUE(TODAY()-DATE(RIGHT(Demographics[[#This Row],[DOB - Fixed]],4),MID(Demographics[[#This Row],[DOB - Fixed]],3,2),LEFT(Demographics[[#This Row],[DOB - Fixed]],2))))/365,0)</f>
        <v>34.734246575342468</v>
      </c>
      <c r="J1806">
        <f>VLOOKUP(Demographics[[#This Row],[INCOME LEVEL]],Income[],4,FALSE)</f>
        <v>1397.5</v>
      </c>
      <c r="K1806">
        <f>IFERROR(Demographics[[#This Row],[Total monthly income]]/Demographics[[#This Row],[FAMILY SIZE]], 0)</f>
        <v>279.5</v>
      </c>
    </row>
    <row r="1807" spans="1:11" x14ac:dyDescent="0.2">
      <c r="A1807">
        <v>16190888</v>
      </c>
      <c r="B1807">
        <v>28021989</v>
      </c>
      <c r="C1807">
        <v>4</v>
      </c>
      <c r="D1807">
        <v>1</v>
      </c>
      <c r="E1807">
        <v>1</v>
      </c>
      <c r="F1807">
        <v>5</v>
      </c>
      <c r="G1807">
        <v>3</v>
      </c>
      <c r="H1807" t="str">
        <f>IF(Demographics[[#This Row],[DOB]]&gt;10000000, TEXT(Demographics[[#This Row],[DOB]],0),CONCATENATE("0",TEXT(Demographics[[#This Row],[DOB]],0)))</f>
        <v>28021989</v>
      </c>
      <c r="I1807" s="4">
        <f ca="1">IFERROR((VALUE(TODAY()-DATE(RIGHT(Demographics[[#This Row],[DOB - Fixed]],4),MID(Demographics[[#This Row],[DOB - Fixed]],3,2),LEFT(Demographics[[#This Row],[DOB - Fixed]],2))))/365,0)</f>
        <v>34.547945205479451</v>
      </c>
      <c r="J1807">
        <f>VLOOKUP(Demographics[[#This Row],[INCOME LEVEL]],Income[],4,FALSE)</f>
        <v>175</v>
      </c>
      <c r="K1807">
        <f>IFERROR(Demographics[[#This Row],[Total monthly income]]/Demographics[[#This Row],[FAMILY SIZE]], 0)</f>
        <v>43.75</v>
      </c>
    </row>
    <row r="1808" spans="1:11" x14ac:dyDescent="0.2">
      <c r="A1808">
        <v>14733212</v>
      </c>
      <c r="B1808">
        <v>31121988</v>
      </c>
      <c r="C1808">
        <v>6</v>
      </c>
      <c r="D1808">
        <v>2</v>
      </c>
      <c r="E1808">
        <v>2</v>
      </c>
      <c r="F1808">
        <v>7</v>
      </c>
      <c r="G1808">
        <v>8</v>
      </c>
      <c r="H1808" t="str">
        <f>IF(Demographics[[#This Row],[DOB]]&gt;10000000, TEXT(Demographics[[#This Row],[DOB]],0),CONCATENATE("0",TEXT(Demographics[[#This Row],[DOB]],0)))</f>
        <v>31121988</v>
      </c>
      <c r="I1808" s="4">
        <f ca="1">IFERROR((VALUE(TODAY()-DATE(RIGHT(Demographics[[#This Row],[DOB - Fixed]],4),MID(Demographics[[#This Row],[DOB - Fixed]],3,2),LEFT(Demographics[[#This Row],[DOB - Fixed]],2))))/365,0)</f>
        <v>34.709589041095889</v>
      </c>
      <c r="J1808">
        <f>VLOOKUP(Demographics[[#This Row],[INCOME LEVEL]],Income[],4,FALSE)</f>
        <v>697.5</v>
      </c>
      <c r="K1808">
        <f>IFERROR(Demographics[[#This Row],[Total monthly income]]/Demographics[[#This Row],[FAMILY SIZE]], 0)</f>
        <v>116.25</v>
      </c>
    </row>
    <row r="1809" spans="1:11" x14ac:dyDescent="0.2">
      <c r="A1809">
        <v>13307199</v>
      </c>
      <c r="B1809">
        <v>26111987</v>
      </c>
      <c r="C1809">
        <v>3</v>
      </c>
      <c r="D1809">
        <v>1</v>
      </c>
      <c r="E1809">
        <v>2</v>
      </c>
      <c r="F1809">
        <v>9</v>
      </c>
      <c r="G1809">
        <v>4</v>
      </c>
      <c r="H1809" t="str">
        <f>IF(Demographics[[#This Row],[DOB]]&gt;10000000, TEXT(Demographics[[#This Row],[DOB]],0),CONCATENATE("0",TEXT(Demographics[[#This Row],[DOB]],0)))</f>
        <v>26111987</v>
      </c>
      <c r="I1809" s="4">
        <f ca="1">IFERROR((VALUE(TODAY()-DATE(RIGHT(Demographics[[#This Row],[DOB - Fixed]],4),MID(Demographics[[#This Row],[DOB - Fixed]],3,2),LEFT(Demographics[[#This Row],[DOB - Fixed]],2))))/365,0)</f>
        <v>35.80821917808219</v>
      </c>
      <c r="J1809">
        <f>VLOOKUP(Demographics[[#This Row],[INCOME LEVEL]],Income[],4,FALSE)</f>
        <v>697.5</v>
      </c>
      <c r="K1809">
        <f>IFERROR(Demographics[[#This Row],[Total monthly income]]/Demographics[[#This Row],[FAMILY SIZE]], 0)</f>
        <v>232.5</v>
      </c>
    </row>
    <row r="1810" spans="1:11" x14ac:dyDescent="0.2">
      <c r="A1810">
        <v>18234278</v>
      </c>
      <c r="B1810">
        <v>14121988</v>
      </c>
      <c r="C1810">
        <v>4</v>
      </c>
      <c r="D1810">
        <v>1</v>
      </c>
      <c r="E1810">
        <v>2</v>
      </c>
      <c r="F1810">
        <v>5</v>
      </c>
      <c r="G1810">
        <v>4</v>
      </c>
      <c r="H1810" t="str">
        <f>IF(Demographics[[#This Row],[DOB]]&gt;10000000, TEXT(Demographics[[#This Row],[DOB]],0),CONCATENATE("0",TEXT(Demographics[[#This Row],[DOB]],0)))</f>
        <v>14121988</v>
      </c>
      <c r="I1810" s="4">
        <f ca="1">IFERROR((VALUE(TODAY()-DATE(RIGHT(Demographics[[#This Row],[DOB - Fixed]],4),MID(Demographics[[#This Row],[DOB - Fixed]],3,2),LEFT(Demographics[[#This Row],[DOB - Fixed]],2))))/365,0)</f>
        <v>34.756164383561647</v>
      </c>
      <c r="J1810">
        <f>VLOOKUP(Demographics[[#This Row],[INCOME LEVEL]],Income[],4,FALSE)</f>
        <v>697.5</v>
      </c>
      <c r="K1810">
        <f>IFERROR(Demographics[[#This Row],[Total monthly income]]/Demographics[[#This Row],[FAMILY SIZE]], 0)</f>
        <v>174.375</v>
      </c>
    </row>
    <row r="1811" spans="1:11" x14ac:dyDescent="0.2">
      <c r="A1811">
        <v>20819559</v>
      </c>
      <c r="B1811">
        <v>29031989</v>
      </c>
      <c r="C1811">
        <v>7</v>
      </c>
      <c r="D1811">
        <v>1</v>
      </c>
      <c r="E1811">
        <v>3</v>
      </c>
      <c r="F1811">
        <v>9</v>
      </c>
      <c r="G1811">
        <v>8</v>
      </c>
      <c r="H1811" t="str">
        <f>IF(Demographics[[#This Row],[DOB]]&gt;10000000, TEXT(Demographics[[#This Row],[DOB]],0),CONCATENATE("0",TEXT(Demographics[[#This Row],[DOB]],0)))</f>
        <v>29031989</v>
      </c>
      <c r="I1811" s="4">
        <f ca="1">IFERROR((VALUE(TODAY()-DATE(RIGHT(Demographics[[#This Row],[DOB - Fixed]],4),MID(Demographics[[#This Row],[DOB - Fixed]],3,2),LEFT(Demographics[[#This Row],[DOB - Fixed]],2))))/365,0)</f>
        <v>34.468493150684928</v>
      </c>
      <c r="J1811">
        <f>VLOOKUP(Demographics[[#This Row],[INCOME LEVEL]],Income[],4,FALSE)</f>
        <v>1397.5</v>
      </c>
      <c r="K1811">
        <f>IFERROR(Demographics[[#This Row],[Total monthly income]]/Demographics[[#This Row],[FAMILY SIZE]], 0)</f>
        <v>199.64285714285714</v>
      </c>
    </row>
    <row r="1812" spans="1:11" x14ac:dyDescent="0.2">
      <c r="A1812">
        <v>12910089</v>
      </c>
      <c r="B1812">
        <v>31051989</v>
      </c>
      <c r="C1812">
        <v>4</v>
      </c>
      <c r="D1812">
        <v>1</v>
      </c>
      <c r="E1812">
        <v>2</v>
      </c>
      <c r="F1812">
        <v>5</v>
      </c>
      <c r="G1812">
        <v>4</v>
      </c>
      <c r="H1812" t="str">
        <f>IF(Demographics[[#This Row],[DOB]]&gt;10000000, TEXT(Demographics[[#This Row],[DOB]],0),CONCATENATE("0",TEXT(Demographics[[#This Row],[DOB]],0)))</f>
        <v>31051989</v>
      </c>
      <c r="I1812" s="4">
        <f ca="1">IFERROR((VALUE(TODAY()-DATE(RIGHT(Demographics[[#This Row],[DOB - Fixed]],4),MID(Demographics[[#This Row],[DOB - Fixed]],3,2),LEFT(Demographics[[#This Row],[DOB - Fixed]],2))))/365,0)</f>
        <v>34.295890410958904</v>
      </c>
      <c r="J1812">
        <f>VLOOKUP(Demographics[[#This Row],[INCOME LEVEL]],Income[],4,FALSE)</f>
        <v>697.5</v>
      </c>
      <c r="K1812">
        <f>IFERROR(Demographics[[#This Row],[Total monthly income]]/Demographics[[#This Row],[FAMILY SIZE]], 0)</f>
        <v>174.375</v>
      </c>
    </row>
    <row r="1813" spans="1:11" x14ac:dyDescent="0.2">
      <c r="A1813">
        <v>2781669</v>
      </c>
      <c r="B1813">
        <v>30081988</v>
      </c>
      <c r="C1813">
        <v>5</v>
      </c>
      <c r="D1813">
        <v>1</v>
      </c>
      <c r="E1813">
        <v>1</v>
      </c>
      <c r="F1813">
        <v>4</v>
      </c>
      <c r="G1813">
        <v>5</v>
      </c>
      <c r="H1813" t="str">
        <f>IF(Demographics[[#This Row],[DOB]]&gt;10000000, TEXT(Demographics[[#This Row],[DOB]],0),CONCATENATE("0",TEXT(Demographics[[#This Row],[DOB]],0)))</f>
        <v>30081988</v>
      </c>
      <c r="I1813" s="4">
        <f ca="1">IFERROR((VALUE(TODAY()-DATE(RIGHT(Demographics[[#This Row],[DOB - Fixed]],4),MID(Demographics[[#This Row],[DOB - Fixed]],3,2),LEFT(Demographics[[#This Row],[DOB - Fixed]],2))))/365,0)</f>
        <v>35.046575342465751</v>
      </c>
      <c r="J1813">
        <f>VLOOKUP(Demographics[[#This Row],[INCOME LEVEL]],Income[],4,FALSE)</f>
        <v>175</v>
      </c>
      <c r="K1813">
        <f>IFERROR(Demographics[[#This Row],[Total monthly income]]/Demographics[[#This Row],[FAMILY SIZE]], 0)</f>
        <v>35</v>
      </c>
    </row>
    <row r="1814" spans="1:11" x14ac:dyDescent="0.2">
      <c r="A1814">
        <v>10443837</v>
      </c>
      <c r="B1814">
        <v>10121988</v>
      </c>
      <c r="C1814">
        <v>7</v>
      </c>
      <c r="D1814">
        <v>1</v>
      </c>
      <c r="E1814">
        <v>2</v>
      </c>
      <c r="F1814">
        <v>9</v>
      </c>
      <c r="G1814">
        <v>8</v>
      </c>
      <c r="H1814" t="str">
        <f>IF(Demographics[[#This Row],[DOB]]&gt;10000000, TEXT(Demographics[[#This Row],[DOB]],0),CONCATENATE("0",TEXT(Demographics[[#This Row],[DOB]],0)))</f>
        <v>10121988</v>
      </c>
      <c r="I1814" s="4">
        <f ca="1">IFERROR((VALUE(TODAY()-DATE(RIGHT(Demographics[[#This Row],[DOB - Fixed]],4),MID(Demographics[[#This Row],[DOB - Fixed]],3,2),LEFT(Demographics[[#This Row],[DOB - Fixed]],2))))/365,0)</f>
        <v>34.767123287671232</v>
      </c>
      <c r="J1814">
        <f>VLOOKUP(Demographics[[#This Row],[INCOME LEVEL]],Income[],4,FALSE)</f>
        <v>697.5</v>
      </c>
      <c r="K1814">
        <f>IFERROR(Demographics[[#This Row],[Total monthly income]]/Demographics[[#This Row],[FAMILY SIZE]], 0)</f>
        <v>99.642857142857139</v>
      </c>
    </row>
    <row r="1815" spans="1:11" x14ac:dyDescent="0.2">
      <c r="A1815">
        <v>7616779</v>
      </c>
      <c r="B1815">
        <v>20041989</v>
      </c>
      <c r="C1815">
        <v>8</v>
      </c>
      <c r="D1815">
        <v>2</v>
      </c>
      <c r="E1815">
        <v>1</v>
      </c>
      <c r="F1815">
        <v>9</v>
      </c>
      <c r="G1815">
        <v>8</v>
      </c>
      <c r="H1815" t="str">
        <f>IF(Demographics[[#This Row],[DOB]]&gt;10000000, TEXT(Demographics[[#This Row],[DOB]],0),CONCATENATE("0",TEXT(Demographics[[#This Row],[DOB]],0)))</f>
        <v>20041989</v>
      </c>
      <c r="I1815" s="4">
        <f ca="1">IFERROR((VALUE(TODAY()-DATE(RIGHT(Demographics[[#This Row],[DOB - Fixed]],4),MID(Demographics[[#This Row],[DOB - Fixed]],3,2),LEFT(Demographics[[#This Row],[DOB - Fixed]],2))))/365,0)</f>
        <v>34.408219178082192</v>
      </c>
      <c r="J1815">
        <f>VLOOKUP(Demographics[[#This Row],[INCOME LEVEL]],Income[],4,FALSE)</f>
        <v>175</v>
      </c>
      <c r="K1815">
        <f>IFERROR(Demographics[[#This Row],[Total monthly income]]/Demographics[[#This Row],[FAMILY SIZE]], 0)</f>
        <v>21.875</v>
      </c>
    </row>
    <row r="1816" spans="1:11" x14ac:dyDescent="0.2">
      <c r="A1816">
        <v>10519595</v>
      </c>
      <c r="B1816">
        <v>5011989</v>
      </c>
      <c r="C1816">
        <v>5</v>
      </c>
      <c r="D1816">
        <v>2</v>
      </c>
      <c r="E1816">
        <v>2</v>
      </c>
      <c r="F1816">
        <v>5</v>
      </c>
      <c r="G1816">
        <v>5</v>
      </c>
      <c r="H1816" t="str">
        <f>IF(Demographics[[#This Row],[DOB]]&gt;10000000, TEXT(Demographics[[#This Row],[DOB]],0),CONCATENATE("0",TEXT(Demographics[[#This Row],[DOB]],0)))</f>
        <v>05011989</v>
      </c>
      <c r="I1816" s="4">
        <f ca="1">IFERROR((VALUE(TODAY()-DATE(RIGHT(Demographics[[#This Row],[DOB - Fixed]],4),MID(Demographics[[#This Row],[DOB - Fixed]],3,2),LEFT(Demographics[[#This Row],[DOB - Fixed]],2))))/365,0)</f>
        <v>34.695890410958903</v>
      </c>
      <c r="J1816">
        <f>VLOOKUP(Demographics[[#This Row],[INCOME LEVEL]],Income[],4,FALSE)</f>
        <v>697.5</v>
      </c>
      <c r="K1816">
        <f>IFERROR(Demographics[[#This Row],[Total monthly income]]/Demographics[[#This Row],[FAMILY SIZE]], 0)</f>
        <v>139.5</v>
      </c>
    </row>
    <row r="1817" spans="1:11" x14ac:dyDescent="0.2">
      <c r="A1817">
        <v>21734736</v>
      </c>
      <c r="B1817">
        <v>13121988</v>
      </c>
      <c r="C1817">
        <v>5</v>
      </c>
      <c r="D1817">
        <v>1</v>
      </c>
      <c r="E1817">
        <v>2</v>
      </c>
      <c r="F1817">
        <v>5</v>
      </c>
      <c r="G1817">
        <v>5</v>
      </c>
      <c r="H1817" t="str">
        <f>IF(Demographics[[#This Row],[DOB]]&gt;10000000, TEXT(Demographics[[#This Row],[DOB]],0),CONCATENATE("0",TEXT(Demographics[[#This Row],[DOB]],0)))</f>
        <v>13121988</v>
      </c>
      <c r="I1817" s="4">
        <f ca="1">IFERROR((VALUE(TODAY()-DATE(RIGHT(Demographics[[#This Row],[DOB - Fixed]],4),MID(Demographics[[#This Row],[DOB - Fixed]],3,2),LEFT(Demographics[[#This Row],[DOB - Fixed]],2))))/365,0)</f>
        <v>34.758904109589039</v>
      </c>
      <c r="J1817">
        <f>VLOOKUP(Demographics[[#This Row],[INCOME LEVEL]],Income[],4,FALSE)</f>
        <v>697.5</v>
      </c>
      <c r="K1817">
        <f>IFERROR(Demographics[[#This Row],[Total monthly income]]/Demographics[[#This Row],[FAMILY SIZE]], 0)</f>
        <v>139.5</v>
      </c>
    </row>
    <row r="1818" spans="1:11" x14ac:dyDescent="0.2">
      <c r="A1818">
        <v>11689010</v>
      </c>
      <c r="B1818">
        <v>5011989</v>
      </c>
      <c r="C1818">
        <v>7</v>
      </c>
      <c r="D1818">
        <v>1</v>
      </c>
      <c r="E1818">
        <v>3</v>
      </c>
      <c r="F1818">
        <v>9</v>
      </c>
      <c r="G1818">
        <v>5</v>
      </c>
      <c r="H1818" t="str">
        <f>IF(Demographics[[#This Row],[DOB]]&gt;10000000, TEXT(Demographics[[#This Row],[DOB]],0),CONCATENATE("0",TEXT(Demographics[[#This Row],[DOB]],0)))</f>
        <v>05011989</v>
      </c>
      <c r="I1818" s="4">
        <f ca="1">IFERROR((VALUE(TODAY()-DATE(RIGHT(Demographics[[#This Row],[DOB - Fixed]],4),MID(Demographics[[#This Row],[DOB - Fixed]],3,2),LEFT(Demographics[[#This Row],[DOB - Fixed]],2))))/365,0)</f>
        <v>34.695890410958903</v>
      </c>
      <c r="J1818">
        <f>VLOOKUP(Demographics[[#This Row],[INCOME LEVEL]],Income[],4,FALSE)</f>
        <v>1397.5</v>
      </c>
      <c r="K1818">
        <f>IFERROR(Demographics[[#This Row],[Total monthly income]]/Demographics[[#This Row],[FAMILY SIZE]], 0)</f>
        <v>199.64285714285714</v>
      </c>
    </row>
    <row r="1819" spans="1:11" x14ac:dyDescent="0.2">
      <c r="A1819">
        <v>4111534</v>
      </c>
      <c r="B1819">
        <v>13011989</v>
      </c>
      <c r="C1819">
        <v>4</v>
      </c>
      <c r="D1819">
        <v>0</v>
      </c>
      <c r="E1819">
        <v>1</v>
      </c>
      <c r="F1819">
        <v>3</v>
      </c>
      <c r="G1819">
        <v>5</v>
      </c>
      <c r="H1819" t="str">
        <f>IF(Demographics[[#This Row],[DOB]]&gt;10000000, TEXT(Demographics[[#This Row],[DOB]],0),CONCATENATE("0",TEXT(Demographics[[#This Row],[DOB]],0)))</f>
        <v>13011989</v>
      </c>
      <c r="I1819" s="4">
        <f ca="1">IFERROR((VALUE(TODAY()-DATE(RIGHT(Demographics[[#This Row],[DOB - Fixed]],4),MID(Demographics[[#This Row],[DOB - Fixed]],3,2),LEFT(Demographics[[#This Row],[DOB - Fixed]],2))))/365,0)</f>
        <v>34.673972602739724</v>
      </c>
      <c r="J1819">
        <f>VLOOKUP(Demographics[[#This Row],[INCOME LEVEL]],Income[],4,FALSE)</f>
        <v>175</v>
      </c>
      <c r="K1819">
        <f>IFERROR(Demographics[[#This Row],[Total monthly income]]/Demographics[[#This Row],[FAMILY SIZE]], 0)</f>
        <v>43.75</v>
      </c>
    </row>
    <row r="1820" spans="1:11" x14ac:dyDescent="0.2">
      <c r="A1820">
        <v>23236421</v>
      </c>
      <c r="B1820">
        <v>23111988</v>
      </c>
      <c r="C1820">
        <v>4</v>
      </c>
      <c r="D1820">
        <v>2</v>
      </c>
      <c r="E1820">
        <v>1</v>
      </c>
      <c r="F1820">
        <v>2</v>
      </c>
      <c r="G1820">
        <v>5</v>
      </c>
      <c r="H1820" t="str">
        <f>IF(Demographics[[#This Row],[DOB]]&gt;10000000, TEXT(Demographics[[#This Row],[DOB]],0),CONCATENATE("0",TEXT(Demographics[[#This Row],[DOB]],0)))</f>
        <v>23111988</v>
      </c>
      <c r="I1820" s="4">
        <f ca="1">IFERROR((VALUE(TODAY()-DATE(RIGHT(Demographics[[#This Row],[DOB - Fixed]],4),MID(Demographics[[#This Row],[DOB - Fixed]],3,2),LEFT(Demographics[[#This Row],[DOB - Fixed]],2))))/365,0)</f>
        <v>34.813698630136983</v>
      </c>
      <c r="J1820">
        <f>VLOOKUP(Demographics[[#This Row],[INCOME LEVEL]],Income[],4,FALSE)</f>
        <v>175</v>
      </c>
      <c r="K1820">
        <f>IFERROR(Demographics[[#This Row],[Total monthly income]]/Demographics[[#This Row],[FAMILY SIZE]], 0)</f>
        <v>43.75</v>
      </c>
    </row>
    <row r="1821" spans="1:11" x14ac:dyDescent="0.2">
      <c r="A1821">
        <v>14258027</v>
      </c>
      <c r="B1821">
        <v>19121988</v>
      </c>
      <c r="C1821">
        <v>5</v>
      </c>
      <c r="D1821">
        <v>1</v>
      </c>
      <c r="E1821">
        <v>2</v>
      </c>
      <c r="F1821">
        <v>3</v>
      </c>
      <c r="G1821">
        <v>4</v>
      </c>
      <c r="H1821" t="str">
        <f>IF(Demographics[[#This Row],[DOB]]&gt;10000000, TEXT(Demographics[[#This Row],[DOB]],0),CONCATENATE("0",TEXT(Demographics[[#This Row],[DOB]],0)))</f>
        <v>19121988</v>
      </c>
      <c r="I1821" s="4">
        <f ca="1">IFERROR((VALUE(TODAY()-DATE(RIGHT(Demographics[[#This Row],[DOB - Fixed]],4),MID(Demographics[[#This Row],[DOB - Fixed]],3,2),LEFT(Demographics[[#This Row],[DOB - Fixed]],2))))/365,0)</f>
        <v>34.742465753424661</v>
      </c>
      <c r="J1821">
        <f>VLOOKUP(Demographics[[#This Row],[INCOME LEVEL]],Income[],4,FALSE)</f>
        <v>697.5</v>
      </c>
      <c r="K1821">
        <f>IFERROR(Demographics[[#This Row],[Total monthly income]]/Demographics[[#This Row],[FAMILY SIZE]], 0)</f>
        <v>139.5</v>
      </c>
    </row>
    <row r="1822" spans="1:11" x14ac:dyDescent="0.2">
      <c r="A1822">
        <v>7315313</v>
      </c>
      <c r="B1822">
        <v>9111988</v>
      </c>
      <c r="C1822">
        <v>4</v>
      </c>
      <c r="D1822">
        <v>1</v>
      </c>
      <c r="E1822">
        <v>1</v>
      </c>
      <c r="F1822">
        <v>5</v>
      </c>
      <c r="G1822">
        <v>3</v>
      </c>
      <c r="H1822" t="str">
        <f>IF(Demographics[[#This Row],[DOB]]&gt;10000000, TEXT(Demographics[[#This Row],[DOB]],0),CONCATENATE("0",TEXT(Demographics[[#This Row],[DOB]],0)))</f>
        <v>09111988</v>
      </c>
      <c r="I1822" s="4">
        <f ca="1">IFERROR((VALUE(TODAY()-DATE(RIGHT(Demographics[[#This Row],[DOB - Fixed]],4),MID(Demographics[[#This Row],[DOB - Fixed]],3,2),LEFT(Demographics[[#This Row],[DOB - Fixed]],2))))/365,0)</f>
        <v>34.852054794520548</v>
      </c>
      <c r="J1822">
        <f>VLOOKUP(Demographics[[#This Row],[INCOME LEVEL]],Income[],4,FALSE)</f>
        <v>175</v>
      </c>
      <c r="K1822">
        <f>IFERROR(Demographics[[#This Row],[Total monthly income]]/Demographics[[#This Row],[FAMILY SIZE]], 0)</f>
        <v>43.75</v>
      </c>
    </row>
    <row r="1823" spans="1:11" x14ac:dyDescent="0.2">
      <c r="A1823">
        <v>14691472</v>
      </c>
      <c r="B1823">
        <v>18011989</v>
      </c>
      <c r="C1823">
        <v>5</v>
      </c>
      <c r="D1823">
        <v>1</v>
      </c>
      <c r="E1823">
        <v>1</v>
      </c>
      <c r="F1823">
        <v>2</v>
      </c>
      <c r="G1823">
        <v>4</v>
      </c>
      <c r="H1823" t="str">
        <f>IF(Demographics[[#This Row],[DOB]]&gt;10000000, TEXT(Demographics[[#This Row],[DOB]],0),CONCATENATE("0",TEXT(Demographics[[#This Row],[DOB]],0)))</f>
        <v>18011989</v>
      </c>
      <c r="I1823" s="4">
        <f ca="1">IFERROR((VALUE(TODAY()-DATE(RIGHT(Demographics[[#This Row],[DOB - Fixed]],4),MID(Demographics[[#This Row],[DOB - Fixed]],3,2),LEFT(Demographics[[#This Row],[DOB - Fixed]],2))))/365,0)</f>
        <v>34.660273972602738</v>
      </c>
      <c r="J1823">
        <f>VLOOKUP(Demographics[[#This Row],[INCOME LEVEL]],Income[],4,FALSE)</f>
        <v>175</v>
      </c>
      <c r="K1823">
        <f>IFERROR(Demographics[[#This Row],[Total monthly income]]/Demographics[[#This Row],[FAMILY SIZE]], 0)</f>
        <v>35</v>
      </c>
    </row>
    <row r="1824" spans="1:11" x14ac:dyDescent="0.2">
      <c r="A1824">
        <v>5713731</v>
      </c>
      <c r="B1824">
        <v>26121988</v>
      </c>
      <c r="C1824">
        <v>5</v>
      </c>
      <c r="D1824">
        <v>0</v>
      </c>
      <c r="E1824">
        <v>1</v>
      </c>
      <c r="F1824">
        <v>5</v>
      </c>
      <c r="G1824">
        <v>3</v>
      </c>
      <c r="H1824" t="str">
        <f>IF(Demographics[[#This Row],[DOB]]&gt;10000000, TEXT(Demographics[[#This Row],[DOB]],0),CONCATENATE("0",TEXT(Demographics[[#This Row],[DOB]],0)))</f>
        <v>26121988</v>
      </c>
      <c r="I1824" s="4">
        <f ca="1">IFERROR((VALUE(TODAY()-DATE(RIGHT(Demographics[[#This Row],[DOB - Fixed]],4),MID(Demographics[[#This Row],[DOB - Fixed]],3,2),LEFT(Demographics[[#This Row],[DOB - Fixed]],2))))/365,0)</f>
        <v>34.723287671232875</v>
      </c>
      <c r="J1824">
        <f>VLOOKUP(Demographics[[#This Row],[INCOME LEVEL]],Income[],4,FALSE)</f>
        <v>175</v>
      </c>
      <c r="K1824">
        <f>IFERROR(Demographics[[#This Row],[Total monthly income]]/Demographics[[#This Row],[FAMILY SIZE]], 0)</f>
        <v>35</v>
      </c>
    </row>
    <row r="1825" spans="1:11" x14ac:dyDescent="0.2">
      <c r="A1825">
        <v>14157361</v>
      </c>
      <c r="B1825">
        <v>18011989</v>
      </c>
      <c r="C1825">
        <v>4</v>
      </c>
      <c r="D1825">
        <v>1</v>
      </c>
      <c r="E1825">
        <v>1</v>
      </c>
      <c r="F1825">
        <v>2</v>
      </c>
      <c r="G1825">
        <v>4</v>
      </c>
      <c r="H1825" t="str">
        <f>IF(Demographics[[#This Row],[DOB]]&gt;10000000, TEXT(Demographics[[#This Row],[DOB]],0),CONCATENATE("0",TEXT(Demographics[[#This Row],[DOB]],0)))</f>
        <v>18011989</v>
      </c>
      <c r="I1825" s="4">
        <f ca="1">IFERROR((VALUE(TODAY()-DATE(RIGHT(Demographics[[#This Row],[DOB - Fixed]],4),MID(Demographics[[#This Row],[DOB - Fixed]],3,2),LEFT(Demographics[[#This Row],[DOB - Fixed]],2))))/365,0)</f>
        <v>34.660273972602738</v>
      </c>
      <c r="J1825">
        <f>VLOOKUP(Demographics[[#This Row],[INCOME LEVEL]],Income[],4,FALSE)</f>
        <v>175</v>
      </c>
      <c r="K1825">
        <f>IFERROR(Demographics[[#This Row],[Total monthly income]]/Demographics[[#This Row],[FAMILY SIZE]], 0)</f>
        <v>43.75</v>
      </c>
    </row>
    <row r="1826" spans="1:11" x14ac:dyDescent="0.2">
      <c r="A1826">
        <v>19497946</v>
      </c>
      <c r="B1826">
        <v>13011989</v>
      </c>
      <c r="C1826">
        <v>4</v>
      </c>
      <c r="D1826">
        <v>1</v>
      </c>
      <c r="E1826">
        <v>1</v>
      </c>
      <c r="F1826">
        <v>5</v>
      </c>
      <c r="G1826">
        <v>5</v>
      </c>
      <c r="H1826" t="str">
        <f>IF(Demographics[[#This Row],[DOB]]&gt;10000000, TEXT(Demographics[[#This Row],[DOB]],0),CONCATENATE("0",TEXT(Demographics[[#This Row],[DOB]],0)))</f>
        <v>13011989</v>
      </c>
      <c r="I1826" s="4">
        <f ca="1">IFERROR((VALUE(TODAY()-DATE(RIGHT(Demographics[[#This Row],[DOB - Fixed]],4),MID(Demographics[[#This Row],[DOB - Fixed]],3,2),LEFT(Demographics[[#This Row],[DOB - Fixed]],2))))/365,0)</f>
        <v>34.673972602739724</v>
      </c>
      <c r="J1826">
        <f>VLOOKUP(Demographics[[#This Row],[INCOME LEVEL]],Income[],4,FALSE)</f>
        <v>175</v>
      </c>
      <c r="K1826">
        <f>IFERROR(Demographics[[#This Row],[Total monthly income]]/Demographics[[#This Row],[FAMILY SIZE]], 0)</f>
        <v>43.75</v>
      </c>
    </row>
    <row r="1827" spans="1:11" x14ac:dyDescent="0.2">
      <c r="A1827">
        <v>9884890</v>
      </c>
      <c r="B1827">
        <v>19011989</v>
      </c>
      <c r="C1827">
        <v>6</v>
      </c>
      <c r="D1827">
        <v>2</v>
      </c>
      <c r="E1827">
        <v>2</v>
      </c>
      <c r="F1827">
        <v>10</v>
      </c>
      <c r="G1827">
        <v>8</v>
      </c>
      <c r="H1827" t="str">
        <f>IF(Demographics[[#This Row],[DOB]]&gt;10000000, TEXT(Demographics[[#This Row],[DOB]],0),CONCATENATE("0",TEXT(Demographics[[#This Row],[DOB]],0)))</f>
        <v>19011989</v>
      </c>
      <c r="I1827" s="4">
        <f ca="1">IFERROR((VALUE(TODAY()-DATE(RIGHT(Demographics[[#This Row],[DOB - Fixed]],4),MID(Demographics[[#This Row],[DOB - Fixed]],3,2),LEFT(Demographics[[#This Row],[DOB - Fixed]],2))))/365,0)</f>
        <v>34.657534246575345</v>
      </c>
      <c r="J1827">
        <f>VLOOKUP(Demographics[[#This Row],[INCOME LEVEL]],Income[],4,FALSE)</f>
        <v>697.5</v>
      </c>
      <c r="K1827">
        <f>IFERROR(Demographics[[#This Row],[Total monthly income]]/Demographics[[#This Row],[FAMILY SIZE]], 0)</f>
        <v>116.25</v>
      </c>
    </row>
    <row r="1828" spans="1:11" x14ac:dyDescent="0.2">
      <c r="A1828">
        <v>2942846</v>
      </c>
      <c r="B1828">
        <v>24011989</v>
      </c>
      <c r="C1828">
        <v>6</v>
      </c>
      <c r="D1828">
        <v>1</v>
      </c>
      <c r="E1828">
        <v>1</v>
      </c>
      <c r="F1828">
        <v>4</v>
      </c>
      <c r="G1828">
        <v>4</v>
      </c>
      <c r="H1828" t="str">
        <f>IF(Demographics[[#This Row],[DOB]]&gt;10000000, TEXT(Demographics[[#This Row],[DOB]],0),CONCATENATE("0",TEXT(Demographics[[#This Row],[DOB]],0)))</f>
        <v>24011989</v>
      </c>
      <c r="I1828" s="4">
        <f ca="1">IFERROR((VALUE(TODAY()-DATE(RIGHT(Demographics[[#This Row],[DOB - Fixed]],4),MID(Demographics[[#This Row],[DOB - Fixed]],3,2),LEFT(Demographics[[#This Row],[DOB - Fixed]],2))))/365,0)</f>
        <v>34.643835616438359</v>
      </c>
      <c r="J1828">
        <f>VLOOKUP(Demographics[[#This Row],[INCOME LEVEL]],Income[],4,FALSE)</f>
        <v>175</v>
      </c>
      <c r="K1828">
        <f>IFERROR(Demographics[[#This Row],[Total monthly income]]/Demographics[[#This Row],[FAMILY SIZE]], 0)</f>
        <v>29.166666666666668</v>
      </c>
    </row>
    <row r="1829" spans="1:11" x14ac:dyDescent="0.2">
      <c r="A1829">
        <v>19699714</v>
      </c>
      <c r="B1829">
        <v>26011989</v>
      </c>
      <c r="C1829">
        <v>5</v>
      </c>
      <c r="D1829">
        <v>3</v>
      </c>
      <c r="E1829">
        <v>2</v>
      </c>
      <c r="F1829">
        <v>5</v>
      </c>
      <c r="G1829">
        <v>5</v>
      </c>
      <c r="H1829" t="str">
        <f>IF(Demographics[[#This Row],[DOB]]&gt;10000000, TEXT(Demographics[[#This Row],[DOB]],0),CONCATENATE("0",TEXT(Demographics[[#This Row],[DOB]],0)))</f>
        <v>26011989</v>
      </c>
      <c r="I1829" s="4">
        <f ca="1">IFERROR((VALUE(TODAY()-DATE(RIGHT(Demographics[[#This Row],[DOB - Fixed]],4),MID(Demographics[[#This Row],[DOB - Fixed]],3,2),LEFT(Demographics[[#This Row],[DOB - Fixed]],2))))/365,0)</f>
        <v>34.638356164383559</v>
      </c>
      <c r="J1829">
        <f>VLOOKUP(Demographics[[#This Row],[INCOME LEVEL]],Income[],4,FALSE)</f>
        <v>697.5</v>
      </c>
      <c r="K1829">
        <f>IFERROR(Demographics[[#This Row],[Total monthly income]]/Demographics[[#This Row],[FAMILY SIZE]], 0)</f>
        <v>139.5</v>
      </c>
    </row>
    <row r="1830" spans="1:11" x14ac:dyDescent="0.2">
      <c r="A1830">
        <v>12555449</v>
      </c>
      <c r="B1830">
        <v>27011989</v>
      </c>
      <c r="C1830">
        <v>5</v>
      </c>
      <c r="D1830">
        <v>2</v>
      </c>
      <c r="E1830">
        <v>2</v>
      </c>
      <c r="F1830">
        <v>7</v>
      </c>
      <c r="G1830">
        <v>5</v>
      </c>
      <c r="H1830" t="str">
        <f>IF(Demographics[[#This Row],[DOB]]&gt;10000000, TEXT(Demographics[[#This Row],[DOB]],0),CONCATENATE("0",TEXT(Demographics[[#This Row],[DOB]],0)))</f>
        <v>27011989</v>
      </c>
      <c r="I1830" s="4">
        <f ca="1">IFERROR((VALUE(TODAY()-DATE(RIGHT(Demographics[[#This Row],[DOB - Fixed]],4),MID(Demographics[[#This Row],[DOB - Fixed]],3,2),LEFT(Demographics[[#This Row],[DOB - Fixed]],2))))/365,0)</f>
        <v>34.635616438356166</v>
      </c>
      <c r="J1830">
        <f>VLOOKUP(Demographics[[#This Row],[INCOME LEVEL]],Income[],4,FALSE)</f>
        <v>697.5</v>
      </c>
      <c r="K1830">
        <f>IFERROR(Demographics[[#This Row],[Total monthly income]]/Demographics[[#This Row],[FAMILY SIZE]], 0)</f>
        <v>139.5</v>
      </c>
    </row>
    <row r="1831" spans="1:11" x14ac:dyDescent="0.2">
      <c r="A1831">
        <v>13290681</v>
      </c>
      <c r="B1831">
        <v>17011989</v>
      </c>
      <c r="C1831">
        <v>5</v>
      </c>
      <c r="D1831">
        <v>1</v>
      </c>
      <c r="E1831">
        <v>1</v>
      </c>
      <c r="F1831">
        <v>2</v>
      </c>
      <c r="G1831">
        <v>2</v>
      </c>
      <c r="H1831" t="str">
        <f>IF(Demographics[[#This Row],[DOB]]&gt;10000000, TEXT(Demographics[[#This Row],[DOB]],0),CONCATENATE("0",TEXT(Demographics[[#This Row],[DOB]],0)))</f>
        <v>17011989</v>
      </c>
      <c r="I1831" s="4">
        <f ca="1">IFERROR((VALUE(TODAY()-DATE(RIGHT(Demographics[[#This Row],[DOB - Fixed]],4),MID(Demographics[[#This Row],[DOB - Fixed]],3,2),LEFT(Demographics[[#This Row],[DOB - Fixed]],2))))/365,0)</f>
        <v>34.663013698630138</v>
      </c>
      <c r="J1831">
        <f>VLOOKUP(Demographics[[#This Row],[INCOME LEVEL]],Income[],4,FALSE)</f>
        <v>175</v>
      </c>
      <c r="K1831">
        <f>IFERROR(Demographics[[#This Row],[Total monthly income]]/Demographics[[#This Row],[FAMILY SIZE]], 0)</f>
        <v>35</v>
      </c>
    </row>
    <row r="1832" spans="1:11" x14ac:dyDescent="0.2">
      <c r="A1832">
        <v>5078683</v>
      </c>
      <c r="B1832">
        <v>24011989</v>
      </c>
      <c r="C1832">
        <v>5</v>
      </c>
      <c r="D1832">
        <v>2</v>
      </c>
      <c r="E1832">
        <v>1</v>
      </c>
      <c r="F1832">
        <v>5</v>
      </c>
      <c r="G1832">
        <v>7</v>
      </c>
      <c r="H1832" t="str">
        <f>IF(Demographics[[#This Row],[DOB]]&gt;10000000, TEXT(Demographics[[#This Row],[DOB]],0),CONCATENATE("0",TEXT(Demographics[[#This Row],[DOB]],0)))</f>
        <v>24011989</v>
      </c>
      <c r="I1832" s="4">
        <f ca="1">IFERROR((VALUE(TODAY()-DATE(RIGHT(Demographics[[#This Row],[DOB - Fixed]],4),MID(Demographics[[#This Row],[DOB - Fixed]],3,2),LEFT(Demographics[[#This Row],[DOB - Fixed]],2))))/365,0)</f>
        <v>34.643835616438359</v>
      </c>
      <c r="J1832">
        <f>VLOOKUP(Demographics[[#This Row],[INCOME LEVEL]],Income[],4,FALSE)</f>
        <v>175</v>
      </c>
      <c r="K1832">
        <f>IFERROR(Demographics[[#This Row],[Total monthly income]]/Demographics[[#This Row],[FAMILY SIZE]], 0)</f>
        <v>35</v>
      </c>
    </row>
    <row r="1833" spans="1:11" x14ac:dyDescent="0.2">
      <c r="A1833">
        <v>2610115</v>
      </c>
      <c r="B1833">
        <v>13011989</v>
      </c>
      <c r="C1833">
        <v>5</v>
      </c>
      <c r="D1833">
        <v>3</v>
      </c>
      <c r="E1833">
        <v>1</v>
      </c>
      <c r="F1833">
        <v>2</v>
      </c>
      <c r="G1833">
        <v>2</v>
      </c>
      <c r="H1833" t="str">
        <f>IF(Demographics[[#This Row],[DOB]]&gt;10000000, TEXT(Demographics[[#This Row],[DOB]],0),CONCATENATE("0",TEXT(Demographics[[#This Row],[DOB]],0)))</f>
        <v>13011989</v>
      </c>
      <c r="I1833" s="4">
        <f ca="1">IFERROR((VALUE(TODAY()-DATE(RIGHT(Demographics[[#This Row],[DOB - Fixed]],4),MID(Demographics[[#This Row],[DOB - Fixed]],3,2),LEFT(Demographics[[#This Row],[DOB - Fixed]],2))))/365,0)</f>
        <v>34.673972602739724</v>
      </c>
      <c r="J1833">
        <f>VLOOKUP(Demographics[[#This Row],[INCOME LEVEL]],Income[],4,FALSE)</f>
        <v>175</v>
      </c>
      <c r="K1833">
        <f>IFERROR(Demographics[[#This Row],[Total monthly income]]/Demographics[[#This Row],[FAMILY SIZE]], 0)</f>
        <v>35</v>
      </c>
    </row>
    <row r="1834" spans="1:11" x14ac:dyDescent="0.2">
      <c r="A1834">
        <v>23870805</v>
      </c>
      <c r="B1834">
        <v>30011989</v>
      </c>
      <c r="C1834">
        <v>5</v>
      </c>
      <c r="D1834">
        <v>1</v>
      </c>
      <c r="E1834">
        <v>2</v>
      </c>
      <c r="F1834">
        <v>9</v>
      </c>
      <c r="G1834">
        <v>3</v>
      </c>
      <c r="H1834" t="str">
        <f>IF(Demographics[[#This Row],[DOB]]&gt;10000000, TEXT(Demographics[[#This Row],[DOB]],0),CONCATENATE("0",TEXT(Demographics[[#This Row],[DOB]],0)))</f>
        <v>30011989</v>
      </c>
      <c r="I1834" s="4">
        <f ca="1">IFERROR((VALUE(TODAY()-DATE(RIGHT(Demographics[[#This Row],[DOB - Fixed]],4),MID(Demographics[[#This Row],[DOB - Fixed]],3,2),LEFT(Demographics[[#This Row],[DOB - Fixed]],2))))/365,0)</f>
        <v>34.627397260273973</v>
      </c>
      <c r="J1834">
        <f>VLOOKUP(Demographics[[#This Row],[INCOME LEVEL]],Income[],4,FALSE)</f>
        <v>697.5</v>
      </c>
      <c r="K1834">
        <f>IFERROR(Demographics[[#This Row],[Total monthly income]]/Demographics[[#This Row],[FAMILY SIZE]], 0)</f>
        <v>139.5</v>
      </c>
    </row>
    <row r="1835" spans="1:11" x14ac:dyDescent="0.2">
      <c r="A1835">
        <v>21634341</v>
      </c>
      <c r="B1835">
        <v>31011989</v>
      </c>
      <c r="C1835">
        <v>4</v>
      </c>
      <c r="D1835">
        <v>1</v>
      </c>
      <c r="E1835">
        <v>1</v>
      </c>
      <c r="F1835">
        <v>5</v>
      </c>
      <c r="G1835">
        <v>3</v>
      </c>
      <c r="H1835" t="str">
        <f>IF(Demographics[[#This Row],[DOB]]&gt;10000000, TEXT(Demographics[[#This Row],[DOB]],0),CONCATENATE("0",TEXT(Demographics[[#This Row],[DOB]],0)))</f>
        <v>31011989</v>
      </c>
      <c r="I1835" s="4">
        <f ca="1">IFERROR((VALUE(TODAY()-DATE(RIGHT(Demographics[[#This Row],[DOB - Fixed]],4),MID(Demographics[[#This Row],[DOB - Fixed]],3,2),LEFT(Demographics[[#This Row],[DOB - Fixed]],2))))/365,0)</f>
        <v>34.624657534246573</v>
      </c>
      <c r="J1835">
        <f>VLOOKUP(Demographics[[#This Row],[INCOME LEVEL]],Income[],4,FALSE)</f>
        <v>175</v>
      </c>
      <c r="K1835">
        <f>IFERROR(Demographics[[#This Row],[Total monthly income]]/Demographics[[#This Row],[FAMILY SIZE]], 0)</f>
        <v>43.75</v>
      </c>
    </row>
    <row r="1836" spans="1:11" x14ac:dyDescent="0.2">
      <c r="A1836">
        <v>15325620</v>
      </c>
      <c r="B1836">
        <v>31011989</v>
      </c>
      <c r="C1836">
        <v>4</v>
      </c>
      <c r="D1836">
        <v>1</v>
      </c>
      <c r="E1836">
        <v>1</v>
      </c>
      <c r="F1836">
        <v>5</v>
      </c>
      <c r="G1836">
        <v>4</v>
      </c>
      <c r="H1836" t="str">
        <f>IF(Demographics[[#This Row],[DOB]]&gt;10000000, TEXT(Demographics[[#This Row],[DOB]],0),CONCATENATE("0",TEXT(Demographics[[#This Row],[DOB]],0)))</f>
        <v>31011989</v>
      </c>
      <c r="I1836" s="4">
        <f ca="1">IFERROR((VALUE(TODAY()-DATE(RIGHT(Demographics[[#This Row],[DOB - Fixed]],4),MID(Demographics[[#This Row],[DOB - Fixed]],3,2),LEFT(Demographics[[#This Row],[DOB - Fixed]],2))))/365,0)</f>
        <v>34.624657534246573</v>
      </c>
      <c r="J1836">
        <f>VLOOKUP(Demographics[[#This Row],[INCOME LEVEL]],Income[],4,FALSE)</f>
        <v>175</v>
      </c>
      <c r="K1836">
        <f>IFERROR(Demographics[[#This Row],[Total monthly income]]/Demographics[[#This Row],[FAMILY SIZE]], 0)</f>
        <v>43.75</v>
      </c>
    </row>
    <row r="1837" spans="1:11" x14ac:dyDescent="0.2">
      <c r="A1837">
        <v>17895520</v>
      </c>
      <c r="B1837">
        <v>15011989</v>
      </c>
      <c r="C1837">
        <v>3</v>
      </c>
      <c r="D1837">
        <v>2</v>
      </c>
      <c r="E1837">
        <v>1</v>
      </c>
      <c r="F1837">
        <v>5</v>
      </c>
      <c r="G1837">
        <v>5</v>
      </c>
      <c r="H1837" t="str">
        <f>IF(Demographics[[#This Row],[DOB]]&gt;10000000, TEXT(Demographics[[#This Row],[DOB]],0),CONCATENATE("0",TEXT(Demographics[[#This Row],[DOB]],0)))</f>
        <v>15011989</v>
      </c>
      <c r="I1837" s="4">
        <f ca="1">IFERROR((VALUE(TODAY()-DATE(RIGHT(Demographics[[#This Row],[DOB - Fixed]],4),MID(Demographics[[#This Row],[DOB - Fixed]],3,2),LEFT(Demographics[[#This Row],[DOB - Fixed]],2))))/365,0)</f>
        <v>34.668493150684931</v>
      </c>
      <c r="J1837">
        <f>VLOOKUP(Demographics[[#This Row],[INCOME LEVEL]],Income[],4,FALSE)</f>
        <v>175</v>
      </c>
      <c r="K1837">
        <f>IFERROR(Demographics[[#This Row],[Total monthly income]]/Demographics[[#This Row],[FAMILY SIZE]], 0)</f>
        <v>58.333333333333336</v>
      </c>
    </row>
    <row r="1838" spans="1:11" x14ac:dyDescent="0.2">
      <c r="A1838">
        <v>4544520</v>
      </c>
      <c r="B1838">
        <v>2021989</v>
      </c>
      <c r="C1838">
        <v>6</v>
      </c>
      <c r="D1838">
        <v>1</v>
      </c>
      <c r="E1838">
        <v>2</v>
      </c>
      <c r="F1838">
        <v>5</v>
      </c>
      <c r="G1838">
        <v>9</v>
      </c>
      <c r="H1838" t="str">
        <f>IF(Demographics[[#This Row],[DOB]]&gt;10000000, TEXT(Demographics[[#This Row],[DOB]],0),CONCATENATE("0",TEXT(Demographics[[#This Row],[DOB]],0)))</f>
        <v>02021989</v>
      </c>
      <c r="I1838" s="4">
        <f ca="1">IFERROR((VALUE(TODAY()-DATE(RIGHT(Demographics[[#This Row],[DOB - Fixed]],4),MID(Demographics[[#This Row],[DOB - Fixed]],3,2),LEFT(Demographics[[#This Row],[DOB - Fixed]],2))))/365,0)</f>
        <v>34.61917808219178</v>
      </c>
      <c r="J1838">
        <f>VLOOKUP(Demographics[[#This Row],[INCOME LEVEL]],Income[],4,FALSE)</f>
        <v>697.5</v>
      </c>
      <c r="K1838">
        <f>IFERROR(Demographics[[#This Row],[Total monthly income]]/Demographics[[#This Row],[FAMILY SIZE]], 0)</f>
        <v>116.25</v>
      </c>
    </row>
    <row r="1839" spans="1:11" x14ac:dyDescent="0.2">
      <c r="A1839">
        <v>9351132</v>
      </c>
      <c r="B1839">
        <v>30011989</v>
      </c>
      <c r="C1839">
        <v>3</v>
      </c>
      <c r="D1839">
        <v>1</v>
      </c>
      <c r="E1839">
        <v>1</v>
      </c>
      <c r="F1839">
        <v>5</v>
      </c>
      <c r="G1839">
        <v>4</v>
      </c>
      <c r="H1839" t="str">
        <f>IF(Demographics[[#This Row],[DOB]]&gt;10000000, TEXT(Demographics[[#This Row],[DOB]],0),CONCATENATE("0",TEXT(Demographics[[#This Row],[DOB]],0)))</f>
        <v>30011989</v>
      </c>
      <c r="I1839" s="4">
        <f ca="1">IFERROR((VALUE(TODAY()-DATE(RIGHT(Demographics[[#This Row],[DOB - Fixed]],4),MID(Demographics[[#This Row],[DOB - Fixed]],3,2),LEFT(Demographics[[#This Row],[DOB - Fixed]],2))))/365,0)</f>
        <v>34.627397260273973</v>
      </c>
      <c r="J1839">
        <f>VLOOKUP(Demographics[[#This Row],[INCOME LEVEL]],Income[],4,FALSE)</f>
        <v>175</v>
      </c>
      <c r="K1839">
        <f>IFERROR(Demographics[[#This Row],[Total monthly income]]/Demographics[[#This Row],[FAMILY SIZE]], 0)</f>
        <v>58.333333333333336</v>
      </c>
    </row>
    <row r="1840" spans="1:11" x14ac:dyDescent="0.2">
      <c r="A1840">
        <v>11588110</v>
      </c>
      <c r="B1840">
        <v>11021989</v>
      </c>
      <c r="C1840">
        <v>4</v>
      </c>
      <c r="D1840">
        <v>1</v>
      </c>
      <c r="E1840">
        <v>1</v>
      </c>
      <c r="F1840">
        <v>3</v>
      </c>
      <c r="G1840">
        <v>5</v>
      </c>
      <c r="H1840" t="str">
        <f>IF(Demographics[[#This Row],[DOB]]&gt;10000000, TEXT(Demographics[[#This Row],[DOB]],0),CONCATENATE("0",TEXT(Demographics[[#This Row],[DOB]],0)))</f>
        <v>11021989</v>
      </c>
      <c r="I1840" s="4">
        <f ca="1">IFERROR((VALUE(TODAY()-DATE(RIGHT(Demographics[[#This Row],[DOB - Fixed]],4),MID(Demographics[[#This Row],[DOB - Fixed]],3,2),LEFT(Demographics[[#This Row],[DOB - Fixed]],2))))/365,0)</f>
        <v>34.594520547945208</v>
      </c>
      <c r="J1840">
        <f>VLOOKUP(Demographics[[#This Row],[INCOME LEVEL]],Income[],4,FALSE)</f>
        <v>175</v>
      </c>
      <c r="K1840">
        <f>IFERROR(Demographics[[#This Row],[Total monthly income]]/Demographics[[#This Row],[FAMILY SIZE]], 0)</f>
        <v>43.75</v>
      </c>
    </row>
    <row r="1841" spans="1:11" x14ac:dyDescent="0.2">
      <c r="A1841">
        <v>24838372</v>
      </c>
      <c r="B1841">
        <v>11021989</v>
      </c>
      <c r="C1841">
        <v>4</v>
      </c>
      <c r="D1841">
        <v>2</v>
      </c>
      <c r="E1841">
        <v>1</v>
      </c>
      <c r="F1841">
        <v>4</v>
      </c>
      <c r="G1841">
        <v>5</v>
      </c>
      <c r="H1841" t="str">
        <f>IF(Demographics[[#This Row],[DOB]]&gt;10000000, TEXT(Demographics[[#This Row],[DOB]],0),CONCATENATE("0",TEXT(Demographics[[#This Row],[DOB]],0)))</f>
        <v>11021989</v>
      </c>
      <c r="I1841" s="4">
        <f ca="1">IFERROR((VALUE(TODAY()-DATE(RIGHT(Demographics[[#This Row],[DOB - Fixed]],4),MID(Demographics[[#This Row],[DOB - Fixed]],3,2),LEFT(Demographics[[#This Row],[DOB - Fixed]],2))))/365,0)</f>
        <v>34.594520547945208</v>
      </c>
      <c r="J1841">
        <f>VLOOKUP(Demographics[[#This Row],[INCOME LEVEL]],Income[],4,FALSE)</f>
        <v>175</v>
      </c>
      <c r="K1841">
        <f>IFERROR(Demographics[[#This Row],[Total monthly income]]/Demographics[[#This Row],[FAMILY SIZE]], 0)</f>
        <v>43.75</v>
      </c>
    </row>
    <row r="1842" spans="1:11" x14ac:dyDescent="0.2">
      <c r="A1842">
        <v>20032424</v>
      </c>
      <c r="B1842">
        <v>26121988</v>
      </c>
      <c r="C1842">
        <v>3</v>
      </c>
      <c r="D1842">
        <v>1</v>
      </c>
      <c r="E1842">
        <v>1</v>
      </c>
      <c r="F1842">
        <v>2</v>
      </c>
      <c r="G1842">
        <v>2</v>
      </c>
      <c r="H1842" t="str">
        <f>IF(Demographics[[#This Row],[DOB]]&gt;10000000, TEXT(Demographics[[#This Row],[DOB]],0),CONCATENATE("0",TEXT(Demographics[[#This Row],[DOB]],0)))</f>
        <v>26121988</v>
      </c>
      <c r="I1842" s="4">
        <f ca="1">IFERROR((VALUE(TODAY()-DATE(RIGHT(Demographics[[#This Row],[DOB - Fixed]],4),MID(Demographics[[#This Row],[DOB - Fixed]],3,2),LEFT(Demographics[[#This Row],[DOB - Fixed]],2))))/365,0)</f>
        <v>34.723287671232875</v>
      </c>
      <c r="J1842">
        <f>VLOOKUP(Demographics[[#This Row],[INCOME LEVEL]],Income[],4,FALSE)</f>
        <v>175</v>
      </c>
      <c r="K1842">
        <f>IFERROR(Demographics[[#This Row],[Total monthly income]]/Demographics[[#This Row],[FAMILY SIZE]], 0)</f>
        <v>58.333333333333336</v>
      </c>
    </row>
    <row r="1843" spans="1:11" x14ac:dyDescent="0.2">
      <c r="A1843">
        <v>19598499</v>
      </c>
      <c r="B1843">
        <v>13021989</v>
      </c>
      <c r="C1843">
        <v>5</v>
      </c>
      <c r="D1843">
        <v>1</v>
      </c>
      <c r="E1843">
        <v>2</v>
      </c>
      <c r="F1843">
        <v>9</v>
      </c>
      <c r="G1843">
        <v>9</v>
      </c>
      <c r="H1843" t="str">
        <f>IF(Demographics[[#This Row],[DOB]]&gt;10000000, TEXT(Demographics[[#This Row],[DOB]],0),CONCATENATE("0",TEXT(Demographics[[#This Row],[DOB]],0)))</f>
        <v>13021989</v>
      </c>
      <c r="I1843" s="4">
        <f ca="1">IFERROR((VALUE(TODAY()-DATE(RIGHT(Demographics[[#This Row],[DOB - Fixed]],4),MID(Demographics[[#This Row],[DOB - Fixed]],3,2),LEFT(Demographics[[#This Row],[DOB - Fixed]],2))))/365,0)</f>
        <v>34.589041095890408</v>
      </c>
      <c r="J1843">
        <f>VLOOKUP(Demographics[[#This Row],[INCOME LEVEL]],Income[],4,FALSE)</f>
        <v>697.5</v>
      </c>
      <c r="K1843">
        <f>IFERROR(Demographics[[#This Row],[Total monthly income]]/Demographics[[#This Row],[FAMILY SIZE]], 0)</f>
        <v>139.5</v>
      </c>
    </row>
    <row r="1844" spans="1:11" x14ac:dyDescent="0.2">
      <c r="A1844">
        <v>9884891</v>
      </c>
      <c r="B1844">
        <v>19011989</v>
      </c>
      <c r="C1844">
        <v>7</v>
      </c>
      <c r="D1844">
        <v>3</v>
      </c>
      <c r="E1844">
        <v>1</v>
      </c>
      <c r="F1844">
        <v>2</v>
      </c>
      <c r="G1844">
        <v>2</v>
      </c>
      <c r="H1844" t="str">
        <f>IF(Demographics[[#This Row],[DOB]]&gt;10000000, TEXT(Demographics[[#This Row],[DOB]],0),CONCATENATE("0",TEXT(Demographics[[#This Row],[DOB]],0)))</f>
        <v>19011989</v>
      </c>
      <c r="I1844" s="4">
        <f ca="1">IFERROR((VALUE(TODAY()-DATE(RIGHT(Demographics[[#This Row],[DOB - Fixed]],4),MID(Demographics[[#This Row],[DOB - Fixed]],3,2),LEFT(Demographics[[#This Row],[DOB - Fixed]],2))))/365,0)</f>
        <v>34.657534246575345</v>
      </c>
      <c r="J1844">
        <f>VLOOKUP(Demographics[[#This Row],[INCOME LEVEL]],Income[],4,FALSE)</f>
        <v>175</v>
      </c>
      <c r="K1844">
        <f>IFERROR(Demographics[[#This Row],[Total monthly income]]/Demographics[[#This Row],[FAMILY SIZE]], 0)</f>
        <v>25</v>
      </c>
    </row>
    <row r="1845" spans="1:11" x14ac:dyDescent="0.2">
      <c r="A1845">
        <v>11503084</v>
      </c>
      <c r="B1845">
        <v>1021989</v>
      </c>
      <c r="C1845">
        <v>4</v>
      </c>
      <c r="D1845">
        <v>1</v>
      </c>
      <c r="E1845">
        <v>1</v>
      </c>
      <c r="F1845">
        <v>4</v>
      </c>
      <c r="G1845">
        <v>5</v>
      </c>
      <c r="H1845" t="str">
        <f>IF(Demographics[[#This Row],[DOB]]&gt;10000000, TEXT(Demographics[[#This Row],[DOB]],0),CONCATENATE("0",TEXT(Demographics[[#This Row],[DOB]],0)))</f>
        <v>01021989</v>
      </c>
      <c r="I1845" s="4">
        <f ca="1">IFERROR((VALUE(TODAY()-DATE(RIGHT(Demographics[[#This Row],[DOB - Fixed]],4),MID(Demographics[[#This Row],[DOB - Fixed]],3,2),LEFT(Demographics[[#This Row],[DOB - Fixed]],2))))/365,0)</f>
        <v>34.62191780821918</v>
      </c>
      <c r="J1845">
        <f>VLOOKUP(Demographics[[#This Row],[INCOME LEVEL]],Income[],4,FALSE)</f>
        <v>175</v>
      </c>
      <c r="K1845">
        <f>IFERROR(Demographics[[#This Row],[Total monthly income]]/Demographics[[#This Row],[FAMILY SIZE]], 0)</f>
        <v>43.75</v>
      </c>
    </row>
    <row r="1846" spans="1:11" x14ac:dyDescent="0.2">
      <c r="A1846">
        <v>23482318</v>
      </c>
      <c r="B1846">
        <v>6021989</v>
      </c>
      <c r="C1846">
        <v>0</v>
      </c>
      <c r="D1846">
        <v>0</v>
      </c>
      <c r="E1846">
        <v>2</v>
      </c>
      <c r="F1846">
        <v>0</v>
      </c>
      <c r="G1846">
        <v>0</v>
      </c>
      <c r="H1846" t="str">
        <f>IF(Demographics[[#This Row],[DOB]]&gt;10000000, TEXT(Demographics[[#This Row],[DOB]],0),CONCATENATE("0",TEXT(Demographics[[#This Row],[DOB]],0)))</f>
        <v>06021989</v>
      </c>
      <c r="I1846" s="4">
        <f ca="1">IFERROR((VALUE(TODAY()-DATE(RIGHT(Demographics[[#This Row],[DOB - Fixed]],4),MID(Demographics[[#This Row],[DOB - Fixed]],3,2),LEFT(Demographics[[#This Row],[DOB - Fixed]],2))))/365,0)</f>
        <v>34.608219178082194</v>
      </c>
      <c r="J1846">
        <f>VLOOKUP(Demographics[[#This Row],[INCOME LEVEL]],Income[],4,FALSE)</f>
        <v>697.5</v>
      </c>
      <c r="K1846">
        <f>IFERROR(Demographics[[#This Row],[Total monthly income]]/Demographics[[#This Row],[FAMILY SIZE]], 0)</f>
        <v>0</v>
      </c>
    </row>
    <row r="1847" spans="1:11" x14ac:dyDescent="0.2">
      <c r="A1847">
        <v>4357765</v>
      </c>
      <c r="B1847">
        <v>7021989</v>
      </c>
      <c r="C1847">
        <v>9</v>
      </c>
      <c r="D1847">
        <v>1</v>
      </c>
      <c r="E1847">
        <v>1</v>
      </c>
      <c r="F1847">
        <v>2</v>
      </c>
      <c r="G1847">
        <v>2</v>
      </c>
      <c r="H1847" t="str">
        <f>IF(Demographics[[#This Row],[DOB]]&gt;10000000, TEXT(Demographics[[#This Row],[DOB]],0),CONCATENATE("0",TEXT(Demographics[[#This Row],[DOB]],0)))</f>
        <v>07021989</v>
      </c>
      <c r="I1847" s="4">
        <f ca="1">IFERROR((VALUE(TODAY()-DATE(RIGHT(Demographics[[#This Row],[DOB - Fixed]],4),MID(Demographics[[#This Row],[DOB - Fixed]],3,2),LEFT(Demographics[[#This Row],[DOB - Fixed]],2))))/365,0)</f>
        <v>34.605479452054794</v>
      </c>
      <c r="J1847">
        <f>VLOOKUP(Demographics[[#This Row],[INCOME LEVEL]],Income[],4,FALSE)</f>
        <v>175</v>
      </c>
      <c r="K1847">
        <f>IFERROR(Demographics[[#This Row],[Total monthly income]]/Demographics[[#This Row],[FAMILY SIZE]], 0)</f>
        <v>19.444444444444443</v>
      </c>
    </row>
    <row r="1848" spans="1:11" x14ac:dyDescent="0.2">
      <c r="A1848">
        <v>21015300</v>
      </c>
      <c r="B1848">
        <v>12111988</v>
      </c>
      <c r="C1848">
        <v>4</v>
      </c>
      <c r="D1848">
        <v>1</v>
      </c>
      <c r="E1848">
        <v>1</v>
      </c>
      <c r="F1848">
        <v>2</v>
      </c>
      <c r="G1848">
        <v>2</v>
      </c>
      <c r="H1848" t="str">
        <f>IF(Demographics[[#This Row],[DOB]]&gt;10000000, TEXT(Demographics[[#This Row],[DOB]],0),CONCATENATE("0",TEXT(Demographics[[#This Row],[DOB]],0)))</f>
        <v>12111988</v>
      </c>
      <c r="I1848" s="4">
        <f ca="1">IFERROR((VALUE(TODAY()-DATE(RIGHT(Demographics[[#This Row],[DOB - Fixed]],4),MID(Demographics[[#This Row],[DOB - Fixed]],3,2),LEFT(Demographics[[#This Row],[DOB - Fixed]],2))))/365,0)</f>
        <v>34.843835616438355</v>
      </c>
      <c r="J1848">
        <f>VLOOKUP(Demographics[[#This Row],[INCOME LEVEL]],Income[],4,FALSE)</f>
        <v>175</v>
      </c>
      <c r="K1848">
        <f>IFERROR(Demographics[[#This Row],[Total monthly income]]/Demographics[[#This Row],[FAMILY SIZE]], 0)</f>
        <v>43.75</v>
      </c>
    </row>
    <row r="1849" spans="1:11" x14ac:dyDescent="0.2">
      <c r="A1849">
        <v>1788637</v>
      </c>
      <c r="B1849">
        <v>20021989</v>
      </c>
      <c r="C1849">
        <v>5</v>
      </c>
      <c r="D1849">
        <v>2</v>
      </c>
      <c r="E1849">
        <v>2</v>
      </c>
      <c r="F1849">
        <v>8</v>
      </c>
      <c r="G1849">
        <v>8</v>
      </c>
      <c r="H1849" t="str">
        <f>IF(Demographics[[#This Row],[DOB]]&gt;10000000, TEXT(Demographics[[#This Row],[DOB]],0),CONCATENATE("0",TEXT(Demographics[[#This Row],[DOB]],0)))</f>
        <v>20021989</v>
      </c>
      <c r="I1849" s="4">
        <f ca="1">IFERROR((VALUE(TODAY()-DATE(RIGHT(Demographics[[#This Row],[DOB - Fixed]],4),MID(Demographics[[#This Row],[DOB - Fixed]],3,2),LEFT(Demographics[[#This Row],[DOB - Fixed]],2))))/365,0)</f>
        <v>34.56986301369863</v>
      </c>
      <c r="J1849">
        <f>VLOOKUP(Demographics[[#This Row],[INCOME LEVEL]],Income[],4,FALSE)</f>
        <v>697.5</v>
      </c>
      <c r="K1849">
        <f>IFERROR(Demographics[[#This Row],[Total monthly income]]/Demographics[[#This Row],[FAMILY SIZE]], 0)</f>
        <v>139.5</v>
      </c>
    </row>
    <row r="1850" spans="1:11" x14ac:dyDescent="0.2">
      <c r="A1850">
        <v>4026474</v>
      </c>
      <c r="B1850">
        <v>23021989</v>
      </c>
      <c r="C1850">
        <v>5</v>
      </c>
      <c r="D1850">
        <v>1</v>
      </c>
      <c r="E1850">
        <v>1</v>
      </c>
      <c r="F1850">
        <v>2</v>
      </c>
      <c r="G1850">
        <v>4</v>
      </c>
      <c r="H1850" t="str">
        <f>IF(Demographics[[#This Row],[DOB]]&gt;10000000, TEXT(Demographics[[#This Row],[DOB]],0),CONCATENATE("0",TEXT(Demographics[[#This Row],[DOB]],0)))</f>
        <v>23021989</v>
      </c>
      <c r="I1850" s="4">
        <f ca="1">IFERROR((VALUE(TODAY()-DATE(RIGHT(Demographics[[#This Row],[DOB - Fixed]],4),MID(Demographics[[#This Row],[DOB - Fixed]],3,2),LEFT(Demographics[[#This Row],[DOB - Fixed]],2))))/365,0)</f>
        <v>34.561643835616437</v>
      </c>
      <c r="J1850">
        <f>VLOOKUP(Demographics[[#This Row],[INCOME LEVEL]],Income[],4,FALSE)</f>
        <v>175</v>
      </c>
      <c r="K1850">
        <f>IFERROR(Demographics[[#This Row],[Total monthly income]]/Demographics[[#This Row],[FAMILY SIZE]], 0)</f>
        <v>35</v>
      </c>
    </row>
    <row r="1851" spans="1:11" x14ac:dyDescent="0.2">
      <c r="A1851">
        <v>19412980</v>
      </c>
      <c r="B1851">
        <v>20021989</v>
      </c>
      <c r="C1851">
        <v>4</v>
      </c>
      <c r="D1851">
        <v>2</v>
      </c>
      <c r="E1851">
        <v>2</v>
      </c>
      <c r="F1851">
        <v>4</v>
      </c>
      <c r="G1851">
        <v>5</v>
      </c>
      <c r="H1851" t="str">
        <f>IF(Demographics[[#This Row],[DOB]]&gt;10000000, TEXT(Demographics[[#This Row],[DOB]],0),CONCATENATE("0",TEXT(Demographics[[#This Row],[DOB]],0)))</f>
        <v>20021989</v>
      </c>
      <c r="I1851" s="4">
        <f ca="1">IFERROR((VALUE(TODAY()-DATE(RIGHT(Demographics[[#This Row],[DOB - Fixed]],4),MID(Demographics[[#This Row],[DOB - Fixed]],3,2),LEFT(Demographics[[#This Row],[DOB - Fixed]],2))))/365,0)</f>
        <v>34.56986301369863</v>
      </c>
      <c r="J1851">
        <f>VLOOKUP(Demographics[[#This Row],[INCOME LEVEL]],Income[],4,FALSE)</f>
        <v>697.5</v>
      </c>
      <c r="K1851">
        <f>IFERROR(Demographics[[#This Row],[Total monthly income]]/Demographics[[#This Row],[FAMILY SIZE]], 0)</f>
        <v>174.375</v>
      </c>
    </row>
    <row r="1852" spans="1:11" x14ac:dyDescent="0.2">
      <c r="A1852">
        <v>15674050</v>
      </c>
      <c r="B1852">
        <v>21021989</v>
      </c>
      <c r="C1852">
        <v>3</v>
      </c>
      <c r="D1852">
        <v>2</v>
      </c>
      <c r="E1852">
        <v>3</v>
      </c>
      <c r="F1852">
        <v>9</v>
      </c>
      <c r="G1852">
        <v>9</v>
      </c>
      <c r="H1852" t="str">
        <f>IF(Demographics[[#This Row],[DOB]]&gt;10000000, TEXT(Demographics[[#This Row],[DOB]],0),CONCATENATE("0",TEXT(Demographics[[#This Row],[DOB]],0)))</f>
        <v>21021989</v>
      </c>
      <c r="I1852" s="4">
        <f ca="1">IFERROR((VALUE(TODAY()-DATE(RIGHT(Demographics[[#This Row],[DOB - Fixed]],4),MID(Demographics[[#This Row],[DOB - Fixed]],3,2),LEFT(Demographics[[#This Row],[DOB - Fixed]],2))))/365,0)</f>
        <v>34.56712328767123</v>
      </c>
      <c r="J1852">
        <f>VLOOKUP(Demographics[[#This Row],[INCOME LEVEL]],Income[],4,FALSE)</f>
        <v>1397.5</v>
      </c>
      <c r="K1852">
        <f>IFERROR(Demographics[[#This Row],[Total monthly income]]/Demographics[[#This Row],[FAMILY SIZE]], 0)</f>
        <v>465.83333333333331</v>
      </c>
    </row>
    <row r="1853" spans="1:11" x14ac:dyDescent="0.2">
      <c r="A1853">
        <v>3925477</v>
      </c>
      <c r="B1853">
        <v>2011989</v>
      </c>
      <c r="C1853">
        <v>2</v>
      </c>
      <c r="D1853">
        <v>0</v>
      </c>
      <c r="E1853">
        <v>1</v>
      </c>
      <c r="F1853">
        <v>0</v>
      </c>
      <c r="G1853">
        <v>0</v>
      </c>
      <c r="H1853" t="str">
        <f>IF(Demographics[[#This Row],[DOB]]&gt;10000000, TEXT(Demographics[[#This Row],[DOB]],0),CONCATENATE("0",TEXT(Demographics[[#This Row],[DOB]],0)))</f>
        <v>02011989</v>
      </c>
      <c r="I1853" s="4">
        <f ca="1">IFERROR((VALUE(TODAY()-DATE(RIGHT(Demographics[[#This Row],[DOB - Fixed]],4),MID(Demographics[[#This Row],[DOB - Fixed]],3,2),LEFT(Demographics[[#This Row],[DOB - Fixed]],2))))/365,0)</f>
        <v>34.704109589041096</v>
      </c>
      <c r="J1853">
        <f>VLOOKUP(Demographics[[#This Row],[INCOME LEVEL]],Income[],4,FALSE)</f>
        <v>175</v>
      </c>
      <c r="K1853">
        <f>IFERROR(Demographics[[#This Row],[Total monthly income]]/Demographics[[#This Row],[FAMILY SIZE]], 0)</f>
        <v>87.5</v>
      </c>
    </row>
    <row r="1854" spans="1:11" x14ac:dyDescent="0.2">
      <c r="A1854">
        <v>4459067</v>
      </c>
      <c r="B1854">
        <v>22021989</v>
      </c>
      <c r="C1854">
        <v>3</v>
      </c>
      <c r="D1854">
        <v>1</v>
      </c>
      <c r="E1854">
        <v>2</v>
      </c>
      <c r="F1854">
        <v>0</v>
      </c>
      <c r="G1854">
        <v>8</v>
      </c>
      <c r="H1854" t="str">
        <f>IF(Demographics[[#This Row],[DOB]]&gt;10000000, TEXT(Demographics[[#This Row],[DOB]],0),CONCATENATE("0",TEXT(Demographics[[#This Row],[DOB]],0)))</f>
        <v>22021989</v>
      </c>
      <c r="I1854" s="4">
        <f ca="1">IFERROR((VALUE(TODAY()-DATE(RIGHT(Demographics[[#This Row],[DOB - Fixed]],4),MID(Demographics[[#This Row],[DOB - Fixed]],3,2),LEFT(Demographics[[#This Row],[DOB - Fixed]],2))))/365,0)</f>
        <v>34.564383561643837</v>
      </c>
      <c r="J1854">
        <f>VLOOKUP(Demographics[[#This Row],[INCOME LEVEL]],Income[],4,FALSE)</f>
        <v>697.5</v>
      </c>
      <c r="K1854">
        <f>IFERROR(Demographics[[#This Row],[Total monthly income]]/Demographics[[#This Row],[FAMILY SIZE]], 0)</f>
        <v>232.5</v>
      </c>
    </row>
    <row r="1855" spans="1:11" x14ac:dyDescent="0.2">
      <c r="A1855">
        <v>2322999</v>
      </c>
      <c r="B1855">
        <v>28021989</v>
      </c>
      <c r="C1855">
        <v>4</v>
      </c>
      <c r="D1855">
        <v>2</v>
      </c>
      <c r="E1855">
        <v>2</v>
      </c>
      <c r="F1855">
        <v>5</v>
      </c>
      <c r="G1855">
        <v>5</v>
      </c>
      <c r="H1855" t="str">
        <f>IF(Demographics[[#This Row],[DOB]]&gt;10000000, TEXT(Demographics[[#This Row],[DOB]],0),CONCATENATE("0",TEXT(Demographics[[#This Row],[DOB]],0)))</f>
        <v>28021989</v>
      </c>
      <c r="I1855" s="4">
        <f ca="1">IFERROR((VALUE(TODAY()-DATE(RIGHT(Demographics[[#This Row],[DOB - Fixed]],4),MID(Demographics[[#This Row],[DOB - Fixed]],3,2),LEFT(Demographics[[#This Row],[DOB - Fixed]],2))))/365,0)</f>
        <v>34.547945205479451</v>
      </c>
      <c r="J1855">
        <f>VLOOKUP(Demographics[[#This Row],[INCOME LEVEL]],Income[],4,FALSE)</f>
        <v>697.5</v>
      </c>
      <c r="K1855">
        <f>IFERROR(Demographics[[#This Row],[Total monthly income]]/Demographics[[#This Row],[FAMILY SIZE]], 0)</f>
        <v>174.375</v>
      </c>
    </row>
    <row r="1856" spans="1:11" x14ac:dyDescent="0.2">
      <c r="A1856">
        <v>23584053</v>
      </c>
      <c r="B1856">
        <v>23021989</v>
      </c>
      <c r="C1856">
        <v>6</v>
      </c>
      <c r="D1856">
        <v>0</v>
      </c>
      <c r="E1856">
        <v>1</v>
      </c>
      <c r="F1856">
        <v>0</v>
      </c>
      <c r="G1856">
        <v>5</v>
      </c>
      <c r="H1856" t="str">
        <f>IF(Demographics[[#This Row],[DOB]]&gt;10000000, TEXT(Demographics[[#This Row],[DOB]],0),CONCATENATE("0",TEXT(Demographics[[#This Row],[DOB]],0)))</f>
        <v>23021989</v>
      </c>
      <c r="I1856" s="4">
        <f ca="1">IFERROR((VALUE(TODAY()-DATE(RIGHT(Demographics[[#This Row],[DOB - Fixed]],4),MID(Demographics[[#This Row],[DOB - Fixed]],3,2),LEFT(Demographics[[#This Row],[DOB - Fixed]],2))))/365,0)</f>
        <v>34.561643835616437</v>
      </c>
      <c r="J1856">
        <f>VLOOKUP(Demographics[[#This Row],[INCOME LEVEL]],Income[],4,FALSE)</f>
        <v>175</v>
      </c>
      <c r="K1856">
        <f>IFERROR(Demographics[[#This Row],[Total monthly income]]/Demographics[[#This Row],[FAMILY SIZE]], 0)</f>
        <v>29.166666666666668</v>
      </c>
    </row>
    <row r="1857" spans="1:11" x14ac:dyDescent="0.2">
      <c r="A1857">
        <v>186354</v>
      </c>
      <c r="B1857">
        <v>6061988</v>
      </c>
      <c r="C1857">
        <v>4</v>
      </c>
      <c r="D1857">
        <v>2</v>
      </c>
      <c r="E1857">
        <v>2</v>
      </c>
      <c r="F1857">
        <v>5</v>
      </c>
      <c r="G1857">
        <v>5</v>
      </c>
      <c r="H1857" t="str">
        <f>IF(Demographics[[#This Row],[DOB]]&gt;10000000, TEXT(Demographics[[#This Row],[DOB]],0),CONCATENATE("0",TEXT(Demographics[[#This Row],[DOB]],0)))</f>
        <v>06061988</v>
      </c>
      <c r="I1857" s="4">
        <f ca="1">IFERROR((VALUE(TODAY()-DATE(RIGHT(Demographics[[#This Row],[DOB - Fixed]],4),MID(Demographics[[#This Row],[DOB - Fixed]],3,2),LEFT(Demographics[[#This Row],[DOB - Fixed]],2))))/365,0)</f>
        <v>35.279452054794518</v>
      </c>
      <c r="J1857">
        <f>VLOOKUP(Demographics[[#This Row],[INCOME LEVEL]],Income[],4,FALSE)</f>
        <v>697.5</v>
      </c>
      <c r="K1857">
        <f>IFERROR(Demographics[[#This Row],[Total monthly income]]/Demographics[[#This Row],[FAMILY SIZE]], 0)</f>
        <v>174.375</v>
      </c>
    </row>
    <row r="1858" spans="1:11" x14ac:dyDescent="0.2">
      <c r="A1858">
        <v>13538253</v>
      </c>
      <c r="B1858">
        <v>27021989</v>
      </c>
      <c r="C1858">
        <v>4</v>
      </c>
      <c r="D1858">
        <v>1</v>
      </c>
      <c r="E1858">
        <v>1</v>
      </c>
      <c r="F1858">
        <v>4</v>
      </c>
      <c r="G1858">
        <v>4</v>
      </c>
      <c r="H1858" t="str">
        <f>IF(Demographics[[#This Row],[DOB]]&gt;10000000, TEXT(Demographics[[#This Row],[DOB]],0),CONCATENATE("0",TEXT(Demographics[[#This Row],[DOB]],0)))</f>
        <v>27021989</v>
      </c>
      <c r="I1858" s="4">
        <f ca="1">IFERROR((VALUE(TODAY()-DATE(RIGHT(Demographics[[#This Row],[DOB - Fixed]],4),MID(Demographics[[#This Row],[DOB - Fixed]],3,2),LEFT(Demographics[[#This Row],[DOB - Fixed]],2))))/365,0)</f>
        <v>34.550684931506851</v>
      </c>
      <c r="J1858">
        <f>VLOOKUP(Demographics[[#This Row],[INCOME LEVEL]],Income[],4,FALSE)</f>
        <v>175</v>
      </c>
      <c r="K1858">
        <f>IFERROR(Demographics[[#This Row],[Total monthly income]]/Demographics[[#This Row],[FAMILY SIZE]], 0)</f>
        <v>43.75</v>
      </c>
    </row>
    <row r="1859" spans="1:11" x14ac:dyDescent="0.2">
      <c r="A1859">
        <v>23050216</v>
      </c>
      <c r="B1859">
        <v>25121988</v>
      </c>
      <c r="C1859">
        <v>5</v>
      </c>
      <c r="D1859">
        <v>1</v>
      </c>
      <c r="E1859">
        <v>1</v>
      </c>
      <c r="F1859">
        <v>2</v>
      </c>
      <c r="G1859">
        <v>4</v>
      </c>
      <c r="H1859" t="str">
        <f>IF(Demographics[[#This Row],[DOB]]&gt;10000000, TEXT(Demographics[[#This Row],[DOB]],0),CONCATENATE("0",TEXT(Demographics[[#This Row],[DOB]],0)))</f>
        <v>25121988</v>
      </c>
      <c r="I1859" s="4">
        <f ca="1">IFERROR((VALUE(TODAY()-DATE(RIGHT(Demographics[[#This Row],[DOB - Fixed]],4),MID(Demographics[[#This Row],[DOB - Fixed]],3,2),LEFT(Demographics[[#This Row],[DOB - Fixed]],2))))/365,0)</f>
        <v>34.726027397260275</v>
      </c>
      <c r="J1859">
        <f>VLOOKUP(Demographics[[#This Row],[INCOME LEVEL]],Income[],4,FALSE)</f>
        <v>175</v>
      </c>
      <c r="K1859">
        <f>IFERROR(Demographics[[#This Row],[Total monthly income]]/Demographics[[#This Row],[FAMILY SIZE]], 0)</f>
        <v>35</v>
      </c>
    </row>
    <row r="1860" spans="1:11" x14ac:dyDescent="0.2">
      <c r="A1860">
        <v>1152907</v>
      </c>
      <c r="B1860">
        <v>4121988</v>
      </c>
      <c r="C1860">
        <v>4</v>
      </c>
      <c r="D1860">
        <v>1</v>
      </c>
      <c r="E1860">
        <v>1</v>
      </c>
      <c r="F1860">
        <v>2</v>
      </c>
      <c r="G1860">
        <v>3</v>
      </c>
      <c r="H1860" t="str">
        <f>IF(Demographics[[#This Row],[DOB]]&gt;10000000, TEXT(Demographics[[#This Row],[DOB]],0),CONCATENATE("0",TEXT(Demographics[[#This Row],[DOB]],0)))</f>
        <v>04121988</v>
      </c>
      <c r="I1860" s="4">
        <f ca="1">IFERROR((VALUE(TODAY()-DATE(RIGHT(Demographics[[#This Row],[DOB - Fixed]],4),MID(Demographics[[#This Row],[DOB - Fixed]],3,2),LEFT(Demographics[[#This Row],[DOB - Fixed]],2))))/365,0)</f>
        <v>34.783561643835618</v>
      </c>
      <c r="J1860">
        <f>VLOOKUP(Demographics[[#This Row],[INCOME LEVEL]],Income[],4,FALSE)</f>
        <v>175</v>
      </c>
      <c r="K1860">
        <f>IFERROR(Demographics[[#This Row],[Total monthly income]]/Demographics[[#This Row],[FAMILY SIZE]], 0)</f>
        <v>43.75</v>
      </c>
    </row>
    <row r="1861" spans="1:11" x14ac:dyDescent="0.2">
      <c r="A1861">
        <v>3391705</v>
      </c>
      <c r="B1861">
        <v>25021989</v>
      </c>
      <c r="C1861">
        <v>5</v>
      </c>
      <c r="D1861">
        <v>1</v>
      </c>
      <c r="E1861">
        <v>1</v>
      </c>
      <c r="F1861">
        <v>5</v>
      </c>
      <c r="G1861">
        <v>5</v>
      </c>
      <c r="H1861" t="str">
        <f>IF(Demographics[[#This Row],[DOB]]&gt;10000000, TEXT(Demographics[[#This Row],[DOB]],0),CONCATENATE("0",TEXT(Demographics[[#This Row],[DOB]],0)))</f>
        <v>25021989</v>
      </c>
      <c r="I1861" s="4">
        <f ca="1">IFERROR((VALUE(TODAY()-DATE(RIGHT(Demographics[[#This Row],[DOB - Fixed]],4),MID(Demographics[[#This Row],[DOB - Fixed]],3,2),LEFT(Demographics[[#This Row],[DOB - Fixed]],2))))/365,0)</f>
        <v>34.556164383561644</v>
      </c>
      <c r="J1861">
        <f>VLOOKUP(Demographics[[#This Row],[INCOME LEVEL]],Income[],4,FALSE)</f>
        <v>175</v>
      </c>
      <c r="K1861">
        <f>IFERROR(Demographics[[#This Row],[Total monthly income]]/Demographics[[#This Row],[FAMILY SIZE]], 0)</f>
        <v>35</v>
      </c>
    </row>
    <row r="1862" spans="1:11" x14ac:dyDescent="0.2">
      <c r="A1862">
        <v>11835101</v>
      </c>
      <c r="B1862">
        <v>27021989</v>
      </c>
      <c r="C1862">
        <v>5</v>
      </c>
      <c r="D1862">
        <v>2</v>
      </c>
      <c r="E1862">
        <v>1</v>
      </c>
      <c r="F1862">
        <v>4</v>
      </c>
      <c r="G1862">
        <v>5</v>
      </c>
      <c r="H1862" t="str">
        <f>IF(Demographics[[#This Row],[DOB]]&gt;10000000, TEXT(Demographics[[#This Row],[DOB]],0),CONCATENATE("0",TEXT(Demographics[[#This Row],[DOB]],0)))</f>
        <v>27021989</v>
      </c>
      <c r="I1862" s="4">
        <f ca="1">IFERROR((VALUE(TODAY()-DATE(RIGHT(Demographics[[#This Row],[DOB - Fixed]],4),MID(Demographics[[#This Row],[DOB - Fixed]],3,2),LEFT(Demographics[[#This Row],[DOB - Fixed]],2))))/365,0)</f>
        <v>34.550684931506851</v>
      </c>
      <c r="J1862">
        <f>VLOOKUP(Demographics[[#This Row],[INCOME LEVEL]],Income[],4,FALSE)</f>
        <v>175</v>
      </c>
      <c r="K1862">
        <f>IFERROR(Demographics[[#This Row],[Total monthly income]]/Demographics[[#This Row],[FAMILY SIZE]], 0)</f>
        <v>35</v>
      </c>
    </row>
    <row r="1863" spans="1:11" x14ac:dyDescent="0.2">
      <c r="A1863">
        <v>9900561</v>
      </c>
      <c r="B1863">
        <v>3031989</v>
      </c>
      <c r="C1863">
        <v>4</v>
      </c>
      <c r="D1863">
        <v>1</v>
      </c>
      <c r="E1863">
        <v>1</v>
      </c>
      <c r="F1863">
        <v>5</v>
      </c>
      <c r="G1863">
        <v>5</v>
      </c>
      <c r="H1863" t="str">
        <f>IF(Demographics[[#This Row],[DOB]]&gt;10000000, TEXT(Demographics[[#This Row],[DOB]],0),CONCATENATE("0",TEXT(Demographics[[#This Row],[DOB]],0)))</f>
        <v>03031989</v>
      </c>
      <c r="I1863" s="4">
        <f ca="1">IFERROR((VALUE(TODAY()-DATE(RIGHT(Demographics[[#This Row],[DOB - Fixed]],4),MID(Demographics[[#This Row],[DOB - Fixed]],3,2),LEFT(Demographics[[#This Row],[DOB - Fixed]],2))))/365,0)</f>
        <v>34.539726027397258</v>
      </c>
      <c r="J1863">
        <f>VLOOKUP(Demographics[[#This Row],[INCOME LEVEL]],Income[],4,FALSE)</f>
        <v>175</v>
      </c>
      <c r="K1863">
        <f>IFERROR(Demographics[[#This Row],[Total monthly income]]/Demographics[[#This Row],[FAMILY SIZE]], 0)</f>
        <v>43.75</v>
      </c>
    </row>
    <row r="1864" spans="1:11" x14ac:dyDescent="0.2">
      <c r="A1864">
        <v>6494553</v>
      </c>
      <c r="B1864">
        <v>28021989</v>
      </c>
      <c r="C1864">
        <v>4</v>
      </c>
      <c r="D1864">
        <v>1</v>
      </c>
      <c r="E1864">
        <v>1</v>
      </c>
      <c r="F1864">
        <v>5</v>
      </c>
      <c r="G1864">
        <v>5</v>
      </c>
      <c r="H1864" t="str">
        <f>IF(Demographics[[#This Row],[DOB]]&gt;10000000, TEXT(Demographics[[#This Row],[DOB]],0),CONCATENATE("0",TEXT(Demographics[[#This Row],[DOB]],0)))</f>
        <v>28021989</v>
      </c>
      <c r="I1864" s="4">
        <f ca="1">IFERROR((VALUE(TODAY()-DATE(RIGHT(Demographics[[#This Row],[DOB - Fixed]],4),MID(Demographics[[#This Row],[DOB - Fixed]],3,2),LEFT(Demographics[[#This Row],[DOB - Fixed]],2))))/365,0)</f>
        <v>34.547945205479451</v>
      </c>
      <c r="J1864">
        <f>VLOOKUP(Demographics[[#This Row],[INCOME LEVEL]],Income[],4,FALSE)</f>
        <v>175</v>
      </c>
      <c r="K1864">
        <f>IFERROR(Demographics[[#This Row],[Total monthly income]]/Demographics[[#This Row],[FAMILY SIZE]], 0)</f>
        <v>43.75</v>
      </c>
    </row>
    <row r="1865" spans="1:11" x14ac:dyDescent="0.2">
      <c r="A1865">
        <v>8096405</v>
      </c>
      <c r="B1865">
        <v>3031989</v>
      </c>
      <c r="C1865">
        <v>4</v>
      </c>
      <c r="D1865">
        <v>1</v>
      </c>
      <c r="E1865">
        <v>1</v>
      </c>
      <c r="F1865">
        <v>5</v>
      </c>
      <c r="G1865">
        <v>5</v>
      </c>
      <c r="H1865" t="str">
        <f>IF(Demographics[[#This Row],[DOB]]&gt;10000000, TEXT(Demographics[[#This Row],[DOB]],0),CONCATENATE("0",TEXT(Demographics[[#This Row],[DOB]],0)))</f>
        <v>03031989</v>
      </c>
      <c r="I1865" s="4">
        <f ca="1">IFERROR((VALUE(TODAY()-DATE(RIGHT(Demographics[[#This Row],[DOB - Fixed]],4),MID(Demographics[[#This Row],[DOB - Fixed]],3,2),LEFT(Demographics[[#This Row],[DOB - Fixed]],2))))/365,0)</f>
        <v>34.539726027397258</v>
      </c>
      <c r="J1865">
        <f>VLOOKUP(Demographics[[#This Row],[INCOME LEVEL]],Income[],4,FALSE)</f>
        <v>175</v>
      </c>
      <c r="K1865">
        <f>IFERROR(Demographics[[#This Row],[Total monthly income]]/Demographics[[#This Row],[FAMILY SIZE]], 0)</f>
        <v>43.75</v>
      </c>
    </row>
    <row r="1866" spans="1:11" x14ac:dyDescent="0.2">
      <c r="A1866">
        <v>21448014</v>
      </c>
      <c r="B1866">
        <v>25021989</v>
      </c>
      <c r="C1866">
        <v>10</v>
      </c>
      <c r="D1866">
        <v>1</v>
      </c>
      <c r="E1866">
        <v>1</v>
      </c>
      <c r="F1866">
        <v>4</v>
      </c>
      <c r="G1866">
        <v>5</v>
      </c>
      <c r="H1866" t="str">
        <f>IF(Demographics[[#This Row],[DOB]]&gt;10000000, TEXT(Demographics[[#This Row],[DOB]],0),CONCATENATE("0",TEXT(Demographics[[#This Row],[DOB]],0)))</f>
        <v>25021989</v>
      </c>
      <c r="I1866" s="4">
        <f ca="1">IFERROR((VALUE(TODAY()-DATE(RIGHT(Demographics[[#This Row],[DOB - Fixed]],4),MID(Demographics[[#This Row],[DOB - Fixed]],3,2),LEFT(Demographics[[#This Row],[DOB - Fixed]],2))))/365,0)</f>
        <v>34.556164383561644</v>
      </c>
      <c r="J1866">
        <f>VLOOKUP(Demographics[[#This Row],[INCOME LEVEL]],Income[],4,FALSE)</f>
        <v>175</v>
      </c>
      <c r="K1866">
        <f>IFERROR(Demographics[[#This Row],[Total monthly income]]/Demographics[[#This Row],[FAMILY SIZE]], 0)</f>
        <v>17.5</v>
      </c>
    </row>
    <row r="1867" spans="1:11" x14ac:dyDescent="0.2">
      <c r="A1867">
        <v>5960475</v>
      </c>
      <c r="B1867">
        <v>2031989</v>
      </c>
      <c r="C1867">
        <v>4</v>
      </c>
      <c r="D1867">
        <v>1</v>
      </c>
      <c r="E1867">
        <v>1</v>
      </c>
      <c r="F1867">
        <v>5</v>
      </c>
      <c r="G1867">
        <v>4</v>
      </c>
      <c r="H1867" t="str">
        <f>IF(Demographics[[#This Row],[DOB]]&gt;10000000, TEXT(Demographics[[#This Row],[DOB]],0),CONCATENATE("0",TEXT(Demographics[[#This Row],[DOB]],0)))</f>
        <v>02031989</v>
      </c>
      <c r="I1867" s="4">
        <f ca="1">IFERROR((VALUE(TODAY()-DATE(RIGHT(Demographics[[#This Row],[DOB - Fixed]],4),MID(Demographics[[#This Row],[DOB - Fixed]],3,2),LEFT(Demographics[[#This Row],[DOB - Fixed]],2))))/365,0)</f>
        <v>34.542465753424658</v>
      </c>
      <c r="J1867">
        <f>VLOOKUP(Demographics[[#This Row],[INCOME LEVEL]],Income[],4,FALSE)</f>
        <v>175</v>
      </c>
      <c r="K1867">
        <f>IFERROR(Demographics[[#This Row],[Total monthly income]]/Demographics[[#This Row],[FAMILY SIZE]], 0)</f>
        <v>43.75</v>
      </c>
    </row>
    <row r="1868" spans="1:11" x14ac:dyDescent="0.2">
      <c r="A1868">
        <v>22617707</v>
      </c>
      <c r="B1868">
        <v>6031989</v>
      </c>
      <c r="C1868">
        <v>0</v>
      </c>
      <c r="D1868">
        <v>0</v>
      </c>
      <c r="E1868">
        <v>1</v>
      </c>
      <c r="F1868">
        <v>0</v>
      </c>
      <c r="G1868">
        <v>0</v>
      </c>
      <c r="H1868" t="str">
        <f>IF(Demographics[[#This Row],[DOB]]&gt;10000000, TEXT(Demographics[[#This Row],[DOB]],0),CONCATENATE("0",TEXT(Demographics[[#This Row],[DOB]],0)))</f>
        <v>06031989</v>
      </c>
      <c r="I1868" s="4">
        <f ca="1">IFERROR((VALUE(TODAY()-DATE(RIGHT(Demographics[[#This Row],[DOB - Fixed]],4),MID(Demographics[[#This Row],[DOB - Fixed]],3,2),LEFT(Demographics[[#This Row],[DOB - Fixed]],2))))/365,0)</f>
        <v>34.531506849315072</v>
      </c>
      <c r="J1868">
        <f>VLOOKUP(Demographics[[#This Row],[INCOME LEVEL]],Income[],4,FALSE)</f>
        <v>175</v>
      </c>
      <c r="K1868">
        <f>IFERROR(Demographics[[#This Row],[Total monthly income]]/Demographics[[#This Row],[FAMILY SIZE]], 0)</f>
        <v>0</v>
      </c>
    </row>
    <row r="1869" spans="1:11" x14ac:dyDescent="0.2">
      <c r="A1869">
        <v>24550247</v>
      </c>
      <c r="B1869">
        <v>28021989</v>
      </c>
      <c r="C1869">
        <v>4</v>
      </c>
      <c r="D1869">
        <v>1</v>
      </c>
      <c r="E1869">
        <v>1</v>
      </c>
      <c r="F1869">
        <v>5</v>
      </c>
      <c r="G1869">
        <v>5</v>
      </c>
      <c r="H1869" t="str">
        <f>IF(Demographics[[#This Row],[DOB]]&gt;10000000, TEXT(Demographics[[#This Row],[DOB]],0),CONCATENATE("0",TEXT(Demographics[[#This Row],[DOB]],0)))</f>
        <v>28021989</v>
      </c>
      <c r="I1869" s="4">
        <f ca="1">IFERROR((VALUE(TODAY()-DATE(RIGHT(Demographics[[#This Row],[DOB - Fixed]],4),MID(Demographics[[#This Row],[DOB - Fixed]],3,2),LEFT(Demographics[[#This Row],[DOB - Fixed]],2))))/365,0)</f>
        <v>34.547945205479451</v>
      </c>
      <c r="J1869">
        <f>VLOOKUP(Demographics[[#This Row],[INCOME LEVEL]],Income[],4,FALSE)</f>
        <v>175</v>
      </c>
      <c r="K1869">
        <f>IFERROR(Demographics[[#This Row],[Total monthly income]]/Demographics[[#This Row],[FAMILY SIZE]], 0)</f>
        <v>43.75</v>
      </c>
    </row>
    <row r="1870" spans="1:11" x14ac:dyDescent="0.2">
      <c r="A1870">
        <v>20278395</v>
      </c>
      <c r="B1870">
        <v>29121988</v>
      </c>
      <c r="C1870">
        <v>3</v>
      </c>
      <c r="D1870">
        <v>1</v>
      </c>
      <c r="E1870">
        <v>1</v>
      </c>
      <c r="F1870">
        <v>2</v>
      </c>
      <c r="G1870">
        <v>2</v>
      </c>
      <c r="H1870" t="str">
        <f>IF(Demographics[[#This Row],[DOB]]&gt;10000000, TEXT(Demographics[[#This Row],[DOB]],0),CONCATENATE("0",TEXT(Demographics[[#This Row],[DOB]],0)))</f>
        <v>29121988</v>
      </c>
      <c r="I1870" s="4">
        <f ca="1">IFERROR((VALUE(TODAY()-DATE(RIGHT(Demographics[[#This Row],[DOB - Fixed]],4),MID(Demographics[[#This Row],[DOB - Fixed]],3,2),LEFT(Demographics[[#This Row],[DOB - Fixed]],2))))/365,0)</f>
        <v>34.715068493150682</v>
      </c>
      <c r="J1870">
        <f>VLOOKUP(Demographics[[#This Row],[INCOME LEVEL]],Income[],4,FALSE)</f>
        <v>175</v>
      </c>
      <c r="K1870">
        <f>IFERROR(Demographics[[#This Row],[Total monthly income]]/Demographics[[#This Row],[FAMILY SIZE]], 0)</f>
        <v>58.333333333333336</v>
      </c>
    </row>
    <row r="1871" spans="1:11" x14ac:dyDescent="0.2">
      <c r="A1871">
        <v>11503083</v>
      </c>
      <c r="B1871">
        <v>10031989</v>
      </c>
      <c r="C1871">
        <v>6</v>
      </c>
      <c r="D1871">
        <v>1</v>
      </c>
      <c r="E1871">
        <v>1</v>
      </c>
      <c r="F1871">
        <v>5</v>
      </c>
      <c r="G1871">
        <v>4</v>
      </c>
      <c r="H1871" t="str">
        <f>IF(Demographics[[#This Row],[DOB]]&gt;10000000, TEXT(Demographics[[#This Row],[DOB]],0),CONCATENATE("0",TEXT(Demographics[[#This Row],[DOB]],0)))</f>
        <v>10031989</v>
      </c>
      <c r="I1871" s="4">
        <f ca="1">IFERROR((VALUE(TODAY()-DATE(RIGHT(Demographics[[#This Row],[DOB - Fixed]],4),MID(Demographics[[#This Row],[DOB - Fixed]],3,2),LEFT(Demographics[[#This Row],[DOB - Fixed]],2))))/365,0)</f>
        <v>34.520547945205479</v>
      </c>
      <c r="J1871">
        <f>VLOOKUP(Demographics[[#This Row],[INCOME LEVEL]],Income[],4,FALSE)</f>
        <v>175</v>
      </c>
      <c r="K1871">
        <f>IFERROR(Demographics[[#This Row],[Total monthly income]]/Demographics[[#This Row],[FAMILY SIZE]], 0)</f>
        <v>29.166666666666668</v>
      </c>
    </row>
    <row r="1872" spans="1:11" x14ac:dyDescent="0.2">
      <c r="A1872">
        <v>9799806</v>
      </c>
      <c r="B1872">
        <v>13021989</v>
      </c>
      <c r="C1872">
        <v>3</v>
      </c>
      <c r="D1872">
        <v>1</v>
      </c>
      <c r="E1872">
        <v>2</v>
      </c>
      <c r="F1872">
        <v>0</v>
      </c>
      <c r="G1872">
        <v>3</v>
      </c>
      <c r="H1872" t="str">
        <f>IF(Demographics[[#This Row],[DOB]]&gt;10000000, TEXT(Demographics[[#This Row],[DOB]],0),CONCATENATE("0",TEXT(Demographics[[#This Row],[DOB]],0)))</f>
        <v>13021989</v>
      </c>
      <c r="I1872" s="4">
        <f ca="1">IFERROR((VALUE(TODAY()-DATE(RIGHT(Demographics[[#This Row],[DOB - Fixed]],4),MID(Demographics[[#This Row],[DOB - Fixed]],3,2),LEFT(Demographics[[#This Row],[DOB - Fixed]],2))))/365,0)</f>
        <v>34.589041095890408</v>
      </c>
      <c r="J1872">
        <f>VLOOKUP(Demographics[[#This Row],[INCOME LEVEL]],Income[],4,FALSE)</f>
        <v>697.5</v>
      </c>
      <c r="K1872">
        <f>IFERROR(Demographics[[#This Row],[Total monthly income]]/Demographics[[#This Row],[FAMILY SIZE]], 0)</f>
        <v>232.5</v>
      </c>
    </row>
    <row r="1873" spans="1:11" x14ac:dyDescent="0.2">
      <c r="A1873">
        <v>7764281</v>
      </c>
      <c r="B1873">
        <v>13031989</v>
      </c>
      <c r="C1873">
        <v>5</v>
      </c>
      <c r="D1873">
        <v>2</v>
      </c>
      <c r="E1873">
        <v>1</v>
      </c>
      <c r="F1873">
        <v>5</v>
      </c>
      <c r="G1873">
        <v>4</v>
      </c>
      <c r="H1873" t="str">
        <f>IF(Demographics[[#This Row],[DOB]]&gt;10000000, TEXT(Demographics[[#This Row],[DOB]],0),CONCATENATE("0",TEXT(Demographics[[#This Row],[DOB]],0)))</f>
        <v>13031989</v>
      </c>
      <c r="I1873" s="4">
        <f ca="1">IFERROR((VALUE(TODAY()-DATE(RIGHT(Demographics[[#This Row],[DOB - Fixed]],4),MID(Demographics[[#This Row],[DOB - Fixed]],3,2),LEFT(Demographics[[#This Row],[DOB - Fixed]],2))))/365,0)</f>
        <v>34.512328767123286</v>
      </c>
      <c r="J1873">
        <f>VLOOKUP(Demographics[[#This Row],[INCOME LEVEL]],Income[],4,FALSE)</f>
        <v>175</v>
      </c>
      <c r="K1873">
        <f>IFERROR(Demographics[[#This Row],[Total monthly income]]/Demographics[[#This Row],[FAMILY SIZE]], 0)</f>
        <v>35</v>
      </c>
    </row>
    <row r="1874" spans="1:11" x14ac:dyDescent="0.2">
      <c r="A1874">
        <v>19209751</v>
      </c>
      <c r="B1874">
        <v>20071987</v>
      </c>
      <c r="C1874">
        <v>4</v>
      </c>
      <c r="D1874">
        <v>2</v>
      </c>
      <c r="E1874">
        <v>1</v>
      </c>
      <c r="F1874">
        <v>2</v>
      </c>
      <c r="G1874">
        <v>5</v>
      </c>
      <c r="H1874" t="str">
        <f>IF(Demographics[[#This Row],[DOB]]&gt;10000000, TEXT(Demographics[[#This Row],[DOB]],0),CONCATENATE("0",TEXT(Demographics[[#This Row],[DOB]],0)))</f>
        <v>20071987</v>
      </c>
      <c r="I1874" s="4">
        <f ca="1">IFERROR((VALUE(TODAY()-DATE(RIGHT(Demographics[[#This Row],[DOB - Fixed]],4),MID(Demographics[[#This Row],[DOB - Fixed]],3,2),LEFT(Demographics[[#This Row],[DOB - Fixed]],2))))/365,0)</f>
        <v>36.161643835616438</v>
      </c>
      <c r="J1874">
        <f>VLOOKUP(Demographics[[#This Row],[INCOME LEVEL]],Income[],4,FALSE)</f>
        <v>175</v>
      </c>
      <c r="K1874">
        <f>IFERROR(Demographics[[#This Row],[Total monthly income]]/Demographics[[#This Row],[FAMILY SIZE]], 0)</f>
        <v>43.75</v>
      </c>
    </row>
    <row r="1875" spans="1:11" x14ac:dyDescent="0.2">
      <c r="A1875">
        <v>2958548</v>
      </c>
      <c r="B1875">
        <v>27021989</v>
      </c>
      <c r="C1875">
        <v>6</v>
      </c>
      <c r="D1875">
        <v>1</v>
      </c>
      <c r="E1875">
        <v>1</v>
      </c>
      <c r="F1875">
        <v>5</v>
      </c>
      <c r="G1875">
        <v>2</v>
      </c>
      <c r="H1875" t="str">
        <f>IF(Demographics[[#This Row],[DOB]]&gt;10000000, TEXT(Demographics[[#This Row],[DOB]],0),CONCATENATE("0",TEXT(Demographics[[#This Row],[DOB]],0)))</f>
        <v>27021989</v>
      </c>
      <c r="I1875" s="4">
        <f ca="1">IFERROR((VALUE(TODAY()-DATE(RIGHT(Demographics[[#This Row],[DOB - Fixed]],4),MID(Demographics[[#This Row],[DOB - Fixed]],3,2),LEFT(Demographics[[#This Row],[DOB - Fixed]],2))))/365,0)</f>
        <v>34.550684931506851</v>
      </c>
      <c r="J1875">
        <f>VLOOKUP(Demographics[[#This Row],[INCOME LEVEL]],Income[],4,FALSE)</f>
        <v>175</v>
      </c>
      <c r="K1875">
        <f>IFERROR(Demographics[[#This Row],[Total monthly income]]/Demographics[[#This Row],[FAMILY SIZE]], 0)</f>
        <v>29.166666666666668</v>
      </c>
    </row>
    <row r="1876" spans="1:11" x14ac:dyDescent="0.2">
      <c r="A1876">
        <v>21982420</v>
      </c>
      <c r="B1876">
        <v>13031989</v>
      </c>
      <c r="C1876">
        <v>5</v>
      </c>
      <c r="D1876">
        <v>1</v>
      </c>
      <c r="E1876">
        <v>1</v>
      </c>
      <c r="F1876">
        <v>6</v>
      </c>
      <c r="G1876">
        <v>5</v>
      </c>
      <c r="H1876" t="str">
        <f>IF(Demographics[[#This Row],[DOB]]&gt;10000000, TEXT(Demographics[[#This Row],[DOB]],0),CONCATENATE("0",TEXT(Demographics[[#This Row],[DOB]],0)))</f>
        <v>13031989</v>
      </c>
      <c r="I1876" s="4">
        <f ca="1">IFERROR((VALUE(TODAY()-DATE(RIGHT(Demographics[[#This Row],[DOB - Fixed]],4),MID(Demographics[[#This Row],[DOB - Fixed]],3,2),LEFT(Demographics[[#This Row],[DOB - Fixed]],2))))/365,0)</f>
        <v>34.512328767123286</v>
      </c>
      <c r="J1876">
        <f>VLOOKUP(Demographics[[#This Row],[INCOME LEVEL]],Income[],4,FALSE)</f>
        <v>175</v>
      </c>
      <c r="K1876">
        <f>IFERROR(Demographics[[#This Row],[Total monthly income]]/Demographics[[#This Row],[FAMILY SIZE]], 0)</f>
        <v>35</v>
      </c>
    </row>
    <row r="1877" spans="1:11" x14ac:dyDescent="0.2">
      <c r="A1877">
        <v>10766753</v>
      </c>
      <c r="B1877">
        <v>4031989</v>
      </c>
      <c r="C1877">
        <v>5</v>
      </c>
      <c r="D1877">
        <v>1</v>
      </c>
      <c r="E1877">
        <v>1</v>
      </c>
      <c r="F1877">
        <v>5</v>
      </c>
      <c r="G1877">
        <v>5</v>
      </c>
      <c r="H1877" t="str">
        <f>IF(Demographics[[#This Row],[DOB]]&gt;10000000, TEXT(Demographics[[#This Row],[DOB]],0),CONCATENATE("0",TEXT(Demographics[[#This Row],[DOB]],0)))</f>
        <v>04031989</v>
      </c>
      <c r="I1877" s="4">
        <f ca="1">IFERROR((VALUE(TODAY()-DATE(RIGHT(Demographics[[#This Row],[DOB - Fixed]],4),MID(Demographics[[#This Row],[DOB - Fixed]],3,2),LEFT(Demographics[[#This Row],[DOB - Fixed]],2))))/365,0)</f>
        <v>34.536986301369865</v>
      </c>
      <c r="J1877">
        <f>VLOOKUP(Demographics[[#This Row],[INCOME LEVEL]],Income[],4,FALSE)</f>
        <v>175</v>
      </c>
      <c r="K1877">
        <f>IFERROR(Demographics[[#This Row],[Total monthly income]]/Demographics[[#This Row],[FAMILY SIZE]], 0)</f>
        <v>35</v>
      </c>
    </row>
    <row r="1878" spans="1:11" x14ac:dyDescent="0.2">
      <c r="A1878">
        <v>19412981</v>
      </c>
      <c r="B1878">
        <v>29011989</v>
      </c>
      <c r="C1878">
        <v>6</v>
      </c>
      <c r="D1878">
        <v>2</v>
      </c>
      <c r="E1878">
        <v>2</v>
      </c>
      <c r="F1878">
        <v>4</v>
      </c>
      <c r="G1878">
        <v>5</v>
      </c>
      <c r="H1878" t="str">
        <f>IF(Demographics[[#This Row],[DOB]]&gt;10000000, TEXT(Demographics[[#This Row],[DOB]],0),CONCATENATE("0",TEXT(Demographics[[#This Row],[DOB]],0)))</f>
        <v>29011989</v>
      </c>
      <c r="I1878" s="4">
        <f ca="1">IFERROR((VALUE(TODAY()-DATE(RIGHT(Demographics[[#This Row],[DOB - Fixed]],4),MID(Demographics[[#This Row],[DOB - Fixed]],3,2),LEFT(Demographics[[#This Row],[DOB - Fixed]],2))))/365,0)</f>
        <v>34.630136986301373</v>
      </c>
      <c r="J1878">
        <f>VLOOKUP(Demographics[[#This Row],[INCOME LEVEL]],Income[],4,FALSE)</f>
        <v>697.5</v>
      </c>
      <c r="K1878">
        <f>IFERROR(Demographics[[#This Row],[Total monthly income]]/Demographics[[#This Row],[FAMILY SIZE]], 0)</f>
        <v>116.25</v>
      </c>
    </row>
    <row r="1879" spans="1:11" x14ac:dyDescent="0.2">
      <c r="A1879">
        <v>15140330</v>
      </c>
      <c r="B1879">
        <v>3111988</v>
      </c>
      <c r="C1879">
        <v>4</v>
      </c>
      <c r="D1879">
        <v>2</v>
      </c>
      <c r="E1879">
        <v>1</v>
      </c>
      <c r="F1879">
        <v>3</v>
      </c>
      <c r="G1879">
        <v>5</v>
      </c>
      <c r="H1879" t="str">
        <f>IF(Demographics[[#This Row],[DOB]]&gt;10000000, TEXT(Demographics[[#This Row],[DOB]],0),CONCATENATE("0",TEXT(Demographics[[#This Row],[DOB]],0)))</f>
        <v>03111988</v>
      </c>
      <c r="I1879" s="4">
        <f ca="1">IFERROR((VALUE(TODAY()-DATE(RIGHT(Demographics[[#This Row],[DOB - Fixed]],4),MID(Demographics[[#This Row],[DOB - Fixed]],3,2),LEFT(Demographics[[#This Row],[DOB - Fixed]],2))))/365,0)</f>
        <v>34.868493150684934</v>
      </c>
      <c r="J1879">
        <f>VLOOKUP(Demographics[[#This Row],[INCOME LEVEL]],Income[],4,FALSE)</f>
        <v>175</v>
      </c>
      <c r="K1879">
        <f>IFERROR(Demographics[[#This Row],[Total monthly income]]/Demographics[[#This Row],[FAMILY SIZE]], 0)</f>
        <v>43.75</v>
      </c>
    </row>
    <row r="1880" spans="1:11" x14ac:dyDescent="0.2">
      <c r="A1880">
        <v>13004184</v>
      </c>
      <c r="B1880">
        <v>16031989</v>
      </c>
      <c r="C1880">
        <v>5</v>
      </c>
      <c r="D1880">
        <v>1</v>
      </c>
      <c r="E1880">
        <v>1</v>
      </c>
      <c r="F1880">
        <v>5</v>
      </c>
      <c r="G1880">
        <v>5</v>
      </c>
      <c r="H1880" t="str">
        <f>IF(Demographics[[#This Row],[DOB]]&gt;10000000, TEXT(Demographics[[#This Row],[DOB]],0),CONCATENATE("0",TEXT(Demographics[[#This Row],[DOB]],0)))</f>
        <v>16031989</v>
      </c>
      <c r="I1880" s="4">
        <f ca="1">IFERROR((VALUE(TODAY()-DATE(RIGHT(Demographics[[#This Row],[DOB - Fixed]],4),MID(Demographics[[#This Row],[DOB - Fixed]],3,2),LEFT(Demographics[[#This Row],[DOB - Fixed]],2))))/365,0)</f>
        <v>34.504109589041093</v>
      </c>
      <c r="J1880">
        <f>VLOOKUP(Demographics[[#This Row],[INCOME LEVEL]],Income[],4,FALSE)</f>
        <v>175</v>
      </c>
      <c r="K1880">
        <f>IFERROR(Demographics[[#This Row],[Total monthly income]]/Demographics[[#This Row],[FAMILY SIZE]], 0)</f>
        <v>35</v>
      </c>
    </row>
    <row r="1881" spans="1:11" x14ac:dyDescent="0.2">
      <c r="A1881">
        <v>10868137</v>
      </c>
      <c r="B1881">
        <v>21021989</v>
      </c>
      <c r="C1881">
        <v>3</v>
      </c>
      <c r="D1881">
        <v>0</v>
      </c>
      <c r="E1881">
        <v>1</v>
      </c>
      <c r="F1881">
        <v>5</v>
      </c>
      <c r="G1881">
        <v>4</v>
      </c>
      <c r="H1881" t="str">
        <f>IF(Demographics[[#This Row],[DOB]]&gt;10000000, TEXT(Demographics[[#This Row],[DOB]],0),CONCATENATE("0",TEXT(Demographics[[#This Row],[DOB]],0)))</f>
        <v>21021989</v>
      </c>
      <c r="I1881" s="4">
        <f ca="1">IFERROR((VALUE(TODAY()-DATE(RIGHT(Demographics[[#This Row],[DOB - Fixed]],4),MID(Demographics[[#This Row],[DOB - Fixed]],3,2),LEFT(Demographics[[#This Row],[DOB - Fixed]],2))))/365,0)</f>
        <v>34.56712328767123</v>
      </c>
      <c r="J1881">
        <f>VLOOKUP(Demographics[[#This Row],[INCOME LEVEL]],Income[],4,FALSE)</f>
        <v>175</v>
      </c>
      <c r="K1881">
        <f>IFERROR(Demographics[[#This Row],[Total monthly income]]/Demographics[[#This Row],[FAMILY SIZE]], 0)</f>
        <v>58.333333333333336</v>
      </c>
    </row>
    <row r="1882" spans="1:11" x14ac:dyDescent="0.2">
      <c r="A1882">
        <v>12037056</v>
      </c>
      <c r="B1882">
        <v>20031989</v>
      </c>
      <c r="C1882">
        <v>4</v>
      </c>
      <c r="D1882">
        <v>1</v>
      </c>
      <c r="E1882">
        <v>1</v>
      </c>
      <c r="F1882">
        <v>4</v>
      </c>
      <c r="G1882">
        <v>3</v>
      </c>
      <c r="H1882" t="str">
        <f>IF(Demographics[[#This Row],[DOB]]&gt;10000000, TEXT(Demographics[[#This Row],[DOB]],0),CONCATENATE("0",TEXT(Demographics[[#This Row],[DOB]],0)))</f>
        <v>20031989</v>
      </c>
      <c r="I1882" s="4">
        <f ca="1">IFERROR((VALUE(TODAY()-DATE(RIGHT(Demographics[[#This Row],[DOB - Fixed]],4),MID(Demographics[[#This Row],[DOB - Fixed]],3,2),LEFT(Demographics[[#This Row],[DOB - Fixed]],2))))/365,0)</f>
        <v>34.493150684931507</v>
      </c>
      <c r="J1882">
        <f>VLOOKUP(Demographics[[#This Row],[INCOME LEVEL]],Income[],4,FALSE)</f>
        <v>175</v>
      </c>
      <c r="K1882">
        <f>IFERROR(Demographics[[#This Row],[Total monthly income]]/Demographics[[#This Row],[FAMILY SIZE]], 0)</f>
        <v>43.75</v>
      </c>
    </row>
    <row r="1883" spans="1:11" x14ac:dyDescent="0.2">
      <c r="A1883">
        <v>9698710</v>
      </c>
      <c r="B1883">
        <v>8031989</v>
      </c>
      <c r="C1883">
        <v>4</v>
      </c>
      <c r="D1883">
        <v>1</v>
      </c>
      <c r="E1883">
        <v>1</v>
      </c>
      <c r="F1883">
        <v>4</v>
      </c>
      <c r="G1883">
        <v>4</v>
      </c>
      <c r="H1883" t="str">
        <f>IF(Demographics[[#This Row],[DOB]]&gt;10000000, TEXT(Demographics[[#This Row],[DOB]],0),CONCATENATE("0",TEXT(Demographics[[#This Row],[DOB]],0)))</f>
        <v>08031989</v>
      </c>
      <c r="I1883" s="4">
        <f ca="1">IFERROR((VALUE(TODAY()-DATE(RIGHT(Demographics[[#This Row],[DOB - Fixed]],4),MID(Demographics[[#This Row],[DOB - Fixed]],3,2),LEFT(Demographics[[#This Row],[DOB - Fixed]],2))))/365,0)</f>
        <v>34.526027397260272</v>
      </c>
      <c r="J1883">
        <f>VLOOKUP(Demographics[[#This Row],[INCOME LEVEL]],Income[],4,FALSE)</f>
        <v>175</v>
      </c>
      <c r="K1883">
        <f>IFERROR(Demographics[[#This Row],[Total monthly income]]/Demographics[[#This Row],[FAMILY SIZE]], 0)</f>
        <v>43.75</v>
      </c>
    </row>
    <row r="1884" spans="1:11" x14ac:dyDescent="0.2">
      <c r="A1884">
        <v>618891</v>
      </c>
      <c r="B1884">
        <v>26031989</v>
      </c>
      <c r="C1884">
        <v>7</v>
      </c>
      <c r="D1884">
        <v>2</v>
      </c>
      <c r="E1884">
        <v>1</v>
      </c>
      <c r="F1884">
        <v>5</v>
      </c>
      <c r="G1884">
        <v>5</v>
      </c>
      <c r="H1884" t="str">
        <f>IF(Demographics[[#This Row],[DOB]]&gt;10000000, TEXT(Demographics[[#This Row],[DOB]],0),CONCATENATE("0",TEXT(Demographics[[#This Row],[DOB]],0)))</f>
        <v>26031989</v>
      </c>
      <c r="I1884" s="4">
        <f ca="1">IFERROR((VALUE(TODAY()-DATE(RIGHT(Demographics[[#This Row],[DOB - Fixed]],4),MID(Demographics[[#This Row],[DOB - Fixed]],3,2),LEFT(Demographics[[#This Row],[DOB - Fixed]],2))))/365,0)</f>
        <v>34.476712328767121</v>
      </c>
      <c r="J1884">
        <f>VLOOKUP(Demographics[[#This Row],[INCOME LEVEL]],Income[],4,FALSE)</f>
        <v>175</v>
      </c>
      <c r="K1884">
        <f>IFERROR(Demographics[[#This Row],[Total monthly income]]/Demographics[[#This Row],[FAMILY SIZE]], 0)</f>
        <v>25</v>
      </c>
    </row>
    <row r="1885" spans="1:11" x14ac:dyDescent="0.2">
      <c r="A1885">
        <v>13538254</v>
      </c>
      <c r="B1885">
        <v>27031989</v>
      </c>
      <c r="C1885">
        <v>7</v>
      </c>
      <c r="D1885">
        <v>0</v>
      </c>
      <c r="E1885">
        <v>1</v>
      </c>
      <c r="F1885">
        <v>5</v>
      </c>
      <c r="G1885">
        <v>4</v>
      </c>
      <c r="H1885" t="str">
        <f>IF(Demographics[[#This Row],[DOB]]&gt;10000000, TEXT(Demographics[[#This Row],[DOB]],0),CONCATENATE("0",TEXT(Demographics[[#This Row],[DOB]],0)))</f>
        <v>27031989</v>
      </c>
      <c r="I1885" s="4">
        <f ca="1">IFERROR((VALUE(TODAY()-DATE(RIGHT(Demographics[[#This Row],[DOB - Fixed]],4),MID(Demographics[[#This Row],[DOB - Fixed]],3,2),LEFT(Demographics[[#This Row],[DOB - Fixed]],2))))/365,0)</f>
        <v>34.473972602739728</v>
      </c>
      <c r="J1885">
        <f>VLOOKUP(Demographics[[#This Row],[INCOME LEVEL]],Income[],4,FALSE)</f>
        <v>175</v>
      </c>
      <c r="K1885">
        <f>IFERROR(Demographics[[#This Row],[Total monthly income]]/Demographics[[#This Row],[FAMILY SIZE]], 0)</f>
        <v>25</v>
      </c>
    </row>
    <row r="1886" spans="1:11" x14ac:dyDescent="0.2">
      <c r="A1886">
        <v>15039167</v>
      </c>
      <c r="B1886">
        <v>23031989</v>
      </c>
      <c r="C1886">
        <v>3</v>
      </c>
      <c r="D1886">
        <v>2</v>
      </c>
      <c r="E1886">
        <v>1</v>
      </c>
      <c r="F1886">
        <v>8</v>
      </c>
      <c r="G1886">
        <v>3</v>
      </c>
      <c r="H1886" t="str">
        <f>IF(Demographics[[#This Row],[DOB]]&gt;10000000, TEXT(Demographics[[#This Row],[DOB]],0),CONCATENATE("0",TEXT(Demographics[[#This Row],[DOB]],0)))</f>
        <v>23031989</v>
      </c>
      <c r="I1886" s="4">
        <f ca="1">IFERROR((VALUE(TODAY()-DATE(RIGHT(Demographics[[#This Row],[DOB - Fixed]],4),MID(Demographics[[#This Row],[DOB - Fixed]],3,2),LEFT(Demographics[[#This Row],[DOB - Fixed]],2))))/365,0)</f>
        <v>34.484931506849314</v>
      </c>
      <c r="J1886">
        <f>VLOOKUP(Demographics[[#This Row],[INCOME LEVEL]],Income[],4,FALSE)</f>
        <v>175</v>
      </c>
      <c r="K1886">
        <f>IFERROR(Demographics[[#This Row],[Total monthly income]]/Demographics[[#This Row],[FAMILY SIZE]], 0)</f>
        <v>58.333333333333336</v>
      </c>
    </row>
    <row r="1887" spans="1:11" x14ac:dyDescent="0.2">
      <c r="A1887">
        <v>24118044</v>
      </c>
      <c r="B1887">
        <v>2041989</v>
      </c>
      <c r="C1887">
        <v>4</v>
      </c>
      <c r="D1887">
        <v>1</v>
      </c>
      <c r="E1887">
        <v>1</v>
      </c>
      <c r="F1887">
        <v>5</v>
      </c>
      <c r="G1887">
        <v>5</v>
      </c>
      <c r="H1887" t="str">
        <f>IF(Demographics[[#This Row],[DOB]]&gt;10000000, TEXT(Demographics[[#This Row],[DOB]],0),CONCATENATE("0",TEXT(Demographics[[#This Row],[DOB]],0)))</f>
        <v>02041989</v>
      </c>
      <c r="I1887" s="4">
        <f ca="1">IFERROR((VALUE(TODAY()-DATE(RIGHT(Demographics[[#This Row],[DOB - Fixed]],4),MID(Demographics[[#This Row],[DOB - Fixed]],3,2),LEFT(Demographics[[#This Row],[DOB - Fixed]],2))))/365,0)</f>
        <v>34.457534246575342</v>
      </c>
      <c r="J1887">
        <f>VLOOKUP(Demographics[[#This Row],[INCOME LEVEL]],Income[],4,FALSE)</f>
        <v>175</v>
      </c>
      <c r="K1887">
        <f>IFERROR(Demographics[[#This Row],[Total monthly income]]/Demographics[[#This Row],[FAMILY SIZE]], 0)</f>
        <v>43.75</v>
      </c>
    </row>
    <row r="1888" spans="1:11" x14ac:dyDescent="0.2">
      <c r="A1888">
        <v>4993298</v>
      </c>
      <c r="B1888">
        <v>25031989</v>
      </c>
      <c r="C1888">
        <v>4</v>
      </c>
      <c r="D1888">
        <v>2</v>
      </c>
      <c r="E1888">
        <v>2</v>
      </c>
      <c r="F1888">
        <v>4</v>
      </c>
      <c r="G1888">
        <v>3</v>
      </c>
      <c r="H1888" t="str">
        <f>IF(Demographics[[#This Row],[DOB]]&gt;10000000, TEXT(Demographics[[#This Row],[DOB]],0),CONCATENATE("0",TEXT(Demographics[[#This Row],[DOB]],0)))</f>
        <v>25031989</v>
      </c>
      <c r="I1888" s="4">
        <f ca="1">IFERROR((VALUE(TODAY()-DATE(RIGHT(Demographics[[#This Row],[DOB - Fixed]],4),MID(Demographics[[#This Row],[DOB - Fixed]],3,2),LEFT(Demographics[[#This Row],[DOB - Fixed]],2))))/365,0)</f>
        <v>34.479452054794521</v>
      </c>
      <c r="J1888">
        <f>VLOOKUP(Demographics[[#This Row],[INCOME LEVEL]],Income[],4,FALSE)</f>
        <v>697.5</v>
      </c>
      <c r="K1888">
        <f>IFERROR(Demographics[[#This Row],[Total monthly income]]/Demographics[[#This Row],[FAMILY SIZE]], 0)</f>
        <v>174.375</v>
      </c>
    </row>
    <row r="1889" spans="1:11" x14ac:dyDescent="0.2">
      <c r="A1889">
        <v>12369348</v>
      </c>
      <c r="B1889">
        <v>7031989</v>
      </c>
      <c r="C1889">
        <v>3</v>
      </c>
      <c r="D1889">
        <v>1</v>
      </c>
      <c r="E1889">
        <v>1</v>
      </c>
      <c r="F1889">
        <v>3</v>
      </c>
      <c r="G1889">
        <v>5</v>
      </c>
      <c r="H1889" t="str">
        <f>IF(Demographics[[#This Row],[DOB]]&gt;10000000, TEXT(Demographics[[#This Row],[DOB]],0),CONCATENATE("0",TEXT(Demographics[[#This Row],[DOB]],0)))</f>
        <v>07031989</v>
      </c>
      <c r="I1889" s="4">
        <f ca="1">IFERROR((VALUE(TODAY()-DATE(RIGHT(Demographics[[#This Row],[DOB - Fixed]],4),MID(Demographics[[#This Row],[DOB - Fixed]],3,2),LEFT(Demographics[[#This Row],[DOB - Fixed]],2))))/365,0)</f>
        <v>34.528767123287672</v>
      </c>
      <c r="J1889">
        <f>VLOOKUP(Demographics[[#This Row],[INCOME LEVEL]],Income[],4,FALSE)</f>
        <v>175</v>
      </c>
      <c r="K1889">
        <f>IFERROR(Demographics[[#This Row],[Total monthly income]]/Demographics[[#This Row],[FAMILY SIZE]], 0)</f>
        <v>58.333333333333336</v>
      </c>
    </row>
    <row r="1890" spans="1:11" x14ac:dyDescent="0.2">
      <c r="A1890">
        <v>22516438</v>
      </c>
      <c r="B1890">
        <v>25031989</v>
      </c>
      <c r="C1890">
        <v>0</v>
      </c>
      <c r="D1890">
        <v>0</v>
      </c>
      <c r="E1890">
        <v>1</v>
      </c>
      <c r="F1890">
        <v>0</v>
      </c>
      <c r="G1890">
        <v>0</v>
      </c>
      <c r="H1890" t="str">
        <f>IF(Demographics[[#This Row],[DOB]]&gt;10000000, TEXT(Demographics[[#This Row],[DOB]],0),CONCATENATE("0",TEXT(Demographics[[#This Row],[DOB]],0)))</f>
        <v>25031989</v>
      </c>
      <c r="I1890" s="4">
        <f ca="1">IFERROR((VALUE(TODAY()-DATE(RIGHT(Demographics[[#This Row],[DOB - Fixed]],4),MID(Demographics[[#This Row],[DOB - Fixed]],3,2),LEFT(Demographics[[#This Row],[DOB - Fixed]],2))))/365,0)</f>
        <v>34.479452054794521</v>
      </c>
      <c r="J1890">
        <f>VLOOKUP(Demographics[[#This Row],[INCOME LEVEL]],Income[],4,FALSE)</f>
        <v>175</v>
      </c>
      <c r="K1890">
        <f>IFERROR(Demographics[[#This Row],[Total monthly income]]/Demographics[[#This Row],[FAMILY SIZE]], 0)</f>
        <v>0</v>
      </c>
    </row>
    <row r="1891" spans="1:11" x14ac:dyDescent="0.2">
      <c r="A1891">
        <v>15572838</v>
      </c>
      <c r="B1891">
        <v>5011989</v>
      </c>
      <c r="C1891">
        <v>6</v>
      </c>
      <c r="D1891">
        <v>2</v>
      </c>
      <c r="E1891">
        <v>1</v>
      </c>
      <c r="F1891">
        <v>5</v>
      </c>
      <c r="G1891">
        <v>5</v>
      </c>
      <c r="H1891" t="str">
        <f>IF(Demographics[[#This Row],[DOB]]&gt;10000000, TEXT(Demographics[[#This Row],[DOB]],0),CONCATENATE("0",TEXT(Demographics[[#This Row],[DOB]],0)))</f>
        <v>05011989</v>
      </c>
      <c r="I1891" s="4">
        <f ca="1">IFERROR((VALUE(TODAY()-DATE(RIGHT(Demographics[[#This Row],[DOB - Fixed]],4),MID(Demographics[[#This Row],[DOB - Fixed]],3,2),LEFT(Demographics[[#This Row],[DOB - Fixed]],2))))/365,0)</f>
        <v>34.695890410958903</v>
      </c>
      <c r="J1891">
        <f>VLOOKUP(Demographics[[#This Row],[INCOME LEVEL]],Income[],4,FALSE)</f>
        <v>175</v>
      </c>
      <c r="K1891">
        <f>IFERROR(Demographics[[#This Row],[Total monthly income]]/Demographics[[#This Row],[FAMILY SIZE]], 0)</f>
        <v>29.166666666666668</v>
      </c>
    </row>
    <row r="1892" spans="1:11" x14ac:dyDescent="0.2">
      <c r="A1892">
        <v>22948597</v>
      </c>
      <c r="B1892">
        <v>31031989</v>
      </c>
      <c r="C1892">
        <v>4</v>
      </c>
      <c r="D1892">
        <v>1</v>
      </c>
      <c r="E1892">
        <v>1</v>
      </c>
      <c r="F1892">
        <v>3</v>
      </c>
      <c r="G1892">
        <v>4</v>
      </c>
      <c r="H1892" t="str">
        <f>IF(Demographics[[#This Row],[DOB]]&gt;10000000, TEXT(Demographics[[#This Row],[DOB]],0),CONCATENATE("0",TEXT(Demographics[[#This Row],[DOB]],0)))</f>
        <v>31031989</v>
      </c>
      <c r="I1892" s="4">
        <f ca="1">IFERROR((VALUE(TODAY()-DATE(RIGHT(Demographics[[#This Row],[DOB - Fixed]],4),MID(Demographics[[#This Row],[DOB - Fixed]],3,2),LEFT(Demographics[[#This Row],[DOB - Fixed]],2))))/365,0)</f>
        <v>34.463013698630135</v>
      </c>
      <c r="J1892">
        <f>VLOOKUP(Demographics[[#This Row],[INCOME LEVEL]],Income[],4,FALSE)</f>
        <v>175</v>
      </c>
      <c r="K1892">
        <f>IFERROR(Demographics[[#This Row],[Total monthly income]]/Demographics[[#This Row],[FAMILY SIZE]], 0)</f>
        <v>43.75</v>
      </c>
    </row>
    <row r="1893" spans="1:11" x14ac:dyDescent="0.2">
      <c r="A1893">
        <v>24550248</v>
      </c>
      <c r="B1893">
        <v>24021989</v>
      </c>
      <c r="C1893">
        <v>2</v>
      </c>
      <c r="D1893">
        <v>1</v>
      </c>
      <c r="E1893">
        <v>1</v>
      </c>
      <c r="F1893">
        <v>2</v>
      </c>
      <c r="G1893">
        <v>2</v>
      </c>
      <c r="H1893" t="str">
        <f>IF(Demographics[[#This Row],[DOB]]&gt;10000000, TEXT(Demographics[[#This Row],[DOB]],0),CONCATENATE("0",TEXT(Demographics[[#This Row],[DOB]],0)))</f>
        <v>24021989</v>
      </c>
      <c r="I1893" s="4">
        <f ca="1">IFERROR((VALUE(TODAY()-DATE(RIGHT(Demographics[[#This Row],[DOB - Fixed]],4),MID(Demographics[[#This Row],[DOB - Fixed]],3,2),LEFT(Demographics[[#This Row],[DOB - Fixed]],2))))/365,0)</f>
        <v>34.558904109589044</v>
      </c>
      <c r="J1893">
        <f>VLOOKUP(Demographics[[#This Row],[INCOME LEVEL]],Income[],4,FALSE)</f>
        <v>175</v>
      </c>
      <c r="K1893">
        <f>IFERROR(Demographics[[#This Row],[Total monthly income]]/Demographics[[#This Row],[FAMILY SIZE]], 0)</f>
        <v>87.5</v>
      </c>
    </row>
    <row r="1894" spans="1:11" x14ac:dyDescent="0.2">
      <c r="A1894">
        <v>17636083</v>
      </c>
      <c r="B1894">
        <v>20081988</v>
      </c>
      <c r="C1894">
        <v>4</v>
      </c>
      <c r="D1894">
        <v>1</v>
      </c>
      <c r="E1894">
        <v>1</v>
      </c>
      <c r="F1894">
        <v>0</v>
      </c>
      <c r="G1894">
        <v>3</v>
      </c>
      <c r="H1894" t="str">
        <f>IF(Demographics[[#This Row],[DOB]]&gt;10000000, TEXT(Demographics[[#This Row],[DOB]],0),CONCATENATE("0",TEXT(Demographics[[#This Row],[DOB]],0)))</f>
        <v>20081988</v>
      </c>
      <c r="I1894" s="4">
        <f ca="1">IFERROR((VALUE(TODAY()-DATE(RIGHT(Demographics[[#This Row],[DOB - Fixed]],4),MID(Demographics[[#This Row],[DOB - Fixed]],3,2),LEFT(Demographics[[#This Row],[DOB - Fixed]],2))))/365,0)</f>
        <v>35.073972602739723</v>
      </c>
      <c r="J1894">
        <f>VLOOKUP(Demographics[[#This Row],[INCOME LEVEL]],Income[],4,FALSE)</f>
        <v>175</v>
      </c>
      <c r="K1894">
        <f>IFERROR(Demographics[[#This Row],[Total monthly income]]/Demographics[[#This Row],[FAMILY SIZE]], 0)</f>
        <v>43.75</v>
      </c>
    </row>
    <row r="1895" spans="1:11" x14ac:dyDescent="0.2">
      <c r="A1895">
        <v>18372554</v>
      </c>
      <c r="B1895">
        <v>29031989</v>
      </c>
      <c r="C1895">
        <v>5</v>
      </c>
      <c r="D1895">
        <v>1</v>
      </c>
      <c r="E1895">
        <v>1</v>
      </c>
      <c r="F1895">
        <v>5</v>
      </c>
      <c r="G1895">
        <v>3</v>
      </c>
      <c r="H1895" t="str">
        <f>IF(Demographics[[#This Row],[DOB]]&gt;10000000, TEXT(Demographics[[#This Row],[DOB]],0),CONCATENATE("0",TEXT(Demographics[[#This Row],[DOB]],0)))</f>
        <v>29031989</v>
      </c>
      <c r="I1895" s="4">
        <f ca="1">IFERROR((VALUE(TODAY()-DATE(RIGHT(Demographics[[#This Row],[DOB - Fixed]],4),MID(Demographics[[#This Row],[DOB - Fixed]],3,2),LEFT(Demographics[[#This Row],[DOB - Fixed]],2))))/365,0)</f>
        <v>34.468493150684928</v>
      </c>
      <c r="J1895">
        <f>VLOOKUP(Demographics[[#This Row],[INCOME LEVEL]],Income[],4,FALSE)</f>
        <v>175</v>
      </c>
      <c r="K1895">
        <f>IFERROR(Demographics[[#This Row],[Total monthly income]]/Demographics[[#This Row],[FAMILY SIZE]], 0)</f>
        <v>35</v>
      </c>
    </row>
    <row r="1896" spans="1:11" x14ac:dyDescent="0.2">
      <c r="A1896">
        <v>9091777</v>
      </c>
      <c r="B1896">
        <v>9041989</v>
      </c>
      <c r="C1896">
        <v>4</v>
      </c>
      <c r="D1896">
        <v>2</v>
      </c>
      <c r="E1896">
        <v>1</v>
      </c>
      <c r="F1896">
        <v>4</v>
      </c>
      <c r="G1896">
        <v>4</v>
      </c>
      <c r="H1896" t="str">
        <f>IF(Demographics[[#This Row],[DOB]]&gt;10000000, TEXT(Demographics[[#This Row],[DOB]],0),CONCATENATE("0",TEXT(Demographics[[#This Row],[DOB]],0)))</f>
        <v>09041989</v>
      </c>
      <c r="I1896" s="4">
        <f ca="1">IFERROR((VALUE(TODAY()-DATE(RIGHT(Demographics[[#This Row],[DOB - Fixed]],4),MID(Demographics[[#This Row],[DOB - Fixed]],3,2),LEFT(Demographics[[#This Row],[DOB - Fixed]],2))))/365,0)</f>
        <v>34.438356164383563</v>
      </c>
      <c r="J1896">
        <f>VLOOKUP(Demographics[[#This Row],[INCOME LEVEL]],Income[],4,FALSE)</f>
        <v>175</v>
      </c>
      <c r="K1896">
        <f>IFERROR(Demographics[[#This Row],[Total monthly income]]/Demographics[[#This Row],[FAMILY SIZE]], 0)</f>
        <v>43.75</v>
      </c>
    </row>
    <row r="1897" spans="1:11" x14ac:dyDescent="0.2">
      <c r="A1897">
        <v>3953827</v>
      </c>
      <c r="B1897">
        <v>18041989</v>
      </c>
      <c r="C1897">
        <v>5</v>
      </c>
      <c r="D1897">
        <v>1</v>
      </c>
      <c r="E1897">
        <v>1</v>
      </c>
      <c r="F1897">
        <v>4</v>
      </c>
      <c r="G1897">
        <v>4</v>
      </c>
      <c r="H1897" t="str">
        <f>IF(Demographics[[#This Row],[DOB]]&gt;10000000, TEXT(Demographics[[#This Row],[DOB]],0),CONCATENATE("0",TEXT(Demographics[[#This Row],[DOB]],0)))</f>
        <v>18041989</v>
      </c>
      <c r="I1897" s="4">
        <f ca="1">IFERROR((VALUE(TODAY()-DATE(RIGHT(Demographics[[#This Row],[DOB - Fixed]],4),MID(Demographics[[#This Row],[DOB - Fixed]],3,2),LEFT(Demographics[[#This Row],[DOB - Fixed]],2))))/365,0)</f>
        <v>34.413698630136984</v>
      </c>
      <c r="J1897">
        <f>VLOOKUP(Demographics[[#This Row],[INCOME LEVEL]],Income[],4,FALSE)</f>
        <v>175</v>
      </c>
      <c r="K1897">
        <f>IFERROR(Demographics[[#This Row],[Total monthly income]]/Demographics[[#This Row],[FAMILY SIZE]], 0)</f>
        <v>35</v>
      </c>
    </row>
    <row r="1898" spans="1:11" x14ac:dyDescent="0.2">
      <c r="A1898">
        <v>3420043</v>
      </c>
      <c r="B1898">
        <v>31031989</v>
      </c>
      <c r="C1898">
        <v>6</v>
      </c>
      <c r="D1898">
        <v>1</v>
      </c>
      <c r="E1898">
        <v>1</v>
      </c>
      <c r="F1898">
        <v>5</v>
      </c>
      <c r="G1898">
        <v>3</v>
      </c>
      <c r="H1898" t="str">
        <f>IF(Demographics[[#This Row],[DOB]]&gt;10000000, TEXT(Demographics[[#This Row],[DOB]],0),CONCATENATE("0",TEXT(Demographics[[#This Row],[DOB]],0)))</f>
        <v>31031989</v>
      </c>
      <c r="I1898" s="4">
        <f ca="1">IFERROR((VALUE(TODAY()-DATE(RIGHT(Demographics[[#This Row],[DOB - Fixed]],4),MID(Demographics[[#This Row],[DOB - Fixed]],3,2),LEFT(Demographics[[#This Row],[DOB - Fixed]],2))))/365,0)</f>
        <v>34.463013698630135</v>
      </c>
      <c r="J1898">
        <f>VLOOKUP(Demographics[[#This Row],[INCOME LEVEL]],Income[],4,FALSE)</f>
        <v>175</v>
      </c>
      <c r="K1898">
        <f>IFERROR(Demographics[[#This Row],[Total monthly income]]/Demographics[[#This Row],[FAMILY SIZE]], 0)</f>
        <v>29.166666666666668</v>
      </c>
    </row>
    <row r="1899" spans="1:11" x14ac:dyDescent="0.2">
      <c r="A1899">
        <v>11430759</v>
      </c>
      <c r="B1899">
        <v>18041989</v>
      </c>
      <c r="C1899">
        <v>6</v>
      </c>
      <c r="D1899">
        <v>2</v>
      </c>
      <c r="E1899">
        <v>1</v>
      </c>
      <c r="F1899">
        <v>3</v>
      </c>
      <c r="G1899">
        <v>4</v>
      </c>
      <c r="H1899" t="str">
        <f>IF(Demographics[[#This Row],[DOB]]&gt;10000000, TEXT(Demographics[[#This Row],[DOB]],0),CONCATENATE("0",TEXT(Demographics[[#This Row],[DOB]],0)))</f>
        <v>18041989</v>
      </c>
      <c r="I1899" s="4">
        <f ca="1">IFERROR((VALUE(TODAY()-DATE(RIGHT(Demographics[[#This Row],[DOB - Fixed]],4),MID(Demographics[[#This Row],[DOB - Fixed]],3,2),LEFT(Demographics[[#This Row],[DOB - Fixed]],2))))/365,0)</f>
        <v>34.413698630136984</v>
      </c>
      <c r="J1899">
        <f>VLOOKUP(Demographics[[#This Row],[INCOME LEVEL]],Income[],4,FALSE)</f>
        <v>175</v>
      </c>
      <c r="K1899">
        <f>IFERROR(Demographics[[#This Row],[Total monthly income]]/Demographics[[#This Row],[FAMILY SIZE]], 0)</f>
        <v>29.166666666666668</v>
      </c>
    </row>
    <row r="1900" spans="1:11" x14ac:dyDescent="0.2">
      <c r="A1900">
        <v>20942615</v>
      </c>
      <c r="B1900">
        <v>19101988</v>
      </c>
      <c r="C1900">
        <v>3</v>
      </c>
      <c r="D1900">
        <v>0</v>
      </c>
      <c r="E1900">
        <v>1</v>
      </c>
      <c r="F1900">
        <v>3</v>
      </c>
      <c r="G1900">
        <v>2</v>
      </c>
      <c r="H1900" t="str">
        <f>IF(Demographics[[#This Row],[DOB]]&gt;10000000, TEXT(Demographics[[#This Row],[DOB]],0),CONCATENATE("0",TEXT(Demographics[[#This Row],[DOB]],0)))</f>
        <v>19101988</v>
      </c>
      <c r="I1900" s="4">
        <f ca="1">IFERROR((VALUE(TODAY()-DATE(RIGHT(Demographics[[#This Row],[DOB - Fixed]],4),MID(Demographics[[#This Row],[DOB - Fixed]],3,2),LEFT(Demographics[[#This Row],[DOB - Fixed]],2))))/365,0)</f>
        <v>34.909589041095892</v>
      </c>
      <c r="J1900">
        <f>VLOOKUP(Demographics[[#This Row],[INCOME LEVEL]],Income[],4,FALSE)</f>
        <v>175</v>
      </c>
      <c r="K1900">
        <f>IFERROR(Demographics[[#This Row],[Total monthly income]]/Demographics[[#This Row],[FAMILY SIZE]], 0)</f>
        <v>58.333333333333336</v>
      </c>
    </row>
    <row r="1901" spans="1:11" x14ac:dyDescent="0.2">
      <c r="A1901">
        <v>14432188</v>
      </c>
      <c r="B1901">
        <v>25041989</v>
      </c>
      <c r="C1901">
        <v>5</v>
      </c>
      <c r="D1901">
        <v>1</v>
      </c>
      <c r="E1901">
        <v>1</v>
      </c>
      <c r="F1901">
        <v>3</v>
      </c>
      <c r="G1901">
        <v>5</v>
      </c>
      <c r="H1901" t="str">
        <f>IF(Demographics[[#This Row],[DOB]]&gt;10000000, TEXT(Demographics[[#This Row],[DOB]],0),CONCATENATE("0",TEXT(Demographics[[#This Row],[DOB]],0)))</f>
        <v>25041989</v>
      </c>
      <c r="I1901" s="4">
        <f ca="1">IFERROR((VALUE(TODAY()-DATE(RIGHT(Demographics[[#This Row],[DOB - Fixed]],4),MID(Demographics[[#This Row],[DOB - Fixed]],3,2),LEFT(Demographics[[#This Row],[DOB - Fixed]],2))))/365,0)</f>
        <v>34.394520547945206</v>
      </c>
      <c r="J1901">
        <f>VLOOKUP(Demographics[[#This Row],[INCOME LEVEL]],Income[],4,FALSE)</f>
        <v>175</v>
      </c>
      <c r="K1901">
        <f>IFERROR(Demographics[[#This Row],[Total monthly income]]/Demographics[[#This Row],[FAMILY SIZE]], 0)</f>
        <v>35</v>
      </c>
    </row>
    <row r="1902" spans="1:11" x14ac:dyDescent="0.2">
      <c r="A1902">
        <v>19238255</v>
      </c>
      <c r="B1902">
        <v>24041989</v>
      </c>
      <c r="C1902">
        <v>4</v>
      </c>
      <c r="D1902">
        <v>1</v>
      </c>
      <c r="E1902">
        <v>2</v>
      </c>
      <c r="F1902">
        <v>5</v>
      </c>
      <c r="G1902">
        <v>5</v>
      </c>
      <c r="H1902" t="str">
        <f>IF(Demographics[[#This Row],[DOB]]&gt;10000000, TEXT(Demographics[[#This Row],[DOB]],0),CONCATENATE("0",TEXT(Demographics[[#This Row],[DOB]],0)))</f>
        <v>24041989</v>
      </c>
      <c r="I1902" s="4">
        <f ca="1">IFERROR((VALUE(TODAY()-DATE(RIGHT(Demographics[[#This Row],[DOB - Fixed]],4),MID(Demographics[[#This Row],[DOB - Fixed]],3,2),LEFT(Demographics[[#This Row],[DOB - Fixed]],2))))/365,0)</f>
        <v>34.397260273972606</v>
      </c>
      <c r="J1902">
        <f>VLOOKUP(Demographics[[#This Row],[INCOME LEVEL]],Income[],4,FALSE)</f>
        <v>697.5</v>
      </c>
      <c r="K1902">
        <f>IFERROR(Demographics[[#This Row],[Total monthly income]]/Demographics[[#This Row],[FAMILY SIZE]], 0)</f>
        <v>174.375</v>
      </c>
    </row>
    <row r="1903" spans="1:11" x14ac:dyDescent="0.2">
      <c r="A1903">
        <v>16567910</v>
      </c>
      <c r="B1903">
        <v>24041989</v>
      </c>
      <c r="C1903">
        <v>6</v>
      </c>
      <c r="D1903">
        <v>1</v>
      </c>
      <c r="E1903">
        <v>1</v>
      </c>
      <c r="F1903">
        <v>5</v>
      </c>
      <c r="G1903">
        <v>4</v>
      </c>
      <c r="H1903" t="str">
        <f>IF(Demographics[[#This Row],[DOB]]&gt;10000000, TEXT(Demographics[[#This Row],[DOB]],0),CONCATENATE("0",TEXT(Demographics[[#This Row],[DOB]],0)))</f>
        <v>24041989</v>
      </c>
      <c r="I1903" s="4">
        <f ca="1">IFERROR((VALUE(TODAY()-DATE(RIGHT(Demographics[[#This Row],[DOB - Fixed]],4),MID(Demographics[[#This Row],[DOB - Fixed]],3,2),LEFT(Demographics[[#This Row],[DOB - Fixed]],2))))/365,0)</f>
        <v>34.397260273972606</v>
      </c>
      <c r="J1903">
        <f>VLOOKUP(Demographics[[#This Row],[INCOME LEVEL]],Income[],4,FALSE)</f>
        <v>175</v>
      </c>
      <c r="K1903">
        <f>IFERROR(Demographics[[#This Row],[Total monthly income]]/Demographics[[#This Row],[FAMILY SIZE]], 0)</f>
        <v>29.166666666666668</v>
      </c>
    </row>
    <row r="1904" spans="1:11" x14ac:dyDescent="0.2">
      <c r="A1904">
        <v>15702371</v>
      </c>
      <c r="B1904">
        <v>30041989</v>
      </c>
      <c r="C1904">
        <v>4</v>
      </c>
      <c r="D1904">
        <v>1</v>
      </c>
      <c r="E1904">
        <v>1</v>
      </c>
      <c r="F1904">
        <v>2</v>
      </c>
      <c r="G1904">
        <v>2</v>
      </c>
      <c r="H1904" t="str">
        <f>IF(Demographics[[#This Row],[DOB]]&gt;10000000, TEXT(Demographics[[#This Row],[DOB]],0),CONCATENATE("0",TEXT(Demographics[[#This Row],[DOB]],0)))</f>
        <v>30041989</v>
      </c>
      <c r="I1904" s="4">
        <f ca="1">IFERROR((VALUE(TODAY()-DATE(RIGHT(Demographics[[#This Row],[DOB - Fixed]],4),MID(Demographics[[#This Row],[DOB - Fixed]],3,2),LEFT(Demographics[[#This Row],[DOB - Fixed]],2))))/365,0)</f>
        <v>34.38082191780822</v>
      </c>
      <c r="J1904">
        <f>VLOOKUP(Demographics[[#This Row],[INCOME LEVEL]],Income[],4,FALSE)</f>
        <v>175</v>
      </c>
      <c r="K1904">
        <f>IFERROR(Demographics[[#This Row],[Total monthly income]]/Demographics[[#This Row],[FAMILY SIZE]], 0)</f>
        <v>43.75</v>
      </c>
    </row>
    <row r="1905" spans="1:11" x14ac:dyDescent="0.2">
      <c r="A1905">
        <v>14634794</v>
      </c>
      <c r="B1905">
        <v>19041989</v>
      </c>
      <c r="C1905">
        <v>4</v>
      </c>
      <c r="D1905">
        <v>1</v>
      </c>
      <c r="E1905">
        <v>1</v>
      </c>
      <c r="F1905">
        <v>5</v>
      </c>
      <c r="G1905">
        <v>2</v>
      </c>
      <c r="H1905" t="str">
        <f>IF(Demographics[[#This Row],[DOB]]&gt;10000000, TEXT(Demographics[[#This Row],[DOB]],0),CONCATENATE("0",TEXT(Demographics[[#This Row],[DOB]],0)))</f>
        <v>19041989</v>
      </c>
      <c r="I1905" s="4">
        <f ca="1">IFERROR((VALUE(TODAY()-DATE(RIGHT(Demographics[[#This Row],[DOB - Fixed]],4),MID(Demographics[[#This Row],[DOB - Fixed]],3,2),LEFT(Demographics[[#This Row],[DOB - Fixed]],2))))/365,0)</f>
        <v>34.410958904109592</v>
      </c>
      <c r="J1905">
        <f>VLOOKUP(Demographics[[#This Row],[INCOME LEVEL]],Income[],4,FALSE)</f>
        <v>175</v>
      </c>
      <c r="K1905">
        <f>IFERROR(Demographics[[#This Row],[Total monthly income]]/Demographics[[#This Row],[FAMILY SIZE]], 0)</f>
        <v>43.75</v>
      </c>
    </row>
    <row r="1906" spans="1:11" x14ac:dyDescent="0.2">
      <c r="A1906">
        <v>14965987</v>
      </c>
      <c r="B1906">
        <v>3041989</v>
      </c>
      <c r="C1906">
        <v>4</v>
      </c>
      <c r="D1906">
        <v>1</v>
      </c>
      <c r="E1906">
        <v>1</v>
      </c>
      <c r="F1906">
        <v>2</v>
      </c>
      <c r="G1906">
        <v>2</v>
      </c>
      <c r="H1906" t="str">
        <f>IF(Demographics[[#This Row],[DOB]]&gt;10000000, TEXT(Demographics[[#This Row],[DOB]],0),CONCATENATE("0",TEXT(Demographics[[#This Row],[DOB]],0)))</f>
        <v>03041989</v>
      </c>
      <c r="I1906" s="4">
        <f ca="1">IFERROR((VALUE(TODAY()-DATE(RIGHT(Demographics[[#This Row],[DOB - Fixed]],4),MID(Demographics[[#This Row],[DOB - Fixed]],3,2),LEFT(Demographics[[#This Row],[DOB - Fixed]],2))))/365,0)</f>
        <v>34.454794520547942</v>
      </c>
      <c r="J1906">
        <f>VLOOKUP(Demographics[[#This Row],[INCOME LEVEL]],Income[],4,FALSE)</f>
        <v>175</v>
      </c>
      <c r="K1906">
        <f>IFERROR(Demographics[[#This Row],[Total monthly income]]/Demographics[[#This Row],[FAMILY SIZE]], 0)</f>
        <v>43.75</v>
      </c>
    </row>
    <row r="1907" spans="1:11" x14ac:dyDescent="0.2">
      <c r="A1907">
        <v>6624179</v>
      </c>
      <c r="B1907">
        <v>1051989</v>
      </c>
      <c r="C1907">
        <v>5</v>
      </c>
      <c r="D1907">
        <v>1</v>
      </c>
      <c r="E1907">
        <v>1</v>
      </c>
      <c r="F1907">
        <v>4</v>
      </c>
      <c r="G1907">
        <v>4</v>
      </c>
      <c r="H1907" t="str">
        <f>IF(Demographics[[#This Row],[DOB]]&gt;10000000, TEXT(Demographics[[#This Row],[DOB]],0),CONCATENATE("0",TEXT(Demographics[[#This Row],[DOB]],0)))</f>
        <v>01051989</v>
      </c>
      <c r="I1907" s="4">
        <f ca="1">IFERROR((VALUE(TODAY()-DATE(RIGHT(Demographics[[#This Row],[DOB - Fixed]],4),MID(Demographics[[#This Row],[DOB - Fixed]],3,2),LEFT(Demographics[[#This Row],[DOB - Fixed]],2))))/365,0)</f>
        <v>34.37808219178082</v>
      </c>
      <c r="J1907">
        <f>VLOOKUP(Demographics[[#This Row],[INCOME LEVEL]],Income[],4,FALSE)</f>
        <v>175</v>
      </c>
      <c r="K1907">
        <f>IFERROR(Demographics[[#This Row],[Total monthly income]]/Demographics[[#This Row],[FAMILY SIZE]], 0)</f>
        <v>35</v>
      </c>
    </row>
    <row r="1908" spans="1:11" x14ac:dyDescent="0.2">
      <c r="A1908">
        <v>1181487</v>
      </c>
      <c r="B1908">
        <v>27041989</v>
      </c>
      <c r="C1908">
        <v>3</v>
      </c>
      <c r="D1908">
        <v>0</v>
      </c>
      <c r="E1908">
        <v>2</v>
      </c>
      <c r="F1908">
        <v>5</v>
      </c>
      <c r="G1908">
        <v>5</v>
      </c>
      <c r="H1908" t="str">
        <f>IF(Demographics[[#This Row],[DOB]]&gt;10000000, TEXT(Demographics[[#This Row],[DOB]],0),CONCATENATE("0",TEXT(Demographics[[#This Row],[DOB]],0)))</f>
        <v>27041989</v>
      </c>
      <c r="I1908" s="4">
        <f ca="1">IFERROR((VALUE(TODAY()-DATE(RIGHT(Demographics[[#This Row],[DOB - Fixed]],4),MID(Demographics[[#This Row],[DOB - Fixed]],3,2),LEFT(Demographics[[#This Row],[DOB - Fixed]],2))))/365,0)</f>
        <v>34.389041095890413</v>
      </c>
      <c r="J1908">
        <f>VLOOKUP(Demographics[[#This Row],[INCOME LEVEL]],Income[],4,FALSE)</f>
        <v>697.5</v>
      </c>
      <c r="K1908">
        <f>IFERROR(Demographics[[#This Row],[Total monthly income]]/Demographics[[#This Row],[FAMILY SIZE]], 0)</f>
        <v>232.5</v>
      </c>
    </row>
    <row r="1909" spans="1:11" x14ac:dyDescent="0.2">
      <c r="A1909">
        <v>21043659</v>
      </c>
      <c r="B1909">
        <v>14061988</v>
      </c>
      <c r="C1909">
        <v>4</v>
      </c>
      <c r="D1909">
        <v>1</v>
      </c>
      <c r="E1909">
        <v>1</v>
      </c>
      <c r="F1909">
        <v>7</v>
      </c>
      <c r="G1909">
        <v>2</v>
      </c>
      <c r="H1909" t="str">
        <f>IF(Demographics[[#This Row],[DOB]]&gt;10000000, TEXT(Demographics[[#This Row],[DOB]],0),CONCATENATE("0",TEXT(Demographics[[#This Row],[DOB]],0)))</f>
        <v>14061988</v>
      </c>
      <c r="I1909" s="4">
        <f ca="1">IFERROR((VALUE(TODAY()-DATE(RIGHT(Demographics[[#This Row],[DOB - Fixed]],4),MID(Demographics[[#This Row],[DOB - Fixed]],3,2),LEFT(Demographics[[#This Row],[DOB - Fixed]],2))))/365,0)</f>
        <v>35.257534246575339</v>
      </c>
      <c r="J1909">
        <f>VLOOKUP(Demographics[[#This Row],[INCOME LEVEL]],Income[],4,FALSE)</f>
        <v>175</v>
      </c>
      <c r="K1909">
        <f>IFERROR(Demographics[[#This Row],[Total monthly income]]/Demographics[[#This Row],[FAMILY SIZE]], 0)</f>
        <v>43.75</v>
      </c>
    </row>
    <row r="1910" spans="1:11" x14ac:dyDescent="0.2">
      <c r="A1910">
        <v>20509827</v>
      </c>
      <c r="B1910">
        <v>30041989</v>
      </c>
      <c r="C1910">
        <v>6</v>
      </c>
      <c r="D1910">
        <v>1</v>
      </c>
      <c r="E1910">
        <v>1</v>
      </c>
      <c r="F1910">
        <v>5</v>
      </c>
      <c r="G1910">
        <v>4</v>
      </c>
      <c r="H1910" t="str">
        <f>IF(Demographics[[#This Row],[DOB]]&gt;10000000, TEXT(Demographics[[#This Row],[DOB]],0),CONCATENATE("0",TEXT(Demographics[[#This Row],[DOB]],0)))</f>
        <v>30041989</v>
      </c>
      <c r="I1910" s="4">
        <f ca="1">IFERROR((VALUE(TODAY()-DATE(RIGHT(Demographics[[#This Row],[DOB - Fixed]],4),MID(Demographics[[#This Row],[DOB - Fixed]],3,2),LEFT(Demographics[[#This Row],[DOB - Fixed]],2))))/365,0)</f>
        <v>34.38082191780822</v>
      </c>
      <c r="J1910">
        <f>VLOOKUP(Demographics[[#This Row],[INCOME LEVEL]],Income[],4,FALSE)</f>
        <v>175</v>
      </c>
      <c r="K1910">
        <f>IFERROR(Demographics[[#This Row],[Total monthly income]]/Demographics[[#This Row],[FAMILY SIZE]], 0)</f>
        <v>29.166666666666668</v>
      </c>
    </row>
    <row r="1911" spans="1:11" x14ac:dyDescent="0.2">
      <c r="A1911">
        <v>4386209</v>
      </c>
      <c r="B1911">
        <v>9051989</v>
      </c>
      <c r="C1911">
        <v>4</v>
      </c>
      <c r="D1911">
        <v>1</v>
      </c>
      <c r="E1911">
        <v>2</v>
      </c>
      <c r="F1911">
        <v>4</v>
      </c>
      <c r="G1911">
        <v>4</v>
      </c>
      <c r="H1911" t="str">
        <f>IF(Demographics[[#This Row],[DOB]]&gt;10000000, TEXT(Demographics[[#This Row],[DOB]],0),CONCATENATE("0",TEXT(Demographics[[#This Row],[DOB]],0)))</f>
        <v>09051989</v>
      </c>
      <c r="I1911" s="4">
        <f ca="1">IFERROR((VALUE(TODAY()-DATE(RIGHT(Demographics[[#This Row],[DOB - Fixed]],4),MID(Demographics[[#This Row],[DOB - Fixed]],3,2),LEFT(Demographics[[#This Row],[DOB - Fixed]],2))))/365,0)</f>
        <v>34.356164383561641</v>
      </c>
      <c r="J1911">
        <f>VLOOKUP(Demographics[[#This Row],[INCOME LEVEL]],Income[],4,FALSE)</f>
        <v>697.5</v>
      </c>
      <c r="K1911">
        <f>IFERROR(Demographics[[#This Row],[Total monthly income]]/Demographics[[#This Row],[FAMILY SIZE]], 0)</f>
        <v>174.375</v>
      </c>
    </row>
    <row r="1912" spans="1:11" x14ac:dyDescent="0.2">
      <c r="A1912">
        <v>21577638</v>
      </c>
      <c r="B1912">
        <v>18041989</v>
      </c>
      <c r="C1912">
        <v>4</v>
      </c>
      <c r="D1912">
        <v>1</v>
      </c>
      <c r="E1912">
        <v>1</v>
      </c>
      <c r="F1912">
        <v>3</v>
      </c>
      <c r="G1912">
        <v>3</v>
      </c>
      <c r="H1912" t="str">
        <f>IF(Demographics[[#This Row],[DOB]]&gt;10000000, TEXT(Demographics[[#This Row],[DOB]],0),CONCATENATE("0",TEXT(Demographics[[#This Row],[DOB]],0)))</f>
        <v>18041989</v>
      </c>
      <c r="I1912" s="4">
        <f ca="1">IFERROR((VALUE(TODAY()-DATE(RIGHT(Demographics[[#This Row],[DOB - Fixed]],4),MID(Demographics[[#This Row],[DOB - Fixed]],3,2),LEFT(Demographics[[#This Row],[DOB - Fixed]],2))))/365,0)</f>
        <v>34.413698630136984</v>
      </c>
      <c r="J1912">
        <f>VLOOKUP(Demographics[[#This Row],[INCOME LEVEL]],Income[],4,FALSE)</f>
        <v>175</v>
      </c>
      <c r="K1912">
        <f>IFERROR(Demographics[[#This Row],[Total monthly income]]/Demographics[[#This Row],[FAMILY SIZE]], 0)</f>
        <v>43.75</v>
      </c>
    </row>
    <row r="1913" spans="1:11" x14ac:dyDescent="0.2">
      <c r="A1913">
        <v>15067599</v>
      </c>
      <c r="B1913">
        <v>15051989</v>
      </c>
      <c r="C1913">
        <v>4</v>
      </c>
      <c r="D1913">
        <v>2</v>
      </c>
      <c r="E1913">
        <v>2</v>
      </c>
      <c r="F1913">
        <v>7</v>
      </c>
      <c r="G1913">
        <v>7</v>
      </c>
      <c r="H1913" t="str">
        <f>IF(Demographics[[#This Row],[DOB]]&gt;10000000, TEXT(Demographics[[#This Row],[DOB]],0),CONCATENATE("0",TEXT(Demographics[[#This Row],[DOB]],0)))</f>
        <v>15051989</v>
      </c>
      <c r="I1913" s="4">
        <f ca="1">IFERROR((VALUE(TODAY()-DATE(RIGHT(Demographics[[#This Row],[DOB - Fixed]],4),MID(Demographics[[#This Row],[DOB - Fixed]],3,2),LEFT(Demographics[[#This Row],[DOB - Fixed]],2))))/365,0)</f>
        <v>34.339726027397262</v>
      </c>
      <c r="J1913">
        <f>VLOOKUP(Demographics[[#This Row],[INCOME LEVEL]],Income[],4,FALSE)</f>
        <v>697.5</v>
      </c>
      <c r="K1913">
        <f>IFERROR(Demographics[[#This Row],[Total monthly income]]/Demographics[[#This Row],[FAMILY SIZE]], 0)</f>
        <v>174.375</v>
      </c>
    </row>
    <row r="1914" spans="1:11" x14ac:dyDescent="0.2">
      <c r="A1914">
        <v>13999643</v>
      </c>
      <c r="B1914">
        <v>11051989</v>
      </c>
      <c r="C1914">
        <v>3</v>
      </c>
      <c r="D1914">
        <v>1</v>
      </c>
      <c r="E1914">
        <v>1</v>
      </c>
      <c r="F1914">
        <v>5</v>
      </c>
      <c r="G1914">
        <v>4</v>
      </c>
      <c r="H1914" t="str">
        <f>IF(Demographics[[#This Row],[DOB]]&gt;10000000, TEXT(Demographics[[#This Row],[DOB]],0),CONCATENATE("0",TEXT(Demographics[[#This Row],[DOB]],0)))</f>
        <v>11051989</v>
      </c>
      <c r="I1914" s="4">
        <f ca="1">IFERROR((VALUE(TODAY()-DATE(RIGHT(Demographics[[#This Row],[DOB - Fixed]],4),MID(Demographics[[#This Row],[DOB - Fixed]],3,2),LEFT(Demographics[[#This Row],[DOB - Fixed]],2))))/365,0)</f>
        <v>34.350684931506848</v>
      </c>
      <c r="J1914">
        <f>VLOOKUP(Demographics[[#This Row],[INCOME LEVEL]],Income[],4,FALSE)</f>
        <v>175</v>
      </c>
      <c r="K1914">
        <f>IFERROR(Demographics[[#This Row],[Total monthly income]]/Demographics[[#This Row],[FAMILY SIZE]], 0)</f>
        <v>58.333333333333336</v>
      </c>
    </row>
    <row r="1915" spans="1:11" x14ac:dyDescent="0.2">
      <c r="A1915">
        <v>749000</v>
      </c>
      <c r="B1915">
        <v>12051989</v>
      </c>
      <c r="C1915">
        <v>3</v>
      </c>
      <c r="D1915">
        <v>1</v>
      </c>
      <c r="E1915">
        <v>1</v>
      </c>
      <c r="F1915">
        <v>3</v>
      </c>
      <c r="G1915">
        <v>3</v>
      </c>
      <c r="H1915" t="str">
        <f>IF(Demographics[[#This Row],[DOB]]&gt;10000000, TEXT(Demographics[[#This Row],[DOB]],0),CONCATENATE("0",TEXT(Demographics[[#This Row],[DOB]],0)))</f>
        <v>12051989</v>
      </c>
      <c r="I1915" s="4">
        <f ca="1">IFERROR((VALUE(TODAY()-DATE(RIGHT(Demographics[[#This Row],[DOB - Fixed]],4),MID(Demographics[[#This Row],[DOB - Fixed]],3,2),LEFT(Demographics[[#This Row],[DOB - Fixed]],2))))/365,0)</f>
        <v>34.347945205479455</v>
      </c>
      <c r="J1915">
        <f>VLOOKUP(Demographics[[#This Row],[INCOME LEVEL]],Income[],4,FALSE)</f>
        <v>175</v>
      </c>
      <c r="K1915">
        <f>IFERROR(Demographics[[#This Row],[Total monthly income]]/Demographics[[#This Row],[FAMILY SIZE]], 0)</f>
        <v>58.333333333333336</v>
      </c>
    </row>
    <row r="1916" spans="1:11" x14ac:dyDescent="0.2">
      <c r="A1916">
        <v>12296251</v>
      </c>
      <c r="B1916">
        <v>9051989</v>
      </c>
      <c r="C1916">
        <v>4</v>
      </c>
      <c r="D1916">
        <v>1</v>
      </c>
      <c r="E1916">
        <v>1</v>
      </c>
      <c r="F1916">
        <v>0</v>
      </c>
      <c r="G1916">
        <v>5</v>
      </c>
      <c r="H1916" t="str">
        <f>IF(Demographics[[#This Row],[DOB]]&gt;10000000, TEXT(Demographics[[#This Row],[DOB]],0),CONCATENATE("0",TEXT(Demographics[[#This Row],[DOB]],0)))</f>
        <v>09051989</v>
      </c>
      <c r="I1916" s="4">
        <f ca="1">IFERROR((VALUE(TODAY()-DATE(RIGHT(Demographics[[#This Row],[DOB - Fixed]],4),MID(Demographics[[#This Row],[DOB - Fixed]],3,2),LEFT(Demographics[[#This Row],[DOB - Fixed]],2))))/365,0)</f>
        <v>34.356164383561641</v>
      </c>
      <c r="J1916">
        <f>VLOOKUP(Demographics[[#This Row],[INCOME LEVEL]],Income[],4,FALSE)</f>
        <v>175</v>
      </c>
      <c r="K1916">
        <f>IFERROR(Demographics[[#This Row],[Total monthly income]]/Demographics[[#This Row],[FAMILY SIZE]], 0)</f>
        <v>43.75</v>
      </c>
    </row>
    <row r="1917" spans="1:11" x14ac:dyDescent="0.2">
      <c r="A1917">
        <v>17737855</v>
      </c>
      <c r="B1917">
        <v>21051989</v>
      </c>
      <c r="C1917">
        <v>3</v>
      </c>
      <c r="D1917">
        <v>1</v>
      </c>
      <c r="E1917">
        <v>1</v>
      </c>
      <c r="F1917">
        <v>3</v>
      </c>
      <c r="G1917">
        <v>7</v>
      </c>
      <c r="H1917" t="str">
        <f>IF(Demographics[[#This Row],[DOB]]&gt;10000000, TEXT(Demographics[[#This Row],[DOB]],0),CONCATENATE("0",TEXT(Demographics[[#This Row],[DOB]],0)))</f>
        <v>21051989</v>
      </c>
      <c r="I1917" s="4">
        <f ca="1">IFERROR((VALUE(TODAY()-DATE(RIGHT(Demographics[[#This Row],[DOB - Fixed]],4),MID(Demographics[[#This Row],[DOB - Fixed]],3,2),LEFT(Demographics[[#This Row],[DOB - Fixed]],2))))/365,0)</f>
        <v>34.323287671232876</v>
      </c>
      <c r="J1917">
        <f>VLOOKUP(Demographics[[#This Row],[INCOME LEVEL]],Income[],4,FALSE)</f>
        <v>175</v>
      </c>
      <c r="K1917">
        <f>IFERROR(Demographics[[#This Row],[Total monthly income]]/Demographics[[#This Row],[FAMILY SIZE]], 0)</f>
        <v>58.333333333333336</v>
      </c>
    </row>
    <row r="1918" spans="1:11" x14ac:dyDescent="0.2">
      <c r="A1918">
        <v>214754</v>
      </c>
      <c r="B1918">
        <v>20051989</v>
      </c>
      <c r="C1918">
        <v>4</v>
      </c>
      <c r="D1918">
        <v>1</v>
      </c>
      <c r="E1918">
        <v>2</v>
      </c>
      <c r="F1918">
        <v>7</v>
      </c>
      <c r="G1918">
        <v>5</v>
      </c>
      <c r="H1918" t="str">
        <f>IF(Demographics[[#This Row],[DOB]]&gt;10000000, TEXT(Demographics[[#This Row],[DOB]],0),CONCATENATE("0",TEXT(Demographics[[#This Row],[DOB]],0)))</f>
        <v>20051989</v>
      </c>
      <c r="I1918" s="4">
        <f ca="1">IFERROR((VALUE(TODAY()-DATE(RIGHT(Demographics[[#This Row],[DOB - Fixed]],4),MID(Demographics[[#This Row],[DOB - Fixed]],3,2),LEFT(Demographics[[#This Row],[DOB - Fixed]],2))))/365,0)</f>
        <v>34.326027397260276</v>
      </c>
      <c r="J1918">
        <f>VLOOKUP(Demographics[[#This Row],[INCOME LEVEL]],Income[],4,FALSE)</f>
        <v>697.5</v>
      </c>
      <c r="K1918">
        <f>IFERROR(Demographics[[#This Row],[Total monthly income]]/Demographics[[#This Row],[FAMILY SIZE]], 0)</f>
        <v>174.375</v>
      </c>
    </row>
    <row r="1919" spans="1:11" x14ac:dyDescent="0.2">
      <c r="A1919">
        <v>21909050</v>
      </c>
      <c r="B1919">
        <v>6041989</v>
      </c>
      <c r="C1919">
        <v>4</v>
      </c>
      <c r="D1919">
        <v>1</v>
      </c>
      <c r="E1919">
        <v>1</v>
      </c>
      <c r="F1919">
        <v>5</v>
      </c>
      <c r="G1919">
        <v>4</v>
      </c>
      <c r="H1919" t="str">
        <f>IF(Demographics[[#This Row],[DOB]]&gt;10000000, TEXT(Demographics[[#This Row],[DOB]],0),CONCATENATE("0",TEXT(Demographics[[#This Row],[DOB]],0)))</f>
        <v>06041989</v>
      </c>
      <c r="I1919" s="4">
        <f ca="1">IFERROR((VALUE(TODAY()-DATE(RIGHT(Demographics[[#This Row],[DOB - Fixed]],4),MID(Demographics[[#This Row],[DOB - Fixed]],3,2),LEFT(Demographics[[#This Row],[DOB - Fixed]],2))))/365,0)</f>
        <v>34.446575342465756</v>
      </c>
      <c r="J1919">
        <f>VLOOKUP(Demographics[[#This Row],[INCOME LEVEL]],Income[],4,FALSE)</f>
        <v>175</v>
      </c>
      <c r="K1919">
        <f>IFERROR(Demographics[[#This Row],[Total monthly income]]/Demographics[[#This Row],[FAMILY SIZE]], 0)</f>
        <v>43.75</v>
      </c>
    </row>
    <row r="1920" spans="1:11" x14ac:dyDescent="0.2">
      <c r="A1920">
        <v>2885732</v>
      </c>
      <c r="B1920">
        <v>9051989</v>
      </c>
      <c r="C1920">
        <v>5</v>
      </c>
      <c r="D1920">
        <v>1</v>
      </c>
      <c r="E1920">
        <v>1</v>
      </c>
      <c r="F1920">
        <v>5</v>
      </c>
      <c r="G1920">
        <v>4</v>
      </c>
      <c r="H1920" t="str">
        <f>IF(Demographics[[#This Row],[DOB]]&gt;10000000, TEXT(Demographics[[#This Row],[DOB]],0),CONCATENATE("0",TEXT(Demographics[[#This Row],[DOB]],0)))</f>
        <v>09051989</v>
      </c>
      <c r="I1920" s="4">
        <f ca="1">IFERROR((VALUE(TODAY()-DATE(RIGHT(Demographics[[#This Row],[DOB - Fixed]],4),MID(Demographics[[#This Row],[DOB - Fixed]],3,2),LEFT(Demographics[[#This Row],[DOB - Fixed]],2))))/365,0)</f>
        <v>34.356164383561641</v>
      </c>
      <c r="J1920">
        <f>VLOOKUP(Demographics[[#This Row],[INCOME LEVEL]],Income[],4,FALSE)</f>
        <v>175</v>
      </c>
      <c r="K1920">
        <f>IFERROR(Demographics[[#This Row],[Total monthly income]]/Demographics[[#This Row],[FAMILY SIZE]], 0)</f>
        <v>35</v>
      </c>
    </row>
    <row r="1921" spans="1:11" x14ac:dyDescent="0.2">
      <c r="A1921">
        <v>8658982</v>
      </c>
      <c r="B1921">
        <v>5051989</v>
      </c>
      <c r="C1921">
        <v>4</v>
      </c>
      <c r="D1921">
        <v>1</v>
      </c>
      <c r="E1921">
        <v>1</v>
      </c>
      <c r="F1921">
        <v>3</v>
      </c>
      <c r="G1921">
        <v>2</v>
      </c>
      <c r="H1921" t="str">
        <f>IF(Demographics[[#This Row],[DOB]]&gt;10000000, TEXT(Demographics[[#This Row],[DOB]],0),CONCATENATE("0",TEXT(Demographics[[#This Row],[DOB]],0)))</f>
        <v>05051989</v>
      </c>
      <c r="I1921" s="4">
        <f ca="1">IFERROR((VALUE(TODAY()-DATE(RIGHT(Demographics[[#This Row],[DOB - Fixed]],4),MID(Demographics[[#This Row],[DOB - Fixed]],3,2),LEFT(Demographics[[#This Row],[DOB - Fixed]],2))))/365,0)</f>
        <v>34.367123287671234</v>
      </c>
      <c r="J1921">
        <f>VLOOKUP(Demographics[[#This Row],[INCOME LEVEL]],Income[],4,FALSE)</f>
        <v>175</v>
      </c>
      <c r="K1921">
        <f>IFERROR(Demographics[[#This Row],[Total monthly income]]/Demographics[[#This Row],[FAMILY SIZE]], 0)</f>
        <v>43.75</v>
      </c>
    </row>
    <row r="1922" spans="1:11" x14ac:dyDescent="0.2">
      <c r="A1922">
        <v>13566593</v>
      </c>
      <c r="B1922">
        <v>24051989</v>
      </c>
      <c r="C1922">
        <v>4</v>
      </c>
      <c r="D1922">
        <v>2</v>
      </c>
      <c r="E1922">
        <v>2</v>
      </c>
      <c r="F1922">
        <v>10</v>
      </c>
      <c r="G1922">
        <v>5</v>
      </c>
      <c r="H1922" t="str">
        <f>IF(Demographics[[#This Row],[DOB]]&gt;10000000, TEXT(Demographics[[#This Row],[DOB]],0),CONCATENATE("0",TEXT(Demographics[[#This Row],[DOB]],0)))</f>
        <v>24051989</v>
      </c>
      <c r="I1922" s="4">
        <f ca="1">IFERROR((VALUE(TODAY()-DATE(RIGHT(Demographics[[#This Row],[DOB - Fixed]],4),MID(Demographics[[#This Row],[DOB - Fixed]],3,2),LEFT(Demographics[[#This Row],[DOB - Fixed]],2))))/365,0)</f>
        <v>34.315068493150683</v>
      </c>
      <c r="J1922">
        <f>VLOOKUP(Demographics[[#This Row],[INCOME LEVEL]],Income[],4,FALSE)</f>
        <v>697.5</v>
      </c>
      <c r="K1922">
        <f>IFERROR(Demographics[[#This Row],[Total monthly income]]/Demographics[[#This Row],[FAMILY SIZE]], 0)</f>
        <v>174.375</v>
      </c>
    </row>
    <row r="1923" spans="1:11" x14ac:dyDescent="0.2">
      <c r="A1923">
        <v>19441289</v>
      </c>
      <c r="B1923">
        <v>29051989</v>
      </c>
      <c r="C1923">
        <v>6</v>
      </c>
      <c r="D1923">
        <v>3</v>
      </c>
      <c r="E1923">
        <v>3</v>
      </c>
      <c r="F1923">
        <v>9</v>
      </c>
      <c r="G1923">
        <v>9</v>
      </c>
      <c r="H1923" t="str">
        <f>IF(Demographics[[#This Row],[DOB]]&gt;10000000, TEXT(Demographics[[#This Row],[DOB]],0),CONCATENATE("0",TEXT(Demographics[[#This Row],[DOB]],0)))</f>
        <v>29051989</v>
      </c>
      <c r="I1923" s="4">
        <f ca="1">IFERROR((VALUE(TODAY()-DATE(RIGHT(Demographics[[#This Row],[DOB - Fixed]],4),MID(Demographics[[#This Row],[DOB - Fixed]],3,2),LEFT(Demographics[[#This Row],[DOB - Fixed]],2))))/365,0)</f>
        <v>34.301369863013697</v>
      </c>
      <c r="J1923">
        <f>VLOOKUP(Demographics[[#This Row],[INCOME LEVEL]],Income[],4,FALSE)</f>
        <v>1397.5</v>
      </c>
      <c r="K1923">
        <f>IFERROR(Demographics[[#This Row],[Total monthly income]]/Demographics[[#This Row],[FAMILY SIZE]], 0)</f>
        <v>232.91666666666666</v>
      </c>
    </row>
    <row r="1924" spans="1:11" x14ac:dyDescent="0.2">
      <c r="A1924">
        <v>5021645</v>
      </c>
      <c r="B1924">
        <v>5021989</v>
      </c>
      <c r="C1924">
        <v>6</v>
      </c>
      <c r="D1924">
        <v>1</v>
      </c>
      <c r="E1924">
        <v>1</v>
      </c>
      <c r="F1924">
        <v>4</v>
      </c>
      <c r="G1924">
        <v>4</v>
      </c>
      <c r="H1924" t="str">
        <f>IF(Demographics[[#This Row],[DOB]]&gt;10000000, TEXT(Demographics[[#This Row],[DOB]],0),CONCATENATE("0",TEXT(Demographics[[#This Row],[DOB]],0)))</f>
        <v>05021989</v>
      </c>
      <c r="I1924" s="4">
        <f ca="1">IFERROR((VALUE(TODAY()-DATE(RIGHT(Demographics[[#This Row],[DOB - Fixed]],4),MID(Demographics[[#This Row],[DOB - Fixed]],3,2),LEFT(Demographics[[#This Row],[DOB - Fixed]],2))))/365,0)</f>
        <v>34.610958904109587</v>
      </c>
      <c r="J1924">
        <f>VLOOKUP(Demographics[[#This Row],[INCOME LEVEL]],Income[],4,FALSE)</f>
        <v>175</v>
      </c>
      <c r="K1924">
        <f>IFERROR(Demographics[[#This Row],[Total monthly income]]/Demographics[[#This Row],[FAMILY SIZE]], 0)</f>
        <v>29.166666666666668</v>
      </c>
    </row>
    <row r="1925" spans="1:11" x14ac:dyDescent="0.2">
      <c r="A1925">
        <v>15168633</v>
      </c>
      <c r="B1925">
        <v>6021989</v>
      </c>
      <c r="C1925">
        <v>6</v>
      </c>
      <c r="D1925">
        <v>1</v>
      </c>
      <c r="E1925">
        <v>1</v>
      </c>
      <c r="F1925">
        <v>4</v>
      </c>
      <c r="G1925">
        <v>3</v>
      </c>
      <c r="H1925" t="str">
        <f>IF(Demographics[[#This Row],[DOB]]&gt;10000000, TEXT(Demographics[[#This Row],[DOB]],0),CONCATENATE("0",TEXT(Demographics[[#This Row],[DOB]],0)))</f>
        <v>06021989</v>
      </c>
      <c r="I1925" s="4">
        <f ca="1">IFERROR((VALUE(TODAY()-DATE(RIGHT(Demographics[[#This Row],[DOB - Fixed]],4),MID(Demographics[[#This Row],[DOB - Fixed]],3,2),LEFT(Demographics[[#This Row],[DOB - Fixed]],2))))/365,0)</f>
        <v>34.608219178082194</v>
      </c>
      <c r="J1925">
        <f>VLOOKUP(Demographics[[#This Row],[INCOME LEVEL]],Income[],4,FALSE)</f>
        <v>175</v>
      </c>
      <c r="K1925">
        <f>IFERROR(Demographics[[#This Row],[Total monthly income]]/Demographics[[#This Row],[FAMILY SIZE]], 0)</f>
        <v>29.166666666666668</v>
      </c>
    </row>
    <row r="1926" spans="1:11" x14ac:dyDescent="0.2">
      <c r="A1926">
        <v>20306880</v>
      </c>
      <c r="B1926">
        <v>3061989</v>
      </c>
      <c r="C1926">
        <v>7</v>
      </c>
      <c r="D1926">
        <v>1</v>
      </c>
      <c r="E1926">
        <v>1</v>
      </c>
      <c r="F1926">
        <v>4</v>
      </c>
      <c r="G1926">
        <v>4</v>
      </c>
      <c r="H1926" t="str">
        <f>IF(Demographics[[#This Row],[DOB]]&gt;10000000, TEXT(Demographics[[#This Row],[DOB]],0),CONCATENATE("0",TEXT(Demographics[[#This Row],[DOB]],0)))</f>
        <v>03061989</v>
      </c>
      <c r="I1926" s="4">
        <f ca="1">IFERROR((VALUE(TODAY()-DATE(RIGHT(Demographics[[#This Row],[DOB - Fixed]],4),MID(Demographics[[#This Row],[DOB - Fixed]],3,2),LEFT(Demographics[[#This Row],[DOB - Fixed]],2))))/365,0)</f>
        <v>34.287671232876711</v>
      </c>
      <c r="J1926">
        <f>VLOOKUP(Demographics[[#This Row],[INCOME LEVEL]],Income[],4,FALSE)</f>
        <v>175</v>
      </c>
      <c r="K1926">
        <f>IFERROR(Demographics[[#This Row],[Total monthly income]]/Demographics[[#This Row],[FAMILY SIZE]], 0)</f>
        <v>25</v>
      </c>
    </row>
    <row r="1927" spans="1:11" x14ac:dyDescent="0.2">
      <c r="A1927">
        <v>24825894</v>
      </c>
      <c r="B1927">
        <v>3061989</v>
      </c>
      <c r="C1927">
        <v>5</v>
      </c>
      <c r="D1927">
        <v>2</v>
      </c>
      <c r="E1927">
        <v>1</v>
      </c>
      <c r="F1927">
        <v>4</v>
      </c>
      <c r="G1927">
        <v>3</v>
      </c>
      <c r="H1927" t="str">
        <f>IF(Demographics[[#This Row],[DOB]]&gt;10000000, TEXT(Demographics[[#This Row],[DOB]],0),CONCATENATE("0",TEXT(Demographics[[#This Row],[DOB]],0)))</f>
        <v>03061989</v>
      </c>
      <c r="I1927" s="4">
        <f ca="1">IFERROR((VALUE(TODAY()-DATE(RIGHT(Demographics[[#This Row],[DOB - Fixed]],4),MID(Demographics[[#This Row],[DOB - Fixed]],3,2),LEFT(Demographics[[#This Row],[DOB - Fixed]],2))))/365,0)</f>
        <v>34.287671232876711</v>
      </c>
      <c r="J1927">
        <f>VLOOKUP(Demographics[[#This Row],[INCOME LEVEL]],Income[],4,FALSE)</f>
        <v>175</v>
      </c>
      <c r="K1927">
        <f>IFERROR(Demographics[[#This Row],[Total monthly income]]/Demographics[[#This Row],[FAMILY SIZE]], 0)</f>
        <v>35</v>
      </c>
    </row>
    <row r="1928" spans="1:11" x14ac:dyDescent="0.2">
      <c r="A1928">
        <v>14880372</v>
      </c>
      <c r="B1928">
        <v>12051989</v>
      </c>
      <c r="C1928">
        <v>4</v>
      </c>
      <c r="D1928">
        <v>1</v>
      </c>
      <c r="E1928">
        <v>1</v>
      </c>
      <c r="F1928">
        <v>2</v>
      </c>
      <c r="G1928">
        <v>3</v>
      </c>
      <c r="H1928" t="str">
        <f>IF(Demographics[[#This Row],[DOB]]&gt;10000000, TEXT(Demographics[[#This Row],[DOB]],0),CONCATENATE("0",TEXT(Demographics[[#This Row],[DOB]],0)))</f>
        <v>12051989</v>
      </c>
      <c r="I1928" s="4">
        <f ca="1">IFERROR((VALUE(TODAY()-DATE(RIGHT(Demographics[[#This Row],[DOB - Fixed]],4),MID(Demographics[[#This Row],[DOB - Fixed]],3,2),LEFT(Demographics[[#This Row],[DOB - Fixed]],2))))/365,0)</f>
        <v>34.347945205479455</v>
      </c>
      <c r="J1928">
        <f>VLOOKUP(Demographics[[#This Row],[INCOME LEVEL]],Income[],4,FALSE)</f>
        <v>175</v>
      </c>
      <c r="K1928">
        <f>IFERROR(Demographics[[#This Row],[Total monthly income]]/Demographics[[#This Row],[FAMILY SIZE]], 0)</f>
        <v>43.75</v>
      </c>
    </row>
    <row r="1929" spans="1:11" x14ac:dyDescent="0.2">
      <c r="A1929">
        <v>10507068</v>
      </c>
      <c r="B1929">
        <v>29051989</v>
      </c>
      <c r="C1929">
        <v>0</v>
      </c>
      <c r="D1929">
        <v>0</v>
      </c>
      <c r="E1929">
        <v>1</v>
      </c>
      <c r="F1929">
        <v>0</v>
      </c>
      <c r="G1929">
        <v>0</v>
      </c>
      <c r="H1929" t="str">
        <f>IF(Demographics[[#This Row],[DOB]]&gt;10000000, TEXT(Demographics[[#This Row],[DOB]],0),CONCATENATE("0",TEXT(Demographics[[#This Row],[DOB]],0)))</f>
        <v>29051989</v>
      </c>
      <c r="I1929" s="4">
        <f ca="1">IFERROR((VALUE(TODAY()-DATE(RIGHT(Demographics[[#This Row],[DOB - Fixed]],4),MID(Demographics[[#This Row],[DOB - Fixed]],3,2),LEFT(Demographics[[#This Row],[DOB - Fixed]],2))))/365,0)</f>
        <v>34.301369863013697</v>
      </c>
      <c r="J1929">
        <f>VLOOKUP(Demographics[[#This Row],[INCOME LEVEL]],Income[],4,FALSE)</f>
        <v>175</v>
      </c>
      <c r="K1929">
        <f>IFERROR(Demographics[[#This Row],[Total monthly income]]/Demographics[[#This Row],[FAMILY SIZE]], 0)</f>
        <v>0</v>
      </c>
    </row>
    <row r="1930" spans="1:11" x14ac:dyDescent="0.2">
      <c r="A1930">
        <v>24392204</v>
      </c>
      <c r="B1930">
        <v>4061989</v>
      </c>
      <c r="C1930">
        <v>5</v>
      </c>
      <c r="D1930">
        <v>1</v>
      </c>
      <c r="E1930">
        <v>1</v>
      </c>
      <c r="F1930">
        <v>4</v>
      </c>
      <c r="G1930">
        <v>5</v>
      </c>
      <c r="H1930" t="str">
        <f>IF(Demographics[[#This Row],[DOB]]&gt;10000000, TEXT(Demographics[[#This Row],[DOB]],0),CONCATENATE("0",TEXT(Demographics[[#This Row],[DOB]],0)))</f>
        <v>04061989</v>
      </c>
      <c r="I1930" s="4">
        <f ca="1">IFERROR((VALUE(TODAY()-DATE(RIGHT(Demographics[[#This Row],[DOB - Fixed]],4),MID(Demographics[[#This Row],[DOB - Fixed]],3,2),LEFT(Demographics[[#This Row],[DOB - Fixed]],2))))/365,0)</f>
        <v>34.284931506849318</v>
      </c>
      <c r="J1930">
        <f>VLOOKUP(Demographics[[#This Row],[INCOME LEVEL]],Income[],4,FALSE)</f>
        <v>175</v>
      </c>
      <c r="K1930">
        <f>IFERROR(Demographics[[#This Row],[Total monthly income]]/Demographics[[#This Row],[FAMILY SIZE]], 0)</f>
        <v>35</v>
      </c>
    </row>
    <row r="1931" spans="1:11" x14ac:dyDescent="0.2">
      <c r="A1931">
        <v>15414047</v>
      </c>
      <c r="B1931">
        <v>2051989</v>
      </c>
      <c r="C1931">
        <v>4</v>
      </c>
      <c r="D1931">
        <v>2</v>
      </c>
      <c r="E1931">
        <v>1</v>
      </c>
      <c r="F1931">
        <v>3</v>
      </c>
      <c r="G1931">
        <v>2</v>
      </c>
      <c r="H1931" t="str">
        <f>IF(Demographics[[#This Row],[DOB]]&gt;10000000, TEXT(Demographics[[#This Row],[DOB]],0),CONCATENATE("0",TEXT(Demographics[[#This Row],[DOB]],0)))</f>
        <v>02051989</v>
      </c>
      <c r="I1931" s="4">
        <f ca="1">IFERROR((VALUE(TODAY()-DATE(RIGHT(Demographics[[#This Row],[DOB - Fixed]],4),MID(Demographics[[#This Row],[DOB - Fixed]],3,2),LEFT(Demographics[[#This Row],[DOB - Fixed]],2))))/365,0)</f>
        <v>34.375342465753427</v>
      </c>
      <c r="J1931">
        <f>VLOOKUP(Demographics[[#This Row],[INCOME LEVEL]],Income[],4,FALSE)</f>
        <v>175</v>
      </c>
      <c r="K1931">
        <f>IFERROR(Demographics[[#This Row],[Total monthly income]]/Demographics[[#This Row],[FAMILY SIZE]], 0)</f>
        <v>43.75</v>
      </c>
    </row>
    <row r="1932" spans="1:11" x14ac:dyDescent="0.2">
      <c r="A1932">
        <v>3767141</v>
      </c>
      <c r="B1932">
        <v>9061989</v>
      </c>
      <c r="C1932">
        <v>6</v>
      </c>
      <c r="D1932">
        <v>1</v>
      </c>
      <c r="E1932">
        <v>1</v>
      </c>
      <c r="F1932">
        <v>4</v>
      </c>
      <c r="G1932">
        <v>4</v>
      </c>
      <c r="H1932" t="str">
        <f>IF(Demographics[[#This Row],[DOB]]&gt;10000000, TEXT(Demographics[[#This Row],[DOB]],0),CONCATENATE("0",TEXT(Demographics[[#This Row],[DOB]],0)))</f>
        <v>09061989</v>
      </c>
      <c r="I1932" s="4">
        <f ca="1">IFERROR((VALUE(TODAY()-DATE(RIGHT(Demographics[[#This Row],[DOB - Fixed]],4),MID(Demographics[[#This Row],[DOB - Fixed]],3,2),LEFT(Demographics[[#This Row],[DOB - Fixed]],2))))/365,0)</f>
        <v>34.271232876712325</v>
      </c>
      <c r="J1932">
        <f>VLOOKUP(Demographics[[#This Row],[INCOME LEVEL]],Income[],4,FALSE)</f>
        <v>175</v>
      </c>
      <c r="K1932">
        <f>IFERROR(Demographics[[#This Row],[Total monthly income]]/Demographics[[#This Row],[FAMILY SIZE]], 0)</f>
        <v>29.166666666666668</v>
      </c>
    </row>
    <row r="1933" spans="1:11" x14ac:dyDescent="0.2">
      <c r="A1933">
        <v>15846906</v>
      </c>
      <c r="B1933">
        <v>22101988</v>
      </c>
      <c r="C1933">
        <v>5</v>
      </c>
      <c r="D1933">
        <v>1</v>
      </c>
      <c r="E1933">
        <v>1</v>
      </c>
      <c r="F1933">
        <v>4</v>
      </c>
      <c r="G1933">
        <v>2</v>
      </c>
      <c r="H1933" t="str">
        <f>IF(Demographics[[#This Row],[DOB]]&gt;10000000, TEXT(Demographics[[#This Row],[DOB]],0),CONCATENATE("0",TEXT(Demographics[[#This Row],[DOB]],0)))</f>
        <v>22101988</v>
      </c>
      <c r="I1933" s="4">
        <f ca="1">IFERROR((VALUE(TODAY()-DATE(RIGHT(Demographics[[#This Row],[DOB - Fixed]],4),MID(Demographics[[#This Row],[DOB - Fixed]],3,2),LEFT(Demographics[[#This Row],[DOB - Fixed]],2))))/365,0)</f>
        <v>34.901369863013699</v>
      </c>
      <c r="J1933">
        <f>VLOOKUP(Demographics[[#This Row],[INCOME LEVEL]],Income[],4,FALSE)</f>
        <v>175</v>
      </c>
      <c r="K1933">
        <f>IFERROR(Demographics[[#This Row],[Total monthly income]]/Demographics[[#This Row],[FAMILY SIZE]], 0)</f>
        <v>35</v>
      </c>
    </row>
    <row r="1934" spans="1:11" x14ac:dyDescent="0.2">
      <c r="A1934">
        <v>12643596</v>
      </c>
      <c r="B1934">
        <v>3041988</v>
      </c>
      <c r="C1934">
        <v>0</v>
      </c>
      <c r="D1934">
        <v>0</v>
      </c>
      <c r="E1934">
        <v>1</v>
      </c>
      <c r="F1934">
        <v>0</v>
      </c>
      <c r="G1934">
        <v>0</v>
      </c>
      <c r="H1934" t="str">
        <f>IF(Demographics[[#This Row],[DOB]]&gt;10000000, TEXT(Demographics[[#This Row],[DOB]],0),CONCATENATE("0",TEXT(Demographics[[#This Row],[DOB]],0)))</f>
        <v>03041988</v>
      </c>
      <c r="I1934" s="4">
        <f ca="1">IFERROR((VALUE(TODAY()-DATE(RIGHT(Demographics[[#This Row],[DOB - Fixed]],4),MID(Demographics[[#This Row],[DOB - Fixed]],3,2),LEFT(Demographics[[#This Row],[DOB - Fixed]],2))))/365,0)</f>
        <v>35.454794520547942</v>
      </c>
      <c r="J1934">
        <f>VLOOKUP(Demographics[[#This Row],[INCOME LEVEL]],Income[],4,FALSE)</f>
        <v>175</v>
      </c>
      <c r="K1934">
        <f>IFERROR(Demographics[[#This Row],[Total monthly income]]/Demographics[[#This Row],[FAMILY SIZE]], 0)</f>
        <v>0</v>
      </c>
    </row>
    <row r="1935" spans="1:11" x14ac:dyDescent="0.2">
      <c r="A1935">
        <v>13711330</v>
      </c>
      <c r="B1935">
        <v>13061989</v>
      </c>
      <c r="C1935">
        <v>5</v>
      </c>
      <c r="D1935">
        <v>0</v>
      </c>
      <c r="E1935">
        <v>1</v>
      </c>
      <c r="F1935">
        <v>5</v>
      </c>
      <c r="G1935">
        <v>5</v>
      </c>
      <c r="H1935" t="str">
        <f>IF(Demographics[[#This Row],[DOB]]&gt;10000000, TEXT(Demographics[[#This Row],[DOB]],0),CONCATENATE("0",TEXT(Demographics[[#This Row],[DOB]],0)))</f>
        <v>13061989</v>
      </c>
      <c r="I1935" s="4">
        <f ca="1">IFERROR((VALUE(TODAY()-DATE(RIGHT(Demographics[[#This Row],[DOB - Fixed]],4),MID(Demographics[[#This Row],[DOB - Fixed]],3,2),LEFT(Demographics[[#This Row],[DOB - Fixed]],2))))/365,0)</f>
        <v>34.260273972602739</v>
      </c>
      <c r="J1935">
        <f>VLOOKUP(Demographics[[#This Row],[INCOME LEVEL]],Income[],4,FALSE)</f>
        <v>175</v>
      </c>
      <c r="K1935">
        <f>IFERROR(Demographics[[#This Row],[Total monthly income]]/Demographics[[#This Row],[FAMILY SIZE]], 0)</f>
        <v>35</v>
      </c>
    </row>
    <row r="1936" spans="1:11" x14ac:dyDescent="0.2">
      <c r="A1936">
        <v>5167022</v>
      </c>
      <c r="B1936">
        <v>14061989</v>
      </c>
      <c r="C1936">
        <v>5</v>
      </c>
      <c r="D1936">
        <v>1</v>
      </c>
      <c r="E1936">
        <v>2</v>
      </c>
      <c r="F1936">
        <v>10</v>
      </c>
      <c r="G1936">
        <v>10</v>
      </c>
      <c r="H1936" t="str">
        <f>IF(Demographics[[#This Row],[DOB]]&gt;10000000, TEXT(Demographics[[#This Row],[DOB]],0),CONCATENATE("0",TEXT(Demographics[[#This Row],[DOB]],0)))</f>
        <v>14061989</v>
      </c>
      <c r="I1936" s="4">
        <f ca="1">IFERROR((VALUE(TODAY()-DATE(RIGHT(Demographics[[#This Row],[DOB - Fixed]],4),MID(Demographics[[#This Row],[DOB - Fixed]],3,2),LEFT(Demographics[[#This Row],[DOB - Fixed]],2))))/365,0)</f>
        <v>34.257534246575339</v>
      </c>
      <c r="J1936">
        <f>VLOOKUP(Demographics[[#This Row],[INCOME LEVEL]],Income[],4,FALSE)</f>
        <v>697.5</v>
      </c>
      <c r="K1936">
        <f>IFERROR(Demographics[[#This Row],[Total monthly income]]/Demographics[[#This Row],[FAMILY SIZE]], 0)</f>
        <v>139.5</v>
      </c>
    </row>
    <row r="1937" spans="1:11" x14ac:dyDescent="0.2">
      <c r="A1937">
        <v>5369191</v>
      </c>
      <c r="B1937">
        <v>11061989</v>
      </c>
      <c r="C1937">
        <v>4</v>
      </c>
      <c r="D1937">
        <v>1</v>
      </c>
      <c r="E1937">
        <v>1</v>
      </c>
      <c r="F1937">
        <v>5</v>
      </c>
      <c r="G1937">
        <v>3</v>
      </c>
      <c r="H1937" t="str">
        <f>IF(Demographics[[#This Row],[DOB]]&gt;10000000, TEXT(Demographics[[#This Row],[DOB]],0),CONCATENATE("0",TEXT(Demographics[[#This Row],[DOB]],0)))</f>
        <v>11061989</v>
      </c>
      <c r="I1937" s="4">
        <f ca="1">IFERROR((VALUE(TODAY()-DATE(RIGHT(Demographics[[#This Row],[DOB - Fixed]],4),MID(Demographics[[#This Row],[DOB - Fixed]],3,2),LEFT(Demographics[[#This Row],[DOB - Fixed]],2))))/365,0)</f>
        <v>34.265753424657532</v>
      </c>
      <c r="J1937">
        <f>VLOOKUP(Demographics[[#This Row],[INCOME LEVEL]],Income[],4,FALSE)</f>
        <v>175</v>
      </c>
      <c r="K1937">
        <f>IFERROR(Demographics[[#This Row],[Total monthly income]]/Demographics[[#This Row],[FAMILY SIZE]], 0)</f>
        <v>43.75</v>
      </c>
    </row>
    <row r="1938" spans="1:11" x14ac:dyDescent="0.2">
      <c r="A1938">
        <v>17983404</v>
      </c>
      <c r="B1938">
        <v>13081988</v>
      </c>
      <c r="C1938">
        <v>0</v>
      </c>
      <c r="D1938">
        <v>0</v>
      </c>
      <c r="E1938">
        <v>1</v>
      </c>
      <c r="F1938">
        <v>0</v>
      </c>
      <c r="G1938">
        <v>0</v>
      </c>
      <c r="H1938" t="str">
        <f>IF(Demographics[[#This Row],[DOB]]&gt;10000000, TEXT(Demographics[[#This Row],[DOB]],0),CONCATENATE("0",TEXT(Demographics[[#This Row],[DOB]],0)))</f>
        <v>13081988</v>
      </c>
      <c r="I1938" s="4">
        <f ca="1">IFERROR((VALUE(TODAY()-DATE(RIGHT(Demographics[[#This Row],[DOB - Fixed]],4),MID(Demographics[[#This Row],[DOB - Fixed]],3,2),LEFT(Demographics[[#This Row],[DOB - Fixed]],2))))/365,0)</f>
        <v>35.093150684931508</v>
      </c>
      <c r="J1938">
        <f>VLOOKUP(Demographics[[#This Row],[INCOME LEVEL]],Income[],4,FALSE)</f>
        <v>175</v>
      </c>
      <c r="K1938">
        <f>IFERROR(Demographics[[#This Row],[Total monthly income]]/Demographics[[#This Row],[FAMILY SIZE]], 0)</f>
        <v>0</v>
      </c>
    </row>
    <row r="1939" spans="1:11" x14ac:dyDescent="0.2">
      <c r="A1939">
        <v>15846905</v>
      </c>
      <c r="B1939">
        <v>24061989</v>
      </c>
      <c r="C1939">
        <v>5</v>
      </c>
      <c r="D1939">
        <v>1</v>
      </c>
      <c r="E1939">
        <v>1</v>
      </c>
      <c r="F1939">
        <v>5</v>
      </c>
      <c r="G1939">
        <v>8</v>
      </c>
      <c r="H1939" t="str">
        <f>IF(Demographics[[#This Row],[DOB]]&gt;10000000, TEXT(Demographics[[#This Row],[DOB]],0),CONCATENATE("0",TEXT(Demographics[[#This Row],[DOB]],0)))</f>
        <v>24061989</v>
      </c>
      <c r="I1939" s="4">
        <f ca="1">IFERROR((VALUE(TODAY()-DATE(RIGHT(Demographics[[#This Row],[DOB - Fixed]],4),MID(Demographics[[#This Row],[DOB - Fixed]],3,2),LEFT(Demographics[[#This Row],[DOB - Fixed]],2))))/365,0)</f>
        <v>34.230136986301368</v>
      </c>
      <c r="J1939">
        <f>VLOOKUP(Demographics[[#This Row],[INCOME LEVEL]],Income[],4,FALSE)</f>
        <v>175</v>
      </c>
      <c r="K1939">
        <f>IFERROR(Demographics[[#This Row],[Total monthly income]]/Demographics[[#This Row],[FAMILY SIZE]], 0)</f>
        <v>35</v>
      </c>
    </row>
    <row r="1940" spans="1:11" x14ac:dyDescent="0.2">
      <c r="A1940">
        <v>23324403</v>
      </c>
      <c r="B1940">
        <v>22021989</v>
      </c>
      <c r="C1940">
        <v>3</v>
      </c>
      <c r="D1940">
        <v>1</v>
      </c>
      <c r="E1940">
        <v>1</v>
      </c>
      <c r="F1940">
        <v>0</v>
      </c>
      <c r="G1940">
        <v>0</v>
      </c>
      <c r="H1940" t="str">
        <f>IF(Demographics[[#This Row],[DOB]]&gt;10000000, TEXT(Demographics[[#This Row],[DOB]],0),CONCATENATE("0",TEXT(Demographics[[#This Row],[DOB]],0)))</f>
        <v>22021989</v>
      </c>
      <c r="I1940" s="4">
        <f ca="1">IFERROR((VALUE(TODAY()-DATE(RIGHT(Demographics[[#This Row],[DOB - Fixed]],4),MID(Demographics[[#This Row],[DOB - Fixed]],3,2),LEFT(Demographics[[#This Row],[DOB - Fixed]],2))))/365,0)</f>
        <v>34.564383561643837</v>
      </c>
      <c r="J1940">
        <f>VLOOKUP(Demographics[[#This Row],[INCOME LEVEL]],Income[],4,FALSE)</f>
        <v>175</v>
      </c>
      <c r="K1940">
        <f>IFERROR(Demographics[[#This Row],[Total monthly income]]/Demographics[[#This Row],[FAMILY SIZE]], 0)</f>
        <v>58.333333333333336</v>
      </c>
    </row>
    <row r="1941" spans="1:11" x14ac:dyDescent="0.2">
      <c r="A1941">
        <v>9540323</v>
      </c>
      <c r="B1941">
        <v>20051989</v>
      </c>
      <c r="C1941">
        <v>4</v>
      </c>
      <c r="D1941">
        <v>1</v>
      </c>
      <c r="E1941">
        <v>1</v>
      </c>
      <c r="F1941">
        <v>4</v>
      </c>
      <c r="G1941">
        <v>5</v>
      </c>
      <c r="H1941" t="str">
        <f>IF(Demographics[[#This Row],[DOB]]&gt;10000000, TEXT(Demographics[[#This Row],[DOB]],0),CONCATENATE("0",TEXT(Demographics[[#This Row],[DOB]],0)))</f>
        <v>20051989</v>
      </c>
      <c r="I1941" s="4">
        <f ca="1">IFERROR((VALUE(TODAY()-DATE(RIGHT(Demographics[[#This Row],[DOB - Fixed]],4),MID(Demographics[[#This Row],[DOB - Fixed]],3,2),LEFT(Demographics[[#This Row],[DOB - Fixed]],2))))/365,0)</f>
        <v>34.326027397260276</v>
      </c>
      <c r="J1941">
        <f>VLOOKUP(Demographics[[#This Row],[INCOME LEVEL]],Income[],4,FALSE)</f>
        <v>175</v>
      </c>
      <c r="K1941">
        <f>IFERROR(Demographics[[#This Row],[Total monthly income]]/Demographics[[#This Row],[FAMILY SIZE]], 0)</f>
        <v>43.75</v>
      </c>
    </row>
    <row r="1942" spans="1:11" x14ac:dyDescent="0.2">
      <c r="A1942">
        <v>994961</v>
      </c>
      <c r="B1942">
        <v>26011989</v>
      </c>
      <c r="C1942">
        <v>3</v>
      </c>
      <c r="D1942">
        <v>1</v>
      </c>
      <c r="E1942">
        <v>1</v>
      </c>
      <c r="F1942">
        <v>5</v>
      </c>
      <c r="G1942">
        <v>3</v>
      </c>
      <c r="H1942" t="str">
        <f>IF(Demographics[[#This Row],[DOB]]&gt;10000000, TEXT(Demographics[[#This Row],[DOB]],0),CONCATENATE("0",TEXT(Demographics[[#This Row],[DOB]],0)))</f>
        <v>26011989</v>
      </c>
      <c r="I1942" s="4">
        <f ca="1">IFERROR((VALUE(TODAY()-DATE(RIGHT(Demographics[[#This Row],[DOB - Fixed]],4),MID(Demographics[[#This Row],[DOB - Fixed]],3,2),LEFT(Demographics[[#This Row],[DOB - Fixed]],2))))/365,0)</f>
        <v>34.638356164383559</v>
      </c>
      <c r="J1942">
        <f>VLOOKUP(Demographics[[#This Row],[INCOME LEVEL]],Income[],4,FALSE)</f>
        <v>175</v>
      </c>
      <c r="K1942">
        <f>IFERROR(Demographics[[#This Row],[Total monthly income]]/Demographics[[#This Row],[FAMILY SIZE]], 0)</f>
        <v>58.333333333333336</v>
      </c>
    </row>
    <row r="1943" spans="1:11" x14ac:dyDescent="0.2">
      <c r="A1943">
        <v>2698690</v>
      </c>
      <c r="B1943">
        <v>12091988</v>
      </c>
      <c r="C1943">
        <v>4</v>
      </c>
      <c r="D1943">
        <v>1</v>
      </c>
      <c r="E1943">
        <v>1</v>
      </c>
      <c r="F1943">
        <v>4</v>
      </c>
      <c r="G1943">
        <v>3</v>
      </c>
      <c r="H1943" t="str">
        <f>IF(Demographics[[#This Row],[DOB]]&gt;10000000, TEXT(Demographics[[#This Row],[DOB]],0),CONCATENATE("0",TEXT(Demographics[[#This Row],[DOB]],0)))</f>
        <v>12091988</v>
      </c>
      <c r="I1943" s="4">
        <f ca="1">IFERROR((VALUE(TODAY()-DATE(RIGHT(Demographics[[#This Row],[DOB - Fixed]],4),MID(Demographics[[#This Row],[DOB - Fixed]],3,2),LEFT(Demographics[[#This Row],[DOB - Fixed]],2))))/365,0)</f>
        <v>35.010958904109586</v>
      </c>
      <c r="J1943">
        <f>VLOOKUP(Demographics[[#This Row],[INCOME LEVEL]],Income[],4,FALSE)</f>
        <v>175</v>
      </c>
      <c r="K1943">
        <f>IFERROR(Demographics[[#This Row],[Total monthly income]]/Demographics[[#This Row],[FAMILY SIZE]], 0)</f>
        <v>43.75</v>
      </c>
    </row>
    <row r="1944" spans="1:11" x14ac:dyDescent="0.2">
      <c r="A1944">
        <v>9123553</v>
      </c>
      <c r="B1944">
        <v>15061989</v>
      </c>
      <c r="C1944">
        <v>0</v>
      </c>
      <c r="D1944">
        <v>0</v>
      </c>
      <c r="E1944">
        <v>1</v>
      </c>
      <c r="F1944">
        <v>0</v>
      </c>
      <c r="G1944">
        <v>0</v>
      </c>
      <c r="H1944" t="str">
        <f>IF(Demographics[[#This Row],[DOB]]&gt;10000000, TEXT(Demographics[[#This Row],[DOB]],0),CONCATENATE("0",TEXT(Demographics[[#This Row],[DOB]],0)))</f>
        <v>15061989</v>
      </c>
      <c r="I1944" s="4">
        <f ca="1">IFERROR((VALUE(TODAY()-DATE(RIGHT(Demographics[[#This Row],[DOB - Fixed]],4),MID(Demographics[[#This Row],[DOB - Fixed]],3,2),LEFT(Demographics[[#This Row],[DOB - Fixed]],2))))/365,0)</f>
        <v>34.254794520547946</v>
      </c>
      <c r="J1944">
        <f>VLOOKUP(Demographics[[#This Row],[INCOME LEVEL]],Income[],4,FALSE)</f>
        <v>175</v>
      </c>
      <c r="K1944">
        <f>IFERROR(Demographics[[#This Row],[Total monthly income]]/Demographics[[#This Row],[FAMILY SIZE]], 0)</f>
        <v>0</v>
      </c>
    </row>
    <row r="1945" spans="1:11" x14ac:dyDescent="0.2">
      <c r="A1945">
        <v>12125403</v>
      </c>
      <c r="B1945">
        <v>23041989</v>
      </c>
      <c r="C1945">
        <v>3</v>
      </c>
      <c r="D1945">
        <v>1</v>
      </c>
      <c r="E1945">
        <v>1</v>
      </c>
      <c r="F1945">
        <v>1</v>
      </c>
      <c r="G1945">
        <v>3</v>
      </c>
      <c r="H1945" t="str">
        <f>IF(Demographics[[#This Row],[DOB]]&gt;10000000, TEXT(Demographics[[#This Row],[DOB]],0),CONCATENATE("0",TEXT(Demographics[[#This Row],[DOB]],0)))</f>
        <v>23041989</v>
      </c>
      <c r="I1945" s="4">
        <f ca="1">IFERROR((VALUE(TODAY()-DATE(RIGHT(Demographics[[#This Row],[DOB - Fixed]],4),MID(Demographics[[#This Row],[DOB - Fixed]],3,2),LEFT(Demographics[[#This Row],[DOB - Fixed]],2))))/365,0)</f>
        <v>34.4</v>
      </c>
      <c r="J1945">
        <f>VLOOKUP(Demographics[[#This Row],[INCOME LEVEL]],Income[],4,FALSE)</f>
        <v>175</v>
      </c>
      <c r="K1945">
        <f>IFERROR(Demographics[[#This Row],[Total monthly income]]/Demographics[[#This Row],[FAMILY SIZE]], 0)</f>
        <v>58.333333333333336</v>
      </c>
    </row>
    <row r="1946" spans="1:11" x14ac:dyDescent="0.2">
      <c r="A1946">
        <v>13294009</v>
      </c>
      <c r="B1946">
        <v>2011989</v>
      </c>
      <c r="C1946">
        <v>4</v>
      </c>
      <c r="D1946">
        <v>0</v>
      </c>
      <c r="E1946">
        <v>1</v>
      </c>
      <c r="F1946">
        <v>5</v>
      </c>
      <c r="G1946">
        <v>5</v>
      </c>
      <c r="H1946" t="str">
        <f>IF(Demographics[[#This Row],[DOB]]&gt;10000000, TEXT(Demographics[[#This Row],[DOB]],0),CONCATENATE("0",TEXT(Demographics[[#This Row],[DOB]],0)))</f>
        <v>02011989</v>
      </c>
      <c r="I1946" s="4">
        <f ca="1">IFERROR((VALUE(TODAY()-DATE(RIGHT(Demographics[[#This Row],[DOB - Fixed]],4),MID(Demographics[[#This Row],[DOB - Fixed]],3,2),LEFT(Demographics[[#This Row],[DOB - Fixed]],2))))/365,0)</f>
        <v>34.704109589041096</v>
      </c>
      <c r="J1946">
        <f>VLOOKUP(Demographics[[#This Row],[INCOME LEVEL]],Income[],4,FALSE)</f>
        <v>175</v>
      </c>
      <c r="K1946">
        <f>IFERROR(Demographics[[#This Row],[Total monthly income]]/Demographics[[#This Row],[FAMILY SIZE]], 0)</f>
        <v>43.75</v>
      </c>
    </row>
    <row r="1947" spans="1:11" x14ac:dyDescent="0.2">
      <c r="A1947">
        <v>20237254</v>
      </c>
      <c r="B1947">
        <v>13061989</v>
      </c>
      <c r="C1947">
        <v>7</v>
      </c>
      <c r="D1947">
        <v>0</v>
      </c>
      <c r="E1947">
        <v>2</v>
      </c>
      <c r="F1947">
        <v>9</v>
      </c>
      <c r="G1947">
        <v>4</v>
      </c>
      <c r="H1947" t="str">
        <f>IF(Demographics[[#This Row],[DOB]]&gt;10000000, TEXT(Demographics[[#This Row],[DOB]],0),CONCATENATE("0",TEXT(Demographics[[#This Row],[DOB]],0)))</f>
        <v>13061989</v>
      </c>
      <c r="I1947" s="4">
        <f ca="1">IFERROR((VALUE(TODAY()-DATE(RIGHT(Demographics[[#This Row],[DOB - Fixed]],4),MID(Demographics[[#This Row],[DOB - Fixed]],3,2),LEFT(Demographics[[#This Row],[DOB - Fixed]],2))))/365,0)</f>
        <v>34.260273972602739</v>
      </c>
      <c r="J1947">
        <f>VLOOKUP(Demographics[[#This Row],[INCOME LEVEL]],Income[],4,FALSE)</f>
        <v>697.5</v>
      </c>
      <c r="K1947">
        <f>IFERROR(Demographics[[#This Row],[Total monthly income]]/Demographics[[#This Row],[FAMILY SIZE]], 0)</f>
        <v>99.642857142857139</v>
      </c>
    </row>
    <row r="1948" spans="1:11" x14ac:dyDescent="0.2">
      <c r="A1948">
        <v>12760165</v>
      </c>
      <c r="B1948">
        <v>7111988</v>
      </c>
      <c r="C1948">
        <v>3</v>
      </c>
      <c r="D1948">
        <v>2</v>
      </c>
      <c r="E1948">
        <v>1</v>
      </c>
      <c r="F1948">
        <v>7</v>
      </c>
      <c r="G1948">
        <v>5</v>
      </c>
      <c r="H1948" t="str">
        <f>IF(Demographics[[#This Row],[DOB]]&gt;10000000, TEXT(Demographics[[#This Row],[DOB]],0),CONCATENATE("0",TEXT(Demographics[[#This Row],[DOB]],0)))</f>
        <v>07111988</v>
      </c>
      <c r="I1948" s="4">
        <f ca="1">IFERROR((VALUE(TODAY()-DATE(RIGHT(Demographics[[#This Row],[DOB - Fixed]],4),MID(Demographics[[#This Row],[DOB - Fixed]],3,2),LEFT(Demographics[[#This Row],[DOB - Fixed]],2))))/365,0)</f>
        <v>34.857534246575341</v>
      </c>
      <c r="J1948">
        <f>VLOOKUP(Demographics[[#This Row],[INCOME LEVEL]],Income[],4,FALSE)</f>
        <v>175</v>
      </c>
      <c r="K1948">
        <f>IFERROR(Demographics[[#This Row],[Total monthly income]]/Demographics[[#This Row],[FAMILY SIZE]], 0)</f>
        <v>58.333333333333336</v>
      </c>
    </row>
    <row r="1949" spans="1:11" x14ac:dyDescent="0.2">
      <c r="A1949">
        <v>1111677</v>
      </c>
      <c r="B1949">
        <v>23051989</v>
      </c>
      <c r="C1949">
        <v>3</v>
      </c>
      <c r="D1949">
        <v>2</v>
      </c>
      <c r="E1949">
        <v>1</v>
      </c>
      <c r="F1949">
        <v>1</v>
      </c>
      <c r="G1949">
        <v>4</v>
      </c>
      <c r="H1949" t="str">
        <f>IF(Demographics[[#This Row],[DOB]]&gt;10000000, TEXT(Demographics[[#This Row],[DOB]],0),CONCATENATE("0",TEXT(Demographics[[#This Row],[DOB]],0)))</f>
        <v>23051989</v>
      </c>
      <c r="I1949" s="4">
        <f ca="1">IFERROR((VALUE(TODAY()-DATE(RIGHT(Demographics[[#This Row],[DOB - Fixed]],4),MID(Demographics[[#This Row],[DOB - Fixed]],3,2),LEFT(Demographics[[#This Row],[DOB - Fixed]],2))))/365,0)</f>
        <v>34.317808219178083</v>
      </c>
      <c r="J1949">
        <f>VLOOKUP(Demographics[[#This Row],[INCOME LEVEL]],Income[],4,FALSE)</f>
        <v>175</v>
      </c>
      <c r="K1949">
        <f>IFERROR(Demographics[[#This Row],[Total monthly income]]/Demographics[[#This Row],[FAMILY SIZE]], 0)</f>
        <v>58.333333333333336</v>
      </c>
    </row>
    <row r="1950" spans="1:11" x14ac:dyDescent="0.2">
      <c r="A1950">
        <v>23066173</v>
      </c>
      <c r="B1950">
        <v>16061989</v>
      </c>
      <c r="C1950">
        <v>0</v>
      </c>
      <c r="D1950">
        <v>0</v>
      </c>
      <c r="E1950">
        <v>1</v>
      </c>
      <c r="F1950">
        <v>0</v>
      </c>
      <c r="G1950">
        <v>0</v>
      </c>
      <c r="H1950" t="str">
        <f>IF(Demographics[[#This Row],[DOB]]&gt;10000000, TEXT(Demographics[[#This Row],[DOB]],0),CONCATENATE("0",TEXT(Demographics[[#This Row],[DOB]],0)))</f>
        <v>16061989</v>
      </c>
      <c r="I1950" s="4">
        <f ca="1">IFERROR((VALUE(TODAY()-DATE(RIGHT(Demographics[[#This Row],[DOB - Fixed]],4),MID(Demographics[[#This Row],[DOB - Fixed]],3,2),LEFT(Demographics[[#This Row],[DOB - Fixed]],2))))/365,0)</f>
        <v>34.252054794520546</v>
      </c>
      <c r="J1950">
        <f>VLOOKUP(Demographics[[#This Row],[INCOME LEVEL]],Income[],4,FALSE)</f>
        <v>175</v>
      </c>
      <c r="K1950">
        <f>IFERROR(Demographics[[#This Row],[Total monthly income]]/Demographics[[#This Row],[FAMILY SIZE]], 0)</f>
        <v>0</v>
      </c>
    </row>
    <row r="1951" spans="1:11" x14ac:dyDescent="0.2">
      <c r="A1951">
        <v>7577899</v>
      </c>
      <c r="B1951">
        <v>16061989</v>
      </c>
      <c r="C1951">
        <v>7</v>
      </c>
      <c r="D1951">
        <v>1</v>
      </c>
      <c r="E1951">
        <v>1</v>
      </c>
      <c r="F1951">
        <v>3</v>
      </c>
      <c r="G1951">
        <v>3</v>
      </c>
      <c r="H1951" t="str">
        <f>IF(Demographics[[#This Row],[DOB]]&gt;10000000, TEXT(Demographics[[#This Row],[DOB]],0),CONCATENATE("0",TEXT(Demographics[[#This Row],[DOB]],0)))</f>
        <v>16061989</v>
      </c>
      <c r="I1951" s="4">
        <f ca="1">IFERROR((VALUE(TODAY()-DATE(RIGHT(Demographics[[#This Row],[DOB - Fixed]],4),MID(Demographics[[#This Row],[DOB - Fixed]],3,2),LEFT(Demographics[[#This Row],[DOB - Fixed]],2))))/365,0)</f>
        <v>34.252054794520546</v>
      </c>
      <c r="J1951">
        <f>VLOOKUP(Demographics[[#This Row],[INCOME LEVEL]],Income[],4,FALSE)</f>
        <v>175</v>
      </c>
      <c r="K1951">
        <f>IFERROR(Demographics[[#This Row],[Total monthly income]]/Demographics[[#This Row],[FAMILY SIZE]], 0)</f>
        <v>25</v>
      </c>
    </row>
    <row r="1952" spans="1:11" x14ac:dyDescent="0.2">
      <c r="A1952">
        <v>2338890</v>
      </c>
      <c r="B1952">
        <v>8021989</v>
      </c>
      <c r="C1952">
        <v>2</v>
      </c>
      <c r="D1952">
        <v>1</v>
      </c>
      <c r="E1952">
        <v>1</v>
      </c>
      <c r="F1952">
        <v>5</v>
      </c>
      <c r="G1952">
        <v>5</v>
      </c>
      <c r="H1952" t="str">
        <f>IF(Demographics[[#This Row],[DOB]]&gt;10000000, TEXT(Demographics[[#This Row],[DOB]],0),CONCATENATE("0",TEXT(Demographics[[#This Row],[DOB]],0)))</f>
        <v>08021989</v>
      </c>
      <c r="I1952" s="4">
        <f ca="1">IFERROR((VALUE(TODAY()-DATE(RIGHT(Demographics[[#This Row],[DOB - Fixed]],4),MID(Demographics[[#This Row],[DOB - Fixed]],3,2),LEFT(Demographics[[#This Row],[DOB - Fixed]],2))))/365,0)</f>
        <v>34.602739726027394</v>
      </c>
      <c r="J1952">
        <f>VLOOKUP(Demographics[[#This Row],[INCOME LEVEL]],Income[],4,FALSE)</f>
        <v>175</v>
      </c>
      <c r="K1952">
        <f>IFERROR(Demographics[[#This Row],[Total monthly income]]/Demographics[[#This Row],[FAMILY SIZE]], 0)</f>
        <v>87.5</v>
      </c>
    </row>
    <row r="1953" spans="1:11" x14ac:dyDescent="0.2">
      <c r="A1953">
        <v>17292382</v>
      </c>
      <c r="B1953">
        <v>1031989</v>
      </c>
      <c r="C1953">
        <v>4</v>
      </c>
      <c r="D1953">
        <v>1</v>
      </c>
      <c r="E1953">
        <v>1</v>
      </c>
      <c r="F1953">
        <v>4</v>
      </c>
      <c r="G1953">
        <v>4</v>
      </c>
      <c r="H1953" t="str">
        <f>IF(Demographics[[#This Row],[DOB]]&gt;10000000, TEXT(Demographics[[#This Row],[DOB]],0),CONCATENATE("0",TEXT(Demographics[[#This Row],[DOB]],0)))</f>
        <v>01031989</v>
      </c>
      <c r="I1953" s="4">
        <f ca="1">IFERROR((VALUE(TODAY()-DATE(RIGHT(Demographics[[#This Row],[DOB - Fixed]],4),MID(Demographics[[#This Row],[DOB - Fixed]],3,2),LEFT(Demographics[[#This Row],[DOB - Fixed]],2))))/365,0)</f>
        <v>34.545205479452058</v>
      </c>
      <c r="J1953">
        <f>VLOOKUP(Demographics[[#This Row],[INCOME LEVEL]],Income[],4,FALSE)</f>
        <v>175</v>
      </c>
      <c r="K1953">
        <f>IFERROR(Demographics[[#This Row],[Total monthly income]]/Demographics[[#This Row],[FAMILY SIZE]], 0)</f>
        <v>43.75</v>
      </c>
    </row>
    <row r="1954" spans="1:11" x14ac:dyDescent="0.2">
      <c r="A1954">
        <v>18360139</v>
      </c>
      <c r="B1954">
        <v>13091988</v>
      </c>
      <c r="C1954">
        <v>4</v>
      </c>
      <c r="D1954">
        <v>1</v>
      </c>
      <c r="E1954">
        <v>1</v>
      </c>
      <c r="F1954">
        <v>3</v>
      </c>
      <c r="G1954">
        <v>4</v>
      </c>
      <c r="H1954" t="str">
        <f>IF(Demographics[[#This Row],[DOB]]&gt;10000000, TEXT(Demographics[[#This Row],[DOB]],0),CONCATENATE("0",TEXT(Demographics[[#This Row],[DOB]],0)))</f>
        <v>13091988</v>
      </c>
      <c r="I1954" s="4">
        <f ca="1">IFERROR((VALUE(TODAY()-DATE(RIGHT(Demographics[[#This Row],[DOB - Fixed]],4),MID(Demographics[[#This Row],[DOB - Fixed]],3,2),LEFT(Demographics[[#This Row],[DOB - Fixed]],2))))/365,0)</f>
        <v>35.008219178082193</v>
      </c>
      <c r="J1954">
        <f>VLOOKUP(Demographics[[#This Row],[INCOME LEVEL]],Income[],4,FALSE)</f>
        <v>175</v>
      </c>
      <c r="K1954">
        <f>IFERROR(Demographics[[#This Row],[Total monthly income]]/Demographics[[#This Row],[FAMILY SIZE]], 0)</f>
        <v>43.75</v>
      </c>
    </row>
    <row r="1955" spans="1:11" x14ac:dyDescent="0.2">
      <c r="A1955">
        <v>16052867</v>
      </c>
      <c r="B1955">
        <v>14071989</v>
      </c>
      <c r="C1955">
        <v>3</v>
      </c>
      <c r="D1955">
        <v>1</v>
      </c>
      <c r="E1955">
        <v>1</v>
      </c>
      <c r="F1955">
        <v>0</v>
      </c>
      <c r="G1955">
        <v>5</v>
      </c>
      <c r="H1955" t="str">
        <f>IF(Demographics[[#This Row],[DOB]]&gt;10000000, TEXT(Demographics[[#This Row],[DOB]],0),CONCATENATE("0",TEXT(Demographics[[#This Row],[DOB]],0)))</f>
        <v>14071989</v>
      </c>
      <c r="I1955" s="4">
        <f ca="1">IFERROR((VALUE(TODAY()-DATE(RIGHT(Demographics[[#This Row],[DOB - Fixed]],4),MID(Demographics[[#This Row],[DOB - Fixed]],3,2),LEFT(Demographics[[#This Row],[DOB - Fixed]],2))))/365,0)</f>
        <v>34.175342465753424</v>
      </c>
      <c r="J1955">
        <f>VLOOKUP(Demographics[[#This Row],[INCOME LEVEL]],Income[],4,FALSE)</f>
        <v>175</v>
      </c>
      <c r="K1955">
        <f>IFERROR(Demographics[[#This Row],[Total monthly income]]/Demographics[[#This Row],[FAMILY SIZE]], 0)</f>
        <v>58.333333333333336</v>
      </c>
    </row>
    <row r="1956" spans="1:11" x14ac:dyDescent="0.2">
      <c r="A1956">
        <v>9401099</v>
      </c>
      <c r="B1956">
        <v>3121988</v>
      </c>
      <c r="C1956">
        <v>6</v>
      </c>
      <c r="D1956">
        <v>1</v>
      </c>
      <c r="E1956">
        <v>1</v>
      </c>
      <c r="F1956">
        <v>4</v>
      </c>
      <c r="G1956">
        <v>4</v>
      </c>
      <c r="H1956" t="str">
        <f>IF(Demographics[[#This Row],[DOB]]&gt;10000000, TEXT(Demographics[[#This Row],[DOB]],0),CONCATENATE("0",TEXT(Demographics[[#This Row],[DOB]],0)))</f>
        <v>03121988</v>
      </c>
      <c r="I1956" s="4">
        <f ca="1">IFERROR((VALUE(TODAY()-DATE(RIGHT(Demographics[[#This Row],[DOB - Fixed]],4),MID(Demographics[[#This Row],[DOB - Fixed]],3,2),LEFT(Demographics[[#This Row],[DOB - Fixed]],2))))/365,0)</f>
        <v>34.786301369863011</v>
      </c>
      <c r="J1956">
        <f>VLOOKUP(Demographics[[#This Row],[INCOME LEVEL]],Income[],4,FALSE)</f>
        <v>175</v>
      </c>
      <c r="K1956">
        <f>IFERROR(Demographics[[#This Row],[Total monthly income]]/Demographics[[#This Row],[FAMILY SIZE]], 0)</f>
        <v>29.166666666666668</v>
      </c>
    </row>
    <row r="1957" spans="1:11" x14ac:dyDescent="0.2">
      <c r="A1957">
        <v>22246811</v>
      </c>
      <c r="B1957">
        <v>18031989</v>
      </c>
      <c r="C1957">
        <v>5</v>
      </c>
      <c r="D1957">
        <v>2</v>
      </c>
      <c r="E1957">
        <v>3</v>
      </c>
      <c r="F1957">
        <v>8</v>
      </c>
      <c r="G1957">
        <v>5</v>
      </c>
      <c r="H1957" t="str">
        <f>IF(Demographics[[#This Row],[DOB]]&gt;10000000, TEXT(Demographics[[#This Row],[DOB]],0),CONCATENATE("0",TEXT(Demographics[[#This Row],[DOB]],0)))</f>
        <v>18031989</v>
      </c>
      <c r="I1957" s="4">
        <f ca="1">IFERROR((VALUE(TODAY()-DATE(RIGHT(Demographics[[#This Row],[DOB - Fixed]],4),MID(Demographics[[#This Row],[DOB - Fixed]],3,2),LEFT(Demographics[[#This Row],[DOB - Fixed]],2))))/365,0)</f>
        <v>34.4986301369863</v>
      </c>
      <c r="J1957">
        <f>VLOOKUP(Demographics[[#This Row],[INCOME LEVEL]],Income[],4,FALSE)</f>
        <v>1397.5</v>
      </c>
      <c r="K1957">
        <f>IFERROR(Demographics[[#This Row],[Total monthly income]]/Demographics[[#This Row],[FAMILY SIZE]], 0)</f>
        <v>279.5</v>
      </c>
    </row>
    <row r="1958" spans="1:11" x14ac:dyDescent="0.2">
      <c r="A1958">
        <v>4189905</v>
      </c>
      <c r="B1958">
        <v>19031989</v>
      </c>
      <c r="C1958">
        <v>4</v>
      </c>
      <c r="D1958">
        <v>1</v>
      </c>
      <c r="E1958">
        <v>2</v>
      </c>
      <c r="F1958">
        <v>9</v>
      </c>
      <c r="G1958">
        <v>5</v>
      </c>
      <c r="H1958" t="str">
        <f>IF(Demographics[[#This Row],[DOB]]&gt;10000000, TEXT(Demographics[[#This Row],[DOB]],0),CONCATENATE("0",TEXT(Demographics[[#This Row],[DOB]],0)))</f>
        <v>19031989</v>
      </c>
      <c r="I1958" s="4">
        <f ca="1">IFERROR((VALUE(TODAY()-DATE(RIGHT(Demographics[[#This Row],[DOB - Fixed]],4),MID(Demographics[[#This Row],[DOB - Fixed]],3,2),LEFT(Demographics[[#This Row],[DOB - Fixed]],2))))/365,0)</f>
        <v>34.495890410958907</v>
      </c>
      <c r="J1958">
        <f>VLOOKUP(Demographics[[#This Row],[INCOME LEVEL]],Income[],4,FALSE)</f>
        <v>697.5</v>
      </c>
      <c r="K1958">
        <f>IFERROR(Demographics[[#This Row],[Total monthly income]]/Demographics[[#This Row],[FAMILY SIZE]], 0)</f>
        <v>174.375</v>
      </c>
    </row>
    <row r="1959" spans="1:11" x14ac:dyDescent="0.2">
      <c r="A1959">
        <v>22246812</v>
      </c>
      <c r="B1959">
        <v>19041989</v>
      </c>
      <c r="C1959">
        <v>3</v>
      </c>
      <c r="D1959">
        <v>0</v>
      </c>
      <c r="E1959">
        <v>1</v>
      </c>
      <c r="F1959">
        <v>5</v>
      </c>
      <c r="G1959">
        <v>7</v>
      </c>
      <c r="H1959" t="str">
        <f>IF(Demographics[[#This Row],[DOB]]&gt;10000000, TEXT(Demographics[[#This Row],[DOB]],0),CONCATENATE("0",TEXT(Demographics[[#This Row],[DOB]],0)))</f>
        <v>19041989</v>
      </c>
      <c r="I1959" s="4">
        <f ca="1">IFERROR((VALUE(TODAY()-DATE(RIGHT(Demographics[[#This Row],[DOB - Fixed]],4),MID(Demographics[[#This Row],[DOB - Fixed]],3,2),LEFT(Demographics[[#This Row],[DOB - Fixed]],2))))/365,0)</f>
        <v>34.410958904109592</v>
      </c>
      <c r="J1959">
        <f>VLOOKUP(Demographics[[#This Row],[INCOME LEVEL]],Income[],4,FALSE)</f>
        <v>175</v>
      </c>
      <c r="K1959">
        <f>IFERROR(Demographics[[#This Row],[Total monthly income]]/Demographics[[#This Row],[FAMILY SIZE]], 0)</f>
        <v>58.333333333333336</v>
      </c>
    </row>
    <row r="1960" spans="1:11" x14ac:dyDescent="0.2">
      <c r="A1960">
        <v>14914960</v>
      </c>
      <c r="B1960">
        <v>15061989</v>
      </c>
      <c r="C1960">
        <v>6</v>
      </c>
      <c r="D1960">
        <v>2</v>
      </c>
      <c r="E1960">
        <v>1</v>
      </c>
      <c r="F1960">
        <v>5</v>
      </c>
      <c r="G1960">
        <v>4</v>
      </c>
      <c r="H1960" t="str">
        <f>IF(Demographics[[#This Row],[DOB]]&gt;10000000, TEXT(Demographics[[#This Row],[DOB]],0),CONCATENATE("0",TEXT(Demographics[[#This Row],[DOB]],0)))</f>
        <v>15061989</v>
      </c>
      <c r="I1960" s="4">
        <f ca="1">IFERROR((VALUE(TODAY()-DATE(RIGHT(Demographics[[#This Row],[DOB - Fixed]],4),MID(Demographics[[#This Row],[DOB - Fixed]],3,2),LEFT(Demographics[[#This Row],[DOB - Fixed]],2))))/365,0)</f>
        <v>34.254794520547946</v>
      </c>
      <c r="J1960">
        <f>VLOOKUP(Demographics[[#This Row],[INCOME LEVEL]],Income[],4,FALSE)</f>
        <v>175</v>
      </c>
      <c r="K1960">
        <f>IFERROR(Demographics[[#This Row],[Total monthly income]]/Demographics[[#This Row],[FAMILY SIZE]], 0)</f>
        <v>29.166666666666668</v>
      </c>
    </row>
    <row r="1961" spans="1:11" x14ac:dyDescent="0.2">
      <c r="A1961">
        <v>6036611</v>
      </c>
      <c r="B1961">
        <v>14021989</v>
      </c>
      <c r="C1961">
        <v>6</v>
      </c>
      <c r="D1961">
        <v>1</v>
      </c>
      <c r="E1961">
        <v>1</v>
      </c>
      <c r="F1961">
        <v>2</v>
      </c>
      <c r="G1961">
        <v>5</v>
      </c>
      <c r="H1961" t="str">
        <f>IF(Demographics[[#This Row],[DOB]]&gt;10000000, TEXT(Demographics[[#This Row],[DOB]],0),CONCATENATE("0",TEXT(Demographics[[#This Row],[DOB]],0)))</f>
        <v>14021989</v>
      </c>
      <c r="I1961" s="4">
        <f ca="1">IFERROR((VALUE(TODAY()-DATE(RIGHT(Demographics[[#This Row],[DOB - Fixed]],4),MID(Demographics[[#This Row],[DOB - Fixed]],3,2),LEFT(Demographics[[#This Row],[DOB - Fixed]],2))))/365,0)</f>
        <v>34.586301369863016</v>
      </c>
      <c r="J1961">
        <f>VLOOKUP(Demographics[[#This Row],[INCOME LEVEL]],Income[],4,FALSE)</f>
        <v>175</v>
      </c>
      <c r="K1961">
        <f>IFERROR(Demographics[[#This Row],[Total monthly income]]/Demographics[[#This Row],[FAMILY SIZE]], 0)</f>
        <v>29.166666666666668</v>
      </c>
    </row>
    <row r="1962" spans="1:11" x14ac:dyDescent="0.2">
      <c r="A1962">
        <v>17123955</v>
      </c>
      <c r="B1962">
        <v>19061989</v>
      </c>
      <c r="C1962">
        <v>5</v>
      </c>
      <c r="D1962">
        <v>0</v>
      </c>
      <c r="E1962">
        <v>2</v>
      </c>
      <c r="F1962">
        <v>0</v>
      </c>
      <c r="G1962">
        <v>0</v>
      </c>
      <c r="H1962" t="str">
        <f>IF(Demographics[[#This Row],[DOB]]&gt;10000000, TEXT(Demographics[[#This Row],[DOB]],0),CONCATENATE("0",TEXT(Demographics[[#This Row],[DOB]],0)))</f>
        <v>19061989</v>
      </c>
      <c r="I1962" s="4">
        <f ca="1">IFERROR((VALUE(TODAY()-DATE(RIGHT(Demographics[[#This Row],[DOB - Fixed]],4),MID(Demographics[[#This Row],[DOB - Fixed]],3,2),LEFT(Demographics[[#This Row],[DOB - Fixed]],2))))/365,0)</f>
        <v>34.243835616438353</v>
      </c>
      <c r="J1962">
        <f>VLOOKUP(Demographics[[#This Row],[INCOME LEVEL]],Income[],4,FALSE)</f>
        <v>697.5</v>
      </c>
      <c r="K1962">
        <f>IFERROR(Demographics[[#This Row],[Total monthly income]]/Demographics[[#This Row],[FAMILY SIZE]], 0)</f>
        <v>139.5</v>
      </c>
    </row>
    <row r="1963" spans="1:11" x14ac:dyDescent="0.2">
      <c r="A1963">
        <v>18516503</v>
      </c>
      <c r="B1963">
        <v>3111988</v>
      </c>
      <c r="C1963">
        <v>8</v>
      </c>
      <c r="D1963">
        <v>3</v>
      </c>
      <c r="E1963">
        <v>1</v>
      </c>
      <c r="F1963">
        <v>0</v>
      </c>
      <c r="G1963">
        <v>5</v>
      </c>
      <c r="H1963" t="str">
        <f>IF(Demographics[[#This Row],[DOB]]&gt;10000000, TEXT(Demographics[[#This Row],[DOB]],0),CONCATENATE("0",TEXT(Demographics[[#This Row],[DOB]],0)))</f>
        <v>03111988</v>
      </c>
      <c r="I1963" s="4">
        <f ca="1">IFERROR((VALUE(TODAY()-DATE(RIGHT(Demographics[[#This Row],[DOB - Fixed]],4),MID(Demographics[[#This Row],[DOB - Fixed]],3,2),LEFT(Demographics[[#This Row],[DOB - Fixed]],2))))/365,0)</f>
        <v>34.868493150684934</v>
      </c>
      <c r="J1963">
        <f>VLOOKUP(Demographics[[#This Row],[INCOME LEVEL]],Income[],4,FALSE)</f>
        <v>175</v>
      </c>
      <c r="K1963">
        <f>IFERROR(Demographics[[#This Row],[Total monthly income]]/Demographics[[#This Row],[FAMILY SIZE]], 0)</f>
        <v>21.875</v>
      </c>
    </row>
    <row r="1964" spans="1:11" x14ac:dyDescent="0.2">
      <c r="A1964">
        <v>14593399</v>
      </c>
      <c r="B1964">
        <v>22051989</v>
      </c>
      <c r="C1964">
        <v>9</v>
      </c>
      <c r="D1964">
        <v>2</v>
      </c>
      <c r="E1964">
        <v>2</v>
      </c>
      <c r="F1964">
        <v>4</v>
      </c>
      <c r="G1964">
        <v>4</v>
      </c>
      <c r="H1964" t="str">
        <f>IF(Demographics[[#This Row],[DOB]]&gt;10000000, TEXT(Demographics[[#This Row],[DOB]],0),CONCATENATE("0",TEXT(Demographics[[#This Row],[DOB]],0)))</f>
        <v>22051989</v>
      </c>
      <c r="I1964" s="4">
        <f ca="1">IFERROR((VALUE(TODAY()-DATE(RIGHT(Demographics[[#This Row],[DOB - Fixed]],4),MID(Demographics[[#This Row],[DOB - Fixed]],3,2),LEFT(Demographics[[#This Row],[DOB - Fixed]],2))))/365,0)</f>
        <v>34.320547945205476</v>
      </c>
      <c r="J1964">
        <f>VLOOKUP(Demographics[[#This Row],[INCOME LEVEL]],Income[],4,FALSE)</f>
        <v>697.5</v>
      </c>
      <c r="K1964">
        <f>IFERROR(Demographics[[#This Row],[Total monthly income]]/Demographics[[#This Row],[FAMILY SIZE]], 0)</f>
        <v>77.5</v>
      </c>
    </row>
    <row r="1965" spans="1:11" x14ac:dyDescent="0.2">
      <c r="A1965">
        <v>9388024</v>
      </c>
      <c r="B1965">
        <v>16061989</v>
      </c>
      <c r="C1965">
        <v>4</v>
      </c>
      <c r="D1965">
        <v>0</v>
      </c>
      <c r="E1965">
        <v>2</v>
      </c>
      <c r="F1965">
        <v>7</v>
      </c>
      <c r="G1965">
        <v>9</v>
      </c>
      <c r="H1965" t="str">
        <f>IF(Demographics[[#This Row],[DOB]]&gt;10000000, TEXT(Demographics[[#This Row],[DOB]],0),CONCATENATE("0",TEXT(Demographics[[#This Row],[DOB]],0)))</f>
        <v>16061989</v>
      </c>
      <c r="I1965" s="4">
        <f ca="1">IFERROR((VALUE(TODAY()-DATE(RIGHT(Demographics[[#This Row],[DOB - Fixed]],4),MID(Demographics[[#This Row],[DOB - Fixed]],3,2),LEFT(Demographics[[#This Row],[DOB - Fixed]],2))))/365,0)</f>
        <v>34.252054794520546</v>
      </c>
      <c r="J1965">
        <f>VLOOKUP(Demographics[[#This Row],[INCOME LEVEL]],Income[],4,FALSE)</f>
        <v>697.5</v>
      </c>
      <c r="K1965">
        <f>IFERROR(Demographics[[#This Row],[Total monthly income]]/Demographics[[#This Row],[FAMILY SIZE]], 0)</f>
        <v>174.375</v>
      </c>
    </row>
    <row r="1966" spans="1:11" x14ac:dyDescent="0.2">
      <c r="A1966">
        <v>20454750</v>
      </c>
      <c r="B1966">
        <v>7041989</v>
      </c>
      <c r="C1966">
        <v>0</v>
      </c>
      <c r="D1966">
        <v>0</v>
      </c>
      <c r="E1966">
        <v>1</v>
      </c>
      <c r="F1966">
        <v>0</v>
      </c>
      <c r="G1966">
        <v>0</v>
      </c>
      <c r="H1966" t="str">
        <f>IF(Demographics[[#This Row],[DOB]]&gt;10000000, TEXT(Demographics[[#This Row],[DOB]],0),CONCATENATE("0",TEXT(Demographics[[#This Row],[DOB]],0)))</f>
        <v>07041989</v>
      </c>
      <c r="I1966" s="4">
        <f ca="1">IFERROR((VALUE(TODAY()-DATE(RIGHT(Demographics[[#This Row],[DOB - Fixed]],4),MID(Demographics[[#This Row],[DOB - Fixed]],3,2),LEFT(Demographics[[#This Row],[DOB - Fixed]],2))))/365,0)</f>
        <v>34.443835616438356</v>
      </c>
      <c r="J1966">
        <f>VLOOKUP(Demographics[[#This Row],[INCOME LEVEL]],Income[],4,FALSE)</f>
        <v>175</v>
      </c>
      <c r="K1966">
        <f>IFERROR(Demographics[[#This Row],[Total monthly income]]/Demographics[[#This Row],[FAMILY SIZE]], 0)</f>
        <v>0</v>
      </c>
    </row>
    <row r="1967" spans="1:11" x14ac:dyDescent="0.2">
      <c r="A1967">
        <v>24349167</v>
      </c>
      <c r="B1967">
        <v>14011989</v>
      </c>
      <c r="C1967">
        <v>8</v>
      </c>
      <c r="D1967">
        <v>2</v>
      </c>
      <c r="E1967">
        <v>1</v>
      </c>
      <c r="F1967">
        <v>5</v>
      </c>
      <c r="G1967">
        <v>4</v>
      </c>
      <c r="H1967" t="str">
        <f>IF(Demographics[[#This Row],[DOB]]&gt;10000000, TEXT(Demographics[[#This Row],[DOB]],0),CONCATENATE("0",TEXT(Demographics[[#This Row],[DOB]],0)))</f>
        <v>14011989</v>
      </c>
      <c r="I1967" s="4">
        <f ca="1">IFERROR((VALUE(TODAY()-DATE(RIGHT(Demographics[[#This Row],[DOB - Fixed]],4),MID(Demographics[[#This Row],[DOB - Fixed]],3,2),LEFT(Demographics[[#This Row],[DOB - Fixed]],2))))/365,0)</f>
        <v>34.671232876712331</v>
      </c>
      <c r="J1967">
        <f>VLOOKUP(Demographics[[#This Row],[INCOME LEVEL]],Income[],4,FALSE)</f>
        <v>175</v>
      </c>
      <c r="K1967">
        <f>IFERROR(Demographics[[#This Row],[Total monthly income]]/Demographics[[#This Row],[FAMILY SIZE]], 0)</f>
        <v>21.875</v>
      </c>
    </row>
    <row r="1968" spans="1:11" x14ac:dyDescent="0.2">
      <c r="A1968">
        <v>19008454</v>
      </c>
      <c r="B1968">
        <v>29031989</v>
      </c>
      <c r="C1968">
        <v>5</v>
      </c>
      <c r="D1968">
        <v>1</v>
      </c>
      <c r="E1968">
        <v>1</v>
      </c>
      <c r="F1968">
        <v>5</v>
      </c>
      <c r="G1968">
        <v>7</v>
      </c>
      <c r="H1968" t="str">
        <f>IF(Demographics[[#This Row],[DOB]]&gt;10000000, TEXT(Demographics[[#This Row],[DOB]],0),CONCATENATE("0",TEXT(Demographics[[#This Row],[DOB]],0)))</f>
        <v>29031989</v>
      </c>
      <c r="I1968" s="4">
        <f ca="1">IFERROR((VALUE(TODAY()-DATE(RIGHT(Demographics[[#This Row],[DOB - Fixed]],4),MID(Demographics[[#This Row],[DOB - Fixed]],3,2),LEFT(Demographics[[#This Row],[DOB - Fixed]],2))))/365,0)</f>
        <v>34.468493150684928</v>
      </c>
      <c r="J1968">
        <f>VLOOKUP(Demographics[[#This Row],[INCOME LEVEL]],Income[],4,FALSE)</f>
        <v>175</v>
      </c>
      <c r="K1968">
        <f>IFERROR(Demographics[[#This Row],[Total monthly income]]/Demographics[[#This Row],[FAMILY SIZE]], 0)</f>
        <v>35</v>
      </c>
    </row>
    <row r="1969" spans="1:11" x14ac:dyDescent="0.2">
      <c r="A1969">
        <v>7341789</v>
      </c>
      <c r="B1969">
        <v>12051989</v>
      </c>
      <c r="C1969">
        <v>3</v>
      </c>
      <c r="D1969">
        <v>1</v>
      </c>
      <c r="E1969">
        <v>2</v>
      </c>
      <c r="F1969">
        <v>5</v>
      </c>
      <c r="G1969">
        <v>4</v>
      </c>
      <c r="H1969" t="str">
        <f>IF(Demographics[[#This Row],[DOB]]&gt;10000000, TEXT(Demographics[[#This Row],[DOB]],0),CONCATENATE("0",TEXT(Demographics[[#This Row],[DOB]],0)))</f>
        <v>12051989</v>
      </c>
      <c r="I1969" s="4">
        <f ca="1">IFERROR((VALUE(TODAY()-DATE(RIGHT(Demographics[[#This Row],[DOB - Fixed]],4),MID(Demographics[[#This Row],[DOB - Fixed]],3,2),LEFT(Demographics[[#This Row],[DOB - Fixed]],2))))/365,0)</f>
        <v>34.347945205479455</v>
      </c>
      <c r="J1969">
        <f>VLOOKUP(Demographics[[#This Row],[INCOME LEVEL]],Income[],4,FALSE)</f>
        <v>697.5</v>
      </c>
      <c r="K1969">
        <f>IFERROR(Demographics[[#This Row],[Total monthly income]]/Demographics[[#This Row],[FAMILY SIZE]], 0)</f>
        <v>232.5</v>
      </c>
    </row>
    <row r="1970" spans="1:11" x14ac:dyDescent="0.2">
      <c r="A1970">
        <v>10894152</v>
      </c>
      <c r="B1970">
        <v>22021989</v>
      </c>
      <c r="C1970">
        <v>0</v>
      </c>
      <c r="D1970">
        <v>0</v>
      </c>
      <c r="E1970">
        <v>1</v>
      </c>
      <c r="F1970">
        <v>0</v>
      </c>
      <c r="G1970">
        <v>0</v>
      </c>
      <c r="H1970" t="str">
        <f>IF(Demographics[[#This Row],[DOB]]&gt;10000000, TEXT(Demographics[[#This Row],[DOB]],0),CONCATENATE("0",TEXT(Demographics[[#This Row],[DOB]],0)))</f>
        <v>22021989</v>
      </c>
      <c r="I1970" s="4">
        <f ca="1">IFERROR((VALUE(TODAY()-DATE(RIGHT(Demographics[[#This Row],[DOB - Fixed]],4),MID(Demographics[[#This Row],[DOB - Fixed]],3,2),LEFT(Demographics[[#This Row],[DOB - Fixed]],2))))/365,0)</f>
        <v>34.564383561643837</v>
      </c>
      <c r="J1970">
        <f>VLOOKUP(Demographics[[#This Row],[INCOME LEVEL]],Income[],4,FALSE)</f>
        <v>175</v>
      </c>
      <c r="K1970">
        <f>IFERROR(Demographics[[#This Row],[Total monthly income]]/Demographics[[#This Row],[FAMILY SIZE]], 0)</f>
        <v>0</v>
      </c>
    </row>
    <row r="1971" spans="1:11" x14ac:dyDescent="0.2">
      <c r="A1971">
        <v>16918490</v>
      </c>
      <c r="B1971">
        <v>13041989</v>
      </c>
      <c r="C1971">
        <v>5</v>
      </c>
      <c r="D1971">
        <v>2</v>
      </c>
      <c r="E1971">
        <v>2</v>
      </c>
      <c r="F1971">
        <v>3</v>
      </c>
      <c r="G1971">
        <v>4</v>
      </c>
      <c r="H1971" t="str">
        <f>IF(Demographics[[#This Row],[DOB]]&gt;10000000, TEXT(Demographics[[#This Row],[DOB]],0),CONCATENATE("0",TEXT(Demographics[[#This Row],[DOB]],0)))</f>
        <v>13041989</v>
      </c>
      <c r="I1971" s="4">
        <f ca="1">IFERROR((VALUE(TODAY()-DATE(RIGHT(Demographics[[#This Row],[DOB - Fixed]],4),MID(Demographics[[#This Row],[DOB - Fixed]],3,2),LEFT(Demographics[[#This Row],[DOB - Fixed]],2))))/365,0)</f>
        <v>34.42739726027397</v>
      </c>
      <c r="J1971">
        <f>VLOOKUP(Demographics[[#This Row],[INCOME LEVEL]],Income[],4,FALSE)</f>
        <v>697.5</v>
      </c>
      <c r="K1971">
        <f>IFERROR(Demographics[[#This Row],[Total monthly income]]/Demographics[[#This Row],[FAMILY SIZE]], 0)</f>
        <v>139.5</v>
      </c>
    </row>
    <row r="1972" spans="1:11" x14ac:dyDescent="0.2">
      <c r="A1972">
        <v>4405265</v>
      </c>
      <c r="B1972">
        <v>12041989</v>
      </c>
      <c r="C1972">
        <v>5</v>
      </c>
      <c r="D1972">
        <v>2</v>
      </c>
      <c r="E1972">
        <v>1</v>
      </c>
      <c r="F1972">
        <v>4</v>
      </c>
      <c r="G1972">
        <v>2</v>
      </c>
      <c r="H1972" t="str">
        <f>IF(Demographics[[#This Row],[DOB]]&gt;10000000, TEXT(Demographics[[#This Row],[DOB]],0),CONCATENATE("0",TEXT(Demographics[[#This Row],[DOB]],0)))</f>
        <v>12041989</v>
      </c>
      <c r="I1972" s="4">
        <f ca="1">IFERROR((VALUE(TODAY()-DATE(RIGHT(Demographics[[#This Row],[DOB - Fixed]],4),MID(Demographics[[#This Row],[DOB - Fixed]],3,2),LEFT(Demographics[[#This Row],[DOB - Fixed]],2))))/365,0)</f>
        <v>34.43013698630137</v>
      </c>
      <c r="J1972">
        <f>VLOOKUP(Demographics[[#This Row],[INCOME LEVEL]],Income[],4,FALSE)</f>
        <v>175</v>
      </c>
      <c r="K1972">
        <f>IFERROR(Demographics[[#This Row],[Total monthly income]]/Demographics[[#This Row],[FAMILY SIZE]], 0)</f>
        <v>35</v>
      </c>
    </row>
    <row r="1973" spans="1:11" x14ac:dyDescent="0.2">
      <c r="A1973">
        <v>2269014</v>
      </c>
      <c r="B1973">
        <v>10041989</v>
      </c>
      <c r="C1973">
        <v>5</v>
      </c>
      <c r="D1973">
        <v>1</v>
      </c>
      <c r="E1973">
        <v>1</v>
      </c>
      <c r="F1973">
        <v>3</v>
      </c>
      <c r="G1973">
        <v>2</v>
      </c>
      <c r="H1973" t="str">
        <f>IF(Demographics[[#This Row],[DOB]]&gt;10000000, TEXT(Demographics[[#This Row],[DOB]],0),CONCATENATE("0",TEXT(Demographics[[#This Row],[DOB]],0)))</f>
        <v>10041989</v>
      </c>
      <c r="I1973" s="4">
        <f ca="1">IFERROR((VALUE(TODAY()-DATE(RIGHT(Demographics[[#This Row],[DOB - Fixed]],4),MID(Demographics[[#This Row],[DOB - Fixed]],3,2),LEFT(Demographics[[#This Row],[DOB - Fixed]],2))))/365,0)</f>
        <v>34.435616438356163</v>
      </c>
      <c r="J1973">
        <f>VLOOKUP(Demographics[[#This Row],[INCOME LEVEL]],Income[],4,FALSE)</f>
        <v>175</v>
      </c>
      <c r="K1973">
        <f>IFERROR(Demographics[[#This Row],[Total monthly income]]/Demographics[[#This Row],[FAMILY SIZE]], 0)</f>
        <v>35</v>
      </c>
    </row>
    <row r="1974" spans="1:11" x14ac:dyDescent="0.2">
      <c r="A1974">
        <v>11796992</v>
      </c>
      <c r="B1974">
        <v>1061989</v>
      </c>
      <c r="C1974">
        <v>0</v>
      </c>
      <c r="D1974">
        <v>0</v>
      </c>
      <c r="E1974">
        <v>1</v>
      </c>
      <c r="F1974">
        <v>0</v>
      </c>
      <c r="G1974">
        <v>0</v>
      </c>
      <c r="H1974" t="str">
        <f>IF(Demographics[[#This Row],[DOB]]&gt;10000000, TEXT(Demographics[[#This Row],[DOB]],0),CONCATENATE("0",TEXT(Demographics[[#This Row],[DOB]],0)))</f>
        <v>01061989</v>
      </c>
      <c r="I1974" s="4">
        <f ca="1">IFERROR((VALUE(TODAY()-DATE(RIGHT(Demographics[[#This Row],[DOB - Fixed]],4),MID(Demographics[[#This Row],[DOB - Fixed]],3,2),LEFT(Demographics[[#This Row],[DOB - Fixed]],2))))/365,0)</f>
        <v>34.293150684931504</v>
      </c>
      <c r="J1974">
        <f>VLOOKUP(Demographics[[#This Row],[INCOME LEVEL]],Income[],4,FALSE)</f>
        <v>175</v>
      </c>
      <c r="K1974">
        <f>IFERROR(Demographics[[#This Row],[Total monthly income]]/Demographics[[#This Row],[FAMILY SIZE]], 0)</f>
        <v>0</v>
      </c>
    </row>
    <row r="1975" spans="1:11" x14ac:dyDescent="0.2">
      <c r="A1975">
        <v>8693858</v>
      </c>
      <c r="B1975">
        <v>31051989</v>
      </c>
      <c r="C1975">
        <v>0</v>
      </c>
      <c r="D1975">
        <v>0</v>
      </c>
      <c r="E1975">
        <v>1</v>
      </c>
      <c r="F1975">
        <v>0</v>
      </c>
      <c r="G1975">
        <v>0</v>
      </c>
      <c r="H1975" t="str">
        <f>IF(Demographics[[#This Row],[DOB]]&gt;10000000, TEXT(Demographics[[#This Row],[DOB]],0),CONCATENATE("0",TEXT(Demographics[[#This Row],[DOB]],0)))</f>
        <v>31051989</v>
      </c>
      <c r="I1975" s="4">
        <f ca="1">IFERROR((VALUE(TODAY()-DATE(RIGHT(Demographics[[#This Row],[DOB - Fixed]],4),MID(Demographics[[#This Row],[DOB - Fixed]],3,2),LEFT(Demographics[[#This Row],[DOB - Fixed]],2))))/365,0)</f>
        <v>34.295890410958904</v>
      </c>
      <c r="J1975">
        <f>VLOOKUP(Demographics[[#This Row],[INCOME LEVEL]],Income[],4,FALSE)</f>
        <v>175</v>
      </c>
      <c r="K1975">
        <f>IFERROR(Demographics[[#This Row],[Total monthly income]]/Demographics[[#This Row],[FAMILY SIZE]], 0)</f>
        <v>0</v>
      </c>
    </row>
    <row r="1976" spans="1:11" x14ac:dyDescent="0.2">
      <c r="A1976">
        <v>6023845</v>
      </c>
      <c r="B1976">
        <v>19011989</v>
      </c>
      <c r="C1976">
        <v>4</v>
      </c>
      <c r="D1976">
        <v>2</v>
      </c>
      <c r="E1976">
        <v>6</v>
      </c>
      <c r="F1976">
        <v>5</v>
      </c>
      <c r="G1976">
        <v>4</v>
      </c>
      <c r="H1976" t="str">
        <f>IF(Demographics[[#This Row],[DOB]]&gt;10000000, TEXT(Demographics[[#This Row],[DOB]],0),CONCATENATE("0",TEXT(Demographics[[#This Row],[DOB]],0)))</f>
        <v>19011989</v>
      </c>
      <c r="I1976" s="4">
        <f ca="1">IFERROR((VALUE(TODAY()-DATE(RIGHT(Demographics[[#This Row],[DOB - Fixed]],4),MID(Demographics[[#This Row],[DOB - Fixed]],3,2),LEFT(Demographics[[#This Row],[DOB - Fixed]],2))))/365,0)</f>
        <v>34.657534246575345</v>
      </c>
      <c r="J1976">
        <f>VLOOKUP(Demographics[[#This Row],[INCOME LEVEL]],Income[],4,FALSE)</f>
        <v>4000</v>
      </c>
      <c r="K1976">
        <f>IFERROR(Demographics[[#This Row],[Total monthly income]]/Demographics[[#This Row],[FAMILY SIZE]], 0)</f>
        <v>1000</v>
      </c>
    </row>
    <row r="1977" spans="1:11" x14ac:dyDescent="0.2">
      <c r="A1977">
        <v>1362263</v>
      </c>
      <c r="B1977">
        <v>1071988</v>
      </c>
      <c r="C1977">
        <v>0</v>
      </c>
      <c r="D1977">
        <v>0</v>
      </c>
      <c r="E1977">
        <v>1</v>
      </c>
      <c r="F1977">
        <v>0</v>
      </c>
      <c r="G1977">
        <v>0</v>
      </c>
      <c r="H1977" t="str">
        <f>IF(Demographics[[#This Row],[DOB]]&gt;10000000, TEXT(Demographics[[#This Row],[DOB]],0),CONCATENATE("0",TEXT(Demographics[[#This Row],[DOB]],0)))</f>
        <v>01071988</v>
      </c>
      <c r="I1977" s="4">
        <f ca="1">IFERROR((VALUE(TODAY()-DATE(RIGHT(Demographics[[#This Row],[DOB - Fixed]],4),MID(Demographics[[#This Row],[DOB - Fixed]],3,2),LEFT(Demographics[[#This Row],[DOB - Fixed]],2))))/365,0)</f>
        <v>35.210958904109589</v>
      </c>
      <c r="J1977">
        <f>VLOOKUP(Demographics[[#This Row],[INCOME LEVEL]],Income[],4,FALSE)</f>
        <v>175</v>
      </c>
      <c r="K1977">
        <f>IFERROR(Demographics[[#This Row],[Total monthly income]]/Demographics[[#This Row],[FAMILY SIZE]], 0)</f>
        <v>0</v>
      </c>
    </row>
    <row r="1978" spans="1:11" x14ac:dyDescent="0.2">
      <c r="A1978">
        <v>859913</v>
      </c>
      <c r="B1978">
        <v>18041989</v>
      </c>
      <c r="C1978">
        <v>4</v>
      </c>
      <c r="D1978">
        <v>1</v>
      </c>
      <c r="E1978">
        <v>1</v>
      </c>
      <c r="F1978">
        <v>4</v>
      </c>
      <c r="G1978">
        <v>4</v>
      </c>
      <c r="H1978" t="str">
        <f>IF(Demographics[[#This Row],[DOB]]&gt;10000000, TEXT(Demographics[[#This Row],[DOB]],0),CONCATENATE("0",TEXT(Demographics[[#This Row],[DOB]],0)))</f>
        <v>18041989</v>
      </c>
      <c r="I1978" s="4">
        <f ca="1">IFERROR((VALUE(TODAY()-DATE(RIGHT(Demographics[[#This Row],[DOB - Fixed]],4),MID(Demographics[[#This Row],[DOB - Fixed]],3,2),LEFT(Demographics[[#This Row],[DOB - Fixed]],2))))/365,0)</f>
        <v>34.413698630136984</v>
      </c>
      <c r="J1978">
        <f>VLOOKUP(Demographics[[#This Row],[INCOME LEVEL]],Income[],4,FALSE)</f>
        <v>175</v>
      </c>
      <c r="K1978">
        <f>IFERROR(Demographics[[#This Row],[Total monthly income]]/Demographics[[#This Row],[FAMILY SIZE]], 0)</f>
        <v>43.75</v>
      </c>
    </row>
    <row r="1979" spans="1:11" x14ac:dyDescent="0.2">
      <c r="A1979">
        <v>8703721</v>
      </c>
      <c r="B1979">
        <v>30031989</v>
      </c>
      <c r="C1979">
        <v>4</v>
      </c>
      <c r="D1979">
        <v>2</v>
      </c>
      <c r="E1979">
        <v>2</v>
      </c>
      <c r="F1979">
        <v>9</v>
      </c>
      <c r="G1979">
        <v>9</v>
      </c>
      <c r="H1979" t="str">
        <f>IF(Demographics[[#This Row],[DOB]]&gt;10000000, TEXT(Demographics[[#This Row],[DOB]],0),CONCATENATE("0",TEXT(Demographics[[#This Row],[DOB]],0)))</f>
        <v>30031989</v>
      </c>
      <c r="I1979" s="4">
        <f ca="1">IFERROR((VALUE(TODAY()-DATE(RIGHT(Demographics[[#This Row],[DOB - Fixed]],4),MID(Demographics[[#This Row],[DOB - Fixed]],3,2),LEFT(Demographics[[#This Row],[DOB - Fixed]],2))))/365,0)</f>
        <v>34.465753424657535</v>
      </c>
      <c r="J1979">
        <f>VLOOKUP(Demographics[[#This Row],[INCOME LEVEL]],Income[],4,FALSE)</f>
        <v>697.5</v>
      </c>
      <c r="K1979">
        <f>IFERROR(Demographics[[#This Row],[Total monthly income]]/Demographics[[#This Row],[FAMILY SIZE]], 0)</f>
        <v>174.375</v>
      </c>
    </row>
    <row r="1980" spans="1:11" x14ac:dyDescent="0.2">
      <c r="A1980">
        <v>14816786</v>
      </c>
      <c r="B1980">
        <v>26021989</v>
      </c>
      <c r="C1980">
        <v>6</v>
      </c>
      <c r="D1980">
        <v>1</v>
      </c>
      <c r="E1980">
        <v>2</v>
      </c>
      <c r="F1980">
        <v>5</v>
      </c>
      <c r="G1980">
        <v>5</v>
      </c>
      <c r="H1980" t="str">
        <f>IF(Demographics[[#This Row],[DOB]]&gt;10000000, TEXT(Demographics[[#This Row],[DOB]],0),CONCATENATE("0",TEXT(Demographics[[#This Row],[DOB]],0)))</f>
        <v>26021989</v>
      </c>
      <c r="I1980" s="4">
        <f ca="1">IFERROR((VALUE(TODAY()-DATE(RIGHT(Demographics[[#This Row],[DOB - Fixed]],4),MID(Demographics[[#This Row],[DOB - Fixed]],3,2),LEFT(Demographics[[#This Row],[DOB - Fixed]],2))))/365,0)</f>
        <v>34.553424657534244</v>
      </c>
      <c r="J1980">
        <f>VLOOKUP(Demographics[[#This Row],[INCOME LEVEL]],Income[],4,FALSE)</f>
        <v>697.5</v>
      </c>
      <c r="K1980">
        <f>IFERROR(Demographics[[#This Row],[Total monthly income]]/Demographics[[#This Row],[FAMILY SIZE]], 0)</f>
        <v>116.25</v>
      </c>
    </row>
    <row r="1981" spans="1:11" x14ac:dyDescent="0.2">
      <c r="A1981">
        <v>13113918</v>
      </c>
      <c r="B1981">
        <v>22021989</v>
      </c>
      <c r="C1981">
        <v>4</v>
      </c>
      <c r="D1981">
        <v>0</v>
      </c>
      <c r="E1981">
        <v>1</v>
      </c>
      <c r="F1981">
        <v>0</v>
      </c>
      <c r="G1981">
        <v>5</v>
      </c>
      <c r="H1981" t="str">
        <f>IF(Demographics[[#This Row],[DOB]]&gt;10000000, TEXT(Demographics[[#This Row],[DOB]],0),CONCATENATE("0",TEXT(Demographics[[#This Row],[DOB]],0)))</f>
        <v>22021989</v>
      </c>
      <c r="I1981" s="4">
        <f ca="1">IFERROR((VALUE(TODAY()-DATE(RIGHT(Demographics[[#This Row],[DOB - Fixed]],4),MID(Demographics[[#This Row],[DOB - Fixed]],3,2),LEFT(Demographics[[#This Row],[DOB - Fixed]],2))))/365,0)</f>
        <v>34.564383561643837</v>
      </c>
      <c r="J1981">
        <f>VLOOKUP(Demographics[[#This Row],[INCOME LEVEL]],Income[],4,FALSE)</f>
        <v>175</v>
      </c>
      <c r="K1981">
        <f>IFERROR(Demographics[[#This Row],[Total monthly income]]/Demographics[[#This Row],[FAMILY SIZE]], 0)</f>
        <v>43.75</v>
      </c>
    </row>
    <row r="1982" spans="1:11" x14ac:dyDescent="0.2">
      <c r="A1982">
        <v>4224558</v>
      </c>
      <c r="B1982">
        <v>23011988</v>
      </c>
      <c r="C1982">
        <v>3</v>
      </c>
      <c r="D1982">
        <v>1</v>
      </c>
      <c r="E1982">
        <v>1</v>
      </c>
      <c r="F1982">
        <v>10</v>
      </c>
      <c r="G1982">
        <v>5</v>
      </c>
      <c r="H1982" t="str">
        <f>IF(Demographics[[#This Row],[DOB]]&gt;10000000, TEXT(Demographics[[#This Row],[DOB]],0),CONCATENATE("0",TEXT(Demographics[[#This Row],[DOB]],0)))</f>
        <v>23011988</v>
      </c>
      <c r="I1982" s="4">
        <f ca="1">IFERROR((VALUE(TODAY()-DATE(RIGHT(Demographics[[#This Row],[DOB - Fixed]],4),MID(Demographics[[#This Row],[DOB - Fixed]],3,2),LEFT(Demographics[[#This Row],[DOB - Fixed]],2))))/365,0)</f>
        <v>35.649315068493152</v>
      </c>
      <c r="J1982">
        <f>VLOOKUP(Demographics[[#This Row],[INCOME LEVEL]],Income[],4,FALSE)</f>
        <v>175</v>
      </c>
      <c r="K1982">
        <f>IFERROR(Demographics[[#This Row],[Total monthly income]]/Demographics[[#This Row],[FAMILY SIZE]], 0)</f>
        <v>58.333333333333336</v>
      </c>
    </row>
    <row r="1983" spans="1:11" x14ac:dyDescent="0.2">
      <c r="A1983">
        <v>13060675</v>
      </c>
      <c r="B1983">
        <v>16121988</v>
      </c>
      <c r="C1983">
        <v>5</v>
      </c>
      <c r="D1983">
        <v>1</v>
      </c>
      <c r="E1983">
        <v>1</v>
      </c>
      <c r="F1983">
        <v>0</v>
      </c>
      <c r="G1983">
        <v>2</v>
      </c>
      <c r="H1983" t="str">
        <f>IF(Demographics[[#This Row],[DOB]]&gt;10000000, TEXT(Demographics[[#This Row],[DOB]],0),CONCATENATE("0",TEXT(Demographics[[#This Row],[DOB]],0)))</f>
        <v>16121988</v>
      </c>
      <c r="I1983" s="4">
        <f ca="1">IFERROR((VALUE(TODAY()-DATE(RIGHT(Demographics[[#This Row],[DOB - Fixed]],4),MID(Demographics[[#This Row],[DOB - Fixed]],3,2),LEFT(Demographics[[#This Row],[DOB - Fixed]],2))))/365,0)</f>
        <v>34.750684931506846</v>
      </c>
      <c r="J1983">
        <f>VLOOKUP(Demographics[[#This Row],[INCOME LEVEL]],Income[],4,FALSE)</f>
        <v>175</v>
      </c>
      <c r="K1983">
        <f>IFERROR(Demographics[[#This Row],[Total monthly income]]/Demographics[[#This Row],[FAMILY SIZE]], 0)</f>
        <v>35</v>
      </c>
    </row>
    <row r="1984" spans="1:11" x14ac:dyDescent="0.2">
      <c r="A1984">
        <v>926732</v>
      </c>
      <c r="B1984">
        <v>16061989</v>
      </c>
      <c r="C1984">
        <v>5</v>
      </c>
      <c r="D1984">
        <v>1</v>
      </c>
      <c r="E1984">
        <v>1</v>
      </c>
      <c r="F1984">
        <v>2</v>
      </c>
      <c r="G1984">
        <v>2</v>
      </c>
      <c r="H1984" t="str">
        <f>IF(Demographics[[#This Row],[DOB]]&gt;10000000, TEXT(Demographics[[#This Row],[DOB]],0),CONCATENATE("0",TEXT(Demographics[[#This Row],[DOB]],0)))</f>
        <v>16061989</v>
      </c>
      <c r="I1984" s="4">
        <f ca="1">IFERROR((VALUE(TODAY()-DATE(RIGHT(Demographics[[#This Row],[DOB - Fixed]],4),MID(Demographics[[#This Row],[DOB - Fixed]],3,2),LEFT(Demographics[[#This Row],[DOB - Fixed]],2))))/365,0)</f>
        <v>34.252054794520546</v>
      </c>
      <c r="J1984">
        <f>VLOOKUP(Demographics[[#This Row],[INCOME LEVEL]],Income[],4,FALSE)</f>
        <v>175</v>
      </c>
      <c r="K1984">
        <f>IFERROR(Demographics[[#This Row],[Total monthly income]]/Demographics[[#This Row],[FAMILY SIZE]], 0)</f>
        <v>35</v>
      </c>
    </row>
    <row r="1985" spans="1:11" x14ac:dyDescent="0.2">
      <c r="A1985">
        <v>21808340</v>
      </c>
      <c r="B1985">
        <v>8051989</v>
      </c>
      <c r="C1985">
        <v>3</v>
      </c>
      <c r="D1985">
        <v>1</v>
      </c>
      <c r="E1985">
        <v>1</v>
      </c>
      <c r="F1985">
        <v>5</v>
      </c>
      <c r="G1985">
        <v>2</v>
      </c>
      <c r="H1985" t="str">
        <f>IF(Demographics[[#This Row],[DOB]]&gt;10000000, TEXT(Demographics[[#This Row],[DOB]],0),CONCATENATE("0",TEXT(Demographics[[#This Row],[DOB]],0)))</f>
        <v>08051989</v>
      </c>
      <c r="I1985" s="4">
        <f ca="1">IFERROR((VALUE(TODAY()-DATE(RIGHT(Demographics[[#This Row],[DOB - Fixed]],4),MID(Demographics[[#This Row],[DOB - Fixed]],3,2),LEFT(Demographics[[#This Row],[DOB - Fixed]],2))))/365,0)</f>
        <v>34.358904109589041</v>
      </c>
      <c r="J1985">
        <f>VLOOKUP(Demographics[[#This Row],[INCOME LEVEL]],Income[],4,FALSE)</f>
        <v>175</v>
      </c>
      <c r="K1985">
        <f>IFERROR(Demographics[[#This Row],[Total monthly income]]/Demographics[[#This Row],[FAMILY SIZE]], 0)</f>
        <v>58.333333333333336</v>
      </c>
    </row>
    <row r="1986" spans="1:11" x14ac:dyDescent="0.2">
      <c r="A1986">
        <v>15487436</v>
      </c>
      <c r="B1986">
        <v>9051989</v>
      </c>
      <c r="C1986">
        <v>5</v>
      </c>
      <c r="D1986">
        <v>2</v>
      </c>
      <c r="E1986">
        <v>1</v>
      </c>
      <c r="F1986">
        <v>4</v>
      </c>
      <c r="G1986">
        <v>2</v>
      </c>
      <c r="H1986" t="str">
        <f>IF(Demographics[[#This Row],[DOB]]&gt;10000000, TEXT(Demographics[[#This Row],[DOB]],0),CONCATENATE("0",TEXT(Demographics[[#This Row],[DOB]],0)))</f>
        <v>09051989</v>
      </c>
      <c r="I1986" s="4">
        <f ca="1">IFERROR((VALUE(TODAY()-DATE(RIGHT(Demographics[[#This Row],[DOB - Fixed]],4),MID(Demographics[[#This Row],[DOB - Fixed]],3,2),LEFT(Demographics[[#This Row],[DOB - Fixed]],2))))/365,0)</f>
        <v>34.356164383561641</v>
      </c>
      <c r="J1986">
        <f>VLOOKUP(Demographics[[#This Row],[INCOME LEVEL]],Income[],4,FALSE)</f>
        <v>175</v>
      </c>
      <c r="K1986">
        <f>IFERROR(Demographics[[#This Row],[Total monthly income]]/Demographics[[#This Row],[FAMILY SIZE]], 0)</f>
        <v>35</v>
      </c>
    </row>
    <row r="1987" spans="1:11" x14ac:dyDescent="0.2">
      <c r="A1987">
        <v>6671585</v>
      </c>
      <c r="B1987">
        <v>21071987</v>
      </c>
      <c r="C1987">
        <v>5</v>
      </c>
      <c r="D1987">
        <v>1</v>
      </c>
      <c r="E1987">
        <v>2</v>
      </c>
      <c r="F1987">
        <v>3</v>
      </c>
      <c r="G1987">
        <v>3</v>
      </c>
      <c r="H1987" t="str">
        <f>IF(Demographics[[#This Row],[DOB]]&gt;10000000, TEXT(Demographics[[#This Row],[DOB]],0),CONCATENATE("0",TEXT(Demographics[[#This Row],[DOB]],0)))</f>
        <v>21071987</v>
      </c>
      <c r="I1987" s="4">
        <f ca="1">IFERROR((VALUE(TODAY()-DATE(RIGHT(Demographics[[#This Row],[DOB - Fixed]],4),MID(Demographics[[#This Row],[DOB - Fixed]],3,2),LEFT(Demographics[[#This Row],[DOB - Fixed]],2))))/365,0)</f>
        <v>36.158904109589038</v>
      </c>
      <c r="J1987">
        <f>VLOOKUP(Demographics[[#This Row],[INCOME LEVEL]],Income[],4,FALSE)</f>
        <v>697.5</v>
      </c>
      <c r="K1987">
        <f>IFERROR(Demographics[[#This Row],[Total monthly income]]/Demographics[[#This Row],[FAMILY SIZE]], 0)</f>
        <v>139.5</v>
      </c>
    </row>
    <row r="1988" spans="1:11" x14ac:dyDescent="0.2">
      <c r="A1988">
        <v>24035262</v>
      </c>
      <c r="B1988">
        <v>12051988</v>
      </c>
      <c r="C1988">
        <v>7</v>
      </c>
      <c r="D1988">
        <v>1</v>
      </c>
      <c r="E1988">
        <v>1</v>
      </c>
      <c r="F1988">
        <v>7</v>
      </c>
      <c r="G1988">
        <v>5</v>
      </c>
      <c r="H1988" t="str">
        <f>IF(Demographics[[#This Row],[DOB]]&gt;10000000, TEXT(Demographics[[#This Row],[DOB]],0),CONCATENATE("0",TEXT(Demographics[[#This Row],[DOB]],0)))</f>
        <v>12051988</v>
      </c>
      <c r="I1988" s="4">
        <f ca="1">IFERROR((VALUE(TODAY()-DATE(RIGHT(Demographics[[#This Row],[DOB - Fixed]],4),MID(Demographics[[#This Row],[DOB - Fixed]],3,2),LEFT(Demographics[[#This Row],[DOB - Fixed]],2))))/365,0)</f>
        <v>35.347945205479455</v>
      </c>
      <c r="J1988">
        <f>VLOOKUP(Demographics[[#This Row],[INCOME LEVEL]],Income[],4,FALSE)</f>
        <v>175</v>
      </c>
      <c r="K1988">
        <f>IFERROR(Demographics[[#This Row],[Total monthly income]]/Demographics[[#This Row],[FAMILY SIZE]], 0)</f>
        <v>25</v>
      </c>
    </row>
    <row r="1989" spans="1:11" x14ac:dyDescent="0.2">
      <c r="A1989">
        <v>24259361</v>
      </c>
      <c r="B1989">
        <v>27061989</v>
      </c>
      <c r="C1989">
        <v>3</v>
      </c>
      <c r="D1989">
        <v>1</v>
      </c>
      <c r="E1989">
        <v>2</v>
      </c>
      <c r="F1989">
        <v>5</v>
      </c>
      <c r="G1989">
        <v>9</v>
      </c>
      <c r="H1989" t="str">
        <f>IF(Demographics[[#This Row],[DOB]]&gt;10000000, TEXT(Demographics[[#This Row],[DOB]],0),CONCATENATE("0",TEXT(Demographics[[#This Row],[DOB]],0)))</f>
        <v>27061989</v>
      </c>
      <c r="I1989" s="4">
        <f ca="1">IFERROR((VALUE(TODAY()-DATE(RIGHT(Demographics[[#This Row],[DOB - Fixed]],4),MID(Demographics[[#This Row],[DOB - Fixed]],3,2),LEFT(Demographics[[#This Row],[DOB - Fixed]],2))))/365,0)</f>
        <v>34.221917808219175</v>
      </c>
      <c r="J1989">
        <f>VLOOKUP(Demographics[[#This Row],[INCOME LEVEL]],Income[],4,FALSE)</f>
        <v>697.5</v>
      </c>
      <c r="K1989">
        <f>IFERROR(Demographics[[#This Row],[Total monthly income]]/Demographics[[#This Row],[FAMILY SIZE]], 0)</f>
        <v>232.5</v>
      </c>
    </row>
    <row r="1990" spans="1:11" x14ac:dyDescent="0.2">
      <c r="A1990">
        <v>24113870</v>
      </c>
      <c r="B1990">
        <v>24011989</v>
      </c>
      <c r="C1990">
        <v>4</v>
      </c>
      <c r="D1990">
        <v>1</v>
      </c>
      <c r="E1990">
        <v>1</v>
      </c>
      <c r="F1990">
        <v>8</v>
      </c>
      <c r="G1990">
        <v>3</v>
      </c>
      <c r="H1990" t="str">
        <f>IF(Demographics[[#This Row],[DOB]]&gt;10000000, TEXT(Demographics[[#This Row],[DOB]],0),CONCATENATE("0",TEXT(Demographics[[#This Row],[DOB]],0)))</f>
        <v>24011989</v>
      </c>
      <c r="I1990" s="4">
        <f ca="1">IFERROR((VALUE(TODAY()-DATE(RIGHT(Demographics[[#This Row],[DOB - Fixed]],4),MID(Demographics[[#This Row],[DOB - Fixed]],3,2),LEFT(Demographics[[#This Row],[DOB - Fixed]],2))))/365,0)</f>
        <v>34.643835616438359</v>
      </c>
      <c r="J1990">
        <f>VLOOKUP(Demographics[[#This Row],[INCOME LEVEL]],Income[],4,FALSE)</f>
        <v>175</v>
      </c>
      <c r="K1990">
        <f>IFERROR(Demographics[[#This Row],[Total monthly income]]/Demographics[[#This Row],[FAMILY SIZE]], 0)</f>
        <v>43.75</v>
      </c>
    </row>
    <row r="1991" spans="1:11" x14ac:dyDescent="0.2">
      <c r="A1991">
        <v>614724</v>
      </c>
      <c r="B1991">
        <v>17121987</v>
      </c>
      <c r="C1991">
        <v>3</v>
      </c>
      <c r="D1991">
        <v>1</v>
      </c>
      <c r="E1991">
        <v>1</v>
      </c>
      <c r="F1991">
        <v>9</v>
      </c>
      <c r="G1991">
        <v>2</v>
      </c>
      <c r="H1991" t="str">
        <f>IF(Demographics[[#This Row],[DOB]]&gt;10000000, TEXT(Demographics[[#This Row],[DOB]],0),CONCATENATE("0",TEXT(Demographics[[#This Row],[DOB]],0)))</f>
        <v>17121987</v>
      </c>
      <c r="I1991" s="4">
        <f ca="1">IFERROR((VALUE(TODAY()-DATE(RIGHT(Demographics[[#This Row],[DOB - Fixed]],4),MID(Demographics[[#This Row],[DOB - Fixed]],3,2),LEFT(Demographics[[#This Row],[DOB - Fixed]],2))))/365,0)</f>
        <v>35.750684931506846</v>
      </c>
      <c r="J1991">
        <f>VLOOKUP(Demographics[[#This Row],[INCOME LEVEL]],Income[],4,FALSE)</f>
        <v>175</v>
      </c>
      <c r="K1991">
        <f>IFERROR(Demographics[[#This Row],[Total monthly income]]/Demographics[[#This Row],[FAMILY SIZE]], 0)</f>
        <v>58.333333333333336</v>
      </c>
    </row>
    <row r="1992" spans="1:11" x14ac:dyDescent="0.2">
      <c r="A1992">
        <v>17069281</v>
      </c>
      <c r="B1992">
        <v>30081989</v>
      </c>
      <c r="C1992">
        <v>5</v>
      </c>
      <c r="D1992">
        <v>2</v>
      </c>
      <c r="E1992">
        <v>3</v>
      </c>
      <c r="F1992">
        <v>9</v>
      </c>
      <c r="G1992">
        <v>9</v>
      </c>
      <c r="H1992" t="str">
        <f>IF(Demographics[[#This Row],[DOB]]&gt;10000000, TEXT(Demographics[[#This Row],[DOB]],0),CONCATENATE("0",TEXT(Demographics[[#This Row],[DOB]],0)))</f>
        <v>30081989</v>
      </c>
      <c r="I1992" s="4">
        <f ca="1">IFERROR((VALUE(TODAY()-DATE(RIGHT(Demographics[[#This Row],[DOB - Fixed]],4),MID(Demographics[[#This Row],[DOB - Fixed]],3,2),LEFT(Demographics[[#This Row],[DOB - Fixed]],2))))/365,0)</f>
        <v>34.046575342465751</v>
      </c>
      <c r="J1992">
        <f>VLOOKUP(Demographics[[#This Row],[INCOME LEVEL]],Income[],4,FALSE)</f>
        <v>1397.5</v>
      </c>
      <c r="K1992">
        <f>IFERROR(Demographics[[#This Row],[Total monthly income]]/Demographics[[#This Row],[FAMILY SIZE]], 0)</f>
        <v>279.5</v>
      </c>
    </row>
    <row r="1993" spans="1:11" x14ac:dyDescent="0.2">
      <c r="A1993">
        <v>14399422</v>
      </c>
      <c r="B1993">
        <v>13061989</v>
      </c>
      <c r="C1993">
        <v>4</v>
      </c>
      <c r="D1993">
        <v>1</v>
      </c>
      <c r="E1993">
        <v>1</v>
      </c>
      <c r="F1993">
        <v>3</v>
      </c>
      <c r="G1993">
        <v>3</v>
      </c>
      <c r="H1993" t="str">
        <f>IF(Demographics[[#This Row],[DOB]]&gt;10000000, TEXT(Demographics[[#This Row],[DOB]],0),CONCATENATE("0",TEXT(Demographics[[#This Row],[DOB]],0)))</f>
        <v>13061989</v>
      </c>
      <c r="I1993" s="4">
        <f ca="1">IFERROR((VALUE(TODAY()-DATE(RIGHT(Demographics[[#This Row],[DOB - Fixed]],4),MID(Demographics[[#This Row],[DOB - Fixed]],3,2),LEFT(Demographics[[#This Row],[DOB - Fixed]],2))))/365,0)</f>
        <v>34.260273972602739</v>
      </c>
      <c r="J1993">
        <f>VLOOKUP(Demographics[[#This Row],[INCOME LEVEL]],Income[],4,FALSE)</f>
        <v>175</v>
      </c>
      <c r="K1993">
        <f>IFERROR(Demographics[[#This Row],[Total monthly income]]/Demographics[[#This Row],[FAMILY SIZE]], 0)</f>
        <v>43.75</v>
      </c>
    </row>
    <row r="1994" spans="1:11" x14ac:dyDescent="0.2">
      <c r="A1994">
        <v>23681188</v>
      </c>
      <c r="B1994">
        <v>30061989</v>
      </c>
      <c r="C1994">
        <v>9</v>
      </c>
      <c r="D1994">
        <v>2</v>
      </c>
      <c r="E1994">
        <v>1</v>
      </c>
      <c r="F1994">
        <v>3</v>
      </c>
      <c r="G1994">
        <v>2</v>
      </c>
      <c r="H1994" t="str">
        <f>IF(Demographics[[#This Row],[DOB]]&gt;10000000, TEXT(Demographics[[#This Row],[DOB]],0),CONCATENATE("0",TEXT(Demographics[[#This Row],[DOB]],0)))</f>
        <v>30061989</v>
      </c>
      <c r="I1994" s="4">
        <f ca="1">IFERROR((VALUE(TODAY()-DATE(RIGHT(Demographics[[#This Row],[DOB - Fixed]],4),MID(Demographics[[#This Row],[DOB - Fixed]],3,2),LEFT(Demographics[[#This Row],[DOB - Fixed]],2))))/365,0)</f>
        <v>34.213698630136989</v>
      </c>
      <c r="J1994">
        <f>VLOOKUP(Demographics[[#This Row],[INCOME LEVEL]],Income[],4,FALSE)</f>
        <v>175</v>
      </c>
      <c r="K1994">
        <f>IFERROR(Demographics[[#This Row],[Total monthly income]]/Demographics[[#This Row],[FAMILY SIZE]], 0)</f>
        <v>19.444444444444443</v>
      </c>
    </row>
    <row r="1995" spans="1:11" x14ac:dyDescent="0.2">
      <c r="A1995">
        <v>1351714</v>
      </c>
      <c r="B1995">
        <v>14041989</v>
      </c>
      <c r="C1995">
        <v>2</v>
      </c>
      <c r="D1995">
        <v>1</v>
      </c>
      <c r="E1995">
        <v>1</v>
      </c>
      <c r="F1995">
        <v>0</v>
      </c>
      <c r="G1995">
        <v>5</v>
      </c>
      <c r="H1995" t="str">
        <f>IF(Demographics[[#This Row],[DOB]]&gt;10000000, TEXT(Demographics[[#This Row],[DOB]],0),CONCATENATE("0",TEXT(Demographics[[#This Row],[DOB]],0)))</f>
        <v>14041989</v>
      </c>
      <c r="I1995" s="4">
        <f ca="1">IFERROR((VALUE(TODAY()-DATE(RIGHT(Demographics[[#This Row],[DOB - Fixed]],4),MID(Demographics[[#This Row],[DOB - Fixed]],3,2),LEFT(Demographics[[#This Row],[DOB - Fixed]],2))))/365,0)</f>
        <v>34.424657534246577</v>
      </c>
      <c r="J1995">
        <f>VLOOKUP(Demographics[[#This Row],[INCOME LEVEL]],Income[],4,FALSE)</f>
        <v>175</v>
      </c>
      <c r="K1995">
        <f>IFERROR(Demographics[[#This Row],[Total monthly income]]/Demographics[[#This Row],[FAMILY SIZE]], 0)</f>
        <v>87.5</v>
      </c>
    </row>
    <row r="1996" spans="1:11" x14ac:dyDescent="0.2">
      <c r="A1996">
        <v>10474593</v>
      </c>
      <c r="B1996">
        <v>6091989</v>
      </c>
      <c r="C1996">
        <v>3</v>
      </c>
      <c r="D1996">
        <v>2</v>
      </c>
      <c r="E1996">
        <v>1</v>
      </c>
      <c r="F1996">
        <v>4</v>
      </c>
      <c r="G1996">
        <v>5</v>
      </c>
      <c r="H1996" t="str">
        <f>IF(Demographics[[#This Row],[DOB]]&gt;10000000, TEXT(Demographics[[#This Row],[DOB]],0),CONCATENATE("0",TEXT(Demographics[[#This Row],[DOB]],0)))</f>
        <v>06091989</v>
      </c>
      <c r="I1996" s="4">
        <f ca="1">IFERROR((VALUE(TODAY()-DATE(RIGHT(Demographics[[#This Row],[DOB - Fixed]],4),MID(Demographics[[#This Row],[DOB - Fixed]],3,2),LEFT(Demographics[[#This Row],[DOB - Fixed]],2))))/365,0)</f>
        <v>34.027397260273972</v>
      </c>
      <c r="J1996">
        <f>VLOOKUP(Demographics[[#This Row],[INCOME LEVEL]],Income[],4,FALSE)</f>
        <v>175</v>
      </c>
      <c r="K1996">
        <f>IFERROR(Demographics[[#This Row],[Total monthly income]]/Demographics[[#This Row],[FAMILY SIZE]], 0)</f>
        <v>58.333333333333336</v>
      </c>
    </row>
    <row r="1997" spans="1:11" x14ac:dyDescent="0.2">
      <c r="A1997">
        <v>906004</v>
      </c>
      <c r="B1997">
        <v>22061986</v>
      </c>
      <c r="C1997">
        <v>3</v>
      </c>
      <c r="D1997">
        <v>1</v>
      </c>
      <c r="E1997">
        <v>3</v>
      </c>
      <c r="F1997">
        <v>9</v>
      </c>
      <c r="G1997">
        <v>5</v>
      </c>
      <c r="H1997" t="str">
        <f>IF(Demographics[[#This Row],[DOB]]&gt;10000000, TEXT(Demographics[[#This Row],[DOB]],0),CONCATENATE("0",TEXT(Demographics[[#This Row],[DOB]],0)))</f>
        <v>22061986</v>
      </c>
      <c r="I1997" s="4">
        <f ca="1">IFERROR((VALUE(TODAY()-DATE(RIGHT(Demographics[[#This Row],[DOB - Fixed]],4),MID(Demographics[[#This Row],[DOB - Fixed]],3,2),LEFT(Demographics[[#This Row],[DOB - Fixed]],2))))/365,0)</f>
        <v>37.238356164383561</v>
      </c>
      <c r="J1997">
        <f>VLOOKUP(Demographics[[#This Row],[INCOME LEVEL]],Income[],4,FALSE)</f>
        <v>1397.5</v>
      </c>
      <c r="K1997">
        <f>IFERROR(Demographics[[#This Row],[Total monthly income]]/Demographics[[#This Row],[FAMILY SIZE]], 0)</f>
        <v>465.83333333333331</v>
      </c>
    </row>
    <row r="1998" spans="1:11" x14ac:dyDescent="0.2">
      <c r="A1998">
        <v>11385790</v>
      </c>
      <c r="B1998">
        <v>27091988</v>
      </c>
      <c r="C1998">
        <v>6</v>
      </c>
      <c r="D1998">
        <v>1</v>
      </c>
      <c r="E1998">
        <v>1</v>
      </c>
      <c r="F1998">
        <v>4</v>
      </c>
      <c r="G1998">
        <v>3</v>
      </c>
      <c r="H1998" t="str">
        <f>IF(Demographics[[#This Row],[DOB]]&gt;10000000, TEXT(Demographics[[#This Row],[DOB]],0),CONCATENATE("0",TEXT(Demographics[[#This Row],[DOB]],0)))</f>
        <v>27091988</v>
      </c>
      <c r="I1998" s="4">
        <f ca="1">IFERROR((VALUE(TODAY()-DATE(RIGHT(Demographics[[#This Row],[DOB - Fixed]],4),MID(Demographics[[#This Row],[DOB - Fixed]],3,2),LEFT(Demographics[[#This Row],[DOB - Fixed]],2))))/365,0)</f>
        <v>34.969863013698628</v>
      </c>
      <c r="J1998">
        <f>VLOOKUP(Demographics[[#This Row],[INCOME LEVEL]],Income[],4,FALSE)</f>
        <v>175</v>
      </c>
      <c r="K1998">
        <f>IFERROR(Demographics[[#This Row],[Total monthly income]]/Demographics[[#This Row],[FAMILY SIZE]], 0)</f>
        <v>29.166666666666668</v>
      </c>
    </row>
    <row r="1999" spans="1:11" x14ac:dyDescent="0.2">
      <c r="A1999">
        <v>17174440</v>
      </c>
      <c r="B1999">
        <v>17031989</v>
      </c>
      <c r="C1999">
        <v>6</v>
      </c>
      <c r="D1999">
        <v>1</v>
      </c>
      <c r="E1999">
        <v>1</v>
      </c>
      <c r="F1999">
        <v>0</v>
      </c>
      <c r="G1999">
        <v>0</v>
      </c>
      <c r="H1999" t="str">
        <f>IF(Demographics[[#This Row],[DOB]]&gt;10000000, TEXT(Demographics[[#This Row],[DOB]],0),CONCATENATE("0",TEXT(Demographics[[#This Row],[DOB]],0)))</f>
        <v>17031989</v>
      </c>
      <c r="I1999" s="4">
        <f ca="1">IFERROR((VALUE(TODAY()-DATE(RIGHT(Demographics[[#This Row],[DOB - Fixed]],4),MID(Demographics[[#This Row],[DOB - Fixed]],3,2),LEFT(Demographics[[#This Row],[DOB - Fixed]],2))))/365,0)</f>
        <v>34.5013698630137</v>
      </c>
      <c r="J1999">
        <f>VLOOKUP(Demographics[[#This Row],[INCOME LEVEL]],Income[],4,FALSE)</f>
        <v>175</v>
      </c>
      <c r="K1999">
        <f>IFERROR(Demographics[[#This Row],[Total monthly income]]/Demographics[[#This Row],[FAMILY SIZE]], 0)</f>
        <v>29.166666666666668</v>
      </c>
    </row>
    <row r="2000" spans="1:11" x14ac:dyDescent="0.2">
      <c r="A2000">
        <v>7561160</v>
      </c>
      <c r="B2000">
        <v>11041989</v>
      </c>
      <c r="C2000">
        <v>5</v>
      </c>
      <c r="D2000">
        <v>1</v>
      </c>
      <c r="E2000">
        <v>1</v>
      </c>
      <c r="F2000">
        <v>2</v>
      </c>
      <c r="G2000">
        <v>6</v>
      </c>
      <c r="H2000" t="str">
        <f>IF(Demographics[[#This Row],[DOB]]&gt;10000000, TEXT(Demographics[[#This Row],[DOB]],0),CONCATENATE("0",TEXT(Demographics[[#This Row],[DOB]],0)))</f>
        <v>11041989</v>
      </c>
      <c r="I2000" s="4">
        <f ca="1">IFERROR((VALUE(TODAY()-DATE(RIGHT(Demographics[[#This Row],[DOB - Fixed]],4),MID(Demographics[[#This Row],[DOB - Fixed]],3,2),LEFT(Demographics[[#This Row],[DOB - Fixed]],2))))/365,0)</f>
        <v>34.43287671232877</v>
      </c>
      <c r="J2000">
        <f>VLOOKUP(Demographics[[#This Row],[INCOME LEVEL]],Income[],4,FALSE)</f>
        <v>175</v>
      </c>
      <c r="K2000">
        <f>IFERROR(Demographics[[#This Row],[Total monthly income]]/Demographics[[#This Row],[FAMILY SIZE]], 0)</f>
        <v>35</v>
      </c>
    </row>
    <row r="2001" spans="1:11" x14ac:dyDescent="0.2">
      <c r="A2001">
        <v>10692785</v>
      </c>
      <c r="B2001">
        <v>25101988</v>
      </c>
      <c r="C2001">
        <v>4</v>
      </c>
      <c r="D2001">
        <v>1</v>
      </c>
      <c r="E2001">
        <v>2</v>
      </c>
      <c r="F2001">
        <v>3</v>
      </c>
      <c r="G2001">
        <v>9</v>
      </c>
      <c r="H2001" t="str">
        <f>IF(Demographics[[#This Row],[DOB]]&gt;10000000, TEXT(Demographics[[#This Row],[DOB]],0),CONCATENATE("0",TEXT(Demographics[[#This Row],[DOB]],0)))</f>
        <v>25101988</v>
      </c>
      <c r="I2001" s="4">
        <f ca="1">IFERROR((VALUE(TODAY()-DATE(RIGHT(Demographics[[#This Row],[DOB - Fixed]],4),MID(Demographics[[#This Row],[DOB - Fixed]],3,2),LEFT(Demographics[[#This Row],[DOB - Fixed]],2))))/365,0)</f>
        <v>34.893150684931506</v>
      </c>
      <c r="J2001">
        <f>VLOOKUP(Demographics[[#This Row],[INCOME LEVEL]],Income[],4,FALSE)</f>
        <v>697.5</v>
      </c>
      <c r="K2001">
        <f>IFERROR(Demographics[[#This Row],[Total monthly income]]/Demographics[[#This Row],[FAMILY SIZE]], 0)</f>
        <v>174.375</v>
      </c>
    </row>
    <row r="2002" spans="1:11" x14ac:dyDescent="0.2">
      <c r="A2002">
        <v>24476470</v>
      </c>
      <c r="B2002">
        <v>25101988</v>
      </c>
      <c r="C2002">
        <v>4</v>
      </c>
      <c r="D2002">
        <v>1</v>
      </c>
      <c r="E2002">
        <v>2</v>
      </c>
      <c r="F2002">
        <v>3</v>
      </c>
      <c r="G2002">
        <v>9</v>
      </c>
      <c r="H2002" t="str">
        <f>IF(Demographics[[#This Row],[DOB]]&gt;10000000, TEXT(Demographics[[#This Row],[DOB]],0),CONCATENATE("0",TEXT(Demographics[[#This Row],[DOB]],0)))</f>
        <v>25101988</v>
      </c>
      <c r="I2002" s="4">
        <f ca="1">IFERROR((VALUE(TODAY()-DATE(RIGHT(Demographics[[#This Row],[DOB - Fixed]],4),MID(Demographics[[#This Row],[DOB - Fixed]],3,2),LEFT(Demographics[[#This Row],[DOB - Fixed]],2))))/365,0)</f>
        <v>34.893150684931506</v>
      </c>
      <c r="J2002">
        <f>VLOOKUP(Demographics[[#This Row],[INCOME LEVEL]],Income[],4,FALSE)</f>
        <v>697.5</v>
      </c>
      <c r="K2002">
        <f>IFERROR(Demographics[[#This Row],[Total monthly income]]/Demographics[[#This Row],[FAMILY SIZE]], 0)</f>
        <v>174.375</v>
      </c>
    </row>
    <row r="2003" spans="1:11" x14ac:dyDescent="0.2">
      <c r="A2003">
        <v>24577945</v>
      </c>
      <c r="B2003">
        <v>22051989</v>
      </c>
      <c r="C2003">
        <v>0</v>
      </c>
      <c r="D2003">
        <v>0</v>
      </c>
      <c r="E2003">
        <v>1</v>
      </c>
      <c r="F2003">
        <v>0</v>
      </c>
      <c r="G2003">
        <v>0</v>
      </c>
      <c r="H2003" t="str">
        <f>IF(Demographics[[#This Row],[DOB]]&gt;10000000, TEXT(Demographics[[#This Row],[DOB]],0),CONCATENATE("0",TEXT(Demographics[[#This Row],[DOB]],0)))</f>
        <v>22051989</v>
      </c>
      <c r="I2003" s="4">
        <f ca="1">IFERROR((VALUE(TODAY()-DATE(RIGHT(Demographics[[#This Row],[DOB - Fixed]],4),MID(Demographics[[#This Row],[DOB - Fixed]],3,2),LEFT(Demographics[[#This Row],[DOB - Fixed]],2))))/365,0)</f>
        <v>34.320547945205476</v>
      </c>
      <c r="J2003">
        <f>VLOOKUP(Demographics[[#This Row],[INCOME LEVEL]],Income[],4,FALSE)</f>
        <v>175</v>
      </c>
      <c r="K2003">
        <f>IFERROR(Demographics[[#This Row],[Total monthly income]]/Demographics[[#This Row],[FAMILY SIZE]], 0)</f>
        <v>0</v>
      </c>
    </row>
    <row r="2004" spans="1:11" x14ac:dyDescent="0.2">
      <c r="A2004">
        <v>16914536</v>
      </c>
      <c r="B2004">
        <v>12021989</v>
      </c>
      <c r="C2004">
        <v>5</v>
      </c>
      <c r="D2004">
        <v>1</v>
      </c>
      <c r="E2004">
        <v>1</v>
      </c>
      <c r="F2004">
        <v>5</v>
      </c>
      <c r="G2004">
        <v>5</v>
      </c>
      <c r="H2004" t="str">
        <f>IF(Demographics[[#This Row],[DOB]]&gt;10000000, TEXT(Demographics[[#This Row],[DOB]],0),CONCATENATE("0",TEXT(Demographics[[#This Row],[DOB]],0)))</f>
        <v>12021989</v>
      </c>
      <c r="I2004" s="4">
        <f ca="1">IFERROR((VALUE(TODAY()-DATE(RIGHT(Demographics[[#This Row],[DOB - Fixed]],4),MID(Demographics[[#This Row],[DOB - Fixed]],3,2),LEFT(Demographics[[#This Row],[DOB - Fixed]],2))))/365,0)</f>
        <v>34.591780821917808</v>
      </c>
      <c r="J2004">
        <f>VLOOKUP(Demographics[[#This Row],[INCOME LEVEL]],Income[],4,FALSE)</f>
        <v>175</v>
      </c>
      <c r="K2004">
        <f>IFERROR(Demographics[[#This Row],[Total monthly income]]/Demographics[[#This Row],[FAMILY SIZE]], 0)</f>
        <v>35</v>
      </c>
    </row>
    <row r="2005" spans="1:11" x14ac:dyDescent="0.2">
      <c r="A2005">
        <v>10421249</v>
      </c>
      <c r="B2005">
        <v>26111985</v>
      </c>
      <c r="C2005">
        <v>5</v>
      </c>
      <c r="D2005">
        <v>1</v>
      </c>
      <c r="E2005">
        <v>1</v>
      </c>
      <c r="F2005">
        <v>2</v>
      </c>
      <c r="G2005">
        <v>2</v>
      </c>
      <c r="H2005" t="str">
        <f>IF(Demographics[[#This Row],[DOB]]&gt;10000000, TEXT(Demographics[[#This Row],[DOB]],0),CONCATENATE("0",TEXT(Demographics[[#This Row],[DOB]],0)))</f>
        <v>26111985</v>
      </c>
      <c r="I2005" s="4">
        <f ca="1">IFERROR((VALUE(TODAY()-DATE(RIGHT(Demographics[[#This Row],[DOB - Fixed]],4),MID(Demographics[[#This Row],[DOB - Fixed]],3,2),LEFT(Demographics[[#This Row],[DOB - Fixed]],2))))/365,0)</f>
        <v>37.80821917808219</v>
      </c>
      <c r="J2005">
        <f>VLOOKUP(Demographics[[#This Row],[INCOME LEVEL]],Income[],4,FALSE)</f>
        <v>175</v>
      </c>
      <c r="K2005">
        <f>IFERROR(Demographics[[#This Row],[Total monthly income]]/Demographics[[#This Row],[FAMILY SIZE]], 0)</f>
        <v>35</v>
      </c>
    </row>
    <row r="2006" spans="1:11" x14ac:dyDescent="0.2">
      <c r="A2006">
        <v>23010804</v>
      </c>
      <c r="B2006">
        <v>1111988</v>
      </c>
      <c r="C2006">
        <v>4</v>
      </c>
      <c r="D2006">
        <v>2</v>
      </c>
      <c r="E2006">
        <v>4</v>
      </c>
      <c r="F2006">
        <v>9</v>
      </c>
      <c r="G2006">
        <v>9</v>
      </c>
      <c r="H2006" t="str">
        <f>IF(Demographics[[#This Row],[DOB]]&gt;10000000, TEXT(Demographics[[#This Row],[DOB]],0),CONCATENATE("0",TEXT(Demographics[[#This Row],[DOB]],0)))</f>
        <v>01111988</v>
      </c>
      <c r="I2006" s="4">
        <f ca="1">IFERROR((VALUE(TODAY()-DATE(RIGHT(Demographics[[#This Row],[DOB - Fixed]],4),MID(Demographics[[#This Row],[DOB - Fixed]],3,2),LEFT(Demographics[[#This Row],[DOB - Fixed]],2))))/365,0)</f>
        <v>34.873972602739727</v>
      </c>
      <c r="J2006">
        <f>VLOOKUP(Demographics[[#This Row],[INCOME LEVEL]],Income[],4,FALSE)</f>
        <v>2100</v>
      </c>
      <c r="K2006">
        <f>IFERROR(Demographics[[#This Row],[Total monthly income]]/Demographics[[#This Row],[FAMILY SIZE]], 0)</f>
        <v>525</v>
      </c>
    </row>
    <row r="2007" spans="1:11" x14ac:dyDescent="0.2">
      <c r="A2007">
        <v>11467916</v>
      </c>
      <c r="B2007">
        <v>28031989</v>
      </c>
      <c r="C2007">
        <v>7</v>
      </c>
      <c r="D2007">
        <v>2</v>
      </c>
      <c r="E2007">
        <v>2</v>
      </c>
      <c r="F2007">
        <v>0</v>
      </c>
      <c r="G2007">
        <v>7</v>
      </c>
      <c r="H2007" t="str">
        <f>IF(Demographics[[#This Row],[DOB]]&gt;10000000, TEXT(Demographics[[#This Row],[DOB]],0),CONCATENATE("0",TEXT(Demographics[[#This Row],[DOB]],0)))</f>
        <v>28031989</v>
      </c>
      <c r="I2007" s="4">
        <f ca="1">IFERROR((VALUE(TODAY()-DATE(RIGHT(Demographics[[#This Row],[DOB - Fixed]],4),MID(Demographics[[#This Row],[DOB - Fixed]],3,2),LEFT(Demographics[[#This Row],[DOB - Fixed]],2))))/365,0)</f>
        <v>34.471232876712328</v>
      </c>
      <c r="J2007">
        <f>VLOOKUP(Demographics[[#This Row],[INCOME LEVEL]],Income[],4,FALSE)</f>
        <v>697.5</v>
      </c>
      <c r="K2007">
        <f>IFERROR(Demographics[[#This Row],[Total monthly income]]/Demographics[[#This Row],[FAMILY SIZE]], 0)</f>
        <v>99.642857142857139</v>
      </c>
    </row>
    <row r="2008" spans="1:11" x14ac:dyDescent="0.2">
      <c r="A2008">
        <v>689774</v>
      </c>
      <c r="B2008">
        <v>8021989</v>
      </c>
      <c r="C2008">
        <v>4</v>
      </c>
      <c r="D2008">
        <v>0</v>
      </c>
      <c r="E2008">
        <v>1</v>
      </c>
      <c r="F2008">
        <v>3</v>
      </c>
      <c r="G2008">
        <v>5</v>
      </c>
      <c r="H2008" t="str">
        <f>IF(Demographics[[#This Row],[DOB]]&gt;10000000, TEXT(Demographics[[#This Row],[DOB]],0),CONCATENATE("0",TEXT(Demographics[[#This Row],[DOB]],0)))</f>
        <v>08021989</v>
      </c>
      <c r="I2008" s="4">
        <f ca="1">IFERROR((VALUE(TODAY()-DATE(RIGHT(Demographics[[#This Row],[DOB - Fixed]],4),MID(Demographics[[#This Row],[DOB - Fixed]],3,2),LEFT(Demographics[[#This Row],[DOB - Fixed]],2))))/365,0)</f>
        <v>34.602739726027394</v>
      </c>
      <c r="J2008">
        <f>VLOOKUP(Demographics[[#This Row],[INCOME LEVEL]],Income[],4,FALSE)</f>
        <v>175</v>
      </c>
      <c r="K2008">
        <f>IFERROR(Demographics[[#This Row],[Total monthly income]]/Demographics[[#This Row],[FAMILY SIZE]], 0)</f>
        <v>43.75</v>
      </c>
    </row>
    <row r="2009" spans="1:11" x14ac:dyDescent="0.2">
      <c r="A2009">
        <v>19941390</v>
      </c>
      <c r="B2009">
        <v>8081988</v>
      </c>
      <c r="C2009">
        <v>0</v>
      </c>
      <c r="D2009">
        <v>0</v>
      </c>
      <c r="E2009">
        <v>1</v>
      </c>
      <c r="F2009">
        <v>0</v>
      </c>
      <c r="G2009">
        <v>0</v>
      </c>
      <c r="H2009" t="str">
        <f>IF(Demographics[[#This Row],[DOB]]&gt;10000000, TEXT(Demographics[[#This Row],[DOB]],0),CONCATENATE("0",TEXT(Demographics[[#This Row],[DOB]],0)))</f>
        <v>08081988</v>
      </c>
      <c r="I2009" s="4">
        <f ca="1">IFERROR((VALUE(TODAY()-DATE(RIGHT(Demographics[[#This Row],[DOB - Fixed]],4),MID(Demographics[[#This Row],[DOB - Fixed]],3,2),LEFT(Demographics[[#This Row],[DOB - Fixed]],2))))/365,0)</f>
        <v>35.106849315068494</v>
      </c>
      <c r="J2009">
        <f>VLOOKUP(Demographics[[#This Row],[INCOME LEVEL]],Income[],4,FALSE)</f>
        <v>175</v>
      </c>
      <c r="K2009">
        <f>IFERROR(Demographics[[#This Row],[Total monthly income]]/Demographics[[#This Row],[FAMILY SIZE]], 0)</f>
        <v>0</v>
      </c>
    </row>
    <row r="2010" spans="1:11" x14ac:dyDescent="0.2">
      <c r="A2010">
        <v>23504764</v>
      </c>
      <c r="B2010">
        <v>23041987</v>
      </c>
      <c r="C2010">
        <v>4</v>
      </c>
      <c r="D2010">
        <v>1</v>
      </c>
      <c r="E2010">
        <v>1</v>
      </c>
      <c r="F2010">
        <v>0</v>
      </c>
      <c r="G2010">
        <v>4</v>
      </c>
      <c r="H2010" t="str">
        <f>IF(Demographics[[#This Row],[DOB]]&gt;10000000, TEXT(Demographics[[#This Row],[DOB]],0),CONCATENATE("0",TEXT(Demographics[[#This Row],[DOB]],0)))</f>
        <v>23041987</v>
      </c>
      <c r="I2010" s="4">
        <f ca="1">IFERROR((VALUE(TODAY()-DATE(RIGHT(Demographics[[#This Row],[DOB - Fixed]],4),MID(Demographics[[#This Row],[DOB - Fixed]],3,2),LEFT(Demographics[[#This Row],[DOB - Fixed]],2))))/365,0)</f>
        <v>36.402739726027399</v>
      </c>
      <c r="J2010">
        <f>VLOOKUP(Demographics[[#This Row],[INCOME LEVEL]],Income[],4,FALSE)</f>
        <v>175</v>
      </c>
      <c r="K2010">
        <f>IFERROR(Demographics[[#This Row],[Total monthly income]]/Demographics[[#This Row],[FAMILY SIZE]], 0)</f>
        <v>43.75</v>
      </c>
    </row>
    <row r="2011" spans="1:11" x14ac:dyDescent="0.2">
      <c r="A2011">
        <v>3414120</v>
      </c>
      <c r="B2011">
        <v>3041989</v>
      </c>
      <c r="C2011">
        <v>9</v>
      </c>
      <c r="D2011">
        <v>3</v>
      </c>
      <c r="E2011">
        <v>1</v>
      </c>
      <c r="F2011">
        <v>3</v>
      </c>
      <c r="G2011">
        <v>4</v>
      </c>
      <c r="H2011" t="str">
        <f>IF(Demographics[[#This Row],[DOB]]&gt;10000000, TEXT(Demographics[[#This Row],[DOB]],0),CONCATENATE("0",TEXT(Demographics[[#This Row],[DOB]],0)))</f>
        <v>03041989</v>
      </c>
      <c r="I2011" s="4">
        <f ca="1">IFERROR((VALUE(TODAY()-DATE(RIGHT(Demographics[[#This Row],[DOB - Fixed]],4),MID(Demographics[[#This Row],[DOB - Fixed]],3,2),LEFT(Demographics[[#This Row],[DOB - Fixed]],2))))/365,0)</f>
        <v>34.454794520547942</v>
      </c>
      <c r="J2011">
        <f>VLOOKUP(Demographics[[#This Row],[INCOME LEVEL]],Income[],4,FALSE)</f>
        <v>175</v>
      </c>
      <c r="K2011">
        <f>IFERROR(Demographics[[#This Row],[Total monthly income]]/Demographics[[#This Row],[FAMILY SIZE]], 0)</f>
        <v>19.444444444444443</v>
      </c>
    </row>
    <row r="2012" spans="1:11" x14ac:dyDescent="0.2">
      <c r="A2012">
        <v>15407917</v>
      </c>
      <c r="B2012">
        <v>31031989</v>
      </c>
      <c r="C2012">
        <v>2</v>
      </c>
      <c r="D2012">
        <v>0</v>
      </c>
      <c r="E2012">
        <v>1</v>
      </c>
      <c r="F2012">
        <v>0</v>
      </c>
      <c r="G2012">
        <v>5</v>
      </c>
      <c r="H2012" t="str">
        <f>IF(Demographics[[#This Row],[DOB]]&gt;10000000, TEXT(Demographics[[#This Row],[DOB]],0),CONCATENATE("0",TEXT(Demographics[[#This Row],[DOB]],0)))</f>
        <v>31031989</v>
      </c>
      <c r="I2012" s="4">
        <f ca="1">IFERROR((VALUE(TODAY()-DATE(RIGHT(Demographics[[#This Row],[DOB - Fixed]],4),MID(Demographics[[#This Row],[DOB - Fixed]],3,2),LEFT(Demographics[[#This Row],[DOB - Fixed]],2))))/365,0)</f>
        <v>34.463013698630135</v>
      </c>
      <c r="J2012">
        <f>VLOOKUP(Demographics[[#This Row],[INCOME LEVEL]],Income[],4,FALSE)</f>
        <v>175</v>
      </c>
      <c r="K2012">
        <f>IFERROR(Demographics[[#This Row],[Total monthly income]]/Demographics[[#This Row],[FAMILY SIZE]], 0)</f>
        <v>87.5</v>
      </c>
    </row>
    <row r="2013" spans="1:11" x14ac:dyDescent="0.2">
      <c r="A2013">
        <v>17459203</v>
      </c>
      <c r="B2013">
        <v>15101988</v>
      </c>
      <c r="C2013">
        <v>0</v>
      </c>
      <c r="D2013">
        <v>0</v>
      </c>
      <c r="E2013">
        <v>1</v>
      </c>
      <c r="F2013">
        <v>0</v>
      </c>
      <c r="G2013">
        <v>0</v>
      </c>
      <c r="H2013" t="str">
        <f>IF(Demographics[[#This Row],[DOB]]&gt;10000000, TEXT(Demographics[[#This Row],[DOB]],0),CONCATENATE("0",TEXT(Demographics[[#This Row],[DOB]],0)))</f>
        <v>15101988</v>
      </c>
      <c r="I2013" s="4">
        <f ca="1">IFERROR((VALUE(TODAY()-DATE(RIGHT(Demographics[[#This Row],[DOB - Fixed]],4),MID(Demographics[[#This Row],[DOB - Fixed]],3,2),LEFT(Demographics[[#This Row],[DOB - Fixed]],2))))/365,0)</f>
        <v>34.920547945205477</v>
      </c>
      <c r="J2013">
        <f>VLOOKUP(Demographics[[#This Row],[INCOME LEVEL]],Income[],4,FALSE)</f>
        <v>175</v>
      </c>
      <c r="K2013">
        <f>IFERROR(Demographics[[#This Row],[Total monthly income]]/Demographics[[#This Row],[FAMILY SIZE]], 0)</f>
        <v>0</v>
      </c>
    </row>
    <row r="2014" spans="1:11" x14ac:dyDescent="0.2">
      <c r="A2014">
        <v>17719244</v>
      </c>
      <c r="B2014">
        <v>25081988</v>
      </c>
      <c r="C2014">
        <v>4</v>
      </c>
      <c r="D2014">
        <v>1</v>
      </c>
      <c r="E2014">
        <v>1</v>
      </c>
      <c r="F2014">
        <v>5</v>
      </c>
      <c r="G2014">
        <v>2</v>
      </c>
      <c r="H2014" t="str">
        <f>IF(Demographics[[#This Row],[DOB]]&gt;10000000, TEXT(Demographics[[#This Row],[DOB]],0),CONCATENATE("0",TEXT(Demographics[[#This Row],[DOB]],0)))</f>
        <v>25081988</v>
      </c>
      <c r="I2014" s="4">
        <f ca="1">IFERROR((VALUE(TODAY()-DATE(RIGHT(Demographics[[#This Row],[DOB - Fixed]],4),MID(Demographics[[#This Row],[DOB - Fixed]],3,2),LEFT(Demographics[[#This Row],[DOB - Fixed]],2))))/365,0)</f>
        <v>35.060273972602737</v>
      </c>
      <c r="J2014">
        <f>VLOOKUP(Demographics[[#This Row],[INCOME LEVEL]],Income[],4,FALSE)</f>
        <v>175</v>
      </c>
      <c r="K2014">
        <f>IFERROR(Demographics[[#This Row],[Total monthly income]]/Demographics[[#This Row],[FAMILY SIZE]], 0)</f>
        <v>43.75</v>
      </c>
    </row>
    <row r="2015" spans="1:11" x14ac:dyDescent="0.2">
      <c r="A2015">
        <v>5919195</v>
      </c>
      <c r="B2015">
        <v>5031989</v>
      </c>
      <c r="C2015">
        <v>7</v>
      </c>
      <c r="D2015">
        <v>0</v>
      </c>
      <c r="E2015">
        <v>1</v>
      </c>
      <c r="F2015">
        <v>2</v>
      </c>
      <c r="G2015">
        <v>5</v>
      </c>
      <c r="H2015" t="str">
        <f>IF(Demographics[[#This Row],[DOB]]&gt;10000000, TEXT(Demographics[[#This Row],[DOB]],0),CONCATENATE("0",TEXT(Demographics[[#This Row],[DOB]],0)))</f>
        <v>05031989</v>
      </c>
      <c r="I2015" s="4">
        <f ca="1">IFERROR((VALUE(TODAY()-DATE(RIGHT(Demographics[[#This Row],[DOB - Fixed]],4),MID(Demographics[[#This Row],[DOB - Fixed]],3,2),LEFT(Demographics[[#This Row],[DOB - Fixed]],2))))/365,0)</f>
        <v>34.534246575342465</v>
      </c>
      <c r="J2015">
        <f>VLOOKUP(Demographics[[#This Row],[INCOME LEVEL]],Income[],4,FALSE)</f>
        <v>175</v>
      </c>
      <c r="K2015">
        <f>IFERROR(Demographics[[#This Row],[Total monthly income]]/Demographics[[#This Row],[FAMILY SIZE]], 0)</f>
        <v>25</v>
      </c>
    </row>
    <row r="2016" spans="1:11" x14ac:dyDescent="0.2">
      <c r="A2016">
        <v>4519220</v>
      </c>
      <c r="B2016">
        <v>5031989</v>
      </c>
      <c r="C2016">
        <v>7</v>
      </c>
      <c r="D2016">
        <v>0</v>
      </c>
      <c r="E2016">
        <v>1</v>
      </c>
      <c r="F2016">
        <v>2</v>
      </c>
      <c r="G2016">
        <v>5</v>
      </c>
      <c r="H2016" t="str">
        <f>IF(Demographics[[#This Row],[DOB]]&gt;10000000, TEXT(Demographics[[#This Row],[DOB]],0),CONCATENATE("0",TEXT(Demographics[[#This Row],[DOB]],0)))</f>
        <v>05031989</v>
      </c>
      <c r="I2016" s="4">
        <f ca="1">IFERROR((VALUE(TODAY()-DATE(RIGHT(Demographics[[#This Row],[DOB - Fixed]],4),MID(Demographics[[#This Row],[DOB - Fixed]],3,2),LEFT(Demographics[[#This Row],[DOB - Fixed]],2))))/365,0)</f>
        <v>34.534246575342465</v>
      </c>
      <c r="J2016">
        <f>VLOOKUP(Demographics[[#This Row],[INCOME LEVEL]],Income[],4,FALSE)</f>
        <v>175</v>
      </c>
      <c r="K2016">
        <f>IFERROR(Demographics[[#This Row],[Total monthly income]]/Demographics[[#This Row],[FAMILY SIZE]], 0)</f>
        <v>25</v>
      </c>
    </row>
    <row r="2017" spans="1:11" x14ac:dyDescent="0.2">
      <c r="A2017">
        <v>24746756</v>
      </c>
      <c r="B2017">
        <v>10091988</v>
      </c>
      <c r="C2017">
        <v>2</v>
      </c>
      <c r="D2017">
        <v>0</v>
      </c>
      <c r="E2017">
        <v>1</v>
      </c>
      <c r="F2017">
        <v>8</v>
      </c>
      <c r="G2017">
        <v>5</v>
      </c>
      <c r="H2017" t="str">
        <f>IF(Demographics[[#This Row],[DOB]]&gt;10000000, TEXT(Demographics[[#This Row],[DOB]],0),CONCATENATE("0",TEXT(Demographics[[#This Row],[DOB]],0)))</f>
        <v>10091988</v>
      </c>
      <c r="I2017" s="4">
        <f ca="1">IFERROR((VALUE(TODAY()-DATE(RIGHT(Demographics[[#This Row],[DOB - Fixed]],4),MID(Demographics[[#This Row],[DOB - Fixed]],3,2),LEFT(Demographics[[#This Row],[DOB - Fixed]],2))))/365,0)</f>
        <v>35.016438356164386</v>
      </c>
      <c r="J2017">
        <f>VLOOKUP(Demographics[[#This Row],[INCOME LEVEL]],Income[],4,FALSE)</f>
        <v>175</v>
      </c>
      <c r="K2017">
        <f>IFERROR(Demographics[[#This Row],[Total monthly income]]/Demographics[[#This Row],[FAMILY SIZE]], 0)</f>
        <v>87.5</v>
      </c>
    </row>
    <row r="2018" spans="1:11" x14ac:dyDescent="0.2">
      <c r="A2018">
        <v>2518529</v>
      </c>
      <c r="B2018">
        <v>20051988</v>
      </c>
      <c r="C2018">
        <v>5</v>
      </c>
      <c r="D2018">
        <v>1</v>
      </c>
      <c r="E2018">
        <v>1</v>
      </c>
      <c r="F2018">
        <v>4</v>
      </c>
      <c r="G2018">
        <v>4</v>
      </c>
      <c r="H2018" t="str">
        <f>IF(Demographics[[#This Row],[DOB]]&gt;10000000, TEXT(Demographics[[#This Row],[DOB]],0),CONCATENATE("0",TEXT(Demographics[[#This Row],[DOB]],0)))</f>
        <v>20051988</v>
      </c>
      <c r="I2018" s="4">
        <f ca="1">IFERROR((VALUE(TODAY()-DATE(RIGHT(Demographics[[#This Row],[DOB - Fixed]],4),MID(Demographics[[#This Row],[DOB - Fixed]],3,2),LEFT(Demographics[[#This Row],[DOB - Fixed]],2))))/365,0)</f>
        <v>35.326027397260276</v>
      </c>
      <c r="J2018">
        <f>VLOOKUP(Demographics[[#This Row],[INCOME LEVEL]],Income[],4,FALSE)</f>
        <v>175</v>
      </c>
      <c r="K2018">
        <f>IFERROR(Demographics[[#This Row],[Total monthly income]]/Demographics[[#This Row],[FAMILY SIZE]], 0)</f>
        <v>35</v>
      </c>
    </row>
    <row r="2019" spans="1:11" x14ac:dyDescent="0.2">
      <c r="A2019">
        <v>3867763</v>
      </c>
      <c r="B2019">
        <v>19101988</v>
      </c>
      <c r="C2019">
        <v>7</v>
      </c>
      <c r="D2019">
        <v>1</v>
      </c>
      <c r="E2019">
        <v>1</v>
      </c>
      <c r="F2019">
        <v>2</v>
      </c>
      <c r="G2019">
        <v>4</v>
      </c>
      <c r="H2019" t="str">
        <f>IF(Demographics[[#This Row],[DOB]]&gt;10000000, TEXT(Demographics[[#This Row],[DOB]],0),CONCATENATE("0",TEXT(Demographics[[#This Row],[DOB]],0)))</f>
        <v>19101988</v>
      </c>
      <c r="I2019" s="4">
        <f ca="1">IFERROR((VALUE(TODAY()-DATE(RIGHT(Demographics[[#This Row],[DOB - Fixed]],4),MID(Demographics[[#This Row],[DOB - Fixed]],3,2),LEFT(Demographics[[#This Row],[DOB - Fixed]],2))))/365,0)</f>
        <v>34.909589041095892</v>
      </c>
      <c r="J2019">
        <f>VLOOKUP(Demographics[[#This Row],[INCOME LEVEL]],Income[],4,FALSE)</f>
        <v>175</v>
      </c>
      <c r="K2019">
        <f>IFERROR(Demographics[[#This Row],[Total monthly income]]/Demographics[[#This Row],[FAMILY SIZE]], 0)</f>
        <v>25</v>
      </c>
    </row>
    <row r="2020" spans="1:11" x14ac:dyDescent="0.2">
      <c r="A2020">
        <v>11667985</v>
      </c>
      <c r="B2020">
        <v>24061985</v>
      </c>
      <c r="C2020">
        <v>3</v>
      </c>
      <c r="D2020">
        <v>1</v>
      </c>
      <c r="E2020">
        <v>1</v>
      </c>
      <c r="F2020">
        <v>8</v>
      </c>
      <c r="G2020">
        <v>3</v>
      </c>
      <c r="H2020" t="str">
        <f>IF(Demographics[[#This Row],[DOB]]&gt;10000000, TEXT(Demographics[[#This Row],[DOB]],0),CONCATENATE("0",TEXT(Demographics[[#This Row],[DOB]],0)))</f>
        <v>24061985</v>
      </c>
      <c r="I2020" s="4">
        <f ca="1">IFERROR((VALUE(TODAY()-DATE(RIGHT(Demographics[[#This Row],[DOB - Fixed]],4),MID(Demographics[[#This Row],[DOB - Fixed]],3,2),LEFT(Demographics[[#This Row],[DOB - Fixed]],2))))/365,0)</f>
        <v>38.232876712328768</v>
      </c>
      <c r="J2020">
        <f>VLOOKUP(Demographics[[#This Row],[INCOME LEVEL]],Income[],4,FALSE)</f>
        <v>175</v>
      </c>
      <c r="K2020">
        <f>IFERROR(Demographics[[#This Row],[Total monthly income]]/Demographics[[#This Row],[FAMILY SIZE]], 0)</f>
        <v>58.333333333333336</v>
      </c>
    </row>
    <row r="2021" spans="1:11" x14ac:dyDescent="0.2">
      <c r="A2021">
        <v>7181647</v>
      </c>
      <c r="B2021">
        <v>13061989</v>
      </c>
      <c r="C2021">
        <v>4</v>
      </c>
      <c r="D2021">
        <v>2</v>
      </c>
      <c r="E2021">
        <v>1</v>
      </c>
      <c r="F2021">
        <v>2</v>
      </c>
      <c r="G2021">
        <v>5</v>
      </c>
      <c r="H2021" t="str">
        <f>IF(Demographics[[#This Row],[DOB]]&gt;10000000, TEXT(Demographics[[#This Row],[DOB]],0),CONCATENATE("0",TEXT(Demographics[[#This Row],[DOB]],0)))</f>
        <v>13061989</v>
      </c>
      <c r="I2021" s="4">
        <f ca="1">IFERROR((VALUE(TODAY()-DATE(RIGHT(Demographics[[#This Row],[DOB - Fixed]],4),MID(Demographics[[#This Row],[DOB - Fixed]],3,2),LEFT(Demographics[[#This Row],[DOB - Fixed]],2))))/365,0)</f>
        <v>34.260273972602739</v>
      </c>
      <c r="J2021">
        <f>VLOOKUP(Demographics[[#This Row],[INCOME LEVEL]],Income[],4,FALSE)</f>
        <v>175</v>
      </c>
      <c r="K2021">
        <f>IFERROR(Demographics[[#This Row],[Total monthly income]]/Demographics[[#This Row],[FAMILY SIZE]], 0)</f>
        <v>43.75</v>
      </c>
    </row>
    <row r="2022" spans="1:11" x14ac:dyDescent="0.2">
      <c r="A2022">
        <v>11353505</v>
      </c>
      <c r="B2022">
        <v>14011989</v>
      </c>
      <c r="C2022">
        <v>4</v>
      </c>
      <c r="D2022">
        <v>2</v>
      </c>
      <c r="E2022">
        <v>1</v>
      </c>
      <c r="F2022">
        <v>5</v>
      </c>
      <c r="G2022">
        <v>5</v>
      </c>
      <c r="H2022" t="str">
        <f>IF(Demographics[[#This Row],[DOB]]&gt;10000000, TEXT(Demographics[[#This Row],[DOB]],0),CONCATENATE("0",TEXT(Demographics[[#This Row],[DOB]],0)))</f>
        <v>14011989</v>
      </c>
      <c r="I2022" s="4">
        <f ca="1">IFERROR((VALUE(TODAY()-DATE(RIGHT(Demographics[[#This Row],[DOB - Fixed]],4),MID(Demographics[[#This Row],[DOB - Fixed]],3,2),LEFT(Demographics[[#This Row],[DOB - Fixed]],2))))/365,0)</f>
        <v>34.671232876712331</v>
      </c>
      <c r="J2022">
        <f>VLOOKUP(Demographics[[#This Row],[INCOME LEVEL]],Income[],4,FALSE)</f>
        <v>175</v>
      </c>
      <c r="K2022">
        <f>IFERROR(Demographics[[#This Row],[Total monthly income]]/Demographics[[#This Row],[FAMILY SIZE]], 0)</f>
        <v>43.75</v>
      </c>
    </row>
    <row r="2023" spans="1:11" x14ac:dyDescent="0.2">
      <c r="A2023">
        <v>24544986</v>
      </c>
      <c r="B2023">
        <v>28021989</v>
      </c>
      <c r="C2023">
        <v>5</v>
      </c>
      <c r="D2023">
        <v>0</v>
      </c>
      <c r="E2023">
        <v>1</v>
      </c>
      <c r="F2023">
        <v>5</v>
      </c>
      <c r="G2023">
        <v>4</v>
      </c>
      <c r="H2023" t="str">
        <f>IF(Demographics[[#This Row],[DOB]]&gt;10000000, TEXT(Demographics[[#This Row],[DOB]],0),CONCATENATE("0",TEXT(Demographics[[#This Row],[DOB]],0)))</f>
        <v>28021989</v>
      </c>
      <c r="I2023" s="4">
        <f ca="1">IFERROR((VALUE(TODAY()-DATE(RIGHT(Demographics[[#This Row],[DOB - Fixed]],4),MID(Demographics[[#This Row],[DOB - Fixed]],3,2),LEFT(Demographics[[#This Row],[DOB - Fixed]],2))))/365,0)</f>
        <v>34.547945205479451</v>
      </c>
      <c r="J2023">
        <f>VLOOKUP(Demographics[[#This Row],[INCOME LEVEL]],Income[],4,FALSE)</f>
        <v>175</v>
      </c>
      <c r="K2023">
        <f>IFERROR(Demographics[[#This Row],[Total monthly income]]/Demographics[[#This Row],[FAMILY SIZE]], 0)</f>
        <v>35</v>
      </c>
    </row>
    <row r="2024" spans="1:11" x14ac:dyDescent="0.2">
      <c r="A2024">
        <v>23477080</v>
      </c>
      <c r="B2024">
        <v>26121988</v>
      </c>
      <c r="C2024">
        <v>5</v>
      </c>
      <c r="D2024">
        <v>1</v>
      </c>
      <c r="E2024">
        <v>1</v>
      </c>
      <c r="F2024">
        <v>4</v>
      </c>
      <c r="G2024">
        <v>4</v>
      </c>
      <c r="H2024" t="str">
        <f>IF(Demographics[[#This Row],[DOB]]&gt;10000000, TEXT(Demographics[[#This Row],[DOB]],0),CONCATENATE("0",TEXT(Demographics[[#This Row],[DOB]],0)))</f>
        <v>26121988</v>
      </c>
      <c r="I2024" s="4">
        <f ca="1">IFERROR((VALUE(TODAY()-DATE(RIGHT(Demographics[[#This Row],[DOB - Fixed]],4),MID(Demographics[[#This Row],[DOB - Fixed]],3,2),LEFT(Demographics[[#This Row],[DOB - Fixed]],2))))/365,0)</f>
        <v>34.723287671232875</v>
      </c>
      <c r="J2024">
        <f>VLOOKUP(Demographics[[#This Row],[INCOME LEVEL]],Income[],4,FALSE)</f>
        <v>175</v>
      </c>
      <c r="K2024">
        <f>IFERROR(Demographics[[#This Row],[Total monthly income]]/Demographics[[#This Row],[FAMILY SIZE]], 0)</f>
        <v>35</v>
      </c>
    </row>
    <row r="2025" spans="1:11" x14ac:dyDescent="0.2">
      <c r="A2025">
        <v>13330045</v>
      </c>
      <c r="B2025">
        <v>10051987</v>
      </c>
      <c r="C2025">
        <v>5</v>
      </c>
      <c r="D2025">
        <v>1</v>
      </c>
      <c r="E2025">
        <v>1</v>
      </c>
      <c r="F2025">
        <v>7</v>
      </c>
      <c r="G2025">
        <v>3</v>
      </c>
      <c r="H2025" t="str">
        <f>IF(Demographics[[#This Row],[DOB]]&gt;10000000, TEXT(Demographics[[#This Row],[DOB]],0),CONCATENATE("0",TEXT(Demographics[[#This Row],[DOB]],0)))</f>
        <v>10051987</v>
      </c>
      <c r="I2025" s="4">
        <f ca="1">IFERROR((VALUE(TODAY()-DATE(RIGHT(Demographics[[#This Row],[DOB - Fixed]],4),MID(Demographics[[#This Row],[DOB - Fixed]],3,2),LEFT(Demographics[[#This Row],[DOB - Fixed]],2))))/365,0)</f>
        <v>36.356164383561641</v>
      </c>
      <c r="J2025">
        <f>VLOOKUP(Demographics[[#This Row],[INCOME LEVEL]],Income[],4,FALSE)</f>
        <v>175</v>
      </c>
      <c r="K2025">
        <f>IFERROR(Demographics[[#This Row],[Total monthly income]]/Demographics[[#This Row],[FAMILY SIZE]], 0)</f>
        <v>35</v>
      </c>
    </row>
    <row r="2026" spans="1:11" x14ac:dyDescent="0.2">
      <c r="A2026">
        <v>24905469</v>
      </c>
      <c r="B2026">
        <v>16051988</v>
      </c>
      <c r="C2026">
        <v>4</v>
      </c>
      <c r="D2026">
        <v>0</v>
      </c>
      <c r="E2026">
        <v>1</v>
      </c>
      <c r="F2026">
        <v>2</v>
      </c>
      <c r="G2026">
        <v>3</v>
      </c>
      <c r="H2026" t="str">
        <f>IF(Demographics[[#This Row],[DOB]]&gt;10000000, TEXT(Demographics[[#This Row],[DOB]],0),CONCATENATE("0",TEXT(Demographics[[#This Row],[DOB]],0)))</f>
        <v>16051988</v>
      </c>
      <c r="I2026" s="4">
        <f ca="1">IFERROR((VALUE(TODAY()-DATE(RIGHT(Demographics[[#This Row],[DOB - Fixed]],4),MID(Demographics[[#This Row],[DOB - Fixed]],3,2),LEFT(Demographics[[#This Row],[DOB - Fixed]],2))))/365,0)</f>
        <v>35.336986301369862</v>
      </c>
      <c r="J2026">
        <f>VLOOKUP(Demographics[[#This Row],[INCOME LEVEL]],Income[],4,FALSE)</f>
        <v>175</v>
      </c>
      <c r="K2026">
        <f>IFERROR(Demographics[[#This Row],[Total monthly income]]/Demographics[[#This Row],[FAMILY SIZE]], 0)</f>
        <v>43.75</v>
      </c>
    </row>
    <row r="2027" spans="1:11" x14ac:dyDescent="0.2">
      <c r="A2027">
        <v>18803816</v>
      </c>
      <c r="B2027">
        <v>1061988</v>
      </c>
      <c r="C2027">
        <v>4</v>
      </c>
      <c r="D2027">
        <v>1</v>
      </c>
      <c r="E2027">
        <v>1</v>
      </c>
      <c r="F2027">
        <v>8</v>
      </c>
      <c r="G2027">
        <v>5</v>
      </c>
      <c r="H2027" t="str">
        <f>IF(Demographics[[#This Row],[DOB]]&gt;10000000, TEXT(Demographics[[#This Row],[DOB]],0),CONCATENATE("0",TEXT(Demographics[[#This Row],[DOB]],0)))</f>
        <v>01061988</v>
      </c>
      <c r="I2027" s="4">
        <f ca="1">IFERROR((VALUE(TODAY()-DATE(RIGHT(Demographics[[#This Row],[DOB - Fixed]],4),MID(Demographics[[#This Row],[DOB - Fixed]],3,2),LEFT(Demographics[[#This Row],[DOB - Fixed]],2))))/365,0)</f>
        <v>35.293150684931504</v>
      </c>
      <c r="J2027">
        <f>VLOOKUP(Demographics[[#This Row],[INCOME LEVEL]],Income[],4,FALSE)</f>
        <v>175</v>
      </c>
      <c r="K2027">
        <f>IFERROR(Demographics[[#This Row],[Total monthly income]]/Demographics[[#This Row],[FAMILY SIZE]], 0)</f>
        <v>43.75</v>
      </c>
    </row>
    <row r="2028" spans="1:11" x14ac:dyDescent="0.2">
      <c r="A2028">
        <v>17808754</v>
      </c>
      <c r="B2028">
        <v>30061988</v>
      </c>
      <c r="C2028">
        <v>4</v>
      </c>
      <c r="D2028">
        <v>1</v>
      </c>
      <c r="E2028">
        <v>1</v>
      </c>
      <c r="F2028">
        <v>3</v>
      </c>
      <c r="G2028">
        <v>3</v>
      </c>
      <c r="H2028" t="str">
        <f>IF(Demographics[[#This Row],[DOB]]&gt;10000000, TEXT(Demographics[[#This Row],[DOB]],0),CONCATENATE("0",TEXT(Demographics[[#This Row],[DOB]],0)))</f>
        <v>30061988</v>
      </c>
      <c r="I2028" s="4">
        <f ca="1">IFERROR((VALUE(TODAY()-DATE(RIGHT(Demographics[[#This Row],[DOB - Fixed]],4),MID(Demographics[[#This Row],[DOB - Fixed]],3,2),LEFT(Demographics[[#This Row],[DOB - Fixed]],2))))/365,0)</f>
        <v>35.213698630136989</v>
      </c>
      <c r="J2028">
        <f>VLOOKUP(Demographics[[#This Row],[INCOME LEVEL]],Income[],4,FALSE)</f>
        <v>175</v>
      </c>
      <c r="K2028">
        <f>IFERROR(Demographics[[#This Row],[Total monthly income]]/Demographics[[#This Row],[FAMILY SIZE]], 0)</f>
        <v>43.75</v>
      </c>
    </row>
    <row r="2029" spans="1:11" x14ac:dyDescent="0.2">
      <c r="A2029">
        <v>16306945</v>
      </c>
      <c r="B2029">
        <v>20111987</v>
      </c>
      <c r="C2029">
        <v>7</v>
      </c>
      <c r="D2029">
        <v>1</v>
      </c>
      <c r="E2029">
        <v>2</v>
      </c>
      <c r="F2029">
        <v>2</v>
      </c>
      <c r="G2029">
        <v>2</v>
      </c>
      <c r="H2029" t="str">
        <f>IF(Demographics[[#This Row],[DOB]]&gt;10000000, TEXT(Demographics[[#This Row],[DOB]],0),CONCATENATE("0",TEXT(Demographics[[#This Row],[DOB]],0)))</f>
        <v>20111987</v>
      </c>
      <c r="I2029" s="4">
        <f ca="1">IFERROR((VALUE(TODAY()-DATE(RIGHT(Demographics[[#This Row],[DOB - Fixed]],4),MID(Demographics[[#This Row],[DOB - Fixed]],3,2),LEFT(Demographics[[#This Row],[DOB - Fixed]],2))))/365,0)</f>
        <v>35.824657534246576</v>
      </c>
      <c r="J2029">
        <f>VLOOKUP(Demographics[[#This Row],[INCOME LEVEL]],Income[],4,FALSE)</f>
        <v>697.5</v>
      </c>
      <c r="K2029">
        <f>IFERROR(Demographics[[#This Row],[Total monthly income]]/Demographics[[#This Row],[FAMILY SIZE]], 0)</f>
        <v>99.642857142857139</v>
      </c>
    </row>
    <row r="2030" spans="1:11" x14ac:dyDescent="0.2">
      <c r="A2030">
        <v>8008764</v>
      </c>
      <c r="B2030">
        <v>7081981</v>
      </c>
      <c r="C2030">
        <v>5</v>
      </c>
      <c r="D2030">
        <v>2</v>
      </c>
      <c r="E2030">
        <v>1</v>
      </c>
      <c r="F2030">
        <v>5</v>
      </c>
      <c r="G2030">
        <v>4</v>
      </c>
      <c r="H2030" t="str">
        <f>IF(Demographics[[#This Row],[DOB]]&gt;10000000, TEXT(Demographics[[#This Row],[DOB]],0),CONCATENATE("0",TEXT(Demographics[[#This Row],[DOB]],0)))</f>
        <v>07081981</v>
      </c>
      <c r="I2030" s="4">
        <f ca="1">IFERROR((VALUE(TODAY()-DATE(RIGHT(Demographics[[#This Row],[DOB - Fixed]],4),MID(Demographics[[#This Row],[DOB - Fixed]],3,2),LEFT(Demographics[[#This Row],[DOB - Fixed]],2))))/365,0)</f>
        <v>42.115068493150687</v>
      </c>
      <c r="J2030">
        <f>VLOOKUP(Demographics[[#This Row],[INCOME LEVEL]],Income[],4,FALSE)</f>
        <v>175</v>
      </c>
      <c r="K2030">
        <f>IFERROR(Demographics[[#This Row],[Total monthly income]]/Demographics[[#This Row],[FAMILY SIZE]], 0)</f>
        <v>35</v>
      </c>
    </row>
    <row r="2031" spans="1:11" x14ac:dyDescent="0.2">
      <c r="A2031">
        <v>12815346</v>
      </c>
      <c r="B2031">
        <v>10121987</v>
      </c>
      <c r="C2031">
        <v>4</v>
      </c>
      <c r="D2031">
        <v>2</v>
      </c>
      <c r="E2031">
        <v>2</v>
      </c>
      <c r="F2031">
        <v>5</v>
      </c>
      <c r="G2031">
        <v>5</v>
      </c>
      <c r="H2031" t="str">
        <f>IF(Demographics[[#This Row],[DOB]]&gt;10000000, TEXT(Demographics[[#This Row],[DOB]],0),CONCATENATE("0",TEXT(Demographics[[#This Row],[DOB]],0)))</f>
        <v>10121987</v>
      </c>
      <c r="I2031" s="4">
        <f ca="1">IFERROR((VALUE(TODAY()-DATE(RIGHT(Demographics[[#This Row],[DOB - Fixed]],4),MID(Demographics[[#This Row],[DOB - Fixed]],3,2),LEFT(Demographics[[#This Row],[DOB - Fixed]],2))))/365,0)</f>
        <v>35.769863013698632</v>
      </c>
      <c r="J2031">
        <f>VLOOKUP(Demographics[[#This Row],[INCOME LEVEL]],Income[],4,FALSE)</f>
        <v>697.5</v>
      </c>
      <c r="K2031">
        <f>IFERROR(Demographics[[#This Row],[Total monthly income]]/Demographics[[#This Row],[FAMILY SIZE]], 0)</f>
        <v>174.375</v>
      </c>
    </row>
    <row r="2032" spans="1:11" x14ac:dyDescent="0.2">
      <c r="A2032">
        <v>23944667</v>
      </c>
      <c r="B2032">
        <v>19121988</v>
      </c>
      <c r="C2032">
        <v>5</v>
      </c>
      <c r="D2032">
        <v>1</v>
      </c>
      <c r="E2032">
        <v>2</v>
      </c>
      <c r="F2032">
        <v>5</v>
      </c>
      <c r="G2032">
        <v>2</v>
      </c>
      <c r="H2032" t="str">
        <f>IF(Demographics[[#This Row],[DOB]]&gt;10000000, TEXT(Demographics[[#This Row],[DOB]],0),CONCATENATE("0",TEXT(Demographics[[#This Row],[DOB]],0)))</f>
        <v>19121988</v>
      </c>
      <c r="I2032" s="4">
        <f ca="1">IFERROR((VALUE(TODAY()-DATE(RIGHT(Demographics[[#This Row],[DOB - Fixed]],4),MID(Demographics[[#This Row],[DOB - Fixed]],3,2),LEFT(Demographics[[#This Row],[DOB - Fixed]],2))))/365,0)</f>
        <v>34.742465753424661</v>
      </c>
      <c r="J2032">
        <f>VLOOKUP(Demographics[[#This Row],[INCOME LEVEL]],Income[],4,FALSE)</f>
        <v>697.5</v>
      </c>
      <c r="K2032">
        <f>IFERROR(Demographics[[#This Row],[Total monthly income]]/Demographics[[#This Row],[FAMILY SIZE]], 0)</f>
        <v>139.5</v>
      </c>
    </row>
    <row r="2033" spans="1:11" x14ac:dyDescent="0.2">
      <c r="A2033">
        <v>2239185</v>
      </c>
      <c r="B2033">
        <v>30111984</v>
      </c>
      <c r="C2033">
        <v>4</v>
      </c>
      <c r="D2033">
        <v>1</v>
      </c>
      <c r="E2033">
        <v>1</v>
      </c>
      <c r="F2033">
        <v>2</v>
      </c>
      <c r="G2033">
        <v>5</v>
      </c>
      <c r="H2033" t="str">
        <f>IF(Demographics[[#This Row],[DOB]]&gt;10000000, TEXT(Demographics[[#This Row],[DOB]],0),CONCATENATE("0",TEXT(Demographics[[#This Row],[DOB]],0)))</f>
        <v>30111984</v>
      </c>
      <c r="I2033" s="4">
        <f ca="1">IFERROR((VALUE(TODAY()-DATE(RIGHT(Demographics[[#This Row],[DOB - Fixed]],4),MID(Demographics[[#This Row],[DOB - Fixed]],3,2),LEFT(Demographics[[#This Row],[DOB - Fixed]],2))))/365,0)</f>
        <v>38.797260273972604</v>
      </c>
      <c r="J2033">
        <f>VLOOKUP(Demographics[[#This Row],[INCOME LEVEL]],Income[],4,FALSE)</f>
        <v>175</v>
      </c>
      <c r="K2033">
        <f>IFERROR(Demographics[[#This Row],[Total monthly income]]/Demographics[[#This Row],[FAMILY SIZE]], 0)</f>
        <v>43.75</v>
      </c>
    </row>
    <row r="2034" spans="1:11" x14ac:dyDescent="0.2">
      <c r="A2034">
        <v>8956049</v>
      </c>
      <c r="B2034">
        <v>5121986</v>
      </c>
      <c r="C2034">
        <v>5</v>
      </c>
      <c r="D2034">
        <v>1</v>
      </c>
      <c r="E2034">
        <v>1</v>
      </c>
      <c r="F2034">
        <v>5</v>
      </c>
      <c r="G2034">
        <v>2</v>
      </c>
      <c r="H2034" t="str">
        <f>IF(Demographics[[#This Row],[DOB]]&gt;10000000, TEXT(Demographics[[#This Row],[DOB]],0),CONCATENATE("0",TEXT(Demographics[[#This Row],[DOB]],0)))</f>
        <v>05121986</v>
      </c>
      <c r="I2034" s="4">
        <f ca="1">IFERROR((VALUE(TODAY()-DATE(RIGHT(Demographics[[#This Row],[DOB - Fixed]],4),MID(Demographics[[#This Row],[DOB - Fixed]],3,2),LEFT(Demographics[[#This Row],[DOB - Fixed]],2))))/365,0)</f>
        <v>36.783561643835618</v>
      </c>
      <c r="J2034">
        <f>VLOOKUP(Demographics[[#This Row],[INCOME LEVEL]],Income[],4,FALSE)</f>
        <v>175</v>
      </c>
      <c r="K2034">
        <f>IFERROR(Demographics[[#This Row],[Total monthly income]]/Demographics[[#This Row],[FAMILY SIZE]], 0)</f>
        <v>35</v>
      </c>
    </row>
    <row r="2035" spans="1:11" x14ac:dyDescent="0.2">
      <c r="A2035">
        <v>13171375</v>
      </c>
      <c r="B2035">
        <v>12061987</v>
      </c>
      <c r="C2035">
        <v>5</v>
      </c>
      <c r="D2035">
        <v>1</v>
      </c>
      <c r="E2035">
        <v>1</v>
      </c>
      <c r="F2035">
        <v>0</v>
      </c>
      <c r="G2035">
        <v>2</v>
      </c>
      <c r="H2035" t="str">
        <f>IF(Demographics[[#This Row],[DOB]]&gt;10000000, TEXT(Demographics[[#This Row],[DOB]],0),CONCATENATE("0",TEXT(Demographics[[#This Row],[DOB]],0)))</f>
        <v>12061987</v>
      </c>
      <c r="I2035" s="4">
        <f ca="1">IFERROR((VALUE(TODAY()-DATE(RIGHT(Demographics[[#This Row],[DOB - Fixed]],4),MID(Demographics[[#This Row],[DOB - Fixed]],3,2),LEFT(Demographics[[#This Row],[DOB - Fixed]],2))))/365,0)</f>
        <v>36.265753424657532</v>
      </c>
      <c r="J2035">
        <f>VLOOKUP(Demographics[[#This Row],[INCOME LEVEL]],Income[],4,FALSE)</f>
        <v>175</v>
      </c>
      <c r="K2035">
        <f>IFERROR(Demographics[[#This Row],[Total monthly income]]/Demographics[[#This Row],[FAMILY SIZE]], 0)</f>
        <v>35</v>
      </c>
    </row>
    <row r="2036" spans="1:11" x14ac:dyDescent="0.2">
      <c r="A2036">
        <v>4339267</v>
      </c>
      <c r="B2036">
        <v>19091987</v>
      </c>
      <c r="C2036">
        <v>2</v>
      </c>
      <c r="D2036">
        <v>1</v>
      </c>
      <c r="E2036">
        <v>1</v>
      </c>
      <c r="F2036">
        <v>3</v>
      </c>
      <c r="G2036">
        <v>7</v>
      </c>
      <c r="H2036" t="str">
        <f>IF(Demographics[[#This Row],[DOB]]&gt;10000000, TEXT(Demographics[[#This Row],[DOB]],0),CONCATENATE("0",TEXT(Demographics[[#This Row],[DOB]],0)))</f>
        <v>19091987</v>
      </c>
      <c r="I2036" s="4">
        <f ca="1">IFERROR((VALUE(TODAY()-DATE(RIGHT(Demographics[[#This Row],[DOB - Fixed]],4),MID(Demographics[[#This Row],[DOB - Fixed]],3,2),LEFT(Demographics[[#This Row],[DOB - Fixed]],2))))/365,0)</f>
        <v>35.994520547945207</v>
      </c>
      <c r="J2036">
        <f>VLOOKUP(Demographics[[#This Row],[INCOME LEVEL]],Income[],4,FALSE)</f>
        <v>175</v>
      </c>
      <c r="K2036">
        <f>IFERROR(Demographics[[#This Row],[Total monthly income]]/Demographics[[#This Row],[FAMILY SIZE]], 0)</f>
        <v>87.5</v>
      </c>
    </row>
    <row r="2037" spans="1:11" x14ac:dyDescent="0.2">
      <c r="A2037">
        <v>22772424</v>
      </c>
      <c r="B2037">
        <v>18071988</v>
      </c>
      <c r="C2037">
        <v>0</v>
      </c>
      <c r="D2037">
        <v>0</v>
      </c>
      <c r="E2037">
        <v>1</v>
      </c>
      <c r="F2037">
        <v>0</v>
      </c>
      <c r="G2037">
        <v>0</v>
      </c>
      <c r="H2037" t="str">
        <f>IF(Demographics[[#This Row],[DOB]]&gt;10000000, TEXT(Demographics[[#This Row],[DOB]],0),CONCATENATE("0",TEXT(Demographics[[#This Row],[DOB]],0)))</f>
        <v>18071988</v>
      </c>
      <c r="I2037" s="4">
        <f ca="1">IFERROR((VALUE(TODAY()-DATE(RIGHT(Demographics[[#This Row],[DOB - Fixed]],4),MID(Demographics[[#This Row],[DOB - Fixed]],3,2),LEFT(Demographics[[#This Row],[DOB - Fixed]],2))))/365,0)</f>
        <v>35.164383561643838</v>
      </c>
      <c r="J2037">
        <f>VLOOKUP(Demographics[[#This Row],[INCOME LEVEL]],Income[],4,FALSE)</f>
        <v>175</v>
      </c>
      <c r="K2037">
        <f>IFERROR(Demographics[[#This Row],[Total monthly income]]/Demographics[[#This Row],[FAMILY SIZE]], 0)</f>
        <v>0</v>
      </c>
    </row>
    <row r="2038" spans="1:11" x14ac:dyDescent="0.2">
      <c r="A2038">
        <v>9826128</v>
      </c>
      <c r="B2038">
        <v>18061988</v>
      </c>
      <c r="C2038">
        <v>7</v>
      </c>
      <c r="D2038">
        <v>1</v>
      </c>
      <c r="E2038">
        <v>1</v>
      </c>
      <c r="F2038">
        <v>0</v>
      </c>
      <c r="G2038">
        <v>0</v>
      </c>
      <c r="H2038" t="str">
        <f>IF(Demographics[[#This Row],[DOB]]&gt;10000000, TEXT(Demographics[[#This Row],[DOB]],0),CONCATENATE("0",TEXT(Demographics[[#This Row],[DOB]],0)))</f>
        <v>18061988</v>
      </c>
      <c r="I2038" s="4">
        <f ca="1">IFERROR((VALUE(TODAY()-DATE(RIGHT(Demographics[[#This Row],[DOB - Fixed]],4),MID(Demographics[[#This Row],[DOB - Fixed]],3,2),LEFT(Demographics[[#This Row],[DOB - Fixed]],2))))/365,0)</f>
        <v>35.246575342465754</v>
      </c>
      <c r="J2038">
        <f>VLOOKUP(Demographics[[#This Row],[INCOME LEVEL]],Income[],4,FALSE)</f>
        <v>175</v>
      </c>
      <c r="K2038">
        <f>IFERROR(Demographics[[#This Row],[Total monthly income]]/Demographics[[#This Row],[FAMILY SIZE]], 0)</f>
        <v>25</v>
      </c>
    </row>
    <row r="2039" spans="1:11" x14ac:dyDescent="0.2">
      <c r="A2039">
        <v>16798627</v>
      </c>
      <c r="B2039">
        <v>12041989</v>
      </c>
      <c r="C2039">
        <v>3</v>
      </c>
      <c r="D2039">
        <v>1</v>
      </c>
      <c r="E2039">
        <v>1</v>
      </c>
      <c r="F2039">
        <v>0</v>
      </c>
      <c r="G2039">
        <v>3</v>
      </c>
      <c r="H2039" t="str">
        <f>IF(Demographics[[#This Row],[DOB]]&gt;10000000, TEXT(Demographics[[#This Row],[DOB]],0),CONCATENATE("0",TEXT(Demographics[[#This Row],[DOB]],0)))</f>
        <v>12041989</v>
      </c>
      <c r="I2039" s="4">
        <f ca="1">IFERROR((VALUE(TODAY()-DATE(RIGHT(Demographics[[#This Row],[DOB - Fixed]],4),MID(Demographics[[#This Row],[DOB - Fixed]],3,2),LEFT(Demographics[[#This Row],[DOB - Fixed]],2))))/365,0)</f>
        <v>34.43013698630137</v>
      </c>
      <c r="J2039">
        <f>VLOOKUP(Demographics[[#This Row],[INCOME LEVEL]],Income[],4,FALSE)</f>
        <v>175</v>
      </c>
      <c r="K2039">
        <f>IFERROR(Demographics[[#This Row],[Total monthly income]]/Demographics[[#This Row],[FAMILY SIZE]], 0)</f>
        <v>58.333333333333336</v>
      </c>
    </row>
    <row r="2040" spans="1:11" x14ac:dyDescent="0.2">
      <c r="A2040">
        <v>14128633</v>
      </c>
      <c r="B2040">
        <v>20071986</v>
      </c>
      <c r="C2040">
        <v>5</v>
      </c>
      <c r="D2040">
        <v>1</v>
      </c>
      <c r="E2040">
        <v>1</v>
      </c>
      <c r="F2040">
        <v>9</v>
      </c>
      <c r="G2040">
        <v>2</v>
      </c>
      <c r="H2040" t="str">
        <f>IF(Demographics[[#This Row],[DOB]]&gt;10000000, TEXT(Demographics[[#This Row],[DOB]],0),CONCATENATE("0",TEXT(Demographics[[#This Row],[DOB]],0)))</f>
        <v>20071986</v>
      </c>
      <c r="I2040" s="4">
        <f ca="1">IFERROR((VALUE(TODAY()-DATE(RIGHT(Demographics[[#This Row],[DOB - Fixed]],4),MID(Demographics[[#This Row],[DOB - Fixed]],3,2),LEFT(Demographics[[#This Row],[DOB - Fixed]],2))))/365,0)</f>
        <v>37.161643835616438</v>
      </c>
      <c r="J2040">
        <f>VLOOKUP(Demographics[[#This Row],[INCOME LEVEL]],Income[],4,FALSE)</f>
        <v>175</v>
      </c>
      <c r="K2040">
        <f>IFERROR(Demographics[[#This Row],[Total monthly income]]/Demographics[[#This Row],[FAMILY SIZE]], 0)</f>
        <v>35</v>
      </c>
    </row>
    <row r="2041" spans="1:11" x14ac:dyDescent="0.2">
      <c r="A2041">
        <v>11928144</v>
      </c>
      <c r="B2041">
        <v>20041988</v>
      </c>
      <c r="C2041">
        <v>5</v>
      </c>
      <c r="D2041">
        <v>1</v>
      </c>
      <c r="E2041">
        <v>1</v>
      </c>
      <c r="F2041">
        <v>5</v>
      </c>
      <c r="G2041">
        <v>5</v>
      </c>
      <c r="H2041" t="str">
        <f>IF(Demographics[[#This Row],[DOB]]&gt;10000000, TEXT(Demographics[[#This Row],[DOB]],0),CONCATENATE("0",TEXT(Demographics[[#This Row],[DOB]],0)))</f>
        <v>20041988</v>
      </c>
      <c r="I2041" s="4">
        <f ca="1">IFERROR((VALUE(TODAY()-DATE(RIGHT(Demographics[[#This Row],[DOB - Fixed]],4),MID(Demographics[[#This Row],[DOB - Fixed]],3,2),LEFT(Demographics[[#This Row],[DOB - Fixed]],2))))/365,0)</f>
        <v>35.408219178082192</v>
      </c>
      <c r="J2041">
        <f>VLOOKUP(Demographics[[#This Row],[INCOME LEVEL]],Income[],4,FALSE)</f>
        <v>175</v>
      </c>
      <c r="K2041">
        <f>IFERROR(Demographics[[#This Row],[Total monthly income]]/Demographics[[#This Row],[FAMILY SIZE]], 0)</f>
        <v>35</v>
      </c>
    </row>
    <row r="2042" spans="1:11" x14ac:dyDescent="0.2">
      <c r="A2042">
        <v>16002591</v>
      </c>
      <c r="B2042">
        <v>2011987</v>
      </c>
      <c r="C2042">
        <v>6</v>
      </c>
      <c r="D2042">
        <v>2</v>
      </c>
      <c r="E2042">
        <v>1</v>
      </c>
      <c r="F2042">
        <v>4</v>
      </c>
      <c r="G2042">
        <v>2</v>
      </c>
      <c r="H2042" t="str">
        <f>IF(Demographics[[#This Row],[DOB]]&gt;10000000, TEXT(Demographics[[#This Row],[DOB]],0),CONCATENATE("0",TEXT(Demographics[[#This Row],[DOB]],0)))</f>
        <v>02011987</v>
      </c>
      <c r="I2042" s="4">
        <f ca="1">IFERROR((VALUE(TODAY()-DATE(RIGHT(Demographics[[#This Row],[DOB - Fixed]],4),MID(Demographics[[#This Row],[DOB - Fixed]],3,2),LEFT(Demographics[[#This Row],[DOB - Fixed]],2))))/365,0)</f>
        <v>36.706849315068496</v>
      </c>
      <c r="J2042">
        <f>VLOOKUP(Demographics[[#This Row],[INCOME LEVEL]],Income[],4,FALSE)</f>
        <v>175</v>
      </c>
      <c r="K2042">
        <f>IFERROR(Demographics[[#This Row],[Total monthly income]]/Demographics[[#This Row],[FAMILY SIZE]], 0)</f>
        <v>29.166666666666668</v>
      </c>
    </row>
    <row r="2043" spans="1:11" x14ac:dyDescent="0.2">
      <c r="A2043">
        <v>4574254</v>
      </c>
      <c r="B2043">
        <v>19111987</v>
      </c>
      <c r="C2043">
        <v>4</v>
      </c>
      <c r="D2043">
        <v>1</v>
      </c>
      <c r="E2043">
        <v>1</v>
      </c>
      <c r="F2043">
        <v>2</v>
      </c>
      <c r="G2043">
        <v>2</v>
      </c>
      <c r="H2043" t="str">
        <f>IF(Demographics[[#This Row],[DOB]]&gt;10000000, TEXT(Demographics[[#This Row],[DOB]],0),CONCATENATE("0",TEXT(Demographics[[#This Row],[DOB]],0)))</f>
        <v>19111987</v>
      </c>
      <c r="I2043" s="4">
        <f ca="1">IFERROR((VALUE(TODAY()-DATE(RIGHT(Demographics[[#This Row],[DOB - Fixed]],4),MID(Demographics[[#This Row],[DOB - Fixed]],3,2),LEFT(Demographics[[#This Row],[DOB - Fixed]],2))))/365,0)</f>
        <v>35.827397260273976</v>
      </c>
      <c r="J2043">
        <f>VLOOKUP(Demographics[[#This Row],[INCOME LEVEL]],Income[],4,FALSE)</f>
        <v>175</v>
      </c>
      <c r="K2043">
        <f>IFERROR(Demographics[[#This Row],[Total monthly income]]/Demographics[[#This Row],[FAMILY SIZE]], 0)</f>
        <v>43.75</v>
      </c>
    </row>
    <row r="2044" spans="1:11" x14ac:dyDescent="0.2">
      <c r="A2044">
        <v>13278983</v>
      </c>
      <c r="B2044">
        <v>11051989</v>
      </c>
      <c r="C2044">
        <v>3</v>
      </c>
      <c r="D2044">
        <v>2</v>
      </c>
      <c r="E2044">
        <v>1</v>
      </c>
      <c r="F2044">
        <v>9</v>
      </c>
      <c r="G2044">
        <v>5</v>
      </c>
      <c r="H2044" t="str">
        <f>IF(Demographics[[#This Row],[DOB]]&gt;10000000, TEXT(Demographics[[#This Row],[DOB]],0),CONCATENATE("0",TEXT(Demographics[[#This Row],[DOB]],0)))</f>
        <v>11051989</v>
      </c>
      <c r="I2044" s="4">
        <f ca="1">IFERROR((VALUE(TODAY()-DATE(RIGHT(Demographics[[#This Row],[DOB - Fixed]],4),MID(Demographics[[#This Row],[DOB - Fixed]],3,2),LEFT(Demographics[[#This Row],[DOB - Fixed]],2))))/365,0)</f>
        <v>34.350684931506848</v>
      </c>
      <c r="J2044">
        <f>VLOOKUP(Demographics[[#This Row],[INCOME LEVEL]],Income[],4,FALSE)</f>
        <v>175</v>
      </c>
      <c r="K2044">
        <f>IFERROR(Demographics[[#This Row],[Total monthly income]]/Demographics[[#This Row],[FAMILY SIZE]], 0)</f>
        <v>58.333333333333336</v>
      </c>
    </row>
    <row r="2045" spans="1:11" x14ac:dyDescent="0.2">
      <c r="A2045">
        <v>5125104</v>
      </c>
      <c r="B2045">
        <v>23031989</v>
      </c>
      <c r="C2045">
        <v>8</v>
      </c>
      <c r="D2045">
        <v>1</v>
      </c>
      <c r="E2045">
        <v>1</v>
      </c>
      <c r="F2045">
        <v>3</v>
      </c>
      <c r="G2045">
        <v>4</v>
      </c>
      <c r="H2045" t="str">
        <f>IF(Demographics[[#This Row],[DOB]]&gt;10000000, TEXT(Demographics[[#This Row],[DOB]],0),CONCATENATE("0",TEXT(Demographics[[#This Row],[DOB]],0)))</f>
        <v>23031989</v>
      </c>
      <c r="I2045" s="4">
        <f ca="1">IFERROR((VALUE(TODAY()-DATE(RIGHT(Demographics[[#This Row],[DOB - Fixed]],4),MID(Demographics[[#This Row],[DOB - Fixed]],3,2),LEFT(Demographics[[#This Row],[DOB - Fixed]],2))))/365,0)</f>
        <v>34.484931506849314</v>
      </c>
      <c r="J2045">
        <f>VLOOKUP(Demographics[[#This Row],[INCOME LEVEL]],Income[],4,FALSE)</f>
        <v>175</v>
      </c>
      <c r="K2045">
        <f>IFERROR(Demographics[[#This Row],[Total monthly income]]/Demographics[[#This Row],[FAMILY SIZE]], 0)</f>
        <v>21.875</v>
      </c>
    </row>
    <row r="2046" spans="1:11" x14ac:dyDescent="0.2">
      <c r="A2046">
        <v>21578841</v>
      </c>
      <c r="B2046">
        <v>28071987</v>
      </c>
      <c r="C2046">
        <v>4</v>
      </c>
      <c r="D2046">
        <v>2</v>
      </c>
      <c r="E2046">
        <v>3</v>
      </c>
      <c r="F2046">
        <v>7</v>
      </c>
      <c r="G2046">
        <v>9</v>
      </c>
      <c r="H2046" t="str">
        <f>IF(Demographics[[#This Row],[DOB]]&gt;10000000, TEXT(Demographics[[#This Row],[DOB]],0),CONCATENATE("0",TEXT(Demographics[[#This Row],[DOB]],0)))</f>
        <v>28071987</v>
      </c>
      <c r="I2046" s="4">
        <f ca="1">IFERROR((VALUE(TODAY()-DATE(RIGHT(Demographics[[#This Row],[DOB - Fixed]],4),MID(Demographics[[#This Row],[DOB - Fixed]],3,2),LEFT(Demographics[[#This Row],[DOB - Fixed]],2))))/365,0)</f>
        <v>36.139726027397259</v>
      </c>
      <c r="J2046">
        <f>VLOOKUP(Demographics[[#This Row],[INCOME LEVEL]],Income[],4,FALSE)</f>
        <v>1397.5</v>
      </c>
      <c r="K2046">
        <f>IFERROR(Demographics[[#This Row],[Total monthly income]]/Demographics[[#This Row],[FAMILY SIZE]], 0)</f>
        <v>349.375</v>
      </c>
    </row>
    <row r="2047" spans="1:11" x14ac:dyDescent="0.2">
      <c r="A2047">
        <v>18272768</v>
      </c>
      <c r="B2047">
        <v>2041989</v>
      </c>
      <c r="C2047">
        <v>4</v>
      </c>
      <c r="D2047">
        <v>2</v>
      </c>
      <c r="E2047">
        <v>2</v>
      </c>
      <c r="F2047">
        <v>7</v>
      </c>
      <c r="G2047">
        <v>9</v>
      </c>
      <c r="H2047" t="str">
        <f>IF(Demographics[[#This Row],[DOB]]&gt;10000000, TEXT(Demographics[[#This Row],[DOB]],0),CONCATENATE("0",TEXT(Demographics[[#This Row],[DOB]],0)))</f>
        <v>02041989</v>
      </c>
      <c r="I2047" s="4">
        <f ca="1">IFERROR((VALUE(TODAY()-DATE(RIGHT(Demographics[[#This Row],[DOB - Fixed]],4),MID(Demographics[[#This Row],[DOB - Fixed]],3,2),LEFT(Demographics[[#This Row],[DOB - Fixed]],2))))/365,0)</f>
        <v>34.457534246575342</v>
      </c>
      <c r="J2047">
        <f>VLOOKUP(Demographics[[#This Row],[INCOME LEVEL]],Income[],4,FALSE)</f>
        <v>697.5</v>
      </c>
      <c r="K2047">
        <f>IFERROR(Demographics[[#This Row],[Total monthly income]]/Demographics[[#This Row],[FAMILY SIZE]], 0)</f>
        <v>174.375</v>
      </c>
    </row>
    <row r="2048" spans="1:11" x14ac:dyDescent="0.2">
      <c r="A2048">
        <v>20812787</v>
      </c>
      <c r="B2048">
        <v>3121988</v>
      </c>
      <c r="C2048">
        <v>2</v>
      </c>
      <c r="D2048">
        <v>1</v>
      </c>
      <c r="E2048">
        <v>1</v>
      </c>
      <c r="F2048">
        <v>0</v>
      </c>
      <c r="G2048">
        <v>5</v>
      </c>
      <c r="H2048" t="str">
        <f>IF(Demographics[[#This Row],[DOB]]&gt;10000000, TEXT(Demographics[[#This Row],[DOB]],0),CONCATENATE("0",TEXT(Demographics[[#This Row],[DOB]],0)))</f>
        <v>03121988</v>
      </c>
      <c r="I2048" s="4">
        <f ca="1">IFERROR((VALUE(TODAY()-DATE(RIGHT(Demographics[[#This Row],[DOB - Fixed]],4),MID(Demographics[[#This Row],[DOB - Fixed]],3,2),LEFT(Demographics[[#This Row],[DOB - Fixed]],2))))/365,0)</f>
        <v>34.786301369863011</v>
      </c>
      <c r="J2048">
        <f>VLOOKUP(Demographics[[#This Row],[INCOME LEVEL]],Income[],4,FALSE)</f>
        <v>175</v>
      </c>
      <c r="K2048">
        <f>IFERROR(Demographics[[#This Row],[Total monthly income]]/Demographics[[#This Row],[FAMILY SIZE]], 0)</f>
        <v>87.5</v>
      </c>
    </row>
    <row r="2049" spans="1:11" x14ac:dyDescent="0.2">
      <c r="A2049">
        <v>23441018</v>
      </c>
      <c r="B2049">
        <v>1091988</v>
      </c>
      <c r="C2049">
        <v>4</v>
      </c>
      <c r="D2049">
        <v>1</v>
      </c>
      <c r="E2049">
        <v>1</v>
      </c>
      <c r="F2049">
        <v>3</v>
      </c>
      <c r="G2049">
        <v>5</v>
      </c>
      <c r="H2049" t="str">
        <f>IF(Demographics[[#This Row],[DOB]]&gt;10000000, TEXT(Demographics[[#This Row],[DOB]],0),CONCATENATE("0",TEXT(Demographics[[#This Row],[DOB]],0)))</f>
        <v>01091988</v>
      </c>
      <c r="I2049" s="4">
        <f ca="1">IFERROR((VALUE(TODAY()-DATE(RIGHT(Demographics[[#This Row],[DOB - Fixed]],4),MID(Demographics[[#This Row],[DOB - Fixed]],3,2),LEFT(Demographics[[#This Row],[DOB - Fixed]],2))))/365,0)</f>
        <v>35.041095890410958</v>
      </c>
      <c r="J2049">
        <f>VLOOKUP(Demographics[[#This Row],[INCOME LEVEL]],Income[],4,FALSE)</f>
        <v>175</v>
      </c>
      <c r="K2049">
        <f>IFERROR(Demographics[[#This Row],[Total monthly income]]/Demographics[[#This Row],[FAMILY SIZE]], 0)</f>
        <v>43.75</v>
      </c>
    </row>
    <row r="2050" spans="1:11" x14ac:dyDescent="0.2">
      <c r="A2050">
        <v>21770603</v>
      </c>
      <c r="B2050">
        <v>4071988</v>
      </c>
      <c r="C2050">
        <v>4</v>
      </c>
      <c r="D2050">
        <v>2</v>
      </c>
      <c r="E2050">
        <v>2</v>
      </c>
      <c r="F2050">
        <v>9</v>
      </c>
      <c r="G2050">
        <v>9</v>
      </c>
      <c r="H2050" t="str">
        <f>IF(Demographics[[#This Row],[DOB]]&gt;10000000, TEXT(Demographics[[#This Row],[DOB]],0),CONCATENATE("0",TEXT(Demographics[[#This Row],[DOB]],0)))</f>
        <v>04071988</v>
      </c>
      <c r="I2050" s="4">
        <f ca="1">IFERROR((VALUE(TODAY()-DATE(RIGHT(Demographics[[#This Row],[DOB - Fixed]],4),MID(Demographics[[#This Row],[DOB - Fixed]],3,2),LEFT(Demographics[[#This Row],[DOB - Fixed]],2))))/365,0)</f>
        <v>35.202739726027396</v>
      </c>
      <c r="J2050">
        <f>VLOOKUP(Demographics[[#This Row],[INCOME LEVEL]],Income[],4,FALSE)</f>
        <v>697.5</v>
      </c>
      <c r="K2050">
        <f>IFERROR(Demographics[[#This Row],[Total monthly income]]/Demographics[[#This Row],[FAMILY SIZE]], 0)</f>
        <v>174.375</v>
      </c>
    </row>
    <row r="2051" spans="1:11" x14ac:dyDescent="0.2">
      <c r="A2051">
        <v>9575588</v>
      </c>
      <c r="B2051">
        <v>14101987</v>
      </c>
      <c r="C2051">
        <v>4</v>
      </c>
      <c r="D2051">
        <v>2</v>
      </c>
      <c r="E2051">
        <v>2</v>
      </c>
      <c r="F2051">
        <v>7</v>
      </c>
      <c r="G2051">
        <v>7</v>
      </c>
      <c r="H2051" t="str">
        <f>IF(Demographics[[#This Row],[DOB]]&gt;10000000, TEXT(Demographics[[#This Row],[DOB]],0),CONCATENATE("0",TEXT(Demographics[[#This Row],[DOB]],0)))</f>
        <v>14101987</v>
      </c>
      <c r="I2051" s="4">
        <f ca="1">IFERROR((VALUE(TODAY()-DATE(RIGHT(Demographics[[#This Row],[DOB - Fixed]],4),MID(Demographics[[#This Row],[DOB - Fixed]],3,2),LEFT(Demographics[[#This Row],[DOB - Fixed]],2))))/365,0)</f>
        <v>35.926027397260277</v>
      </c>
      <c r="J2051">
        <f>VLOOKUP(Demographics[[#This Row],[INCOME LEVEL]],Income[],4,FALSE)</f>
        <v>697.5</v>
      </c>
      <c r="K2051">
        <f>IFERROR(Demographics[[#This Row],[Total monthly income]]/Demographics[[#This Row],[FAMILY SIZE]], 0)</f>
        <v>174.375</v>
      </c>
    </row>
    <row r="2052" spans="1:11" x14ac:dyDescent="0.2">
      <c r="A2052">
        <v>10369140</v>
      </c>
      <c r="B2052">
        <v>24101988</v>
      </c>
      <c r="C2052">
        <v>7</v>
      </c>
      <c r="D2052">
        <v>2</v>
      </c>
      <c r="E2052">
        <v>1</v>
      </c>
      <c r="F2052">
        <v>4</v>
      </c>
      <c r="G2052">
        <v>5</v>
      </c>
      <c r="H2052" t="str">
        <f>IF(Demographics[[#This Row],[DOB]]&gt;10000000, TEXT(Demographics[[#This Row],[DOB]],0),CONCATENATE("0",TEXT(Demographics[[#This Row],[DOB]],0)))</f>
        <v>24101988</v>
      </c>
      <c r="I2052" s="4">
        <f ca="1">IFERROR((VALUE(TODAY()-DATE(RIGHT(Demographics[[#This Row],[DOB - Fixed]],4),MID(Demographics[[#This Row],[DOB - Fixed]],3,2),LEFT(Demographics[[#This Row],[DOB - Fixed]],2))))/365,0)</f>
        <v>34.895890410958906</v>
      </c>
      <c r="J2052">
        <f>VLOOKUP(Demographics[[#This Row],[INCOME LEVEL]],Income[],4,FALSE)</f>
        <v>175</v>
      </c>
      <c r="K2052">
        <f>IFERROR(Demographics[[#This Row],[Total monthly income]]/Demographics[[#This Row],[FAMILY SIZE]], 0)</f>
        <v>25</v>
      </c>
    </row>
    <row r="2053" spans="1:11" x14ac:dyDescent="0.2">
      <c r="A2053">
        <v>6882298</v>
      </c>
      <c r="B2053">
        <v>14101988</v>
      </c>
      <c r="C2053">
        <v>0</v>
      </c>
      <c r="D2053">
        <v>0</v>
      </c>
      <c r="E2053">
        <v>1</v>
      </c>
      <c r="F2053">
        <v>0</v>
      </c>
      <c r="G2053">
        <v>0</v>
      </c>
      <c r="H2053" t="str">
        <f>IF(Demographics[[#This Row],[DOB]]&gt;10000000, TEXT(Demographics[[#This Row],[DOB]],0),CONCATENATE("0",TEXT(Demographics[[#This Row],[DOB]],0)))</f>
        <v>14101988</v>
      </c>
      <c r="I2053" s="4">
        <f ca="1">IFERROR((VALUE(TODAY()-DATE(RIGHT(Demographics[[#This Row],[DOB - Fixed]],4),MID(Demographics[[#This Row],[DOB - Fixed]],3,2),LEFT(Demographics[[#This Row],[DOB - Fixed]],2))))/365,0)</f>
        <v>34.923287671232877</v>
      </c>
      <c r="J2053">
        <f>VLOOKUP(Demographics[[#This Row],[INCOME LEVEL]],Income[],4,FALSE)</f>
        <v>175</v>
      </c>
      <c r="K2053">
        <f>IFERROR(Demographics[[#This Row],[Total monthly income]]/Demographics[[#This Row],[FAMILY SIZE]], 0)</f>
        <v>0</v>
      </c>
    </row>
    <row r="2054" spans="1:11" x14ac:dyDescent="0.2">
      <c r="A2054">
        <v>2719087</v>
      </c>
      <c r="B2054">
        <v>13041989</v>
      </c>
      <c r="C2054">
        <v>3</v>
      </c>
      <c r="D2054">
        <v>1</v>
      </c>
      <c r="E2054">
        <v>1</v>
      </c>
      <c r="F2054">
        <v>3</v>
      </c>
      <c r="G2054">
        <v>5</v>
      </c>
      <c r="H2054" t="str">
        <f>IF(Demographics[[#This Row],[DOB]]&gt;10000000, TEXT(Demographics[[#This Row],[DOB]],0),CONCATENATE("0",TEXT(Demographics[[#This Row],[DOB]],0)))</f>
        <v>13041989</v>
      </c>
      <c r="I2054" s="4">
        <f ca="1">IFERROR((VALUE(TODAY()-DATE(RIGHT(Demographics[[#This Row],[DOB - Fixed]],4),MID(Demographics[[#This Row],[DOB - Fixed]],3,2),LEFT(Demographics[[#This Row],[DOB - Fixed]],2))))/365,0)</f>
        <v>34.42739726027397</v>
      </c>
      <c r="J2054">
        <f>VLOOKUP(Demographics[[#This Row],[INCOME LEVEL]],Income[],4,FALSE)</f>
        <v>175</v>
      </c>
      <c r="K2054">
        <f>IFERROR(Demographics[[#This Row],[Total monthly income]]/Demographics[[#This Row],[FAMILY SIZE]], 0)</f>
        <v>58.333333333333336</v>
      </c>
    </row>
    <row r="2055" spans="1:11" x14ac:dyDescent="0.2">
      <c r="A2055">
        <v>14379620</v>
      </c>
      <c r="B2055">
        <v>8091988</v>
      </c>
      <c r="C2055">
        <v>2</v>
      </c>
      <c r="D2055">
        <v>0</v>
      </c>
      <c r="E2055">
        <v>1</v>
      </c>
      <c r="F2055">
        <v>2</v>
      </c>
      <c r="G2055">
        <v>2</v>
      </c>
      <c r="H2055" t="str">
        <f>IF(Demographics[[#This Row],[DOB]]&gt;10000000, TEXT(Demographics[[#This Row],[DOB]],0),CONCATENATE("0",TEXT(Demographics[[#This Row],[DOB]],0)))</f>
        <v>08091988</v>
      </c>
      <c r="I2055" s="4">
        <f ca="1">IFERROR((VALUE(TODAY()-DATE(RIGHT(Demographics[[#This Row],[DOB - Fixed]],4),MID(Demographics[[#This Row],[DOB - Fixed]],3,2),LEFT(Demographics[[#This Row],[DOB - Fixed]],2))))/365,0)</f>
        <v>35.021917808219179</v>
      </c>
      <c r="J2055">
        <f>VLOOKUP(Demographics[[#This Row],[INCOME LEVEL]],Income[],4,FALSE)</f>
        <v>175</v>
      </c>
      <c r="K2055">
        <f>IFERROR(Demographics[[#This Row],[Total monthly income]]/Demographics[[#This Row],[FAMILY SIZE]], 0)</f>
        <v>87.5</v>
      </c>
    </row>
    <row r="2056" spans="1:11" x14ac:dyDescent="0.2">
      <c r="A2056">
        <v>3384678</v>
      </c>
      <c r="B2056">
        <v>26081988</v>
      </c>
      <c r="C2056">
        <v>3</v>
      </c>
      <c r="D2056">
        <v>1</v>
      </c>
      <c r="E2056">
        <v>1</v>
      </c>
      <c r="F2056">
        <v>2</v>
      </c>
      <c r="G2056">
        <v>5</v>
      </c>
      <c r="H2056" t="str">
        <f>IF(Demographics[[#This Row],[DOB]]&gt;10000000, TEXT(Demographics[[#This Row],[DOB]],0),CONCATENATE("0",TEXT(Demographics[[#This Row],[DOB]],0)))</f>
        <v>26081988</v>
      </c>
      <c r="I2056" s="4">
        <f ca="1">IFERROR((VALUE(TODAY()-DATE(RIGHT(Demographics[[#This Row],[DOB - Fixed]],4),MID(Demographics[[#This Row],[DOB - Fixed]],3,2),LEFT(Demographics[[#This Row],[DOB - Fixed]],2))))/365,0)</f>
        <v>35.057534246575344</v>
      </c>
      <c r="J2056">
        <f>VLOOKUP(Demographics[[#This Row],[INCOME LEVEL]],Income[],4,FALSE)</f>
        <v>175</v>
      </c>
      <c r="K2056">
        <f>IFERROR(Demographics[[#This Row],[Total monthly income]]/Demographics[[#This Row],[FAMILY SIZE]], 0)</f>
        <v>58.333333333333336</v>
      </c>
    </row>
    <row r="2057" spans="1:11" x14ac:dyDescent="0.2">
      <c r="A2057">
        <v>3384677</v>
      </c>
      <c r="B2057">
        <v>23041989</v>
      </c>
      <c r="C2057">
        <v>0</v>
      </c>
      <c r="D2057">
        <v>0</v>
      </c>
      <c r="E2057">
        <v>1</v>
      </c>
      <c r="F2057">
        <v>0</v>
      </c>
      <c r="G2057">
        <v>0</v>
      </c>
      <c r="H2057" t="str">
        <f>IF(Demographics[[#This Row],[DOB]]&gt;10000000, TEXT(Demographics[[#This Row],[DOB]],0),CONCATENATE("0",TEXT(Demographics[[#This Row],[DOB]],0)))</f>
        <v>23041989</v>
      </c>
      <c r="I2057" s="4">
        <f ca="1">IFERROR((VALUE(TODAY()-DATE(RIGHT(Demographics[[#This Row],[DOB - Fixed]],4),MID(Demographics[[#This Row],[DOB - Fixed]],3,2),LEFT(Demographics[[#This Row],[DOB - Fixed]],2))))/365,0)</f>
        <v>34.4</v>
      </c>
      <c r="J2057">
        <f>VLOOKUP(Demographics[[#This Row],[INCOME LEVEL]],Income[],4,FALSE)</f>
        <v>175</v>
      </c>
      <c r="K2057">
        <f>IFERROR(Demographics[[#This Row],[Total monthly income]]/Demographics[[#This Row],[FAMILY SIZE]], 0)</f>
        <v>0</v>
      </c>
    </row>
    <row r="2058" spans="1:11" x14ac:dyDescent="0.2">
      <c r="A2058">
        <v>4727473</v>
      </c>
      <c r="B2058">
        <v>24071988</v>
      </c>
      <c r="C2058">
        <v>4</v>
      </c>
      <c r="D2058">
        <v>1</v>
      </c>
      <c r="E2058">
        <v>1</v>
      </c>
      <c r="F2058">
        <v>3</v>
      </c>
      <c r="G2058">
        <v>3</v>
      </c>
      <c r="H2058" t="str">
        <f>IF(Demographics[[#This Row],[DOB]]&gt;10000000, TEXT(Demographics[[#This Row],[DOB]],0),CONCATENATE("0",TEXT(Demographics[[#This Row],[DOB]],0)))</f>
        <v>24071988</v>
      </c>
      <c r="I2058" s="4">
        <f ca="1">IFERROR((VALUE(TODAY()-DATE(RIGHT(Demographics[[#This Row],[DOB - Fixed]],4),MID(Demographics[[#This Row],[DOB - Fixed]],3,2),LEFT(Demographics[[#This Row],[DOB - Fixed]],2))))/365,0)</f>
        <v>35.147945205479452</v>
      </c>
      <c r="J2058">
        <f>VLOOKUP(Demographics[[#This Row],[INCOME LEVEL]],Income[],4,FALSE)</f>
        <v>175</v>
      </c>
      <c r="K2058">
        <f>IFERROR(Demographics[[#This Row],[Total monthly income]]/Demographics[[#This Row],[FAMILY SIZE]], 0)</f>
        <v>43.75</v>
      </c>
    </row>
    <row r="2059" spans="1:11" x14ac:dyDescent="0.2">
      <c r="A2059">
        <v>4257916</v>
      </c>
      <c r="B2059">
        <v>10031989</v>
      </c>
      <c r="C2059">
        <v>4</v>
      </c>
      <c r="D2059">
        <v>1</v>
      </c>
      <c r="E2059">
        <v>1</v>
      </c>
      <c r="F2059">
        <v>3</v>
      </c>
      <c r="G2059">
        <v>3</v>
      </c>
      <c r="H2059" t="str">
        <f>IF(Demographics[[#This Row],[DOB]]&gt;10000000, TEXT(Demographics[[#This Row],[DOB]],0),CONCATENATE("0",TEXT(Demographics[[#This Row],[DOB]],0)))</f>
        <v>10031989</v>
      </c>
      <c r="I2059" s="4">
        <f ca="1">IFERROR((VALUE(TODAY()-DATE(RIGHT(Demographics[[#This Row],[DOB - Fixed]],4),MID(Demographics[[#This Row],[DOB - Fixed]],3,2),LEFT(Demographics[[#This Row],[DOB - Fixed]],2))))/365,0)</f>
        <v>34.520547945205479</v>
      </c>
      <c r="J2059">
        <f>VLOOKUP(Demographics[[#This Row],[INCOME LEVEL]],Income[],4,FALSE)</f>
        <v>175</v>
      </c>
      <c r="K2059">
        <f>IFERROR(Demographics[[#This Row],[Total monthly income]]/Demographics[[#This Row],[FAMILY SIZE]], 0)</f>
        <v>43.75</v>
      </c>
    </row>
    <row r="2060" spans="1:11" x14ac:dyDescent="0.2">
      <c r="A2060">
        <v>22624471</v>
      </c>
      <c r="B2060">
        <v>30101987</v>
      </c>
      <c r="C2060">
        <v>4</v>
      </c>
      <c r="D2060">
        <v>2</v>
      </c>
      <c r="E2060">
        <v>3</v>
      </c>
      <c r="F2060">
        <v>4</v>
      </c>
      <c r="G2060">
        <v>4</v>
      </c>
      <c r="H2060" t="str">
        <f>IF(Demographics[[#This Row],[DOB]]&gt;10000000, TEXT(Demographics[[#This Row],[DOB]],0),CONCATENATE("0",TEXT(Demographics[[#This Row],[DOB]],0)))</f>
        <v>30101987</v>
      </c>
      <c r="I2060" s="4">
        <f ca="1">IFERROR((VALUE(TODAY()-DATE(RIGHT(Demographics[[#This Row],[DOB - Fixed]],4),MID(Demographics[[#This Row],[DOB - Fixed]],3,2),LEFT(Demographics[[#This Row],[DOB - Fixed]],2))))/365,0)</f>
        <v>35.88219178082192</v>
      </c>
      <c r="J2060">
        <f>VLOOKUP(Demographics[[#This Row],[INCOME LEVEL]],Income[],4,FALSE)</f>
        <v>1397.5</v>
      </c>
      <c r="K2060">
        <f>IFERROR(Demographics[[#This Row],[Total monthly income]]/Demographics[[#This Row],[FAMILY SIZE]], 0)</f>
        <v>349.375</v>
      </c>
    </row>
    <row r="2061" spans="1:11" x14ac:dyDescent="0.2">
      <c r="A2061">
        <v>9923111</v>
      </c>
      <c r="B2061">
        <v>3071983</v>
      </c>
      <c r="C2061">
        <v>0</v>
      </c>
      <c r="D2061">
        <v>0</v>
      </c>
      <c r="E2061">
        <v>1</v>
      </c>
      <c r="F2061">
        <v>0</v>
      </c>
      <c r="G2061">
        <v>0</v>
      </c>
      <c r="H2061" t="str">
        <f>IF(Demographics[[#This Row],[DOB]]&gt;10000000, TEXT(Demographics[[#This Row],[DOB]],0),CONCATENATE("0",TEXT(Demographics[[#This Row],[DOB]],0)))</f>
        <v>03071983</v>
      </c>
      <c r="I2061" s="4">
        <f ca="1">IFERROR((VALUE(TODAY()-DATE(RIGHT(Demographics[[#This Row],[DOB - Fixed]],4),MID(Demographics[[#This Row],[DOB - Fixed]],3,2),LEFT(Demographics[[#This Row],[DOB - Fixed]],2))))/365,0)</f>
        <v>40.210958904109589</v>
      </c>
      <c r="J2061">
        <f>VLOOKUP(Demographics[[#This Row],[INCOME LEVEL]],Income[],4,FALSE)</f>
        <v>175</v>
      </c>
      <c r="K2061">
        <f>IFERROR(Demographics[[#This Row],[Total monthly income]]/Demographics[[#This Row],[FAMILY SIZE]], 0)</f>
        <v>0</v>
      </c>
    </row>
    <row r="2062" spans="1:11" x14ac:dyDescent="0.2">
      <c r="A2062">
        <v>2769077</v>
      </c>
      <c r="B2062">
        <v>16021988</v>
      </c>
      <c r="C2062">
        <v>5</v>
      </c>
      <c r="D2062">
        <v>1</v>
      </c>
      <c r="E2062">
        <v>1</v>
      </c>
      <c r="F2062">
        <v>5</v>
      </c>
      <c r="G2062">
        <v>4</v>
      </c>
      <c r="H2062" t="str">
        <f>IF(Demographics[[#This Row],[DOB]]&gt;10000000, TEXT(Demographics[[#This Row],[DOB]],0),CONCATENATE("0",TEXT(Demographics[[#This Row],[DOB]],0)))</f>
        <v>16021988</v>
      </c>
      <c r="I2062" s="4">
        <f ca="1">IFERROR((VALUE(TODAY()-DATE(RIGHT(Demographics[[#This Row],[DOB - Fixed]],4),MID(Demographics[[#This Row],[DOB - Fixed]],3,2),LEFT(Demographics[[#This Row],[DOB - Fixed]],2))))/365,0)</f>
        <v>35.583561643835615</v>
      </c>
      <c r="J2062">
        <f>VLOOKUP(Demographics[[#This Row],[INCOME LEVEL]],Income[],4,FALSE)</f>
        <v>175</v>
      </c>
      <c r="K2062">
        <f>IFERROR(Demographics[[#This Row],[Total monthly income]]/Demographics[[#This Row],[FAMILY SIZE]], 0)</f>
        <v>35</v>
      </c>
    </row>
    <row r="2063" spans="1:11" x14ac:dyDescent="0.2">
      <c r="A2063">
        <v>21044362</v>
      </c>
      <c r="B2063">
        <v>29081988</v>
      </c>
      <c r="C2063">
        <v>5</v>
      </c>
      <c r="D2063">
        <v>1</v>
      </c>
      <c r="E2063">
        <v>1</v>
      </c>
      <c r="F2063">
        <v>2</v>
      </c>
      <c r="G2063">
        <v>2</v>
      </c>
      <c r="H2063" t="str">
        <f>IF(Demographics[[#This Row],[DOB]]&gt;10000000, TEXT(Demographics[[#This Row],[DOB]],0),CONCATENATE("0",TEXT(Demographics[[#This Row],[DOB]],0)))</f>
        <v>29081988</v>
      </c>
      <c r="I2063" s="4">
        <f ca="1">IFERROR((VALUE(TODAY()-DATE(RIGHT(Demographics[[#This Row],[DOB - Fixed]],4),MID(Demographics[[#This Row],[DOB - Fixed]],3,2),LEFT(Demographics[[#This Row],[DOB - Fixed]],2))))/365,0)</f>
        <v>35.049315068493151</v>
      </c>
      <c r="J2063">
        <f>VLOOKUP(Demographics[[#This Row],[INCOME LEVEL]],Income[],4,FALSE)</f>
        <v>175</v>
      </c>
      <c r="K2063">
        <f>IFERROR(Demographics[[#This Row],[Total monthly income]]/Demographics[[#This Row],[FAMILY SIZE]], 0)</f>
        <v>35</v>
      </c>
    </row>
    <row r="2064" spans="1:11" x14ac:dyDescent="0.2">
      <c r="A2064">
        <v>23912769</v>
      </c>
      <c r="B2064">
        <v>5071988</v>
      </c>
      <c r="C2064">
        <v>5</v>
      </c>
      <c r="D2064">
        <v>1</v>
      </c>
      <c r="E2064">
        <v>1</v>
      </c>
      <c r="F2064">
        <v>3</v>
      </c>
      <c r="G2064">
        <v>4</v>
      </c>
      <c r="H2064" t="str">
        <f>IF(Demographics[[#This Row],[DOB]]&gt;10000000, TEXT(Demographics[[#This Row],[DOB]],0),CONCATENATE("0",TEXT(Demographics[[#This Row],[DOB]],0)))</f>
        <v>05071988</v>
      </c>
      <c r="I2064" s="4">
        <f ca="1">IFERROR((VALUE(TODAY()-DATE(RIGHT(Demographics[[#This Row],[DOB - Fixed]],4),MID(Demographics[[#This Row],[DOB - Fixed]],3,2),LEFT(Demographics[[#This Row],[DOB - Fixed]],2))))/365,0)</f>
        <v>35.200000000000003</v>
      </c>
      <c r="J2064">
        <f>VLOOKUP(Demographics[[#This Row],[INCOME LEVEL]],Income[],4,FALSE)</f>
        <v>175</v>
      </c>
      <c r="K2064">
        <f>IFERROR(Demographics[[#This Row],[Total monthly income]]/Demographics[[#This Row],[FAMILY SIZE]], 0)</f>
        <v>35</v>
      </c>
    </row>
    <row r="2065" spans="1:11" x14ac:dyDescent="0.2">
      <c r="A2065">
        <v>1150694</v>
      </c>
      <c r="B2065">
        <v>22021987</v>
      </c>
      <c r="C2065">
        <v>0</v>
      </c>
      <c r="D2065">
        <v>0</v>
      </c>
      <c r="E2065">
        <v>0</v>
      </c>
      <c r="F2065">
        <v>0</v>
      </c>
      <c r="G2065">
        <v>0</v>
      </c>
      <c r="H2065" t="str">
        <f>IF(Demographics[[#This Row],[DOB]]&gt;10000000, TEXT(Demographics[[#This Row],[DOB]],0),CONCATENATE("0",TEXT(Demographics[[#This Row],[DOB]],0)))</f>
        <v>22021987</v>
      </c>
      <c r="I2065" s="4">
        <f ca="1">IFERROR((VALUE(TODAY()-DATE(RIGHT(Demographics[[#This Row],[DOB - Fixed]],4),MID(Demographics[[#This Row],[DOB - Fixed]],3,2),LEFT(Demographics[[#This Row],[DOB - Fixed]],2))))/365,0)</f>
        <v>36.56712328767123</v>
      </c>
      <c r="J2065" t="e">
        <f>VLOOKUP(Demographics[[#This Row],[INCOME LEVEL]],Income[],4,FALSE)</f>
        <v>#N/A</v>
      </c>
      <c r="K2065">
        <f>IFERROR(Demographics[[#This Row],[Total monthly income]]/Demographics[[#This Row],[FAMILY SIZE]], 0)</f>
        <v>0</v>
      </c>
    </row>
    <row r="2066" spans="1:11" x14ac:dyDescent="0.2">
      <c r="A2066">
        <v>14833835</v>
      </c>
      <c r="B2066">
        <v>25111988</v>
      </c>
      <c r="C2066">
        <v>5</v>
      </c>
      <c r="D2066">
        <v>1</v>
      </c>
      <c r="E2066">
        <v>1</v>
      </c>
      <c r="F2066">
        <v>5</v>
      </c>
      <c r="G2066">
        <v>5</v>
      </c>
      <c r="H2066" t="str">
        <f>IF(Demographics[[#This Row],[DOB]]&gt;10000000, TEXT(Demographics[[#This Row],[DOB]],0),CONCATENATE("0",TEXT(Demographics[[#This Row],[DOB]],0)))</f>
        <v>25111988</v>
      </c>
      <c r="I2066" s="4">
        <f ca="1">IFERROR((VALUE(TODAY()-DATE(RIGHT(Demographics[[#This Row],[DOB - Fixed]],4),MID(Demographics[[#This Row],[DOB - Fixed]],3,2),LEFT(Demographics[[#This Row],[DOB - Fixed]],2))))/365,0)</f>
        <v>34.80821917808219</v>
      </c>
      <c r="J2066">
        <f>VLOOKUP(Demographics[[#This Row],[INCOME LEVEL]],Income[],4,FALSE)</f>
        <v>175</v>
      </c>
      <c r="K2066">
        <f>IFERROR(Demographics[[#This Row],[Total monthly income]]/Demographics[[#This Row],[FAMILY SIZE]], 0)</f>
        <v>35</v>
      </c>
    </row>
    <row r="2067" spans="1:11" x14ac:dyDescent="0.2">
      <c r="A2067">
        <v>9060967</v>
      </c>
      <c r="B2067">
        <v>19031988</v>
      </c>
      <c r="C2067">
        <v>5</v>
      </c>
      <c r="D2067">
        <v>2</v>
      </c>
      <c r="E2067">
        <v>1</v>
      </c>
      <c r="F2067">
        <v>4</v>
      </c>
      <c r="G2067">
        <v>3</v>
      </c>
      <c r="H2067" t="str">
        <f>IF(Demographics[[#This Row],[DOB]]&gt;10000000, TEXT(Demographics[[#This Row],[DOB]],0),CONCATENATE("0",TEXT(Demographics[[#This Row],[DOB]],0)))</f>
        <v>19031988</v>
      </c>
      <c r="I2067" s="4">
        <f ca="1">IFERROR((VALUE(TODAY()-DATE(RIGHT(Demographics[[#This Row],[DOB - Fixed]],4),MID(Demographics[[#This Row],[DOB - Fixed]],3,2),LEFT(Demographics[[#This Row],[DOB - Fixed]],2))))/365,0)</f>
        <v>35.495890410958907</v>
      </c>
      <c r="J2067">
        <f>VLOOKUP(Demographics[[#This Row],[INCOME LEVEL]],Income[],4,FALSE)</f>
        <v>175</v>
      </c>
      <c r="K2067">
        <f>IFERROR(Demographics[[#This Row],[Total monthly income]]/Demographics[[#This Row],[FAMILY SIZE]], 0)</f>
        <v>35</v>
      </c>
    </row>
    <row r="2068" spans="1:11" x14ac:dyDescent="0.2">
      <c r="A2068">
        <v>2432425</v>
      </c>
      <c r="B2068">
        <v>21051989</v>
      </c>
      <c r="C2068">
        <v>4</v>
      </c>
      <c r="D2068">
        <v>1</v>
      </c>
      <c r="E2068">
        <v>1</v>
      </c>
      <c r="F2068">
        <v>0</v>
      </c>
      <c r="G2068">
        <v>9</v>
      </c>
      <c r="H2068" t="str">
        <f>IF(Demographics[[#This Row],[DOB]]&gt;10000000, TEXT(Demographics[[#This Row],[DOB]],0),CONCATENATE("0",TEXT(Demographics[[#This Row],[DOB]],0)))</f>
        <v>21051989</v>
      </c>
      <c r="I2068" s="4">
        <f ca="1">IFERROR((VALUE(TODAY()-DATE(RIGHT(Demographics[[#This Row],[DOB - Fixed]],4),MID(Demographics[[#This Row],[DOB - Fixed]],3,2),LEFT(Demographics[[#This Row],[DOB - Fixed]],2))))/365,0)</f>
        <v>34.323287671232876</v>
      </c>
      <c r="J2068">
        <f>VLOOKUP(Demographics[[#This Row],[INCOME LEVEL]],Income[],4,FALSE)</f>
        <v>175</v>
      </c>
      <c r="K2068">
        <f>IFERROR(Demographics[[#This Row],[Total monthly income]]/Demographics[[#This Row],[FAMILY SIZE]], 0)</f>
        <v>43.75</v>
      </c>
    </row>
    <row r="2069" spans="1:11" x14ac:dyDescent="0.2">
      <c r="A2069">
        <v>2322837</v>
      </c>
      <c r="B2069">
        <v>23051989</v>
      </c>
      <c r="C2069">
        <v>5</v>
      </c>
      <c r="D2069">
        <v>1</v>
      </c>
      <c r="E2069">
        <v>1</v>
      </c>
      <c r="F2069">
        <v>4</v>
      </c>
      <c r="G2069">
        <v>4</v>
      </c>
      <c r="H2069" t="str">
        <f>IF(Demographics[[#This Row],[DOB]]&gt;10000000, TEXT(Demographics[[#This Row],[DOB]],0),CONCATENATE("0",TEXT(Demographics[[#This Row],[DOB]],0)))</f>
        <v>23051989</v>
      </c>
      <c r="I2069" s="4">
        <f ca="1">IFERROR((VALUE(TODAY()-DATE(RIGHT(Demographics[[#This Row],[DOB - Fixed]],4),MID(Demographics[[#This Row],[DOB - Fixed]],3,2),LEFT(Demographics[[#This Row],[DOB - Fixed]],2))))/365,0)</f>
        <v>34.317808219178083</v>
      </c>
      <c r="J2069">
        <f>VLOOKUP(Demographics[[#This Row],[INCOME LEVEL]],Income[],4,FALSE)</f>
        <v>175</v>
      </c>
      <c r="K2069">
        <f>IFERROR(Demographics[[#This Row],[Total monthly income]]/Demographics[[#This Row],[FAMILY SIZE]], 0)</f>
        <v>35</v>
      </c>
    </row>
    <row r="2070" spans="1:11" x14ac:dyDescent="0.2">
      <c r="A2070">
        <v>12413594</v>
      </c>
      <c r="B2070">
        <v>24031989</v>
      </c>
      <c r="C2070">
        <v>4</v>
      </c>
      <c r="D2070">
        <v>2</v>
      </c>
      <c r="E2070">
        <v>1</v>
      </c>
      <c r="F2070">
        <v>3</v>
      </c>
      <c r="G2070">
        <v>5</v>
      </c>
      <c r="H2070" t="str">
        <f>IF(Demographics[[#This Row],[DOB]]&gt;10000000, TEXT(Demographics[[#This Row],[DOB]],0),CONCATENATE("0",TEXT(Demographics[[#This Row],[DOB]],0)))</f>
        <v>24031989</v>
      </c>
      <c r="I2070" s="4">
        <f ca="1">IFERROR((VALUE(TODAY()-DATE(RIGHT(Demographics[[#This Row],[DOB - Fixed]],4),MID(Demographics[[#This Row],[DOB - Fixed]],3,2),LEFT(Demographics[[#This Row],[DOB - Fixed]],2))))/365,0)</f>
        <v>34.482191780821921</v>
      </c>
      <c r="J2070">
        <f>VLOOKUP(Demographics[[#This Row],[INCOME LEVEL]],Income[],4,FALSE)</f>
        <v>175</v>
      </c>
      <c r="K2070">
        <f>IFERROR(Demographics[[#This Row],[Total monthly income]]/Demographics[[#This Row],[FAMILY SIZE]], 0)</f>
        <v>43.75</v>
      </c>
    </row>
    <row r="2071" spans="1:11" x14ac:dyDescent="0.2">
      <c r="A2071">
        <v>9167892</v>
      </c>
      <c r="B2071">
        <v>25041989</v>
      </c>
      <c r="C2071">
        <v>5</v>
      </c>
      <c r="D2071">
        <v>1</v>
      </c>
      <c r="E2071">
        <v>2</v>
      </c>
      <c r="F2071">
        <v>9</v>
      </c>
      <c r="G2071">
        <v>5</v>
      </c>
      <c r="H2071" t="str">
        <f>IF(Demographics[[#This Row],[DOB]]&gt;10000000, TEXT(Demographics[[#This Row],[DOB]],0),CONCATENATE("0",TEXT(Demographics[[#This Row],[DOB]],0)))</f>
        <v>25041989</v>
      </c>
      <c r="I2071" s="4">
        <f ca="1">IFERROR((VALUE(TODAY()-DATE(RIGHT(Demographics[[#This Row],[DOB - Fixed]],4),MID(Demographics[[#This Row],[DOB - Fixed]],3,2),LEFT(Demographics[[#This Row],[DOB - Fixed]],2))))/365,0)</f>
        <v>34.394520547945206</v>
      </c>
      <c r="J2071">
        <f>VLOOKUP(Demographics[[#This Row],[INCOME LEVEL]],Income[],4,FALSE)</f>
        <v>697.5</v>
      </c>
      <c r="K2071">
        <f>IFERROR(Demographics[[#This Row],[Total monthly income]]/Demographics[[#This Row],[FAMILY SIZE]], 0)</f>
        <v>139.5</v>
      </c>
    </row>
    <row r="2072" spans="1:11" x14ac:dyDescent="0.2">
      <c r="A2072">
        <v>8317492</v>
      </c>
      <c r="B2072">
        <v>27021989</v>
      </c>
      <c r="C2072">
        <v>5</v>
      </c>
      <c r="D2072">
        <v>1</v>
      </c>
      <c r="E2072">
        <v>2</v>
      </c>
      <c r="F2072">
        <v>8</v>
      </c>
      <c r="G2072">
        <v>9</v>
      </c>
      <c r="H2072" t="str">
        <f>IF(Demographics[[#This Row],[DOB]]&gt;10000000, TEXT(Demographics[[#This Row],[DOB]],0),CONCATENATE("0",TEXT(Demographics[[#This Row],[DOB]],0)))</f>
        <v>27021989</v>
      </c>
      <c r="I2072" s="4">
        <f ca="1">IFERROR((VALUE(TODAY()-DATE(RIGHT(Demographics[[#This Row],[DOB - Fixed]],4),MID(Demographics[[#This Row],[DOB - Fixed]],3,2),LEFT(Demographics[[#This Row],[DOB - Fixed]],2))))/365,0)</f>
        <v>34.550684931506851</v>
      </c>
      <c r="J2072">
        <f>VLOOKUP(Demographics[[#This Row],[INCOME LEVEL]],Income[],4,FALSE)</f>
        <v>697.5</v>
      </c>
      <c r="K2072">
        <f>IFERROR(Demographics[[#This Row],[Total monthly income]]/Demographics[[#This Row],[FAMILY SIZE]], 0)</f>
        <v>139.5</v>
      </c>
    </row>
    <row r="2073" spans="1:11" x14ac:dyDescent="0.2">
      <c r="A2073">
        <v>21571091</v>
      </c>
      <c r="B2073">
        <v>14101985</v>
      </c>
      <c r="C2073">
        <v>5</v>
      </c>
      <c r="D2073">
        <v>1</v>
      </c>
      <c r="E2073">
        <v>1</v>
      </c>
      <c r="F2073">
        <v>5</v>
      </c>
      <c r="G2073">
        <v>5</v>
      </c>
      <c r="H2073" t="str">
        <f>IF(Demographics[[#This Row],[DOB]]&gt;10000000, TEXT(Demographics[[#This Row],[DOB]],0),CONCATENATE("0",TEXT(Demographics[[#This Row],[DOB]],0)))</f>
        <v>14101985</v>
      </c>
      <c r="I2073" s="4">
        <f ca="1">IFERROR((VALUE(TODAY()-DATE(RIGHT(Demographics[[#This Row],[DOB - Fixed]],4),MID(Demographics[[#This Row],[DOB - Fixed]],3,2),LEFT(Demographics[[#This Row],[DOB - Fixed]],2))))/365,0)</f>
        <v>37.926027397260277</v>
      </c>
      <c r="J2073">
        <f>VLOOKUP(Demographics[[#This Row],[INCOME LEVEL]],Income[],4,FALSE)</f>
        <v>175</v>
      </c>
      <c r="K2073">
        <f>IFERROR(Demographics[[#This Row],[Total monthly income]]/Demographics[[#This Row],[FAMILY SIZE]], 0)</f>
        <v>35</v>
      </c>
    </row>
    <row r="2074" spans="1:11" x14ac:dyDescent="0.2">
      <c r="A2074">
        <v>17096114</v>
      </c>
      <c r="B2074">
        <v>30121987</v>
      </c>
      <c r="C2074">
        <v>4</v>
      </c>
      <c r="D2074">
        <v>1</v>
      </c>
      <c r="E2074">
        <v>1</v>
      </c>
      <c r="F2074">
        <v>0</v>
      </c>
      <c r="G2074">
        <v>0</v>
      </c>
      <c r="H2074" t="str">
        <f>IF(Demographics[[#This Row],[DOB]]&gt;10000000, TEXT(Demographics[[#This Row],[DOB]],0),CONCATENATE("0",TEXT(Demographics[[#This Row],[DOB]],0)))</f>
        <v>30121987</v>
      </c>
      <c r="I2074" s="4">
        <f ca="1">IFERROR((VALUE(TODAY()-DATE(RIGHT(Demographics[[#This Row],[DOB - Fixed]],4),MID(Demographics[[#This Row],[DOB - Fixed]],3,2),LEFT(Demographics[[#This Row],[DOB - Fixed]],2))))/365,0)</f>
        <v>35.715068493150682</v>
      </c>
      <c r="J2074">
        <f>VLOOKUP(Demographics[[#This Row],[INCOME LEVEL]],Income[],4,FALSE)</f>
        <v>175</v>
      </c>
      <c r="K2074">
        <f>IFERROR(Demographics[[#This Row],[Total monthly income]]/Demographics[[#This Row],[FAMILY SIZE]], 0)</f>
        <v>43.75</v>
      </c>
    </row>
    <row r="2075" spans="1:11" x14ac:dyDescent="0.2">
      <c r="A2075">
        <v>354176</v>
      </c>
      <c r="B2075">
        <v>5061989</v>
      </c>
      <c r="C2075">
        <v>7</v>
      </c>
      <c r="D2075">
        <v>1</v>
      </c>
      <c r="E2075">
        <v>1</v>
      </c>
      <c r="F2075">
        <v>5</v>
      </c>
      <c r="G2075">
        <v>5</v>
      </c>
      <c r="H2075" t="str">
        <f>IF(Demographics[[#This Row],[DOB]]&gt;10000000, TEXT(Demographics[[#This Row],[DOB]],0),CONCATENATE("0",TEXT(Demographics[[#This Row],[DOB]],0)))</f>
        <v>05061989</v>
      </c>
      <c r="I2075" s="4">
        <f ca="1">IFERROR((VALUE(TODAY()-DATE(RIGHT(Demographics[[#This Row],[DOB - Fixed]],4),MID(Demographics[[#This Row],[DOB - Fixed]],3,2),LEFT(Demographics[[#This Row],[DOB - Fixed]],2))))/365,0)</f>
        <v>34.282191780821918</v>
      </c>
      <c r="J2075">
        <f>VLOOKUP(Demographics[[#This Row],[INCOME LEVEL]],Income[],4,FALSE)</f>
        <v>175</v>
      </c>
      <c r="K2075">
        <f>IFERROR(Demographics[[#This Row],[Total monthly income]]/Demographics[[#This Row],[FAMILY SIZE]], 0)</f>
        <v>25</v>
      </c>
    </row>
    <row r="2076" spans="1:11" x14ac:dyDescent="0.2">
      <c r="A2076">
        <v>8669103</v>
      </c>
      <c r="B2076">
        <v>10081988</v>
      </c>
      <c r="C2076">
        <v>3</v>
      </c>
      <c r="D2076">
        <v>1</v>
      </c>
      <c r="E2076">
        <v>1</v>
      </c>
      <c r="F2076">
        <v>3</v>
      </c>
      <c r="G2076">
        <v>5</v>
      </c>
      <c r="H2076" t="str">
        <f>IF(Demographics[[#This Row],[DOB]]&gt;10000000, TEXT(Demographics[[#This Row],[DOB]],0),CONCATENATE("0",TEXT(Demographics[[#This Row],[DOB]],0)))</f>
        <v>10081988</v>
      </c>
      <c r="I2076" s="4">
        <f ca="1">IFERROR((VALUE(TODAY()-DATE(RIGHT(Demographics[[#This Row],[DOB - Fixed]],4),MID(Demographics[[#This Row],[DOB - Fixed]],3,2),LEFT(Demographics[[#This Row],[DOB - Fixed]],2))))/365,0)</f>
        <v>35.101369863013701</v>
      </c>
      <c r="J2076">
        <f>VLOOKUP(Demographics[[#This Row],[INCOME LEVEL]],Income[],4,FALSE)</f>
        <v>175</v>
      </c>
      <c r="K2076">
        <f>IFERROR(Demographics[[#This Row],[Total monthly income]]/Demographics[[#This Row],[FAMILY SIZE]], 0)</f>
        <v>58.333333333333336</v>
      </c>
    </row>
    <row r="2077" spans="1:11" x14ac:dyDescent="0.2">
      <c r="A2077">
        <v>3069430</v>
      </c>
      <c r="B2077">
        <v>6121988</v>
      </c>
      <c r="C2077">
        <v>5</v>
      </c>
      <c r="D2077">
        <v>2</v>
      </c>
      <c r="E2077">
        <v>1</v>
      </c>
      <c r="F2077">
        <v>4</v>
      </c>
      <c r="G2077">
        <v>3</v>
      </c>
      <c r="H2077" t="str">
        <f>IF(Demographics[[#This Row],[DOB]]&gt;10000000, TEXT(Demographics[[#This Row],[DOB]],0),CONCATENATE("0",TEXT(Demographics[[#This Row],[DOB]],0)))</f>
        <v>06121988</v>
      </c>
      <c r="I2077" s="4">
        <f ca="1">IFERROR((VALUE(TODAY()-DATE(RIGHT(Demographics[[#This Row],[DOB - Fixed]],4),MID(Demographics[[#This Row],[DOB - Fixed]],3,2),LEFT(Demographics[[#This Row],[DOB - Fixed]],2))))/365,0)</f>
        <v>34.778082191780825</v>
      </c>
      <c r="J2077">
        <f>VLOOKUP(Demographics[[#This Row],[INCOME LEVEL]],Income[],4,FALSE)</f>
        <v>175</v>
      </c>
      <c r="K2077">
        <f>IFERROR(Demographics[[#This Row],[Total monthly income]]/Demographics[[#This Row],[FAMILY SIZE]], 0)</f>
        <v>35</v>
      </c>
    </row>
    <row r="2078" spans="1:11" x14ac:dyDescent="0.2">
      <c r="A2078">
        <v>13924049</v>
      </c>
      <c r="B2078">
        <v>2051989</v>
      </c>
      <c r="C2078">
        <v>4</v>
      </c>
      <c r="D2078">
        <v>0</v>
      </c>
      <c r="E2078">
        <v>1</v>
      </c>
      <c r="F2078">
        <v>0</v>
      </c>
      <c r="G2078">
        <v>0</v>
      </c>
      <c r="H2078" t="str">
        <f>IF(Demographics[[#This Row],[DOB]]&gt;10000000, TEXT(Demographics[[#This Row],[DOB]],0),CONCATENATE("0",TEXT(Demographics[[#This Row],[DOB]],0)))</f>
        <v>02051989</v>
      </c>
      <c r="I2078" s="4">
        <f ca="1">IFERROR((VALUE(TODAY()-DATE(RIGHT(Demographics[[#This Row],[DOB - Fixed]],4),MID(Demographics[[#This Row],[DOB - Fixed]],3,2),LEFT(Demographics[[#This Row],[DOB - Fixed]],2))))/365,0)</f>
        <v>34.375342465753427</v>
      </c>
      <c r="J2078">
        <f>VLOOKUP(Demographics[[#This Row],[INCOME LEVEL]],Income[],4,FALSE)</f>
        <v>175</v>
      </c>
      <c r="K2078">
        <f>IFERROR(Demographics[[#This Row],[Total monthly income]]/Demographics[[#This Row],[FAMILY SIZE]], 0)</f>
        <v>43.75</v>
      </c>
    </row>
    <row r="2079" spans="1:11" x14ac:dyDescent="0.2">
      <c r="A2079">
        <v>20723789</v>
      </c>
      <c r="B2079">
        <v>3091987</v>
      </c>
      <c r="C2079">
        <v>6</v>
      </c>
      <c r="D2079">
        <v>1</v>
      </c>
      <c r="E2079">
        <v>1</v>
      </c>
      <c r="F2079">
        <v>3</v>
      </c>
      <c r="G2079">
        <v>3</v>
      </c>
      <c r="H2079" t="str">
        <f>IF(Demographics[[#This Row],[DOB]]&gt;10000000, TEXT(Demographics[[#This Row],[DOB]],0),CONCATENATE("0",TEXT(Demographics[[#This Row],[DOB]],0)))</f>
        <v>03091987</v>
      </c>
      <c r="I2079" s="4">
        <f ca="1">IFERROR((VALUE(TODAY()-DATE(RIGHT(Demographics[[#This Row],[DOB - Fixed]],4),MID(Demographics[[#This Row],[DOB - Fixed]],3,2),LEFT(Demographics[[#This Row],[DOB - Fixed]],2))))/365,0)</f>
        <v>36.038356164383565</v>
      </c>
      <c r="J2079">
        <f>VLOOKUP(Demographics[[#This Row],[INCOME LEVEL]],Income[],4,FALSE)</f>
        <v>175</v>
      </c>
      <c r="K2079">
        <f>IFERROR(Demographics[[#This Row],[Total monthly income]]/Demographics[[#This Row],[FAMILY SIZE]], 0)</f>
        <v>29.166666666666668</v>
      </c>
    </row>
    <row r="2080" spans="1:11" x14ac:dyDescent="0.2">
      <c r="A2080">
        <v>2237539</v>
      </c>
      <c r="B2080">
        <v>8091986</v>
      </c>
      <c r="C2080">
        <v>5</v>
      </c>
      <c r="D2080">
        <v>1</v>
      </c>
      <c r="E2080">
        <v>1</v>
      </c>
      <c r="F2080">
        <v>0</v>
      </c>
      <c r="G2080">
        <v>5</v>
      </c>
      <c r="H2080" t="str">
        <f>IF(Demographics[[#This Row],[DOB]]&gt;10000000, TEXT(Demographics[[#This Row],[DOB]],0),CONCATENATE("0",TEXT(Demographics[[#This Row],[DOB]],0)))</f>
        <v>08091986</v>
      </c>
      <c r="I2080" s="4">
        <f ca="1">IFERROR((VALUE(TODAY()-DATE(RIGHT(Demographics[[#This Row],[DOB - Fixed]],4),MID(Demographics[[#This Row],[DOB - Fixed]],3,2),LEFT(Demographics[[#This Row],[DOB - Fixed]],2))))/365,0)</f>
        <v>37.024657534246572</v>
      </c>
      <c r="J2080">
        <f>VLOOKUP(Demographics[[#This Row],[INCOME LEVEL]],Income[],4,FALSE)</f>
        <v>175</v>
      </c>
      <c r="K2080">
        <f>IFERROR(Demographics[[#This Row],[Total monthly income]]/Demographics[[#This Row],[FAMILY SIZE]], 0)</f>
        <v>35</v>
      </c>
    </row>
    <row r="2081" spans="1:11" x14ac:dyDescent="0.2">
      <c r="A2081">
        <v>19111683</v>
      </c>
      <c r="B2081">
        <v>5101985</v>
      </c>
      <c r="C2081">
        <v>4</v>
      </c>
      <c r="D2081">
        <v>1</v>
      </c>
      <c r="E2081">
        <v>1</v>
      </c>
      <c r="F2081">
        <v>4</v>
      </c>
      <c r="G2081">
        <v>4</v>
      </c>
      <c r="H2081" t="str">
        <f>IF(Demographics[[#This Row],[DOB]]&gt;10000000, TEXT(Demographics[[#This Row],[DOB]],0),CONCATENATE("0",TEXT(Demographics[[#This Row],[DOB]],0)))</f>
        <v>05101985</v>
      </c>
      <c r="I2081" s="4">
        <f ca="1">IFERROR((VALUE(TODAY()-DATE(RIGHT(Demographics[[#This Row],[DOB - Fixed]],4),MID(Demographics[[#This Row],[DOB - Fixed]],3,2),LEFT(Demographics[[#This Row],[DOB - Fixed]],2))))/365,0)</f>
        <v>37.950684931506849</v>
      </c>
      <c r="J2081">
        <f>VLOOKUP(Demographics[[#This Row],[INCOME LEVEL]],Income[],4,FALSE)</f>
        <v>175</v>
      </c>
      <c r="K2081">
        <f>IFERROR(Demographics[[#This Row],[Total monthly income]]/Demographics[[#This Row],[FAMILY SIZE]], 0)</f>
        <v>43.75</v>
      </c>
    </row>
    <row r="2082" spans="1:11" x14ac:dyDescent="0.2">
      <c r="A2082">
        <v>16706742</v>
      </c>
      <c r="B2082">
        <v>14101987</v>
      </c>
      <c r="C2082">
        <v>7</v>
      </c>
      <c r="D2082">
        <v>2</v>
      </c>
      <c r="E2082">
        <v>2</v>
      </c>
      <c r="F2082">
        <v>5</v>
      </c>
      <c r="G2082">
        <v>4</v>
      </c>
      <c r="H2082" t="str">
        <f>IF(Demographics[[#This Row],[DOB]]&gt;10000000, TEXT(Demographics[[#This Row],[DOB]],0),CONCATENATE("0",TEXT(Demographics[[#This Row],[DOB]],0)))</f>
        <v>14101987</v>
      </c>
      <c r="I2082" s="4">
        <f ca="1">IFERROR((VALUE(TODAY()-DATE(RIGHT(Demographics[[#This Row],[DOB - Fixed]],4),MID(Demographics[[#This Row],[DOB - Fixed]],3,2),LEFT(Demographics[[#This Row],[DOB - Fixed]],2))))/365,0)</f>
        <v>35.926027397260277</v>
      </c>
      <c r="J2082">
        <f>VLOOKUP(Demographics[[#This Row],[INCOME LEVEL]],Income[],4,FALSE)</f>
        <v>697.5</v>
      </c>
      <c r="K2082">
        <f>IFERROR(Demographics[[#This Row],[Total monthly income]]/Demographics[[#This Row],[FAMILY SIZE]], 0)</f>
        <v>99.642857142857139</v>
      </c>
    </row>
    <row r="2083" spans="1:11" x14ac:dyDescent="0.2">
      <c r="A2083">
        <v>24444619</v>
      </c>
      <c r="B2083">
        <v>1041988</v>
      </c>
      <c r="C2083">
        <v>3</v>
      </c>
      <c r="D2083">
        <v>1</v>
      </c>
      <c r="E2083">
        <v>2</v>
      </c>
      <c r="F2083">
        <v>0</v>
      </c>
      <c r="G2083">
        <v>8</v>
      </c>
      <c r="H2083" t="str">
        <f>IF(Demographics[[#This Row],[DOB]]&gt;10000000, TEXT(Demographics[[#This Row],[DOB]],0),CONCATENATE("0",TEXT(Demographics[[#This Row],[DOB]],0)))</f>
        <v>01041988</v>
      </c>
      <c r="I2083" s="4">
        <f ca="1">IFERROR((VALUE(TODAY()-DATE(RIGHT(Demographics[[#This Row],[DOB - Fixed]],4),MID(Demographics[[#This Row],[DOB - Fixed]],3,2),LEFT(Demographics[[#This Row],[DOB - Fixed]],2))))/365,0)</f>
        <v>35.460273972602742</v>
      </c>
      <c r="J2083">
        <f>VLOOKUP(Demographics[[#This Row],[INCOME LEVEL]],Income[],4,FALSE)</f>
        <v>697.5</v>
      </c>
      <c r="K2083">
        <f>IFERROR(Demographics[[#This Row],[Total monthly income]]/Demographics[[#This Row],[FAMILY SIZE]], 0)</f>
        <v>232.5</v>
      </c>
    </row>
    <row r="2084" spans="1:11" x14ac:dyDescent="0.2">
      <c r="A2084">
        <v>9226903</v>
      </c>
      <c r="B2084">
        <v>15061988</v>
      </c>
      <c r="C2084">
        <v>3</v>
      </c>
      <c r="D2084">
        <v>1</v>
      </c>
      <c r="E2084">
        <v>2</v>
      </c>
      <c r="F2084">
        <v>5</v>
      </c>
      <c r="G2084">
        <v>4</v>
      </c>
      <c r="H2084" t="str">
        <f>IF(Demographics[[#This Row],[DOB]]&gt;10000000, TEXT(Demographics[[#This Row],[DOB]],0),CONCATENATE("0",TEXT(Demographics[[#This Row],[DOB]],0)))</f>
        <v>15061988</v>
      </c>
      <c r="I2084" s="4">
        <f ca="1">IFERROR((VALUE(TODAY()-DATE(RIGHT(Demographics[[#This Row],[DOB - Fixed]],4),MID(Demographics[[#This Row],[DOB - Fixed]],3,2),LEFT(Demographics[[#This Row],[DOB - Fixed]],2))))/365,0)</f>
        <v>35.254794520547946</v>
      </c>
      <c r="J2084">
        <f>VLOOKUP(Demographics[[#This Row],[INCOME LEVEL]],Income[],4,FALSE)</f>
        <v>697.5</v>
      </c>
      <c r="K2084">
        <f>IFERROR(Demographics[[#This Row],[Total monthly income]]/Demographics[[#This Row],[FAMILY SIZE]], 0)</f>
        <v>232.5</v>
      </c>
    </row>
    <row r="2085" spans="1:11" x14ac:dyDescent="0.2">
      <c r="A2085">
        <v>7139023</v>
      </c>
      <c r="B2085">
        <v>3081988</v>
      </c>
      <c r="C2085">
        <v>4</v>
      </c>
      <c r="D2085">
        <v>1</v>
      </c>
      <c r="E2085">
        <v>2</v>
      </c>
      <c r="F2085">
        <v>8</v>
      </c>
      <c r="G2085">
        <v>4</v>
      </c>
      <c r="H2085" t="str">
        <f>IF(Demographics[[#This Row],[DOB]]&gt;10000000, TEXT(Demographics[[#This Row],[DOB]],0),CONCATENATE("0",TEXT(Demographics[[#This Row],[DOB]],0)))</f>
        <v>03081988</v>
      </c>
      <c r="I2085" s="4">
        <f ca="1">IFERROR((VALUE(TODAY()-DATE(RIGHT(Demographics[[#This Row],[DOB - Fixed]],4),MID(Demographics[[#This Row],[DOB - Fixed]],3,2),LEFT(Demographics[[#This Row],[DOB - Fixed]],2))))/365,0)</f>
        <v>35.12054794520548</v>
      </c>
      <c r="J2085">
        <f>VLOOKUP(Demographics[[#This Row],[INCOME LEVEL]],Income[],4,FALSE)</f>
        <v>697.5</v>
      </c>
      <c r="K2085">
        <f>IFERROR(Demographics[[#This Row],[Total monthly income]]/Demographics[[#This Row],[FAMILY SIZE]], 0)</f>
        <v>174.375</v>
      </c>
    </row>
    <row r="2086" spans="1:11" x14ac:dyDescent="0.2">
      <c r="A2086">
        <v>9758496</v>
      </c>
      <c r="B2086">
        <v>15101987</v>
      </c>
      <c r="C2086">
        <v>5</v>
      </c>
      <c r="D2086">
        <v>0</v>
      </c>
      <c r="E2086">
        <v>1</v>
      </c>
      <c r="F2086">
        <v>2</v>
      </c>
      <c r="G2086">
        <v>5</v>
      </c>
      <c r="H2086" t="str">
        <f>IF(Demographics[[#This Row],[DOB]]&gt;10000000, TEXT(Demographics[[#This Row],[DOB]],0),CONCATENATE("0",TEXT(Demographics[[#This Row],[DOB]],0)))</f>
        <v>15101987</v>
      </c>
      <c r="I2086" s="4">
        <f ca="1">IFERROR((VALUE(TODAY()-DATE(RIGHT(Demographics[[#This Row],[DOB - Fixed]],4),MID(Demographics[[#This Row],[DOB - Fixed]],3,2),LEFT(Demographics[[#This Row],[DOB - Fixed]],2))))/365,0)</f>
        <v>35.923287671232877</v>
      </c>
      <c r="J2086">
        <f>VLOOKUP(Demographics[[#This Row],[INCOME LEVEL]],Income[],4,FALSE)</f>
        <v>175</v>
      </c>
      <c r="K2086">
        <f>IFERROR(Demographics[[#This Row],[Total monthly income]]/Demographics[[#This Row],[FAMILY SIZE]], 0)</f>
        <v>35</v>
      </c>
    </row>
    <row r="2087" spans="1:11" x14ac:dyDescent="0.2">
      <c r="A2087">
        <v>22063463</v>
      </c>
      <c r="B2087">
        <v>25091988</v>
      </c>
      <c r="C2087">
        <v>4</v>
      </c>
      <c r="D2087">
        <v>1</v>
      </c>
      <c r="E2087">
        <v>1</v>
      </c>
      <c r="F2087">
        <v>9</v>
      </c>
      <c r="G2087">
        <v>5</v>
      </c>
      <c r="H2087" t="str">
        <f>IF(Demographics[[#This Row],[DOB]]&gt;10000000, TEXT(Demographics[[#This Row],[DOB]],0),CONCATENATE("0",TEXT(Demographics[[#This Row],[DOB]],0)))</f>
        <v>25091988</v>
      </c>
      <c r="I2087" s="4">
        <f ca="1">IFERROR((VALUE(TODAY()-DATE(RIGHT(Demographics[[#This Row],[DOB - Fixed]],4),MID(Demographics[[#This Row],[DOB - Fixed]],3,2),LEFT(Demographics[[#This Row],[DOB - Fixed]],2))))/365,0)</f>
        <v>34.975342465753428</v>
      </c>
      <c r="J2087">
        <f>VLOOKUP(Demographics[[#This Row],[INCOME LEVEL]],Income[],4,FALSE)</f>
        <v>175</v>
      </c>
      <c r="K2087">
        <f>IFERROR(Demographics[[#This Row],[Total monthly income]]/Demographics[[#This Row],[FAMILY SIZE]], 0)</f>
        <v>43.75</v>
      </c>
    </row>
    <row r="2088" spans="1:11" x14ac:dyDescent="0.2">
      <c r="A2088">
        <v>15208158</v>
      </c>
      <c r="B2088">
        <v>22071988</v>
      </c>
      <c r="C2088">
        <v>4</v>
      </c>
      <c r="D2088">
        <v>1</v>
      </c>
      <c r="E2088">
        <v>1</v>
      </c>
      <c r="F2088">
        <v>3</v>
      </c>
      <c r="G2088">
        <v>3</v>
      </c>
      <c r="H2088" t="str">
        <f>IF(Demographics[[#This Row],[DOB]]&gt;10000000, TEXT(Demographics[[#This Row],[DOB]],0),CONCATENATE("0",TEXT(Demographics[[#This Row],[DOB]],0)))</f>
        <v>22071988</v>
      </c>
      <c r="I2088" s="4">
        <f ca="1">IFERROR((VALUE(TODAY()-DATE(RIGHT(Demographics[[#This Row],[DOB - Fixed]],4),MID(Demographics[[#This Row],[DOB - Fixed]],3,2),LEFT(Demographics[[#This Row],[DOB - Fixed]],2))))/365,0)</f>
        <v>35.153424657534245</v>
      </c>
      <c r="J2088">
        <f>VLOOKUP(Demographics[[#This Row],[INCOME LEVEL]],Income[],4,FALSE)</f>
        <v>175</v>
      </c>
      <c r="K2088">
        <f>IFERROR(Demographics[[#This Row],[Total monthly income]]/Demographics[[#This Row],[FAMILY SIZE]], 0)</f>
        <v>43.75</v>
      </c>
    </row>
    <row r="2089" spans="1:11" x14ac:dyDescent="0.2">
      <c r="A2089">
        <v>9630386</v>
      </c>
      <c r="B2089">
        <v>26051989</v>
      </c>
      <c r="C2089">
        <v>5</v>
      </c>
      <c r="D2089">
        <v>0</v>
      </c>
      <c r="E2089">
        <v>2</v>
      </c>
      <c r="F2089">
        <v>5</v>
      </c>
      <c r="G2089">
        <v>5</v>
      </c>
      <c r="H2089" t="str">
        <f>IF(Demographics[[#This Row],[DOB]]&gt;10000000, TEXT(Demographics[[#This Row],[DOB]],0),CONCATENATE("0",TEXT(Demographics[[#This Row],[DOB]],0)))</f>
        <v>26051989</v>
      </c>
      <c r="I2089" s="4">
        <f ca="1">IFERROR((VALUE(TODAY()-DATE(RIGHT(Demographics[[#This Row],[DOB - Fixed]],4),MID(Demographics[[#This Row],[DOB - Fixed]],3,2),LEFT(Demographics[[#This Row],[DOB - Fixed]],2))))/365,0)</f>
        <v>34.30958904109589</v>
      </c>
      <c r="J2089">
        <f>VLOOKUP(Demographics[[#This Row],[INCOME LEVEL]],Income[],4,FALSE)</f>
        <v>697.5</v>
      </c>
      <c r="K2089">
        <f>IFERROR(Demographics[[#This Row],[Total monthly income]]/Demographics[[#This Row],[FAMILY SIZE]], 0)</f>
        <v>139.5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5CC25-B059-2941-9B2A-C27EDCB96E8F}">
  <dimension ref="A1:D7"/>
  <sheetViews>
    <sheetView workbookViewId="0">
      <selection activeCell="A2" sqref="A2:A7"/>
    </sheetView>
  </sheetViews>
  <sheetFormatPr baseColWidth="10" defaultRowHeight="16" x14ac:dyDescent="0.2"/>
  <cols>
    <col min="1" max="1" width="11.5" customWidth="1"/>
    <col min="2" max="2" width="13.5" customWidth="1"/>
    <col min="3" max="3" width="13.6640625" customWidth="1"/>
  </cols>
  <sheetData>
    <row r="1" spans="1:4" x14ac:dyDescent="0.2">
      <c r="A1" t="s">
        <v>475</v>
      </c>
      <c r="B1" t="s">
        <v>476</v>
      </c>
      <c r="C1" t="s">
        <v>477</v>
      </c>
      <c r="D1" t="s">
        <v>478</v>
      </c>
    </row>
    <row r="2" spans="1:4" x14ac:dyDescent="0.2">
      <c r="A2" s="3">
        <v>1</v>
      </c>
      <c r="B2">
        <v>0</v>
      </c>
      <c r="C2">
        <v>350</v>
      </c>
      <c r="D2">
        <f>AVERAGE(B2:C2)</f>
        <v>175</v>
      </c>
    </row>
    <row r="3" spans="1:4" x14ac:dyDescent="0.2">
      <c r="A3" s="3">
        <v>2</v>
      </c>
      <c r="B3">
        <v>350</v>
      </c>
      <c r="C3">
        <v>1045</v>
      </c>
      <c r="D3">
        <f t="shared" ref="D3:D6" si="0">AVERAGE(B3:C3)</f>
        <v>697.5</v>
      </c>
    </row>
    <row r="4" spans="1:4" x14ac:dyDescent="0.2">
      <c r="A4" s="3">
        <v>3</v>
      </c>
      <c r="B4">
        <v>1045</v>
      </c>
      <c r="C4">
        <v>1750</v>
      </c>
      <c r="D4">
        <f t="shared" si="0"/>
        <v>1397.5</v>
      </c>
    </row>
    <row r="5" spans="1:4" x14ac:dyDescent="0.2">
      <c r="A5" s="3">
        <v>4</v>
      </c>
      <c r="B5">
        <v>1750</v>
      </c>
      <c r="C5">
        <v>2450</v>
      </c>
      <c r="D5">
        <f t="shared" si="0"/>
        <v>2100</v>
      </c>
    </row>
    <row r="6" spans="1:4" x14ac:dyDescent="0.2">
      <c r="A6" s="3">
        <v>5</v>
      </c>
      <c r="B6">
        <v>2450</v>
      </c>
      <c r="C6">
        <v>3125</v>
      </c>
      <c r="D6">
        <f t="shared" si="0"/>
        <v>2787.5</v>
      </c>
    </row>
    <row r="7" spans="1:4" x14ac:dyDescent="0.2">
      <c r="A7" s="3">
        <v>6</v>
      </c>
      <c r="B7">
        <v>3125</v>
      </c>
      <c r="C7" t="s">
        <v>479</v>
      </c>
      <c r="D7">
        <v>4000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517A7-248D-614D-82ED-4D8DC5382ADD}">
  <dimension ref="A3:M16"/>
  <sheetViews>
    <sheetView workbookViewId="0">
      <selection activeCell="A3" sqref="A3"/>
    </sheetView>
  </sheetViews>
  <sheetFormatPr baseColWidth="10" defaultRowHeight="16" x14ac:dyDescent="0.2"/>
  <cols>
    <col min="1" max="1" width="41.33203125" bestFit="1" customWidth="1"/>
    <col min="2" max="2" width="15.5" bestFit="1" customWidth="1"/>
    <col min="3" max="13" width="12.1640625" bestFit="1" customWidth="1"/>
  </cols>
  <sheetData>
    <row r="3" spans="1:13" x14ac:dyDescent="0.2">
      <c r="A3" s="5" t="s">
        <v>486</v>
      </c>
      <c r="B3" s="5" t="s">
        <v>483</v>
      </c>
    </row>
    <row r="4" spans="1:13" x14ac:dyDescent="0.2">
      <c r="A4" s="5" t="s">
        <v>485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 t="s">
        <v>484</v>
      </c>
    </row>
    <row r="5" spans="1:13" x14ac:dyDescent="0.2">
      <c r="A5" s="6">
        <v>0</v>
      </c>
      <c r="B5">
        <v>30.210693027210883</v>
      </c>
      <c r="C5">
        <v>35</v>
      </c>
      <c r="D5">
        <v>12.5</v>
      </c>
      <c r="E5">
        <v>87.5</v>
      </c>
      <c r="F5">
        <v>35</v>
      </c>
      <c r="G5">
        <v>66.875</v>
      </c>
      <c r="I5">
        <v>43.75</v>
      </c>
      <c r="J5">
        <v>348.75</v>
      </c>
      <c r="K5">
        <v>232.91666666666666</v>
      </c>
      <c r="L5">
        <v>0</v>
      </c>
      <c r="M5">
        <v>34.599109088079679</v>
      </c>
    </row>
    <row r="6" spans="1:13" x14ac:dyDescent="0.2">
      <c r="A6" s="6">
        <v>1</v>
      </c>
      <c r="C6">
        <v>87.5</v>
      </c>
      <c r="D6">
        <v>24.305555555555557</v>
      </c>
      <c r="E6">
        <v>43.75</v>
      </c>
      <c r="F6">
        <v>29.166666666666668</v>
      </c>
      <c r="M6">
        <v>44.357638888888893</v>
      </c>
    </row>
    <row r="7" spans="1:13" x14ac:dyDescent="0.2">
      <c r="A7" s="6">
        <v>2</v>
      </c>
      <c r="B7">
        <v>52.763888888888893</v>
      </c>
      <c r="C7">
        <v>46.696428571428569</v>
      </c>
      <c r="D7">
        <v>56.881719354408396</v>
      </c>
      <c r="E7">
        <v>39.787037037037038</v>
      </c>
      <c r="F7">
        <v>49.969166666666659</v>
      </c>
      <c r="G7">
        <v>78.054459064327489</v>
      </c>
      <c r="H7">
        <v>43.75</v>
      </c>
      <c r="I7">
        <v>91.625</v>
      </c>
      <c r="J7">
        <v>43.75</v>
      </c>
      <c r="K7">
        <v>46.666666666666671</v>
      </c>
      <c r="L7">
        <v>60.277777777777779</v>
      </c>
      <c r="M7">
        <v>56.139118932597199</v>
      </c>
    </row>
    <row r="8" spans="1:13" x14ac:dyDescent="0.2">
      <c r="A8" s="6">
        <v>3</v>
      </c>
      <c r="B8">
        <v>66.961805555555557</v>
      </c>
      <c r="C8">
        <v>51.041666666666671</v>
      </c>
      <c r="D8">
        <v>50.0368923611111</v>
      </c>
      <c r="E8">
        <v>65.521766169154247</v>
      </c>
      <c r="F8">
        <v>46.475775193798455</v>
      </c>
      <c r="G8">
        <v>70.793859649122794</v>
      </c>
      <c r="H8">
        <v>43.75</v>
      </c>
      <c r="I8">
        <v>46.666666666666671</v>
      </c>
      <c r="J8">
        <v>46.083333333333336</v>
      </c>
      <c r="K8">
        <v>137.19999999999999</v>
      </c>
      <c r="M8">
        <v>61.875983284169102</v>
      </c>
    </row>
    <row r="9" spans="1:13" x14ac:dyDescent="0.2">
      <c r="A9" s="6">
        <v>4</v>
      </c>
      <c r="B9">
        <v>56.25</v>
      </c>
      <c r="C9">
        <v>46.666666666666671</v>
      </c>
      <c r="D9">
        <v>54.595238095238095</v>
      </c>
      <c r="E9">
        <v>65.941498316498311</v>
      </c>
      <c r="F9">
        <v>58.245210727969365</v>
      </c>
      <c r="G9">
        <v>75.686798296554414</v>
      </c>
      <c r="H9">
        <v>101.80208333333333</v>
      </c>
      <c r="I9">
        <v>163.16666666666669</v>
      </c>
      <c r="J9">
        <v>98.578703703703709</v>
      </c>
      <c r="K9">
        <v>123.56364468864469</v>
      </c>
      <c r="L9">
        <v>81.466666666666669</v>
      </c>
      <c r="M9">
        <v>71.787971675696213</v>
      </c>
    </row>
    <row r="10" spans="1:13" x14ac:dyDescent="0.2">
      <c r="A10" s="6">
        <v>5</v>
      </c>
      <c r="B10">
        <v>64.907657657657651</v>
      </c>
      <c r="C10">
        <v>58.333333333333336</v>
      </c>
      <c r="D10">
        <v>50.114583333333336</v>
      </c>
      <c r="E10">
        <v>45.503182870370374</v>
      </c>
      <c r="F10">
        <v>59.49386724386725</v>
      </c>
      <c r="G10">
        <v>86.8489151707237</v>
      </c>
      <c r="H10">
        <v>106.55</v>
      </c>
      <c r="I10">
        <v>98.26055555555557</v>
      </c>
      <c r="J10">
        <v>146.77819865319864</v>
      </c>
      <c r="K10">
        <v>220.83675044091709</v>
      </c>
      <c r="L10">
        <v>139.01893939393938</v>
      </c>
      <c r="M10">
        <v>93.033098625544397</v>
      </c>
    </row>
    <row r="11" spans="1:13" x14ac:dyDescent="0.2">
      <c r="A11" s="6">
        <v>6</v>
      </c>
      <c r="B11">
        <v>43.75</v>
      </c>
      <c r="D11">
        <v>35</v>
      </c>
      <c r="E11">
        <v>58.333333333333336</v>
      </c>
      <c r="F11">
        <v>156.9375</v>
      </c>
      <c r="G11">
        <v>174.375</v>
      </c>
      <c r="I11">
        <v>128.84821428571428</v>
      </c>
      <c r="J11">
        <v>406.04166666666669</v>
      </c>
      <c r="K11">
        <v>348.75</v>
      </c>
      <c r="M11">
        <v>193.40008503401364</v>
      </c>
    </row>
    <row r="12" spans="1:13" x14ac:dyDescent="0.2">
      <c r="A12" s="6">
        <v>7</v>
      </c>
      <c r="B12">
        <v>119.49404761904762</v>
      </c>
      <c r="C12">
        <v>87.5</v>
      </c>
      <c r="D12">
        <v>43.020833333333336</v>
      </c>
      <c r="E12">
        <v>58.333333333333336</v>
      </c>
      <c r="F12">
        <v>68.587962962962962</v>
      </c>
      <c r="G12">
        <v>116.14263668430337</v>
      </c>
      <c r="H12">
        <v>133.72222222222223</v>
      </c>
      <c r="I12">
        <v>149.90520833333335</v>
      </c>
      <c r="J12">
        <v>289.16071428571428</v>
      </c>
      <c r="K12">
        <v>215.27491181657845</v>
      </c>
      <c r="L12">
        <v>174.375</v>
      </c>
      <c r="M12">
        <v>151.740234375</v>
      </c>
    </row>
    <row r="13" spans="1:13" x14ac:dyDescent="0.2">
      <c r="A13" s="6">
        <v>8</v>
      </c>
      <c r="B13">
        <v>141.77083333333334</v>
      </c>
      <c r="C13">
        <v>21.875</v>
      </c>
      <c r="D13">
        <v>87.5</v>
      </c>
      <c r="E13">
        <v>35</v>
      </c>
      <c r="F13">
        <v>52.760416666666664</v>
      </c>
      <c r="G13">
        <v>105.13624338624339</v>
      </c>
      <c r="H13">
        <v>139.5</v>
      </c>
      <c r="I13">
        <v>151.125</v>
      </c>
      <c r="J13">
        <v>227.8111111111111</v>
      </c>
      <c r="K13">
        <v>240.40391156462582</v>
      </c>
      <c r="L13">
        <v>232.8125</v>
      </c>
      <c r="M13">
        <v>188.95467687074827</v>
      </c>
    </row>
    <row r="14" spans="1:13" x14ac:dyDescent="0.2">
      <c r="A14" s="6">
        <v>9</v>
      </c>
      <c r="B14">
        <v>181.13839285714286</v>
      </c>
      <c r="D14">
        <v>125.05208333333333</v>
      </c>
      <c r="E14">
        <v>162.75</v>
      </c>
      <c r="F14">
        <v>180.34920634920636</v>
      </c>
      <c r="G14">
        <v>167.90693960511032</v>
      </c>
      <c r="H14">
        <v>101.875</v>
      </c>
      <c r="I14">
        <v>219.31617647058823</v>
      </c>
      <c r="J14">
        <v>243.48145604395606</v>
      </c>
      <c r="K14">
        <v>296.6122634310135</v>
      </c>
      <c r="L14">
        <v>331.53950216450215</v>
      </c>
      <c r="M14">
        <v>250.9762445185597</v>
      </c>
    </row>
    <row r="15" spans="1:13" x14ac:dyDescent="0.2">
      <c r="A15" s="6">
        <v>10</v>
      </c>
      <c r="B15">
        <v>29.166666666666668</v>
      </c>
      <c r="G15">
        <v>106.46428571428574</v>
      </c>
      <c r="I15">
        <v>174.375</v>
      </c>
      <c r="J15">
        <v>116.35416666666667</v>
      </c>
      <c r="K15">
        <v>166.1875</v>
      </c>
      <c r="L15">
        <v>217.36458333333334</v>
      </c>
      <c r="M15">
        <v>151.4266304347826</v>
      </c>
    </row>
    <row r="16" spans="1:13" x14ac:dyDescent="0.2">
      <c r="A16" s="6" t="s">
        <v>484</v>
      </c>
      <c r="B16">
        <v>52.242022327603237</v>
      </c>
      <c r="C16">
        <v>52</v>
      </c>
      <c r="D16">
        <v>54.961958341705177</v>
      </c>
      <c r="E16">
        <v>57.773148148148159</v>
      </c>
      <c r="F16">
        <v>59.678772616272617</v>
      </c>
      <c r="G16">
        <v>89.986076009926094</v>
      </c>
      <c r="H16">
        <v>104.22794117647059</v>
      </c>
      <c r="I16">
        <v>145.20222832722831</v>
      </c>
      <c r="J16">
        <v>191.66611449774709</v>
      </c>
      <c r="K16">
        <v>250.90997488258725</v>
      </c>
      <c r="L16">
        <v>191.83921485260768</v>
      </c>
      <c r="M16">
        <v>104.48840439573199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2B96F-61E6-7546-87EA-8D45E00D2C03}">
  <dimension ref="A3:B17"/>
  <sheetViews>
    <sheetView workbookViewId="0">
      <selection activeCell="H13" sqref="H13"/>
    </sheetView>
  </sheetViews>
  <sheetFormatPr baseColWidth="10" defaultRowHeight="16" x14ac:dyDescent="0.2"/>
  <cols>
    <col min="1" max="1" width="13" bestFit="1" customWidth="1"/>
    <col min="2" max="2" width="14.6640625" bestFit="1" customWidth="1"/>
  </cols>
  <sheetData>
    <row r="3" spans="1:2" x14ac:dyDescent="0.2">
      <c r="A3" s="5" t="s">
        <v>485</v>
      </c>
      <c r="B3" t="s">
        <v>487</v>
      </c>
    </row>
    <row r="4" spans="1:2" x14ac:dyDescent="0.2">
      <c r="A4" s="6">
        <v>0</v>
      </c>
      <c r="B4">
        <v>507.19696969696969</v>
      </c>
    </row>
    <row r="5" spans="1:2" x14ac:dyDescent="0.2">
      <c r="A5" s="6">
        <v>1</v>
      </c>
      <c r="B5">
        <v>559.57142857142856</v>
      </c>
    </row>
    <row r="6" spans="1:2" x14ac:dyDescent="0.2">
      <c r="A6" s="6">
        <v>2</v>
      </c>
      <c r="B6">
        <v>510.43010752688173</v>
      </c>
    </row>
    <row r="7" spans="1:2" x14ac:dyDescent="0.2">
      <c r="A7" s="6">
        <v>3</v>
      </c>
      <c r="B7">
        <v>512.54195804195808</v>
      </c>
    </row>
    <row r="8" spans="1:2" x14ac:dyDescent="0.2">
      <c r="A8" s="6">
        <v>4</v>
      </c>
      <c r="B8">
        <v>517.13787638668782</v>
      </c>
    </row>
    <row r="9" spans="1:2" x14ac:dyDescent="0.2">
      <c r="A9" s="6">
        <v>5</v>
      </c>
      <c r="B9">
        <v>504.17290552584672</v>
      </c>
    </row>
    <row r="10" spans="1:2" x14ac:dyDescent="0.2">
      <c r="A10" s="6">
        <v>6</v>
      </c>
      <c r="B10">
        <v>509.52466367713004</v>
      </c>
    </row>
    <row r="11" spans="1:2" x14ac:dyDescent="0.2">
      <c r="A11" s="6">
        <v>7</v>
      </c>
      <c r="B11">
        <v>507.59302325581393</v>
      </c>
    </row>
    <row r="12" spans="1:2" x14ac:dyDescent="0.2">
      <c r="A12" s="6">
        <v>8</v>
      </c>
      <c r="B12">
        <v>470.07317073170731</v>
      </c>
    </row>
    <row r="13" spans="1:2" x14ac:dyDescent="0.2">
      <c r="A13" s="6">
        <v>9</v>
      </c>
      <c r="B13">
        <v>427.41176470588238</v>
      </c>
    </row>
    <row r="14" spans="1:2" x14ac:dyDescent="0.2">
      <c r="A14" s="6">
        <v>10</v>
      </c>
      <c r="B14">
        <v>463.55555555555554</v>
      </c>
    </row>
    <row r="15" spans="1:2" x14ac:dyDescent="0.2">
      <c r="A15" s="6">
        <v>11</v>
      </c>
      <c r="B15">
        <v>558</v>
      </c>
    </row>
    <row r="16" spans="1:2" x14ac:dyDescent="0.2">
      <c r="A16" s="6">
        <v>13</v>
      </c>
      <c r="B16">
        <v>496</v>
      </c>
    </row>
    <row r="17" spans="1:2" x14ac:dyDescent="0.2">
      <c r="A17" s="6" t="s">
        <v>484</v>
      </c>
      <c r="B17">
        <v>509.15756704980845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3DFF7-0893-F143-B268-DC5BC2D15AFA}">
  <dimension ref="A3:H21"/>
  <sheetViews>
    <sheetView workbookViewId="0">
      <selection activeCell="M20" sqref="M20"/>
    </sheetView>
  </sheetViews>
  <sheetFormatPr baseColWidth="10" defaultRowHeight="16" x14ac:dyDescent="0.2"/>
  <cols>
    <col min="1" max="1" width="13" bestFit="1" customWidth="1"/>
    <col min="2" max="2" width="23.83203125" bestFit="1" customWidth="1"/>
  </cols>
  <sheetData>
    <row r="3" spans="1:8" x14ac:dyDescent="0.2">
      <c r="A3" s="5" t="s">
        <v>485</v>
      </c>
      <c r="B3" t="s">
        <v>489</v>
      </c>
    </row>
    <row r="4" spans="1:8" x14ac:dyDescent="0.2">
      <c r="A4" s="6">
        <v>0</v>
      </c>
      <c r="B4">
        <v>413.54575163398692</v>
      </c>
      <c r="H4" t="s">
        <v>493</v>
      </c>
    </row>
    <row r="5" spans="1:8" x14ac:dyDescent="0.2">
      <c r="A5" s="6">
        <v>1</v>
      </c>
      <c r="B5">
        <v>247.5</v>
      </c>
    </row>
    <row r="6" spans="1:8" x14ac:dyDescent="0.2">
      <c r="A6" s="6">
        <v>2</v>
      </c>
      <c r="B6">
        <v>357.60869565217394</v>
      </c>
    </row>
    <row r="7" spans="1:8" x14ac:dyDescent="0.2">
      <c r="A7" s="6">
        <v>3</v>
      </c>
      <c r="B7">
        <v>399.22566371681415</v>
      </c>
    </row>
    <row r="8" spans="1:8" x14ac:dyDescent="0.2">
      <c r="A8" s="6">
        <v>4</v>
      </c>
      <c r="B8">
        <v>399.99101796407183</v>
      </c>
    </row>
    <row r="9" spans="1:8" x14ac:dyDescent="0.2">
      <c r="A9" s="6">
        <v>5</v>
      </c>
      <c r="B9">
        <v>453.33555926544238</v>
      </c>
    </row>
    <row r="10" spans="1:8" x14ac:dyDescent="0.2">
      <c r="A10" s="6">
        <v>6</v>
      </c>
      <c r="B10">
        <v>500.75</v>
      </c>
    </row>
    <row r="11" spans="1:8" x14ac:dyDescent="0.2">
      <c r="A11" s="6">
        <v>7</v>
      </c>
      <c r="B11">
        <v>522.4375</v>
      </c>
    </row>
    <row r="12" spans="1:8" x14ac:dyDescent="0.2">
      <c r="A12" s="6">
        <v>8</v>
      </c>
      <c r="B12">
        <v>544.85</v>
      </c>
    </row>
    <row r="13" spans="1:8" x14ac:dyDescent="0.2">
      <c r="A13" s="6">
        <v>9</v>
      </c>
      <c r="B13">
        <v>552.90466926070042</v>
      </c>
    </row>
    <row r="14" spans="1:8" x14ac:dyDescent="0.2">
      <c r="A14" s="6">
        <v>10</v>
      </c>
      <c r="B14">
        <v>535.23913043478262</v>
      </c>
    </row>
    <row r="15" spans="1:8" x14ac:dyDescent="0.2">
      <c r="A15" s="6" t="s">
        <v>484</v>
      </c>
      <c r="B15">
        <v>443.36757662835248</v>
      </c>
    </row>
    <row r="21" spans="8:8" x14ac:dyDescent="0.2">
      <c r="H21" t="s">
        <v>492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970A9-4F51-4F42-8850-32A4E9688385}">
  <dimension ref="A3:E11"/>
  <sheetViews>
    <sheetView workbookViewId="0">
      <selection activeCell="E20" sqref="E20"/>
    </sheetView>
  </sheetViews>
  <sheetFormatPr baseColWidth="10" defaultRowHeight="16" x14ac:dyDescent="0.2"/>
  <cols>
    <col min="1" max="1" width="13" bestFit="1" customWidth="1"/>
    <col min="2" max="2" width="13.5" bestFit="1" customWidth="1"/>
    <col min="3" max="3" width="15.5" bestFit="1" customWidth="1"/>
    <col min="4" max="4" width="15" bestFit="1" customWidth="1"/>
    <col min="5" max="5" width="14.5" bestFit="1" customWidth="1"/>
  </cols>
  <sheetData>
    <row r="3" spans="1:5" x14ac:dyDescent="0.2">
      <c r="A3" s="5" t="s">
        <v>485</v>
      </c>
      <c r="B3" t="s">
        <v>495</v>
      </c>
      <c r="C3" t="s">
        <v>496</v>
      </c>
      <c r="D3" t="s">
        <v>497</v>
      </c>
      <c r="E3" t="s">
        <v>498</v>
      </c>
    </row>
    <row r="4" spans="1:5" x14ac:dyDescent="0.2">
      <c r="A4" s="6">
        <v>0</v>
      </c>
      <c r="B4">
        <v>0</v>
      </c>
      <c r="C4">
        <v>0</v>
      </c>
      <c r="D4">
        <v>0</v>
      </c>
      <c r="E4">
        <v>0</v>
      </c>
    </row>
    <row r="5" spans="1:5" x14ac:dyDescent="0.2">
      <c r="A5" s="6">
        <v>1</v>
      </c>
      <c r="B5">
        <v>401.81931236283833</v>
      </c>
      <c r="C5">
        <v>392.42574981711778</v>
      </c>
      <c r="D5">
        <v>287.89904901243597</v>
      </c>
      <c r="E5">
        <v>181.57205559619604</v>
      </c>
    </row>
    <row r="6" spans="1:5" x14ac:dyDescent="0.2">
      <c r="A6" s="6">
        <v>2</v>
      </c>
      <c r="B6">
        <v>508.05030181086516</v>
      </c>
      <c r="C6">
        <v>502.82696177062377</v>
      </c>
      <c r="D6">
        <v>291.98792756539234</v>
      </c>
      <c r="E6">
        <v>291.49094567404427</v>
      </c>
    </row>
    <row r="7" spans="1:5" x14ac:dyDescent="0.2">
      <c r="A7" s="6">
        <v>3</v>
      </c>
      <c r="B7">
        <v>587.47580645161293</v>
      </c>
      <c r="C7">
        <v>597.56451612903231</v>
      </c>
      <c r="D7">
        <v>342.63709677419354</v>
      </c>
      <c r="E7">
        <v>385.64516129032256</v>
      </c>
    </row>
    <row r="8" spans="1:5" x14ac:dyDescent="0.2">
      <c r="A8" s="6">
        <v>4</v>
      </c>
      <c r="B8">
        <v>585.77083333333337</v>
      </c>
      <c r="C8">
        <v>588.89583333333337</v>
      </c>
      <c r="D8">
        <v>275</v>
      </c>
      <c r="E8">
        <v>373.35416666666669</v>
      </c>
    </row>
    <row r="9" spans="1:5" x14ac:dyDescent="0.2">
      <c r="A9" s="6">
        <v>5</v>
      </c>
      <c r="B9">
        <v>599.61538461538464</v>
      </c>
      <c r="C9">
        <v>599.38461538461536</v>
      </c>
      <c r="D9">
        <v>397.84615384615387</v>
      </c>
      <c r="E9">
        <v>380.03846153846155</v>
      </c>
    </row>
    <row r="10" spans="1:5" x14ac:dyDescent="0.2">
      <c r="A10" s="6">
        <v>6</v>
      </c>
      <c r="B10">
        <v>589</v>
      </c>
      <c r="C10">
        <v>613.54166666666663</v>
      </c>
      <c r="D10">
        <v>155.5</v>
      </c>
      <c r="E10">
        <v>510.66666666666669</v>
      </c>
    </row>
    <row r="11" spans="1:5" x14ac:dyDescent="0.2">
      <c r="A11" s="6" t="s">
        <v>484</v>
      </c>
      <c r="B11">
        <v>446.58908045977012</v>
      </c>
      <c r="C11">
        <v>440.14607279693485</v>
      </c>
      <c r="D11">
        <v>291.39798850574715</v>
      </c>
      <c r="E11">
        <v>230.34386973180077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6D00E-EF9E-8A46-9C1F-92D3DBB6F41D}">
  <dimension ref="A3:I8"/>
  <sheetViews>
    <sheetView workbookViewId="0">
      <selection activeCell="C7" sqref="C7:H7"/>
    </sheetView>
  </sheetViews>
  <sheetFormatPr baseColWidth="10" defaultRowHeight="16" x14ac:dyDescent="0.2"/>
  <cols>
    <col min="1" max="1" width="14" bestFit="1" customWidth="1"/>
    <col min="2" max="2" width="15.5" bestFit="1" customWidth="1"/>
    <col min="3" max="3" width="5.1640625" bestFit="1" customWidth="1"/>
    <col min="4" max="5" width="4.1640625" bestFit="1" customWidth="1"/>
    <col min="6" max="8" width="3.1640625" bestFit="1" customWidth="1"/>
    <col min="9" max="9" width="10.83203125" bestFit="1" customWidth="1"/>
  </cols>
  <sheetData>
    <row r="3" spans="1:9" x14ac:dyDescent="0.2">
      <c r="A3" s="5" t="s">
        <v>499</v>
      </c>
      <c r="B3" s="5" t="s">
        <v>483</v>
      </c>
    </row>
    <row r="4" spans="1:9" x14ac:dyDescent="0.2">
      <c r="A4" s="5" t="s">
        <v>485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 t="s">
        <v>484</v>
      </c>
    </row>
    <row r="5" spans="1:9" x14ac:dyDescent="0.2">
      <c r="A5" s="6">
        <v>2</v>
      </c>
      <c r="B5">
        <v>1</v>
      </c>
      <c r="C5">
        <v>977</v>
      </c>
      <c r="D5">
        <v>215</v>
      </c>
      <c r="E5">
        <v>13</v>
      </c>
      <c r="F5">
        <v>2</v>
      </c>
      <c r="H5">
        <v>2</v>
      </c>
      <c r="I5">
        <v>1210</v>
      </c>
    </row>
    <row r="6" spans="1:9" x14ac:dyDescent="0.2">
      <c r="A6" s="6">
        <v>3</v>
      </c>
      <c r="B6">
        <v>1</v>
      </c>
      <c r="C6">
        <v>371</v>
      </c>
      <c r="D6">
        <v>214</v>
      </c>
      <c r="E6">
        <v>39</v>
      </c>
      <c r="F6">
        <v>11</v>
      </c>
      <c r="G6">
        <v>3</v>
      </c>
      <c r="H6">
        <v>4</v>
      </c>
      <c r="I6">
        <v>643</v>
      </c>
    </row>
    <row r="7" spans="1:9" x14ac:dyDescent="0.2">
      <c r="A7" s="6">
        <v>4</v>
      </c>
      <c r="C7">
        <v>19</v>
      </c>
      <c r="D7">
        <v>68</v>
      </c>
      <c r="E7">
        <v>72</v>
      </c>
      <c r="F7">
        <v>35</v>
      </c>
      <c r="G7">
        <v>23</v>
      </c>
      <c r="H7">
        <v>18</v>
      </c>
      <c r="I7">
        <v>235</v>
      </c>
    </row>
    <row r="8" spans="1:9" x14ac:dyDescent="0.2">
      <c r="A8" s="6" t="s">
        <v>484</v>
      </c>
      <c r="B8">
        <v>2</v>
      </c>
      <c r="C8">
        <v>1367</v>
      </c>
      <c r="D8">
        <v>497</v>
      </c>
      <c r="E8">
        <v>124</v>
      </c>
      <c r="F8">
        <v>48</v>
      </c>
      <c r="G8">
        <v>26</v>
      </c>
      <c r="H8">
        <v>24</v>
      </c>
      <c r="I8">
        <v>2088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Majors</vt:lpstr>
      <vt:lpstr>Applications</vt:lpstr>
      <vt:lpstr>Scores</vt:lpstr>
      <vt:lpstr>Demographics</vt:lpstr>
      <vt:lpstr>Income</vt:lpstr>
      <vt:lpstr>Q6</vt:lpstr>
      <vt:lpstr>Q7</vt:lpstr>
      <vt:lpstr>Q8</vt:lpstr>
      <vt:lpstr>Q9</vt:lpstr>
      <vt:lpstr>Q10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2022-08-23T13:32:26Z</dcterms:created>
  <dcterms:modified xsi:type="dcterms:W3CDTF">2023-09-08T21:12:25Z</dcterms:modified>
</cp:coreProperties>
</file>